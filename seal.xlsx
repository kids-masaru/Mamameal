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700289\Downloads\"/>
    </mc:Choice>
  </mc:AlternateContent>
  <xr:revisionPtr revIDLastSave="0" documentId="13_ncr:1_{06C9174A-142E-4F68-B14C-16C2D742701B}" xr6:coauthVersionLast="47" xr6:coauthVersionMax="47" xr10:uidLastSave="{00000000-0000-0000-0000-000000000000}"/>
  <bookViews>
    <workbookView xWindow="204" yWindow="492" windowWidth="12144" windowHeight="12396" firstSheet="3" activeTab="3" xr2:uid="{00000000-000D-0000-FFFF-FFFF00000000}"/>
  </bookViews>
  <sheets>
    <sheet name="貼り付け1" sheetId="1" state="hidden" r:id="rId1"/>
    <sheet name="貼り付け2" sheetId="2" state="hidden" r:id="rId2"/>
    <sheet name="まとめ" sheetId="3" state="hidden" r:id="rId3"/>
    <sheet name="シール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" i="4" l="1"/>
  <c r="I48" i="4"/>
  <c r="E48" i="4"/>
  <c r="A48" i="4"/>
  <c r="M47" i="4"/>
  <c r="I47" i="4"/>
  <c r="E47" i="4"/>
  <c r="A47" i="4"/>
  <c r="M44" i="4"/>
  <c r="I44" i="4"/>
  <c r="E44" i="4"/>
  <c r="A44" i="4"/>
  <c r="M43" i="4"/>
  <c r="I43" i="4"/>
  <c r="E43" i="4"/>
  <c r="A43" i="4"/>
  <c r="M42" i="4"/>
  <c r="I42" i="4"/>
  <c r="E42" i="4"/>
  <c r="A42" i="4"/>
  <c r="M38" i="4"/>
  <c r="I38" i="4"/>
  <c r="E38" i="4"/>
  <c r="A38" i="4"/>
  <c r="M37" i="4"/>
  <c r="I37" i="4"/>
  <c r="E37" i="4"/>
  <c r="A37" i="4"/>
  <c r="M34" i="4"/>
  <c r="I34" i="4"/>
  <c r="E34" i="4"/>
  <c r="A34" i="4"/>
  <c r="M33" i="4"/>
  <c r="I33" i="4"/>
  <c r="E33" i="4"/>
  <c r="A33" i="4"/>
  <c r="M32" i="4"/>
  <c r="I32" i="4"/>
  <c r="E32" i="4"/>
  <c r="A32" i="4"/>
  <c r="M28" i="4"/>
  <c r="I28" i="4"/>
  <c r="E28" i="4"/>
  <c r="A28" i="4"/>
  <c r="M27" i="4"/>
  <c r="I27" i="4"/>
  <c r="E27" i="4"/>
  <c r="A27" i="4"/>
  <c r="M24" i="4"/>
  <c r="I24" i="4"/>
  <c r="E24" i="4"/>
  <c r="A24" i="4"/>
  <c r="M23" i="4"/>
  <c r="I23" i="4"/>
  <c r="E23" i="4"/>
  <c r="A23" i="4"/>
  <c r="M22" i="4"/>
  <c r="I22" i="4"/>
  <c r="E22" i="4"/>
  <c r="A22" i="4"/>
  <c r="M18" i="4"/>
  <c r="M17" i="4"/>
  <c r="M14" i="4"/>
  <c r="M13" i="4"/>
  <c r="M12" i="4"/>
  <c r="I18" i="4"/>
  <c r="I17" i="4"/>
  <c r="I14" i="4"/>
  <c r="I13" i="4"/>
  <c r="I12" i="4"/>
  <c r="E18" i="4"/>
  <c r="E17" i="4"/>
  <c r="E14" i="4"/>
  <c r="E13" i="4"/>
  <c r="E12" i="4"/>
  <c r="B19" i="4"/>
  <c r="A18" i="4"/>
  <c r="A17" i="4"/>
  <c r="A14" i="4"/>
  <c r="A13" i="4"/>
  <c r="A12" i="4"/>
  <c r="M9" i="4"/>
  <c r="I9" i="4"/>
  <c r="E9" i="4"/>
  <c r="A8" i="4"/>
  <c r="A7" i="4"/>
  <c r="A4" i="4"/>
  <c r="E1" i="4"/>
  <c r="A2" i="4"/>
  <c r="A3" i="4"/>
  <c r="V2" i="3"/>
  <c r="U2" i="3"/>
  <c r="Q2" i="3"/>
  <c r="P2" i="3"/>
  <c r="L2" i="3"/>
  <c r="K2" i="3"/>
  <c r="G2" i="3"/>
  <c r="B16" i="4" s="1"/>
  <c r="F2" i="3"/>
  <c r="O350" i="2"/>
  <c r="P350" i="2" s="1"/>
  <c r="C1" i="3"/>
  <c r="N49" i="4" s="1"/>
  <c r="P7" i="2"/>
  <c r="P12" i="2"/>
  <c r="P15" i="2"/>
  <c r="P19" i="2"/>
  <c r="P20" i="2"/>
  <c r="P22" i="2"/>
  <c r="P27" i="2"/>
  <c r="P28" i="2"/>
  <c r="P35" i="2"/>
  <c r="P36" i="2"/>
  <c r="P38" i="2"/>
  <c r="P43" i="2"/>
  <c r="P44" i="2"/>
  <c r="P139" i="2"/>
  <c r="P144" i="2"/>
  <c r="P147" i="2"/>
  <c r="P152" i="2"/>
  <c r="P155" i="2"/>
  <c r="P160" i="2"/>
  <c r="P163" i="2"/>
  <c r="P168" i="2"/>
  <c r="P171" i="2"/>
  <c r="P176" i="2"/>
  <c r="P179" i="2"/>
  <c r="P184" i="2"/>
  <c r="P187" i="2"/>
  <c r="P192" i="2"/>
  <c r="P195" i="2"/>
  <c r="P200" i="2"/>
  <c r="P203" i="2"/>
  <c r="P208" i="2"/>
  <c r="P211" i="2"/>
  <c r="P216" i="2"/>
  <c r="P219" i="2"/>
  <c r="P224" i="2"/>
  <c r="P227" i="2"/>
  <c r="P232" i="2"/>
  <c r="P235" i="2"/>
  <c r="P240" i="2"/>
  <c r="P243" i="2"/>
  <c r="P248" i="2"/>
  <c r="P251" i="2"/>
  <c r="P256" i="2"/>
  <c r="P259" i="2"/>
  <c r="P264" i="2"/>
  <c r="P267" i="2"/>
  <c r="P272" i="2"/>
  <c r="P275" i="2"/>
  <c r="P280" i="2"/>
  <c r="P283" i="2"/>
  <c r="P288" i="2"/>
  <c r="P291" i="2"/>
  <c r="P296" i="2"/>
  <c r="P299" i="2"/>
  <c r="P304" i="2"/>
  <c r="P307" i="2"/>
  <c r="P312" i="2"/>
  <c r="P315" i="2"/>
  <c r="P320" i="2"/>
  <c r="P323" i="2"/>
  <c r="P328" i="2"/>
  <c r="P331" i="2"/>
  <c r="P336" i="2"/>
  <c r="P339" i="2"/>
  <c r="P344" i="2"/>
  <c r="P347" i="2"/>
  <c r="O17" i="2"/>
  <c r="P17" i="2" s="1"/>
  <c r="O18" i="2"/>
  <c r="P18" i="2" s="1"/>
  <c r="O19" i="2"/>
  <c r="O20" i="2"/>
  <c r="O21" i="2"/>
  <c r="P21" i="2" s="1"/>
  <c r="O22" i="2"/>
  <c r="O23" i="2"/>
  <c r="P23" i="2" s="1"/>
  <c r="O24" i="2"/>
  <c r="P24" i="2" s="1"/>
  <c r="O25" i="2"/>
  <c r="P25" i="2" s="1"/>
  <c r="O26" i="2"/>
  <c r="P26" i="2" s="1"/>
  <c r="O27" i="2"/>
  <c r="O28" i="2"/>
  <c r="O29" i="2"/>
  <c r="P29" i="2" s="1"/>
  <c r="O30" i="2"/>
  <c r="P30" i="2" s="1"/>
  <c r="O31" i="2"/>
  <c r="P31" i="2" s="1"/>
  <c r="O32" i="2"/>
  <c r="P32" i="2" s="1"/>
  <c r="O33" i="2"/>
  <c r="P33" i="2" s="1"/>
  <c r="O34" i="2"/>
  <c r="P34" i="2" s="1"/>
  <c r="O35" i="2"/>
  <c r="O36" i="2"/>
  <c r="O37" i="2"/>
  <c r="P37" i="2" s="1"/>
  <c r="O38" i="2"/>
  <c r="O39" i="2"/>
  <c r="P39" i="2" s="1"/>
  <c r="O40" i="2"/>
  <c r="P40" i="2" s="1"/>
  <c r="O41" i="2"/>
  <c r="P41" i="2" s="1"/>
  <c r="O42" i="2"/>
  <c r="P42" i="2" s="1"/>
  <c r="O43" i="2"/>
  <c r="O44" i="2"/>
  <c r="O45" i="2"/>
  <c r="P45" i="2" s="1"/>
  <c r="O46" i="2"/>
  <c r="P46" i="2" s="1"/>
  <c r="O47" i="2"/>
  <c r="P47" i="2" s="1"/>
  <c r="O48" i="2"/>
  <c r="P48" i="2" s="1"/>
  <c r="O49" i="2"/>
  <c r="O50" i="2"/>
  <c r="O51" i="2"/>
  <c r="O52" i="2"/>
  <c r="O53" i="2"/>
  <c r="P53" i="2" s="1"/>
  <c r="O54" i="2"/>
  <c r="P54" i="2" s="1"/>
  <c r="O55" i="2"/>
  <c r="P55" i="2" s="1"/>
  <c r="O56" i="2"/>
  <c r="P56" i="2" s="1"/>
  <c r="O57" i="2"/>
  <c r="P57" i="2" s="1"/>
  <c r="O58" i="2"/>
  <c r="P58" i="2" s="1"/>
  <c r="O59" i="2"/>
  <c r="P59" i="2" s="1"/>
  <c r="O60" i="2"/>
  <c r="P60" i="2" s="1"/>
  <c r="O61" i="2"/>
  <c r="P61" i="2" s="1"/>
  <c r="O62" i="2"/>
  <c r="P62" i="2" s="1"/>
  <c r="O63" i="2"/>
  <c r="P63" i="2" s="1"/>
  <c r="O64" i="2"/>
  <c r="P64" i="2" s="1"/>
  <c r="O65" i="2"/>
  <c r="P65" i="2" s="1"/>
  <c r="O66" i="2"/>
  <c r="P66" i="2" s="1"/>
  <c r="O67" i="2"/>
  <c r="P67" i="2" s="1"/>
  <c r="O68" i="2"/>
  <c r="P68" i="2" s="1"/>
  <c r="O69" i="2"/>
  <c r="P69" i="2" s="1"/>
  <c r="O70" i="2"/>
  <c r="P70" i="2" s="1"/>
  <c r="O71" i="2"/>
  <c r="P71" i="2" s="1"/>
  <c r="O72" i="2"/>
  <c r="P72" i="2" s="1"/>
  <c r="O73" i="2"/>
  <c r="P73" i="2" s="1"/>
  <c r="O74" i="2"/>
  <c r="P74" i="2" s="1"/>
  <c r="O75" i="2"/>
  <c r="P75" i="2" s="1"/>
  <c r="O76" i="2"/>
  <c r="P76" i="2" s="1"/>
  <c r="O77" i="2"/>
  <c r="P77" i="2" s="1"/>
  <c r="O78" i="2"/>
  <c r="P78" i="2" s="1"/>
  <c r="O79" i="2"/>
  <c r="P79" i="2" s="1"/>
  <c r="O80" i="2"/>
  <c r="P80" i="2" s="1"/>
  <c r="O81" i="2"/>
  <c r="P81" i="2" s="1"/>
  <c r="O82" i="2"/>
  <c r="P82" i="2" s="1"/>
  <c r="O83" i="2"/>
  <c r="P83" i="2" s="1"/>
  <c r="O84" i="2"/>
  <c r="P84" i="2" s="1"/>
  <c r="O85" i="2"/>
  <c r="P85" i="2" s="1"/>
  <c r="O86" i="2"/>
  <c r="P86" i="2" s="1"/>
  <c r="O87" i="2"/>
  <c r="P87" i="2" s="1"/>
  <c r="O88" i="2"/>
  <c r="P88" i="2" s="1"/>
  <c r="O89" i="2"/>
  <c r="P89" i="2" s="1"/>
  <c r="O90" i="2"/>
  <c r="P90" i="2" s="1"/>
  <c r="O91" i="2"/>
  <c r="P91" i="2" s="1"/>
  <c r="O92" i="2"/>
  <c r="P92" i="2" s="1"/>
  <c r="O93" i="2"/>
  <c r="P93" i="2" s="1"/>
  <c r="O94" i="2"/>
  <c r="P94" i="2" s="1"/>
  <c r="O95" i="2"/>
  <c r="P95" i="2" s="1"/>
  <c r="O96" i="2"/>
  <c r="P96" i="2" s="1"/>
  <c r="O97" i="2"/>
  <c r="P97" i="2" s="1"/>
  <c r="O98" i="2"/>
  <c r="P98" i="2" s="1"/>
  <c r="O99" i="2"/>
  <c r="P99" i="2" s="1"/>
  <c r="O100" i="2"/>
  <c r="P100" i="2" s="1"/>
  <c r="O101" i="2"/>
  <c r="P101" i="2" s="1"/>
  <c r="O102" i="2"/>
  <c r="P102" i="2" s="1"/>
  <c r="O103" i="2"/>
  <c r="P103" i="2" s="1"/>
  <c r="O104" i="2"/>
  <c r="P104" i="2" s="1"/>
  <c r="O105" i="2"/>
  <c r="P105" i="2" s="1"/>
  <c r="O106" i="2"/>
  <c r="P106" i="2" s="1"/>
  <c r="O107" i="2"/>
  <c r="P107" i="2" s="1"/>
  <c r="O108" i="2"/>
  <c r="P108" i="2" s="1"/>
  <c r="O109" i="2"/>
  <c r="P109" i="2" s="1"/>
  <c r="O110" i="2"/>
  <c r="P110" i="2" s="1"/>
  <c r="O111" i="2"/>
  <c r="P111" i="2" s="1"/>
  <c r="O112" i="2"/>
  <c r="P112" i="2" s="1"/>
  <c r="O113" i="2"/>
  <c r="P113" i="2" s="1"/>
  <c r="O114" i="2"/>
  <c r="P114" i="2" s="1"/>
  <c r="O115" i="2"/>
  <c r="P115" i="2" s="1"/>
  <c r="O116" i="2"/>
  <c r="P116" i="2" s="1"/>
  <c r="O117" i="2"/>
  <c r="P117" i="2" s="1"/>
  <c r="O118" i="2"/>
  <c r="P118" i="2" s="1"/>
  <c r="O119" i="2"/>
  <c r="P119" i="2" s="1"/>
  <c r="O120" i="2"/>
  <c r="P120" i="2" s="1"/>
  <c r="O121" i="2"/>
  <c r="P121" i="2" s="1"/>
  <c r="O122" i="2"/>
  <c r="P122" i="2" s="1"/>
  <c r="O123" i="2"/>
  <c r="P123" i="2" s="1"/>
  <c r="O124" i="2"/>
  <c r="P124" i="2" s="1"/>
  <c r="O125" i="2"/>
  <c r="P125" i="2" s="1"/>
  <c r="O126" i="2"/>
  <c r="P126" i="2" s="1"/>
  <c r="O127" i="2"/>
  <c r="P127" i="2" s="1"/>
  <c r="O128" i="2"/>
  <c r="P128" i="2" s="1"/>
  <c r="O129" i="2"/>
  <c r="P129" i="2" s="1"/>
  <c r="O130" i="2"/>
  <c r="P130" i="2" s="1"/>
  <c r="O131" i="2"/>
  <c r="P131" i="2" s="1"/>
  <c r="O132" i="2"/>
  <c r="P132" i="2" s="1"/>
  <c r="O133" i="2"/>
  <c r="P133" i="2" s="1"/>
  <c r="O134" i="2"/>
  <c r="P134" i="2" s="1"/>
  <c r="O135" i="2"/>
  <c r="P135" i="2" s="1"/>
  <c r="O136" i="2"/>
  <c r="P136" i="2" s="1"/>
  <c r="O137" i="2"/>
  <c r="P137" i="2" s="1"/>
  <c r="O138" i="2"/>
  <c r="P138" i="2" s="1"/>
  <c r="O139" i="2"/>
  <c r="O140" i="2"/>
  <c r="P140" i="2" s="1"/>
  <c r="O141" i="2"/>
  <c r="P141" i="2" s="1"/>
  <c r="O142" i="2"/>
  <c r="P142" i="2" s="1"/>
  <c r="O143" i="2"/>
  <c r="P143" i="2" s="1"/>
  <c r="O144" i="2"/>
  <c r="O145" i="2"/>
  <c r="P145" i="2" s="1"/>
  <c r="O146" i="2"/>
  <c r="P146" i="2" s="1"/>
  <c r="O147" i="2"/>
  <c r="O148" i="2"/>
  <c r="P148" i="2" s="1"/>
  <c r="O149" i="2"/>
  <c r="P149" i="2" s="1"/>
  <c r="O150" i="2"/>
  <c r="P150" i="2" s="1"/>
  <c r="O151" i="2"/>
  <c r="P151" i="2" s="1"/>
  <c r="O152" i="2"/>
  <c r="O153" i="2"/>
  <c r="P153" i="2" s="1"/>
  <c r="O154" i="2"/>
  <c r="P154" i="2" s="1"/>
  <c r="O155" i="2"/>
  <c r="O156" i="2"/>
  <c r="P156" i="2" s="1"/>
  <c r="O157" i="2"/>
  <c r="P157" i="2" s="1"/>
  <c r="O158" i="2"/>
  <c r="P158" i="2" s="1"/>
  <c r="O159" i="2"/>
  <c r="P159" i="2" s="1"/>
  <c r="O160" i="2"/>
  <c r="O161" i="2"/>
  <c r="P161" i="2" s="1"/>
  <c r="O162" i="2"/>
  <c r="P162" i="2" s="1"/>
  <c r="O163" i="2"/>
  <c r="O164" i="2"/>
  <c r="P164" i="2" s="1"/>
  <c r="O165" i="2"/>
  <c r="P165" i="2" s="1"/>
  <c r="O166" i="2"/>
  <c r="P166" i="2" s="1"/>
  <c r="O167" i="2"/>
  <c r="P167" i="2" s="1"/>
  <c r="O168" i="2"/>
  <c r="O169" i="2"/>
  <c r="P169" i="2" s="1"/>
  <c r="O170" i="2"/>
  <c r="P170" i="2" s="1"/>
  <c r="O171" i="2"/>
  <c r="O172" i="2"/>
  <c r="P172" i="2" s="1"/>
  <c r="O173" i="2"/>
  <c r="P173" i="2" s="1"/>
  <c r="O174" i="2"/>
  <c r="P174" i="2" s="1"/>
  <c r="O175" i="2"/>
  <c r="P175" i="2" s="1"/>
  <c r="O176" i="2"/>
  <c r="O177" i="2"/>
  <c r="P177" i="2" s="1"/>
  <c r="O178" i="2"/>
  <c r="P178" i="2" s="1"/>
  <c r="O179" i="2"/>
  <c r="O180" i="2"/>
  <c r="P180" i="2" s="1"/>
  <c r="O181" i="2"/>
  <c r="P181" i="2" s="1"/>
  <c r="O182" i="2"/>
  <c r="P182" i="2" s="1"/>
  <c r="O183" i="2"/>
  <c r="P183" i="2" s="1"/>
  <c r="O184" i="2"/>
  <c r="O185" i="2"/>
  <c r="P185" i="2" s="1"/>
  <c r="O186" i="2"/>
  <c r="P186" i="2" s="1"/>
  <c r="O187" i="2"/>
  <c r="O188" i="2"/>
  <c r="P188" i="2" s="1"/>
  <c r="O189" i="2"/>
  <c r="P189" i="2" s="1"/>
  <c r="O190" i="2"/>
  <c r="P190" i="2" s="1"/>
  <c r="O191" i="2"/>
  <c r="P191" i="2" s="1"/>
  <c r="O192" i="2"/>
  <c r="O193" i="2"/>
  <c r="P193" i="2" s="1"/>
  <c r="O194" i="2"/>
  <c r="P194" i="2" s="1"/>
  <c r="O195" i="2"/>
  <c r="O196" i="2"/>
  <c r="P196" i="2" s="1"/>
  <c r="O197" i="2"/>
  <c r="P197" i="2" s="1"/>
  <c r="O198" i="2"/>
  <c r="P198" i="2" s="1"/>
  <c r="O199" i="2"/>
  <c r="P199" i="2" s="1"/>
  <c r="O200" i="2"/>
  <c r="O201" i="2"/>
  <c r="P201" i="2" s="1"/>
  <c r="O202" i="2"/>
  <c r="P202" i="2" s="1"/>
  <c r="O203" i="2"/>
  <c r="O204" i="2"/>
  <c r="P204" i="2" s="1"/>
  <c r="O205" i="2"/>
  <c r="P205" i="2" s="1"/>
  <c r="O206" i="2"/>
  <c r="P206" i="2" s="1"/>
  <c r="O207" i="2"/>
  <c r="P207" i="2" s="1"/>
  <c r="O208" i="2"/>
  <c r="O209" i="2"/>
  <c r="P209" i="2" s="1"/>
  <c r="O210" i="2"/>
  <c r="P210" i="2" s="1"/>
  <c r="O211" i="2"/>
  <c r="O212" i="2"/>
  <c r="P212" i="2" s="1"/>
  <c r="O213" i="2"/>
  <c r="P213" i="2" s="1"/>
  <c r="O214" i="2"/>
  <c r="P214" i="2" s="1"/>
  <c r="O215" i="2"/>
  <c r="P215" i="2" s="1"/>
  <c r="O216" i="2"/>
  <c r="O217" i="2"/>
  <c r="P217" i="2" s="1"/>
  <c r="O218" i="2"/>
  <c r="P218" i="2" s="1"/>
  <c r="O219" i="2"/>
  <c r="O220" i="2"/>
  <c r="P220" i="2" s="1"/>
  <c r="O221" i="2"/>
  <c r="P221" i="2" s="1"/>
  <c r="O222" i="2"/>
  <c r="P222" i="2" s="1"/>
  <c r="O223" i="2"/>
  <c r="P223" i="2" s="1"/>
  <c r="O224" i="2"/>
  <c r="O225" i="2"/>
  <c r="P225" i="2" s="1"/>
  <c r="O226" i="2"/>
  <c r="P226" i="2" s="1"/>
  <c r="O227" i="2"/>
  <c r="O228" i="2"/>
  <c r="P228" i="2" s="1"/>
  <c r="O229" i="2"/>
  <c r="P229" i="2" s="1"/>
  <c r="O230" i="2"/>
  <c r="P230" i="2" s="1"/>
  <c r="O231" i="2"/>
  <c r="P231" i="2" s="1"/>
  <c r="O232" i="2"/>
  <c r="O233" i="2"/>
  <c r="P233" i="2" s="1"/>
  <c r="O234" i="2"/>
  <c r="P234" i="2" s="1"/>
  <c r="O235" i="2"/>
  <c r="O236" i="2"/>
  <c r="P236" i="2" s="1"/>
  <c r="O237" i="2"/>
  <c r="P237" i="2" s="1"/>
  <c r="O238" i="2"/>
  <c r="P238" i="2" s="1"/>
  <c r="O239" i="2"/>
  <c r="P239" i="2" s="1"/>
  <c r="O240" i="2"/>
  <c r="O241" i="2"/>
  <c r="P241" i="2" s="1"/>
  <c r="O242" i="2"/>
  <c r="P242" i="2" s="1"/>
  <c r="O243" i="2"/>
  <c r="O244" i="2"/>
  <c r="P244" i="2" s="1"/>
  <c r="O245" i="2"/>
  <c r="P245" i="2" s="1"/>
  <c r="O246" i="2"/>
  <c r="P246" i="2" s="1"/>
  <c r="O247" i="2"/>
  <c r="P247" i="2" s="1"/>
  <c r="O248" i="2"/>
  <c r="O249" i="2"/>
  <c r="P249" i="2" s="1"/>
  <c r="O250" i="2"/>
  <c r="P250" i="2" s="1"/>
  <c r="O251" i="2"/>
  <c r="O252" i="2"/>
  <c r="P252" i="2" s="1"/>
  <c r="O253" i="2"/>
  <c r="P253" i="2" s="1"/>
  <c r="O254" i="2"/>
  <c r="P254" i="2" s="1"/>
  <c r="O255" i="2"/>
  <c r="P255" i="2" s="1"/>
  <c r="O256" i="2"/>
  <c r="O257" i="2"/>
  <c r="P257" i="2" s="1"/>
  <c r="O258" i="2"/>
  <c r="P258" i="2" s="1"/>
  <c r="O259" i="2"/>
  <c r="O260" i="2"/>
  <c r="P260" i="2" s="1"/>
  <c r="O261" i="2"/>
  <c r="P261" i="2" s="1"/>
  <c r="O262" i="2"/>
  <c r="P262" i="2" s="1"/>
  <c r="O263" i="2"/>
  <c r="P263" i="2" s="1"/>
  <c r="O264" i="2"/>
  <c r="O265" i="2"/>
  <c r="P265" i="2" s="1"/>
  <c r="O266" i="2"/>
  <c r="P266" i="2" s="1"/>
  <c r="O267" i="2"/>
  <c r="O268" i="2"/>
  <c r="P268" i="2" s="1"/>
  <c r="O269" i="2"/>
  <c r="P269" i="2" s="1"/>
  <c r="O270" i="2"/>
  <c r="P270" i="2" s="1"/>
  <c r="O271" i="2"/>
  <c r="P271" i="2" s="1"/>
  <c r="O272" i="2"/>
  <c r="O273" i="2"/>
  <c r="P273" i="2" s="1"/>
  <c r="O274" i="2"/>
  <c r="P274" i="2" s="1"/>
  <c r="O275" i="2"/>
  <c r="O276" i="2"/>
  <c r="P276" i="2" s="1"/>
  <c r="O277" i="2"/>
  <c r="P277" i="2" s="1"/>
  <c r="O278" i="2"/>
  <c r="P278" i="2" s="1"/>
  <c r="O279" i="2"/>
  <c r="P279" i="2" s="1"/>
  <c r="O280" i="2"/>
  <c r="O281" i="2"/>
  <c r="P281" i="2" s="1"/>
  <c r="O282" i="2"/>
  <c r="P282" i="2" s="1"/>
  <c r="O283" i="2"/>
  <c r="O284" i="2"/>
  <c r="P284" i="2" s="1"/>
  <c r="O285" i="2"/>
  <c r="P285" i="2" s="1"/>
  <c r="O286" i="2"/>
  <c r="P286" i="2" s="1"/>
  <c r="O287" i="2"/>
  <c r="P287" i="2" s="1"/>
  <c r="O288" i="2"/>
  <c r="O289" i="2"/>
  <c r="P289" i="2" s="1"/>
  <c r="O290" i="2"/>
  <c r="P290" i="2" s="1"/>
  <c r="O291" i="2"/>
  <c r="O292" i="2"/>
  <c r="P292" i="2" s="1"/>
  <c r="O293" i="2"/>
  <c r="P293" i="2" s="1"/>
  <c r="O294" i="2"/>
  <c r="P294" i="2" s="1"/>
  <c r="O295" i="2"/>
  <c r="P295" i="2" s="1"/>
  <c r="O296" i="2"/>
  <c r="O297" i="2"/>
  <c r="P297" i="2" s="1"/>
  <c r="O298" i="2"/>
  <c r="P298" i="2" s="1"/>
  <c r="O299" i="2"/>
  <c r="O300" i="2"/>
  <c r="P300" i="2" s="1"/>
  <c r="O301" i="2"/>
  <c r="P301" i="2" s="1"/>
  <c r="O302" i="2"/>
  <c r="P302" i="2" s="1"/>
  <c r="O303" i="2"/>
  <c r="P303" i="2" s="1"/>
  <c r="O304" i="2"/>
  <c r="O305" i="2"/>
  <c r="P305" i="2" s="1"/>
  <c r="O306" i="2"/>
  <c r="P306" i="2" s="1"/>
  <c r="O307" i="2"/>
  <c r="O308" i="2"/>
  <c r="P308" i="2" s="1"/>
  <c r="O309" i="2"/>
  <c r="P309" i="2" s="1"/>
  <c r="O310" i="2"/>
  <c r="P310" i="2" s="1"/>
  <c r="O311" i="2"/>
  <c r="P311" i="2" s="1"/>
  <c r="O312" i="2"/>
  <c r="O313" i="2"/>
  <c r="P313" i="2" s="1"/>
  <c r="O314" i="2"/>
  <c r="P314" i="2" s="1"/>
  <c r="O315" i="2"/>
  <c r="O316" i="2"/>
  <c r="P316" i="2" s="1"/>
  <c r="O317" i="2"/>
  <c r="P317" i="2" s="1"/>
  <c r="O318" i="2"/>
  <c r="P318" i="2" s="1"/>
  <c r="O319" i="2"/>
  <c r="P319" i="2" s="1"/>
  <c r="O320" i="2"/>
  <c r="O321" i="2"/>
  <c r="P321" i="2" s="1"/>
  <c r="O322" i="2"/>
  <c r="P322" i="2" s="1"/>
  <c r="O323" i="2"/>
  <c r="O324" i="2"/>
  <c r="P324" i="2" s="1"/>
  <c r="O325" i="2"/>
  <c r="P325" i="2" s="1"/>
  <c r="O326" i="2"/>
  <c r="P326" i="2" s="1"/>
  <c r="O327" i="2"/>
  <c r="P327" i="2" s="1"/>
  <c r="O328" i="2"/>
  <c r="O329" i="2"/>
  <c r="P329" i="2" s="1"/>
  <c r="O330" i="2"/>
  <c r="P330" i="2" s="1"/>
  <c r="O331" i="2"/>
  <c r="O332" i="2"/>
  <c r="P332" i="2" s="1"/>
  <c r="O333" i="2"/>
  <c r="P333" i="2" s="1"/>
  <c r="O334" i="2"/>
  <c r="P334" i="2" s="1"/>
  <c r="O335" i="2"/>
  <c r="P335" i="2" s="1"/>
  <c r="O336" i="2"/>
  <c r="O337" i="2"/>
  <c r="P337" i="2" s="1"/>
  <c r="O338" i="2"/>
  <c r="P338" i="2" s="1"/>
  <c r="O339" i="2"/>
  <c r="O340" i="2"/>
  <c r="P340" i="2" s="1"/>
  <c r="O341" i="2"/>
  <c r="P341" i="2" s="1"/>
  <c r="O342" i="2"/>
  <c r="P342" i="2" s="1"/>
  <c r="O343" i="2"/>
  <c r="P343" i="2" s="1"/>
  <c r="O344" i="2"/>
  <c r="O345" i="2"/>
  <c r="P345" i="2" s="1"/>
  <c r="O346" i="2"/>
  <c r="P346" i="2" s="1"/>
  <c r="O347" i="2"/>
  <c r="O348" i="2"/>
  <c r="P348" i="2" s="1"/>
  <c r="O349" i="2"/>
  <c r="P349" i="2" s="1"/>
  <c r="O2" i="2"/>
  <c r="P2" i="2" s="1"/>
  <c r="O3" i="2"/>
  <c r="P3" i="2" s="1"/>
  <c r="O4" i="2"/>
  <c r="P4" i="2" s="1"/>
  <c r="O5" i="2"/>
  <c r="P5" i="2" s="1"/>
  <c r="O6" i="2"/>
  <c r="P6" i="2" s="1"/>
  <c r="O7" i="2"/>
  <c r="O8" i="2"/>
  <c r="P8" i="2" s="1"/>
  <c r="O9" i="2"/>
  <c r="P9" i="2" s="1"/>
  <c r="O10" i="2"/>
  <c r="P10" i="2" s="1"/>
  <c r="O11" i="2"/>
  <c r="P11" i="2" s="1"/>
  <c r="O12" i="2"/>
  <c r="O13" i="2"/>
  <c r="P13" i="2" s="1"/>
  <c r="O14" i="2"/>
  <c r="P14" i="2" s="1"/>
  <c r="O15" i="2"/>
  <c r="O16" i="2"/>
  <c r="P16" i="2" s="1"/>
  <c r="J6" i="4" l="1"/>
  <c r="N4" i="4"/>
  <c r="J19" i="4"/>
  <c r="F9" i="4"/>
  <c r="N6" i="4"/>
  <c r="B4" i="4"/>
  <c r="B9" i="4"/>
  <c r="J9" i="4"/>
  <c r="F19" i="4"/>
  <c r="N9" i="4"/>
  <c r="B29" i="4"/>
  <c r="B39" i="4"/>
  <c r="B49" i="4"/>
  <c r="F29" i="4"/>
  <c r="F39" i="4"/>
  <c r="F49" i="4"/>
  <c r="F4" i="4"/>
  <c r="F6" i="4"/>
  <c r="J29" i="4"/>
  <c r="J39" i="4"/>
  <c r="J44" i="4"/>
  <c r="J49" i="4"/>
  <c r="J4" i="4"/>
  <c r="N19" i="4"/>
  <c r="N29" i="4"/>
  <c r="N39" i="4"/>
  <c r="B44" i="4"/>
  <c r="B6" i="4"/>
  <c r="N44" i="4"/>
  <c r="B34" i="4"/>
  <c r="B46" i="4"/>
  <c r="F46" i="4"/>
  <c r="J34" i="4"/>
  <c r="J46" i="4"/>
  <c r="F44" i="4"/>
  <c r="N46" i="4"/>
  <c r="N34" i="4"/>
  <c r="B36" i="4"/>
  <c r="F36" i="4"/>
  <c r="J24" i="4"/>
  <c r="J36" i="4"/>
  <c r="F34" i="4"/>
  <c r="N36" i="4"/>
  <c r="B24" i="4"/>
  <c r="N24" i="4"/>
  <c r="B26" i="4"/>
  <c r="F26" i="4"/>
  <c r="J26" i="4"/>
  <c r="F24" i="4"/>
  <c r="N26" i="4"/>
  <c r="J16" i="4"/>
  <c r="N16" i="4"/>
  <c r="N14" i="4"/>
  <c r="J14" i="4"/>
  <c r="F14" i="4"/>
  <c r="F16" i="4"/>
  <c r="B14" i="4"/>
  <c r="E2" i="4"/>
  <c r="I1" i="4"/>
  <c r="I7" i="4" s="1"/>
  <c r="E3" i="4"/>
  <c r="E4" i="4"/>
  <c r="E7" i="4"/>
  <c r="E8" i="4"/>
  <c r="I4" i="4"/>
  <c r="V3" i="3"/>
  <c r="Q3" i="3"/>
  <c r="L3" i="3"/>
  <c r="G3" i="3"/>
  <c r="R250" i="2" a="1"/>
  <c r="R250" i="2" s="1"/>
  <c r="R270" i="2" a="1"/>
  <c r="R270" i="2" s="1"/>
  <c r="R266" i="2" a="1"/>
  <c r="R266" i="2" s="1"/>
  <c r="R234" i="2" a="1"/>
  <c r="R234" i="2" s="1"/>
  <c r="U234" i="2" s="1"/>
  <c r="R238" i="2" a="1"/>
  <c r="R238" i="2" s="1"/>
  <c r="R262" i="2" a="1"/>
  <c r="R262" i="2" s="1"/>
  <c r="R230" i="2" a="1"/>
  <c r="R230" i="2" s="1"/>
  <c r="R201" i="2" a="1"/>
  <c r="R201" i="2" s="1"/>
  <c r="R290" i="2" a="1"/>
  <c r="R290" i="2" s="1"/>
  <c r="R258" i="2" a="1"/>
  <c r="R258" i="2" s="1"/>
  <c r="R226" i="2" a="1"/>
  <c r="R226" i="2" s="1"/>
  <c r="R286" i="2" a="1"/>
  <c r="R286" i="2" s="1"/>
  <c r="B286" i="3" s="1"/>
  <c r="R254" i="2" a="1"/>
  <c r="R254" i="2" s="1"/>
  <c r="X254" i="2" s="1"/>
  <c r="R222" i="2" a="1"/>
  <c r="R222" i="2" s="1"/>
  <c r="R194" i="2" a="1"/>
  <c r="R194" i="2" s="1"/>
  <c r="R282" i="2" a="1"/>
  <c r="R282" i="2" s="1"/>
  <c r="R50" i="2" a="1"/>
  <c r="R50" i="2" s="1"/>
  <c r="R54" i="2" a="1"/>
  <c r="R54" i="2" s="1"/>
  <c r="R58" i="2" a="1"/>
  <c r="R58" i="2" s="1"/>
  <c r="R65" i="2" a="1"/>
  <c r="R65" i="2" s="1"/>
  <c r="R69" i="2" a="1"/>
  <c r="R69" i="2" s="1"/>
  <c r="R76" i="2" a="1"/>
  <c r="R76" i="2" s="1"/>
  <c r="R80" i="2" a="1"/>
  <c r="R80" i="2" s="1"/>
  <c r="R98" i="2" a="1"/>
  <c r="R98" i="2" s="1"/>
  <c r="R105" i="2" a="1"/>
  <c r="R105" i="2" s="1"/>
  <c r="R130" i="2" a="1"/>
  <c r="R130" i="2" s="1"/>
  <c r="R141" i="2" a="1"/>
  <c r="R141" i="2" s="1"/>
  <c r="R148" i="2" a="1"/>
  <c r="R148" i="2" s="1"/>
  <c r="U148" i="2" s="1"/>
  <c r="R152" i="2" a="1"/>
  <c r="R152" i="2" s="1"/>
  <c r="U152" i="2" s="1"/>
  <c r="R155" i="2" a="1"/>
  <c r="R155" i="2" s="1"/>
  <c r="R159" i="2" a="1"/>
  <c r="R159" i="2" s="1"/>
  <c r="R166" i="2" a="1"/>
  <c r="R166" i="2" s="1"/>
  <c r="R173" i="2" a="1"/>
  <c r="R173" i="2" s="1"/>
  <c r="R180" i="2" a="1"/>
  <c r="R180" i="2" s="1"/>
  <c r="R184" i="2" a="1"/>
  <c r="R184" i="2" s="1"/>
  <c r="R187" i="2" a="1"/>
  <c r="R187" i="2" s="1"/>
  <c r="R191" i="2" a="1"/>
  <c r="R191" i="2" s="1"/>
  <c r="U191" i="2" s="1"/>
  <c r="R198" i="2" a="1"/>
  <c r="R198" i="2" s="1"/>
  <c r="R205" i="2" a="1"/>
  <c r="R205" i="2" s="1"/>
  <c r="R212" i="2" a="1"/>
  <c r="R212" i="2" s="1"/>
  <c r="R216" i="2" a="1"/>
  <c r="R216" i="2" s="1"/>
  <c r="R219" i="2" a="1"/>
  <c r="R219" i="2" s="1"/>
  <c r="R115" i="2" a="1"/>
  <c r="R115" i="2" s="1"/>
  <c r="R47" i="2" a="1"/>
  <c r="R47" i="2" s="1"/>
  <c r="R62" i="2" a="1"/>
  <c r="R62" i="2" s="1"/>
  <c r="R73" i="2" a="1"/>
  <c r="R73" i="2" s="1"/>
  <c r="R84" i="2" a="1"/>
  <c r="R84" i="2" s="1"/>
  <c r="R88" i="2" a="1"/>
  <c r="R88" i="2" s="1"/>
  <c r="R91" i="2" a="1"/>
  <c r="R91" i="2" s="1"/>
  <c r="R95" i="2" a="1"/>
  <c r="R95" i="2" s="1"/>
  <c r="R102" i="2" a="1"/>
  <c r="R102" i="2" s="1"/>
  <c r="R109" i="2" a="1"/>
  <c r="R109" i="2" s="1"/>
  <c r="R116" i="2" a="1"/>
  <c r="R116" i="2" s="1"/>
  <c r="B116" i="3" s="1"/>
  <c r="R120" i="2" a="1"/>
  <c r="R120" i="2" s="1"/>
  <c r="R123" i="2" a="1"/>
  <c r="R123" i="2" s="1"/>
  <c r="R127" i="2" a="1"/>
  <c r="R127" i="2" s="1"/>
  <c r="R134" i="2" a="1"/>
  <c r="R134" i="2" s="1"/>
  <c r="R138" i="2" a="1"/>
  <c r="R138" i="2" s="1"/>
  <c r="R145" i="2" a="1"/>
  <c r="R145" i="2" s="1"/>
  <c r="R170" i="2" a="1"/>
  <c r="R170" i="2" s="1"/>
  <c r="R177" i="2" a="1"/>
  <c r="R177" i="2" s="1"/>
  <c r="V177" i="2" s="1"/>
  <c r="R202" i="2" a="1"/>
  <c r="R202" i="2" s="1"/>
  <c r="R209" i="2" a="1"/>
  <c r="R209" i="2" s="1"/>
  <c r="R223" i="2" a="1"/>
  <c r="R223" i="2" s="1"/>
  <c r="R227" i="2" a="1"/>
  <c r="R227" i="2" s="1"/>
  <c r="R231" i="2" a="1"/>
  <c r="R231" i="2" s="1"/>
  <c r="R235" i="2" a="1"/>
  <c r="R235" i="2" s="1"/>
  <c r="R239" i="2" a="1"/>
  <c r="R239" i="2" s="1"/>
  <c r="B239" i="3" s="1"/>
  <c r="R243" i="2" a="1"/>
  <c r="R243" i="2" s="1"/>
  <c r="W243" i="2" s="1"/>
  <c r="R247" i="2" a="1"/>
  <c r="R247" i="2" s="1"/>
  <c r="R251" i="2" a="1"/>
  <c r="R251" i="2" s="1"/>
  <c r="R255" i="2" a="1"/>
  <c r="R255" i="2" s="1"/>
  <c r="R259" i="2" a="1"/>
  <c r="R259" i="2" s="1"/>
  <c r="R263" i="2" a="1"/>
  <c r="R263" i="2" s="1"/>
  <c r="R267" i="2" a="1"/>
  <c r="R267" i="2" s="1"/>
  <c r="R271" i="2" a="1"/>
  <c r="R271" i="2" s="1"/>
  <c r="B271" i="3" s="1"/>
  <c r="R275" i="2" a="1"/>
  <c r="R275" i="2" s="1"/>
  <c r="R279" i="2" a="1"/>
  <c r="R279" i="2" s="1"/>
  <c r="R283" i="2" a="1"/>
  <c r="R283" i="2" s="1"/>
  <c r="R287" i="2" a="1"/>
  <c r="R287" i="2" s="1"/>
  <c r="R291" i="2" a="1"/>
  <c r="R291" i="2" s="1"/>
  <c r="R51" i="2" a="1"/>
  <c r="R51" i="2" s="1"/>
  <c r="R55" i="2" a="1"/>
  <c r="R55" i="2" s="1"/>
  <c r="R66" i="2" a="1"/>
  <c r="R66" i="2" s="1"/>
  <c r="R70" i="2" a="1"/>
  <c r="R70" i="2" s="1"/>
  <c r="R77" i="2" a="1"/>
  <c r="R77" i="2" s="1"/>
  <c r="R106" i="2" a="1"/>
  <c r="R106" i="2" s="1"/>
  <c r="R113" i="2" a="1"/>
  <c r="R113" i="2" s="1"/>
  <c r="R142" i="2" a="1"/>
  <c r="R142" i="2" s="1"/>
  <c r="R149" i="2" a="1"/>
  <c r="R149" i="2" s="1"/>
  <c r="R156" i="2" a="1"/>
  <c r="R156" i="2" s="1"/>
  <c r="R160" i="2" a="1"/>
  <c r="R160" i="2" s="1"/>
  <c r="U160" i="2" s="1"/>
  <c r="R163" i="2" a="1"/>
  <c r="R163" i="2" s="1"/>
  <c r="V163" i="2" s="1"/>
  <c r="R167" i="2" a="1"/>
  <c r="R167" i="2" s="1"/>
  <c r="R174" i="2" a="1"/>
  <c r="R174" i="2" s="1"/>
  <c r="R181" i="2" a="1"/>
  <c r="R181" i="2" s="1"/>
  <c r="R188" i="2" a="1"/>
  <c r="R188" i="2" s="1"/>
  <c r="R192" i="2" a="1"/>
  <c r="R192" i="2" s="1"/>
  <c r="R195" i="2" a="1"/>
  <c r="R195" i="2" s="1"/>
  <c r="R199" i="2" a="1"/>
  <c r="R199" i="2" s="1"/>
  <c r="X199" i="2" s="1"/>
  <c r="R206" i="2" a="1"/>
  <c r="R206" i="2" s="1"/>
  <c r="B206" i="3" s="1"/>
  <c r="R213" i="2" a="1"/>
  <c r="R213" i="2" s="1"/>
  <c r="R220" i="2" a="1"/>
  <c r="R220" i="2" s="1"/>
  <c r="R112" i="2" a="1"/>
  <c r="R112" i="2" s="1"/>
  <c r="R133" i="2" a="1"/>
  <c r="R133" i="2" s="1"/>
  <c r="R48" i="2" a="1"/>
  <c r="R48" i="2" s="1"/>
  <c r="R59" i="2" a="1"/>
  <c r="R59" i="2" s="1"/>
  <c r="R63" i="2" a="1"/>
  <c r="R63" i="2" s="1"/>
  <c r="R74" i="2" a="1"/>
  <c r="R74" i="2" s="1"/>
  <c r="R81" i="2" a="1"/>
  <c r="R81" i="2" s="1"/>
  <c r="R85" i="2" a="1"/>
  <c r="R85" i="2" s="1"/>
  <c r="R92" i="2" a="1"/>
  <c r="R92" i="2" s="1"/>
  <c r="R96" i="2" a="1"/>
  <c r="R96" i="2" s="1"/>
  <c r="R99" i="2" a="1"/>
  <c r="R99" i="2" s="1"/>
  <c r="R103" i="2" a="1"/>
  <c r="R103" i="2" s="1"/>
  <c r="R110" i="2" a="1"/>
  <c r="R110" i="2" s="1"/>
  <c r="R117" i="2" a="1"/>
  <c r="R117" i="2" s="1"/>
  <c r="B117" i="3" s="1"/>
  <c r="R124" i="2" a="1"/>
  <c r="R124" i="2" s="1"/>
  <c r="R128" i="2" a="1"/>
  <c r="R128" i="2" s="1"/>
  <c r="R131" i="2" a="1"/>
  <c r="R131" i="2" s="1"/>
  <c r="R135" i="2" a="1"/>
  <c r="R135" i="2" s="1"/>
  <c r="R146" i="2" a="1"/>
  <c r="R146" i="2" s="1"/>
  <c r="U146" i="2" s="1"/>
  <c r="R153" i="2" a="1"/>
  <c r="R153" i="2" s="1"/>
  <c r="R178" i="2" a="1"/>
  <c r="R178" i="2" s="1"/>
  <c r="B178" i="3" s="1"/>
  <c r="R185" i="2" a="1"/>
  <c r="R185" i="2" s="1"/>
  <c r="X185" i="2" s="1"/>
  <c r="R210" i="2" a="1"/>
  <c r="R210" i="2" s="1"/>
  <c r="R217" i="2" a="1"/>
  <c r="R217" i="2" s="1"/>
  <c r="B217" i="3" s="1"/>
  <c r="R224" i="2" a="1"/>
  <c r="R224" i="2" s="1"/>
  <c r="R228" i="2" a="1"/>
  <c r="R228" i="2" s="1"/>
  <c r="R232" i="2" a="1"/>
  <c r="R232" i="2" s="1"/>
  <c r="R236" i="2" a="1"/>
  <c r="R236" i="2" s="1"/>
  <c r="R240" i="2" a="1"/>
  <c r="R240" i="2" s="1"/>
  <c r="U240" i="2" s="1"/>
  <c r="R244" i="2" a="1"/>
  <c r="R244" i="2" s="1"/>
  <c r="X244" i="2" s="1"/>
  <c r="R248" i="2" a="1"/>
  <c r="R248" i="2" s="1"/>
  <c r="R252" i="2" a="1"/>
  <c r="R252" i="2" s="1"/>
  <c r="R256" i="2" a="1"/>
  <c r="R256" i="2" s="1"/>
  <c r="R260" i="2" a="1"/>
  <c r="R260" i="2" s="1"/>
  <c r="R264" i="2" a="1"/>
  <c r="R264" i="2" s="1"/>
  <c r="R268" i="2" a="1"/>
  <c r="R268" i="2" s="1"/>
  <c r="R272" i="2" a="1"/>
  <c r="R272" i="2" s="1"/>
  <c r="B272" i="3" s="1"/>
  <c r="R276" i="2" a="1"/>
  <c r="R276" i="2" s="1"/>
  <c r="X276" i="2" s="1"/>
  <c r="R280" i="2" a="1"/>
  <c r="R280" i="2" s="1"/>
  <c r="R284" i="2" a="1"/>
  <c r="R284" i="2" s="1"/>
  <c r="R288" i="2" a="1"/>
  <c r="R288" i="2" s="1"/>
  <c r="R292" i="2" a="1"/>
  <c r="R292" i="2" s="1"/>
  <c r="P49" i="2"/>
  <c r="R108" i="2" a="1"/>
  <c r="R108" i="2" s="1"/>
  <c r="R137" i="2" a="1"/>
  <c r="R137" i="2" s="1"/>
  <c r="R169" i="2" a="1"/>
  <c r="R169" i="2" s="1"/>
  <c r="V169" i="2" s="1"/>
  <c r="R52" i="2" a="1"/>
  <c r="R52" i="2" s="1"/>
  <c r="R56" i="2" a="1"/>
  <c r="R56" i="2" s="1"/>
  <c r="R67" i="2" a="1"/>
  <c r="R67" i="2" s="1"/>
  <c r="R71" i="2" a="1"/>
  <c r="R71" i="2" s="1"/>
  <c r="R78" i="2" a="1"/>
  <c r="R78" i="2" s="1"/>
  <c r="R89" i="2" a="1"/>
  <c r="R89" i="2" s="1"/>
  <c r="R114" i="2" a="1"/>
  <c r="R114" i="2" s="1"/>
  <c r="R121" i="2" a="1"/>
  <c r="R121" i="2" s="1"/>
  <c r="X121" i="2" s="1"/>
  <c r="R139" i="2" a="1"/>
  <c r="R139" i="2" s="1"/>
  <c r="R143" i="2" a="1"/>
  <c r="R143" i="2" s="1"/>
  <c r="R150" i="2" a="1"/>
  <c r="R150" i="2" s="1"/>
  <c r="R157" i="2" a="1"/>
  <c r="R157" i="2" s="1"/>
  <c r="R164" i="2" a="1"/>
  <c r="R164" i="2" s="1"/>
  <c r="R168" i="2" a="1"/>
  <c r="R168" i="2" s="1"/>
  <c r="R171" i="2" a="1"/>
  <c r="R171" i="2" s="1"/>
  <c r="U171" i="2" s="1"/>
  <c r="R175" i="2" a="1"/>
  <c r="R175" i="2" s="1"/>
  <c r="X175" i="2" s="1"/>
  <c r="R182" i="2" a="1"/>
  <c r="R182" i="2" s="1"/>
  <c r="R189" i="2" a="1"/>
  <c r="R189" i="2" s="1"/>
  <c r="R196" i="2" a="1"/>
  <c r="R196" i="2" s="1"/>
  <c r="R200" i="2" a="1"/>
  <c r="R200" i="2" s="1"/>
  <c r="R203" i="2" a="1"/>
  <c r="R203" i="2" s="1"/>
  <c r="W203" i="2" s="1"/>
  <c r="R207" i="2" a="1"/>
  <c r="R207" i="2" s="1"/>
  <c r="R214" i="2" a="1"/>
  <c r="R214" i="2" s="1"/>
  <c r="R60" i="2" a="1"/>
  <c r="R60" i="2" s="1"/>
  <c r="U60" i="2" s="1"/>
  <c r="V60" i="2" s="1"/>
  <c r="W60" i="2" s="1"/>
  <c r="X60" i="2" s="1"/>
  <c r="R64" i="2" a="1"/>
  <c r="R64" i="2" s="1"/>
  <c r="R82" i="2" a="1"/>
  <c r="R82" i="2" s="1"/>
  <c r="R86" i="2" a="1"/>
  <c r="R86" i="2" s="1"/>
  <c r="R93" i="2" a="1"/>
  <c r="R93" i="2" s="1"/>
  <c r="R100" i="2" a="1"/>
  <c r="R100" i="2" s="1"/>
  <c r="R104" i="2" a="1"/>
  <c r="R104" i="2" s="1"/>
  <c r="R107" i="2" a="1"/>
  <c r="R107" i="2" s="1"/>
  <c r="R111" i="2" a="1"/>
  <c r="R111" i="2" s="1"/>
  <c r="V111" i="2" s="1"/>
  <c r="R118" i="2" a="1"/>
  <c r="R118" i="2" s="1"/>
  <c r="R125" i="2" a="1"/>
  <c r="R125" i="2" s="1"/>
  <c r="B125" i="3" s="1"/>
  <c r="R132" i="2" a="1"/>
  <c r="R132" i="2" s="1"/>
  <c r="R136" i="2" a="1"/>
  <c r="R136" i="2" s="1"/>
  <c r="R154" i="2" a="1"/>
  <c r="R154" i="2" s="1"/>
  <c r="U154" i="2" s="1"/>
  <c r="R161" i="2" a="1"/>
  <c r="R161" i="2" s="1"/>
  <c r="R186" i="2" a="1"/>
  <c r="R186" i="2" s="1"/>
  <c r="U186" i="2" s="1"/>
  <c r="R193" i="2" a="1"/>
  <c r="R193" i="2" s="1"/>
  <c r="X193" i="2" s="1"/>
  <c r="R218" i="2" a="1"/>
  <c r="R218" i="2" s="1"/>
  <c r="R221" i="2" a="1"/>
  <c r="R221" i="2" s="1"/>
  <c r="R225" i="2" a="1"/>
  <c r="R225" i="2" s="1"/>
  <c r="R229" i="2" a="1"/>
  <c r="R229" i="2" s="1"/>
  <c r="R233" i="2" a="1"/>
  <c r="R233" i="2" s="1"/>
  <c r="R237" i="2" a="1"/>
  <c r="R237" i="2" s="1"/>
  <c r="R241" i="2" a="1"/>
  <c r="R241" i="2" s="1"/>
  <c r="B241" i="3" s="1"/>
  <c r="R245" i="2" a="1"/>
  <c r="R245" i="2" s="1"/>
  <c r="V245" i="2" s="1"/>
  <c r="R249" i="2" a="1"/>
  <c r="R249" i="2" s="1"/>
  <c r="R253" i="2" a="1"/>
  <c r="R253" i="2" s="1"/>
  <c r="U253" i="2" s="1"/>
  <c r="R257" i="2" a="1"/>
  <c r="R257" i="2" s="1"/>
  <c r="R261" i="2" a="1"/>
  <c r="R261" i="2" s="1"/>
  <c r="R265" i="2" a="1"/>
  <c r="R265" i="2" s="1"/>
  <c r="B265" i="3" s="1"/>
  <c r="R269" i="2" a="1"/>
  <c r="R269" i="2" s="1"/>
  <c r="R273" i="2" a="1"/>
  <c r="R273" i="2" s="1"/>
  <c r="B273" i="3" s="1"/>
  <c r="R277" i="2" a="1"/>
  <c r="R277" i="2" s="1"/>
  <c r="X277" i="2" s="1"/>
  <c r="R281" i="2" a="1"/>
  <c r="R281" i="2" s="1"/>
  <c r="R285" i="2" a="1"/>
  <c r="R285" i="2" s="1"/>
  <c r="W285" i="2" s="1"/>
  <c r="R289" i="2" a="1"/>
  <c r="R289" i="2" s="1"/>
  <c r="R101" i="2" a="1"/>
  <c r="R101" i="2" s="1"/>
  <c r="R126" i="2" a="1"/>
  <c r="R126" i="2" s="1"/>
  <c r="B126" i="3" s="1"/>
  <c r="R49" i="2" a="1"/>
  <c r="R49" i="2" s="1"/>
  <c r="R53" i="2" a="1"/>
  <c r="R53" i="2" s="1"/>
  <c r="R57" i="2" a="1"/>
  <c r="R57" i="2" s="1"/>
  <c r="R68" i="2" a="1"/>
  <c r="R68" i="2" s="1"/>
  <c r="R72" i="2" a="1"/>
  <c r="R72" i="2" s="1"/>
  <c r="R75" i="2" a="1"/>
  <c r="R75" i="2" s="1"/>
  <c r="R79" i="2" a="1"/>
  <c r="R79" i="2" s="1"/>
  <c r="R90" i="2" a="1"/>
  <c r="R90" i="2" s="1"/>
  <c r="R97" i="2" a="1"/>
  <c r="R97" i="2" s="1"/>
  <c r="R122" i="2" a="1"/>
  <c r="R122" i="2" s="1"/>
  <c r="B122" i="3" s="1"/>
  <c r="R129" i="2" a="1"/>
  <c r="R129" i="2" s="1"/>
  <c r="B129" i="3" s="1"/>
  <c r="R140" i="2" a="1"/>
  <c r="R140" i="2" s="1"/>
  <c r="R144" i="2" a="1"/>
  <c r="R144" i="2" s="1"/>
  <c r="X144" i="2" s="1"/>
  <c r="R147" i="2" a="1"/>
  <c r="R147" i="2" s="1"/>
  <c r="R151" i="2" a="1"/>
  <c r="R151" i="2" s="1"/>
  <c r="R158" i="2" a="1"/>
  <c r="R158" i="2" s="1"/>
  <c r="R165" i="2" a="1"/>
  <c r="R165" i="2" s="1"/>
  <c r="R172" i="2" a="1"/>
  <c r="R172" i="2" s="1"/>
  <c r="R176" i="2" a="1"/>
  <c r="R176" i="2" s="1"/>
  <c r="W176" i="2" s="1"/>
  <c r="R179" i="2" a="1"/>
  <c r="R179" i="2" s="1"/>
  <c r="R183" i="2" a="1"/>
  <c r="R183" i="2" s="1"/>
  <c r="R190" i="2" a="1"/>
  <c r="R190" i="2" s="1"/>
  <c r="W190" i="2" s="1"/>
  <c r="R197" i="2" a="1"/>
  <c r="R197" i="2" s="1"/>
  <c r="R204" i="2" a="1"/>
  <c r="R204" i="2" s="1"/>
  <c r="W204" i="2" s="1"/>
  <c r="R208" i="2" a="1"/>
  <c r="R208" i="2" s="1"/>
  <c r="R211" i="2" a="1"/>
  <c r="R211" i="2" s="1"/>
  <c r="X211" i="2" s="1"/>
  <c r="R215" i="2" a="1"/>
  <c r="R215" i="2" s="1"/>
  <c r="W215" i="2" s="1"/>
  <c r="R61" i="2" a="1"/>
  <c r="R61" i="2" s="1"/>
  <c r="R87" i="2" a="1"/>
  <c r="R87" i="2" s="1"/>
  <c r="R94" i="2" a="1"/>
  <c r="R94" i="2" s="1"/>
  <c r="B94" i="3" s="1"/>
  <c r="R119" i="2" a="1"/>
  <c r="R119" i="2" s="1"/>
  <c r="U119" i="2" s="1"/>
  <c r="R83" i="2" a="1"/>
  <c r="R83" i="2" s="1"/>
  <c r="R162" i="2" a="1"/>
  <c r="R162" i="2" s="1"/>
  <c r="U162" i="2" s="1"/>
  <c r="R278" i="2" a="1"/>
  <c r="R278" i="2" s="1"/>
  <c r="R246" i="2" a="1"/>
  <c r="R246" i="2" s="1"/>
  <c r="B246" i="3" s="1"/>
  <c r="R274" i="2" a="1"/>
  <c r="R274" i="2" s="1"/>
  <c r="R242" i="2" a="1"/>
  <c r="R242" i="2" s="1"/>
  <c r="V242" i="2" s="1"/>
  <c r="R316" i="2" a="1"/>
  <c r="R316" i="2" s="1"/>
  <c r="R15" i="2" a="1"/>
  <c r="R15" i="2" s="1"/>
  <c r="R19" i="2" a="1"/>
  <c r="R19" i="2" s="1"/>
  <c r="P52" i="2"/>
  <c r="R11" i="2" a="1"/>
  <c r="R11" i="2" s="1"/>
  <c r="B11" i="3" s="1"/>
  <c r="R29" i="2" a="1"/>
  <c r="R29" i="2" s="1"/>
  <c r="R26" i="2" a="1"/>
  <c r="R26" i="2" s="1"/>
  <c r="B97" i="3"/>
  <c r="X141" i="2"/>
  <c r="X208" i="2"/>
  <c r="X212" i="2"/>
  <c r="X220" i="2"/>
  <c r="X232" i="2"/>
  <c r="X236" i="2"/>
  <c r="X248" i="2"/>
  <c r="B267" i="3"/>
  <c r="B279" i="3"/>
  <c r="R310" i="2" a="1"/>
  <c r="R310" i="2" s="1"/>
  <c r="R314" i="2" a="1"/>
  <c r="R314" i="2" s="1"/>
  <c r="R318" i="2" a="1"/>
  <c r="R318" i="2" s="1"/>
  <c r="R33" i="2" a="1"/>
  <c r="R33" i="2" s="1"/>
  <c r="R37" i="2" a="1"/>
  <c r="R37" i="2" s="1"/>
  <c r="R41" i="2" a="1"/>
  <c r="R41" i="2" s="1"/>
  <c r="R45" i="2" a="1"/>
  <c r="R45" i="2" s="1"/>
  <c r="U61" i="2"/>
  <c r="V61" i="2" s="1"/>
  <c r="W61" i="2" s="1"/>
  <c r="X61" i="2" s="1"/>
  <c r="R25" i="2" a="1"/>
  <c r="R25" i="2" s="1"/>
  <c r="B98" i="3"/>
  <c r="B102" i="3"/>
  <c r="U118" i="2"/>
  <c r="B130" i="3"/>
  <c r="B213" i="3"/>
  <c r="B225" i="3"/>
  <c r="B237" i="3"/>
  <c r="B249" i="3"/>
  <c r="R311" i="2" a="1"/>
  <c r="R311" i="2" s="1"/>
  <c r="V311" i="2" s="1"/>
  <c r="R315" i="2" a="1"/>
  <c r="R315" i="2" s="1"/>
  <c r="R3" i="2" a="1"/>
  <c r="R3" i="2" s="1"/>
  <c r="B3" i="3" s="1"/>
  <c r="R34" i="2" a="1"/>
  <c r="R34" i="2" s="1"/>
  <c r="R38" i="2" a="1"/>
  <c r="R38" i="2" s="1"/>
  <c r="R42" i="2" a="1"/>
  <c r="R42" i="2" s="1"/>
  <c r="R46" i="2" a="1"/>
  <c r="R46" i="2" s="1"/>
  <c r="U158" i="2"/>
  <c r="U166" i="2"/>
  <c r="B182" i="3"/>
  <c r="B194" i="3"/>
  <c r="B198" i="3"/>
  <c r="X202" i="2"/>
  <c r="B257" i="3"/>
  <c r="B284" i="3"/>
  <c r="V288" i="2"/>
  <c r="R296" i="2" a="1"/>
  <c r="R296" i="2" s="1"/>
  <c r="R300" i="2" a="1"/>
  <c r="R300" i="2" s="1"/>
  <c r="R304" i="2" a="1"/>
  <c r="R304" i="2" s="1"/>
  <c r="R308" i="2" a="1"/>
  <c r="R308" i="2" s="1"/>
  <c r="R319" i="2" a="1"/>
  <c r="R319" i="2" s="1"/>
  <c r="U319" i="2" s="1"/>
  <c r="R323" i="2" a="1"/>
  <c r="R323" i="2" s="1"/>
  <c r="R327" i="2" a="1"/>
  <c r="R327" i="2" s="1"/>
  <c r="R35" i="2" a="1"/>
  <c r="R35" i="2" s="1"/>
  <c r="R39" i="2" a="1"/>
  <c r="R39" i="2" s="1"/>
  <c r="R43" i="2" a="1"/>
  <c r="R43" i="2" s="1"/>
  <c r="B147" i="3"/>
  <c r="B155" i="3"/>
  <c r="B167" i="3"/>
  <c r="X179" i="2"/>
  <c r="X187" i="2"/>
  <c r="U195" i="2"/>
  <c r="X258" i="2"/>
  <c r="W266" i="2"/>
  <c r="B289" i="3"/>
  <c r="R293" i="2" a="1"/>
  <c r="R293" i="2" s="1"/>
  <c r="W293" i="2" s="1"/>
  <c r="R297" i="2" a="1"/>
  <c r="R297" i="2" s="1"/>
  <c r="R301" i="2" a="1"/>
  <c r="R301" i="2" s="1"/>
  <c r="R305" i="2" a="1"/>
  <c r="R305" i="2" s="1"/>
  <c r="R320" i="2" a="1"/>
  <c r="R320" i="2" s="1"/>
  <c r="R324" i="2" a="1"/>
  <c r="R324" i="2" s="1"/>
  <c r="R328" i="2" a="1"/>
  <c r="R328" i="2" s="1"/>
  <c r="B328" i="3" s="1"/>
  <c r="R332" i="2" a="1"/>
  <c r="R332" i="2" s="1"/>
  <c r="X332" i="2" s="1"/>
  <c r="R336" i="2" a="1"/>
  <c r="R336" i="2" s="1"/>
  <c r="U336" i="2" s="1"/>
  <c r="R340" i="2" a="1"/>
  <c r="R340" i="2" s="1"/>
  <c r="B100" i="3"/>
  <c r="B108" i="3"/>
  <c r="B112" i="3"/>
  <c r="B120" i="3"/>
  <c r="B128" i="3"/>
  <c r="X132" i="2"/>
  <c r="B140" i="3"/>
  <c r="B207" i="3"/>
  <c r="B219" i="3"/>
  <c r="B223" i="3"/>
  <c r="B231" i="3"/>
  <c r="B235" i="3"/>
  <c r="B247" i="3"/>
  <c r="B270" i="3"/>
  <c r="V274" i="2"/>
  <c r="B282" i="3"/>
  <c r="R309" i="2" a="1"/>
  <c r="R309" i="2" s="1"/>
  <c r="U309" i="2" s="1"/>
  <c r="R313" i="2" a="1"/>
  <c r="R313" i="2" s="1"/>
  <c r="R317" i="2" a="1"/>
  <c r="R317" i="2" s="1"/>
  <c r="V317" i="2" s="1"/>
  <c r="R36" i="2" a="1"/>
  <c r="R36" i="2" s="1"/>
  <c r="R40" i="2" a="1"/>
  <c r="R40" i="2" s="1"/>
  <c r="R44" i="2" a="1"/>
  <c r="R44" i="2" s="1"/>
  <c r="U52" i="2"/>
  <c r="V52" i="2" s="1"/>
  <c r="W52" i="2" s="1"/>
  <c r="X52" i="2" s="1"/>
  <c r="U56" i="2"/>
  <c r="V56" i="2" s="1"/>
  <c r="W56" i="2" s="1"/>
  <c r="X56" i="2" s="1"/>
  <c r="U64" i="2"/>
  <c r="V64" i="2" s="1"/>
  <c r="W64" i="2" s="1"/>
  <c r="X64" i="2" s="1"/>
  <c r="U68" i="2"/>
  <c r="V68" i="2" s="1"/>
  <c r="W68" i="2" s="1"/>
  <c r="X68" i="2" s="1"/>
  <c r="U72" i="2"/>
  <c r="V72" i="2" s="1"/>
  <c r="W72" i="2" s="1"/>
  <c r="X72" i="2" s="1"/>
  <c r="U76" i="2"/>
  <c r="V76" i="2" s="1"/>
  <c r="W76" i="2" s="1"/>
  <c r="X76" i="2" s="1"/>
  <c r="U84" i="2"/>
  <c r="V84" i="2" s="1"/>
  <c r="W84" i="2" s="1"/>
  <c r="X84" i="2" s="1"/>
  <c r="U88" i="2"/>
  <c r="V88" i="2" s="1"/>
  <c r="W88" i="2" s="1"/>
  <c r="X88" i="2" s="1"/>
  <c r="U92" i="2"/>
  <c r="V92" i="2" s="1"/>
  <c r="W92" i="2" s="1"/>
  <c r="X92" i="2" s="1"/>
  <c r="B156" i="3"/>
  <c r="U168" i="2"/>
  <c r="B180" i="3"/>
  <c r="W192" i="2"/>
  <c r="W251" i="2"/>
  <c r="B255" i="3"/>
  <c r="B263" i="3"/>
  <c r="R294" i="2" a="1"/>
  <c r="R294" i="2" s="1"/>
  <c r="R298" i="2" a="1"/>
  <c r="R298" i="2" s="1"/>
  <c r="B298" i="3" s="1"/>
  <c r="R302" i="2" a="1"/>
  <c r="R302" i="2" s="1"/>
  <c r="R306" i="2" a="1"/>
  <c r="R306" i="2" s="1"/>
  <c r="B306" i="3" s="1"/>
  <c r="R321" i="2" a="1"/>
  <c r="R321" i="2" s="1"/>
  <c r="R325" i="2" a="1"/>
  <c r="R325" i="2" s="1"/>
  <c r="R329" i="2" a="1"/>
  <c r="R329" i="2" s="1"/>
  <c r="R333" i="2" a="1"/>
  <c r="R333" i="2" s="1"/>
  <c r="R337" i="2" a="1"/>
  <c r="R337" i="2" s="1"/>
  <c r="X337" i="2" s="1"/>
  <c r="R341" i="2" a="1"/>
  <c r="R341" i="2" s="1"/>
  <c r="W341" i="2" s="1"/>
  <c r="X103" i="2"/>
  <c r="X145" i="2"/>
  <c r="U256" i="2"/>
  <c r="B287" i="3"/>
  <c r="R303" i="2" a="1"/>
  <c r="R303" i="2" s="1"/>
  <c r="U303" i="2" s="1"/>
  <c r="R330" i="2" a="1"/>
  <c r="R330" i="2" s="1"/>
  <c r="R350" i="2" a="1"/>
  <c r="R350" i="2" s="1"/>
  <c r="X350" i="2" s="1"/>
  <c r="R5" i="2" a="1"/>
  <c r="R5" i="2" s="1"/>
  <c r="B5" i="3" s="1"/>
  <c r="R8" i="2" a="1"/>
  <c r="R8" i="2" s="1"/>
  <c r="B210" i="3"/>
  <c r="B226" i="3"/>
  <c r="R331" i="2" a="1"/>
  <c r="R331" i="2" s="1"/>
  <c r="B331" i="3" s="1"/>
  <c r="R338" i="2" a="1"/>
  <c r="R338" i="2" s="1"/>
  <c r="R343" i="2" a="1"/>
  <c r="R343" i="2" s="1"/>
  <c r="R347" i="2" a="1"/>
  <c r="R347" i="2" s="1"/>
  <c r="R30" i="2" a="1"/>
  <c r="R30" i="2" s="1"/>
  <c r="X149" i="2"/>
  <c r="B165" i="3"/>
  <c r="U181" i="2"/>
  <c r="R307" i="2" a="1"/>
  <c r="R307" i="2" s="1"/>
  <c r="R322" i="2" a="1"/>
  <c r="R322" i="2" s="1"/>
  <c r="R2" i="2" a="1"/>
  <c r="R2" i="2" s="1"/>
  <c r="U2" i="2" s="1"/>
  <c r="V2" i="2" s="1"/>
  <c r="W2" i="2" s="1"/>
  <c r="X2" i="2" s="1"/>
  <c r="R9" i="2" a="1"/>
  <c r="R9" i="2" s="1"/>
  <c r="B9" i="3" s="1"/>
  <c r="R12" i="2" a="1"/>
  <c r="R12" i="2" s="1"/>
  <c r="R16" i="2" a="1"/>
  <c r="R16" i="2" s="1"/>
  <c r="B16" i="3" s="1"/>
  <c r="R23" i="2" a="1"/>
  <c r="R23" i="2" s="1"/>
  <c r="R27" i="2" a="1"/>
  <c r="R27" i="2" s="1"/>
  <c r="B115" i="3"/>
  <c r="X135" i="2"/>
  <c r="X230" i="2"/>
  <c r="R339" i="2" a="1"/>
  <c r="R339" i="2" s="1"/>
  <c r="R344" i="2" a="1"/>
  <c r="R344" i="2" s="1"/>
  <c r="R348" i="2" a="1"/>
  <c r="R348" i="2" s="1"/>
  <c r="R6" i="2" a="1"/>
  <c r="R6" i="2" s="1"/>
  <c r="R20" i="2" a="1"/>
  <c r="R20" i="2" s="1"/>
  <c r="B20" i="3" s="1"/>
  <c r="R31" i="2" a="1"/>
  <c r="R31" i="2" s="1"/>
  <c r="B153" i="3"/>
  <c r="B201" i="3"/>
  <c r="U264" i="2"/>
  <c r="R295" i="2" a="1"/>
  <c r="R295" i="2" s="1"/>
  <c r="R334" i="2" a="1"/>
  <c r="R334" i="2" s="1"/>
  <c r="B334" i="3" s="1"/>
  <c r="R13" i="2" a="1"/>
  <c r="R13" i="2" s="1"/>
  <c r="B13" i="3" s="1"/>
  <c r="R17" i="2" a="1"/>
  <c r="R17" i="2" s="1"/>
  <c r="B17" i="3" s="1"/>
  <c r="R24" i="2" a="1"/>
  <c r="R24" i="2" s="1"/>
  <c r="B24" i="3" s="1"/>
  <c r="V123" i="2"/>
  <c r="X139" i="2"/>
  <c r="X218" i="2"/>
  <c r="B250" i="3"/>
  <c r="B281" i="3"/>
  <c r="R312" i="2" a="1"/>
  <c r="R312" i="2" s="1"/>
  <c r="R326" i="2" a="1"/>
  <c r="R326" i="2" s="1"/>
  <c r="R335" i="2" a="1"/>
  <c r="R335" i="2" s="1"/>
  <c r="R345" i="2" a="1"/>
  <c r="R345" i="2" s="1"/>
  <c r="R7" i="2" a="1"/>
  <c r="R7" i="2" s="1"/>
  <c r="B7" i="3" s="1"/>
  <c r="R10" i="2" a="1"/>
  <c r="R10" i="2" s="1"/>
  <c r="R21" i="2" a="1"/>
  <c r="R21" i="2" s="1"/>
  <c r="B21" i="3" s="1"/>
  <c r="R28" i="2" a="1"/>
  <c r="R28" i="2" s="1"/>
  <c r="P50" i="2"/>
  <c r="X95" i="2"/>
  <c r="V189" i="2"/>
  <c r="V205" i="2"/>
  <c r="B252" i="3"/>
  <c r="B283" i="3"/>
  <c r="R299" i="2" a="1"/>
  <c r="R299" i="2" s="1"/>
  <c r="R349" i="2" a="1"/>
  <c r="R349" i="2" s="1"/>
  <c r="R4" i="2" a="1"/>
  <c r="R4" i="2" s="1"/>
  <c r="R14" i="2" a="1"/>
  <c r="R14" i="2" s="1"/>
  <c r="R18" i="2" a="1"/>
  <c r="R18" i="2" s="1"/>
  <c r="B18" i="3" s="1"/>
  <c r="R32" i="2" a="1"/>
  <c r="R32" i="2" s="1"/>
  <c r="P51" i="2"/>
  <c r="R22" i="2" a="1"/>
  <c r="R22" i="2" s="1"/>
  <c r="B269" i="3"/>
  <c r="X143" i="2"/>
  <c r="R346" i="2" a="1"/>
  <c r="R346" i="2" s="1"/>
  <c r="X127" i="2"/>
  <c r="R342" i="2" a="1"/>
  <c r="R342" i="2" s="1"/>
  <c r="X238" i="2"/>
  <c r="W99" i="2"/>
  <c r="X222" i="2"/>
  <c r="B68" i="3"/>
  <c r="B56" i="3"/>
  <c r="B88" i="3"/>
  <c r="B64" i="3"/>
  <c r="V306" i="2"/>
  <c r="X341" i="2"/>
  <c r="X324" i="2"/>
  <c r="U298" i="2"/>
  <c r="W298" i="2"/>
  <c r="U156" i="2"/>
  <c r="H156" i="3" s="1"/>
  <c r="V156" i="2"/>
  <c r="V152" i="2"/>
  <c r="W152" i="2"/>
  <c r="X148" i="2"/>
  <c r="U144" i="2"/>
  <c r="W144" i="2"/>
  <c r="U316" i="2"/>
  <c r="V316" i="2"/>
  <c r="W316" i="2"/>
  <c r="X316" i="2"/>
  <c r="V294" i="2"/>
  <c r="U283" i="2"/>
  <c r="V265" i="2"/>
  <c r="X265" i="2"/>
  <c r="U265" i="2"/>
  <c r="U261" i="2"/>
  <c r="U257" i="2"/>
  <c r="V253" i="2"/>
  <c r="W253" i="2"/>
  <c r="X253" i="2"/>
  <c r="X308" i="2"/>
  <c r="X268" i="2"/>
  <c r="U268" i="2"/>
  <c r="V268" i="2"/>
  <c r="W268" i="2"/>
  <c r="X203" i="2"/>
  <c r="U203" i="2"/>
  <c r="V203" i="2"/>
  <c r="X226" i="2"/>
  <c r="W226" i="3" s="1"/>
  <c r="U226" i="2"/>
  <c r="V222" i="2"/>
  <c r="V279" i="2"/>
  <c r="W279" i="2"/>
  <c r="X279" i="2"/>
  <c r="U279" i="2"/>
  <c r="H279" i="3" s="1"/>
  <c r="B203" i="3"/>
  <c r="X271" i="2"/>
  <c r="W323" i="2"/>
  <c r="X323" i="2"/>
  <c r="X314" i="2"/>
  <c r="U314" i="2"/>
  <c r="X310" i="2"/>
  <c r="U289" i="2"/>
  <c r="H289" i="3" s="1"/>
  <c r="V285" i="2"/>
  <c r="X285" i="2"/>
  <c r="U285" i="2"/>
  <c r="X263" i="2"/>
  <c r="U263" i="2"/>
  <c r="U259" i="2"/>
  <c r="V255" i="2"/>
  <c r="W255" i="2"/>
  <c r="X255" i="2"/>
  <c r="U255" i="2"/>
  <c r="U213" i="2"/>
  <c r="X118" i="2"/>
  <c r="W114" i="2"/>
  <c r="V102" i="2"/>
  <c r="V98" i="2"/>
  <c r="X94" i="2"/>
  <c r="V94" i="2"/>
  <c r="W94" i="2"/>
  <c r="U94" i="2"/>
  <c r="V281" i="2"/>
  <c r="W281" i="2"/>
  <c r="X281" i="2"/>
  <c r="U281" i="2"/>
  <c r="W177" i="2"/>
  <c r="X165" i="2"/>
  <c r="U165" i="2"/>
  <c r="H165" i="3" s="1"/>
  <c r="V165" i="2"/>
  <c r="M165" i="3" s="1"/>
  <c r="W165" i="2"/>
  <c r="U328" i="2"/>
  <c r="V328" i="2"/>
  <c r="X328" i="2"/>
  <c r="W317" i="2"/>
  <c r="X313" i="2"/>
  <c r="V309" i="2"/>
  <c r="W309" i="2"/>
  <c r="X309" i="2"/>
  <c r="V302" i="2"/>
  <c r="V284" i="2"/>
  <c r="W284" i="2"/>
  <c r="X224" i="2"/>
  <c r="U224" i="2"/>
  <c r="V224" i="2"/>
  <c r="W224" i="2"/>
  <c r="X225" i="2"/>
  <c r="U225" i="2"/>
  <c r="U184" i="2"/>
  <c r="W184" i="2"/>
  <c r="V180" i="2"/>
  <c r="U130" i="2"/>
  <c r="H130" i="3" s="1"/>
  <c r="V126" i="2"/>
  <c r="X126" i="2"/>
  <c r="W248" i="2"/>
  <c r="W240" i="2"/>
  <c r="W232" i="2"/>
  <c r="U218" i="2"/>
  <c r="V212" i="2"/>
  <c r="X184" i="2"/>
  <c r="V247" i="2"/>
  <c r="W247" i="2"/>
  <c r="X247" i="2"/>
  <c r="W247" i="3" s="1"/>
  <c r="V235" i="2"/>
  <c r="M235" i="3" s="1"/>
  <c r="W235" i="2"/>
  <c r="R235" i="3" s="1"/>
  <c r="X235" i="2"/>
  <c r="X161" i="2"/>
  <c r="U161" i="2"/>
  <c r="U153" i="2"/>
  <c r="U145" i="2"/>
  <c r="X115" i="2"/>
  <c r="V248" i="2"/>
  <c r="V232" i="2"/>
  <c r="U212" i="2"/>
  <c r="W205" i="2"/>
  <c r="V184" i="2"/>
  <c r="W153" i="2"/>
  <c r="V231" i="2"/>
  <c r="M231" i="3" s="1"/>
  <c r="V221" i="2"/>
  <c r="W221" i="2"/>
  <c r="X221" i="2"/>
  <c r="U221" i="2"/>
  <c r="V217" i="2"/>
  <c r="W217" i="2"/>
  <c r="X217" i="2"/>
  <c r="U217" i="2"/>
  <c r="X191" i="2"/>
  <c r="U129" i="2"/>
  <c r="U232" i="2"/>
  <c r="X130" i="2"/>
  <c r="W130" i="3" s="1"/>
  <c r="U247" i="2"/>
  <c r="U235" i="2"/>
  <c r="V181" i="2"/>
  <c r="W161" i="2"/>
  <c r="V209" i="2"/>
  <c r="W209" i="2"/>
  <c r="X209" i="2"/>
  <c r="U209" i="2"/>
  <c r="W202" i="2"/>
  <c r="X190" i="2"/>
  <c r="V186" i="2"/>
  <c r="U182" i="2"/>
  <c r="W182" i="2"/>
  <c r="X182" i="2"/>
  <c r="V182" i="2"/>
  <c r="W171" i="2"/>
  <c r="X167" i="2"/>
  <c r="W167" i="2"/>
  <c r="U167" i="2"/>
  <c r="V167" i="2"/>
  <c r="U121" i="2"/>
  <c r="V161" i="2"/>
  <c r="V249" i="2"/>
  <c r="W249" i="2"/>
  <c r="X249" i="2"/>
  <c r="W237" i="2"/>
  <c r="R237" i="3" s="1"/>
  <c r="X159" i="2"/>
  <c r="W159" i="2"/>
  <c r="U159" i="2"/>
  <c r="V159" i="2"/>
  <c r="X155" i="2"/>
  <c r="V155" i="2"/>
  <c r="U124" i="2"/>
  <c r="V124" i="2"/>
  <c r="W124" i="2"/>
  <c r="X124" i="2"/>
  <c r="X113" i="2"/>
  <c r="U113" i="2"/>
  <c r="W105" i="2"/>
  <c r="X97" i="2"/>
  <c r="U97" i="2"/>
  <c r="V97" i="2"/>
  <c r="W97" i="2"/>
  <c r="W208" i="2"/>
  <c r="X180" i="2"/>
  <c r="W180" i="3" s="1"/>
  <c r="V113" i="2"/>
  <c r="V219" i="2"/>
  <c r="W219" i="2"/>
  <c r="X181" i="2"/>
  <c r="W181" i="2"/>
  <c r="U174" i="2"/>
  <c r="V174" i="2"/>
  <c r="W174" i="2"/>
  <c r="X131" i="2"/>
  <c r="U120" i="2"/>
  <c r="V120" i="2"/>
  <c r="M120" i="3" s="1"/>
  <c r="W120" i="2"/>
  <c r="R120" i="3" s="1"/>
  <c r="X120" i="2"/>
  <c r="V208" i="2"/>
  <c r="V137" i="2"/>
  <c r="U211" i="2"/>
  <c r="V204" i="2"/>
  <c r="X204" i="2"/>
  <c r="W158" i="2"/>
  <c r="V154" i="2"/>
  <c r="W154" i="2"/>
  <c r="U150" i="2"/>
  <c r="V150" i="2"/>
  <c r="W150" i="2"/>
  <c r="U112" i="2"/>
  <c r="H112" i="3" s="1"/>
  <c r="V112" i="2"/>
  <c r="M112" i="3" s="1"/>
  <c r="W112" i="2"/>
  <c r="R112" i="3" s="1"/>
  <c r="X112" i="2"/>
  <c r="W112" i="3" s="1"/>
  <c r="U96" i="2"/>
  <c r="U249" i="2"/>
  <c r="W212" i="2"/>
  <c r="U208" i="2"/>
  <c r="W145" i="2"/>
  <c r="B152" i="3"/>
  <c r="B212" i="3"/>
  <c r="B264" i="3"/>
  <c r="B316" i="3"/>
  <c r="B189" i="3"/>
  <c r="B181" i="3"/>
  <c r="B136" i="3"/>
  <c r="B290" i="3"/>
  <c r="B221" i="3"/>
  <c r="B114" i="3"/>
  <c r="B224" i="3"/>
  <c r="B202" i="3"/>
  <c r="B161" i="3"/>
  <c r="B124" i="3"/>
  <c r="B248" i="3"/>
  <c r="B141" i="3"/>
  <c r="B208" i="3"/>
  <c r="B159" i="3"/>
  <c r="B268" i="3"/>
  <c r="B232" i="3"/>
  <c r="B341" i="3"/>
  <c r="B285" i="3"/>
  <c r="B259" i="3"/>
  <c r="B209" i="3"/>
  <c r="B184" i="3"/>
  <c r="B61" i="3"/>
  <c r="B8" i="3"/>
  <c r="B26" i="3"/>
  <c r="B23" i="3"/>
  <c r="B10" i="3"/>
  <c r="B29" i="3"/>
  <c r="B19" i="3"/>
  <c r="B25" i="3"/>
  <c r="B12" i="3"/>
  <c r="B144" i="3" l="1"/>
  <c r="U116" i="2"/>
  <c r="U204" i="2"/>
  <c r="W120" i="3"/>
  <c r="X163" i="2"/>
  <c r="M167" i="3"/>
  <c r="X129" i="2"/>
  <c r="W235" i="3"/>
  <c r="U126" i="2"/>
  <c r="H126" i="3" s="1"/>
  <c r="W328" i="2"/>
  <c r="M255" i="3"/>
  <c r="H226" i="3"/>
  <c r="V144" i="2"/>
  <c r="B253" i="3"/>
  <c r="H253" i="3" s="1"/>
  <c r="B204" i="3"/>
  <c r="R204" i="3" s="1"/>
  <c r="B243" i="3"/>
  <c r="R167" i="3"/>
  <c r="B350" i="3"/>
  <c r="B121" i="3"/>
  <c r="H120" i="3"/>
  <c r="M219" i="3"/>
  <c r="W167" i="3"/>
  <c r="H235" i="3"/>
  <c r="H217" i="3"/>
  <c r="V243" i="2"/>
  <c r="U317" i="2"/>
  <c r="R165" i="3"/>
  <c r="X152" i="2"/>
  <c r="U331" i="2"/>
  <c r="U245" i="2"/>
  <c r="B317" i="3"/>
  <c r="X317" i="2"/>
  <c r="X331" i="2"/>
  <c r="M126" i="3"/>
  <c r="V215" i="2"/>
  <c r="W175" i="2"/>
  <c r="R175" i="3" s="1"/>
  <c r="W204" i="3"/>
  <c r="H167" i="3"/>
  <c r="M253" i="3"/>
  <c r="W206" i="2"/>
  <c r="U111" i="2"/>
  <c r="U293" i="2"/>
  <c r="W126" i="3"/>
  <c r="X246" i="2"/>
  <c r="V121" i="2"/>
  <c r="W126" i="2"/>
  <c r="R126" i="3" s="1"/>
  <c r="W165" i="3"/>
  <c r="W265" i="2"/>
  <c r="M156" i="3"/>
  <c r="B175" i="3"/>
  <c r="I2" i="4"/>
  <c r="I8" i="4"/>
  <c r="I3" i="4"/>
  <c r="M1" i="4"/>
  <c r="V4" i="3"/>
  <c r="P3" i="3"/>
  <c r="U3" i="3"/>
  <c r="Q4" i="3"/>
  <c r="L4" i="3"/>
  <c r="F3" i="3"/>
  <c r="K3" i="3"/>
  <c r="G4" i="3"/>
  <c r="W175" i="3"/>
  <c r="H283" i="3"/>
  <c r="U215" i="2"/>
  <c r="B2" i="3"/>
  <c r="B215" i="3"/>
  <c r="X215" i="2"/>
  <c r="R219" i="3"/>
  <c r="V129" i="2"/>
  <c r="M129" i="3" s="1"/>
  <c r="W129" i="2"/>
  <c r="R129" i="3" s="1"/>
  <c r="X206" i="2"/>
  <c r="W206" i="3" s="1"/>
  <c r="W244" i="2"/>
  <c r="U277" i="2"/>
  <c r="V246" i="2"/>
  <c r="M246" i="3" s="1"/>
  <c r="B277" i="3"/>
  <c r="W277" i="3" s="1"/>
  <c r="B111" i="3"/>
  <c r="M111" i="3" s="1"/>
  <c r="B191" i="3"/>
  <c r="H191" i="3" s="1"/>
  <c r="B245" i="3"/>
  <c r="X117" i="2"/>
  <c r="W117" i="3" s="1"/>
  <c r="M180" i="3"/>
  <c r="W246" i="2"/>
  <c r="R246" i="3" s="1"/>
  <c r="U244" i="2"/>
  <c r="H244" i="3" s="1"/>
  <c r="V206" i="2"/>
  <c r="M206" i="3" s="1"/>
  <c r="V244" i="2"/>
  <c r="U246" i="2"/>
  <c r="H246" i="3" s="1"/>
  <c r="B177" i="3"/>
  <c r="H116" i="3"/>
  <c r="H129" i="3"/>
  <c r="V334" i="2"/>
  <c r="M334" i="3" s="1"/>
  <c r="W191" i="2"/>
  <c r="R191" i="3" s="1"/>
  <c r="W279" i="3"/>
  <c r="U206" i="2"/>
  <c r="H206" i="3" s="1"/>
  <c r="B244" i="3"/>
  <c r="W117" i="2"/>
  <c r="R117" i="3" s="1"/>
  <c r="W121" i="2"/>
  <c r="R121" i="3" s="1"/>
  <c r="U243" i="2"/>
  <c r="W217" i="3"/>
  <c r="U254" i="2"/>
  <c r="V117" i="2"/>
  <c r="M117" i="3" s="1"/>
  <c r="V191" i="2"/>
  <c r="M191" i="3" s="1"/>
  <c r="R217" i="3"/>
  <c r="X243" i="2"/>
  <c r="W243" i="3" s="1"/>
  <c r="R279" i="3"/>
  <c r="U117" i="2"/>
  <c r="H117" i="3" s="1"/>
  <c r="M217" i="3"/>
  <c r="M279" i="3"/>
  <c r="U30" i="2"/>
  <c r="V30" i="2" s="1"/>
  <c r="W30" i="2" s="1"/>
  <c r="X30" i="2" s="1"/>
  <c r="B300" i="3"/>
  <c r="AH300" i="2"/>
  <c r="AI300" i="2"/>
  <c r="AJ300" i="2"/>
  <c r="AE300" i="2"/>
  <c r="AF300" i="2"/>
  <c r="AG300" i="2"/>
  <c r="AH172" i="2"/>
  <c r="AI172" i="2"/>
  <c r="AJ172" i="2"/>
  <c r="AE172" i="2"/>
  <c r="AF172" i="2"/>
  <c r="AG172" i="2"/>
  <c r="AE214" i="2"/>
  <c r="AF214" i="2"/>
  <c r="AG214" i="2"/>
  <c r="AH214" i="2"/>
  <c r="AI214" i="2"/>
  <c r="AJ214" i="2"/>
  <c r="AE110" i="2"/>
  <c r="AF110" i="2"/>
  <c r="AG110" i="2"/>
  <c r="AH110" i="2"/>
  <c r="AI110" i="2"/>
  <c r="AJ110" i="2"/>
  <c r="AE170" i="2"/>
  <c r="AF170" i="2"/>
  <c r="AG170" i="2"/>
  <c r="AH170" i="2"/>
  <c r="AI170" i="2"/>
  <c r="AJ170" i="2"/>
  <c r="U241" i="2"/>
  <c r="H241" i="3" s="1"/>
  <c r="X241" i="2"/>
  <c r="W241" i="3" s="1"/>
  <c r="X122" i="2"/>
  <c r="W122" i="3" s="1"/>
  <c r="W199" i="2"/>
  <c r="B28" i="3"/>
  <c r="B336" i="3"/>
  <c r="B240" i="3"/>
  <c r="W122" i="2"/>
  <c r="R122" i="3" s="1"/>
  <c r="W172" i="2"/>
  <c r="R172" i="3" s="1"/>
  <c r="V199" i="2"/>
  <c r="W281" i="3"/>
  <c r="V300" i="2"/>
  <c r="X342" i="2"/>
  <c r="AE342" i="2"/>
  <c r="AF342" i="2"/>
  <c r="AG342" i="2"/>
  <c r="AH342" i="2"/>
  <c r="AI342" i="2"/>
  <c r="AJ342" i="2"/>
  <c r="U18" i="2"/>
  <c r="V18" i="2" s="1"/>
  <c r="W18" i="2" s="1"/>
  <c r="X18" i="2" s="1"/>
  <c r="W18" i="3" s="1"/>
  <c r="B335" i="3"/>
  <c r="AF335" i="2"/>
  <c r="AG335" i="2"/>
  <c r="AH335" i="2"/>
  <c r="AI335" i="2"/>
  <c r="AJ335" i="2"/>
  <c r="AE335" i="2"/>
  <c r="X339" i="2"/>
  <c r="AF339" i="2"/>
  <c r="AG339" i="2"/>
  <c r="AH339" i="2"/>
  <c r="AI339" i="2"/>
  <c r="AJ339" i="2"/>
  <c r="AE339" i="2"/>
  <c r="U23" i="2"/>
  <c r="V23" i="2" s="1"/>
  <c r="W23" i="2" s="1"/>
  <c r="X23" i="2" s="1"/>
  <c r="W23" i="3" s="1"/>
  <c r="X330" i="2"/>
  <c r="AE330" i="2"/>
  <c r="AF330" i="2"/>
  <c r="AG330" i="2"/>
  <c r="AH330" i="2"/>
  <c r="AI330" i="2"/>
  <c r="AJ330" i="2"/>
  <c r="U341" i="2"/>
  <c r="H341" i="3" s="1"/>
  <c r="AJ341" i="2"/>
  <c r="AE341" i="2"/>
  <c r="AF341" i="2"/>
  <c r="AG341" i="2"/>
  <c r="AH341" i="2"/>
  <c r="AI341" i="2"/>
  <c r="X298" i="2"/>
  <c r="W298" i="3" s="1"/>
  <c r="AE298" i="2"/>
  <c r="AF298" i="2"/>
  <c r="AG298" i="2"/>
  <c r="AH298" i="2"/>
  <c r="AI298" i="2"/>
  <c r="AJ298" i="2"/>
  <c r="B305" i="3"/>
  <c r="AJ305" i="2"/>
  <c r="AE305" i="2"/>
  <c r="AF305" i="2"/>
  <c r="AG305" i="2"/>
  <c r="AH305" i="2"/>
  <c r="AI305" i="2"/>
  <c r="B199" i="3"/>
  <c r="W199" i="3" s="1"/>
  <c r="B319" i="3"/>
  <c r="AF319" i="2"/>
  <c r="AG319" i="2"/>
  <c r="AH319" i="2"/>
  <c r="AI319" i="2"/>
  <c r="AJ319" i="2"/>
  <c r="AE319" i="2"/>
  <c r="U26" i="2"/>
  <c r="V26" i="2" s="1"/>
  <c r="W26" i="2" s="1"/>
  <c r="X26" i="2" s="1"/>
  <c r="W26" i="3" s="1"/>
  <c r="AE242" i="2"/>
  <c r="AF242" i="2"/>
  <c r="AG242" i="2"/>
  <c r="AH242" i="2"/>
  <c r="AI242" i="2"/>
  <c r="AJ242" i="2"/>
  <c r="AF183" i="2"/>
  <c r="AG183" i="2"/>
  <c r="AH183" i="2"/>
  <c r="AI183" i="2"/>
  <c r="AJ183" i="2"/>
  <c r="AE183" i="2"/>
  <c r="AH144" i="2"/>
  <c r="AI144" i="2"/>
  <c r="AJ144" i="2"/>
  <c r="AE144" i="2"/>
  <c r="AF144" i="2"/>
  <c r="AG144" i="2"/>
  <c r="AJ285" i="2"/>
  <c r="AE285" i="2"/>
  <c r="AF285" i="2"/>
  <c r="AG285" i="2"/>
  <c r="AH285" i="2"/>
  <c r="AI285" i="2"/>
  <c r="AJ253" i="2"/>
  <c r="AE253" i="2"/>
  <c r="AF253" i="2"/>
  <c r="AG253" i="2"/>
  <c r="AH253" i="2"/>
  <c r="AI253" i="2"/>
  <c r="AJ221" i="2"/>
  <c r="AE221" i="2"/>
  <c r="AF221" i="2"/>
  <c r="AG221" i="2"/>
  <c r="AH221" i="2"/>
  <c r="AI221" i="2"/>
  <c r="AJ125" i="2"/>
  <c r="AE125" i="2"/>
  <c r="AF125" i="2"/>
  <c r="AG125" i="2"/>
  <c r="AH125" i="2"/>
  <c r="AI125" i="2"/>
  <c r="AJ189" i="2"/>
  <c r="AE189" i="2"/>
  <c r="AF189" i="2"/>
  <c r="AG189" i="2"/>
  <c r="AH189" i="2"/>
  <c r="AI189" i="2"/>
  <c r="AF143" i="2"/>
  <c r="AG143" i="2"/>
  <c r="AH143" i="2"/>
  <c r="AI143" i="2"/>
  <c r="AJ143" i="2"/>
  <c r="AE143" i="2"/>
  <c r="AH284" i="2"/>
  <c r="AI284" i="2"/>
  <c r="AJ284" i="2"/>
  <c r="AE284" i="2"/>
  <c r="AF284" i="2"/>
  <c r="AG284" i="2"/>
  <c r="AH252" i="2"/>
  <c r="AI252" i="2"/>
  <c r="AJ252" i="2"/>
  <c r="AE252" i="2"/>
  <c r="AF252" i="2"/>
  <c r="AG252" i="2"/>
  <c r="AJ217" i="2"/>
  <c r="AE217" i="2"/>
  <c r="AF217" i="2"/>
  <c r="AG217" i="2"/>
  <c r="AH217" i="2"/>
  <c r="AI217" i="2"/>
  <c r="AH128" i="2"/>
  <c r="AI128" i="2"/>
  <c r="AJ128" i="2"/>
  <c r="AE128" i="2"/>
  <c r="AF128" i="2"/>
  <c r="AG128" i="2"/>
  <c r="AH220" i="2"/>
  <c r="AI220" i="2"/>
  <c r="AJ220" i="2"/>
  <c r="AE220" i="2"/>
  <c r="AF220" i="2"/>
  <c r="AG220" i="2"/>
  <c r="AE174" i="2"/>
  <c r="AF174" i="2"/>
  <c r="AG174" i="2"/>
  <c r="AH174" i="2"/>
  <c r="AI174" i="2"/>
  <c r="AJ174" i="2"/>
  <c r="AE106" i="2"/>
  <c r="AF106" i="2"/>
  <c r="AG106" i="2"/>
  <c r="AH106" i="2"/>
  <c r="AI106" i="2"/>
  <c r="AJ106" i="2"/>
  <c r="AF283" i="2"/>
  <c r="AG283" i="2"/>
  <c r="AH283" i="2"/>
  <c r="AI283" i="2"/>
  <c r="AJ283" i="2"/>
  <c r="AE283" i="2"/>
  <c r="AF251" i="2"/>
  <c r="AG251" i="2"/>
  <c r="AH251" i="2"/>
  <c r="AI251" i="2"/>
  <c r="AJ251" i="2"/>
  <c r="AE251" i="2"/>
  <c r="AJ209" i="2"/>
  <c r="AE209" i="2"/>
  <c r="AF209" i="2"/>
  <c r="AG209" i="2"/>
  <c r="AH209" i="2"/>
  <c r="AI209" i="2"/>
  <c r="AF123" i="2"/>
  <c r="AG123" i="2"/>
  <c r="AH123" i="2"/>
  <c r="AI123" i="2"/>
  <c r="AJ123" i="2"/>
  <c r="AE123" i="2"/>
  <c r="AJ205" i="2"/>
  <c r="AE205" i="2"/>
  <c r="AF205" i="2"/>
  <c r="AG205" i="2"/>
  <c r="AH205" i="2"/>
  <c r="AI205" i="2"/>
  <c r="AF159" i="2"/>
  <c r="AG159" i="2"/>
  <c r="AH159" i="2"/>
  <c r="AI159" i="2"/>
  <c r="AJ159" i="2"/>
  <c r="AE159" i="2"/>
  <c r="AE194" i="2"/>
  <c r="AF194" i="2"/>
  <c r="AG194" i="2"/>
  <c r="AH194" i="2"/>
  <c r="AI194" i="2"/>
  <c r="AJ194" i="2"/>
  <c r="AE230" i="2"/>
  <c r="AF230" i="2"/>
  <c r="AG230" i="2"/>
  <c r="AH230" i="2"/>
  <c r="AI230" i="2"/>
  <c r="AJ230" i="2"/>
  <c r="H94" i="3"/>
  <c r="U31" i="2"/>
  <c r="V31" i="2" s="1"/>
  <c r="W31" i="2" s="1"/>
  <c r="X31" i="2" s="1"/>
  <c r="AE122" i="2"/>
  <c r="AF122" i="2"/>
  <c r="AG122" i="2"/>
  <c r="AH122" i="2"/>
  <c r="AI122" i="2"/>
  <c r="AJ122" i="2"/>
  <c r="AF107" i="2"/>
  <c r="AG107" i="2"/>
  <c r="AH107" i="2"/>
  <c r="AI107" i="2"/>
  <c r="AJ107" i="2"/>
  <c r="AE107" i="2"/>
  <c r="AE178" i="2"/>
  <c r="AF178" i="2"/>
  <c r="AG178" i="2"/>
  <c r="AH178" i="2"/>
  <c r="AI178" i="2"/>
  <c r="AJ178" i="2"/>
  <c r="AF271" i="2"/>
  <c r="AG271" i="2"/>
  <c r="AH271" i="2"/>
  <c r="AI271" i="2"/>
  <c r="AJ271" i="2"/>
  <c r="AE271" i="2"/>
  <c r="W241" i="2"/>
  <c r="R241" i="3" s="1"/>
  <c r="W214" i="2"/>
  <c r="V241" i="2"/>
  <c r="M241" i="3" s="1"/>
  <c r="V171" i="2"/>
  <c r="V122" i="2"/>
  <c r="M122" i="3" s="1"/>
  <c r="V172" i="2"/>
  <c r="M172" i="3" s="1"/>
  <c r="U199" i="2"/>
  <c r="R281" i="3"/>
  <c r="U110" i="2"/>
  <c r="U300" i="2"/>
  <c r="H300" i="3" s="1"/>
  <c r="U14" i="2"/>
  <c r="V14" i="2" s="1"/>
  <c r="W14" i="2" s="1"/>
  <c r="X14" i="2" s="1"/>
  <c r="V326" i="2"/>
  <c r="AE326" i="2"/>
  <c r="AF326" i="2"/>
  <c r="AG326" i="2"/>
  <c r="AH326" i="2"/>
  <c r="AI326" i="2"/>
  <c r="AJ326" i="2"/>
  <c r="U24" i="2"/>
  <c r="V24" i="2" s="1"/>
  <c r="W24" i="2" s="1"/>
  <c r="X24" i="2" s="1"/>
  <c r="W24" i="3" s="1"/>
  <c r="U16" i="2"/>
  <c r="V16" i="2" s="1"/>
  <c r="W16" i="2" s="1"/>
  <c r="X16" i="2" s="1"/>
  <c r="W16" i="3" s="1"/>
  <c r="B303" i="3"/>
  <c r="AF303" i="2"/>
  <c r="AG303" i="2"/>
  <c r="AH303" i="2"/>
  <c r="AI303" i="2"/>
  <c r="AJ303" i="2"/>
  <c r="AE303" i="2"/>
  <c r="V337" i="2"/>
  <c r="AJ337" i="2"/>
  <c r="AE337" i="2"/>
  <c r="AF337" i="2"/>
  <c r="AG337" i="2"/>
  <c r="AH337" i="2"/>
  <c r="AI337" i="2"/>
  <c r="X294" i="2"/>
  <c r="AE294" i="2"/>
  <c r="AF294" i="2"/>
  <c r="AG294" i="2"/>
  <c r="AH294" i="2"/>
  <c r="AI294" i="2"/>
  <c r="AJ294" i="2"/>
  <c r="U44" i="2"/>
  <c r="V44" i="2" s="1"/>
  <c r="B301" i="3"/>
  <c r="AJ301" i="2"/>
  <c r="AE301" i="2"/>
  <c r="AF301" i="2"/>
  <c r="AG301" i="2"/>
  <c r="AH301" i="2"/>
  <c r="AI301" i="2"/>
  <c r="U308" i="2"/>
  <c r="AH308" i="2"/>
  <c r="AI308" i="2"/>
  <c r="AJ308" i="2"/>
  <c r="AE308" i="2"/>
  <c r="AF308" i="2"/>
  <c r="AG308" i="2"/>
  <c r="U170" i="2"/>
  <c r="U29" i="2"/>
  <c r="V29" i="2" s="1"/>
  <c r="W29" i="2" s="1"/>
  <c r="X29" i="2" s="1"/>
  <c r="W29" i="3" s="1"/>
  <c r="AE274" i="2"/>
  <c r="AF274" i="2"/>
  <c r="AG274" i="2"/>
  <c r="AH274" i="2"/>
  <c r="AI274" i="2"/>
  <c r="AJ274" i="2"/>
  <c r="AF179" i="2"/>
  <c r="AG179" i="2"/>
  <c r="AH179" i="2"/>
  <c r="AI179" i="2"/>
  <c r="AJ179" i="2"/>
  <c r="AE179" i="2"/>
  <c r="AH140" i="2"/>
  <c r="AI140" i="2"/>
  <c r="AJ140" i="2"/>
  <c r="AE140" i="2"/>
  <c r="AF140" i="2"/>
  <c r="AG140" i="2"/>
  <c r="AJ281" i="2"/>
  <c r="AE281" i="2"/>
  <c r="AF281" i="2"/>
  <c r="AG281" i="2"/>
  <c r="AH281" i="2"/>
  <c r="AI281" i="2"/>
  <c r="AJ249" i="2"/>
  <c r="AE249" i="2"/>
  <c r="AF249" i="2"/>
  <c r="AG249" i="2"/>
  <c r="AH249" i="2"/>
  <c r="AI249" i="2"/>
  <c r="AE218" i="2"/>
  <c r="AF218" i="2"/>
  <c r="AG218" i="2"/>
  <c r="AH218" i="2"/>
  <c r="AI218" i="2"/>
  <c r="AJ218" i="2"/>
  <c r="AE118" i="2"/>
  <c r="AF118" i="2"/>
  <c r="AG118" i="2"/>
  <c r="AH118" i="2"/>
  <c r="AI118" i="2"/>
  <c r="AJ118" i="2"/>
  <c r="AE182" i="2"/>
  <c r="AF182" i="2"/>
  <c r="AG182" i="2"/>
  <c r="AH182" i="2"/>
  <c r="AI182" i="2"/>
  <c r="AJ182" i="2"/>
  <c r="AF139" i="2"/>
  <c r="AG139" i="2"/>
  <c r="AH139" i="2"/>
  <c r="AI139" i="2"/>
  <c r="AJ139" i="2"/>
  <c r="AE139" i="2"/>
  <c r="AH280" i="2"/>
  <c r="AI280" i="2"/>
  <c r="AJ280" i="2"/>
  <c r="AE280" i="2"/>
  <c r="AF280" i="2"/>
  <c r="AG280" i="2"/>
  <c r="AH248" i="2"/>
  <c r="AI248" i="2"/>
  <c r="AJ248" i="2"/>
  <c r="AE248" i="2"/>
  <c r="AF248" i="2"/>
  <c r="AG248" i="2"/>
  <c r="AE210" i="2"/>
  <c r="AF210" i="2"/>
  <c r="AG210" i="2"/>
  <c r="AH210" i="2"/>
  <c r="AI210" i="2"/>
  <c r="AJ210" i="2"/>
  <c r="AH124" i="2"/>
  <c r="AI124" i="2"/>
  <c r="AJ124" i="2"/>
  <c r="AE124" i="2"/>
  <c r="AF124" i="2"/>
  <c r="AG124" i="2"/>
  <c r="AJ213" i="2"/>
  <c r="AE213" i="2"/>
  <c r="AF213" i="2"/>
  <c r="AG213" i="2"/>
  <c r="AH213" i="2"/>
  <c r="AI213" i="2"/>
  <c r="AF167" i="2"/>
  <c r="AG167" i="2"/>
  <c r="AH167" i="2"/>
  <c r="AI167" i="2"/>
  <c r="AJ167" i="2"/>
  <c r="AE167" i="2"/>
  <c r="AF279" i="2"/>
  <c r="AG279" i="2"/>
  <c r="AH279" i="2"/>
  <c r="AI279" i="2"/>
  <c r="AJ279" i="2"/>
  <c r="AE279" i="2"/>
  <c r="AF247" i="2"/>
  <c r="AG247" i="2"/>
  <c r="AH247" i="2"/>
  <c r="AI247" i="2"/>
  <c r="AJ247" i="2"/>
  <c r="AE247" i="2"/>
  <c r="AE202" i="2"/>
  <c r="AF202" i="2"/>
  <c r="AG202" i="2"/>
  <c r="AH202" i="2"/>
  <c r="AI202" i="2"/>
  <c r="AJ202" i="2"/>
  <c r="AH120" i="2"/>
  <c r="AI120" i="2"/>
  <c r="AJ120" i="2"/>
  <c r="AE120" i="2"/>
  <c r="AF120" i="2"/>
  <c r="AG120" i="2"/>
  <c r="AE198" i="2"/>
  <c r="AF198" i="2"/>
  <c r="AG198" i="2"/>
  <c r="AH198" i="2"/>
  <c r="AI198" i="2"/>
  <c r="AJ198" i="2"/>
  <c r="AF155" i="2"/>
  <c r="AG155" i="2"/>
  <c r="AH155" i="2"/>
  <c r="AI155" i="2"/>
  <c r="AJ155" i="2"/>
  <c r="AE155" i="2"/>
  <c r="AE222" i="2"/>
  <c r="AF222" i="2"/>
  <c r="AG222" i="2"/>
  <c r="AH222" i="2"/>
  <c r="AI222" i="2"/>
  <c r="AJ222" i="2"/>
  <c r="AE262" i="2"/>
  <c r="AF262" i="2"/>
  <c r="AG262" i="2"/>
  <c r="AH262" i="2"/>
  <c r="AI262" i="2"/>
  <c r="AJ262" i="2"/>
  <c r="X349" i="2"/>
  <c r="AJ349" i="2"/>
  <c r="AE349" i="2"/>
  <c r="AF349" i="2"/>
  <c r="AG349" i="2"/>
  <c r="AH349" i="2"/>
  <c r="AI349" i="2"/>
  <c r="U36" i="2"/>
  <c r="V36" i="2" s="1"/>
  <c r="W36" i="2" s="1"/>
  <c r="X36" i="2" s="1"/>
  <c r="AE278" i="2"/>
  <c r="AF278" i="2"/>
  <c r="AG278" i="2"/>
  <c r="AH278" i="2"/>
  <c r="AI278" i="2"/>
  <c r="AJ278" i="2"/>
  <c r="AJ241" i="2"/>
  <c r="AE241" i="2"/>
  <c r="AF241" i="2"/>
  <c r="AG241" i="2"/>
  <c r="AH241" i="2"/>
  <c r="AI241" i="2"/>
  <c r="AE114" i="2"/>
  <c r="AF114" i="2"/>
  <c r="AG114" i="2"/>
  <c r="AH114" i="2"/>
  <c r="AI114" i="2"/>
  <c r="AJ114" i="2"/>
  <c r="U122" i="2"/>
  <c r="H122" i="3" s="1"/>
  <c r="U172" i="2"/>
  <c r="M281" i="3"/>
  <c r="X114" i="2"/>
  <c r="W114" i="3" s="1"/>
  <c r="U271" i="2"/>
  <c r="H271" i="3" s="1"/>
  <c r="X300" i="2"/>
  <c r="W300" i="3" s="1"/>
  <c r="B346" i="3"/>
  <c r="AE346" i="2"/>
  <c r="AF346" i="2"/>
  <c r="AG346" i="2"/>
  <c r="AH346" i="2"/>
  <c r="AI346" i="2"/>
  <c r="AJ346" i="2"/>
  <c r="U4" i="2"/>
  <c r="V4" i="2" s="1"/>
  <c r="W4" i="2" s="1"/>
  <c r="X4" i="2" s="1"/>
  <c r="V312" i="2"/>
  <c r="AH312" i="2"/>
  <c r="AI312" i="2"/>
  <c r="AJ312" i="2"/>
  <c r="AE312" i="2"/>
  <c r="AF312" i="2"/>
  <c r="AG312" i="2"/>
  <c r="U17" i="2"/>
  <c r="V17" i="2" s="1"/>
  <c r="W17" i="2" s="1"/>
  <c r="X17" i="2" s="1"/>
  <c r="W17" i="3" s="1"/>
  <c r="U12" i="2"/>
  <c r="V12" i="2" s="1"/>
  <c r="W12" i="2" s="1"/>
  <c r="X12" i="2" s="1"/>
  <c r="W12" i="3" s="1"/>
  <c r="B333" i="3"/>
  <c r="AJ333" i="2"/>
  <c r="AE333" i="2"/>
  <c r="AF333" i="2"/>
  <c r="AG333" i="2"/>
  <c r="AH333" i="2"/>
  <c r="AI333" i="2"/>
  <c r="B172" i="3"/>
  <c r="W340" i="2"/>
  <c r="AH340" i="2"/>
  <c r="AI340" i="2"/>
  <c r="AJ340" i="2"/>
  <c r="AE340" i="2"/>
  <c r="AF340" i="2"/>
  <c r="AG340" i="2"/>
  <c r="B297" i="3"/>
  <c r="AJ297" i="2"/>
  <c r="AE297" i="2"/>
  <c r="AF297" i="2"/>
  <c r="AG297" i="2"/>
  <c r="AH297" i="2"/>
  <c r="AI297" i="2"/>
  <c r="X304" i="2"/>
  <c r="AH304" i="2"/>
  <c r="AI304" i="2"/>
  <c r="AJ304" i="2"/>
  <c r="AE304" i="2"/>
  <c r="AF304" i="2"/>
  <c r="AG304" i="2"/>
  <c r="U3" i="2"/>
  <c r="V3" i="2" s="1"/>
  <c r="W3" i="2" s="1"/>
  <c r="X3" i="2" s="1"/>
  <c r="W3" i="3" s="1"/>
  <c r="V110" i="2"/>
  <c r="U11" i="2"/>
  <c r="V11" i="2" s="1"/>
  <c r="W11" i="2" s="1"/>
  <c r="X11" i="2" s="1"/>
  <c r="W11" i="3" s="1"/>
  <c r="AE246" i="2"/>
  <c r="AF246" i="2"/>
  <c r="AG246" i="2"/>
  <c r="AH246" i="2"/>
  <c r="AI246" i="2"/>
  <c r="AJ246" i="2"/>
  <c r="AF215" i="2"/>
  <c r="AG215" i="2"/>
  <c r="AH215" i="2"/>
  <c r="AI215" i="2"/>
  <c r="AJ215" i="2"/>
  <c r="AE215" i="2"/>
  <c r="AH176" i="2"/>
  <c r="AI176" i="2"/>
  <c r="AJ176" i="2"/>
  <c r="AE176" i="2"/>
  <c r="AF176" i="2"/>
  <c r="AG176" i="2"/>
  <c r="AJ129" i="2"/>
  <c r="AE129" i="2"/>
  <c r="AF129" i="2"/>
  <c r="AG129" i="2"/>
  <c r="AH129" i="2"/>
  <c r="AI129" i="2"/>
  <c r="AJ277" i="2"/>
  <c r="AE277" i="2"/>
  <c r="AF277" i="2"/>
  <c r="AG277" i="2"/>
  <c r="AH277" i="2"/>
  <c r="AI277" i="2"/>
  <c r="AJ245" i="2"/>
  <c r="AE245" i="2"/>
  <c r="AF245" i="2"/>
  <c r="AG245" i="2"/>
  <c r="AH245" i="2"/>
  <c r="AI245" i="2"/>
  <c r="AJ193" i="2"/>
  <c r="AE193" i="2"/>
  <c r="AF193" i="2"/>
  <c r="AG193" i="2"/>
  <c r="AH193" i="2"/>
  <c r="AI193" i="2"/>
  <c r="AF111" i="2"/>
  <c r="AG111" i="2"/>
  <c r="AH111" i="2"/>
  <c r="AI111" i="2"/>
  <c r="AJ111" i="2"/>
  <c r="AE111" i="2"/>
  <c r="AF175" i="2"/>
  <c r="AG175" i="2"/>
  <c r="AH175" i="2"/>
  <c r="AI175" i="2"/>
  <c r="AJ175" i="2"/>
  <c r="AE175" i="2"/>
  <c r="AJ121" i="2"/>
  <c r="AE121" i="2"/>
  <c r="AF121" i="2"/>
  <c r="AG121" i="2"/>
  <c r="AH121" i="2"/>
  <c r="AI121" i="2"/>
  <c r="AJ169" i="2"/>
  <c r="AE169" i="2"/>
  <c r="AF169" i="2"/>
  <c r="AG169" i="2"/>
  <c r="AH169" i="2"/>
  <c r="AI169" i="2"/>
  <c r="AH276" i="2"/>
  <c r="AI276" i="2"/>
  <c r="AJ276" i="2"/>
  <c r="AE276" i="2"/>
  <c r="AF276" i="2"/>
  <c r="AG276" i="2"/>
  <c r="AH244" i="2"/>
  <c r="AI244" i="2"/>
  <c r="AJ244" i="2"/>
  <c r="AE244" i="2"/>
  <c r="AF244" i="2"/>
  <c r="AG244" i="2"/>
  <c r="AJ185" i="2"/>
  <c r="AE185" i="2"/>
  <c r="AF185" i="2"/>
  <c r="AG185" i="2"/>
  <c r="AH185" i="2"/>
  <c r="AI185" i="2"/>
  <c r="AJ117" i="2"/>
  <c r="AE117" i="2"/>
  <c r="AF117" i="2"/>
  <c r="AG117" i="2"/>
  <c r="AH117" i="2"/>
  <c r="AI117" i="2"/>
  <c r="AE206" i="2"/>
  <c r="AF206" i="2"/>
  <c r="AG206" i="2"/>
  <c r="AH206" i="2"/>
  <c r="AI206" i="2"/>
  <c r="AJ206" i="2"/>
  <c r="AF163" i="2"/>
  <c r="AG163" i="2"/>
  <c r="AH163" i="2"/>
  <c r="AI163" i="2"/>
  <c r="AJ163" i="2"/>
  <c r="AE163" i="2"/>
  <c r="AF275" i="2"/>
  <c r="AG275" i="2"/>
  <c r="AH275" i="2"/>
  <c r="AI275" i="2"/>
  <c r="AJ275" i="2"/>
  <c r="AE275" i="2"/>
  <c r="AF243" i="2"/>
  <c r="AG243" i="2"/>
  <c r="AH243" i="2"/>
  <c r="AI243" i="2"/>
  <c r="AJ243" i="2"/>
  <c r="AE243" i="2"/>
  <c r="AJ177" i="2"/>
  <c r="AE177" i="2"/>
  <c r="AF177" i="2"/>
  <c r="AG177" i="2"/>
  <c r="AH177" i="2"/>
  <c r="AI177" i="2"/>
  <c r="AH116" i="2"/>
  <c r="AI116" i="2"/>
  <c r="AJ116" i="2"/>
  <c r="AE116" i="2"/>
  <c r="AF116" i="2"/>
  <c r="AG116" i="2"/>
  <c r="AF191" i="2"/>
  <c r="AG191" i="2"/>
  <c r="AH191" i="2"/>
  <c r="AI191" i="2"/>
  <c r="AJ191" i="2"/>
  <c r="AE191" i="2"/>
  <c r="AH152" i="2"/>
  <c r="AI152" i="2"/>
  <c r="AJ152" i="2"/>
  <c r="AE152" i="2"/>
  <c r="AF152" i="2"/>
  <c r="AG152" i="2"/>
  <c r="AE254" i="2"/>
  <c r="AF254" i="2"/>
  <c r="AG254" i="2"/>
  <c r="AH254" i="2"/>
  <c r="AI254" i="2"/>
  <c r="AJ254" i="2"/>
  <c r="AE238" i="2"/>
  <c r="AF238" i="2"/>
  <c r="AG238" i="2"/>
  <c r="AH238" i="2"/>
  <c r="AI238" i="2"/>
  <c r="AJ238" i="2"/>
  <c r="W271" i="3"/>
  <c r="X329" i="2"/>
  <c r="AJ329" i="2"/>
  <c r="AE329" i="2"/>
  <c r="AF329" i="2"/>
  <c r="AG329" i="2"/>
  <c r="AH329" i="2"/>
  <c r="AI329" i="2"/>
  <c r="AF315" i="2"/>
  <c r="AG315" i="2"/>
  <c r="AH315" i="2"/>
  <c r="AI315" i="2"/>
  <c r="AJ315" i="2"/>
  <c r="AE315" i="2"/>
  <c r="AF171" i="2"/>
  <c r="AG171" i="2"/>
  <c r="AH171" i="2"/>
  <c r="AI171" i="2"/>
  <c r="AJ171" i="2"/>
  <c r="AE171" i="2"/>
  <c r="AE234" i="2"/>
  <c r="AF234" i="2"/>
  <c r="AG234" i="2"/>
  <c r="AH234" i="2"/>
  <c r="AI234" i="2"/>
  <c r="AJ234" i="2"/>
  <c r="U13" i="2"/>
  <c r="V13" i="2" s="1"/>
  <c r="W13" i="2" s="1"/>
  <c r="X13" i="2" s="1"/>
  <c r="W13" i="3" s="1"/>
  <c r="AJ273" i="2"/>
  <c r="AE273" i="2"/>
  <c r="AF273" i="2"/>
  <c r="AG273" i="2"/>
  <c r="AH273" i="2"/>
  <c r="AI273" i="2"/>
  <c r="AJ137" i="2"/>
  <c r="AE137" i="2"/>
  <c r="AF137" i="2"/>
  <c r="AG137" i="2"/>
  <c r="AH137" i="2"/>
  <c r="AI137" i="2"/>
  <c r="AF199" i="2"/>
  <c r="AG199" i="2"/>
  <c r="AH199" i="2"/>
  <c r="AI199" i="2"/>
  <c r="AJ199" i="2"/>
  <c r="AE199" i="2"/>
  <c r="AJ109" i="2"/>
  <c r="AE109" i="2"/>
  <c r="AF109" i="2"/>
  <c r="AG109" i="2"/>
  <c r="AH109" i="2"/>
  <c r="AI109" i="2"/>
  <c r="V170" i="2"/>
  <c r="X171" i="2"/>
  <c r="W129" i="3"/>
  <c r="V240" i="2"/>
  <c r="M240" i="3" s="1"/>
  <c r="V273" i="2"/>
  <c r="M273" i="3" s="1"/>
  <c r="H303" i="3"/>
  <c r="W271" i="2"/>
  <c r="R271" i="3" s="1"/>
  <c r="B36" i="3"/>
  <c r="V299" i="2"/>
  <c r="AF299" i="2"/>
  <c r="AG299" i="2"/>
  <c r="AH299" i="2"/>
  <c r="AI299" i="2"/>
  <c r="AJ299" i="2"/>
  <c r="AE299" i="2"/>
  <c r="U21" i="2"/>
  <c r="V21" i="2" s="1"/>
  <c r="W21" i="2" s="1"/>
  <c r="X21" i="2" s="1"/>
  <c r="W21" i="3" s="1"/>
  <c r="W334" i="2"/>
  <c r="R334" i="3" s="1"/>
  <c r="AE334" i="2"/>
  <c r="AF334" i="2"/>
  <c r="AG334" i="2"/>
  <c r="AH334" i="2"/>
  <c r="AI334" i="2"/>
  <c r="AJ334" i="2"/>
  <c r="U20" i="2"/>
  <c r="V20" i="2" s="1"/>
  <c r="W20" i="2" s="1"/>
  <c r="X20" i="2" s="1"/>
  <c r="W20" i="3" s="1"/>
  <c r="X214" i="2"/>
  <c r="AF347" i="2"/>
  <c r="AG347" i="2"/>
  <c r="AH347" i="2"/>
  <c r="AI347" i="2"/>
  <c r="AJ347" i="2"/>
  <c r="AE347" i="2"/>
  <c r="W107" i="2"/>
  <c r="V325" i="2"/>
  <c r="AJ325" i="2"/>
  <c r="AE325" i="2"/>
  <c r="AF325" i="2"/>
  <c r="AG325" i="2"/>
  <c r="AH325" i="2"/>
  <c r="AI325" i="2"/>
  <c r="AJ317" i="2"/>
  <c r="AE317" i="2"/>
  <c r="AF317" i="2"/>
  <c r="AG317" i="2"/>
  <c r="AH317" i="2"/>
  <c r="AI317" i="2"/>
  <c r="U332" i="2"/>
  <c r="AH332" i="2"/>
  <c r="AI332" i="2"/>
  <c r="AJ332" i="2"/>
  <c r="AE332" i="2"/>
  <c r="AF332" i="2"/>
  <c r="AG332" i="2"/>
  <c r="W296" i="2"/>
  <c r="AH296" i="2"/>
  <c r="AI296" i="2"/>
  <c r="AJ296" i="2"/>
  <c r="AE296" i="2"/>
  <c r="AF296" i="2"/>
  <c r="AG296" i="2"/>
  <c r="B311" i="3"/>
  <c r="M311" i="3" s="1"/>
  <c r="AF311" i="2"/>
  <c r="AG311" i="2"/>
  <c r="AH311" i="2"/>
  <c r="AI311" i="2"/>
  <c r="AJ311" i="2"/>
  <c r="AE311" i="2"/>
  <c r="B318" i="3"/>
  <c r="AE318" i="2"/>
  <c r="AF318" i="2"/>
  <c r="AG318" i="2"/>
  <c r="AH318" i="2"/>
  <c r="AI318" i="2"/>
  <c r="AJ318" i="2"/>
  <c r="X240" i="2"/>
  <c r="W240" i="3" s="1"/>
  <c r="AE162" i="2"/>
  <c r="AF162" i="2"/>
  <c r="AG162" i="2"/>
  <c r="AH162" i="2"/>
  <c r="AI162" i="2"/>
  <c r="AJ162" i="2"/>
  <c r="AH208" i="2"/>
  <c r="AI208" i="2"/>
  <c r="AJ208" i="2"/>
  <c r="AE208" i="2"/>
  <c r="AF208" i="2"/>
  <c r="AG208" i="2"/>
  <c r="AJ165" i="2"/>
  <c r="AE165" i="2"/>
  <c r="AF165" i="2"/>
  <c r="AG165" i="2"/>
  <c r="AH165" i="2"/>
  <c r="AI165" i="2"/>
  <c r="AJ97" i="2"/>
  <c r="AE97" i="2"/>
  <c r="AF97" i="2"/>
  <c r="AG97" i="2"/>
  <c r="AH97" i="2"/>
  <c r="AI97" i="2"/>
  <c r="AJ269" i="2"/>
  <c r="AE269" i="2"/>
  <c r="AF269" i="2"/>
  <c r="AG269" i="2"/>
  <c r="AH269" i="2"/>
  <c r="AI269" i="2"/>
  <c r="AJ237" i="2"/>
  <c r="AE237" i="2"/>
  <c r="AF237" i="2"/>
  <c r="AG237" i="2"/>
  <c r="AH237" i="2"/>
  <c r="AI237" i="2"/>
  <c r="AJ161" i="2"/>
  <c r="AE161" i="2"/>
  <c r="AF161" i="2"/>
  <c r="AG161" i="2"/>
  <c r="AH161" i="2"/>
  <c r="AI161" i="2"/>
  <c r="AH104" i="2"/>
  <c r="AI104" i="2"/>
  <c r="AJ104" i="2"/>
  <c r="AE104" i="2"/>
  <c r="AF104" i="2"/>
  <c r="AG104" i="2"/>
  <c r="AE207" i="2"/>
  <c r="AF207" i="2"/>
  <c r="AG207" i="2"/>
  <c r="AH207" i="2"/>
  <c r="AI207" i="2"/>
  <c r="AJ207" i="2"/>
  <c r="AH168" i="2"/>
  <c r="AI168" i="2"/>
  <c r="AJ168" i="2"/>
  <c r="AE168" i="2"/>
  <c r="AF168" i="2"/>
  <c r="AG168" i="2"/>
  <c r="AH108" i="2"/>
  <c r="AI108" i="2"/>
  <c r="AJ108" i="2"/>
  <c r="AE108" i="2"/>
  <c r="AF108" i="2"/>
  <c r="AG108" i="2"/>
  <c r="AH268" i="2"/>
  <c r="AI268" i="2"/>
  <c r="AJ268" i="2"/>
  <c r="AE268" i="2"/>
  <c r="AF268" i="2"/>
  <c r="AG268" i="2"/>
  <c r="AH236" i="2"/>
  <c r="AI236" i="2"/>
  <c r="AJ236" i="2"/>
  <c r="AE236" i="2"/>
  <c r="AF236" i="2"/>
  <c r="AG236" i="2"/>
  <c r="AJ153" i="2"/>
  <c r="AE153" i="2"/>
  <c r="AF153" i="2"/>
  <c r="AG153" i="2"/>
  <c r="AH153" i="2"/>
  <c r="AI153" i="2"/>
  <c r="AF103" i="2"/>
  <c r="AG103" i="2"/>
  <c r="AH103" i="2"/>
  <c r="AI103" i="2"/>
  <c r="AJ103" i="2"/>
  <c r="AE103" i="2"/>
  <c r="AF195" i="2"/>
  <c r="AG195" i="2"/>
  <c r="AH195" i="2"/>
  <c r="AI195" i="2"/>
  <c r="AJ195" i="2"/>
  <c r="AE195" i="2"/>
  <c r="AH156" i="2"/>
  <c r="AI156" i="2"/>
  <c r="AJ156" i="2"/>
  <c r="AE156" i="2"/>
  <c r="AF156" i="2"/>
  <c r="AG156" i="2"/>
  <c r="AF267" i="2"/>
  <c r="AG267" i="2"/>
  <c r="AH267" i="2"/>
  <c r="AI267" i="2"/>
  <c r="AJ267" i="2"/>
  <c r="AE267" i="2"/>
  <c r="AF235" i="2"/>
  <c r="AG235" i="2"/>
  <c r="AH235" i="2"/>
  <c r="AI235" i="2"/>
  <c r="AJ235" i="2"/>
  <c r="AE235" i="2"/>
  <c r="AJ145" i="2"/>
  <c r="AE145" i="2"/>
  <c r="AF145" i="2"/>
  <c r="AG145" i="2"/>
  <c r="AH145" i="2"/>
  <c r="AI145" i="2"/>
  <c r="AE102" i="2"/>
  <c r="AF102" i="2"/>
  <c r="AG102" i="2"/>
  <c r="AH102" i="2"/>
  <c r="AI102" i="2"/>
  <c r="AJ102" i="2"/>
  <c r="AF115" i="2"/>
  <c r="AG115" i="2"/>
  <c r="AH115" i="2"/>
  <c r="AI115" i="2"/>
  <c r="AJ115" i="2"/>
  <c r="AE115" i="2"/>
  <c r="AH184" i="2"/>
  <c r="AI184" i="2"/>
  <c r="AJ184" i="2"/>
  <c r="AE184" i="2"/>
  <c r="AF184" i="2"/>
  <c r="AG184" i="2"/>
  <c r="AJ141" i="2"/>
  <c r="AE141" i="2"/>
  <c r="AF141" i="2"/>
  <c r="AG141" i="2"/>
  <c r="AH141" i="2"/>
  <c r="AI141" i="2"/>
  <c r="AE226" i="2"/>
  <c r="AF226" i="2"/>
  <c r="AG226" i="2"/>
  <c r="AH226" i="2"/>
  <c r="AI226" i="2"/>
  <c r="AJ226" i="2"/>
  <c r="AE266" i="2"/>
  <c r="AF266" i="2"/>
  <c r="AG266" i="2"/>
  <c r="AH266" i="2"/>
  <c r="AI266" i="2"/>
  <c r="AJ266" i="2"/>
  <c r="U28" i="2"/>
  <c r="V28" i="2" s="1"/>
  <c r="W28" i="2" s="1"/>
  <c r="X28" i="2" s="1"/>
  <c r="W28" i="3" s="1"/>
  <c r="W336" i="2"/>
  <c r="AH336" i="2"/>
  <c r="AI336" i="2"/>
  <c r="AJ336" i="2"/>
  <c r="AE336" i="2"/>
  <c r="AF336" i="2"/>
  <c r="AG336" i="2"/>
  <c r="AF211" i="2"/>
  <c r="AG211" i="2"/>
  <c r="AH211" i="2"/>
  <c r="AI211" i="2"/>
  <c r="AJ211" i="2"/>
  <c r="AE211" i="2"/>
  <c r="AE186" i="2"/>
  <c r="AF186" i="2"/>
  <c r="AG186" i="2"/>
  <c r="AH186" i="2"/>
  <c r="AI186" i="2"/>
  <c r="AJ186" i="2"/>
  <c r="AH272" i="2"/>
  <c r="AI272" i="2"/>
  <c r="AJ272" i="2"/>
  <c r="AE272" i="2"/>
  <c r="AF272" i="2"/>
  <c r="AG272" i="2"/>
  <c r="AH160" i="2"/>
  <c r="AI160" i="2"/>
  <c r="AJ160" i="2"/>
  <c r="AE160" i="2"/>
  <c r="AF160" i="2"/>
  <c r="AG160" i="2"/>
  <c r="AF187" i="2"/>
  <c r="AG187" i="2"/>
  <c r="AH187" i="2"/>
  <c r="AI187" i="2"/>
  <c r="AJ187" i="2"/>
  <c r="AE187" i="2"/>
  <c r="AE286" i="2"/>
  <c r="AF286" i="2"/>
  <c r="AG286" i="2"/>
  <c r="AH286" i="2"/>
  <c r="AI286" i="2"/>
  <c r="AJ286" i="2"/>
  <c r="B31" i="3"/>
  <c r="B315" i="3"/>
  <c r="X186" i="2"/>
  <c r="R94" i="3"/>
  <c r="V114" i="2"/>
  <c r="M114" i="3" s="1"/>
  <c r="X293" i="2"/>
  <c r="U315" i="2"/>
  <c r="H315" i="3" s="1"/>
  <c r="B110" i="3"/>
  <c r="W211" i="2"/>
  <c r="U214" i="2"/>
  <c r="W137" i="2"/>
  <c r="W186" i="2"/>
  <c r="U137" i="2"/>
  <c r="U114" i="2"/>
  <c r="H114" i="3" s="1"/>
  <c r="V271" i="2"/>
  <c r="M271" i="3" s="1"/>
  <c r="X315" i="2"/>
  <c r="U272" i="2"/>
  <c r="H272" i="3" s="1"/>
  <c r="U22" i="2"/>
  <c r="V22" i="2" s="1"/>
  <c r="W22" i="2" s="1"/>
  <c r="X22" i="2" s="1"/>
  <c r="U10" i="2"/>
  <c r="V10" i="2" s="1"/>
  <c r="W10" i="2" s="1"/>
  <c r="X10" i="2" s="1"/>
  <c r="W10" i="3" s="1"/>
  <c r="B234" i="3"/>
  <c r="H234" i="3" s="1"/>
  <c r="B295" i="3"/>
  <c r="AF295" i="2"/>
  <c r="AG295" i="2"/>
  <c r="AH295" i="2"/>
  <c r="AI295" i="2"/>
  <c r="AJ295" i="2"/>
  <c r="AE295" i="2"/>
  <c r="U6" i="2"/>
  <c r="V6" i="2" s="1"/>
  <c r="W6" i="2" s="1"/>
  <c r="X6" i="2" s="1"/>
  <c r="B322" i="3"/>
  <c r="AE322" i="2"/>
  <c r="AF322" i="2"/>
  <c r="AG322" i="2"/>
  <c r="AH322" i="2"/>
  <c r="AI322" i="2"/>
  <c r="AJ322" i="2"/>
  <c r="V343" i="2"/>
  <c r="AF343" i="2"/>
  <c r="AG343" i="2"/>
  <c r="AH343" i="2"/>
  <c r="AI343" i="2"/>
  <c r="AJ343" i="2"/>
  <c r="AE343" i="2"/>
  <c r="U8" i="2"/>
  <c r="V8" i="2" s="1"/>
  <c r="W8" i="2" s="1"/>
  <c r="X8" i="2" s="1"/>
  <c r="W8" i="3" s="1"/>
  <c r="V321" i="2"/>
  <c r="AJ321" i="2"/>
  <c r="AE321" i="2"/>
  <c r="AF321" i="2"/>
  <c r="AG321" i="2"/>
  <c r="AH321" i="2"/>
  <c r="AI321" i="2"/>
  <c r="B313" i="3"/>
  <c r="AJ313" i="2"/>
  <c r="AE313" i="2"/>
  <c r="AF313" i="2"/>
  <c r="AG313" i="2"/>
  <c r="AH313" i="2"/>
  <c r="AI313" i="2"/>
  <c r="AH328" i="2"/>
  <c r="AI328" i="2"/>
  <c r="AJ328" i="2"/>
  <c r="AE328" i="2"/>
  <c r="AG328" i="2"/>
  <c r="AF328" i="2"/>
  <c r="V314" i="2"/>
  <c r="AE314" i="2"/>
  <c r="AF314" i="2"/>
  <c r="AG314" i="2"/>
  <c r="AH314" i="2"/>
  <c r="AI314" i="2"/>
  <c r="AJ314" i="2"/>
  <c r="U19" i="2"/>
  <c r="V19" i="2" s="1"/>
  <c r="W19" i="2" s="1"/>
  <c r="X19" i="2" s="1"/>
  <c r="W19" i="3" s="1"/>
  <c r="AH204" i="2"/>
  <c r="AI204" i="2"/>
  <c r="AJ204" i="2"/>
  <c r="AE204" i="2"/>
  <c r="AF204" i="2"/>
  <c r="AG204" i="2"/>
  <c r="AE158" i="2"/>
  <c r="AF158" i="2"/>
  <c r="AG158" i="2"/>
  <c r="AH158" i="2"/>
  <c r="AI158" i="2"/>
  <c r="AJ158" i="2"/>
  <c r="AE126" i="2"/>
  <c r="AF126" i="2"/>
  <c r="AG126" i="2"/>
  <c r="AH126" i="2"/>
  <c r="AI126" i="2"/>
  <c r="AJ126" i="2"/>
  <c r="AJ265" i="2"/>
  <c r="AE265" i="2"/>
  <c r="AF265" i="2"/>
  <c r="AG265" i="2"/>
  <c r="AH265" i="2"/>
  <c r="AI265" i="2"/>
  <c r="AJ233" i="2"/>
  <c r="AE233" i="2"/>
  <c r="AF233" i="2"/>
  <c r="AG233" i="2"/>
  <c r="AH233" i="2"/>
  <c r="AI233" i="2"/>
  <c r="AE154" i="2"/>
  <c r="AF154" i="2"/>
  <c r="AG154" i="2"/>
  <c r="AH154" i="2"/>
  <c r="AI154" i="2"/>
  <c r="AJ154" i="2"/>
  <c r="AH100" i="2"/>
  <c r="AI100" i="2"/>
  <c r="AJ100" i="2"/>
  <c r="AE100" i="2"/>
  <c r="AF100" i="2"/>
  <c r="AG100" i="2"/>
  <c r="AF203" i="2"/>
  <c r="AG203" i="2"/>
  <c r="AH203" i="2"/>
  <c r="AI203" i="2"/>
  <c r="AJ203" i="2"/>
  <c r="AE203" i="2"/>
  <c r="AH164" i="2"/>
  <c r="AI164" i="2"/>
  <c r="AJ164" i="2"/>
  <c r="AE164" i="2"/>
  <c r="AF164" i="2"/>
  <c r="AG164" i="2"/>
  <c r="AH264" i="2"/>
  <c r="AI264" i="2"/>
  <c r="AJ264" i="2"/>
  <c r="AE264" i="2"/>
  <c r="AF264" i="2"/>
  <c r="AG264" i="2"/>
  <c r="AH232" i="2"/>
  <c r="AI232" i="2"/>
  <c r="AJ232" i="2"/>
  <c r="AE232" i="2"/>
  <c r="AF232" i="2"/>
  <c r="AG232" i="2"/>
  <c r="AE146" i="2"/>
  <c r="AF146" i="2"/>
  <c r="AG146" i="2"/>
  <c r="AH146" i="2"/>
  <c r="AI146" i="2"/>
  <c r="AJ146" i="2"/>
  <c r="AF99" i="2"/>
  <c r="AG99" i="2"/>
  <c r="AH99" i="2"/>
  <c r="AI99" i="2"/>
  <c r="AJ99" i="2"/>
  <c r="AE99" i="2"/>
  <c r="AH192" i="2"/>
  <c r="AI192" i="2"/>
  <c r="AJ192" i="2"/>
  <c r="AE192" i="2"/>
  <c r="AF192" i="2"/>
  <c r="AG192" i="2"/>
  <c r="AJ149" i="2"/>
  <c r="AE149" i="2"/>
  <c r="AF149" i="2"/>
  <c r="AG149" i="2"/>
  <c r="AH149" i="2"/>
  <c r="AI149" i="2"/>
  <c r="AF263" i="2"/>
  <c r="AG263" i="2"/>
  <c r="AH263" i="2"/>
  <c r="AI263" i="2"/>
  <c r="AJ263" i="2"/>
  <c r="AE263" i="2"/>
  <c r="AF231" i="2"/>
  <c r="AG231" i="2"/>
  <c r="AH231" i="2"/>
  <c r="AI231" i="2"/>
  <c r="AJ231" i="2"/>
  <c r="AE231" i="2"/>
  <c r="AE138" i="2"/>
  <c r="AF138" i="2"/>
  <c r="AG138" i="2"/>
  <c r="AH138" i="2"/>
  <c r="AI138" i="2"/>
  <c r="AJ138" i="2"/>
  <c r="AF95" i="2"/>
  <c r="AG95" i="2"/>
  <c r="AH95" i="2"/>
  <c r="AI95" i="2"/>
  <c r="AJ95" i="2"/>
  <c r="AE95" i="2"/>
  <c r="AF219" i="2"/>
  <c r="AG219" i="2"/>
  <c r="AH219" i="2"/>
  <c r="AI219" i="2"/>
  <c r="AJ219" i="2"/>
  <c r="AE219" i="2"/>
  <c r="AH180" i="2"/>
  <c r="AI180" i="2"/>
  <c r="AJ180" i="2"/>
  <c r="AE180" i="2"/>
  <c r="AF180" i="2"/>
  <c r="AG180" i="2"/>
  <c r="AE130" i="2"/>
  <c r="AF130" i="2"/>
  <c r="AG130" i="2"/>
  <c r="AH130" i="2"/>
  <c r="AI130" i="2"/>
  <c r="AJ130" i="2"/>
  <c r="AE258" i="2"/>
  <c r="AF258" i="2"/>
  <c r="AG258" i="2"/>
  <c r="AH258" i="2"/>
  <c r="AI258" i="2"/>
  <c r="AJ258" i="2"/>
  <c r="AE270" i="2"/>
  <c r="AF270" i="2"/>
  <c r="AG270" i="2"/>
  <c r="AH270" i="2"/>
  <c r="AI270" i="2"/>
  <c r="AJ270" i="2"/>
  <c r="U9" i="2"/>
  <c r="V9" i="2" s="1"/>
  <c r="W9" i="2" s="1"/>
  <c r="X9" i="2" s="1"/>
  <c r="W9" i="3" s="1"/>
  <c r="B293" i="3"/>
  <c r="R293" i="3" s="1"/>
  <c r="AJ293" i="2"/>
  <c r="AE293" i="2"/>
  <c r="AF293" i="2"/>
  <c r="AG293" i="2"/>
  <c r="AH293" i="2"/>
  <c r="AI293" i="2"/>
  <c r="AH240" i="2"/>
  <c r="AI240" i="2"/>
  <c r="AJ240" i="2"/>
  <c r="AE240" i="2"/>
  <c r="AF240" i="2"/>
  <c r="AG240" i="2"/>
  <c r="AH148" i="2"/>
  <c r="AI148" i="2"/>
  <c r="AJ148" i="2"/>
  <c r="AE148" i="2"/>
  <c r="AF148" i="2"/>
  <c r="AG148" i="2"/>
  <c r="B211" i="3"/>
  <c r="B137" i="3"/>
  <c r="V211" i="2"/>
  <c r="M211" i="3" s="1"/>
  <c r="X137" i="2"/>
  <c r="X336" i="2"/>
  <c r="W336" i="3" s="1"/>
  <c r="V293" i="2"/>
  <c r="W315" i="2"/>
  <c r="R315" i="3" s="1"/>
  <c r="X272" i="2"/>
  <c r="W272" i="3" s="1"/>
  <c r="U7" i="2"/>
  <c r="V7" i="2" s="1"/>
  <c r="W7" i="2" s="1"/>
  <c r="X7" i="2" s="1"/>
  <c r="W7" i="3" s="1"/>
  <c r="U348" i="2"/>
  <c r="AH348" i="2"/>
  <c r="AI348" i="2"/>
  <c r="AJ348" i="2"/>
  <c r="AE348" i="2"/>
  <c r="AF348" i="2"/>
  <c r="AG348" i="2"/>
  <c r="B307" i="3"/>
  <c r="AF307" i="2"/>
  <c r="AG307" i="2"/>
  <c r="AH307" i="2"/>
  <c r="AI307" i="2"/>
  <c r="AJ307" i="2"/>
  <c r="AE307" i="2"/>
  <c r="V338" i="2"/>
  <c r="AE338" i="2"/>
  <c r="AF338" i="2"/>
  <c r="AG338" i="2"/>
  <c r="AH338" i="2"/>
  <c r="AI338" i="2"/>
  <c r="AJ338" i="2"/>
  <c r="U5" i="2"/>
  <c r="V5" i="2" s="1"/>
  <c r="W5" i="2" s="1"/>
  <c r="X5" i="2" s="1"/>
  <c r="W5" i="3" s="1"/>
  <c r="U306" i="2"/>
  <c r="H306" i="3" s="1"/>
  <c r="AE306" i="2"/>
  <c r="AF306" i="2"/>
  <c r="AG306" i="2"/>
  <c r="AH306" i="2"/>
  <c r="AI306" i="2"/>
  <c r="AJ306" i="2"/>
  <c r="B148" i="3"/>
  <c r="H148" i="3" s="1"/>
  <c r="B309" i="3"/>
  <c r="W309" i="3" s="1"/>
  <c r="AJ309" i="2"/>
  <c r="AE309" i="2"/>
  <c r="AF309" i="2"/>
  <c r="AG309" i="2"/>
  <c r="AH309" i="2"/>
  <c r="AI309" i="2"/>
  <c r="W324" i="2"/>
  <c r="AH324" i="2"/>
  <c r="AI324" i="2"/>
  <c r="AJ324" i="2"/>
  <c r="AE324" i="2"/>
  <c r="AF324" i="2"/>
  <c r="AG324" i="2"/>
  <c r="B171" i="3"/>
  <c r="H171" i="3" s="1"/>
  <c r="W327" i="2"/>
  <c r="AF327" i="2"/>
  <c r="AG327" i="2"/>
  <c r="AH327" i="2"/>
  <c r="AI327" i="2"/>
  <c r="AJ327" i="2"/>
  <c r="AE327" i="2"/>
  <c r="B186" i="3"/>
  <c r="H186" i="3" s="1"/>
  <c r="V272" i="2"/>
  <c r="M272" i="3" s="1"/>
  <c r="U25" i="2"/>
  <c r="V25" i="2" s="1"/>
  <c r="W25" i="2" s="1"/>
  <c r="X25" i="2" s="1"/>
  <c r="W25" i="3" s="1"/>
  <c r="U310" i="2"/>
  <c r="AE310" i="2"/>
  <c r="AF310" i="2"/>
  <c r="AG310" i="2"/>
  <c r="AH310" i="2"/>
  <c r="AI310" i="2"/>
  <c r="AJ310" i="2"/>
  <c r="B109" i="3"/>
  <c r="U15" i="2"/>
  <c r="V15" i="2" s="1"/>
  <c r="W15" i="2" s="1"/>
  <c r="X15" i="2" s="1"/>
  <c r="B119" i="3"/>
  <c r="AF119" i="2"/>
  <c r="AG119" i="2"/>
  <c r="AH119" i="2"/>
  <c r="AI119" i="2"/>
  <c r="AJ119" i="2"/>
  <c r="AE119" i="2"/>
  <c r="X197" i="2"/>
  <c r="AJ197" i="2"/>
  <c r="AE197" i="2"/>
  <c r="AF197" i="2"/>
  <c r="AG197" i="2"/>
  <c r="AH197" i="2"/>
  <c r="AI197" i="2"/>
  <c r="AF151" i="2"/>
  <c r="AG151" i="2"/>
  <c r="AH151" i="2"/>
  <c r="AI151" i="2"/>
  <c r="AJ151" i="2"/>
  <c r="AE151" i="2"/>
  <c r="B101" i="3"/>
  <c r="AJ101" i="2"/>
  <c r="AE101" i="2"/>
  <c r="AF101" i="2"/>
  <c r="AG101" i="2"/>
  <c r="AH101" i="2"/>
  <c r="AI101" i="2"/>
  <c r="V261" i="2"/>
  <c r="AJ261" i="2"/>
  <c r="AE261" i="2"/>
  <c r="AF261" i="2"/>
  <c r="AG261" i="2"/>
  <c r="AH261" i="2"/>
  <c r="AI261" i="2"/>
  <c r="B229" i="3"/>
  <c r="AJ229" i="2"/>
  <c r="AE229" i="2"/>
  <c r="AF229" i="2"/>
  <c r="AG229" i="2"/>
  <c r="AH229" i="2"/>
  <c r="AI229" i="2"/>
  <c r="AH136" i="2"/>
  <c r="AI136" i="2"/>
  <c r="AJ136" i="2"/>
  <c r="AE136" i="2"/>
  <c r="AF136" i="2"/>
  <c r="AG136" i="2"/>
  <c r="B93" i="3"/>
  <c r="AJ93" i="2"/>
  <c r="AI93" i="2"/>
  <c r="AH93" i="2"/>
  <c r="AG93" i="2"/>
  <c r="AF93" i="2"/>
  <c r="AE93" i="2"/>
  <c r="W200" i="2"/>
  <c r="AH200" i="2"/>
  <c r="AI200" i="2"/>
  <c r="AJ200" i="2"/>
  <c r="AE200" i="2"/>
  <c r="AF200" i="2"/>
  <c r="AG200" i="2"/>
  <c r="AJ157" i="2"/>
  <c r="AE157" i="2"/>
  <c r="AF157" i="2"/>
  <c r="AG157" i="2"/>
  <c r="AH157" i="2"/>
  <c r="AI157" i="2"/>
  <c r="B292" i="3"/>
  <c r="AH292" i="2"/>
  <c r="AI292" i="2"/>
  <c r="AJ292" i="2"/>
  <c r="AE292" i="2"/>
  <c r="AF292" i="2"/>
  <c r="AG292" i="2"/>
  <c r="X260" i="2"/>
  <c r="AH260" i="2"/>
  <c r="AI260" i="2"/>
  <c r="AJ260" i="2"/>
  <c r="AE260" i="2"/>
  <c r="AF260" i="2"/>
  <c r="AG260" i="2"/>
  <c r="AH228" i="2"/>
  <c r="AI228" i="2"/>
  <c r="AJ228" i="2"/>
  <c r="AE228" i="2"/>
  <c r="AF228" i="2"/>
  <c r="AG228" i="2"/>
  <c r="B135" i="3"/>
  <c r="AF135" i="2"/>
  <c r="AG135" i="2"/>
  <c r="AH135" i="2"/>
  <c r="AI135" i="2"/>
  <c r="AJ135" i="2"/>
  <c r="AE135" i="2"/>
  <c r="W96" i="2"/>
  <c r="AH96" i="2"/>
  <c r="AI96" i="2"/>
  <c r="AJ96" i="2"/>
  <c r="AE96" i="2"/>
  <c r="AF96" i="2"/>
  <c r="AG96" i="2"/>
  <c r="B133" i="3"/>
  <c r="AJ133" i="2"/>
  <c r="AE133" i="2"/>
  <c r="AF133" i="2"/>
  <c r="AG133" i="2"/>
  <c r="AH133" i="2"/>
  <c r="AI133" i="2"/>
  <c r="B188" i="3"/>
  <c r="AH188" i="2"/>
  <c r="AI188" i="2"/>
  <c r="AJ188" i="2"/>
  <c r="AE188" i="2"/>
  <c r="AF188" i="2"/>
  <c r="AG188" i="2"/>
  <c r="V142" i="2"/>
  <c r="AE142" i="2"/>
  <c r="AF142" i="2"/>
  <c r="AG142" i="2"/>
  <c r="AH142" i="2"/>
  <c r="AI142" i="2"/>
  <c r="AJ142" i="2"/>
  <c r="AF291" i="2"/>
  <c r="AG291" i="2"/>
  <c r="AH291" i="2"/>
  <c r="AI291" i="2"/>
  <c r="AJ291" i="2"/>
  <c r="AE291" i="2"/>
  <c r="V259" i="2"/>
  <c r="M259" i="3" s="1"/>
  <c r="AF259" i="2"/>
  <c r="AG259" i="2"/>
  <c r="AH259" i="2"/>
  <c r="AI259" i="2"/>
  <c r="AJ259" i="2"/>
  <c r="AE259" i="2"/>
  <c r="B227" i="3"/>
  <c r="AF227" i="2"/>
  <c r="AG227" i="2"/>
  <c r="AH227" i="2"/>
  <c r="AI227" i="2"/>
  <c r="AJ227" i="2"/>
  <c r="AE227" i="2"/>
  <c r="B134" i="3"/>
  <c r="AE134" i="2"/>
  <c r="AF134" i="2"/>
  <c r="AG134" i="2"/>
  <c r="AH134" i="2"/>
  <c r="AI134" i="2"/>
  <c r="AJ134" i="2"/>
  <c r="U216" i="2"/>
  <c r="AH216" i="2"/>
  <c r="AI216" i="2"/>
  <c r="AJ216" i="2"/>
  <c r="AE216" i="2"/>
  <c r="AF216" i="2"/>
  <c r="AG216" i="2"/>
  <c r="V173" i="2"/>
  <c r="AJ173" i="2"/>
  <c r="AE173" i="2"/>
  <c r="AF173" i="2"/>
  <c r="AG173" i="2"/>
  <c r="AH173" i="2"/>
  <c r="AI173" i="2"/>
  <c r="U105" i="2"/>
  <c r="AJ105" i="2"/>
  <c r="AE105" i="2"/>
  <c r="AF105" i="2"/>
  <c r="AG105" i="2"/>
  <c r="AH105" i="2"/>
  <c r="AI105" i="2"/>
  <c r="AE290" i="2"/>
  <c r="AF290" i="2"/>
  <c r="AG290" i="2"/>
  <c r="AH290" i="2"/>
  <c r="AI290" i="2"/>
  <c r="AJ290" i="2"/>
  <c r="AF239" i="2"/>
  <c r="AG239" i="2"/>
  <c r="AH239" i="2"/>
  <c r="AI239" i="2"/>
  <c r="AJ239" i="2"/>
  <c r="AE239" i="2"/>
  <c r="X172" i="2"/>
  <c r="W172" i="3" s="1"/>
  <c r="H281" i="3"/>
  <c r="V336" i="2"/>
  <c r="W300" i="2"/>
  <c r="R300" i="3" s="1"/>
  <c r="V315" i="2"/>
  <c r="M315" i="3" s="1"/>
  <c r="U32" i="2"/>
  <c r="V32" i="2" s="1"/>
  <c r="W32" i="2" s="1"/>
  <c r="X32" i="2" s="1"/>
  <c r="W32" i="3" s="1"/>
  <c r="V345" i="2"/>
  <c r="AJ345" i="2"/>
  <c r="AE345" i="2"/>
  <c r="AF345" i="2"/>
  <c r="AG345" i="2"/>
  <c r="AH345" i="2"/>
  <c r="AI345" i="2"/>
  <c r="AH344" i="2"/>
  <c r="AI344" i="2"/>
  <c r="AJ344" i="2"/>
  <c r="AE344" i="2"/>
  <c r="AF344" i="2"/>
  <c r="AG344" i="2"/>
  <c r="U27" i="2"/>
  <c r="V27" i="2" s="1"/>
  <c r="W27" i="2" s="1"/>
  <c r="X27" i="2" s="1"/>
  <c r="V331" i="2"/>
  <c r="M331" i="3" s="1"/>
  <c r="AF331" i="2"/>
  <c r="AG331" i="2"/>
  <c r="AH331" i="2"/>
  <c r="AI331" i="2"/>
  <c r="AJ331" i="2"/>
  <c r="AE331" i="2"/>
  <c r="U350" i="2"/>
  <c r="H350" i="3" s="1"/>
  <c r="AE350" i="2"/>
  <c r="AF350" i="2"/>
  <c r="AG350" i="2"/>
  <c r="AH350" i="2"/>
  <c r="AI350" i="2"/>
  <c r="AJ350" i="2"/>
  <c r="X302" i="2"/>
  <c r="AE302" i="2"/>
  <c r="AF302" i="2"/>
  <c r="AG302" i="2"/>
  <c r="AH302" i="2"/>
  <c r="AI302" i="2"/>
  <c r="AJ302" i="2"/>
  <c r="AH320" i="2"/>
  <c r="AI320" i="2"/>
  <c r="AJ320" i="2"/>
  <c r="AE320" i="2"/>
  <c r="AF320" i="2"/>
  <c r="AG320" i="2"/>
  <c r="B323" i="3"/>
  <c r="R323" i="3" s="1"/>
  <c r="AF323" i="2"/>
  <c r="AG323" i="2"/>
  <c r="AH323" i="2"/>
  <c r="AI323" i="2"/>
  <c r="AJ323" i="2"/>
  <c r="AE323" i="2"/>
  <c r="AH316" i="2"/>
  <c r="AI316" i="2"/>
  <c r="AJ316" i="2"/>
  <c r="AE316" i="2"/>
  <c r="AF316" i="2"/>
  <c r="AG316" i="2"/>
  <c r="AE94" i="2"/>
  <c r="AF94" i="2"/>
  <c r="AG94" i="2"/>
  <c r="AH94" i="2"/>
  <c r="AI94" i="2"/>
  <c r="AJ94" i="2"/>
  <c r="AE190" i="2"/>
  <c r="AF190" i="2"/>
  <c r="AG190" i="2"/>
  <c r="AH190" i="2"/>
  <c r="AI190" i="2"/>
  <c r="AJ190" i="2"/>
  <c r="AF147" i="2"/>
  <c r="AG147" i="2"/>
  <c r="AH147" i="2"/>
  <c r="AI147" i="2"/>
  <c r="AJ147" i="2"/>
  <c r="AE147" i="2"/>
  <c r="AJ289" i="2"/>
  <c r="AE289" i="2"/>
  <c r="AF289" i="2"/>
  <c r="AG289" i="2"/>
  <c r="AH289" i="2"/>
  <c r="AI289" i="2"/>
  <c r="AJ257" i="2"/>
  <c r="AE257" i="2"/>
  <c r="AF257" i="2"/>
  <c r="AG257" i="2"/>
  <c r="AH257" i="2"/>
  <c r="AI257" i="2"/>
  <c r="AJ225" i="2"/>
  <c r="AE225" i="2"/>
  <c r="AF225" i="2"/>
  <c r="AG225" i="2"/>
  <c r="AH225" i="2"/>
  <c r="AI225" i="2"/>
  <c r="AH132" i="2"/>
  <c r="AI132" i="2"/>
  <c r="AJ132" i="2"/>
  <c r="AE132" i="2"/>
  <c r="AF132" i="2"/>
  <c r="AG132" i="2"/>
  <c r="AH196" i="2"/>
  <c r="AI196" i="2"/>
  <c r="AJ196" i="2"/>
  <c r="AE196" i="2"/>
  <c r="AF196" i="2"/>
  <c r="AG196" i="2"/>
  <c r="AE150" i="2"/>
  <c r="AF150" i="2"/>
  <c r="AG150" i="2"/>
  <c r="AH150" i="2"/>
  <c r="AI150" i="2"/>
  <c r="AJ150" i="2"/>
  <c r="AH288" i="2"/>
  <c r="AI288" i="2"/>
  <c r="AJ288" i="2"/>
  <c r="AE288" i="2"/>
  <c r="AF288" i="2"/>
  <c r="AG288" i="2"/>
  <c r="AH256" i="2"/>
  <c r="AI256" i="2"/>
  <c r="AJ256" i="2"/>
  <c r="AE256" i="2"/>
  <c r="AF256" i="2"/>
  <c r="AG256" i="2"/>
  <c r="AH224" i="2"/>
  <c r="AI224" i="2"/>
  <c r="AJ224" i="2"/>
  <c r="AE224" i="2"/>
  <c r="AF224" i="2"/>
  <c r="AG224" i="2"/>
  <c r="AF131" i="2"/>
  <c r="AG131" i="2"/>
  <c r="AH131" i="2"/>
  <c r="AI131" i="2"/>
  <c r="AJ131" i="2"/>
  <c r="AE131" i="2"/>
  <c r="AH112" i="2"/>
  <c r="AI112" i="2"/>
  <c r="AJ112" i="2"/>
  <c r="AE112" i="2"/>
  <c r="AF112" i="2"/>
  <c r="AG112" i="2"/>
  <c r="AJ181" i="2"/>
  <c r="AE181" i="2"/>
  <c r="AF181" i="2"/>
  <c r="AG181" i="2"/>
  <c r="AH181" i="2"/>
  <c r="AI181" i="2"/>
  <c r="AJ113" i="2"/>
  <c r="AE113" i="2"/>
  <c r="AF113" i="2"/>
  <c r="AG113" i="2"/>
  <c r="AH113" i="2"/>
  <c r="AI113" i="2"/>
  <c r="AF287" i="2"/>
  <c r="AG287" i="2"/>
  <c r="AH287" i="2"/>
  <c r="AI287" i="2"/>
  <c r="AJ287" i="2"/>
  <c r="AE287" i="2"/>
  <c r="AF255" i="2"/>
  <c r="AG255" i="2"/>
  <c r="AH255" i="2"/>
  <c r="AI255" i="2"/>
  <c r="AJ255" i="2"/>
  <c r="AE255" i="2"/>
  <c r="AF223" i="2"/>
  <c r="AG223" i="2"/>
  <c r="AH223" i="2"/>
  <c r="AI223" i="2"/>
  <c r="AJ223" i="2"/>
  <c r="AE223" i="2"/>
  <c r="AF127" i="2"/>
  <c r="AG127" i="2"/>
  <c r="AH127" i="2"/>
  <c r="AI127" i="2"/>
  <c r="AJ127" i="2"/>
  <c r="AE127" i="2"/>
  <c r="AH212" i="2"/>
  <c r="AI212" i="2"/>
  <c r="AJ212" i="2"/>
  <c r="AE212" i="2"/>
  <c r="AF212" i="2"/>
  <c r="AG212" i="2"/>
  <c r="AE166" i="2"/>
  <c r="AF166" i="2"/>
  <c r="AG166" i="2"/>
  <c r="AH166" i="2"/>
  <c r="AI166" i="2"/>
  <c r="AJ166" i="2"/>
  <c r="AE98" i="2"/>
  <c r="AF98" i="2"/>
  <c r="AG98" i="2"/>
  <c r="AH98" i="2"/>
  <c r="AI98" i="2"/>
  <c r="AJ98" i="2"/>
  <c r="AE282" i="2"/>
  <c r="AF282" i="2"/>
  <c r="AG282" i="2"/>
  <c r="AH282" i="2"/>
  <c r="AI282" i="2"/>
  <c r="AJ282" i="2"/>
  <c r="AJ201" i="2"/>
  <c r="AE201" i="2"/>
  <c r="AF201" i="2"/>
  <c r="AG201" i="2"/>
  <c r="AH201" i="2"/>
  <c r="AI201" i="2"/>
  <c r="AE250" i="2"/>
  <c r="AF250" i="2"/>
  <c r="AG250" i="2"/>
  <c r="AH250" i="2"/>
  <c r="AI250" i="2"/>
  <c r="AJ250" i="2"/>
  <c r="H88" i="3"/>
  <c r="M56" i="3"/>
  <c r="B32" i="3"/>
  <c r="X96" i="2"/>
  <c r="R97" i="3"/>
  <c r="X105" i="2"/>
  <c r="X259" i="2"/>
  <c r="W259" i="3" s="1"/>
  <c r="X319" i="2"/>
  <c r="X261" i="2"/>
  <c r="B261" i="3"/>
  <c r="B142" i="3"/>
  <c r="M97" i="3"/>
  <c r="V216" i="2"/>
  <c r="W259" i="2"/>
  <c r="R259" i="3" s="1"/>
  <c r="W319" i="2"/>
  <c r="W261" i="2"/>
  <c r="B173" i="3"/>
  <c r="B15" i="3"/>
  <c r="B6" i="3"/>
  <c r="W142" i="2"/>
  <c r="U135" i="2"/>
  <c r="H263" i="3"/>
  <c r="H265" i="3"/>
  <c r="U101" i="2"/>
  <c r="V119" i="2"/>
  <c r="M119" i="3" s="1"/>
  <c r="W263" i="3"/>
  <c r="W265" i="3"/>
  <c r="B44" i="3"/>
  <c r="X119" i="2"/>
  <c r="W119" i="3" s="1"/>
  <c r="B216" i="3"/>
  <c r="W97" i="3"/>
  <c r="V105" i="2"/>
  <c r="W119" i="2"/>
  <c r="R119" i="3" s="1"/>
  <c r="X322" i="2"/>
  <c r="R265" i="3"/>
  <c r="B105" i="3"/>
  <c r="V135" i="2"/>
  <c r="H97" i="3"/>
  <c r="H213" i="3"/>
  <c r="V319" i="2"/>
  <c r="M102" i="3"/>
  <c r="W322" i="2"/>
  <c r="M265" i="3"/>
  <c r="S136" i="2" a="1"/>
  <c r="S136" i="2" s="1"/>
  <c r="S61" i="2" a="1"/>
  <c r="S61" i="2" s="1"/>
  <c r="AE61" i="2" s="1"/>
  <c r="S83" i="2" a="1"/>
  <c r="S83" i="2" s="1"/>
  <c r="S87" i="2" a="1"/>
  <c r="S87" i="2" s="1"/>
  <c r="S94" i="2" a="1"/>
  <c r="S94" i="2" s="1"/>
  <c r="S101" i="2" a="1"/>
  <c r="S101" i="2" s="1"/>
  <c r="S108" i="2" a="1"/>
  <c r="S108" i="2" s="1"/>
  <c r="S115" i="2" a="1"/>
  <c r="S115" i="2" s="1"/>
  <c r="S119" i="2" a="1"/>
  <c r="S119" i="2" s="1"/>
  <c r="S126" i="2" a="1"/>
  <c r="S126" i="2" s="1"/>
  <c r="S133" i="2" a="1"/>
  <c r="S133" i="2" s="1"/>
  <c r="S137" i="2" a="1"/>
  <c r="S137" i="2" s="1"/>
  <c r="S144" i="2" a="1"/>
  <c r="S144" i="2" s="1"/>
  <c r="S162" i="2" a="1"/>
  <c r="S162" i="2" s="1"/>
  <c r="S169" i="2" a="1"/>
  <c r="S169" i="2" s="1"/>
  <c r="S176" i="2" a="1"/>
  <c r="S176" i="2" s="1"/>
  <c r="S194" i="2" a="1"/>
  <c r="S194" i="2" s="1"/>
  <c r="S201" i="2" a="1"/>
  <c r="S201" i="2" s="1"/>
  <c r="S208" i="2" a="1"/>
  <c r="S208" i="2" s="1"/>
  <c r="S222" i="2" a="1"/>
  <c r="S222" i="2" s="1"/>
  <c r="S226" i="2" a="1"/>
  <c r="S226" i="2" s="1"/>
  <c r="S230" i="2" a="1"/>
  <c r="S230" i="2" s="1"/>
  <c r="S234" i="2" a="1"/>
  <c r="S234" i="2" s="1"/>
  <c r="S238" i="2" a="1"/>
  <c r="S238" i="2" s="1"/>
  <c r="S242" i="2" a="1"/>
  <c r="S242" i="2" s="1"/>
  <c r="S246" i="2" a="1"/>
  <c r="S246" i="2" s="1"/>
  <c r="S250" i="2" a="1"/>
  <c r="S250" i="2" s="1"/>
  <c r="S254" i="2" a="1"/>
  <c r="S254" i="2" s="1"/>
  <c r="S258" i="2" a="1"/>
  <c r="S258" i="2" s="1"/>
  <c r="S262" i="2" a="1"/>
  <c r="S262" i="2" s="1"/>
  <c r="S266" i="2" a="1"/>
  <c r="S266" i="2" s="1"/>
  <c r="S270" i="2" a="1"/>
  <c r="S270" i="2" s="1"/>
  <c r="S274" i="2" a="1"/>
  <c r="S274" i="2" s="1"/>
  <c r="S278" i="2" a="1"/>
  <c r="S278" i="2" s="1"/>
  <c r="S282" i="2" a="1"/>
  <c r="S282" i="2" s="1"/>
  <c r="S286" i="2" a="1"/>
  <c r="S286" i="2" s="1"/>
  <c r="S290" i="2" a="1"/>
  <c r="S290" i="2" s="1"/>
  <c r="S256" i="2" a="1"/>
  <c r="S256" i="2" s="1"/>
  <c r="S272" i="2" a="1"/>
  <c r="S272" i="2" s="1"/>
  <c r="S288" i="2" a="1"/>
  <c r="S288" i="2" s="1"/>
  <c r="S147" i="2" a="1"/>
  <c r="S147" i="2" s="1"/>
  <c r="S50" i="2" a="1"/>
  <c r="S50" i="2" s="1"/>
  <c r="S54" i="2" a="1"/>
  <c r="S54" i="2" s="1"/>
  <c r="S58" i="2" a="1"/>
  <c r="S58" i="2" s="1"/>
  <c r="S65" i="2" a="1"/>
  <c r="S65" i="2" s="1"/>
  <c r="S69" i="2" a="1"/>
  <c r="S69" i="2" s="1"/>
  <c r="AE69" i="2" s="1"/>
  <c r="AF69" i="2" s="1"/>
  <c r="AG69" i="2" s="1"/>
  <c r="AI69" i="2" s="1"/>
  <c r="S76" i="2" a="1"/>
  <c r="S76" i="2" s="1"/>
  <c r="AE76" i="2" s="1"/>
  <c r="AF76" i="2" s="1"/>
  <c r="AG76" i="2" s="1"/>
  <c r="S80" i="2" a="1"/>
  <c r="S80" i="2" s="1"/>
  <c r="AE80" i="2" s="1"/>
  <c r="AF80" i="2" s="1"/>
  <c r="AG80" i="2" s="1"/>
  <c r="S98" i="2" a="1"/>
  <c r="S98" i="2" s="1"/>
  <c r="S105" i="2" a="1"/>
  <c r="S105" i="2" s="1"/>
  <c r="S112" i="2" a="1"/>
  <c r="S112" i="2" s="1"/>
  <c r="S130" i="2" a="1"/>
  <c r="S130" i="2" s="1"/>
  <c r="S141" i="2" a="1"/>
  <c r="S141" i="2" s="1"/>
  <c r="S148" i="2" a="1"/>
  <c r="S148" i="2" s="1"/>
  <c r="S155" i="2" a="1"/>
  <c r="S155" i="2" s="1"/>
  <c r="S159" i="2" a="1"/>
  <c r="S159" i="2" s="1"/>
  <c r="S166" i="2" a="1"/>
  <c r="S166" i="2" s="1"/>
  <c r="S173" i="2" a="1"/>
  <c r="S173" i="2" s="1"/>
  <c r="S180" i="2" a="1"/>
  <c r="S180" i="2" s="1"/>
  <c r="S187" i="2" a="1"/>
  <c r="S187" i="2" s="1"/>
  <c r="S191" i="2" a="1"/>
  <c r="S191" i="2" s="1"/>
  <c r="S198" i="2" a="1"/>
  <c r="S198" i="2" s="1"/>
  <c r="S205" i="2" a="1"/>
  <c r="S205" i="2" s="1"/>
  <c r="S212" i="2" a="1"/>
  <c r="S212" i="2" s="1"/>
  <c r="S219" i="2" a="1"/>
  <c r="S219" i="2" s="1"/>
  <c r="S260" i="2" a="1"/>
  <c r="S260" i="2" s="1"/>
  <c r="S276" i="2" a="1"/>
  <c r="S276" i="2" s="1"/>
  <c r="S292" i="2" a="1"/>
  <c r="S292" i="2" s="1"/>
  <c r="S122" i="2" a="1"/>
  <c r="S122" i="2" s="1"/>
  <c r="S151" i="2" a="1"/>
  <c r="S151" i="2" s="1"/>
  <c r="S179" i="2" a="1"/>
  <c r="S179" i="2" s="1"/>
  <c r="S47" i="2" a="1"/>
  <c r="S47" i="2" s="1"/>
  <c r="AE47" i="2" s="1"/>
  <c r="S62" i="2" a="1"/>
  <c r="S62" i="2" s="1"/>
  <c r="AE62" i="2" s="1"/>
  <c r="AF62" i="2" s="1"/>
  <c r="AG62" i="2" s="1"/>
  <c r="AI62" i="2" s="1"/>
  <c r="S73" i="2" a="1"/>
  <c r="S73" i="2" s="1"/>
  <c r="S84" i="2" a="1"/>
  <c r="S84" i="2" s="1"/>
  <c r="AE84" i="2" s="1"/>
  <c r="AF84" i="2" s="1"/>
  <c r="AG84" i="2" s="1"/>
  <c r="S91" i="2" a="1"/>
  <c r="S91" i="2" s="1"/>
  <c r="AE91" i="2" s="1"/>
  <c r="AF91" i="2" s="1"/>
  <c r="AG91" i="2" s="1"/>
  <c r="AI91" i="2" s="1"/>
  <c r="S95" i="2" a="1"/>
  <c r="S95" i="2" s="1"/>
  <c r="S102" i="2" a="1"/>
  <c r="S102" i="2" s="1"/>
  <c r="S109" i="2" a="1"/>
  <c r="S109" i="2" s="1"/>
  <c r="S116" i="2" a="1"/>
  <c r="S116" i="2" s="1"/>
  <c r="S123" i="2" a="1"/>
  <c r="S123" i="2" s="1"/>
  <c r="S127" i="2" a="1"/>
  <c r="S127" i="2" s="1"/>
  <c r="S134" i="2" a="1"/>
  <c r="S134" i="2" s="1"/>
  <c r="S138" i="2" a="1"/>
  <c r="S138" i="2" s="1"/>
  <c r="S145" i="2" a="1"/>
  <c r="S145" i="2" s="1"/>
  <c r="S152" i="2" a="1"/>
  <c r="S152" i="2" s="1"/>
  <c r="S170" i="2" a="1"/>
  <c r="S170" i="2" s="1"/>
  <c r="S177" i="2" a="1"/>
  <c r="S177" i="2" s="1"/>
  <c r="S184" i="2" a="1"/>
  <c r="S184" i="2" s="1"/>
  <c r="S202" i="2" a="1"/>
  <c r="S202" i="2" s="1"/>
  <c r="S209" i="2" a="1"/>
  <c r="S209" i="2" s="1"/>
  <c r="S216" i="2" a="1"/>
  <c r="S216" i="2" s="1"/>
  <c r="S223" i="2" a="1"/>
  <c r="S223" i="2" s="1"/>
  <c r="S227" i="2" a="1"/>
  <c r="S227" i="2" s="1"/>
  <c r="S231" i="2" a="1"/>
  <c r="S231" i="2" s="1"/>
  <c r="S235" i="2" a="1"/>
  <c r="S235" i="2" s="1"/>
  <c r="S239" i="2" a="1"/>
  <c r="S239" i="2" s="1"/>
  <c r="S243" i="2" a="1"/>
  <c r="S243" i="2" s="1"/>
  <c r="S247" i="2" a="1"/>
  <c r="S247" i="2" s="1"/>
  <c r="S251" i="2" a="1"/>
  <c r="S251" i="2" s="1"/>
  <c r="S255" i="2" a="1"/>
  <c r="S255" i="2" s="1"/>
  <c r="S259" i="2" a="1"/>
  <c r="S259" i="2" s="1"/>
  <c r="S263" i="2" a="1"/>
  <c r="S263" i="2" s="1"/>
  <c r="S267" i="2" a="1"/>
  <c r="S267" i="2" s="1"/>
  <c r="S271" i="2" a="1"/>
  <c r="S271" i="2" s="1"/>
  <c r="S275" i="2" a="1"/>
  <c r="S275" i="2" s="1"/>
  <c r="S279" i="2" a="1"/>
  <c r="S279" i="2" s="1"/>
  <c r="S283" i="2" a="1"/>
  <c r="S283" i="2" s="1"/>
  <c r="S287" i="2" a="1"/>
  <c r="S287" i="2" s="1"/>
  <c r="S291" i="2" a="1"/>
  <c r="S291" i="2" s="1"/>
  <c r="S248" i="2" a="1"/>
  <c r="S248" i="2" s="1"/>
  <c r="S268" i="2" a="1"/>
  <c r="S268" i="2" s="1"/>
  <c r="S284" i="2" a="1"/>
  <c r="S284" i="2" s="1"/>
  <c r="S165" i="2" a="1"/>
  <c r="S165" i="2" s="1"/>
  <c r="S51" i="2" a="1"/>
  <c r="S51" i="2" s="1"/>
  <c r="AE51" i="2" s="1"/>
  <c r="S55" i="2" a="1"/>
  <c r="S55" i="2" s="1"/>
  <c r="AE55" i="2" s="1"/>
  <c r="S66" i="2" a="1"/>
  <c r="S66" i="2" s="1"/>
  <c r="AE66" i="2" s="1"/>
  <c r="AF66" i="2" s="1"/>
  <c r="AG66" i="2" s="1"/>
  <c r="AI66" i="2" s="1"/>
  <c r="S70" i="2" a="1"/>
  <c r="S70" i="2" s="1"/>
  <c r="S77" i="2" a="1"/>
  <c r="S77" i="2" s="1"/>
  <c r="AE77" i="2" s="1"/>
  <c r="AF77" i="2" s="1"/>
  <c r="AG77" i="2" s="1"/>
  <c r="S88" i="2" a="1"/>
  <c r="S88" i="2" s="1"/>
  <c r="AE88" i="2" s="1"/>
  <c r="AF88" i="2" s="1"/>
  <c r="AG88" i="2" s="1"/>
  <c r="AI88" i="2" s="1"/>
  <c r="S106" i="2" a="1"/>
  <c r="S106" i="2" s="1"/>
  <c r="S113" i="2" a="1"/>
  <c r="S113" i="2" s="1"/>
  <c r="S120" i="2" a="1"/>
  <c r="S120" i="2" s="1"/>
  <c r="S142" i="2" a="1"/>
  <c r="S142" i="2" s="1"/>
  <c r="S149" i="2" a="1"/>
  <c r="S149" i="2" s="1"/>
  <c r="S156" i="2" a="1"/>
  <c r="S156" i="2" s="1"/>
  <c r="S163" i="2" a="1"/>
  <c r="S163" i="2" s="1"/>
  <c r="S167" i="2" a="1"/>
  <c r="S167" i="2" s="1"/>
  <c r="S174" i="2" a="1"/>
  <c r="S174" i="2" s="1"/>
  <c r="S181" i="2" a="1"/>
  <c r="S181" i="2" s="1"/>
  <c r="S188" i="2" a="1"/>
  <c r="S188" i="2" s="1"/>
  <c r="S195" i="2" a="1"/>
  <c r="S195" i="2" s="1"/>
  <c r="S199" i="2" a="1"/>
  <c r="S199" i="2" s="1"/>
  <c r="S206" i="2" a="1"/>
  <c r="S206" i="2" s="1"/>
  <c r="S213" i="2" a="1"/>
  <c r="S213" i="2" s="1"/>
  <c r="S252" i="2" a="1"/>
  <c r="S252" i="2" s="1"/>
  <c r="S264" i="2" a="1"/>
  <c r="S264" i="2" s="1"/>
  <c r="S280" i="2" a="1"/>
  <c r="S280" i="2" s="1"/>
  <c r="S48" i="2" a="1"/>
  <c r="S48" i="2" s="1"/>
  <c r="AE48" i="2" s="1"/>
  <c r="S59" i="2" a="1"/>
  <c r="S59" i="2" s="1"/>
  <c r="AE59" i="2" s="1"/>
  <c r="S63" i="2" a="1"/>
  <c r="S63" i="2" s="1"/>
  <c r="S74" i="2" a="1"/>
  <c r="S74" i="2" s="1"/>
  <c r="AE74" i="2" s="1"/>
  <c r="AF74" i="2" s="1"/>
  <c r="AG74" i="2" s="1"/>
  <c r="AI74" i="2" s="1"/>
  <c r="S81" i="2" a="1"/>
  <c r="S81" i="2" s="1"/>
  <c r="S85" i="2" a="1"/>
  <c r="S85" i="2" s="1"/>
  <c r="AE85" i="2" s="1"/>
  <c r="AF85" i="2" s="1"/>
  <c r="AG85" i="2" s="1"/>
  <c r="S92" i="2" a="1"/>
  <c r="S92" i="2" s="1"/>
  <c r="S99" i="2" a="1"/>
  <c r="S99" i="2" s="1"/>
  <c r="S103" i="2" a="1"/>
  <c r="S103" i="2" s="1"/>
  <c r="S110" i="2" a="1"/>
  <c r="S110" i="2" s="1"/>
  <c r="S117" i="2" a="1"/>
  <c r="S117" i="2" s="1"/>
  <c r="S124" i="2" a="1"/>
  <c r="S124" i="2" s="1"/>
  <c r="S131" i="2" a="1"/>
  <c r="S131" i="2" s="1"/>
  <c r="S135" i="2" a="1"/>
  <c r="S135" i="2" s="1"/>
  <c r="S146" i="2" a="1"/>
  <c r="S146" i="2" s="1"/>
  <c r="S153" i="2" a="1"/>
  <c r="S153" i="2" s="1"/>
  <c r="S160" i="2" a="1"/>
  <c r="S160" i="2" s="1"/>
  <c r="S178" i="2" a="1"/>
  <c r="S178" i="2" s="1"/>
  <c r="S185" i="2" a="1"/>
  <c r="S185" i="2" s="1"/>
  <c r="S192" i="2" a="1"/>
  <c r="S192" i="2" s="1"/>
  <c r="S210" i="2" a="1"/>
  <c r="S210" i="2" s="1"/>
  <c r="S217" i="2" a="1"/>
  <c r="S217" i="2" s="1"/>
  <c r="S220" i="2" a="1"/>
  <c r="S220" i="2" s="1"/>
  <c r="S224" i="2" a="1"/>
  <c r="S224" i="2" s="1"/>
  <c r="S228" i="2" a="1"/>
  <c r="S228" i="2" s="1"/>
  <c r="S232" i="2" a="1"/>
  <c r="S232" i="2" s="1"/>
  <c r="S236" i="2" a="1"/>
  <c r="S236" i="2" s="1"/>
  <c r="S240" i="2" a="1"/>
  <c r="S240" i="2" s="1"/>
  <c r="S244" i="2" a="1"/>
  <c r="S244" i="2" s="1"/>
  <c r="S52" i="2" a="1"/>
  <c r="S52" i="2" s="1"/>
  <c r="S56" i="2" a="1"/>
  <c r="S56" i="2" s="1"/>
  <c r="AE56" i="2" s="1"/>
  <c r="S67" i="2" a="1"/>
  <c r="S67" i="2" s="1"/>
  <c r="S71" i="2" a="1"/>
  <c r="S71" i="2" s="1"/>
  <c r="S78" i="2" a="1"/>
  <c r="S78" i="2" s="1"/>
  <c r="S89" i="2" a="1"/>
  <c r="S89" i="2" s="1"/>
  <c r="AE89" i="2" s="1"/>
  <c r="AF89" i="2" s="1"/>
  <c r="AG89" i="2" s="1"/>
  <c r="S96" i="2" a="1"/>
  <c r="S96" i="2" s="1"/>
  <c r="S114" i="2" a="1"/>
  <c r="S114" i="2" s="1"/>
  <c r="S121" i="2" a="1"/>
  <c r="S121" i="2" s="1"/>
  <c r="S128" i="2" a="1"/>
  <c r="S128" i="2" s="1"/>
  <c r="S139" i="2" a="1"/>
  <c r="S139" i="2" s="1"/>
  <c r="S143" i="2" a="1"/>
  <c r="S143" i="2" s="1"/>
  <c r="S150" i="2" a="1"/>
  <c r="S150" i="2" s="1"/>
  <c r="S157" i="2" a="1"/>
  <c r="S157" i="2" s="1"/>
  <c r="S164" i="2" a="1"/>
  <c r="S164" i="2" s="1"/>
  <c r="S171" i="2" a="1"/>
  <c r="S171" i="2" s="1"/>
  <c r="S175" i="2" a="1"/>
  <c r="S175" i="2" s="1"/>
  <c r="S182" i="2" a="1"/>
  <c r="S182" i="2" s="1"/>
  <c r="S189" i="2" a="1"/>
  <c r="S189" i="2" s="1"/>
  <c r="S196" i="2" a="1"/>
  <c r="S196" i="2" s="1"/>
  <c r="S203" i="2" a="1"/>
  <c r="S203" i="2" s="1"/>
  <c r="S207" i="2" a="1"/>
  <c r="S207" i="2" s="1"/>
  <c r="S214" i="2" a="1"/>
  <c r="S214" i="2" s="1"/>
  <c r="S49" i="2" a="1"/>
  <c r="S49" i="2" s="1"/>
  <c r="AE49" i="2" s="1"/>
  <c r="S57" i="2" a="1"/>
  <c r="S57" i="2" s="1"/>
  <c r="AE57" i="2" s="1"/>
  <c r="S68" i="2" a="1"/>
  <c r="S68" i="2" s="1"/>
  <c r="AE68" i="2" s="1"/>
  <c r="AF68" i="2" s="1"/>
  <c r="AG68" i="2" s="1"/>
  <c r="AH68" i="2" s="1"/>
  <c r="S79" i="2" a="1"/>
  <c r="S79" i="2" s="1"/>
  <c r="S90" i="2" a="1"/>
  <c r="S90" i="2" s="1"/>
  <c r="AE90" i="2" s="1"/>
  <c r="AF90" i="2" s="1"/>
  <c r="AG90" i="2" s="1"/>
  <c r="AI90" i="2" s="1"/>
  <c r="S158" i="2" a="1"/>
  <c r="S158" i="2" s="1"/>
  <c r="S60" i="2" a="1"/>
  <c r="S60" i="2" s="1"/>
  <c r="AE60" i="2" s="1"/>
  <c r="S64" i="2" a="1"/>
  <c r="S64" i="2" s="1"/>
  <c r="AE64" i="2" s="1"/>
  <c r="AF64" i="2" s="1"/>
  <c r="AG64" i="2" s="1"/>
  <c r="S82" i="2" a="1"/>
  <c r="S82" i="2" s="1"/>
  <c r="AE82" i="2" s="1"/>
  <c r="AF82" i="2" s="1"/>
  <c r="AG82" i="2" s="1"/>
  <c r="S86" i="2" a="1"/>
  <c r="S86" i="2" s="1"/>
  <c r="S93" i="2" a="1"/>
  <c r="S93" i="2" s="1"/>
  <c r="S100" i="2" a="1"/>
  <c r="S100" i="2" s="1"/>
  <c r="S107" i="2" a="1"/>
  <c r="S107" i="2" s="1"/>
  <c r="S111" i="2" a="1"/>
  <c r="S111" i="2" s="1"/>
  <c r="S118" i="2" a="1"/>
  <c r="S118" i="2" s="1"/>
  <c r="S125" i="2" a="1"/>
  <c r="S125" i="2" s="1"/>
  <c r="S132" i="2" a="1"/>
  <c r="S132" i="2" s="1"/>
  <c r="S154" i="2" a="1"/>
  <c r="S154" i="2" s="1"/>
  <c r="S161" i="2" a="1"/>
  <c r="S161" i="2" s="1"/>
  <c r="S168" i="2" a="1"/>
  <c r="S168" i="2" s="1"/>
  <c r="S186" i="2" a="1"/>
  <c r="S186" i="2" s="1"/>
  <c r="S193" i="2" a="1"/>
  <c r="S193" i="2" s="1"/>
  <c r="S200" i="2" a="1"/>
  <c r="S200" i="2" s="1"/>
  <c r="S221" i="2" a="1"/>
  <c r="S221" i="2" s="1"/>
  <c r="S225" i="2" a="1"/>
  <c r="S225" i="2" s="1"/>
  <c r="S229" i="2" a="1"/>
  <c r="S229" i="2" s="1"/>
  <c r="S233" i="2" a="1"/>
  <c r="S233" i="2" s="1"/>
  <c r="S237" i="2" a="1"/>
  <c r="S237" i="2" s="1"/>
  <c r="S241" i="2" a="1"/>
  <c r="S241" i="2" s="1"/>
  <c r="S245" i="2" a="1"/>
  <c r="S245" i="2" s="1"/>
  <c r="S249" i="2" a="1"/>
  <c r="S249" i="2" s="1"/>
  <c r="S253" i="2" a="1"/>
  <c r="S253" i="2" s="1"/>
  <c r="S257" i="2" a="1"/>
  <c r="S257" i="2" s="1"/>
  <c r="S261" i="2" a="1"/>
  <c r="S261" i="2" s="1"/>
  <c r="S265" i="2" a="1"/>
  <c r="S265" i="2" s="1"/>
  <c r="S269" i="2" a="1"/>
  <c r="S269" i="2" s="1"/>
  <c r="S273" i="2" a="1"/>
  <c r="S273" i="2" s="1"/>
  <c r="S277" i="2" a="1"/>
  <c r="S277" i="2" s="1"/>
  <c r="S281" i="2" a="1"/>
  <c r="S281" i="2" s="1"/>
  <c r="S285" i="2" a="1"/>
  <c r="S285" i="2" s="1"/>
  <c r="S289" i="2" a="1"/>
  <c r="S289" i="2" s="1"/>
  <c r="S53" i="2" a="1"/>
  <c r="S53" i="2" s="1"/>
  <c r="AE53" i="2" s="1"/>
  <c r="S75" i="2" a="1"/>
  <c r="S75" i="2" s="1"/>
  <c r="AE75" i="2" s="1"/>
  <c r="AF75" i="2" s="1"/>
  <c r="AG75" i="2" s="1"/>
  <c r="AI75" i="2" s="1"/>
  <c r="S140" i="2" a="1"/>
  <c r="S140" i="2" s="1"/>
  <c r="S172" i="2" a="1"/>
  <c r="S172" i="2" s="1"/>
  <c r="S72" i="2" a="1"/>
  <c r="S72" i="2" s="1"/>
  <c r="AE72" i="2" s="1"/>
  <c r="AF72" i="2" s="1"/>
  <c r="AG72" i="2" s="1"/>
  <c r="S97" i="2" a="1"/>
  <c r="S97" i="2" s="1"/>
  <c r="S104" i="2" a="1"/>
  <c r="S104" i="2" s="1"/>
  <c r="S129" i="2" a="1"/>
  <c r="S129" i="2" s="1"/>
  <c r="S183" i="2" a="1"/>
  <c r="S183" i="2" s="1"/>
  <c r="S211" i="2" a="1"/>
  <c r="S211" i="2" s="1"/>
  <c r="S215" i="2" a="1"/>
  <c r="S215" i="2" s="1"/>
  <c r="S190" i="2" a="1"/>
  <c r="S190" i="2" s="1"/>
  <c r="S218" i="2" a="1"/>
  <c r="S218" i="2" s="1"/>
  <c r="S197" i="2" a="1"/>
  <c r="S197" i="2" s="1"/>
  <c r="S204" i="2" a="1"/>
  <c r="S204" i="2" s="1"/>
  <c r="M182" i="3"/>
  <c r="R247" i="3"/>
  <c r="W308" i="2"/>
  <c r="W182" i="3"/>
  <c r="B308" i="3"/>
  <c r="V340" i="2"/>
  <c r="X297" i="2"/>
  <c r="M155" i="3"/>
  <c r="W155" i="3"/>
  <c r="B340" i="3"/>
  <c r="H245" i="3"/>
  <c r="R182" i="3"/>
  <c r="H249" i="3"/>
  <c r="H247" i="3"/>
  <c r="M98" i="3"/>
  <c r="W318" i="2"/>
  <c r="U340" i="2"/>
  <c r="U304" i="2"/>
  <c r="W297" i="2"/>
  <c r="R297" i="3" s="1"/>
  <c r="H261" i="3"/>
  <c r="U321" i="2"/>
  <c r="B314" i="3"/>
  <c r="W249" i="3"/>
  <c r="M247" i="3"/>
  <c r="M94" i="3"/>
  <c r="U318" i="2"/>
  <c r="U297" i="2"/>
  <c r="W94" i="3"/>
  <c r="X318" i="2"/>
  <c r="W318" i="3" s="1"/>
  <c r="R177" i="3"/>
  <c r="X321" i="2"/>
  <c r="V318" i="2"/>
  <c r="X340" i="2"/>
  <c r="V297" i="2"/>
  <c r="R249" i="3"/>
  <c r="R243" i="3"/>
  <c r="W321" i="2"/>
  <c r="W255" i="3"/>
  <c r="W314" i="2"/>
  <c r="V308" i="2"/>
  <c r="W246" i="3"/>
  <c r="X301" i="2"/>
  <c r="W301" i="3" s="1"/>
  <c r="W331" i="2"/>
  <c r="R331" i="3" s="1"/>
  <c r="B321" i="3"/>
  <c r="M245" i="3"/>
  <c r="H182" i="3"/>
  <c r="M177" i="3"/>
  <c r="W115" i="3"/>
  <c r="H255" i="3"/>
  <c r="U307" i="2"/>
  <c r="H307" i="3" s="1"/>
  <c r="M249" i="3"/>
  <c r="M243" i="3"/>
  <c r="R255" i="3"/>
  <c r="W301" i="2"/>
  <c r="R301" i="3" s="1"/>
  <c r="B338" i="3"/>
  <c r="B218" i="3"/>
  <c r="W218" i="3" s="1"/>
  <c r="B254" i="3"/>
  <c r="W56" i="3"/>
  <c r="W135" i="2"/>
  <c r="R135" i="3" s="1"/>
  <c r="U189" i="2"/>
  <c r="H189" i="3" s="1"/>
  <c r="X128" i="2"/>
  <c r="W128" i="3" s="1"/>
  <c r="V190" i="2"/>
  <c r="V153" i="2"/>
  <c r="M153" i="3" s="1"/>
  <c r="V99" i="2"/>
  <c r="X153" i="2"/>
  <c r="W153" i="3" s="1"/>
  <c r="W225" i="2"/>
  <c r="R225" i="3" s="1"/>
  <c r="X216" i="2"/>
  <c r="W216" i="3" s="1"/>
  <c r="U284" i="2"/>
  <c r="H284" i="3" s="1"/>
  <c r="U177" i="2"/>
  <c r="H177" i="3" s="1"/>
  <c r="W277" i="2"/>
  <c r="W263" i="2"/>
  <c r="R263" i="3" s="1"/>
  <c r="X303" i="2"/>
  <c r="W303" i="3" s="1"/>
  <c r="V323" i="2"/>
  <c r="M323" i="3" s="1"/>
  <c r="V322" i="2"/>
  <c r="M322" i="3" s="1"/>
  <c r="W264" i="2"/>
  <c r="R264" i="3" s="1"/>
  <c r="V301" i="2"/>
  <c r="M301" i="3" s="1"/>
  <c r="U269" i="2"/>
  <c r="H269" i="3" s="1"/>
  <c r="V341" i="2"/>
  <c r="M341" i="3" s="1"/>
  <c r="X93" i="2"/>
  <c r="W93" i="3" s="1"/>
  <c r="W128" i="2"/>
  <c r="R128" i="3" s="1"/>
  <c r="W197" i="2"/>
  <c r="W303" i="2"/>
  <c r="R303" i="3" s="1"/>
  <c r="B342" i="3"/>
  <c r="V218" i="2"/>
  <c r="X189" i="2"/>
  <c r="W189" i="3" s="1"/>
  <c r="W130" i="2"/>
  <c r="R130" i="3" s="1"/>
  <c r="V225" i="2"/>
  <c r="M225" i="3" s="1"/>
  <c r="X284" i="2"/>
  <c r="W284" i="3" s="1"/>
  <c r="X177" i="2"/>
  <c r="W177" i="3" s="1"/>
  <c r="V263" i="2"/>
  <c r="M263" i="3" s="1"/>
  <c r="U322" i="2"/>
  <c r="H322" i="3" s="1"/>
  <c r="V264" i="2"/>
  <c r="M264" i="3" s="1"/>
  <c r="X312" i="2"/>
  <c r="X338" i="2"/>
  <c r="B72" i="3"/>
  <c r="H72" i="3" s="1"/>
  <c r="U197" i="2"/>
  <c r="V128" i="2"/>
  <c r="M128" i="3" s="1"/>
  <c r="W111" i="2"/>
  <c r="V130" i="2"/>
  <c r="M130" i="3" s="1"/>
  <c r="U188" i="2"/>
  <c r="V125" i="2"/>
  <c r="M125" i="3" s="1"/>
  <c r="W270" i="2"/>
  <c r="R270" i="3" s="1"/>
  <c r="U325" i="2"/>
  <c r="W98" i="2"/>
  <c r="R98" i="3" s="1"/>
  <c r="V303" i="2"/>
  <c r="M303" i="3" s="1"/>
  <c r="X264" i="2"/>
  <c r="W264" i="3" s="1"/>
  <c r="W312" i="2"/>
  <c r="V298" i="2"/>
  <c r="M298" i="3" s="1"/>
  <c r="W338" i="2"/>
  <c r="W125" i="2"/>
  <c r="R125" i="3" s="1"/>
  <c r="V270" i="2"/>
  <c r="M270" i="3" s="1"/>
  <c r="U93" i="2"/>
  <c r="H93" i="3" s="1"/>
  <c r="B325" i="3"/>
  <c r="W254" i="2"/>
  <c r="U128" i="2"/>
  <c r="H128" i="3" s="1"/>
  <c r="X188" i="2"/>
  <c r="B312" i="3"/>
  <c r="X134" i="2"/>
  <c r="W134" i="3" s="1"/>
  <c r="V158" i="2"/>
  <c r="U219" i="2"/>
  <c r="H219" i="3" s="1"/>
  <c r="V175" i="2"/>
  <c r="M175" i="3" s="1"/>
  <c r="X111" i="2"/>
  <c r="W93" i="2"/>
  <c r="R93" i="3" s="1"/>
  <c r="W134" i="2"/>
  <c r="R134" i="3" s="1"/>
  <c r="V188" i="2"/>
  <c r="X125" i="2"/>
  <c r="W125" i="3" s="1"/>
  <c r="U270" i="2"/>
  <c r="H270" i="3" s="1"/>
  <c r="W325" i="2"/>
  <c r="U98" i="2"/>
  <c r="H98" i="3" s="1"/>
  <c r="W226" i="2"/>
  <c r="R226" i="3" s="1"/>
  <c r="U312" i="2"/>
  <c r="X156" i="2"/>
  <c r="W156" i="3" s="1"/>
  <c r="U338" i="2"/>
  <c r="W272" i="2"/>
  <c r="R272" i="3" s="1"/>
  <c r="X325" i="2"/>
  <c r="V93" i="2"/>
  <c r="M93" i="3" s="1"/>
  <c r="W218" i="2"/>
  <c r="X219" i="2"/>
  <c r="W219" i="3" s="1"/>
  <c r="V254" i="2"/>
  <c r="U175" i="2"/>
  <c r="H175" i="3" s="1"/>
  <c r="U248" i="2"/>
  <c r="H248" i="3" s="1"/>
  <c r="W188" i="2"/>
  <c r="W216" i="2"/>
  <c r="R216" i="3" s="1"/>
  <c r="X270" i="2"/>
  <c r="W270" i="3" s="1"/>
  <c r="X299" i="2"/>
  <c r="X98" i="2"/>
  <c r="W98" i="3" s="1"/>
  <c r="U323" i="2"/>
  <c r="H323" i="3" s="1"/>
  <c r="V226" i="2"/>
  <c r="M226" i="3" s="1"/>
  <c r="U301" i="2"/>
  <c r="H301" i="3" s="1"/>
  <c r="W156" i="2"/>
  <c r="R156" i="3" s="1"/>
  <c r="X194" i="2"/>
  <c r="W194" i="3" s="1"/>
  <c r="U286" i="2"/>
  <c r="H286" i="3" s="1"/>
  <c r="U250" i="2"/>
  <c r="H250" i="3" s="1"/>
  <c r="X306" i="2"/>
  <c r="W306" i="3" s="1"/>
  <c r="B179" i="3"/>
  <c r="X250" i="2"/>
  <c r="W250" i="3" s="1"/>
  <c r="W306" i="2"/>
  <c r="R306" i="3" s="1"/>
  <c r="V143" i="2"/>
  <c r="X267" i="2"/>
  <c r="W267" i="3" s="1"/>
  <c r="B230" i="3"/>
  <c r="W230" i="3" s="1"/>
  <c r="W350" i="2"/>
  <c r="R350" i="3" s="1"/>
  <c r="U299" i="2"/>
  <c r="V267" i="2"/>
  <c r="M267" i="3" s="1"/>
  <c r="X269" i="2"/>
  <c r="W269" i="3" s="1"/>
  <c r="W269" i="2"/>
  <c r="R269" i="3" s="1"/>
  <c r="U230" i="2"/>
  <c r="B220" i="3"/>
  <c r="W220" i="3" s="1"/>
  <c r="W230" i="2"/>
  <c r="R230" i="3" s="1"/>
  <c r="X273" i="2"/>
  <c r="W273" i="3" s="1"/>
  <c r="B276" i="3"/>
  <c r="W276" i="3" s="1"/>
  <c r="B260" i="3"/>
  <c r="U273" i="2"/>
  <c r="H273" i="3" s="1"/>
  <c r="V350" i="2"/>
  <c r="M350" i="3" s="1"/>
  <c r="U220" i="2"/>
  <c r="W180" i="2"/>
  <c r="R180" i="3" s="1"/>
  <c r="W299" i="2"/>
  <c r="W148" i="2"/>
  <c r="R148" i="3" s="1"/>
  <c r="V269" i="2"/>
  <c r="M269" i="3" s="1"/>
  <c r="B299" i="3"/>
  <c r="W229" i="2"/>
  <c r="V230" i="2"/>
  <c r="W189" i="2"/>
  <c r="R189" i="3" s="1"/>
  <c r="U180" i="2"/>
  <c r="H180" i="3" s="1"/>
  <c r="W273" i="2"/>
  <c r="R273" i="3" s="1"/>
  <c r="V277" i="2"/>
  <c r="V148" i="2"/>
  <c r="M148" i="3" s="1"/>
  <c r="B349" i="3"/>
  <c r="B99" i="3"/>
  <c r="U229" i="2"/>
  <c r="W193" i="2"/>
  <c r="V220" i="2"/>
  <c r="M220" i="3" s="1"/>
  <c r="W220" i="2"/>
  <c r="X99" i="2"/>
  <c r="V192" i="2"/>
  <c r="V134" i="2"/>
  <c r="M134" i="3" s="1"/>
  <c r="W276" i="2"/>
  <c r="B132" i="3"/>
  <c r="X100" i="2"/>
  <c r="W100" i="3" s="1"/>
  <c r="W162" i="2"/>
  <c r="X229" i="2"/>
  <c r="W229" i="3" s="1"/>
  <c r="V107" i="2"/>
  <c r="U134" i="2"/>
  <c r="H134" i="3" s="1"/>
  <c r="U339" i="2"/>
  <c r="U326" i="2"/>
  <c r="V276" i="2"/>
  <c r="V162" i="2"/>
  <c r="U343" i="2"/>
  <c r="W274" i="2"/>
  <c r="U260" i="2"/>
  <c r="U276" i="2"/>
  <c r="X305" i="2"/>
  <c r="B143" i="3"/>
  <c r="V229" i="2"/>
  <c r="U258" i="2"/>
  <c r="V147" i="2"/>
  <c r="M147" i="3" s="1"/>
  <c r="W258" i="2"/>
  <c r="V194" i="2"/>
  <c r="M194" i="3" s="1"/>
  <c r="U125" i="2"/>
  <c r="H125" i="3" s="1"/>
  <c r="X102" i="2"/>
  <c r="W102" i="3" s="1"/>
  <c r="V252" i="2"/>
  <c r="M252" i="3" s="1"/>
  <c r="V179" i="2"/>
  <c r="X327" i="2"/>
  <c r="U100" i="2"/>
  <c r="H100" i="3" s="1"/>
  <c r="W169" i="2"/>
  <c r="B169" i="3"/>
  <c r="M169" i="3" s="1"/>
  <c r="X147" i="2"/>
  <c r="W147" i="3" s="1"/>
  <c r="U223" i="2"/>
  <c r="H223" i="3" s="1"/>
  <c r="U132" i="2"/>
  <c r="U194" i="2"/>
  <c r="H194" i="3" s="1"/>
  <c r="X169" i="2"/>
  <c r="W102" i="2"/>
  <c r="R102" i="3" s="1"/>
  <c r="U267" i="2"/>
  <c r="H267" i="3" s="1"/>
  <c r="W194" i="2"/>
  <c r="R194" i="3" s="1"/>
  <c r="U329" i="2"/>
  <c r="U349" i="2"/>
  <c r="H349" i="3" s="1"/>
  <c r="B76" i="3"/>
  <c r="W76" i="3" s="1"/>
  <c r="W95" i="2"/>
  <c r="U102" i="2"/>
  <c r="H102" i="3" s="1"/>
  <c r="W267" i="2"/>
  <c r="R267" i="3" s="1"/>
  <c r="V160" i="2"/>
  <c r="W108" i="2"/>
  <c r="R108" i="3" s="1"/>
  <c r="R206" i="3"/>
  <c r="V266" i="2"/>
  <c r="V282" i="2"/>
  <c r="M282" i="3" s="1"/>
  <c r="B296" i="3"/>
  <c r="V202" i="2"/>
  <c r="M202" i="3" s="1"/>
  <c r="X231" i="2"/>
  <c r="W231" i="3" s="1"/>
  <c r="U99" i="2"/>
  <c r="W115" i="2"/>
  <c r="R115" i="3" s="1"/>
  <c r="U266" i="2"/>
  <c r="V296" i="2"/>
  <c r="U252" i="2"/>
  <c r="H252" i="3" s="1"/>
  <c r="U282" i="2"/>
  <c r="H282" i="3" s="1"/>
  <c r="V287" i="2"/>
  <c r="M287" i="3" s="1"/>
  <c r="U345" i="2"/>
  <c r="V324" i="2"/>
  <c r="X296" i="2"/>
  <c r="W345" i="2"/>
  <c r="B14" i="3"/>
  <c r="U201" i="2"/>
  <c r="H201" i="3" s="1"/>
  <c r="U115" i="2"/>
  <c r="H115" i="3" s="1"/>
  <c r="B294" i="3"/>
  <c r="V108" i="2"/>
  <c r="M108" i="3" s="1"/>
  <c r="W201" i="2"/>
  <c r="R201" i="3" s="1"/>
  <c r="U155" i="2"/>
  <c r="H155" i="3" s="1"/>
  <c r="U210" i="2"/>
  <c r="H210" i="3" s="1"/>
  <c r="B337" i="3"/>
  <c r="W337" i="3" s="1"/>
  <c r="B266" i="3"/>
  <c r="V200" i="2"/>
  <c r="U108" i="2"/>
  <c r="H108" i="3" s="1"/>
  <c r="W170" i="2"/>
  <c r="X201" i="2"/>
  <c r="W201" i="3" s="1"/>
  <c r="W155" i="2"/>
  <c r="R155" i="3" s="1"/>
  <c r="X237" i="2"/>
  <c r="W237" i="3" s="1"/>
  <c r="U202" i="2"/>
  <c r="H202" i="3" s="1"/>
  <c r="W231" i="2"/>
  <c r="R231" i="3" s="1"/>
  <c r="V115" i="2"/>
  <c r="M115" i="3" s="1"/>
  <c r="U142" i="2"/>
  <c r="X266" i="2"/>
  <c r="U296" i="2"/>
  <c r="H296" i="3" s="1"/>
  <c r="X252" i="2"/>
  <c r="W252" i="3" s="1"/>
  <c r="U337" i="2"/>
  <c r="X210" i="2"/>
  <c r="W210" i="3" s="1"/>
  <c r="X282" i="2"/>
  <c r="W282" i="3" s="1"/>
  <c r="W294" i="2"/>
  <c r="X345" i="2"/>
  <c r="U324" i="2"/>
  <c r="B84" i="3"/>
  <c r="H84" i="3" s="1"/>
  <c r="B30" i="3"/>
  <c r="B22" i="3"/>
  <c r="B139" i="3"/>
  <c r="B324" i="3"/>
  <c r="B205" i="3"/>
  <c r="M205" i="3" s="1"/>
  <c r="B168" i="3"/>
  <c r="H56" i="3"/>
  <c r="U127" i="2"/>
  <c r="V187" i="2"/>
  <c r="V237" i="2"/>
  <c r="M237" i="3" s="1"/>
  <c r="X140" i="2"/>
  <c r="W140" i="3" s="1"/>
  <c r="X168" i="2"/>
  <c r="W187" i="2"/>
  <c r="U173" i="2"/>
  <c r="H173" i="3" s="1"/>
  <c r="X110" i="2"/>
  <c r="W110" i="3" s="1"/>
  <c r="X307" i="2"/>
  <c r="W307" i="3" s="1"/>
  <c r="X348" i="2"/>
  <c r="W337" i="2"/>
  <c r="U222" i="2"/>
  <c r="X283" i="2"/>
  <c r="W283" i="3" s="1"/>
  <c r="U294" i="2"/>
  <c r="U334" i="2"/>
  <c r="H334" i="3" s="1"/>
  <c r="B52" i="3"/>
  <c r="W52" i="3" s="1"/>
  <c r="B345" i="3"/>
  <c r="B348" i="3"/>
  <c r="B187" i="3"/>
  <c r="W187" i="3" s="1"/>
  <c r="U187" i="2"/>
  <c r="W140" i="2"/>
  <c r="R140" i="3" s="1"/>
  <c r="W168" i="2"/>
  <c r="X142" i="2"/>
  <c r="X173" i="2"/>
  <c r="W173" i="3" s="1"/>
  <c r="W110" i="2"/>
  <c r="R110" i="3" s="1"/>
  <c r="W307" i="2"/>
  <c r="R307" i="3" s="1"/>
  <c r="W348" i="2"/>
  <c r="U311" i="2"/>
  <c r="H311" i="3" s="1"/>
  <c r="W283" i="2"/>
  <c r="R283" i="3" s="1"/>
  <c r="X334" i="2"/>
  <c r="W334" i="3" s="1"/>
  <c r="W250" i="2"/>
  <c r="R250" i="3" s="1"/>
  <c r="U342" i="2"/>
  <c r="W127" i="2"/>
  <c r="V139" i="2"/>
  <c r="B200" i="3"/>
  <c r="B127" i="3"/>
  <c r="U237" i="2"/>
  <c r="H237" i="3" s="1"/>
  <c r="V127" i="2"/>
  <c r="U139" i="2"/>
  <c r="W101" i="2"/>
  <c r="R101" i="3" s="1"/>
  <c r="V140" i="2"/>
  <c r="M140" i="3" s="1"/>
  <c r="W173" i="2"/>
  <c r="R173" i="3" s="1"/>
  <c r="V168" i="2"/>
  <c r="U200" i="2"/>
  <c r="V307" i="2"/>
  <c r="M307" i="3" s="1"/>
  <c r="V348" i="2"/>
  <c r="X311" i="2"/>
  <c r="W311" i="3" s="1"/>
  <c r="U287" i="2"/>
  <c r="H287" i="3" s="1"/>
  <c r="V250" i="2"/>
  <c r="M250" i="3" s="1"/>
  <c r="X108" i="2"/>
  <c r="W108" i="3" s="1"/>
  <c r="X200" i="2"/>
  <c r="W139" i="2"/>
  <c r="V201" i="2"/>
  <c r="M201" i="3" s="1"/>
  <c r="U140" i="2"/>
  <c r="H140" i="3" s="1"/>
  <c r="U231" i="2"/>
  <c r="H231" i="3" s="1"/>
  <c r="W252" i="2"/>
  <c r="R252" i="3" s="1"/>
  <c r="W210" i="2"/>
  <c r="R210" i="3" s="1"/>
  <c r="W282" i="2"/>
  <c r="R282" i="3" s="1"/>
  <c r="W311" i="2"/>
  <c r="R311" i="3" s="1"/>
  <c r="X287" i="2"/>
  <c r="W287" i="3" s="1"/>
  <c r="V210" i="2"/>
  <c r="M210" i="3" s="1"/>
  <c r="W287" i="2"/>
  <c r="R287" i="3" s="1"/>
  <c r="V109" i="2"/>
  <c r="M109" i="3" s="1"/>
  <c r="B103" i="3"/>
  <c r="X192" i="2"/>
  <c r="X116" i="2"/>
  <c r="W116" i="3" s="1"/>
  <c r="B330" i="3"/>
  <c r="B326" i="3"/>
  <c r="B343" i="3"/>
  <c r="B258" i="3"/>
  <c r="W258" i="3" s="1"/>
  <c r="B288" i="3"/>
  <c r="B332" i="3"/>
  <c r="W332" i="3" s="1"/>
  <c r="B195" i="3"/>
  <c r="H195" i="3" s="1"/>
  <c r="W116" i="2"/>
  <c r="R116" i="3" s="1"/>
  <c r="V193" i="2"/>
  <c r="V214" i="2"/>
  <c r="X109" i="2"/>
  <c r="W109" i="3" s="1"/>
  <c r="U163" i="2"/>
  <c r="W223" i="2"/>
  <c r="R223" i="3" s="1"/>
  <c r="X245" i="2"/>
  <c r="W245" i="3" s="1"/>
  <c r="W132" i="2"/>
  <c r="R132" i="3" s="1"/>
  <c r="V103" i="2"/>
  <c r="U236" i="2"/>
  <c r="V176" i="2"/>
  <c r="W195" i="2"/>
  <c r="W239" i="2"/>
  <c r="R239" i="3" s="1"/>
  <c r="U207" i="2"/>
  <c r="H207" i="3" s="1"/>
  <c r="V251" i="2"/>
  <c r="V295" i="2"/>
  <c r="M295" i="3" s="1"/>
  <c r="W339" i="2"/>
  <c r="W213" i="2"/>
  <c r="R213" i="3" s="1"/>
  <c r="U274" i="2"/>
  <c r="W289" i="2"/>
  <c r="R289" i="3" s="1"/>
  <c r="W329" i="2"/>
  <c r="W260" i="2"/>
  <c r="W304" i="2"/>
  <c r="W234" i="2"/>
  <c r="R234" i="3" s="1"/>
  <c r="U242" i="2"/>
  <c r="V327" i="2"/>
  <c r="W349" i="2"/>
  <c r="W342" i="2"/>
  <c r="B92" i="3"/>
  <c r="R92" i="3" s="1"/>
  <c r="W68" i="3"/>
  <c r="B214" i="3"/>
  <c r="U149" i="2"/>
  <c r="B149" i="3"/>
  <c r="B304" i="3"/>
  <c r="B327" i="3"/>
  <c r="V116" i="2"/>
  <c r="M116" i="3" s="1"/>
  <c r="U193" i="2"/>
  <c r="V149" i="2"/>
  <c r="W163" i="2"/>
  <c r="V223" i="2"/>
  <c r="M223" i="3" s="1"/>
  <c r="W245" i="2"/>
  <c r="R245" i="3" s="1"/>
  <c r="V195" i="2"/>
  <c r="V132" i="2"/>
  <c r="M132" i="3" s="1"/>
  <c r="U103" i="2"/>
  <c r="U176" i="2"/>
  <c r="X195" i="2"/>
  <c r="U192" i="2"/>
  <c r="V239" i="2"/>
  <c r="M239" i="3" s="1"/>
  <c r="U169" i="2"/>
  <c r="X207" i="2"/>
  <c r="W207" i="3" s="1"/>
  <c r="W288" i="2"/>
  <c r="W302" i="2"/>
  <c r="U313" i="2"/>
  <c r="H313" i="3" s="1"/>
  <c r="V339" i="2"/>
  <c r="V213" i="2"/>
  <c r="M213" i="3" s="1"/>
  <c r="X274" i="2"/>
  <c r="V289" i="2"/>
  <c r="M289" i="3" s="1"/>
  <c r="V329" i="2"/>
  <c r="V260" i="2"/>
  <c r="V304" i="2"/>
  <c r="V234" i="2"/>
  <c r="M234" i="3" s="1"/>
  <c r="X242" i="2"/>
  <c r="U305" i="2"/>
  <c r="H305" i="3" s="1"/>
  <c r="V342" i="2"/>
  <c r="W64" i="3"/>
  <c r="W146" i="2"/>
  <c r="W313" i="2"/>
  <c r="R313" i="3" s="1"/>
  <c r="W118" i="2"/>
  <c r="W310" i="2"/>
  <c r="X326" i="2"/>
  <c r="X234" i="2"/>
  <c r="W234" i="3" s="1"/>
  <c r="X257" i="2"/>
  <c r="W257" i="3" s="1"/>
  <c r="W305" i="2"/>
  <c r="B60" i="3"/>
  <c r="H60" i="3" s="1"/>
  <c r="B193" i="3"/>
  <c r="X178" i="2"/>
  <c r="W178" i="3" s="1"/>
  <c r="U205" i="2"/>
  <c r="W141" i="2"/>
  <c r="R141" i="3" s="1"/>
  <c r="U288" i="2"/>
  <c r="U302" i="2"/>
  <c r="W332" i="2"/>
  <c r="X343" i="2"/>
  <c r="B302" i="3"/>
  <c r="B236" i="3"/>
  <c r="W236" i="3" s="1"/>
  <c r="W100" i="2"/>
  <c r="R100" i="3" s="1"/>
  <c r="V146" i="2"/>
  <c r="W143" i="2"/>
  <c r="V258" i="2"/>
  <c r="U147" i="2"/>
  <c r="H147" i="3" s="1"/>
  <c r="W178" i="2"/>
  <c r="R178" i="3" s="1"/>
  <c r="X205" i="2"/>
  <c r="W205" i="3" s="1"/>
  <c r="V141" i="2"/>
  <c r="M141" i="3" s="1"/>
  <c r="U239" i="2"/>
  <c r="H239" i="3" s="1"/>
  <c r="U141" i="2"/>
  <c r="H141" i="3" s="1"/>
  <c r="W103" i="2"/>
  <c r="U95" i="2"/>
  <c r="X107" i="2"/>
  <c r="X288" i="2"/>
  <c r="V313" i="2"/>
  <c r="M313" i="3" s="1"/>
  <c r="V332" i="2"/>
  <c r="W343" i="2"/>
  <c r="V118" i="2"/>
  <c r="V310" i="2"/>
  <c r="W326" i="2"/>
  <c r="U179" i="2"/>
  <c r="W286" i="2"/>
  <c r="R286" i="3" s="1"/>
  <c r="W330" i="2"/>
  <c r="V238" i="2"/>
  <c r="W257" i="2"/>
  <c r="R257" i="3" s="1"/>
  <c r="V305" i="2"/>
  <c r="X160" i="2"/>
  <c r="B192" i="3"/>
  <c r="R192" i="3" s="1"/>
  <c r="B176" i="3"/>
  <c r="B251" i="3"/>
  <c r="B310" i="3"/>
  <c r="W310" i="3" s="1"/>
  <c r="U109" i="2"/>
  <c r="H109" i="3" s="1"/>
  <c r="U143" i="2"/>
  <c r="V95" i="2"/>
  <c r="U107" i="2"/>
  <c r="B339" i="3"/>
  <c r="B329" i="3"/>
  <c r="B118" i="3"/>
  <c r="W118" i="3" s="1"/>
  <c r="B95" i="3"/>
  <c r="W95" i="3" s="1"/>
  <c r="B163" i="3"/>
  <c r="M163" i="3" s="1"/>
  <c r="B238" i="3"/>
  <c r="W238" i="3" s="1"/>
  <c r="V100" i="2"/>
  <c r="M100" i="3" s="1"/>
  <c r="V178" i="2"/>
  <c r="M178" i="3" s="1"/>
  <c r="W147" i="2"/>
  <c r="R147" i="3" s="1"/>
  <c r="U178" i="2"/>
  <c r="H178" i="3" s="1"/>
  <c r="V236" i="2"/>
  <c r="U295" i="2"/>
  <c r="H295" i="3" s="1"/>
  <c r="W179" i="2"/>
  <c r="V286" i="2"/>
  <c r="M286" i="3" s="1"/>
  <c r="V330" i="2"/>
  <c r="U238" i="2"/>
  <c r="V257" i="2"/>
  <c r="M257" i="3" s="1"/>
  <c r="U327" i="2"/>
  <c r="V349" i="2"/>
  <c r="W160" i="2"/>
  <c r="X176" i="2"/>
  <c r="W207" i="2"/>
  <c r="R207" i="3" s="1"/>
  <c r="X251" i="2"/>
  <c r="X295" i="2"/>
  <c r="W295" i="3" s="1"/>
  <c r="U330" i="2"/>
  <c r="W242" i="2"/>
  <c r="B242" i="3"/>
  <c r="M242" i="3" s="1"/>
  <c r="B160" i="3"/>
  <c r="B274" i="3"/>
  <c r="M274" i="3" s="1"/>
  <c r="W109" i="2"/>
  <c r="R109" i="3" s="1"/>
  <c r="X223" i="2"/>
  <c r="W223" i="3" s="1"/>
  <c r="W149" i="2"/>
  <c r="R149" i="3" s="1"/>
  <c r="U251" i="2"/>
  <c r="X239" i="2"/>
  <c r="W239" i="3" s="1"/>
  <c r="W236" i="2"/>
  <c r="V207" i="2"/>
  <c r="M207" i="3" s="1"/>
  <c r="W295" i="2"/>
  <c r="R295" i="3" s="1"/>
  <c r="X213" i="2"/>
  <c r="W213" i="3" s="1"/>
  <c r="X289" i="2"/>
  <c r="W289" i="3" s="1"/>
  <c r="X286" i="2"/>
  <c r="W286" i="3" s="1"/>
  <c r="B107" i="3"/>
  <c r="M64" i="3"/>
  <c r="W61" i="3"/>
  <c r="W212" i="3"/>
  <c r="W244" i="3"/>
  <c r="H64" i="3"/>
  <c r="H2" i="3"/>
  <c r="M189" i="3"/>
  <c r="W208" i="3"/>
  <c r="W232" i="3"/>
  <c r="R56" i="3"/>
  <c r="R64" i="3"/>
  <c r="W248" i="3"/>
  <c r="M68" i="3"/>
  <c r="R68" i="3"/>
  <c r="H181" i="3"/>
  <c r="H68" i="3"/>
  <c r="R76" i="3"/>
  <c r="B196" i="3"/>
  <c r="W196" i="2"/>
  <c r="V196" i="2"/>
  <c r="X196" i="2"/>
  <c r="U196" i="2"/>
  <c r="B278" i="3"/>
  <c r="U278" i="2"/>
  <c r="V278" i="2"/>
  <c r="W278" i="2"/>
  <c r="X278" i="2"/>
  <c r="W151" i="2"/>
  <c r="U151" i="2"/>
  <c r="V151" i="2"/>
  <c r="U50" i="2"/>
  <c r="V50" i="2" s="1"/>
  <c r="W50" i="2" s="1"/>
  <c r="X50" i="2" s="1"/>
  <c r="B50" i="3"/>
  <c r="B275" i="3"/>
  <c r="U275" i="2"/>
  <c r="V275" i="2"/>
  <c r="W275" i="2"/>
  <c r="X275" i="2"/>
  <c r="X228" i="2"/>
  <c r="U228" i="2"/>
  <c r="V228" i="2"/>
  <c r="B123" i="3"/>
  <c r="B151" i="3"/>
  <c r="X157" i="2"/>
  <c r="W157" i="2"/>
  <c r="U157" i="2"/>
  <c r="V347" i="2"/>
  <c r="W347" i="2"/>
  <c r="X347" i="2"/>
  <c r="U347" i="2"/>
  <c r="U80" i="2"/>
  <c r="V80" i="2" s="1"/>
  <c r="W80" i="2" s="1"/>
  <c r="X80" i="2" s="1"/>
  <c r="B80" i="3"/>
  <c r="X320" i="2"/>
  <c r="U320" i="2"/>
  <c r="V320" i="2"/>
  <c r="W320" i="2"/>
  <c r="B166" i="3"/>
  <c r="H166" i="3" s="1"/>
  <c r="V166" i="2"/>
  <c r="W166" i="2"/>
  <c r="U77" i="2"/>
  <c r="V77" i="2" s="1"/>
  <c r="W77" i="2" s="1"/>
  <c r="X77" i="2" s="1"/>
  <c r="B77" i="3"/>
  <c r="B256" i="3"/>
  <c r="H256" i="3" s="1"/>
  <c r="X151" i="2"/>
  <c r="B291" i="3"/>
  <c r="V291" i="2"/>
  <c r="W291" i="2"/>
  <c r="X291" i="2"/>
  <c r="U291" i="2"/>
  <c r="U48" i="2"/>
  <c r="V48" i="2" s="1"/>
  <c r="W48" i="2" s="1"/>
  <c r="X48" i="2" s="1"/>
  <c r="B48" i="3"/>
  <c r="B262" i="3"/>
  <c r="X262" i="2"/>
  <c r="U262" i="2"/>
  <c r="V262" i="2"/>
  <c r="W262" i="2"/>
  <c r="U198" i="2"/>
  <c r="H198" i="3" s="1"/>
  <c r="W198" i="2"/>
  <c r="R198" i="3" s="1"/>
  <c r="V198" i="2"/>
  <c r="M198" i="3" s="1"/>
  <c r="X198" i="2"/>
  <c r="W198" i="3" s="1"/>
  <c r="U45" i="2"/>
  <c r="V45" i="2" s="1"/>
  <c r="W45" i="2" s="1"/>
  <c r="X45" i="2" s="1"/>
  <c r="B45" i="3"/>
  <c r="B27" i="3"/>
  <c r="W123" i="2"/>
  <c r="V335" i="2"/>
  <c r="W335" i="2"/>
  <c r="X335" i="2"/>
  <c r="W335" i="3" s="1"/>
  <c r="U335" i="2"/>
  <c r="B131" i="3"/>
  <c r="W131" i="2"/>
  <c r="V131" i="2"/>
  <c r="B164" i="3"/>
  <c r="X164" i="2"/>
  <c r="U164" i="2"/>
  <c r="V164" i="2"/>
  <c r="W164" i="2"/>
  <c r="B104" i="3"/>
  <c r="X104" i="2"/>
  <c r="U104" i="2"/>
  <c r="U82" i="2"/>
  <c r="V82" i="2" s="1"/>
  <c r="W82" i="2" s="1"/>
  <c r="X82" i="2" s="1"/>
  <c r="B82" i="3"/>
  <c r="W106" i="2"/>
  <c r="U106" i="2"/>
  <c r="V106" i="2"/>
  <c r="X106" i="2"/>
  <c r="B185" i="3"/>
  <c r="W185" i="3" s="1"/>
  <c r="B320" i="3"/>
  <c r="U123" i="2"/>
  <c r="V185" i="2"/>
  <c r="W346" i="2"/>
  <c r="R346" i="3" s="1"/>
  <c r="X346" i="2"/>
  <c r="W346" i="3" s="1"/>
  <c r="V346" i="2"/>
  <c r="M346" i="3" s="1"/>
  <c r="U346" i="2"/>
  <c r="H346" i="3" s="1"/>
  <c r="W344" i="2"/>
  <c r="U344" i="2"/>
  <c r="V344" i="2"/>
  <c r="X344" i="2"/>
  <c r="V333" i="2"/>
  <c r="W333" i="2"/>
  <c r="X333" i="2"/>
  <c r="U333" i="2"/>
  <c r="X227" i="2"/>
  <c r="W227" i="3" s="1"/>
  <c r="U227" i="2"/>
  <c r="H227" i="3" s="1"/>
  <c r="V227" i="2"/>
  <c r="M227" i="3" s="1"/>
  <c r="W227" i="2"/>
  <c r="R227" i="3" s="1"/>
  <c r="U35" i="2"/>
  <c r="V35" i="2" s="1"/>
  <c r="W35" i="2" s="1"/>
  <c r="X35" i="2" s="1"/>
  <c r="B35" i="3"/>
  <c r="B233" i="3"/>
  <c r="V233" i="2"/>
  <c r="W233" i="2"/>
  <c r="X233" i="2"/>
  <c r="B4" i="3"/>
  <c r="X123" i="2"/>
  <c r="W131" i="3"/>
  <c r="W185" i="2"/>
  <c r="U185" i="2"/>
  <c r="X290" i="2"/>
  <c r="W290" i="3" s="1"/>
  <c r="U290" i="2"/>
  <c r="H290" i="3" s="1"/>
  <c r="V290" i="2"/>
  <c r="M290" i="3" s="1"/>
  <c r="W290" i="2"/>
  <c r="R290" i="3" s="1"/>
  <c r="V136" i="2"/>
  <c r="M136" i="3" s="1"/>
  <c r="W136" i="2"/>
  <c r="R136" i="3" s="1"/>
  <c r="X136" i="2"/>
  <c r="W136" i="3" s="1"/>
  <c r="U136" i="2"/>
  <c r="H136" i="3" s="1"/>
  <c r="U67" i="2"/>
  <c r="V67" i="2" s="1"/>
  <c r="W67" i="2" s="1"/>
  <c r="X67" i="2" s="1"/>
  <c r="B67" i="3"/>
  <c r="B280" i="3"/>
  <c r="W280" i="2"/>
  <c r="X280" i="2"/>
  <c r="U280" i="2"/>
  <c r="V280" i="2"/>
  <c r="B344" i="3"/>
  <c r="V157" i="2"/>
  <c r="W228" i="2"/>
  <c r="W104" i="2"/>
  <c r="X256" i="2"/>
  <c r="V256" i="2"/>
  <c r="W256" i="2"/>
  <c r="B183" i="3"/>
  <c r="X183" i="2"/>
  <c r="U183" i="2"/>
  <c r="V183" i="2"/>
  <c r="W183" i="2"/>
  <c r="X292" i="2"/>
  <c r="W292" i="3" s="1"/>
  <c r="U292" i="2"/>
  <c r="V292" i="2"/>
  <c r="W292" i="2"/>
  <c r="B138" i="3"/>
  <c r="U138" i="2"/>
  <c r="V138" i="2"/>
  <c r="W138" i="2"/>
  <c r="X138" i="2"/>
  <c r="B347" i="3"/>
  <c r="B157" i="3"/>
  <c r="B228" i="3"/>
  <c r="B106" i="3"/>
  <c r="X166" i="2"/>
  <c r="U233" i="2"/>
  <c r="V104" i="2"/>
  <c r="U131" i="2"/>
  <c r="V133" i="2"/>
  <c r="M133" i="3" s="1"/>
  <c r="W133" i="2"/>
  <c r="R133" i="3" s="1"/>
  <c r="X133" i="2"/>
  <c r="W133" i="3" s="1"/>
  <c r="U133" i="2"/>
  <c r="H133" i="3" s="1"/>
  <c r="H124" i="3"/>
  <c r="V101" i="2"/>
  <c r="M101" i="3" s="1"/>
  <c r="X101" i="2"/>
  <c r="W101" i="3" s="1"/>
  <c r="M284" i="3"/>
  <c r="H317" i="3"/>
  <c r="W224" i="3"/>
  <c r="H221" i="3"/>
  <c r="B222" i="3"/>
  <c r="W222" i="2"/>
  <c r="W313" i="3"/>
  <c r="W238" i="2"/>
  <c r="R238" i="3" s="1"/>
  <c r="U63" i="2"/>
  <c r="V63" i="2" s="1"/>
  <c r="W63" i="2" s="1"/>
  <c r="X63" i="2" s="1"/>
  <c r="B63" i="3"/>
  <c r="X162" i="2"/>
  <c r="B162" i="3"/>
  <c r="U78" i="2"/>
  <c r="V78" i="2" s="1"/>
  <c r="W78" i="2" s="1"/>
  <c r="X78" i="2" s="1"/>
  <c r="B78" i="3"/>
  <c r="U46" i="2"/>
  <c r="V46" i="2" s="1"/>
  <c r="W46" i="2" s="1"/>
  <c r="X46" i="2" s="1"/>
  <c r="B46" i="3"/>
  <c r="U73" i="2"/>
  <c r="V73" i="2" s="1"/>
  <c r="W73" i="2" s="1"/>
  <c r="X73" i="2" s="1"/>
  <c r="B73" i="3"/>
  <c r="U41" i="2"/>
  <c r="V41" i="2" s="1"/>
  <c r="W41" i="2" s="1"/>
  <c r="X41" i="2" s="1"/>
  <c r="B41" i="3"/>
  <c r="V283" i="2"/>
  <c r="M283" i="3" s="1"/>
  <c r="S36" i="2" a="1"/>
  <c r="S36" i="2" s="1"/>
  <c r="AE36" i="2" s="1"/>
  <c r="S40" i="2" a="1"/>
  <c r="S40" i="2" s="1"/>
  <c r="AE40" i="2" s="1"/>
  <c r="S44" i="2" a="1"/>
  <c r="S44" i="2" s="1"/>
  <c r="AE44" i="2" s="1"/>
  <c r="S294" i="2" a="1"/>
  <c r="S294" i="2" s="1"/>
  <c r="S298" i="2" a="1"/>
  <c r="S298" i="2" s="1"/>
  <c r="S302" i="2" a="1"/>
  <c r="S302" i="2" s="1"/>
  <c r="S306" i="2" a="1"/>
  <c r="S306" i="2" s="1"/>
  <c r="S321" i="2" a="1"/>
  <c r="S321" i="2" s="1"/>
  <c r="S325" i="2" a="1"/>
  <c r="S325" i="2" s="1"/>
  <c r="S329" i="2" a="1"/>
  <c r="S329" i="2" s="1"/>
  <c r="S333" i="2" a="1"/>
  <c r="S333" i="2" s="1"/>
  <c r="S33" i="2" a="1"/>
  <c r="S33" i="2" s="1"/>
  <c r="AE33" i="2" s="1"/>
  <c r="S37" i="2" a="1"/>
  <c r="S37" i="2" s="1"/>
  <c r="AE37" i="2" s="1"/>
  <c r="S41" i="2" a="1"/>
  <c r="S41" i="2" s="1"/>
  <c r="AE41" i="2" s="1"/>
  <c r="S45" i="2" a="1"/>
  <c r="S45" i="2" s="1"/>
  <c r="AE45" i="2" s="1"/>
  <c r="S295" i="2" a="1"/>
  <c r="S295" i="2" s="1"/>
  <c r="S299" i="2" a="1"/>
  <c r="S299" i="2" s="1"/>
  <c r="S303" i="2" a="1"/>
  <c r="S303" i="2" s="1"/>
  <c r="S307" i="2" a="1"/>
  <c r="S307" i="2" s="1"/>
  <c r="S322" i="2" a="1"/>
  <c r="S322" i="2" s="1"/>
  <c r="S326" i="2" a="1"/>
  <c r="S326" i="2" s="1"/>
  <c r="S330" i="2" a="1"/>
  <c r="S330" i="2" s="1"/>
  <c r="S334" i="2" a="1"/>
  <c r="S334" i="2" s="1"/>
  <c r="S311" i="2" a="1"/>
  <c r="S311" i="2" s="1"/>
  <c r="S315" i="2" a="1"/>
  <c r="S315" i="2" s="1"/>
  <c r="S34" i="2" a="1"/>
  <c r="S34" i="2" s="1"/>
  <c r="AE34" i="2" s="1"/>
  <c r="S312" i="2" a="1"/>
  <c r="S312" i="2" s="1"/>
  <c r="S316" i="2" a="1"/>
  <c r="S316" i="2" s="1"/>
  <c r="S35" i="2" a="1"/>
  <c r="S35" i="2" s="1"/>
  <c r="AE35" i="2" s="1"/>
  <c r="S39" i="2" a="1"/>
  <c r="S39" i="2" s="1"/>
  <c r="AE39" i="2" s="1"/>
  <c r="S43" i="2" a="1"/>
  <c r="S43" i="2" s="1"/>
  <c r="AE43" i="2" s="1"/>
  <c r="S293" i="2" a="1"/>
  <c r="S293" i="2" s="1"/>
  <c r="S297" i="2" a="1"/>
  <c r="S297" i="2" s="1"/>
  <c r="S301" i="2" a="1"/>
  <c r="S301" i="2" s="1"/>
  <c r="S305" i="2" a="1"/>
  <c r="S305" i="2" s="1"/>
  <c r="S320" i="2" a="1"/>
  <c r="S320" i="2" s="1"/>
  <c r="S309" i="2" a="1"/>
  <c r="S309" i="2" s="1"/>
  <c r="S313" i="2" a="1"/>
  <c r="S313" i="2" s="1"/>
  <c r="S317" i="2" a="1"/>
  <c r="S317" i="2" s="1"/>
  <c r="S38" i="2" a="1"/>
  <c r="S38" i="2" s="1"/>
  <c r="AE38" i="2" s="1"/>
  <c r="S318" i="2" a="1"/>
  <c r="S318" i="2" s="1"/>
  <c r="S337" i="2" a="1"/>
  <c r="S337" i="2" s="1"/>
  <c r="S342" i="2" a="1"/>
  <c r="S342" i="2" s="1"/>
  <c r="S346" i="2" a="1"/>
  <c r="S346" i="2" s="1"/>
  <c r="S11" i="2" a="1"/>
  <c r="S11" i="2" s="1"/>
  <c r="S42" i="2" a="1"/>
  <c r="S42" i="2" s="1"/>
  <c r="AE42" i="2" s="1"/>
  <c r="S304" i="2" a="1"/>
  <c r="S304" i="2" s="1"/>
  <c r="S319" i="2" a="1"/>
  <c r="S319" i="2" s="1"/>
  <c r="S350" i="2" a="1"/>
  <c r="S350" i="2" s="1"/>
  <c r="S5" i="2" a="1"/>
  <c r="S5" i="2" s="1"/>
  <c r="AE5" i="2" s="1"/>
  <c r="S8" i="2" a="1"/>
  <c r="S8" i="2" s="1"/>
  <c r="S15" i="2" a="1"/>
  <c r="S15" i="2" s="1"/>
  <c r="AE15" i="2" s="1"/>
  <c r="S19" i="2" a="1"/>
  <c r="S19" i="2" s="1"/>
  <c r="AE19" i="2" s="1"/>
  <c r="S22" i="2" a="1"/>
  <c r="S22" i="2" s="1"/>
  <c r="AE22" i="2" s="1"/>
  <c r="S26" i="2" a="1"/>
  <c r="S26" i="2" s="1"/>
  <c r="AE26" i="2" s="1"/>
  <c r="S46" i="2" a="1"/>
  <c r="S46" i="2" s="1"/>
  <c r="S331" i="2" a="1"/>
  <c r="S331" i="2" s="1"/>
  <c r="S338" i="2" a="1"/>
  <c r="S338" i="2" s="1"/>
  <c r="S343" i="2" a="1"/>
  <c r="S343" i="2" s="1"/>
  <c r="S347" i="2" a="1"/>
  <c r="S347" i="2" s="1"/>
  <c r="S30" i="2" a="1"/>
  <c r="S30" i="2" s="1"/>
  <c r="AE30" i="2" s="1"/>
  <c r="S308" i="2" a="1"/>
  <c r="S308" i="2" s="1"/>
  <c r="S323" i="2" a="1"/>
  <c r="S323" i="2" s="1"/>
  <c r="S332" i="2" a="1"/>
  <c r="S332" i="2" s="1"/>
  <c r="S2" i="2" a="1"/>
  <c r="S2" i="2" s="1"/>
  <c r="AE2" i="2" s="1"/>
  <c r="S9" i="2" a="1"/>
  <c r="S9" i="2" s="1"/>
  <c r="Z9" i="2" s="1"/>
  <c r="E9" i="3" s="1"/>
  <c r="S12" i="2" a="1"/>
  <c r="S12" i="2" s="1"/>
  <c r="S16" i="2" a="1"/>
  <c r="S16" i="2" s="1"/>
  <c r="AE16" i="2" s="1"/>
  <c r="S23" i="2" a="1"/>
  <c r="S23" i="2" s="1"/>
  <c r="S27" i="2" a="1"/>
  <c r="S27" i="2" s="1"/>
  <c r="S310" i="2" a="1"/>
  <c r="S310" i="2" s="1"/>
  <c r="S324" i="2" a="1"/>
  <c r="S324" i="2" s="1"/>
  <c r="S339" i="2" a="1"/>
  <c r="S339" i="2" s="1"/>
  <c r="S344" i="2" a="1"/>
  <c r="S344" i="2" s="1"/>
  <c r="S348" i="2" a="1"/>
  <c r="S348" i="2" s="1"/>
  <c r="S3" i="2" a="1"/>
  <c r="S3" i="2" s="1"/>
  <c r="AE3" i="2" s="1"/>
  <c r="S6" i="2" a="1"/>
  <c r="S6" i="2" s="1"/>
  <c r="S20" i="2" a="1"/>
  <c r="S20" i="2" s="1"/>
  <c r="S31" i="2" a="1"/>
  <c r="S31" i="2" s="1"/>
  <c r="AE31" i="2" s="1"/>
  <c r="S296" i="2" a="1"/>
  <c r="S296" i="2" s="1"/>
  <c r="S340" i="2" a="1"/>
  <c r="S340" i="2" s="1"/>
  <c r="S13" i="2" a="1"/>
  <c r="S13" i="2" s="1"/>
  <c r="AE13" i="2" s="1"/>
  <c r="S17" i="2" a="1"/>
  <c r="S17" i="2" s="1"/>
  <c r="S24" i="2" a="1"/>
  <c r="S24" i="2" s="1"/>
  <c r="AE24" i="2" s="1"/>
  <c r="S32" i="2" a="1"/>
  <c r="S32" i="2" s="1"/>
  <c r="AE32" i="2" s="1"/>
  <c r="S314" i="2" a="1"/>
  <c r="S314" i="2" s="1"/>
  <c r="S327" i="2" a="1"/>
  <c r="S327" i="2" s="1"/>
  <c r="S335" i="2" a="1"/>
  <c r="S335" i="2" s="1"/>
  <c r="S341" i="2" a="1"/>
  <c r="S341" i="2" s="1"/>
  <c r="S345" i="2" a="1"/>
  <c r="S345" i="2" s="1"/>
  <c r="S7" i="2" a="1"/>
  <c r="S7" i="2" s="1"/>
  <c r="AE7" i="2" s="1"/>
  <c r="S10" i="2" a="1"/>
  <c r="S10" i="2" s="1"/>
  <c r="AE10" i="2" s="1"/>
  <c r="S21" i="2" a="1"/>
  <c r="S21" i="2" s="1"/>
  <c r="AE21" i="2" s="1"/>
  <c r="S25" i="2" a="1"/>
  <c r="S25" i="2" s="1"/>
  <c r="S28" i="2" a="1"/>
  <c r="S28" i="2" s="1"/>
  <c r="S336" i="2" a="1"/>
  <c r="S336" i="2" s="1"/>
  <c r="S29" i="2" a="1"/>
  <c r="S29" i="2" s="1"/>
  <c r="AE29" i="2" s="1"/>
  <c r="S18" i="2" a="1"/>
  <c r="S18" i="2" s="1"/>
  <c r="S349" i="2" a="1"/>
  <c r="S349" i="2" s="1"/>
  <c r="S328" i="2" a="1"/>
  <c r="S328" i="2" s="1"/>
  <c r="S4" i="2" a="1"/>
  <c r="S4" i="2" s="1"/>
  <c r="AE4" i="2" s="1"/>
  <c r="S14" i="2" a="1"/>
  <c r="S14" i="2" s="1"/>
  <c r="AE14" i="2" s="1"/>
  <c r="S300" i="2" a="1"/>
  <c r="S300" i="2" s="1"/>
  <c r="V197" i="2"/>
  <c r="B197" i="3"/>
  <c r="U40" i="2"/>
  <c r="V40" i="2" s="1"/>
  <c r="W40" i="2" s="1"/>
  <c r="X40" i="2" s="1"/>
  <c r="B40" i="3"/>
  <c r="V96" i="2"/>
  <c r="B96" i="3"/>
  <c r="U91" i="2"/>
  <c r="V91" i="2" s="1"/>
  <c r="W91" i="2" s="1"/>
  <c r="X91" i="2" s="1"/>
  <c r="B91" i="3"/>
  <c r="U59" i="2"/>
  <c r="V59" i="2" s="1"/>
  <c r="W59" i="2" s="1"/>
  <c r="X59" i="2" s="1"/>
  <c r="B59" i="3"/>
  <c r="U190" i="2"/>
  <c r="B190" i="3"/>
  <c r="X158" i="2"/>
  <c r="B158" i="3"/>
  <c r="U74" i="2"/>
  <c r="V74" i="2" s="1"/>
  <c r="W74" i="2" s="1"/>
  <c r="X74" i="2" s="1"/>
  <c r="B74" i="3"/>
  <c r="U42" i="2"/>
  <c r="V42" i="2" s="1"/>
  <c r="W42" i="2" s="1"/>
  <c r="X42" i="2" s="1"/>
  <c r="B42" i="3"/>
  <c r="U69" i="2"/>
  <c r="V69" i="2" s="1"/>
  <c r="W69" i="2" s="1"/>
  <c r="X69" i="2" s="1"/>
  <c r="B69" i="3"/>
  <c r="U37" i="2"/>
  <c r="V37" i="2" s="1"/>
  <c r="W37" i="2" s="1"/>
  <c r="X37" i="2" s="1"/>
  <c r="B37" i="3"/>
  <c r="U87" i="2"/>
  <c r="V87" i="2" s="1"/>
  <c r="W87" i="2" s="1"/>
  <c r="X87" i="2" s="1"/>
  <c r="B87" i="3"/>
  <c r="U55" i="2"/>
  <c r="V55" i="2" s="1"/>
  <c r="W55" i="2" s="1"/>
  <c r="X55" i="2" s="1"/>
  <c r="B55" i="3"/>
  <c r="X154" i="2"/>
  <c r="B154" i="3"/>
  <c r="U70" i="2"/>
  <c r="V70" i="2" s="1"/>
  <c r="W70" i="2" s="1"/>
  <c r="X70" i="2" s="1"/>
  <c r="B70" i="3"/>
  <c r="U38" i="2"/>
  <c r="V38" i="2" s="1"/>
  <c r="W38" i="2" s="1"/>
  <c r="X38" i="2" s="1"/>
  <c r="B38" i="3"/>
  <c r="U65" i="2"/>
  <c r="V65" i="2" s="1"/>
  <c r="W65" i="2" s="1"/>
  <c r="X65" i="2" s="1"/>
  <c r="B65" i="3"/>
  <c r="U33" i="2"/>
  <c r="V33" i="2" s="1"/>
  <c r="W33" i="2" s="1"/>
  <c r="X33" i="2" s="1"/>
  <c r="B33" i="3"/>
  <c r="V145" i="2"/>
  <c r="B145" i="3"/>
  <c r="U83" i="2"/>
  <c r="V83" i="2" s="1"/>
  <c r="W83" i="2" s="1"/>
  <c r="X83" i="2" s="1"/>
  <c r="B83" i="3"/>
  <c r="U51" i="2"/>
  <c r="V51" i="2" s="1"/>
  <c r="W51" i="2" s="1"/>
  <c r="X51" i="2" s="1"/>
  <c r="B51" i="3"/>
  <c r="X150" i="2"/>
  <c r="B150" i="3"/>
  <c r="U66" i="2"/>
  <c r="V66" i="2" s="1"/>
  <c r="W66" i="2" s="1"/>
  <c r="X66" i="2" s="1"/>
  <c r="B66" i="3"/>
  <c r="U34" i="2"/>
  <c r="V34" i="2" s="1"/>
  <c r="W34" i="2" s="1"/>
  <c r="X34" i="2" s="1"/>
  <c r="B34" i="3"/>
  <c r="U79" i="2"/>
  <c r="V79" i="2" s="1"/>
  <c r="W79" i="2" s="1"/>
  <c r="X79" i="2" s="1"/>
  <c r="B79" i="3"/>
  <c r="U47" i="2"/>
  <c r="V47" i="2" s="1"/>
  <c r="W47" i="2" s="1"/>
  <c r="X47" i="2" s="1"/>
  <c r="B47" i="3"/>
  <c r="X146" i="2"/>
  <c r="B146" i="3"/>
  <c r="U62" i="2"/>
  <c r="V62" i="2" s="1"/>
  <c r="W62" i="2" s="1"/>
  <c r="X62" i="2" s="1"/>
  <c r="B62" i="3"/>
  <c r="U89" i="2"/>
  <c r="V89" i="2" s="1"/>
  <c r="W89" i="2" s="1"/>
  <c r="X89" i="2" s="1"/>
  <c r="B89" i="3"/>
  <c r="U57" i="2"/>
  <c r="V57" i="2" s="1"/>
  <c r="W57" i="2" s="1"/>
  <c r="X57" i="2" s="1"/>
  <c r="B57" i="3"/>
  <c r="W113" i="2"/>
  <c r="B113" i="3"/>
  <c r="W113" i="3" s="1"/>
  <c r="U75" i="2"/>
  <c r="V75" i="2" s="1"/>
  <c r="W75" i="2" s="1"/>
  <c r="X75" i="2" s="1"/>
  <c r="B75" i="3"/>
  <c r="U43" i="2"/>
  <c r="V43" i="2" s="1"/>
  <c r="W43" i="2" s="1"/>
  <c r="X43" i="2" s="1"/>
  <c r="B43" i="3"/>
  <c r="X174" i="2"/>
  <c r="B174" i="3"/>
  <c r="M174" i="3" s="1"/>
  <c r="U90" i="2"/>
  <c r="V90" i="2" s="1"/>
  <c r="W90" i="2" s="1"/>
  <c r="X90" i="2" s="1"/>
  <c r="B90" i="3"/>
  <c r="U58" i="2"/>
  <c r="V58" i="2" s="1"/>
  <c r="W58" i="2" s="1"/>
  <c r="X58" i="2" s="1"/>
  <c r="B58" i="3"/>
  <c r="U85" i="2"/>
  <c r="V85" i="2" s="1"/>
  <c r="W85" i="2" s="1"/>
  <c r="X85" i="2" s="1"/>
  <c r="B85" i="3"/>
  <c r="U53" i="2"/>
  <c r="V53" i="2" s="1"/>
  <c r="W53" i="2" s="1"/>
  <c r="X53" i="2" s="1"/>
  <c r="B53" i="3"/>
  <c r="U71" i="2"/>
  <c r="V71" i="2" s="1"/>
  <c r="W71" i="2" s="1"/>
  <c r="X71" i="2" s="1"/>
  <c r="B71" i="3"/>
  <c r="U39" i="2"/>
  <c r="V39" i="2" s="1"/>
  <c r="W39" i="2" s="1"/>
  <c r="X39" i="2" s="1"/>
  <c r="B39" i="3"/>
  <c r="X170" i="2"/>
  <c r="B170" i="3"/>
  <c r="U86" i="2"/>
  <c r="V86" i="2" s="1"/>
  <c r="W86" i="2" s="1"/>
  <c r="X86" i="2" s="1"/>
  <c r="B86" i="3"/>
  <c r="U54" i="2"/>
  <c r="V54" i="2" s="1"/>
  <c r="W54" i="2" s="1"/>
  <c r="X54" i="2" s="1"/>
  <c r="B54" i="3"/>
  <c r="U81" i="2"/>
  <c r="V81" i="2" s="1"/>
  <c r="W81" i="2" s="1"/>
  <c r="X81" i="2" s="1"/>
  <c r="B81" i="3"/>
  <c r="U49" i="2"/>
  <c r="V49" i="2" s="1"/>
  <c r="W49" i="2" s="1"/>
  <c r="X49" i="2" s="1"/>
  <c r="B49" i="3"/>
  <c r="W88" i="3"/>
  <c r="R61" i="3"/>
  <c r="R212" i="3"/>
  <c r="R215" i="3"/>
  <c r="W60" i="3"/>
  <c r="M121" i="3"/>
  <c r="R209" i="3"/>
  <c r="M88" i="3"/>
  <c r="R60" i="3"/>
  <c r="R153" i="3"/>
  <c r="M52" i="3"/>
  <c r="M60" i="3"/>
  <c r="R88" i="3"/>
  <c r="M124" i="3"/>
  <c r="W149" i="3"/>
  <c r="M61" i="3"/>
  <c r="M123" i="3"/>
  <c r="M137" i="3"/>
  <c r="W124" i="3"/>
  <c r="W159" i="3"/>
  <c r="M161" i="3"/>
  <c r="H209" i="3"/>
  <c r="H240" i="3"/>
  <c r="M232" i="3"/>
  <c r="W161" i="3"/>
  <c r="M212" i="3"/>
  <c r="M224" i="3"/>
  <c r="W328" i="3"/>
  <c r="W350" i="3"/>
  <c r="R114" i="3"/>
  <c r="R285" i="3"/>
  <c r="R203" i="3"/>
  <c r="W316" i="3"/>
  <c r="M144" i="3"/>
  <c r="M152" i="3"/>
  <c r="R298" i="3"/>
  <c r="W324" i="3"/>
  <c r="W341" i="3"/>
  <c r="H208" i="3"/>
  <c r="W127" i="3"/>
  <c r="W135" i="3"/>
  <c r="W143" i="3"/>
  <c r="R124" i="3"/>
  <c r="W209" i="3"/>
  <c r="W141" i="3"/>
  <c r="H224" i="3"/>
  <c r="R284" i="3"/>
  <c r="R328" i="3"/>
  <c r="H259" i="3"/>
  <c r="M285" i="3"/>
  <c r="H319" i="3"/>
  <c r="H264" i="3"/>
  <c r="W203" i="3"/>
  <c r="R316" i="3"/>
  <c r="H144" i="3"/>
  <c r="H152" i="3"/>
  <c r="R341" i="3"/>
  <c r="M306" i="3"/>
  <c r="W202" i="3"/>
  <c r="W179" i="3"/>
  <c r="M316" i="3"/>
  <c r="H298" i="3"/>
  <c r="H121" i="3"/>
  <c r="M209" i="3"/>
  <c r="R161" i="3"/>
  <c r="W221" i="3"/>
  <c r="M184" i="3"/>
  <c r="H153" i="3"/>
  <c r="R232" i="3"/>
  <c r="W317" i="3"/>
  <c r="H328" i="3"/>
  <c r="H257" i="3"/>
  <c r="H316" i="3"/>
  <c r="M328" i="3"/>
  <c r="R208" i="3"/>
  <c r="H211" i="3"/>
  <c r="R176" i="3"/>
  <c r="R221" i="3"/>
  <c r="M248" i="3"/>
  <c r="R99" i="3"/>
  <c r="H225" i="3"/>
  <c r="R317" i="3"/>
  <c r="R268" i="3"/>
  <c r="M215" i="3"/>
  <c r="W211" i="3"/>
  <c r="M159" i="3"/>
  <c r="W121" i="3"/>
  <c r="R202" i="3"/>
  <c r="M181" i="3"/>
  <c r="M221" i="3"/>
  <c r="R205" i="3"/>
  <c r="W184" i="3"/>
  <c r="R240" i="3"/>
  <c r="R184" i="3"/>
  <c r="W225" i="3"/>
  <c r="M317" i="3"/>
  <c r="M268" i="3"/>
  <c r="M294" i="3"/>
  <c r="H61" i="3"/>
  <c r="R181" i="3"/>
  <c r="H159" i="3"/>
  <c r="W132" i="3"/>
  <c r="H232" i="3"/>
  <c r="H168" i="3"/>
  <c r="H212" i="3"/>
  <c r="H184" i="3"/>
  <c r="M288" i="3"/>
  <c r="H285" i="3"/>
  <c r="H314" i="3"/>
  <c r="H336" i="3"/>
  <c r="M203" i="3"/>
  <c r="H268" i="3"/>
  <c r="W308" i="3"/>
  <c r="W144" i="3"/>
  <c r="W152" i="3"/>
  <c r="H331" i="3"/>
  <c r="M208" i="3"/>
  <c r="W181" i="3"/>
  <c r="R159" i="3"/>
  <c r="H119" i="3"/>
  <c r="H161" i="3"/>
  <c r="R248" i="3"/>
  <c r="R224" i="3"/>
  <c r="R266" i="3"/>
  <c r="W285" i="3"/>
  <c r="W314" i="3"/>
  <c r="H203" i="3"/>
  <c r="W268" i="3"/>
  <c r="R144" i="3"/>
  <c r="R152" i="3"/>
  <c r="W331" i="3"/>
  <c r="W2" i="3"/>
  <c r="M2" i="3"/>
  <c r="R2" i="3"/>
  <c r="M76" i="3" l="1"/>
  <c r="M168" i="3"/>
  <c r="H137" i="3"/>
  <c r="W253" i="3"/>
  <c r="R253" i="3"/>
  <c r="H76" i="3"/>
  <c r="W296" i="3"/>
  <c r="W99" i="3"/>
  <c r="W304" i="3"/>
  <c r="H243" i="3"/>
  <c r="R244" i="3"/>
  <c r="H215" i="3"/>
  <c r="M324" i="3"/>
  <c r="H99" i="3"/>
  <c r="H204" i="3"/>
  <c r="R143" i="3"/>
  <c r="H324" i="3"/>
  <c r="W266" i="3"/>
  <c r="R199" i="3"/>
  <c r="M204" i="3"/>
  <c r="M299" i="3"/>
  <c r="H199" i="3"/>
  <c r="W215" i="3"/>
  <c r="D39" i="4"/>
  <c r="D49" i="4"/>
  <c r="L39" i="4"/>
  <c r="L49" i="4"/>
  <c r="H39" i="4"/>
  <c r="H49" i="4"/>
  <c r="P39" i="4"/>
  <c r="P49" i="4"/>
  <c r="L29" i="4"/>
  <c r="H29" i="4"/>
  <c r="D29" i="4"/>
  <c r="P29" i="4"/>
  <c r="P19" i="4"/>
  <c r="D19" i="4"/>
  <c r="H19" i="4"/>
  <c r="L19" i="4"/>
  <c r="M8" i="4"/>
  <c r="M3" i="4"/>
  <c r="M2" i="4"/>
  <c r="M4" i="4"/>
  <c r="P9" i="4" s="1"/>
  <c r="M7" i="4"/>
  <c r="H9" i="4"/>
  <c r="L9" i="4"/>
  <c r="D9" i="4"/>
  <c r="V5" i="3"/>
  <c r="P4" i="3"/>
  <c r="U4" i="3"/>
  <c r="Q5" i="3"/>
  <c r="L5" i="3"/>
  <c r="F4" i="3"/>
  <c r="K4" i="3"/>
  <c r="G5" i="3"/>
  <c r="M12" i="3"/>
  <c r="M28" i="3"/>
  <c r="R18" i="3"/>
  <c r="W349" i="3"/>
  <c r="M3" i="3"/>
  <c r="H3" i="3"/>
  <c r="R3" i="3"/>
  <c r="M18" i="3"/>
  <c r="W339" i="3"/>
  <c r="H18" i="3"/>
  <c r="R28" i="3"/>
  <c r="AJ68" i="2"/>
  <c r="H179" i="3"/>
  <c r="R305" i="3"/>
  <c r="R319" i="3"/>
  <c r="R211" i="3"/>
  <c r="H110" i="3"/>
  <c r="H330" i="3"/>
  <c r="M277" i="3"/>
  <c r="M199" i="3"/>
  <c r="M244" i="3"/>
  <c r="M330" i="3"/>
  <c r="M305" i="3"/>
  <c r="R260" i="3"/>
  <c r="H342" i="3"/>
  <c r="H205" i="3"/>
  <c r="R277" i="3"/>
  <c r="M312" i="3"/>
  <c r="H277" i="3"/>
  <c r="H218" i="3"/>
  <c r="M229" i="3"/>
  <c r="H229" i="3"/>
  <c r="R72" i="3"/>
  <c r="R330" i="3"/>
  <c r="R229" i="3"/>
  <c r="M319" i="3"/>
  <c r="W305" i="3"/>
  <c r="W319" i="3"/>
  <c r="M300" i="3"/>
  <c r="H17" i="3"/>
  <c r="M7" i="3"/>
  <c r="M17" i="3"/>
  <c r="R17" i="3"/>
  <c r="AF56" i="2"/>
  <c r="AG56" i="2" s="1"/>
  <c r="AF53" i="2"/>
  <c r="AG53" i="2" s="1"/>
  <c r="AH53" i="2" s="1"/>
  <c r="AF57" i="2"/>
  <c r="AG57" i="2" s="1"/>
  <c r="AF51" i="2"/>
  <c r="AF60" i="2"/>
  <c r="AF61" i="2"/>
  <c r="AG61" i="2" s="1"/>
  <c r="AI61" i="2" s="1"/>
  <c r="AF59" i="2"/>
  <c r="AF55" i="2"/>
  <c r="AG55" i="2" s="1"/>
  <c r="H7" i="3"/>
  <c r="R7" i="3"/>
  <c r="H254" i="3"/>
  <c r="H28" i="3"/>
  <c r="W44" i="2"/>
  <c r="R19" i="3"/>
  <c r="M19" i="3"/>
  <c r="M11" i="3"/>
  <c r="H12" i="3"/>
  <c r="R11" i="3"/>
  <c r="R12" i="3"/>
  <c r="H11" i="3"/>
  <c r="AF44" i="2"/>
  <c r="H19" i="3"/>
  <c r="W214" i="3"/>
  <c r="M31" i="3"/>
  <c r="R23" i="3"/>
  <c r="H21" i="3"/>
  <c r="M27" i="3"/>
  <c r="M20" i="3"/>
  <c r="R21" i="3"/>
  <c r="R20" i="3"/>
  <c r="H23" i="3"/>
  <c r="H20" i="3"/>
  <c r="M23" i="3"/>
  <c r="M21" i="3"/>
  <c r="H348" i="3"/>
  <c r="R30" i="3"/>
  <c r="H294" i="3"/>
  <c r="R261" i="3"/>
  <c r="W168" i="3"/>
  <c r="H187" i="3"/>
  <c r="H340" i="3"/>
  <c r="W186" i="3"/>
  <c r="W148" i="3"/>
  <c r="M110" i="3"/>
  <c r="M187" i="3"/>
  <c r="H260" i="3"/>
  <c r="M261" i="3"/>
  <c r="R336" i="3"/>
  <c r="H123" i="3"/>
  <c r="M149" i="3"/>
  <c r="R127" i="3"/>
  <c r="H127" i="3"/>
  <c r="R299" i="3"/>
  <c r="W315" i="3"/>
  <c r="W14" i="3"/>
  <c r="R329" i="3"/>
  <c r="H308" i="3"/>
  <c r="R309" i="3"/>
  <c r="M142" i="3"/>
  <c r="R179" i="3"/>
  <c r="M304" i="3"/>
  <c r="R342" i="3"/>
  <c r="R195" i="3"/>
  <c r="W142" i="3"/>
  <c r="H142" i="3"/>
  <c r="W338" i="3"/>
  <c r="W260" i="3"/>
  <c r="W137" i="3"/>
  <c r="M314" i="3"/>
  <c r="R340" i="3"/>
  <c r="H172" i="3"/>
  <c r="W342" i="3"/>
  <c r="M260" i="3"/>
  <c r="R288" i="3"/>
  <c r="R349" i="3"/>
  <c r="M176" i="3"/>
  <c r="H338" i="3"/>
  <c r="R338" i="3"/>
  <c r="M340" i="3"/>
  <c r="W330" i="3"/>
  <c r="M72" i="3"/>
  <c r="W288" i="3"/>
  <c r="M329" i="3"/>
  <c r="M195" i="3"/>
  <c r="H132" i="3"/>
  <c r="W340" i="3"/>
  <c r="H318" i="3"/>
  <c r="M336" i="3"/>
  <c r="W191" i="3"/>
  <c r="W72" i="3"/>
  <c r="M318" i="3"/>
  <c r="R292" i="3"/>
  <c r="M342" i="3"/>
  <c r="H149" i="3"/>
  <c r="H299" i="3"/>
  <c r="W111" i="3"/>
  <c r="R111" i="3"/>
  <c r="R318" i="3"/>
  <c r="M338" i="3"/>
  <c r="M321" i="3"/>
  <c r="H332" i="3"/>
  <c r="W36" i="3"/>
  <c r="H111" i="3"/>
  <c r="R52" i="3"/>
  <c r="M292" i="3"/>
  <c r="H288" i="3"/>
  <c r="W348" i="3"/>
  <c r="W299" i="3"/>
  <c r="R324" i="3"/>
  <c r="R137" i="3"/>
  <c r="R296" i="3"/>
  <c r="M309" i="3"/>
  <c r="M337" i="3"/>
  <c r="H292" i="3"/>
  <c r="R220" i="3"/>
  <c r="AE86" i="2"/>
  <c r="AF86" i="2" s="1"/>
  <c r="AG86" i="2" s="1"/>
  <c r="AI86" i="2" s="1"/>
  <c r="M173" i="3"/>
  <c r="W22" i="3"/>
  <c r="H214" i="3"/>
  <c r="W329" i="3"/>
  <c r="W294" i="3"/>
  <c r="M326" i="3"/>
  <c r="M25" i="3"/>
  <c r="R6" i="3"/>
  <c r="H13" i="3"/>
  <c r="H6" i="3"/>
  <c r="H36" i="3"/>
  <c r="M13" i="3"/>
  <c r="H25" i="3"/>
  <c r="R13" i="3"/>
  <c r="M6" i="3"/>
  <c r="R25" i="3"/>
  <c r="M9" i="3"/>
  <c r="H9" i="3"/>
  <c r="AF49" i="2"/>
  <c r="AF47" i="2"/>
  <c r="AF48" i="2"/>
  <c r="R22" i="3"/>
  <c r="AH74" i="2"/>
  <c r="AJ74" i="2" s="1"/>
  <c r="H22" i="3"/>
  <c r="M22" i="3"/>
  <c r="H29" i="3"/>
  <c r="H14" i="3"/>
  <c r="H32" i="3"/>
  <c r="R9" i="3"/>
  <c r="R32" i="3"/>
  <c r="R14" i="3"/>
  <c r="H24" i="3"/>
  <c r="M24" i="3"/>
  <c r="M32" i="3"/>
  <c r="R29" i="3"/>
  <c r="M29" i="3"/>
  <c r="R24" i="3"/>
  <c r="M14" i="3"/>
  <c r="R26" i="3"/>
  <c r="M5" i="3"/>
  <c r="H26" i="3"/>
  <c r="R10" i="3"/>
  <c r="H8" i="3"/>
  <c r="M26" i="3"/>
  <c r="M16" i="3"/>
  <c r="M8" i="3"/>
  <c r="M10" i="3"/>
  <c r="R8" i="3"/>
  <c r="R5" i="3"/>
  <c r="H216" i="3"/>
  <c r="R16" i="3"/>
  <c r="H5" i="3"/>
  <c r="H10" i="3"/>
  <c r="H16" i="3"/>
  <c r="AH64" i="2"/>
  <c r="AI64" i="2"/>
  <c r="AF10" i="2"/>
  <c r="AF3" i="2"/>
  <c r="AF16" i="2"/>
  <c r="AF15" i="2"/>
  <c r="AF33" i="2"/>
  <c r="AH89" i="2"/>
  <c r="AJ89" i="2" s="1"/>
  <c r="AI89" i="2"/>
  <c r="AH72" i="2"/>
  <c r="AJ72" i="2" s="1"/>
  <c r="AI72" i="2"/>
  <c r="AF37" i="2"/>
  <c r="AF5" i="2"/>
  <c r="AH84" i="2"/>
  <c r="AJ84" i="2" s="1"/>
  <c r="AI84" i="2"/>
  <c r="AF29" i="2"/>
  <c r="AF36" i="2"/>
  <c r="AF21" i="2"/>
  <c r="AF35" i="2"/>
  <c r="AF38" i="2"/>
  <c r="AF4" i="2"/>
  <c r="AF30" i="2"/>
  <c r="AF7" i="2"/>
  <c r="AF34" i="2"/>
  <c r="AF26" i="2"/>
  <c r="AF43" i="2"/>
  <c r="AF45" i="2"/>
  <c r="AH85" i="2"/>
  <c r="AJ85" i="2" s="1"/>
  <c r="AI85" i="2"/>
  <c r="AH80" i="2"/>
  <c r="AJ80" i="2" s="1"/>
  <c r="AI80" i="2"/>
  <c r="AF32" i="2"/>
  <c r="AF19" i="2"/>
  <c r="AF14" i="2"/>
  <c r="AF22" i="2"/>
  <c r="AF42" i="2"/>
  <c r="AF39" i="2"/>
  <c r="AF41" i="2"/>
  <c r="AI82" i="2"/>
  <c r="AH82" i="2"/>
  <c r="AJ82" i="2" s="1"/>
  <c r="AI77" i="2"/>
  <c r="AH77" i="2"/>
  <c r="AJ77" i="2" s="1"/>
  <c r="AH76" i="2"/>
  <c r="AJ76" i="2" s="1"/>
  <c r="AI76" i="2"/>
  <c r="R335" i="3"/>
  <c r="M15" i="3"/>
  <c r="M36" i="3"/>
  <c r="R169" i="3"/>
  <c r="R258" i="3"/>
  <c r="R274" i="3"/>
  <c r="R218" i="3"/>
  <c r="R321" i="3"/>
  <c r="W321" i="3"/>
  <c r="H304" i="3"/>
  <c r="AH75" i="2"/>
  <c r="AJ75" i="2" s="1"/>
  <c r="AE50" i="2"/>
  <c r="AE25" i="2"/>
  <c r="AE12" i="2"/>
  <c r="AE81" i="2"/>
  <c r="AF81" i="2" s="1"/>
  <c r="AG81" i="2" s="1"/>
  <c r="AI81" i="2" s="1"/>
  <c r="AE23" i="2"/>
  <c r="AE18" i="2"/>
  <c r="M186" i="3"/>
  <c r="M335" i="3"/>
  <c r="R15" i="3"/>
  <c r="W31" i="3"/>
  <c r="H274" i="3"/>
  <c r="M348" i="3"/>
  <c r="AH62" i="2"/>
  <c r="AE92" i="2"/>
  <c r="AF92" i="2" s="1"/>
  <c r="AG92" i="2" s="1"/>
  <c r="AI92" i="2" s="1"/>
  <c r="AE71" i="2"/>
  <c r="AF71" i="2" s="1"/>
  <c r="AG71" i="2" s="1"/>
  <c r="AI71" i="2" s="1"/>
  <c r="AE79" i="2"/>
  <c r="AF79" i="2" s="1"/>
  <c r="AG79" i="2" s="1"/>
  <c r="AI79" i="2" s="1"/>
  <c r="AE9" i="2"/>
  <c r="AE54" i="2"/>
  <c r="AE8" i="2"/>
  <c r="AE6" i="2"/>
  <c r="AE52" i="2"/>
  <c r="AE87" i="2"/>
  <c r="AF87" i="2" s="1"/>
  <c r="AG87" i="2" s="1"/>
  <c r="AI87" i="2" s="1"/>
  <c r="AH88" i="2"/>
  <c r="AJ88" i="2" s="1"/>
  <c r="AF13" i="2"/>
  <c r="AF24" i="2"/>
  <c r="W6" i="3"/>
  <c r="M30" i="3"/>
  <c r="H169" i="3"/>
  <c r="M127" i="3"/>
  <c r="W169" i="3"/>
  <c r="H258" i="3"/>
  <c r="H101" i="3"/>
  <c r="AE67" i="2"/>
  <c r="AF67" i="2" s="1"/>
  <c r="AG67" i="2" s="1"/>
  <c r="AI67" i="2" s="1"/>
  <c r="AE78" i="2"/>
  <c r="AF78" i="2" s="1"/>
  <c r="AG78" i="2" s="1"/>
  <c r="AI78" i="2" s="1"/>
  <c r="AE83" i="2"/>
  <c r="AF83" i="2" s="1"/>
  <c r="AG83" i="2" s="1"/>
  <c r="AI83" i="2" s="1"/>
  <c r="W293" i="3"/>
  <c r="AE58" i="2"/>
  <c r="AE20" i="2"/>
  <c r="H293" i="3"/>
  <c r="AE70" i="2"/>
  <c r="AF70" i="2" s="1"/>
  <c r="AG70" i="2" s="1"/>
  <c r="AI70" i="2" s="1"/>
  <c r="AE17" i="2"/>
  <c r="AE73" i="2"/>
  <c r="AF73" i="2" s="1"/>
  <c r="AG73" i="2" s="1"/>
  <c r="AI73" i="2" s="1"/>
  <c r="M171" i="3"/>
  <c r="W323" i="3"/>
  <c r="AH66" i="2"/>
  <c r="W30" i="3"/>
  <c r="W163" i="3"/>
  <c r="R31" i="3"/>
  <c r="H333" i="3"/>
  <c r="R36" i="3"/>
  <c r="H52" i="3"/>
  <c r="M258" i="3"/>
  <c r="R168" i="3"/>
  <c r="R294" i="3"/>
  <c r="M276" i="3"/>
  <c r="R188" i="3"/>
  <c r="R308" i="3"/>
  <c r="M135" i="3"/>
  <c r="W261" i="3"/>
  <c r="AH69" i="2"/>
  <c r="AE46" i="2"/>
  <c r="AE28" i="2"/>
  <c r="W171" i="3"/>
  <c r="AE63" i="2"/>
  <c r="AF63" i="2" s="1"/>
  <c r="AG63" i="2" s="1"/>
  <c r="AI63" i="2" s="1"/>
  <c r="H163" i="3"/>
  <c r="H31" i="3"/>
  <c r="H30" i="3"/>
  <c r="H170" i="3"/>
  <c r="W333" i="3"/>
  <c r="H326" i="3"/>
  <c r="R276" i="3"/>
  <c r="M230" i="3"/>
  <c r="M188" i="3"/>
  <c r="W312" i="3"/>
  <c r="H105" i="3"/>
  <c r="AH90" i="2"/>
  <c r="AJ90" i="2" s="1"/>
  <c r="AE27" i="2"/>
  <c r="AI68" i="2"/>
  <c r="S68" i="3" s="1"/>
  <c r="R171" i="3"/>
  <c r="AE11" i="2"/>
  <c r="H309" i="3"/>
  <c r="AF40" i="2"/>
  <c r="AF31" i="2"/>
  <c r="R333" i="3"/>
  <c r="M92" i="3"/>
  <c r="W195" i="3"/>
  <c r="M266" i="3"/>
  <c r="W188" i="3"/>
  <c r="H188" i="3"/>
  <c r="M308" i="3"/>
  <c r="M297" i="3"/>
  <c r="H297" i="3"/>
  <c r="H321" i="3"/>
  <c r="R322" i="3"/>
  <c r="H135" i="3"/>
  <c r="M216" i="3"/>
  <c r="AE65" i="2"/>
  <c r="AF65" i="2" s="1"/>
  <c r="AG65" i="2" s="1"/>
  <c r="AI65" i="2" s="1"/>
  <c r="AH91" i="2"/>
  <c r="AJ91" i="2" s="1"/>
  <c r="M333" i="3"/>
  <c r="H335" i="3"/>
  <c r="H143" i="3"/>
  <c r="H337" i="3"/>
  <c r="H312" i="3"/>
  <c r="R312" i="3"/>
  <c r="R314" i="3"/>
  <c r="W297" i="3"/>
  <c r="W322" i="3"/>
  <c r="R142" i="3"/>
  <c r="R186" i="3"/>
  <c r="M293" i="3"/>
  <c r="M162" i="3"/>
  <c r="W327" i="3"/>
  <c r="M193" i="3"/>
  <c r="H343" i="3"/>
  <c r="H345" i="3"/>
  <c r="R146" i="3"/>
  <c r="W325" i="3"/>
  <c r="AF2" i="2"/>
  <c r="M107" i="3"/>
  <c r="R332" i="3"/>
  <c r="R302" i="3"/>
  <c r="H103" i="3"/>
  <c r="W200" i="3"/>
  <c r="W160" i="3"/>
  <c r="M95" i="3"/>
  <c r="H27" i="3"/>
  <c r="M99" i="3"/>
  <c r="H310" i="3"/>
  <c r="R27" i="3"/>
  <c r="W105" i="3"/>
  <c r="H44" i="3"/>
  <c r="H95" i="3"/>
  <c r="W15" i="3"/>
  <c r="H15" i="3"/>
  <c r="M160" i="3"/>
  <c r="M105" i="3"/>
  <c r="H327" i="3"/>
  <c r="H160" i="3"/>
  <c r="M339" i="3"/>
  <c r="M296" i="3"/>
  <c r="R348" i="3"/>
  <c r="H276" i="3"/>
  <c r="R105" i="3"/>
  <c r="R327" i="3"/>
  <c r="H325" i="3"/>
  <c r="W27" i="3"/>
  <c r="M104" i="3"/>
  <c r="M254" i="3"/>
  <c r="M327" i="3"/>
  <c r="R197" i="3"/>
  <c r="W345" i="3"/>
  <c r="W343" i="3"/>
  <c r="W302" i="3"/>
  <c r="R193" i="3"/>
  <c r="M343" i="3"/>
  <c r="R325" i="3"/>
  <c r="R326" i="3"/>
  <c r="H302" i="3"/>
  <c r="H242" i="3"/>
  <c r="H230" i="3"/>
  <c r="H118" i="3"/>
  <c r="R254" i="3"/>
  <c r="W193" i="3"/>
  <c r="W254" i="3"/>
  <c r="M325" i="3"/>
  <c r="W326" i="3"/>
  <c r="W242" i="3"/>
  <c r="R304" i="3"/>
  <c r="H139" i="3"/>
  <c r="H339" i="3"/>
  <c r="M218" i="3"/>
  <c r="M345" i="3"/>
  <c r="M302" i="3"/>
  <c r="W176" i="3"/>
  <c r="R343" i="3"/>
  <c r="R345" i="3"/>
  <c r="H266" i="3"/>
  <c r="H238" i="3"/>
  <c r="R339" i="3"/>
  <c r="M103" i="3"/>
  <c r="R139" i="3"/>
  <c r="H200" i="3"/>
  <c r="R187" i="3"/>
  <c r="M200" i="3"/>
  <c r="R95" i="3"/>
  <c r="M179" i="3"/>
  <c r="H220" i="3"/>
  <c r="M143" i="3"/>
  <c r="M214" i="3"/>
  <c r="R214" i="3"/>
  <c r="R163" i="3"/>
  <c r="W103" i="3"/>
  <c r="M139" i="3"/>
  <c r="R337" i="3"/>
  <c r="H329" i="3"/>
  <c r="R200" i="3"/>
  <c r="M238" i="3"/>
  <c r="M332" i="3"/>
  <c r="M349" i="3"/>
  <c r="W139" i="3"/>
  <c r="R103" i="3"/>
  <c r="W104" i="3"/>
  <c r="R131" i="3"/>
  <c r="H222" i="3"/>
  <c r="M251" i="3"/>
  <c r="M151" i="3"/>
  <c r="H196" i="3"/>
  <c r="R256" i="3"/>
  <c r="M256" i="3"/>
  <c r="H176" i="3"/>
  <c r="H193" i="3"/>
  <c r="R84" i="3"/>
  <c r="R107" i="3"/>
  <c r="M84" i="3"/>
  <c r="W84" i="3"/>
  <c r="H236" i="3"/>
  <c r="M236" i="3"/>
  <c r="W166" i="3"/>
  <c r="R104" i="3"/>
  <c r="W92" i="3"/>
  <c r="W251" i="3"/>
  <c r="M185" i="3"/>
  <c r="H107" i="3"/>
  <c r="W107" i="3"/>
  <c r="M118" i="3"/>
  <c r="H251" i="3"/>
  <c r="R251" i="3"/>
  <c r="H164" i="3"/>
  <c r="R262" i="3"/>
  <c r="M278" i="3"/>
  <c r="Z46" i="2"/>
  <c r="H278" i="3"/>
  <c r="W274" i="3"/>
  <c r="R118" i="3"/>
  <c r="Z47" i="2"/>
  <c r="AA47" i="2" s="1"/>
  <c r="AB47" i="2" s="1"/>
  <c r="AC47" i="2" s="1"/>
  <c r="R166" i="3"/>
  <c r="H92" i="3"/>
  <c r="Z48" i="2"/>
  <c r="AA48" i="2" s="1"/>
  <c r="AB48" i="2" s="1"/>
  <c r="AC48" i="2" s="1"/>
  <c r="H131" i="3"/>
  <c r="H185" i="3"/>
  <c r="M233" i="3"/>
  <c r="H104" i="3"/>
  <c r="M131" i="3"/>
  <c r="H347" i="3"/>
  <c r="R236" i="3"/>
  <c r="R160" i="3"/>
  <c r="M310" i="3"/>
  <c r="Z45" i="2"/>
  <c r="Z53" i="2"/>
  <c r="AA53" i="2" s="1"/>
  <c r="AB53" i="2" s="1"/>
  <c r="AC53" i="2" s="1"/>
  <c r="R310" i="3"/>
  <c r="Z78" i="2"/>
  <c r="AA78" i="2" s="1"/>
  <c r="AB78" i="2" s="1"/>
  <c r="AC78" i="2" s="1"/>
  <c r="AA108" i="2"/>
  <c r="AB108" i="2"/>
  <c r="AC108" i="2"/>
  <c r="Z108" i="2"/>
  <c r="Z87" i="2"/>
  <c r="AA87" i="2" s="1"/>
  <c r="AB87" i="2" s="1"/>
  <c r="AC87" i="2" s="1"/>
  <c r="Z55" i="2"/>
  <c r="AA55" i="2" s="1"/>
  <c r="AB55" i="2" s="1"/>
  <c r="AC55" i="2" s="1"/>
  <c r="Z107" i="2"/>
  <c r="AA107" i="2"/>
  <c r="AB107" i="2"/>
  <c r="AC107" i="2"/>
  <c r="AA138" i="2"/>
  <c r="AC138" i="2"/>
  <c r="AB138" i="2"/>
  <c r="Z138" i="2"/>
  <c r="AA106" i="2"/>
  <c r="AB106" i="2"/>
  <c r="AC106" i="2"/>
  <c r="Z106" i="2"/>
  <c r="Z65" i="2"/>
  <c r="AA65" i="2" s="1"/>
  <c r="AB65" i="2" s="1"/>
  <c r="AC65" i="2" s="1"/>
  <c r="Z93" i="2"/>
  <c r="AA93" i="2"/>
  <c r="AB93" i="2"/>
  <c r="AC93" i="2"/>
  <c r="Z92" i="2"/>
  <c r="AA92" i="2" s="1"/>
  <c r="AB92" i="2" s="1"/>
  <c r="AC92" i="2" s="1"/>
  <c r="Z60" i="2"/>
  <c r="AA60" i="2" s="1"/>
  <c r="AB60" i="2" s="1"/>
  <c r="AC60" i="2" s="1"/>
  <c r="H183" i="3"/>
  <c r="M157" i="3"/>
  <c r="M344" i="3"/>
  <c r="R106" i="3"/>
  <c r="W291" i="3"/>
  <c r="W320" i="3"/>
  <c r="R157" i="3"/>
  <c r="Z74" i="2"/>
  <c r="AA74" i="2" s="1"/>
  <c r="AB74" i="2" s="1"/>
  <c r="AC74" i="2" s="1"/>
  <c r="AA136" i="2"/>
  <c r="AC136" i="2"/>
  <c r="AB136" i="2"/>
  <c r="Z136" i="2"/>
  <c r="AA104" i="2"/>
  <c r="AB104" i="2"/>
  <c r="AC104" i="2"/>
  <c r="Z104" i="2"/>
  <c r="Z83" i="2"/>
  <c r="AA83" i="2" s="1"/>
  <c r="AB83" i="2" s="1"/>
  <c r="AC83" i="2" s="1"/>
  <c r="Z51" i="2"/>
  <c r="AA51" i="2" s="1"/>
  <c r="AB51" i="2" s="1"/>
  <c r="AC51" i="2" s="1"/>
  <c r="Z135" i="2"/>
  <c r="AA135" i="2"/>
  <c r="AB135" i="2"/>
  <c r="AC135" i="2"/>
  <c r="Z103" i="2"/>
  <c r="AA103" i="2"/>
  <c r="AB103" i="2"/>
  <c r="AC103" i="2"/>
  <c r="AA134" i="2"/>
  <c r="AC134" i="2"/>
  <c r="AB134" i="2"/>
  <c r="Z134" i="2"/>
  <c r="AA102" i="2"/>
  <c r="AB102" i="2"/>
  <c r="AC102" i="2"/>
  <c r="Z102" i="2"/>
  <c r="Z61" i="2"/>
  <c r="AA61" i="2" s="1"/>
  <c r="AB61" i="2" s="1"/>
  <c r="AC61" i="2" s="1"/>
  <c r="Z121" i="2"/>
  <c r="AA121" i="2"/>
  <c r="AB121" i="2"/>
  <c r="AC121" i="2"/>
  <c r="Z88" i="2"/>
  <c r="AA88" i="2" s="1"/>
  <c r="AB88" i="2" s="1"/>
  <c r="AC88" i="2" s="1"/>
  <c r="Z56" i="2"/>
  <c r="AA56" i="2" s="1"/>
  <c r="AB56" i="2" s="1"/>
  <c r="AC56" i="2" s="1"/>
  <c r="W183" i="3"/>
  <c r="H344" i="3"/>
  <c r="W157" i="3"/>
  <c r="M228" i="3"/>
  <c r="M192" i="3"/>
  <c r="Z86" i="2"/>
  <c r="AA86" i="2" s="1"/>
  <c r="AB86" i="2" s="1"/>
  <c r="AC86" i="2" s="1"/>
  <c r="Z137" i="2"/>
  <c r="AA137" i="2"/>
  <c r="AB137" i="2"/>
  <c r="AC137" i="2"/>
  <c r="AA132" i="2"/>
  <c r="AC132" i="2"/>
  <c r="AB132" i="2"/>
  <c r="Z132" i="2"/>
  <c r="AA100" i="2"/>
  <c r="AB100" i="2"/>
  <c r="AC100" i="2"/>
  <c r="Z100" i="2"/>
  <c r="Z79" i="2"/>
  <c r="AA79" i="2" s="1"/>
  <c r="AB79" i="2" s="1"/>
  <c r="AC79" i="2" s="1"/>
  <c r="Z131" i="2"/>
  <c r="AA131" i="2"/>
  <c r="AB131" i="2"/>
  <c r="AC131" i="2"/>
  <c r="Z99" i="2"/>
  <c r="AA99" i="2"/>
  <c r="AB99" i="2"/>
  <c r="AC99" i="2"/>
  <c r="AA130" i="2"/>
  <c r="AC130" i="2"/>
  <c r="AB130" i="2"/>
  <c r="Z130" i="2"/>
  <c r="AA98" i="2"/>
  <c r="AB98" i="2"/>
  <c r="AC98" i="2"/>
  <c r="Z98" i="2"/>
  <c r="Z89" i="2"/>
  <c r="AA89" i="2" s="1"/>
  <c r="AB89" i="2" s="1"/>
  <c r="AC89" i="2" s="1"/>
  <c r="Z57" i="2"/>
  <c r="AA57" i="2" s="1"/>
  <c r="AB57" i="2" s="1"/>
  <c r="AC57" i="2" s="1"/>
  <c r="Z117" i="2"/>
  <c r="AA117" i="2"/>
  <c r="AB117" i="2"/>
  <c r="AC117" i="2"/>
  <c r="Z84" i="2"/>
  <c r="AA84" i="2" s="1"/>
  <c r="AB84" i="2" s="1"/>
  <c r="AC84" i="2" s="1"/>
  <c r="Z52" i="2"/>
  <c r="AA52" i="2" s="1"/>
  <c r="AB52" i="2" s="1"/>
  <c r="AC52" i="2" s="1"/>
  <c r="R344" i="3"/>
  <c r="H228" i="3"/>
  <c r="AA128" i="2"/>
  <c r="AC128" i="2"/>
  <c r="AB128" i="2"/>
  <c r="Z128" i="2"/>
  <c r="Z75" i="2"/>
  <c r="AA75" i="2" s="1"/>
  <c r="AB75" i="2" s="1"/>
  <c r="AC75" i="2" s="1"/>
  <c r="AA126" i="2"/>
  <c r="AC126" i="2"/>
  <c r="AB126" i="2"/>
  <c r="Z126" i="2"/>
  <c r="Z113" i="2"/>
  <c r="AA113" i="2"/>
  <c r="AB113" i="2"/>
  <c r="AC113" i="2"/>
  <c r="Z80" i="2"/>
  <c r="AA80" i="2" s="1"/>
  <c r="AB80" i="2" s="1"/>
  <c r="AC80" i="2" s="1"/>
  <c r="Z58" i="2"/>
  <c r="AA58" i="2" s="1"/>
  <c r="AB58" i="2" s="1"/>
  <c r="AC58" i="2" s="1"/>
  <c r="Z54" i="2"/>
  <c r="AA54" i="2" s="1"/>
  <c r="AB54" i="2" s="1"/>
  <c r="AC54" i="2" s="1"/>
  <c r="Z82" i="2"/>
  <c r="AA82" i="2" s="1"/>
  <c r="AB82" i="2" s="1"/>
  <c r="AC82" i="2" s="1"/>
  <c r="Z129" i="2"/>
  <c r="AA129" i="2"/>
  <c r="AB129" i="2"/>
  <c r="AC129" i="2"/>
  <c r="AA124" i="2"/>
  <c r="AC124" i="2"/>
  <c r="AB124" i="2"/>
  <c r="Z124" i="2"/>
  <c r="Z71" i="2"/>
  <c r="AA71" i="2" s="1"/>
  <c r="AB71" i="2" s="1"/>
  <c r="AC71" i="2" s="1"/>
  <c r="Z123" i="2"/>
  <c r="AA123" i="2"/>
  <c r="AB123" i="2"/>
  <c r="AC123" i="2"/>
  <c r="AA122" i="2"/>
  <c r="AB122" i="2"/>
  <c r="Z122" i="2"/>
  <c r="AC122" i="2"/>
  <c r="Z81" i="2"/>
  <c r="AA81" i="2" s="1"/>
  <c r="AB81" i="2" s="1"/>
  <c r="AC81" i="2" s="1"/>
  <c r="Z49" i="2"/>
  <c r="AA49" i="2" s="1"/>
  <c r="AB49" i="2" s="1"/>
  <c r="AC49" i="2" s="1"/>
  <c r="Z109" i="2"/>
  <c r="AA109" i="2"/>
  <c r="AB109" i="2"/>
  <c r="AC109" i="2"/>
  <c r="Z76" i="2"/>
  <c r="AA76" i="2" s="1"/>
  <c r="AB76" i="2" s="1"/>
  <c r="AC76" i="2" s="1"/>
  <c r="R123" i="3"/>
  <c r="W151" i="3"/>
  <c r="W347" i="3"/>
  <c r="W275" i="3"/>
  <c r="H151" i="3"/>
  <c r="W196" i="3"/>
  <c r="H192" i="3"/>
  <c r="W192" i="3"/>
  <c r="Z90" i="2"/>
  <c r="AA90" i="2" s="1"/>
  <c r="AB90" i="2" s="1"/>
  <c r="AC90" i="2" s="1"/>
  <c r="Z127" i="2"/>
  <c r="AA127" i="2"/>
  <c r="AB127" i="2"/>
  <c r="AC127" i="2"/>
  <c r="Z50" i="2"/>
  <c r="AA50" i="2" s="1"/>
  <c r="AB50" i="2" s="1"/>
  <c r="AC50" i="2" s="1"/>
  <c r="Z70" i="2"/>
  <c r="AA70" i="2" s="1"/>
  <c r="AB70" i="2" s="1"/>
  <c r="AC70" i="2" s="1"/>
  <c r="AA120" i="2"/>
  <c r="AB120" i="2"/>
  <c r="AC120" i="2"/>
  <c r="Z120" i="2"/>
  <c r="Z67" i="2"/>
  <c r="AA67" i="2" s="1"/>
  <c r="AB67" i="2" s="1"/>
  <c r="AC67" i="2" s="1"/>
  <c r="Z119" i="2"/>
  <c r="AA119" i="2"/>
  <c r="AB119" i="2"/>
  <c r="AC119" i="2"/>
  <c r="AA118" i="2"/>
  <c r="AB118" i="2"/>
  <c r="AC118" i="2"/>
  <c r="Z118" i="2"/>
  <c r="Z77" i="2"/>
  <c r="AA77" i="2" s="1"/>
  <c r="AB77" i="2" s="1"/>
  <c r="AC77" i="2" s="1"/>
  <c r="Z105" i="2"/>
  <c r="AA105" i="2"/>
  <c r="AB105" i="2"/>
  <c r="AC105" i="2"/>
  <c r="Z72" i="2"/>
  <c r="AA72" i="2" s="1"/>
  <c r="AB72" i="2" s="1"/>
  <c r="AC72" i="2" s="1"/>
  <c r="H233" i="3"/>
  <c r="W138" i="3"/>
  <c r="W106" i="3"/>
  <c r="R320" i="3"/>
  <c r="R347" i="3"/>
  <c r="R275" i="3"/>
  <c r="R151" i="3"/>
  <c r="M196" i="3"/>
  <c r="AA96" i="2"/>
  <c r="AB96" i="2"/>
  <c r="AC96" i="2"/>
  <c r="Z96" i="2"/>
  <c r="AA94" i="2"/>
  <c r="AB94" i="2"/>
  <c r="AC94" i="2"/>
  <c r="Z94" i="2"/>
  <c r="R242" i="3"/>
  <c r="Z125" i="2"/>
  <c r="AA125" i="2"/>
  <c r="AC125" i="2"/>
  <c r="AB125" i="2"/>
  <c r="AA116" i="2"/>
  <c r="AB116" i="2"/>
  <c r="AC116" i="2"/>
  <c r="Z116" i="2"/>
  <c r="Z63" i="2"/>
  <c r="AA63" i="2" s="1"/>
  <c r="AB63" i="2" s="1"/>
  <c r="AC63" i="2" s="1"/>
  <c r="Z115" i="2"/>
  <c r="AA115" i="2"/>
  <c r="AB115" i="2"/>
  <c r="AC115" i="2"/>
  <c r="AA114" i="2"/>
  <c r="AB114" i="2"/>
  <c r="AC114" i="2"/>
  <c r="Z114" i="2"/>
  <c r="Z73" i="2"/>
  <c r="AA73" i="2" s="1"/>
  <c r="AB73" i="2" s="1"/>
  <c r="AC73" i="2" s="1"/>
  <c r="Z101" i="2"/>
  <c r="AA101" i="2"/>
  <c r="AB101" i="2"/>
  <c r="AC101" i="2"/>
  <c r="Z68" i="2"/>
  <c r="AA68" i="2" s="1"/>
  <c r="AB68" i="2" s="1"/>
  <c r="AC68" i="2" s="1"/>
  <c r="R183" i="3"/>
  <c r="W123" i="3"/>
  <c r="M106" i="3"/>
  <c r="M320" i="3"/>
  <c r="M347" i="3"/>
  <c r="M275" i="3"/>
  <c r="W278" i="3"/>
  <c r="Z95" i="2"/>
  <c r="AA95" i="2"/>
  <c r="AB95" i="2"/>
  <c r="AC95" i="2"/>
  <c r="Z85" i="2"/>
  <c r="AA85" i="2" s="1"/>
  <c r="AB85" i="2" s="1"/>
  <c r="AC85" i="2" s="1"/>
  <c r="Z66" i="2"/>
  <c r="AA66" i="2" s="1"/>
  <c r="AB66" i="2" s="1"/>
  <c r="AC66" i="2" s="1"/>
  <c r="Z62" i="2"/>
  <c r="AA62" i="2" s="1"/>
  <c r="AB62" i="2" s="1"/>
  <c r="AC62" i="2" s="1"/>
  <c r="Z133" i="2"/>
  <c r="AA133" i="2"/>
  <c r="AB133" i="2"/>
  <c r="AC133" i="2"/>
  <c r="AA112" i="2"/>
  <c r="AB112" i="2"/>
  <c r="AC112" i="2"/>
  <c r="Z112" i="2"/>
  <c r="Z91" i="2"/>
  <c r="AA91" i="2" s="1"/>
  <c r="AB91" i="2" s="1"/>
  <c r="AC91" i="2" s="1"/>
  <c r="Z59" i="2"/>
  <c r="AA59" i="2" s="1"/>
  <c r="AB59" i="2" s="1"/>
  <c r="AC59" i="2" s="1"/>
  <c r="Z111" i="2"/>
  <c r="AA111" i="2"/>
  <c r="AB111" i="2"/>
  <c r="AC111" i="2"/>
  <c r="AA110" i="2"/>
  <c r="AB110" i="2"/>
  <c r="AC110" i="2"/>
  <c r="Z110" i="2"/>
  <c r="Z69" i="2"/>
  <c r="AA69" i="2" s="1"/>
  <c r="AB69" i="2" s="1"/>
  <c r="AC69" i="2" s="1"/>
  <c r="Z97" i="2"/>
  <c r="AA97" i="2"/>
  <c r="AB97" i="2"/>
  <c r="AC97" i="2"/>
  <c r="Z64" i="2"/>
  <c r="AA64" i="2" s="1"/>
  <c r="AB64" i="2" s="1"/>
  <c r="AC64" i="2" s="1"/>
  <c r="R228" i="3"/>
  <c r="W344" i="3"/>
  <c r="H106" i="3"/>
  <c r="H291" i="3"/>
  <c r="H320" i="3"/>
  <c r="H157" i="3"/>
  <c r="R278" i="3"/>
  <c r="W228" i="3"/>
  <c r="R48" i="3"/>
  <c r="H48" i="3"/>
  <c r="W158" i="3"/>
  <c r="M96" i="3"/>
  <c r="M145" i="3"/>
  <c r="W154" i="3"/>
  <c r="H190" i="3"/>
  <c r="W81" i="3"/>
  <c r="H81" i="3"/>
  <c r="M81" i="3"/>
  <c r="R81" i="3"/>
  <c r="W39" i="3"/>
  <c r="R39" i="3"/>
  <c r="M39" i="3"/>
  <c r="H39" i="3"/>
  <c r="W58" i="3"/>
  <c r="R58" i="3"/>
  <c r="M58" i="3"/>
  <c r="H58" i="3"/>
  <c r="W75" i="3"/>
  <c r="M75" i="3"/>
  <c r="H75" i="3"/>
  <c r="R75" i="3"/>
  <c r="W62" i="3"/>
  <c r="R62" i="3"/>
  <c r="M62" i="3"/>
  <c r="H62" i="3"/>
  <c r="W34" i="3"/>
  <c r="H34" i="3"/>
  <c r="R34" i="3"/>
  <c r="M34" i="3"/>
  <c r="W83" i="3"/>
  <c r="H83" i="3"/>
  <c r="M83" i="3"/>
  <c r="R83" i="3"/>
  <c r="W38" i="3"/>
  <c r="M38" i="3"/>
  <c r="R38" i="3"/>
  <c r="H38" i="3"/>
  <c r="W87" i="3"/>
  <c r="H87" i="3"/>
  <c r="M87" i="3"/>
  <c r="R87" i="3"/>
  <c r="W74" i="3"/>
  <c r="R74" i="3"/>
  <c r="M74" i="3"/>
  <c r="H74" i="3"/>
  <c r="W91" i="3"/>
  <c r="M91" i="3"/>
  <c r="H91" i="3"/>
  <c r="R91" i="3"/>
  <c r="A137" i="3"/>
  <c r="Z42" i="2"/>
  <c r="A42" i="3"/>
  <c r="A195" i="3"/>
  <c r="AA195" i="2"/>
  <c r="AC195" i="2"/>
  <c r="Z195" i="2"/>
  <c r="AB195" i="2"/>
  <c r="AB163" i="2"/>
  <c r="A163" i="3"/>
  <c r="AA163" i="2"/>
  <c r="Z163" i="2"/>
  <c r="AC163" i="2"/>
  <c r="A79" i="3"/>
  <c r="A47" i="3"/>
  <c r="A273" i="3"/>
  <c r="AC273" i="2"/>
  <c r="Z273" i="2"/>
  <c r="AB273" i="2"/>
  <c r="AA273" i="2"/>
  <c r="A222" i="3"/>
  <c r="AC222" i="2"/>
  <c r="Z222" i="2"/>
  <c r="AA222" i="2"/>
  <c r="AB222" i="2"/>
  <c r="A190" i="3"/>
  <c r="AA190" i="2"/>
  <c r="AC190" i="2"/>
  <c r="AB190" i="2"/>
  <c r="Z190" i="2"/>
  <c r="AC344" i="2"/>
  <c r="Z344" i="2"/>
  <c r="AB344" i="2"/>
  <c r="A344" i="3"/>
  <c r="AA344" i="2"/>
  <c r="A132" i="3"/>
  <c r="A10" i="3"/>
  <c r="Z10" i="2"/>
  <c r="E10" i="3" s="1"/>
  <c r="A236" i="3"/>
  <c r="AB236" i="2"/>
  <c r="AC236" i="2"/>
  <c r="AA236" i="2"/>
  <c r="Z236" i="2"/>
  <c r="A13" i="3"/>
  <c r="Z13" i="2"/>
  <c r="E13" i="3" s="1"/>
  <c r="A90" i="3"/>
  <c r="AA339" i="2"/>
  <c r="Z339" i="2"/>
  <c r="A339" i="3"/>
  <c r="AB339" i="2"/>
  <c r="AC339" i="2"/>
  <c r="A267" i="3"/>
  <c r="AB267" i="2"/>
  <c r="AA267" i="2"/>
  <c r="Z267" i="2"/>
  <c r="AC267" i="2"/>
  <c r="Z2" i="2"/>
  <c r="E2" i="3" s="1"/>
  <c r="A2" i="3"/>
  <c r="A285" i="3"/>
  <c r="Z285" i="2"/>
  <c r="AB285" i="2"/>
  <c r="AA285" i="2"/>
  <c r="AC285" i="2"/>
  <c r="Z17" i="2"/>
  <c r="E17" i="3" s="1"/>
  <c r="A17" i="3"/>
  <c r="A304" i="3"/>
  <c r="AA304" i="2"/>
  <c r="AC304" i="2"/>
  <c r="Z304" i="2"/>
  <c r="AB304" i="2"/>
  <c r="A100" i="3"/>
  <c r="A253" i="3"/>
  <c r="AA253" i="2"/>
  <c r="Z253" i="2"/>
  <c r="AB253" i="2"/>
  <c r="AC253" i="2"/>
  <c r="AC154" i="2"/>
  <c r="AB154" i="2"/>
  <c r="A154" i="3"/>
  <c r="AA154" i="2"/>
  <c r="Z154" i="2"/>
  <c r="AA331" i="2"/>
  <c r="A331" i="3"/>
  <c r="AB331" i="2"/>
  <c r="AC331" i="2"/>
  <c r="Z331" i="2"/>
  <c r="A227" i="3"/>
  <c r="AA227" i="2"/>
  <c r="AB227" i="2"/>
  <c r="AC227" i="2"/>
  <c r="Z227" i="2"/>
  <c r="A349" i="3"/>
  <c r="AC349" i="2"/>
  <c r="AA349" i="2"/>
  <c r="AB349" i="2"/>
  <c r="Z349" i="2"/>
  <c r="Z26" i="2"/>
  <c r="A26" i="3"/>
  <c r="A278" i="3"/>
  <c r="AA278" i="2"/>
  <c r="AB278" i="2"/>
  <c r="AC278" i="2"/>
  <c r="Z278" i="2"/>
  <c r="Z300" i="2"/>
  <c r="A300" i="3"/>
  <c r="AA300" i="2"/>
  <c r="AB300" i="2"/>
  <c r="AC300" i="2"/>
  <c r="Z21" i="2"/>
  <c r="E21" i="3" s="1"/>
  <c r="A21" i="3"/>
  <c r="AC166" i="2"/>
  <c r="AB166" i="2"/>
  <c r="Z166" i="2"/>
  <c r="AA166" i="2"/>
  <c r="A166" i="3"/>
  <c r="AA224" i="2"/>
  <c r="Z224" i="2"/>
  <c r="A224" i="3"/>
  <c r="AB224" i="2"/>
  <c r="AC224" i="2"/>
  <c r="A131" i="3"/>
  <c r="A99" i="3"/>
  <c r="AA268" i="2"/>
  <c r="A268" i="3"/>
  <c r="AB268" i="2"/>
  <c r="AC268" i="2"/>
  <c r="Z268" i="2"/>
  <c r="A221" i="3"/>
  <c r="AA221" i="2"/>
  <c r="AC221" i="2"/>
  <c r="Z221" i="2"/>
  <c r="AB221" i="2"/>
  <c r="A130" i="3"/>
  <c r="A98" i="3"/>
  <c r="AB299" i="2"/>
  <c r="AC299" i="2"/>
  <c r="AA299" i="2"/>
  <c r="Z299" i="2"/>
  <c r="A299" i="3"/>
  <c r="AB252" i="2"/>
  <c r="A252" i="3"/>
  <c r="AC252" i="2"/>
  <c r="Z252" i="2"/>
  <c r="AA252" i="2"/>
  <c r="A173" i="3"/>
  <c r="AB173" i="2"/>
  <c r="AC173" i="2"/>
  <c r="Z173" i="2"/>
  <c r="AA173" i="2"/>
  <c r="A89" i="3"/>
  <c r="A57" i="3"/>
  <c r="C57" i="3" s="1"/>
  <c r="D57" i="3" s="1"/>
  <c r="A117" i="3"/>
  <c r="AB329" i="2"/>
  <c r="Z329" i="2"/>
  <c r="A329" i="3"/>
  <c r="AA329" i="2"/>
  <c r="AC329" i="2"/>
  <c r="AB286" i="2"/>
  <c r="A286" i="3"/>
  <c r="AC286" i="2"/>
  <c r="Z286" i="2"/>
  <c r="AA286" i="2"/>
  <c r="A196" i="3"/>
  <c r="AB196" i="2"/>
  <c r="Z196" i="2"/>
  <c r="AA196" i="2"/>
  <c r="AC196" i="2"/>
  <c r="A164" i="3"/>
  <c r="AB164" i="2"/>
  <c r="AC164" i="2"/>
  <c r="AA164" i="2"/>
  <c r="Z164" i="2"/>
  <c r="A84" i="3"/>
  <c r="A52" i="3"/>
  <c r="C52" i="3" s="1"/>
  <c r="W145" i="3"/>
  <c r="W190" i="3"/>
  <c r="H113" i="3"/>
  <c r="R96" i="3"/>
  <c r="H154" i="3"/>
  <c r="A86" i="3"/>
  <c r="Z332" i="2"/>
  <c r="A332" i="3"/>
  <c r="AC332" i="2"/>
  <c r="AA332" i="2"/>
  <c r="AB332" i="2"/>
  <c r="AA150" i="2"/>
  <c r="AC150" i="2"/>
  <c r="Z150" i="2"/>
  <c r="AB150" i="2"/>
  <c r="A150" i="3"/>
  <c r="A275" i="3"/>
  <c r="AB275" i="2"/>
  <c r="AA275" i="2"/>
  <c r="AC275" i="2"/>
  <c r="Z275" i="2"/>
  <c r="A22" i="3"/>
  <c r="Z22" i="2"/>
  <c r="E22" i="3" s="1"/>
  <c r="A288" i="3"/>
  <c r="AC288" i="2"/>
  <c r="AA288" i="2"/>
  <c r="AB288" i="2"/>
  <c r="Z288" i="2"/>
  <c r="A11" i="3"/>
  <c r="Z11" i="2"/>
  <c r="E11" i="3" s="1"/>
  <c r="Z208" i="2"/>
  <c r="A208" i="3"/>
  <c r="AB208" i="2"/>
  <c r="AC208" i="2"/>
  <c r="AA208" i="2"/>
  <c r="AB274" i="2"/>
  <c r="Z274" i="2"/>
  <c r="A274" i="3"/>
  <c r="AC274" i="2"/>
  <c r="AA274" i="2"/>
  <c r="A223" i="3"/>
  <c r="AB223" i="2"/>
  <c r="AC223" i="2"/>
  <c r="Z223" i="2"/>
  <c r="AA223" i="2"/>
  <c r="A128" i="3"/>
  <c r="A96" i="3"/>
  <c r="A266" i="3"/>
  <c r="Z266" i="2"/>
  <c r="AA266" i="2"/>
  <c r="AC266" i="2"/>
  <c r="AB266" i="2"/>
  <c r="A191" i="3"/>
  <c r="AB191" i="2"/>
  <c r="AA191" i="2"/>
  <c r="AC191" i="2"/>
  <c r="Z191" i="2"/>
  <c r="A159" i="3"/>
  <c r="AB159" i="2"/>
  <c r="AC159" i="2"/>
  <c r="AA159" i="2"/>
  <c r="Z159" i="2"/>
  <c r="A75" i="3"/>
  <c r="Z43" i="2"/>
  <c r="A43" i="3"/>
  <c r="AA269" i="2"/>
  <c r="A269" i="3"/>
  <c r="AB269" i="2"/>
  <c r="Z269" i="2"/>
  <c r="AC269" i="2"/>
  <c r="A218" i="3"/>
  <c r="AC218" i="2"/>
  <c r="AB218" i="2"/>
  <c r="Z218" i="2"/>
  <c r="AA218" i="2"/>
  <c r="A127" i="3"/>
  <c r="A95" i="3"/>
  <c r="A249" i="3"/>
  <c r="AB249" i="2"/>
  <c r="AC249" i="2"/>
  <c r="AA249" i="2"/>
  <c r="Z249" i="2"/>
  <c r="A217" i="3"/>
  <c r="Z217" i="2"/>
  <c r="AA217" i="2"/>
  <c r="AB217" i="2"/>
  <c r="AC217" i="2"/>
  <c r="A126" i="3"/>
  <c r="A94" i="3"/>
  <c r="A295" i="3"/>
  <c r="AB295" i="2"/>
  <c r="AC295" i="2"/>
  <c r="AA295" i="2"/>
  <c r="Z295" i="2"/>
  <c r="A201" i="3"/>
  <c r="AA201" i="2"/>
  <c r="AB201" i="2"/>
  <c r="AC201" i="2"/>
  <c r="Z201" i="2"/>
  <c r="AC169" i="2"/>
  <c r="Z169" i="2"/>
  <c r="A169" i="3"/>
  <c r="AA169" i="2"/>
  <c r="AB169" i="2"/>
  <c r="A85" i="3"/>
  <c r="A53" i="3"/>
  <c r="A113" i="3"/>
  <c r="Z325" i="2"/>
  <c r="AA325" i="2"/>
  <c r="AB325" i="2"/>
  <c r="A325" i="3"/>
  <c r="AC325" i="2"/>
  <c r="A282" i="3"/>
  <c r="AB282" i="2"/>
  <c r="AC282" i="2"/>
  <c r="T282" i="3" s="1"/>
  <c r="AA282" i="2"/>
  <c r="Z282" i="2"/>
  <c r="A192" i="3"/>
  <c r="Z192" i="2"/>
  <c r="AB192" i="2"/>
  <c r="AC192" i="2"/>
  <c r="AA192" i="2"/>
  <c r="A160" i="3"/>
  <c r="Z160" i="2"/>
  <c r="AB160" i="2"/>
  <c r="AC160" i="2"/>
  <c r="AA160" i="2"/>
  <c r="A80" i="3"/>
  <c r="A48" i="3"/>
  <c r="W73" i="3"/>
  <c r="M73" i="3"/>
  <c r="H73" i="3"/>
  <c r="R73" i="3"/>
  <c r="W63" i="3"/>
  <c r="R63" i="3"/>
  <c r="H63" i="3"/>
  <c r="M63" i="3"/>
  <c r="R190" i="3"/>
  <c r="H174" i="3"/>
  <c r="W67" i="3"/>
  <c r="H67" i="3"/>
  <c r="R67" i="3"/>
  <c r="M67" i="3"/>
  <c r="M170" i="3"/>
  <c r="W54" i="3"/>
  <c r="M54" i="3"/>
  <c r="H54" i="3"/>
  <c r="R54" i="3"/>
  <c r="W71" i="3"/>
  <c r="H71" i="3"/>
  <c r="R71" i="3"/>
  <c r="M71" i="3"/>
  <c r="W90" i="3"/>
  <c r="H90" i="3"/>
  <c r="R90" i="3"/>
  <c r="M90" i="3"/>
  <c r="R113" i="3"/>
  <c r="W146" i="3"/>
  <c r="W66" i="3"/>
  <c r="R66" i="3"/>
  <c r="M66" i="3"/>
  <c r="H66" i="3"/>
  <c r="W70" i="3"/>
  <c r="R70" i="3"/>
  <c r="H70" i="3"/>
  <c r="M70" i="3"/>
  <c r="W37" i="3"/>
  <c r="M37" i="3"/>
  <c r="H37" i="3"/>
  <c r="R37" i="3"/>
  <c r="A174" i="3"/>
  <c r="Z174" i="2"/>
  <c r="AA174" i="2"/>
  <c r="AC174" i="2"/>
  <c r="AB174" i="2"/>
  <c r="A18" i="3"/>
  <c r="Z18" i="2"/>
  <c r="E18" i="3" s="1"/>
  <c r="A7" i="3"/>
  <c r="Z7" i="2"/>
  <c r="E7" i="3" s="1"/>
  <c r="AB220" i="2"/>
  <c r="AA220" i="2"/>
  <c r="AC220" i="2"/>
  <c r="Z220" i="2"/>
  <c r="A220" i="3"/>
  <c r="AC340" i="2"/>
  <c r="AA340" i="2"/>
  <c r="A340" i="3"/>
  <c r="Z340" i="2"/>
  <c r="AB340" i="2"/>
  <c r="A58" i="3"/>
  <c r="AC324" i="2"/>
  <c r="A324" i="3"/>
  <c r="Z324" i="2"/>
  <c r="AB324" i="2"/>
  <c r="AA324" i="2"/>
  <c r="A54" i="3"/>
  <c r="AA323" i="2"/>
  <c r="Z323" i="2"/>
  <c r="A323" i="3"/>
  <c r="AB323" i="2"/>
  <c r="AC323" i="2"/>
  <c r="A82" i="3"/>
  <c r="A244" i="3"/>
  <c r="AC244" i="2"/>
  <c r="AA244" i="2"/>
  <c r="Z244" i="2"/>
  <c r="AB244" i="2"/>
  <c r="Z19" i="2"/>
  <c r="E19" i="3" s="1"/>
  <c r="A19" i="3"/>
  <c r="A257" i="3"/>
  <c r="AA257" i="2"/>
  <c r="AC257" i="2"/>
  <c r="AB257" i="2"/>
  <c r="Z257" i="2"/>
  <c r="AA346" i="2"/>
  <c r="AB346" i="2"/>
  <c r="AC346" i="2"/>
  <c r="A346" i="3"/>
  <c r="Z346" i="2"/>
  <c r="A129" i="3"/>
  <c r="A270" i="3"/>
  <c r="AA270" i="2"/>
  <c r="AC270" i="2"/>
  <c r="AB270" i="2"/>
  <c r="Z270" i="2"/>
  <c r="A219" i="3"/>
  <c r="AA219" i="2"/>
  <c r="AB219" i="2"/>
  <c r="AC219" i="2"/>
  <c r="Z219" i="2"/>
  <c r="A124" i="3"/>
  <c r="AA320" i="2"/>
  <c r="AC320" i="2"/>
  <c r="Z320" i="2"/>
  <c r="AB320" i="2"/>
  <c r="A320" i="3"/>
  <c r="A262" i="3"/>
  <c r="Z262" i="2"/>
  <c r="AA262" i="2"/>
  <c r="AB262" i="2"/>
  <c r="AC262" i="2"/>
  <c r="AA187" i="2"/>
  <c r="Z187" i="2"/>
  <c r="A187" i="3"/>
  <c r="AB187" i="2"/>
  <c r="AC187" i="2"/>
  <c r="A155" i="3"/>
  <c r="AB155" i="2"/>
  <c r="Z155" i="2"/>
  <c r="AC155" i="2"/>
  <c r="AA155" i="2"/>
  <c r="A71" i="3"/>
  <c r="Z39" i="2"/>
  <c r="A39" i="3"/>
  <c r="D39" i="3" s="1"/>
  <c r="AC246" i="2"/>
  <c r="AB246" i="2"/>
  <c r="A246" i="3"/>
  <c r="AA246" i="2"/>
  <c r="Z246" i="2"/>
  <c r="AA214" i="2"/>
  <c r="A214" i="3"/>
  <c r="AC214" i="2"/>
  <c r="AB214" i="2"/>
  <c r="Z214" i="2"/>
  <c r="A123" i="3"/>
  <c r="Z34" i="2"/>
  <c r="A34" i="3"/>
  <c r="A245" i="3"/>
  <c r="AB245" i="2"/>
  <c r="AC245" i="2"/>
  <c r="Z245" i="2"/>
  <c r="AA245" i="2"/>
  <c r="AC213" i="2"/>
  <c r="Z213" i="2"/>
  <c r="A213" i="3"/>
  <c r="AA213" i="2"/>
  <c r="AB213" i="2"/>
  <c r="A122" i="3"/>
  <c r="AC334" i="2"/>
  <c r="Z334" i="2"/>
  <c r="A334" i="3"/>
  <c r="AA334" i="2"/>
  <c r="AB334" i="2"/>
  <c r="A291" i="3"/>
  <c r="AA291" i="2"/>
  <c r="AB291" i="2"/>
  <c r="Z291" i="2"/>
  <c r="AC291" i="2"/>
  <c r="A197" i="3"/>
  <c r="Z197" i="2"/>
  <c r="AA197" i="2"/>
  <c r="AC197" i="2"/>
  <c r="AB197" i="2"/>
  <c r="AA165" i="2"/>
  <c r="Z165" i="2"/>
  <c r="AB165" i="2"/>
  <c r="A165" i="3"/>
  <c r="AC165" i="2"/>
  <c r="A81" i="3"/>
  <c r="A49" i="3"/>
  <c r="A109" i="3"/>
  <c r="AC321" i="2"/>
  <c r="AA321" i="2"/>
  <c r="Z321" i="2"/>
  <c r="A321" i="3"/>
  <c r="AB321" i="2"/>
  <c r="A263" i="3"/>
  <c r="AC263" i="2"/>
  <c r="Z263" i="2"/>
  <c r="AB263" i="2"/>
  <c r="AA263" i="2"/>
  <c r="A188" i="3"/>
  <c r="AC188" i="2"/>
  <c r="AA188" i="2"/>
  <c r="Z188" i="2"/>
  <c r="AB188" i="2"/>
  <c r="A156" i="3"/>
  <c r="AB156" i="2"/>
  <c r="AC156" i="2"/>
  <c r="Z156" i="2"/>
  <c r="AA156" i="2"/>
  <c r="A76" i="3"/>
  <c r="Z44" i="2"/>
  <c r="E44" i="3" s="1"/>
  <c r="A44" i="3"/>
  <c r="H145" i="3"/>
  <c r="R170" i="3"/>
  <c r="M154" i="3"/>
  <c r="R138" i="3"/>
  <c r="W35" i="3"/>
  <c r="R35" i="3"/>
  <c r="M35" i="3"/>
  <c r="H35" i="3"/>
  <c r="M262" i="3"/>
  <c r="R291" i="3"/>
  <c r="W256" i="3"/>
  <c r="R196" i="3"/>
  <c r="A14" i="3"/>
  <c r="Z14" i="2"/>
  <c r="E14" i="3" s="1"/>
  <c r="Z29" i="2"/>
  <c r="A29" i="3"/>
  <c r="AB345" i="2"/>
  <c r="AC345" i="2"/>
  <c r="A345" i="3"/>
  <c r="AA345" i="2"/>
  <c r="Z345" i="2"/>
  <c r="A141" i="3"/>
  <c r="Z141" i="2"/>
  <c r="AC141" i="2"/>
  <c r="AA141" i="2"/>
  <c r="AB141" i="2"/>
  <c r="AA296" i="2"/>
  <c r="AC296" i="2"/>
  <c r="Z296" i="2"/>
  <c r="AB296" i="2"/>
  <c r="A296" i="3"/>
  <c r="Z31" i="2"/>
  <c r="A31" i="3"/>
  <c r="Z310" i="2"/>
  <c r="AA310" i="2"/>
  <c r="AC310" i="2"/>
  <c r="A310" i="3"/>
  <c r="AB310" i="2"/>
  <c r="A27" i="3"/>
  <c r="Z27" i="2"/>
  <c r="AC308" i="2"/>
  <c r="Z308" i="2"/>
  <c r="A308" i="3"/>
  <c r="AA308" i="2"/>
  <c r="AB308" i="2"/>
  <c r="A50" i="3"/>
  <c r="AC228" i="2"/>
  <c r="A228" i="3"/>
  <c r="AB228" i="2"/>
  <c r="AA228" i="2"/>
  <c r="Z228" i="2"/>
  <c r="A15" i="3"/>
  <c r="Z15" i="2"/>
  <c r="E15" i="3" s="1"/>
  <c r="AA194" i="2"/>
  <c r="AB194" i="2"/>
  <c r="A194" i="3"/>
  <c r="AC194" i="2"/>
  <c r="Z194" i="2"/>
  <c r="Z342" i="2"/>
  <c r="A342" i="3"/>
  <c r="AA342" i="2"/>
  <c r="AB342" i="2"/>
  <c r="AC342" i="2"/>
  <c r="A70" i="3"/>
  <c r="Z247" i="2"/>
  <c r="A247" i="3"/>
  <c r="AA247" i="2"/>
  <c r="AB247" i="2"/>
  <c r="AC247" i="2"/>
  <c r="A215" i="3"/>
  <c r="Z215" i="2"/>
  <c r="AC215" i="2"/>
  <c r="AB215" i="2"/>
  <c r="AA215" i="2"/>
  <c r="A120" i="3"/>
  <c r="A305" i="3"/>
  <c r="AB305" i="2"/>
  <c r="AA305" i="2"/>
  <c r="AC305" i="2"/>
  <c r="Z305" i="2"/>
  <c r="AA258" i="2"/>
  <c r="AB258" i="2"/>
  <c r="Z258" i="2"/>
  <c r="A258" i="3"/>
  <c r="AC258" i="2"/>
  <c r="A183" i="3"/>
  <c r="AA183" i="2"/>
  <c r="AB183" i="2"/>
  <c r="AC183" i="2"/>
  <c r="Z183" i="2"/>
  <c r="A151" i="3"/>
  <c r="AA151" i="2"/>
  <c r="AB151" i="2"/>
  <c r="AC151" i="2"/>
  <c r="Z151" i="2"/>
  <c r="A67" i="3"/>
  <c r="Z35" i="2"/>
  <c r="A35" i="3"/>
  <c r="A242" i="3"/>
  <c r="AC242" i="2"/>
  <c r="AA242" i="2"/>
  <c r="AB242" i="2"/>
  <c r="Z242" i="2"/>
  <c r="A210" i="3"/>
  <c r="AB210" i="2"/>
  <c r="Z210" i="2"/>
  <c r="AA210" i="2"/>
  <c r="AC210" i="2"/>
  <c r="A119" i="3"/>
  <c r="AA315" i="2"/>
  <c r="AB315" i="2"/>
  <c r="AC315" i="2"/>
  <c r="A315" i="3"/>
  <c r="Z315" i="2"/>
  <c r="A241" i="3"/>
  <c r="AA241" i="2"/>
  <c r="AB241" i="2"/>
  <c r="AC241" i="2"/>
  <c r="Z241" i="2"/>
  <c r="A209" i="3"/>
  <c r="AA209" i="2"/>
  <c r="AB209" i="2"/>
  <c r="AC209" i="2"/>
  <c r="Z209" i="2"/>
  <c r="A118" i="3"/>
  <c r="AC330" i="2"/>
  <c r="A330" i="3"/>
  <c r="AA330" i="2"/>
  <c r="Z330" i="2"/>
  <c r="AB330" i="2"/>
  <c r="AA287" i="2"/>
  <c r="A287" i="3"/>
  <c r="AB287" i="2"/>
  <c r="AC287" i="2"/>
  <c r="Z287" i="2"/>
  <c r="A193" i="3"/>
  <c r="AA193" i="2"/>
  <c r="AC193" i="2"/>
  <c r="AB193" i="2"/>
  <c r="Z193" i="2"/>
  <c r="A161" i="3"/>
  <c r="AC161" i="2"/>
  <c r="AB161" i="2"/>
  <c r="AA161" i="2"/>
  <c r="Z161" i="2"/>
  <c r="A77" i="3"/>
  <c r="A45" i="3"/>
  <c r="C45" i="3" s="1"/>
  <c r="A105" i="3"/>
  <c r="Z306" i="2"/>
  <c r="AA306" i="2"/>
  <c r="AC306" i="2"/>
  <c r="A306" i="3"/>
  <c r="AB306" i="2"/>
  <c r="Z259" i="2"/>
  <c r="AB259" i="2"/>
  <c r="AC259" i="2"/>
  <c r="A259" i="3"/>
  <c r="AA259" i="2"/>
  <c r="AB184" i="2"/>
  <c r="AA184" i="2"/>
  <c r="A184" i="3"/>
  <c r="AC184" i="2"/>
  <c r="Z184" i="2"/>
  <c r="A152" i="3"/>
  <c r="AA152" i="2"/>
  <c r="Z152" i="2"/>
  <c r="AB152" i="2"/>
  <c r="AC152" i="2"/>
  <c r="A72" i="3"/>
  <c r="Z40" i="2"/>
  <c r="A40" i="3"/>
  <c r="W46" i="3"/>
  <c r="M46" i="3"/>
  <c r="R46" i="3"/>
  <c r="H46" i="3"/>
  <c r="M158" i="3"/>
  <c r="M138" i="3"/>
  <c r="M183" i="3"/>
  <c r="R145" i="3"/>
  <c r="R164" i="3"/>
  <c r="H162" i="3"/>
  <c r="W45" i="3"/>
  <c r="H45" i="3"/>
  <c r="R45" i="3"/>
  <c r="M45" i="3"/>
  <c r="H262" i="3"/>
  <c r="M291" i="3"/>
  <c r="H77" i="3"/>
  <c r="M77" i="3"/>
  <c r="R77" i="3"/>
  <c r="W77" i="3"/>
  <c r="H275" i="3"/>
  <c r="W86" i="3"/>
  <c r="H86" i="3"/>
  <c r="R86" i="3"/>
  <c r="M86" i="3"/>
  <c r="W53" i="3"/>
  <c r="M53" i="3"/>
  <c r="H53" i="3"/>
  <c r="R53" i="3"/>
  <c r="W174" i="3"/>
  <c r="W57" i="3"/>
  <c r="R57" i="3"/>
  <c r="H57" i="3"/>
  <c r="M57" i="3"/>
  <c r="W47" i="3"/>
  <c r="M47" i="3"/>
  <c r="R47" i="3"/>
  <c r="H47" i="3"/>
  <c r="W150" i="3"/>
  <c r="R33" i="3"/>
  <c r="W33" i="3"/>
  <c r="M33" i="3"/>
  <c r="H33" i="3"/>
  <c r="W69" i="3"/>
  <c r="H69" i="3"/>
  <c r="M69" i="3"/>
  <c r="R69" i="3"/>
  <c r="W40" i="3"/>
  <c r="R40" i="3"/>
  <c r="M40" i="3"/>
  <c r="H40" i="3"/>
  <c r="A4" i="3"/>
  <c r="Z4" i="2"/>
  <c r="E4" i="3" s="1"/>
  <c r="AB336" i="2"/>
  <c r="AA336" i="2"/>
  <c r="Z336" i="2"/>
  <c r="A336" i="3"/>
  <c r="AC336" i="2"/>
  <c r="AC341" i="2"/>
  <c r="A341" i="3"/>
  <c r="AA341" i="2"/>
  <c r="AB341" i="2"/>
  <c r="Z341" i="2"/>
  <c r="A125" i="3"/>
  <c r="A265" i="3"/>
  <c r="AC265" i="2"/>
  <c r="Z265" i="2"/>
  <c r="AA265" i="2"/>
  <c r="AB265" i="2"/>
  <c r="A20" i="3"/>
  <c r="Z20" i="2"/>
  <c r="E20" i="3" s="1"/>
  <c r="A279" i="3"/>
  <c r="AA279" i="2"/>
  <c r="AC279" i="2"/>
  <c r="Z279" i="2"/>
  <c r="AB279" i="2"/>
  <c r="A23" i="3"/>
  <c r="C23" i="3" s="1"/>
  <c r="Z23" i="2"/>
  <c r="E23" i="3" s="1"/>
  <c r="AA292" i="2"/>
  <c r="AC292" i="2"/>
  <c r="AB292" i="2"/>
  <c r="Z292" i="2"/>
  <c r="A292" i="3"/>
  <c r="Z30" i="2"/>
  <c r="A30" i="3"/>
  <c r="AB212" i="2"/>
  <c r="AC212" i="2"/>
  <c r="AA212" i="2"/>
  <c r="Z212" i="2"/>
  <c r="A212" i="3"/>
  <c r="A8" i="3"/>
  <c r="Z8" i="2"/>
  <c r="E8" i="3" s="1"/>
  <c r="AB178" i="2"/>
  <c r="Z178" i="2"/>
  <c r="A178" i="3"/>
  <c r="AA178" i="2"/>
  <c r="AC178" i="2"/>
  <c r="A337" i="3"/>
  <c r="AB337" i="2"/>
  <c r="AA337" i="2"/>
  <c r="AC337" i="2"/>
  <c r="Z337" i="2"/>
  <c r="Z38" i="2"/>
  <c r="A38" i="3"/>
  <c r="A243" i="3"/>
  <c r="Z243" i="2"/>
  <c r="AA243" i="2"/>
  <c r="AC243" i="2"/>
  <c r="AB243" i="2"/>
  <c r="AA211" i="2"/>
  <c r="A211" i="3"/>
  <c r="AB211" i="2"/>
  <c r="AC211" i="2"/>
  <c r="Z211" i="2"/>
  <c r="A116" i="3"/>
  <c r="A301" i="3"/>
  <c r="AB301" i="2"/>
  <c r="AC301" i="2"/>
  <c r="AA301" i="2"/>
  <c r="Z301" i="2"/>
  <c r="AC254" i="2"/>
  <c r="Z254" i="2"/>
  <c r="A254" i="3"/>
  <c r="AA254" i="2"/>
  <c r="AB254" i="2"/>
  <c r="A179" i="3"/>
  <c r="AB179" i="2"/>
  <c r="AA179" i="2"/>
  <c r="Z179" i="2"/>
  <c r="AC179" i="2"/>
  <c r="A147" i="3"/>
  <c r="AA147" i="2"/>
  <c r="AC147" i="2"/>
  <c r="Z147" i="2"/>
  <c r="AB147" i="2"/>
  <c r="A63" i="3"/>
  <c r="C63" i="3" s="1"/>
  <c r="Z316" i="2"/>
  <c r="AB316" i="2"/>
  <c r="A316" i="3"/>
  <c r="AA316" i="2"/>
  <c r="AC316" i="2"/>
  <c r="AA238" i="2"/>
  <c r="AC238" i="2"/>
  <c r="Z238" i="2"/>
  <c r="A238" i="3"/>
  <c r="AB238" i="2"/>
  <c r="A206" i="3"/>
  <c r="AA206" i="2"/>
  <c r="AC206" i="2"/>
  <c r="AB206" i="2"/>
  <c r="Z206" i="2"/>
  <c r="A115" i="3"/>
  <c r="AB311" i="2"/>
  <c r="AA311" i="2"/>
  <c r="Z311" i="2"/>
  <c r="A311" i="3"/>
  <c r="AC311" i="2"/>
  <c r="Z237" i="2"/>
  <c r="A237" i="3"/>
  <c r="AB237" i="2"/>
  <c r="AC237" i="2"/>
  <c r="AA237" i="2"/>
  <c r="A205" i="3"/>
  <c r="AB205" i="2"/>
  <c r="AC205" i="2"/>
  <c r="Z205" i="2"/>
  <c r="AA205" i="2"/>
  <c r="A114" i="3"/>
  <c r="AB326" i="2"/>
  <c r="AC326" i="2"/>
  <c r="AA326" i="2"/>
  <c r="Z326" i="2"/>
  <c r="A326" i="3"/>
  <c r="A283" i="3"/>
  <c r="AB283" i="2"/>
  <c r="Z283" i="2"/>
  <c r="AA283" i="2"/>
  <c r="AC283" i="2"/>
  <c r="A189" i="3"/>
  <c r="Z189" i="2"/>
  <c r="AA189" i="2"/>
  <c r="AC189" i="2"/>
  <c r="AB189" i="2"/>
  <c r="AA157" i="2"/>
  <c r="A157" i="3"/>
  <c r="AC157" i="2"/>
  <c r="AB157" i="2"/>
  <c r="Z157" i="2"/>
  <c r="A73" i="3"/>
  <c r="Z41" i="2"/>
  <c r="A41" i="3"/>
  <c r="A101" i="3"/>
  <c r="AA302" i="2"/>
  <c r="A302" i="3"/>
  <c r="AC302" i="2"/>
  <c r="Z302" i="2"/>
  <c r="AB302" i="2"/>
  <c r="A255" i="3"/>
  <c r="AB255" i="2"/>
  <c r="AA255" i="2"/>
  <c r="AC255" i="2"/>
  <c r="Z255" i="2"/>
  <c r="A180" i="3"/>
  <c r="AB180" i="2"/>
  <c r="AC180" i="2"/>
  <c r="Z180" i="2"/>
  <c r="AA180" i="2"/>
  <c r="A148" i="3"/>
  <c r="AB148" i="2"/>
  <c r="AC148" i="2"/>
  <c r="Z148" i="2"/>
  <c r="AA148" i="2"/>
  <c r="A68" i="3"/>
  <c r="Z36" i="2"/>
  <c r="A36" i="3"/>
  <c r="M222" i="3"/>
  <c r="M190" i="3"/>
  <c r="H146" i="3"/>
  <c r="H138" i="3"/>
  <c r="R158" i="3"/>
  <c r="M280" i="3"/>
  <c r="R185" i="3"/>
  <c r="M164" i="3"/>
  <c r="R154" i="3"/>
  <c r="W262" i="3"/>
  <c r="W80" i="3"/>
  <c r="H80" i="3"/>
  <c r="M80" i="3"/>
  <c r="R80" i="3"/>
  <c r="H158" i="3"/>
  <c r="AA284" i="2"/>
  <c r="A284" i="3"/>
  <c r="AB284" i="2"/>
  <c r="AC284" i="2"/>
  <c r="Z284" i="2"/>
  <c r="A66" i="3"/>
  <c r="AA335" i="2"/>
  <c r="A335" i="3"/>
  <c r="AB335" i="2"/>
  <c r="AC335" i="2"/>
  <c r="Z335" i="2"/>
  <c r="A62" i="3"/>
  <c r="C62" i="3" s="1"/>
  <c r="AC202" i="2"/>
  <c r="Z202" i="2"/>
  <c r="AB202" i="2"/>
  <c r="A202" i="3"/>
  <c r="AA202" i="2"/>
  <c r="A6" i="3"/>
  <c r="Z6" i="2"/>
  <c r="E6" i="3" s="1"/>
  <c r="AC248" i="2"/>
  <c r="Z248" i="2"/>
  <c r="AA248" i="2"/>
  <c r="A248" i="3"/>
  <c r="AB248" i="2"/>
  <c r="A16" i="3"/>
  <c r="Z16" i="2"/>
  <c r="E16" i="3" s="1"/>
  <c r="A261" i="3"/>
  <c r="AA261" i="2"/>
  <c r="AC261" i="2"/>
  <c r="AB261" i="2"/>
  <c r="Z261" i="2"/>
  <c r="Z347" i="2"/>
  <c r="AB347" i="2"/>
  <c r="AA347" i="2"/>
  <c r="A347" i="3"/>
  <c r="AC347" i="2"/>
  <c r="A133" i="3"/>
  <c r="A5" i="3"/>
  <c r="Z5" i="2"/>
  <c r="E5" i="3" s="1"/>
  <c r="Z162" i="2"/>
  <c r="A162" i="3"/>
  <c r="AB162" i="2"/>
  <c r="AC162" i="2"/>
  <c r="AA162" i="2"/>
  <c r="A318" i="3"/>
  <c r="AA318" i="2"/>
  <c r="AB318" i="2"/>
  <c r="AC318" i="2"/>
  <c r="Z318" i="2"/>
  <c r="A317" i="3"/>
  <c r="AA317" i="2"/>
  <c r="AB317" i="2"/>
  <c r="AC317" i="2"/>
  <c r="Z317" i="2"/>
  <c r="A239" i="3"/>
  <c r="AC239" i="2"/>
  <c r="AB239" i="2"/>
  <c r="Z239" i="2"/>
  <c r="AA239" i="2"/>
  <c r="Z207" i="2"/>
  <c r="A207" i="3"/>
  <c r="AA207" i="2"/>
  <c r="AB207" i="2"/>
  <c r="AC207" i="2"/>
  <c r="A112" i="3"/>
  <c r="A297" i="3"/>
  <c r="AA297" i="2"/>
  <c r="AB297" i="2"/>
  <c r="AC297" i="2"/>
  <c r="Z297" i="2"/>
  <c r="AA250" i="2"/>
  <c r="AC250" i="2"/>
  <c r="AB250" i="2"/>
  <c r="Z250" i="2"/>
  <c r="A250" i="3"/>
  <c r="AA175" i="2"/>
  <c r="AC175" i="2"/>
  <c r="A175" i="3"/>
  <c r="AB175" i="2"/>
  <c r="Z175" i="2"/>
  <c r="A91" i="3"/>
  <c r="A59" i="3"/>
  <c r="C59" i="3" s="1"/>
  <c r="D59" i="3" s="1"/>
  <c r="A312" i="3"/>
  <c r="AB312" i="2"/>
  <c r="Z312" i="2"/>
  <c r="AA312" i="2"/>
  <c r="AC312" i="2"/>
  <c r="A234" i="3"/>
  <c r="Z234" i="2"/>
  <c r="AA234" i="2"/>
  <c r="AC234" i="2"/>
  <c r="AB234" i="2"/>
  <c r="AA143" i="2"/>
  <c r="AB143" i="2"/>
  <c r="AC143" i="2"/>
  <c r="A143" i="3"/>
  <c r="Z143" i="2"/>
  <c r="A111" i="3"/>
  <c r="AC280" i="2"/>
  <c r="A280" i="3"/>
  <c r="AB280" i="2"/>
  <c r="AA280" i="2"/>
  <c r="Z280" i="2"/>
  <c r="A233" i="3"/>
  <c r="AA233" i="2"/>
  <c r="AB233" i="2"/>
  <c r="Z233" i="2"/>
  <c r="AC233" i="2"/>
  <c r="AB142" i="2"/>
  <c r="A142" i="3"/>
  <c r="AA142" i="2"/>
  <c r="AC142" i="2"/>
  <c r="Z142" i="2"/>
  <c r="A110" i="3"/>
  <c r="AB322" i="2"/>
  <c r="AC322" i="2"/>
  <c r="A322" i="3"/>
  <c r="AA322" i="2"/>
  <c r="Z322" i="2"/>
  <c r="AB264" i="2"/>
  <c r="A264" i="3"/>
  <c r="Z264" i="2"/>
  <c r="AA264" i="2"/>
  <c r="AC264" i="2"/>
  <c r="A185" i="3"/>
  <c r="AB185" i="2"/>
  <c r="AC185" i="2"/>
  <c r="Z185" i="2"/>
  <c r="AA185" i="2"/>
  <c r="A153" i="3"/>
  <c r="AB153" i="2"/>
  <c r="AC153" i="2"/>
  <c r="AA153" i="2"/>
  <c r="Z153" i="2"/>
  <c r="A69" i="3"/>
  <c r="Z37" i="2"/>
  <c r="A37" i="3"/>
  <c r="A97" i="3"/>
  <c r="A298" i="3"/>
  <c r="AA298" i="2"/>
  <c r="Z298" i="2"/>
  <c r="AB298" i="2"/>
  <c r="AC298" i="2"/>
  <c r="A251" i="3"/>
  <c r="AC251" i="2"/>
  <c r="AA251" i="2"/>
  <c r="Z251" i="2"/>
  <c r="AB251" i="2"/>
  <c r="A176" i="3"/>
  <c r="AC176" i="2"/>
  <c r="AA176" i="2"/>
  <c r="Z176" i="2"/>
  <c r="AB176" i="2"/>
  <c r="A144" i="3"/>
  <c r="AA144" i="2"/>
  <c r="AB144" i="2"/>
  <c r="AC144" i="2"/>
  <c r="Z144" i="2"/>
  <c r="A64" i="3"/>
  <c r="C64" i="3" s="1"/>
  <c r="W78" i="3"/>
  <c r="R78" i="3"/>
  <c r="H78" i="3"/>
  <c r="M78" i="3"/>
  <c r="W222" i="3"/>
  <c r="R162" i="3"/>
  <c r="M146" i="3"/>
  <c r="H280" i="3"/>
  <c r="W4" i="3"/>
  <c r="R4" i="3"/>
  <c r="H4" i="3"/>
  <c r="M4" i="3"/>
  <c r="W96" i="3"/>
  <c r="W50" i="3"/>
  <c r="H50" i="3"/>
  <c r="R50" i="3"/>
  <c r="M50" i="3"/>
  <c r="H96" i="3"/>
  <c r="W49" i="3"/>
  <c r="R49" i="3"/>
  <c r="H49" i="3"/>
  <c r="M49" i="3"/>
  <c r="W170" i="3"/>
  <c r="W85" i="3"/>
  <c r="R85" i="3"/>
  <c r="H85" i="3"/>
  <c r="M85" i="3"/>
  <c r="W43" i="3"/>
  <c r="R43" i="3"/>
  <c r="M43" i="3"/>
  <c r="H43" i="3"/>
  <c r="W89" i="3"/>
  <c r="R89" i="3"/>
  <c r="H89" i="3"/>
  <c r="M89" i="3"/>
  <c r="W79" i="3"/>
  <c r="M79" i="3"/>
  <c r="H79" i="3"/>
  <c r="R79" i="3"/>
  <c r="W51" i="3"/>
  <c r="R51" i="3"/>
  <c r="H51" i="3"/>
  <c r="M51" i="3"/>
  <c r="W65" i="3"/>
  <c r="M65" i="3"/>
  <c r="H65" i="3"/>
  <c r="R65" i="3"/>
  <c r="W55" i="3"/>
  <c r="R55" i="3"/>
  <c r="M55" i="3"/>
  <c r="H55" i="3"/>
  <c r="W42" i="3"/>
  <c r="R42" i="3"/>
  <c r="M42" i="3"/>
  <c r="H42" i="3"/>
  <c r="W59" i="3"/>
  <c r="R59" i="3"/>
  <c r="H59" i="3"/>
  <c r="M59" i="3"/>
  <c r="M197" i="3"/>
  <c r="AA158" i="2"/>
  <c r="AB158" i="2"/>
  <c r="Z158" i="2"/>
  <c r="A158" i="3"/>
  <c r="AC158" i="2"/>
  <c r="A28" i="3"/>
  <c r="Z28" i="2"/>
  <c r="A327" i="3"/>
  <c r="Z327" i="2"/>
  <c r="AB327" i="2"/>
  <c r="AC327" i="2"/>
  <c r="AA327" i="2"/>
  <c r="A32" i="3"/>
  <c r="Z32" i="2"/>
  <c r="A186" i="3"/>
  <c r="AB186" i="2"/>
  <c r="AA186" i="2"/>
  <c r="AC186" i="2"/>
  <c r="Z186" i="2"/>
  <c r="Z3" i="2"/>
  <c r="E3" i="3" s="1"/>
  <c r="A3" i="3"/>
  <c r="A232" i="3"/>
  <c r="AB232" i="2"/>
  <c r="AA232" i="2"/>
  <c r="AC232" i="2"/>
  <c r="Z232" i="2"/>
  <c r="A12" i="3"/>
  <c r="Z12" i="2"/>
  <c r="E12" i="3" s="1"/>
  <c r="A198" i="3"/>
  <c r="AA198" i="2"/>
  <c r="AC198" i="2"/>
  <c r="AB198" i="2"/>
  <c r="Z198" i="2"/>
  <c r="AA343" i="2"/>
  <c r="AB343" i="2"/>
  <c r="A343" i="3"/>
  <c r="AC343" i="2"/>
  <c r="Z343" i="2"/>
  <c r="A78" i="3"/>
  <c r="AC350" i="2"/>
  <c r="AB350" i="2"/>
  <c r="A350" i="3"/>
  <c r="AA350" i="2"/>
  <c r="Z350" i="2"/>
  <c r="A146" i="3"/>
  <c r="AC146" i="2"/>
  <c r="Z146" i="2"/>
  <c r="AA146" i="2"/>
  <c r="AB146" i="2"/>
  <c r="A271" i="3"/>
  <c r="AA271" i="2"/>
  <c r="AB271" i="2"/>
  <c r="Z271" i="2"/>
  <c r="AC271" i="2"/>
  <c r="AC313" i="2"/>
  <c r="A313" i="3"/>
  <c r="AA313" i="2"/>
  <c r="Z313" i="2"/>
  <c r="AB313" i="2"/>
  <c r="A235" i="3"/>
  <c r="AA235" i="2"/>
  <c r="Z235" i="2"/>
  <c r="AC235" i="2"/>
  <c r="AB235" i="2"/>
  <c r="A140" i="3"/>
  <c r="AA140" i="2"/>
  <c r="AB140" i="2"/>
  <c r="AC140" i="2"/>
  <c r="Z140" i="2"/>
  <c r="A108" i="3"/>
  <c r="A293" i="3"/>
  <c r="AA293" i="2"/>
  <c r="AB293" i="2"/>
  <c r="AC293" i="2"/>
  <c r="Z293" i="2"/>
  <c r="AB203" i="2"/>
  <c r="AA203" i="2"/>
  <c r="Z203" i="2"/>
  <c r="A203" i="3"/>
  <c r="AC203" i="2"/>
  <c r="A171" i="3"/>
  <c r="AC171" i="2"/>
  <c r="AB171" i="2"/>
  <c r="Z171" i="2"/>
  <c r="AA171" i="2"/>
  <c r="A87" i="3"/>
  <c r="A55" i="3"/>
  <c r="C55" i="3" s="1"/>
  <c r="D55" i="3" s="1"/>
  <c r="A281" i="3"/>
  <c r="AB281" i="2"/>
  <c r="Z281" i="2"/>
  <c r="AA281" i="2"/>
  <c r="AC281" i="2"/>
  <c r="A230" i="3"/>
  <c r="AB230" i="2"/>
  <c r="Z230" i="2"/>
  <c r="AA230" i="2"/>
  <c r="AC230" i="2"/>
  <c r="A139" i="3"/>
  <c r="AC139" i="2"/>
  <c r="AA139" i="2"/>
  <c r="Z139" i="2"/>
  <c r="AB139" i="2"/>
  <c r="A107" i="3"/>
  <c r="Z276" i="2"/>
  <c r="A276" i="3"/>
  <c r="AB276" i="2"/>
  <c r="AC276" i="2"/>
  <c r="AA276" i="2"/>
  <c r="A229" i="3"/>
  <c r="AA229" i="2"/>
  <c r="AC229" i="2"/>
  <c r="Z229" i="2"/>
  <c r="AB229" i="2"/>
  <c r="A138" i="3"/>
  <c r="A106" i="3"/>
  <c r="A307" i="3"/>
  <c r="AC307" i="2"/>
  <c r="AA307" i="2"/>
  <c r="AB307" i="2"/>
  <c r="Z307" i="2"/>
  <c r="A260" i="3"/>
  <c r="AB260" i="2"/>
  <c r="AC260" i="2"/>
  <c r="AA260" i="2"/>
  <c r="Z260" i="2"/>
  <c r="AC181" i="2"/>
  <c r="Z181" i="2"/>
  <c r="A181" i="3"/>
  <c r="AA181" i="2"/>
  <c r="AB181" i="2"/>
  <c r="A149" i="3"/>
  <c r="AA149" i="2"/>
  <c r="AB149" i="2"/>
  <c r="AC149" i="2"/>
  <c r="Z149" i="2"/>
  <c r="A65" i="3"/>
  <c r="Z33" i="2"/>
  <c r="A33" i="3"/>
  <c r="A93" i="3"/>
  <c r="AA294" i="2"/>
  <c r="AB294" i="2"/>
  <c r="Z294" i="2"/>
  <c r="A294" i="3"/>
  <c r="AC294" i="2"/>
  <c r="A204" i="3"/>
  <c r="AC204" i="2"/>
  <c r="AA204" i="2"/>
  <c r="AB204" i="2"/>
  <c r="Z204" i="2"/>
  <c r="A172" i="3"/>
  <c r="AB172" i="2"/>
  <c r="AC172" i="2"/>
  <c r="Z172" i="2"/>
  <c r="AA172" i="2"/>
  <c r="A92" i="3"/>
  <c r="A60" i="3"/>
  <c r="R222" i="3"/>
  <c r="M150" i="3"/>
  <c r="M113" i="3"/>
  <c r="W280" i="3"/>
  <c r="W197" i="3"/>
  <c r="W233" i="3"/>
  <c r="W82" i="3"/>
  <c r="H82" i="3"/>
  <c r="R82" i="3"/>
  <c r="M82" i="3"/>
  <c r="W164" i="3"/>
  <c r="W48" i="3"/>
  <c r="M48" i="3"/>
  <c r="M166" i="3"/>
  <c r="AB328" i="2"/>
  <c r="AC328" i="2"/>
  <c r="Z328" i="2"/>
  <c r="A328" i="3"/>
  <c r="AA328" i="2"/>
  <c r="Z25" i="2"/>
  <c r="E25" i="3" s="1"/>
  <c r="A25" i="3"/>
  <c r="C25" i="3" s="1"/>
  <c r="AA314" i="2"/>
  <c r="A314" i="3"/>
  <c r="Z314" i="2"/>
  <c r="AB314" i="2"/>
  <c r="AC314" i="2"/>
  <c r="A24" i="3"/>
  <c r="Z24" i="2"/>
  <c r="E24" i="3" s="1"/>
  <c r="A170" i="3"/>
  <c r="AA170" i="2"/>
  <c r="AC170" i="2"/>
  <c r="AB170" i="2"/>
  <c r="Z170" i="2"/>
  <c r="AC348" i="2"/>
  <c r="A348" i="3"/>
  <c r="AA348" i="2"/>
  <c r="Z348" i="2"/>
  <c r="AB348" i="2"/>
  <c r="Z216" i="2"/>
  <c r="AB216" i="2"/>
  <c r="A216" i="3"/>
  <c r="AC216" i="2"/>
  <c r="AA216" i="2"/>
  <c r="A9" i="3"/>
  <c r="C9" i="3" s="1"/>
  <c r="A182" i="3"/>
  <c r="AB182" i="2"/>
  <c r="AA182" i="2"/>
  <c r="AC182" i="2"/>
  <c r="Z182" i="2"/>
  <c r="Z338" i="2"/>
  <c r="AB338" i="2"/>
  <c r="AC338" i="2"/>
  <c r="A338" i="3"/>
  <c r="AA338" i="2"/>
  <c r="A46" i="3"/>
  <c r="A319" i="3"/>
  <c r="AB319" i="2"/>
  <c r="AA319" i="2"/>
  <c r="AC319" i="2"/>
  <c r="Z319" i="2"/>
  <c r="A74" i="3"/>
  <c r="AB240" i="2"/>
  <c r="AC240" i="2"/>
  <c r="AA240" i="2"/>
  <c r="A240" i="3"/>
  <c r="Z240" i="2"/>
  <c r="A309" i="3"/>
  <c r="AA309" i="2"/>
  <c r="AB309" i="2"/>
  <c r="Z309" i="2"/>
  <c r="AC309" i="2"/>
  <c r="A231" i="3"/>
  <c r="AC231" i="2"/>
  <c r="Z231" i="2"/>
  <c r="AA231" i="2"/>
  <c r="AB231" i="2"/>
  <c r="A136" i="3"/>
  <c r="A104" i="3"/>
  <c r="A289" i="3"/>
  <c r="AB289" i="2"/>
  <c r="AC289" i="2"/>
  <c r="AA289" i="2"/>
  <c r="Z289" i="2"/>
  <c r="A199" i="3"/>
  <c r="AA199" i="2"/>
  <c r="Z199" i="2"/>
  <c r="AB199" i="2"/>
  <c r="AC199" i="2"/>
  <c r="A167" i="3"/>
  <c r="AC167" i="2"/>
  <c r="Z167" i="2"/>
  <c r="AA167" i="2"/>
  <c r="AB167" i="2"/>
  <c r="A83" i="3"/>
  <c r="A51" i="3"/>
  <c r="C51" i="3" s="1"/>
  <c r="D51" i="3" s="1"/>
  <c r="A277" i="3"/>
  <c r="AA277" i="2"/>
  <c r="AB277" i="2"/>
  <c r="AC277" i="2"/>
  <c r="Z277" i="2"/>
  <c r="AC226" i="2"/>
  <c r="AB226" i="2"/>
  <c r="Z226" i="2"/>
  <c r="AA226" i="2"/>
  <c r="A226" i="3"/>
  <c r="A135" i="3"/>
  <c r="A103" i="3"/>
  <c r="AA272" i="2"/>
  <c r="Z272" i="2"/>
  <c r="A272" i="3"/>
  <c r="AB272" i="2"/>
  <c r="AC272" i="2"/>
  <c r="A225" i="3"/>
  <c r="AC225" i="2"/>
  <c r="AA225" i="2"/>
  <c r="AB225" i="2"/>
  <c r="Z225" i="2"/>
  <c r="A134" i="3"/>
  <c r="A102" i="3"/>
  <c r="A303" i="3"/>
  <c r="AA303" i="2"/>
  <c r="AC303" i="2"/>
  <c r="AB303" i="2"/>
  <c r="Z303" i="2"/>
  <c r="AA256" i="2"/>
  <c r="A256" i="3"/>
  <c r="AB256" i="2"/>
  <c r="AC256" i="2"/>
  <c r="Z256" i="2"/>
  <c r="A177" i="3"/>
  <c r="AB177" i="2"/>
  <c r="AC177" i="2"/>
  <c r="Z177" i="2"/>
  <c r="AA177" i="2"/>
  <c r="AA145" i="2"/>
  <c r="A145" i="3"/>
  <c r="AB145" i="2"/>
  <c r="Z145" i="2"/>
  <c r="AC145" i="2"/>
  <c r="A61" i="3"/>
  <c r="C61" i="3" s="1"/>
  <c r="D61" i="3" s="1"/>
  <c r="A121" i="3"/>
  <c r="AB333" i="2"/>
  <c r="AC333" i="2"/>
  <c r="A333" i="3"/>
  <c r="AA333" i="2"/>
  <c r="Z333" i="2"/>
  <c r="AA290" i="2"/>
  <c r="A290" i="3"/>
  <c r="AC290" i="2"/>
  <c r="Z290" i="2"/>
  <c r="AB290" i="2"/>
  <c r="A200" i="3"/>
  <c r="AA200" i="2"/>
  <c r="AB200" i="2"/>
  <c r="AC200" i="2"/>
  <c r="Z200" i="2"/>
  <c r="A168" i="3"/>
  <c r="AB168" i="2"/>
  <c r="AC168" i="2"/>
  <c r="AA168" i="2"/>
  <c r="Z168" i="2"/>
  <c r="A88" i="3"/>
  <c r="A56" i="3"/>
  <c r="C56" i="3" s="1"/>
  <c r="D56" i="3" s="1"/>
  <c r="W41" i="3"/>
  <c r="R41" i="3"/>
  <c r="M41" i="3"/>
  <c r="H41" i="3"/>
  <c r="W162" i="3"/>
  <c r="H197" i="3"/>
  <c r="R280" i="3"/>
  <c r="R174" i="3"/>
  <c r="R233" i="3"/>
  <c r="R150" i="3"/>
  <c r="H150" i="3"/>
  <c r="B42" i="4" l="1"/>
  <c r="D42" i="4"/>
  <c r="B32" i="4"/>
  <c r="D32" i="4"/>
  <c r="B22" i="4"/>
  <c r="D22" i="4"/>
  <c r="B12" i="4"/>
  <c r="D12" i="4"/>
  <c r="B2" i="4"/>
  <c r="D2" i="4"/>
  <c r="V6" i="3"/>
  <c r="P5" i="3"/>
  <c r="U5" i="3"/>
  <c r="Q6" i="3"/>
  <c r="L6" i="3"/>
  <c r="F5" i="3"/>
  <c r="K5" i="3"/>
  <c r="G6" i="3"/>
  <c r="AA46" i="2"/>
  <c r="AB46" i="2" s="1"/>
  <c r="AC46" i="2" s="1"/>
  <c r="T46" i="3" s="1"/>
  <c r="E46" i="3"/>
  <c r="AA45" i="2"/>
  <c r="AB45" i="2" s="1"/>
  <c r="AC45" i="2" s="1"/>
  <c r="T45" i="3" s="1"/>
  <c r="E45" i="3"/>
  <c r="AA43" i="2"/>
  <c r="AB43" i="2" s="1"/>
  <c r="AC43" i="2" s="1"/>
  <c r="T43" i="3" s="1"/>
  <c r="E43" i="3"/>
  <c r="AA42" i="2"/>
  <c r="AB42" i="2" s="1"/>
  <c r="AC42" i="2" s="1"/>
  <c r="T42" i="3" s="1"/>
  <c r="E42" i="3"/>
  <c r="AA41" i="2"/>
  <c r="AB41" i="2" s="1"/>
  <c r="AC41" i="2" s="1"/>
  <c r="T41" i="3" s="1"/>
  <c r="E41" i="3"/>
  <c r="AA40" i="2"/>
  <c r="AB40" i="2" s="1"/>
  <c r="AC40" i="2" s="1"/>
  <c r="T40" i="3" s="1"/>
  <c r="E40" i="3"/>
  <c r="AA39" i="2"/>
  <c r="AB39" i="2" s="1"/>
  <c r="AC39" i="2" s="1"/>
  <c r="T39" i="3" s="1"/>
  <c r="E39" i="3"/>
  <c r="AA38" i="2"/>
  <c r="AB38" i="2" s="1"/>
  <c r="AC38" i="2" s="1"/>
  <c r="T38" i="3" s="1"/>
  <c r="E38" i="3"/>
  <c r="AA37" i="2"/>
  <c r="AB37" i="2" s="1"/>
  <c r="AC37" i="2" s="1"/>
  <c r="T37" i="3" s="1"/>
  <c r="E37" i="3"/>
  <c r="AA36" i="2"/>
  <c r="AB36" i="2" s="1"/>
  <c r="AC36" i="2" s="1"/>
  <c r="T36" i="3" s="1"/>
  <c r="E36" i="3"/>
  <c r="AA35" i="2"/>
  <c r="AB35" i="2" s="1"/>
  <c r="AC35" i="2" s="1"/>
  <c r="T35" i="3" s="1"/>
  <c r="E35" i="3"/>
  <c r="AA34" i="2"/>
  <c r="AB34" i="2" s="1"/>
  <c r="AC34" i="2" s="1"/>
  <c r="T34" i="3" s="1"/>
  <c r="E34" i="3"/>
  <c r="AA33" i="2"/>
  <c r="AB33" i="2" s="1"/>
  <c r="AC33" i="2" s="1"/>
  <c r="T33" i="3" s="1"/>
  <c r="E33" i="3"/>
  <c r="AA32" i="2"/>
  <c r="AB32" i="2" s="1"/>
  <c r="AC32" i="2" s="1"/>
  <c r="T32" i="3" s="1"/>
  <c r="E32" i="3"/>
  <c r="AA31" i="2"/>
  <c r="AB31" i="2" s="1"/>
  <c r="AC31" i="2" s="1"/>
  <c r="T31" i="3" s="1"/>
  <c r="E31" i="3"/>
  <c r="AA30" i="2"/>
  <c r="J30" i="3" s="1"/>
  <c r="E30" i="3"/>
  <c r="AA29" i="2"/>
  <c r="AB29" i="2" s="1"/>
  <c r="AC29" i="2" s="1"/>
  <c r="T29" i="3" s="1"/>
  <c r="E29" i="3"/>
  <c r="AA28" i="2"/>
  <c r="J28" i="3" s="1"/>
  <c r="E28" i="3"/>
  <c r="AA27" i="2"/>
  <c r="J27" i="3" s="1"/>
  <c r="E27" i="3"/>
  <c r="AA26" i="2"/>
  <c r="AB26" i="2" s="1"/>
  <c r="E26" i="3"/>
  <c r="AA24" i="2"/>
  <c r="J24" i="3" s="1"/>
  <c r="AA22" i="2"/>
  <c r="AA25" i="2"/>
  <c r="AA23" i="2"/>
  <c r="AA15" i="2"/>
  <c r="J15" i="3" s="1"/>
  <c r="AA18" i="2"/>
  <c r="J18" i="3" s="1"/>
  <c r="AA13" i="2"/>
  <c r="J13" i="3" s="1"/>
  <c r="AA9" i="2"/>
  <c r="J9" i="3" s="1"/>
  <c r="AA6" i="2"/>
  <c r="J6" i="3" s="1"/>
  <c r="AA19" i="2"/>
  <c r="J19" i="3" s="1"/>
  <c r="AA10" i="2"/>
  <c r="J10" i="3" s="1"/>
  <c r="AA20" i="2"/>
  <c r="J20" i="3" s="1"/>
  <c r="AA11" i="2"/>
  <c r="J11" i="3" s="1"/>
  <c r="AA16" i="2"/>
  <c r="J16" i="3" s="1"/>
  <c r="AA5" i="2"/>
  <c r="J5" i="3" s="1"/>
  <c r="AA4" i="2"/>
  <c r="J4" i="3" s="1"/>
  <c r="AA7" i="2"/>
  <c r="J7" i="3" s="1"/>
  <c r="AA21" i="2"/>
  <c r="AA12" i="2"/>
  <c r="J12" i="3" s="1"/>
  <c r="AA8" i="2"/>
  <c r="J8" i="3" s="1"/>
  <c r="AA14" i="2"/>
  <c r="J14" i="3" s="1"/>
  <c r="AA17" i="2"/>
  <c r="J17" i="3" s="1"/>
  <c r="AH61" i="2"/>
  <c r="S64" i="3"/>
  <c r="AJ69" i="2"/>
  <c r="S69" i="3" s="1"/>
  <c r="AJ64" i="2"/>
  <c r="AJ62" i="2"/>
  <c r="S62" i="3" s="1"/>
  <c r="AJ66" i="2"/>
  <c r="S66" i="3" s="1"/>
  <c r="AI56" i="2"/>
  <c r="AH56" i="2"/>
  <c r="D45" i="3"/>
  <c r="I57" i="3"/>
  <c r="C58" i="3"/>
  <c r="D58" i="3" s="1"/>
  <c r="N56" i="3"/>
  <c r="I56" i="3"/>
  <c r="C44" i="3"/>
  <c r="D44" i="3" s="1"/>
  <c r="C49" i="3"/>
  <c r="D49" i="3" s="1"/>
  <c r="C54" i="3"/>
  <c r="D54" i="3" s="1"/>
  <c r="C46" i="3"/>
  <c r="D46" i="3" s="1"/>
  <c r="I51" i="3"/>
  <c r="C60" i="3"/>
  <c r="D60" i="3" s="1"/>
  <c r="C50" i="3"/>
  <c r="D50" i="3" s="1"/>
  <c r="C53" i="3"/>
  <c r="D53" i="3" s="1"/>
  <c r="C48" i="3"/>
  <c r="D48" i="3" s="1"/>
  <c r="C47" i="3"/>
  <c r="D47" i="3" s="1"/>
  <c r="I59" i="3"/>
  <c r="AG59" i="2"/>
  <c r="AH59" i="2" s="1"/>
  <c r="AH57" i="2"/>
  <c r="AI57" i="2"/>
  <c r="N57" i="3" s="1"/>
  <c r="AG60" i="2"/>
  <c r="AI55" i="2"/>
  <c r="N55" i="3" s="1"/>
  <c r="AH55" i="2"/>
  <c r="AF52" i="2"/>
  <c r="I52" i="3" s="1"/>
  <c r="D52" i="3"/>
  <c r="AF50" i="2"/>
  <c r="AF54" i="2"/>
  <c r="I55" i="3"/>
  <c r="AF58" i="2"/>
  <c r="AG58" i="2" s="1"/>
  <c r="AG51" i="2"/>
  <c r="AH51" i="2" s="1"/>
  <c r="AJ53" i="2"/>
  <c r="AI53" i="2"/>
  <c r="X44" i="2"/>
  <c r="W44" i="3" s="1"/>
  <c r="R44" i="3"/>
  <c r="AA44" i="2"/>
  <c r="AB44" i="2" s="1"/>
  <c r="AC44" i="2" s="1"/>
  <c r="T44" i="3" s="1"/>
  <c r="AG44" i="2"/>
  <c r="C35" i="3"/>
  <c r="C27" i="3"/>
  <c r="D15" i="3"/>
  <c r="C15" i="3"/>
  <c r="C18" i="3"/>
  <c r="D21" i="3"/>
  <c r="C21" i="3"/>
  <c r="D24" i="3"/>
  <c r="C24" i="3"/>
  <c r="C6" i="3"/>
  <c r="D38" i="3"/>
  <c r="C38" i="3"/>
  <c r="D40" i="3"/>
  <c r="C40" i="3"/>
  <c r="D10" i="3"/>
  <c r="C10" i="3"/>
  <c r="D14" i="3"/>
  <c r="C14" i="3"/>
  <c r="D19" i="3"/>
  <c r="C19" i="3"/>
  <c r="C28" i="3"/>
  <c r="D37" i="3"/>
  <c r="C37" i="3"/>
  <c r="D16" i="3"/>
  <c r="C16" i="3"/>
  <c r="D36" i="3"/>
  <c r="C36" i="3"/>
  <c r="D41" i="3"/>
  <c r="C41" i="3"/>
  <c r="C39" i="3"/>
  <c r="D22" i="3"/>
  <c r="C22" i="3"/>
  <c r="D13" i="3"/>
  <c r="C13" i="3"/>
  <c r="D3" i="3"/>
  <c r="C3" i="3"/>
  <c r="D32" i="3"/>
  <c r="C32" i="3"/>
  <c r="C20" i="3"/>
  <c r="C31" i="3"/>
  <c r="C11" i="3"/>
  <c r="D42" i="3"/>
  <c r="C42" i="3"/>
  <c r="D31" i="3"/>
  <c r="AH86" i="2"/>
  <c r="AJ86" i="2" s="1"/>
  <c r="D29" i="3"/>
  <c r="C29" i="3"/>
  <c r="D26" i="3"/>
  <c r="C26" i="3"/>
  <c r="D2" i="3"/>
  <c r="C2" i="3"/>
  <c r="D35" i="3"/>
  <c r="C43" i="3"/>
  <c r="I43" i="3" s="1"/>
  <c r="C12" i="3"/>
  <c r="D5" i="3"/>
  <c r="C5" i="3"/>
  <c r="D4" i="3"/>
  <c r="C4" i="3"/>
  <c r="D34" i="3"/>
  <c r="C34" i="3"/>
  <c r="C17" i="3"/>
  <c r="D30" i="3"/>
  <c r="C30" i="3"/>
  <c r="D33" i="3"/>
  <c r="C33" i="3"/>
  <c r="C8" i="3"/>
  <c r="D7" i="3"/>
  <c r="C7" i="3"/>
  <c r="AG48" i="2"/>
  <c r="AG47" i="2"/>
  <c r="AG49" i="2"/>
  <c r="AF46" i="2"/>
  <c r="E136" i="3"/>
  <c r="AH71" i="2"/>
  <c r="AJ71" i="2" s="1"/>
  <c r="AH78" i="2"/>
  <c r="AJ78" i="2" s="1"/>
  <c r="AH92" i="2"/>
  <c r="AJ92" i="2" s="1"/>
  <c r="AF8" i="2"/>
  <c r="D8" i="3"/>
  <c r="AF12" i="2"/>
  <c r="D12" i="3"/>
  <c r="AG38" i="2"/>
  <c r="I38" i="3"/>
  <c r="AH87" i="2"/>
  <c r="AJ87" i="2" s="1"/>
  <c r="AG22" i="2"/>
  <c r="I22" i="3"/>
  <c r="AG30" i="2"/>
  <c r="I30" i="3"/>
  <c r="AG21" i="2"/>
  <c r="I21" i="3"/>
  <c r="AG29" i="2"/>
  <c r="I29" i="3"/>
  <c r="AG3" i="2"/>
  <c r="I3" i="3"/>
  <c r="AF20" i="2"/>
  <c r="D20" i="3"/>
  <c r="AG19" i="2"/>
  <c r="I19" i="3"/>
  <c r="AH83" i="2"/>
  <c r="AJ83" i="2" s="1"/>
  <c r="AF11" i="2"/>
  <c r="D11" i="3"/>
  <c r="AG41" i="2"/>
  <c r="I41" i="3"/>
  <c r="AG45" i="2"/>
  <c r="AG34" i="2"/>
  <c r="I34" i="3"/>
  <c r="AG4" i="2"/>
  <c r="I4" i="3"/>
  <c r="AH73" i="2"/>
  <c r="AJ73" i="2" s="1"/>
  <c r="AG33" i="2"/>
  <c r="I33" i="3"/>
  <c r="I2" i="3"/>
  <c r="F41" i="4" s="1"/>
  <c r="AF9" i="2"/>
  <c r="D9" i="3"/>
  <c r="AF18" i="2"/>
  <c r="D18" i="3"/>
  <c r="AG32" i="2"/>
  <c r="I32" i="3"/>
  <c r="AH67" i="2"/>
  <c r="AH65" i="2"/>
  <c r="AG10" i="2"/>
  <c r="I10" i="3"/>
  <c r="AH63" i="2"/>
  <c r="AG15" i="2"/>
  <c r="I15" i="3"/>
  <c r="AH70" i="2"/>
  <c r="AJ70" i="2" s="1"/>
  <c r="AG31" i="2"/>
  <c r="I31" i="3"/>
  <c r="AG24" i="2"/>
  <c r="I24" i="3"/>
  <c r="AF23" i="2"/>
  <c r="D23" i="3"/>
  <c r="AG43" i="2"/>
  <c r="AG14" i="2"/>
  <c r="I14" i="3"/>
  <c r="AG7" i="2"/>
  <c r="I7" i="3"/>
  <c r="AG35" i="2"/>
  <c r="I35" i="3"/>
  <c r="AF25" i="2"/>
  <c r="D25" i="3"/>
  <c r="AG39" i="2"/>
  <c r="I39" i="3"/>
  <c r="AH79" i="2"/>
  <c r="AJ79" i="2" s="1"/>
  <c r="AG40" i="2"/>
  <c r="I40" i="3"/>
  <c r="AF27" i="2"/>
  <c r="D27" i="3"/>
  <c r="AF28" i="2"/>
  <c r="D28" i="3"/>
  <c r="AF17" i="2"/>
  <c r="D17" i="3"/>
  <c r="AG13" i="2"/>
  <c r="I13" i="3"/>
  <c r="AF6" i="2"/>
  <c r="D6" i="3"/>
  <c r="AH81" i="2"/>
  <c r="AJ81" i="2" s="1"/>
  <c r="AG42" i="2"/>
  <c r="I42" i="3"/>
  <c r="AG26" i="2"/>
  <c r="I26" i="3"/>
  <c r="AG36" i="2"/>
  <c r="I36" i="3"/>
  <c r="AG5" i="2"/>
  <c r="I5" i="3"/>
  <c r="AG37" i="2"/>
  <c r="I37" i="3"/>
  <c r="AG16" i="2"/>
  <c r="I16" i="3"/>
  <c r="AG2" i="2"/>
  <c r="N2" i="3" s="1"/>
  <c r="J41" i="4" s="1"/>
  <c r="AA3" i="2"/>
  <c r="J3" i="3" s="1"/>
  <c r="T113" i="3"/>
  <c r="T92" i="3"/>
  <c r="E93" i="3"/>
  <c r="O106" i="3"/>
  <c r="T67" i="3"/>
  <c r="J116" i="3"/>
  <c r="T76" i="3"/>
  <c r="T63" i="3"/>
  <c r="O108" i="3"/>
  <c r="T61" i="3"/>
  <c r="AA2" i="2"/>
  <c r="J2" i="3" s="1"/>
  <c r="T52" i="3"/>
  <c r="J124" i="3"/>
  <c r="O135" i="3"/>
  <c r="O109" i="3"/>
  <c r="T68" i="3"/>
  <c r="T72" i="3"/>
  <c r="T51" i="3"/>
  <c r="T59" i="3"/>
  <c r="O107" i="3"/>
  <c r="T111" i="3"/>
  <c r="T87" i="3"/>
  <c r="J112" i="3"/>
  <c r="T77" i="3"/>
  <c r="E138" i="3"/>
  <c r="E96" i="3"/>
  <c r="T58" i="3"/>
  <c r="J132" i="3"/>
  <c r="T106" i="3"/>
  <c r="E139" i="3"/>
  <c r="J134" i="3"/>
  <c r="T108" i="3"/>
  <c r="O138" i="3"/>
  <c r="T131" i="3"/>
  <c r="O172" i="3"/>
  <c r="T79" i="3"/>
  <c r="J110" i="3"/>
  <c r="O125" i="3"/>
  <c r="J102" i="3"/>
  <c r="T89" i="3"/>
  <c r="E233" i="3"/>
  <c r="O148" i="3"/>
  <c r="E110" i="3"/>
  <c r="O170" i="3"/>
  <c r="O204" i="3"/>
  <c r="O270" i="3"/>
  <c r="T239" i="3"/>
  <c r="T69" i="3"/>
  <c r="J128" i="3"/>
  <c r="E102" i="3"/>
  <c r="T55" i="3"/>
  <c r="T97" i="3"/>
  <c r="T82" i="3"/>
  <c r="T53" i="3"/>
  <c r="T57" i="3"/>
  <c r="T100" i="3"/>
  <c r="T70" i="3"/>
  <c r="E105" i="3"/>
  <c r="E125" i="3"/>
  <c r="T74" i="3"/>
  <c r="O122" i="3"/>
  <c r="O121" i="3"/>
  <c r="T60" i="3"/>
  <c r="J104" i="3"/>
  <c r="O119" i="3"/>
  <c r="E114" i="3"/>
  <c r="J98" i="3"/>
  <c r="T233" i="3"/>
  <c r="T261" i="3"/>
  <c r="E148" i="3"/>
  <c r="O184" i="3"/>
  <c r="E242" i="3"/>
  <c r="O220" i="3"/>
  <c r="E160" i="3"/>
  <c r="J229" i="3"/>
  <c r="T251" i="3"/>
  <c r="J253" i="3"/>
  <c r="T273" i="3"/>
  <c r="O137" i="3"/>
  <c r="J233" i="3"/>
  <c r="O162" i="3"/>
  <c r="J123" i="3"/>
  <c r="T83" i="3"/>
  <c r="T88" i="3"/>
  <c r="T73" i="3"/>
  <c r="E244" i="3"/>
  <c r="J273" i="3"/>
  <c r="E198" i="3"/>
  <c r="J277" i="3"/>
  <c r="O198" i="3"/>
  <c r="J176" i="3"/>
  <c r="E99" i="3"/>
  <c r="T168" i="3"/>
  <c r="O102" i="3"/>
  <c r="T176" i="3"/>
  <c r="J125" i="3"/>
  <c r="J141" i="3"/>
  <c r="J244" i="3"/>
  <c r="J95" i="3"/>
  <c r="O268" i="3"/>
  <c r="J105" i="3"/>
  <c r="E119" i="3"/>
  <c r="E221" i="3"/>
  <c r="O273" i="3"/>
  <c r="T205" i="3"/>
  <c r="E197" i="3"/>
  <c r="J192" i="3"/>
  <c r="E273" i="3"/>
  <c r="J136" i="3"/>
  <c r="E132" i="3"/>
  <c r="E185" i="3"/>
  <c r="T148" i="3"/>
  <c r="T157" i="3"/>
  <c r="O244" i="3"/>
  <c r="E192" i="3"/>
  <c r="O249" i="3"/>
  <c r="J96" i="3"/>
  <c r="E267" i="3"/>
  <c r="O168" i="3"/>
  <c r="J177" i="3"/>
  <c r="T102" i="3"/>
  <c r="T110" i="3"/>
  <c r="O233" i="3"/>
  <c r="J261" i="3"/>
  <c r="T62" i="3"/>
  <c r="O157" i="3"/>
  <c r="O205" i="3"/>
  <c r="T147" i="3"/>
  <c r="O254" i="3"/>
  <c r="E193" i="3"/>
  <c r="J119" i="3"/>
  <c r="T81" i="3"/>
  <c r="T71" i="3"/>
  <c r="E257" i="3"/>
  <c r="T80" i="3"/>
  <c r="O94" i="3"/>
  <c r="O195" i="3"/>
  <c r="O105" i="3"/>
  <c r="T50" i="3"/>
  <c r="E177" i="3"/>
  <c r="E144" i="3"/>
  <c r="T210" i="3"/>
  <c r="T257" i="3"/>
  <c r="T96" i="3"/>
  <c r="E236" i="3"/>
  <c r="E190" i="3"/>
  <c r="T66" i="3"/>
  <c r="E135" i="3"/>
  <c r="E108" i="3"/>
  <c r="T209" i="3"/>
  <c r="O257" i="3"/>
  <c r="T90" i="3"/>
  <c r="T217" i="3"/>
  <c r="T75" i="3"/>
  <c r="O132" i="3"/>
  <c r="J140" i="3"/>
  <c r="E232" i="3"/>
  <c r="J153" i="3"/>
  <c r="O112" i="3"/>
  <c r="E161" i="3"/>
  <c r="J193" i="3"/>
  <c r="J151" i="3"/>
  <c r="E155" i="3"/>
  <c r="J257" i="3"/>
  <c r="T54" i="3"/>
  <c r="E282" i="3"/>
  <c r="O96" i="3"/>
  <c r="J117" i="3"/>
  <c r="E253" i="3"/>
  <c r="O190" i="3"/>
  <c r="T182" i="3"/>
  <c r="J114" i="3"/>
  <c r="O152" i="3"/>
  <c r="J161" i="3"/>
  <c r="J282" i="3"/>
  <c r="T190" i="3"/>
  <c r="E163" i="3"/>
  <c r="T232" i="3"/>
  <c r="O144" i="3"/>
  <c r="O145" i="3"/>
  <c r="J182" i="3"/>
  <c r="E230" i="3"/>
  <c r="J232" i="3"/>
  <c r="J144" i="3"/>
  <c r="E261" i="3"/>
  <c r="O210" i="3"/>
  <c r="T124" i="3"/>
  <c r="J190" i="3"/>
  <c r="T91" i="3"/>
  <c r="O179" i="3"/>
  <c r="O228" i="3"/>
  <c r="O124" i="3"/>
  <c r="T84" i="3"/>
  <c r="E115" i="3"/>
  <c r="T86" i="3"/>
  <c r="T193" i="3"/>
  <c r="T228" i="3"/>
  <c r="J109" i="3"/>
  <c r="O165" i="3"/>
  <c r="T213" i="3"/>
  <c r="T195" i="3"/>
  <c r="E203" i="3"/>
  <c r="T242" i="3"/>
  <c r="O282" i="3"/>
  <c r="O224" i="3"/>
  <c r="J248" i="3"/>
  <c r="J157" i="3"/>
  <c r="O265" i="3"/>
  <c r="T262" i="3"/>
  <c r="E95" i="3"/>
  <c r="E98" i="3"/>
  <c r="T177" i="3"/>
  <c r="J135" i="3"/>
  <c r="E277" i="3"/>
  <c r="E104" i="3"/>
  <c r="J149" i="3"/>
  <c r="O229" i="3"/>
  <c r="T235" i="3"/>
  <c r="E146" i="3"/>
  <c r="T198" i="3"/>
  <c r="O232" i="3"/>
  <c r="E248" i="3"/>
  <c r="E180" i="3"/>
  <c r="O279" i="3"/>
  <c r="J265" i="3"/>
  <c r="O161" i="3"/>
  <c r="E210" i="3"/>
  <c r="O197" i="3"/>
  <c r="T244" i="3"/>
  <c r="O174" i="3"/>
  <c r="T201" i="3"/>
  <c r="E217" i="3"/>
  <c r="T95" i="3"/>
  <c r="E266" i="3"/>
  <c r="T117" i="3"/>
  <c r="O98" i="3"/>
  <c r="E224" i="3"/>
  <c r="O235" i="3"/>
  <c r="E117" i="3"/>
  <c r="E168" i="3"/>
  <c r="J200" i="3"/>
  <c r="O104" i="3"/>
  <c r="J172" i="3"/>
  <c r="T204" i="3"/>
  <c r="E106" i="3"/>
  <c r="O171" i="3"/>
  <c r="E235" i="3"/>
  <c r="J198" i="3"/>
  <c r="O176" i="3"/>
  <c r="E112" i="3"/>
  <c r="T248" i="3"/>
  <c r="T179" i="3"/>
  <c r="E279" i="3"/>
  <c r="E265" i="3"/>
  <c r="T241" i="3"/>
  <c r="O213" i="3"/>
  <c r="E124" i="3"/>
  <c r="T174" i="3"/>
  <c r="J160" i="3"/>
  <c r="J94" i="3"/>
  <c r="O95" i="3"/>
  <c r="J223" i="3"/>
  <c r="O117" i="3"/>
  <c r="T98" i="3"/>
  <c r="E131" i="3"/>
  <c r="T253" i="3"/>
  <c r="J203" i="3"/>
  <c r="J168" i="3"/>
  <c r="J230" i="3"/>
  <c r="E140" i="3"/>
  <c r="J235" i="3"/>
  <c r="E271" i="3"/>
  <c r="T158" i="3"/>
  <c r="E176" i="3"/>
  <c r="T162" i="3"/>
  <c r="J148" i="3"/>
  <c r="O180" i="3"/>
  <c r="T279" i="3"/>
  <c r="O215" i="3"/>
  <c r="E247" i="3"/>
  <c r="E262" i="3"/>
  <c r="J220" i="3"/>
  <c r="E249" i="3"/>
  <c r="J150" i="3"/>
  <c r="O131" i="3"/>
  <c r="O253" i="3"/>
  <c r="J154" i="3"/>
  <c r="E237" i="3"/>
  <c r="E64" i="3"/>
  <c r="O92" i="3"/>
  <c r="O206" i="3"/>
  <c r="E206" i="3"/>
  <c r="T206" i="3"/>
  <c r="J206" i="3"/>
  <c r="T207" i="3"/>
  <c r="J207" i="3"/>
  <c r="O207" i="3"/>
  <c r="E207" i="3"/>
  <c r="T255" i="3"/>
  <c r="T49" i="3"/>
  <c r="O49" i="3"/>
  <c r="J49" i="3"/>
  <c r="E49" i="3"/>
  <c r="T246" i="3"/>
  <c r="O246" i="3"/>
  <c r="E246" i="3"/>
  <c r="J227" i="3"/>
  <c r="T227" i="3"/>
  <c r="E227" i="3"/>
  <c r="O227" i="3"/>
  <c r="E72" i="3"/>
  <c r="J72" i="3"/>
  <c r="O72" i="3"/>
  <c r="O225" i="3"/>
  <c r="J167" i="3"/>
  <c r="O167" i="3"/>
  <c r="T167" i="3"/>
  <c r="E167" i="3"/>
  <c r="J65" i="3"/>
  <c r="E65" i="3"/>
  <c r="O65" i="3"/>
  <c r="T260" i="3"/>
  <c r="E260" i="3"/>
  <c r="J260" i="3"/>
  <c r="J276" i="3"/>
  <c r="O276" i="3"/>
  <c r="T276" i="3"/>
  <c r="E276" i="3"/>
  <c r="O158" i="3"/>
  <c r="J143" i="3"/>
  <c r="E194" i="3"/>
  <c r="J194" i="3"/>
  <c r="O194" i="3"/>
  <c r="T194" i="3"/>
  <c r="O188" i="3"/>
  <c r="T188" i="3"/>
  <c r="O187" i="3"/>
  <c r="J187" i="3"/>
  <c r="T187" i="3"/>
  <c r="J85" i="3"/>
  <c r="E85" i="3"/>
  <c r="O85" i="3"/>
  <c r="E191" i="3"/>
  <c r="T191" i="3"/>
  <c r="J191" i="3"/>
  <c r="J121" i="3"/>
  <c r="T121" i="3"/>
  <c r="E121" i="3"/>
  <c r="O177" i="3"/>
  <c r="J225" i="3"/>
  <c r="O103" i="3"/>
  <c r="T135" i="3"/>
  <c r="T277" i="3"/>
  <c r="T199" i="3"/>
  <c r="T136" i="3"/>
  <c r="O231" i="3"/>
  <c r="T231" i="3"/>
  <c r="J231" i="3"/>
  <c r="E231" i="3"/>
  <c r="J240" i="3"/>
  <c r="E172" i="3"/>
  <c r="E204" i="3"/>
  <c r="J204" i="3"/>
  <c r="T93" i="3"/>
  <c r="T181" i="3"/>
  <c r="J181" i="3"/>
  <c r="O181" i="3"/>
  <c r="E181" i="3"/>
  <c r="J106" i="3"/>
  <c r="E229" i="3"/>
  <c r="J139" i="3"/>
  <c r="T281" i="3"/>
  <c r="T140" i="3"/>
  <c r="O271" i="3"/>
  <c r="T186" i="3"/>
  <c r="O186" i="3"/>
  <c r="J186" i="3"/>
  <c r="E186" i="3"/>
  <c r="T144" i="3"/>
  <c r="T153" i="3"/>
  <c r="E111" i="3"/>
  <c r="T112" i="3"/>
  <c r="J162" i="3"/>
  <c r="J62" i="3"/>
  <c r="E62" i="3"/>
  <c r="O62" i="3"/>
  <c r="J66" i="3"/>
  <c r="E66" i="3"/>
  <c r="O66" i="3"/>
  <c r="J255" i="3"/>
  <c r="O101" i="3"/>
  <c r="O189" i="3"/>
  <c r="O114" i="3"/>
  <c r="J205" i="3"/>
  <c r="E205" i="3"/>
  <c r="J63" i="3"/>
  <c r="E63" i="3"/>
  <c r="O63" i="3"/>
  <c r="E179" i="3"/>
  <c r="T254" i="3"/>
  <c r="E116" i="3"/>
  <c r="O243" i="3"/>
  <c r="J279" i="3"/>
  <c r="T265" i="3"/>
  <c r="E152" i="3"/>
  <c r="T161" i="3"/>
  <c r="O209" i="3"/>
  <c r="T119" i="3"/>
  <c r="O242" i="3"/>
  <c r="E67" i="3"/>
  <c r="J67" i="3"/>
  <c r="O67" i="3"/>
  <c r="T247" i="3"/>
  <c r="E228" i="3"/>
  <c r="J228" i="3"/>
  <c r="E213" i="3"/>
  <c r="J213" i="3"/>
  <c r="J155" i="3"/>
  <c r="E187" i="3"/>
  <c r="T270" i="3"/>
  <c r="J174" i="3"/>
  <c r="J80" i="3"/>
  <c r="E80" i="3"/>
  <c r="O80" i="3"/>
  <c r="T192" i="3"/>
  <c r="O113" i="3"/>
  <c r="O201" i="3"/>
  <c r="E94" i="3"/>
  <c r="O126" i="3"/>
  <c r="J249" i="3"/>
  <c r="T159" i="3"/>
  <c r="E223" i="3"/>
  <c r="J57" i="3"/>
  <c r="E57" i="3"/>
  <c r="O57" i="3"/>
  <c r="T221" i="3"/>
  <c r="J99" i="3"/>
  <c r="J131" i="3"/>
  <c r="J166" i="3"/>
  <c r="O154" i="3"/>
  <c r="E100" i="3"/>
  <c r="J267" i="3"/>
  <c r="J236" i="3"/>
  <c r="T132" i="3"/>
  <c r="J195" i="3"/>
  <c r="J137" i="3"/>
  <c r="J69" i="3"/>
  <c r="E69" i="3"/>
  <c r="O69" i="3"/>
  <c r="J56" i="3"/>
  <c r="E56" i="3"/>
  <c r="O56" i="3"/>
  <c r="J171" i="3"/>
  <c r="E171" i="3"/>
  <c r="T146" i="3"/>
  <c r="J146" i="3"/>
  <c r="O178" i="3"/>
  <c r="E178" i="3"/>
  <c r="J178" i="3"/>
  <c r="T178" i="3"/>
  <c r="E200" i="3"/>
  <c r="E145" i="3"/>
  <c r="T225" i="3"/>
  <c r="J103" i="3"/>
  <c r="O277" i="3"/>
  <c r="J83" i="3"/>
  <c r="E83" i="3"/>
  <c r="O83" i="3"/>
  <c r="O199" i="3"/>
  <c r="O136" i="3"/>
  <c r="T240" i="3"/>
  <c r="T172" i="3"/>
  <c r="J93" i="3"/>
  <c r="E149" i="3"/>
  <c r="T229" i="3"/>
  <c r="T107" i="3"/>
  <c r="T139" i="3"/>
  <c r="J281" i="3"/>
  <c r="J87" i="3"/>
  <c r="E87" i="3"/>
  <c r="O87" i="3"/>
  <c r="T203" i="3"/>
  <c r="O203" i="3"/>
  <c r="O140" i="3"/>
  <c r="J271" i="3"/>
  <c r="O251" i="3"/>
  <c r="O153" i="3"/>
  <c r="E280" i="3"/>
  <c r="O111" i="3"/>
  <c r="J239" i="3"/>
  <c r="T133" i="3"/>
  <c r="E133" i="3"/>
  <c r="J133" i="3"/>
  <c r="J180" i="3"/>
  <c r="O255" i="3"/>
  <c r="E101" i="3"/>
  <c r="J73" i="3"/>
  <c r="E73" i="3"/>
  <c r="O73" i="3"/>
  <c r="T189" i="3"/>
  <c r="T114" i="3"/>
  <c r="J237" i="3"/>
  <c r="J179" i="3"/>
  <c r="O116" i="3"/>
  <c r="T243" i="3"/>
  <c r="O212" i="3"/>
  <c r="J152" i="3"/>
  <c r="J259" i="3"/>
  <c r="E259" i="3"/>
  <c r="O259" i="3"/>
  <c r="T259" i="3"/>
  <c r="E118" i="3"/>
  <c r="J209" i="3"/>
  <c r="J242" i="3"/>
  <c r="J120" i="3"/>
  <c r="T120" i="3"/>
  <c r="O120" i="3"/>
  <c r="E120" i="3"/>
  <c r="E122" i="3"/>
  <c r="T155" i="3"/>
  <c r="E219" i="3"/>
  <c r="J270" i="3"/>
  <c r="E174" i="3"/>
  <c r="O192" i="3"/>
  <c r="E113" i="3"/>
  <c r="J201" i="3"/>
  <c r="T94" i="3"/>
  <c r="T249" i="3"/>
  <c r="E127" i="3"/>
  <c r="O159" i="3"/>
  <c r="T223" i="3"/>
  <c r="E275" i="3"/>
  <c r="J86" i="3"/>
  <c r="E86" i="3"/>
  <c r="O86" i="3"/>
  <c r="O52" i="3"/>
  <c r="J52" i="3"/>
  <c r="E52" i="3"/>
  <c r="T173" i="3"/>
  <c r="J173" i="3"/>
  <c r="O173" i="3"/>
  <c r="E173" i="3"/>
  <c r="J221" i="3"/>
  <c r="T99" i="3"/>
  <c r="E166" i="3"/>
  <c r="T154" i="3"/>
  <c r="J100" i="3"/>
  <c r="O267" i="3"/>
  <c r="J90" i="3"/>
  <c r="E90" i="3"/>
  <c r="O90" i="3"/>
  <c r="T236" i="3"/>
  <c r="E222" i="3"/>
  <c r="T47" i="3"/>
  <c r="O47" i="3"/>
  <c r="J47" i="3"/>
  <c r="E47" i="3"/>
  <c r="J234" i="3"/>
  <c r="O234" i="3"/>
  <c r="E234" i="3"/>
  <c r="T234" i="3"/>
  <c r="J118" i="3"/>
  <c r="O118" i="3"/>
  <c r="E272" i="3"/>
  <c r="O272" i="3"/>
  <c r="J272" i="3"/>
  <c r="J51" i="3"/>
  <c r="E51" i="3"/>
  <c r="O51" i="3"/>
  <c r="E103" i="3"/>
  <c r="J226" i="3"/>
  <c r="T226" i="3"/>
  <c r="O226" i="3"/>
  <c r="E226" i="3"/>
  <c r="E199" i="3"/>
  <c r="O240" i="3"/>
  <c r="T149" i="3"/>
  <c r="E107" i="3"/>
  <c r="E281" i="3"/>
  <c r="J189" i="3"/>
  <c r="T237" i="3"/>
  <c r="J243" i="3"/>
  <c r="T118" i="3"/>
  <c r="T156" i="3"/>
  <c r="J156" i="3"/>
  <c r="O156" i="3"/>
  <c r="E156" i="3"/>
  <c r="T219" i="3"/>
  <c r="T127" i="3"/>
  <c r="E218" i="3"/>
  <c r="O218" i="3"/>
  <c r="J218" i="3"/>
  <c r="T218" i="3"/>
  <c r="J159" i="3"/>
  <c r="E159" i="3"/>
  <c r="E128" i="3"/>
  <c r="O223" i="3"/>
  <c r="T275" i="3"/>
  <c r="J164" i="3"/>
  <c r="E164" i="3"/>
  <c r="T164" i="3"/>
  <c r="O164" i="3"/>
  <c r="T130" i="3"/>
  <c r="O99" i="3"/>
  <c r="T224" i="3"/>
  <c r="O166" i="3"/>
  <c r="J278" i="3"/>
  <c r="O278" i="3"/>
  <c r="T278" i="3"/>
  <c r="E278" i="3"/>
  <c r="O100" i="3"/>
  <c r="O236" i="3"/>
  <c r="J163" i="3"/>
  <c r="J74" i="3"/>
  <c r="E74" i="3"/>
  <c r="O74" i="3"/>
  <c r="J88" i="3"/>
  <c r="E88" i="3"/>
  <c r="O88" i="3"/>
  <c r="T200" i="3"/>
  <c r="E170" i="3"/>
  <c r="T170" i="3"/>
  <c r="J170" i="3"/>
  <c r="E251" i="3"/>
  <c r="J142" i="3"/>
  <c r="T142" i="3"/>
  <c r="O142" i="3"/>
  <c r="E142" i="3"/>
  <c r="J280" i="3"/>
  <c r="O175" i="3"/>
  <c r="T175" i="3"/>
  <c r="E175" i="3"/>
  <c r="J175" i="3"/>
  <c r="E239" i="3"/>
  <c r="J68" i="3"/>
  <c r="E68" i="3"/>
  <c r="O68" i="3"/>
  <c r="T101" i="3"/>
  <c r="O200" i="3"/>
  <c r="J145" i="3"/>
  <c r="T145" i="3"/>
  <c r="T134" i="3"/>
  <c r="O134" i="3"/>
  <c r="E134" i="3"/>
  <c r="T272" i="3"/>
  <c r="T103" i="3"/>
  <c r="J199" i="3"/>
  <c r="T104" i="3"/>
  <c r="E182" i="3"/>
  <c r="J60" i="3"/>
  <c r="E60" i="3"/>
  <c r="O60" i="3"/>
  <c r="O149" i="3"/>
  <c r="J107" i="3"/>
  <c r="T230" i="3"/>
  <c r="O281" i="3"/>
  <c r="J108" i="3"/>
  <c r="O146" i="3"/>
  <c r="J251" i="3"/>
  <c r="E97" i="3"/>
  <c r="J185" i="3"/>
  <c r="O264" i="3"/>
  <c r="E264" i="3"/>
  <c r="T264" i="3"/>
  <c r="J264" i="3"/>
  <c r="O110" i="3"/>
  <c r="O280" i="3"/>
  <c r="E143" i="3"/>
  <c r="E59" i="3"/>
  <c r="J59" i="3"/>
  <c r="O59" i="3"/>
  <c r="O239" i="3"/>
  <c r="E162" i="3"/>
  <c r="O133" i="3"/>
  <c r="O261" i="3"/>
  <c r="O248" i="3"/>
  <c r="E202" i="3"/>
  <c r="J202" i="3"/>
  <c r="T202" i="3"/>
  <c r="O202" i="3"/>
  <c r="T180" i="3"/>
  <c r="J101" i="3"/>
  <c r="E157" i="3"/>
  <c r="E189" i="3"/>
  <c r="O237" i="3"/>
  <c r="O115" i="3"/>
  <c r="E147" i="3"/>
  <c r="E243" i="3"/>
  <c r="T125" i="3"/>
  <c r="T105" i="3"/>
  <c r="J77" i="3"/>
  <c r="E77" i="3"/>
  <c r="O77" i="3"/>
  <c r="O193" i="3"/>
  <c r="E241" i="3"/>
  <c r="J210" i="3"/>
  <c r="E183" i="3"/>
  <c r="O183" i="3"/>
  <c r="J183" i="3"/>
  <c r="T183" i="3"/>
  <c r="J215" i="3"/>
  <c r="O247" i="3"/>
  <c r="J247" i="3"/>
  <c r="O50" i="3"/>
  <c r="J50" i="3"/>
  <c r="E50" i="3"/>
  <c r="O141" i="3"/>
  <c r="E109" i="3"/>
  <c r="J81" i="3"/>
  <c r="E81" i="3"/>
  <c r="O81" i="3"/>
  <c r="T197" i="3"/>
  <c r="J122" i="3"/>
  <c r="J245" i="3"/>
  <c r="T123" i="3"/>
  <c r="E214" i="3"/>
  <c r="T214" i="3"/>
  <c r="J214" i="3"/>
  <c r="O214" i="3"/>
  <c r="O155" i="3"/>
  <c r="O262" i="3"/>
  <c r="O219" i="3"/>
  <c r="O129" i="3"/>
  <c r="J82" i="3"/>
  <c r="E82" i="3"/>
  <c r="O82" i="3"/>
  <c r="J54" i="3"/>
  <c r="E54" i="3"/>
  <c r="O54" i="3"/>
  <c r="J58" i="3"/>
  <c r="E58" i="3"/>
  <c r="O58" i="3"/>
  <c r="E220" i="3"/>
  <c r="T160" i="3"/>
  <c r="T169" i="3"/>
  <c r="J169" i="3"/>
  <c r="O169" i="3"/>
  <c r="E169" i="3"/>
  <c r="O217" i="3"/>
  <c r="J127" i="3"/>
  <c r="T269" i="3"/>
  <c r="T128" i="3"/>
  <c r="J275" i="3"/>
  <c r="T196" i="3"/>
  <c r="J89" i="3"/>
  <c r="E89" i="3"/>
  <c r="O89" i="3"/>
  <c r="E130" i="3"/>
  <c r="O130" i="3"/>
  <c r="T166" i="3"/>
  <c r="J222" i="3"/>
  <c r="O222" i="3"/>
  <c r="T222" i="3"/>
  <c r="T163" i="3"/>
  <c r="O163" i="3"/>
  <c r="J76" i="3"/>
  <c r="E76" i="3"/>
  <c r="O76" i="3"/>
  <c r="E188" i="3"/>
  <c r="T263" i="3"/>
  <c r="E263" i="3"/>
  <c r="J263" i="3"/>
  <c r="O263" i="3"/>
  <c r="T109" i="3"/>
  <c r="J197" i="3"/>
  <c r="T122" i="3"/>
  <c r="E245" i="3"/>
  <c r="E123" i="3"/>
  <c r="O123" i="3"/>
  <c r="J262" i="3"/>
  <c r="J219" i="3"/>
  <c r="E129" i="3"/>
  <c r="T220" i="3"/>
  <c r="E48" i="3"/>
  <c r="J48" i="3"/>
  <c r="T48" i="3"/>
  <c r="O48" i="3"/>
  <c r="O160" i="3"/>
  <c r="J53" i="3"/>
  <c r="E53" i="3"/>
  <c r="O53" i="3"/>
  <c r="J217" i="3"/>
  <c r="O127" i="3"/>
  <c r="J75" i="3"/>
  <c r="E75" i="3"/>
  <c r="O75" i="3"/>
  <c r="T266" i="3"/>
  <c r="J266" i="3"/>
  <c r="O266" i="3"/>
  <c r="O128" i="3"/>
  <c r="J208" i="3"/>
  <c r="O208" i="3"/>
  <c r="E208" i="3"/>
  <c r="T208" i="3"/>
  <c r="O275" i="3"/>
  <c r="J84" i="3"/>
  <c r="E84" i="3"/>
  <c r="O84" i="3"/>
  <c r="J196" i="3"/>
  <c r="J130" i="3"/>
  <c r="J256" i="3"/>
  <c r="O256" i="3"/>
  <c r="E256" i="3"/>
  <c r="T256" i="3"/>
  <c r="J78" i="3"/>
  <c r="E78" i="3"/>
  <c r="O78" i="3"/>
  <c r="J158" i="3"/>
  <c r="E158" i="3"/>
  <c r="O97" i="3"/>
  <c r="T185" i="3"/>
  <c r="T280" i="3"/>
  <c r="T143" i="3"/>
  <c r="T250" i="3"/>
  <c r="E250" i="3"/>
  <c r="J250" i="3"/>
  <c r="O250" i="3"/>
  <c r="J115" i="3"/>
  <c r="J212" i="3"/>
  <c r="T212" i="3"/>
  <c r="E212" i="3"/>
  <c r="E184" i="3"/>
  <c r="T184" i="3"/>
  <c r="J184" i="3"/>
  <c r="O241" i="3"/>
  <c r="E258" i="3"/>
  <c r="O258" i="3"/>
  <c r="J258" i="3"/>
  <c r="T258" i="3"/>
  <c r="T215" i="3"/>
  <c r="T141" i="3"/>
  <c r="J188" i="3"/>
  <c r="T245" i="3"/>
  <c r="T129" i="3"/>
  <c r="J126" i="3"/>
  <c r="E126" i="3"/>
  <c r="T126" i="3"/>
  <c r="E196" i="3"/>
  <c r="T252" i="3"/>
  <c r="E252" i="3"/>
  <c r="O252" i="3"/>
  <c r="J252" i="3"/>
  <c r="E154" i="3"/>
  <c r="T137" i="3"/>
  <c r="J92" i="3"/>
  <c r="E92" i="3"/>
  <c r="T56" i="3"/>
  <c r="J61" i="3"/>
  <c r="E61" i="3"/>
  <c r="O61" i="3"/>
  <c r="E225" i="3"/>
  <c r="E240" i="3"/>
  <c r="O182" i="3"/>
  <c r="O216" i="3"/>
  <c r="J216" i="3"/>
  <c r="T216" i="3"/>
  <c r="E216" i="3"/>
  <c r="O93" i="3"/>
  <c r="T65" i="3"/>
  <c r="O260" i="3"/>
  <c r="T138" i="3"/>
  <c r="J138" i="3"/>
  <c r="O139" i="3"/>
  <c r="O230" i="3"/>
  <c r="J55" i="3"/>
  <c r="E55" i="3"/>
  <c r="O55" i="3"/>
  <c r="T171" i="3"/>
  <c r="T271" i="3"/>
  <c r="T78" i="3"/>
  <c r="J64" i="3"/>
  <c r="J97" i="3"/>
  <c r="E153" i="3"/>
  <c r="O185" i="3"/>
  <c r="J111" i="3"/>
  <c r="O143" i="3"/>
  <c r="E91" i="3"/>
  <c r="J91" i="3"/>
  <c r="O91" i="3"/>
  <c r="E255" i="3"/>
  <c r="T115" i="3"/>
  <c r="O238" i="3"/>
  <c r="T238" i="3"/>
  <c r="J238" i="3"/>
  <c r="E238" i="3"/>
  <c r="O147" i="3"/>
  <c r="J147" i="3"/>
  <c r="E254" i="3"/>
  <c r="J254" i="3"/>
  <c r="T116" i="3"/>
  <c r="T211" i="3"/>
  <c r="O211" i="3"/>
  <c r="E211" i="3"/>
  <c r="J211" i="3"/>
  <c r="T152" i="3"/>
  <c r="E209" i="3"/>
  <c r="J241" i="3"/>
  <c r="E151" i="3"/>
  <c r="O151" i="3"/>
  <c r="T151" i="3"/>
  <c r="E215" i="3"/>
  <c r="J70" i="3"/>
  <c r="E70" i="3"/>
  <c r="O70" i="3"/>
  <c r="E141" i="3"/>
  <c r="E165" i="3"/>
  <c r="T165" i="3"/>
  <c r="J165" i="3"/>
  <c r="O245" i="3"/>
  <c r="J246" i="3"/>
  <c r="J71" i="3"/>
  <c r="E71" i="3"/>
  <c r="O71" i="3"/>
  <c r="E270" i="3"/>
  <c r="J129" i="3"/>
  <c r="J113" i="3"/>
  <c r="T85" i="3"/>
  <c r="E201" i="3"/>
  <c r="J269" i="3"/>
  <c r="E269" i="3"/>
  <c r="O269" i="3"/>
  <c r="O191" i="3"/>
  <c r="T274" i="3"/>
  <c r="E274" i="3"/>
  <c r="O274" i="3"/>
  <c r="J274" i="3"/>
  <c r="E150" i="3"/>
  <c r="T150" i="3"/>
  <c r="O150" i="3"/>
  <c r="O196" i="3"/>
  <c r="O221" i="3"/>
  <c r="J268" i="3"/>
  <c r="T268" i="3"/>
  <c r="E268" i="3"/>
  <c r="J224" i="3"/>
  <c r="T267" i="3"/>
  <c r="J79" i="3"/>
  <c r="E79" i="3"/>
  <c r="O79" i="3"/>
  <c r="E195" i="3"/>
  <c r="E137" i="3"/>
  <c r="F42" i="4" l="1"/>
  <c r="H42" i="4"/>
  <c r="B31" i="4"/>
  <c r="B41" i="4"/>
  <c r="J21" i="4"/>
  <c r="J31" i="4"/>
  <c r="F21" i="4"/>
  <c r="F31" i="4"/>
  <c r="F32" i="4"/>
  <c r="H32" i="4"/>
  <c r="B21" i="4"/>
  <c r="F22" i="4"/>
  <c r="H22" i="4"/>
  <c r="F11" i="4"/>
  <c r="J11" i="4"/>
  <c r="H12" i="4"/>
  <c r="F12" i="4"/>
  <c r="B1" i="4"/>
  <c r="B11" i="4"/>
  <c r="J41" i="3"/>
  <c r="O33" i="3"/>
  <c r="F1" i="4"/>
  <c r="J1" i="4"/>
  <c r="V7" i="3"/>
  <c r="P6" i="3"/>
  <c r="U6" i="3"/>
  <c r="Q7" i="3"/>
  <c r="J32" i="3"/>
  <c r="O46" i="3"/>
  <c r="O41" i="3"/>
  <c r="J46" i="3"/>
  <c r="L7" i="3"/>
  <c r="J36" i="3"/>
  <c r="O40" i="3"/>
  <c r="J40" i="3"/>
  <c r="F6" i="3"/>
  <c r="K6" i="3"/>
  <c r="O36" i="3"/>
  <c r="AB28" i="2"/>
  <c r="AC28" i="2" s="1"/>
  <c r="T28" i="3" s="1"/>
  <c r="O45" i="3"/>
  <c r="J45" i="3"/>
  <c r="G7" i="3"/>
  <c r="O39" i="3"/>
  <c r="O35" i="3"/>
  <c r="O31" i="3"/>
  <c r="J39" i="3"/>
  <c r="J35" i="3"/>
  <c r="J31" i="3"/>
  <c r="J43" i="3"/>
  <c r="AB27" i="2"/>
  <c r="AC27" i="2" s="1"/>
  <c r="T27" i="3" s="1"/>
  <c r="O43" i="3"/>
  <c r="J34" i="3"/>
  <c r="O37" i="3"/>
  <c r="J33" i="3"/>
  <c r="J37" i="3"/>
  <c r="J42" i="3"/>
  <c r="O34" i="3"/>
  <c r="O42" i="3"/>
  <c r="J38" i="3"/>
  <c r="O38" i="3"/>
  <c r="AB30" i="2"/>
  <c r="AC30" i="2" s="1"/>
  <c r="T30" i="3" s="1"/>
  <c r="O29" i="3"/>
  <c r="J29" i="3"/>
  <c r="J26" i="3"/>
  <c r="AB24" i="2"/>
  <c r="AC24" i="2" s="1"/>
  <c r="T24" i="3" s="1"/>
  <c r="O26" i="3"/>
  <c r="AC26" i="2"/>
  <c r="T26" i="3" s="1"/>
  <c r="AB25" i="2"/>
  <c r="J25" i="3"/>
  <c r="AB23" i="2"/>
  <c r="J23" i="3"/>
  <c r="AB22" i="2"/>
  <c r="J22" i="3"/>
  <c r="AB21" i="2"/>
  <c r="O21" i="3" s="1"/>
  <c r="J21" i="3"/>
  <c r="AB20" i="2"/>
  <c r="AB18" i="2"/>
  <c r="AB17" i="2"/>
  <c r="AB14" i="2"/>
  <c r="AB15" i="2"/>
  <c r="O15" i="3" s="1"/>
  <c r="AB13" i="2"/>
  <c r="O13" i="3" s="1"/>
  <c r="AB12" i="2"/>
  <c r="AB11" i="2"/>
  <c r="O11" i="3" s="1"/>
  <c r="AB16" i="2"/>
  <c r="AB5" i="2"/>
  <c r="O5" i="3" s="1"/>
  <c r="AB4" i="2"/>
  <c r="O4" i="3" s="1"/>
  <c r="AB3" i="2"/>
  <c r="O3" i="3" s="1"/>
  <c r="AB7" i="2"/>
  <c r="O7" i="3" s="1"/>
  <c r="AB9" i="2"/>
  <c r="O9" i="3" s="1"/>
  <c r="AB10" i="2"/>
  <c r="O10" i="3" s="1"/>
  <c r="AB6" i="2"/>
  <c r="O6" i="3" s="1"/>
  <c r="AB19" i="2"/>
  <c r="O19" i="3" s="1"/>
  <c r="I46" i="3"/>
  <c r="AB8" i="2"/>
  <c r="O8" i="3" s="1"/>
  <c r="AB2" i="2"/>
  <c r="O2" i="3" s="1"/>
  <c r="F2" i="4"/>
  <c r="AJ56" i="2"/>
  <c r="S56" i="3" s="1"/>
  <c r="I50" i="3"/>
  <c r="AJ61" i="2"/>
  <c r="S61" i="3" s="1"/>
  <c r="N53" i="3"/>
  <c r="S53" i="3"/>
  <c r="AJ51" i="2"/>
  <c r="I54" i="3"/>
  <c r="I47" i="3"/>
  <c r="AJ65" i="2"/>
  <c r="S65" i="3" s="1"/>
  <c r="AJ59" i="2"/>
  <c r="AJ67" i="2"/>
  <c r="S67" i="3" s="1"/>
  <c r="AJ63" i="2"/>
  <c r="S63" i="3" s="1"/>
  <c r="AJ57" i="2"/>
  <c r="S57" i="3" s="1"/>
  <c r="I60" i="3"/>
  <c r="I44" i="3"/>
  <c r="I48" i="3"/>
  <c r="AJ55" i="2"/>
  <c r="S55" i="3" s="1"/>
  <c r="I53" i="3"/>
  <c r="I49" i="3"/>
  <c r="AG52" i="2"/>
  <c r="AH52" i="2" s="1"/>
  <c r="I45" i="3"/>
  <c r="AI59" i="2"/>
  <c r="S59" i="3" s="1"/>
  <c r="AG54" i="2"/>
  <c r="AI54" i="2" s="1"/>
  <c r="N59" i="3"/>
  <c r="N29" i="3"/>
  <c r="AH60" i="2"/>
  <c r="AI60" i="2"/>
  <c r="AI58" i="2"/>
  <c r="N58" i="3"/>
  <c r="AH58" i="2"/>
  <c r="AG50" i="2"/>
  <c r="AH50" i="2" s="1"/>
  <c r="N51" i="3"/>
  <c r="AI51" i="2"/>
  <c r="S51" i="3" s="1"/>
  <c r="I58" i="3"/>
  <c r="N41" i="3"/>
  <c r="N32" i="3"/>
  <c r="J44" i="3"/>
  <c r="O44" i="3"/>
  <c r="N26" i="3"/>
  <c r="N40" i="3"/>
  <c r="N43" i="3"/>
  <c r="AI44" i="2"/>
  <c r="N44" i="3" s="1"/>
  <c r="M44" i="3"/>
  <c r="D43" i="3"/>
  <c r="AG46" i="2"/>
  <c r="AH46" i="2" s="1"/>
  <c r="AI49" i="2"/>
  <c r="N49" i="3" s="1"/>
  <c r="AH49" i="2"/>
  <c r="AI47" i="2"/>
  <c r="N47" i="3" s="1"/>
  <c r="AH47" i="2"/>
  <c r="AI48" i="2"/>
  <c r="N48" i="3" s="1"/>
  <c r="AH48" i="2"/>
  <c r="AG28" i="2"/>
  <c r="I28" i="3"/>
  <c r="AI14" i="2"/>
  <c r="N14" i="3" s="1"/>
  <c r="AH14" i="2"/>
  <c r="AI31" i="2"/>
  <c r="N31" i="3" s="1"/>
  <c r="AH31" i="2"/>
  <c r="AI34" i="2"/>
  <c r="N34" i="3" s="1"/>
  <c r="AH34" i="2"/>
  <c r="AI29" i="2"/>
  <c r="AH29" i="2"/>
  <c r="AI5" i="2"/>
  <c r="N5" i="3" s="1"/>
  <c r="AH5" i="2"/>
  <c r="AG25" i="2"/>
  <c r="I25" i="3"/>
  <c r="AI33" i="2"/>
  <c r="N33" i="3" s="1"/>
  <c r="AH33" i="2"/>
  <c r="AG6" i="2"/>
  <c r="I6" i="3"/>
  <c r="AG27" i="2"/>
  <c r="I27" i="3"/>
  <c r="AI43" i="2"/>
  <c r="AH43" i="2"/>
  <c r="AH32" i="2"/>
  <c r="AI32" i="2"/>
  <c r="AI45" i="2"/>
  <c r="N45" i="3" s="1"/>
  <c r="AH45" i="2"/>
  <c r="AI19" i="2"/>
  <c r="N19" i="3" s="1"/>
  <c r="AH19" i="2"/>
  <c r="AI21" i="2"/>
  <c r="N21" i="3" s="1"/>
  <c r="AH21" i="2"/>
  <c r="AI36" i="2"/>
  <c r="N36" i="3" s="1"/>
  <c r="AH36" i="2"/>
  <c r="AI15" i="2"/>
  <c r="N15" i="3" s="1"/>
  <c r="AH15" i="2"/>
  <c r="AH44" i="2"/>
  <c r="AI38" i="2"/>
  <c r="N38" i="3" s="1"/>
  <c r="AH38" i="2"/>
  <c r="AI13" i="2"/>
  <c r="N13" i="3" s="1"/>
  <c r="AH13" i="2"/>
  <c r="AI40" i="2"/>
  <c r="AH40" i="2"/>
  <c r="AH35" i="2"/>
  <c r="AI35" i="2"/>
  <c r="N35" i="3" s="1"/>
  <c r="AG23" i="2"/>
  <c r="I23" i="3"/>
  <c r="AG18" i="2"/>
  <c r="I18" i="3"/>
  <c r="AI41" i="2"/>
  <c r="AH41" i="2"/>
  <c r="AG20" i="2"/>
  <c r="I20" i="3"/>
  <c r="AI30" i="2"/>
  <c r="N30" i="3" s="1"/>
  <c r="AH30" i="2"/>
  <c r="AI16" i="2"/>
  <c r="N16" i="3" s="1"/>
  <c r="AH16" i="2"/>
  <c r="AH26" i="2"/>
  <c r="AI26" i="2"/>
  <c r="AG12" i="2"/>
  <c r="I12" i="3"/>
  <c r="AG17" i="2"/>
  <c r="I17" i="3"/>
  <c r="AI7" i="2"/>
  <c r="N7" i="3" s="1"/>
  <c r="AH7" i="2"/>
  <c r="AI24" i="2"/>
  <c r="N24" i="3" s="1"/>
  <c r="AH24" i="2"/>
  <c r="AI10" i="2"/>
  <c r="N10" i="3" s="1"/>
  <c r="AH10" i="2"/>
  <c r="AG9" i="2"/>
  <c r="I9" i="3"/>
  <c r="AI4" i="2"/>
  <c r="N4" i="3" s="1"/>
  <c r="AH4" i="2"/>
  <c r="AG11" i="2"/>
  <c r="I11" i="3"/>
  <c r="AI3" i="2"/>
  <c r="N3" i="3" s="1"/>
  <c r="AH3" i="2"/>
  <c r="AI37" i="2"/>
  <c r="N37" i="3" s="1"/>
  <c r="AH37" i="2"/>
  <c r="AI42" i="2"/>
  <c r="N42" i="3" s="1"/>
  <c r="AH42" i="2"/>
  <c r="AI39" i="2"/>
  <c r="N39" i="3" s="1"/>
  <c r="AH39" i="2"/>
  <c r="AI22" i="2"/>
  <c r="N22" i="3" s="1"/>
  <c r="AH22" i="2"/>
  <c r="AG8" i="2"/>
  <c r="I8" i="3"/>
  <c r="AH2" i="2"/>
  <c r="S2" i="3" s="1"/>
  <c r="N41" i="4" s="1"/>
  <c r="O32" i="3"/>
  <c r="O64" i="3"/>
  <c r="T64" i="3"/>
  <c r="S22" i="3" l="1"/>
  <c r="S34" i="3"/>
  <c r="S43" i="3"/>
  <c r="N23" i="3"/>
  <c r="N27" i="3"/>
  <c r="L42" i="4"/>
  <c r="J42" i="4"/>
  <c r="L32" i="4"/>
  <c r="J32" i="4"/>
  <c r="N21" i="4"/>
  <c r="N31" i="4"/>
  <c r="L22" i="4"/>
  <c r="J22" i="4"/>
  <c r="N11" i="4"/>
  <c r="L12" i="4"/>
  <c r="J12" i="4"/>
  <c r="O24" i="3"/>
  <c r="N1" i="4"/>
  <c r="AC17" i="2"/>
  <c r="T17" i="3" s="1"/>
  <c r="O17" i="3"/>
  <c r="AC18" i="2"/>
  <c r="T18" i="3" s="1"/>
  <c r="O18" i="3"/>
  <c r="AC12" i="2"/>
  <c r="T12" i="3" s="1"/>
  <c r="O12" i="3"/>
  <c r="AC16" i="2"/>
  <c r="T16" i="3" s="1"/>
  <c r="O16" i="3"/>
  <c r="AC20" i="2"/>
  <c r="T20" i="3" s="1"/>
  <c r="O20" i="3"/>
  <c r="AC14" i="2"/>
  <c r="T14" i="3" s="1"/>
  <c r="O14" i="3"/>
  <c r="AC11" i="2"/>
  <c r="T11" i="3" s="1"/>
  <c r="AC8" i="2"/>
  <c r="T8" i="3" s="1"/>
  <c r="AC7" i="2"/>
  <c r="T7" i="3" s="1"/>
  <c r="AC6" i="2"/>
  <c r="T6" i="3" s="1"/>
  <c r="AC5" i="2"/>
  <c r="T5" i="3" s="1"/>
  <c r="AC4" i="2"/>
  <c r="T4" i="3" s="1"/>
  <c r="AC3" i="2"/>
  <c r="T3" i="3" s="1"/>
  <c r="H2" i="4"/>
  <c r="V8" i="3"/>
  <c r="P7" i="3"/>
  <c r="U7" i="3"/>
  <c r="Q8" i="3"/>
  <c r="L8" i="3"/>
  <c r="O28" i="3"/>
  <c r="F7" i="3"/>
  <c r="K7" i="3"/>
  <c r="G8" i="3"/>
  <c r="O27" i="3"/>
  <c r="O30" i="3"/>
  <c r="AC15" i="2"/>
  <c r="T15" i="3" s="1"/>
  <c r="AC25" i="2"/>
  <c r="T25" i="3" s="1"/>
  <c r="O25" i="3"/>
  <c r="AC21" i="2"/>
  <c r="T21" i="3" s="1"/>
  <c r="AC23" i="2"/>
  <c r="T23" i="3" s="1"/>
  <c r="O23" i="3"/>
  <c r="AC22" i="2"/>
  <c r="T22" i="3" s="1"/>
  <c r="O22" i="3"/>
  <c r="AC13" i="2"/>
  <c r="T13" i="3" s="1"/>
  <c r="AC19" i="2"/>
  <c r="T19" i="3" s="1"/>
  <c r="AC9" i="2"/>
  <c r="T9" i="3" s="1"/>
  <c r="AC10" i="2"/>
  <c r="T10" i="3" s="1"/>
  <c r="AC2" i="2"/>
  <c r="T2" i="3" s="1"/>
  <c r="N52" i="3"/>
  <c r="AI52" i="2"/>
  <c r="AJ52" i="2"/>
  <c r="S52" i="3" s="1"/>
  <c r="AJ50" i="2"/>
  <c r="S50" i="3" s="1"/>
  <c r="AJ58" i="2"/>
  <c r="S58" i="3" s="1"/>
  <c r="AJ60" i="2"/>
  <c r="S60" i="3" s="1"/>
  <c r="AH54" i="2"/>
  <c r="N54" i="3"/>
  <c r="N50" i="3"/>
  <c r="AI50" i="2"/>
  <c r="AJ46" i="2"/>
  <c r="AJ49" i="2"/>
  <c r="S49" i="3" s="1"/>
  <c r="AJ48" i="2"/>
  <c r="S48" i="3" s="1"/>
  <c r="AJ47" i="2"/>
  <c r="S47" i="3" s="1"/>
  <c r="AI46" i="2"/>
  <c r="N46" i="3" s="1"/>
  <c r="AJ44" i="2"/>
  <c r="S44" i="3" s="1"/>
  <c r="AJ39" i="2"/>
  <c r="S39" i="3" s="1"/>
  <c r="AJ13" i="2"/>
  <c r="S13" i="3" s="1"/>
  <c r="AJ31" i="2"/>
  <c r="S31" i="3" s="1"/>
  <c r="AJ3" i="2"/>
  <c r="S3" i="3" s="1"/>
  <c r="AJ7" i="2"/>
  <c r="S7" i="3" s="1"/>
  <c r="AJ26" i="2"/>
  <c r="S26" i="3" s="1"/>
  <c r="AI23" i="2"/>
  <c r="AH23" i="2"/>
  <c r="AJ15" i="2"/>
  <c r="S15" i="3" s="1"/>
  <c r="AJ32" i="2"/>
  <c r="S32" i="3" s="1"/>
  <c r="AI6" i="2"/>
  <c r="N6" i="3" s="1"/>
  <c r="AH6" i="2"/>
  <c r="AJ29" i="2"/>
  <c r="S29" i="3" s="1"/>
  <c r="AJ10" i="2"/>
  <c r="S10" i="3" s="1"/>
  <c r="AJ16" i="2"/>
  <c r="S16" i="3" s="1"/>
  <c r="AJ41" i="2"/>
  <c r="S41" i="3" s="1"/>
  <c r="AJ35" i="2"/>
  <c r="S35" i="3" s="1"/>
  <c r="AJ38" i="2"/>
  <c r="S38" i="3" s="1"/>
  <c r="AJ43" i="2"/>
  <c r="AJ14" i="2"/>
  <c r="S14" i="3" s="1"/>
  <c r="AJ19" i="2"/>
  <c r="S19" i="3" s="1"/>
  <c r="AJ33" i="2"/>
  <c r="S33" i="3" s="1"/>
  <c r="AJ42" i="2"/>
  <c r="S42" i="3" s="1"/>
  <c r="AI8" i="2"/>
  <c r="N8" i="3" s="1"/>
  <c r="AH8" i="2"/>
  <c r="AJ36" i="2"/>
  <c r="S36" i="3" s="1"/>
  <c r="AJ22" i="2"/>
  <c r="AI11" i="2"/>
  <c r="N11" i="3" s="1"/>
  <c r="AH11" i="2"/>
  <c r="AI17" i="2"/>
  <c r="N17" i="3" s="1"/>
  <c r="AH17" i="2"/>
  <c r="AJ40" i="2"/>
  <c r="S40" i="3" s="1"/>
  <c r="AJ45" i="2"/>
  <c r="S45" i="3" s="1"/>
  <c r="AJ34" i="2"/>
  <c r="AI9" i="2"/>
  <c r="N9" i="3" s="1"/>
  <c r="AH9" i="2"/>
  <c r="AJ37" i="2"/>
  <c r="S37" i="3" s="1"/>
  <c r="AJ4" i="2"/>
  <c r="S4" i="3" s="1"/>
  <c r="AJ24" i="2"/>
  <c r="S24" i="3" s="1"/>
  <c r="AJ30" i="2"/>
  <c r="S30" i="3" s="1"/>
  <c r="AI25" i="2"/>
  <c r="N25" i="3" s="1"/>
  <c r="AH25" i="2"/>
  <c r="AI20" i="2"/>
  <c r="N20" i="3" s="1"/>
  <c r="AH20" i="2"/>
  <c r="AI12" i="2"/>
  <c r="N12" i="3" s="1"/>
  <c r="AH12" i="2"/>
  <c r="AI18" i="2"/>
  <c r="N18" i="3" s="1"/>
  <c r="AH18" i="2"/>
  <c r="AJ21" i="2"/>
  <c r="S21" i="3" s="1"/>
  <c r="AI27" i="2"/>
  <c r="AH27" i="2"/>
  <c r="AJ5" i="2"/>
  <c r="S5" i="3" s="1"/>
  <c r="AI28" i="2"/>
  <c r="N28" i="3" s="1"/>
  <c r="AH28" i="2"/>
  <c r="S46" i="3" l="1"/>
  <c r="S8" i="3"/>
  <c r="S11" i="3"/>
  <c r="P42" i="4"/>
  <c r="N42" i="4"/>
  <c r="P32" i="4"/>
  <c r="N32" i="4"/>
  <c r="P22" i="4"/>
  <c r="N22" i="4"/>
  <c r="P12" i="4"/>
  <c r="N12" i="4"/>
  <c r="P2" i="4"/>
  <c r="N2" i="4"/>
  <c r="L2" i="4"/>
  <c r="J2" i="4"/>
  <c r="V9" i="3"/>
  <c r="P8" i="3"/>
  <c r="U8" i="3"/>
  <c r="Q9" i="3"/>
  <c r="L9" i="3"/>
  <c r="F8" i="3"/>
  <c r="K8" i="3"/>
  <c r="G9" i="3"/>
  <c r="AJ54" i="2"/>
  <c r="S54" i="3"/>
  <c r="AJ6" i="2"/>
  <c r="S6" i="3" s="1"/>
  <c r="AJ18" i="2"/>
  <c r="S18" i="3" s="1"/>
  <c r="AJ25" i="2"/>
  <c r="S25" i="3" s="1"/>
  <c r="AJ8" i="2"/>
  <c r="AJ23" i="2"/>
  <c r="S23" i="3" s="1"/>
  <c r="AJ12" i="2"/>
  <c r="S12" i="3" s="1"/>
  <c r="AJ11" i="2"/>
  <c r="AJ27" i="2"/>
  <c r="S27" i="3" s="1"/>
  <c r="AJ20" i="2"/>
  <c r="S20" i="3" s="1"/>
  <c r="AJ9" i="2"/>
  <c r="S9" i="3" s="1"/>
  <c r="AJ28" i="2"/>
  <c r="S28" i="3" s="1"/>
  <c r="AJ17" i="2"/>
  <c r="S17" i="3" s="1"/>
  <c r="V94" i="3" l="1"/>
  <c r="V93" i="3"/>
  <c r="V92" i="3"/>
  <c r="V91" i="3"/>
  <c r="V90" i="3"/>
  <c r="V89" i="3"/>
  <c r="V88" i="3"/>
  <c r="V87" i="3"/>
  <c r="V86" i="3"/>
  <c r="V85" i="3"/>
  <c r="V84" i="3"/>
  <c r="V83" i="3"/>
  <c r="V82" i="3"/>
  <c r="V81" i="3"/>
  <c r="V80" i="3"/>
  <c r="V79" i="3"/>
  <c r="V78" i="3"/>
  <c r="V77" i="3"/>
  <c r="V76" i="3"/>
  <c r="V75" i="3"/>
  <c r="V74" i="3"/>
  <c r="V73" i="3"/>
  <c r="V72" i="3"/>
  <c r="V71" i="3"/>
  <c r="V70" i="3"/>
  <c r="V69" i="3"/>
  <c r="V68" i="3"/>
  <c r="V67" i="3"/>
  <c r="V66" i="3"/>
  <c r="V65" i="3"/>
  <c r="V64" i="3"/>
  <c r="V63" i="3"/>
  <c r="V62" i="3"/>
  <c r="V61" i="3"/>
  <c r="V60" i="3"/>
  <c r="V59" i="3"/>
  <c r="V58" i="3"/>
  <c r="V57" i="3"/>
  <c r="V56" i="3"/>
  <c r="V55" i="3"/>
  <c r="V54" i="3"/>
  <c r="V53" i="3"/>
  <c r="V52" i="3"/>
  <c r="V51" i="3"/>
  <c r="V50" i="3"/>
  <c r="V49" i="3"/>
  <c r="V48" i="3"/>
  <c r="V47" i="3"/>
  <c r="V46" i="3"/>
  <c r="V45" i="3"/>
  <c r="V44" i="3"/>
  <c r="V43" i="3"/>
  <c r="V42" i="3"/>
  <c r="V41" i="3"/>
  <c r="V40" i="3"/>
  <c r="V39" i="3"/>
  <c r="V38" i="3"/>
  <c r="V37" i="3"/>
  <c r="V36" i="3"/>
  <c r="V35" i="3"/>
  <c r="V34" i="3"/>
  <c r="V33" i="3"/>
  <c r="V32" i="3"/>
  <c r="V31" i="3"/>
  <c r="V30" i="3"/>
  <c r="V29" i="3"/>
  <c r="V28" i="3"/>
  <c r="V27" i="3"/>
  <c r="V26" i="3"/>
  <c r="V25" i="3"/>
  <c r="V24" i="3"/>
  <c r="V23" i="3"/>
  <c r="V22" i="3"/>
  <c r="V21" i="3"/>
  <c r="V20" i="3"/>
  <c r="V19" i="3"/>
  <c r="V18" i="3"/>
  <c r="V17" i="3"/>
  <c r="V16" i="3"/>
  <c r="V15" i="3"/>
  <c r="V14" i="3"/>
  <c r="V13" i="3"/>
  <c r="V12" i="3"/>
  <c r="V11" i="3"/>
  <c r="V10" i="3"/>
  <c r="P9" i="3"/>
  <c r="U9" i="3"/>
  <c r="Q95" i="3"/>
  <c r="Q94" i="3"/>
  <c r="Q93" i="3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F9" i="3"/>
  <c r="K9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P95" i="3"/>
  <c r="U94" i="3"/>
  <c r="P15" i="3" l="1"/>
  <c r="U15" i="3"/>
  <c r="P16" i="3"/>
  <c r="U16" i="3"/>
  <c r="P40" i="3"/>
  <c r="U40" i="3"/>
  <c r="P72" i="3"/>
  <c r="U72" i="3"/>
  <c r="P17" i="3"/>
  <c r="U17" i="3"/>
  <c r="P25" i="3"/>
  <c r="U25" i="3"/>
  <c r="P33" i="3"/>
  <c r="U33" i="3"/>
  <c r="P41" i="3"/>
  <c r="U41" i="3"/>
  <c r="P49" i="3"/>
  <c r="U49" i="3"/>
  <c r="P57" i="3"/>
  <c r="U57" i="3"/>
  <c r="P65" i="3"/>
  <c r="U65" i="3"/>
  <c r="P73" i="3"/>
  <c r="U73" i="3"/>
  <c r="P81" i="3"/>
  <c r="U81" i="3"/>
  <c r="P89" i="3"/>
  <c r="U89" i="3"/>
  <c r="P23" i="3"/>
  <c r="U23" i="3"/>
  <c r="P24" i="3"/>
  <c r="U24" i="3"/>
  <c r="P64" i="3"/>
  <c r="U64" i="3"/>
  <c r="P88" i="3"/>
  <c r="U88" i="3"/>
  <c r="P26" i="3"/>
  <c r="U26" i="3"/>
  <c r="P74" i="3"/>
  <c r="U74" i="3"/>
  <c r="P10" i="3"/>
  <c r="U10" i="3"/>
  <c r="P50" i="3"/>
  <c r="U50" i="3"/>
  <c r="P82" i="3"/>
  <c r="U82" i="3"/>
  <c r="P11" i="3"/>
  <c r="U11" i="3"/>
  <c r="P27" i="3"/>
  <c r="U27" i="3"/>
  <c r="P43" i="3"/>
  <c r="U43" i="3"/>
  <c r="P59" i="3"/>
  <c r="U59" i="3"/>
  <c r="P83" i="3"/>
  <c r="U83" i="3"/>
  <c r="P31" i="3"/>
  <c r="U31" i="3"/>
  <c r="P48" i="3"/>
  <c r="U48" i="3"/>
  <c r="P34" i="3"/>
  <c r="U34" i="3"/>
  <c r="P58" i="3"/>
  <c r="U58" i="3"/>
  <c r="P90" i="3"/>
  <c r="U90" i="3"/>
  <c r="P19" i="3"/>
  <c r="U19" i="3"/>
  <c r="P35" i="3"/>
  <c r="U35" i="3"/>
  <c r="P51" i="3"/>
  <c r="U51" i="3"/>
  <c r="P67" i="3"/>
  <c r="U67" i="3"/>
  <c r="P75" i="3"/>
  <c r="U75" i="3"/>
  <c r="P91" i="3"/>
  <c r="U91" i="3"/>
  <c r="P12" i="3"/>
  <c r="U12" i="3"/>
  <c r="P20" i="3"/>
  <c r="U20" i="3"/>
  <c r="P28" i="3"/>
  <c r="U28" i="3"/>
  <c r="P36" i="3"/>
  <c r="U36" i="3"/>
  <c r="P44" i="3"/>
  <c r="U44" i="3"/>
  <c r="P52" i="3"/>
  <c r="U52" i="3"/>
  <c r="P60" i="3"/>
  <c r="U60" i="3"/>
  <c r="P68" i="3"/>
  <c r="U68" i="3"/>
  <c r="P76" i="3"/>
  <c r="U76" i="3"/>
  <c r="P84" i="3"/>
  <c r="U84" i="3"/>
  <c r="P92" i="3"/>
  <c r="U92" i="3"/>
  <c r="P18" i="3"/>
  <c r="U18" i="3"/>
  <c r="P42" i="3"/>
  <c r="U42" i="3"/>
  <c r="P66" i="3"/>
  <c r="U66" i="3"/>
  <c r="P13" i="3"/>
  <c r="U13" i="3"/>
  <c r="P21" i="3"/>
  <c r="U21" i="3"/>
  <c r="P29" i="3"/>
  <c r="U29" i="3"/>
  <c r="P37" i="3"/>
  <c r="U37" i="3"/>
  <c r="P45" i="3"/>
  <c r="U45" i="3"/>
  <c r="P53" i="3"/>
  <c r="U53" i="3"/>
  <c r="P61" i="3"/>
  <c r="U61" i="3"/>
  <c r="P69" i="3"/>
  <c r="U69" i="3"/>
  <c r="P77" i="3"/>
  <c r="U77" i="3"/>
  <c r="P85" i="3"/>
  <c r="U85" i="3"/>
  <c r="P93" i="3"/>
  <c r="U93" i="3"/>
  <c r="P47" i="3"/>
  <c r="U47" i="3"/>
  <c r="P32" i="3"/>
  <c r="U32" i="3"/>
  <c r="P56" i="3"/>
  <c r="U56" i="3"/>
  <c r="P80" i="3"/>
  <c r="U80" i="3"/>
  <c r="P14" i="3"/>
  <c r="U14" i="3"/>
  <c r="P22" i="3"/>
  <c r="U22" i="3"/>
  <c r="P30" i="3"/>
  <c r="U30" i="3"/>
  <c r="P38" i="3"/>
  <c r="U38" i="3"/>
  <c r="P46" i="3"/>
  <c r="U46" i="3"/>
  <c r="P54" i="3"/>
  <c r="U54" i="3"/>
  <c r="P62" i="3"/>
  <c r="U62" i="3"/>
  <c r="P70" i="3"/>
  <c r="U70" i="3"/>
  <c r="P78" i="3"/>
  <c r="U78" i="3"/>
  <c r="P86" i="3"/>
  <c r="U86" i="3"/>
  <c r="P39" i="3"/>
  <c r="U39" i="3"/>
  <c r="P55" i="3"/>
  <c r="U55" i="3"/>
  <c r="P63" i="3"/>
  <c r="U63" i="3"/>
  <c r="P71" i="3"/>
  <c r="U71" i="3"/>
  <c r="P79" i="3"/>
  <c r="U79" i="3"/>
  <c r="P87" i="3"/>
  <c r="U87" i="3"/>
  <c r="K94" i="3"/>
  <c r="P94" i="3"/>
  <c r="F27" i="3"/>
  <c r="K27" i="3"/>
  <c r="F51" i="3"/>
  <c r="K51" i="3"/>
  <c r="F91" i="3"/>
  <c r="K91" i="3"/>
  <c r="F20" i="3"/>
  <c r="K20" i="3"/>
  <c r="F44" i="3"/>
  <c r="K44" i="3"/>
  <c r="F76" i="3"/>
  <c r="K76" i="3"/>
  <c r="F92" i="3"/>
  <c r="K92" i="3"/>
  <c r="F21" i="3"/>
  <c r="K21" i="3"/>
  <c r="F29" i="3"/>
  <c r="K29" i="3"/>
  <c r="F37" i="3"/>
  <c r="K37" i="3"/>
  <c r="F45" i="3"/>
  <c r="K45" i="3"/>
  <c r="F53" i="3"/>
  <c r="K53" i="3"/>
  <c r="F61" i="3"/>
  <c r="K61" i="3"/>
  <c r="F69" i="3"/>
  <c r="K69" i="3"/>
  <c r="F77" i="3"/>
  <c r="K77" i="3"/>
  <c r="F85" i="3"/>
  <c r="K85" i="3"/>
  <c r="F93" i="3"/>
  <c r="K93" i="3"/>
  <c r="F35" i="3"/>
  <c r="K35" i="3"/>
  <c r="F67" i="3"/>
  <c r="K67" i="3"/>
  <c r="F68" i="3"/>
  <c r="K68" i="3"/>
  <c r="F38" i="3"/>
  <c r="K38" i="3"/>
  <c r="F70" i="3"/>
  <c r="K70" i="3"/>
  <c r="F83" i="3"/>
  <c r="K83" i="3"/>
  <c r="F36" i="3"/>
  <c r="K36" i="3"/>
  <c r="F22" i="3"/>
  <c r="K22" i="3"/>
  <c r="F54" i="3"/>
  <c r="K54" i="3"/>
  <c r="F86" i="3"/>
  <c r="K86" i="3"/>
  <c r="F15" i="3"/>
  <c r="K15" i="3"/>
  <c r="F39" i="3"/>
  <c r="K39" i="3"/>
  <c r="F63" i="3"/>
  <c r="K63" i="3"/>
  <c r="F79" i="3"/>
  <c r="K79" i="3"/>
  <c r="F87" i="3"/>
  <c r="K87" i="3"/>
  <c r="F19" i="3"/>
  <c r="K19" i="3"/>
  <c r="F43" i="3"/>
  <c r="K43" i="3"/>
  <c r="F75" i="3"/>
  <c r="K75" i="3"/>
  <c r="F47" i="3"/>
  <c r="K47" i="3"/>
  <c r="F24" i="3"/>
  <c r="K24" i="3"/>
  <c r="F48" i="3"/>
  <c r="K48" i="3"/>
  <c r="F64" i="3"/>
  <c r="K64" i="3"/>
  <c r="F88" i="3"/>
  <c r="K88" i="3"/>
  <c r="F11" i="3"/>
  <c r="K11" i="3"/>
  <c r="F59" i="3"/>
  <c r="K59" i="3"/>
  <c r="F28" i="3"/>
  <c r="K28" i="3"/>
  <c r="F52" i="3"/>
  <c r="K52" i="3"/>
  <c r="F84" i="3"/>
  <c r="K84" i="3"/>
  <c r="F14" i="3"/>
  <c r="K14" i="3"/>
  <c r="F46" i="3"/>
  <c r="K46" i="3"/>
  <c r="F78" i="3"/>
  <c r="K78" i="3"/>
  <c r="F31" i="3"/>
  <c r="K31" i="3"/>
  <c r="F71" i="3"/>
  <c r="K71" i="3"/>
  <c r="F40" i="3"/>
  <c r="K40" i="3"/>
  <c r="F56" i="3"/>
  <c r="K56" i="3"/>
  <c r="F72" i="3"/>
  <c r="K72" i="3"/>
  <c r="F80" i="3"/>
  <c r="K80" i="3"/>
  <c r="F17" i="3"/>
  <c r="K17" i="3"/>
  <c r="F25" i="3"/>
  <c r="K25" i="3"/>
  <c r="F33" i="3"/>
  <c r="K33" i="3"/>
  <c r="F41" i="3"/>
  <c r="K41" i="3"/>
  <c r="F49" i="3"/>
  <c r="K49" i="3"/>
  <c r="F57" i="3"/>
  <c r="K57" i="3"/>
  <c r="F65" i="3"/>
  <c r="K65" i="3"/>
  <c r="F73" i="3"/>
  <c r="K73" i="3"/>
  <c r="F81" i="3"/>
  <c r="K81" i="3"/>
  <c r="F89" i="3"/>
  <c r="K89" i="3"/>
  <c r="F12" i="3"/>
  <c r="K12" i="3"/>
  <c r="F60" i="3"/>
  <c r="K60" i="3"/>
  <c r="F13" i="3"/>
  <c r="K13" i="3"/>
  <c r="F30" i="3"/>
  <c r="K30" i="3"/>
  <c r="F62" i="3"/>
  <c r="K62" i="3"/>
  <c r="F23" i="3"/>
  <c r="K23" i="3"/>
  <c r="F55" i="3"/>
  <c r="K55" i="3"/>
  <c r="F16" i="3"/>
  <c r="K16" i="3"/>
  <c r="F32" i="3"/>
  <c r="K32" i="3"/>
  <c r="F10" i="3"/>
  <c r="K10" i="3"/>
  <c r="F18" i="3"/>
  <c r="K18" i="3"/>
  <c r="F26" i="3"/>
  <c r="K26" i="3"/>
  <c r="F34" i="3"/>
  <c r="K34" i="3"/>
  <c r="F42" i="3"/>
  <c r="K42" i="3"/>
  <c r="F50" i="3"/>
  <c r="K50" i="3"/>
  <c r="F58" i="3"/>
  <c r="K58" i="3"/>
  <c r="F66" i="3"/>
  <c r="K66" i="3"/>
  <c r="F74" i="3"/>
  <c r="K74" i="3"/>
  <c r="F82" i="3"/>
  <c r="K82" i="3"/>
  <c r="F90" i="3"/>
  <c r="K90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<sst xmlns="http://schemas.openxmlformats.org/spreadsheetml/2006/main" count="38" uniqueCount="26">
  <si>
    <t>クライアント名1</t>
    <rPh sb="6" eb="7">
      <t>メイ</t>
    </rPh>
    <phoneticPr fontId="1"/>
  </si>
  <si>
    <t>種類1</t>
    <rPh sb="0" eb="2">
      <t>シュルイ</t>
    </rPh>
    <phoneticPr fontId="1"/>
  </si>
  <si>
    <t>クラス1</t>
    <phoneticPr fontId="1"/>
  </si>
  <si>
    <t>個数1</t>
    <rPh sb="0" eb="2">
      <t>コスウ</t>
    </rPh>
    <phoneticPr fontId="1"/>
  </si>
  <si>
    <t>学年1</t>
    <rPh sb="0" eb="2">
      <t>ガクネン</t>
    </rPh>
    <phoneticPr fontId="1"/>
  </si>
  <si>
    <t>クライアント名2</t>
    <rPh sb="6" eb="7">
      <t>メイ</t>
    </rPh>
    <phoneticPr fontId="1"/>
  </si>
  <si>
    <t>種類2</t>
    <rPh sb="0" eb="2">
      <t>シュルイ</t>
    </rPh>
    <phoneticPr fontId="1"/>
  </si>
  <si>
    <t>クラス2</t>
    <phoneticPr fontId="1"/>
  </si>
  <si>
    <t>個数2</t>
    <rPh sb="0" eb="2">
      <t>コスウ</t>
    </rPh>
    <phoneticPr fontId="1"/>
  </si>
  <si>
    <t>学年2</t>
    <rPh sb="0" eb="2">
      <t>ガクネン</t>
    </rPh>
    <phoneticPr fontId="1"/>
  </si>
  <si>
    <t>クライアント名3</t>
    <rPh sb="6" eb="7">
      <t>メイ</t>
    </rPh>
    <phoneticPr fontId="1"/>
  </si>
  <si>
    <t>種類3</t>
    <rPh sb="0" eb="2">
      <t>シュルイ</t>
    </rPh>
    <phoneticPr fontId="1"/>
  </si>
  <si>
    <t>クラス3</t>
    <phoneticPr fontId="1"/>
  </si>
  <si>
    <t>個数3</t>
    <rPh sb="0" eb="2">
      <t>コスウ</t>
    </rPh>
    <phoneticPr fontId="1"/>
  </si>
  <si>
    <t>学年3</t>
    <rPh sb="0" eb="2">
      <t>ガクネン</t>
    </rPh>
    <phoneticPr fontId="1"/>
  </si>
  <si>
    <t>クライアント名4</t>
    <rPh sb="6" eb="7">
      <t>メイ</t>
    </rPh>
    <phoneticPr fontId="1"/>
  </si>
  <si>
    <t>種類4</t>
    <rPh sb="0" eb="2">
      <t>シュルイ</t>
    </rPh>
    <phoneticPr fontId="1"/>
  </si>
  <si>
    <t>クラス4</t>
    <phoneticPr fontId="1"/>
  </si>
  <si>
    <t>個数4</t>
    <rPh sb="0" eb="2">
      <t>コスウ</t>
    </rPh>
    <phoneticPr fontId="1"/>
  </si>
  <si>
    <t>学年4</t>
    <rPh sb="0" eb="2">
      <t>ガクネン</t>
    </rPh>
    <phoneticPr fontId="1"/>
  </si>
  <si>
    <t>種類の行</t>
    <rPh sb="0" eb="2">
      <t>シュルイ</t>
    </rPh>
    <rPh sb="3" eb="4">
      <t>ギョウ</t>
    </rPh>
    <phoneticPr fontId="1"/>
  </si>
  <si>
    <t>日付・学年の行</t>
    <rPh sb="0" eb="2">
      <t>ヒヅケ</t>
    </rPh>
    <rPh sb="3" eb="5">
      <t>ガクネン</t>
    </rPh>
    <rPh sb="6" eb="7">
      <t>ギョウ</t>
    </rPh>
    <phoneticPr fontId="1"/>
  </si>
  <si>
    <t>日付・学年の行（まとめ）</t>
    <rPh sb="0" eb="2">
      <t>ヒヅケ</t>
    </rPh>
    <rPh sb="3" eb="5">
      <t>ガクネン</t>
    </rPh>
    <rPh sb="6" eb="7">
      <t>ギョウ</t>
    </rPh>
    <phoneticPr fontId="1"/>
  </si>
  <si>
    <t>種類の行（まとめ）</t>
    <rPh sb="0" eb="2">
      <t>シュルイ</t>
    </rPh>
    <rPh sb="3" eb="4">
      <t>ギョウ</t>
    </rPh>
    <phoneticPr fontId="1"/>
  </si>
  <si>
    <t>クライアント名3’</t>
    <rPh sb="6" eb="7">
      <t>メイ</t>
    </rPh>
    <phoneticPr fontId="1"/>
  </si>
  <si>
    <t>クライアント名4’</t>
    <rPh sb="6" eb="7">
      <t>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</si>
</sst>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20"/>
      <color theme="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70" zoomScaleNormal="70" workbookViewId="0">
      <selection sqref="A1:XFD1048576"/>
    </sheetView>
  </sheetViews>
  <sheetFormatPr defaultRowHeight="18" x14ac:dyDescent="0.45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N1:AJ350"/>
  <sheetViews>
    <sheetView topLeftCell="A3" zoomScale="70" zoomScaleNormal="70" workbookViewId="0">
      <selection activeCell="M3" sqref="A1:M1048576"/>
    </sheetView>
  </sheetViews>
  <sheetFormatPr defaultRowHeight="18.600000000000001" customHeight="1" x14ac:dyDescent="0.45"/>
  <cols>
    <col min="13" max="13" width="3.796875" customWidth="1"/>
    <col min="14" max="14" width="3.796875" style="1" customWidth="1"/>
    <col min="15" max="16" width="7.796875" customWidth="1"/>
    <col min="17" max="17" width="4.3984375" customWidth="1"/>
    <col min="18" max="19" width="6.19921875" customWidth="1"/>
    <col min="20" max="20" width="1.8984375" customWidth="1"/>
    <col min="21" max="24" width="5.5" customWidth="1"/>
    <col min="25" max="25" width="1.8984375" customWidth="1"/>
    <col min="30" max="30" width="1.8984375" customWidth="1"/>
    <col min="31" max="34" width="5.19921875" customWidth="1"/>
  </cols>
  <sheetData>
    <row r="1" spans="15:36" ht="18.600000000000001" customHeight="1" x14ac:dyDescent="0.45">
      <c r="O1" t="s">
        <v>21</v>
      </c>
      <c r="P1" t="s">
        <v>20</v>
      </c>
      <c r="R1" t="s">
        <v>22</v>
      </c>
      <c r="S1" t="s">
        <v>23</v>
      </c>
      <c r="U1" t="s">
        <v>4</v>
      </c>
      <c r="V1" t="s">
        <v>9</v>
      </c>
      <c r="W1" t="s">
        <v>14</v>
      </c>
      <c r="X1" t="s">
        <v>19</v>
      </c>
      <c r="Z1" t="s">
        <v>1</v>
      </c>
      <c r="AA1" t="s">
        <v>6</v>
      </c>
      <c r="AB1" t="s">
        <v>11</v>
      </c>
      <c r="AC1" t="s">
        <v>16</v>
      </c>
      <c r="AE1" t="s">
        <v>0</v>
      </c>
      <c r="AF1" t="s">
        <v>5</v>
      </c>
      <c r="AG1" t="s">
        <v>10</v>
      </c>
      <c r="AH1" t="s">
        <v>15</v>
      </c>
      <c r="AI1" t="s">
        <v>24</v>
      </c>
      <c r="AJ1" t="s">
        <v>25</v>
      </c>
    </row>
    <row r="2" spans="15:36" ht="18.600000000000001" customHeight="1" x14ac:dyDescent="0.45">
      <c r="O2">
        <f t="shared" ref="O2:O65" si="0">IF(COUNTIF(A2,"*/*"),ROW(),0)</f>
        <v>0</v>
      </c>
      <c r="P2">
        <f t="shared" ref="P2:P3" si="1">IF(O2&lt;&gt;0,O2-1,0)</f>
        <v>0</v>
      </c>
      <c r="R2" t="str" cm="1">
        <f t="array" ref="R2">IFERROR(_xlfn.AGGREGATE(15, 6, ($O$2:$O$350)/($O$2:$O$350&lt;&gt;0), ROWS($R$2:R2)), "")</f>
        <v/>
      </c>
      <c r="S2" t="str" cm="1">
        <f t="array" ref="S2">IFERROR(_xlfn.AGGREGATE(15, 6, ($P$2:$P$350)/($P$2:$P$350&lt;&gt;0), ROWS($R$2:R2)), "")</f>
        <v/>
      </c>
      <c r="U2" t="str">
        <f ca="1">IF(R2&lt;&gt;"",
IF(COUNTIF(OFFSET($A$1,$R2-1,0),"*/*"),
IF(COUNTIF(OFFSET($A$1,$R2-1,1),"*/*"),"",2),1),"")</f>
        <v/>
      </c>
      <c r="V2" t="str">
        <f ca="1">IF(R2&lt;&gt;"",IF(U2&lt;&gt;"",
IF(COUNTIF(OFFSET($A$1,$R2-1,U2),"*/*"),
IF(COUNTIF(OFFSET($A$1,$R2-1,U2+1),"*/*"),"",U2+2),U2+1),
IF(COUNTIF(OFFSET($A$1,$R2-1,1),"*/*"),
IF(COUNTIF(OFFSET($A$1,$R2-1,1+1),"*/*"),"",1+2),1+1)),"")</f>
        <v/>
      </c>
      <c r="W2" t="str">
        <f ca="1">IF(R2&lt;&gt;"",IF(V2&lt;&gt;"",
IF(COUNTIF(OFFSET($A$1,$R2-1,V2),"*/*"),
IF(COUNTIF(OFFSET($A$1,$R2-1,V2+1),"*/*"),"",V2+2),V2+1),
IF(COUNTIF(OFFSET($A$1,$R2-1,2),"*/*"),
IF(COUNTIF(OFFSET($A$1,$R2-1,2+1),"*/*"),"",2+2),2+1)),"")</f>
        <v/>
      </c>
      <c r="X2" t="str">
        <f ca="1">IF(R2&lt;&gt;"",IF(W2&lt;&gt;"",
IF(COUNTIF(OFFSET($A$1,$R2-1,W2),"*/*"),
IF(COUNTIF(OFFSET($A$1,$R2-1,W2+1),"*/*"),"",W2+2),W2+1),
IF(COUNTIF(OFFSET($A$1,$R2-1,5),"*/*"),
IF(COUNTIF(OFFSET($A$1,$R2-1,5+1),"*/*"),"",
IF(OFFSET($A$1,R2-1,5+2-1)=0,"",5+2)),IF(OFFSET($A$1,R2-1,5+1-1)=0,"",5+1))),"")</f>
        <v/>
      </c>
      <c r="Z2" t="str">
        <f ca="1">IF(S2&lt;&gt;"",
IF(COUNTIF(OFFSET($A$1,$S2-1,0),"*g*"),
1,IF(COUNTIF(OFFSET($A$1,$S2-1,1),"*g*"),2,
IF(OFFSET($A$1,$S2-1,0)=".","",
IF(OFFSET($A$1,$S2-1,0)=OFFSET($A$1,$S2-1,1),1,2)))),"")</f>
        <v/>
      </c>
      <c r="AA2" t="str">
        <f t="shared" ref="AA2:AA65" ca="1" si="2">IFERROR(IF(S2&lt;&gt;"",
IF(Z2&lt;&gt;"",
IF(COUNTIF(OFFSET($A$1,$S2-1,Z2),"*g*"),
Z2,IF(COUNTIF(OFFSET($A$1,$S2-1,Z2+1),"*g*"),Z2+2,
IF(OFFSET($A$1,$S2-1,Z2)=".","",
IF(OFFSET($A$1,$S2-1,Z2)=OFFSET($A$1,$S2-1,Z2+1),Z2+1,Z2+2)))),
IF(COUNTIF(OFFSET($A$1,$S2-1,2),"*g*"),
2,IF(COUNTIF(OFFSET($A$1,$S2-1,2+1),"*g*"),2+2,
IF(OFFSET($A$1,$S2-1,2)=".","",
IF(OFFSET($A$1,$S2-1,2)=OFFSET($A$1,$S2-1,2+1),
IF(OFFSET($A$1,$S2-1,2+1)=0,"",2+1),
IF(OFFSET($A$1,$S2-1,2)&lt;&gt;"",2,
IF(OFFSET($A$1,$S2-1,2+1)&lt;&gt;"",2+1,""))))))),""),"")</f>
        <v/>
      </c>
      <c r="AB2" t="str">
        <f t="shared" ref="AB2:AB65" ca="1" si="3">IFERROR(IF(S2&lt;&gt;"",
IF(COUNTIF(OFFSET($A$1,$S2-1,AA2),"*g*"),
AA2,IF(COUNTIF(OFFSET($A$1,$S2-1,AA2+1),"*g*"),AA2+2,
IF(OFFSET($A$1,$S2-1,AA2)=".","",
IF(OFFSET($A$1,$S2-1,AA2)=OFFSET($A$1,$S2-1,AA2+1),AA2+1,AA2+2)))),""),"")</f>
        <v/>
      </c>
      <c r="AC2" t="str">
        <f t="shared" ref="AC2:AC65" ca="1" si="4">IFERROR(IF(S2&lt;&gt;"",
IF(COUNTIF(OFFSET($A$1,$S2-1,AB2),"*g*"),
AB2,IF(COUNTIF(OFFSET($A$1,$S2-1,AB2+1),"*g*"),AB2+2,
IF(OFFSET($A$1,$S2-1,AB2)=".","",
IF(OFFSET($A$1,$S2-1,AB2)=OFFSET($A$1,$S2-1,AB2+1),AB2+1,
IF(OFFSET($A$1,$S2-1,AB2+1)&lt;&gt;0,AB2+2,
IF(OFFSET($A$1,$S2-1,AB2)&lt;&gt;0,AB2+1,"")))))),""),"")</f>
        <v/>
      </c>
      <c r="AE2" t="e">
        <f ca="1">IF($S2-1&gt;2,
IF(COUNTIF(OFFSET($A$1,$S2-3,0),"*様*"),1,
IF(COUNTIF(OFFSET($A$1,$S2-3,1),"*様*"),2,
IF(COUNTIF(OFFSET($A$1,$S2-3,2),"*様*"),3,4))),
IF(COUNTIF(OFFSET($A$1,$S2-2,0),"*様*"),1,
IF(COUNTIF(OFFSET($A$1,$S2-2,1),"*様*"),2,
IF(COUNTIF(OFFSET($A$1,$S2-2,2),"*様*"),3,4))))</f>
        <v>#VALUE!</v>
      </c>
      <c r="AF2" t="e">
        <f ca="1">IF($S2-1&gt;2,
IF(COUNTIF(OFFSET($A$1,$S2-1-2,AE2),"*様*"),1+AE2,
IF(COUNTIF(OFFSET($A$1,$S2-1-2,AE2+1),"*様*"),2+AE2,
IF(COUNTIF(OFFSET($A$1,$S2-1-2,AE2+2),"*様*"),3+AE2,4+AE2))),
IF(COUNTIF(OFFSET($A$1,$S2-1-1,AE2),"*様*"),1+AE2,
IF(COUNTIF(OFFSET($A$1,$S2-1-1,AE2+1),"*様*"),2+AE2,
IF(COUNTIF(OFFSET($A$1,$S2-1-1,AE2+2),"*様*"),3+AE2,4+AE2))))</f>
        <v>#VALUE!</v>
      </c>
      <c r="AG2" t="e">
        <f ca="1">IF($S2-1&gt;2,
IF(COUNTIF(OFFSET($A$1,$S2-1-2,AF2),"*様*"),1+AF2,
IF(COUNTIF(OFFSET($A$1,$S2-1-2,AF2+1),"*様*"),2+AF2,
IF(COUNTIF(OFFSET($A$1,$S2-1-2,AF2+2),"*様*"),3+AF2,4+AF2))),
IF(COUNTIF(OFFSET($A$1,$S2-1-1,AF2),"*様*"),1+AF2,
IF(COUNTIF(OFFSET($A$1,$S2-1-1,AF2+1),"*様*"),2+AF2,
IF(COUNTIF(OFFSET($A$1,$S2-1-1,AF2+2),"*様*"),3+AF2,4+AF2))))</f>
        <v>#VALUE!</v>
      </c>
      <c r="AH2" t="e">
        <f ca="1">IF($S2-1&gt;2,
IF(COUNTIF(OFFSET($A$1,$S2-1-2,AG2),"*様*"),1+AG2,
IF(COUNTIF(OFFSET($A$1,$S2-1-2,AG2+1),"*様*"),2+AG2,
IF(COUNTIF(OFFSET($A$1,$S2-1-2,AG2+2),"*様*"),3+AG2,4+AG2))),
IF(COUNTIF(OFFSET($A$1,$S2-1-1,AG2),"*様*"),1+AG2,
IF(COUNTIF(OFFSET($A$1,$S2-1-1,AG2+1),"*様*"),2+AG2,
IF(COUNTIF(OFFSET($A$1,$S2-1-1,AG2+2),"*様*"),3+AG2,4+AG2))))</f>
        <v>#VALUE!</v>
      </c>
    </row>
    <row r="3" spans="15:36" ht="18.600000000000001" customHeight="1" x14ac:dyDescent="0.45">
      <c r="O3">
        <f t="shared" si="0"/>
        <v>0</v>
      </c>
      <c r="P3">
        <f t="shared" si="1"/>
        <v>0</v>
      </c>
      <c r="R3" t="str" cm="1">
        <f t="array" ref="R3">IFERROR(_xlfn.AGGREGATE(15, 6, ($O$2:$O$350)/($O$2:$O$350&lt;&gt;0), ROWS($R$2:R3)), "")</f>
        <v/>
      </c>
      <c r="S3" t="str" cm="1">
        <f t="array" ref="S3">IFERROR(_xlfn.AGGREGATE(15, 6, ($P$2:$P$350)/($P$2:$P$350&lt;&gt;0), ROWS($R$2:R3)), "")</f>
        <v/>
      </c>
      <c r="U3" t="str">
        <f t="shared" ref="U3:U65" ca="1" si="5">IF(R3&lt;&gt;"",
IF(COUNTIF(OFFSET($A$1,$R3-1,0),"*/*"),
IF(COUNTIF(OFFSET($A$1,$R3-1,1),"*/*"),"",2),1),"")</f>
        <v/>
      </c>
      <c r="V3" t="str">
        <f t="shared" ref="V3:V65" ca="1" si="6">IF(R3&lt;&gt;"",IF(U3&lt;&gt;"",
IF(COUNTIF(OFFSET($A$1,$R3-1,U3),"*/*"),
IF(COUNTIF(OFFSET($A$1,$R3-1,U3+1),"*/*"),"",U3+2),U3+1),
IF(COUNTIF(OFFSET($A$1,$R3-1,1),"*/*"),
IF(COUNTIF(OFFSET($A$1,$R3-1,1+1),"*/*"),"",1+2),1+1)),"")</f>
        <v/>
      </c>
      <c r="W3" t="str">
        <f t="shared" ref="W3:W65" ca="1" si="7">IF(R3&lt;&gt;"",IF(V3&lt;&gt;"",
IF(COUNTIF(OFFSET($A$1,$R3-1,V3),"*/*"),
IF(COUNTIF(OFFSET($A$1,$R3-1,V3+1),"*/*"),"",V3+2),V3+1),
IF(COUNTIF(OFFSET($A$1,$R3-1,2),"*/*"),
IF(COUNTIF(OFFSET($A$1,$R3-1,2+1),"*/*"),"",2+2),2+1)),"")</f>
        <v/>
      </c>
      <c r="X3" t="str">
        <f t="shared" ref="X3:X65" ca="1" si="8">IF(R3&lt;&gt;"",IF(W3&lt;&gt;"",
IF(COUNTIF(OFFSET($A$1,$R3-1,W3),"*/*"),
IF(COUNTIF(OFFSET($A$1,$R3-1,W3+1),"*/*"),"",W3+2),W3+1),
IF(COUNTIF(OFFSET($A$1,$R3-1,5),"*/*"),
IF(COUNTIF(OFFSET($A$1,$R3-1,5+1),"*/*"),"",
IF(OFFSET($A$1,R3-1,5+2-1)=0,"",5+2)),IF(OFFSET($A$1,R3-1,5+1-1)=0,"",5+1))),"")</f>
        <v/>
      </c>
      <c r="Z3" t="str">
        <f t="shared" ref="Z3:Z40" ca="1" si="9">IF(S3&lt;&gt;"",
IF(COUNTIF(OFFSET($A$1,$S3-1,0),"*g*"),
1,IF(COUNTIF(OFFSET($A$1,$S3-1,1),"*g*"),2,
IF(OFFSET($A$1,$S3-1,0)=".","",
IF(OFFSET($A$1,$S3-1,0)=OFFSET($A$1,$S3-1,1),1,2)))),"")</f>
        <v/>
      </c>
      <c r="AA3" t="str">
        <f t="shared" ca="1" si="2"/>
        <v/>
      </c>
      <c r="AB3" t="str">
        <f t="shared" ca="1" si="3"/>
        <v/>
      </c>
      <c r="AC3" t="str">
        <f t="shared" ca="1" si="4"/>
        <v/>
      </c>
      <c r="AE3" t="str">
        <f t="shared" ref="AE3:AE66" ca="1" si="10">IF(R3&lt;&gt;"",
IF(AND($S3-$R2&gt;3,COUNTIF(OFFSET($A$1,$R2+($S3-$R2-4),0),"&lt;&gt;*テキスト*")),
IF(OFFSET($A$1,$R2+($S3-$R2-4),0)=OFFSET($A$1,$R2+($S3-$R2-4),1),1,
IF(OFFSET($A$1,$R2+($S3-$R2-4),0)=OFFSET($A$1,$R2+($S3-$R2-4),2),2,
IF(OFFSET($A$1,$R2+($S3-$R2-4),0)=OFFSET($A$1,$R2+($S3-$R2-4),3),3,4))),
IF(AND($S3-$R2&gt;2,COUNTIF(OFFSET($A$1,$R2+($S3-$R2-3),0),"&lt;&gt;*テキスト*")),
IF(OFFSET($A$1,$R2+($S3-$R2-3),0)=OFFSET($A$1,$R2+($S3-$R2-3),1),1,
IF(OFFSET($A$1,$R2+($S3-$R2-3),0)=OFFSET($A$1,$R2+($S3-$R2-3),2),2,
IF(OFFSET($A$1,$R2+($S3-$R2-3),0)=OFFSET($A$1,$R2+($S3-$R2-3),3),3,4))),
IF(COUNTIF(OFFSET($A$1,$R2+($S3-$R2-2),0),"*様*"),1,
IF(COUNTIF(OFFSET($A$1,$R2+($S3-$R2-2),1),"*様*"),2,
IF(COUNTIF(OFFSET($A$1,$R2+($S3-$R2-2),2),"*様*"),3,4))))),"")</f>
        <v/>
      </c>
      <c r="AF3" t="str">
        <f t="shared" ref="AF3:AF66" ca="1" si="11">IF(R3&lt;&gt;"",
IF(AND($S3-$R2&gt;3,COUNTIF(OFFSET($A$1,$R2+($S3-$R2-4),0),"&lt;&gt;*テキスト*")),
IFERROR(IF(OFFSET($A$1,$R2+($S3-$R2-4),AE3)=0,"",
IF(OFFSET($A$1,$R2+($S3-$R2-4),AE3)=OFFSET($A$1,$R2+($S3-$R2-4),AE3+1),1+AE3,
IF(OFFSET($A$1,$R2+($S3-$R2-4),AE3)=OFFSET($A$1,$R2+($S3-$R2-4),AE3+2),2+AE3,
IF(OFFSET($A$1,$R2+($S3-$R2-4),AE3)=OFFSET($A$1,$R2+($S3-$R2-4),AE3+3),3+AE3,3+AE3)))),""),
IF(AND($S3-$R2&gt;2,COUNTIF(OFFSET($A$1,$R2+($S3-$R2-3),0),"&lt;&gt;*テキスト*")),
IFERROR(IF(OFFSET($A$1,$R2+($S3-$R2-3),AE3)=0,"",
IF(OFFSET($A$1,$R2+($S3-$R2-3),AE3)=OFFSET($A$1,$R2+($S3-$R2-3),AE3+1),1+AE3,
IF(OFFSET($A$1,$R2+($S3-$R2-3),AE3)=OFFSET($A$1,$R2+($S3-$R2-3),AE3+2),2+AE3,
IF(OFFSET($A$1,$R2+($S3-$R2-3),AE3)=OFFSET($A$1,$R2+($S3-$R2-3),AE3+3),3+AE3,3+AE3)))),""),
IF(COUNTIF(OFFSET($A$1,$R2+($S3-$R2-2),AE3),"*様*"),1+AE3,
IF(COUNTIF(OFFSET($A$1,$R2+($S3-$R2-2),AE3+1),"*様*"),2+AE3,
IF(COUNTIF(OFFSET($A$1,$R2+($S3-$R2-2),AE3+2),"*様*"),3+AE3,4+AE3))))),"")</f>
        <v/>
      </c>
      <c r="AG3" t="str">
        <f t="shared" ref="AG3:AG66" ca="1" si="12">IF(R3&lt;&gt;"",
IF(AND($S3-$R2&gt;3,COUNTIF(OFFSET($A$1,$R2+($S3-$R2-4),0),"&lt;&gt;*テキスト*")),
IFERROR(IF(OFFSET($A$1,$R2+($S3-$R2-4),AF3)=0,"",
IF(OFFSET($A$1,$R2+($S3-$R2-4),AF3)=OFFSET($A$1,$R2+($S3-$R2-4),AF3+1),1+AF3,
IF(OFFSET($A$1,$R2+($S3-$R2-4),AF3)=OFFSET($A$1,$R2+($S3-$R2-4),AF3+2),2+AF3,
IF(OFFSET($A$1,$R2+($S3-$R2-4),AF3)=OFFSET($A$1,$R2+($S3-$R2-4),AF3+3),3+AF3,3+AF3)))),""),
IF(AND($S3-$R2&gt;2,COUNTIF(OFFSET($A$1,$R2+($S3-$R2-3),0),"&lt;&gt;*テキスト*")),
IFERROR(IF(OFFSET($A$1,$R2+($S3-$R2-3),AF3)=0,"",
IF(OFFSET($A$1,$R2+($S3-$R2-3),AF3)=OFFSET($A$1,$R2+($S3-$R2-3),AF3+1),1+AF3,
IF(OFFSET($A$1,$R2+($S3-$R2-3),AF3)=OFFSET($A$1,$R2+($S3-$R2-3),AF3+2),2+AF3,
IF(OFFSET($A$1,$R2+($S3-$R2-3),AF3)=OFFSET($A$1,$R2+($S3-$R2-3),AF3+3),3+AF3,3+AF3)))),""),
IF(COUNTIF(OFFSET($A$1,$R2+($S3-$R2-2),AF3),"*様*"),1+AF3,
IF(COUNTIF(OFFSET($A$1,$R2+($S3-$R2-2),AF3+1),"*様*"),2+AF3,
IF(COUNTIF(OFFSET($A$1,$R2+($S3-$R2-2),AF3+2),"*様*"),3+AF3,4+AF3))))),"")</f>
        <v/>
      </c>
      <c r="AH3" t="str">
        <f t="shared" ref="AH3:AH66" ca="1" si="13">IF(R3&lt;&gt;"",
IF(AND($S3-$R2&gt;3,COUNTIF(OFFSET($A$1,$R2+($S3-$R2-4),0),"&lt;&gt;*テキスト*")),
IFERROR(IF(OFFSET($A$1,$R2+($S3-$R2-4),AG3)=0,"",
IF(OFFSET($A$1,$R2+($S3-$R2-4),AG3)=OFFSET($A$1,$R2+($S3-$R2-4),AG3+1),1+AG3,
IF(OFFSET($A$1,$R2+($S3-$R2-4),AG3)=OFFSET($A$1,$R2+($S3-$R2-4),AG3+2),2+AG3,
IF(OFFSET($A$1,$R2+($S3-$R2-4),AG3)=OFFSET($A$1,$R2+($S3-$R2-4),AG3+3),3+AG3,3+AG3)))),""),
IF(AND($S3-$R2&gt;2,COUNTIF(OFFSET($A$1,$R2+($S3-$R2-3),0),"&lt;&gt;*テキスト*")),
IFERROR(IF(OFFSET($A$1,$R2+($S3-$R2-3),AG3)=0,"",
IF(OFFSET($A$1,$R2+($S3-$R2-3),AG3)=OFFSET($A$1,$R2+($S3-$R2-3),AG3+1),1+AG3,
IF(OFFSET($A$1,$R2+($S3-$R2-3),AG3)=OFFSET($A$1,$R2+($S3-$R2-3),AG3+2),2+AG3,
IF(OFFSET($A$1,$R2+($S3-$R2-3),AG3)=OFFSET($A$1,$R2+($S3-$R2-3),AG3+3),3+AG3,3+AG3)))),""),
IF(COUNTIF(OFFSET($A$1,$R2+($S3-$R2-2),AG3),"*様*"),1+AG3,
IF(COUNTIF(OFFSET($A$1,$R2+($S3-$R2-2),AG3+1),"*様*"),2+AG3,
IF(COUNTIF(OFFSET($A$1,$R2+($S3-$R2-2),AG3+2),"*様*"),3+AG3,4+AG3))))),"")</f>
        <v/>
      </c>
      <c r="AI3" t="str">
        <f t="shared" ref="AI3:AI66" ca="1" si="14">IF(R3&lt;&gt;"",
IF(AG3&lt;&gt;"","",
IF(COUNTIF(OFFSET($A$1,$R2+($S3-$R2-3),0),"*様*"),1,
IF(COUNTIF(OFFSET($A$1,$R2+($S3-$R2-3),1),"*様*"),2,
IF(COUNTIF(OFFSET($A$1,$R2+($S3-$R2-3),2),"*様*"),3,4)))),"")</f>
        <v/>
      </c>
      <c r="AJ3" t="str">
        <f t="shared" ref="AJ3:AJ66" ca="1" si="15">IF(R3&lt;&gt;"",
IF(AH3&lt;&gt;"","",
IF(AI3&lt;&gt;"",
IF(COUNTIF(OFFSET($A$1,$R2+($S3-$R2-3),AI3),"*様*"),1+AI3,
IF(COUNTIF(OFFSET($A$1,$R2+($S3-$R2-3),AI3+1),"*様*"),2+AI3,
IF(COUNTIF(OFFSET($A$1,$R2+($S3-$R2-3),AI3+2),"*様*"),3+AI3,4+AI3))),
IF(COUNTIF(OFFSET($A$1,$R2+($S3-$R2-3),0),"*様*"),1,
IF(COUNTIF(OFFSET($A$1,$R2+($S3-$R2-3),1),"*様*"),2,
IF(COUNTIF(OFFSET($A$1,$R2+($S3-$R2-3),2),"*様*"),3,4))))),"")</f>
        <v/>
      </c>
    </row>
    <row r="4" spans="15:36" ht="18.600000000000001" customHeight="1" x14ac:dyDescent="0.45">
      <c r="O4">
        <f t="shared" si="0"/>
        <v>0</v>
      </c>
      <c r="P4">
        <f>IF(O4&lt;&gt;0,O4-1,0)</f>
        <v>0</v>
      </c>
      <c r="R4" t="str" cm="1">
        <f t="array" ref="R4">IFERROR(_xlfn.AGGREGATE(15, 6, ($O$2:$O$350)/($O$2:$O$350&lt;&gt;0), ROWS($R$2:R4)), "")</f>
        <v/>
      </c>
      <c r="S4" t="str" cm="1">
        <f t="array" ref="S4">IFERROR(_xlfn.AGGREGATE(15, 6, ($P$2:$P$350)/($P$2:$P$350&lt;&gt;0), ROWS($R$2:R4)), "")</f>
        <v/>
      </c>
      <c r="U4" t="str">
        <f t="shared" ca="1" si="5"/>
        <v/>
      </c>
      <c r="V4" t="str">
        <f t="shared" ca="1" si="6"/>
        <v/>
      </c>
      <c r="W4" t="str">
        <f t="shared" ca="1" si="7"/>
        <v/>
      </c>
      <c r="X4" t="str">
        <f t="shared" ca="1" si="8"/>
        <v/>
      </c>
      <c r="Z4" t="str">
        <f t="shared" ca="1" si="9"/>
        <v/>
      </c>
      <c r="AA4" t="str">
        <f t="shared" ca="1" si="2"/>
        <v/>
      </c>
      <c r="AB4" t="str">
        <f t="shared" ca="1" si="3"/>
        <v/>
      </c>
      <c r="AC4" t="str">
        <f t="shared" ca="1" si="4"/>
        <v/>
      </c>
      <c r="AE4" t="str">
        <f t="shared" ca="1" si="10"/>
        <v/>
      </c>
      <c r="AF4" t="str">
        <f t="shared" ca="1" si="11"/>
        <v/>
      </c>
      <c r="AG4" t="str">
        <f t="shared" ca="1" si="12"/>
        <v/>
      </c>
      <c r="AH4" t="str">
        <f t="shared" ca="1" si="13"/>
        <v/>
      </c>
      <c r="AI4" t="str">
        <f t="shared" ca="1" si="14"/>
        <v/>
      </c>
      <c r="AJ4" t="str">
        <f t="shared" ca="1" si="15"/>
        <v/>
      </c>
    </row>
    <row r="5" spans="15:36" ht="18.600000000000001" customHeight="1" x14ac:dyDescent="0.45">
      <c r="O5">
        <f t="shared" si="0"/>
        <v>0</v>
      </c>
      <c r="P5">
        <f t="shared" ref="P5:P68" si="16">IF(O5&lt;&gt;0,O5-1,0)</f>
        <v>0</v>
      </c>
      <c r="R5" t="str" cm="1">
        <f t="array" ref="R5">IFERROR(_xlfn.AGGREGATE(15, 6, ($O$2:$O$350)/($O$2:$O$350&lt;&gt;0), ROWS($R$2:R5)), "")</f>
        <v/>
      </c>
      <c r="S5" t="str" cm="1">
        <f t="array" ref="S5">IFERROR(_xlfn.AGGREGATE(15, 6, ($P$2:$P$350)/($P$2:$P$350&lt;&gt;0), ROWS($R$2:R5)), "")</f>
        <v/>
      </c>
      <c r="U5" t="str">
        <f t="shared" ca="1" si="5"/>
        <v/>
      </c>
      <c r="V5" t="str">
        <f t="shared" ca="1" si="6"/>
        <v/>
      </c>
      <c r="W5" t="str">
        <f t="shared" ca="1" si="7"/>
        <v/>
      </c>
      <c r="X5" t="str">
        <f t="shared" ca="1" si="8"/>
        <v/>
      </c>
      <c r="Z5" t="str">
        <f t="shared" ca="1" si="9"/>
        <v/>
      </c>
      <c r="AA5" t="str">
        <f t="shared" ca="1" si="2"/>
        <v/>
      </c>
      <c r="AB5" t="str">
        <f t="shared" ca="1" si="3"/>
        <v/>
      </c>
      <c r="AC5" t="str">
        <f t="shared" ca="1" si="4"/>
        <v/>
      </c>
      <c r="AE5" t="str">
        <f t="shared" ca="1" si="10"/>
        <v/>
      </c>
      <c r="AF5" t="str">
        <f t="shared" ca="1" si="11"/>
        <v/>
      </c>
      <c r="AG5" t="str">
        <f t="shared" ca="1" si="12"/>
        <v/>
      </c>
      <c r="AH5" t="str">
        <f t="shared" ca="1" si="13"/>
        <v/>
      </c>
      <c r="AI5" t="str">
        <f t="shared" ca="1" si="14"/>
        <v/>
      </c>
      <c r="AJ5" t="str">
        <f t="shared" ca="1" si="15"/>
        <v/>
      </c>
    </row>
    <row r="6" spans="15:36" ht="18.600000000000001" customHeight="1" x14ac:dyDescent="0.45">
      <c r="O6">
        <f t="shared" si="0"/>
        <v>0</v>
      </c>
      <c r="P6">
        <f t="shared" si="16"/>
        <v>0</v>
      </c>
      <c r="R6" t="str" cm="1">
        <f t="array" ref="R6">IFERROR(_xlfn.AGGREGATE(15, 6, ($O$2:$O$350)/($O$2:$O$350&lt;&gt;0), ROWS($R$2:R6)), "")</f>
        <v/>
      </c>
      <c r="S6" t="str" cm="1">
        <f t="array" ref="S6">IFERROR(_xlfn.AGGREGATE(15, 6, ($P$2:$P$350)/($P$2:$P$350&lt;&gt;0), ROWS($R$2:R6)), "")</f>
        <v/>
      </c>
      <c r="U6" t="str">
        <f t="shared" ca="1" si="5"/>
        <v/>
      </c>
      <c r="V6" t="str">
        <f t="shared" ca="1" si="6"/>
        <v/>
      </c>
      <c r="W6" t="str">
        <f t="shared" ca="1" si="7"/>
        <v/>
      </c>
      <c r="X6" t="str">
        <f t="shared" ca="1" si="8"/>
        <v/>
      </c>
      <c r="Z6" t="str">
        <f t="shared" ca="1" si="9"/>
        <v/>
      </c>
      <c r="AA6" t="str">
        <f t="shared" ca="1" si="2"/>
        <v/>
      </c>
      <c r="AB6" t="str">
        <f t="shared" ca="1" si="3"/>
        <v/>
      </c>
      <c r="AC6" t="str">
        <f t="shared" ca="1" si="4"/>
        <v/>
      </c>
      <c r="AE6" t="str">
        <f t="shared" ca="1" si="10"/>
        <v/>
      </c>
      <c r="AF6" t="str">
        <f t="shared" ca="1" si="11"/>
        <v/>
      </c>
      <c r="AG6" t="str">
        <f t="shared" ca="1" si="12"/>
        <v/>
      </c>
      <c r="AH6" t="str">
        <f t="shared" ca="1" si="13"/>
        <v/>
      </c>
      <c r="AI6" t="str">
        <f t="shared" ca="1" si="14"/>
        <v/>
      </c>
      <c r="AJ6" t="str">
        <f t="shared" ca="1" si="15"/>
        <v/>
      </c>
    </row>
    <row r="7" spans="15:36" ht="18.600000000000001" customHeight="1" x14ac:dyDescent="0.45">
      <c r="O7">
        <f t="shared" si="0"/>
        <v>0</v>
      </c>
      <c r="P7">
        <f t="shared" si="16"/>
        <v>0</v>
      </c>
      <c r="R7" t="str" cm="1">
        <f t="array" ref="R7">IFERROR(_xlfn.AGGREGATE(15, 6, ($O$2:$O$350)/($O$2:$O$350&lt;&gt;0), ROWS($R$2:R7)), "")</f>
        <v/>
      </c>
      <c r="S7" t="str" cm="1">
        <f t="array" ref="S7">IFERROR(_xlfn.AGGREGATE(15, 6, ($P$2:$P$350)/($P$2:$P$350&lt;&gt;0), ROWS($R$2:R7)), "")</f>
        <v/>
      </c>
      <c r="U7" t="str">
        <f t="shared" ca="1" si="5"/>
        <v/>
      </c>
      <c r="V7" t="str">
        <f t="shared" ca="1" si="6"/>
        <v/>
      </c>
      <c r="W7" t="str">
        <f t="shared" ca="1" si="7"/>
        <v/>
      </c>
      <c r="X7" t="str">
        <f t="shared" ca="1" si="8"/>
        <v/>
      </c>
      <c r="Z7" t="str">
        <f t="shared" ca="1" si="9"/>
        <v/>
      </c>
      <c r="AA7" t="str">
        <f t="shared" ca="1" si="2"/>
        <v/>
      </c>
      <c r="AB7" t="str">
        <f t="shared" ca="1" si="3"/>
        <v/>
      </c>
      <c r="AC7" t="str">
        <f t="shared" ca="1" si="4"/>
        <v/>
      </c>
      <c r="AE7" t="str">
        <f t="shared" ca="1" si="10"/>
        <v/>
      </c>
      <c r="AF7" t="str">
        <f t="shared" ca="1" si="11"/>
        <v/>
      </c>
      <c r="AG7" t="str">
        <f t="shared" ca="1" si="12"/>
        <v/>
      </c>
      <c r="AH7" t="str">
        <f t="shared" ca="1" si="13"/>
        <v/>
      </c>
      <c r="AI7" t="str">
        <f t="shared" ca="1" si="14"/>
        <v/>
      </c>
      <c r="AJ7" t="str">
        <f t="shared" ca="1" si="15"/>
        <v/>
      </c>
    </row>
    <row r="8" spans="15:36" ht="18.600000000000001" customHeight="1" x14ac:dyDescent="0.45">
      <c r="O8">
        <f t="shared" si="0"/>
        <v>0</v>
      </c>
      <c r="P8">
        <f t="shared" si="16"/>
        <v>0</v>
      </c>
      <c r="R8" t="str" cm="1">
        <f t="array" ref="R8">IFERROR(_xlfn.AGGREGATE(15, 6, ($O$2:$O$350)/($O$2:$O$350&lt;&gt;0), ROWS($R$2:R8)), "")</f>
        <v/>
      </c>
      <c r="S8" t="str" cm="1">
        <f t="array" ref="S8">IFERROR(_xlfn.AGGREGATE(15, 6, ($P$2:$P$350)/($P$2:$P$350&lt;&gt;0), ROWS($R$2:R8)), "")</f>
        <v/>
      </c>
      <c r="U8" t="str">
        <f t="shared" ca="1" si="5"/>
        <v/>
      </c>
      <c r="V8" t="str">
        <f t="shared" ca="1" si="6"/>
        <v/>
      </c>
      <c r="W8" t="str">
        <f t="shared" ca="1" si="7"/>
        <v/>
      </c>
      <c r="X8" t="str">
        <f t="shared" ca="1" si="8"/>
        <v/>
      </c>
      <c r="Z8" t="str">
        <f t="shared" ca="1" si="9"/>
        <v/>
      </c>
      <c r="AA8" t="str">
        <f t="shared" ca="1" si="2"/>
        <v/>
      </c>
      <c r="AB8" t="str">
        <f t="shared" ca="1" si="3"/>
        <v/>
      </c>
      <c r="AC8" t="str">
        <f t="shared" ca="1" si="4"/>
        <v/>
      </c>
      <c r="AE8" t="str">
        <f t="shared" ca="1" si="10"/>
        <v/>
      </c>
      <c r="AF8" t="str">
        <f t="shared" ca="1" si="11"/>
        <v/>
      </c>
      <c r="AG8" t="str">
        <f t="shared" ca="1" si="12"/>
        <v/>
      </c>
      <c r="AH8" t="str">
        <f t="shared" ca="1" si="13"/>
        <v/>
      </c>
      <c r="AI8" t="str">
        <f t="shared" ca="1" si="14"/>
        <v/>
      </c>
      <c r="AJ8" t="str">
        <f t="shared" ca="1" si="15"/>
        <v/>
      </c>
    </row>
    <row r="9" spans="15:36" ht="18.600000000000001" customHeight="1" x14ac:dyDescent="0.45">
      <c r="O9">
        <f t="shared" si="0"/>
        <v>0</v>
      </c>
      <c r="P9">
        <f t="shared" si="16"/>
        <v>0</v>
      </c>
      <c r="R9" t="str" cm="1">
        <f t="array" ref="R9">IFERROR(_xlfn.AGGREGATE(15, 6, ($O$2:$O$350)/($O$2:$O$350&lt;&gt;0), ROWS($R$2:R9)), "")</f>
        <v/>
      </c>
      <c r="S9" t="str" cm="1">
        <f t="array" ref="S9">IFERROR(_xlfn.AGGREGATE(15, 6, ($P$2:$P$350)/($P$2:$P$350&lt;&gt;0), ROWS($R$2:R9)), "")</f>
        <v/>
      </c>
      <c r="U9" t="str">
        <f t="shared" ca="1" si="5"/>
        <v/>
      </c>
      <c r="V9" t="str">
        <f t="shared" ca="1" si="6"/>
        <v/>
      </c>
      <c r="W9" t="str">
        <f t="shared" ca="1" si="7"/>
        <v/>
      </c>
      <c r="X9" t="str">
        <f t="shared" ca="1" si="8"/>
        <v/>
      </c>
      <c r="Z9" t="str">
        <f ca="1">IF(S9&lt;&gt;"",
IF(COUNTIF(OFFSET($A$1,$S9-1,0),"*g*"),
1,IF(COUNTIF(OFFSET($A$1,$S9-1,1),"*g*"),2,
IF(OFFSET($A$1,$S9-1,0)=".","",
IF(OFFSET($A$1,$S9-1,0)=OFFSET($A$1,$S9-1,1),1,2)))),"")</f>
        <v/>
      </c>
      <c r="AA9" t="str">
        <f t="shared" ca="1" si="2"/>
        <v/>
      </c>
      <c r="AB9" t="str">
        <f t="shared" ca="1" si="3"/>
        <v/>
      </c>
      <c r="AC9" t="str">
        <f t="shared" ca="1" si="4"/>
        <v/>
      </c>
      <c r="AE9" t="str">
        <f t="shared" ca="1" si="10"/>
        <v/>
      </c>
      <c r="AF9" t="str">
        <f t="shared" ca="1" si="11"/>
        <v/>
      </c>
      <c r="AG9" t="str">
        <f t="shared" ca="1" si="12"/>
        <v/>
      </c>
      <c r="AH9" t="str">
        <f t="shared" ca="1" si="13"/>
        <v/>
      </c>
      <c r="AI9" t="str">
        <f t="shared" ca="1" si="14"/>
        <v/>
      </c>
      <c r="AJ9" t="str">
        <f t="shared" ca="1" si="15"/>
        <v/>
      </c>
    </row>
    <row r="10" spans="15:36" ht="18.600000000000001" customHeight="1" x14ac:dyDescent="0.45">
      <c r="O10">
        <f t="shared" si="0"/>
        <v>0</v>
      </c>
      <c r="P10">
        <f t="shared" si="16"/>
        <v>0</v>
      </c>
      <c r="R10" t="str" cm="1">
        <f t="array" ref="R10">IFERROR(_xlfn.AGGREGATE(15, 6, ($O$2:$O$350)/($O$2:$O$350&lt;&gt;0), ROWS($R$2:R10)), "")</f>
        <v/>
      </c>
      <c r="S10" t="str" cm="1">
        <f t="array" ref="S10">IFERROR(_xlfn.AGGREGATE(15, 6, ($P$2:$P$350)/($P$2:$P$350&lt;&gt;0), ROWS($R$2:R10)), "")</f>
        <v/>
      </c>
      <c r="U10" t="str">
        <f t="shared" ca="1" si="5"/>
        <v/>
      </c>
      <c r="V10" t="str">
        <f t="shared" ca="1" si="6"/>
        <v/>
      </c>
      <c r="W10" t="str">
        <f t="shared" ca="1" si="7"/>
        <v/>
      </c>
      <c r="X10" t="str">
        <f t="shared" ca="1" si="8"/>
        <v/>
      </c>
      <c r="Z10" t="str">
        <f t="shared" ca="1" si="9"/>
        <v/>
      </c>
      <c r="AA10" t="str">
        <f t="shared" ca="1" si="2"/>
        <v/>
      </c>
      <c r="AB10" t="str">
        <f t="shared" ca="1" si="3"/>
        <v/>
      </c>
      <c r="AC10" t="str">
        <f t="shared" ca="1" si="4"/>
        <v/>
      </c>
      <c r="AE10" t="str">
        <f t="shared" ca="1" si="10"/>
        <v/>
      </c>
      <c r="AF10" t="str">
        <f t="shared" ca="1" si="11"/>
        <v/>
      </c>
      <c r="AG10" t="str">
        <f t="shared" ca="1" si="12"/>
        <v/>
      </c>
      <c r="AH10" t="str">
        <f t="shared" ca="1" si="13"/>
        <v/>
      </c>
      <c r="AI10" t="str">
        <f t="shared" ca="1" si="14"/>
        <v/>
      </c>
      <c r="AJ10" t="str">
        <f t="shared" ca="1" si="15"/>
        <v/>
      </c>
    </row>
    <row r="11" spans="15:36" ht="18.600000000000001" customHeight="1" x14ac:dyDescent="0.45">
      <c r="O11">
        <f t="shared" si="0"/>
        <v>0</v>
      </c>
      <c r="P11">
        <f t="shared" si="16"/>
        <v>0</v>
      </c>
      <c r="R11" t="str" cm="1">
        <f t="array" ref="R11">IFERROR(_xlfn.AGGREGATE(15, 6, ($O$2:$O$350)/($O$2:$O$350&lt;&gt;0), ROWS($R$2:R11)), "")</f>
        <v/>
      </c>
      <c r="S11" t="str" cm="1">
        <f t="array" ref="S11">IFERROR(_xlfn.AGGREGATE(15, 6, ($P$2:$P$350)/($P$2:$P$350&lt;&gt;0), ROWS($R$2:R11)), "")</f>
        <v/>
      </c>
      <c r="U11" t="str">
        <f t="shared" ca="1" si="5"/>
        <v/>
      </c>
      <c r="V11" t="str">
        <f t="shared" ca="1" si="6"/>
        <v/>
      </c>
      <c r="W11" t="str">
        <f t="shared" ca="1" si="7"/>
        <v/>
      </c>
      <c r="X11" t="str">
        <f t="shared" ca="1" si="8"/>
        <v/>
      </c>
      <c r="Z11" t="str">
        <f t="shared" ca="1" si="9"/>
        <v/>
      </c>
      <c r="AA11" t="str">
        <f t="shared" ca="1" si="2"/>
        <v/>
      </c>
      <c r="AB11" t="str">
        <f t="shared" ca="1" si="3"/>
        <v/>
      </c>
      <c r="AC11" t="str">
        <f t="shared" ca="1" si="4"/>
        <v/>
      </c>
      <c r="AE11" t="str">
        <f t="shared" ca="1" si="10"/>
        <v/>
      </c>
      <c r="AF11" t="str">
        <f t="shared" ca="1" si="11"/>
        <v/>
      </c>
      <c r="AG11" t="str">
        <f t="shared" ca="1" si="12"/>
        <v/>
      </c>
      <c r="AH11" t="str">
        <f t="shared" ca="1" si="13"/>
        <v/>
      </c>
      <c r="AI11" t="str">
        <f t="shared" ca="1" si="14"/>
        <v/>
      </c>
      <c r="AJ11" t="str">
        <f t="shared" ca="1" si="15"/>
        <v/>
      </c>
    </row>
    <row r="12" spans="15:36" ht="18.600000000000001" customHeight="1" x14ac:dyDescent="0.45">
      <c r="O12">
        <f t="shared" si="0"/>
        <v>0</v>
      </c>
      <c r="P12">
        <f t="shared" si="16"/>
        <v>0</v>
      </c>
      <c r="R12" t="str" cm="1">
        <f t="array" ref="R12">IFERROR(_xlfn.AGGREGATE(15, 6, ($O$2:$O$350)/($O$2:$O$350&lt;&gt;0), ROWS($R$2:R12)), "")</f>
        <v/>
      </c>
      <c r="S12" t="str" cm="1">
        <f t="array" ref="S12">IFERROR(_xlfn.AGGREGATE(15, 6, ($P$2:$P$350)/($P$2:$P$350&lt;&gt;0), ROWS($R$2:R12)), "")</f>
        <v/>
      </c>
      <c r="U12" t="str">
        <f t="shared" ca="1" si="5"/>
        <v/>
      </c>
      <c r="V12" t="str">
        <f t="shared" ca="1" si="6"/>
        <v/>
      </c>
      <c r="W12" t="str">
        <f t="shared" ca="1" si="7"/>
        <v/>
      </c>
      <c r="X12" t="str">
        <f t="shared" ca="1" si="8"/>
        <v/>
      </c>
      <c r="Z12" t="str">
        <f t="shared" ca="1" si="9"/>
        <v/>
      </c>
      <c r="AA12" t="str">
        <f t="shared" ca="1" si="2"/>
        <v/>
      </c>
      <c r="AB12" t="str">
        <f t="shared" ca="1" si="3"/>
        <v/>
      </c>
      <c r="AC12" t="str">
        <f t="shared" ca="1" si="4"/>
        <v/>
      </c>
      <c r="AE12" t="str">
        <f t="shared" ca="1" si="10"/>
        <v/>
      </c>
      <c r="AF12" t="str">
        <f t="shared" ca="1" si="11"/>
        <v/>
      </c>
      <c r="AG12" t="str">
        <f t="shared" ca="1" si="12"/>
        <v/>
      </c>
      <c r="AH12" t="str">
        <f t="shared" ca="1" si="13"/>
        <v/>
      </c>
      <c r="AI12" t="str">
        <f t="shared" ca="1" si="14"/>
        <v/>
      </c>
      <c r="AJ12" t="str">
        <f t="shared" ca="1" si="15"/>
        <v/>
      </c>
    </row>
    <row r="13" spans="15:36" ht="18.600000000000001" customHeight="1" x14ac:dyDescent="0.45">
      <c r="O13">
        <f t="shared" si="0"/>
        <v>0</v>
      </c>
      <c r="P13">
        <f t="shared" si="16"/>
        <v>0</v>
      </c>
      <c r="R13" t="str" cm="1">
        <f t="array" ref="R13">IFERROR(_xlfn.AGGREGATE(15, 6, ($O$2:$O$350)/($O$2:$O$350&lt;&gt;0), ROWS($R$2:R13)), "")</f>
        <v/>
      </c>
      <c r="S13" t="str" cm="1">
        <f t="array" ref="S13">IFERROR(_xlfn.AGGREGATE(15, 6, ($P$2:$P$350)/($P$2:$P$350&lt;&gt;0), ROWS($R$2:R13)), "")</f>
        <v/>
      </c>
      <c r="U13" t="str">
        <f t="shared" ca="1" si="5"/>
        <v/>
      </c>
      <c r="V13" t="str">
        <f t="shared" ca="1" si="6"/>
        <v/>
      </c>
      <c r="W13" t="str">
        <f t="shared" ca="1" si="7"/>
        <v/>
      </c>
      <c r="X13" t="str">
        <f t="shared" ca="1" si="8"/>
        <v/>
      </c>
      <c r="Z13" t="str">
        <f t="shared" ca="1" si="9"/>
        <v/>
      </c>
      <c r="AA13" t="str">
        <f t="shared" ca="1" si="2"/>
        <v/>
      </c>
      <c r="AB13" t="str">
        <f t="shared" ca="1" si="3"/>
        <v/>
      </c>
      <c r="AC13" t="str">
        <f t="shared" ca="1" si="4"/>
        <v/>
      </c>
      <c r="AE13" t="str">
        <f t="shared" ca="1" si="10"/>
        <v/>
      </c>
      <c r="AF13" t="str">
        <f t="shared" ca="1" si="11"/>
        <v/>
      </c>
      <c r="AG13" t="str">
        <f t="shared" ca="1" si="12"/>
        <v/>
      </c>
      <c r="AH13" t="str">
        <f t="shared" ca="1" si="13"/>
        <v/>
      </c>
      <c r="AI13" t="str">
        <f t="shared" ca="1" si="14"/>
        <v/>
      </c>
      <c r="AJ13" t="str">
        <f t="shared" ca="1" si="15"/>
        <v/>
      </c>
    </row>
    <row r="14" spans="15:36" ht="18.600000000000001" customHeight="1" x14ac:dyDescent="0.45">
      <c r="O14">
        <f t="shared" si="0"/>
        <v>0</v>
      </c>
      <c r="P14">
        <f t="shared" si="16"/>
        <v>0</v>
      </c>
      <c r="R14" t="str" cm="1">
        <f t="array" ref="R14">IFERROR(_xlfn.AGGREGATE(15, 6, ($O$2:$O$350)/($O$2:$O$350&lt;&gt;0), ROWS($R$2:R14)), "")</f>
        <v/>
      </c>
      <c r="S14" t="str" cm="1">
        <f t="array" ref="S14">IFERROR(_xlfn.AGGREGATE(15, 6, ($P$2:$P$350)/($P$2:$P$350&lt;&gt;0), ROWS($R$2:R14)), "")</f>
        <v/>
      </c>
      <c r="U14" t="str">
        <f t="shared" ca="1" si="5"/>
        <v/>
      </c>
      <c r="V14" t="str">
        <f t="shared" ca="1" si="6"/>
        <v/>
      </c>
      <c r="W14" t="str">
        <f t="shared" ca="1" si="7"/>
        <v/>
      </c>
      <c r="X14" t="str">
        <f t="shared" ca="1" si="8"/>
        <v/>
      </c>
      <c r="Z14" t="str">
        <f t="shared" ca="1" si="9"/>
        <v/>
      </c>
      <c r="AA14" t="str">
        <f t="shared" ca="1" si="2"/>
        <v/>
      </c>
      <c r="AB14" t="str">
        <f t="shared" ca="1" si="3"/>
        <v/>
      </c>
      <c r="AC14" t="str">
        <f t="shared" ca="1" si="4"/>
        <v/>
      </c>
      <c r="AE14" t="str">
        <f t="shared" ca="1" si="10"/>
        <v/>
      </c>
      <c r="AF14" t="str">
        <f t="shared" ca="1" si="11"/>
        <v/>
      </c>
      <c r="AG14" t="str">
        <f t="shared" ca="1" si="12"/>
        <v/>
      </c>
      <c r="AH14" t="str">
        <f t="shared" ca="1" si="13"/>
        <v/>
      </c>
      <c r="AI14" t="str">
        <f t="shared" ca="1" si="14"/>
        <v/>
      </c>
      <c r="AJ14" t="str">
        <f t="shared" ca="1" si="15"/>
        <v/>
      </c>
    </row>
    <row r="15" spans="15:36" ht="18.600000000000001" customHeight="1" x14ac:dyDescent="0.45">
      <c r="O15">
        <f t="shared" si="0"/>
        <v>0</v>
      </c>
      <c r="P15">
        <f t="shared" si="16"/>
        <v>0</v>
      </c>
      <c r="R15" t="str" cm="1">
        <f t="array" ref="R15">IFERROR(_xlfn.AGGREGATE(15, 6, ($O$2:$O$350)/($O$2:$O$350&lt;&gt;0), ROWS($R$2:R15)), "")</f>
        <v/>
      </c>
      <c r="S15" t="str" cm="1">
        <f t="array" ref="S15">IFERROR(_xlfn.AGGREGATE(15, 6, ($P$2:$P$350)/($P$2:$P$350&lt;&gt;0), ROWS($R$2:R15)), "")</f>
        <v/>
      </c>
      <c r="U15" t="str">
        <f t="shared" ca="1" si="5"/>
        <v/>
      </c>
      <c r="V15" t="str">
        <f t="shared" ca="1" si="6"/>
        <v/>
      </c>
      <c r="W15" t="str">
        <f t="shared" ca="1" si="7"/>
        <v/>
      </c>
      <c r="X15" t="str">
        <f t="shared" ca="1" si="8"/>
        <v/>
      </c>
      <c r="Z15" t="str">
        <f t="shared" ca="1" si="9"/>
        <v/>
      </c>
      <c r="AA15" t="str">
        <f t="shared" ca="1" si="2"/>
        <v/>
      </c>
      <c r="AB15" t="str">
        <f t="shared" ca="1" si="3"/>
        <v/>
      </c>
      <c r="AC15" t="str">
        <f t="shared" ca="1" si="4"/>
        <v/>
      </c>
      <c r="AE15" t="str">
        <f t="shared" ca="1" si="10"/>
        <v/>
      </c>
      <c r="AF15" t="str">
        <f t="shared" ca="1" si="11"/>
        <v/>
      </c>
      <c r="AG15" t="str">
        <f t="shared" ca="1" si="12"/>
        <v/>
      </c>
      <c r="AH15" t="str">
        <f t="shared" ca="1" si="13"/>
        <v/>
      </c>
      <c r="AI15" t="str">
        <f t="shared" ca="1" si="14"/>
        <v/>
      </c>
      <c r="AJ15" t="str">
        <f t="shared" ca="1" si="15"/>
        <v/>
      </c>
    </row>
    <row r="16" spans="15:36" ht="18.600000000000001" customHeight="1" x14ac:dyDescent="0.45">
      <c r="O16">
        <f t="shared" si="0"/>
        <v>0</v>
      </c>
      <c r="P16">
        <f t="shared" si="16"/>
        <v>0</v>
      </c>
      <c r="R16" t="str" cm="1">
        <f t="array" ref="R16">IFERROR(_xlfn.AGGREGATE(15, 6, ($O$2:$O$350)/($O$2:$O$350&lt;&gt;0), ROWS($R$2:R16)), "")</f>
        <v/>
      </c>
      <c r="S16" t="str" cm="1">
        <f t="array" ref="S16">IFERROR(_xlfn.AGGREGATE(15, 6, ($P$2:$P$350)/($P$2:$P$350&lt;&gt;0), ROWS($R$2:R16)), "")</f>
        <v/>
      </c>
      <c r="U16" t="str">
        <f t="shared" ca="1" si="5"/>
        <v/>
      </c>
      <c r="V16" t="str">
        <f t="shared" ca="1" si="6"/>
        <v/>
      </c>
      <c r="W16" t="str">
        <f t="shared" ca="1" si="7"/>
        <v/>
      </c>
      <c r="X16" t="str">
        <f t="shared" ca="1" si="8"/>
        <v/>
      </c>
      <c r="Z16" t="str">
        <f t="shared" ca="1" si="9"/>
        <v/>
      </c>
      <c r="AA16" t="str">
        <f t="shared" ca="1" si="2"/>
        <v/>
      </c>
      <c r="AB16" t="str">
        <f t="shared" ca="1" si="3"/>
        <v/>
      </c>
      <c r="AC16" t="str">
        <f t="shared" ca="1" si="4"/>
        <v/>
      </c>
      <c r="AE16" t="str">
        <f t="shared" ca="1" si="10"/>
        <v/>
      </c>
      <c r="AF16" t="str">
        <f t="shared" ca="1" si="11"/>
        <v/>
      </c>
      <c r="AG16" t="str">
        <f t="shared" ca="1" si="12"/>
        <v/>
      </c>
      <c r="AH16" t="str">
        <f t="shared" ca="1" si="13"/>
        <v/>
      </c>
      <c r="AI16" t="str">
        <f t="shared" ca="1" si="14"/>
        <v/>
      </c>
      <c r="AJ16" t="str">
        <f t="shared" ca="1" si="15"/>
        <v/>
      </c>
    </row>
    <row r="17" spans="15:36" ht="18.600000000000001" customHeight="1" x14ac:dyDescent="0.45">
      <c r="O17">
        <f t="shared" si="0"/>
        <v>0</v>
      </c>
      <c r="P17">
        <f t="shared" si="16"/>
        <v>0</v>
      </c>
      <c r="R17" t="str" cm="1">
        <f t="array" ref="R17">IFERROR(_xlfn.AGGREGATE(15, 6, ($O$2:$O$350)/($O$2:$O$350&lt;&gt;0), ROWS($R$2:R17)), "")</f>
        <v/>
      </c>
      <c r="S17" t="str" cm="1">
        <f t="array" ref="S17">IFERROR(_xlfn.AGGREGATE(15, 6, ($P$2:$P$350)/($P$2:$P$350&lt;&gt;0), ROWS($R$2:R17)), "")</f>
        <v/>
      </c>
      <c r="U17" t="str">
        <f t="shared" ca="1" si="5"/>
        <v/>
      </c>
      <c r="V17" t="str">
        <f t="shared" ca="1" si="6"/>
        <v/>
      </c>
      <c r="W17" t="str">
        <f t="shared" ca="1" si="7"/>
        <v/>
      </c>
      <c r="X17" t="str">
        <f t="shared" ca="1" si="8"/>
        <v/>
      </c>
      <c r="Z17" t="str">
        <f t="shared" ca="1" si="9"/>
        <v/>
      </c>
      <c r="AA17" t="str">
        <f t="shared" ca="1" si="2"/>
        <v/>
      </c>
      <c r="AB17" t="str">
        <f t="shared" ca="1" si="3"/>
        <v/>
      </c>
      <c r="AC17" t="str">
        <f t="shared" ca="1" si="4"/>
        <v/>
      </c>
      <c r="AE17" t="str">
        <f t="shared" ca="1" si="10"/>
        <v/>
      </c>
      <c r="AF17" t="str">
        <f t="shared" ca="1" si="11"/>
        <v/>
      </c>
      <c r="AG17" t="str">
        <f t="shared" ca="1" si="12"/>
        <v/>
      </c>
      <c r="AH17" t="str">
        <f t="shared" ca="1" si="13"/>
        <v/>
      </c>
      <c r="AI17" t="str">
        <f t="shared" ca="1" si="14"/>
        <v/>
      </c>
      <c r="AJ17" t="str">
        <f t="shared" ca="1" si="15"/>
        <v/>
      </c>
    </row>
    <row r="18" spans="15:36" ht="18.600000000000001" customHeight="1" x14ac:dyDescent="0.45">
      <c r="O18">
        <f t="shared" si="0"/>
        <v>0</v>
      </c>
      <c r="P18">
        <f t="shared" si="16"/>
        <v>0</v>
      </c>
      <c r="R18" t="str" cm="1">
        <f t="array" ref="R18">IFERROR(_xlfn.AGGREGATE(15, 6, ($O$2:$O$350)/($O$2:$O$350&lt;&gt;0), ROWS($R$2:R18)), "")</f>
        <v/>
      </c>
      <c r="S18" t="str" cm="1">
        <f t="array" ref="S18">IFERROR(_xlfn.AGGREGATE(15, 6, ($P$2:$P$350)/($P$2:$P$350&lt;&gt;0), ROWS($R$2:R18)), "")</f>
        <v/>
      </c>
      <c r="U18" t="str">
        <f t="shared" ca="1" si="5"/>
        <v/>
      </c>
      <c r="V18" t="str">
        <f t="shared" ca="1" si="6"/>
        <v/>
      </c>
      <c r="W18" t="str">
        <f t="shared" ca="1" si="7"/>
        <v/>
      </c>
      <c r="X18" t="str">
        <f t="shared" ca="1" si="8"/>
        <v/>
      </c>
      <c r="Z18" t="str">
        <f t="shared" ca="1" si="9"/>
        <v/>
      </c>
      <c r="AA18" t="str">
        <f t="shared" ca="1" si="2"/>
        <v/>
      </c>
      <c r="AB18" t="str">
        <f t="shared" ca="1" si="3"/>
        <v/>
      </c>
      <c r="AC18" t="str">
        <f t="shared" ca="1" si="4"/>
        <v/>
      </c>
      <c r="AE18" t="str">
        <f t="shared" ca="1" si="10"/>
        <v/>
      </c>
      <c r="AF18" t="str">
        <f t="shared" ca="1" si="11"/>
        <v/>
      </c>
      <c r="AG18" t="str">
        <f t="shared" ca="1" si="12"/>
        <v/>
      </c>
      <c r="AH18" t="str">
        <f t="shared" ca="1" si="13"/>
        <v/>
      </c>
      <c r="AI18" t="str">
        <f t="shared" ca="1" si="14"/>
        <v/>
      </c>
      <c r="AJ18" t="str">
        <f t="shared" ca="1" si="15"/>
        <v/>
      </c>
    </row>
    <row r="19" spans="15:36" ht="18.600000000000001" customHeight="1" x14ac:dyDescent="0.45">
      <c r="O19">
        <f t="shared" si="0"/>
        <v>0</v>
      </c>
      <c r="P19">
        <f t="shared" si="16"/>
        <v>0</v>
      </c>
      <c r="R19" t="str" cm="1">
        <f t="array" ref="R19">IFERROR(_xlfn.AGGREGATE(15, 6, ($O$2:$O$350)/($O$2:$O$350&lt;&gt;0), ROWS($R$2:R19)), "")</f>
        <v/>
      </c>
      <c r="S19" t="str" cm="1">
        <f t="array" ref="S19">IFERROR(_xlfn.AGGREGATE(15, 6, ($P$2:$P$350)/($P$2:$P$350&lt;&gt;0), ROWS($R$2:R19)), "")</f>
        <v/>
      </c>
      <c r="U19" t="str">
        <f t="shared" ca="1" si="5"/>
        <v/>
      </c>
      <c r="V19" t="str">
        <f t="shared" ca="1" si="6"/>
        <v/>
      </c>
      <c r="W19" t="str">
        <f t="shared" ca="1" si="7"/>
        <v/>
      </c>
      <c r="X19" t="str">
        <f t="shared" ca="1" si="8"/>
        <v/>
      </c>
      <c r="Z19" t="str">
        <f t="shared" ca="1" si="9"/>
        <v/>
      </c>
      <c r="AA19" t="str">
        <f t="shared" ca="1" si="2"/>
        <v/>
      </c>
      <c r="AB19" t="str">
        <f t="shared" ca="1" si="3"/>
        <v/>
      </c>
      <c r="AC19" t="str">
        <f t="shared" ca="1" si="4"/>
        <v/>
      </c>
      <c r="AE19" t="str">
        <f t="shared" ca="1" si="10"/>
        <v/>
      </c>
      <c r="AF19" t="str">
        <f t="shared" ca="1" si="11"/>
        <v/>
      </c>
      <c r="AG19" t="str">
        <f t="shared" ca="1" si="12"/>
        <v/>
      </c>
      <c r="AH19" t="str">
        <f t="shared" ca="1" si="13"/>
        <v/>
      </c>
      <c r="AI19" t="str">
        <f t="shared" ca="1" si="14"/>
        <v/>
      </c>
      <c r="AJ19" t="str">
        <f t="shared" ca="1" si="15"/>
        <v/>
      </c>
    </row>
    <row r="20" spans="15:36" ht="18.600000000000001" customHeight="1" x14ac:dyDescent="0.45">
      <c r="O20">
        <f t="shared" si="0"/>
        <v>0</v>
      </c>
      <c r="P20">
        <f t="shared" si="16"/>
        <v>0</v>
      </c>
      <c r="R20" t="str" cm="1">
        <f t="array" ref="R20">IFERROR(_xlfn.AGGREGATE(15, 6, ($O$2:$O$350)/($O$2:$O$350&lt;&gt;0), ROWS($R$2:R20)), "")</f>
        <v/>
      </c>
      <c r="S20" t="str" cm="1">
        <f t="array" ref="S20">IFERROR(_xlfn.AGGREGATE(15, 6, ($P$2:$P$350)/($P$2:$P$350&lt;&gt;0), ROWS($R$2:R20)), "")</f>
        <v/>
      </c>
      <c r="U20" t="str">
        <f t="shared" ca="1" si="5"/>
        <v/>
      </c>
      <c r="V20" t="str">
        <f t="shared" ca="1" si="6"/>
        <v/>
      </c>
      <c r="W20" t="str">
        <f t="shared" ca="1" si="7"/>
        <v/>
      </c>
      <c r="X20" t="str">
        <f t="shared" ca="1" si="8"/>
        <v/>
      </c>
      <c r="Z20" t="str">
        <f t="shared" ca="1" si="9"/>
        <v/>
      </c>
      <c r="AA20" t="str">
        <f t="shared" ca="1" si="2"/>
        <v/>
      </c>
      <c r="AB20" t="str">
        <f t="shared" ca="1" si="3"/>
        <v/>
      </c>
      <c r="AC20" t="str">
        <f t="shared" ca="1" si="4"/>
        <v/>
      </c>
      <c r="AE20" t="str">
        <f t="shared" ca="1" si="10"/>
        <v/>
      </c>
      <c r="AF20" t="str">
        <f t="shared" ca="1" si="11"/>
        <v/>
      </c>
      <c r="AG20" t="str">
        <f t="shared" ca="1" si="12"/>
        <v/>
      </c>
      <c r="AH20" t="str">
        <f t="shared" ca="1" si="13"/>
        <v/>
      </c>
      <c r="AI20" t="str">
        <f t="shared" ca="1" si="14"/>
        <v/>
      </c>
      <c r="AJ20" t="str">
        <f t="shared" ca="1" si="15"/>
        <v/>
      </c>
    </row>
    <row r="21" spans="15:36" ht="18.600000000000001" customHeight="1" x14ac:dyDescent="0.45">
      <c r="O21">
        <f t="shared" si="0"/>
        <v>0</v>
      </c>
      <c r="P21">
        <f t="shared" si="16"/>
        <v>0</v>
      </c>
      <c r="R21" t="str" cm="1">
        <f t="array" ref="R21">IFERROR(_xlfn.AGGREGATE(15, 6, ($O$2:$O$350)/($O$2:$O$350&lt;&gt;0), ROWS($R$2:R21)), "")</f>
        <v/>
      </c>
      <c r="S21" t="str" cm="1">
        <f t="array" ref="S21">IFERROR(_xlfn.AGGREGATE(15, 6, ($P$2:$P$350)/($P$2:$P$350&lt;&gt;0), ROWS($R$2:R21)), "")</f>
        <v/>
      </c>
      <c r="U21" t="str">
        <f t="shared" ca="1" si="5"/>
        <v/>
      </c>
      <c r="V21" t="str">
        <f t="shared" ca="1" si="6"/>
        <v/>
      </c>
      <c r="W21" t="str">
        <f t="shared" ca="1" si="7"/>
        <v/>
      </c>
      <c r="X21" t="str">
        <f t="shared" ca="1" si="8"/>
        <v/>
      </c>
      <c r="Z21" t="str">
        <f t="shared" ca="1" si="9"/>
        <v/>
      </c>
      <c r="AA21" t="str">
        <f t="shared" ca="1" si="2"/>
        <v/>
      </c>
      <c r="AB21" t="str">
        <f t="shared" ca="1" si="3"/>
        <v/>
      </c>
      <c r="AC21" t="str">
        <f t="shared" ca="1" si="4"/>
        <v/>
      </c>
      <c r="AE21" t="str">
        <f t="shared" ca="1" si="10"/>
        <v/>
      </c>
      <c r="AF21" t="str">
        <f t="shared" ca="1" si="11"/>
        <v/>
      </c>
      <c r="AG21" t="str">
        <f t="shared" ca="1" si="12"/>
        <v/>
      </c>
      <c r="AH21" t="str">
        <f t="shared" ca="1" si="13"/>
        <v/>
      </c>
      <c r="AI21" t="str">
        <f t="shared" ca="1" si="14"/>
        <v/>
      </c>
      <c r="AJ21" t="str">
        <f t="shared" ca="1" si="15"/>
        <v/>
      </c>
    </row>
    <row r="22" spans="15:36" ht="18.600000000000001" customHeight="1" x14ac:dyDescent="0.45">
      <c r="O22">
        <f t="shared" si="0"/>
        <v>0</v>
      </c>
      <c r="P22">
        <f t="shared" si="16"/>
        <v>0</v>
      </c>
      <c r="R22" t="str" cm="1">
        <f t="array" ref="R22">IFERROR(_xlfn.AGGREGATE(15, 6, ($O$2:$O$350)/($O$2:$O$350&lt;&gt;0), ROWS($R$2:R22)), "")</f>
        <v/>
      </c>
      <c r="S22" t="str" cm="1">
        <f t="array" ref="S22">IFERROR(_xlfn.AGGREGATE(15, 6, ($P$2:$P$350)/($P$2:$P$350&lt;&gt;0), ROWS($R$2:R22)), "")</f>
        <v/>
      </c>
      <c r="U22" t="str">
        <f t="shared" ca="1" si="5"/>
        <v/>
      </c>
      <c r="V22" t="str">
        <f t="shared" ca="1" si="6"/>
        <v/>
      </c>
      <c r="W22" t="str">
        <f t="shared" ca="1" si="7"/>
        <v/>
      </c>
      <c r="X22" t="str">
        <f t="shared" ca="1" si="8"/>
        <v/>
      </c>
      <c r="Z22" t="str">
        <f t="shared" ca="1" si="9"/>
        <v/>
      </c>
      <c r="AA22" t="str">
        <f t="shared" ca="1" si="2"/>
        <v/>
      </c>
      <c r="AB22" t="str">
        <f t="shared" ca="1" si="3"/>
        <v/>
      </c>
      <c r="AC22" t="str">
        <f t="shared" ca="1" si="4"/>
        <v/>
      </c>
      <c r="AE22" t="str">
        <f t="shared" ca="1" si="10"/>
        <v/>
      </c>
      <c r="AF22" t="str">
        <f t="shared" ca="1" si="11"/>
        <v/>
      </c>
      <c r="AG22" t="str">
        <f t="shared" ca="1" si="12"/>
        <v/>
      </c>
      <c r="AH22" t="str">
        <f t="shared" ca="1" si="13"/>
        <v/>
      </c>
      <c r="AI22" t="str">
        <f t="shared" ca="1" si="14"/>
        <v/>
      </c>
      <c r="AJ22" t="str">
        <f t="shared" ca="1" si="15"/>
        <v/>
      </c>
    </row>
    <row r="23" spans="15:36" ht="18.600000000000001" customHeight="1" x14ac:dyDescent="0.45">
      <c r="O23">
        <f t="shared" si="0"/>
        <v>0</v>
      </c>
      <c r="P23">
        <f t="shared" si="16"/>
        <v>0</v>
      </c>
      <c r="R23" t="str" cm="1">
        <f t="array" ref="R23">IFERROR(_xlfn.AGGREGATE(15, 6, ($O$2:$O$350)/($O$2:$O$350&lt;&gt;0), ROWS($R$2:R23)), "")</f>
        <v/>
      </c>
      <c r="S23" t="str" cm="1">
        <f t="array" ref="S23">IFERROR(_xlfn.AGGREGATE(15, 6, ($P$2:$P$350)/($P$2:$P$350&lt;&gt;0), ROWS($R$2:R23)), "")</f>
        <v/>
      </c>
      <c r="U23" t="str">
        <f t="shared" ca="1" si="5"/>
        <v/>
      </c>
      <c r="V23" t="str">
        <f t="shared" ca="1" si="6"/>
        <v/>
      </c>
      <c r="W23" t="str">
        <f t="shared" ca="1" si="7"/>
        <v/>
      </c>
      <c r="X23" t="str">
        <f t="shared" ca="1" si="8"/>
        <v/>
      </c>
      <c r="Z23" t="str">
        <f t="shared" ca="1" si="9"/>
        <v/>
      </c>
      <c r="AA23" t="str">
        <f t="shared" ca="1" si="2"/>
        <v/>
      </c>
      <c r="AB23" t="str">
        <f t="shared" ca="1" si="3"/>
        <v/>
      </c>
      <c r="AC23" t="str">
        <f t="shared" ca="1" si="4"/>
        <v/>
      </c>
      <c r="AE23" t="str">
        <f t="shared" ca="1" si="10"/>
        <v/>
      </c>
      <c r="AF23" t="str">
        <f t="shared" ca="1" si="11"/>
        <v/>
      </c>
      <c r="AG23" t="str">
        <f t="shared" ca="1" si="12"/>
        <v/>
      </c>
      <c r="AH23" t="str">
        <f t="shared" ca="1" si="13"/>
        <v/>
      </c>
      <c r="AI23" t="str">
        <f t="shared" ca="1" si="14"/>
        <v/>
      </c>
      <c r="AJ23" t="str">
        <f t="shared" ca="1" si="15"/>
        <v/>
      </c>
    </row>
    <row r="24" spans="15:36" ht="18.600000000000001" customHeight="1" x14ac:dyDescent="0.45">
      <c r="O24">
        <f t="shared" si="0"/>
        <v>0</v>
      </c>
      <c r="P24">
        <f t="shared" si="16"/>
        <v>0</v>
      </c>
      <c r="R24" t="str" cm="1">
        <f t="array" ref="R24">IFERROR(_xlfn.AGGREGATE(15, 6, ($O$2:$O$350)/($O$2:$O$350&lt;&gt;0), ROWS($R$2:R24)), "")</f>
        <v/>
      </c>
      <c r="S24" t="str" cm="1">
        <f t="array" ref="S24">IFERROR(_xlfn.AGGREGATE(15, 6, ($P$2:$P$350)/($P$2:$P$350&lt;&gt;0), ROWS($R$2:R24)), "")</f>
        <v/>
      </c>
      <c r="U24" t="str">
        <f t="shared" ca="1" si="5"/>
        <v/>
      </c>
      <c r="V24" t="str">
        <f t="shared" ca="1" si="6"/>
        <v/>
      </c>
      <c r="W24" t="str">
        <f t="shared" ca="1" si="7"/>
        <v/>
      </c>
      <c r="X24" t="str">
        <f t="shared" ca="1" si="8"/>
        <v/>
      </c>
      <c r="Z24" t="str">
        <f t="shared" ca="1" si="9"/>
        <v/>
      </c>
      <c r="AA24" t="str">
        <f t="shared" ca="1" si="2"/>
        <v/>
      </c>
      <c r="AB24" t="str">
        <f t="shared" ca="1" si="3"/>
        <v/>
      </c>
      <c r="AC24" t="str">
        <f t="shared" ca="1" si="4"/>
        <v/>
      </c>
      <c r="AE24" t="str">
        <f t="shared" ca="1" si="10"/>
        <v/>
      </c>
      <c r="AF24" t="str">
        <f t="shared" ca="1" si="11"/>
        <v/>
      </c>
      <c r="AG24" t="str">
        <f t="shared" ca="1" si="12"/>
        <v/>
      </c>
      <c r="AH24" t="str">
        <f t="shared" ca="1" si="13"/>
        <v/>
      </c>
      <c r="AI24" t="str">
        <f t="shared" ca="1" si="14"/>
        <v/>
      </c>
      <c r="AJ24" t="str">
        <f t="shared" ca="1" si="15"/>
        <v/>
      </c>
    </row>
    <row r="25" spans="15:36" ht="18.600000000000001" customHeight="1" x14ac:dyDescent="0.45">
      <c r="O25">
        <f t="shared" si="0"/>
        <v>0</v>
      </c>
      <c r="P25">
        <f t="shared" si="16"/>
        <v>0</v>
      </c>
      <c r="R25" t="str" cm="1">
        <f t="array" ref="R25">IFERROR(_xlfn.AGGREGATE(15, 6, ($O$2:$O$350)/($O$2:$O$350&lt;&gt;0), ROWS($R$2:R25)), "")</f>
        <v/>
      </c>
      <c r="S25" t="str" cm="1">
        <f t="array" ref="S25">IFERROR(_xlfn.AGGREGATE(15, 6, ($P$2:$P$350)/($P$2:$P$350&lt;&gt;0), ROWS($R$2:R25)), "")</f>
        <v/>
      </c>
      <c r="U25" t="str">
        <f t="shared" ca="1" si="5"/>
        <v/>
      </c>
      <c r="V25" t="str">
        <f t="shared" ca="1" si="6"/>
        <v/>
      </c>
      <c r="W25" t="str">
        <f t="shared" ca="1" si="7"/>
        <v/>
      </c>
      <c r="X25" t="str">
        <f t="shared" ca="1" si="8"/>
        <v/>
      </c>
      <c r="Z25" t="str">
        <f t="shared" ca="1" si="9"/>
        <v/>
      </c>
      <c r="AA25" t="str">
        <f t="shared" ca="1" si="2"/>
        <v/>
      </c>
      <c r="AB25" t="str">
        <f t="shared" ca="1" si="3"/>
        <v/>
      </c>
      <c r="AC25" t="str">
        <f t="shared" ca="1" si="4"/>
        <v/>
      </c>
      <c r="AE25" t="str">
        <f t="shared" ca="1" si="10"/>
        <v/>
      </c>
      <c r="AF25" t="str">
        <f t="shared" ca="1" si="11"/>
        <v/>
      </c>
      <c r="AG25" t="str">
        <f t="shared" ca="1" si="12"/>
        <v/>
      </c>
      <c r="AH25" t="str">
        <f t="shared" ca="1" si="13"/>
        <v/>
      </c>
      <c r="AI25" t="str">
        <f t="shared" ca="1" si="14"/>
        <v/>
      </c>
      <c r="AJ25" t="str">
        <f t="shared" ca="1" si="15"/>
        <v/>
      </c>
    </row>
    <row r="26" spans="15:36" ht="18.600000000000001" customHeight="1" x14ac:dyDescent="0.45">
      <c r="O26">
        <f t="shared" si="0"/>
        <v>0</v>
      </c>
      <c r="P26">
        <f t="shared" si="16"/>
        <v>0</v>
      </c>
      <c r="R26" t="str" cm="1">
        <f t="array" ref="R26">IFERROR(_xlfn.AGGREGATE(15, 6, ($O$2:$O$350)/($O$2:$O$350&lt;&gt;0), ROWS($R$2:R26)), "")</f>
        <v/>
      </c>
      <c r="S26" t="str" cm="1">
        <f t="array" ref="S26">IFERROR(_xlfn.AGGREGATE(15, 6, ($P$2:$P$350)/($P$2:$P$350&lt;&gt;0), ROWS($R$2:R26)), "")</f>
        <v/>
      </c>
      <c r="U26" t="str">
        <f t="shared" ca="1" si="5"/>
        <v/>
      </c>
      <c r="V26" t="str">
        <f t="shared" ca="1" si="6"/>
        <v/>
      </c>
      <c r="W26" t="str">
        <f t="shared" ca="1" si="7"/>
        <v/>
      </c>
      <c r="X26" t="str">
        <f t="shared" ca="1" si="8"/>
        <v/>
      </c>
      <c r="Z26" t="str">
        <f t="shared" ca="1" si="9"/>
        <v/>
      </c>
      <c r="AA26" t="str">
        <f t="shared" ca="1" si="2"/>
        <v/>
      </c>
      <c r="AB26" t="str">
        <f t="shared" ca="1" si="3"/>
        <v/>
      </c>
      <c r="AC26" t="str">
        <f t="shared" ca="1" si="4"/>
        <v/>
      </c>
      <c r="AE26" t="str">
        <f t="shared" ca="1" si="10"/>
        <v/>
      </c>
      <c r="AF26" t="str">
        <f t="shared" ca="1" si="11"/>
        <v/>
      </c>
      <c r="AG26" t="str">
        <f t="shared" ca="1" si="12"/>
        <v/>
      </c>
      <c r="AH26" t="str">
        <f t="shared" ca="1" si="13"/>
        <v/>
      </c>
      <c r="AI26" t="str">
        <f t="shared" ca="1" si="14"/>
        <v/>
      </c>
      <c r="AJ26" t="str">
        <f t="shared" ca="1" si="15"/>
        <v/>
      </c>
    </row>
    <row r="27" spans="15:36" ht="18.600000000000001" customHeight="1" x14ac:dyDescent="0.45">
      <c r="O27">
        <f t="shared" si="0"/>
        <v>0</v>
      </c>
      <c r="P27">
        <f t="shared" si="16"/>
        <v>0</v>
      </c>
      <c r="R27" t="str" cm="1">
        <f t="array" ref="R27">IFERROR(_xlfn.AGGREGATE(15, 6, ($O$2:$O$350)/($O$2:$O$350&lt;&gt;0), ROWS($R$2:R27)), "")</f>
        <v/>
      </c>
      <c r="S27" t="str" cm="1">
        <f t="array" ref="S27">IFERROR(_xlfn.AGGREGATE(15, 6, ($P$2:$P$350)/($P$2:$P$350&lt;&gt;0), ROWS($R$2:R27)), "")</f>
        <v/>
      </c>
      <c r="U27" t="str">
        <f t="shared" ca="1" si="5"/>
        <v/>
      </c>
      <c r="V27" t="str">
        <f t="shared" ca="1" si="6"/>
        <v/>
      </c>
      <c r="W27" t="str">
        <f t="shared" ca="1" si="7"/>
        <v/>
      </c>
      <c r="X27" t="str">
        <f t="shared" ca="1" si="8"/>
        <v/>
      </c>
      <c r="Z27" t="str">
        <f t="shared" ca="1" si="9"/>
        <v/>
      </c>
      <c r="AA27" t="str">
        <f t="shared" ca="1" si="2"/>
        <v/>
      </c>
      <c r="AB27" t="str">
        <f t="shared" ca="1" si="3"/>
        <v/>
      </c>
      <c r="AC27" t="str">
        <f t="shared" ca="1" si="4"/>
        <v/>
      </c>
      <c r="AE27" t="str">
        <f t="shared" ca="1" si="10"/>
        <v/>
      </c>
      <c r="AF27" t="str">
        <f t="shared" ca="1" si="11"/>
        <v/>
      </c>
      <c r="AG27" t="str">
        <f t="shared" ca="1" si="12"/>
        <v/>
      </c>
      <c r="AH27" t="str">
        <f t="shared" ca="1" si="13"/>
        <v/>
      </c>
      <c r="AI27" t="str">
        <f t="shared" ca="1" si="14"/>
        <v/>
      </c>
      <c r="AJ27" t="str">
        <f t="shared" ca="1" si="15"/>
        <v/>
      </c>
    </row>
    <row r="28" spans="15:36" ht="18.600000000000001" customHeight="1" x14ac:dyDescent="0.45">
      <c r="O28">
        <f t="shared" si="0"/>
        <v>0</v>
      </c>
      <c r="P28">
        <f t="shared" si="16"/>
        <v>0</v>
      </c>
      <c r="R28" t="str" cm="1">
        <f t="array" ref="R28">IFERROR(_xlfn.AGGREGATE(15, 6, ($O$2:$O$350)/($O$2:$O$350&lt;&gt;0), ROWS($R$2:R28)), "")</f>
        <v/>
      </c>
      <c r="S28" t="str" cm="1">
        <f t="array" ref="S28">IFERROR(_xlfn.AGGREGATE(15, 6, ($P$2:$P$350)/($P$2:$P$350&lt;&gt;0), ROWS($R$2:R28)), "")</f>
        <v/>
      </c>
      <c r="U28" t="str">
        <f t="shared" ca="1" si="5"/>
        <v/>
      </c>
      <c r="V28" t="str">
        <f t="shared" ca="1" si="6"/>
        <v/>
      </c>
      <c r="W28" t="str">
        <f t="shared" ca="1" si="7"/>
        <v/>
      </c>
      <c r="X28" t="str">
        <f t="shared" ca="1" si="8"/>
        <v/>
      </c>
      <c r="Z28" t="str">
        <f t="shared" ca="1" si="9"/>
        <v/>
      </c>
      <c r="AA28" t="str">
        <f t="shared" ca="1" si="2"/>
        <v/>
      </c>
      <c r="AB28" t="str">
        <f t="shared" ca="1" si="3"/>
        <v/>
      </c>
      <c r="AC28" t="str">
        <f t="shared" ca="1" si="4"/>
        <v/>
      </c>
      <c r="AE28" t="str">
        <f t="shared" ca="1" si="10"/>
        <v/>
      </c>
      <c r="AF28" t="str">
        <f t="shared" ca="1" si="11"/>
        <v/>
      </c>
      <c r="AG28" t="str">
        <f t="shared" ca="1" si="12"/>
        <v/>
      </c>
      <c r="AH28" t="str">
        <f t="shared" ca="1" si="13"/>
        <v/>
      </c>
      <c r="AI28" t="str">
        <f t="shared" ca="1" si="14"/>
        <v/>
      </c>
      <c r="AJ28" t="str">
        <f t="shared" ca="1" si="15"/>
        <v/>
      </c>
    </row>
    <row r="29" spans="15:36" ht="18.600000000000001" customHeight="1" x14ac:dyDescent="0.45">
      <c r="O29">
        <f t="shared" si="0"/>
        <v>0</v>
      </c>
      <c r="P29">
        <f t="shared" si="16"/>
        <v>0</v>
      </c>
      <c r="R29" t="str" cm="1">
        <f t="array" ref="R29">IFERROR(_xlfn.AGGREGATE(15, 6, ($O$2:$O$350)/($O$2:$O$350&lt;&gt;0), ROWS($R$2:R29)), "")</f>
        <v/>
      </c>
      <c r="S29" t="str" cm="1">
        <f t="array" ref="S29">IFERROR(_xlfn.AGGREGATE(15, 6, ($P$2:$P$350)/($P$2:$P$350&lt;&gt;0), ROWS($R$2:R29)), "")</f>
        <v/>
      </c>
      <c r="U29" t="str">
        <f t="shared" ca="1" si="5"/>
        <v/>
      </c>
      <c r="V29" t="str">
        <f t="shared" ca="1" si="6"/>
        <v/>
      </c>
      <c r="W29" t="str">
        <f t="shared" ca="1" si="7"/>
        <v/>
      </c>
      <c r="X29" t="str">
        <f t="shared" ca="1" si="8"/>
        <v/>
      </c>
      <c r="Z29" t="str">
        <f t="shared" ca="1" si="9"/>
        <v/>
      </c>
      <c r="AA29" t="str">
        <f t="shared" ca="1" si="2"/>
        <v/>
      </c>
      <c r="AB29" t="str">
        <f t="shared" ca="1" si="3"/>
        <v/>
      </c>
      <c r="AC29" t="str">
        <f t="shared" ca="1" si="4"/>
        <v/>
      </c>
      <c r="AE29" t="str">
        <f t="shared" ca="1" si="10"/>
        <v/>
      </c>
      <c r="AF29" t="str">
        <f t="shared" ca="1" si="11"/>
        <v/>
      </c>
      <c r="AG29" t="str">
        <f t="shared" ca="1" si="12"/>
        <v/>
      </c>
      <c r="AH29" t="str">
        <f t="shared" ca="1" si="13"/>
        <v/>
      </c>
      <c r="AI29" t="str">
        <f t="shared" ca="1" si="14"/>
        <v/>
      </c>
      <c r="AJ29" t="str">
        <f t="shared" ca="1" si="15"/>
        <v/>
      </c>
    </row>
    <row r="30" spans="15:36" ht="18.600000000000001" customHeight="1" x14ac:dyDescent="0.45">
      <c r="O30">
        <f t="shared" si="0"/>
        <v>0</v>
      </c>
      <c r="P30">
        <f t="shared" si="16"/>
        <v>0</v>
      </c>
      <c r="R30" t="str" cm="1">
        <f t="array" ref="R30">IFERROR(_xlfn.AGGREGATE(15, 6, ($O$2:$O$350)/($O$2:$O$350&lt;&gt;0), ROWS($R$2:R30)), "")</f>
        <v/>
      </c>
      <c r="S30" t="str" cm="1">
        <f t="array" ref="S30">IFERROR(_xlfn.AGGREGATE(15, 6, ($P$2:$P$350)/($P$2:$P$350&lt;&gt;0), ROWS($R$2:R30)), "")</f>
        <v/>
      </c>
      <c r="U30" t="str">
        <f t="shared" ca="1" si="5"/>
        <v/>
      </c>
      <c r="V30" t="str">
        <f t="shared" ca="1" si="6"/>
        <v/>
      </c>
      <c r="W30" t="str">
        <f t="shared" ca="1" si="7"/>
        <v/>
      </c>
      <c r="X30" t="str">
        <f t="shared" ca="1" si="8"/>
        <v/>
      </c>
      <c r="Z30" t="str">
        <f t="shared" ca="1" si="9"/>
        <v/>
      </c>
      <c r="AA30" t="str">
        <f t="shared" ca="1" si="2"/>
        <v/>
      </c>
      <c r="AB30" t="str">
        <f t="shared" ca="1" si="3"/>
        <v/>
      </c>
      <c r="AC30" t="str">
        <f t="shared" ca="1" si="4"/>
        <v/>
      </c>
      <c r="AE30" t="str">
        <f t="shared" ca="1" si="10"/>
        <v/>
      </c>
      <c r="AF30" t="str">
        <f t="shared" ca="1" si="11"/>
        <v/>
      </c>
      <c r="AG30" t="str">
        <f t="shared" ca="1" si="12"/>
        <v/>
      </c>
      <c r="AH30" t="str">
        <f t="shared" ca="1" si="13"/>
        <v/>
      </c>
      <c r="AI30" t="str">
        <f t="shared" ca="1" si="14"/>
        <v/>
      </c>
      <c r="AJ30" t="str">
        <f t="shared" ca="1" si="15"/>
        <v/>
      </c>
    </row>
    <row r="31" spans="15:36" ht="18.600000000000001" customHeight="1" x14ac:dyDescent="0.45">
      <c r="O31">
        <f t="shared" si="0"/>
        <v>0</v>
      </c>
      <c r="P31">
        <f t="shared" si="16"/>
        <v>0</v>
      </c>
      <c r="R31" t="str" cm="1">
        <f t="array" ref="R31">IFERROR(_xlfn.AGGREGATE(15, 6, ($O$2:$O$350)/($O$2:$O$350&lt;&gt;0), ROWS($R$2:R31)), "")</f>
        <v/>
      </c>
      <c r="S31" t="str" cm="1">
        <f t="array" ref="S31">IFERROR(_xlfn.AGGREGATE(15, 6, ($P$2:$P$350)/($P$2:$P$350&lt;&gt;0), ROWS($R$2:R31)), "")</f>
        <v/>
      </c>
      <c r="U31" t="str">
        <f t="shared" ca="1" si="5"/>
        <v/>
      </c>
      <c r="V31" t="str">
        <f t="shared" ca="1" si="6"/>
        <v/>
      </c>
      <c r="W31" t="str">
        <f t="shared" ca="1" si="7"/>
        <v/>
      </c>
      <c r="X31" t="str">
        <f t="shared" ca="1" si="8"/>
        <v/>
      </c>
      <c r="Z31" t="str">
        <f t="shared" ca="1" si="9"/>
        <v/>
      </c>
      <c r="AA31" t="str">
        <f t="shared" ca="1" si="2"/>
        <v/>
      </c>
      <c r="AB31" t="str">
        <f t="shared" ca="1" si="3"/>
        <v/>
      </c>
      <c r="AC31" t="str">
        <f t="shared" ca="1" si="4"/>
        <v/>
      </c>
      <c r="AE31" t="str">
        <f t="shared" ca="1" si="10"/>
        <v/>
      </c>
      <c r="AF31" t="str">
        <f t="shared" ca="1" si="11"/>
        <v/>
      </c>
      <c r="AG31" t="str">
        <f t="shared" ca="1" si="12"/>
        <v/>
      </c>
      <c r="AH31" t="str">
        <f t="shared" ca="1" si="13"/>
        <v/>
      </c>
      <c r="AI31" t="str">
        <f t="shared" ca="1" si="14"/>
        <v/>
      </c>
      <c r="AJ31" t="str">
        <f t="shared" ca="1" si="15"/>
        <v/>
      </c>
    </row>
    <row r="32" spans="15:36" ht="18.600000000000001" customHeight="1" x14ac:dyDescent="0.45">
      <c r="O32">
        <f t="shared" si="0"/>
        <v>0</v>
      </c>
      <c r="P32">
        <f t="shared" si="16"/>
        <v>0</v>
      </c>
      <c r="R32" t="str" cm="1">
        <f t="array" ref="R32">IFERROR(_xlfn.AGGREGATE(15, 6, ($O$2:$O$350)/($O$2:$O$350&lt;&gt;0), ROWS($R$2:R32)), "")</f>
        <v/>
      </c>
      <c r="S32" t="str" cm="1">
        <f t="array" ref="S32">IFERROR(_xlfn.AGGREGATE(15, 6, ($P$2:$P$350)/($P$2:$P$350&lt;&gt;0), ROWS($R$2:R32)), "")</f>
        <v/>
      </c>
      <c r="U32" t="str">
        <f t="shared" ca="1" si="5"/>
        <v/>
      </c>
      <c r="V32" t="str">
        <f t="shared" ca="1" si="6"/>
        <v/>
      </c>
      <c r="W32" t="str">
        <f t="shared" ca="1" si="7"/>
        <v/>
      </c>
      <c r="X32" t="str">
        <f t="shared" ca="1" si="8"/>
        <v/>
      </c>
      <c r="Z32" t="str">
        <f t="shared" ca="1" si="9"/>
        <v/>
      </c>
      <c r="AA32" t="str">
        <f t="shared" ca="1" si="2"/>
        <v/>
      </c>
      <c r="AB32" t="str">
        <f t="shared" ca="1" si="3"/>
        <v/>
      </c>
      <c r="AC32" t="str">
        <f t="shared" ca="1" si="4"/>
        <v/>
      </c>
      <c r="AE32" t="str">
        <f t="shared" ca="1" si="10"/>
        <v/>
      </c>
      <c r="AF32" t="str">
        <f t="shared" ca="1" si="11"/>
        <v/>
      </c>
      <c r="AG32" t="str">
        <f t="shared" ca="1" si="12"/>
        <v/>
      </c>
      <c r="AH32" t="str">
        <f t="shared" ca="1" si="13"/>
        <v/>
      </c>
      <c r="AI32" t="str">
        <f t="shared" ca="1" si="14"/>
        <v/>
      </c>
      <c r="AJ32" t="str">
        <f t="shared" ca="1" si="15"/>
        <v/>
      </c>
    </row>
    <row r="33" spans="15:36" ht="18.600000000000001" customHeight="1" x14ac:dyDescent="0.45">
      <c r="O33">
        <f t="shared" si="0"/>
        <v>0</v>
      </c>
      <c r="P33">
        <f t="shared" si="16"/>
        <v>0</v>
      </c>
      <c r="R33" t="str" cm="1">
        <f t="array" ref="R33">IFERROR(_xlfn.AGGREGATE(15, 6, ($O$2:$O$350)/($O$2:$O$350&lt;&gt;0), ROWS($R$2:R33)), "")</f>
        <v/>
      </c>
      <c r="S33" t="str" cm="1">
        <f t="array" ref="S33">IFERROR(_xlfn.AGGREGATE(15, 6, ($P$2:$P$350)/($P$2:$P$350&lt;&gt;0), ROWS($R$2:R33)), "")</f>
        <v/>
      </c>
      <c r="U33" t="str">
        <f t="shared" ca="1" si="5"/>
        <v/>
      </c>
      <c r="V33" t="str">
        <f t="shared" ca="1" si="6"/>
        <v/>
      </c>
      <c r="W33" t="str">
        <f t="shared" ca="1" si="7"/>
        <v/>
      </c>
      <c r="X33" t="str">
        <f t="shared" ca="1" si="8"/>
        <v/>
      </c>
      <c r="Z33" t="str">
        <f t="shared" ca="1" si="9"/>
        <v/>
      </c>
      <c r="AA33" t="str">
        <f t="shared" ca="1" si="2"/>
        <v/>
      </c>
      <c r="AB33" t="str">
        <f t="shared" ca="1" si="3"/>
        <v/>
      </c>
      <c r="AC33" t="str">
        <f t="shared" ref="AC33" ca="1" si="17">IFERROR(IF(S33&lt;&gt;"",
IF(COUNTIF(OFFSET($A$1,$S33-1,AB33),"*g*"),
AB33,IF(COUNTIF(OFFSET($A$1,$S33-1,AB33+1),"*g*"),AB33+2,
IF(OFFSET($A$1,$S33-1,AB33)=".","",
IF(OFFSET($A$1,$S33-1,AB33)=OFFSET($A$1,$S33-1,AB33+1),AB33+1,
IF(OFFSET($A$1,$S33-1,AB33+1)&lt;&gt;0,AB33+2,
IF(OFFSET($A$1,$S33-1,AB33)&lt;&gt;0,AB33+1,"")))))),""),"")</f>
        <v/>
      </c>
      <c r="AE33" t="str">
        <f t="shared" ca="1" si="10"/>
        <v/>
      </c>
      <c r="AF33" t="str">
        <f t="shared" ca="1" si="11"/>
        <v/>
      </c>
      <c r="AG33" t="str">
        <f t="shared" ca="1" si="12"/>
        <v/>
      </c>
      <c r="AH33" t="str">
        <f t="shared" ca="1" si="13"/>
        <v/>
      </c>
      <c r="AI33" t="str">
        <f t="shared" ca="1" si="14"/>
        <v/>
      </c>
      <c r="AJ33" t="str">
        <f t="shared" ca="1" si="15"/>
        <v/>
      </c>
    </row>
    <row r="34" spans="15:36" ht="18.600000000000001" customHeight="1" x14ac:dyDescent="0.45">
      <c r="O34">
        <f t="shared" si="0"/>
        <v>0</v>
      </c>
      <c r="P34">
        <f t="shared" si="16"/>
        <v>0</v>
      </c>
      <c r="R34" t="str" cm="1">
        <f t="array" ref="R34">IFERROR(_xlfn.AGGREGATE(15, 6, ($O$2:$O$350)/($O$2:$O$350&lt;&gt;0), ROWS($R$2:R34)), "")</f>
        <v/>
      </c>
      <c r="S34" t="str" cm="1">
        <f t="array" ref="S34">IFERROR(_xlfn.AGGREGATE(15, 6, ($P$2:$P$350)/($P$2:$P$350&lt;&gt;0), ROWS($R$2:R34)), "")</f>
        <v/>
      </c>
      <c r="U34" t="str">
        <f t="shared" ca="1" si="5"/>
        <v/>
      </c>
      <c r="V34" t="str">
        <f t="shared" ca="1" si="6"/>
        <v/>
      </c>
      <c r="W34" t="str">
        <f t="shared" ca="1" si="7"/>
        <v/>
      </c>
      <c r="X34" t="str">
        <f t="shared" ca="1" si="8"/>
        <v/>
      </c>
      <c r="Z34" t="str">
        <f t="shared" ca="1" si="9"/>
        <v/>
      </c>
      <c r="AA34" t="str">
        <f t="shared" ca="1" si="2"/>
        <v/>
      </c>
      <c r="AB34" t="str">
        <f t="shared" ca="1" si="3"/>
        <v/>
      </c>
      <c r="AC34" t="str">
        <f t="shared" ref="AC34" ca="1" si="18">IFERROR(IF(S34&lt;&gt;"",
IF(COUNTIF(OFFSET($A$1,$S34-1,AB34),"*g*"),
AB34,IF(COUNTIF(OFFSET($A$1,$S34-1,AB34+1),"*g*"),AB34+2,
IF(OFFSET($A$1,$S34-1,AB34)=".","",
IF(OFFSET($A$1,$S34-1,AB34)=OFFSET($A$1,$S34-1,AB34+1),AB34+1,
IF(OFFSET($A$1,$S34-1,AB34+1)&lt;&gt;0,AB34+2,
IF(OFFSET($A$1,$S34-1,AB34)&lt;&gt;0,AB34+1,"")))))),""),"")</f>
        <v/>
      </c>
      <c r="AE34" t="str">
        <f t="shared" ca="1" si="10"/>
        <v/>
      </c>
      <c r="AF34" t="str">
        <f t="shared" ca="1" si="11"/>
        <v/>
      </c>
      <c r="AG34" t="str">
        <f t="shared" ca="1" si="12"/>
        <v/>
      </c>
      <c r="AH34" t="str">
        <f t="shared" ca="1" si="13"/>
        <v/>
      </c>
      <c r="AI34" t="str">
        <f t="shared" ca="1" si="14"/>
        <v/>
      </c>
      <c r="AJ34" t="str">
        <f t="shared" ca="1" si="15"/>
        <v/>
      </c>
    </row>
    <row r="35" spans="15:36" ht="18.600000000000001" customHeight="1" x14ac:dyDescent="0.45">
      <c r="O35">
        <f t="shared" si="0"/>
        <v>0</v>
      </c>
      <c r="P35">
        <f t="shared" si="16"/>
        <v>0</v>
      </c>
      <c r="R35" t="str" cm="1">
        <f t="array" ref="R35">IFERROR(_xlfn.AGGREGATE(15, 6, ($O$2:$O$350)/($O$2:$O$350&lt;&gt;0), ROWS($R$2:R35)), "")</f>
        <v/>
      </c>
      <c r="S35" t="str" cm="1">
        <f t="array" ref="S35">IFERROR(_xlfn.AGGREGATE(15, 6, ($P$2:$P$350)/($P$2:$P$350&lt;&gt;0), ROWS($R$2:R35)), "")</f>
        <v/>
      </c>
      <c r="U35" t="str">
        <f t="shared" ca="1" si="5"/>
        <v/>
      </c>
      <c r="V35" t="str">
        <f t="shared" ca="1" si="6"/>
        <v/>
      </c>
      <c r="W35" t="str">
        <f t="shared" ca="1" si="7"/>
        <v/>
      </c>
      <c r="X35" t="str">
        <f t="shared" ca="1" si="8"/>
        <v/>
      </c>
      <c r="Z35" t="str">
        <f t="shared" ca="1" si="9"/>
        <v/>
      </c>
      <c r="AA35" t="str">
        <f t="shared" ref="AA35" ca="1" si="19">IFERROR(IF(S35&lt;&gt;"",
IF(Z35&lt;&gt;"",
IF(COUNTIF(OFFSET($A$1,$S35-1,Z35),"*g*"),
Z35,IF(COUNTIF(OFFSET($A$1,$S35-1,Z35+1),"*g*"),Z35+2,
IF(OFFSET($A$1,$S35-1,Z35)=".","",
IF(OFFSET($A$1,$S35-1,Z35)=OFFSET($A$1,$S35-1,Z35+1),Z35+1,Z35+2)))),
IF(COUNTIF(OFFSET($A$1,$S35-1,2),"*g*"),
2,IF(COUNTIF(OFFSET($A$1,$S35-1,2+1),"*g*"),2+2,
IF(OFFSET($A$1,$S35-1,2)=".","",
IF(OFFSET($A$1,$S35-1,2)=OFFSET($A$1,$S35-1,2+1),
IF(OFFSET($A$1,$S35-1,2+1)=0,"",2+1),
IF(OFFSET($A$1,$S35-1,2)&lt;&gt;"",2,
IF(OFFSET($A$1,$S35-1,2+1)&lt;&gt;"",2+1,""))))))),""),"")</f>
        <v/>
      </c>
      <c r="AB35" t="str">
        <f t="shared" ca="1" si="3"/>
        <v/>
      </c>
      <c r="AC35" t="str">
        <f t="shared" ref="AC35" ca="1" si="20">IFERROR(IF(S35&lt;&gt;"",
IF(COUNTIF(OFFSET($A$1,$S35-1,AB35),"*g*"),
AB35,IF(COUNTIF(OFFSET($A$1,$S35-1,AB35+1),"*g*"),AB35+2,
IF(OFFSET($A$1,$S35-1,AB35)=".","",
IF(OFFSET($A$1,$S35-1,AB35)=OFFSET($A$1,$S35-1,AB35+1),AB35+1,
IF(OFFSET($A$1,$S35-1,AB35+1)&lt;&gt;0,AB35+2,
IF(OFFSET($A$1,$S35-1,AB35)&lt;&gt;0,AB35+1,"")))))),""),"")</f>
        <v/>
      </c>
      <c r="AE35" t="str">
        <f t="shared" ca="1" si="10"/>
        <v/>
      </c>
      <c r="AF35" t="str">
        <f t="shared" ca="1" si="11"/>
        <v/>
      </c>
      <c r="AG35" t="str">
        <f t="shared" ca="1" si="12"/>
        <v/>
      </c>
      <c r="AH35" t="str">
        <f t="shared" ca="1" si="13"/>
        <v/>
      </c>
      <c r="AI35" t="str">
        <f t="shared" ca="1" si="14"/>
        <v/>
      </c>
      <c r="AJ35" t="str">
        <f t="shared" ca="1" si="15"/>
        <v/>
      </c>
    </row>
    <row r="36" spans="15:36" ht="18.600000000000001" customHeight="1" x14ac:dyDescent="0.45">
      <c r="O36">
        <f t="shared" si="0"/>
        <v>0</v>
      </c>
      <c r="P36">
        <f t="shared" si="16"/>
        <v>0</v>
      </c>
      <c r="R36" t="str" cm="1">
        <f t="array" ref="R36">IFERROR(_xlfn.AGGREGATE(15, 6, ($O$2:$O$350)/($O$2:$O$350&lt;&gt;0), ROWS($R$2:R36)), "")</f>
        <v/>
      </c>
      <c r="S36" t="str" cm="1">
        <f t="array" ref="S36">IFERROR(_xlfn.AGGREGATE(15, 6, ($P$2:$P$350)/($P$2:$P$350&lt;&gt;0), ROWS($R$2:R36)), "")</f>
        <v/>
      </c>
      <c r="U36" t="str">
        <f t="shared" ca="1" si="5"/>
        <v/>
      </c>
      <c r="V36" t="str">
        <f t="shared" ca="1" si="6"/>
        <v/>
      </c>
      <c r="W36" t="str">
        <f t="shared" ca="1" si="7"/>
        <v/>
      </c>
      <c r="X36" t="str">
        <f t="shared" ca="1" si="8"/>
        <v/>
      </c>
      <c r="Z36" t="str">
        <f t="shared" ca="1" si="9"/>
        <v/>
      </c>
      <c r="AA36" t="str">
        <f t="shared" ref="AA36" ca="1" si="21">IFERROR(IF(S36&lt;&gt;"",
IF(Z36&lt;&gt;"",
IF(COUNTIF(OFFSET($A$1,$S36-1,Z36),"*g*"),
Z36,IF(COUNTIF(OFFSET($A$1,$S36-1,Z36+1),"*g*"),Z36+2,
IF(OFFSET($A$1,$S36-1,Z36)=".","",
IF(OFFSET($A$1,$S36-1,Z36)=OFFSET($A$1,$S36-1,Z36+1),Z36+1,Z36+2)))),
IF(COUNTIF(OFFSET($A$1,$S36-1,2),"*g*"),
2,IF(COUNTIF(OFFSET($A$1,$S36-1,2+1),"*g*"),2+2,
IF(OFFSET($A$1,$S36-1,2)=".","",
IF(OFFSET($A$1,$S36-1,2)=OFFSET($A$1,$S36-1,2+1),
IF(OFFSET($A$1,$S36-1,2+1)=0,"",2+1),
IF(OFFSET($A$1,$S36-1,2)&lt;&gt;"",2,
IF(OFFSET($A$1,$S36-1,2+1)&lt;&gt;"",2+1,""))))))),""),"")</f>
        <v/>
      </c>
      <c r="AB36" t="str">
        <f t="shared" ca="1" si="3"/>
        <v/>
      </c>
      <c r="AC36" t="str">
        <f t="shared" ref="AC36" ca="1" si="22">IFERROR(IF(S36&lt;&gt;"",
IF(COUNTIF(OFFSET($A$1,$S36-1,AB36),"*g*"),
AB36,IF(COUNTIF(OFFSET($A$1,$S36-1,AB36+1),"*g*"),AB36+2,
IF(OFFSET($A$1,$S36-1,AB36)=".","",
IF(OFFSET($A$1,$S36-1,AB36)=OFFSET($A$1,$S36-1,AB36+1),AB36+1,
IF(OFFSET($A$1,$S36-1,AB36+1)&lt;&gt;0,AB36+2,
IF(OFFSET($A$1,$S36-1,AB36)&lt;&gt;0,AB36+1,"")))))),""),"")</f>
        <v/>
      </c>
      <c r="AE36" t="str">
        <f t="shared" ca="1" si="10"/>
        <v/>
      </c>
      <c r="AF36" t="str">
        <f t="shared" ca="1" si="11"/>
        <v/>
      </c>
      <c r="AG36" t="str">
        <f t="shared" ca="1" si="12"/>
        <v/>
      </c>
      <c r="AH36" t="str">
        <f t="shared" ca="1" si="13"/>
        <v/>
      </c>
      <c r="AI36" t="str">
        <f t="shared" ca="1" si="14"/>
        <v/>
      </c>
      <c r="AJ36" t="str">
        <f t="shared" ca="1" si="15"/>
        <v/>
      </c>
    </row>
    <row r="37" spans="15:36" ht="18.600000000000001" customHeight="1" x14ac:dyDescent="0.45">
      <c r="O37">
        <f t="shared" si="0"/>
        <v>0</v>
      </c>
      <c r="P37">
        <f t="shared" si="16"/>
        <v>0</v>
      </c>
      <c r="R37" t="str" cm="1">
        <f t="array" ref="R37">IFERROR(_xlfn.AGGREGATE(15, 6, ($O$2:$O$350)/($O$2:$O$350&lt;&gt;0), ROWS($R$2:R37)), "")</f>
        <v/>
      </c>
      <c r="S37" t="str" cm="1">
        <f t="array" ref="S37">IFERROR(_xlfn.AGGREGATE(15, 6, ($P$2:$P$350)/($P$2:$P$350&lt;&gt;0), ROWS($R$2:R37)), "")</f>
        <v/>
      </c>
      <c r="U37" t="str">
        <f t="shared" ca="1" si="5"/>
        <v/>
      </c>
      <c r="V37" t="str">
        <f t="shared" ca="1" si="6"/>
        <v/>
      </c>
      <c r="W37" t="str">
        <f t="shared" ca="1" si="7"/>
        <v/>
      </c>
      <c r="X37" t="str">
        <f t="shared" ca="1" si="8"/>
        <v/>
      </c>
      <c r="Z37" t="str">
        <f t="shared" ca="1" si="9"/>
        <v/>
      </c>
      <c r="AA37" t="str">
        <f t="shared" ref="AA37" ca="1" si="23">IFERROR(IF(S37&lt;&gt;"",
IF(Z37&lt;&gt;"",
IF(COUNTIF(OFFSET($A$1,$S37-1,Z37),"*g*"),
Z37,IF(COUNTIF(OFFSET($A$1,$S37-1,Z37+1),"*g*"),Z37+2,
IF(OFFSET($A$1,$S37-1,Z37)=".","",
IF(OFFSET($A$1,$S37-1,Z37)=OFFSET($A$1,$S37-1,Z37+1),Z37+1,Z37+2)))),
IF(COUNTIF(OFFSET($A$1,$S37-1,2),"*g*"),
2,IF(COUNTIF(OFFSET($A$1,$S37-1,2+1),"*g*"),2+2,
IF(OFFSET($A$1,$S37-1,2)=".","",
IF(OFFSET($A$1,$S37-1,2)=OFFSET($A$1,$S37-1,2+1),
IF(OFFSET($A$1,$S37-1,2+1)=0,"",2+1),
IF(OFFSET($A$1,$S37-1,2)&lt;&gt;"",2,
IF(OFFSET($A$1,$S37-1,2+1)&lt;&gt;"",2+1,""))))))),""),"")</f>
        <v/>
      </c>
      <c r="AB37" t="str">
        <f t="shared" ca="1" si="3"/>
        <v/>
      </c>
      <c r="AC37" t="str">
        <f t="shared" ref="AC37" ca="1" si="24">IFERROR(IF(S37&lt;&gt;"",
IF(COUNTIF(OFFSET($A$1,$S37-1,AB37),"*g*"),
AB37,IF(COUNTIF(OFFSET($A$1,$S37-1,AB37+1),"*g*"),AB37+2,
IF(OFFSET($A$1,$S37-1,AB37)=".","",
IF(OFFSET($A$1,$S37-1,AB37)=OFFSET($A$1,$S37-1,AB37+1),AB37+1,
IF(OFFSET($A$1,$S37-1,AB37+1)&lt;&gt;0,AB37+2,
IF(OFFSET($A$1,$S37-1,AB37)&lt;&gt;0,AB37+1,"")))))),""),"")</f>
        <v/>
      </c>
      <c r="AE37" t="str">
        <f t="shared" ca="1" si="10"/>
        <v/>
      </c>
      <c r="AF37" t="str">
        <f t="shared" ca="1" si="11"/>
        <v/>
      </c>
      <c r="AG37" t="str">
        <f t="shared" ca="1" si="12"/>
        <v/>
      </c>
      <c r="AH37" t="str">
        <f t="shared" ca="1" si="13"/>
        <v/>
      </c>
      <c r="AI37" t="str">
        <f t="shared" ca="1" si="14"/>
        <v/>
      </c>
      <c r="AJ37" t="str">
        <f t="shared" ca="1" si="15"/>
        <v/>
      </c>
    </row>
    <row r="38" spans="15:36" ht="18.600000000000001" customHeight="1" x14ac:dyDescent="0.45">
      <c r="O38">
        <f t="shared" si="0"/>
        <v>0</v>
      </c>
      <c r="P38">
        <f t="shared" si="16"/>
        <v>0</v>
      </c>
      <c r="R38" t="str" cm="1">
        <f t="array" ref="R38">IFERROR(_xlfn.AGGREGATE(15, 6, ($O$2:$O$350)/($O$2:$O$350&lt;&gt;0), ROWS($R$2:R38)), "")</f>
        <v/>
      </c>
      <c r="S38" t="str" cm="1">
        <f t="array" ref="S38">IFERROR(_xlfn.AGGREGATE(15, 6, ($P$2:$P$350)/($P$2:$P$350&lt;&gt;0), ROWS($R$2:R38)), "")</f>
        <v/>
      </c>
      <c r="U38" t="str">
        <f t="shared" ca="1" si="5"/>
        <v/>
      </c>
      <c r="V38" t="str">
        <f t="shared" ca="1" si="6"/>
        <v/>
      </c>
      <c r="W38" t="str">
        <f t="shared" ca="1" si="7"/>
        <v/>
      </c>
      <c r="X38" t="str">
        <f t="shared" ca="1" si="8"/>
        <v/>
      </c>
      <c r="Z38" t="str">
        <f t="shared" ca="1" si="9"/>
        <v/>
      </c>
      <c r="AA38" t="str">
        <f t="shared" ref="AA38" ca="1" si="25">IFERROR(IF(S38&lt;&gt;"",
IF(Z38&lt;&gt;"",
IF(COUNTIF(OFFSET($A$1,$S38-1,Z38),"*g*"),
Z38,IF(COUNTIF(OFFSET($A$1,$S38-1,Z38+1),"*g*"),Z38+2,
IF(OFFSET($A$1,$S38-1,Z38)=".","",
IF(OFFSET($A$1,$S38-1,Z38)=OFFSET($A$1,$S38-1,Z38+1),Z38+1,Z38+2)))),
IF(COUNTIF(OFFSET($A$1,$S38-1,2),"*g*"),
2,IF(COUNTIF(OFFSET($A$1,$S38-1,2+1),"*g*"),2+2,
IF(OFFSET($A$1,$S38-1,2)=".","",
IF(OFFSET($A$1,$S38-1,2)=OFFSET($A$1,$S38-1,2+1),
IF(OFFSET($A$1,$S38-1,2+1)=0,"",2+1),
IF(OFFSET($A$1,$S38-1,2)&lt;&gt;"",2,
IF(OFFSET($A$1,$S38-1,2+1)&lt;&gt;"",2+1,""))))))),""),"")</f>
        <v/>
      </c>
      <c r="AB38" t="str">
        <f t="shared" ca="1" si="3"/>
        <v/>
      </c>
      <c r="AC38" t="str">
        <f t="shared" ref="AC38" ca="1" si="26">IFERROR(IF(S38&lt;&gt;"",
IF(COUNTIF(OFFSET($A$1,$S38-1,AB38),"*g*"),
AB38,IF(COUNTIF(OFFSET($A$1,$S38-1,AB38+1),"*g*"),AB38+2,
IF(OFFSET($A$1,$S38-1,AB38)=".","",
IF(OFFSET($A$1,$S38-1,AB38)=OFFSET($A$1,$S38-1,AB38+1),AB38+1,
IF(OFFSET($A$1,$S38-1,AB38+1)&lt;&gt;0,AB38+2,
IF(OFFSET($A$1,$S38-1,AB38)&lt;&gt;0,AB38+1,"")))))),""),"")</f>
        <v/>
      </c>
      <c r="AE38" t="str">
        <f t="shared" ca="1" si="10"/>
        <v/>
      </c>
      <c r="AF38" t="str">
        <f t="shared" ca="1" si="11"/>
        <v/>
      </c>
      <c r="AG38" t="str">
        <f t="shared" ca="1" si="12"/>
        <v/>
      </c>
      <c r="AH38" t="str">
        <f t="shared" ca="1" si="13"/>
        <v/>
      </c>
      <c r="AI38" t="str">
        <f t="shared" ca="1" si="14"/>
        <v/>
      </c>
      <c r="AJ38" t="str">
        <f t="shared" ca="1" si="15"/>
        <v/>
      </c>
    </row>
    <row r="39" spans="15:36" ht="18.600000000000001" customHeight="1" x14ac:dyDescent="0.45">
      <c r="O39">
        <f t="shared" si="0"/>
        <v>0</v>
      </c>
      <c r="P39">
        <f t="shared" si="16"/>
        <v>0</v>
      </c>
      <c r="R39" t="str" cm="1">
        <f t="array" ref="R39">IFERROR(_xlfn.AGGREGATE(15, 6, ($O$2:$O$350)/($O$2:$O$350&lt;&gt;0), ROWS($R$2:R39)), "")</f>
        <v/>
      </c>
      <c r="S39" t="str" cm="1">
        <f t="array" ref="S39">IFERROR(_xlfn.AGGREGATE(15, 6, ($P$2:$P$350)/($P$2:$P$350&lt;&gt;0), ROWS($R$2:R39)), "")</f>
        <v/>
      </c>
      <c r="U39" t="str">
        <f t="shared" ca="1" si="5"/>
        <v/>
      </c>
      <c r="V39" t="str">
        <f t="shared" ca="1" si="6"/>
        <v/>
      </c>
      <c r="W39" t="str">
        <f t="shared" ca="1" si="7"/>
        <v/>
      </c>
      <c r="X39" t="str">
        <f t="shared" ca="1" si="8"/>
        <v/>
      </c>
      <c r="Z39" t="str">
        <f t="shared" ca="1" si="9"/>
        <v/>
      </c>
      <c r="AA39" t="str">
        <f ca="1">IFERROR(IF(S39&lt;&gt;"",
IF(Z39&lt;&gt;"",
IF(COUNTIF(OFFSET($A$1,$S39-1,Z39),"*g*"),
Z39,IF(COUNTIF(OFFSET($A$1,$S39-1,Z39+1),"*g*"),Z39+2,
IF(OFFSET($A$1,$S39-1,Z39)=".","",
IF(OFFSET($A$1,$S39-1,Z39)=OFFSET($A$1,$S39-1,Z39+1),Z39+1,Z39+2)))),
IF(COUNTIF(OFFSET($A$1,$S39-1,1),"*g*"),
2,IF(COUNTIF(OFFSET($A$1,$S39-1,1+1),"*g*"),1+2,
IF(OFFSET($A$1,$S39-1,1)=".","",
IF(OFFSET($A$1,$S39-1,1)=OFFSET($A$1,$S39-1,1+1),
IF(OFFSET($A$1,$S39-1,1+1)=0,"",1+1),
IF(OFFSET($A$1,$S39-1,1)&lt;&gt;"",1,
IF(OFFSET($A$1,$S39-1,1+1)&lt;&gt;"",1+1,""))))))),""),"")</f>
        <v/>
      </c>
      <c r="AB39" t="str">
        <f ca="1">IFERROR(IF(S39&lt;&gt;"",
IF(AA39&lt;&gt;"",
IF(COUNTIF(OFFSET($A$1,$S39-1,AA39),"*g*"),
AA39,IF(COUNTIF(OFFSET($A$1,$S39-1,AA39+1),"*g*"),AA39+2,
IF(OFFSET($A$1,$S39-1,AA39)=".","",
IF(OFFSET($A$1,$S39-1,AA39)=OFFSET($A$1,$S39-1,AA39+1),AA39+1,AA39+2)))),
IF(COUNTIF(OFFSET($A$1,$S39-1,2),"*g*"),
2,IF(COUNTIF(OFFSET($A$1,$S39-1,2+1),"*g*"),2+2,
IF(OFFSET($A$1,$S39-1,2)=".","",
IF(OFFSET($A$1,$S39-1,2)=OFFSET($A$1,$S39-1,2+1),
IF(OFFSET($A$1,$S39-1,2+1)=0,"",2+1),
IF(OFFSET($A$1,$S39-1,2)&lt;&gt;"",2,
IF(OFFSET($A$1,$S39-1,2+1)&lt;&gt;"",2+1,""))))))),""),"")</f>
        <v/>
      </c>
      <c r="AC39" t="str">
        <f ca="1">IFERROR(IF(S39&lt;&gt;"",
IF(AB39&lt;&gt;"",
IF(COUNTIF(OFFSET($A$1,$S39-1,AB39),"*g*"),
AB39,IF(COUNTIF(OFFSET($A$1,$S39-1,AB39+1),"*g*"),AB39+2,
IF(OFFSET($A$1,$S39-1,AB39)=".","",
IF(OFFSET($A$1,$S39-1,AB39)=OFFSET($A$1,$S39-1,AB39+1),AB39+1,AB39+2)))),
IF(COUNTIF(OFFSET($A$1,$S39-1,3),"*g*"),
3,IF(COUNTIF(OFFSET($A$1,$S39-1,3+1),"*g*"),3+2,
IF(OFFSET($A$1,$S39-1,3)=".","",
IF(OFFSET($A$1,$S39-1,3)=OFFSET($A$1,$S39-1,3+1),
IF(OFFSET($A$1,$S39-1,3+1)=0,"",3+1),
IF(OFFSET($A$1,$S39-1,3)&lt;&gt;"",3,
IF(OFFSET($A$1,$S39-1,3+1)&lt;&gt;"",3+1,""))))))),""),"")</f>
        <v/>
      </c>
      <c r="AE39" t="str">
        <f t="shared" ca="1" si="10"/>
        <v/>
      </c>
      <c r="AF39" t="str">
        <f t="shared" ca="1" si="11"/>
        <v/>
      </c>
      <c r="AG39" t="str">
        <f t="shared" ca="1" si="12"/>
        <v/>
      </c>
      <c r="AH39" t="str">
        <f t="shared" ca="1" si="13"/>
        <v/>
      </c>
      <c r="AI39" t="str">
        <f t="shared" ca="1" si="14"/>
        <v/>
      </c>
      <c r="AJ39" t="str">
        <f t="shared" ca="1" si="15"/>
        <v/>
      </c>
    </row>
    <row r="40" spans="15:36" ht="18.600000000000001" customHeight="1" x14ac:dyDescent="0.45">
      <c r="O40">
        <f t="shared" si="0"/>
        <v>0</v>
      </c>
      <c r="P40">
        <f t="shared" si="16"/>
        <v>0</v>
      </c>
      <c r="R40" t="str" cm="1">
        <f t="array" ref="R40">IFERROR(_xlfn.AGGREGATE(15, 6, ($O$2:$O$350)/($O$2:$O$350&lt;&gt;0), ROWS($R$2:R40)), "")</f>
        <v/>
      </c>
      <c r="S40" t="str" cm="1">
        <f t="array" ref="S40">IFERROR(_xlfn.AGGREGATE(15, 6, ($P$2:$P$350)/($P$2:$P$350&lt;&gt;0), ROWS($R$2:R40)), "")</f>
        <v/>
      </c>
      <c r="U40" t="str">
        <f t="shared" ca="1" si="5"/>
        <v/>
      </c>
      <c r="V40" t="str">
        <f t="shared" ca="1" si="6"/>
        <v/>
      </c>
      <c r="W40" t="str">
        <f t="shared" ca="1" si="7"/>
        <v/>
      </c>
      <c r="X40" t="str">
        <f t="shared" ca="1" si="8"/>
        <v/>
      </c>
      <c r="Z40" t="str">
        <f t="shared" ca="1" si="9"/>
        <v/>
      </c>
      <c r="AA40" t="str">
        <f ca="1">IFERROR(IF(S40&lt;&gt;"",
IF(Z40&lt;&gt;"",
IF(COUNTIF(OFFSET($A$1,$S40-1,Z40),"*g*"),
Z40,IF(COUNTIF(OFFSET($A$1,$S40-1,Z40+1),"*g*"),Z40+2,
IF(OFFSET($A$1,$S40-1,Z40)=".","",
IF(OFFSET($A$1,$S40-1,Z40)=OFFSET($A$1,$S40-1,Z40+1),Z40+1,Z40+2)))),
IF(COUNTIF(OFFSET($A$1,$S40-1,1),"*g*"),
2,IF(COUNTIF(OFFSET($A$1,$S40-1,1+1),"*g*"),1+2,
IF(OFFSET($A$1,$S40-1,1)=".","",
IF(OFFSET($A$1,$S40-1,1)=OFFSET($A$1,$S40-1,1+1),
IF(OFFSET($A$1,$S40-1,1+1)=0,"",1+1),
IF(OFFSET($A$1,$S40-1,1)&lt;&gt;"",1,
IF(OFFSET($A$1,$S40-1,1+1)&lt;&gt;"",1+1,""))))))),""),"")</f>
        <v/>
      </c>
      <c r="AB40" t="str">
        <f t="shared" ca="1" si="3"/>
        <v/>
      </c>
      <c r="AC40" t="str">
        <f t="shared" ref="AC40" ca="1" si="27">IFERROR(IF(S40&lt;&gt;"",
IF(COUNTIF(OFFSET($A$1,$S40-1,AB40),"*g*"),
AB40,IF(COUNTIF(OFFSET($A$1,$S40-1,AB40+1),"*g*"),AB40+2,
IF(OFFSET($A$1,$S40-1,AB40)=".","",
IF(OFFSET($A$1,$S40-1,AB40)=OFFSET($A$1,$S40-1,AB40+1),AB40+1,
IF(OFFSET($A$1,$S40-1,AB40+1)&lt;&gt;0,AB40+2,
IF(OFFSET($A$1,$S40-1,AB40)&lt;&gt;0,AB40+1,"")))))),""),"")</f>
        <v/>
      </c>
      <c r="AE40" t="str">
        <f t="shared" ca="1" si="10"/>
        <v/>
      </c>
      <c r="AF40" t="str">
        <f t="shared" ca="1" si="11"/>
        <v/>
      </c>
      <c r="AG40" t="str">
        <f t="shared" ca="1" si="12"/>
        <v/>
      </c>
      <c r="AH40" t="str">
        <f t="shared" ca="1" si="13"/>
        <v/>
      </c>
      <c r="AI40" t="str">
        <f t="shared" ca="1" si="14"/>
        <v/>
      </c>
      <c r="AJ40" t="str">
        <f t="shared" ca="1" si="15"/>
        <v/>
      </c>
    </row>
    <row r="41" spans="15:36" ht="18.600000000000001" customHeight="1" x14ac:dyDescent="0.45">
      <c r="O41">
        <f t="shared" si="0"/>
        <v>0</v>
      </c>
      <c r="P41">
        <f t="shared" si="16"/>
        <v>0</v>
      </c>
      <c r="R41" t="str" cm="1">
        <f t="array" ref="R41">IFERROR(_xlfn.AGGREGATE(15, 6, ($O$2:$O$350)/($O$2:$O$350&lt;&gt;0), ROWS($R$2:R41)), "")</f>
        <v/>
      </c>
      <c r="S41" t="str" cm="1">
        <f t="array" ref="S41">IFERROR(_xlfn.AGGREGATE(15, 6, ($P$2:$P$350)/($P$2:$P$350&lt;&gt;0), ROWS($R$2:R41)), "")</f>
        <v/>
      </c>
      <c r="U41" t="str">
        <f t="shared" ca="1" si="5"/>
        <v/>
      </c>
      <c r="V41" t="str">
        <f t="shared" ca="1" si="6"/>
        <v/>
      </c>
      <c r="W41" t="str">
        <f t="shared" ca="1" si="7"/>
        <v/>
      </c>
      <c r="X41" t="str">
        <f t="shared" ca="1" si="8"/>
        <v/>
      </c>
      <c r="Z41" t="str">
        <f t="shared" ref="Z41:Z103" ca="1" si="28">IF(S41&lt;&gt;"",
IF(COUNTIF(OFFSET($A$1,$S41-1,0),"*g*"),
1,IF(COUNTIF(OFFSET($A$1,$S41-1,1),"*g*"),2,
IF(OFFSET($A$1,$S41-1,0)=".","",
IF(OFFSET($A$1,$S41-1,0)=OFFSET($A$1,$S41-1,1),1,2)))),"")</f>
        <v/>
      </c>
      <c r="AA41" t="str">
        <f t="shared" ca="1" si="2"/>
        <v/>
      </c>
      <c r="AB41" t="str">
        <f t="shared" ca="1" si="3"/>
        <v/>
      </c>
      <c r="AC41" t="str">
        <f t="shared" ref="AC41" ca="1" si="29">IFERROR(IF(S41&lt;&gt;"",
IF(COUNTIF(OFFSET($A$1,$S41-1,AB41),"*g*"),
AB41,IF(COUNTIF(OFFSET($A$1,$S41-1,AB41+1),"*g*"),AB41+2,
IF(OFFSET($A$1,$S41-1,AB41)=".","",
IF(OFFSET($A$1,$S41-1,AB41)=OFFSET($A$1,$S41-1,AB41+1),AB41+1,
IF(OFFSET($A$1,$S41-1,AB41+1)&lt;&gt;0,AB41+2,
IF(OFFSET($A$1,$S41-1,AB41)&lt;&gt;0,AB41+1,"")))))),""),"")</f>
        <v/>
      </c>
      <c r="AE41" t="str">
        <f t="shared" ca="1" si="10"/>
        <v/>
      </c>
      <c r="AF41" t="str">
        <f t="shared" ca="1" si="11"/>
        <v/>
      </c>
      <c r="AG41" t="str">
        <f t="shared" ca="1" si="12"/>
        <v/>
      </c>
      <c r="AH41" t="str">
        <f t="shared" ca="1" si="13"/>
        <v/>
      </c>
      <c r="AI41" t="str">
        <f t="shared" ca="1" si="14"/>
        <v/>
      </c>
      <c r="AJ41" t="str">
        <f t="shared" ca="1" si="15"/>
        <v/>
      </c>
    </row>
    <row r="42" spans="15:36" ht="18.600000000000001" customHeight="1" x14ac:dyDescent="0.45">
      <c r="O42">
        <f t="shared" si="0"/>
        <v>0</v>
      </c>
      <c r="P42">
        <f t="shared" si="16"/>
        <v>0</v>
      </c>
      <c r="R42" t="str" cm="1">
        <f t="array" ref="R42">IFERROR(_xlfn.AGGREGATE(15, 6, ($O$2:$O$350)/($O$2:$O$350&lt;&gt;0), ROWS($R$2:R42)), "")</f>
        <v/>
      </c>
      <c r="S42" t="str" cm="1">
        <f t="array" ref="S42">IFERROR(_xlfn.AGGREGATE(15, 6, ($P$2:$P$350)/($P$2:$P$350&lt;&gt;0), ROWS($R$2:R42)), "")</f>
        <v/>
      </c>
      <c r="U42" t="str">
        <f t="shared" ca="1" si="5"/>
        <v/>
      </c>
      <c r="V42" t="str">
        <f t="shared" ca="1" si="6"/>
        <v/>
      </c>
      <c r="W42" t="str">
        <f t="shared" ca="1" si="7"/>
        <v/>
      </c>
      <c r="X42" t="str">
        <f t="shared" ca="1" si="8"/>
        <v/>
      </c>
      <c r="Z42" t="str">
        <f t="shared" ca="1" si="28"/>
        <v/>
      </c>
      <c r="AA42" t="str">
        <f t="shared" ca="1" si="2"/>
        <v/>
      </c>
      <c r="AB42" t="str">
        <f t="shared" ca="1" si="3"/>
        <v/>
      </c>
      <c r="AC42" t="str">
        <f t="shared" ref="AC42" ca="1" si="30">IFERROR(IF(S42&lt;&gt;"",
IF(COUNTIF(OFFSET($A$1,$S42-1,AB42),"*g*"),
AB42,IF(COUNTIF(OFFSET($A$1,$S42-1,AB42+1),"*g*"),AB42+2,
IF(OFFSET($A$1,$S42-1,AB42)=".","",
IF(OFFSET($A$1,$S42-1,AB42)=OFFSET($A$1,$S42-1,AB42+1),AB42+1,
IF(OFFSET($A$1,$S42-1,AB42+1)&lt;&gt;0,AB42+2,
IF(OFFSET($A$1,$S42-1,AB42)&lt;&gt;0,AB42+1,"")))))),""),"")</f>
        <v/>
      </c>
      <c r="AE42" t="str">
        <f t="shared" ca="1" si="10"/>
        <v/>
      </c>
      <c r="AF42" t="str">
        <f t="shared" ca="1" si="11"/>
        <v/>
      </c>
      <c r="AG42" t="str">
        <f t="shared" ca="1" si="12"/>
        <v/>
      </c>
      <c r="AH42" t="str">
        <f t="shared" ca="1" si="13"/>
        <v/>
      </c>
      <c r="AI42" t="str">
        <f t="shared" ca="1" si="14"/>
        <v/>
      </c>
      <c r="AJ42" t="str">
        <f t="shared" ca="1" si="15"/>
        <v/>
      </c>
    </row>
    <row r="43" spans="15:36" ht="18.600000000000001" customHeight="1" x14ac:dyDescent="0.45">
      <c r="O43">
        <f t="shared" si="0"/>
        <v>0</v>
      </c>
      <c r="P43">
        <f t="shared" si="16"/>
        <v>0</v>
      </c>
      <c r="R43" t="str" cm="1">
        <f t="array" ref="R43">IFERROR(_xlfn.AGGREGATE(15, 6, ($O$2:$O$350)/($O$2:$O$350&lt;&gt;0), ROWS($R$2:R43)), "")</f>
        <v/>
      </c>
      <c r="S43" t="str" cm="1">
        <f t="array" ref="S43">IFERROR(_xlfn.AGGREGATE(15, 6, ($P$2:$P$350)/($P$2:$P$350&lt;&gt;0), ROWS($R$2:R43)), "")</f>
        <v/>
      </c>
      <c r="U43" t="str">
        <f t="shared" ca="1" si="5"/>
        <v/>
      </c>
      <c r="V43" t="str">
        <f t="shared" ca="1" si="6"/>
        <v/>
      </c>
      <c r="W43" t="str">
        <f t="shared" ca="1" si="7"/>
        <v/>
      </c>
      <c r="X43" t="str">
        <f t="shared" ca="1" si="8"/>
        <v/>
      </c>
      <c r="Z43" t="str">
        <f t="shared" ca="1" si="28"/>
        <v/>
      </c>
      <c r="AA43" t="str">
        <f t="shared" ca="1" si="2"/>
        <v/>
      </c>
      <c r="AB43" t="str">
        <f t="shared" ca="1" si="3"/>
        <v/>
      </c>
      <c r="AC43" t="str">
        <f t="shared" ref="AC43" ca="1" si="31">IFERROR(IF(S43&lt;&gt;"",
IF(COUNTIF(OFFSET($A$1,$S43-1,AB43),"*g*"),
AB43,IF(COUNTIF(OFFSET($A$1,$S43-1,AB43+1),"*g*"),AB43+2,
IF(OFFSET($A$1,$S43-1,AB43)=".","",
IF(OFFSET($A$1,$S43-1,AB43)=OFFSET($A$1,$S43-1,AB43+1),AB43+1,
IF(OFFSET($A$1,$S43-1,AB43+1)&lt;&gt;0,AB43+2,
IF(OFFSET($A$1,$S43-1,AB43)&lt;&gt;0,AB43+1,"")))))),""),"")</f>
        <v/>
      </c>
      <c r="AE43" t="str">
        <f ca="1">IF(R43&lt;&gt;"",
IF(AND($S43-$R42&gt;3,COUNTIF(OFFSET($A$1,$R42+($S43-$R42-4),0),"&lt;&gt;*テキスト*")),
IF(OFFSET($A$1,$R42+($S43-$R42-4),0)=OFFSET($A$1,$R42+($S43-$R42-4),1),1,
IF(OFFSET($A$1,$R42+($S43-$R42-4),0)=OFFSET($A$1,$R42+($S43-$R42-4),2),2,
IF(OFFSET($A$1,$R42+($S43-$R42-4),0)=OFFSET($A$1,$R42+($S43-$R42-4),3),3,4))),
IF(AND($S43-$R42&gt;2,COUNTIF(OFFSET($A$1,$R42+($S43-$R42-3),0),"&lt;&gt;*テキスト*")),
IF(OFFSET($A$1,$R42+($S43-$R42-3),0)=OFFSET($A$1,$R42+($S43-$R42-3),1),1,
IF(OFFSET($A$1,$R42+($S43-$R42-3),0)=OFFSET($A$1,$R42+($S43-$R42-3),2),2,
IF(OFFSET($A$1,$R42+($S43-$R42-3),0)=OFFSET($A$1,$R42+($S43-$R42-3),3),3,4))),
IF(COUNTIF(OFFSET($A$1,$R42+($S43-$R42-2),0),"*様*"),1,
IF(COUNTIF(OFFSET($A$1,$R42+($S43-$R42-2),1),"*様*"),2,
IF(COUNTIF(OFFSET($A$1,$R42+($S43-$R42-2),2),"*様*"),3,4))))),"")</f>
        <v/>
      </c>
      <c r="AF43" t="str">
        <f t="shared" ca="1" si="11"/>
        <v/>
      </c>
      <c r="AG43" t="str">
        <f t="shared" ca="1" si="12"/>
        <v/>
      </c>
      <c r="AH43" t="str">
        <f t="shared" ca="1" si="13"/>
        <v/>
      </c>
      <c r="AI43" t="str">
        <f t="shared" ca="1" si="14"/>
        <v/>
      </c>
      <c r="AJ43" t="str">
        <f t="shared" ca="1" si="15"/>
        <v/>
      </c>
    </row>
    <row r="44" spans="15:36" ht="18.600000000000001" customHeight="1" x14ac:dyDescent="0.45">
      <c r="O44">
        <f t="shared" si="0"/>
        <v>0</v>
      </c>
      <c r="P44">
        <f t="shared" si="16"/>
        <v>0</v>
      </c>
      <c r="R44" t="str" cm="1">
        <f t="array" ref="R44">IFERROR(_xlfn.AGGREGATE(15, 6, ($O$2:$O$350)/($O$2:$O$350&lt;&gt;0), ROWS($R$2:R44)), "")</f>
        <v/>
      </c>
      <c r="S44" t="str" cm="1">
        <f t="array" ref="S44">IFERROR(_xlfn.AGGREGATE(15, 6, ($P$2:$P$350)/($P$2:$P$350&lt;&gt;0), ROWS($R$2:R44)), "")</f>
        <v/>
      </c>
      <c r="U44" t="str">
        <f t="shared" ca="1" si="5"/>
        <v/>
      </c>
      <c r="V44" t="str">
        <f t="shared" ca="1" si="6"/>
        <v/>
      </c>
      <c r="W44" t="str">
        <f t="shared" ca="1" si="7"/>
        <v/>
      </c>
      <c r="X44" t="str">
        <f t="shared" ca="1" si="8"/>
        <v/>
      </c>
      <c r="Z44" t="str">
        <f t="shared" ca="1" si="28"/>
        <v/>
      </c>
      <c r="AA44" t="str">
        <f t="shared" ca="1" si="2"/>
        <v/>
      </c>
      <c r="AB44" t="str">
        <f t="shared" ca="1" si="3"/>
        <v/>
      </c>
      <c r="AC44" t="str">
        <f t="shared" ref="AC44" ca="1" si="32">IFERROR(IF(S44&lt;&gt;"",
IF(COUNTIF(OFFSET($A$1,$S44-1,AB44),"*g*"),
AB44,IF(COUNTIF(OFFSET($A$1,$S44-1,AB44+1),"*g*"),AB44+2,
IF(OFFSET($A$1,$S44-1,AB44)=".","",
IF(OFFSET($A$1,$S44-1,AB44)=OFFSET($A$1,$S44-1,AB44+1),AB44+1,
IF(OFFSET($A$1,$S44-1,AB44+1)&lt;&gt;0,AB44+2,
IF(OFFSET($A$1,$S44-1,AB44)&lt;&gt;0,AB44+1,"")))))),""),"")</f>
        <v/>
      </c>
      <c r="AE44" t="str">
        <f ca="1">IF(R44&lt;&gt;"",
IF(AND($S44-$R43&gt;3,COUNTIF(OFFSET($A$1,$R43+($S44-$R43-4),0),"&lt;&gt;*テキスト*")),
IF(OFFSET($A$1,$R43+($S44-$R43-4),0)=OFFSET($A$1,$R43+($S44-$R43-4),1),1,
IF(OFFSET($A$1,$R43+($S44-$R43-4),0)=OFFSET($A$1,$R43+($S44-$R43-4),2),2,
IF(OFFSET($A$1,$R43+($S44-$R43-4),0)=OFFSET($A$1,$R43+($S44-$R43-4),3),3,4))),
IF(AND($S44-$R43&gt;2,COUNTIF(OFFSET($A$1,$R43+($S44-$R43-3),0),"&lt;&gt;*テキスト*")),
IF(OFFSET($A$1,$R43+($S44-$R43-3),0)=OFFSET($A$1,$R43+($S44-$R43-3),1),1,
IF(OFFSET($A$1,$R43+($S44-$R43-3),0)=OFFSET($A$1,$R43+($S44-$R43-3),2),2,
IF(OFFSET($A$1,$R43+($S44-$R43-3),0)=OFFSET($A$1,$R43+($S44-$R43-3),3),3,4))),
IF(COUNTIF(OFFSET($A$1,$R43+($S44-$R43-2),0),"*様*"),1,
IF(COUNTIF(OFFSET($A$1,$R43+($S44-$R43-2),1),"*様*"),2,
IF(COUNTIF(OFFSET($A$1,$R43+($S44-$R43-2),2),"*様*"),3,4))))),"")</f>
        <v/>
      </c>
      <c r="AF44" t="str">
        <f ca="1">IF(R44&lt;&gt;"",
IF(AND($S44-$R43&gt;3,COUNTIF(OFFSET($A$1,$R43+($S44-$R43-4),0),"&lt;&gt;*テキスト*")),
IFERROR(IF(OFFSET($A$1,$R43+($S44-$R43-4),AE44)=0,"",
IF(OFFSET($A$1,$R43+($S44-$R43-4),AE44)=OFFSET($A$1,$R43+($S44-$R43-4),AE44+1),1+AE44,
IF(OFFSET($A$1,$R43+($S44-$R43-4),AE44)=OFFSET($A$1,$R43+($S44-$R43-4),AE44+2),2+AE44,
IF(OFFSET($A$1,$R43+($S44-$R43-4),AE44)=OFFSET($A$1,$R43+($S44-$R43-4),AE44+3),3+AE44,3+AE44)))),""),
IF(AND($S44-$R43&gt;2,COUNTIF(OFFSET($A$1,$R43+($S44-$R43-3),0),"&lt;&gt;*テキスト*")),
IFERROR(IF(OFFSET($A$1,$R43+($S44-$R43-3),AE44)=0,"",
IF(OFFSET($A$1,$R43+($S44-$R43-3),AE44)=OFFSET($A$1,$R43+($S44-$R43-3),AE44+1),1+AE44,
IF(OFFSET($A$1,$R43+($S44-$R43-3),AE44)=OFFSET($A$1,$R43+($S44-$R43-3),AE44+2),2+AE44,
IF(OFFSET($A$1,$R43+($S44-$R43-3),AE44)=OFFSET($A$1,$R43+($S44-$R43-3),AE44+3),3+AE44,3+AE44)))),""),
IF(COUNTIF(OFFSET($A$1,$R43+($S44-$R43-2),AE44),"*様*"),1+AE44,
IF(COUNTIF(OFFSET($A$1,$R43+($S44-$R43-2),AE44+1),"*様*"),2+AE44,
IF(COUNTIF(OFFSET($A$1,$R43+($S44-$R43-2),AE44+2),"*様*"),3+AE44,4+AE44))))),"")</f>
        <v/>
      </c>
      <c r="AG44" t="str">
        <f t="shared" ca="1" si="12"/>
        <v/>
      </c>
      <c r="AH44" t="str">
        <f t="shared" ca="1" si="13"/>
        <v/>
      </c>
      <c r="AI44" t="str">
        <f ca="1">IF(R44&lt;&gt;"",
IF(AG44&lt;&gt;"","",
IF(COUNTIF(OFFSET($A$1,$R43+($S44-$R43-3),0),"*様*"),1,
IF(COUNTIF(OFFSET($A$1,$R43+($S44-$R43-3),1),"*様*"),2,
IF(COUNTIF(OFFSET($A$1,$R43+($S44-$R43-3),2),"*様*"),3,4)))),"")</f>
        <v/>
      </c>
      <c r="AJ44" t="str">
        <f t="shared" ca="1" si="15"/>
        <v/>
      </c>
    </row>
    <row r="45" spans="15:36" ht="19.2" customHeight="1" x14ac:dyDescent="0.45">
      <c r="O45">
        <f t="shared" si="0"/>
        <v>0</v>
      </c>
      <c r="P45">
        <f t="shared" si="16"/>
        <v>0</v>
      </c>
      <c r="R45" t="str" cm="1">
        <f t="array" ref="R45">IFERROR(_xlfn.AGGREGATE(15, 6, ($O$2:$O$350)/($O$2:$O$350&lt;&gt;0), ROWS($R$2:R45)), "")</f>
        <v/>
      </c>
      <c r="S45" t="str" cm="1">
        <f t="array" ref="S45">IFERROR(_xlfn.AGGREGATE(15, 6, ($P$2:$P$350)/($P$2:$P$350&lt;&gt;0), ROWS($R$2:R45)), "")</f>
        <v/>
      </c>
      <c r="U45" t="str">
        <f t="shared" ca="1" si="5"/>
        <v/>
      </c>
      <c r="V45" t="str">
        <f t="shared" ca="1" si="6"/>
        <v/>
      </c>
      <c r="W45" t="str">
        <f t="shared" ca="1" si="7"/>
        <v/>
      </c>
      <c r="X45" t="str">
        <f t="shared" ca="1" si="8"/>
        <v/>
      </c>
      <c r="Z45" t="str">
        <f t="shared" ca="1" si="28"/>
        <v/>
      </c>
      <c r="AA45" t="str">
        <f t="shared" ca="1" si="2"/>
        <v/>
      </c>
      <c r="AB45" t="str">
        <f t="shared" ca="1" si="3"/>
        <v/>
      </c>
      <c r="AC45" t="str">
        <f t="shared" ref="AC45" ca="1" si="33">IFERROR(IF(S45&lt;&gt;"",
IF(COUNTIF(OFFSET($A$1,$S45-1,AB45),"*g*"),
AB45,IF(COUNTIF(OFFSET($A$1,$S45-1,AB45+1),"*g*"),AB45+2,
IF(OFFSET($A$1,$S45-1,AB45)=".","",
IF(OFFSET($A$1,$S45-1,AB45)=OFFSET($A$1,$S45-1,AB45+1),AB45+1,
IF(OFFSET($A$1,$S45-1,AB45+1)&lt;&gt;0,AB45+2,
IF(OFFSET($A$1,$S45-1,AB45)&lt;&gt;0,AB45+1,"")))))),""),"")</f>
        <v/>
      </c>
      <c r="AE45" t="str">
        <f ca="1">IF(R45&lt;&gt;"",
IF(AND($S45-$R44&gt;3,COUNTIF(OFFSET($A$1,$R44+($S45-$R44-4),0),"&lt;&gt;*テキスト*")),
IF(OFFSET($A$1,$R44+($S45-$R44-4),0)=OFFSET($A$1,$R44+($S45-$R44-4),1),1,
IF(OFFSET($A$1,$R44+($S45-$R44-4),0)=OFFSET($A$1,$R44+($S45-$R44-4),2),2,
IF(OFFSET($A$1,$R44+($S45-$R44-4),0)=OFFSET($A$1,$R44+($S45-$R44-4),3),3,4))),
IF(AND($S45-$R44&gt;2,COUNTIF(OFFSET($A$1,$R44+($S45-$R44-3),0),"&lt;&gt;*テキスト*")),
IF(OFFSET($A$1,$R44+($S45-$R44-3),0)=OFFSET($A$1,$R44+($S45-$R44-3),1),1,
IF(OFFSET($A$1,$R44+($S45-$R44-3),0)=OFFSET($A$1,$R44+($S45-$R44-3),2),2,
IF(OFFSET($A$1,$R44+($S45-$R44-3),0)=OFFSET($A$1,$R44+($S45-$R44-3),3),3,4))),
IF(COUNTIF(OFFSET($A$1,$R44+($S45-$R44-2),0),"*様*"),1,
IF(COUNTIF(OFFSET($A$1,$R44+($S45-$R44-2),1),"*様*"),2,
IF(COUNTIF(OFFSET($A$1,$R44+($S45-$R44-2),2),"*様*"),3,4))))),"")</f>
        <v/>
      </c>
      <c r="AF45" t="str">
        <f t="shared" ca="1" si="11"/>
        <v/>
      </c>
      <c r="AG45" t="str">
        <f t="shared" ca="1" si="12"/>
        <v/>
      </c>
      <c r="AH45" t="str">
        <f t="shared" ca="1" si="13"/>
        <v/>
      </c>
      <c r="AI45" t="str">
        <f t="shared" ca="1" si="14"/>
        <v/>
      </c>
      <c r="AJ45" t="str">
        <f t="shared" ca="1" si="15"/>
        <v/>
      </c>
    </row>
    <row r="46" spans="15:36" ht="19.2" customHeight="1" x14ac:dyDescent="0.45">
      <c r="O46">
        <f t="shared" si="0"/>
        <v>0</v>
      </c>
      <c r="P46">
        <f t="shared" si="16"/>
        <v>0</v>
      </c>
      <c r="R46" t="str" cm="1">
        <f t="array" ref="R46">IFERROR(_xlfn.AGGREGATE(15, 6, ($O$2:$O$350)/($O$2:$O$350&lt;&gt;0), ROWS($R$2:R46)), "")</f>
        <v/>
      </c>
      <c r="S46" t="str" cm="1">
        <f t="array" ref="S46">IFERROR(_xlfn.AGGREGATE(15, 6, ($P$2:$P$350)/($P$2:$P$350&lt;&gt;0), ROWS($R$2:R46)), "")</f>
        <v/>
      </c>
      <c r="U46" t="str">
        <f t="shared" ca="1" si="5"/>
        <v/>
      </c>
      <c r="V46" t="str">
        <f t="shared" ca="1" si="6"/>
        <v/>
      </c>
      <c r="W46" t="str">
        <f t="shared" ca="1" si="7"/>
        <v/>
      </c>
      <c r="X46" t="str">
        <f t="shared" ca="1" si="8"/>
        <v/>
      </c>
      <c r="Z46" t="str">
        <f t="shared" ca="1" si="28"/>
        <v/>
      </c>
      <c r="AA46" t="str">
        <f t="shared" ca="1" si="2"/>
        <v/>
      </c>
      <c r="AB46" t="str">
        <f t="shared" ca="1" si="3"/>
        <v/>
      </c>
      <c r="AC46" t="str">
        <f t="shared" ref="AC46" ca="1" si="34">IFERROR(IF(S46&lt;&gt;"",
IF(COUNTIF(OFFSET($A$1,$S46-1,AB46),"*g*"),
AB46,IF(COUNTIF(OFFSET($A$1,$S46-1,AB46+1),"*g*"),AB46+2,
IF(OFFSET($A$1,$S46-1,AB46)=".","",
IF(OFFSET($A$1,$S46-1,AB46)=OFFSET($A$1,$S46-1,AB46+1),AB46+1,
IF(OFFSET($A$1,$S46-1,AB46+1)&lt;&gt;0,AB46+2,
IF(OFFSET($A$1,$S46-1,AB46)&lt;&gt;0,AB46+1,"")))))),""),"")</f>
        <v/>
      </c>
      <c r="AE46" t="str">
        <f t="shared" ca="1" si="10"/>
        <v/>
      </c>
      <c r="AF46" t="str">
        <f t="shared" ca="1" si="11"/>
        <v/>
      </c>
      <c r="AG46" t="str">
        <f t="shared" ca="1" si="12"/>
        <v/>
      </c>
      <c r="AH46" t="str">
        <f t="shared" ca="1" si="13"/>
        <v/>
      </c>
      <c r="AI46" t="str">
        <f t="shared" ca="1" si="14"/>
        <v/>
      </c>
      <c r="AJ46" t="str">
        <f t="shared" ca="1" si="15"/>
        <v/>
      </c>
    </row>
    <row r="47" spans="15:36" ht="19.2" customHeight="1" x14ac:dyDescent="0.45">
      <c r="O47">
        <f t="shared" si="0"/>
        <v>0</v>
      </c>
      <c r="P47">
        <f t="shared" si="16"/>
        <v>0</v>
      </c>
      <c r="R47" t="str" cm="1">
        <f t="array" ref="R47">IFERROR(_xlfn.AGGREGATE(15, 6, ($O$2:$O$350)/($O$2:$O$350&lt;&gt;0), ROWS($R$2:R47)), "")</f>
        <v/>
      </c>
      <c r="S47" t="str" cm="1">
        <f t="array" ref="S47">IFERROR(_xlfn.AGGREGATE(15, 6, ($P$2:$P$350)/($P$2:$P$350&lt;&gt;0), ROWS($R$2:R47)), "")</f>
        <v/>
      </c>
      <c r="U47" t="str">
        <f t="shared" ca="1" si="5"/>
        <v/>
      </c>
      <c r="V47" t="str">
        <f t="shared" ca="1" si="6"/>
        <v/>
      </c>
      <c r="W47" t="str">
        <f t="shared" ca="1" si="7"/>
        <v/>
      </c>
      <c r="X47" t="str">
        <f t="shared" ca="1" si="8"/>
        <v/>
      </c>
      <c r="Z47" t="str">
        <f t="shared" ca="1" si="28"/>
        <v/>
      </c>
      <c r="AA47" t="str">
        <f t="shared" ca="1" si="2"/>
        <v/>
      </c>
      <c r="AB47" t="str">
        <f t="shared" ca="1" si="3"/>
        <v/>
      </c>
      <c r="AC47" t="str">
        <f t="shared" ref="AC47" ca="1" si="35">IFERROR(IF(S47&lt;&gt;"",
IF(COUNTIF(OFFSET($A$1,$S47-1,AB47),"*g*"),
AB47,IF(COUNTIF(OFFSET($A$1,$S47-1,AB47+1),"*g*"),AB47+2,
IF(OFFSET($A$1,$S47-1,AB47)=".","",
IF(OFFSET($A$1,$S47-1,AB47)=OFFSET($A$1,$S47-1,AB47+1),AB47+1,
IF(OFFSET($A$1,$S47-1,AB47+1)&lt;&gt;0,AB47+2,
IF(OFFSET($A$1,$S47-1,AB47)&lt;&gt;0,AB47+1,"")))))),""),"")</f>
        <v/>
      </c>
      <c r="AE47" t="str">
        <f t="shared" ca="1" si="10"/>
        <v/>
      </c>
      <c r="AF47" t="str">
        <f t="shared" ca="1" si="11"/>
        <v/>
      </c>
      <c r="AG47" t="str">
        <f t="shared" ca="1" si="12"/>
        <v/>
      </c>
      <c r="AH47" t="str">
        <f t="shared" ca="1" si="13"/>
        <v/>
      </c>
      <c r="AI47" t="str">
        <f t="shared" ca="1" si="14"/>
        <v/>
      </c>
      <c r="AJ47" t="str">
        <f t="shared" ca="1" si="15"/>
        <v/>
      </c>
    </row>
    <row r="48" spans="15:36" ht="19.2" customHeight="1" x14ac:dyDescent="0.45">
      <c r="O48">
        <f t="shared" si="0"/>
        <v>0</v>
      </c>
      <c r="P48">
        <f t="shared" si="16"/>
        <v>0</v>
      </c>
      <c r="R48" t="str" cm="1">
        <f t="array" ref="R48">IFERROR(_xlfn.AGGREGATE(15, 6, ($O$2:$O$350)/($O$2:$O$350&lt;&gt;0), ROWS($R$2:R48)), "")</f>
        <v/>
      </c>
      <c r="S48" t="str" cm="1">
        <f t="array" ref="S48">IFERROR(_xlfn.AGGREGATE(15, 6, ($P$2:$P$350)/($P$2:$P$350&lt;&gt;0), ROWS($R$2:R48)), "")</f>
        <v/>
      </c>
      <c r="U48" t="str">
        <f t="shared" ca="1" si="5"/>
        <v/>
      </c>
      <c r="V48" t="str">
        <f t="shared" ca="1" si="6"/>
        <v/>
      </c>
      <c r="W48" t="str">
        <f t="shared" ca="1" si="7"/>
        <v/>
      </c>
      <c r="X48" t="str">
        <f t="shared" ca="1" si="8"/>
        <v/>
      </c>
      <c r="Z48" t="str">
        <f t="shared" ca="1" si="28"/>
        <v/>
      </c>
      <c r="AA48" t="str">
        <f t="shared" ca="1" si="2"/>
        <v/>
      </c>
      <c r="AB48" t="str">
        <f t="shared" ca="1" si="3"/>
        <v/>
      </c>
      <c r="AC48" t="str">
        <f t="shared" ref="AC48" ca="1" si="36">IFERROR(IF(S48&lt;&gt;"",
IF(COUNTIF(OFFSET($A$1,$S48-1,AB48),"*g*"),
AB48,IF(COUNTIF(OFFSET($A$1,$S48-1,AB48+1),"*g*"),AB48+2,
IF(OFFSET($A$1,$S48-1,AB48)=".","",
IF(OFFSET($A$1,$S48-1,AB48)=OFFSET($A$1,$S48-1,AB48+1),AB48+1,
IF(OFFSET($A$1,$S48-1,AB48+1)&lt;&gt;0,AB48+2,
IF(OFFSET($A$1,$S48-1,AB48)&lt;&gt;0,AB48+1,"")))))),""),"")</f>
        <v/>
      </c>
      <c r="AE48" t="str">
        <f t="shared" ca="1" si="10"/>
        <v/>
      </c>
      <c r="AF48" t="str">
        <f t="shared" ca="1" si="11"/>
        <v/>
      </c>
      <c r="AG48" t="str">
        <f t="shared" ca="1" si="12"/>
        <v/>
      </c>
      <c r="AH48" t="str">
        <f t="shared" ca="1" si="13"/>
        <v/>
      </c>
      <c r="AI48" t="str">
        <f t="shared" ca="1" si="14"/>
        <v/>
      </c>
      <c r="AJ48" t="str">
        <f t="shared" ca="1" si="15"/>
        <v/>
      </c>
    </row>
    <row r="49" spans="15:36" ht="19.2" customHeight="1" x14ac:dyDescent="0.45">
      <c r="O49">
        <f t="shared" si="0"/>
        <v>0</v>
      </c>
      <c r="P49">
        <f t="shared" si="16"/>
        <v>0</v>
      </c>
      <c r="R49" t="str" cm="1">
        <f t="array" ref="R49">IFERROR(_xlfn.AGGREGATE(15, 6, ($O$2:$O$350)/($O$2:$O$350&lt;&gt;0), ROWS($R$2:R49)), "")</f>
        <v/>
      </c>
      <c r="S49" t="str" cm="1">
        <f t="array" ref="S49">IFERROR(_xlfn.AGGREGATE(15, 6, ($P$2:$P$350)/($P$2:$P$350&lt;&gt;0), ROWS($R$2:R49)), "")</f>
        <v/>
      </c>
      <c r="U49" t="str">
        <f t="shared" ca="1" si="5"/>
        <v/>
      </c>
      <c r="V49" t="str">
        <f t="shared" ca="1" si="6"/>
        <v/>
      </c>
      <c r="W49" t="str">
        <f t="shared" ca="1" si="7"/>
        <v/>
      </c>
      <c r="X49" t="str">
        <f t="shared" ca="1" si="8"/>
        <v/>
      </c>
      <c r="Z49" t="str">
        <f t="shared" ca="1" si="28"/>
        <v/>
      </c>
      <c r="AA49" t="str">
        <f t="shared" ca="1" si="2"/>
        <v/>
      </c>
      <c r="AB49" t="str">
        <f t="shared" ca="1" si="3"/>
        <v/>
      </c>
      <c r="AC49" t="str">
        <f t="shared" ref="AC49" ca="1" si="37">IFERROR(IF(S49&lt;&gt;"",
IF(COUNTIF(OFFSET($A$1,$S49-1,AB49),"*g*"),
AB49,IF(COUNTIF(OFFSET($A$1,$S49-1,AB49+1),"*g*"),AB49+2,
IF(OFFSET($A$1,$S49-1,AB49)=".","",
IF(OFFSET($A$1,$S49-1,AB49)=OFFSET($A$1,$S49-1,AB49+1),AB49+1,
IF(OFFSET($A$1,$S49-1,AB49+1)&lt;&gt;0,AB49+2,
IF(OFFSET($A$1,$S49-1,AB49)&lt;&gt;0,AB49+1,"")))))),""),"")</f>
        <v/>
      </c>
      <c r="AE49" t="str">
        <f t="shared" ca="1" si="10"/>
        <v/>
      </c>
      <c r="AF49" t="str">
        <f t="shared" ca="1" si="11"/>
        <v/>
      </c>
      <c r="AG49" t="str">
        <f t="shared" ca="1" si="12"/>
        <v/>
      </c>
      <c r="AH49" t="str">
        <f t="shared" ca="1" si="13"/>
        <v/>
      </c>
      <c r="AI49" t="str">
        <f t="shared" ca="1" si="14"/>
        <v/>
      </c>
      <c r="AJ49" t="str">
        <f t="shared" ca="1" si="15"/>
        <v/>
      </c>
    </row>
    <row r="50" spans="15:36" ht="19.2" customHeight="1" x14ac:dyDescent="0.45">
      <c r="O50">
        <f t="shared" si="0"/>
        <v>0</v>
      </c>
      <c r="P50">
        <f t="shared" si="16"/>
        <v>0</v>
      </c>
      <c r="R50" t="str" cm="1">
        <f t="array" ref="R50">IFERROR(_xlfn.AGGREGATE(15, 6, ($O$2:$O$350)/($O$2:$O$350&lt;&gt;0), ROWS($R$2:R50)), "")</f>
        <v/>
      </c>
      <c r="S50" t="str" cm="1">
        <f t="array" ref="S50">IFERROR(_xlfn.AGGREGATE(15, 6, ($P$2:$P$350)/($P$2:$P$350&lt;&gt;0), ROWS($R$2:R50)), "")</f>
        <v/>
      </c>
      <c r="U50" t="str">
        <f t="shared" ca="1" si="5"/>
        <v/>
      </c>
      <c r="V50" t="str">
        <f t="shared" ca="1" si="6"/>
        <v/>
      </c>
      <c r="W50" t="str">
        <f t="shared" ca="1" si="7"/>
        <v/>
      </c>
      <c r="X50" t="str">
        <f t="shared" ca="1" si="8"/>
        <v/>
      </c>
      <c r="Z50" t="str">
        <f t="shared" ref="Z50" ca="1" si="38">IF(S50&lt;&gt;"",
IF(COUNTIF(OFFSET($A$1,$S50-1,0),"*g*"),
1,IF(COUNTIF(OFFSET($A$1,$S50-1,1),"*g*"),2,
IF(OFFSET($A$1,$S50-1,0)=".","",
IF(OFFSET($A$1,$S50-1,0)=OFFSET($A$1,$S50-1,1),1,2)))),"")</f>
        <v/>
      </c>
      <c r="AA50" t="str">
        <f t="shared" ref="AA50" ca="1" si="39">IFERROR(IF(S50&lt;&gt;"",
IF(Z50&lt;&gt;"",
IF(COUNTIF(OFFSET($A$1,$S50-1,Z50),"*g*"),
Z50,IF(COUNTIF(OFFSET($A$1,$S50-1,Z50+1),"*g*"),Z50+2,
IF(OFFSET($A$1,$S50-1,Z50)=".","",
IF(OFFSET($A$1,$S50-1,Z50)=OFFSET($A$1,$S50-1,Z50+1),Z50+1,Z50+2)))),
IF(COUNTIF(OFFSET($A$1,$S50-1,2),"*g*"),
2,IF(COUNTIF(OFFSET($A$1,$S50-1,2+1),"*g*"),2+2,
IF(OFFSET($A$1,$S50-1,2)=".","",
IF(OFFSET($A$1,$S50-1,2)=OFFSET($A$1,$S50-1,2+1),
IF(OFFSET($A$1,$S50-1,2+1)=0,"",2+1),
IF(OFFSET($A$1,$S50-1,2)&lt;&gt;"",2,
IF(OFFSET($A$1,$S50-1,2+1)&lt;&gt;"",2+1,""))))))),""),"")</f>
        <v/>
      </c>
      <c r="AB50" t="str">
        <f t="shared" ref="AB50" ca="1" si="40">IFERROR(IF(S50&lt;&gt;"",
IF(COUNTIF(OFFSET($A$1,$S50-1,AA50),"*g*"),
AA50,IF(COUNTIF(OFFSET($A$1,$S50-1,AA50+1),"*g*"),AA50+2,
IF(OFFSET($A$1,$S50-1,AA50)=".","",
IF(OFFSET($A$1,$S50-1,AA50)=OFFSET($A$1,$S50-1,AA50+1),AA50+1,AA50+2)))),""),"")</f>
        <v/>
      </c>
      <c r="AC50" t="str">
        <f t="shared" ca="1" si="4"/>
        <v/>
      </c>
      <c r="AE50" t="str">
        <f t="shared" ca="1" si="10"/>
        <v/>
      </c>
      <c r="AF50" t="str">
        <f t="shared" ca="1" si="11"/>
        <v/>
      </c>
      <c r="AG50" t="str">
        <f t="shared" ca="1" si="12"/>
        <v/>
      </c>
      <c r="AH50" t="str">
        <f t="shared" ca="1" si="13"/>
        <v/>
      </c>
      <c r="AI50" t="str">
        <f t="shared" ca="1" si="14"/>
        <v/>
      </c>
      <c r="AJ50" t="str">
        <f t="shared" ca="1" si="15"/>
        <v/>
      </c>
    </row>
    <row r="51" spans="15:36" ht="19.2" customHeight="1" x14ac:dyDescent="0.45">
      <c r="O51">
        <f t="shared" si="0"/>
        <v>0</v>
      </c>
      <c r="P51">
        <f t="shared" si="16"/>
        <v>0</v>
      </c>
      <c r="R51" t="str" cm="1">
        <f t="array" ref="R51">IFERROR(_xlfn.AGGREGATE(15, 6, ($O$2:$O$350)/($O$2:$O$350&lt;&gt;0), ROWS($R$2:R51)), "")</f>
        <v/>
      </c>
      <c r="S51" t="str" cm="1">
        <f t="array" ref="S51">IFERROR(_xlfn.AGGREGATE(15, 6, ($P$2:$P$350)/($P$2:$P$350&lt;&gt;0), ROWS($R$2:R51)), "")</f>
        <v/>
      </c>
      <c r="U51" t="str">
        <f t="shared" ca="1" si="5"/>
        <v/>
      </c>
      <c r="V51" t="str">
        <f t="shared" ca="1" si="6"/>
        <v/>
      </c>
      <c r="W51" t="str">
        <f t="shared" ca="1" si="7"/>
        <v/>
      </c>
      <c r="X51" t="str">
        <f t="shared" ca="1" si="8"/>
        <v/>
      </c>
      <c r="Z51" t="str">
        <f t="shared" ref="Z51" ca="1" si="41">IF(S51&lt;&gt;"",
IF(COUNTIF(OFFSET($A$1,$S51-1,0),"*g*"),
1,IF(COUNTIF(OFFSET($A$1,$S51-1,1),"*g*"),2,
IF(OFFSET($A$1,$S51-1,0)=".","",
IF(OFFSET($A$1,$S51-1,0)=OFFSET($A$1,$S51-1,1),1,2)))),"")</f>
        <v/>
      </c>
      <c r="AA51" t="str">
        <f t="shared" ref="AA51" ca="1" si="42">IFERROR(IF(S51&lt;&gt;"",
IF(Z51&lt;&gt;"",
IF(COUNTIF(OFFSET($A$1,$S51-1,Z51),"*g*"),
Z51,IF(COUNTIF(OFFSET($A$1,$S51-1,Z51+1),"*g*"),Z51+2,
IF(OFFSET($A$1,$S51-1,Z51)=".","",
IF(OFFSET($A$1,$S51-1,Z51)=OFFSET($A$1,$S51-1,Z51+1),Z51+1,Z51+2)))),
IF(COUNTIF(OFFSET($A$1,$S51-1,2),"*g*"),
2,IF(COUNTIF(OFFSET($A$1,$S51-1,2+1),"*g*"),2+2,
IF(OFFSET($A$1,$S51-1,2)=".","",
IF(OFFSET($A$1,$S51-1,2)=OFFSET($A$1,$S51-1,2+1),
IF(OFFSET($A$1,$S51-1,2+1)=0,"",2+1),
IF(OFFSET($A$1,$S51-1,2)&lt;&gt;"",2,
IF(OFFSET($A$1,$S51-1,2+1)&lt;&gt;"",2+1,""))))))),""),"")</f>
        <v/>
      </c>
      <c r="AB51" t="str">
        <f t="shared" ref="AB51" ca="1" si="43">IFERROR(IF(S51&lt;&gt;"",
IF(COUNTIF(OFFSET($A$1,$S51-1,AA51),"*g*"),
AA51,IF(COUNTIF(OFFSET($A$1,$S51-1,AA51+1),"*g*"),AA51+2,
IF(OFFSET($A$1,$S51-1,AA51)=".","",
IF(OFFSET($A$1,$S51-1,AA51)=OFFSET($A$1,$S51-1,AA51+1),AA51+1,AA51+2)))),""),"")</f>
        <v/>
      </c>
      <c r="AC51" t="str">
        <f t="shared" ca="1" si="4"/>
        <v/>
      </c>
      <c r="AE51" t="str">
        <f t="shared" ca="1" si="10"/>
        <v/>
      </c>
      <c r="AF51" t="str">
        <f t="shared" ca="1" si="11"/>
        <v/>
      </c>
      <c r="AG51" t="str">
        <f t="shared" ca="1" si="12"/>
        <v/>
      </c>
      <c r="AH51" t="str">
        <f t="shared" ca="1" si="13"/>
        <v/>
      </c>
      <c r="AI51" t="str">
        <f t="shared" ca="1" si="14"/>
        <v/>
      </c>
      <c r="AJ51" t="str">
        <f t="shared" ca="1" si="15"/>
        <v/>
      </c>
    </row>
    <row r="52" spans="15:36" ht="19.2" customHeight="1" x14ac:dyDescent="0.45">
      <c r="O52">
        <f t="shared" si="0"/>
        <v>0</v>
      </c>
      <c r="P52">
        <f t="shared" si="16"/>
        <v>0</v>
      </c>
      <c r="R52" t="str" cm="1">
        <f t="array" ref="R52">IFERROR(_xlfn.AGGREGATE(15, 6, ($O$2:$O$350)/($O$2:$O$350&lt;&gt;0), ROWS($R$2:R52)), "")</f>
        <v/>
      </c>
      <c r="S52" t="str" cm="1">
        <f t="array" ref="S52">IFERROR(_xlfn.AGGREGATE(15, 6, ($P$2:$P$350)/($P$2:$P$350&lt;&gt;0), ROWS($R$2:R52)), "")</f>
        <v/>
      </c>
      <c r="U52" t="str">
        <f t="shared" ca="1" si="5"/>
        <v/>
      </c>
      <c r="V52" t="str">
        <f t="shared" ca="1" si="6"/>
        <v/>
      </c>
      <c r="W52" t="str">
        <f t="shared" ca="1" si="7"/>
        <v/>
      </c>
      <c r="X52" t="str">
        <f t="shared" ca="1" si="8"/>
        <v/>
      </c>
      <c r="Z52" t="str">
        <f t="shared" ref="Z52" ca="1" si="44">IF(S52&lt;&gt;"",
IF(COUNTIF(OFFSET($A$1,$S52-1,0),"*g*"),
1,IF(COUNTIF(OFFSET($A$1,$S52-1,1),"*g*"),2,
IF(OFFSET($A$1,$S52-1,0)=".","",
IF(OFFSET($A$1,$S52-1,0)=OFFSET($A$1,$S52-1,1),1,2)))),"")</f>
        <v/>
      </c>
      <c r="AA52" t="str">
        <f t="shared" ref="AA52" ca="1" si="45">IFERROR(IF(S52&lt;&gt;"",
IF(Z52&lt;&gt;"",
IF(COUNTIF(OFFSET($A$1,$S52-1,Z52),"*g*"),
Z52,IF(COUNTIF(OFFSET($A$1,$S52-1,Z52+1),"*g*"),Z52+2,
IF(OFFSET($A$1,$S52-1,Z52)=".","",
IF(OFFSET($A$1,$S52-1,Z52)=OFFSET($A$1,$S52-1,Z52+1),Z52+1,Z52+2)))),
IF(COUNTIF(OFFSET($A$1,$S52-1,2),"*g*"),
2,IF(COUNTIF(OFFSET($A$1,$S52-1,2+1),"*g*"),2+2,
IF(OFFSET($A$1,$S52-1,2)=".","",
IF(OFFSET($A$1,$S52-1,2)=OFFSET($A$1,$S52-1,2+1),
IF(OFFSET($A$1,$S52-1,2+1)=0,"",2+1),
IF(OFFSET($A$1,$S52-1,2)&lt;&gt;"",2,
IF(OFFSET($A$1,$S52-1,2+1)&lt;&gt;"",2+1,""))))))),""),"")</f>
        <v/>
      </c>
      <c r="AB52" t="str">
        <f t="shared" ref="AB52" ca="1" si="46">IFERROR(IF(S52&lt;&gt;"",
IF(COUNTIF(OFFSET($A$1,$S52-1,AA52),"*g*"),
AA52,IF(COUNTIF(OFFSET($A$1,$S52-1,AA52+1),"*g*"),AA52+2,
IF(OFFSET($A$1,$S52-1,AA52)=".","",
IF(OFFSET($A$1,$S52-1,AA52)=OFFSET($A$1,$S52-1,AA52+1),AA52+1,AA52+2)))),""),"")</f>
        <v/>
      </c>
      <c r="AC52" t="str">
        <f t="shared" ca="1" si="4"/>
        <v/>
      </c>
      <c r="AE52" t="str">
        <f t="shared" ca="1" si="10"/>
        <v/>
      </c>
      <c r="AF52" t="str">
        <f t="shared" ca="1" si="11"/>
        <v/>
      </c>
      <c r="AG52" t="str">
        <f t="shared" ca="1" si="12"/>
        <v/>
      </c>
      <c r="AH52" t="str">
        <f t="shared" ca="1" si="13"/>
        <v/>
      </c>
      <c r="AI52" t="str">
        <f t="shared" ca="1" si="14"/>
        <v/>
      </c>
      <c r="AJ52" t="str">
        <f t="shared" ca="1" si="15"/>
        <v/>
      </c>
    </row>
    <row r="53" spans="15:36" ht="19.2" customHeight="1" x14ac:dyDescent="0.45">
      <c r="O53">
        <f t="shared" si="0"/>
        <v>0</v>
      </c>
      <c r="P53">
        <f t="shared" si="16"/>
        <v>0</v>
      </c>
      <c r="R53" t="str" cm="1">
        <f t="array" ref="R53">IFERROR(_xlfn.AGGREGATE(15, 6, ($O$2:$O$350)/($O$2:$O$350&lt;&gt;0), ROWS($R$2:R53)), "")</f>
        <v/>
      </c>
      <c r="S53" t="str" cm="1">
        <f t="array" ref="S53">IFERROR(_xlfn.AGGREGATE(15, 6, ($P$2:$P$350)/($P$2:$P$350&lt;&gt;0), ROWS($R$2:R53)), "")</f>
        <v/>
      </c>
      <c r="U53" t="str">
        <f t="shared" ca="1" si="5"/>
        <v/>
      </c>
      <c r="V53" t="str">
        <f t="shared" ca="1" si="6"/>
        <v/>
      </c>
      <c r="W53" t="str">
        <f t="shared" ca="1" si="7"/>
        <v/>
      </c>
      <c r="X53" t="str">
        <f t="shared" ca="1" si="8"/>
        <v/>
      </c>
      <c r="Z53" t="str">
        <f t="shared" ca="1" si="28"/>
        <v/>
      </c>
      <c r="AA53" t="str">
        <f t="shared" ca="1" si="2"/>
        <v/>
      </c>
      <c r="AB53" t="str">
        <f t="shared" ca="1" si="3"/>
        <v/>
      </c>
      <c r="AC53" t="str">
        <f t="shared" ca="1" si="4"/>
        <v/>
      </c>
      <c r="AE53" t="str">
        <f t="shared" ca="1" si="10"/>
        <v/>
      </c>
      <c r="AF53" t="str">
        <f t="shared" ca="1" si="11"/>
        <v/>
      </c>
      <c r="AG53" t="str">
        <f t="shared" ca="1" si="12"/>
        <v/>
      </c>
      <c r="AH53" t="str">
        <f t="shared" ca="1" si="13"/>
        <v/>
      </c>
      <c r="AI53" t="str">
        <f t="shared" ca="1" si="14"/>
        <v/>
      </c>
      <c r="AJ53" t="str">
        <f t="shared" ca="1" si="15"/>
        <v/>
      </c>
    </row>
    <row r="54" spans="15:36" ht="19.2" customHeight="1" x14ac:dyDescent="0.45">
      <c r="O54">
        <f t="shared" si="0"/>
        <v>0</v>
      </c>
      <c r="P54">
        <f t="shared" si="16"/>
        <v>0</v>
      </c>
      <c r="R54" t="str" cm="1">
        <f t="array" ref="R54">IFERROR(_xlfn.AGGREGATE(15, 6, ($O$2:$O$350)/($O$2:$O$350&lt;&gt;0), ROWS($R$2:R54)), "")</f>
        <v/>
      </c>
      <c r="S54" t="str" cm="1">
        <f t="array" ref="S54">IFERROR(_xlfn.AGGREGATE(15, 6, ($P$2:$P$350)/($P$2:$P$350&lt;&gt;0), ROWS($R$2:R54)), "")</f>
        <v/>
      </c>
      <c r="U54" t="str">
        <f t="shared" ca="1" si="5"/>
        <v/>
      </c>
      <c r="V54" t="str">
        <f t="shared" ca="1" si="6"/>
        <v/>
      </c>
      <c r="W54" t="str">
        <f t="shared" ca="1" si="7"/>
        <v/>
      </c>
      <c r="X54" t="str">
        <f t="shared" ca="1" si="8"/>
        <v/>
      </c>
      <c r="Z54" t="str">
        <f t="shared" ca="1" si="28"/>
        <v/>
      </c>
      <c r="AA54" t="str">
        <f t="shared" ca="1" si="2"/>
        <v/>
      </c>
      <c r="AB54" t="str">
        <f t="shared" ca="1" si="3"/>
        <v/>
      </c>
      <c r="AC54" t="str">
        <f t="shared" ca="1" si="4"/>
        <v/>
      </c>
      <c r="AE54" t="str">
        <f t="shared" ca="1" si="10"/>
        <v/>
      </c>
      <c r="AF54" t="str">
        <f t="shared" ca="1" si="11"/>
        <v/>
      </c>
      <c r="AG54" t="str">
        <f t="shared" ca="1" si="12"/>
        <v/>
      </c>
      <c r="AH54" t="str">
        <f t="shared" ca="1" si="13"/>
        <v/>
      </c>
      <c r="AI54" t="str">
        <f t="shared" ca="1" si="14"/>
        <v/>
      </c>
      <c r="AJ54" t="str">
        <f t="shared" ca="1" si="15"/>
        <v/>
      </c>
    </row>
    <row r="55" spans="15:36" ht="19.2" customHeight="1" x14ac:dyDescent="0.45">
      <c r="O55">
        <f t="shared" si="0"/>
        <v>0</v>
      </c>
      <c r="P55">
        <f t="shared" si="16"/>
        <v>0</v>
      </c>
      <c r="R55" t="str" cm="1">
        <f t="array" ref="R55">IFERROR(_xlfn.AGGREGATE(15, 6, ($O$2:$O$350)/($O$2:$O$350&lt;&gt;0), ROWS($R$2:R55)), "")</f>
        <v/>
      </c>
      <c r="S55" t="str" cm="1">
        <f t="array" ref="S55">IFERROR(_xlfn.AGGREGATE(15, 6, ($P$2:$P$350)/($P$2:$P$350&lt;&gt;0), ROWS($R$2:R55)), "")</f>
        <v/>
      </c>
      <c r="U55" t="str">
        <f t="shared" ca="1" si="5"/>
        <v/>
      </c>
      <c r="V55" t="str">
        <f t="shared" ca="1" si="6"/>
        <v/>
      </c>
      <c r="W55" t="str">
        <f t="shared" ca="1" si="7"/>
        <v/>
      </c>
      <c r="X55" t="str">
        <f t="shared" ca="1" si="8"/>
        <v/>
      </c>
      <c r="Z55" t="str">
        <f t="shared" ca="1" si="28"/>
        <v/>
      </c>
      <c r="AA55" t="str">
        <f t="shared" ca="1" si="2"/>
        <v/>
      </c>
      <c r="AB55" t="str">
        <f t="shared" ca="1" si="3"/>
        <v/>
      </c>
      <c r="AC55" t="str">
        <f t="shared" ca="1" si="4"/>
        <v/>
      </c>
      <c r="AE55" t="str">
        <f t="shared" ca="1" si="10"/>
        <v/>
      </c>
      <c r="AF55" t="str">
        <f t="shared" ca="1" si="11"/>
        <v/>
      </c>
      <c r="AG55" t="str">
        <f t="shared" ca="1" si="12"/>
        <v/>
      </c>
      <c r="AH55" t="str">
        <f t="shared" ca="1" si="13"/>
        <v/>
      </c>
      <c r="AI55" t="str">
        <f t="shared" ca="1" si="14"/>
        <v/>
      </c>
      <c r="AJ55" t="str">
        <f t="shared" ca="1" si="15"/>
        <v/>
      </c>
    </row>
    <row r="56" spans="15:36" ht="19.2" customHeight="1" x14ac:dyDescent="0.45">
      <c r="O56">
        <f t="shared" si="0"/>
        <v>0</v>
      </c>
      <c r="P56">
        <f t="shared" si="16"/>
        <v>0</v>
      </c>
      <c r="R56" t="str" cm="1">
        <f t="array" ref="R56">IFERROR(_xlfn.AGGREGATE(15, 6, ($O$2:$O$350)/($O$2:$O$350&lt;&gt;0), ROWS($R$2:R56)), "")</f>
        <v/>
      </c>
      <c r="S56" t="str" cm="1">
        <f t="array" ref="S56">IFERROR(_xlfn.AGGREGATE(15, 6, ($P$2:$P$350)/($P$2:$P$350&lt;&gt;0), ROWS($R$2:R56)), "")</f>
        <v/>
      </c>
      <c r="U56" t="str">
        <f t="shared" ca="1" si="5"/>
        <v/>
      </c>
      <c r="V56" t="str">
        <f t="shared" ca="1" si="6"/>
        <v/>
      </c>
      <c r="W56" t="str">
        <f t="shared" ca="1" si="7"/>
        <v/>
      </c>
      <c r="X56" t="str">
        <f t="shared" ca="1" si="8"/>
        <v/>
      </c>
      <c r="Z56" t="str">
        <f t="shared" ca="1" si="28"/>
        <v/>
      </c>
      <c r="AA56" t="str">
        <f t="shared" ca="1" si="2"/>
        <v/>
      </c>
      <c r="AB56" t="str">
        <f t="shared" ca="1" si="3"/>
        <v/>
      </c>
      <c r="AC56" t="str">
        <f t="shared" ca="1" si="4"/>
        <v/>
      </c>
      <c r="AE56" t="str">
        <f t="shared" ca="1" si="10"/>
        <v/>
      </c>
      <c r="AF56" t="str">
        <f t="shared" ca="1" si="11"/>
        <v/>
      </c>
      <c r="AG56" t="str">
        <f t="shared" ca="1" si="12"/>
        <v/>
      </c>
      <c r="AH56" t="str">
        <f t="shared" ca="1" si="13"/>
        <v/>
      </c>
      <c r="AI56" t="str">
        <f t="shared" ca="1" si="14"/>
        <v/>
      </c>
      <c r="AJ56" t="str">
        <f t="shared" ca="1" si="15"/>
        <v/>
      </c>
    </row>
    <row r="57" spans="15:36" ht="19.2" customHeight="1" x14ac:dyDescent="0.45">
      <c r="O57">
        <f t="shared" si="0"/>
        <v>0</v>
      </c>
      <c r="P57">
        <f t="shared" si="16"/>
        <v>0</v>
      </c>
      <c r="R57" t="str" cm="1">
        <f t="array" ref="R57">IFERROR(_xlfn.AGGREGATE(15, 6, ($O$2:$O$350)/($O$2:$O$350&lt;&gt;0), ROWS($R$2:R57)), "")</f>
        <v/>
      </c>
      <c r="S57" t="str" cm="1">
        <f t="array" ref="S57">IFERROR(_xlfn.AGGREGATE(15, 6, ($P$2:$P$350)/($P$2:$P$350&lt;&gt;0), ROWS($R$2:R57)), "")</f>
        <v/>
      </c>
      <c r="U57" t="str">
        <f t="shared" ca="1" si="5"/>
        <v/>
      </c>
      <c r="V57" t="str">
        <f t="shared" ca="1" si="6"/>
        <v/>
      </c>
      <c r="W57" t="str">
        <f t="shared" ca="1" si="7"/>
        <v/>
      </c>
      <c r="X57" t="str">
        <f t="shared" ca="1" si="8"/>
        <v/>
      </c>
      <c r="Z57" t="str">
        <f t="shared" ca="1" si="28"/>
        <v/>
      </c>
      <c r="AA57" t="str">
        <f t="shared" ca="1" si="2"/>
        <v/>
      </c>
      <c r="AB57" t="str">
        <f t="shared" ca="1" si="3"/>
        <v/>
      </c>
      <c r="AC57" t="str">
        <f t="shared" ca="1" si="4"/>
        <v/>
      </c>
      <c r="AE57" t="str">
        <f t="shared" ca="1" si="10"/>
        <v/>
      </c>
      <c r="AF57" t="str">
        <f t="shared" ca="1" si="11"/>
        <v/>
      </c>
      <c r="AG57" t="str">
        <f t="shared" ca="1" si="12"/>
        <v/>
      </c>
      <c r="AH57" t="str">
        <f t="shared" ca="1" si="13"/>
        <v/>
      </c>
      <c r="AI57" t="str">
        <f t="shared" ca="1" si="14"/>
        <v/>
      </c>
      <c r="AJ57" t="str">
        <f t="shared" ca="1" si="15"/>
        <v/>
      </c>
    </row>
    <row r="58" spans="15:36" ht="19.2" customHeight="1" x14ac:dyDescent="0.45">
      <c r="O58">
        <f t="shared" si="0"/>
        <v>0</v>
      </c>
      <c r="P58">
        <f t="shared" si="16"/>
        <v>0</v>
      </c>
      <c r="R58" t="str" cm="1">
        <f t="array" ref="R58">IFERROR(_xlfn.AGGREGATE(15, 6, ($O$2:$O$350)/($O$2:$O$350&lt;&gt;0), ROWS($R$2:R58)), "")</f>
        <v/>
      </c>
      <c r="S58" t="str" cm="1">
        <f t="array" ref="S58">IFERROR(_xlfn.AGGREGATE(15, 6, ($P$2:$P$350)/($P$2:$P$350&lt;&gt;0), ROWS($R$2:R58)), "")</f>
        <v/>
      </c>
      <c r="U58" t="str">
        <f t="shared" ca="1" si="5"/>
        <v/>
      </c>
      <c r="V58" t="str">
        <f t="shared" ca="1" si="6"/>
        <v/>
      </c>
      <c r="W58" t="str">
        <f t="shared" ca="1" si="7"/>
        <v/>
      </c>
      <c r="X58" t="str">
        <f t="shared" ca="1" si="8"/>
        <v/>
      </c>
      <c r="Z58" t="str">
        <f t="shared" ca="1" si="28"/>
        <v/>
      </c>
      <c r="AA58" t="str">
        <f t="shared" ca="1" si="2"/>
        <v/>
      </c>
      <c r="AB58" t="str">
        <f t="shared" ca="1" si="3"/>
        <v/>
      </c>
      <c r="AC58" t="str">
        <f t="shared" ca="1" si="4"/>
        <v/>
      </c>
      <c r="AE58" t="str">
        <f t="shared" ca="1" si="10"/>
        <v/>
      </c>
      <c r="AF58" t="str">
        <f t="shared" ca="1" si="11"/>
        <v/>
      </c>
      <c r="AG58" t="str">
        <f t="shared" ca="1" si="12"/>
        <v/>
      </c>
      <c r="AH58" t="str">
        <f t="shared" ca="1" si="13"/>
        <v/>
      </c>
      <c r="AI58" t="str">
        <f t="shared" ca="1" si="14"/>
        <v/>
      </c>
      <c r="AJ58" t="str">
        <f t="shared" ca="1" si="15"/>
        <v/>
      </c>
    </row>
    <row r="59" spans="15:36" ht="19.2" customHeight="1" x14ac:dyDescent="0.45">
      <c r="O59">
        <f t="shared" si="0"/>
        <v>0</v>
      </c>
      <c r="P59">
        <f t="shared" si="16"/>
        <v>0</v>
      </c>
      <c r="R59" t="str" cm="1">
        <f t="array" ref="R59">IFERROR(_xlfn.AGGREGATE(15, 6, ($O$2:$O$350)/($O$2:$O$350&lt;&gt;0), ROWS($R$2:R59)), "")</f>
        <v/>
      </c>
      <c r="S59" t="str" cm="1">
        <f t="array" ref="S59">IFERROR(_xlfn.AGGREGATE(15, 6, ($P$2:$P$350)/($P$2:$P$350&lt;&gt;0), ROWS($R$2:R59)), "")</f>
        <v/>
      </c>
      <c r="U59" t="str">
        <f t="shared" ca="1" si="5"/>
        <v/>
      </c>
      <c r="V59" t="str">
        <f t="shared" ca="1" si="6"/>
        <v/>
      </c>
      <c r="W59" t="str">
        <f t="shared" ca="1" si="7"/>
        <v/>
      </c>
      <c r="X59" t="str">
        <f t="shared" ca="1" si="8"/>
        <v/>
      </c>
      <c r="Z59" t="str">
        <f t="shared" ca="1" si="28"/>
        <v/>
      </c>
      <c r="AA59" t="str">
        <f t="shared" ca="1" si="2"/>
        <v/>
      </c>
      <c r="AB59" t="str">
        <f t="shared" ca="1" si="3"/>
        <v/>
      </c>
      <c r="AC59" t="str">
        <f t="shared" ca="1" si="4"/>
        <v/>
      </c>
      <c r="AE59" t="str">
        <f t="shared" ca="1" si="10"/>
        <v/>
      </c>
      <c r="AF59" t="str">
        <f t="shared" ca="1" si="11"/>
        <v/>
      </c>
      <c r="AG59" t="str">
        <f t="shared" ca="1" si="12"/>
        <v/>
      </c>
      <c r="AH59" t="str">
        <f t="shared" ca="1" si="13"/>
        <v/>
      </c>
      <c r="AI59" t="str">
        <f t="shared" ca="1" si="14"/>
        <v/>
      </c>
      <c r="AJ59" t="str">
        <f t="shared" ca="1" si="15"/>
        <v/>
      </c>
    </row>
    <row r="60" spans="15:36" ht="19.2" customHeight="1" x14ac:dyDescent="0.45">
      <c r="O60">
        <f t="shared" si="0"/>
        <v>0</v>
      </c>
      <c r="P60">
        <f t="shared" si="16"/>
        <v>0</v>
      </c>
      <c r="R60" t="str" cm="1">
        <f t="array" ref="R60">IFERROR(_xlfn.AGGREGATE(15, 6, ($O$2:$O$350)/($O$2:$O$350&lt;&gt;0), ROWS($R$2:R60)), "")</f>
        <v/>
      </c>
      <c r="S60" t="str" cm="1">
        <f t="array" ref="S60">IFERROR(_xlfn.AGGREGATE(15, 6, ($P$2:$P$350)/($P$2:$P$350&lt;&gt;0), ROWS($R$2:R60)), "")</f>
        <v/>
      </c>
      <c r="U60" t="str">
        <f t="shared" ca="1" si="5"/>
        <v/>
      </c>
      <c r="V60" t="str">
        <f t="shared" ca="1" si="6"/>
        <v/>
      </c>
      <c r="W60" t="str">
        <f t="shared" ca="1" si="7"/>
        <v/>
      </c>
      <c r="X60" t="str">
        <f t="shared" ca="1" si="8"/>
        <v/>
      </c>
      <c r="Z60" t="str">
        <f t="shared" ca="1" si="28"/>
        <v/>
      </c>
      <c r="AA60" t="str">
        <f t="shared" ca="1" si="2"/>
        <v/>
      </c>
      <c r="AB60" t="str">
        <f t="shared" ca="1" si="3"/>
        <v/>
      </c>
      <c r="AC60" t="str">
        <f t="shared" ca="1" si="4"/>
        <v/>
      </c>
      <c r="AE60" t="str">
        <f t="shared" ca="1" si="10"/>
        <v/>
      </c>
      <c r="AF60" t="str">
        <f t="shared" ca="1" si="11"/>
        <v/>
      </c>
      <c r="AG60" t="str">
        <f t="shared" ca="1" si="12"/>
        <v/>
      </c>
      <c r="AH60" t="str">
        <f t="shared" ca="1" si="13"/>
        <v/>
      </c>
      <c r="AI60" t="str">
        <f t="shared" ca="1" si="14"/>
        <v/>
      </c>
      <c r="AJ60" t="str">
        <f t="shared" ca="1" si="15"/>
        <v/>
      </c>
    </row>
    <row r="61" spans="15:36" ht="19.2" customHeight="1" x14ac:dyDescent="0.45">
      <c r="O61">
        <f t="shared" si="0"/>
        <v>0</v>
      </c>
      <c r="P61">
        <f t="shared" si="16"/>
        <v>0</v>
      </c>
      <c r="R61" t="str" cm="1">
        <f t="array" ref="R61">IFERROR(_xlfn.AGGREGATE(15, 6, ($O$2:$O$350)/($O$2:$O$350&lt;&gt;0), ROWS($R$2:R61)), "")</f>
        <v/>
      </c>
      <c r="S61" t="str" cm="1">
        <f t="array" ref="S61">IFERROR(_xlfn.AGGREGATE(15, 6, ($P$2:$P$350)/($P$2:$P$350&lt;&gt;0), ROWS($R$2:R61)), "")</f>
        <v/>
      </c>
      <c r="U61" t="str">
        <f t="shared" ca="1" si="5"/>
        <v/>
      </c>
      <c r="V61" t="str">
        <f t="shared" ca="1" si="6"/>
        <v/>
      </c>
      <c r="W61" t="str">
        <f t="shared" ca="1" si="7"/>
        <v/>
      </c>
      <c r="X61" t="str">
        <f t="shared" ca="1" si="8"/>
        <v/>
      </c>
      <c r="Z61" t="str">
        <f t="shared" ca="1" si="28"/>
        <v/>
      </c>
      <c r="AA61" t="str">
        <f t="shared" ca="1" si="2"/>
        <v/>
      </c>
      <c r="AB61" t="str">
        <f t="shared" ca="1" si="3"/>
        <v/>
      </c>
      <c r="AC61" t="str">
        <f t="shared" ca="1" si="4"/>
        <v/>
      </c>
      <c r="AE61" t="str">
        <f t="shared" ca="1" si="10"/>
        <v/>
      </c>
      <c r="AF61" t="str">
        <f t="shared" ca="1" si="11"/>
        <v/>
      </c>
      <c r="AG61" t="str">
        <f t="shared" ca="1" si="12"/>
        <v/>
      </c>
      <c r="AH61" t="str">
        <f t="shared" ca="1" si="13"/>
        <v/>
      </c>
      <c r="AI61" t="str">
        <f t="shared" ca="1" si="14"/>
        <v/>
      </c>
      <c r="AJ61" t="str">
        <f t="shared" ca="1" si="15"/>
        <v/>
      </c>
    </row>
    <row r="62" spans="15:36" ht="19.2" customHeight="1" x14ac:dyDescent="0.45">
      <c r="O62">
        <f t="shared" si="0"/>
        <v>0</v>
      </c>
      <c r="P62">
        <f t="shared" si="16"/>
        <v>0</v>
      </c>
      <c r="R62" t="str" cm="1">
        <f t="array" ref="R62">IFERROR(_xlfn.AGGREGATE(15, 6, ($O$2:$O$350)/($O$2:$O$350&lt;&gt;0), ROWS($R$2:R62)), "")</f>
        <v/>
      </c>
      <c r="S62" t="str" cm="1">
        <f t="array" ref="S62">IFERROR(_xlfn.AGGREGATE(15, 6, ($P$2:$P$350)/($P$2:$P$350&lt;&gt;0), ROWS($R$2:R62)), "")</f>
        <v/>
      </c>
      <c r="U62" t="str">
        <f t="shared" ca="1" si="5"/>
        <v/>
      </c>
      <c r="V62" t="str">
        <f t="shared" ca="1" si="6"/>
        <v/>
      </c>
      <c r="W62" t="str">
        <f t="shared" ca="1" si="7"/>
        <v/>
      </c>
      <c r="X62" t="str">
        <f t="shared" ca="1" si="8"/>
        <v/>
      </c>
      <c r="Z62" t="str">
        <f t="shared" ca="1" si="28"/>
        <v/>
      </c>
      <c r="AA62" t="str">
        <f t="shared" ca="1" si="2"/>
        <v/>
      </c>
      <c r="AB62" t="str">
        <f t="shared" ca="1" si="3"/>
        <v/>
      </c>
      <c r="AC62" t="str">
        <f t="shared" ca="1" si="4"/>
        <v/>
      </c>
      <c r="AE62" t="str">
        <f t="shared" ca="1" si="10"/>
        <v/>
      </c>
      <c r="AF62" t="str">
        <f t="shared" ca="1" si="11"/>
        <v/>
      </c>
      <c r="AG62" t="str">
        <f t="shared" ca="1" si="12"/>
        <v/>
      </c>
      <c r="AH62" t="str">
        <f t="shared" ca="1" si="13"/>
        <v/>
      </c>
      <c r="AI62" t="str">
        <f t="shared" ca="1" si="14"/>
        <v/>
      </c>
      <c r="AJ62" t="str">
        <f t="shared" ca="1" si="15"/>
        <v/>
      </c>
    </row>
    <row r="63" spans="15:36" ht="19.2" customHeight="1" x14ac:dyDescent="0.45">
      <c r="O63">
        <f t="shared" si="0"/>
        <v>0</v>
      </c>
      <c r="P63">
        <f t="shared" si="16"/>
        <v>0</v>
      </c>
      <c r="R63" t="str" cm="1">
        <f t="array" ref="R63">IFERROR(_xlfn.AGGREGATE(15, 6, ($O$2:$O$350)/($O$2:$O$350&lt;&gt;0), ROWS($R$2:R63)), "")</f>
        <v/>
      </c>
      <c r="S63" t="str" cm="1">
        <f t="array" ref="S63">IFERROR(_xlfn.AGGREGATE(15, 6, ($P$2:$P$350)/($P$2:$P$350&lt;&gt;0), ROWS($R$2:R63)), "")</f>
        <v/>
      </c>
      <c r="U63" t="str">
        <f t="shared" ca="1" si="5"/>
        <v/>
      </c>
      <c r="V63" t="str">
        <f t="shared" ca="1" si="6"/>
        <v/>
      </c>
      <c r="W63" t="str">
        <f t="shared" ca="1" si="7"/>
        <v/>
      </c>
      <c r="X63" t="str">
        <f t="shared" ca="1" si="8"/>
        <v/>
      </c>
      <c r="Z63" t="str">
        <f t="shared" ca="1" si="28"/>
        <v/>
      </c>
      <c r="AA63" t="str">
        <f t="shared" ca="1" si="2"/>
        <v/>
      </c>
      <c r="AB63" t="str">
        <f t="shared" ca="1" si="3"/>
        <v/>
      </c>
      <c r="AC63" t="str">
        <f t="shared" ca="1" si="4"/>
        <v/>
      </c>
      <c r="AE63" t="str">
        <f t="shared" ca="1" si="10"/>
        <v/>
      </c>
      <c r="AF63" t="str">
        <f t="shared" ca="1" si="11"/>
        <v/>
      </c>
      <c r="AG63" t="str">
        <f t="shared" ca="1" si="12"/>
        <v/>
      </c>
      <c r="AH63" t="str">
        <f t="shared" ca="1" si="13"/>
        <v/>
      </c>
      <c r="AI63" t="str">
        <f t="shared" ca="1" si="14"/>
        <v/>
      </c>
      <c r="AJ63" t="str">
        <f t="shared" ca="1" si="15"/>
        <v/>
      </c>
    </row>
    <row r="64" spans="15:36" ht="19.2" customHeight="1" x14ac:dyDescent="0.45">
      <c r="O64">
        <f t="shared" si="0"/>
        <v>0</v>
      </c>
      <c r="P64">
        <f t="shared" si="16"/>
        <v>0</v>
      </c>
      <c r="R64" t="str" cm="1">
        <f t="array" ref="R64">IFERROR(_xlfn.AGGREGATE(15, 6, ($O$2:$O$350)/($O$2:$O$350&lt;&gt;0), ROWS($R$2:R64)), "")</f>
        <v/>
      </c>
      <c r="S64" t="str" cm="1">
        <f t="array" ref="S64">IFERROR(_xlfn.AGGREGATE(15, 6, ($P$2:$P$350)/($P$2:$P$350&lt;&gt;0), ROWS($R$2:R64)), "")</f>
        <v/>
      </c>
      <c r="U64" t="str">
        <f t="shared" ca="1" si="5"/>
        <v/>
      </c>
      <c r="V64" t="str">
        <f t="shared" ca="1" si="6"/>
        <v/>
      </c>
      <c r="W64" t="str">
        <f t="shared" ca="1" si="7"/>
        <v/>
      </c>
      <c r="X64" t="str">
        <f t="shared" ca="1" si="8"/>
        <v/>
      </c>
      <c r="Z64" t="str">
        <f t="shared" ca="1" si="28"/>
        <v/>
      </c>
      <c r="AA64" t="str">
        <f t="shared" ca="1" si="2"/>
        <v/>
      </c>
      <c r="AB64" t="str">
        <f t="shared" ca="1" si="3"/>
        <v/>
      </c>
      <c r="AC64" t="str">
        <f t="shared" ca="1" si="4"/>
        <v/>
      </c>
      <c r="AE64" t="str">
        <f t="shared" ca="1" si="10"/>
        <v/>
      </c>
      <c r="AF64" t="str">
        <f t="shared" ca="1" si="11"/>
        <v/>
      </c>
      <c r="AG64" t="str">
        <f t="shared" ca="1" si="12"/>
        <v/>
      </c>
      <c r="AH64" t="str">
        <f t="shared" ca="1" si="13"/>
        <v/>
      </c>
      <c r="AI64" t="str">
        <f t="shared" ca="1" si="14"/>
        <v/>
      </c>
      <c r="AJ64" t="str">
        <f t="shared" ca="1" si="15"/>
        <v/>
      </c>
    </row>
    <row r="65" spans="15:36" ht="19.2" customHeight="1" x14ac:dyDescent="0.45">
      <c r="O65">
        <f t="shared" si="0"/>
        <v>0</v>
      </c>
      <c r="P65">
        <f t="shared" si="16"/>
        <v>0</v>
      </c>
      <c r="R65" t="str" cm="1">
        <f t="array" ref="R65">IFERROR(_xlfn.AGGREGATE(15, 6, ($O$2:$O$350)/($O$2:$O$350&lt;&gt;0), ROWS($R$2:R65)), "")</f>
        <v/>
      </c>
      <c r="S65" t="str" cm="1">
        <f t="array" ref="S65">IFERROR(_xlfn.AGGREGATE(15, 6, ($P$2:$P$350)/($P$2:$P$350&lt;&gt;0), ROWS($R$2:R65)), "")</f>
        <v/>
      </c>
      <c r="U65" t="str">
        <f t="shared" ca="1" si="5"/>
        <v/>
      </c>
      <c r="V65" t="str">
        <f t="shared" ca="1" si="6"/>
        <v/>
      </c>
      <c r="W65" t="str">
        <f t="shared" ca="1" si="7"/>
        <v/>
      </c>
      <c r="X65" t="str">
        <f t="shared" ca="1" si="8"/>
        <v/>
      </c>
      <c r="Z65" t="str">
        <f t="shared" ca="1" si="28"/>
        <v/>
      </c>
      <c r="AA65" t="str">
        <f t="shared" ca="1" si="2"/>
        <v/>
      </c>
      <c r="AB65" t="str">
        <f t="shared" ca="1" si="3"/>
        <v/>
      </c>
      <c r="AC65" t="str">
        <f t="shared" ca="1" si="4"/>
        <v/>
      </c>
      <c r="AE65" t="str">
        <f t="shared" ca="1" si="10"/>
        <v/>
      </c>
      <c r="AF65" t="str">
        <f t="shared" ca="1" si="11"/>
        <v/>
      </c>
      <c r="AG65" t="str">
        <f t="shared" ca="1" si="12"/>
        <v/>
      </c>
      <c r="AH65" t="str">
        <f t="shared" ca="1" si="13"/>
        <v/>
      </c>
      <c r="AI65" t="str">
        <f t="shared" ca="1" si="14"/>
        <v/>
      </c>
      <c r="AJ65" t="str">
        <f t="shared" ca="1" si="15"/>
        <v/>
      </c>
    </row>
    <row r="66" spans="15:36" ht="19.2" customHeight="1" x14ac:dyDescent="0.45">
      <c r="O66">
        <f t="shared" ref="O66:O129" si="47">IF(COUNTIF(A66,"*/*"),ROW(),0)</f>
        <v>0</v>
      </c>
      <c r="P66">
        <f t="shared" si="16"/>
        <v>0</v>
      </c>
      <c r="R66" t="str" cm="1">
        <f t="array" ref="R66">IFERROR(_xlfn.AGGREGATE(15, 6, ($O$2:$O$350)/($O$2:$O$350&lt;&gt;0), ROWS($R$2:R66)), "")</f>
        <v/>
      </c>
      <c r="S66" t="str" cm="1">
        <f t="array" ref="S66">IFERROR(_xlfn.AGGREGATE(15, 6, ($P$2:$P$350)/($P$2:$P$350&lt;&gt;0), ROWS($R$2:R66)), "")</f>
        <v/>
      </c>
      <c r="U66" t="str">
        <f t="shared" ref="U66:U92" ca="1" si="48">IF(R66&lt;&gt;"",
IF(COUNTIF(OFFSET($A$1,$R66-1,0),"*/*"),
IF(COUNTIF(OFFSET($A$1,$R66-1,1),"*/*"),"",2),1),"")</f>
        <v/>
      </c>
      <c r="V66" t="str">
        <f t="shared" ref="V66:V92" ca="1" si="49">IF(R66&lt;&gt;"",IF(U66&lt;&gt;"",
IF(COUNTIF(OFFSET($A$1,$R66-1,U66),"*/*"),
IF(COUNTIF(OFFSET($A$1,$R66-1,U66+1),"*/*"),"",U66+2),U66+1),
IF(COUNTIF(OFFSET($A$1,$R66-1,1),"*/*"),
IF(COUNTIF(OFFSET($A$1,$R66-1,1+1),"*/*"),"",1+2),1+1)),"")</f>
        <v/>
      </c>
      <c r="W66" t="str">
        <f t="shared" ref="W66:W92" ca="1" si="50">IF(R66&lt;&gt;"",IF(V66&lt;&gt;"",
IF(COUNTIF(OFFSET($A$1,$R66-1,V66),"*/*"),
IF(COUNTIF(OFFSET($A$1,$R66-1,V66+1),"*/*"),"",V66+2),V66+1),
IF(COUNTIF(OFFSET($A$1,$R66-1,2),"*/*"),
IF(COUNTIF(OFFSET($A$1,$R66-1,2+1),"*/*"),"",2+2),2+1)),"")</f>
        <v/>
      </c>
      <c r="X66" t="str">
        <f t="shared" ref="X66:X92" ca="1" si="51">IF(R66&lt;&gt;"",IF(W66&lt;&gt;"",
IF(COUNTIF(OFFSET($A$1,$R66-1,W66),"*/*"),
IF(COUNTIF(OFFSET($A$1,$R66-1,W66+1),"*/*"),"",W66+2),W66+1),
IF(COUNTIF(OFFSET($A$1,$R66-1,5),"*/*"),
IF(COUNTIF(OFFSET($A$1,$R66-1,5+1),"*/*"),"",
IF(OFFSET($A$1,R66-1,5+2-1)=0,"",5+2)),IF(OFFSET($A$1,R66-1,5+1-1)=0,"",5+1))),"")</f>
        <v/>
      </c>
      <c r="Z66" t="str">
        <f t="shared" ca="1" si="28"/>
        <v/>
      </c>
      <c r="AA66" t="str">
        <f t="shared" ref="AA66:AA91" ca="1" si="52">IFERROR(IF(S66&lt;&gt;"",
IF(Z66&lt;&gt;"",
IF(COUNTIF(OFFSET($A$1,$S66-1,Z66),"*g*"),
Z66,IF(COUNTIF(OFFSET($A$1,$S66-1,Z66+1),"*g*"),Z66+2,
IF(OFFSET($A$1,$S66-1,Z66)=".","",
IF(OFFSET($A$1,$S66-1,Z66)=OFFSET($A$1,$S66-1,Z66+1),Z66+1,Z66+2)))),
IF(COUNTIF(OFFSET($A$1,$S66-1,2),"*g*"),
2,IF(COUNTIF(OFFSET($A$1,$S66-1,2+1),"*g*"),2+2,
IF(OFFSET($A$1,$S66-1,2)=".","",
IF(OFFSET($A$1,$S66-1,2)=OFFSET($A$1,$S66-1,2+1),
IF(OFFSET($A$1,$S66-1,2+1)=0,"",2+1),
IF(OFFSET($A$1,$S66-1,2)&lt;&gt;"",2,
IF(OFFSET($A$1,$S66-1,2+1)&lt;&gt;"",2+1,""))))))),""),"")</f>
        <v/>
      </c>
      <c r="AB66" t="str">
        <f t="shared" ref="AB66:AB91" ca="1" si="53">IFERROR(IF(S66&lt;&gt;"",
IF(COUNTIF(OFFSET($A$1,$S66-1,AA66),"*g*"),
AA66,IF(COUNTIF(OFFSET($A$1,$S66-1,AA66+1),"*g*"),AA66+2,
IF(OFFSET($A$1,$S66-1,AA66)=".","",
IF(OFFSET($A$1,$S66-1,AA66)=OFFSET($A$1,$S66-1,AA66+1),AA66+1,AA66+2)))),""),"")</f>
        <v/>
      </c>
      <c r="AC66" t="str">
        <f t="shared" ref="AC66:AC91" ca="1" si="54">IFERROR(IF(S66&lt;&gt;"",
IF(COUNTIF(OFFSET($A$1,$S66-1,AB66),"*g*"),
AB66,IF(COUNTIF(OFFSET($A$1,$S66-1,AB66+1),"*g*"),AB66+2,
IF(OFFSET($A$1,$S66-1,AB66)=".","",
IF(OFFSET($A$1,$S66-1,AB66)=OFFSET($A$1,$S66-1,AB66+1),AB66+1,
IF(OFFSET($A$1,$S66-1,AB66+1)&lt;&gt;0,AB66+2,
IF(OFFSET($A$1,$S66-1,AB66)&lt;&gt;0,AB66+1,"")))))),""),"")</f>
        <v/>
      </c>
      <c r="AE66" t="str">
        <f t="shared" ca="1" si="10"/>
        <v/>
      </c>
      <c r="AF66" t="str">
        <f t="shared" ca="1" si="11"/>
        <v/>
      </c>
      <c r="AG66" t="str">
        <f t="shared" ca="1" si="12"/>
        <v/>
      </c>
      <c r="AH66" t="str">
        <f t="shared" ca="1" si="13"/>
        <v/>
      </c>
      <c r="AI66" t="str">
        <f t="shared" ca="1" si="14"/>
        <v/>
      </c>
      <c r="AJ66" t="str">
        <f t="shared" ca="1" si="15"/>
        <v/>
      </c>
    </row>
    <row r="67" spans="15:36" ht="19.2" customHeight="1" x14ac:dyDescent="0.45">
      <c r="O67">
        <f t="shared" si="47"/>
        <v>0</v>
      </c>
      <c r="P67">
        <f t="shared" si="16"/>
        <v>0</v>
      </c>
      <c r="R67" t="str" cm="1">
        <f t="array" ref="R67">IFERROR(_xlfn.AGGREGATE(15, 6, ($O$2:$O$350)/($O$2:$O$350&lt;&gt;0), ROWS($R$2:R67)), "")</f>
        <v/>
      </c>
      <c r="S67" t="str" cm="1">
        <f t="array" ref="S67">IFERROR(_xlfn.AGGREGATE(15, 6, ($P$2:$P$350)/($P$2:$P$350&lt;&gt;0), ROWS($R$2:R67)), "")</f>
        <v/>
      </c>
      <c r="U67" t="str">
        <f t="shared" ca="1" si="48"/>
        <v/>
      </c>
      <c r="V67" t="str">
        <f t="shared" ca="1" si="49"/>
        <v/>
      </c>
      <c r="W67" t="str">
        <f t="shared" ca="1" si="50"/>
        <v/>
      </c>
      <c r="X67" t="str">
        <f t="shared" ca="1" si="51"/>
        <v/>
      </c>
      <c r="Z67" t="str">
        <f t="shared" ca="1" si="28"/>
        <v/>
      </c>
      <c r="AA67" t="str">
        <f t="shared" ca="1" si="52"/>
        <v/>
      </c>
      <c r="AB67" t="str">
        <f t="shared" ca="1" si="53"/>
        <v/>
      </c>
      <c r="AC67" t="str">
        <f t="shared" ca="1" si="54"/>
        <v/>
      </c>
      <c r="AE67" t="str">
        <f t="shared" ref="AE67:AE92" ca="1" si="55">IF(R67&lt;&gt;"",
IF(AND($S67-$R66&gt;3,COUNTIF(OFFSET($A$1,$R66+($S67-$R66-4),0),"&lt;&gt;*テキスト*")),
IF(OFFSET($A$1,$R66+($S67-$R66-4),0)=OFFSET($A$1,$R66+($S67-$R66-4),1),1,
IF(OFFSET($A$1,$R66+($S67-$R66-4),0)=OFFSET($A$1,$R66+($S67-$R66-4),2),2,
IF(OFFSET($A$1,$R66+($S67-$R66-4),0)=OFFSET($A$1,$R66+($S67-$R66-4),3),3,4))),
IF(AND($S67-$R66&gt;2,COUNTIF(OFFSET($A$1,$R66+($S67-$R66-3),0),"&lt;&gt;*テキスト*")),
IF(OFFSET($A$1,$R66+($S67-$R66-3),0)=OFFSET($A$1,$R66+($S67-$R66-3),1),1,
IF(OFFSET($A$1,$R66+($S67-$R66-3),0)=OFFSET($A$1,$R66+($S67-$R66-3),2),2,
IF(OFFSET($A$1,$R66+($S67-$R66-3),0)=OFFSET($A$1,$R66+($S67-$R66-3),3),3,4))),
IF(COUNTIF(OFFSET($A$1,$R66+($S67-$R66-2),0),"*様*"),1,
IF(COUNTIF(OFFSET($A$1,$R66+($S67-$R66-2),1),"*様*"),2,
IF(COUNTIF(OFFSET($A$1,$R66+($S67-$R66-2),2),"*様*"),3,4))))),"")</f>
        <v/>
      </c>
      <c r="AF67" t="str">
        <f t="shared" ref="AF67:AF92" ca="1" si="56">IF(R67&lt;&gt;"",
IF(AND($S67-$R66&gt;3,COUNTIF(OFFSET($A$1,$R66+($S67-$R66-4),0),"&lt;&gt;*テキスト*")),
IFERROR(IF(OFFSET($A$1,$R66+($S67-$R66-4),AE67)=0,"",
IF(OFFSET($A$1,$R66+($S67-$R66-4),AE67)=OFFSET($A$1,$R66+($S67-$R66-4),AE67+1),1+AE67,
IF(OFFSET($A$1,$R66+($S67-$R66-4),AE67)=OFFSET($A$1,$R66+($S67-$R66-4),AE67+2),2+AE67,
IF(OFFSET($A$1,$R66+($S67-$R66-4),AE67)=OFFSET($A$1,$R66+($S67-$R66-4),AE67+3),3+AE67,3+AE67)))),""),
IF(AND($S67-$R66&gt;2,COUNTIF(OFFSET($A$1,$R66+($S67-$R66-3),0),"&lt;&gt;*テキスト*")),
IFERROR(IF(OFFSET($A$1,$R66+($S67-$R66-3),AE67)=0,"",
IF(OFFSET($A$1,$R66+($S67-$R66-3),AE67)=OFFSET($A$1,$R66+($S67-$R66-3),AE67+1),1+AE67,
IF(OFFSET($A$1,$R66+($S67-$R66-3),AE67)=OFFSET($A$1,$R66+($S67-$R66-3),AE67+2),2+AE67,
IF(OFFSET($A$1,$R66+($S67-$R66-3),AE67)=OFFSET($A$1,$R66+($S67-$R66-3),AE67+3),3+AE67,3+AE67)))),""),
IF(COUNTIF(OFFSET($A$1,$R66+($S67-$R66-2),AE67),"*様*"),1+AE67,
IF(COUNTIF(OFFSET($A$1,$R66+($S67-$R66-2),AE67+1),"*様*"),2+AE67,
IF(COUNTIF(OFFSET($A$1,$R66+($S67-$R66-2),AE67+2),"*様*"),3+AE67,4+AE67))))),"")</f>
        <v/>
      </c>
      <c r="AG67" t="str">
        <f t="shared" ref="AG67:AG92" ca="1" si="57">IF(R67&lt;&gt;"",
IF(AND($S67-$R66&gt;3,COUNTIF(OFFSET($A$1,$R66+($S67-$R66-4),0),"&lt;&gt;*テキスト*")),
IFERROR(IF(OFFSET($A$1,$R66+($S67-$R66-4),AF67)=0,"",
IF(OFFSET($A$1,$R66+($S67-$R66-4),AF67)=OFFSET($A$1,$R66+($S67-$R66-4),AF67+1),1+AF67,
IF(OFFSET($A$1,$R66+($S67-$R66-4),AF67)=OFFSET($A$1,$R66+($S67-$R66-4),AF67+2),2+AF67,
IF(OFFSET($A$1,$R66+($S67-$R66-4),AF67)=OFFSET($A$1,$R66+($S67-$R66-4),AF67+3),3+AF67,3+AF67)))),""),
IF(AND($S67-$R66&gt;2,COUNTIF(OFFSET($A$1,$R66+($S67-$R66-3),0),"&lt;&gt;*テキスト*")),
IFERROR(IF(OFFSET($A$1,$R66+($S67-$R66-3),AF67)=0,"",
IF(OFFSET($A$1,$R66+($S67-$R66-3),AF67)=OFFSET($A$1,$R66+($S67-$R66-3),AF67+1),1+AF67,
IF(OFFSET($A$1,$R66+($S67-$R66-3),AF67)=OFFSET($A$1,$R66+($S67-$R66-3),AF67+2),2+AF67,
IF(OFFSET($A$1,$R66+($S67-$R66-3),AF67)=OFFSET($A$1,$R66+($S67-$R66-3),AF67+3),3+AF67,3+AF67)))),""),
IF(COUNTIF(OFFSET($A$1,$R66+($S67-$R66-2),AF67),"*様*"),1+AF67,
IF(COUNTIF(OFFSET($A$1,$R66+($S67-$R66-2),AF67+1),"*様*"),2+AF67,
IF(COUNTIF(OFFSET($A$1,$R66+($S67-$R66-2),AF67+2),"*様*"),3+AF67,4+AF67))))),"")</f>
        <v/>
      </c>
      <c r="AH67" t="str">
        <f t="shared" ref="AH67:AH92" ca="1" si="58">IF(R67&lt;&gt;"",
IF(AND($S67-$R66&gt;3,COUNTIF(OFFSET($A$1,$R66+($S67-$R66-4),0),"&lt;&gt;*テキスト*")),
IFERROR(IF(OFFSET($A$1,$R66+($S67-$R66-4),AG67)=0,"",
IF(OFFSET($A$1,$R66+($S67-$R66-4),AG67)=OFFSET($A$1,$R66+($S67-$R66-4),AG67+1),1+AG67,
IF(OFFSET($A$1,$R66+($S67-$R66-4),AG67)=OFFSET($A$1,$R66+($S67-$R66-4),AG67+2),2+AG67,
IF(OFFSET($A$1,$R66+($S67-$R66-4),AG67)=OFFSET($A$1,$R66+($S67-$R66-4),AG67+3),3+AG67,3+AG67)))),""),
IF(AND($S67-$R66&gt;2,COUNTIF(OFFSET($A$1,$R66+($S67-$R66-3),0),"&lt;&gt;*テキスト*")),
IFERROR(IF(OFFSET($A$1,$R66+($S67-$R66-3),AG67)=0,"",
IF(OFFSET($A$1,$R66+($S67-$R66-3),AG67)=OFFSET($A$1,$R66+($S67-$R66-3),AG67+1),1+AG67,
IF(OFFSET($A$1,$R66+($S67-$R66-3),AG67)=OFFSET($A$1,$R66+($S67-$R66-3),AG67+2),2+AG67,
IF(OFFSET($A$1,$R66+($S67-$R66-3),AG67)=OFFSET($A$1,$R66+($S67-$R66-3),AG67+3),3+AG67,3+AG67)))),""),
IF(COUNTIF(OFFSET($A$1,$R66+($S67-$R66-2),AG67),"*様*"),1+AG67,
IF(COUNTIF(OFFSET($A$1,$R66+($S67-$R66-2),AG67+1),"*様*"),2+AG67,
IF(COUNTIF(OFFSET($A$1,$R66+($S67-$R66-2),AG67+2),"*様*"),3+AG67,4+AG67))))),"")</f>
        <v/>
      </c>
      <c r="AI67" t="str">
        <f t="shared" ref="AI67:AI92" ca="1" si="59">IF(R67&lt;&gt;"",
IF(AG67&lt;&gt;"","",
IF(COUNTIF(OFFSET($A$1,$R66+($S67-$R66-3),0),"*様*"),1,
IF(COUNTIF(OFFSET($A$1,$R66+($S67-$R66-3),1),"*様*"),2,
IF(COUNTIF(OFFSET($A$1,$R66+($S67-$R66-3),2),"*様*"),3,4)))),"")</f>
        <v/>
      </c>
      <c r="AJ67" t="str">
        <f t="shared" ref="AJ67:AJ92" ca="1" si="60">IF(R67&lt;&gt;"",
IF(AH67&lt;&gt;"","",
IF(AI67&lt;&gt;"",
IF(COUNTIF(OFFSET($A$1,$R66+($S67-$R66-3),AI67),"*様*"),1+AI67,
IF(COUNTIF(OFFSET($A$1,$R66+($S67-$R66-3),AI67+1),"*様*"),2+AI67,
IF(COUNTIF(OFFSET($A$1,$R66+($S67-$R66-3),AI67+2),"*様*"),3+AI67,4+AI67))),
IF(COUNTIF(OFFSET($A$1,$R66+($S67-$R66-3),0),"*様*"),1,
IF(COUNTIF(OFFSET($A$1,$R66+($S67-$R66-3),1),"*様*"),2,
IF(COUNTIF(OFFSET($A$1,$R66+($S67-$R66-3),2),"*様*"),3,4))))),"")</f>
        <v/>
      </c>
    </row>
    <row r="68" spans="15:36" ht="19.2" customHeight="1" x14ac:dyDescent="0.45">
      <c r="O68">
        <f t="shared" si="47"/>
        <v>0</v>
      </c>
      <c r="P68">
        <f t="shared" si="16"/>
        <v>0</v>
      </c>
      <c r="R68" t="str" cm="1">
        <f t="array" ref="R68">IFERROR(_xlfn.AGGREGATE(15, 6, ($O$2:$O$350)/($O$2:$O$350&lt;&gt;0), ROWS($R$2:R68)), "")</f>
        <v/>
      </c>
      <c r="S68" t="str" cm="1">
        <f t="array" ref="S68">IFERROR(_xlfn.AGGREGATE(15, 6, ($P$2:$P$350)/($P$2:$P$350&lt;&gt;0), ROWS($R$2:R68)), "")</f>
        <v/>
      </c>
      <c r="U68" t="str">
        <f t="shared" ca="1" si="48"/>
        <v/>
      </c>
      <c r="V68" t="str">
        <f t="shared" ca="1" si="49"/>
        <v/>
      </c>
      <c r="W68" t="str">
        <f t="shared" ca="1" si="50"/>
        <v/>
      </c>
      <c r="X68" t="str">
        <f t="shared" ca="1" si="51"/>
        <v/>
      </c>
      <c r="Z68" t="str">
        <f t="shared" ca="1" si="28"/>
        <v/>
      </c>
      <c r="AA68" t="str">
        <f t="shared" ca="1" si="52"/>
        <v/>
      </c>
      <c r="AB68" t="str">
        <f t="shared" ca="1" si="53"/>
        <v/>
      </c>
      <c r="AC68" t="str">
        <f t="shared" ca="1" si="54"/>
        <v/>
      </c>
      <c r="AE68" t="str">
        <f t="shared" ca="1" si="55"/>
        <v/>
      </c>
      <c r="AF68" t="str">
        <f t="shared" ca="1" si="56"/>
        <v/>
      </c>
      <c r="AG68" t="str">
        <f t="shared" ca="1" si="57"/>
        <v/>
      </c>
      <c r="AH68" t="str">
        <f t="shared" ca="1" si="58"/>
        <v/>
      </c>
      <c r="AI68" t="str">
        <f t="shared" ca="1" si="59"/>
        <v/>
      </c>
      <c r="AJ68" t="str">
        <f t="shared" ca="1" si="60"/>
        <v/>
      </c>
    </row>
    <row r="69" spans="15:36" ht="19.2" customHeight="1" x14ac:dyDescent="0.45">
      <c r="O69">
        <f t="shared" si="47"/>
        <v>0</v>
      </c>
      <c r="P69">
        <f t="shared" ref="P69:P132" si="61">IF(O69&lt;&gt;0,O69-1,0)</f>
        <v>0</v>
      </c>
      <c r="R69" t="str" cm="1">
        <f t="array" ref="R69">IFERROR(_xlfn.AGGREGATE(15, 6, ($O$2:$O$350)/($O$2:$O$350&lt;&gt;0), ROWS($R$2:R69)), "")</f>
        <v/>
      </c>
      <c r="S69" t="str" cm="1">
        <f t="array" ref="S69">IFERROR(_xlfn.AGGREGATE(15, 6, ($P$2:$P$350)/($P$2:$P$350&lt;&gt;0), ROWS($R$2:R69)), "")</f>
        <v/>
      </c>
      <c r="U69" t="str">
        <f t="shared" ca="1" si="48"/>
        <v/>
      </c>
      <c r="V69" t="str">
        <f t="shared" ca="1" si="49"/>
        <v/>
      </c>
      <c r="W69" t="str">
        <f t="shared" ca="1" si="50"/>
        <v/>
      </c>
      <c r="X69" t="str">
        <f t="shared" ca="1" si="51"/>
        <v/>
      </c>
      <c r="Z69" t="str">
        <f t="shared" ca="1" si="28"/>
        <v/>
      </c>
      <c r="AA69" t="str">
        <f t="shared" ca="1" si="52"/>
        <v/>
      </c>
      <c r="AB69" t="str">
        <f t="shared" ca="1" si="53"/>
        <v/>
      </c>
      <c r="AC69" t="str">
        <f t="shared" ca="1" si="54"/>
        <v/>
      </c>
      <c r="AE69" t="str">
        <f t="shared" ca="1" si="55"/>
        <v/>
      </c>
      <c r="AF69" t="str">
        <f t="shared" ca="1" si="56"/>
        <v/>
      </c>
      <c r="AG69" t="str">
        <f t="shared" ca="1" si="57"/>
        <v/>
      </c>
      <c r="AH69" t="str">
        <f t="shared" ca="1" si="58"/>
        <v/>
      </c>
      <c r="AI69" t="str">
        <f t="shared" ca="1" si="59"/>
        <v/>
      </c>
      <c r="AJ69" t="str">
        <f t="shared" ca="1" si="60"/>
        <v/>
      </c>
    </row>
    <row r="70" spans="15:36" ht="19.2" customHeight="1" x14ac:dyDescent="0.45">
      <c r="O70">
        <f t="shared" si="47"/>
        <v>0</v>
      </c>
      <c r="P70">
        <f t="shared" si="61"/>
        <v>0</v>
      </c>
      <c r="R70" t="str" cm="1">
        <f t="array" ref="R70">IFERROR(_xlfn.AGGREGATE(15, 6, ($O$2:$O$350)/($O$2:$O$350&lt;&gt;0), ROWS($R$2:R70)), "")</f>
        <v/>
      </c>
      <c r="S70" t="str" cm="1">
        <f t="array" ref="S70">IFERROR(_xlfn.AGGREGATE(15, 6, ($P$2:$P$350)/($P$2:$P$350&lt;&gt;0), ROWS($R$2:R70)), "")</f>
        <v/>
      </c>
      <c r="U70" t="str">
        <f t="shared" ca="1" si="48"/>
        <v/>
      </c>
      <c r="V70" t="str">
        <f t="shared" ca="1" si="49"/>
        <v/>
      </c>
      <c r="W70" t="str">
        <f t="shared" ca="1" si="50"/>
        <v/>
      </c>
      <c r="X70" t="str">
        <f t="shared" ca="1" si="51"/>
        <v/>
      </c>
      <c r="Z70" t="str">
        <f t="shared" ca="1" si="28"/>
        <v/>
      </c>
      <c r="AA70" t="str">
        <f t="shared" ca="1" si="52"/>
        <v/>
      </c>
      <c r="AB70" t="str">
        <f t="shared" ca="1" si="53"/>
        <v/>
      </c>
      <c r="AC70" t="str">
        <f t="shared" ca="1" si="54"/>
        <v/>
      </c>
      <c r="AE70" t="str">
        <f t="shared" ca="1" si="55"/>
        <v/>
      </c>
      <c r="AF70" t="str">
        <f t="shared" ca="1" si="56"/>
        <v/>
      </c>
      <c r="AG70" t="str">
        <f t="shared" ca="1" si="57"/>
        <v/>
      </c>
      <c r="AH70" t="str">
        <f t="shared" ca="1" si="58"/>
        <v/>
      </c>
      <c r="AI70" t="str">
        <f t="shared" ca="1" si="59"/>
        <v/>
      </c>
      <c r="AJ70" t="str">
        <f t="shared" ca="1" si="60"/>
        <v/>
      </c>
    </row>
    <row r="71" spans="15:36" ht="19.2" customHeight="1" x14ac:dyDescent="0.45">
      <c r="O71">
        <f t="shared" si="47"/>
        <v>0</v>
      </c>
      <c r="P71">
        <f t="shared" si="61"/>
        <v>0</v>
      </c>
      <c r="R71" t="str" cm="1">
        <f t="array" ref="R71">IFERROR(_xlfn.AGGREGATE(15, 6, ($O$2:$O$350)/($O$2:$O$350&lt;&gt;0), ROWS($R$2:R71)), "")</f>
        <v/>
      </c>
      <c r="S71" t="str" cm="1">
        <f t="array" ref="S71">IFERROR(_xlfn.AGGREGATE(15, 6, ($P$2:$P$350)/($P$2:$P$350&lt;&gt;0), ROWS($R$2:R71)), "")</f>
        <v/>
      </c>
      <c r="U71" t="str">
        <f t="shared" ca="1" si="48"/>
        <v/>
      </c>
      <c r="V71" t="str">
        <f t="shared" ca="1" si="49"/>
        <v/>
      </c>
      <c r="W71" t="str">
        <f t="shared" ca="1" si="50"/>
        <v/>
      </c>
      <c r="X71" t="str">
        <f t="shared" ca="1" si="51"/>
        <v/>
      </c>
      <c r="Z71" t="str">
        <f t="shared" ca="1" si="28"/>
        <v/>
      </c>
      <c r="AA71" t="str">
        <f t="shared" ca="1" si="52"/>
        <v/>
      </c>
      <c r="AB71" t="str">
        <f t="shared" ca="1" si="53"/>
        <v/>
      </c>
      <c r="AC71" t="str">
        <f t="shared" ca="1" si="54"/>
        <v/>
      </c>
      <c r="AE71" t="str">
        <f t="shared" ca="1" si="55"/>
        <v/>
      </c>
      <c r="AF71" t="str">
        <f t="shared" ca="1" si="56"/>
        <v/>
      </c>
      <c r="AG71" t="str">
        <f t="shared" ca="1" si="57"/>
        <v/>
      </c>
      <c r="AH71" t="str">
        <f t="shared" ca="1" si="58"/>
        <v/>
      </c>
      <c r="AI71" t="str">
        <f t="shared" ca="1" si="59"/>
        <v/>
      </c>
      <c r="AJ71" t="str">
        <f t="shared" ca="1" si="60"/>
        <v/>
      </c>
    </row>
    <row r="72" spans="15:36" ht="19.2" customHeight="1" x14ac:dyDescent="0.45">
      <c r="O72">
        <f t="shared" si="47"/>
        <v>0</v>
      </c>
      <c r="P72">
        <f t="shared" si="61"/>
        <v>0</v>
      </c>
      <c r="R72" t="str" cm="1">
        <f t="array" ref="R72">IFERROR(_xlfn.AGGREGATE(15, 6, ($O$2:$O$350)/($O$2:$O$350&lt;&gt;0), ROWS($R$2:R72)), "")</f>
        <v/>
      </c>
      <c r="S72" t="str" cm="1">
        <f t="array" ref="S72">IFERROR(_xlfn.AGGREGATE(15, 6, ($P$2:$P$350)/($P$2:$P$350&lt;&gt;0), ROWS($R$2:R72)), "")</f>
        <v/>
      </c>
      <c r="U72" t="str">
        <f t="shared" ca="1" si="48"/>
        <v/>
      </c>
      <c r="V72" t="str">
        <f t="shared" ca="1" si="49"/>
        <v/>
      </c>
      <c r="W72" t="str">
        <f t="shared" ca="1" si="50"/>
        <v/>
      </c>
      <c r="X72" t="str">
        <f t="shared" ca="1" si="51"/>
        <v/>
      </c>
      <c r="Z72" t="str">
        <f t="shared" ca="1" si="28"/>
        <v/>
      </c>
      <c r="AA72" t="str">
        <f t="shared" ca="1" si="52"/>
        <v/>
      </c>
      <c r="AB72" t="str">
        <f t="shared" ca="1" si="53"/>
        <v/>
      </c>
      <c r="AC72" t="str">
        <f t="shared" ca="1" si="54"/>
        <v/>
      </c>
      <c r="AE72" t="str">
        <f t="shared" ca="1" si="55"/>
        <v/>
      </c>
      <c r="AF72" t="str">
        <f t="shared" ca="1" si="56"/>
        <v/>
      </c>
      <c r="AG72" t="str">
        <f t="shared" ca="1" si="57"/>
        <v/>
      </c>
      <c r="AH72" t="str">
        <f t="shared" ca="1" si="58"/>
        <v/>
      </c>
      <c r="AI72" t="str">
        <f t="shared" ca="1" si="59"/>
        <v/>
      </c>
      <c r="AJ72" t="str">
        <f t="shared" ca="1" si="60"/>
        <v/>
      </c>
    </row>
    <row r="73" spans="15:36" ht="19.2" customHeight="1" x14ac:dyDescent="0.45">
      <c r="O73">
        <f t="shared" si="47"/>
        <v>0</v>
      </c>
      <c r="P73">
        <f t="shared" si="61"/>
        <v>0</v>
      </c>
      <c r="R73" t="str" cm="1">
        <f t="array" ref="R73">IFERROR(_xlfn.AGGREGATE(15, 6, ($O$2:$O$350)/($O$2:$O$350&lt;&gt;0), ROWS($R$2:R73)), "")</f>
        <v/>
      </c>
      <c r="S73" t="str" cm="1">
        <f t="array" ref="S73">IFERROR(_xlfn.AGGREGATE(15, 6, ($P$2:$P$350)/($P$2:$P$350&lt;&gt;0), ROWS($R$2:R73)), "")</f>
        <v/>
      </c>
      <c r="U73" t="str">
        <f t="shared" ca="1" si="48"/>
        <v/>
      </c>
      <c r="V73" t="str">
        <f t="shared" ca="1" si="49"/>
        <v/>
      </c>
      <c r="W73" t="str">
        <f t="shared" ca="1" si="50"/>
        <v/>
      </c>
      <c r="X73" t="str">
        <f t="shared" ca="1" si="51"/>
        <v/>
      </c>
      <c r="Z73" t="str">
        <f t="shared" ca="1" si="28"/>
        <v/>
      </c>
      <c r="AA73" t="str">
        <f t="shared" ca="1" si="52"/>
        <v/>
      </c>
      <c r="AB73" t="str">
        <f t="shared" ca="1" si="53"/>
        <v/>
      </c>
      <c r="AC73" t="str">
        <f t="shared" ca="1" si="54"/>
        <v/>
      </c>
      <c r="AE73" t="str">
        <f t="shared" ca="1" si="55"/>
        <v/>
      </c>
      <c r="AF73" t="str">
        <f t="shared" ca="1" si="56"/>
        <v/>
      </c>
      <c r="AG73" t="str">
        <f t="shared" ca="1" si="57"/>
        <v/>
      </c>
      <c r="AH73" t="str">
        <f t="shared" ca="1" si="58"/>
        <v/>
      </c>
      <c r="AI73" t="str">
        <f t="shared" ca="1" si="59"/>
        <v/>
      </c>
      <c r="AJ73" t="str">
        <f t="shared" ca="1" si="60"/>
        <v/>
      </c>
    </row>
    <row r="74" spans="15:36" ht="19.2" customHeight="1" x14ac:dyDescent="0.45">
      <c r="O74">
        <f t="shared" si="47"/>
        <v>0</v>
      </c>
      <c r="P74">
        <f t="shared" si="61"/>
        <v>0</v>
      </c>
      <c r="R74" t="str" cm="1">
        <f t="array" ref="R74">IFERROR(_xlfn.AGGREGATE(15, 6, ($O$2:$O$350)/($O$2:$O$350&lt;&gt;0), ROWS($R$2:R74)), "")</f>
        <v/>
      </c>
      <c r="S74" t="str" cm="1">
        <f t="array" ref="S74">IFERROR(_xlfn.AGGREGATE(15, 6, ($P$2:$P$350)/($P$2:$P$350&lt;&gt;0), ROWS($R$2:R74)), "")</f>
        <v/>
      </c>
      <c r="U74" t="str">
        <f t="shared" ca="1" si="48"/>
        <v/>
      </c>
      <c r="V74" t="str">
        <f t="shared" ca="1" si="49"/>
        <v/>
      </c>
      <c r="W74" t="str">
        <f t="shared" ca="1" si="50"/>
        <v/>
      </c>
      <c r="X74" t="str">
        <f t="shared" ca="1" si="51"/>
        <v/>
      </c>
      <c r="Z74" t="str">
        <f t="shared" ca="1" si="28"/>
        <v/>
      </c>
      <c r="AA74" t="str">
        <f t="shared" ca="1" si="52"/>
        <v/>
      </c>
      <c r="AB74" t="str">
        <f t="shared" ca="1" si="53"/>
        <v/>
      </c>
      <c r="AC74" t="str">
        <f t="shared" ca="1" si="54"/>
        <v/>
      </c>
      <c r="AE74" t="str">
        <f t="shared" ca="1" si="55"/>
        <v/>
      </c>
      <c r="AF74" t="str">
        <f t="shared" ca="1" si="56"/>
        <v/>
      </c>
      <c r="AG74" t="str">
        <f t="shared" ca="1" si="57"/>
        <v/>
      </c>
      <c r="AH74" t="str">
        <f t="shared" ca="1" si="58"/>
        <v/>
      </c>
      <c r="AI74" t="str">
        <f t="shared" ca="1" si="59"/>
        <v/>
      </c>
      <c r="AJ74" t="str">
        <f t="shared" ca="1" si="60"/>
        <v/>
      </c>
    </row>
    <row r="75" spans="15:36" ht="19.2" customHeight="1" x14ac:dyDescent="0.45">
      <c r="O75">
        <f t="shared" si="47"/>
        <v>0</v>
      </c>
      <c r="P75">
        <f t="shared" si="61"/>
        <v>0</v>
      </c>
      <c r="R75" t="str" cm="1">
        <f t="array" ref="R75">IFERROR(_xlfn.AGGREGATE(15, 6, ($O$2:$O$350)/($O$2:$O$350&lt;&gt;0), ROWS($R$2:R75)), "")</f>
        <v/>
      </c>
      <c r="S75" t="str" cm="1">
        <f t="array" ref="S75">IFERROR(_xlfn.AGGREGATE(15, 6, ($P$2:$P$350)/($P$2:$P$350&lt;&gt;0), ROWS($R$2:R75)), "")</f>
        <v/>
      </c>
      <c r="U75" t="str">
        <f t="shared" ca="1" si="48"/>
        <v/>
      </c>
      <c r="V75" t="str">
        <f t="shared" ca="1" si="49"/>
        <v/>
      </c>
      <c r="W75" t="str">
        <f t="shared" ca="1" si="50"/>
        <v/>
      </c>
      <c r="X75" t="str">
        <f t="shared" ca="1" si="51"/>
        <v/>
      </c>
      <c r="Z75" t="str">
        <f t="shared" ca="1" si="28"/>
        <v/>
      </c>
      <c r="AA75" t="str">
        <f t="shared" ca="1" si="52"/>
        <v/>
      </c>
      <c r="AB75" t="str">
        <f t="shared" ca="1" si="53"/>
        <v/>
      </c>
      <c r="AC75" t="str">
        <f t="shared" ca="1" si="54"/>
        <v/>
      </c>
      <c r="AE75" t="str">
        <f t="shared" ca="1" si="55"/>
        <v/>
      </c>
      <c r="AF75" t="str">
        <f t="shared" ca="1" si="56"/>
        <v/>
      </c>
      <c r="AG75" t="str">
        <f t="shared" ca="1" si="57"/>
        <v/>
      </c>
      <c r="AH75" t="str">
        <f t="shared" ca="1" si="58"/>
        <v/>
      </c>
      <c r="AI75" t="str">
        <f t="shared" ca="1" si="59"/>
        <v/>
      </c>
      <c r="AJ75" t="str">
        <f t="shared" ca="1" si="60"/>
        <v/>
      </c>
    </row>
    <row r="76" spans="15:36" ht="19.2" customHeight="1" x14ac:dyDescent="0.45">
      <c r="O76">
        <f t="shared" si="47"/>
        <v>0</v>
      </c>
      <c r="P76">
        <f t="shared" si="61"/>
        <v>0</v>
      </c>
      <c r="R76" t="str" cm="1">
        <f t="array" ref="R76">IFERROR(_xlfn.AGGREGATE(15, 6, ($O$2:$O$350)/($O$2:$O$350&lt;&gt;0), ROWS($R$2:R76)), "")</f>
        <v/>
      </c>
      <c r="S76" t="str" cm="1">
        <f t="array" ref="S76">IFERROR(_xlfn.AGGREGATE(15, 6, ($P$2:$P$350)/($P$2:$P$350&lt;&gt;0), ROWS($R$2:R76)), "")</f>
        <v/>
      </c>
      <c r="U76" t="str">
        <f t="shared" ca="1" si="48"/>
        <v/>
      </c>
      <c r="V76" t="str">
        <f t="shared" ca="1" si="49"/>
        <v/>
      </c>
      <c r="W76" t="str">
        <f t="shared" ca="1" si="50"/>
        <v/>
      </c>
      <c r="X76" t="str">
        <f t="shared" ca="1" si="51"/>
        <v/>
      </c>
      <c r="Z76" t="str">
        <f t="shared" ca="1" si="28"/>
        <v/>
      </c>
      <c r="AA76" t="str">
        <f t="shared" ca="1" si="52"/>
        <v/>
      </c>
      <c r="AB76" t="str">
        <f t="shared" ca="1" si="53"/>
        <v/>
      </c>
      <c r="AC76" t="str">
        <f t="shared" ca="1" si="54"/>
        <v/>
      </c>
      <c r="AE76" t="str">
        <f t="shared" ca="1" si="55"/>
        <v/>
      </c>
      <c r="AF76" t="str">
        <f t="shared" ca="1" si="56"/>
        <v/>
      </c>
      <c r="AG76" t="str">
        <f t="shared" ca="1" si="57"/>
        <v/>
      </c>
      <c r="AH76" t="str">
        <f t="shared" ca="1" si="58"/>
        <v/>
      </c>
      <c r="AI76" t="str">
        <f t="shared" ca="1" si="59"/>
        <v/>
      </c>
      <c r="AJ76" t="str">
        <f t="shared" ca="1" si="60"/>
        <v/>
      </c>
    </row>
    <row r="77" spans="15:36" ht="19.2" customHeight="1" x14ac:dyDescent="0.45">
      <c r="O77">
        <f t="shared" si="47"/>
        <v>0</v>
      </c>
      <c r="P77">
        <f t="shared" si="61"/>
        <v>0</v>
      </c>
      <c r="R77" t="str" cm="1">
        <f t="array" ref="R77">IFERROR(_xlfn.AGGREGATE(15, 6, ($O$2:$O$350)/($O$2:$O$350&lt;&gt;0), ROWS($R$2:R77)), "")</f>
        <v/>
      </c>
      <c r="S77" t="str" cm="1">
        <f t="array" ref="S77">IFERROR(_xlfn.AGGREGATE(15, 6, ($P$2:$P$350)/($P$2:$P$350&lt;&gt;0), ROWS($R$2:R77)), "")</f>
        <v/>
      </c>
      <c r="U77" t="str">
        <f t="shared" ca="1" si="48"/>
        <v/>
      </c>
      <c r="V77" t="str">
        <f t="shared" ca="1" si="49"/>
        <v/>
      </c>
      <c r="W77" t="str">
        <f t="shared" ca="1" si="50"/>
        <v/>
      </c>
      <c r="X77" t="str">
        <f t="shared" ca="1" si="51"/>
        <v/>
      </c>
      <c r="Z77" t="str">
        <f t="shared" ca="1" si="28"/>
        <v/>
      </c>
      <c r="AA77" t="str">
        <f t="shared" ca="1" si="52"/>
        <v/>
      </c>
      <c r="AB77" t="str">
        <f t="shared" ca="1" si="53"/>
        <v/>
      </c>
      <c r="AC77" t="str">
        <f t="shared" ca="1" si="54"/>
        <v/>
      </c>
      <c r="AE77" t="str">
        <f t="shared" ca="1" si="55"/>
        <v/>
      </c>
      <c r="AF77" t="str">
        <f t="shared" ca="1" si="56"/>
        <v/>
      </c>
      <c r="AG77" t="str">
        <f t="shared" ca="1" si="57"/>
        <v/>
      </c>
      <c r="AH77" t="str">
        <f t="shared" ca="1" si="58"/>
        <v/>
      </c>
      <c r="AI77" t="str">
        <f t="shared" ca="1" si="59"/>
        <v/>
      </c>
      <c r="AJ77" t="str">
        <f t="shared" ca="1" si="60"/>
        <v/>
      </c>
    </row>
    <row r="78" spans="15:36" ht="19.2" customHeight="1" x14ac:dyDescent="0.45">
      <c r="O78">
        <f t="shared" si="47"/>
        <v>0</v>
      </c>
      <c r="P78">
        <f t="shared" si="61"/>
        <v>0</v>
      </c>
      <c r="R78" t="str" cm="1">
        <f t="array" ref="R78">IFERROR(_xlfn.AGGREGATE(15, 6, ($O$2:$O$350)/($O$2:$O$350&lt;&gt;0), ROWS($R$2:R78)), "")</f>
        <v/>
      </c>
      <c r="S78" t="str" cm="1">
        <f t="array" ref="S78">IFERROR(_xlfn.AGGREGATE(15, 6, ($P$2:$P$350)/($P$2:$P$350&lt;&gt;0), ROWS($R$2:R78)), "")</f>
        <v/>
      </c>
      <c r="U78" t="str">
        <f t="shared" ca="1" si="48"/>
        <v/>
      </c>
      <c r="V78" t="str">
        <f t="shared" ca="1" si="49"/>
        <v/>
      </c>
      <c r="W78" t="str">
        <f t="shared" ca="1" si="50"/>
        <v/>
      </c>
      <c r="X78" t="str">
        <f t="shared" ca="1" si="51"/>
        <v/>
      </c>
      <c r="Z78" t="str">
        <f t="shared" ca="1" si="28"/>
        <v/>
      </c>
      <c r="AA78" t="str">
        <f t="shared" ca="1" si="52"/>
        <v/>
      </c>
      <c r="AB78" t="str">
        <f ca="1">IFERROR(IF(S78&lt;&gt;"",
IF(COUNTIF(OFFSET($A$1,$S78-1,AA78),"*g*"),
AA78,IF(COUNTIF(OFFSET($A$1,$S78-1,AA78+1),"*g*"),AA78+2,
IF(OFFSET($A$1,$S78-1,AA78)=".","",
IF(OFFSET($A$1,$S78-1,AA78)=OFFSET($A$1,$S78-1,AA78+1),AA78+1,AA78+2)))),""),"")</f>
        <v/>
      </c>
      <c r="AC78" t="str">
        <f t="shared" ca="1" si="54"/>
        <v/>
      </c>
      <c r="AE78" t="str">
        <f t="shared" ca="1" si="55"/>
        <v/>
      </c>
      <c r="AF78" t="str">
        <f t="shared" ca="1" si="56"/>
        <v/>
      </c>
      <c r="AG78" t="str">
        <f t="shared" ca="1" si="57"/>
        <v/>
      </c>
      <c r="AH78" t="str">
        <f t="shared" ca="1" si="58"/>
        <v/>
      </c>
      <c r="AI78" t="str">
        <f t="shared" ca="1" si="59"/>
        <v/>
      </c>
      <c r="AJ78" t="str">
        <f t="shared" ca="1" si="60"/>
        <v/>
      </c>
    </row>
    <row r="79" spans="15:36" ht="19.2" customHeight="1" x14ac:dyDescent="0.45">
      <c r="O79">
        <f t="shared" si="47"/>
        <v>0</v>
      </c>
      <c r="P79">
        <f t="shared" si="61"/>
        <v>0</v>
      </c>
      <c r="R79" t="str" cm="1">
        <f t="array" ref="R79">IFERROR(_xlfn.AGGREGATE(15, 6, ($O$2:$O$350)/($O$2:$O$350&lt;&gt;0), ROWS($R$2:R79)), "")</f>
        <v/>
      </c>
      <c r="S79" t="str" cm="1">
        <f t="array" ref="S79">IFERROR(_xlfn.AGGREGATE(15, 6, ($P$2:$P$350)/($P$2:$P$350&lt;&gt;0), ROWS($R$2:R79)), "")</f>
        <v/>
      </c>
      <c r="U79" t="str">
        <f t="shared" ca="1" si="48"/>
        <v/>
      </c>
      <c r="V79" t="str">
        <f t="shared" ca="1" si="49"/>
        <v/>
      </c>
      <c r="W79" t="str">
        <f t="shared" ca="1" si="50"/>
        <v/>
      </c>
      <c r="X79" t="str">
        <f t="shared" ca="1" si="51"/>
        <v/>
      </c>
      <c r="Z79" t="str">
        <f t="shared" ca="1" si="28"/>
        <v/>
      </c>
      <c r="AA79" t="str">
        <f t="shared" ca="1" si="52"/>
        <v/>
      </c>
      <c r="AB79" t="str">
        <f t="shared" ca="1" si="53"/>
        <v/>
      </c>
      <c r="AC79" t="str">
        <f t="shared" ca="1" si="54"/>
        <v/>
      </c>
      <c r="AE79" t="str">
        <f t="shared" ca="1" si="55"/>
        <v/>
      </c>
      <c r="AF79" t="str">
        <f t="shared" ca="1" si="56"/>
        <v/>
      </c>
      <c r="AG79" t="str">
        <f t="shared" ca="1" si="57"/>
        <v/>
      </c>
      <c r="AH79" t="str">
        <f t="shared" ca="1" si="58"/>
        <v/>
      </c>
      <c r="AI79" t="str">
        <f t="shared" ca="1" si="59"/>
        <v/>
      </c>
      <c r="AJ79" t="str">
        <f t="shared" ca="1" si="60"/>
        <v/>
      </c>
    </row>
    <row r="80" spans="15:36" ht="19.2" customHeight="1" x14ac:dyDescent="0.45">
      <c r="O80">
        <f t="shared" si="47"/>
        <v>0</v>
      </c>
      <c r="P80">
        <f t="shared" si="61"/>
        <v>0</v>
      </c>
      <c r="R80" t="str" cm="1">
        <f t="array" ref="R80">IFERROR(_xlfn.AGGREGATE(15, 6, ($O$2:$O$350)/($O$2:$O$350&lt;&gt;0), ROWS($R$2:R80)), "")</f>
        <v/>
      </c>
      <c r="S80" t="str" cm="1">
        <f t="array" ref="S80">IFERROR(_xlfn.AGGREGATE(15, 6, ($P$2:$P$350)/($P$2:$P$350&lt;&gt;0), ROWS($R$2:R80)), "")</f>
        <v/>
      </c>
      <c r="U80" t="str">
        <f t="shared" ca="1" si="48"/>
        <v/>
      </c>
      <c r="V80" t="str">
        <f t="shared" ca="1" si="49"/>
        <v/>
      </c>
      <c r="W80" t="str">
        <f t="shared" ca="1" si="50"/>
        <v/>
      </c>
      <c r="X80" t="str">
        <f t="shared" ca="1" si="51"/>
        <v/>
      </c>
      <c r="Z80" t="str">
        <f t="shared" ca="1" si="28"/>
        <v/>
      </c>
      <c r="AA80" t="str">
        <f t="shared" ca="1" si="52"/>
        <v/>
      </c>
      <c r="AB80" t="str">
        <f t="shared" ca="1" si="53"/>
        <v/>
      </c>
      <c r="AC80" t="str">
        <f t="shared" ca="1" si="54"/>
        <v/>
      </c>
      <c r="AE80" t="str">
        <f t="shared" ca="1" si="55"/>
        <v/>
      </c>
      <c r="AF80" t="str">
        <f t="shared" ca="1" si="56"/>
        <v/>
      </c>
      <c r="AG80" t="str">
        <f t="shared" ca="1" si="57"/>
        <v/>
      </c>
      <c r="AH80" t="str">
        <f t="shared" ca="1" si="58"/>
        <v/>
      </c>
      <c r="AI80" t="str">
        <f t="shared" ca="1" si="59"/>
        <v/>
      </c>
      <c r="AJ80" t="str">
        <f t="shared" ca="1" si="60"/>
        <v/>
      </c>
    </row>
    <row r="81" spans="15:36" ht="19.2" customHeight="1" x14ac:dyDescent="0.45">
      <c r="O81">
        <f t="shared" si="47"/>
        <v>0</v>
      </c>
      <c r="P81">
        <f t="shared" si="61"/>
        <v>0</v>
      </c>
      <c r="R81" t="str" cm="1">
        <f t="array" ref="R81">IFERROR(_xlfn.AGGREGATE(15, 6, ($O$2:$O$350)/($O$2:$O$350&lt;&gt;0), ROWS($R$2:R81)), "")</f>
        <v/>
      </c>
      <c r="S81" t="str" cm="1">
        <f t="array" ref="S81">IFERROR(_xlfn.AGGREGATE(15, 6, ($P$2:$P$350)/($P$2:$P$350&lt;&gt;0), ROWS($R$2:R81)), "")</f>
        <v/>
      </c>
      <c r="U81" t="str">
        <f t="shared" ca="1" si="48"/>
        <v/>
      </c>
      <c r="V81" t="str">
        <f t="shared" ca="1" si="49"/>
        <v/>
      </c>
      <c r="W81" t="str">
        <f t="shared" ca="1" si="50"/>
        <v/>
      </c>
      <c r="X81" t="str">
        <f t="shared" ca="1" si="51"/>
        <v/>
      </c>
      <c r="Z81" t="str">
        <f t="shared" ca="1" si="28"/>
        <v/>
      </c>
      <c r="AA81" t="str">
        <f t="shared" ca="1" si="52"/>
        <v/>
      </c>
      <c r="AB81" t="str">
        <f t="shared" ca="1" si="53"/>
        <v/>
      </c>
      <c r="AC81" t="str">
        <f t="shared" ca="1" si="54"/>
        <v/>
      </c>
      <c r="AE81" t="str">
        <f t="shared" ca="1" si="55"/>
        <v/>
      </c>
      <c r="AF81" t="str">
        <f t="shared" ca="1" si="56"/>
        <v/>
      </c>
      <c r="AG81" t="str">
        <f t="shared" ca="1" si="57"/>
        <v/>
      </c>
      <c r="AH81" t="str">
        <f t="shared" ca="1" si="58"/>
        <v/>
      </c>
      <c r="AI81" t="str">
        <f t="shared" ca="1" si="59"/>
        <v/>
      </c>
      <c r="AJ81" t="str">
        <f t="shared" ca="1" si="60"/>
        <v/>
      </c>
    </row>
    <row r="82" spans="15:36" ht="19.2" customHeight="1" x14ac:dyDescent="0.45">
      <c r="O82">
        <f t="shared" si="47"/>
        <v>0</v>
      </c>
      <c r="P82">
        <f t="shared" si="61"/>
        <v>0</v>
      </c>
      <c r="R82" t="str" cm="1">
        <f t="array" ref="R82">IFERROR(_xlfn.AGGREGATE(15, 6, ($O$2:$O$350)/($O$2:$O$350&lt;&gt;0), ROWS($R$2:R82)), "")</f>
        <v/>
      </c>
      <c r="S82" t="str" cm="1">
        <f t="array" ref="S82">IFERROR(_xlfn.AGGREGATE(15, 6, ($P$2:$P$350)/($P$2:$P$350&lt;&gt;0), ROWS($R$2:R82)), "")</f>
        <v/>
      </c>
      <c r="U82" t="str">
        <f t="shared" ca="1" si="48"/>
        <v/>
      </c>
      <c r="V82" t="str">
        <f t="shared" ca="1" si="49"/>
        <v/>
      </c>
      <c r="W82" t="str">
        <f t="shared" ca="1" si="50"/>
        <v/>
      </c>
      <c r="X82" t="str">
        <f t="shared" ca="1" si="51"/>
        <v/>
      </c>
      <c r="Z82" t="str">
        <f t="shared" ca="1" si="28"/>
        <v/>
      </c>
      <c r="AA82" t="str">
        <f t="shared" ca="1" si="52"/>
        <v/>
      </c>
      <c r="AB82" t="str">
        <f t="shared" ca="1" si="53"/>
        <v/>
      </c>
      <c r="AC82" t="str">
        <f t="shared" ca="1" si="54"/>
        <v/>
      </c>
      <c r="AE82" t="str">
        <f t="shared" ca="1" si="55"/>
        <v/>
      </c>
      <c r="AF82" t="str">
        <f t="shared" ca="1" si="56"/>
        <v/>
      </c>
      <c r="AG82" t="str">
        <f t="shared" ca="1" si="57"/>
        <v/>
      </c>
      <c r="AH82" t="str">
        <f t="shared" ca="1" si="58"/>
        <v/>
      </c>
      <c r="AI82" t="str">
        <f t="shared" ca="1" si="59"/>
        <v/>
      </c>
      <c r="AJ82" t="str">
        <f t="shared" ca="1" si="60"/>
        <v/>
      </c>
    </row>
    <row r="83" spans="15:36" ht="19.2" customHeight="1" x14ac:dyDescent="0.45">
      <c r="O83">
        <f t="shared" si="47"/>
        <v>0</v>
      </c>
      <c r="P83">
        <f t="shared" si="61"/>
        <v>0</v>
      </c>
      <c r="R83" t="str" cm="1">
        <f t="array" ref="R83">IFERROR(_xlfn.AGGREGATE(15, 6, ($O$2:$O$350)/($O$2:$O$350&lt;&gt;0), ROWS($R$2:R83)), "")</f>
        <v/>
      </c>
      <c r="S83" t="str" cm="1">
        <f t="array" ref="S83">IFERROR(_xlfn.AGGREGATE(15, 6, ($P$2:$P$350)/($P$2:$P$350&lt;&gt;0), ROWS($R$2:R83)), "")</f>
        <v/>
      </c>
      <c r="U83" t="str">
        <f t="shared" ca="1" si="48"/>
        <v/>
      </c>
      <c r="V83" t="str">
        <f t="shared" ca="1" si="49"/>
        <v/>
      </c>
      <c r="W83" t="str">
        <f t="shared" ca="1" si="50"/>
        <v/>
      </c>
      <c r="X83" t="str">
        <f t="shared" ca="1" si="51"/>
        <v/>
      </c>
      <c r="Z83" t="str">
        <f t="shared" ca="1" si="28"/>
        <v/>
      </c>
      <c r="AA83" t="str">
        <f t="shared" ca="1" si="52"/>
        <v/>
      </c>
      <c r="AB83" t="str">
        <f t="shared" ca="1" si="53"/>
        <v/>
      </c>
      <c r="AC83" t="str">
        <f t="shared" ca="1" si="54"/>
        <v/>
      </c>
      <c r="AE83" t="str">
        <f t="shared" ca="1" si="55"/>
        <v/>
      </c>
      <c r="AF83" t="str">
        <f t="shared" ca="1" si="56"/>
        <v/>
      </c>
      <c r="AG83" t="str">
        <f t="shared" ca="1" si="57"/>
        <v/>
      </c>
      <c r="AH83" t="str">
        <f t="shared" ca="1" si="58"/>
        <v/>
      </c>
      <c r="AI83" t="str">
        <f t="shared" ca="1" si="59"/>
        <v/>
      </c>
      <c r="AJ83" t="str">
        <f t="shared" ca="1" si="60"/>
        <v/>
      </c>
    </row>
    <row r="84" spans="15:36" ht="19.2" customHeight="1" x14ac:dyDescent="0.45">
      <c r="O84">
        <f t="shared" si="47"/>
        <v>0</v>
      </c>
      <c r="P84">
        <f t="shared" si="61"/>
        <v>0</v>
      </c>
      <c r="R84" t="str" cm="1">
        <f t="array" ref="R84">IFERROR(_xlfn.AGGREGATE(15, 6, ($O$2:$O$350)/($O$2:$O$350&lt;&gt;0), ROWS($R$2:R84)), "")</f>
        <v/>
      </c>
      <c r="S84" t="str" cm="1">
        <f t="array" ref="S84">IFERROR(_xlfn.AGGREGATE(15, 6, ($P$2:$P$350)/($P$2:$P$350&lt;&gt;0), ROWS($R$2:R84)), "")</f>
        <v/>
      </c>
      <c r="U84" t="str">
        <f t="shared" ca="1" si="48"/>
        <v/>
      </c>
      <c r="V84" t="str">
        <f t="shared" ca="1" si="49"/>
        <v/>
      </c>
      <c r="W84" t="str">
        <f t="shared" ca="1" si="50"/>
        <v/>
      </c>
      <c r="X84" t="str">
        <f t="shared" ca="1" si="51"/>
        <v/>
      </c>
      <c r="Z84" t="str">
        <f t="shared" ca="1" si="28"/>
        <v/>
      </c>
      <c r="AA84" t="str">
        <f t="shared" ca="1" si="52"/>
        <v/>
      </c>
      <c r="AB84" t="str">
        <f t="shared" ca="1" si="53"/>
        <v/>
      </c>
      <c r="AC84" t="str">
        <f t="shared" ca="1" si="54"/>
        <v/>
      </c>
      <c r="AE84" t="str">
        <f t="shared" ca="1" si="55"/>
        <v/>
      </c>
      <c r="AF84" t="str">
        <f t="shared" ca="1" si="56"/>
        <v/>
      </c>
      <c r="AG84" t="str">
        <f t="shared" ca="1" si="57"/>
        <v/>
      </c>
      <c r="AH84" t="str">
        <f t="shared" ca="1" si="58"/>
        <v/>
      </c>
      <c r="AI84" t="str">
        <f t="shared" ca="1" si="59"/>
        <v/>
      </c>
      <c r="AJ84" t="str">
        <f t="shared" ca="1" si="60"/>
        <v/>
      </c>
    </row>
    <row r="85" spans="15:36" ht="19.2" customHeight="1" x14ac:dyDescent="0.45">
      <c r="O85">
        <f t="shared" si="47"/>
        <v>0</v>
      </c>
      <c r="P85">
        <f t="shared" si="61"/>
        <v>0</v>
      </c>
      <c r="R85" t="str" cm="1">
        <f t="array" ref="R85">IFERROR(_xlfn.AGGREGATE(15, 6, ($O$2:$O$350)/($O$2:$O$350&lt;&gt;0), ROWS($R$2:R85)), "")</f>
        <v/>
      </c>
      <c r="S85" t="str" cm="1">
        <f t="array" ref="S85">IFERROR(_xlfn.AGGREGATE(15, 6, ($P$2:$P$350)/($P$2:$P$350&lt;&gt;0), ROWS($R$2:R85)), "")</f>
        <v/>
      </c>
      <c r="U85" t="str">
        <f t="shared" ca="1" si="48"/>
        <v/>
      </c>
      <c r="V85" t="str">
        <f t="shared" ca="1" si="49"/>
        <v/>
      </c>
      <c r="W85" t="str">
        <f t="shared" ca="1" si="50"/>
        <v/>
      </c>
      <c r="X85" t="str">
        <f t="shared" ca="1" si="51"/>
        <v/>
      </c>
      <c r="Z85" t="str">
        <f t="shared" ca="1" si="28"/>
        <v/>
      </c>
      <c r="AA85" t="str">
        <f t="shared" ca="1" si="52"/>
        <v/>
      </c>
      <c r="AB85" t="str">
        <f t="shared" ca="1" si="53"/>
        <v/>
      </c>
      <c r="AC85" t="str">
        <f t="shared" ca="1" si="54"/>
        <v/>
      </c>
      <c r="AE85" t="str">
        <f t="shared" ca="1" si="55"/>
        <v/>
      </c>
      <c r="AF85" t="str">
        <f t="shared" ca="1" si="56"/>
        <v/>
      </c>
      <c r="AG85" t="str">
        <f t="shared" ca="1" si="57"/>
        <v/>
      </c>
      <c r="AH85" t="str">
        <f t="shared" ca="1" si="58"/>
        <v/>
      </c>
      <c r="AI85" t="str">
        <f t="shared" ca="1" si="59"/>
        <v/>
      </c>
      <c r="AJ85" t="str">
        <f t="shared" ca="1" si="60"/>
        <v/>
      </c>
    </row>
    <row r="86" spans="15:36" ht="19.2" customHeight="1" x14ac:dyDescent="0.45">
      <c r="O86">
        <f t="shared" si="47"/>
        <v>0</v>
      </c>
      <c r="P86">
        <f t="shared" si="61"/>
        <v>0</v>
      </c>
      <c r="R86" t="str" cm="1">
        <f t="array" ref="R86">IFERROR(_xlfn.AGGREGATE(15, 6, ($O$2:$O$350)/($O$2:$O$350&lt;&gt;0), ROWS($R$2:R86)), "")</f>
        <v/>
      </c>
      <c r="S86" t="str" cm="1">
        <f t="array" ref="S86">IFERROR(_xlfn.AGGREGATE(15, 6, ($P$2:$P$350)/($P$2:$P$350&lt;&gt;0), ROWS($R$2:R86)), "")</f>
        <v/>
      </c>
      <c r="U86" t="str">
        <f t="shared" ca="1" si="48"/>
        <v/>
      </c>
      <c r="V86" t="str">
        <f t="shared" ca="1" si="49"/>
        <v/>
      </c>
      <c r="W86" t="str">
        <f t="shared" ca="1" si="50"/>
        <v/>
      </c>
      <c r="X86" t="str">
        <f t="shared" ca="1" si="51"/>
        <v/>
      </c>
      <c r="Z86" t="str">
        <f t="shared" ca="1" si="28"/>
        <v/>
      </c>
      <c r="AA86" t="str">
        <f t="shared" ca="1" si="52"/>
        <v/>
      </c>
      <c r="AB86" t="str">
        <f t="shared" ca="1" si="53"/>
        <v/>
      </c>
      <c r="AC86" t="str">
        <f t="shared" ca="1" si="54"/>
        <v/>
      </c>
      <c r="AE86" t="str">
        <f t="shared" ca="1" si="55"/>
        <v/>
      </c>
      <c r="AF86" t="str">
        <f t="shared" ca="1" si="56"/>
        <v/>
      </c>
      <c r="AG86" t="str">
        <f t="shared" ca="1" si="57"/>
        <v/>
      </c>
      <c r="AH86" t="str">
        <f t="shared" ca="1" si="58"/>
        <v/>
      </c>
      <c r="AI86" t="str">
        <f t="shared" ca="1" si="59"/>
        <v/>
      </c>
      <c r="AJ86" t="str">
        <f t="shared" ca="1" si="60"/>
        <v/>
      </c>
    </row>
    <row r="87" spans="15:36" ht="19.2" customHeight="1" x14ac:dyDescent="0.45">
      <c r="O87">
        <f t="shared" si="47"/>
        <v>0</v>
      </c>
      <c r="P87">
        <f t="shared" si="61"/>
        <v>0</v>
      </c>
      <c r="R87" t="str" cm="1">
        <f t="array" ref="R87">IFERROR(_xlfn.AGGREGATE(15, 6, ($O$2:$O$350)/($O$2:$O$350&lt;&gt;0), ROWS($R$2:R87)), "")</f>
        <v/>
      </c>
      <c r="S87" t="str" cm="1">
        <f t="array" ref="S87">IFERROR(_xlfn.AGGREGATE(15, 6, ($P$2:$P$350)/($P$2:$P$350&lt;&gt;0), ROWS($R$2:R87)), "")</f>
        <v/>
      </c>
      <c r="U87" t="str">
        <f t="shared" ca="1" si="48"/>
        <v/>
      </c>
      <c r="V87" t="str">
        <f t="shared" ca="1" si="49"/>
        <v/>
      </c>
      <c r="W87" t="str">
        <f t="shared" ca="1" si="50"/>
        <v/>
      </c>
      <c r="X87" t="str">
        <f t="shared" ca="1" si="51"/>
        <v/>
      </c>
      <c r="Z87" t="str">
        <f t="shared" ca="1" si="28"/>
        <v/>
      </c>
      <c r="AA87" t="str">
        <f t="shared" ca="1" si="52"/>
        <v/>
      </c>
      <c r="AB87" t="str">
        <f t="shared" ca="1" si="53"/>
        <v/>
      </c>
      <c r="AC87" t="str">
        <f t="shared" ca="1" si="54"/>
        <v/>
      </c>
      <c r="AE87" t="str">
        <f t="shared" ca="1" si="55"/>
        <v/>
      </c>
      <c r="AF87" t="str">
        <f t="shared" ca="1" si="56"/>
        <v/>
      </c>
      <c r="AG87" t="str">
        <f t="shared" ca="1" si="57"/>
        <v/>
      </c>
      <c r="AH87" t="str">
        <f t="shared" ca="1" si="58"/>
        <v/>
      </c>
      <c r="AI87" t="str">
        <f t="shared" ca="1" si="59"/>
        <v/>
      </c>
      <c r="AJ87" t="str">
        <f t="shared" ca="1" si="60"/>
        <v/>
      </c>
    </row>
    <row r="88" spans="15:36" ht="19.2" customHeight="1" x14ac:dyDescent="0.45">
      <c r="O88">
        <f t="shared" si="47"/>
        <v>0</v>
      </c>
      <c r="P88">
        <f t="shared" si="61"/>
        <v>0</v>
      </c>
      <c r="R88" t="str" cm="1">
        <f t="array" ref="R88">IFERROR(_xlfn.AGGREGATE(15, 6, ($O$2:$O$350)/($O$2:$O$350&lt;&gt;0), ROWS($R$2:R88)), "")</f>
        <v/>
      </c>
      <c r="S88" t="str" cm="1">
        <f t="array" ref="S88">IFERROR(_xlfn.AGGREGATE(15, 6, ($P$2:$P$350)/($P$2:$P$350&lt;&gt;0), ROWS($R$2:R88)), "")</f>
        <v/>
      </c>
      <c r="U88" t="str">
        <f t="shared" ca="1" si="48"/>
        <v/>
      </c>
      <c r="V88" t="str">
        <f t="shared" ca="1" si="49"/>
        <v/>
      </c>
      <c r="W88" t="str">
        <f t="shared" ca="1" si="50"/>
        <v/>
      </c>
      <c r="X88" t="str">
        <f t="shared" ca="1" si="51"/>
        <v/>
      </c>
      <c r="Z88" t="str">
        <f t="shared" ca="1" si="28"/>
        <v/>
      </c>
      <c r="AA88" t="str">
        <f t="shared" ca="1" si="52"/>
        <v/>
      </c>
      <c r="AB88" t="str">
        <f t="shared" ca="1" si="53"/>
        <v/>
      </c>
      <c r="AC88" t="str">
        <f t="shared" ca="1" si="54"/>
        <v/>
      </c>
      <c r="AE88" t="str">
        <f t="shared" ca="1" si="55"/>
        <v/>
      </c>
      <c r="AF88" t="str">
        <f t="shared" ca="1" si="56"/>
        <v/>
      </c>
      <c r="AG88" t="str">
        <f t="shared" ca="1" si="57"/>
        <v/>
      </c>
      <c r="AH88" t="str">
        <f t="shared" ca="1" si="58"/>
        <v/>
      </c>
      <c r="AI88" t="str">
        <f t="shared" ca="1" si="59"/>
        <v/>
      </c>
      <c r="AJ88" t="str">
        <f t="shared" ca="1" si="60"/>
        <v/>
      </c>
    </row>
    <row r="89" spans="15:36" ht="19.2" customHeight="1" x14ac:dyDescent="0.45">
      <c r="O89">
        <f t="shared" si="47"/>
        <v>0</v>
      </c>
      <c r="P89">
        <f t="shared" si="61"/>
        <v>0</v>
      </c>
      <c r="R89" t="str" cm="1">
        <f t="array" ref="R89">IFERROR(_xlfn.AGGREGATE(15, 6, ($O$2:$O$350)/($O$2:$O$350&lt;&gt;0), ROWS($R$2:R89)), "")</f>
        <v/>
      </c>
      <c r="S89" t="str" cm="1">
        <f t="array" ref="S89">IFERROR(_xlfn.AGGREGATE(15, 6, ($P$2:$P$350)/($P$2:$P$350&lt;&gt;0), ROWS($R$2:R89)), "")</f>
        <v/>
      </c>
      <c r="U89" t="str">
        <f t="shared" ca="1" si="48"/>
        <v/>
      </c>
      <c r="V89" t="str">
        <f t="shared" ca="1" si="49"/>
        <v/>
      </c>
      <c r="W89" t="str">
        <f t="shared" ca="1" si="50"/>
        <v/>
      </c>
      <c r="X89" t="str">
        <f t="shared" ca="1" si="51"/>
        <v/>
      </c>
      <c r="Z89" t="str">
        <f t="shared" ca="1" si="28"/>
        <v/>
      </c>
      <c r="AA89" t="str">
        <f t="shared" ca="1" si="52"/>
        <v/>
      </c>
      <c r="AB89" t="str">
        <f t="shared" ca="1" si="53"/>
        <v/>
      </c>
      <c r="AC89" t="str">
        <f t="shared" ca="1" si="54"/>
        <v/>
      </c>
      <c r="AE89" t="str">
        <f t="shared" ca="1" si="55"/>
        <v/>
      </c>
      <c r="AF89" t="str">
        <f t="shared" ca="1" si="56"/>
        <v/>
      </c>
      <c r="AG89" t="str">
        <f t="shared" ca="1" si="57"/>
        <v/>
      </c>
      <c r="AH89" t="str">
        <f t="shared" ca="1" si="58"/>
        <v/>
      </c>
      <c r="AI89" t="str">
        <f t="shared" ca="1" si="59"/>
        <v/>
      </c>
      <c r="AJ89" t="str">
        <f t="shared" ca="1" si="60"/>
        <v/>
      </c>
    </row>
    <row r="90" spans="15:36" ht="19.2" customHeight="1" x14ac:dyDescent="0.45">
      <c r="O90">
        <f t="shared" si="47"/>
        <v>0</v>
      </c>
      <c r="P90">
        <f t="shared" si="61"/>
        <v>0</v>
      </c>
      <c r="R90" t="str" cm="1">
        <f t="array" ref="R90">IFERROR(_xlfn.AGGREGATE(15, 6, ($O$2:$O$350)/($O$2:$O$350&lt;&gt;0), ROWS($R$2:R90)), "")</f>
        <v/>
      </c>
      <c r="S90" t="str" cm="1">
        <f t="array" ref="S90">IFERROR(_xlfn.AGGREGATE(15, 6, ($P$2:$P$350)/($P$2:$P$350&lt;&gt;0), ROWS($R$2:R90)), "")</f>
        <v/>
      </c>
      <c r="U90" t="str">
        <f t="shared" ca="1" si="48"/>
        <v/>
      </c>
      <c r="V90" t="str">
        <f t="shared" ca="1" si="49"/>
        <v/>
      </c>
      <c r="W90" t="str">
        <f t="shared" ca="1" si="50"/>
        <v/>
      </c>
      <c r="X90" t="str">
        <f t="shared" ca="1" si="51"/>
        <v/>
      </c>
      <c r="Z90" t="str">
        <f t="shared" ca="1" si="28"/>
        <v/>
      </c>
      <c r="AA90" t="str">
        <f t="shared" ca="1" si="52"/>
        <v/>
      </c>
      <c r="AB90" t="str">
        <f t="shared" ca="1" si="53"/>
        <v/>
      </c>
      <c r="AC90" t="str">
        <f t="shared" ca="1" si="54"/>
        <v/>
      </c>
      <c r="AE90" t="str">
        <f t="shared" ca="1" si="55"/>
        <v/>
      </c>
      <c r="AF90" t="str">
        <f t="shared" ca="1" si="56"/>
        <v/>
      </c>
      <c r="AG90" t="str">
        <f t="shared" ca="1" si="57"/>
        <v/>
      </c>
      <c r="AH90" t="str">
        <f t="shared" ca="1" si="58"/>
        <v/>
      </c>
      <c r="AI90" t="str">
        <f t="shared" ca="1" si="59"/>
        <v/>
      </c>
      <c r="AJ90" t="str">
        <f t="shared" ca="1" si="60"/>
        <v/>
      </c>
    </row>
    <row r="91" spans="15:36" ht="19.2" customHeight="1" x14ac:dyDescent="0.45">
      <c r="O91">
        <f t="shared" si="47"/>
        <v>0</v>
      </c>
      <c r="P91">
        <f t="shared" si="61"/>
        <v>0</v>
      </c>
      <c r="R91" t="str" cm="1">
        <f t="array" ref="R91">IFERROR(_xlfn.AGGREGATE(15, 6, ($O$2:$O$350)/($O$2:$O$350&lt;&gt;0), ROWS($R$2:R91)), "")</f>
        <v/>
      </c>
      <c r="S91" t="str" cm="1">
        <f t="array" ref="S91">IFERROR(_xlfn.AGGREGATE(15, 6, ($P$2:$P$350)/($P$2:$P$350&lt;&gt;0), ROWS($R$2:R91)), "")</f>
        <v/>
      </c>
      <c r="U91" t="str">
        <f t="shared" ca="1" si="48"/>
        <v/>
      </c>
      <c r="V91" t="str">
        <f t="shared" ca="1" si="49"/>
        <v/>
      </c>
      <c r="W91" t="str">
        <f t="shared" ca="1" si="50"/>
        <v/>
      </c>
      <c r="X91" t="str">
        <f t="shared" ca="1" si="51"/>
        <v/>
      </c>
      <c r="Z91" t="str">
        <f t="shared" ca="1" si="28"/>
        <v/>
      </c>
      <c r="AA91" t="str">
        <f t="shared" ca="1" si="52"/>
        <v/>
      </c>
      <c r="AB91" t="str">
        <f t="shared" ca="1" si="53"/>
        <v/>
      </c>
      <c r="AC91" t="str">
        <f t="shared" ca="1" si="54"/>
        <v/>
      </c>
      <c r="AE91" t="str">
        <f t="shared" ca="1" si="55"/>
        <v/>
      </c>
      <c r="AF91" t="str">
        <f t="shared" ca="1" si="56"/>
        <v/>
      </c>
      <c r="AG91" t="str">
        <f t="shared" ca="1" si="57"/>
        <v/>
      </c>
      <c r="AH91" t="str">
        <f t="shared" ca="1" si="58"/>
        <v/>
      </c>
      <c r="AI91" t="str">
        <f t="shared" ca="1" si="59"/>
        <v/>
      </c>
      <c r="AJ91" t="str">
        <f t="shared" ca="1" si="60"/>
        <v/>
      </c>
    </row>
    <row r="92" spans="15:36" ht="19.2" customHeight="1" x14ac:dyDescent="0.45">
      <c r="O92">
        <f t="shared" si="47"/>
        <v>0</v>
      </c>
      <c r="P92">
        <f t="shared" si="61"/>
        <v>0</v>
      </c>
      <c r="R92" t="str" cm="1">
        <f t="array" ref="R92">IFERROR(_xlfn.AGGREGATE(15, 6, ($O$2:$O$350)/($O$2:$O$350&lt;&gt;0), ROWS($R$2:R92)), "")</f>
        <v/>
      </c>
      <c r="S92" t="str" cm="1">
        <f t="array" ref="S92">IFERROR(_xlfn.AGGREGATE(15, 6, ($P$2:$P$350)/($P$2:$P$350&lt;&gt;0), ROWS($R$2:R92)), "")</f>
        <v/>
      </c>
      <c r="U92" t="str">
        <f t="shared" ca="1" si="48"/>
        <v/>
      </c>
      <c r="V92" t="str">
        <f t="shared" ca="1" si="49"/>
        <v/>
      </c>
      <c r="W92" t="str">
        <f t="shared" ca="1" si="50"/>
        <v/>
      </c>
      <c r="X92" t="str">
        <f t="shared" ca="1" si="51"/>
        <v/>
      </c>
      <c r="Z92" t="str">
        <f t="shared" ca="1" si="28"/>
        <v/>
      </c>
      <c r="AA92" t="str">
        <f ca="1">IFERROR(IF(S92&lt;&gt;"",
IF(Z92&lt;&gt;"",
IF(COUNTIF(OFFSET($A$1,$S92-1,Z92),"*g*"),
Z92,IF(COUNTIF(OFFSET($A$1,$S92-1,Z92+1),"*g*"),Z92+2,
IF(OFFSET($A$1,$S92-1,Z92)=".","",
IF(OFFSET($A$1,$S92-1,Z92)=OFFSET($A$1,$S92-1,Z92+1),Z92+1,Z92+2)))),
IF(COUNTIF(OFFSET($A$1,$S92-1,2),"*g*"),
2,IF(COUNTIF(OFFSET($A$1,$S92-1,2+1),"*g*"),2+2,
IF(OFFSET($A$1,$S92-1,2)=".","",
IF(OFFSET($A$1,$S92-1,2)=OFFSET($A$1,$S92-1,2+1),
IF(OFFSET($A$1,$S92-1,2+1)=0,"",2+1),
IF(OFFSET($A$1,$S92-1,2)&lt;&gt;"",2,
IF(OFFSET($A$1,$S92-1,2+1)&lt;&gt;"",2+1,""))))))),""),"")</f>
        <v/>
      </c>
      <c r="AB92" t="str">
        <f ca="1">IFERROR(IF(S92&lt;&gt;"",
IF(COUNTIF(OFFSET($A$1,$S92-1,AA92),"*g*"),
AA92,IF(COUNTIF(OFFSET($A$1,$S92-1,AA92+1),"*g*"),AA92+2,
IF(OFFSET($A$1,$S92-1,AA92)=".","",
IF(OFFSET($A$1,$S92-1,AA92)=OFFSET($A$1,$S92-1,AA92+1),AA92+1,AA92+2)))),""),"")</f>
        <v/>
      </c>
      <c r="AC92" t="str">
        <f ca="1">IFERROR(IF(S92&lt;&gt;"",
IF(COUNTIF(OFFSET($A$1,$S92-1,AB92),"*g*"),
AB92,IF(COUNTIF(OFFSET($A$1,$S92-1,AB92+1),"*g*"),AB92+2,
IF(OFFSET($A$1,$S92-1,AB92)=".","",
IF(OFFSET($A$1,$S92-1,AB92)=OFFSET($A$1,$S92-1,AB92+1),AB92+1,
IF(OFFSET($A$1,$S92-1,AB92+1)&lt;&gt;0,AB92+2,
IF(OFFSET($A$1,$S92-1,AB92)&lt;&gt;0,AB92+1,"")))))),""),"")</f>
        <v/>
      </c>
      <c r="AE92" t="str">
        <f t="shared" ca="1" si="55"/>
        <v/>
      </c>
      <c r="AF92" t="str">
        <f t="shared" ca="1" si="56"/>
        <v/>
      </c>
      <c r="AG92" t="str">
        <f t="shared" ca="1" si="57"/>
        <v/>
      </c>
      <c r="AH92" t="str">
        <f t="shared" ca="1" si="58"/>
        <v/>
      </c>
      <c r="AI92" t="str">
        <f t="shared" ca="1" si="59"/>
        <v/>
      </c>
      <c r="AJ92" t="str">
        <f t="shared" ca="1" si="60"/>
        <v/>
      </c>
    </row>
    <row r="93" spans="15:36" ht="19.2" customHeight="1" x14ac:dyDescent="0.45">
      <c r="O93">
        <f t="shared" si="47"/>
        <v>0</v>
      </c>
      <c r="P93">
        <f t="shared" si="61"/>
        <v>0</v>
      </c>
      <c r="R93" t="str" cm="1">
        <f t="array" ref="R93">IFERROR(_xlfn.AGGREGATE(15, 6, ($O$2:$O$350)/($O$2:$O$350&lt;&gt;0), ROWS($R$2:R93)), "")</f>
        <v/>
      </c>
      <c r="S93" t="str" cm="1">
        <f t="array" ref="S93">IFERROR(_xlfn.AGGREGATE(15, 6, ($P$2:$P$350)/($P$2:$P$350&lt;&gt;0), ROWS($R$2:R93)), "")</f>
        <v/>
      </c>
      <c r="U93" t="str">
        <f ca="1">IF(R93&lt;&gt;"",
IF(COUNTIF(OFFSET($A$1,$R93-1,0),"*/*"),
IF(COUNTIF(OFFSET($A$1,$R93-1,1),"*/*"),"",2),1),"")</f>
        <v/>
      </c>
      <c r="V93" t="str">
        <f ca="1">IF(R93&lt;&gt;"",IF(U93&lt;&gt;"",
IF(COUNTIF(OFFSET($A$1,$R93-1,U93),"*/*"),
IF(COUNTIF(OFFSET($A$1,$R93-1,U93+1),"*/*"),"",U93+2),U93+1),
IF(COUNTIF(OFFSET($A$1,$R93-1,1),"*/*"),
IF(COUNTIF(OFFSET($A$1,$R93-1,1+1),"*/*"),"",1+2),1+1)),"")</f>
        <v/>
      </c>
      <c r="W93" t="str">
        <f ca="1">IF(R93&lt;&gt;"",IF(V93&lt;&gt;"",
IF(COUNTIF(OFFSET($A$1,$R93-1,V93),"*/*"),
IF(COUNTIF(OFFSET($A$1,$R93-1,V93+1),"*/*"),"",V93+2),V93+1),
IF(COUNTIF(OFFSET($A$1,$R93-1,2),"*/*"),
IF(COUNTIF(OFFSET($A$1,$R93-1,2+1),"*/*"),"",2+2),2+1)),"")</f>
        <v/>
      </c>
      <c r="X93" t="str">
        <f ca="1">IF(R93&lt;&gt;"",IF(W93&lt;&gt;"",
IF(COUNTIF(OFFSET($A$1,$R93-1,W93),"*/*"),
IF(COUNTIF(OFFSET($A$1,$R93-1,W93+1),"*/*"),"",W93+2),W93+1),
IF(COUNTIF(OFFSET($A$1,$R93-1,5),"*/*"),
IF(COUNTIF(OFFSET($A$1,$R93-1,5+1),"*/*"),"",
IF(OFFSET($A$1,R93-1,5+2-1)=0,"",5+2)),IF(OFFSET($A$1,R93-1,5+1-1)=0,"",5+1))),"")</f>
        <v/>
      </c>
      <c r="Z93" t="str">
        <f t="shared" ca="1" si="28"/>
        <v/>
      </c>
      <c r="AA93" t="str">
        <f t="shared" ref="AA93:AA156" ca="1" si="62">IFERROR(IF(S93&lt;&gt;"",
IF(Z93&lt;&gt;"",
IF(COUNTIF(OFFSET($A$1,$S93-1,Z93),"*g*"),
Z93,IF(COUNTIF(OFFSET($A$1,$S93-1,Z93+1),"*g*"),Z93+2,
IF(OFFSET($A$1,$S93-1,Z93)=".","",
IF(OFFSET($A$1,$S93-1,Z93)=OFFSET($A$1,$S93-1,Z93+1),Z93+1,Z93+2)))),
IF(COUNTIF(OFFSET($A$1,$S93-1,2),"*g*"),
2,IF(COUNTIF(OFFSET($A$1,$S93-1,2+1),"*g*"),2+2,
IF(OFFSET($A$1,$S93-1,2)=".","",
IF(OFFSET($A$1,$S93-1,2)=OFFSET($A$1,$S93-1,2+1),
IF(OFFSET($A$1,$S93-1,2+1)=0,"",2+1),
IF(OFFSET($A$1,$S93-1,2)&lt;&gt;"",2,
IF(OFFSET($A$1,$S93-1,2+1)&lt;&gt;"",2+1,""))))))),""),"")</f>
        <v/>
      </c>
      <c r="AB93" t="str">
        <f t="shared" ref="AB93:AB156" ca="1" si="63">IFERROR(IF(S93&lt;&gt;"",
IF(COUNTIF(OFFSET($A$1,$S93-1,AA93),"*g*"),
AA93,IF(COUNTIF(OFFSET($A$1,$S93-1,AA93+1),"*g*"),AA93+2,
IF(OFFSET($A$1,$S93-1,AA93)=".","",
IF(OFFSET($A$1,$S93-1,AA93)=OFFSET($A$1,$S93-1,AA93+1),AA93+1,AA93+2)))),""),"")</f>
        <v/>
      </c>
      <c r="AC93" t="str">
        <f t="shared" ref="AC93:AC156" ca="1" si="64">IFERROR(IF(S93&lt;&gt;"",
IF(COUNTIF(OFFSET($A$1,$S93-1,AB93),"*g*"),
AB93,IF(COUNTIF(OFFSET($A$1,$S93-1,AB93+1),"*g*"),AB93+2,
IF(OFFSET($A$1,$S93-1,AB93)=".","",
IF(OFFSET($A$1,$S93-1,AB93)=OFFSET($A$1,$S93-1,AB93+1),AB93+1,
IF(OFFSET($A$1,$S93-1,AB93+1)&lt;&gt;0,AB93+2,
IF(OFFSET($A$1,$S93-1,AB93)&lt;&gt;0,AB93+1,"")))))),""),"")</f>
        <v/>
      </c>
      <c r="AE93" t="str">
        <f ca="1">IF(R93&lt;&gt;"",
IF(AND($S93-$R92&gt;3,COUNTIF(OFFSET($A$1,$R92+($S93-$R92-4),0),"&lt;&gt;*テキスト*")),
IF(OFFSET($A$1,$R92+($S93-$R92-4),0)=OFFSET($A$1,$R92+($S93-$R92-4),1),1,
IF(OFFSET($A$1,$R92+($S93-$R92-4),0)=OFFSET($A$1,$R92+($S93-$R92-4),2),2,
IF(OFFSET($A$1,$R92+($S93-$R92-4),0)=OFFSET($A$1,$R92+($S93-$R92-4),3),3,4))),
IF(AND($S93-$R92&gt;2,COUNTIF(OFFSET($A$1,$R92+($S93-$R92-3),0),"&lt;&gt;*テキスト*")),
IF(OFFSET($A$1,$R92+($S93-$R92-3),0)=OFFSET($A$1,$R92+($S93-$R92-3),1),1,
IF(OFFSET($A$1,$R92+($S93-$R92-3),0)=OFFSET($A$1,$R92+($S93-$R92-3),2),2,
IF(OFFSET($A$1,$R92+($S93-$R92-3),0)=OFFSET($A$1,$R92+($S93-$R92-3),3),3,4))),
IF(COUNTIF(OFFSET($A$1,$R92+($S93-$R92-2),0),"*様*"),1,
IF(COUNTIF(OFFSET($A$1,$R92+($S93-$R92-2),1),"*様*"),2,
IF(COUNTIF(OFFSET($A$1,$R92+($S93-$R92-2),2),"*様*"),3,4))))),"")</f>
        <v/>
      </c>
      <c r="AF93" t="str">
        <f ca="1">IF(R93&lt;&gt;"",
IF(AND($S93-$R92&gt;3,COUNTIF(OFFSET($A$1,$R92+($S93-$R92-4),0),"&lt;&gt;*テキスト*")),
IFERROR(IF(OFFSET($A$1,$R92+($S93-$R92-4),AE93)=0,"",
IF(OFFSET($A$1,$R92+($S93-$R92-4),AE93)=OFFSET($A$1,$R92+($S93-$R92-4),AE93+1),1+AE93,
IF(OFFSET($A$1,$R92+($S93-$R92-4),AE93)=OFFSET($A$1,$R92+($S93-$R92-4),AE93+2),2+AE93,
IF(OFFSET($A$1,$R92+($S93-$R92-4),AE93)=OFFSET($A$1,$R92+($S93-$R92-4),AE93+3),3+AE93,3+AE93)))),""),
IF(AND($S93-$R92&gt;2,COUNTIF(OFFSET($A$1,$R92+($S93-$R92-3),0),"&lt;&gt;*テキスト*")),
IFERROR(IF(OFFSET($A$1,$R92+($S93-$R92-3),AE93)=0,"",
IF(OFFSET($A$1,$R92+($S93-$R92-3),AE93)=OFFSET($A$1,$R92+($S93-$R92-3),AE93+1),1+AE93,
IF(OFFSET($A$1,$R92+($S93-$R92-3),AE93)=OFFSET($A$1,$R92+($S93-$R92-3),AE93+2),2+AE93,
IF(OFFSET($A$1,$R92+($S93-$R92-3),AE93)=OFFSET($A$1,$R92+($S93-$R92-3),AE93+3),3+AE93,3+AE93)))),""),
IF(COUNTIF(OFFSET($A$1,$R92+($S93-$R92-2),AE93),"*様*"),1+AE93,
IF(COUNTIF(OFFSET($A$1,$R92+($S93-$R92-2),AE93+1),"*様*"),2+AE93,
IF(COUNTIF(OFFSET($A$1,$R92+($S93-$R92-2),AE93+2),"*様*"),3+AE93,4+AE93))))),"")</f>
        <v/>
      </c>
      <c r="AG93" t="str">
        <f ca="1">IF(R93&lt;&gt;"",
IF(AND($S93-$R92&gt;3,COUNTIF(OFFSET($A$1,$R92+($S93-$R92-4),0),"&lt;&gt;*テキスト*")),
IFERROR(IF(OFFSET($A$1,$R92+($S93-$R92-4),AF93)=0,"",
IF(OFFSET($A$1,$R92+($S93-$R92-4),AF93)=OFFSET($A$1,$R92+($S93-$R92-4),AF93+1),1+AF93,
IF(OFFSET($A$1,$R92+($S93-$R92-4),AF93)=OFFSET($A$1,$R92+($S93-$R92-4),AF93+2),2+AF93,
IF(OFFSET($A$1,$R92+($S93-$R92-4),AF93)=OFFSET($A$1,$R92+($S93-$R92-4),AF93+3),3+AF93,3+AF93)))),""),
IF(AND($S93-$R92&gt;2,COUNTIF(OFFSET($A$1,$R92+($S93-$R92-3),0),"&lt;&gt;*テキスト*")),
IFERROR(IF(OFFSET($A$1,$R92+($S93-$R92-3),AF93)=0,"",
IF(OFFSET($A$1,$R92+($S93-$R92-3),AF93)=OFFSET($A$1,$R92+($S93-$R92-3),AF93+1),1+AF93,
IF(OFFSET($A$1,$R92+($S93-$R92-3),AF93)=OFFSET($A$1,$R92+($S93-$R92-3),AF93+2),2+AF93,
IF(OFFSET($A$1,$R92+($S93-$R92-3),AF93)=OFFSET($A$1,$R92+($S93-$R92-3),AF93+3),3+AF93,3+AF93)))),""),
IF(COUNTIF(OFFSET($A$1,$R92+($S93-$R92-2),AF93),"*様*"),1+AF93,
IF(COUNTIF(OFFSET($A$1,$R92+($S93-$R92-2),AF93+1),"*様*"),2+AF93,
IF(COUNTIF(OFFSET($A$1,$R92+($S93-$R92-2),AF93+2),"*様*"),3+AF93,4+AF93))))),"")</f>
        <v/>
      </c>
      <c r="AH93" t="str">
        <f ca="1">IF(R93&lt;&gt;"",
IF(AND($S93-$R92&gt;3,COUNTIF(OFFSET($A$1,$R92+($S93-$R92-4),0),"&lt;&gt;*テキスト*")),
IFERROR(IF(OFFSET($A$1,$R92+($S93-$R92-4),AG93)=0,"",
IF(OFFSET($A$1,$R92+($S93-$R92-4),AG93)=OFFSET($A$1,$R92+($S93-$R92-4),AG93+1),1+AG93,
IF(OFFSET($A$1,$R92+($S93-$R92-4),AG93)=OFFSET($A$1,$R92+($S93-$R92-4),AG93+2),2+AG93,
IF(OFFSET($A$1,$R92+($S93-$R92-4),AG93)=OFFSET($A$1,$R92+($S93-$R92-4),AG93+3),3+AG93,3+AG93)))),""),
IF(AND($S93-$R92&gt;2,COUNTIF(OFFSET($A$1,$R92+($S93-$R92-3),0),"&lt;&gt;*テキスト*")),
IFERROR(IF(OFFSET($A$1,$R92+($S93-$R92-3),AG93)=0,"",
IF(OFFSET($A$1,$R92+($S93-$R92-3),AG93)=OFFSET($A$1,$R92+($S93-$R92-3),AG93+1),1+AG93,
IF(OFFSET($A$1,$R92+($S93-$R92-3),AG93)=OFFSET($A$1,$R92+($S93-$R92-3),AG93+2),2+AG93,
IF(OFFSET($A$1,$R92+($S93-$R92-3),AG93)=OFFSET($A$1,$R92+($S93-$R92-3),AG93+3),3+AG93,3+AG93)))),""),
IF(COUNTIF(OFFSET($A$1,$R92+($S93-$R92-2),AG93),"*様*"),1+AG93,
IF(COUNTIF(OFFSET($A$1,$R92+($S93-$R92-2),AG93+1),"*様*"),2+AG93,
IF(COUNTIF(OFFSET($A$1,$R92+($S93-$R92-2),AG93+2),"*様*"),3+AG93,4+AG93))))),"")</f>
        <v/>
      </c>
      <c r="AI93" t="str">
        <f ca="1">IF(R93&lt;&gt;"",
IF(AG93&lt;&gt;"","",
IF(COUNTIF(OFFSET($A$1,$R92+($S93-$R92-3),0),"*様*"),1,
IF(COUNTIF(OFFSET($A$1,$R92+($S93-$R92-3),1),"*様*"),2,
IF(COUNTIF(OFFSET($A$1,$R92+($S93-$R92-3),2),"*様*"),3,4)))),"")</f>
        <v/>
      </c>
      <c r="AJ93" t="str">
        <f ca="1">IF(R93&lt;&gt;"",
IF(AH93&lt;&gt;"","",
IF(AI93&lt;&gt;"",
IF(COUNTIF(OFFSET($A$1,$R92+($S93-$R92-3),AI93),"*様*"),1+AI93,
IF(COUNTIF(OFFSET($A$1,$R92+($S93-$R92-3),AI93+1),"*様*"),2+AI93,
IF(COUNTIF(OFFSET($A$1,$R92+($S93-$R92-3),AI93+2),"*様*"),3+AI93,4+AI93))),
IF(COUNTIF(OFFSET($A$1,$R92+($S93-$R92-3),0),"*様*"),1,
IF(COUNTIF(OFFSET($A$1,$R92+($S93-$R92-3),1),"*様*"),2,
IF(COUNTIF(OFFSET($A$1,$R92+($S93-$R92-3),2),"*様*"),3,4))))),"")</f>
        <v/>
      </c>
    </row>
    <row r="94" spans="15:36" ht="19.2" customHeight="1" x14ac:dyDescent="0.45">
      <c r="O94">
        <f t="shared" si="47"/>
        <v>0</v>
      </c>
      <c r="P94">
        <f t="shared" si="61"/>
        <v>0</v>
      </c>
      <c r="R94" t="str" cm="1">
        <f t="array" ref="R94">IFERROR(_xlfn.AGGREGATE(15, 6, ($O$2:$O$350)/($O$2:$O$350&lt;&gt;0), ROWS($R$2:R94)), "")</f>
        <v/>
      </c>
      <c r="S94" t="str" cm="1">
        <f t="array" ref="S94">IFERROR(_xlfn.AGGREGATE(15, 6, ($P$2:$P$350)/($P$2:$P$350&lt;&gt;0), ROWS($R$2:R94)), "")</f>
        <v/>
      </c>
      <c r="U94" t="str">
        <f t="shared" ref="U94:U157" ca="1" si="65">IF(R94&lt;&gt;"",
IF(COUNTIF(OFFSET($A$1,$R94-1,0),"*/*"),
IF(COUNTIF(OFFSET($A$1,$R94-1,1),"*/*"),"",2),1),"")</f>
        <v/>
      </c>
      <c r="V94" t="str">
        <f t="shared" ref="V94:V157" ca="1" si="66">IF(R94&lt;&gt;"",IF(U94&lt;&gt;"",
IF(COUNTIF(OFFSET($A$1,$R94-1,U94),"*/*"),
IF(COUNTIF(OFFSET($A$1,$R94-1,U94+1),"*/*"),"",U94+2),U94+1),
IF(COUNTIF(OFFSET($A$1,$R94-1,1),"*/*"),
IF(COUNTIF(OFFSET($A$1,$R94-1,1+1),"*/*"),"",1+2),1+1)),"")</f>
        <v/>
      </c>
      <c r="W94" t="str">
        <f t="shared" ref="W94:W157" ca="1" si="67">IF(R94&lt;&gt;"",IF(V94&lt;&gt;"",
IF(COUNTIF(OFFSET($A$1,$R94-1,V94),"*/*"),
IF(COUNTIF(OFFSET($A$1,$R94-1,V94+1),"*/*"),"",V94+2),V94+1),
IF(COUNTIF(OFFSET($A$1,$R94-1,2),"*/*"),
IF(COUNTIF(OFFSET($A$1,$R94-1,2+1),"*/*"),"",2+2),2+1)),"")</f>
        <v/>
      </c>
      <c r="X94" t="str">
        <f t="shared" ref="X94:X157" ca="1" si="68">IF(R94&lt;&gt;"",IF(W94&lt;&gt;"",
IF(COUNTIF(OFFSET($A$1,$R94-1,W94),"*/*"),
IF(COUNTIF(OFFSET($A$1,$R94-1,W94+1),"*/*"),"",W94+2),W94+1),
IF(COUNTIF(OFFSET($A$1,$R94-1,5),"*/*"),
IF(COUNTIF(OFFSET($A$1,$R94-1,5+1),"*/*"),"",
IF(OFFSET($A$1,R94-1,5+2-1)=0,"",5+2)),IF(OFFSET($A$1,R94-1,5+1-1)=0,"",5+1))),"")</f>
        <v/>
      </c>
      <c r="Z94" t="str">
        <f t="shared" ca="1" si="28"/>
        <v/>
      </c>
      <c r="AA94" t="str">
        <f t="shared" ca="1" si="62"/>
        <v/>
      </c>
      <c r="AB94" t="str">
        <f t="shared" ca="1" si="63"/>
        <v/>
      </c>
      <c r="AC94" t="str">
        <f t="shared" ca="1" si="64"/>
        <v/>
      </c>
      <c r="AE94" t="str">
        <f t="shared" ref="AE94:AE157" ca="1" si="69">IF(R94&lt;&gt;"",
IF(AND($S94-$R93&gt;3,COUNTIF(OFFSET($A$1,$R93+($S94-$R93-4),0),"&lt;&gt;*テキスト*")),
IF(OFFSET($A$1,$R93+($S94-$R93-4),0)=OFFSET($A$1,$R93+($S94-$R93-4),1),1,
IF(OFFSET($A$1,$R93+($S94-$R93-4),0)=OFFSET($A$1,$R93+($S94-$R93-4),2),2,
IF(OFFSET($A$1,$R93+($S94-$R93-4),0)=OFFSET($A$1,$R93+($S94-$R93-4),3),3,4))),
IF(AND($S94-$R93&gt;2,COUNTIF(OFFSET($A$1,$R93+($S94-$R93-3),0),"&lt;&gt;*テキスト*")),
IF(OFFSET($A$1,$R93+($S94-$R93-3),0)=OFFSET($A$1,$R93+($S94-$R93-3),1),1,
IF(OFFSET($A$1,$R93+($S94-$R93-3),0)=OFFSET($A$1,$R93+($S94-$R93-3),2),2,
IF(OFFSET($A$1,$R93+($S94-$R93-3),0)=OFFSET($A$1,$R93+($S94-$R93-3),3),3,4))),
IF(COUNTIF(OFFSET($A$1,$R93+($S94-$R93-2),0),"*様*"),1,
IF(COUNTIF(OFFSET($A$1,$R93+($S94-$R93-2),1),"*様*"),2,
IF(COUNTIF(OFFSET($A$1,$R93+($S94-$R93-2),2),"*様*"),3,4))))),"")</f>
        <v/>
      </c>
      <c r="AF94" t="str">
        <f t="shared" ref="AF94:AF157" ca="1" si="70">IF(R94&lt;&gt;"",
IF(AND($S94-$R93&gt;3,COUNTIF(OFFSET($A$1,$R93+($S94-$R93-4),0),"&lt;&gt;*テキスト*")),
IFERROR(IF(OFFSET($A$1,$R93+($S94-$R93-4),AE94)=0,"",
IF(OFFSET($A$1,$R93+($S94-$R93-4),AE94)=OFFSET($A$1,$R93+($S94-$R93-4),AE94+1),1+AE94,
IF(OFFSET($A$1,$R93+($S94-$R93-4),AE94)=OFFSET($A$1,$R93+($S94-$R93-4),AE94+2),2+AE94,
IF(OFFSET($A$1,$R93+($S94-$R93-4),AE94)=OFFSET($A$1,$R93+($S94-$R93-4),AE94+3),3+AE94,3+AE94)))),""),
IF(AND($S94-$R93&gt;2,COUNTIF(OFFSET($A$1,$R93+($S94-$R93-3),0),"&lt;&gt;*テキスト*")),
IFERROR(IF(OFFSET($A$1,$R93+($S94-$R93-3),AE94)=0,"",
IF(OFFSET($A$1,$R93+($S94-$R93-3),AE94)=OFFSET($A$1,$R93+($S94-$R93-3),AE94+1),1+AE94,
IF(OFFSET($A$1,$R93+($S94-$R93-3),AE94)=OFFSET($A$1,$R93+($S94-$R93-3),AE94+2),2+AE94,
IF(OFFSET($A$1,$R93+($S94-$R93-3),AE94)=OFFSET($A$1,$R93+($S94-$R93-3),AE94+3),3+AE94,3+AE94)))),""),
IF(COUNTIF(OFFSET($A$1,$R93+($S94-$R93-2),AE94),"*様*"),1+AE94,
IF(COUNTIF(OFFSET($A$1,$R93+($S94-$R93-2),AE94+1),"*様*"),2+AE94,
IF(COUNTIF(OFFSET($A$1,$R93+($S94-$R93-2),AE94+2),"*様*"),3+AE94,4+AE94))))),"")</f>
        <v/>
      </c>
      <c r="AG94" t="str">
        <f t="shared" ref="AG94:AG157" ca="1" si="71">IF(R94&lt;&gt;"",
IF(AND($S94-$R93&gt;3,COUNTIF(OFFSET($A$1,$R93+($S94-$R93-4),0),"&lt;&gt;*テキスト*")),
IFERROR(IF(OFFSET($A$1,$R93+($S94-$R93-4),AF94)=0,"",
IF(OFFSET($A$1,$R93+($S94-$R93-4),AF94)=OFFSET($A$1,$R93+($S94-$R93-4),AF94+1),1+AF94,
IF(OFFSET($A$1,$R93+($S94-$R93-4),AF94)=OFFSET($A$1,$R93+($S94-$R93-4),AF94+2),2+AF94,
IF(OFFSET($A$1,$R93+($S94-$R93-4),AF94)=OFFSET($A$1,$R93+($S94-$R93-4),AF94+3),3+AF94,3+AF94)))),""),
IF(AND($S94-$R93&gt;2,COUNTIF(OFFSET($A$1,$R93+($S94-$R93-3),0),"&lt;&gt;*テキスト*")),
IFERROR(IF(OFFSET($A$1,$R93+($S94-$R93-3),AF94)=0,"",
IF(OFFSET($A$1,$R93+($S94-$R93-3),AF94)=OFFSET($A$1,$R93+($S94-$R93-3),AF94+1),1+AF94,
IF(OFFSET($A$1,$R93+($S94-$R93-3),AF94)=OFFSET($A$1,$R93+($S94-$R93-3),AF94+2),2+AF94,
IF(OFFSET($A$1,$R93+($S94-$R93-3),AF94)=OFFSET($A$1,$R93+($S94-$R93-3),AF94+3),3+AF94,3+AF94)))),""),
IF(COUNTIF(OFFSET($A$1,$R93+($S94-$R93-2),AF94),"*様*"),1+AF94,
IF(COUNTIF(OFFSET($A$1,$R93+($S94-$R93-2),AF94+1),"*様*"),2+AF94,
IF(COUNTIF(OFFSET($A$1,$R93+($S94-$R93-2),AF94+2),"*様*"),3+AF94,4+AF94))))),"")</f>
        <v/>
      </c>
      <c r="AH94" t="str">
        <f t="shared" ref="AH94:AH157" ca="1" si="72">IF(R94&lt;&gt;"",
IF(AND($S94-$R93&gt;3,COUNTIF(OFFSET($A$1,$R93+($S94-$R93-4),0),"&lt;&gt;*テキスト*")),
IFERROR(IF(OFFSET($A$1,$R93+($S94-$R93-4),AG94)=0,"",
IF(OFFSET($A$1,$R93+($S94-$R93-4),AG94)=OFFSET($A$1,$R93+($S94-$R93-4),AG94+1),1+AG94,
IF(OFFSET($A$1,$R93+($S94-$R93-4),AG94)=OFFSET($A$1,$R93+($S94-$R93-4),AG94+2),2+AG94,
IF(OFFSET($A$1,$R93+($S94-$R93-4),AG94)=OFFSET($A$1,$R93+($S94-$R93-4),AG94+3),3+AG94,3+AG94)))),""),
IF(AND($S94-$R93&gt;2,COUNTIF(OFFSET($A$1,$R93+($S94-$R93-3),0),"&lt;&gt;*テキスト*")),
IFERROR(IF(OFFSET($A$1,$R93+($S94-$R93-3),AG94)=0,"",
IF(OFFSET($A$1,$R93+($S94-$R93-3),AG94)=OFFSET($A$1,$R93+($S94-$R93-3),AG94+1),1+AG94,
IF(OFFSET($A$1,$R93+($S94-$R93-3),AG94)=OFFSET($A$1,$R93+($S94-$R93-3),AG94+2),2+AG94,
IF(OFFSET($A$1,$R93+($S94-$R93-3),AG94)=OFFSET($A$1,$R93+($S94-$R93-3),AG94+3),3+AG94,3+AG94)))),""),
IF(COUNTIF(OFFSET($A$1,$R93+($S94-$R93-2),AG94),"*様*"),1+AG94,
IF(COUNTIF(OFFSET($A$1,$R93+($S94-$R93-2),AG94+1),"*様*"),2+AG94,
IF(COUNTIF(OFFSET($A$1,$R93+($S94-$R93-2),AG94+2),"*様*"),3+AG94,4+AG94))))),"")</f>
        <v/>
      </c>
      <c r="AI94" t="str">
        <f t="shared" ref="AI94:AI157" ca="1" si="73">IF(R94&lt;&gt;"",
IF(AG94&lt;&gt;"","",
IF(COUNTIF(OFFSET($A$1,$R93+($S94-$R93-3),0),"*様*"),1,
IF(COUNTIF(OFFSET($A$1,$R93+($S94-$R93-3),1),"*様*"),2,
IF(COUNTIF(OFFSET($A$1,$R93+($S94-$R93-3),2),"*様*"),3,4)))),"")</f>
        <v/>
      </c>
      <c r="AJ94" t="str">
        <f t="shared" ref="AJ94:AJ157" ca="1" si="74">IF(R94&lt;&gt;"",
IF(AH94&lt;&gt;"","",
IF(AI94&lt;&gt;"",
IF(COUNTIF(OFFSET($A$1,$R93+($S94-$R93-3),AI94),"*様*"),1+AI94,
IF(COUNTIF(OFFSET($A$1,$R93+($S94-$R93-3),AI94+1),"*様*"),2+AI94,
IF(COUNTIF(OFFSET($A$1,$R93+($S94-$R93-3),AI94+2),"*様*"),3+AI94,4+AI94))),
IF(COUNTIF(OFFSET($A$1,$R93+($S94-$R93-3),0),"*様*"),1,
IF(COUNTIF(OFFSET($A$1,$R93+($S94-$R93-3),1),"*様*"),2,
IF(COUNTIF(OFFSET($A$1,$R93+($S94-$R93-3),2),"*様*"),3,4))))),"")</f>
        <v/>
      </c>
    </row>
    <row r="95" spans="15:36" ht="19.2" customHeight="1" x14ac:dyDescent="0.45">
      <c r="O95">
        <f t="shared" si="47"/>
        <v>0</v>
      </c>
      <c r="P95">
        <f t="shared" si="61"/>
        <v>0</v>
      </c>
      <c r="R95" t="str" cm="1">
        <f t="array" ref="R95">IFERROR(_xlfn.AGGREGATE(15, 6, ($O$2:$O$350)/($O$2:$O$350&lt;&gt;0), ROWS($R$2:R95)), "")</f>
        <v/>
      </c>
      <c r="S95" t="str" cm="1">
        <f t="array" ref="S95">IFERROR(_xlfn.AGGREGATE(15, 6, ($P$2:$P$350)/($P$2:$P$350&lt;&gt;0), ROWS($R$2:R95)), "")</f>
        <v/>
      </c>
      <c r="U95" t="str">
        <f t="shared" ca="1" si="65"/>
        <v/>
      </c>
      <c r="V95" t="str">
        <f t="shared" ca="1" si="66"/>
        <v/>
      </c>
      <c r="W95" t="str">
        <f t="shared" ca="1" si="67"/>
        <v/>
      </c>
      <c r="X95" t="str">
        <f t="shared" ca="1" si="68"/>
        <v/>
      </c>
      <c r="Z95" t="str">
        <f t="shared" ca="1" si="28"/>
        <v/>
      </c>
      <c r="AA95" t="str">
        <f t="shared" ca="1" si="62"/>
        <v/>
      </c>
      <c r="AB95" t="str">
        <f t="shared" ca="1" si="63"/>
        <v/>
      </c>
      <c r="AC95" t="str">
        <f t="shared" ca="1" si="64"/>
        <v/>
      </c>
      <c r="AE95" t="str">
        <f t="shared" ca="1" si="69"/>
        <v/>
      </c>
      <c r="AF95" t="str">
        <f t="shared" ca="1" si="70"/>
        <v/>
      </c>
      <c r="AG95" t="str">
        <f t="shared" ca="1" si="71"/>
        <v/>
      </c>
      <c r="AH95" t="str">
        <f t="shared" ca="1" si="72"/>
        <v/>
      </c>
      <c r="AI95" t="str">
        <f t="shared" ca="1" si="73"/>
        <v/>
      </c>
      <c r="AJ95" t="str">
        <f t="shared" ca="1" si="74"/>
        <v/>
      </c>
    </row>
    <row r="96" spans="15:36" ht="19.2" customHeight="1" x14ac:dyDescent="0.45">
      <c r="O96">
        <f t="shared" si="47"/>
        <v>0</v>
      </c>
      <c r="P96">
        <f t="shared" si="61"/>
        <v>0</v>
      </c>
      <c r="R96" t="str" cm="1">
        <f t="array" ref="R96">IFERROR(_xlfn.AGGREGATE(15, 6, ($O$2:$O$350)/($O$2:$O$350&lt;&gt;0), ROWS($R$2:R96)), "")</f>
        <v/>
      </c>
      <c r="S96" t="str" cm="1">
        <f t="array" ref="S96">IFERROR(_xlfn.AGGREGATE(15, 6, ($P$2:$P$350)/($P$2:$P$350&lt;&gt;0), ROWS($R$2:R96)), "")</f>
        <v/>
      </c>
      <c r="U96" t="str">
        <f t="shared" ca="1" si="65"/>
        <v/>
      </c>
      <c r="V96" t="str">
        <f t="shared" ca="1" si="66"/>
        <v/>
      </c>
      <c r="W96" t="str">
        <f t="shared" ca="1" si="67"/>
        <v/>
      </c>
      <c r="X96" t="str">
        <f t="shared" ca="1" si="68"/>
        <v/>
      </c>
      <c r="Z96" t="str">
        <f t="shared" ca="1" si="28"/>
        <v/>
      </c>
      <c r="AA96" t="str">
        <f t="shared" ca="1" si="62"/>
        <v/>
      </c>
      <c r="AB96" t="str">
        <f t="shared" ca="1" si="63"/>
        <v/>
      </c>
      <c r="AC96" t="str">
        <f t="shared" ca="1" si="64"/>
        <v/>
      </c>
      <c r="AE96" t="str">
        <f t="shared" ca="1" si="69"/>
        <v/>
      </c>
      <c r="AF96" t="str">
        <f t="shared" ca="1" si="70"/>
        <v/>
      </c>
      <c r="AG96" t="str">
        <f t="shared" ca="1" si="71"/>
        <v/>
      </c>
      <c r="AH96" t="str">
        <f t="shared" ca="1" si="72"/>
        <v/>
      </c>
      <c r="AI96" t="str">
        <f t="shared" ca="1" si="73"/>
        <v/>
      </c>
      <c r="AJ96" t="str">
        <f t="shared" ca="1" si="74"/>
        <v/>
      </c>
    </row>
    <row r="97" spans="15:36" ht="19.2" customHeight="1" x14ac:dyDescent="0.45">
      <c r="O97">
        <f t="shared" si="47"/>
        <v>0</v>
      </c>
      <c r="P97">
        <f t="shared" si="61"/>
        <v>0</v>
      </c>
      <c r="R97" t="str" cm="1">
        <f t="array" ref="R97">IFERROR(_xlfn.AGGREGATE(15, 6, ($O$2:$O$350)/($O$2:$O$350&lt;&gt;0), ROWS($R$2:R97)), "")</f>
        <v/>
      </c>
      <c r="S97" t="str" cm="1">
        <f t="array" ref="S97">IFERROR(_xlfn.AGGREGATE(15, 6, ($P$2:$P$350)/($P$2:$P$350&lt;&gt;0), ROWS($R$2:R97)), "")</f>
        <v/>
      </c>
      <c r="U97" t="str">
        <f t="shared" ca="1" si="65"/>
        <v/>
      </c>
      <c r="V97" t="str">
        <f t="shared" ca="1" si="66"/>
        <v/>
      </c>
      <c r="W97" t="str">
        <f t="shared" ca="1" si="67"/>
        <v/>
      </c>
      <c r="X97" t="str">
        <f t="shared" ca="1" si="68"/>
        <v/>
      </c>
      <c r="Z97" t="str">
        <f t="shared" ca="1" si="28"/>
        <v/>
      </c>
      <c r="AA97" t="str">
        <f t="shared" ca="1" si="62"/>
        <v/>
      </c>
      <c r="AB97" t="str">
        <f t="shared" ca="1" si="63"/>
        <v/>
      </c>
      <c r="AC97" t="str">
        <f t="shared" ca="1" si="64"/>
        <v/>
      </c>
      <c r="AE97" t="str">
        <f t="shared" ca="1" si="69"/>
        <v/>
      </c>
      <c r="AF97" t="str">
        <f t="shared" ca="1" si="70"/>
        <v/>
      </c>
      <c r="AG97" t="str">
        <f t="shared" ca="1" si="71"/>
        <v/>
      </c>
      <c r="AH97" t="str">
        <f t="shared" ca="1" si="72"/>
        <v/>
      </c>
      <c r="AI97" t="str">
        <f t="shared" ca="1" si="73"/>
        <v/>
      </c>
      <c r="AJ97" t="str">
        <f t="shared" ca="1" si="74"/>
        <v/>
      </c>
    </row>
    <row r="98" spans="15:36" ht="19.2" customHeight="1" x14ac:dyDescent="0.45">
      <c r="O98">
        <f t="shared" si="47"/>
        <v>0</v>
      </c>
      <c r="P98">
        <f t="shared" si="61"/>
        <v>0</v>
      </c>
      <c r="R98" t="str" cm="1">
        <f t="array" ref="R98">IFERROR(_xlfn.AGGREGATE(15, 6, ($O$2:$O$350)/($O$2:$O$350&lt;&gt;0), ROWS($R$2:R98)), "")</f>
        <v/>
      </c>
      <c r="S98" t="str" cm="1">
        <f t="array" ref="S98">IFERROR(_xlfn.AGGREGATE(15, 6, ($P$2:$P$350)/($P$2:$P$350&lt;&gt;0), ROWS($R$2:R98)), "")</f>
        <v/>
      </c>
      <c r="U98" t="str">
        <f t="shared" ca="1" si="65"/>
        <v/>
      </c>
      <c r="V98" t="str">
        <f t="shared" ca="1" si="66"/>
        <v/>
      </c>
      <c r="W98" t="str">
        <f t="shared" ca="1" si="67"/>
        <v/>
      </c>
      <c r="X98" t="str">
        <f t="shared" ca="1" si="68"/>
        <v/>
      </c>
      <c r="Z98" t="str">
        <f t="shared" ca="1" si="28"/>
        <v/>
      </c>
      <c r="AA98" t="str">
        <f t="shared" ca="1" si="62"/>
        <v/>
      </c>
      <c r="AB98" t="str">
        <f t="shared" ca="1" si="63"/>
        <v/>
      </c>
      <c r="AC98" t="str">
        <f t="shared" ca="1" si="64"/>
        <v/>
      </c>
      <c r="AE98" t="str">
        <f t="shared" ca="1" si="69"/>
        <v/>
      </c>
      <c r="AF98" t="str">
        <f t="shared" ca="1" si="70"/>
        <v/>
      </c>
      <c r="AG98" t="str">
        <f t="shared" ca="1" si="71"/>
        <v/>
      </c>
      <c r="AH98" t="str">
        <f t="shared" ca="1" si="72"/>
        <v/>
      </c>
      <c r="AI98" t="str">
        <f t="shared" ca="1" si="73"/>
        <v/>
      </c>
      <c r="AJ98" t="str">
        <f t="shared" ca="1" si="74"/>
        <v/>
      </c>
    </row>
    <row r="99" spans="15:36" ht="19.2" customHeight="1" x14ac:dyDescent="0.45">
      <c r="O99">
        <f t="shared" si="47"/>
        <v>0</v>
      </c>
      <c r="P99">
        <f t="shared" si="61"/>
        <v>0</v>
      </c>
      <c r="R99" t="str" cm="1">
        <f t="array" ref="R99">IFERROR(_xlfn.AGGREGATE(15, 6, ($O$2:$O$350)/($O$2:$O$350&lt;&gt;0), ROWS($R$2:R99)), "")</f>
        <v/>
      </c>
      <c r="S99" t="str" cm="1">
        <f t="array" ref="S99">IFERROR(_xlfn.AGGREGATE(15, 6, ($P$2:$P$350)/($P$2:$P$350&lt;&gt;0), ROWS($R$2:R99)), "")</f>
        <v/>
      </c>
      <c r="U99" t="str">
        <f t="shared" ca="1" si="65"/>
        <v/>
      </c>
      <c r="V99" t="str">
        <f t="shared" ca="1" si="66"/>
        <v/>
      </c>
      <c r="W99" t="str">
        <f t="shared" ca="1" si="67"/>
        <v/>
      </c>
      <c r="X99" t="str">
        <f t="shared" ca="1" si="68"/>
        <v/>
      </c>
      <c r="Z99" t="str">
        <f t="shared" ca="1" si="28"/>
        <v/>
      </c>
      <c r="AA99" t="str">
        <f t="shared" ca="1" si="62"/>
        <v/>
      </c>
      <c r="AB99" t="str">
        <f t="shared" ca="1" si="63"/>
        <v/>
      </c>
      <c r="AC99" t="str">
        <f t="shared" ca="1" si="64"/>
        <v/>
      </c>
      <c r="AE99" t="str">
        <f t="shared" ca="1" si="69"/>
        <v/>
      </c>
      <c r="AF99" t="str">
        <f t="shared" ca="1" si="70"/>
        <v/>
      </c>
      <c r="AG99" t="str">
        <f t="shared" ca="1" si="71"/>
        <v/>
      </c>
      <c r="AH99" t="str">
        <f t="shared" ca="1" si="72"/>
        <v/>
      </c>
      <c r="AI99" t="str">
        <f t="shared" ca="1" si="73"/>
        <v/>
      </c>
      <c r="AJ99" t="str">
        <f t="shared" ca="1" si="74"/>
        <v/>
      </c>
    </row>
    <row r="100" spans="15:36" ht="19.2" customHeight="1" x14ac:dyDescent="0.45">
      <c r="O100">
        <f t="shared" si="47"/>
        <v>0</v>
      </c>
      <c r="P100">
        <f t="shared" si="61"/>
        <v>0</v>
      </c>
      <c r="R100" t="str" cm="1">
        <f t="array" ref="R100">IFERROR(_xlfn.AGGREGATE(15, 6, ($O$2:$O$350)/($O$2:$O$350&lt;&gt;0), ROWS($R$2:R100)), "")</f>
        <v/>
      </c>
      <c r="S100" t="str" cm="1">
        <f t="array" ref="S100">IFERROR(_xlfn.AGGREGATE(15, 6, ($P$2:$P$350)/($P$2:$P$350&lt;&gt;0), ROWS($R$2:R100)), "")</f>
        <v/>
      </c>
      <c r="U100" t="str">
        <f t="shared" ca="1" si="65"/>
        <v/>
      </c>
      <c r="V100" t="str">
        <f t="shared" ca="1" si="66"/>
        <v/>
      </c>
      <c r="W100" t="str">
        <f t="shared" ca="1" si="67"/>
        <v/>
      </c>
      <c r="X100" t="str">
        <f t="shared" ca="1" si="68"/>
        <v/>
      </c>
      <c r="Z100" t="str">
        <f t="shared" ca="1" si="28"/>
        <v/>
      </c>
      <c r="AA100" t="str">
        <f t="shared" ca="1" si="62"/>
        <v/>
      </c>
      <c r="AB100" t="str">
        <f t="shared" ca="1" si="63"/>
        <v/>
      </c>
      <c r="AC100" t="str">
        <f t="shared" ca="1" si="64"/>
        <v/>
      </c>
      <c r="AE100" t="str">
        <f t="shared" ca="1" si="69"/>
        <v/>
      </c>
      <c r="AF100" t="str">
        <f t="shared" ca="1" si="70"/>
        <v/>
      </c>
      <c r="AG100" t="str">
        <f t="shared" ca="1" si="71"/>
        <v/>
      </c>
      <c r="AH100" t="str">
        <f t="shared" ca="1" si="72"/>
        <v/>
      </c>
      <c r="AI100" t="str">
        <f t="shared" ca="1" si="73"/>
        <v/>
      </c>
      <c r="AJ100" t="str">
        <f t="shared" ca="1" si="74"/>
        <v/>
      </c>
    </row>
    <row r="101" spans="15:36" ht="19.2" customHeight="1" x14ac:dyDescent="0.45">
      <c r="O101">
        <f t="shared" si="47"/>
        <v>0</v>
      </c>
      <c r="P101">
        <f t="shared" si="61"/>
        <v>0</v>
      </c>
      <c r="R101" t="str" cm="1">
        <f t="array" ref="R101">IFERROR(_xlfn.AGGREGATE(15, 6, ($O$2:$O$350)/($O$2:$O$350&lt;&gt;0), ROWS($R$2:R101)), "")</f>
        <v/>
      </c>
      <c r="S101" t="str" cm="1">
        <f t="array" ref="S101">IFERROR(_xlfn.AGGREGATE(15, 6, ($P$2:$P$350)/($P$2:$P$350&lt;&gt;0), ROWS($R$2:R101)), "")</f>
        <v/>
      </c>
      <c r="U101" t="str">
        <f t="shared" ca="1" si="65"/>
        <v/>
      </c>
      <c r="V101" t="str">
        <f t="shared" ca="1" si="66"/>
        <v/>
      </c>
      <c r="W101" t="str">
        <f t="shared" ca="1" si="67"/>
        <v/>
      </c>
      <c r="X101" t="str">
        <f t="shared" ca="1" si="68"/>
        <v/>
      </c>
      <c r="Z101" t="str">
        <f t="shared" ca="1" si="28"/>
        <v/>
      </c>
      <c r="AA101" t="str">
        <f t="shared" ca="1" si="62"/>
        <v/>
      </c>
      <c r="AB101" t="str">
        <f t="shared" ca="1" si="63"/>
        <v/>
      </c>
      <c r="AC101" t="str">
        <f t="shared" ca="1" si="64"/>
        <v/>
      </c>
      <c r="AE101" t="str">
        <f t="shared" ca="1" si="69"/>
        <v/>
      </c>
      <c r="AF101" t="str">
        <f t="shared" ca="1" si="70"/>
        <v/>
      </c>
      <c r="AG101" t="str">
        <f t="shared" ca="1" si="71"/>
        <v/>
      </c>
      <c r="AH101" t="str">
        <f t="shared" ca="1" si="72"/>
        <v/>
      </c>
      <c r="AI101" t="str">
        <f t="shared" ca="1" si="73"/>
        <v/>
      </c>
      <c r="AJ101" t="str">
        <f t="shared" ca="1" si="74"/>
        <v/>
      </c>
    </row>
    <row r="102" spans="15:36" ht="19.2" customHeight="1" x14ac:dyDescent="0.45">
      <c r="O102">
        <f t="shared" si="47"/>
        <v>0</v>
      </c>
      <c r="P102">
        <f t="shared" si="61"/>
        <v>0</v>
      </c>
      <c r="R102" t="str" cm="1">
        <f t="array" ref="R102">IFERROR(_xlfn.AGGREGATE(15, 6, ($O$2:$O$350)/($O$2:$O$350&lt;&gt;0), ROWS($R$2:R102)), "")</f>
        <v/>
      </c>
      <c r="S102" t="str" cm="1">
        <f t="array" ref="S102">IFERROR(_xlfn.AGGREGATE(15, 6, ($P$2:$P$350)/($P$2:$P$350&lt;&gt;0), ROWS($R$2:R102)), "")</f>
        <v/>
      </c>
      <c r="U102" t="str">
        <f t="shared" ca="1" si="65"/>
        <v/>
      </c>
      <c r="V102" t="str">
        <f t="shared" ca="1" si="66"/>
        <v/>
      </c>
      <c r="W102" t="str">
        <f t="shared" ca="1" si="67"/>
        <v/>
      </c>
      <c r="X102" t="str">
        <f t="shared" ca="1" si="68"/>
        <v/>
      </c>
      <c r="Z102" t="str">
        <f t="shared" ca="1" si="28"/>
        <v/>
      </c>
      <c r="AA102" t="str">
        <f t="shared" ca="1" si="62"/>
        <v/>
      </c>
      <c r="AB102" t="str">
        <f t="shared" ca="1" si="63"/>
        <v/>
      </c>
      <c r="AC102" t="str">
        <f t="shared" ca="1" si="64"/>
        <v/>
      </c>
      <c r="AE102" t="str">
        <f t="shared" ca="1" si="69"/>
        <v/>
      </c>
      <c r="AF102" t="str">
        <f t="shared" ca="1" si="70"/>
        <v/>
      </c>
      <c r="AG102" t="str">
        <f t="shared" ca="1" si="71"/>
        <v/>
      </c>
      <c r="AH102" t="str">
        <f t="shared" ca="1" si="72"/>
        <v/>
      </c>
      <c r="AI102" t="str">
        <f t="shared" ca="1" si="73"/>
        <v/>
      </c>
      <c r="AJ102" t="str">
        <f t="shared" ca="1" si="74"/>
        <v/>
      </c>
    </row>
    <row r="103" spans="15:36" ht="19.2" customHeight="1" x14ac:dyDescent="0.45">
      <c r="O103">
        <f t="shared" si="47"/>
        <v>0</v>
      </c>
      <c r="P103">
        <f t="shared" si="61"/>
        <v>0</v>
      </c>
      <c r="R103" t="str" cm="1">
        <f t="array" ref="R103">IFERROR(_xlfn.AGGREGATE(15, 6, ($O$2:$O$350)/($O$2:$O$350&lt;&gt;0), ROWS($R$2:R103)), "")</f>
        <v/>
      </c>
      <c r="S103" t="str" cm="1">
        <f t="array" ref="S103">IFERROR(_xlfn.AGGREGATE(15, 6, ($P$2:$P$350)/($P$2:$P$350&lt;&gt;0), ROWS($R$2:R103)), "")</f>
        <v/>
      </c>
      <c r="U103" t="str">
        <f t="shared" ca="1" si="65"/>
        <v/>
      </c>
      <c r="V103" t="str">
        <f t="shared" ca="1" si="66"/>
        <v/>
      </c>
      <c r="W103" t="str">
        <f t="shared" ca="1" si="67"/>
        <v/>
      </c>
      <c r="X103" t="str">
        <f t="shared" ca="1" si="68"/>
        <v/>
      </c>
      <c r="Z103" t="str">
        <f t="shared" ca="1" si="28"/>
        <v/>
      </c>
      <c r="AA103" t="str">
        <f t="shared" ca="1" si="62"/>
        <v/>
      </c>
      <c r="AB103" t="str">
        <f t="shared" ca="1" si="63"/>
        <v/>
      </c>
      <c r="AC103" t="str">
        <f t="shared" ca="1" si="64"/>
        <v/>
      </c>
      <c r="AE103" t="str">
        <f t="shared" ca="1" si="69"/>
        <v/>
      </c>
      <c r="AF103" t="str">
        <f t="shared" ca="1" si="70"/>
        <v/>
      </c>
      <c r="AG103" t="str">
        <f t="shared" ca="1" si="71"/>
        <v/>
      </c>
      <c r="AH103" t="str">
        <f t="shared" ca="1" si="72"/>
        <v/>
      </c>
      <c r="AI103" t="str">
        <f t="shared" ca="1" si="73"/>
        <v/>
      </c>
      <c r="AJ103" t="str">
        <f t="shared" ca="1" si="74"/>
        <v/>
      </c>
    </row>
    <row r="104" spans="15:36" ht="19.2" customHeight="1" x14ac:dyDescent="0.45">
      <c r="O104">
        <f t="shared" si="47"/>
        <v>0</v>
      </c>
      <c r="P104">
        <f t="shared" si="61"/>
        <v>0</v>
      </c>
      <c r="R104" t="str" cm="1">
        <f t="array" ref="R104">IFERROR(_xlfn.AGGREGATE(15, 6, ($O$2:$O$350)/($O$2:$O$350&lt;&gt;0), ROWS($R$2:R104)), "")</f>
        <v/>
      </c>
      <c r="S104" t="str" cm="1">
        <f t="array" ref="S104">IFERROR(_xlfn.AGGREGATE(15, 6, ($P$2:$P$350)/($P$2:$P$350&lt;&gt;0), ROWS($R$2:R104)), "")</f>
        <v/>
      </c>
      <c r="U104" t="str">
        <f t="shared" ca="1" si="65"/>
        <v/>
      </c>
      <c r="V104" t="str">
        <f t="shared" ca="1" si="66"/>
        <v/>
      </c>
      <c r="W104" t="str">
        <f t="shared" ca="1" si="67"/>
        <v/>
      </c>
      <c r="X104" t="str">
        <f t="shared" ca="1" si="68"/>
        <v/>
      </c>
      <c r="Z104" t="str">
        <f t="shared" ref="Z104:Z167" ca="1" si="75">IF(S104&lt;&gt;"",
IF(COUNTIF(OFFSET($A$1,$S104-1,0),"*g*"),
1,IF(COUNTIF(OFFSET($A$1,$S104-1,1),"*g*"),2,
IF(OFFSET($A$1,$S104-1,0)=".","",
IF(OFFSET($A$1,$S104-1,0)=OFFSET($A$1,$S104-1,1),1,2)))),"")</f>
        <v/>
      </c>
      <c r="AA104" t="str">
        <f t="shared" ca="1" si="62"/>
        <v/>
      </c>
      <c r="AB104" t="str">
        <f t="shared" ca="1" si="63"/>
        <v/>
      </c>
      <c r="AC104" t="str">
        <f t="shared" ca="1" si="64"/>
        <v/>
      </c>
      <c r="AE104" t="str">
        <f t="shared" ca="1" si="69"/>
        <v/>
      </c>
      <c r="AF104" t="str">
        <f t="shared" ca="1" si="70"/>
        <v/>
      </c>
      <c r="AG104" t="str">
        <f t="shared" ca="1" si="71"/>
        <v/>
      </c>
      <c r="AH104" t="str">
        <f t="shared" ca="1" si="72"/>
        <v/>
      </c>
      <c r="AI104" t="str">
        <f t="shared" ca="1" si="73"/>
        <v/>
      </c>
      <c r="AJ104" t="str">
        <f t="shared" ca="1" si="74"/>
        <v/>
      </c>
    </row>
    <row r="105" spans="15:36" ht="19.2" customHeight="1" x14ac:dyDescent="0.45">
      <c r="O105">
        <f t="shared" si="47"/>
        <v>0</v>
      </c>
      <c r="P105">
        <f t="shared" si="61"/>
        <v>0</v>
      </c>
      <c r="R105" t="str" cm="1">
        <f t="array" ref="R105">IFERROR(_xlfn.AGGREGATE(15, 6, ($O$2:$O$350)/($O$2:$O$350&lt;&gt;0), ROWS($R$2:R105)), "")</f>
        <v/>
      </c>
      <c r="S105" t="str" cm="1">
        <f t="array" ref="S105">IFERROR(_xlfn.AGGREGATE(15, 6, ($P$2:$P$350)/($P$2:$P$350&lt;&gt;0), ROWS($R$2:R105)), "")</f>
        <v/>
      </c>
      <c r="U105" t="str">
        <f t="shared" ca="1" si="65"/>
        <v/>
      </c>
      <c r="V105" t="str">
        <f t="shared" ca="1" si="66"/>
        <v/>
      </c>
      <c r="W105" t="str">
        <f t="shared" ca="1" si="67"/>
        <v/>
      </c>
      <c r="X105" t="str">
        <f t="shared" ca="1" si="68"/>
        <v/>
      </c>
      <c r="Z105" t="str">
        <f t="shared" ca="1" si="75"/>
        <v/>
      </c>
      <c r="AA105" t="str">
        <f t="shared" ca="1" si="62"/>
        <v/>
      </c>
      <c r="AB105" t="str">
        <f t="shared" ca="1" si="63"/>
        <v/>
      </c>
      <c r="AC105" t="str">
        <f t="shared" ca="1" si="64"/>
        <v/>
      </c>
      <c r="AE105" t="str">
        <f t="shared" ca="1" si="69"/>
        <v/>
      </c>
      <c r="AF105" t="str">
        <f t="shared" ca="1" si="70"/>
        <v/>
      </c>
      <c r="AG105" t="str">
        <f t="shared" ca="1" si="71"/>
        <v/>
      </c>
      <c r="AH105" t="str">
        <f t="shared" ca="1" si="72"/>
        <v/>
      </c>
      <c r="AI105" t="str">
        <f t="shared" ca="1" si="73"/>
        <v/>
      </c>
      <c r="AJ105" t="str">
        <f t="shared" ca="1" si="74"/>
        <v/>
      </c>
    </row>
    <row r="106" spans="15:36" ht="19.2" customHeight="1" x14ac:dyDescent="0.45">
      <c r="O106">
        <f t="shared" si="47"/>
        <v>0</v>
      </c>
      <c r="P106">
        <f t="shared" si="61"/>
        <v>0</v>
      </c>
      <c r="R106" t="str" cm="1">
        <f t="array" ref="R106">IFERROR(_xlfn.AGGREGATE(15, 6, ($O$2:$O$350)/($O$2:$O$350&lt;&gt;0), ROWS($R$2:R106)), "")</f>
        <v/>
      </c>
      <c r="S106" t="str" cm="1">
        <f t="array" ref="S106">IFERROR(_xlfn.AGGREGATE(15, 6, ($P$2:$P$350)/($P$2:$P$350&lt;&gt;0), ROWS($R$2:R106)), "")</f>
        <v/>
      </c>
      <c r="U106" t="str">
        <f t="shared" ca="1" si="65"/>
        <v/>
      </c>
      <c r="V106" t="str">
        <f t="shared" ca="1" si="66"/>
        <v/>
      </c>
      <c r="W106" t="str">
        <f t="shared" ca="1" si="67"/>
        <v/>
      </c>
      <c r="X106" t="str">
        <f t="shared" ca="1" si="68"/>
        <v/>
      </c>
      <c r="Z106" t="str">
        <f t="shared" ca="1" si="75"/>
        <v/>
      </c>
      <c r="AA106" t="str">
        <f t="shared" ca="1" si="62"/>
        <v/>
      </c>
      <c r="AB106" t="str">
        <f t="shared" ca="1" si="63"/>
        <v/>
      </c>
      <c r="AC106" t="str">
        <f t="shared" ca="1" si="64"/>
        <v/>
      </c>
      <c r="AE106" t="str">
        <f t="shared" ca="1" si="69"/>
        <v/>
      </c>
      <c r="AF106" t="str">
        <f t="shared" ca="1" si="70"/>
        <v/>
      </c>
      <c r="AG106" t="str">
        <f t="shared" ca="1" si="71"/>
        <v/>
      </c>
      <c r="AH106" t="str">
        <f t="shared" ca="1" si="72"/>
        <v/>
      </c>
      <c r="AI106" t="str">
        <f t="shared" ca="1" si="73"/>
        <v/>
      </c>
      <c r="AJ106" t="str">
        <f t="shared" ca="1" si="74"/>
        <v/>
      </c>
    </row>
    <row r="107" spans="15:36" ht="19.2" customHeight="1" x14ac:dyDescent="0.45">
      <c r="O107">
        <f t="shared" si="47"/>
        <v>0</v>
      </c>
      <c r="P107">
        <f t="shared" si="61"/>
        <v>0</v>
      </c>
      <c r="R107" t="str" cm="1">
        <f t="array" ref="R107">IFERROR(_xlfn.AGGREGATE(15, 6, ($O$2:$O$350)/($O$2:$O$350&lt;&gt;0), ROWS($R$2:R107)), "")</f>
        <v/>
      </c>
      <c r="S107" t="str" cm="1">
        <f t="array" ref="S107">IFERROR(_xlfn.AGGREGATE(15, 6, ($P$2:$P$350)/($P$2:$P$350&lt;&gt;0), ROWS($R$2:R107)), "")</f>
        <v/>
      </c>
      <c r="U107" t="str">
        <f t="shared" ca="1" si="65"/>
        <v/>
      </c>
      <c r="V107" t="str">
        <f t="shared" ca="1" si="66"/>
        <v/>
      </c>
      <c r="W107" t="str">
        <f t="shared" ca="1" si="67"/>
        <v/>
      </c>
      <c r="X107" t="str">
        <f t="shared" ca="1" si="68"/>
        <v/>
      </c>
      <c r="Z107" t="str">
        <f t="shared" ca="1" si="75"/>
        <v/>
      </c>
      <c r="AA107" t="str">
        <f t="shared" ca="1" si="62"/>
        <v/>
      </c>
      <c r="AB107" t="str">
        <f t="shared" ca="1" si="63"/>
        <v/>
      </c>
      <c r="AC107" t="str">
        <f t="shared" ca="1" si="64"/>
        <v/>
      </c>
      <c r="AE107" t="str">
        <f t="shared" ca="1" si="69"/>
        <v/>
      </c>
      <c r="AF107" t="str">
        <f t="shared" ca="1" si="70"/>
        <v/>
      </c>
      <c r="AG107" t="str">
        <f t="shared" ca="1" si="71"/>
        <v/>
      </c>
      <c r="AH107" t="str">
        <f t="shared" ca="1" si="72"/>
        <v/>
      </c>
      <c r="AI107" t="str">
        <f t="shared" ca="1" si="73"/>
        <v/>
      </c>
      <c r="AJ107" t="str">
        <f t="shared" ca="1" si="74"/>
        <v/>
      </c>
    </row>
    <row r="108" spans="15:36" ht="19.2" customHeight="1" x14ac:dyDescent="0.45">
      <c r="O108">
        <f t="shared" si="47"/>
        <v>0</v>
      </c>
      <c r="P108">
        <f t="shared" si="61"/>
        <v>0</v>
      </c>
      <c r="R108" t="str" cm="1">
        <f t="array" ref="R108">IFERROR(_xlfn.AGGREGATE(15, 6, ($O$2:$O$350)/($O$2:$O$350&lt;&gt;0), ROWS($R$2:R108)), "")</f>
        <v/>
      </c>
      <c r="S108" t="str" cm="1">
        <f t="array" ref="S108">IFERROR(_xlfn.AGGREGATE(15, 6, ($P$2:$P$350)/($P$2:$P$350&lt;&gt;0), ROWS($R$2:R108)), "")</f>
        <v/>
      </c>
      <c r="U108" t="str">
        <f t="shared" ca="1" si="65"/>
        <v/>
      </c>
      <c r="V108" t="str">
        <f t="shared" ca="1" si="66"/>
        <v/>
      </c>
      <c r="W108" t="str">
        <f t="shared" ca="1" si="67"/>
        <v/>
      </c>
      <c r="X108" t="str">
        <f t="shared" ca="1" si="68"/>
        <v/>
      </c>
      <c r="Z108" t="str">
        <f t="shared" ca="1" si="75"/>
        <v/>
      </c>
      <c r="AA108" t="str">
        <f t="shared" ca="1" si="62"/>
        <v/>
      </c>
      <c r="AB108" t="str">
        <f t="shared" ca="1" si="63"/>
        <v/>
      </c>
      <c r="AC108" t="str">
        <f t="shared" ca="1" si="64"/>
        <v/>
      </c>
      <c r="AE108" t="str">
        <f t="shared" ca="1" si="69"/>
        <v/>
      </c>
      <c r="AF108" t="str">
        <f t="shared" ca="1" si="70"/>
        <v/>
      </c>
      <c r="AG108" t="str">
        <f t="shared" ca="1" si="71"/>
        <v/>
      </c>
      <c r="AH108" t="str">
        <f t="shared" ca="1" si="72"/>
        <v/>
      </c>
      <c r="AI108" t="str">
        <f t="shared" ca="1" si="73"/>
        <v/>
      </c>
      <c r="AJ108" t="str">
        <f t="shared" ca="1" si="74"/>
        <v/>
      </c>
    </row>
    <row r="109" spans="15:36" ht="19.2" customHeight="1" x14ac:dyDescent="0.45">
      <c r="O109">
        <f t="shared" si="47"/>
        <v>0</v>
      </c>
      <c r="P109">
        <f t="shared" si="61"/>
        <v>0</v>
      </c>
      <c r="R109" t="str" cm="1">
        <f t="array" ref="R109">IFERROR(_xlfn.AGGREGATE(15, 6, ($O$2:$O$350)/($O$2:$O$350&lt;&gt;0), ROWS($R$2:R109)), "")</f>
        <v/>
      </c>
      <c r="S109" t="str" cm="1">
        <f t="array" ref="S109">IFERROR(_xlfn.AGGREGATE(15, 6, ($P$2:$P$350)/($P$2:$P$350&lt;&gt;0), ROWS($R$2:R109)), "")</f>
        <v/>
      </c>
      <c r="U109" t="str">
        <f t="shared" ca="1" si="65"/>
        <v/>
      </c>
      <c r="V109" t="str">
        <f t="shared" ca="1" si="66"/>
        <v/>
      </c>
      <c r="W109" t="str">
        <f t="shared" ca="1" si="67"/>
        <v/>
      </c>
      <c r="X109" t="str">
        <f t="shared" ca="1" si="68"/>
        <v/>
      </c>
      <c r="Z109" t="str">
        <f t="shared" ca="1" si="75"/>
        <v/>
      </c>
      <c r="AA109" t="str">
        <f t="shared" ca="1" si="62"/>
        <v/>
      </c>
      <c r="AB109" t="str">
        <f t="shared" ca="1" si="63"/>
        <v/>
      </c>
      <c r="AC109" t="str">
        <f t="shared" ca="1" si="64"/>
        <v/>
      </c>
      <c r="AE109" t="str">
        <f t="shared" ca="1" si="69"/>
        <v/>
      </c>
      <c r="AF109" t="str">
        <f t="shared" ca="1" si="70"/>
        <v/>
      </c>
      <c r="AG109" t="str">
        <f t="shared" ca="1" si="71"/>
        <v/>
      </c>
      <c r="AH109" t="str">
        <f t="shared" ca="1" si="72"/>
        <v/>
      </c>
      <c r="AI109" t="str">
        <f t="shared" ca="1" si="73"/>
        <v/>
      </c>
      <c r="AJ109" t="str">
        <f t="shared" ca="1" si="74"/>
        <v/>
      </c>
    </row>
    <row r="110" spans="15:36" ht="19.2" customHeight="1" x14ac:dyDescent="0.45">
      <c r="O110">
        <f t="shared" si="47"/>
        <v>0</v>
      </c>
      <c r="P110">
        <f t="shared" si="61"/>
        <v>0</v>
      </c>
      <c r="R110" t="str" cm="1">
        <f t="array" ref="R110">IFERROR(_xlfn.AGGREGATE(15, 6, ($O$2:$O$350)/($O$2:$O$350&lt;&gt;0), ROWS($R$2:R110)), "")</f>
        <v/>
      </c>
      <c r="S110" t="str" cm="1">
        <f t="array" ref="S110">IFERROR(_xlfn.AGGREGATE(15, 6, ($P$2:$P$350)/($P$2:$P$350&lt;&gt;0), ROWS($R$2:R110)), "")</f>
        <v/>
      </c>
      <c r="U110" t="str">
        <f t="shared" ca="1" si="65"/>
        <v/>
      </c>
      <c r="V110" t="str">
        <f t="shared" ca="1" si="66"/>
        <v/>
      </c>
      <c r="W110" t="str">
        <f t="shared" ca="1" si="67"/>
        <v/>
      </c>
      <c r="X110" t="str">
        <f t="shared" ca="1" si="68"/>
        <v/>
      </c>
      <c r="Z110" t="str">
        <f t="shared" ca="1" si="75"/>
        <v/>
      </c>
      <c r="AA110" t="str">
        <f t="shared" ca="1" si="62"/>
        <v/>
      </c>
      <c r="AB110" t="str">
        <f t="shared" ca="1" si="63"/>
        <v/>
      </c>
      <c r="AC110" t="str">
        <f t="shared" ca="1" si="64"/>
        <v/>
      </c>
      <c r="AE110" t="str">
        <f t="shared" ca="1" si="69"/>
        <v/>
      </c>
      <c r="AF110" t="str">
        <f t="shared" ca="1" si="70"/>
        <v/>
      </c>
      <c r="AG110" t="str">
        <f t="shared" ca="1" si="71"/>
        <v/>
      </c>
      <c r="AH110" t="str">
        <f t="shared" ca="1" si="72"/>
        <v/>
      </c>
      <c r="AI110" t="str">
        <f t="shared" ca="1" si="73"/>
        <v/>
      </c>
      <c r="AJ110" t="str">
        <f t="shared" ca="1" si="74"/>
        <v/>
      </c>
    </row>
    <row r="111" spans="15:36" ht="19.2" customHeight="1" x14ac:dyDescent="0.45">
      <c r="O111">
        <f t="shared" si="47"/>
        <v>0</v>
      </c>
      <c r="P111">
        <f t="shared" si="61"/>
        <v>0</v>
      </c>
      <c r="R111" t="str" cm="1">
        <f t="array" ref="R111">IFERROR(_xlfn.AGGREGATE(15, 6, ($O$2:$O$350)/($O$2:$O$350&lt;&gt;0), ROWS($R$2:R111)), "")</f>
        <v/>
      </c>
      <c r="S111" t="str" cm="1">
        <f t="array" ref="S111">IFERROR(_xlfn.AGGREGATE(15, 6, ($P$2:$P$350)/($P$2:$P$350&lt;&gt;0), ROWS($R$2:R111)), "")</f>
        <v/>
      </c>
      <c r="U111" t="str">
        <f t="shared" ca="1" si="65"/>
        <v/>
      </c>
      <c r="V111" t="str">
        <f t="shared" ca="1" si="66"/>
        <v/>
      </c>
      <c r="W111" t="str">
        <f t="shared" ca="1" si="67"/>
        <v/>
      </c>
      <c r="X111" t="str">
        <f t="shared" ca="1" si="68"/>
        <v/>
      </c>
      <c r="Z111" t="str">
        <f t="shared" ca="1" si="75"/>
        <v/>
      </c>
      <c r="AA111" t="str">
        <f t="shared" ca="1" si="62"/>
        <v/>
      </c>
      <c r="AB111" t="str">
        <f t="shared" ca="1" si="63"/>
        <v/>
      </c>
      <c r="AC111" t="str">
        <f t="shared" ca="1" si="64"/>
        <v/>
      </c>
      <c r="AE111" t="str">
        <f t="shared" ca="1" si="69"/>
        <v/>
      </c>
      <c r="AF111" t="str">
        <f t="shared" ca="1" si="70"/>
        <v/>
      </c>
      <c r="AG111" t="str">
        <f t="shared" ca="1" si="71"/>
        <v/>
      </c>
      <c r="AH111" t="str">
        <f t="shared" ca="1" si="72"/>
        <v/>
      </c>
      <c r="AI111" t="str">
        <f t="shared" ca="1" si="73"/>
        <v/>
      </c>
      <c r="AJ111" t="str">
        <f t="shared" ca="1" si="74"/>
        <v/>
      </c>
    </row>
    <row r="112" spans="15:36" ht="19.2" customHeight="1" x14ac:dyDescent="0.45">
      <c r="O112">
        <f t="shared" si="47"/>
        <v>0</v>
      </c>
      <c r="P112">
        <f t="shared" si="61"/>
        <v>0</v>
      </c>
      <c r="R112" t="str" cm="1">
        <f t="array" ref="R112">IFERROR(_xlfn.AGGREGATE(15, 6, ($O$2:$O$350)/($O$2:$O$350&lt;&gt;0), ROWS($R$2:R112)), "")</f>
        <v/>
      </c>
      <c r="S112" t="str" cm="1">
        <f t="array" ref="S112">IFERROR(_xlfn.AGGREGATE(15, 6, ($P$2:$P$350)/($P$2:$P$350&lt;&gt;0), ROWS($R$2:R112)), "")</f>
        <v/>
      </c>
      <c r="U112" t="str">
        <f t="shared" ca="1" si="65"/>
        <v/>
      </c>
      <c r="V112" t="str">
        <f t="shared" ca="1" si="66"/>
        <v/>
      </c>
      <c r="W112" t="str">
        <f t="shared" ca="1" si="67"/>
        <v/>
      </c>
      <c r="X112" t="str">
        <f t="shared" ca="1" si="68"/>
        <v/>
      </c>
      <c r="Z112" t="str">
        <f t="shared" ca="1" si="75"/>
        <v/>
      </c>
      <c r="AA112" t="str">
        <f t="shared" ca="1" si="62"/>
        <v/>
      </c>
      <c r="AB112" t="str">
        <f t="shared" ca="1" si="63"/>
        <v/>
      </c>
      <c r="AC112" t="str">
        <f t="shared" ca="1" si="64"/>
        <v/>
      </c>
      <c r="AE112" t="str">
        <f t="shared" ca="1" si="69"/>
        <v/>
      </c>
      <c r="AF112" t="str">
        <f t="shared" ca="1" si="70"/>
        <v/>
      </c>
      <c r="AG112" t="str">
        <f t="shared" ca="1" si="71"/>
        <v/>
      </c>
      <c r="AH112" t="str">
        <f t="shared" ca="1" si="72"/>
        <v/>
      </c>
      <c r="AI112" t="str">
        <f t="shared" ca="1" si="73"/>
        <v/>
      </c>
      <c r="AJ112" t="str">
        <f t="shared" ca="1" si="74"/>
        <v/>
      </c>
    </row>
    <row r="113" spans="15:36" ht="19.2" customHeight="1" x14ac:dyDescent="0.45">
      <c r="O113">
        <f t="shared" si="47"/>
        <v>0</v>
      </c>
      <c r="P113">
        <f t="shared" si="61"/>
        <v>0</v>
      </c>
      <c r="R113" t="str" cm="1">
        <f t="array" ref="R113">IFERROR(_xlfn.AGGREGATE(15, 6, ($O$2:$O$350)/($O$2:$O$350&lt;&gt;0), ROWS($R$2:R113)), "")</f>
        <v/>
      </c>
      <c r="S113" t="str" cm="1">
        <f t="array" ref="S113">IFERROR(_xlfn.AGGREGATE(15, 6, ($P$2:$P$350)/($P$2:$P$350&lt;&gt;0), ROWS($R$2:R113)), "")</f>
        <v/>
      </c>
      <c r="U113" t="str">
        <f t="shared" ca="1" si="65"/>
        <v/>
      </c>
      <c r="V113" t="str">
        <f t="shared" ca="1" si="66"/>
        <v/>
      </c>
      <c r="W113" t="str">
        <f t="shared" ca="1" si="67"/>
        <v/>
      </c>
      <c r="X113" t="str">
        <f t="shared" ca="1" si="68"/>
        <v/>
      </c>
      <c r="Z113" t="str">
        <f t="shared" ca="1" si="75"/>
        <v/>
      </c>
      <c r="AA113" t="str">
        <f t="shared" ca="1" si="62"/>
        <v/>
      </c>
      <c r="AB113" t="str">
        <f t="shared" ca="1" si="63"/>
        <v/>
      </c>
      <c r="AC113" t="str">
        <f t="shared" ca="1" si="64"/>
        <v/>
      </c>
      <c r="AE113" t="str">
        <f t="shared" ca="1" si="69"/>
        <v/>
      </c>
      <c r="AF113" t="str">
        <f t="shared" ca="1" si="70"/>
        <v/>
      </c>
      <c r="AG113" t="str">
        <f t="shared" ca="1" si="71"/>
        <v/>
      </c>
      <c r="AH113" t="str">
        <f t="shared" ca="1" si="72"/>
        <v/>
      </c>
      <c r="AI113" t="str">
        <f t="shared" ca="1" si="73"/>
        <v/>
      </c>
      <c r="AJ113" t="str">
        <f t="shared" ca="1" si="74"/>
        <v/>
      </c>
    </row>
    <row r="114" spans="15:36" ht="19.2" customHeight="1" x14ac:dyDescent="0.45">
      <c r="O114">
        <f t="shared" si="47"/>
        <v>0</v>
      </c>
      <c r="P114">
        <f t="shared" si="61"/>
        <v>0</v>
      </c>
      <c r="R114" t="str" cm="1">
        <f t="array" ref="R114">IFERROR(_xlfn.AGGREGATE(15, 6, ($O$2:$O$350)/($O$2:$O$350&lt;&gt;0), ROWS($R$2:R114)), "")</f>
        <v/>
      </c>
      <c r="S114" t="str" cm="1">
        <f t="array" ref="S114">IFERROR(_xlfn.AGGREGATE(15, 6, ($P$2:$P$350)/($P$2:$P$350&lt;&gt;0), ROWS($R$2:R114)), "")</f>
        <v/>
      </c>
      <c r="U114" t="str">
        <f t="shared" ca="1" si="65"/>
        <v/>
      </c>
      <c r="V114" t="str">
        <f t="shared" ca="1" si="66"/>
        <v/>
      </c>
      <c r="W114" t="str">
        <f t="shared" ca="1" si="67"/>
        <v/>
      </c>
      <c r="X114" t="str">
        <f t="shared" ca="1" si="68"/>
        <v/>
      </c>
      <c r="Z114" t="str">
        <f t="shared" ca="1" si="75"/>
        <v/>
      </c>
      <c r="AA114" t="str">
        <f t="shared" ca="1" si="62"/>
        <v/>
      </c>
      <c r="AB114" t="str">
        <f t="shared" ca="1" si="63"/>
        <v/>
      </c>
      <c r="AC114" t="str">
        <f t="shared" ca="1" si="64"/>
        <v/>
      </c>
      <c r="AE114" t="str">
        <f t="shared" ca="1" si="69"/>
        <v/>
      </c>
      <c r="AF114" t="str">
        <f t="shared" ca="1" si="70"/>
        <v/>
      </c>
      <c r="AG114" t="str">
        <f t="shared" ca="1" si="71"/>
        <v/>
      </c>
      <c r="AH114" t="str">
        <f t="shared" ca="1" si="72"/>
        <v/>
      </c>
      <c r="AI114" t="str">
        <f t="shared" ca="1" si="73"/>
        <v/>
      </c>
      <c r="AJ114" t="str">
        <f t="shared" ca="1" si="74"/>
        <v/>
      </c>
    </row>
    <row r="115" spans="15:36" ht="19.2" customHeight="1" x14ac:dyDescent="0.45">
      <c r="O115">
        <f t="shared" si="47"/>
        <v>0</v>
      </c>
      <c r="P115">
        <f t="shared" si="61"/>
        <v>0</v>
      </c>
      <c r="R115" t="str" cm="1">
        <f t="array" ref="R115">IFERROR(_xlfn.AGGREGATE(15, 6, ($O$2:$O$350)/($O$2:$O$350&lt;&gt;0), ROWS($R$2:R115)), "")</f>
        <v/>
      </c>
      <c r="S115" t="str" cm="1">
        <f t="array" ref="S115">IFERROR(_xlfn.AGGREGATE(15, 6, ($P$2:$P$350)/($P$2:$P$350&lt;&gt;0), ROWS($R$2:R115)), "")</f>
        <v/>
      </c>
      <c r="U115" t="str">
        <f t="shared" ca="1" si="65"/>
        <v/>
      </c>
      <c r="V115" t="str">
        <f t="shared" ca="1" si="66"/>
        <v/>
      </c>
      <c r="W115" t="str">
        <f t="shared" ca="1" si="67"/>
        <v/>
      </c>
      <c r="X115" t="str">
        <f t="shared" ca="1" si="68"/>
        <v/>
      </c>
      <c r="Z115" t="str">
        <f t="shared" ca="1" si="75"/>
        <v/>
      </c>
      <c r="AA115" t="str">
        <f t="shared" ca="1" si="62"/>
        <v/>
      </c>
      <c r="AB115" t="str">
        <f t="shared" ca="1" si="63"/>
        <v/>
      </c>
      <c r="AC115" t="str">
        <f t="shared" ca="1" si="64"/>
        <v/>
      </c>
      <c r="AE115" t="str">
        <f t="shared" ca="1" si="69"/>
        <v/>
      </c>
      <c r="AF115" t="str">
        <f t="shared" ca="1" si="70"/>
        <v/>
      </c>
      <c r="AG115" t="str">
        <f t="shared" ca="1" si="71"/>
        <v/>
      </c>
      <c r="AH115" t="str">
        <f t="shared" ca="1" si="72"/>
        <v/>
      </c>
      <c r="AI115" t="str">
        <f t="shared" ca="1" si="73"/>
        <v/>
      </c>
      <c r="AJ115" t="str">
        <f t="shared" ca="1" si="74"/>
        <v/>
      </c>
    </row>
    <row r="116" spans="15:36" ht="19.2" customHeight="1" x14ac:dyDescent="0.45">
      <c r="O116">
        <f t="shared" si="47"/>
        <v>0</v>
      </c>
      <c r="P116">
        <f t="shared" si="61"/>
        <v>0</v>
      </c>
      <c r="R116" t="str" cm="1">
        <f t="array" ref="R116">IFERROR(_xlfn.AGGREGATE(15, 6, ($O$2:$O$350)/($O$2:$O$350&lt;&gt;0), ROWS($R$2:R116)), "")</f>
        <v/>
      </c>
      <c r="S116" t="str" cm="1">
        <f t="array" ref="S116">IFERROR(_xlfn.AGGREGATE(15, 6, ($P$2:$P$350)/($P$2:$P$350&lt;&gt;0), ROWS($R$2:R116)), "")</f>
        <v/>
      </c>
      <c r="U116" t="str">
        <f t="shared" ca="1" si="65"/>
        <v/>
      </c>
      <c r="V116" t="str">
        <f t="shared" ca="1" si="66"/>
        <v/>
      </c>
      <c r="W116" t="str">
        <f t="shared" ca="1" si="67"/>
        <v/>
      </c>
      <c r="X116" t="str">
        <f t="shared" ca="1" si="68"/>
        <v/>
      </c>
      <c r="Z116" t="str">
        <f t="shared" ca="1" si="75"/>
        <v/>
      </c>
      <c r="AA116" t="str">
        <f t="shared" ca="1" si="62"/>
        <v/>
      </c>
      <c r="AB116" t="str">
        <f t="shared" ca="1" si="63"/>
        <v/>
      </c>
      <c r="AC116" t="str">
        <f t="shared" ca="1" si="64"/>
        <v/>
      </c>
      <c r="AE116" t="str">
        <f t="shared" ca="1" si="69"/>
        <v/>
      </c>
      <c r="AF116" t="str">
        <f t="shared" ca="1" si="70"/>
        <v/>
      </c>
      <c r="AG116" t="str">
        <f t="shared" ca="1" si="71"/>
        <v/>
      </c>
      <c r="AH116" t="str">
        <f t="shared" ca="1" si="72"/>
        <v/>
      </c>
      <c r="AI116" t="str">
        <f t="shared" ca="1" si="73"/>
        <v/>
      </c>
      <c r="AJ116" t="str">
        <f t="shared" ca="1" si="74"/>
        <v/>
      </c>
    </row>
    <row r="117" spans="15:36" ht="19.2" customHeight="1" x14ac:dyDescent="0.45">
      <c r="O117">
        <f t="shared" si="47"/>
        <v>0</v>
      </c>
      <c r="P117">
        <f t="shared" si="61"/>
        <v>0</v>
      </c>
      <c r="R117" t="str" cm="1">
        <f t="array" ref="R117">IFERROR(_xlfn.AGGREGATE(15, 6, ($O$2:$O$350)/($O$2:$O$350&lt;&gt;0), ROWS($R$2:R117)), "")</f>
        <v/>
      </c>
      <c r="S117" t="str" cm="1">
        <f t="array" ref="S117">IFERROR(_xlfn.AGGREGATE(15, 6, ($P$2:$P$350)/($P$2:$P$350&lt;&gt;0), ROWS($R$2:R117)), "")</f>
        <v/>
      </c>
      <c r="U117" t="str">
        <f t="shared" ca="1" si="65"/>
        <v/>
      </c>
      <c r="V117" t="str">
        <f t="shared" ca="1" si="66"/>
        <v/>
      </c>
      <c r="W117" t="str">
        <f t="shared" ca="1" si="67"/>
        <v/>
      </c>
      <c r="X117" t="str">
        <f t="shared" ca="1" si="68"/>
        <v/>
      </c>
      <c r="Z117" t="str">
        <f t="shared" ca="1" si="75"/>
        <v/>
      </c>
      <c r="AA117" t="str">
        <f t="shared" ca="1" si="62"/>
        <v/>
      </c>
      <c r="AB117" t="str">
        <f t="shared" ca="1" si="63"/>
        <v/>
      </c>
      <c r="AC117" t="str">
        <f t="shared" ca="1" si="64"/>
        <v/>
      </c>
      <c r="AE117" t="str">
        <f t="shared" ca="1" si="69"/>
        <v/>
      </c>
      <c r="AF117" t="str">
        <f t="shared" ca="1" si="70"/>
        <v/>
      </c>
      <c r="AG117" t="str">
        <f t="shared" ca="1" si="71"/>
        <v/>
      </c>
      <c r="AH117" t="str">
        <f t="shared" ca="1" si="72"/>
        <v/>
      </c>
      <c r="AI117" t="str">
        <f t="shared" ca="1" si="73"/>
        <v/>
      </c>
      <c r="AJ117" t="str">
        <f t="shared" ca="1" si="74"/>
        <v/>
      </c>
    </row>
    <row r="118" spans="15:36" ht="19.2" customHeight="1" x14ac:dyDescent="0.45">
      <c r="O118">
        <f t="shared" si="47"/>
        <v>0</v>
      </c>
      <c r="P118">
        <f t="shared" si="61"/>
        <v>0</v>
      </c>
      <c r="R118" t="str" cm="1">
        <f t="array" ref="R118">IFERROR(_xlfn.AGGREGATE(15, 6, ($O$2:$O$350)/($O$2:$O$350&lt;&gt;0), ROWS($R$2:R118)), "")</f>
        <v/>
      </c>
      <c r="S118" t="str" cm="1">
        <f t="array" ref="S118">IFERROR(_xlfn.AGGREGATE(15, 6, ($P$2:$P$350)/($P$2:$P$350&lt;&gt;0), ROWS($R$2:R118)), "")</f>
        <v/>
      </c>
      <c r="U118" t="str">
        <f t="shared" ca="1" si="65"/>
        <v/>
      </c>
      <c r="V118" t="str">
        <f t="shared" ca="1" si="66"/>
        <v/>
      </c>
      <c r="W118" t="str">
        <f t="shared" ca="1" si="67"/>
        <v/>
      </c>
      <c r="X118" t="str">
        <f t="shared" ca="1" si="68"/>
        <v/>
      </c>
      <c r="Z118" t="str">
        <f t="shared" ca="1" si="75"/>
        <v/>
      </c>
      <c r="AA118" t="str">
        <f t="shared" ca="1" si="62"/>
        <v/>
      </c>
      <c r="AB118" t="str">
        <f t="shared" ca="1" si="63"/>
        <v/>
      </c>
      <c r="AC118" t="str">
        <f t="shared" ca="1" si="64"/>
        <v/>
      </c>
      <c r="AE118" t="str">
        <f t="shared" ca="1" si="69"/>
        <v/>
      </c>
      <c r="AF118" t="str">
        <f t="shared" ca="1" si="70"/>
        <v/>
      </c>
      <c r="AG118" t="str">
        <f t="shared" ca="1" si="71"/>
        <v/>
      </c>
      <c r="AH118" t="str">
        <f t="shared" ca="1" si="72"/>
        <v/>
      </c>
      <c r="AI118" t="str">
        <f t="shared" ca="1" si="73"/>
        <v/>
      </c>
      <c r="AJ118" t="str">
        <f t="shared" ca="1" si="74"/>
        <v/>
      </c>
    </row>
    <row r="119" spans="15:36" ht="19.2" customHeight="1" x14ac:dyDescent="0.45">
      <c r="O119">
        <f t="shared" si="47"/>
        <v>0</v>
      </c>
      <c r="P119">
        <f t="shared" si="61"/>
        <v>0</v>
      </c>
      <c r="R119" t="str" cm="1">
        <f t="array" ref="R119">IFERROR(_xlfn.AGGREGATE(15, 6, ($O$2:$O$350)/($O$2:$O$350&lt;&gt;0), ROWS($R$2:R119)), "")</f>
        <v/>
      </c>
      <c r="S119" t="str" cm="1">
        <f t="array" ref="S119">IFERROR(_xlfn.AGGREGATE(15, 6, ($P$2:$P$350)/($P$2:$P$350&lt;&gt;0), ROWS($R$2:R119)), "")</f>
        <v/>
      </c>
      <c r="U119" t="str">
        <f t="shared" ca="1" si="65"/>
        <v/>
      </c>
      <c r="V119" t="str">
        <f t="shared" ca="1" si="66"/>
        <v/>
      </c>
      <c r="W119" t="str">
        <f t="shared" ca="1" si="67"/>
        <v/>
      </c>
      <c r="X119" t="str">
        <f t="shared" ca="1" si="68"/>
        <v/>
      </c>
      <c r="Z119" t="str">
        <f t="shared" ca="1" si="75"/>
        <v/>
      </c>
      <c r="AA119" t="str">
        <f t="shared" ca="1" si="62"/>
        <v/>
      </c>
      <c r="AB119" t="str">
        <f t="shared" ca="1" si="63"/>
        <v/>
      </c>
      <c r="AC119" t="str">
        <f t="shared" ca="1" si="64"/>
        <v/>
      </c>
      <c r="AE119" t="str">
        <f t="shared" ca="1" si="69"/>
        <v/>
      </c>
      <c r="AF119" t="str">
        <f t="shared" ca="1" si="70"/>
        <v/>
      </c>
      <c r="AG119" t="str">
        <f t="shared" ca="1" si="71"/>
        <v/>
      </c>
      <c r="AH119" t="str">
        <f t="shared" ca="1" si="72"/>
        <v/>
      </c>
      <c r="AI119" t="str">
        <f t="shared" ca="1" si="73"/>
        <v/>
      </c>
      <c r="AJ119" t="str">
        <f t="shared" ca="1" si="74"/>
        <v/>
      </c>
    </row>
    <row r="120" spans="15:36" ht="19.2" customHeight="1" x14ac:dyDescent="0.45">
      <c r="O120">
        <f t="shared" si="47"/>
        <v>0</v>
      </c>
      <c r="P120">
        <f t="shared" si="61"/>
        <v>0</v>
      </c>
      <c r="R120" t="str" cm="1">
        <f t="array" ref="R120">IFERROR(_xlfn.AGGREGATE(15, 6, ($O$2:$O$350)/($O$2:$O$350&lt;&gt;0), ROWS($R$2:R120)), "")</f>
        <v/>
      </c>
      <c r="S120" t="str" cm="1">
        <f t="array" ref="S120">IFERROR(_xlfn.AGGREGATE(15, 6, ($P$2:$P$350)/($P$2:$P$350&lt;&gt;0), ROWS($R$2:R120)), "")</f>
        <v/>
      </c>
      <c r="U120" t="str">
        <f t="shared" ca="1" si="65"/>
        <v/>
      </c>
      <c r="V120" t="str">
        <f t="shared" ca="1" si="66"/>
        <v/>
      </c>
      <c r="W120" t="str">
        <f t="shared" ca="1" si="67"/>
        <v/>
      </c>
      <c r="X120" t="str">
        <f t="shared" ca="1" si="68"/>
        <v/>
      </c>
      <c r="Z120" t="str">
        <f t="shared" ca="1" si="75"/>
        <v/>
      </c>
      <c r="AA120" t="str">
        <f t="shared" ca="1" si="62"/>
        <v/>
      </c>
      <c r="AB120" t="str">
        <f t="shared" ca="1" si="63"/>
        <v/>
      </c>
      <c r="AC120" t="str">
        <f t="shared" ca="1" si="64"/>
        <v/>
      </c>
      <c r="AE120" t="str">
        <f t="shared" ca="1" si="69"/>
        <v/>
      </c>
      <c r="AF120" t="str">
        <f t="shared" ca="1" si="70"/>
        <v/>
      </c>
      <c r="AG120" t="str">
        <f t="shared" ca="1" si="71"/>
        <v/>
      </c>
      <c r="AH120" t="str">
        <f t="shared" ca="1" si="72"/>
        <v/>
      </c>
      <c r="AI120" t="str">
        <f t="shared" ca="1" si="73"/>
        <v/>
      </c>
      <c r="AJ120" t="str">
        <f t="shared" ca="1" si="74"/>
        <v/>
      </c>
    </row>
    <row r="121" spans="15:36" ht="19.2" customHeight="1" x14ac:dyDescent="0.45">
      <c r="O121">
        <f t="shared" si="47"/>
        <v>0</v>
      </c>
      <c r="P121">
        <f t="shared" si="61"/>
        <v>0</v>
      </c>
      <c r="R121" t="str" cm="1">
        <f t="array" ref="R121">IFERROR(_xlfn.AGGREGATE(15, 6, ($O$2:$O$350)/($O$2:$O$350&lt;&gt;0), ROWS($R$2:R121)), "")</f>
        <v/>
      </c>
      <c r="S121" t="str" cm="1">
        <f t="array" ref="S121">IFERROR(_xlfn.AGGREGATE(15, 6, ($P$2:$P$350)/($P$2:$P$350&lt;&gt;0), ROWS($R$2:R121)), "")</f>
        <v/>
      </c>
      <c r="U121" t="str">
        <f t="shared" ca="1" si="65"/>
        <v/>
      </c>
      <c r="V121" t="str">
        <f t="shared" ca="1" si="66"/>
        <v/>
      </c>
      <c r="W121" t="str">
        <f t="shared" ca="1" si="67"/>
        <v/>
      </c>
      <c r="X121" t="str">
        <f t="shared" ca="1" si="68"/>
        <v/>
      </c>
      <c r="Z121" t="str">
        <f t="shared" ca="1" si="75"/>
        <v/>
      </c>
      <c r="AA121" t="str">
        <f t="shared" ca="1" si="62"/>
        <v/>
      </c>
      <c r="AB121" t="str">
        <f t="shared" ca="1" si="63"/>
        <v/>
      </c>
      <c r="AC121" t="str">
        <f t="shared" ca="1" si="64"/>
        <v/>
      </c>
      <c r="AE121" t="str">
        <f t="shared" ca="1" si="69"/>
        <v/>
      </c>
      <c r="AF121" t="str">
        <f t="shared" ca="1" si="70"/>
        <v/>
      </c>
      <c r="AG121" t="str">
        <f t="shared" ca="1" si="71"/>
        <v/>
      </c>
      <c r="AH121" t="str">
        <f t="shared" ca="1" si="72"/>
        <v/>
      </c>
      <c r="AI121" t="str">
        <f t="shared" ca="1" si="73"/>
        <v/>
      </c>
      <c r="AJ121" t="str">
        <f t="shared" ca="1" si="74"/>
        <v/>
      </c>
    </row>
    <row r="122" spans="15:36" ht="19.2" customHeight="1" x14ac:dyDescent="0.45">
      <c r="O122">
        <f t="shared" si="47"/>
        <v>0</v>
      </c>
      <c r="P122">
        <f t="shared" si="61"/>
        <v>0</v>
      </c>
      <c r="R122" t="str" cm="1">
        <f t="array" ref="R122">IFERROR(_xlfn.AGGREGATE(15, 6, ($O$2:$O$350)/($O$2:$O$350&lt;&gt;0), ROWS($R$2:R122)), "")</f>
        <v/>
      </c>
      <c r="S122" t="str" cm="1">
        <f t="array" ref="S122">IFERROR(_xlfn.AGGREGATE(15, 6, ($P$2:$P$350)/($P$2:$P$350&lt;&gt;0), ROWS($R$2:R122)), "")</f>
        <v/>
      </c>
      <c r="U122" t="str">
        <f t="shared" ca="1" si="65"/>
        <v/>
      </c>
      <c r="V122" t="str">
        <f t="shared" ca="1" si="66"/>
        <v/>
      </c>
      <c r="W122" t="str">
        <f t="shared" ca="1" si="67"/>
        <v/>
      </c>
      <c r="X122" t="str">
        <f t="shared" ca="1" si="68"/>
        <v/>
      </c>
      <c r="Z122" t="str">
        <f t="shared" ca="1" si="75"/>
        <v/>
      </c>
      <c r="AA122" t="str">
        <f t="shared" ca="1" si="62"/>
        <v/>
      </c>
      <c r="AB122" t="str">
        <f t="shared" ca="1" si="63"/>
        <v/>
      </c>
      <c r="AC122" t="str">
        <f t="shared" ca="1" si="64"/>
        <v/>
      </c>
      <c r="AE122" t="str">
        <f t="shared" ca="1" si="69"/>
        <v/>
      </c>
      <c r="AF122" t="str">
        <f t="shared" ca="1" si="70"/>
        <v/>
      </c>
      <c r="AG122" t="str">
        <f t="shared" ca="1" si="71"/>
        <v/>
      </c>
      <c r="AH122" t="str">
        <f t="shared" ca="1" si="72"/>
        <v/>
      </c>
      <c r="AI122" t="str">
        <f t="shared" ca="1" si="73"/>
        <v/>
      </c>
      <c r="AJ122" t="str">
        <f t="shared" ca="1" si="74"/>
        <v/>
      </c>
    </row>
    <row r="123" spans="15:36" ht="19.2" customHeight="1" x14ac:dyDescent="0.45">
      <c r="O123">
        <f t="shared" si="47"/>
        <v>0</v>
      </c>
      <c r="P123">
        <f t="shared" si="61"/>
        <v>0</v>
      </c>
      <c r="R123" t="str" cm="1">
        <f t="array" ref="R123">IFERROR(_xlfn.AGGREGATE(15, 6, ($O$2:$O$350)/($O$2:$O$350&lt;&gt;0), ROWS($R$2:R123)), "")</f>
        <v/>
      </c>
      <c r="S123" t="str" cm="1">
        <f t="array" ref="S123">IFERROR(_xlfn.AGGREGATE(15, 6, ($P$2:$P$350)/($P$2:$P$350&lt;&gt;0), ROWS($R$2:R123)), "")</f>
        <v/>
      </c>
      <c r="U123" t="str">
        <f t="shared" ca="1" si="65"/>
        <v/>
      </c>
      <c r="V123" t="str">
        <f t="shared" ca="1" si="66"/>
        <v/>
      </c>
      <c r="W123" t="str">
        <f t="shared" ca="1" si="67"/>
        <v/>
      </c>
      <c r="X123" t="str">
        <f t="shared" ca="1" si="68"/>
        <v/>
      </c>
      <c r="Z123" t="str">
        <f t="shared" ca="1" si="75"/>
        <v/>
      </c>
      <c r="AA123" t="str">
        <f t="shared" ca="1" si="62"/>
        <v/>
      </c>
      <c r="AB123" t="str">
        <f t="shared" ca="1" si="63"/>
        <v/>
      </c>
      <c r="AC123" t="str">
        <f t="shared" ca="1" si="64"/>
        <v/>
      </c>
      <c r="AE123" t="str">
        <f t="shared" ca="1" si="69"/>
        <v/>
      </c>
      <c r="AF123" t="str">
        <f t="shared" ca="1" si="70"/>
        <v/>
      </c>
      <c r="AG123" t="str">
        <f t="shared" ca="1" si="71"/>
        <v/>
      </c>
      <c r="AH123" t="str">
        <f t="shared" ca="1" si="72"/>
        <v/>
      </c>
      <c r="AI123" t="str">
        <f t="shared" ca="1" si="73"/>
        <v/>
      </c>
      <c r="AJ123" t="str">
        <f t="shared" ca="1" si="74"/>
        <v/>
      </c>
    </row>
    <row r="124" spans="15:36" ht="19.2" customHeight="1" x14ac:dyDescent="0.45">
      <c r="O124">
        <f t="shared" si="47"/>
        <v>0</v>
      </c>
      <c r="P124">
        <f t="shared" si="61"/>
        <v>0</v>
      </c>
      <c r="R124" t="str" cm="1">
        <f t="array" ref="R124">IFERROR(_xlfn.AGGREGATE(15, 6, ($O$2:$O$350)/($O$2:$O$350&lt;&gt;0), ROWS($R$2:R124)), "")</f>
        <v/>
      </c>
      <c r="S124" t="str" cm="1">
        <f t="array" ref="S124">IFERROR(_xlfn.AGGREGATE(15, 6, ($P$2:$P$350)/($P$2:$P$350&lt;&gt;0), ROWS($R$2:R124)), "")</f>
        <v/>
      </c>
      <c r="U124" t="str">
        <f t="shared" ca="1" si="65"/>
        <v/>
      </c>
      <c r="V124" t="str">
        <f t="shared" ca="1" si="66"/>
        <v/>
      </c>
      <c r="W124" t="str">
        <f t="shared" ca="1" si="67"/>
        <v/>
      </c>
      <c r="X124" t="str">
        <f t="shared" ca="1" si="68"/>
        <v/>
      </c>
      <c r="Z124" t="str">
        <f t="shared" ca="1" si="75"/>
        <v/>
      </c>
      <c r="AA124" t="str">
        <f t="shared" ca="1" si="62"/>
        <v/>
      </c>
      <c r="AB124" t="str">
        <f t="shared" ca="1" si="63"/>
        <v/>
      </c>
      <c r="AC124" t="str">
        <f t="shared" ca="1" si="64"/>
        <v/>
      </c>
      <c r="AE124" t="str">
        <f t="shared" ca="1" si="69"/>
        <v/>
      </c>
      <c r="AF124" t="str">
        <f t="shared" ca="1" si="70"/>
        <v/>
      </c>
      <c r="AG124" t="str">
        <f t="shared" ca="1" si="71"/>
        <v/>
      </c>
      <c r="AH124" t="str">
        <f t="shared" ca="1" si="72"/>
        <v/>
      </c>
      <c r="AI124" t="str">
        <f t="shared" ca="1" si="73"/>
        <v/>
      </c>
      <c r="AJ124" t="str">
        <f t="shared" ca="1" si="74"/>
        <v/>
      </c>
    </row>
    <row r="125" spans="15:36" ht="19.2" customHeight="1" x14ac:dyDescent="0.45">
      <c r="O125">
        <f t="shared" si="47"/>
        <v>0</v>
      </c>
      <c r="P125">
        <f t="shared" si="61"/>
        <v>0</v>
      </c>
      <c r="R125" t="str" cm="1">
        <f t="array" ref="R125">IFERROR(_xlfn.AGGREGATE(15, 6, ($O$2:$O$350)/($O$2:$O$350&lt;&gt;0), ROWS($R$2:R125)), "")</f>
        <v/>
      </c>
      <c r="S125" t="str" cm="1">
        <f t="array" ref="S125">IFERROR(_xlfn.AGGREGATE(15, 6, ($P$2:$P$350)/($P$2:$P$350&lt;&gt;0), ROWS($R$2:R125)), "")</f>
        <v/>
      </c>
      <c r="U125" t="str">
        <f t="shared" ca="1" si="65"/>
        <v/>
      </c>
      <c r="V125" t="str">
        <f t="shared" ca="1" si="66"/>
        <v/>
      </c>
      <c r="W125" t="str">
        <f t="shared" ca="1" si="67"/>
        <v/>
      </c>
      <c r="X125" t="str">
        <f t="shared" ca="1" si="68"/>
        <v/>
      </c>
      <c r="Z125" t="str">
        <f t="shared" ca="1" si="75"/>
        <v/>
      </c>
      <c r="AA125" t="str">
        <f t="shared" ca="1" si="62"/>
        <v/>
      </c>
      <c r="AB125" t="str">
        <f t="shared" ca="1" si="63"/>
        <v/>
      </c>
      <c r="AC125" t="str">
        <f t="shared" ca="1" si="64"/>
        <v/>
      </c>
      <c r="AE125" t="str">
        <f t="shared" ca="1" si="69"/>
        <v/>
      </c>
      <c r="AF125" t="str">
        <f t="shared" ca="1" si="70"/>
        <v/>
      </c>
      <c r="AG125" t="str">
        <f t="shared" ca="1" si="71"/>
        <v/>
      </c>
      <c r="AH125" t="str">
        <f t="shared" ca="1" si="72"/>
        <v/>
      </c>
      <c r="AI125" t="str">
        <f t="shared" ca="1" si="73"/>
        <v/>
      </c>
      <c r="AJ125" t="str">
        <f t="shared" ca="1" si="74"/>
        <v/>
      </c>
    </row>
    <row r="126" spans="15:36" ht="19.2" customHeight="1" x14ac:dyDescent="0.45">
      <c r="O126">
        <f t="shared" si="47"/>
        <v>0</v>
      </c>
      <c r="P126">
        <f t="shared" si="61"/>
        <v>0</v>
      </c>
      <c r="R126" t="str" cm="1">
        <f t="array" ref="R126">IFERROR(_xlfn.AGGREGATE(15, 6, ($O$2:$O$350)/($O$2:$O$350&lt;&gt;0), ROWS($R$2:R126)), "")</f>
        <v/>
      </c>
      <c r="S126" t="str" cm="1">
        <f t="array" ref="S126">IFERROR(_xlfn.AGGREGATE(15, 6, ($P$2:$P$350)/($P$2:$P$350&lt;&gt;0), ROWS($R$2:R126)), "")</f>
        <v/>
      </c>
      <c r="U126" t="str">
        <f t="shared" ca="1" si="65"/>
        <v/>
      </c>
      <c r="V126" t="str">
        <f t="shared" ca="1" si="66"/>
        <v/>
      </c>
      <c r="W126" t="str">
        <f t="shared" ca="1" si="67"/>
        <v/>
      </c>
      <c r="X126" t="str">
        <f t="shared" ca="1" si="68"/>
        <v/>
      </c>
      <c r="Z126" t="str">
        <f t="shared" ca="1" si="75"/>
        <v/>
      </c>
      <c r="AA126" t="str">
        <f t="shared" ca="1" si="62"/>
        <v/>
      </c>
      <c r="AB126" t="str">
        <f t="shared" ca="1" si="63"/>
        <v/>
      </c>
      <c r="AC126" t="str">
        <f t="shared" ca="1" si="64"/>
        <v/>
      </c>
      <c r="AE126" t="str">
        <f t="shared" ca="1" si="69"/>
        <v/>
      </c>
      <c r="AF126" t="str">
        <f t="shared" ca="1" si="70"/>
        <v/>
      </c>
      <c r="AG126" t="str">
        <f t="shared" ca="1" si="71"/>
        <v/>
      </c>
      <c r="AH126" t="str">
        <f t="shared" ca="1" si="72"/>
        <v/>
      </c>
      <c r="AI126" t="str">
        <f t="shared" ca="1" si="73"/>
        <v/>
      </c>
      <c r="AJ126" t="str">
        <f t="shared" ca="1" si="74"/>
        <v/>
      </c>
    </row>
    <row r="127" spans="15:36" ht="19.2" customHeight="1" x14ac:dyDescent="0.45">
      <c r="O127">
        <f t="shared" si="47"/>
        <v>0</v>
      </c>
      <c r="P127">
        <f t="shared" si="61"/>
        <v>0</v>
      </c>
      <c r="R127" t="str" cm="1">
        <f t="array" ref="R127">IFERROR(_xlfn.AGGREGATE(15, 6, ($O$2:$O$350)/($O$2:$O$350&lt;&gt;0), ROWS($R$2:R127)), "")</f>
        <v/>
      </c>
      <c r="S127" t="str" cm="1">
        <f t="array" ref="S127">IFERROR(_xlfn.AGGREGATE(15, 6, ($P$2:$P$350)/($P$2:$P$350&lt;&gt;0), ROWS($R$2:R127)), "")</f>
        <v/>
      </c>
      <c r="U127" t="str">
        <f t="shared" ca="1" si="65"/>
        <v/>
      </c>
      <c r="V127" t="str">
        <f t="shared" ca="1" si="66"/>
        <v/>
      </c>
      <c r="W127" t="str">
        <f t="shared" ca="1" si="67"/>
        <v/>
      </c>
      <c r="X127" t="str">
        <f t="shared" ca="1" si="68"/>
        <v/>
      </c>
      <c r="Z127" t="str">
        <f t="shared" ca="1" si="75"/>
        <v/>
      </c>
      <c r="AA127" t="str">
        <f t="shared" ca="1" si="62"/>
        <v/>
      </c>
      <c r="AB127" t="str">
        <f t="shared" ca="1" si="63"/>
        <v/>
      </c>
      <c r="AC127" t="str">
        <f t="shared" ca="1" si="64"/>
        <v/>
      </c>
      <c r="AE127" t="str">
        <f t="shared" ca="1" si="69"/>
        <v/>
      </c>
      <c r="AF127" t="str">
        <f t="shared" ca="1" si="70"/>
        <v/>
      </c>
      <c r="AG127" t="str">
        <f t="shared" ca="1" si="71"/>
        <v/>
      </c>
      <c r="AH127" t="str">
        <f t="shared" ca="1" si="72"/>
        <v/>
      </c>
      <c r="AI127" t="str">
        <f t="shared" ca="1" si="73"/>
        <v/>
      </c>
      <c r="AJ127" t="str">
        <f t="shared" ca="1" si="74"/>
        <v/>
      </c>
    </row>
    <row r="128" spans="15:36" ht="19.2" customHeight="1" x14ac:dyDescent="0.45">
      <c r="O128">
        <f t="shared" si="47"/>
        <v>0</v>
      </c>
      <c r="P128">
        <f t="shared" si="61"/>
        <v>0</v>
      </c>
      <c r="R128" t="str" cm="1">
        <f t="array" ref="R128">IFERROR(_xlfn.AGGREGATE(15, 6, ($O$2:$O$350)/($O$2:$O$350&lt;&gt;0), ROWS($R$2:R128)), "")</f>
        <v/>
      </c>
      <c r="S128" t="str" cm="1">
        <f t="array" ref="S128">IFERROR(_xlfn.AGGREGATE(15, 6, ($P$2:$P$350)/($P$2:$P$350&lt;&gt;0), ROWS($R$2:R128)), "")</f>
        <v/>
      </c>
      <c r="U128" t="str">
        <f t="shared" ca="1" si="65"/>
        <v/>
      </c>
      <c r="V128" t="str">
        <f t="shared" ca="1" si="66"/>
        <v/>
      </c>
      <c r="W128" t="str">
        <f t="shared" ca="1" si="67"/>
        <v/>
      </c>
      <c r="X128" t="str">
        <f t="shared" ca="1" si="68"/>
        <v/>
      </c>
      <c r="Z128" t="str">
        <f t="shared" ca="1" si="75"/>
        <v/>
      </c>
      <c r="AA128" t="str">
        <f t="shared" ca="1" si="62"/>
        <v/>
      </c>
      <c r="AB128" t="str">
        <f t="shared" ca="1" si="63"/>
        <v/>
      </c>
      <c r="AC128" t="str">
        <f t="shared" ca="1" si="64"/>
        <v/>
      </c>
      <c r="AE128" t="str">
        <f t="shared" ca="1" si="69"/>
        <v/>
      </c>
      <c r="AF128" t="str">
        <f t="shared" ca="1" si="70"/>
        <v/>
      </c>
      <c r="AG128" t="str">
        <f t="shared" ca="1" si="71"/>
        <v/>
      </c>
      <c r="AH128" t="str">
        <f t="shared" ca="1" si="72"/>
        <v/>
      </c>
      <c r="AI128" t="str">
        <f t="shared" ca="1" si="73"/>
        <v/>
      </c>
      <c r="AJ128" t="str">
        <f t="shared" ca="1" si="74"/>
        <v/>
      </c>
    </row>
    <row r="129" spans="15:36" ht="19.2" customHeight="1" x14ac:dyDescent="0.45">
      <c r="O129">
        <f t="shared" si="47"/>
        <v>0</v>
      </c>
      <c r="P129">
        <f t="shared" si="61"/>
        <v>0</v>
      </c>
      <c r="R129" t="str" cm="1">
        <f t="array" ref="R129">IFERROR(_xlfn.AGGREGATE(15, 6, ($O$2:$O$350)/($O$2:$O$350&lt;&gt;0), ROWS($R$2:R129)), "")</f>
        <v/>
      </c>
      <c r="S129" t="str" cm="1">
        <f t="array" ref="S129">IFERROR(_xlfn.AGGREGATE(15, 6, ($P$2:$P$350)/($P$2:$P$350&lt;&gt;0), ROWS($R$2:R129)), "")</f>
        <v/>
      </c>
      <c r="U129" t="str">
        <f t="shared" ca="1" si="65"/>
        <v/>
      </c>
      <c r="V129" t="str">
        <f t="shared" ca="1" si="66"/>
        <v/>
      </c>
      <c r="W129" t="str">
        <f t="shared" ca="1" si="67"/>
        <v/>
      </c>
      <c r="X129" t="str">
        <f t="shared" ca="1" si="68"/>
        <v/>
      </c>
      <c r="Z129" t="str">
        <f t="shared" ca="1" si="75"/>
        <v/>
      </c>
      <c r="AA129" t="str">
        <f t="shared" ca="1" si="62"/>
        <v/>
      </c>
      <c r="AB129" t="str">
        <f t="shared" ca="1" si="63"/>
        <v/>
      </c>
      <c r="AC129" t="str">
        <f t="shared" ca="1" si="64"/>
        <v/>
      </c>
      <c r="AE129" t="str">
        <f t="shared" ca="1" si="69"/>
        <v/>
      </c>
      <c r="AF129" t="str">
        <f t="shared" ca="1" si="70"/>
        <v/>
      </c>
      <c r="AG129" t="str">
        <f t="shared" ca="1" si="71"/>
        <v/>
      </c>
      <c r="AH129" t="str">
        <f t="shared" ca="1" si="72"/>
        <v/>
      </c>
      <c r="AI129" t="str">
        <f t="shared" ca="1" si="73"/>
        <v/>
      </c>
      <c r="AJ129" t="str">
        <f t="shared" ca="1" si="74"/>
        <v/>
      </c>
    </row>
    <row r="130" spans="15:36" ht="19.2" customHeight="1" x14ac:dyDescent="0.45">
      <c r="O130">
        <f t="shared" ref="O130:O193" si="76">IF(COUNTIF(A130,"*/*"),ROW(),0)</f>
        <v>0</v>
      </c>
      <c r="P130">
        <f t="shared" si="61"/>
        <v>0</v>
      </c>
      <c r="R130" t="str" cm="1">
        <f t="array" ref="R130">IFERROR(_xlfn.AGGREGATE(15, 6, ($O$2:$O$350)/($O$2:$O$350&lt;&gt;0), ROWS($R$2:R130)), "")</f>
        <v/>
      </c>
      <c r="S130" t="str" cm="1">
        <f t="array" ref="S130">IFERROR(_xlfn.AGGREGATE(15, 6, ($P$2:$P$350)/($P$2:$P$350&lt;&gt;0), ROWS($R$2:R130)), "")</f>
        <v/>
      </c>
      <c r="U130" t="str">
        <f t="shared" ca="1" si="65"/>
        <v/>
      </c>
      <c r="V130" t="str">
        <f t="shared" ca="1" si="66"/>
        <v/>
      </c>
      <c r="W130" t="str">
        <f t="shared" ca="1" si="67"/>
        <v/>
      </c>
      <c r="X130" t="str">
        <f t="shared" ca="1" si="68"/>
        <v/>
      </c>
      <c r="Z130" t="str">
        <f t="shared" ca="1" si="75"/>
        <v/>
      </c>
      <c r="AA130" t="str">
        <f t="shared" ca="1" si="62"/>
        <v/>
      </c>
      <c r="AB130" t="str">
        <f t="shared" ca="1" si="63"/>
        <v/>
      </c>
      <c r="AC130" t="str">
        <f t="shared" ca="1" si="64"/>
        <v/>
      </c>
      <c r="AE130" t="str">
        <f t="shared" ca="1" si="69"/>
        <v/>
      </c>
      <c r="AF130" t="str">
        <f t="shared" ca="1" si="70"/>
        <v/>
      </c>
      <c r="AG130" t="str">
        <f t="shared" ca="1" si="71"/>
        <v/>
      </c>
      <c r="AH130" t="str">
        <f t="shared" ca="1" si="72"/>
        <v/>
      </c>
      <c r="AI130" t="str">
        <f t="shared" ca="1" si="73"/>
        <v/>
      </c>
      <c r="AJ130" t="str">
        <f t="shared" ca="1" si="74"/>
        <v/>
      </c>
    </row>
    <row r="131" spans="15:36" ht="19.2" customHeight="1" x14ac:dyDescent="0.45">
      <c r="O131">
        <f t="shared" si="76"/>
        <v>0</v>
      </c>
      <c r="P131">
        <f t="shared" si="61"/>
        <v>0</v>
      </c>
      <c r="R131" t="str" cm="1">
        <f t="array" ref="R131">IFERROR(_xlfn.AGGREGATE(15, 6, ($O$2:$O$350)/($O$2:$O$350&lt;&gt;0), ROWS($R$2:R131)), "")</f>
        <v/>
      </c>
      <c r="S131" t="str" cm="1">
        <f t="array" ref="S131">IFERROR(_xlfn.AGGREGATE(15, 6, ($P$2:$P$350)/($P$2:$P$350&lt;&gt;0), ROWS($R$2:R131)), "")</f>
        <v/>
      </c>
      <c r="U131" t="str">
        <f t="shared" ca="1" si="65"/>
        <v/>
      </c>
      <c r="V131" t="str">
        <f t="shared" ca="1" si="66"/>
        <v/>
      </c>
      <c r="W131" t="str">
        <f t="shared" ca="1" si="67"/>
        <v/>
      </c>
      <c r="X131" t="str">
        <f t="shared" ca="1" si="68"/>
        <v/>
      </c>
      <c r="Z131" t="str">
        <f t="shared" ca="1" si="75"/>
        <v/>
      </c>
      <c r="AA131" t="str">
        <f t="shared" ca="1" si="62"/>
        <v/>
      </c>
      <c r="AB131" t="str">
        <f t="shared" ca="1" si="63"/>
        <v/>
      </c>
      <c r="AC131" t="str">
        <f t="shared" ca="1" si="64"/>
        <v/>
      </c>
      <c r="AE131" t="str">
        <f t="shared" ca="1" si="69"/>
        <v/>
      </c>
      <c r="AF131" t="str">
        <f t="shared" ca="1" si="70"/>
        <v/>
      </c>
      <c r="AG131" t="str">
        <f t="shared" ca="1" si="71"/>
        <v/>
      </c>
      <c r="AH131" t="str">
        <f t="shared" ca="1" si="72"/>
        <v/>
      </c>
      <c r="AI131" t="str">
        <f t="shared" ca="1" si="73"/>
        <v/>
      </c>
      <c r="AJ131" t="str">
        <f t="shared" ca="1" si="74"/>
        <v/>
      </c>
    </row>
    <row r="132" spans="15:36" ht="19.2" customHeight="1" x14ac:dyDescent="0.45">
      <c r="O132">
        <f t="shared" si="76"/>
        <v>0</v>
      </c>
      <c r="P132">
        <f t="shared" si="61"/>
        <v>0</v>
      </c>
      <c r="R132" t="str" cm="1">
        <f t="array" ref="R132">IFERROR(_xlfn.AGGREGATE(15, 6, ($O$2:$O$350)/($O$2:$O$350&lt;&gt;0), ROWS($R$2:R132)), "")</f>
        <v/>
      </c>
      <c r="S132" t="str" cm="1">
        <f t="array" ref="S132">IFERROR(_xlfn.AGGREGATE(15, 6, ($P$2:$P$350)/($P$2:$P$350&lt;&gt;0), ROWS($R$2:R132)), "")</f>
        <v/>
      </c>
      <c r="U132" t="str">
        <f t="shared" ca="1" si="65"/>
        <v/>
      </c>
      <c r="V132" t="str">
        <f t="shared" ca="1" si="66"/>
        <v/>
      </c>
      <c r="W132" t="str">
        <f t="shared" ca="1" si="67"/>
        <v/>
      </c>
      <c r="X132" t="str">
        <f t="shared" ca="1" si="68"/>
        <v/>
      </c>
      <c r="Z132" t="str">
        <f t="shared" ca="1" si="75"/>
        <v/>
      </c>
      <c r="AA132" t="str">
        <f t="shared" ca="1" si="62"/>
        <v/>
      </c>
      <c r="AB132" t="str">
        <f t="shared" ca="1" si="63"/>
        <v/>
      </c>
      <c r="AC132" t="str">
        <f t="shared" ca="1" si="64"/>
        <v/>
      </c>
      <c r="AE132" t="str">
        <f t="shared" ca="1" si="69"/>
        <v/>
      </c>
      <c r="AF132" t="str">
        <f t="shared" ca="1" si="70"/>
        <v/>
      </c>
      <c r="AG132" t="str">
        <f t="shared" ca="1" si="71"/>
        <v/>
      </c>
      <c r="AH132" t="str">
        <f t="shared" ca="1" si="72"/>
        <v/>
      </c>
      <c r="AI132" t="str">
        <f t="shared" ca="1" si="73"/>
        <v/>
      </c>
      <c r="AJ132" t="str">
        <f t="shared" ca="1" si="74"/>
        <v/>
      </c>
    </row>
    <row r="133" spans="15:36" ht="19.2" customHeight="1" x14ac:dyDescent="0.45">
      <c r="O133">
        <f t="shared" si="76"/>
        <v>0</v>
      </c>
      <c r="P133">
        <f t="shared" ref="P133:P196" si="77">IF(O133&lt;&gt;0,O133-1,0)</f>
        <v>0</v>
      </c>
      <c r="R133" t="str" cm="1">
        <f t="array" ref="R133">IFERROR(_xlfn.AGGREGATE(15, 6, ($O$2:$O$350)/($O$2:$O$350&lt;&gt;0), ROWS($R$2:R133)), "")</f>
        <v/>
      </c>
      <c r="S133" t="str" cm="1">
        <f t="array" ref="S133">IFERROR(_xlfn.AGGREGATE(15, 6, ($P$2:$P$350)/($P$2:$P$350&lt;&gt;0), ROWS($R$2:R133)), "")</f>
        <v/>
      </c>
      <c r="U133" t="str">
        <f t="shared" ca="1" si="65"/>
        <v/>
      </c>
      <c r="V133" t="str">
        <f t="shared" ca="1" si="66"/>
        <v/>
      </c>
      <c r="W133" t="str">
        <f t="shared" ca="1" si="67"/>
        <v/>
      </c>
      <c r="X133" t="str">
        <f t="shared" ca="1" si="68"/>
        <v/>
      </c>
      <c r="Z133" t="str">
        <f t="shared" ca="1" si="75"/>
        <v/>
      </c>
      <c r="AA133" t="str">
        <f t="shared" ca="1" si="62"/>
        <v/>
      </c>
      <c r="AB133" t="str">
        <f t="shared" ca="1" si="63"/>
        <v/>
      </c>
      <c r="AC133" t="str">
        <f t="shared" ca="1" si="64"/>
        <v/>
      </c>
      <c r="AE133" t="str">
        <f t="shared" ca="1" si="69"/>
        <v/>
      </c>
      <c r="AF133" t="str">
        <f t="shared" ca="1" si="70"/>
        <v/>
      </c>
      <c r="AG133" t="str">
        <f t="shared" ca="1" si="71"/>
        <v/>
      </c>
      <c r="AH133" t="str">
        <f t="shared" ca="1" si="72"/>
        <v/>
      </c>
      <c r="AI133" t="str">
        <f t="shared" ca="1" si="73"/>
        <v/>
      </c>
      <c r="AJ133" t="str">
        <f t="shared" ca="1" si="74"/>
        <v/>
      </c>
    </row>
    <row r="134" spans="15:36" ht="19.2" customHeight="1" x14ac:dyDescent="0.45">
      <c r="O134">
        <f t="shared" si="76"/>
        <v>0</v>
      </c>
      <c r="P134">
        <f t="shared" si="77"/>
        <v>0</v>
      </c>
      <c r="R134" t="str" cm="1">
        <f t="array" ref="R134">IFERROR(_xlfn.AGGREGATE(15, 6, ($O$2:$O$350)/($O$2:$O$350&lt;&gt;0), ROWS($R$2:R134)), "")</f>
        <v/>
      </c>
      <c r="S134" t="str" cm="1">
        <f t="array" ref="S134">IFERROR(_xlfn.AGGREGATE(15, 6, ($P$2:$P$350)/($P$2:$P$350&lt;&gt;0), ROWS($R$2:R134)), "")</f>
        <v/>
      </c>
      <c r="U134" t="str">
        <f t="shared" ca="1" si="65"/>
        <v/>
      </c>
      <c r="V134" t="str">
        <f t="shared" ca="1" si="66"/>
        <v/>
      </c>
      <c r="W134" t="str">
        <f t="shared" ca="1" si="67"/>
        <v/>
      </c>
      <c r="X134" t="str">
        <f t="shared" ca="1" si="68"/>
        <v/>
      </c>
      <c r="Z134" t="str">
        <f t="shared" ca="1" si="75"/>
        <v/>
      </c>
      <c r="AA134" t="str">
        <f t="shared" ca="1" si="62"/>
        <v/>
      </c>
      <c r="AB134" t="str">
        <f t="shared" ca="1" si="63"/>
        <v/>
      </c>
      <c r="AC134" t="str">
        <f t="shared" ca="1" si="64"/>
        <v/>
      </c>
      <c r="AE134" t="str">
        <f t="shared" ca="1" si="69"/>
        <v/>
      </c>
      <c r="AF134" t="str">
        <f t="shared" ca="1" si="70"/>
        <v/>
      </c>
      <c r="AG134" t="str">
        <f t="shared" ca="1" si="71"/>
        <v/>
      </c>
      <c r="AH134" t="str">
        <f t="shared" ca="1" si="72"/>
        <v/>
      </c>
      <c r="AI134" t="str">
        <f t="shared" ca="1" si="73"/>
        <v/>
      </c>
      <c r="AJ134" t="str">
        <f t="shared" ca="1" si="74"/>
        <v/>
      </c>
    </row>
    <row r="135" spans="15:36" ht="19.2" customHeight="1" x14ac:dyDescent="0.45">
      <c r="O135">
        <f t="shared" si="76"/>
        <v>0</v>
      </c>
      <c r="P135">
        <f t="shared" si="77"/>
        <v>0</v>
      </c>
      <c r="R135" t="str" cm="1">
        <f t="array" ref="R135">IFERROR(_xlfn.AGGREGATE(15, 6, ($O$2:$O$350)/($O$2:$O$350&lt;&gt;0), ROWS($R$2:R135)), "")</f>
        <v/>
      </c>
      <c r="S135" t="str" cm="1">
        <f t="array" ref="S135">IFERROR(_xlfn.AGGREGATE(15, 6, ($P$2:$P$350)/($P$2:$P$350&lt;&gt;0), ROWS($R$2:R135)), "")</f>
        <v/>
      </c>
      <c r="U135" t="str">
        <f t="shared" ca="1" si="65"/>
        <v/>
      </c>
      <c r="V135" t="str">
        <f t="shared" ca="1" si="66"/>
        <v/>
      </c>
      <c r="W135" t="str">
        <f t="shared" ca="1" si="67"/>
        <v/>
      </c>
      <c r="X135" t="str">
        <f t="shared" ca="1" si="68"/>
        <v/>
      </c>
      <c r="Z135" t="str">
        <f t="shared" ca="1" si="75"/>
        <v/>
      </c>
      <c r="AA135" t="str">
        <f t="shared" ca="1" si="62"/>
        <v/>
      </c>
      <c r="AB135" t="str">
        <f t="shared" ca="1" si="63"/>
        <v/>
      </c>
      <c r="AC135" t="str">
        <f t="shared" ca="1" si="64"/>
        <v/>
      </c>
      <c r="AE135" t="str">
        <f t="shared" ca="1" si="69"/>
        <v/>
      </c>
      <c r="AF135" t="str">
        <f t="shared" ca="1" si="70"/>
        <v/>
      </c>
      <c r="AG135" t="str">
        <f t="shared" ca="1" si="71"/>
        <v/>
      </c>
      <c r="AH135" t="str">
        <f t="shared" ca="1" si="72"/>
        <v/>
      </c>
      <c r="AI135" t="str">
        <f t="shared" ca="1" si="73"/>
        <v/>
      </c>
      <c r="AJ135" t="str">
        <f t="shared" ca="1" si="74"/>
        <v/>
      </c>
    </row>
    <row r="136" spans="15:36" ht="19.2" customHeight="1" x14ac:dyDescent="0.45">
      <c r="O136">
        <f t="shared" si="76"/>
        <v>0</v>
      </c>
      <c r="P136">
        <f t="shared" si="77"/>
        <v>0</v>
      </c>
      <c r="R136" t="str" cm="1">
        <f t="array" ref="R136">IFERROR(_xlfn.AGGREGATE(15, 6, ($O$2:$O$350)/($O$2:$O$350&lt;&gt;0), ROWS($R$2:R136)), "")</f>
        <v/>
      </c>
      <c r="S136" t="str" cm="1">
        <f t="array" ref="S136">IFERROR(_xlfn.AGGREGATE(15, 6, ($P$2:$P$350)/($P$2:$P$350&lt;&gt;0), ROWS($R$2:R136)), "")</f>
        <v/>
      </c>
      <c r="U136" t="str">
        <f t="shared" ca="1" si="65"/>
        <v/>
      </c>
      <c r="V136" t="str">
        <f t="shared" ca="1" si="66"/>
        <v/>
      </c>
      <c r="W136" t="str">
        <f t="shared" ca="1" si="67"/>
        <v/>
      </c>
      <c r="X136" t="str">
        <f t="shared" ca="1" si="68"/>
        <v/>
      </c>
      <c r="Z136" t="str">
        <f t="shared" ca="1" si="75"/>
        <v/>
      </c>
      <c r="AA136" t="str">
        <f t="shared" ca="1" si="62"/>
        <v/>
      </c>
      <c r="AB136" t="str">
        <f t="shared" ca="1" si="63"/>
        <v/>
      </c>
      <c r="AC136" t="str">
        <f t="shared" ca="1" si="64"/>
        <v/>
      </c>
      <c r="AE136" t="str">
        <f t="shared" ca="1" si="69"/>
        <v/>
      </c>
      <c r="AF136" t="str">
        <f t="shared" ca="1" si="70"/>
        <v/>
      </c>
      <c r="AG136" t="str">
        <f t="shared" ca="1" si="71"/>
        <v/>
      </c>
      <c r="AH136" t="str">
        <f t="shared" ca="1" si="72"/>
        <v/>
      </c>
      <c r="AI136" t="str">
        <f t="shared" ca="1" si="73"/>
        <v/>
      </c>
      <c r="AJ136" t="str">
        <f t="shared" ca="1" si="74"/>
        <v/>
      </c>
    </row>
    <row r="137" spans="15:36" ht="18.600000000000001" customHeight="1" x14ac:dyDescent="0.45">
      <c r="O137">
        <f t="shared" si="76"/>
        <v>0</v>
      </c>
      <c r="P137">
        <f t="shared" si="77"/>
        <v>0</v>
      </c>
      <c r="R137" t="str" cm="1">
        <f t="array" ref="R137">IFERROR(_xlfn.AGGREGATE(15, 6, ($O$2:$O$350)/($O$2:$O$350&lt;&gt;0), ROWS($R$2:R137)), "")</f>
        <v/>
      </c>
      <c r="S137" t="str" cm="1">
        <f t="array" ref="S137">IFERROR(_xlfn.AGGREGATE(15, 6, ($P$2:$P$350)/($P$2:$P$350&lt;&gt;0), ROWS($R$2:R137)), "")</f>
        <v/>
      </c>
      <c r="U137" t="str">
        <f t="shared" ca="1" si="65"/>
        <v/>
      </c>
      <c r="V137" t="str">
        <f t="shared" ca="1" si="66"/>
        <v/>
      </c>
      <c r="W137" t="str">
        <f t="shared" ca="1" si="67"/>
        <v/>
      </c>
      <c r="X137" t="str">
        <f t="shared" ca="1" si="68"/>
        <v/>
      </c>
      <c r="Z137" t="str">
        <f t="shared" ca="1" si="75"/>
        <v/>
      </c>
      <c r="AA137" t="str">
        <f t="shared" ca="1" si="62"/>
        <v/>
      </c>
      <c r="AB137" t="str">
        <f t="shared" ca="1" si="63"/>
        <v/>
      </c>
      <c r="AC137" t="str">
        <f t="shared" ca="1" si="64"/>
        <v/>
      </c>
      <c r="AE137" t="str">
        <f t="shared" ca="1" si="69"/>
        <v/>
      </c>
      <c r="AF137" t="str">
        <f t="shared" ca="1" si="70"/>
        <v/>
      </c>
      <c r="AG137" t="str">
        <f t="shared" ca="1" si="71"/>
        <v/>
      </c>
      <c r="AH137" t="str">
        <f t="shared" ca="1" si="72"/>
        <v/>
      </c>
      <c r="AI137" t="str">
        <f t="shared" ca="1" si="73"/>
        <v/>
      </c>
      <c r="AJ137" t="str">
        <f t="shared" ca="1" si="74"/>
        <v/>
      </c>
    </row>
    <row r="138" spans="15:36" ht="18.600000000000001" customHeight="1" x14ac:dyDescent="0.45">
      <c r="O138">
        <f t="shared" si="76"/>
        <v>0</v>
      </c>
      <c r="P138">
        <f t="shared" si="77"/>
        <v>0</v>
      </c>
      <c r="R138" t="str" cm="1">
        <f t="array" ref="R138">IFERROR(_xlfn.AGGREGATE(15, 6, ($O$2:$O$350)/($O$2:$O$350&lt;&gt;0), ROWS($R$2:R138)), "")</f>
        <v/>
      </c>
      <c r="S138" t="str" cm="1">
        <f t="array" ref="S138">IFERROR(_xlfn.AGGREGATE(15, 6, ($P$2:$P$350)/($P$2:$P$350&lt;&gt;0), ROWS($R$2:R138)), "")</f>
        <v/>
      </c>
      <c r="U138" t="str">
        <f t="shared" ca="1" si="65"/>
        <v/>
      </c>
      <c r="V138" t="str">
        <f t="shared" ca="1" si="66"/>
        <v/>
      </c>
      <c r="W138" t="str">
        <f t="shared" ca="1" si="67"/>
        <v/>
      </c>
      <c r="X138" t="str">
        <f t="shared" ca="1" si="68"/>
        <v/>
      </c>
      <c r="Z138" t="str">
        <f t="shared" ca="1" si="75"/>
        <v/>
      </c>
      <c r="AA138" t="str">
        <f t="shared" ca="1" si="62"/>
        <v/>
      </c>
      <c r="AB138" t="str">
        <f t="shared" ca="1" si="63"/>
        <v/>
      </c>
      <c r="AC138" t="str">
        <f t="shared" ca="1" si="64"/>
        <v/>
      </c>
      <c r="AE138" t="str">
        <f t="shared" ca="1" si="69"/>
        <v/>
      </c>
      <c r="AF138" t="str">
        <f t="shared" ca="1" si="70"/>
        <v/>
      </c>
      <c r="AG138" t="str">
        <f t="shared" ca="1" si="71"/>
        <v/>
      </c>
      <c r="AH138" t="str">
        <f t="shared" ca="1" si="72"/>
        <v/>
      </c>
      <c r="AI138" t="str">
        <f t="shared" ca="1" si="73"/>
        <v/>
      </c>
      <c r="AJ138" t="str">
        <f t="shared" ca="1" si="74"/>
        <v/>
      </c>
    </row>
    <row r="139" spans="15:36" ht="18.600000000000001" customHeight="1" x14ac:dyDescent="0.45">
      <c r="O139">
        <f t="shared" si="76"/>
        <v>0</v>
      </c>
      <c r="P139">
        <f t="shared" si="77"/>
        <v>0</v>
      </c>
      <c r="R139" t="str" cm="1">
        <f t="array" ref="R139">IFERROR(_xlfn.AGGREGATE(15, 6, ($O$2:$O$350)/($O$2:$O$350&lt;&gt;0), ROWS($R$2:R139)), "")</f>
        <v/>
      </c>
      <c r="S139" t="str" cm="1">
        <f t="array" ref="S139">IFERROR(_xlfn.AGGREGATE(15, 6, ($P$2:$P$350)/($P$2:$P$350&lt;&gt;0), ROWS($R$2:R139)), "")</f>
        <v/>
      </c>
      <c r="U139" t="str">
        <f t="shared" ca="1" si="65"/>
        <v/>
      </c>
      <c r="V139" t="str">
        <f t="shared" ca="1" si="66"/>
        <v/>
      </c>
      <c r="W139" t="str">
        <f t="shared" ca="1" si="67"/>
        <v/>
      </c>
      <c r="X139" t="str">
        <f t="shared" ca="1" si="68"/>
        <v/>
      </c>
      <c r="Z139" t="str">
        <f t="shared" ca="1" si="75"/>
        <v/>
      </c>
      <c r="AA139" t="str">
        <f t="shared" ca="1" si="62"/>
        <v/>
      </c>
      <c r="AB139" t="str">
        <f t="shared" ca="1" si="63"/>
        <v/>
      </c>
      <c r="AC139" t="str">
        <f t="shared" ca="1" si="64"/>
        <v/>
      </c>
      <c r="AE139" t="str">
        <f t="shared" ca="1" si="69"/>
        <v/>
      </c>
      <c r="AF139" t="str">
        <f t="shared" ca="1" si="70"/>
        <v/>
      </c>
      <c r="AG139" t="str">
        <f t="shared" ca="1" si="71"/>
        <v/>
      </c>
      <c r="AH139" t="str">
        <f t="shared" ca="1" si="72"/>
        <v/>
      </c>
      <c r="AI139" t="str">
        <f t="shared" ca="1" si="73"/>
        <v/>
      </c>
      <c r="AJ139" t="str">
        <f t="shared" ca="1" si="74"/>
        <v/>
      </c>
    </row>
    <row r="140" spans="15:36" ht="18.600000000000001" customHeight="1" x14ac:dyDescent="0.45">
      <c r="O140">
        <f t="shared" si="76"/>
        <v>0</v>
      </c>
      <c r="P140">
        <f t="shared" si="77"/>
        <v>0</v>
      </c>
      <c r="R140" t="str" cm="1">
        <f t="array" ref="R140">IFERROR(_xlfn.AGGREGATE(15, 6, ($O$2:$O$350)/($O$2:$O$350&lt;&gt;0), ROWS($R$2:R140)), "")</f>
        <v/>
      </c>
      <c r="S140" t="str" cm="1">
        <f t="array" ref="S140">IFERROR(_xlfn.AGGREGATE(15, 6, ($P$2:$P$350)/($P$2:$P$350&lt;&gt;0), ROWS($R$2:R140)), "")</f>
        <v/>
      </c>
      <c r="U140" t="str">
        <f t="shared" ca="1" si="65"/>
        <v/>
      </c>
      <c r="V140" t="str">
        <f t="shared" ca="1" si="66"/>
        <v/>
      </c>
      <c r="W140" t="str">
        <f t="shared" ca="1" si="67"/>
        <v/>
      </c>
      <c r="X140" t="str">
        <f t="shared" ca="1" si="68"/>
        <v/>
      </c>
      <c r="Z140" t="str">
        <f t="shared" ca="1" si="75"/>
        <v/>
      </c>
      <c r="AA140" t="str">
        <f t="shared" ca="1" si="62"/>
        <v/>
      </c>
      <c r="AB140" t="str">
        <f t="shared" ca="1" si="63"/>
        <v/>
      </c>
      <c r="AC140" t="str">
        <f t="shared" ca="1" si="64"/>
        <v/>
      </c>
      <c r="AE140" t="str">
        <f t="shared" ca="1" si="69"/>
        <v/>
      </c>
      <c r="AF140" t="str">
        <f t="shared" ca="1" si="70"/>
        <v/>
      </c>
      <c r="AG140" t="str">
        <f t="shared" ca="1" si="71"/>
        <v/>
      </c>
      <c r="AH140" t="str">
        <f t="shared" ca="1" si="72"/>
        <v/>
      </c>
      <c r="AI140" t="str">
        <f t="shared" ca="1" si="73"/>
        <v/>
      </c>
      <c r="AJ140" t="str">
        <f t="shared" ca="1" si="74"/>
        <v/>
      </c>
    </row>
    <row r="141" spans="15:36" ht="18.600000000000001" customHeight="1" x14ac:dyDescent="0.45">
      <c r="O141">
        <f t="shared" si="76"/>
        <v>0</v>
      </c>
      <c r="P141">
        <f t="shared" si="77"/>
        <v>0</v>
      </c>
      <c r="R141" t="str" cm="1">
        <f t="array" ref="R141">IFERROR(_xlfn.AGGREGATE(15, 6, ($O$2:$O$350)/($O$2:$O$350&lt;&gt;0), ROWS($R$2:R141)), "")</f>
        <v/>
      </c>
      <c r="S141" t="str" cm="1">
        <f t="array" ref="S141">IFERROR(_xlfn.AGGREGATE(15, 6, ($P$2:$P$350)/($P$2:$P$350&lt;&gt;0), ROWS($R$2:R141)), "")</f>
        <v/>
      </c>
      <c r="U141" t="str">
        <f t="shared" ca="1" si="65"/>
        <v/>
      </c>
      <c r="V141" t="str">
        <f t="shared" ca="1" si="66"/>
        <v/>
      </c>
      <c r="W141" t="str">
        <f t="shared" ca="1" si="67"/>
        <v/>
      </c>
      <c r="X141" t="str">
        <f t="shared" ca="1" si="68"/>
        <v/>
      </c>
      <c r="Z141" t="str">
        <f t="shared" ca="1" si="75"/>
        <v/>
      </c>
      <c r="AA141" t="str">
        <f t="shared" ca="1" si="62"/>
        <v/>
      </c>
      <c r="AB141" t="str">
        <f t="shared" ca="1" si="63"/>
        <v/>
      </c>
      <c r="AC141" t="str">
        <f t="shared" ca="1" si="64"/>
        <v/>
      </c>
      <c r="AE141" t="str">
        <f t="shared" ca="1" si="69"/>
        <v/>
      </c>
      <c r="AF141" t="str">
        <f t="shared" ca="1" si="70"/>
        <v/>
      </c>
      <c r="AG141" t="str">
        <f t="shared" ca="1" si="71"/>
        <v/>
      </c>
      <c r="AH141" t="str">
        <f t="shared" ca="1" si="72"/>
        <v/>
      </c>
      <c r="AI141" t="str">
        <f t="shared" ca="1" si="73"/>
        <v/>
      </c>
      <c r="AJ141" t="str">
        <f t="shared" ca="1" si="74"/>
        <v/>
      </c>
    </row>
    <row r="142" spans="15:36" ht="18.600000000000001" customHeight="1" x14ac:dyDescent="0.45">
      <c r="O142">
        <f t="shared" si="76"/>
        <v>0</v>
      </c>
      <c r="P142">
        <f t="shared" si="77"/>
        <v>0</v>
      </c>
      <c r="R142" t="str" cm="1">
        <f t="array" ref="R142">IFERROR(_xlfn.AGGREGATE(15, 6, ($O$2:$O$350)/($O$2:$O$350&lt;&gt;0), ROWS($R$2:R142)), "")</f>
        <v/>
      </c>
      <c r="S142" t="str" cm="1">
        <f t="array" ref="S142">IFERROR(_xlfn.AGGREGATE(15, 6, ($P$2:$P$350)/($P$2:$P$350&lt;&gt;0), ROWS($R$2:R142)), "")</f>
        <v/>
      </c>
      <c r="U142" t="str">
        <f t="shared" ca="1" si="65"/>
        <v/>
      </c>
      <c r="V142" t="str">
        <f t="shared" ca="1" si="66"/>
        <v/>
      </c>
      <c r="W142" t="str">
        <f t="shared" ca="1" si="67"/>
        <v/>
      </c>
      <c r="X142" t="str">
        <f t="shared" ca="1" si="68"/>
        <v/>
      </c>
      <c r="Z142" t="str">
        <f t="shared" ca="1" si="75"/>
        <v/>
      </c>
      <c r="AA142" t="str">
        <f t="shared" ca="1" si="62"/>
        <v/>
      </c>
      <c r="AB142" t="str">
        <f t="shared" ca="1" si="63"/>
        <v/>
      </c>
      <c r="AC142" t="str">
        <f t="shared" ca="1" si="64"/>
        <v/>
      </c>
      <c r="AE142" t="str">
        <f t="shared" ca="1" si="69"/>
        <v/>
      </c>
      <c r="AF142" t="str">
        <f t="shared" ca="1" si="70"/>
        <v/>
      </c>
      <c r="AG142" t="str">
        <f t="shared" ca="1" si="71"/>
        <v/>
      </c>
      <c r="AH142" t="str">
        <f t="shared" ca="1" si="72"/>
        <v/>
      </c>
      <c r="AI142" t="str">
        <f t="shared" ca="1" si="73"/>
        <v/>
      </c>
      <c r="AJ142" t="str">
        <f t="shared" ca="1" si="74"/>
        <v/>
      </c>
    </row>
    <row r="143" spans="15:36" ht="18.600000000000001" customHeight="1" x14ac:dyDescent="0.45">
      <c r="O143">
        <f t="shared" si="76"/>
        <v>0</v>
      </c>
      <c r="P143">
        <f t="shared" si="77"/>
        <v>0</v>
      </c>
      <c r="R143" t="str" cm="1">
        <f t="array" ref="R143">IFERROR(_xlfn.AGGREGATE(15, 6, ($O$2:$O$350)/($O$2:$O$350&lt;&gt;0), ROWS($R$2:R143)), "")</f>
        <v/>
      </c>
      <c r="S143" t="str" cm="1">
        <f t="array" ref="S143">IFERROR(_xlfn.AGGREGATE(15, 6, ($P$2:$P$350)/($P$2:$P$350&lt;&gt;0), ROWS($R$2:R143)), "")</f>
        <v/>
      </c>
      <c r="U143" t="str">
        <f t="shared" ca="1" si="65"/>
        <v/>
      </c>
      <c r="V143" t="str">
        <f t="shared" ca="1" si="66"/>
        <v/>
      </c>
      <c r="W143" t="str">
        <f t="shared" ca="1" si="67"/>
        <v/>
      </c>
      <c r="X143" t="str">
        <f t="shared" ca="1" si="68"/>
        <v/>
      </c>
      <c r="Z143" t="str">
        <f t="shared" ca="1" si="75"/>
        <v/>
      </c>
      <c r="AA143" t="str">
        <f t="shared" ca="1" si="62"/>
        <v/>
      </c>
      <c r="AB143" t="str">
        <f t="shared" ca="1" si="63"/>
        <v/>
      </c>
      <c r="AC143" t="str">
        <f t="shared" ca="1" si="64"/>
        <v/>
      </c>
      <c r="AE143" t="str">
        <f t="shared" ca="1" si="69"/>
        <v/>
      </c>
      <c r="AF143" t="str">
        <f t="shared" ca="1" si="70"/>
        <v/>
      </c>
      <c r="AG143" t="str">
        <f t="shared" ca="1" si="71"/>
        <v/>
      </c>
      <c r="AH143" t="str">
        <f t="shared" ca="1" si="72"/>
        <v/>
      </c>
      <c r="AI143" t="str">
        <f t="shared" ca="1" si="73"/>
        <v/>
      </c>
      <c r="AJ143" t="str">
        <f t="shared" ca="1" si="74"/>
        <v/>
      </c>
    </row>
    <row r="144" spans="15:36" ht="18.600000000000001" customHeight="1" x14ac:dyDescent="0.45">
      <c r="O144">
        <f t="shared" si="76"/>
        <v>0</v>
      </c>
      <c r="P144">
        <f t="shared" si="77"/>
        <v>0</v>
      </c>
      <c r="R144" t="str" cm="1">
        <f t="array" ref="R144">IFERROR(_xlfn.AGGREGATE(15, 6, ($O$2:$O$350)/($O$2:$O$350&lt;&gt;0), ROWS($R$2:R144)), "")</f>
        <v/>
      </c>
      <c r="S144" t="str" cm="1">
        <f t="array" ref="S144">IFERROR(_xlfn.AGGREGATE(15, 6, ($P$2:$P$350)/($P$2:$P$350&lt;&gt;0), ROWS($R$2:R144)), "")</f>
        <v/>
      </c>
      <c r="U144" t="str">
        <f t="shared" ca="1" si="65"/>
        <v/>
      </c>
      <c r="V144" t="str">
        <f t="shared" ca="1" si="66"/>
        <v/>
      </c>
      <c r="W144" t="str">
        <f t="shared" ca="1" si="67"/>
        <v/>
      </c>
      <c r="X144" t="str">
        <f t="shared" ca="1" si="68"/>
        <v/>
      </c>
      <c r="Z144" t="str">
        <f t="shared" ca="1" si="75"/>
        <v/>
      </c>
      <c r="AA144" t="str">
        <f t="shared" ca="1" si="62"/>
        <v/>
      </c>
      <c r="AB144" t="str">
        <f t="shared" ca="1" si="63"/>
        <v/>
      </c>
      <c r="AC144" t="str">
        <f t="shared" ca="1" si="64"/>
        <v/>
      </c>
      <c r="AE144" t="str">
        <f t="shared" ca="1" si="69"/>
        <v/>
      </c>
      <c r="AF144" t="str">
        <f t="shared" ca="1" si="70"/>
        <v/>
      </c>
      <c r="AG144" t="str">
        <f t="shared" ca="1" si="71"/>
        <v/>
      </c>
      <c r="AH144" t="str">
        <f t="shared" ca="1" si="72"/>
        <v/>
      </c>
      <c r="AI144" t="str">
        <f t="shared" ca="1" si="73"/>
        <v/>
      </c>
      <c r="AJ144" t="str">
        <f t="shared" ca="1" si="74"/>
        <v/>
      </c>
    </row>
    <row r="145" spans="15:36" ht="18.600000000000001" customHeight="1" x14ac:dyDescent="0.45">
      <c r="O145">
        <f t="shared" si="76"/>
        <v>0</v>
      </c>
      <c r="P145">
        <f t="shared" si="77"/>
        <v>0</v>
      </c>
      <c r="R145" t="str" cm="1">
        <f t="array" ref="R145">IFERROR(_xlfn.AGGREGATE(15, 6, ($O$2:$O$350)/($O$2:$O$350&lt;&gt;0), ROWS($R$2:R145)), "")</f>
        <v/>
      </c>
      <c r="S145" t="str" cm="1">
        <f t="array" ref="S145">IFERROR(_xlfn.AGGREGATE(15, 6, ($P$2:$P$350)/($P$2:$P$350&lt;&gt;0), ROWS($R$2:R145)), "")</f>
        <v/>
      </c>
      <c r="U145" t="str">
        <f t="shared" ca="1" si="65"/>
        <v/>
      </c>
      <c r="V145" t="str">
        <f t="shared" ca="1" si="66"/>
        <v/>
      </c>
      <c r="W145" t="str">
        <f t="shared" ca="1" si="67"/>
        <v/>
      </c>
      <c r="X145" t="str">
        <f t="shared" ca="1" si="68"/>
        <v/>
      </c>
      <c r="Z145" t="str">
        <f t="shared" ca="1" si="75"/>
        <v/>
      </c>
      <c r="AA145" t="str">
        <f t="shared" ca="1" si="62"/>
        <v/>
      </c>
      <c r="AB145" t="str">
        <f t="shared" ca="1" si="63"/>
        <v/>
      </c>
      <c r="AC145" t="str">
        <f t="shared" ca="1" si="64"/>
        <v/>
      </c>
      <c r="AE145" t="str">
        <f t="shared" ca="1" si="69"/>
        <v/>
      </c>
      <c r="AF145" t="str">
        <f t="shared" ca="1" si="70"/>
        <v/>
      </c>
      <c r="AG145" t="str">
        <f t="shared" ca="1" si="71"/>
        <v/>
      </c>
      <c r="AH145" t="str">
        <f t="shared" ca="1" si="72"/>
        <v/>
      </c>
      <c r="AI145" t="str">
        <f t="shared" ca="1" si="73"/>
        <v/>
      </c>
      <c r="AJ145" t="str">
        <f t="shared" ca="1" si="74"/>
        <v/>
      </c>
    </row>
    <row r="146" spans="15:36" ht="18.600000000000001" customHeight="1" x14ac:dyDescent="0.45">
      <c r="O146">
        <f t="shared" si="76"/>
        <v>0</v>
      </c>
      <c r="P146">
        <f t="shared" si="77"/>
        <v>0</v>
      </c>
      <c r="R146" t="str" cm="1">
        <f t="array" ref="R146">IFERROR(_xlfn.AGGREGATE(15, 6, ($O$2:$O$350)/($O$2:$O$350&lt;&gt;0), ROWS($R$2:R146)), "")</f>
        <v/>
      </c>
      <c r="S146" t="str" cm="1">
        <f t="array" ref="S146">IFERROR(_xlfn.AGGREGATE(15, 6, ($P$2:$P$350)/($P$2:$P$350&lt;&gt;0), ROWS($R$2:R146)), "")</f>
        <v/>
      </c>
      <c r="U146" t="str">
        <f t="shared" ca="1" si="65"/>
        <v/>
      </c>
      <c r="V146" t="str">
        <f t="shared" ca="1" si="66"/>
        <v/>
      </c>
      <c r="W146" t="str">
        <f t="shared" ca="1" si="67"/>
        <v/>
      </c>
      <c r="X146" t="str">
        <f t="shared" ca="1" si="68"/>
        <v/>
      </c>
      <c r="Z146" t="str">
        <f t="shared" ca="1" si="75"/>
        <v/>
      </c>
      <c r="AA146" t="str">
        <f t="shared" ca="1" si="62"/>
        <v/>
      </c>
      <c r="AB146" t="str">
        <f t="shared" ca="1" si="63"/>
        <v/>
      </c>
      <c r="AC146" t="str">
        <f t="shared" ca="1" si="64"/>
        <v/>
      </c>
      <c r="AE146" t="str">
        <f t="shared" ca="1" si="69"/>
        <v/>
      </c>
      <c r="AF146" t="str">
        <f t="shared" ca="1" si="70"/>
        <v/>
      </c>
      <c r="AG146" t="str">
        <f t="shared" ca="1" si="71"/>
        <v/>
      </c>
      <c r="AH146" t="str">
        <f t="shared" ca="1" si="72"/>
        <v/>
      </c>
      <c r="AI146" t="str">
        <f t="shared" ca="1" si="73"/>
        <v/>
      </c>
      <c r="AJ146" t="str">
        <f t="shared" ca="1" si="74"/>
        <v/>
      </c>
    </row>
    <row r="147" spans="15:36" ht="18.600000000000001" customHeight="1" x14ac:dyDescent="0.45">
      <c r="O147">
        <f t="shared" si="76"/>
        <v>0</v>
      </c>
      <c r="P147">
        <f t="shared" si="77"/>
        <v>0</v>
      </c>
      <c r="R147" t="str" cm="1">
        <f t="array" ref="R147">IFERROR(_xlfn.AGGREGATE(15, 6, ($O$2:$O$350)/($O$2:$O$350&lt;&gt;0), ROWS($R$2:R147)), "")</f>
        <v/>
      </c>
      <c r="S147" t="str" cm="1">
        <f t="array" ref="S147">IFERROR(_xlfn.AGGREGATE(15, 6, ($P$2:$P$350)/($P$2:$P$350&lt;&gt;0), ROWS($R$2:R147)), "")</f>
        <v/>
      </c>
      <c r="U147" t="str">
        <f t="shared" ca="1" si="65"/>
        <v/>
      </c>
      <c r="V147" t="str">
        <f t="shared" ca="1" si="66"/>
        <v/>
      </c>
      <c r="W147" t="str">
        <f t="shared" ca="1" si="67"/>
        <v/>
      </c>
      <c r="X147" t="str">
        <f t="shared" ca="1" si="68"/>
        <v/>
      </c>
      <c r="Z147" t="str">
        <f t="shared" ca="1" si="75"/>
        <v/>
      </c>
      <c r="AA147" t="str">
        <f t="shared" ca="1" si="62"/>
        <v/>
      </c>
      <c r="AB147" t="str">
        <f t="shared" ca="1" si="63"/>
        <v/>
      </c>
      <c r="AC147" t="str">
        <f t="shared" ca="1" si="64"/>
        <v/>
      </c>
      <c r="AE147" t="str">
        <f t="shared" ca="1" si="69"/>
        <v/>
      </c>
      <c r="AF147" t="str">
        <f t="shared" ca="1" si="70"/>
        <v/>
      </c>
      <c r="AG147" t="str">
        <f t="shared" ca="1" si="71"/>
        <v/>
      </c>
      <c r="AH147" t="str">
        <f t="shared" ca="1" si="72"/>
        <v/>
      </c>
      <c r="AI147" t="str">
        <f t="shared" ca="1" si="73"/>
        <v/>
      </c>
      <c r="AJ147" t="str">
        <f t="shared" ca="1" si="74"/>
        <v/>
      </c>
    </row>
    <row r="148" spans="15:36" ht="18.600000000000001" customHeight="1" x14ac:dyDescent="0.45">
      <c r="O148">
        <f t="shared" si="76"/>
        <v>0</v>
      </c>
      <c r="P148">
        <f t="shared" si="77"/>
        <v>0</v>
      </c>
      <c r="R148" t="str" cm="1">
        <f t="array" ref="R148">IFERROR(_xlfn.AGGREGATE(15, 6, ($O$2:$O$350)/($O$2:$O$350&lt;&gt;0), ROWS($R$2:R148)), "")</f>
        <v/>
      </c>
      <c r="S148" t="str" cm="1">
        <f t="array" ref="S148">IFERROR(_xlfn.AGGREGATE(15, 6, ($P$2:$P$350)/($P$2:$P$350&lt;&gt;0), ROWS($R$2:R148)), "")</f>
        <v/>
      </c>
      <c r="U148" t="str">
        <f t="shared" ca="1" si="65"/>
        <v/>
      </c>
      <c r="V148" t="str">
        <f t="shared" ca="1" si="66"/>
        <v/>
      </c>
      <c r="W148" t="str">
        <f t="shared" ca="1" si="67"/>
        <v/>
      </c>
      <c r="X148" t="str">
        <f t="shared" ca="1" si="68"/>
        <v/>
      </c>
      <c r="Z148" t="str">
        <f t="shared" ca="1" si="75"/>
        <v/>
      </c>
      <c r="AA148" t="str">
        <f t="shared" ca="1" si="62"/>
        <v/>
      </c>
      <c r="AB148" t="str">
        <f t="shared" ca="1" si="63"/>
        <v/>
      </c>
      <c r="AC148" t="str">
        <f t="shared" ca="1" si="64"/>
        <v/>
      </c>
      <c r="AE148" t="str">
        <f t="shared" ca="1" si="69"/>
        <v/>
      </c>
      <c r="AF148" t="str">
        <f t="shared" ca="1" si="70"/>
        <v/>
      </c>
      <c r="AG148" t="str">
        <f t="shared" ca="1" si="71"/>
        <v/>
      </c>
      <c r="AH148" t="str">
        <f t="shared" ca="1" si="72"/>
        <v/>
      </c>
      <c r="AI148" t="str">
        <f t="shared" ca="1" si="73"/>
        <v/>
      </c>
      <c r="AJ148" t="str">
        <f t="shared" ca="1" si="74"/>
        <v/>
      </c>
    </row>
    <row r="149" spans="15:36" ht="18.600000000000001" customHeight="1" x14ac:dyDescent="0.45">
      <c r="O149">
        <f t="shared" si="76"/>
        <v>0</v>
      </c>
      <c r="P149">
        <f t="shared" si="77"/>
        <v>0</v>
      </c>
      <c r="R149" t="str" cm="1">
        <f t="array" ref="R149">IFERROR(_xlfn.AGGREGATE(15, 6, ($O$2:$O$350)/($O$2:$O$350&lt;&gt;0), ROWS($R$2:R149)), "")</f>
        <v/>
      </c>
      <c r="S149" t="str" cm="1">
        <f t="array" ref="S149">IFERROR(_xlfn.AGGREGATE(15, 6, ($P$2:$P$350)/($P$2:$P$350&lt;&gt;0), ROWS($R$2:R149)), "")</f>
        <v/>
      </c>
      <c r="U149" t="str">
        <f t="shared" ca="1" si="65"/>
        <v/>
      </c>
      <c r="V149" t="str">
        <f t="shared" ca="1" si="66"/>
        <v/>
      </c>
      <c r="W149" t="str">
        <f t="shared" ca="1" si="67"/>
        <v/>
      </c>
      <c r="X149" t="str">
        <f t="shared" ca="1" si="68"/>
        <v/>
      </c>
      <c r="Z149" t="str">
        <f t="shared" ca="1" si="75"/>
        <v/>
      </c>
      <c r="AA149" t="str">
        <f t="shared" ca="1" si="62"/>
        <v/>
      </c>
      <c r="AB149" t="str">
        <f t="shared" ca="1" si="63"/>
        <v/>
      </c>
      <c r="AC149" t="str">
        <f t="shared" ca="1" si="64"/>
        <v/>
      </c>
      <c r="AE149" t="str">
        <f t="shared" ca="1" si="69"/>
        <v/>
      </c>
      <c r="AF149" t="str">
        <f t="shared" ca="1" si="70"/>
        <v/>
      </c>
      <c r="AG149" t="str">
        <f t="shared" ca="1" si="71"/>
        <v/>
      </c>
      <c r="AH149" t="str">
        <f t="shared" ca="1" si="72"/>
        <v/>
      </c>
      <c r="AI149" t="str">
        <f t="shared" ca="1" si="73"/>
        <v/>
      </c>
      <c r="AJ149" t="str">
        <f t="shared" ca="1" si="74"/>
        <v/>
      </c>
    </row>
    <row r="150" spans="15:36" ht="18.600000000000001" customHeight="1" x14ac:dyDescent="0.45">
      <c r="O150">
        <f t="shared" si="76"/>
        <v>0</v>
      </c>
      <c r="P150">
        <f t="shared" si="77"/>
        <v>0</v>
      </c>
      <c r="R150" t="str" cm="1">
        <f t="array" ref="R150">IFERROR(_xlfn.AGGREGATE(15, 6, ($O$2:$O$350)/($O$2:$O$350&lt;&gt;0), ROWS($R$2:R150)), "")</f>
        <v/>
      </c>
      <c r="S150" t="str" cm="1">
        <f t="array" ref="S150">IFERROR(_xlfn.AGGREGATE(15, 6, ($P$2:$P$350)/($P$2:$P$350&lt;&gt;0), ROWS($R$2:R150)), "")</f>
        <v/>
      </c>
      <c r="U150" t="str">
        <f t="shared" ca="1" si="65"/>
        <v/>
      </c>
      <c r="V150" t="str">
        <f t="shared" ca="1" si="66"/>
        <v/>
      </c>
      <c r="W150" t="str">
        <f t="shared" ca="1" si="67"/>
        <v/>
      </c>
      <c r="X150" t="str">
        <f t="shared" ca="1" si="68"/>
        <v/>
      </c>
      <c r="Z150" t="str">
        <f t="shared" ca="1" si="75"/>
        <v/>
      </c>
      <c r="AA150" t="str">
        <f t="shared" ca="1" si="62"/>
        <v/>
      </c>
      <c r="AB150" t="str">
        <f t="shared" ca="1" si="63"/>
        <v/>
      </c>
      <c r="AC150" t="str">
        <f t="shared" ca="1" si="64"/>
        <v/>
      </c>
      <c r="AE150" t="str">
        <f t="shared" ca="1" si="69"/>
        <v/>
      </c>
      <c r="AF150" t="str">
        <f t="shared" ca="1" si="70"/>
        <v/>
      </c>
      <c r="AG150" t="str">
        <f t="shared" ca="1" si="71"/>
        <v/>
      </c>
      <c r="AH150" t="str">
        <f t="shared" ca="1" si="72"/>
        <v/>
      </c>
      <c r="AI150" t="str">
        <f t="shared" ca="1" si="73"/>
        <v/>
      </c>
      <c r="AJ150" t="str">
        <f t="shared" ca="1" si="74"/>
        <v/>
      </c>
    </row>
    <row r="151" spans="15:36" ht="18.600000000000001" customHeight="1" x14ac:dyDescent="0.45">
      <c r="O151">
        <f t="shared" si="76"/>
        <v>0</v>
      </c>
      <c r="P151">
        <f t="shared" si="77"/>
        <v>0</v>
      </c>
      <c r="R151" t="str" cm="1">
        <f t="array" ref="R151">IFERROR(_xlfn.AGGREGATE(15, 6, ($O$2:$O$350)/($O$2:$O$350&lt;&gt;0), ROWS($R$2:R151)), "")</f>
        <v/>
      </c>
      <c r="S151" t="str" cm="1">
        <f t="array" ref="S151">IFERROR(_xlfn.AGGREGATE(15, 6, ($P$2:$P$350)/($P$2:$P$350&lt;&gt;0), ROWS($R$2:R151)), "")</f>
        <v/>
      </c>
      <c r="U151" t="str">
        <f t="shared" ca="1" si="65"/>
        <v/>
      </c>
      <c r="V151" t="str">
        <f t="shared" ca="1" si="66"/>
        <v/>
      </c>
      <c r="W151" t="str">
        <f t="shared" ca="1" si="67"/>
        <v/>
      </c>
      <c r="X151" t="str">
        <f t="shared" ca="1" si="68"/>
        <v/>
      </c>
      <c r="Z151" t="str">
        <f t="shared" ca="1" si="75"/>
        <v/>
      </c>
      <c r="AA151" t="str">
        <f t="shared" ca="1" si="62"/>
        <v/>
      </c>
      <c r="AB151" t="str">
        <f t="shared" ca="1" si="63"/>
        <v/>
      </c>
      <c r="AC151" t="str">
        <f t="shared" ca="1" si="64"/>
        <v/>
      </c>
      <c r="AE151" t="str">
        <f t="shared" ca="1" si="69"/>
        <v/>
      </c>
      <c r="AF151" t="str">
        <f t="shared" ca="1" si="70"/>
        <v/>
      </c>
      <c r="AG151" t="str">
        <f t="shared" ca="1" si="71"/>
        <v/>
      </c>
      <c r="AH151" t="str">
        <f t="shared" ca="1" si="72"/>
        <v/>
      </c>
      <c r="AI151" t="str">
        <f t="shared" ca="1" si="73"/>
        <v/>
      </c>
      <c r="AJ151" t="str">
        <f t="shared" ca="1" si="74"/>
        <v/>
      </c>
    </row>
    <row r="152" spans="15:36" ht="18.600000000000001" customHeight="1" x14ac:dyDescent="0.45">
      <c r="O152">
        <f t="shared" si="76"/>
        <v>0</v>
      </c>
      <c r="P152">
        <f t="shared" si="77"/>
        <v>0</v>
      </c>
      <c r="R152" t="str" cm="1">
        <f t="array" ref="R152">IFERROR(_xlfn.AGGREGATE(15, 6, ($O$2:$O$350)/($O$2:$O$350&lt;&gt;0), ROWS($R$2:R152)), "")</f>
        <v/>
      </c>
      <c r="S152" t="str" cm="1">
        <f t="array" ref="S152">IFERROR(_xlfn.AGGREGATE(15, 6, ($P$2:$P$350)/($P$2:$P$350&lt;&gt;0), ROWS($R$2:R152)), "")</f>
        <v/>
      </c>
      <c r="U152" t="str">
        <f t="shared" ca="1" si="65"/>
        <v/>
      </c>
      <c r="V152" t="str">
        <f t="shared" ca="1" si="66"/>
        <v/>
      </c>
      <c r="W152" t="str">
        <f t="shared" ca="1" si="67"/>
        <v/>
      </c>
      <c r="X152" t="str">
        <f t="shared" ca="1" si="68"/>
        <v/>
      </c>
      <c r="Z152" t="str">
        <f t="shared" ca="1" si="75"/>
        <v/>
      </c>
      <c r="AA152" t="str">
        <f t="shared" ca="1" si="62"/>
        <v/>
      </c>
      <c r="AB152" t="str">
        <f t="shared" ca="1" si="63"/>
        <v/>
      </c>
      <c r="AC152" t="str">
        <f t="shared" ca="1" si="64"/>
        <v/>
      </c>
      <c r="AE152" t="str">
        <f t="shared" ca="1" si="69"/>
        <v/>
      </c>
      <c r="AF152" t="str">
        <f t="shared" ca="1" si="70"/>
        <v/>
      </c>
      <c r="AG152" t="str">
        <f t="shared" ca="1" si="71"/>
        <v/>
      </c>
      <c r="AH152" t="str">
        <f t="shared" ca="1" si="72"/>
        <v/>
      </c>
      <c r="AI152" t="str">
        <f t="shared" ca="1" si="73"/>
        <v/>
      </c>
      <c r="AJ152" t="str">
        <f t="shared" ca="1" si="74"/>
        <v/>
      </c>
    </row>
    <row r="153" spans="15:36" ht="18.600000000000001" customHeight="1" x14ac:dyDescent="0.45">
      <c r="O153">
        <f t="shared" si="76"/>
        <v>0</v>
      </c>
      <c r="P153">
        <f t="shared" si="77"/>
        <v>0</v>
      </c>
      <c r="R153" t="str" cm="1">
        <f t="array" ref="R153">IFERROR(_xlfn.AGGREGATE(15, 6, ($O$2:$O$350)/($O$2:$O$350&lt;&gt;0), ROWS($R$2:R153)), "")</f>
        <v/>
      </c>
      <c r="S153" t="str" cm="1">
        <f t="array" ref="S153">IFERROR(_xlfn.AGGREGATE(15, 6, ($P$2:$P$350)/($P$2:$P$350&lt;&gt;0), ROWS($R$2:R153)), "")</f>
        <v/>
      </c>
      <c r="U153" t="str">
        <f t="shared" ca="1" si="65"/>
        <v/>
      </c>
      <c r="V153" t="str">
        <f t="shared" ca="1" si="66"/>
        <v/>
      </c>
      <c r="W153" t="str">
        <f t="shared" ca="1" si="67"/>
        <v/>
      </c>
      <c r="X153" t="str">
        <f t="shared" ca="1" si="68"/>
        <v/>
      </c>
      <c r="Z153" t="str">
        <f t="shared" ca="1" si="75"/>
        <v/>
      </c>
      <c r="AA153" t="str">
        <f t="shared" ca="1" si="62"/>
        <v/>
      </c>
      <c r="AB153" t="str">
        <f t="shared" ca="1" si="63"/>
        <v/>
      </c>
      <c r="AC153" t="str">
        <f t="shared" ca="1" si="64"/>
        <v/>
      </c>
      <c r="AE153" t="str">
        <f t="shared" ca="1" si="69"/>
        <v/>
      </c>
      <c r="AF153" t="str">
        <f t="shared" ca="1" si="70"/>
        <v/>
      </c>
      <c r="AG153" t="str">
        <f t="shared" ca="1" si="71"/>
        <v/>
      </c>
      <c r="AH153" t="str">
        <f t="shared" ca="1" si="72"/>
        <v/>
      </c>
      <c r="AI153" t="str">
        <f t="shared" ca="1" si="73"/>
        <v/>
      </c>
      <c r="AJ153" t="str">
        <f t="shared" ca="1" si="74"/>
        <v/>
      </c>
    </row>
    <row r="154" spans="15:36" ht="18.600000000000001" customHeight="1" x14ac:dyDescent="0.45">
      <c r="O154">
        <f t="shared" si="76"/>
        <v>0</v>
      </c>
      <c r="P154">
        <f t="shared" si="77"/>
        <v>0</v>
      </c>
      <c r="R154" t="str" cm="1">
        <f t="array" ref="R154">IFERROR(_xlfn.AGGREGATE(15, 6, ($O$2:$O$350)/($O$2:$O$350&lt;&gt;0), ROWS($R$2:R154)), "")</f>
        <v/>
      </c>
      <c r="S154" t="str" cm="1">
        <f t="array" ref="S154">IFERROR(_xlfn.AGGREGATE(15, 6, ($P$2:$P$350)/($P$2:$P$350&lt;&gt;0), ROWS($R$2:R154)), "")</f>
        <v/>
      </c>
      <c r="U154" t="str">
        <f t="shared" ca="1" si="65"/>
        <v/>
      </c>
      <c r="V154" t="str">
        <f t="shared" ca="1" si="66"/>
        <v/>
      </c>
      <c r="W154" t="str">
        <f t="shared" ca="1" si="67"/>
        <v/>
      </c>
      <c r="X154" t="str">
        <f t="shared" ca="1" si="68"/>
        <v/>
      </c>
      <c r="Z154" t="str">
        <f t="shared" ca="1" si="75"/>
        <v/>
      </c>
      <c r="AA154" t="str">
        <f t="shared" ca="1" si="62"/>
        <v/>
      </c>
      <c r="AB154" t="str">
        <f t="shared" ca="1" si="63"/>
        <v/>
      </c>
      <c r="AC154" t="str">
        <f t="shared" ca="1" si="64"/>
        <v/>
      </c>
      <c r="AE154" t="str">
        <f t="shared" ca="1" si="69"/>
        <v/>
      </c>
      <c r="AF154" t="str">
        <f t="shared" ca="1" si="70"/>
        <v/>
      </c>
      <c r="AG154" t="str">
        <f t="shared" ca="1" si="71"/>
        <v/>
      </c>
      <c r="AH154" t="str">
        <f t="shared" ca="1" si="72"/>
        <v/>
      </c>
      <c r="AI154" t="str">
        <f t="shared" ca="1" si="73"/>
        <v/>
      </c>
      <c r="AJ154" t="str">
        <f t="shared" ca="1" si="74"/>
        <v/>
      </c>
    </row>
    <row r="155" spans="15:36" ht="18.600000000000001" customHeight="1" x14ac:dyDescent="0.45">
      <c r="O155">
        <f t="shared" si="76"/>
        <v>0</v>
      </c>
      <c r="P155">
        <f t="shared" si="77"/>
        <v>0</v>
      </c>
      <c r="R155" t="str" cm="1">
        <f t="array" ref="R155">IFERROR(_xlfn.AGGREGATE(15, 6, ($O$2:$O$350)/($O$2:$O$350&lt;&gt;0), ROWS($R$2:R155)), "")</f>
        <v/>
      </c>
      <c r="S155" t="str" cm="1">
        <f t="array" ref="S155">IFERROR(_xlfn.AGGREGATE(15, 6, ($P$2:$P$350)/($P$2:$P$350&lt;&gt;0), ROWS($R$2:R155)), "")</f>
        <v/>
      </c>
      <c r="U155" t="str">
        <f t="shared" ca="1" si="65"/>
        <v/>
      </c>
      <c r="V155" t="str">
        <f t="shared" ca="1" si="66"/>
        <v/>
      </c>
      <c r="W155" t="str">
        <f t="shared" ca="1" si="67"/>
        <v/>
      </c>
      <c r="X155" t="str">
        <f t="shared" ca="1" si="68"/>
        <v/>
      </c>
      <c r="Z155" t="str">
        <f t="shared" ca="1" si="75"/>
        <v/>
      </c>
      <c r="AA155" t="str">
        <f t="shared" ca="1" si="62"/>
        <v/>
      </c>
      <c r="AB155" t="str">
        <f t="shared" ca="1" si="63"/>
        <v/>
      </c>
      <c r="AC155" t="str">
        <f t="shared" ca="1" si="64"/>
        <v/>
      </c>
      <c r="AE155" t="str">
        <f t="shared" ca="1" si="69"/>
        <v/>
      </c>
      <c r="AF155" t="str">
        <f t="shared" ca="1" si="70"/>
        <v/>
      </c>
      <c r="AG155" t="str">
        <f t="shared" ca="1" si="71"/>
        <v/>
      </c>
      <c r="AH155" t="str">
        <f t="shared" ca="1" si="72"/>
        <v/>
      </c>
      <c r="AI155" t="str">
        <f t="shared" ca="1" si="73"/>
        <v/>
      </c>
      <c r="AJ155" t="str">
        <f t="shared" ca="1" si="74"/>
        <v/>
      </c>
    </row>
    <row r="156" spans="15:36" ht="18.600000000000001" customHeight="1" x14ac:dyDescent="0.45">
      <c r="O156">
        <f t="shared" si="76"/>
        <v>0</v>
      </c>
      <c r="P156">
        <f t="shared" si="77"/>
        <v>0</v>
      </c>
      <c r="R156" t="str" cm="1">
        <f t="array" ref="R156">IFERROR(_xlfn.AGGREGATE(15, 6, ($O$2:$O$350)/($O$2:$O$350&lt;&gt;0), ROWS($R$2:R156)), "")</f>
        <v/>
      </c>
      <c r="S156" t="str" cm="1">
        <f t="array" ref="S156">IFERROR(_xlfn.AGGREGATE(15, 6, ($P$2:$P$350)/($P$2:$P$350&lt;&gt;0), ROWS($R$2:R156)), "")</f>
        <v/>
      </c>
      <c r="U156" t="str">
        <f t="shared" ca="1" si="65"/>
        <v/>
      </c>
      <c r="V156" t="str">
        <f t="shared" ca="1" si="66"/>
        <v/>
      </c>
      <c r="W156" t="str">
        <f t="shared" ca="1" si="67"/>
        <v/>
      </c>
      <c r="X156" t="str">
        <f t="shared" ca="1" si="68"/>
        <v/>
      </c>
      <c r="Z156" t="str">
        <f t="shared" ca="1" si="75"/>
        <v/>
      </c>
      <c r="AA156" t="str">
        <f t="shared" ca="1" si="62"/>
        <v/>
      </c>
      <c r="AB156" t="str">
        <f t="shared" ca="1" si="63"/>
        <v/>
      </c>
      <c r="AC156" t="str">
        <f t="shared" ca="1" si="64"/>
        <v/>
      </c>
      <c r="AE156" t="str">
        <f t="shared" ca="1" si="69"/>
        <v/>
      </c>
      <c r="AF156" t="str">
        <f t="shared" ca="1" si="70"/>
        <v/>
      </c>
      <c r="AG156" t="str">
        <f t="shared" ca="1" si="71"/>
        <v/>
      </c>
      <c r="AH156" t="str">
        <f t="shared" ca="1" si="72"/>
        <v/>
      </c>
      <c r="AI156" t="str">
        <f t="shared" ca="1" si="73"/>
        <v/>
      </c>
      <c r="AJ156" t="str">
        <f t="shared" ca="1" si="74"/>
        <v/>
      </c>
    </row>
    <row r="157" spans="15:36" ht="18.600000000000001" customHeight="1" x14ac:dyDescent="0.45">
      <c r="O157">
        <f t="shared" si="76"/>
        <v>0</v>
      </c>
      <c r="P157">
        <f t="shared" si="77"/>
        <v>0</v>
      </c>
      <c r="R157" t="str" cm="1">
        <f t="array" ref="R157">IFERROR(_xlfn.AGGREGATE(15, 6, ($O$2:$O$350)/($O$2:$O$350&lt;&gt;0), ROWS($R$2:R157)), "")</f>
        <v/>
      </c>
      <c r="S157" t="str" cm="1">
        <f t="array" ref="S157">IFERROR(_xlfn.AGGREGATE(15, 6, ($P$2:$P$350)/($P$2:$P$350&lt;&gt;0), ROWS($R$2:R157)), "")</f>
        <v/>
      </c>
      <c r="U157" t="str">
        <f t="shared" ca="1" si="65"/>
        <v/>
      </c>
      <c r="V157" t="str">
        <f t="shared" ca="1" si="66"/>
        <v/>
      </c>
      <c r="W157" t="str">
        <f t="shared" ca="1" si="67"/>
        <v/>
      </c>
      <c r="X157" t="str">
        <f t="shared" ca="1" si="68"/>
        <v/>
      </c>
      <c r="Z157" t="str">
        <f t="shared" ca="1" si="75"/>
        <v/>
      </c>
      <c r="AA157" t="str">
        <f t="shared" ref="AA157:AA220" ca="1" si="78">IFERROR(IF(S157&lt;&gt;"",
IF(Z157&lt;&gt;"",
IF(COUNTIF(OFFSET($A$1,$S157-1,Z157),"*g*"),
Z157,IF(COUNTIF(OFFSET($A$1,$S157-1,Z157+1),"*g*"),Z157+2,
IF(OFFSET($A$1,$S157-1,Z157)=".","",
IF(OFFSET($A$1,$S157-1,Z157)=OFFSET($A$1,$S157-1,Z157+1),Z157+1,Z157+2)))),
IF(COUNTIF(OFFSET($A$1,$S157-1,2),"*g*"),
2,IF(COUNTIF(OFFSET($A$1,$S157-1,2+1),"*g*"),2+2,
IF(OFFSET($A$1,$S157-1,2)=".","",
IF(OFFSET($A$1,$S157-1,2)=OFFSET($A$1,$S157-1,2+1),
IF(OFFSET($A$1,$S157-1,2+1)=0,"",2+1),
IF(OFFSET($A$1,$S157-1,2)&lt;&gt;"",2,
IF(OFFSET($A$1,$S157-1,2+1)&lt;&gt;"",2+1,""))))))),""),"")</f>
        <v/>
      </c>
      <c r="AB157" t="str">
        <f t="shared" ref="AB157:AB220" ca="1" si="79">IFERROR(IF(S157&lt;&gt;"",
IF(COUNTIF(OFFSET($A$1,$S157-1,AA157),"*g*"),
AA157,IF(COUNTIF(OFFSET($A$1,$S157-1,AA157+1),"*g*"),AA157+2,
IF(OFFSET($A$1,$S157-1,AA157)=".","",
IF(OFFSET($A$1,$S157-1,AA157)=OFFSET($A$1,$S157-1,AA157+1),AA157+1,AA157+2)))),""),"")</f>
        <v/>
      </c>
      <c r="AC157" t="str">
        <f t="shared" ref="AC157:AC220" ca="1" si="80">IFERROR(IF(S157&lt;&gt;"",
IF(COUNTIF(OFFSET($A$1,$S157-1,AB157),"*g*"),
AB157,IF(COUNTIF(OFFSET($A$1,$S157-1,AB157+1),"*g*"),AB157+2,
IF(OFFSET($A$1,$S157-1,AB157)=".","",
IF(OFFSET($A$1,$S157-1,AB157)=OFFSET($A$1,$S157-1,AB157+1),AB157+1,
IF(OFFSET($A$1,$S157-1,AB157+1)&lt;&gt;0,AB157+2,
IF(OFFSET($A$1,$S157-1,AB157)&lt;&gt;0,AB157+1,"")))))),""),"")</f>
        <v/>
      </c>
      <c r="AE157" t="str">
        <f t="shared" ca="1" si="69"/>
        <v/>
      </c>
      <c r="AF157" t="str">
        <f t="shared" ca="1" si="70"/>
        <v/>
      </c>
      <c r="AG157" t="str">
        <f t="shared" ca="1" si="71"/>
        <v/>
      </c>
      <c r="AH157" t="str">
        <f t="shared" ca="1" si="72"/>
        <v/>
      </c>
      <c r="AI157" t="str">
        <f t="shared" ca="1" si="73"/>
        <v/>
      </c>
      <c r="AJ157" t="str">
        <f t="shared" ca="1" si="74"/>
        <v/>
      </c>
    </row>
    <row r="158" spans="15:36" ht="18.600000000000001" customHeight="1" x14ac:dyDescent="0.45">
      <c r="O158">
        <f t="shared" si="76"/>
        <v>0</v>
      </c>
      <c r="P158">
        <f t="shared" si="77"/>
        <v>0</v>
      </c>
      <c r="R158" t="str" cm="1">
        <f t="array" ref="R158">IFERROR(_xlfn.AGGREGATE(15, 6, ($O$2:$O$350)/($O$2:$O$350&lt;&gt;0), ROWS($R$2:R158)), "")</f>
        <v/>
      </c>
      <c r="S158" t="str" cm="1">
        <f t="array" ref="S158">IFERROR(_xlfn.AGGREGATE(15, 6, ($P$2:$P$350)/($P$2:$P$350&lt;&gt;0), ROWS($R$2:R158)), "")</f>
        <v/>
      </c>
      <c r="U158" t="str">
        <f t="shared" ref="U158:U221" ca="1" si="81">IF(R158&lt;&gt;"",
IF(COUNTIF(OFFSET($A$1,$R158-1,0),"*/*"),
IF(COUNTIF(OFFSET($A$1,$R158-1,1),"*/*"),"",2),1),"")</f>
        <v/>
      </c>
      <c r="V158" t="str">
        <f t="shared" ref="V158:V221" ca="1" si="82">IF(R158&lt;&gt;"",IF(U158&lt;&gt;"",
IF(COUNTIF(OFFSET($A$1,$R158-1,U158),"*/*"),
IF(COUNTIF(OFFSET($A$1,$R158-1,U158+1),"*/*"),"",U158+2),U158+1),
IF(COUNTIF(OFFSET($A$1,$R158-1,1),"*/*"),
IF(COUNTIF(OFFSET($A$1,$R158-1,1+1),"*/*"),"",1+2),1+1)),"")</f>
        <v/>
      </c>
      <c r="W158" t="str">
        <f t="shared" ref="W158:W221" ca="1" si="83">IF(R158&lt;&gt;"",IF(V158&lt;&gt;"",
IF(COUNTIF(OFFSET($A$1,$R158-1,V158),"*/*"),
IF(COUNTIF(OFFSET($A$1,$R158-1,V158+1),"*/*"),"",V158+2),V158+1),
IF(COUNTIF(OFFSET($A$1,$R158-1,2),"*/*"),
IF(COUNTIF(OFFSET($A$1,$R158-1,2+1),"*/*"),"",2+2),2+1)),"")</f>
        <v/>
      </c>
      <c r="X158" t="str">
        <f t="shared" ref="X158:X221" ca="1" si="84">IF(R158&lt;&gt;"",IF(W158&lt;&gt;"",
IF(COUNTIF(OFFSET($A$1,$R158-1,W158),"*/*"),
IF(COUNTIF(OFFSET($A$1,$R158-1,W158+1),"*/*"),"",W158+2),W158+1),
IF(COUNTIF(OFFSET($A$1,$R158-1,5),"*/*"),
IF(COUNTIF(OFFSET($A$1,$R158-1,5+1),"*/*"),"",
IF(OFFSET($A$1,R158-1,5+2-1)=0,"",5+2)),IF(OFFSET($A$1,R158-1,5+1-1)=0,"",5+1))),"")</f>
        <v/>
      </c>
      <c r="Z158" t="str">
        <f t="shared" ca="1" si="75"/>
        <v/>
      </c>
      <c r="AA158" t="str">
        <f t="shared" ca="1" si="78"/>
        <v/>
      </c>
      <c r="AB158" t="str">
        <f t="shared" ca="1" si="79"/>
        <v/>
      </c>
      <c r="AC158" t="str">
        <f t="shared" ca="1" si="80"/>
        <v/>
      </c>
      <c r="AE158" t="str">
        <f t="shared" ref="AE158:AE221" ca="1" si="85">IF(R158&lt;&gt;"",
IF(AND($S158-$R157&gt;3,COUNTIF(OFFSET($A$1,$R157+($S158-$R157-4),0),"&lt;&gt;*テキスト*")),
IF(OFFSET($A$1,$R157+($S158-$R157-4),0)=OFFSET($A$1,$R157+($S158-$R157-4),1),1,
IF(OFFSET($A$1,$R157+($S158-$R157-4),0)=OFFSET($A$1,$R157+($S158-$R157-4),2),2,
IF(OFFSET($A$1,$R157+($S158-$R157-4),0)=OFFSET($A$1,$R157+($S158-$R157-4),3),3,4))),
IF(AND($S158-$R157&gt;2,COUNTIF(OFFSET($A$1,$R157+($S158-$R157-3),0),"&lt;&gt;*テキスト*")),
IF(OFFSET($A$1,$R157+($S158-$R157-3),0)=OFFSET($A$1,$R157+($S158-$R157-3),1),1,
IF(OFFSET($A$1,$R157+($S158-$R157-3),0)=OFFSET($A$1,$R157+($S158-$R157-3),2),2,
IF(OFFSET($A$1,$R157+($S158-$R157-3),0)=OFFSET($A$1,$R157+($S158-$R157-3),3),3,4))),
IF(COUNTIF(OFFSET($A$1,$R157+($S158-$R157-2),0),"*様*"),1,
IF(COUNTIF(OFFSET($A$1,$R157+($S158-$R157-2),1),"*様*"),2,
IF(COUNTIF(OFFSET($A$1,$R157+($S158-$R157-2),2),"*様*"),3,4))))),"")</f>
        <v/>
      </c>
      <c r="AF158" t="str">
        <f t="shared" ref="AF158:AF221" ca="1" si="86">IF(R158&lt;&gt;"",
IF(AND($S158-$R157&gt;3,COUNTIF(OFFSET($A$1,$R157+($S158-$R157-4),0),"&lt;&gt;*テキスト*")),
IFERROR(IF(OFFSET($A$1,$R157+($S158-$R157-4),AE158)=0,"",
IF(OFFSET($A$1,$R157+($S158-$R157-4),AE158)=OFFSET($A$1,$R157+($S158-$R157-4),AE158+1),1+AE158,
IF(OFFSET($A$1,$R157+($S158-$R157-4),AE158)=OFFSET($A$1,$R157+($S158-$R157-4),AE158+2),2+AE158,
IF(OFFSET($A$1,$R157+($S158-$R157-4),AE158)=OFFSET($A$1,$R157+($S158-$R157-4),AE158+3),3+AE158,3+AE158)))),""),
IF(AND($S158-$R157&gt;2,COUNTIF(OFFSET($A$1,$R157+($S158-$R157-3),0),"&lt;&gt;*テキスト*")),
IFERROR(IF(OFFSET($A$1,$R157+($S158-$R157-3),AE158)=0,"",
IF(OFFSET($A$1,$R157+($S158-$R157-3),AE158)=OFFSET($A$1,$R157+($S158-$R157-3),AE158+1),1+AE158,
IF(OFFSET($A$1,$R157+($S158-$R157-3),AE158)=OFFSET($A$1,$R157+($S158-$R157-3),AE158+2),2+AE158,
IF(OFFSET($A$1,$R157+($S158-$R157-3),AE158)=OFFSET($A$1,$R157+($S158-$R157-3),AE158+3),3+AE158,3+AE158)))),""),
IF(COUNTIF(OFFSET($A$1,$R157+($S158-$R157-2),AE158),"*様*"),1+AE158,
IF(COUNTIF(OFFSET($A$1,$R157+($S158-$R157-2),AE158+1),"*様*"),2+AE158,
IF(COUNTIF(OFFSET($A$1,$R157+($S158-$R157-2),AE158+2),"*様*"),3+AE158,4+AE158))))),"")</f>
        <v/>
      </c>
      <c r="AG158" t="str">
        <f t="shared" ref="AG158:AG221" ca="1" si="87">IF(R158&lt;&gt;"",
IF(AND($S158-$R157&gt;3,COUNTIF(OFFSET($A$1,$R157+($S158-$R157-4),0),"&lt;&gt;*テキスト*")),
IFERROR(IF(OFFSET($A$1,$R157+($S158-$R157-4),AF158)=0,"",
IF(OFFSET($A$1,$R157+($S158-$R157-4),AF158)=OFFSET($A$1,$R157+($S158-$R157-4),AF158+1),1+AF158,
IF(OFFSET($A$1,$R157+($S158-$R157-4),AF158)=OFFSET($A$1,$R157+($S158-$R157-4),AF158+2),2+AF158,
IF(OFFSET($A$1,$R157+($S158-$R157-4),AF158)=OFFSET($A$1,$R157+($S158-$R157-4),AF158+3),3+AF158,3+AF158)))),""),
IF(AND($S158-$R157&gt;2,COUNTIF(OFFSET($A$1,$R157+($S158-$R157-3),0),"&lt;&gt;*テキスト*")),
IFERROR(IF(OFFSET($A$1,$R157+($S158-$R157-3),AF158)=0,"",
IF(OFFSET($A$1,$R157+($S158-$R157-3),AF158)=OFFSET($A$1,$R157+($S158-$R157-3),AF158+1),1+AF158,
IF(OFFSET($A$1,$R157+($S158-$R157-3),AF158)=OFFSET($A$1,$R157+($S158-$R157-3),AF158+2),2+AF158,
IF(OFFSET($A$1,$R157+($S158-$R157-3),AF158)=OFFSET($A$1,$R157+($S158-$R157-3),AF158+3),3+AF158,3+AF158)))),""),
IF(COUNTIF(OFFSET($A$1,$R157+($S158-$R157-2),AF158),"*様*"),1+AF158,
IF(COUNTIF(OFFSET($A$1,$R157+($S158-$R157-2),AF158+1),"*様*"),2+AF158,
IF(COUNTIF(OFFSET($A$1,$R157+($S158-$R157-2),AF158+2),"*様*"),3+AF158,4+AF158))))),"")</f>
        <v/>
      </c>
      <c r="AH158" t="str">
        <f t="shared" ref="AH158:AH221" ca="1" si="88">IF(R158&lt;&gt;"",
IF(AND($S158-$R157&gt;3,COUNTIF(OFFSET($A$1,$R157+($S158-$R157-4),0),"&lt;&gt;*テキスト*")),
IFERROR(IF(OFFSET($A$1,$R157+($S158-$R157-4),AG158)=0,"",
IF(OFFSET($A$1,$R157+($S158-$R157-4),AG158)=OFFSET($A$1,$R157+($S158-$R157-4),AG158+1),1+AG158,
IF(OFFSET($A$1,$R157+($S158-$R157-4),AG158)=OFFSET($A$1,$R157+($S158-$R157-4),AG158+2),2+AG158,
IF(OFFSET($A$1,$R157+($S158-$R157-4),AG158)=OFFSET($A$1,$R157+($S158-$R157-4),AG158+3),3+AG158,3+AG158)))),""),
IF(AND($S158-$R157&gt;2,COUNTIF(OFFSET($A$1,$R157+($S158-$R157-3),0),"&lt;&gt;*テキスト*")),
IFERROR(IF(OFFSET($A$1,$R157+($S158-$R157-3),AG158)=0,"",
IF(OFFSET($A$1,$R157+($S158-$R157-3),AG158)=OFFSET($A$1,$R157+($S158-$R157-3),AG158+1),1+AG158,
IF(OFFSET($A$1,$R157+($S158-$R157-3),AG158)=OFFSET($A$1,$R157+($S158-$R157-3),AG158+2),2+AG158,
IF(OFFSET($A$1,$R157+($S158-$R157-3),AG158)=OFFSET($A$1,$R157+($S158-$R157-3),AG158+3),3+AG158,3+AG158)))),""),
IF(COUNTIF(OFFSET($A$1,$R157+($S158-$R157-2),AG158),"*様*"),1+AG158,
IF(COUNTIF(OFFSET($A$1,$R157+($S158-$R157-2),AG158+1),"*様*"),2+AG158,
IF(COUNTIF(OFFSET($A$1,$R157+($S158-$R157-2),AG158+2),"*様*"),3+AG158,4+AG158))))),"")</f>
        <v/>
      </c>
      <c r="AI158" t="str">
        <f t="shared" ref="AI158:AI221" ca="1" si="89">IF(R158&lt;&gt;"",
IF(AG158&lt;&gt;"","",
IF(COUNTIF(OFFSET($A$1,$R157+($S158-$R157-3),0),"*様*"),1,
IF(COUNTIF(OFFSET($A$1,$R157+($S158-$R157-3),1),"*様*"),2,
IF(COUNTIF(OFFSET($A$1,$R157+($S158-$R157-3),2),"*様*"),3,4)))),"")</f>
        <v/>
      </c>
      <c r="AJ158" t="str">
        <f t="shared" ref="AJ158:AJ221" ca="1" si="90">IF(R158&lt;&gt;"",
IF(AH158&lt;&gt;"","",
IF(AI158&lt;&gt;"",
IF(COUNTIF(OFFSET($A$1,$R157+($S158-$R157-3),AI158),"*様*"),1+AI158,
IF(COUNTIF(OFFSET($A$1,$R157+($S158-$R157-3),AI158+1),"*様*"),2+AI158,
IF(COUNTIF(OFFSET($A$1,$R157+($S158-$R157-3),AI158+2),"*様*"),3+AI158,4+AI158))),
IF(COUNTIF(OFFSET($A$1,$R157+($S158-$R157-3),0),"*様*"),1,
IF(COUNTIF(OFFSET($A$1,$R157+($S158-$R157-3),1),"*様*"),2,
IF(COUNTIF(OFFSET($A$1,$R157+($S158-$R157-3),2),"*様*"),3,4))))),"")</f>
        <v/>
      </c>
    </row>
    <row r="159" spans="15:36" ht="18.600000000000001" customHeight="1" x14ac:dyDescent="0.45">
      <c r="O159">
        <f t="shared" si="76"/>
        <v>0</v>
      </c>
      <c r="P159">
        <f t="shared" si="77"/>
        <v>0</v>
      </c>
      <c r="R159" t="str" cm="1">
        <f t="array" ref="R159">IFERROR(_xlfn.AGGREGATE(15, 6, ($O$2:$O$350)/($O$2:$O$350&lt;&gt;0), ROWS($R$2:R159)), "")</f>
        <v/>
      </c>
      <c r="S159" t="str" cm="1">
        <f t="array" ref="S159">IFERROR(_xlfn.AGGREGATE(15, 6, ($P$2:$P$350)/($P$2:$P$350&lt;&gt;0), ROWS($R$2:R159)), "")</f>
        <v/>
      </c>
      <c r="U159" t="str">
        <f t="shared" ca="1" si="81"/>
        <v/>
      </c>
      <c r="V159" t="str">
        <f t="shared" ca="1" si="82"/>
        <v/>
      </c>
      <c r="W159" t="str">
        <f t="shared" ca="1" si="83"/>
        <v/>
      </c>
      <c r="X159" t="str">
        <f t="shared" ca="1" si="84"/>
        <v/>
      </c>
      <c r="Z159" t="str">
        <f t="shared" ca="1" si="75"/>
        <v/>
      </c>
      <c r="AA159" t="str">
        <f t="shared" ca="1" si="78"/>
        <v/>
      </c>
      <c r="AB159" t="str">
        <f t="shared" ca="1" si="79"/>
        <v/>
      </c>
      <c r="AC159" t="str">
        <f t="shared" ca="1" si="80"/>
        <v/>
      </c>
      <c r="AE159" t="str">
        <f t="shared" ca="1" si="85"/>
        <v/>
      </c>
      <c r="AF159" t="str">
        <f t="shared" ca="1" si="86"/>
        <v/>
      </c>
      <c r="AG159" t="str">
        <f t="shared" ca="1" si="87"/>
        <v/>
      </c>
      <c r="AH159" t="str">
        <f t="shared" ca="1" si="88"/>
        <v/>
      </c>
      <c r="AI159" t="str">
        <f t="shared" ca="1" si="89"/>
        <v/>
      </c>
      <c r="AJ159" t="str">
        <f t="shared" ca="1" si="90"/>
        <v/>
      </c>
    </row>
    <row r="160" spans="15:36" ht="18.600000000000001" customHeight="1" x14ac:dyDescent="0.45">
      <c r="O160">
        <f t="shared" si="76"/>
        <v>0</v>
      </c>
      <c r="P160">
        <f t="shared" si="77"/>
        <v>0</v>
      </c>
      <c r="R160" t="str" cm="1">
        <f t="array" ref="R160">IFERROR(_xlfn.AGGREGATE(15, 6, ($O$2:$O$350)/($O$2:$O$350&lt;&gt;0), ROWS($R$2:R160)), "")</f>
        <v/>
      </c>
      <c r="S160" t="str" cm="1">
        <f t="array" ref="S160">IFERROR(_xlfn.AGGREGATE(15, 6, ($P$2:$P$350)/($P$2:$P$350&lt;&gt;0), ROWS($R$2:R160)), "")</f>
        <v/>
      </c>
      <c r="U160" t="str">
        <f t="shared" ca="1" si="81"/>
        <v/>
      </c>
      <c r="V160" t="str">
        <f t="shared" ca="1" si="82"/>
        <v/>
      </c>
      <c r="W160" t="str">
        <f t="shared" ca="1" si="83"/>
        <v/>
      </c>
      <c r="X160" t="str">
        <f t="shared" ca="1" si="84"/>
        <v/>
      </c>
      <c r="Z160" t="str">
        <f t="shared" ca="1" si="75"/>
        <v/>
      </c>
      <c r="AA160" t="str">
        <f t="shared" ca="1" si="78"/>
        <v/>
      </c>
      <c r="AB160" t="str">
        <f t="shared" ca="1" si="79"/>
        <v/>
      </c>
      <c r="AC160" t="str">
        <f t="shared" ca="1" si="80"/>
        <v/>
      </c>
      <c r="AE160" t="str">
        <f t="shared" ca="1" si="85"/>
        <v/>
      </c>
      <c r="AF160" t="str">
        <f t="shared" ca="1" si="86"/>
        <v/>
      </c>
      <c r="AG160" t="str">
        <f t="shared" ca="1" si="87"/>
        <v/>
      </c>
      <c r="AH160" t="str">
        <f t="shared" ca="1" si="88"/>
        <v/>
      </c>
      <c r="AI160" t="str">
        <f t="shared" ca="1" si="89"/>
        <v/>
      </c>
      <c r="AJ160" t="str">
        <f t="shared" ca="1" si="90"/>
        <v/>
      </c>
    </row>
    <row r="161" spans="15:36" ht="18.600000000000001" customHeight="1" x14ac:dyDescent="0.45">
      <c r="O161">
        <f t="shared" si="76"/>
        <v>0</v>
      </c>
      <c r="P161">
        <f t="shared" si="77"/>
        <v>0</v>
      </c>
      <c r="R161" t="str" cm="1">
        <f t="array" ref="R161">IFERROR(_xlfn.AGGREGATE(15, 6, ($O$2:$O$350)/($O$2:$O$350&lt;&gt;0), ROWS($R$2:R161)), "")</f>
        <v/>
      </c>
      <c r="S161" t="str" cm="1">
        <f t="array" ref="S161">IFERROR(_xlfn.AGGREGATE(15, 6, ($P$2:$P$350)/($P$2:$P$350&lt;&gt;0), ROWS($R$2:R161)), "")</f>
        <v/>
      </c>
      <c r="U161" t="str">
        <f t="shared" ca="1" si="81"/>
        <v/>
      </c>
      <c r="V161" t="str">
        <f t="shared" ca="1" si="82"/>
        <v/>
      </c>
      <c r="W161" t="str">
        <f t="shared" ca="1" si="83"/>
        <v/>
      </c>
      <c r="X161" t="str">
        <f t="shared" ca="1" si="84"/>
        <v/>
      </c>
      <c r="Z161" t="str">
        <f t="shared" ca="1" si="75"/>
        <v/>
      </c>
      <c r="AA161" t="str">
        <f t="shared" ca="1" si="78"/>
        <v/>
      </c>
      <c r="AB161" t="str">
        <f t="shared" ca="1" si="79"/>
        <v/>
      </c>
      <c r="AC161" t="str">
        <f t="shared" ca="1" si="80"/>
        <v/>
      </c>
      <c r="AE161" t="str">
        <f t="shared" ca="1" si="85"/>
        <v/>
      </c>
      <c r="AF161" t="str">
        <f t="shared" ca="1" si="86"/>
        <v/>
      </c>
      <c r="AG161" t="str">
        <f t="shared" ca="1" si="87"/>
        <v/>
      </c>
      <c r="AH161" t="str">
        <f t="shared" ca="1" si="88"/>
        <v/>
      </c>
      <c r="AI161" t="str">
        <f t="shared" ca="1" si="89"/>
        <v/>
      </c>
      <c r="AJ161" t="str">
        <f t="shared" ca="1" si="90"/>
        <v/>
      </c>
    </row>
    <row r="162" spans="15:36" ht="18.600000000000001" customHeight="1" x14ac:dyDescent="0.45">
      <c r="O162">
        <f t="shared" si="76"/>
        <v>0</v>
      </c>
      <c r="P162">
        <f t="shared" si="77"/>
        <v>0</v>
      </c>
      <c r="R162" t="str" cm="1">
        <f t="array" ref="R162">IFERROR(_xlfn.AGGREGATE(15, 6, ($O$2:$O$350)/($O$2:$O$350&lt;&gt;0), ROWS($R$2:R162)), "")</f>
        <v/>
      </c>
      <c r="S162" t="str" cm="1">
        <f t="array" ref="S162">IFERROR(_xlfn.AGGREGATE(15, 6, ($P$2:$P$350)/($P$2:$P$350&lt;&gt;0), ROWS($R$2:R162)), "")</f>
        <v/>
      </c>
      <c r="U162" t="str">
        <f t="shared" ca="1" si="81"/>
        <v/>
      </c>
      <c r="V162" t="str">
        <f t="shared" ca="1" si="82"/>
        <v/>
      </c>
      <c r="W162" t="str">
        <f t="shared" ca="1" si="83"/>
        <v/>
      </c>
      <c r="X162" t="str">
        <f t="shared" ca="1" si="84"/>
        <v/>
      </c>
      <c r="Z162" t="str">
        <f t="shared" ca="1" si="75"/>
        <v/>
      </c>
      <c r="AA162" t="str">
        <f t="shared" ca="1" si="78"/>
        <v/>
      </c>
      <c r="AB162" t="str">
        <f t="shared" ca="1" si="79"/>
        <v/>
      </c>
      <c r="AC162" t="str">
        <f t="shared" ca="1" si="80"/>
        <v/>
      </c>
      <c r="AE162" t="str">
        <f t="shared" ca="1" si="85"/>
        <v/>
      </c>
      <c r="AF162" t="str">
        <f t="shared" ca="1" si="86"/>
        <v/>
      </c>
      <c r="AG162" t="str">
        <f t="shared" ca="1" si="87"/>
        <v/>
      </c>
      <c r="AH162" t="str">
        <f t="shared" ca="1" si="88"/>
        <v/>
      </c>
      <c r="AI162" t="str">
        <f t="shared" ca="1" si="89"/>
        <v/>
      </c>
      <c r="AJ162" t="str">
        <f t="shared" ca="1" si="90"/>
        <v/>
      </c>
    </row>
    <row r="163" spans="15:36" ht="18.600000000000001" customHeight="1" x14ac:dyDescent="0.45">
      <c r="O163">
        <f t="shared" si="76"/>
        <v>0</v>
      </c>
      <c r="P163">
        <f t="shared" si="77"/>
        <v>0</v>
      </c>
      <c r="R163" t="str" cm="1">
        <f t="array" ref="R163">IFERROR(_xlfn.AGGREGATE(15, 6, ($O$2:$O$350)/($O$2:$O$350&lt;&gt;0), ROWS($R$2:R163)), "")</f>
        <v/>
      </c>
      <c r="S163" t="str" cm="1">
        <f t="array" ref="S163">IFERROR(_xlfn.AGGREGATE(15, 6, ($P$2:$P$350)/($P$2:$P$350&lt;&gt;0), ROWS($R$2:R163)), "")</f>
        <v/>
      </c>
      <c r="U163" t="str">
        <f t="shared" ca="1" si="81"/>
        <v/>
      </c>
      <c r="V163" t="str">
        <f t="shared" ca="1" si="82"/>
        <v/>
      </c>
      <c r="W163" t="str">
        <f t="shared" ca="1" si="83"/>
        <v/>
      </c>
      <c r="X163" t="str">
        <f t="shared" ca="1" si="84"/>
        <v/>
      </c>
      <c r="Z163" t="str">
        <f t="shared" ca="1" si="75"/>
        <v/>
      </c>
      <c r="AA163" t="str">
        <f t="shared" ca="1" si="78"/>
        <v/>
      </c>
      <c r="AB163" t="str">
        <f t="shared" ca="1" si="79"/>
        <v/>
      </c>
      <c r="AC163" t="str">
        <f t="shared" ca="1" si="80"/>
        <v/>
      </c>
      <c r="AE163" t="str">
        <f t="shared" ca="1" si="85"/>
        <v/>
      </c>
      <c r="AF163" t="str">
        <f t="shared" ca="1" si="86"/>
        <v/>
      </c>
      <c r="AG163" t="str">
        <f t="shared" ca="1" si="87"/>
        <v/>
      </c>
      <c r="AH163" t="str">
        <f t="shared" ca="1" si="88"/>
        <v/>
      </c>
      <c r="AI163" t="str">
        <f t="shared" ca="1" si="89"/>
        <v/>
      </c>
      <c r="AJ163" t="str">
        <f t="shared" ca="1" si="90"/>
        <v/>
      </c>
    </row>
    <row r="164" spans="15:36" ht="18.600000000000001" customHeight="1" x14ac:dyDescent="0.45">
      <c r="O164">
        <f t="shared" si="76"/>
        <v>0</v>
      </c>
      <c r="P164">
        <f t="shared" si="77"/>
        <v>0</v>
      </c>
      <c r="R164" t="str" cm="1">
        <f t="array" ref="R164">IFERROR(_xlfn.AGGREGATE(15, 6, ($O$2:$O$350)/($O$2:$O$350&lt;&gt;0), ROWS($R$2:R164)), "")</f>
        <v/>
      </c>
      <c r="S164" t="str" cm="1">
        <f t="array" ref="S164">IFERROR(_xlfn.AGGREGATE(15, 6, ($P$2:$P$350)/($P$2:$P$350&lt;&gt;0), ROWS($R$2:R164)), "")</f>
        <v/>
      </c>
      <c r="U164" t="str">
        <f t="shared" ca="1" si="81"/>
        <v/>
      </c>
      <c r="V164" t="str">
        <f t="shared" ca="1" si="82"/>
        <v/>
      </c>
      <c r="W164" t="str">
        <f t="shared" ca="1" si="83"/>
        <v/>
      </c>
      <c r="X164" t="str">
        <f t="shared" ca="1" si="84"/>
        <v/>
      </c>
      <c r="Z164" t="str">
        <f t="shared" ca="1" si="75"/>
        <v/>
      </c>
      <c r="AA164" t="str">
        <f t="shared" ca="1" si="78"/>
        <v/>
      </c>
      <c r="AB164" t="str">
        <f t="shared" ca="1" si="79"/>
        <v/>
      </c>
      <c r="AC164" t="str">
        <f t="shared" ca="1" si="80"/>
        <v/>
      </c>
      <c r="AE164" t="str">
        <f t="shared" ca="1" si="85"/>
        <v/>
      </c>
      <c r="AF164" t="str">
        <f t="shared" ca="1" si="86"/>
        <v/>
      </c>
      <c r="AG164" t="str">
        <f t="shared" ca="1" si="87"/>
        <v/>
      </c>
      <c r="AH164" t="str">
        <f t="shared" ca="1" si="88"/>
        <v/>
      </c>
      <c r="AI164" t="str">
        <f t="shared" ca="1" si="89"/>
        <v/>
      </c>
      <c r="AJ164" t="str">
        <f t="shared" ca="1" si="90"/>
        <v/>
      </c>
    </row>
    <row r="165" spans="15:36" ht="18.600000000000001" customHeight="1" x14ac:dyDescent="0.45">
      <c r="O165">
        <f t="shared" si="76"/>
        <v>0</v>
      </c>
      <c r="P165">
        <f t="shared" si="77"/>
        <v>0</v>
      </c>
      <c r="R165" t="str" cm="1">
        <f t="array" ref="R165">IFERROR(_xlfn.AGGREGATE(15, 6, ($O$2:$O$350)/($O$2:$O$350&lt;&gt;0), ROWS($R$2:R165)), "")</f>
        <v/>
      </c>
      <c r="S165" t="str" cm="1">
        <f t="array" ref="S165">IFERROR(_xlfn.AGGREGATE(15, 6, ($P$2:$P$350)/($P$2:$P$350&lt;&gt;0), ROWS($R$2:R165)), "")</f>
        <v/>
      </c>
      <c r="U165" t="str">
        <f t="shared" ca="1" si="81"/>
        <v/>
      </c>
      <c r="V165" t="str">
        <f t="shared" ca="1" si="82"/>
        <v/>
      </c>
      <c r="W165" t="str">
        <f t="shared" ca="1" si="83"/>
        <v/>
      </c>
      <c r="X165" t="str">
        <f t="shared" ca="1" si="84"/>
        <v/>
      </c>
      <c r="Z165" t="str">
        <f t="shared" ca="1" si="75"/>
        <v/>
      </c>
      <c r="AA165" t="str">
        <f t="shared" ca="1" si="78"/>
        <v/>
      </c>
      <c r="AB165" t="str">
        <f t="shared" ca="1" si="79"/>
        <v/>
      </c>
      <c r="AC165" t="str">
        <f t="shared" ca="1" si="80"/>
        <v/>
      </c>
      <c r="AE165" t="str">
        <f t="shared" ca="1" si="85"/>
        <v/>
      </c>
      <c r="AF165" t="str">
        <f t="shared" ca="1" si="86"/>
        <v/>
      </c>
      <c r="AG165" t="str">
        <f t="shared" ca="1" si="87"/>
        <v/>
      </c>
      <c r="AH165" t="str">
        <f t="shared" ca="1" si="88"/>
        <v/>
      </c>
      <c r="AI165" t="str">
        <f t="shared" ca="1" si="89"/>
        <v/>
      </c>
      <c r="AJ165" t="str">
        <f t="shared" ca="1" si="90"/>
        <v/>
      </c>
    </row>
    <row r="166" spans="15:36" ht="18.600000000000001" customHeight="1" x14ac:dyDescent="0.45">
      <c r="O166">
        <f t="shared" si="76"/>
        <v>0</v>
      </c>
      <c r="P166">
        <f t="shared" si="77"/>
        <v>0</v>
      </c>
      <c r="R166" t="str" cm="1">
        <f t="array" ref="R166">IFERROR(_xlfn.AGGREGATE(15, 6, ($O$2:$O$350)/($O$2:$O$350&lt;&gt;0), ROWS($R$2:R166)), "")</f>
        <v/>
      </c>
      <c r="S166" t="str" cm="1">
        <f t="array" ref="S166">IFERROR(_xlfn.AGGREGATE(15, 6, ($P$2:$P$350)/($P$2:$P$350&lt;&gt;0), ROWS($R$2:R166)), "")</f>
        <v/>
      </c>
      <c r="U166" t="str">
        <f t="shared" ca="1" si="81"/>
        <v/>
      </c>
      <c r="V166" t="str">
        <f t="shared" ca="1" si="82"/>
        <v/>
      </c>
      <c r="W166" t="str">
        <f t="shared" ca="1" si="83"/>
        <v/>
      </c>
      <c r="X166" t="str">
        <f t="shared" ca="1" si="84"/>
        <v/>
      </c>
      <c r="Z166" t="str">
        <f t="shared" ca="1" si="75"/>
        <v/>
      </c>
      <c r="AA166" t="str">
        <f t="shared" ca="1" si="78"/>
        <v/>
      </c>
      <c r="AB166" t="str">
        <f t="shared" ca="1" si="79"/>
        <v/>
      </c>
      <c r="AC166" t="str">
        <f t="shared" ca="1" si="80"/>
        <v/>
      </c>
      <c r="AE166" t="str">
        <f t="shared" ca="1" si="85"/>
        <v/>
      </c>
      <c r="AF166" t="str">
        <f t="shared" ca="1" si="86"/>
        <v/>
      </c>
      <c r="AG166" t="str">
        <f t="shared" ca="1" si="87"/>
        <v/>
      </c>
      <c r="AH166" t="str">
        <f t="shared" ca="1" si="88"/>
        <v/>
      </c>
      <c r="AI166" t="str">
        <f t="shared" ca="1" si="89"/>
        <v/>
      </c>
      <c r="AJ166" t="str">
        <f t="shared" ca="1" si="90"/>
        <v/>
      </c>
    </row>
    <row r="167" spans="15:36" ht="18.600000000000001" customHeight="1" x14ac:dyDescent="0.45">
      <c r="O167">
        <f t="shared" si="76"/>
        <v>0</v>
      </c>
      <c r="P167">
        <f t="shared" si="77"/>
        <v>0</v>
      </c>
      <c r="R167" t="str" cm="1">
        <f t="array" ref="R167">IFERROR(_xlfn.AGGREGATE(15, 6, ($O$2:$O$350)/($O$2:$O$350&lt;&gt;0), ROWS($R$2:R167)), "")</f>
        <v/>
      </c>
      <c r="S167" t="str" cm="1">
        <f t="array" ref="S167">IFERROR(_xlfn.AGGREGATE(15, 6, ($P$2:$P$350)/($P$2:$P$350&lt;&gt;0), ROWS($R$2:R167)), "")</f>
        <v/>
      </c>
      <c r="U167" t="str">
        <f t="shared" ca="1" si="81"/>
        <v/>
      </c>
      <c r="V167" t="str">
        <f t="shared" ca="1" si="82"/>
        <v/>
      </c>
      <c r="W167" t="str">
        <f t="shared" ca="1" si="83"/>
        <v/>
      </c>
      <c r="X167" t="str">
        <f t="shared" ca="1" si="84"/>
        <v/>
      </c>
      <c r="Z167" t="str">
        <f t="shared" ca="1" si="75"/>
        <v/>
      </c>
      <c r="AA167" t="str">
        <f t="shared" ca="1" si="78"/>
        <v/>
      </c>
      <c r="AB167" t="str">
        <f t="shared" ca="1" si="79"/>
        <v/>
      </c>
      <c r="AC167" t="str">
        <f t="shared" ca="1" si="80"/>
        <v/>
      </c>
      <c r="AE167" t="str">
        <f t="shared" ca="1" si="85"/>
        <v/>
      </c>
      <c r="AF167" t="str">
        <f t="shared" ca="1" si="86"/>
        <v/>
      </c>
      <c r="AG167" t="str">
        <f t="shared" ca="1" si="87"/>
        <v/>
      </c>
      <c r="AH167" t="str">
        <f t="shared" ca="1" si="88"/>
        <v/>
      </c>
      <c r="AI167" t="str">
        <f t="shared" ca="1" si="89"/>
        <v/>
      </c>
      <c r="AJ167" t="str">
        <f t="shared" ca="1" si="90"/>
        <v/>
      </c>
    </row>
    <row r="168" spans="15:36" ht="18.600000000000001" customHeight="1" x14ac:dyDescent="0.45">
      <c r="O168">
        <f t="shared" si="76"/>
        <v>0</v>
      </c>
      <c r="P168">
        <f t="shared" si="77"/>
        <v>0</v>
      </c>
      <c r="R168" t="str" cm="1">
        <f t="array" ref="R168">IFERROR(_xlfn.AGGREGATE(15, 6, ($O$2:$O$350)/($O$2:$O$350&lt;&gt;0), ROWS($R$2:R168)), "")</f>
        <v/>
      </c>
      <c r="S168" t="str" cm="1">
        <f t="array" ref="S168">IFERROR(_xlfn.AGGREGATE(15, 6, ($P$2:$P$350)/($P$2:$P$350&lt;&gt;0), ROWS($R$2:R168)), "")</f>
        <v/>
      </c>
      <c r="U168" t="str">
        <f t="shared" ca="1" si="81"/>
        <v/>
      </c>
      <c r="V168" t="str">
        <f t="shared" ca="1" si="82"/>
        <v/>
      </c>
      <c r="W168" t="str">
        <f t="shared" ca="1" si="83"/>
        <v/>
      </c>
      <c r="X168" t="str">
        <f t="shared" ca="1" si="84"/>
        <v/>
      </c>
      <c r="Z168" t="str">
        <f t="shared" ref="Z168:Z231" ca="1" si="91">IF(S168&lt;&gt;"",
IF(COUNTIF(OFFSET($A$1,$S168-1,0),"*g*"),
1,IF(COUNTIF(OFFSET($A$1,$S168-1,1),"*g*"),2,
IF(OFFSET($A$1,$S168-1,0)=".","",
IF(OFFSET($A$1,$S168-1,0)=OFFSET($A$1,$S168-1,1),1,2)))),"")</f>
        <v/>
      </c>
      <c r="AA168" t="str">
        <f t="shared" ca="1" si="78"/>
        <v/>
      </c>
      <c r="AB168" t="str">
        <f t="shared" ca="1" si="79"/>
        <v/>
      </c>
      <c r="AC168" t="str">
        <f t="shared" ca="1" si="80"/>
        <v/>
      </c>
      <c r="AE168" t="str">
        <f t="shared" ca="1" si="85"/>
        <v/>
      </c>
      <c r="AF168" t="str">
        <f t="shared" ca="1" si="86"/>
        <v/>
      </c>
      <c r="AG168" t="str">
        <f t="shared" ca="1" si="87"/>
        <v/>
      </c>
      <c r="AH168" t="str">
        <f t="shared" ca="1" si="88"/>
        <v/>
      </c>
      <c r="AI168" t="str">
        <f t="shared" ca="1" si="89"/>
        <v/>
      </c>
      <c r="AJ168" t="str">
        <f t="shared" ca="1" si="90"/>
        <v/>
      </c>
    </row>
    <row r="169" spans="15:36" ht="18.600000000000001" customHeight="1" x14ac:dyDescent="0.45">
      <c r="O169">
        <f t="shared" si="76"/>
        <v>0</v>
      </c>
      <c r="P169">
        <f t="shared" si="77"/>
        <v>0</v>
      </c>
      <c r="R169" t="str" cm="1">
        <f t="array" ref="R169">IFERROR(_xlfn.AGGREGATE(15, 6, ($O$2:$O$350)/($O$2:$O$350&lt;&gt;0), ROWS($R$2:R169)), "")</f>
        <v/>
      </c>
      <c r="S169" t="str" cm="1">
        <f t="array" ref="S169">IFERROR(_xlfn.AGGREGATE(15, 6, ($P$2:$P$350)/($P$2:$P$350&lt;&gt;0), ROWS($R$2:R169)), "")</f>
        <v/>
      </c>
      <c r="U169" t="str">
        <f t="shared" ca="1" si="81"/>
        <v/>
      </c>
      <c r="V169" t="str">
        <f t="shared" ca="1" si="82"/>
        <v/>
      </c>
      <c r="W169" t="str">
        <f t="shared" ca="1" si="83"/>
        <v/>
      </c>
      <c r="X169" t="str">
        <f t="shared" ca="1" si="84"/>
        <v/>
      </c>
      <c r="Z169" t="str">
        <f t="shared" ca="1" si="91"/>
        <v/>
      </c>
      <c r="AA169" t="str">
        <f t="shared" ca="1" si="78"/>
        <v/>
      </c>
      <c r="AB169" t="str">
        <f t="shared" ca="1" si="79"/>
        <v/>
      </c>
      <c r="AC169" t="str">
        <f t="shared" ca="1" si="80"/>
        <v/>
      </c>
      <c r="AE169" t="str">
        <f t="shared" ca="1" si="85"/>
        <v/>
      </c>
      <c r="AF169" t="str">
        <f t="shared" ca="1" si="86"/>
        <v/>
      </c>
      <c r="AG169" t="str">
        <f t="shared" ca="1" si="87"/>
        <v/>
      </c>
      <c r="AH169" t="str">
        <f t="shared" ca="1" si="88"/>
        <v/>
      </c>
      <c r="AI169" t="str">
        <f t="shared" ca="1" si="89"/>
        <v/>
      </c>
      <c r="AJ169" t="str">
        <f t="shared" ca="1" si="90"/>
        <v/>
      </c>
    </row>
    <row r="170" spans="15:36" ht="18.600000000000001" customHeight="1" x14ac:dyDescent="0.45">
      <c r="O170">
        <f t="shared" si="76"/>
        <v>0</v>
      </c>
      <c r="P170">
        <f t="shared" si="77"/>
        <v>0</v>
      </c>
      <c r="R170" t="str" cm="1">
        <f t="array" ref="R170">IFERROR(_xlfn.AGGREGATE(15, 6, ($O$2:$O$350)/($O$2:$O$350&lt;&gt;0), ROWS($R$2:R170)), "")</f>
        <v/>
      </c>
      <c r="S170" t="str" cm="1">
        <f t="array" ref="S170">IFERROR(_xlfn.AGGREGATE(15, 6, ($P$2:$P$350)/($P$2:$P$350&lt;&gt;0), ROWS($R$2:R170)), "")</f>
        <v/>
      </c>
      <c r="U170" t="str">
        <f t="shared" ca="1" si="81"/>
        <v/>
      </c>
      <c r="V170" t="str">
        <f t="shared" ca="1" si="82"/>
        <v/>
      </c>
      <c r="W170" t="str">
        <f t="shared" ca="1" si="83"/>
        <v/>
      </c>
      <c r="X170" t="str">
        <f t="shared" ca="1" si="84"/>
        <v/>
      </c>
      <c r="Z170" t="str">
        <f t="shared" ca="1" si="91"/>
        <v/>
      </c>
      <c r="AA170" t="str">
        <f t="shared" ca="1" si="78"/>
        <v/>
      </c>
      <c r="AB170" t="str">
        <f t="shared" ca="1" si="79"/>
        <v/>
      </c>
      <c r="AC170" t="str">
        <f t="shared" ca="1" si="80"/>
        <v/>
      </c>
      <c r="AE170" t="str">
        <f t="shared" ca="1" si="85"/>
        <v/>
      </c>
      <c r="AF170" t="str">
        <f t="shared" ca="1" si="86"/>
        <v/>
      </c>
      <c r="AG170" t="str">
        <f t="shared" ca="1" si="87"/>
        <v/>
      </c>
      <c r="AH170" t="str">
        <f t="shared" ca="1" si="88"/>
        <v/>
      </c>
      <c r="AI170" t="str">
        <f t="shared" ca="1" si="89"/>
        <v/>
      </c>
      <c r="AJ170" t="str">
        <f t="shared" ca="1" si="90"/>
        <v/>
      </c>
    </row>
    <row r="171" spans="15:36" ht="18.600000000000001" customHeight="1" x14ac:dyDescent="0.45">
      <c r="O171">
        <f t="shared" si="76"/>
        <v>0</v>
      </c>
      <c r="P171">
        <f t="shared" si="77"/>
        <v>0</v>
      </c>
      <c r="R171" t="str" cm="1">
        <f t="array" ref="R171">IFERROR(_xlfn.AGGREGATE(15, 6, ($O$2:$O$350)/($O$2:$O$350&lt;&gt;0), ROWS($R$2:R171)), "")</f>
        <v/>
      </c>
      <c r="S171" t="str" cm="1">
        <f t="array" ref="S171">IFERROR(_xlfn.AGGREGATE(15, 6, ($P$2:$P$350)/($P$2:$P$350&lt;&gt;0), ROWS($R$2:R171)), "")</f>
        <v/>
      </c>
      <c r="U171" t="str">
        <f t="shared" ca="1" si="81"/>
        <v/>
      </c>
      <c r="V171" t="str">
        <f t="shared" ca="1" si="82"/>
        <v/>
      </c>
      <c r="W171" t="str">
        <f t="shared" ca="1" si="83"/>
        <v/>
      </c>
      <c r="X171" t="str">
        <f t="shared" ca="1" si="84"/>
        <v/>
      </c>
      <c r="Z171" t="str">
        <f t="shared" ca="1" si="91"/>
        <v/>
      </c>
      <c r="AA171" t="str">
        <f t="shared" ca="1" si="78"/>
        <v/>
      </c>
      <c r="AB171" t="str">
        <f t="shared" ca="1" si="79"/>
        <v/>
      </c>
      <c r="AC171" t="str">
        <f t="shared" ca="1" si="80"/>
        <v/>
      </c>
      <c r="AE171" t="str">
        <f t="shared" ca="1" si="85"/>
        <v/>
      </c>
      <c r="AF171" t="str">
        <f t="shared" ca="1" si="86"/>
        <v/>
      </c>
      <c r="AG171" t="str">
        <f t="shared" ca="1" si="87"/>
        <v/>
      </c>
      <c r="AH171" t="str">
        <f t="shared" ca="1" si="88"/>
        <v/>
      </c>
      <c r="AI171" t="str">
        <f t="shared" ca="1" si="89"/>
        <v/>
      </c>
      <c r="AJ171" t="str">
        <f t="shared" ca="1" si="90"/>
        <v/>
      </c>
    </row>
    <row r="172" spans="15:36" ht="18.600000000000001" customHeight="1" x14ac:dyDescent="0.45">
      <c r="O172">
        <f t="shared" si="76"/>
        <v>0</v>
      </c>
      <c r="P172">
        <f t="shared" si="77"/>
        <v>0</v>
      </c>
      <c r="R172" t="str" cm="1">
        <f t="array" ref="R172">IFERROR(_xlfn.AGGREGATE(15, 6, ($O$2:$O$350)/($O$2:$O$350&lt;&gt;0), ROWS($R$2:R172)), "")</f>
        <v/>
      </c>
      <c r="S172" t="str" cm="1">
        <f t="array" ref="S172">IFERROR(_xlfn.AGGREGATE(15, 6, ($P$2:$P$350)/($P$2:$P$350&lt;&gt;0), ROWS($R$2:R172)), "")</f>
        <v/>
      </c>
      <c r="U172" t="str">
        <f t="shared" ca="1" si="81"/>
        <v/>
      </c>
      <c r="V172" t="str">
        <f t="shared" ca="1" si="82"/>
        <v/>
      </c>
      <c r="W172" t="str">
        <f t="shared" ca="1" si="83"/>
        <v/>
      </c>
      <c r="X172" t="str">
        <f t="shared" ca="1" si="84"/>
        <v/>
      </c>
      <c r="Z172" t="str">
        <f t="shared" ca="1" si="91"/>
        <v/>
      </c>
      <c r="AA172" t="str">
        <f t="shared" ca="1" si="78"/>
        <v/>
      </c>
      <c r="AB172" t="str">
        <f t="shared" ca="1" si="79"/>
        <v/>
      </c>
      <c r="AC172" t="str">
        <f t="shared" ca="1" si="80"/>
        <v/>
      </c>
      <c r="AE172" t="str">
        <f t="shared" ca="1" si="85"/>
        <v/>
      </c>
      <c r="AF172" t="str">
        <f t="shared" ca="1" si="86"/>
        <v/>
      </c>
      <c r="AG172" t="str">
        <f t="shared" ca="1" si="87"/>
        <v/>
      </c>
      <c r="AH172" t="str">
        <f t="shared" ca="1" si="88"/>
        <v/>
      </c>
      <c r="AI172" t="str">
        <f t="shared" ca="1" si="89"/>
        <v/>
      </c>
      <c r="AJ172" t="str">
        <f t="shared" ca="1" si="90"/>
        <v/>
      </c>
    </row>
    <row r="173" spans="15:36" ht="18.600000000000001" customHeight="1" x14ac:dyDescent="0.45">
      <c r="O173">
        <f t="shared" si="76"/>
        <v>0</v>
      </c>
      <c r="P173">
        <f t="shared" si="77"/>
        <v>0</v>
      </c>
      <c r="R173" t="str" cm="1">
        <f t="array" ref="R173">IFERROR(_xlfn.AGGREGATE(15, 6, ($O$2:$O$350)/($O$2:$O$350&lt;&gt;0), ROWS($R$2:R173)), "")</f>
        <v/>
      </c>
      <c r="S173" t="str" cm="1">
        <f t="array" ref="S173">IFERROR(_xlfn.AGGREGATE(15, 6, ($P$2:$P$350)/($P$2:$P$350&lt;&gt;0), ROWS($R$2:R173)), "")</f>
        <v/>
      </c>
      <c r="U173" t="str">
        <f t="shared" ca="1" si="81"/>
        <v/>
      </c>
      <c r="V173" t="str">
        <f t="shared" ca="1" si="82"/>
        <v/>
      </c>
      <c r="W173" t="str">
        <f t="shared" ca="1" si="83"/>
        <v/>
      </c>
      <c r="X173" t="str">
        <f t="shared" ca="1" si="84"/>
        <v/>
      </c>
      <c r="Z173" t="str">
        <f t="shared" ca="1" si="91"/>
        <v/>
      </c>
      <c r="AA173" t="str">
        <f t="shared" ca="1" si="78"/>
        <v/>
      </c>
      <c r="AB173" t="str">
        <f t="shared" ca="1" si="79"/>
        <v/>
      </c>
      <c r="AC173" t="str">
        <f t="shared" ca="1" si="80"/>
        <v/>
      </c>
      <c r="AE173" t="str">
        <f t="shared" ca="1" si="85"/>
        <v/>
      </c>
      <c r="AF173" t="str">
        <f t="shared" ca="1" si="86"/>
        <v/>
      </c>
      <c r="AG173" t="str">
        <f t="shared" ca="1" si="87"/>
        <v/>
      </c>
      <c r="AH173" t="str">
        <f t="shared" ca="1" si="88"/>
        <v/>
      </c>
      <c r="AI173" t="str">
        <f t="shared" ca="1" si="89"/>
        <v/>
      </c>
      <c r="AJ173" t="str">
        <f t="shared" ca="1" si="90"/>
        <v/>
      </c>
    </row>
    <row r="174" spans="15:36" ht="18.600000000000001" customHeight="1" x14ac:dyDescent="0.45">
      <c r="O174">
        <f t="shared" si="76"/>
        <v>0</v>
      </c>
      <c r="P174">
        <f t="shared" si="77"/>
        <v>0</v>
      </c>
      <c r="R174" t="str" cm="1">
        <f t="array" ref="R174">IFERROR(_xlfn.AGGREGATE(15, 6, ($O$2:$O$350)/($O$2:$O$350&lt;&gt;0), ROWS($R$2:R174)), "")</f>
        <v/>
      </c>
      <c r="S174" t="str" cm="1">
        <f t="array" ref="S174">IFERROR(_xlfn.AGGREGATE(15, 6, ($P$2:$P$350)/($P$2:$P$350&lt;&gt;0), ROWS($R$2:R174)), "")</f>
        <v/>
      </c>
      <c r="U174" t="str">
        <f t="shared" ca="1" si="81"/>
        <v/>
      </c>
      <c r="V174" t="str">
        <f t="shared" ca="1" si="82"/>
        <v/>
      </c>
      <c r="W174" t="str">
        <f t="shared" ca="1" si="83"/>
        <v/>
      </c>
      <c r="X174" t="str">
        <f t="shared" ca="1" si="84"/>
        <v/>
      </c>
      <c r="Z174" t="str">
        <f t="shared" ca="1" si="91"/>
        <v/>
      </c>
      <c r="AA174" t="str">
        <f t="shared" ca="1" si="78"/>
        <v/>
      </c>
      <c r="AB174" t="str">
        <f t="shared" ca="1" si="79"/>
        <v/>
      </c>
      <c r="AC174" t="str">
        <f t="shared" ca="1" si="80"/>
        <v/>
      </c>
      <c r="AE174" t="str">
        <f t="shared" ca="1" si="85"/>
        <v/>
      </c>
      <c r="AF174" t="str">
        <f t="shared" ca="1" si="86"/>
        <v/>
      </c>
      <c r="AG174" t="str">
        <f t="shared" ca="1" si="87"/>
        <v/>
      </c>
      <c r="AH174" t="str">
        <f t="shared" ca="1" si="88"/>
        <v/>
      </c>
      <c r="AI174" t="str">
        <f t="shared" ca="1" si="89"/>
        <v/>
      </c>
      <c r="AJ174" t="str">
        <f t="shared" ca="1" si="90"/>
        <v/>
      </c>
    </row>
    <row r="175" spans="15:36" ht="18.600000000000001" customHeight="1" x14ac:dyDescent="0.45">
      <c r="O175">
        <f t="shared" si="76"/>
        <v>0</v>
      </c>
      <c r="P175">
        <f t="shared" si="77"/>
        <v>0</v>
      </c>
      <c r="R175" t="str" cm="1">
        <f t="array" ref="R175">IFERROR(_xlfn.AGGREGATE(15, 6, ($O$2:$O$350)/($O$2:$O$350&lt;&gt;0), ROWS($R$2:R175)), "")</f>
        <v/>
      </c>
      <c r="S175" t="str" cm="1">
        <f t="array" ref="S175">IFERROR(_xlfn.AGGREGATE(15, 6, ($P$2:$P$350)/($P$2:$P$350&lt;&gt;0), ROWS($R$2:R175)), "")</f>
        <v/>
      </c>
      <c r="U175" t="str">
        <f t="shared" ca="1" si="81"/>
        <v/>
      </c>
      <c r="V175" t="str">
        <f t="shared" ca="1" si="82"/>
        <v/>
      </c>
      <c r="W175" t="str">
        <f t="shared" ca="1" si="83"/>
        <v/>
      </c>
      <c r="X175" t="str">
        <f t="shared" ca="1" si="84"/>
        <v/>
      </c>
      <c r="Z175" t="str">
        <f t="shared" ca="1" si="91"/>
        <v/>
      </c>
      <c r="AA175" t="str">
        <f t="shared" ca="1" si="78"/>
        <v/>
      </c>
      <c r="AB175" t="str">
        <f t="shared" ca="1" si="79"/>
        <v/>
      </c>
      <c r="AC175" t="str">
        <f t="shared" ca="1" si="80"/>
        <v/>
      </c>
      <c r="AE175" t="str">
        <f t="shared" ca="1" si="85"/>
        <v/>
      </c>
      <c r="AF175" t="str">
        <f t="shared" ca="1" si="86"/>
        <v/>
      </c>
      <c r="AG175" t="str">
        <f t="shared" ca="1" si="87"/>
        <v/>
      </c>
      <c r="AH175" t="str">
        <f t="shared" ca="1" si="88"/>
        <v/>
      </c>
      <c r="AI175" t="str">
        <f t="shared" ca="1" si="89"/>
        <v/>
      </c>
      <c r="AJ175" t="str">
        <f t="shared" ca="1" si="90"/>
        <v/>
      </c>
    </row>
    <row r="176" spans="15:36" ht="18.600000000000001" customHeight="1" x14ac:dyDescent="0.45">
      <c r="O176">
        <f t="shared" si="76"/>
        <v>0</v>
      </c>
      <c r="P176">
        <f t="shared" si="77"/>
        <v>0</v>
      </c>
      <c r="R176" t="str" cm="1">
        <f t="array" ref="R176">IFERROR(_xlfn.AGGREGATE(15, 6, ($O$2:$O$350)/($O$2:$O$350&lt;&gt;0), ROWS($R$2:R176)), "")</f>
        <v/>
      </c>
      <c r="S176" t="str" cm="1">
        <f t="array" ref="S176">IFERROR(_xlfn.AGGREGATE(15, 6, ($P$2:$P$350)/($P$2:$P$350&lt;&gt;0), ROWS($R$2:R176)), "")</f>
        <v/>
      </c>
      <c r="U176" t="str">
        <f t="shared" ca="1" si="81"/>
        <v/>
      </c>
      <c r="V176" t="str">
        <f t="shared" ca="1" si="82"/>
        <v/>
      </c>
      <c r="W176" t="str">
        <f t="shared" ca="1" si="83"/>
        <v/>
      </c>
      <c r="X176" t="str">
        <f t="shared" ca="1" si="84"/>
        <v/>
      </c>
      <c r="Z176" t="str">
        <f t="shared" ca="1" si="91"/>
        <v/>
      </c>
      <c r="AA176" t="str">
        <f t="shared" ca="1" si="78"/>
        <v/>
      </c>
      <c r="AB176" t="str">
        <f t="shared" ca="1" si="79"/>
        <v/>
      </c>
      <c r="AC176" t="str">
        <f t="shared" ca="1" si="80"/>
        <v/>
      </c>
      <c r="AE176" t="str">
        <f t="shared" ca="1" si="85"/>
        <v/>
      </c>
      <c r="AF176" t="str">
        <f t="shared" ca="1" si="86"/>
        <v/>
      </c>
      <c r="AG176" t="str">
        <f t="shared" ca="1" si="87"/>
        <v/>
      </c>
      <c r="AH176" t="str">
        <f t="shared" ca="1" si="88"/>
        <v/>
      </c>
      <c r="AI176" t="str">
        <f t="shared" ca="1" si="89"/>
        <v/>
      </c>
      <c r="AJ176" t="str">
        <f t="shared" ca="1" si="90"/>
        <v/>
      </c>
    </row>
    <row r="177" spans="15:36" ht="18.600000000000001" customHeight="1" x14ac:dyDescent="0.45">
      <c r="O177">
        <f t="shared" si="76"/>
        <v>0</v>
      </c>
      <c r="P177">
        <f t="shared" si="77"/>
        <v>0</v>
      </c>
      <c r="R177" t="str" cm="1">
        <f t="array" ref="R177">IFERROR(_xlfn.AGGREGATE(15, 6, ($O$2:$O$350)/($O$2:$O$350&lt;&gt;0), ROWS($R$2:R177)), "")</f>
        <v/>
      </c>
      <c r="S177" t="str" cm="1">
        <f t="array" ref="S177">IFERROR(_xlfn.AGGREGATE(15, 6, ($P$2:$P$350)/($P$2:$P$350&lt;&gt;0), ROWS($R$2:R177)), "")</f>
        <v/>
      </c>
      <c r="U177" t="str">
        <f t="shared" ca="1" si="81"/>
        <v/>
      </c>
      <c r="V177" t="str">
        <f t="shared" ca="1" si="82"/>
        <v/>
      </c>
      <c r="W177" t="str">
        <f t="shared" ca="1" si="83"/>
        <v/>
      </c>
      <c r="X177" t="str">
        <f t="shared" ca="1" si="84"/>
        <v/>
      </c>
      <c r="Z177" t="str">
        <f t="shared" ca="1" si="91"/>
        <v/>
      </c>
      <c r="AA177" t="str">
        <f t="shared" ca="1" si="78"/>
        <v/>
      </c>
      <c r="AB177" t="str">
        <f t="shared" ca="1" si="79"/>
        <v/>
      </c>
      <c r="AC177" t="str">
        <f t="shared" ca="1" si="80"/>
        <v/>
      </c>
      <c r="AE177" t="str">
        <f t="shared" ca="1" si="85"/>
        <v/>
      </c>
      <c r="AF177" t="str">
        <f t="shared" ca="1" si="86"/>
        <v/>
      </c>
      <c r="AG177" t="str">
        <f t="shared" ca="1" si="87"/>
        <v/>
      </c>
      <c r="AH177" t="str">
        <f t="shared" ca="1" si="88"/>
        <v/>
      </c>
      <c r="AI177" t="str">
        <f t="shared" ca="1" si="89"/>
        <v/>
      </c>
      <c r="AJ177" t="str">
        <f t="shared" ca="1" si="90"/>
        <v/>
      </c>
    </row>
    <row r="178" spans="15:36" ht="18.600000000000001" customHeight="1" x14ac:dyDescent="0.45">
      <c r="O178">
        <f t="shared" si="76"/>
        <v>0</v>
      </c>
      <c r="P178">
        <f t="shared" si="77"/>
        <v>0</v>
      </c>
      <c r="R178" t="str" cm="1">
        <f t="array" ref="R178">IFERROR(_xlfn.AGGREGATE(15, 6, ($O$2:$O$350)/($O$2:$O$350&lt;&gt;0), ROWS($R$2:R178)), "")</f>
        <v/>
      </c>
      <c r="S178" t="str" cm="1">
        <f t="array" ref="S178">IFERROR(_xlfn.AGGREGATE(15, 6, ($P$2:$P$350)/($P$2:$P$350&lt;&gt;0), ROWS($R$2:R178)), "")</f>
        <v/>
      </c>
      <c r="U178" t="str">
        <f t="shared" ca="1" si="81"/>
        <v/>
      </c>
      <c r="V178" t="str">
        <f t="shared" ca="1" si="82"/>
        <v/>
      </c>
      <c r="W178" t="str">
        <f t="shared" ca="1" si="83"/>
        <v/>
      </c>
      <c r="X178" t="str">
        <f t="shared" ca="1" si="84"/>
        <v/>
      </c>
      <c r="Z178" t="str">
        <f t="shared" ca="1" si="91"/>
        <v/>
      </c>
      <c r="AA178" t="str">
        <f t="shared" ca="1" si="78"/>
        <v/>
      </c>
      <c r="AB178" t="str">
        <f t="shared" ca="1" si="79"/>
        <v/>
      </c>
      <c r="AC178" t="str">
        <f t="shared" ca="1" si="80"/>
        <v/>
      </c>
      <c r="AE178" t="str">
        <f t="shared" ca="1" si="85"/>
        <v/>
      </c>
      <c r="AF178" t="str">
        <f t="shared" ca="1" si="86"/>
        <v/>
      </c>
      <c r="AG178" t="str">
        <f t="shared" ca="1" si="87"/>
        <v/>
      </c>
      <c r="AH178" t="str">
        <f t="shared" ca="1" si="88"/>
        <v/>
      </c>
      <c r="AI178" t="str">
        <f t="shared" ca="1" si="89"/>
        <v/>
      </c>
      <c r="AJ178" t="str">
        <f t="shared" ca="1" si="90"/>
        <v/>
      </c>
    </row>
    <row r="179" spans="15:36" ht="18.600000000000001" customHeight="1" x14ac:dyDescent="0.45">
      <c r="O179">
        <f t="shared" si="76"/>
        <v>0</v>
      </c>
      <c r="P179">
        <f t="shared" si="77"/>
        <v>0</v>
      </c>
      <c r="R179" t="str" cm="1">
        <f t="array" ref="R179">IFERROR(_xlfn.AGGREGATE(15, 6, ($O$2:$O$350)/($O$2:$O$350&lt;&gt;0), ROWS($R$2:R179)), "")</f>
        <v/>
      </c>
      <c r="S179" t="str" cm="1">
        <f t="array" ref="S179">IFERROR(_xlfn.AGGREGATE(15, 6, ($P$2:$P$350)/($P$2:$P$350&lt;&gt;0), ROWS($R$2:R179)), "")</f>
        <v/>
      </c>
      <c r="U179" t="str">
        <f t="shared" ca="1" si="81"/>
        <v/>
      </c>
      <c r="V179" t="str">
        <f t="shared" ca="1" si="82"/>
        <v/>
      </c>
      <c r="W179" t="str">
        <f t="shared" ca="1" si="83"/>
        <v/>
      </c>
      <c r="X179" t="str">
        <f t="shared" ca="1" si="84"/>
        <v/>
      </c>
      <c r="Z179" t="str">
        <f t="shared" ca="1" si="91"/>
        <v/>
      </c>
      <c r="AA179" t="str">
        <f t="shared" ca="1" si="78"/>
        <v/>
      </c>
      <c r="AB179" t="str">
        <f t="shared" ca="1" si="79"/>
        <v/>
      </c>
      <c r="AC179" t="str">
        <f t="shared" ca="1" si="80"/>
        <v/>
      </c>
      <c r="AE179" t="str">
        <f t="shared" ca="1" si="85"/>
        <v/>
      </c>
      <c r="AF179" t="str">
        <f t="shared" ca="1" si="86"/>
        <v/>
      </c>
      <c r="AG179" t="str">
        <f t="shared" ca="1" si="87"/>
        <v/>
      </c>
      <c r="AH179" t="str">
        <f t="shared" ca="1" si="88"/>
        <v/>
      </c>
      <c r="AI179" t="str">
        <f t="shared" ca="1" si="89"/>
        <v/>
      </c>
      <c r="AJ179" t="str">
        <f t="shared" ca="1" si="90"/>
        <v/>
      </c>
    </row>
    <row r="180" spans="15:36" ht="18.600000000000001" customHeight="1" x14ac:dyDescent="0.45">
      <c r="O180">
        <f t="shared" si="76"/>
        <v>0</v>
      </c>
      <c r="P180">
        <f t="shared" si="77"/>
        <v>0</v>
      </c>
      <c r="R180" t="str" cm="1">
        <f t="array" ref="R180">IFERROR(_xlfn.AGGREGATE(15, 6, ($O$2:$O$350)/($O$2:$O$350&lt;&gt;0), ROWS($R$2:R180)), "")</f>
        <v/>
      </c>
      <c r="S180" t="str" cm="1">
        <f t="array" ref="S180">IFERROR(_xlfn.AGGREGATE(15, 6, ($P$2:$P$350)/($P$2:$P$350&lt;&gt;0), ROWS($R$2:R180)), "")</f>
        <v/>
      </c>
      <c r="U180" t="str">
        <f t="shared" ca="1" si="81"/>
        <v/>
      </c>
      <c r="V180" t="str">
        <f t="shared" ca="1" si="82"/>
        <v/>
      </c>
      <c r="W180" t="str">
        <f t="shared" ca="1" si="83"/>
        <v/>
      </c>
      <c r="X180" t="str">
        <f t="shared" ca="1" si="84"/>
        <v/>
      </c>
      <c r="Z180" t="str">
        <f t="shared" ca="1" si="91"/>
        <v/>
      </c>
      <c r="AA180" t="str">
        <f t="shared" ca="1" si="78"/>
        <v/>
      </c>
      <c r="AB180" t="str">
        <f t="shared" ca="1" si="79"/>
        <v/>
      </c>
      <c r="AC180" t="str">
        <f t="shared" ca="1" si="80"/>
        <v/>
      </c>
      <c r="AE180" t="str">
        <f t="shared" ca="1" si="85"/>
        <v/>
      </c>
      <c r="AF180" t="str">
        <f t="shared" ca="1" si="86"/>
        <v/>
      </c>
      <c r="AG180" t="str">
        <f t="shared" ca="1" si="87"/>
        <v/>
      </c>
      <c r="AH180" t="str">
        <f t="shared" ca="1" si="88"/>
        <v/>
      </c>
      <c r="AI180" t="str">
        <f t="shared" ca="1" si="89"/>
        <v/>
      </c>
      <c r="AJ180" t="str">
        <f t="shared" ca="1" si="90"/>
        <v/>
      </c>
    </row>
    <row r="181" spans="15:36" ht="18.600000000000001" customHeight="1" x14ac:dyDescent="0.45">
      <c r="O181">
        <f t="shared" si="76"/>
        <v>0</v>
      </c>
      <c r="P181">
        <f t="shared" si="77"/>
        <v>0</v>
      </c>
      <c r="R181" t="str" cm="1">
        <f t="array" ref="R181">IFERROR(_xlfn.AGGREGATE(15, 6, ($O$2:$O$350)/($O$2:$O$350&lt;&gt;0), ROWS($R$2:R181)), "")</f>
        <v/>
      </c>
      <c r="S181" t="str" cm="1">
        <f t="array" ref="S181">IFERROR(_xlfn.AGGREGATE(15, 6, ($P$2:$P$350)/($P$2:$P$350&lt;&gt;0), ROWS($R$2:R181)), "")</f>
        <v/>
      </c>
      <c r="U181" t="str">
        <f t="shared" ca="1" si="81"/>
        <v/>
      </c>
      <c r="V181" t="str">
        <f t="shared" ca="1" si="82"/>
        <v/>
      </c>
      <c r="W181" t="str">
        <f t="shared" ca="1" si="83"/>
        <v/>
      </c>
      <c r="X181" t="str">
        <f t="shared" ca="1" si="84"/>
        <v/>
      </c>
      <c r="Z181" t="str">
        <f t="shared" ca="1" si="91"/>
        <v/>
      </c>
      <c r="AA181" t="str">
        <f t="shared" ca="1" si="78"/>
        <v/>
      </c>
      <c r="AB181" t="str">
        <f t="shared" ca="1" si="79"/>
        <v/>
      </c>
      <c r="AC181" t="str">
        <f t="shared" ca="1" si="80"/>
        <v/>
      </c>
      <c r="AE181" t="str">
        <f t="shared" ca="1" si="85"/>
        <v/>
      </c>
      <c r="AF181" t="str">
        <f t="shared" ca="1" si="86"/>
        <v/>
      </c>
      <c r="AG181" t="str">
        <f t="shared" ca="1" si="87"/>
        <v/>
      </c>
      <c r="AH181" t="str">
        <f t="shared" ca="1" si="88"/>
        <v/>
      </c>
      <c r="AI181" t="str">
        <f t="shared" ca="1" si="89"/>
        <v/>
      </c>
      <c r="AJ181" t="str">
        <f t="shared" ca="1" si="90"/>
        <v/>
      </c>
    </row>
    <row r="182" spans="15:36" ht="18.600000000000001" customHeight="1" x14ac:dyDescent="0.45">
      <c r="O182">
        <f t="shared" si="76"/>
        <v>0</v>
      </c>
      <c r="P182">
        <f t="shared" si="77"/>
        <v>0</v>
      </c>
      <c r="R182" t="str" cm="1">
        <f t="array" ref="R182">IFERROR(_xlfn.AGGREGATE(15, 6, ($O$2:$O$350)/($O$2:$O$350&lt;&gt;0), ROWS($R$2:R182)), "")</f>
        <v/>
      </c>
      <c r="S182" t="str" cm="1">
        <f t="array" ref="S182">IFERROR(_xlfn.AGGREGATE(15, 6, ($P$2:$P$350)/($P$2:$P$350&lt;&gt;0), ROWS($R$2:R182)), "")</f>
        <v/>
      </c>
      <c r="U182" t="str">
        <f t="shared" ca="1" si="81"/>
        <v/>
      </c>
      <c r="V182" t="str">
        <f t="shared" ca="1" si="82"/>
        <v/>
      </c>
      <c r="W182" t="str">
        <f t="shared" ca="1" si="83"/>
        <v/>
      </c>
      <c r="X182" t="str">
        <f t="shared" ca="1" si="84"/>
        <v/>
      </c>
      <c r="Z182" t="str">
        <f t="shared" ca="1" si="91"/>
        <v/>
      </c>
      <c r="AA182" t="str">
        <f t="shared" ca="1" si="78"/>
        <v/>
      </c>
      <c r="AB182" t="str">
        <f t="shared" ca="1" si="79"/>
        <v/>
      </c>
      <c r="AC182" t="str">
        <f t="shared" ca="1" si="80"/>
        <v/>
      </c>
      <c r="AE182" t="str">
        <f t="shared" ca="1" si="85"/>
        <v/>
      </c>
      <c r="AF182" t="str">
        <f t="shared" ca="1" si="86"/>
        <v/>
      </c>
      <c r="AG182" t="str">
        <f t="shared" ca="1" si="87"/>
        <v/>
      </c>
      <c r="AH182" t="str">
        <f t="shared" ca="1" si="88"/>
        <v/>
      </c>
      <c r="AI182" t="str">
        <f t="shared" ca="1" si="89"/>
        <v/>
      </c>
      <c r="AJ182" t="str">
        <f t="shared" ca="1" si="90"/>
        <v/>
      </c>
    </row>
    <row r="183" spans="15:36" ht="18.600000000000001" customHeight="1" x14ac:dyDescent="0.45">
      <c r="O183">
        <f t="shared" si="76"/>
        <v>0</v>
      </c>
      <c r="P183">
        <f t="shared" si="77"/>
        <v>0</v>
      </c>
      <c r="R183" t="str" cm="1">
        <f t="array" ref="R183">IFERROR(_xlfn.AGGREGATE(15, 6, ($O$2:$O$350)/($O$2:$O$350&lt;&gt;0), ROWS($R$2:R183)), "")</f>
        <v/>
      </c>
      <c r="S183" t="str" cm="1">
        <f t="array" ref="S183">IFERROR(_xlfn.AGGREGATE(15, 6, ($P$2:$P$350)/($P$2:$P$350&lt;&gt;0), ROWS($R$2:R183)), "")</f>
        <v/>
      </c>
      <c r="U183" t="str">
        <f t="shared" ca="1" si="81"/>
        <v/>
      </c>
      <c r="V183" t="str">
        <f t="shared" ca="1" si="82"/>
        <v/>
      </c>
      <c r="W183" t="str">
        <f t="shared" ca="1" si="83"/>
        <v/>
      </c>
      <c r="X183" t="str">
        <f t="shared" ca="1" si="84"/>
        <v/>
      </c>
      <c r="Z183" t="str">
        <f t="shared" ca="1" si="91"/>
        <v/>
      </c>
      <c r="AA183" t="str">
        <f t="shared" ca="1" si="78"/>
        <v/>
      </c>
      <c r="AB183" t="str">
        <f t="shared" ca="1" si="79"/>
        <v/>
      </c>
      <c r="AC183" t="str">
        <f t="shared" ca="1" si="80"/>
        <v/>
      </c>
      <c r="AE183" t="str">
        <f t="shared" ca="1" si="85"/>
        <v/>
      </c>
      <c r="AF183" t="str">
        <f t="shared" ca="1" si="86"/>
        <v/>
      </c>
      <c r="AG183" t="str">
        <f t="shared" ca="1" si="87"/>
        <v/>
      </c>
      <c r="AH183" t="str">
        <f t="shared" ca="1" si="88"/>
        <v/>
      </c>
      <c r="AI183" t="str">
        <f t="shared" ca="1" si="89"/>
        <v/>
      </c>
      <c r="AJ183" t="str">
        <f t="shared" ca="1" si="90"/>
        <v/>
      </c>
    </row>
    <row r="184" spans="15:36" ht="18.600000000000001" customHeight="1" x14ac:dyDescent="0.45">
      <c r="O184">
        <f t="shared" si="76"/>
        <v>0</v>
      </c>
      <c r="P184">
        <f t="shared" si="77"/>
        <v>0</v>
      </c>
      <c r="R184" t="str" cm="1">
        <f t="array" ref="R184">IFERROR(_xlfn.AGGREGATE(15, 6, ($O$2:$O$350)/($O$2:$O$350&lt;&gt;0), ROWS($R$2:R184)), "")</f>
        <v/>
      </c>
      <c r="S184" t="str" cm="1">
        <f t="array" ref="S184">IFERROR(_xlfn.AGGREGATE(15, 6, ($P$2:$P$350)/($P$2:$P$350&lt;&gt;0), ROWS($R$2:R184)), "")</f>
        <v/>
      </c>
      <c r="U184" t="str">
        <f t="shared" ca="1" si="81"/>
        <v/>
      </c>
      <c r="V184" t="str">
        <f t="shared" ca="1" si="82"/>
        <v/>
      </c>
      <c r="W184" t="str">
        <f t="shared" ca="1" si="83"/>
        <v/>
      </c>
      <c r="X184" t="str">
        <f t="shared" ca="1" si="84"/>
        <v/>
      </c>
      <c r="Z184" t="str">
        <f t="shared" ca="1" si="91"/>
        <v/>
      </c>
      <c r="AA184" t="str">
        <f t="shared" ca="1" si="78"/>
        <v/>
      </c>
      <c r="AB184" t="str">
        <f t="shared" ca="1" si="79"/>
        <v/>
      </c>
      <c r="AC184" t="str">
        <f t="shared" ca="1" si="80"/>
        <v/>
      </c>
      <c r="AE184" t="str">
        <f t="shared" ca="1" si="85"/>
        <v/>
      </c>
      <c r="AF184" t="str">
        <f t="shared" ca="1" si="86"/>
        <v/>
      </c>
      <c r="AG184" t="str">
        <f t="shared" ca="1" si="87"/>
        <v/>
      </c>
      <c r="AH184" t="str">
        <f t="shared" ca="1" si="88"/>
        <v/>
      </c>
      <c r="AI184" t="str">
        <f t="shared" ca="1" si="89"/>
        <v/>
      </c>
      <c r="AJ184" t="str">
        <f t="shared" ca="1" si="90"/>
        <v/>
      </c>
    </row>
    <row r="185" spans="15:36" ht="18.600000000000001" customHeight="1" x14ac:dyDescent="0.45">
      <c r="O185">
        <f t="shared" si="76"/>
        <v>0</v>
      </c>
      <c r="P185">
        <f t="shared" si="77"/>
        <v>0</v>
      </c>
      <c r="R185" t="str" cm="1">
        <f t="array" ref="R185">IFERROR(_xlfn.AGGREGATE(15, 6, ($O$2:$O$350)/($O$2:$O$350&lt;&gt;0), ROWS($R$2:R185)), "")</f>
        <v/>
      </c>
      <c r="S185" t="str" cm="1">
        <f t="array" ref="S185">IFERROR(_xlfn.AGGREGATE(15, 6, ($P$2:$P$350)/($P$2:$P$350&lt;&gt;0), ROWS($R$2:R185)), "")</f>
        <v/>
      </c>
      <c r="U185" t="str">
        <f t="shared" ca="1" si="81"/>
        <v/>
      </c>
      <c r="V185" t="str">
        <f t="shared" ca="1" si="82"/>
        <v/>
      </c>
      <c r="W185" t="str">
        <f t="shared" ca="1" si="83"/>
        <v/>
      </c>
      <c r="X185" t="str">
        <f t="shared" ca="1" si="84"/>
        <v/>
      </c>
      <c r="Z185" t="str">
        <f t="shared" ca="1" si="91"/>
        <v/>
      </c>
      <c r="AA185" t="str">
        <f t="shared" ca="1" si="78"/>
        <v/>
      </c>
      <c r="AB185" t="str">
        <f t="shared" ca="1" si="79"/>
        <v/>
      </c>
      <c r="AC185" t="str">
        <f t="shared" ca="1" si="80"/>
        <v/>
      </c>
      <c r="AE185" t="str">
        <f t="shared" ca="1" si="85"/>
        <v/>
      </c>
      <c r="AF185" t="str">
        <f t="shared" ca="1" si="86"/>
        <v/>
      </c>
      <c r="AG185" t="str">
        <f t="shared" ca="1" si="87"/>
        <v/>
      </c>
      <c r="AH185" t="str">
        <f t="shared" ca="1" si="88"/>
        <v/>
      </c>
      <c r="AI185" t="str">
        <f t="shared" ca="1" si="89"/>
        <v/>
      </c>
      <c r="AJ185" t="str">
        <f t="shared" ca="1" si="90"/>
        <v/>
      </c>
    </row>
    <row r="186" spans="15:36" ht="18.600000000000001" customHeight="1" x14ac:dyDescent="0.45">
      <c r="O186">
        <f t="shared" si="76"/>
        <v>0</v>
      </c>
      <c r="P186">
        <f t="shared" si="77"/>
        <v>0</v>
      </c>
      <c r="R186" t="str" cm="1">
        <f t="array" ref="R186">IFERROR(_xlfn.AGGREGATE(15, 6, ($O$2:$O$350)/($O$2:$O$350&lt;&gt;0), ROWS($R$2:R186)), "")</f>
        <v/>
      </c>
      <c r="S186" t="str" cm="1">
        <f t="array" ref="S186">IFERROR(_xlfn.AGGREGATE(15, 6, ($P$2:$P$350)/($P$2:$P$350&lt;&gt;0), ROWS($R$2:R186)), "")</f>
        <v/>
      </c>
      <c r="U186" t="str">
        <f t="shared" ca="1" si="81"/>
        <v/>
      </c>
      <c r="V186" t="str">
        <f t="shared" ca="1" si="82"/>
        <v/>
      </c>
      <c r="W186" t="str">
        <f t="shared" ca="1" si="83"/>
        <v/>
      </c>
      <c r="X186" t="str">
        <f t="shared" ca="1" si="84"/>
        <v/>
      </c>
      <c r="Z186" t="str">
        <f t="shared" ca="1" si="91"/>
        <v/>
      </c>
      <c r="AA186" t="str">
        <f t="shared" ca="1" si="78"/>
        <v/>
      </c>
      <c r="AB186" t="str">
        <f t="shared" ca="1" si="79"/>
        <v/>
      </c>
      <c r="AC186" t="str">
        <f t="shared" ca="1" si="80"/>
        <v/>
      </c>
      <c r="AE186" t="str">
        <f t="shared" ca="1" si="85"/>
        <v/>
      </c>
      <c r="AF186" t="str">
        <f t="shared" ca="1" si="86"/>
        <v/>
      </c>
      <c r="AG186" t="str">
        <f t="shared" ca="1" si="87"/>
        <v/>
      </c>
      <c r="AH186" t="str">
        <f t="shared" ca="1" si="88"/>
        <v/>
      </c>
      <c r="AI186" t="str">
        <f t="shared" ca="1" si="89"/>
        <v/>
      </c>
      <c r="AJ186" t="str">
        <f t="shared" ca="1" si="90"/>
        <v/>
      </c>
    </row>
    <row r="187" spans="15:36" ht="18.600000000000001" customHeight="1" x14ac:dyDescent="0.45">
      <c r="O187">
        <f t="shared" si="76"/>
        <v>0</v>
      </c>
      <c r="P187">
        <f t="shared" si="77"/>
        <v>0</v>
      </c>
      <c r="R187" t="str" cm="1">
        <f t="array" ref="R187">IFERROR(_xlfn.AGGREGATE(15, 6, ($O$2:$O$350)/($O$2:$O$350&lt;&gt;0), ROWS($R$2:R187)), "")</f>
        <v/>
      </c>
      <c r="S187" t="str" cm="1">
        <f t="array" ref="S187">IFERROR(_xlfn.AGGREGATE(15, 6, ($P$2:$P$350)/($P$2:$P$350&lt;&gt;0), ROWS($R$2:R187)), "")</f>
        <v/>
      </c>
      <c r="U187" t="str">
        <f t="shared" ca="1" si="81"/>
        <v/>
      </c>
      <c r="V187" t="str">
        <f t="shared" ca="1" si="82"/>
        <v/>
      </c>
      <c r="W187" t="str">
        <f t="shared" ca="1" si="83"/>
        <v/>
      </c>
      <c r="X187" t="str">
        <f t="shared" ca="1" si="84"/>
        <v/>
      </c>
      <c r="Z187" t="str">
        <f t="shared" ca="1" si="91"/>
        <v/>
      </c>
      <c r="AA187" t="str">
        <f t="shared" ca="1" si="78"/>
        <v/>
      </c>
      <c r="AB187" t="str">
        <f t="shared" ca="1" si="79"/>
        <v/>
      </c>
      <c r="AC187" t="str">
        <f t="shared" ca="1" si="80"/>
        <v/>
      </c>
      <c r="AE187" t="str">
        <f t="shared" ca="1" si="85"/>
        <v/>
      </c>
      <c r="AF187" t="str">
        <f t="shared" ca="1" si="86"/>
        <v/>
      </c>
      <c r="AG187" t="str">
        <f t="shared" ca="1" si="87"/>
        <v/>
      </c>
      <c r="AH187" t="str">
        <f t="shared" ca="1" si="88"/>
        <v/>
      </c>
      <c r="AI187" t="str">
        <f t="shared" ca="1" si="89"/>
        <v/>
      </c>
      <c r="AJ187" t="str">
        <f t="shared" ca="1" si="90"/>
        <v/>
      </c>
    </row>
    <row r="188" spans="15:36" ht="18.600000000000001" customHeight="1" x14ac:dyDescent="0.45">
      <c r="O188">
        <f t="shared" si="76"/>
        <v>0</v>
      </c>
      <c r="P188">
        <f t="shared" si="77"/>
        <v>0</v>
      </c>
      <c r="R188" t="str" cm="1">
        <f t="array" ref="R188">IFERROR(_xlfn.AGGREGATE(15, 6, ($O$2:$O$350)/($O$2:$O$350&lt;&gt;0), ROWS($R$2:R188)), "")</f>
        <v/>
      </c>
      <c r="S188" t="str" cm="1">
        <f t="array" ref="S188">IFERROR(_xlfn.AGGREGATE(15, 6, ($P$2:$P$350)/($P$2:$P$350&lt;&gt;0), ROWS($R$2:R188)), "")</f>
        <v/>
      </c>
      <c r="U188" t="str">
        <f t="shared" ca="1" si="81"/>
        <v/>
      </c>
      <c r="V188" t="str">
        <f t="shared" ca="1" si="82"/>
        <v/>
      </c>
      <c r="W188" t="str">
        <f t="shared" ca="1" si="83"/>
        <v/>
      </c>
      <c r="X188" t="str">
        <f t="shared" ca="1" si="84"/>
        <v/>
      </c>
      <c r="Z188" t="str">
        <f t="shared" ca="1" si="91"/>
        <v/>
      </c>
      <c r="AA188" t="str">
        <f t="shared" ca="1" si="78"/>
        <v/>
      </c>
      <c r="AB188" t="str">
        <f t="shared" ca="1" si="79"/>
        <v/>
      </c>
      <c r="AC188" t="str">
        <f t="shared" ca="1" si="80"/>
        <v/>
      </c>
      <c r="AE188" t="str">
        <f t="shared" ca="1" si="85"/>
        <v/>
      </c>
      <c r="AF188" t="str">
        <f t="shared" ca="1" si="86"/>
        <v/>
      </c>
      <c r="AG188" t="str">
        <f t="shared" ca="1" si="87"/>
        <v/>
      </c>
      <c r="AH188" t="str">
        <f t="shared" ca="1" si="88"/>
        <v/>
      </c>
      <c r="AI188" t="str">
        <f t="shared" ca="1" si="89"/>
        <v/>
      </c>
      <c r="AJ188" t="str">
        <f t="shared" ca="1" si="90"/>
        <v/>
      </c>
    </row>
    <row r="189" spans="15:36" ht="18.600000000000001" customHeight="1" x14ac:dyDescent="0.45">
      <c r="O189">
        <f t="shared" si="76"/>
        <v>0</v>
      </c>
      <c r="P189">
        <f t="shared" si="77"/>
        <v>0</v>
      </c>
      <c r="R189" t="str" cm="1">
        <f t="array" ref="R189">IFERROR(_xlfn.AGGREGATE(15, 6, ($O$2:$O$350)/($O$2:$O$350&lt;&gt;0), ROWS($R$2:R189)), "")</f>
        <v/>
      </c>
      <c r="S189" t="str" cm="1">
        <f t="array" ref="S189">IFERROR(_xlfn.AGGREGATE(15, 6, ($P$2:$P$350)/($P$2:$P$350&lt;&gt;0), ROWS($R$2:R189)), "")</f>
        <v/>
      </c>
      <c r="U189" t="str">
        <f t="shared" ca="1" si="81"/>
        <v/>
      </c>
      <c r="V189" t="str">
        <f t="shared" ca="1" si="82"/>
        <v/>
      </c>
      <c r="W189" t="str">
        <f t="shared" ca="1" si="83"/>
        <v/>
      </c>
      <c r="X189" t="str">
        <f t="shared" ca="1" si="84"/>
        <v/>
      </c>
      <c r="Z189" t="str">
        <f t="shared" ca="1" si="91"/>
        <v/>
      </c>
      <c r="AA189" t="str">
        <f t="shared" ca="1" si="78"/>
        <v/>
      </c>
      <c r="AB189" t="str">
        <f t="shared" ca="1" si="79"/>
        <v/>
      </c>
      <c r="AC189" t="str">
        <f t="shared" ca="1" si="80"/>
        <v/>
      </c>
      <c r="AE189" t="str">
        <f t="shared" ca="1" si="85"/>
        <v/>
      </c>
      <c r="AF189" t="str">
        <f t="shared" ca="1" si="86"/>
        <v/>
      </c>
      <c r="AG189" t="str">
        <f t="shared" ca="1" si="87"/>
        <v/>
      </c>
      <c r="AH189" t="str">
        <f t="shared" ca="1" si="88"/>
        <v/>
      </c>
      <c r="AI189" t="str">
        <f t="shared" ca="1" si="89"/>
        <v/>
      </c>
      <c r="AJ189" t="str">
        <f t="shared" ca="1" si="90"/>
        <v/>
      </c>
    </row>
    <row r="190" spans="15:36" ht="18.600000000000001" customHeight="1" x14ac:dyDescent="0.45">
      <c r="O190">
        <f t="shared" si="76"/>
        <v>0</v>
      </c>
      <c r="P190">
        <f t="shared" si="77"/>
        <v>0</v>
      </c>
      <c r="R190" t="str" cm="1">
        <f t="array" ref="R190">IFERROR(_xlfn.AGGREGATE(15, 6, ($O$2:$O$350)/($O$2:$O$350&lt;&gt;0), ROWS($R$2:R190)), "")</f>
        <v/>
      </c>
      <c r="S190" t="str" cm="1">
        <f t="array" ref="S190">IFERROR(_xlfn.AGGREGATE(15, 6, ($P$2:$P$350)/($P$2:$P$350&lt;&gt;0), ROWS($R$2:R190)), "")</f>
        <v/>
      </c>
      <c r="U190" t="str">
        <f t="shared" ca="1" si="81"/>
        <v/>
      </c>
      <c r="V190" t="str">
        <f t="shared" ca="1" si="82"/>
        <v/>
      </c>
      <c r="W190" t="str">
        <f t="shared" ca="1" si="83"/>
        <v/>
      </c>
      <c r="X190" t="str">
        <f t="shared" ca="1" si="84"/>
        <v/>
      </c>
      <c r="Z190" t="str">
        <f t="shared" ca="1" si="91"/>
        <v/>
      </c>
      <c r="AA190" t="str">
        <f t="shared" ca="1" si="78"/>
        <v/>
      </c>
      <c r="AB190" t="str">
        <f t="shared" ca="1" si="79"/>
        <v/>
      </c>
      <c r="AC190" t="str">
        <f t="shared" ca="1" si="80"/>
        <v/>
      </c>
      <c r="AE190" t="str">
        <f t="shared" ca="1" si="85"/>
        <v/>
      </c>
      <c r="AF190" t="str">
        <f t="shared" ca="1" si="86"/>
        <v/>
      </c>
      <c r="AG190" t="str">
        <f t="shared" ca="1" si="87"/>
        <v/>
      </c>
      <c r="AH190" t="str">
        <f t="shared" ca="1" si="88"/>
        <v/>
      </c>
      <c r="AI190" t="str">
        <f t="shared" ca="1" si="89"/>
        <v/>
      </c>
      <c r="AJ190" t="str">
        <f t="shared" ca="1" si="90"/>
        <v/>
      </c>
    </row>
    <row r="191" spans="15:36" ht="18.600000000000001" customHeight="1" x14ac:dyDescent="0.45">
      <c r="O191">
        <f t="shared" si="76"/>
        <v>0</v>
      </c>
      <c r="P191">
        <f t="shared" si="77"/>
        <v>0</v>
      </c>
      <c r="R191" t="str" cm="1">
        <f t="array" ref="R191">IFERROR(_xlfn.AGGREGATE(15, 6, ($O$2:$O$350)/($O$2:$O$350&lt;&gt;0), ROWS($R$2:R191)), "")</f>
        <v/>
      </c>
      <c r="S191" t="str" cm="1">
        <f t="array" ref="S191">IFERROR(_xlfn.AGGREGATE(15, 6, ($P$2:$P$350)/($P$2:$P$350&lt;&gt;0), ROWS($R$2:R191)), "")</f>
        <v/>
      </c>
      <c r="U191" t="str">
        <f t="shared" ca="1" si="81"/>
        <v/>
      </c>
      <c r="V191" t="str">
        <f t="shared" ca="1" si="82"/>
        <v/>
      </c>
      <c r="W191" t="str">
        <f t="shared" ca="1" si="83"/>
        <v/>
      </c>
      <c r="X191" t="str">
        <f t="shared" ca="1" si="84"/>
        <v/>
      </c>
      <c r="Z191" t="str">
        <f t="shared" ca="1" si="91"/>
        <v/>
      </c>
      <c r="AA191" t="str">
        <f t="shared" ca="1" si="78"/>
        <v/>
      </c>
      <c r="AB191" t="str">
        <f t="shared" ca="1" si="79"/>
        <v/>
      </c>
      <c r="AC191" t="str">
        <f t="shared" ca="1" si="80"/>
        <v/>
      </c>
      <c r="AE191" t="str">
        <f t="shared" ca="1" si="85"/>
        <v/>
      </c>
      <c r="AF191" t="str">
        <f t="shared" ca="1" si="86"/>
        <v/>
      </c>
      <c r="AG191" t="str">
        <f t="shared" ca="1" si="87"/>
        <v/>
      </c>
      <c r="AH191" t="str">
        <f t="shared" ca="1" si="88"/>
        <v/>
      </c>
      <c r="AI191" t="str">
        <f t="shared" ca="1" si="89"/>
        <v/>
      </c>
      <c r="AJ191" t="str">
        <f t="shared" ca="1" si="90"/>
        <v/>
      </c>
    </row>
    <row r="192" spans="15:36" ht="18.600000000000001" customHeight="1" x14ac:dyDescent="0.45">
      <c r="O192">
        <f t="shared" si="76"/>
        <v>0</v>
      </c>
      <c r="P192">
        <f t="shared" si="77"/>
        <v>0</v>
      </c>
      <c r="R192" t="str" cm="1">
        <f t="array" ref="R192">IFERROR(_xlfn.AGGREGATE(15, 6, ($O$2:$O$350)/($O$2:$O$350&lt;&gt;0), ROWS($R$2:R192)), "")</f>
        <v/>
      </c>
      <c r="S192" t="str" cm="1">
        <f t="array" ref="S192">IFERROR(_xlfn.AGGREGATE(15, 6, ($P$2:$P$350)/($P$2:$P$350&lt;&gt;0), ROWS($R$2:R192)), "")</f>
        <v/>
      </c>
      <c r="U192" t="str">
        <f t="shared" ca="1" si="81"/>
        <v/>
      </c>
      <c r="V192" t="str">
        <f t="shared" ca="1" si="82"/>
        <v/>
      </c>
      <c r="W192" t="str">
        <f t="shared" ca="1" si="83"/>
        <v/>
      </c>
      <c r="X192" t="str">
        <f t="shared" ca="1" si="84"/>
        <v/>
      </c>
      <c r="Z192" t="str">
        <f t="shared" ca="1" si="91"/>
        <v/>
      </c>
      <c r="AA192" t="str">
        <f t="shared" ca="1" si="78"/>
        <v/>
      </c>
      <c r="AB192" t="str">
        <f t="shared" ca="1" si="79"/>
        <v/>
      </c>
      <c r="AC192" t="str">
        <f t="shared" ca="1" si="80"/>
        <v/>
      </c>
      <c r="AE192" t="str">
        <f t="shared" ca="1" si="85"/>
        <v/>
      </c>
      <c r="AF192" t="str">
        <f t="shared" ca="1" si="86"/>
        <v/>
      </c>
      <c r="AG192" t="str">
        <f t="shared" ca="1" si="87"/>
        <v/>
      </c>
      <c r="AH192" t="str">
        <f t="shared" ca="1" si="88"/>
        <v/>
      </c>
      <c r="AI192" t="str">
        <f t="shared" ca="1" si="89"/>
        <v/>
      </c>
      <c r="AJ192" t="str">
        <f t="shared" ca="1" si="90"/>
        <v/>
      </c>
    </row>
    <row r="193" spans="15:36" ht="18.600000000000001" customHeight="1" x14ac:dyDescent="0.45">
      <c r="O193">
        <f t="shared" si="76"/>
        <v>0</v>
      </c>
      <c r="P193">
        <f t="shared" si="77"/>
        <v>0</v>
      </c>
      <c r="R193" t="str" cm="1">
        <f t="array" ref="R193">IFERROR(_xlfn.AGGREGATE(15, 6, ($O$2:$O$350)/($O$2:$O$350&lt;&gt;0), ROWS($R$2:R193)), "")</f>
        <v/>
      </c>
      <c r="S193" t="str" cm="1">
        <f t="array" ref="S193">IFERROR(_xlfn.AGGREGATE(15, 6, ($P$2:$P$350)/($P$2:$P$350&lt;&gt;0), ROWS($R$2:R193)), "")</f>
        <v/>
      </c>
      <c r="U193" t="str">
        <f t="shared" ca="1" si="81"/>
        <v/>
      </c>
      <c r="V193" t="str">
        <f t="shared" ca="1" si="82"/>
        <v/>
      </c>
      <c r="W193" t="str">
        <f t="shared" ca="1" si="83"/>
        <v/>
      </c>
      <c r="X193" t="str">
        <f t="shared" ca="1" si="84"/>
        <v/>
      </c>
      <c r="Z193" t="str">
        <f t="shared" ca="1" si="91"/>
        <v/>
      </c>
      <c r="AA193" t="str">
        <f t="shared" ca="1" si="78"/>
        <v/>
      </c>
      <c r="AB193" t="str">
        <f t="shared" ca="1" si="79"/>
        <v/>
      </c>
      <c r="AC193" t="str">
        <f t="shared" ca="1" si="80"/>
        <v/>
      </c>
      <c r="AE193" t="str">
        <f t="shared" ca="1" si="85"/>
        <v/>
      </c>
      <c r="AF193" t="str">
        <f t="shared" ca="1" si="86"/>
        <v/>
      </c>
      <c r="AG193" t="str">
        <f t="shared" ca="1" si="87"/>
        <v/>
      </c>
      <c r="AH193" t="str">
        <f t="shared" ca="1" si="88"/>
        <v/>
      </c>
      <c r="AI193" t="str">
        <f t="shared" ca="1" si="89"/>
        <v/>
      </c>
      <c r="AJ193" t="str">
        <f t="shared" ca="1" si="90"/>
        <v/>
      </c>
    </row>
    <row r="194" spans="15:36" ht="18.600000000000001" customHeight="1" x14ac:dyDescent="0.45">
      <c r="O194">
        <f t="shared" ref="O194:O257" si="92">IF(COUNTIF(A194,"*/*"),ROW(),0)</f>
        <v>0</v>
      </c>
      <c r="P194">
        <f t="shared" si="77"/>
        <v>0</v>
      </c>
      <c r="R194" t="str" cm="1">
        <f t="array" ref="R194">IFERROR(_xlfn.AGGREGATE(15, 6, ($O$2:$O$350)/($O$2:$O$350&lt;&gt;0), ROWS($R$2:R194)), "")</f>
        <v/>
      </c>
      <c r="S194" t="str" cm="1">
        <f t="array" ref="S194">IFERROR(_xlfn.AGGREGATE(15, 6, ($P$2:$P$350)/($P$2:$P$350&lt;&gt;0), ROWS($R$2:R194)), "")</f>
        <v/>
      </c>
      <c r="U194" t="str">
        <f t="shared" ca="1" si="81"/>
        <v/>
      </c>
      <c r="V194" t="str">
        <f t="shared" ca="1" si="82"/>
        <v/>
      </c>
      <c r="W194" t="str">
        <f t="shared" ca="1" si="83"/>
        <v/>
      </c>
      <c r="X194" t="str">
        <f t="shared" ca="1" si="84"/>
        <v/>
      </c>
      <c r="Z194" t="str">
        <f t="shared" ca="1" si="91"/>
        <v/>
      </c>
      <c r="AA194" t="str">
        <f t="shared" ca="1" si="78"/>
        <v/>
      </c>
      <c r="AB194" t="str">
        <f t="shared" ca="1" si="79"/>
        <v/>
      </c>
      <c r="AC194" t="str">
        <f t="shared" ca="1" si="80"/>
        <v/>
      </c>
      <c r="AE194" t="str">
        <f t="shared" ca="1" si="85"/>
        <v/>
      </c>
      <c r="AF194" t="str">
        <f t="shared" ca="1" si="86"/>
        <v/>
      </c>
      <c r="AG194" t="str">
        <f t="shared" ca="1" si="87"/>
        <v/>
      </c>
      <c r="AH194" t="str">
        <f t="shared" ca="1" si="88"/>
        <v/>
      </c>
      <c r="AI194" t="str">
        <f t="shared" ca="1" si="89"/>
        <v/>
      </c>
      <c r="AJ194" t="str">
        <f t="shared" ca="1" si="90"/>
        <v/>
      </c>
    </row>
    <row r="195" spans="15:36" ht="18.600000000000001" customHeight="1" x14ac:dyDescent="0.45">
      <c r="O195">
        <f t="shared" si="92"/>
        <v>0</v>
      </c>
      <c r="P195">
        <f t="shared" si="77"/>
        <v>0</v>
      </c>
      <c r="R195" t="str" cm="1">
        <f t="array" ref="R195">IFERROR(_xlfn.AGGREGATE(15, 6, ($O$2:$O$350)/($O$2:$O$350&lt;&gt;0), ROWS($R$2:R195)), "")</f>
        <v/>
      </c>
      <c r="S195" t="str" cm="1">
        <f t="array" ref="S195">IFERROR(_xlfn.AGGREGATE(15, 6, ($P$2:$P$350)/($P$2:$P$350&lt;&gt;0), ROWS($R$2:R195)), "")</f>
        <v/>
      </c>
      <c r="U195" t="str">
        <f t="shared" ca="1" si="81"/>
        <v/>
      </c>
      <c r="V195" t="str">
        <f t="shared" ca="1" si="82"/>
        <v/>
      </c>
      <c r="W195" t="str">
        <f t="shared" ca="1" si="83"/>
        <v/>
      </c>
      <c r="X195" t="str">
        <f t="shared" ca="1" si="84"/>
        <v/>
      </c>
      <c r="Z195" t="str">
        <f t="shared" ca="1" si="91"/>
        <v/>
      </c>
      <c r="AA195" t="str">
        <f t="shared" ca="1" si="78"/>
        <v/>
      </c>
      <c r="AB195" t="str">
        <f t="shared" ca="1" si="79"/>
        <v/>
      </c>
      <c r="AC195" t="str">
        <f t="shared" ca="1" si="80"/>
        <v/>
      </c>
      <c r="AE195" t="str">
        <f t="shared" ca="1" si="85"/>
        <v/>
      </c>
      <c r="AF195" t="str">
        <f t="shared" ca="1" si="86"/>
        <v/>
      </c>
      <c r="AG195" t="str">
        <f t="shared" ca="1" si="87"/>
        <v/>
      </c>
      <c r="AH195" t="str">
        <f t="shared" ca="1" si="88"/>
        <v/>
      </c>
      <c r="AI195" t="str">
        <f t="shared" ca="1" si="89"/>
        <v/>
      </c>
      <c r="AJ195" t="str">
        <f t="shared" ca="1" si="90"/>
        <v/>
      </c>
    </row>
    <row r="196" spans="15:36" ht="18.600000000000001" customHeight="1" x14ac:dyDescent="0.45">
      <c r="O196">
        <f t="shared" si="92"/>
        <v>0</v>
      </c>
      <c r="P196">
        <f t="shared" si="77"/>
        <v>0</v>
      </c>
      <c r="R196" t="str" cm="1">
        <f t="array" ref="R196">IFERROR(_xlfn.AGGREGATE(15, 6, ($O$2:$O$350)/($O$2:$O$350&lt;&gt;0), ROWS($R$2:R196)), "")</f>
        <v/>
      </c>
      <c r="S196" t="str" cm="1">
        <f t="array" ref="S196">IFERROR(_xlfn.AGGREGATE(15, 6, ($P$2:$P$350)/($P$2:$P$350&lt;&gt;0), ROWS($R$2:R196)), "")</f>
        <v/>
      </c>
      <c r="U196" t="str">
        <f t="shared" ca="1" si="81"/>
        <v/>
      </c>
      <c r="V196" t="str">
        <f t="shared" ca="1" si="82"/>
        <v/>
      </c>
      <c r="W196" t="str">
        <f t="shared" ca="1" si="83"/>
        <v/>
      </c>
      <c r="X196" t="str">
        <f t="shared" ca="1" si="84"/>
        <v/>
      </c>
      <c r="Z196" t="str">
        <f t="shared" ca="1" si="91"/>
        <v/>
      </c>
      <c r="AA196" t="str">
        <f t="shared" ca="1" si="78"/>
        <v/>
      </c>
      <c r="AB196" t="str">
        <f t="shared" ca="1" si="79"/>
        <v/>
      </c>
      <c r="AC196" t="str">
        <f t="shared" ca="1" si="80"/>
        <v/>
      </c>
      <c r="AE196" t="str">
        <f t="shared" ca="1" si="85"/>
        <v/>
      </c>
      <c r="AF196" t="str">
        <f t="shared" ca="1" si="86"/>
        <v/>
      </c>
      <c r="AG196" t="str">
        <f t="shared" ca="1" si="87"/>
        <v/>
      </c>
      <c r="AH196" t="str">
        <f t="shared" ca="1" si="88"/>
        <v/>
      </c>
      <c r="AI196" t="str">
        <f t="shared" ca="1" si="89"/>
        <v/>
      </c>
      <c r="AJ196" t="str">
        <f t="shared" ca="1" si="90"/>
        <v/>
      </c>
    </row>
    <row r="197" spans="15:36" ht="18.600000000000001" customHeight="1" x14ac:dyDescent="0.45">
      <c r="O197">
        <f t="shared" si="92"/>
        <v>0</v>
      </c>
      <c r="P197">
        <f t="shared" ref="P197:P260" si="93">IF(O197&lt;&gt;0,O197-1,0)</f>
        <v>0</v>
      </c>
      <c r="R197" t="str" cm="1">
        <f t="array" ref="R197">IFERROR(_xlfn.AGGREGATE(15, 6, ($O$2:$O$350)/($O$2:$O$350&lt;&gt;0), ROWS($R$2:R197)), "")</f>
        <v/>
      </c>
      <c r="S197" t="str" cm="1">
        <f t="array" ref="S197">IFERROR(_xlfn.AGGREGATE(15, 6, ($P$2:$P$350)/($P$2:$P$350&lt;&gt;0), ROWS($R$2:R197)), "")</f>
        <v/>
      </c>
      <c r="U197" t="str">
        <f t="shared" ca="1" si="81"/>
        <v/>
      </c>
      <c r="V197" t="str">
        <f t="shared" ca="1" si="82"/>
        <v/>
      </c>
      <c r="W197" t="str">
        <f t="shared" ca="1" si="83"/>
        <v/>
      </c>
      <c r="X197" t="str">
        <f t="shared" ca="1" si="84"/>
        <v/>
      </c>
      <c r="Z197" t="str">
        <f t="shared" ca="1" si="91"/>
        <v/>
      </c>
      <c r="AA197" t="str">
        <f t="shared" ca="1" si="78"/>
        <v/>
      </c>
      <c r="AB197" t="str">
        <f t="shared" ca="1" si="79"/>
        <v/>
      </c>
      <c r="AC197" t="str">
        <f t="shared" ca="1" si="80"/>
        <v/>
      </c>
      <c r="AE197" t="str">
        <f t="shared" ca="1" si="85"/>
        <v/>
      </c>
      <c r="AF197" t="str">
        <f t="shared" ca="1" si="86"/>
        <v/>
      </c>
      <c r="AG197" t="str">
        <f t="shared" ca="1" si="87"/>
        <v/>
      </c>
      <c r="AH197" t="str">
        <f t="shared" ca="1" si="88"/>
        <v/>
      </c>
      <c r="AI197" t="str">
        <f t="shared" ca="1" si="89"/>
        <v/>
      </c>
      <c r="AJ197" t="str">
        <f t="shared" ca="1" si="90"/>
        <v/>
      </c>
    </row>
    <row r="198" spans="15:36" ht="18.600000000000001" customHeight="1" x14ac:dyDescent="0.45">
      <c r="O198">
        <f t="shared" si="92"/>
        <v>0</v>
      </c>
      <c r="P198">
        <f t="shared" si="93"/>
        <v>0</v>
      </c>
      <c r="R198" t="str" cm="1">
        <f t="array" ref="R198">IFERROR(_xlfn.AGGREGATE(15, 6, ($O$2:$O$350)/($O$2:$O$350&lt;&gt;0), ROWS($R$2:R198)), "")</f>
        <v/>
      </c>
      <c r="S198" t="str" cm="1">
        <f t="array" ref="S198">IFERROR(_xlfn.AGGREGATE(15, 6, ($P$2:$P$350)/($P$2:$P$350&lt;&gt;0), ROWS($R$2:R198)), "")</f>
        <v/>
      </c>
      <c r="U198" t="str">
        <f t="shared" ca="1" si="81"/>
        <v/>
      </c>
      <c r="V198" t="str">
        <f t="shared" ca="1" si="82"/>
        <v/>
      </c>
      <c r="W198" t="str">
        <f t="shared" ca="1" si="83"/>
        <v/>
      </c>
      <c r="X198" t="str">
        <f t="shared" ca="1" si="84"/>
        <v/>
      </c>
      <c r="Z198" t="str">
        <f t="shared" ca="1" si="91"/>
        <v/>
      </c>
      <c r="AA198" t="str">
        <f t="shared" ca="1" si="78"/>
        <v/>
      </c>
      <c r="AB198" t="str">
        <f t="shared" ca="1" si="79"/>
        <v/>
      </c>
      <c r="AC198" t="str">
        <f t="shared" ca="1" si="80"/>
        <v/>
      </c>
      <c r="AE198" t="str">
        <f t="shared" ca="1" si="85"/>
        <v/>
      </c>
      <c r="AF198" t="str">
        <f t="shared" ca="1" si="86"/>
        <v/>
      </c>
      <c r="AG198" t="str">
        <f t="shared" ca="1" si="87"/>
        <v/>
      </c>
      <c r="AH198" t="str">
        <f t="shared" ca="1" si="88"/>
        <v/>
      </c>
      <c r="AI198" t="str">
        <f t="shared" ca="1" si="89"/>
        <v/>
      </c>
      <c r="AJ198" t="str">
        <f t="shared" ca="1" si="90"/>
        <v/>
      </c>
    </row>
    <row r="199" spans="15:36" ht="18.600000000000001" customHeight="1" x14ac:dyDescent="0.45">
      <c r="O199">
        <f t="shared" si="92"/>
        <v>0</v>
      </c>
      <c r="P199">
        <f t="shared" si="93"/>
        <v>0</v>
      </c>
      <c r="R199" t="str" cm="1">
        <f t="array" ref="R199">IFERROR(_xlfn.AGGREGATE(15, 6, ($O$2:$O$350)/($O$2:$O$350&lt;&gt;0), ROWS($R$2:R199)), "")</f>
        <v/>
      </c>
      <c r="S199" t="str" cm="1">
        <f t="array" ref="S199">IFERROR(_xlfn.AGGREGATE(15, 6, ($P$2:$P$350)/($P$2:$P$350&lt;&gt;0), ROWS($R$2:R199)), "")</f>
        <v/>
      </c>
      <c r="U199" t="str">
        <f t="shared" ca="1" si="81"/>
        <v/>
      </c>
      <c r="V199" t="str">
        <f t="shared" ca="1" si="82"/>
        <v/>
      </c>
      <c r="W199" t="str">
        <f t="shared" ca="1" si="83"/>
        <v/>
      </c>
      <c r="X199" t="str">
        <f t="shared" ca="1" si="84"/>
        <v/>
      </c>
      <c r="Z199" t="str">
        <f t="shared" ca="1" si="91"/>
        <v/>
      </c>
      <c r="AA199" t="str">
        <f t="shared" ca="1" si="78"/>
        <v/>
      </c>
      <c r="AB199" t="str">
        <f t="shared" ca="1" si="79"/>
        <v/>
      </c>
      <c r="AC199" t="str">
        <f t="shared" ca="1" si="80"/>
        <v/>
      </c>
      <c r="AE199" t="str">
        <f t="shared" ca="1" si="85"/>
        <v/>
      </c>
      <c r="AF199" t="str">
        <f t="shared" ca="1" si="86"/>
        <v/>
      </c>
      <c r="AG199" t="str">
        <f t="shared" ca="1" si="87"/>
        <v/>
      </c>
      <c r="AH199" t="str">
        <f t="shared" ca="1" si="88"/>
        <v/>
      </c>
      <c r="AI199" t="str">
        <f t="shared" ca="1" si="89"/>
        <v/>
      </c>
      <c r="AJ199" t="str">
        <f t="shared" ca="1" si="90"/>
        <v/>
      </c>
    </row>
    <row r="200" spans="15:36" ht="18.600000000000001" customHeight="1" x14ac:dyDescent="0.45">
      <c r="O200">
        <f t="shared" si="92"/>
        <v>0</v>
      </c>
      <c r="P200">
        <f t="shared" si="93"/>
        <v>0</v>
      </c>
      <c r="R200" t="str" cm="1">
        <f t="array" ref="R200">IFERROR(_xlfn.AGGREGATE(15, 6, ($O$2:$O$350)/($O$2:$O$350&lt;&gt;0), ROWS($R$2:R200)), "")</f>
        <v/>
      </c>
      <c r="S200" t="str" cm="1">
        <f t="array" ref="S200">IFERROR(_xlfn.AGGREGATE(15, 6, ($P$2:$P$350)/($P$2:$P$350&lt;&gt;0), ROWS($R$2:R200)), "")</f>
        <v/>
      </c>
      <c r="U200" t="str">
        <f t="shared" ca="1" si="81"/>
        <v/>
      </c>
      <c r="V200" t="str">
        <f t="shared" ca="1" si="82"/>
        <v/>
      </c>
      <c r="W200" t="str">
        <f t="shared" ca="1" si="83"/>
        <v/>
      </c>
      <c r="X200" t="str">
        <f t="shared" ca="1" si="84"/>
        <v/>
      </c>
      <c r="Z200" t="str">
        <f t="shared" ca="1" si="91"/>
        <v/>
      </c>
      <c r="AA200" t="str">
        <f t="shared" ca="1" si="78"/>
        <v/>
      </c>
      <c r="AB200" t="str">
        <f t="shared" ca="1" si="79"/>
        <v/>
      </c>
      <c r="AC200" t="str">
        <f t="shared" ca="1" si="80"/>
        <v/>
      </c>
      <c r="AE200" t="str">
        <f t="shared" ca="1" si="85"/>
        <v/>
      </c>
      <c r="AF200" t="str">
        <f t="shared" ca="1" si="86"/>
        <v/>
      </c>
      <c r="AG200" t="str">
        <f t="shared" ca="1" si="87"/>
        <v/>
      </c>
      <c r="AH200" t="str">
        <f t="shared" ca="1" si="88"/>
        <v/>
      </c>
      <c r="AI200" t="str">
        <f t="shared" ca="1" si="89"/>
        <v/>
      </c>
      <c r="AJ200" t="str">
        <f t="shared" ca="1" si="90"/>
        <v/>
      </c>
    </row>
    <row r="201" spans="15:36" ht="18.600000000000001" customHeight="1" x14ac:dyDescent="0.45">
      <c r="O201">
        <f t="shared" si="92"/>
        <v>0</v>
      </c>
      <c r="P201">
        <f t="shared" si="93"/>
        <v>0</v>
      </c>
      <c r="R201" t="str" cm="1">
        <f t="array" ref="R201">IFERROR(_xlfn.AGGREGATE(15, 6, ($O$2:$O$350)/($O$2:$O$350&lt;&gt;0), ROWS($R$2:R201)), "")</f>
        <v/>
      </c>
      <c r="S201" t="str" cm="1">
        <f t="array" ref="S201">IFERROR(_xlfn.AGGREGATE(15, 6, ($P$2:$P$350)/($P$2:$P$350&lt;&gt;0), ROWS($R$2:R201)), "")</f>
        <v/>
      </c>
      <c r="U201" t="str">
        <f t="shared" ca="1" si="81"/>
        <v/>
      </c>
      <c r="V201" t="str">
        <f t="shared" ca="1" si="82"/>
        <v/>
      </c>
      <c r="W201" t="str">
        <f t="shared" ca="1" si="83"/>
        <v/>
      </c>
      <c r="X201" t="str">
        <f t="shared" ca="1" si="84"/>
        <v/>
      </c>
      <c r="Z201" t="str">
        <f t="shared" ca="1" si="91"/>
        <v/>
      </c>
      <c r="AA201" t="str">
        <f t="shared" ca="1" si="78"/>
        <v/>
      </c>
      <c r="AB201" t="str">
        <f t="shared" ca="1" si="79"/>
        <v/>
      </c>
      <c r="AC201" t="str">
        <f t="shared" ca="1" si="80"/>
        <v/>
      </c>
      <c r="AE201" t="str">
        <f t="shared" ca="1" si="85"/>
        <v/>
      </c>
      <c r="AF201" t="str">
        <f t="shared" ca="1" si="86"/>
        <v/>
      </c>
      <c r="AG201" t="str">
        <f t="shared" ca="1" si="87"/>
        <v/>
      </c>
      <c r="AH201" t="str">
        <f t="shared" ca="1" si="88"/>
        <v/>
      </c>
      <c r="AI201" t="str">
        <f t="shared" ca="1" si="89"/>
        <v/>
      </c>
      <c r="AJ201" t="str">
        <f t="shared" ca="1" si="90"/>
        <v/>
      </c>
    </row>
    <row r="202" spans="15:36" ht="18.600000000000001" customHeight="1" x14ac:dyDescent="0.45">
      <c r="O202">
        <f t="shared" si="92"/>
        <v>0</v>
      </c>
      <c r="P202">
        <f t="shared" si="93"/>
        <v>0</v>
      </c>
      <c r="R202" t="str" cm="1">
        <f t="array" ref="R202">IFERROR(_xlfn.AGGREGATE(15, 6, ($O$2:$O$350)/($O$2:$O$350&lt;&gt;0), ROWS($R$2:R202)), "")</f>
        <v/>
      </c>
      <c r="S202" t="str" cm="1">
        <f t="array" ref="S202">IFERROR(_xlfn.AGGREGATE(15, 6, ($P$2:$P$350)/($P$2:$P$350&lt;&gt;0), ROWS($R$2:R202)), "")</f>
        <v/>
      </c>
      <c r="U202" t="str">
        <f t="shared" ca="1" si="81"/>
        <v/>
      </c>
      <c r="V202" t="str">
        <f t="shared" ca="1" si="82"/>
        <v/>
      </c>
      <c r="W202" t="str">
        <f t="shared" ca="1" si="83"/>
        <v/>
      </c>
      <c r="X202" t="str">
        <f t="shared" ca="1" si="84"/>
        <v/>
      </c>
      <c r="Z202" t="str">
        <f t="shared" ca="1" si="91"/>
        <v/>
      </c>
      <c r="AA202" t="str">
        <f t="shared" ca="1" si="78"/>
        <v/>
      </c>
      <c r="AB202" t="str">
        <f t="shared" ca="1" si="79"/>
        <v/>
      </c>
      <c r="AC202" t="str">
        <f t="shared" ca="1" si="80"/>
        <v/>
      </c>
      <c r="AE202" t="str">
        <f t="shared" ca="1" si="85"/>
        <v/>
      </c>
      <c r="AF202" t="str">
        <f t="shared" ca="1" si="86"/>
        <v/>
      </c>
      <c r="AG202" t="str">
        <f t="shared" ca="1" si="87"/>
        <v/>
      </c>
      <c r="AH202" t="str">
        <f t="shared" ca="1" si="88"/>
        <v/>
      </c>
      <c r="AI202" t="str">
        <f t="shared" ca="1" si="89"/>
        <v/>
      </c>
      <c r="AJ202" t="str">
        <f t="shared" ca="1" si="90"/>
        <v/>
      </c>
    </row>
    <row r="203" spans="15:36" ht="18.600000000000001" customHeight="1" x14ac:dyDescent="0.45">
      <c r="O203">
        <f t="shared" si="92"/>
        <v>0</v>
      </c>
      <c r="P203">
        <f t="shared" si="93"/>
        <v>0</v>
      </c>
      <c r="R203" t="str" cm="1">
        <f t="array" ref="R203">IFERROR(_xlfn.AGGREGATE(15, 6, ($O$2:$O$350)/($O$2:$O$350&lt;&gt;0), ROWS($R$2:R203)), "")</f>
        <v/>
      </c>
      <c r="S203" t="str" cm="1">
        <f t="array" ref="S203">IFERROR(_xlfn.AGGREGATE(15, 6, ($P$2:$P$350)/($P$2:$P$350&lt;&gt;0), ROWS($R$2:R203)), "")</f>
        <v/>
      </c>
      <c r="U203" t="str">
        <f t="shared" ca="1" si="81"/>
        <v/>
      </c>
      <c r="V203" t="str">
        <f t="shared" ca="1" si="82"/>
        <v/>
      </c>
      <c r="W203" t="str">
        <f t="shared" ca="1" si="83"/>
        <v/>
      </c>
      <c r="X203" t="str">
        <f t="shared" ca="1" si="84"/>
        <v/>
      </c>
      <c r="Z203" t="str">
        <f t="shared" ca="1" si="91"/>
        <v/>
      </c>
      <c r="AA203" t="str">
        <f t="shared" ca="1" si="78"/>
        <v/>
      </c>
      <c r="AB203" t="str">
        <f t="shared" ca="1" si="79"/>
        <v/>
      </c>
      <c r="AC203" t="str">
        <f t="shared" ca="1" si="80"/>
        <v/>
      </c>
      <c r="AE203" t="str">
        <f t="shared" ca="1" si="85"/>
        <v/>
      </c>
      <c r="AF203" t="str">
        <f t="shared" ca="1" si="86"/>
        <v/>
      </c>
      <c r="AG203" t="str">
        <f t="shared" ca="1" si="87"/>
        <v/>
      </c>
      <c r="AH203" t="str">
        <f t="shared" ca="1" si="88"/>
        <v/>
      </c>
      <c r="AI203" t="str">
        <f t="shared" ca="1" si="89"/>
        <v/>
      </c>
      <c r="AJ203" t="str">
        <f t="shared" ca="1" si="90"/>
        <v/>
      </c>
    </row>
    <row r="204" spans="15:36" ht="18.600000000000001" customHeight="1" x14ac:dyDescent="0.45">
      <c r="O204">
        <f t="shared" si="92"/>
        <v>0</v>
      </c>
      <c r="P204">
        <f t="shared" si="93"/>
        <v>0</v>
      </c>
      <c r="R204" t="str" cm="1">
        <f t="array" ref="R204">IFERROR(_xlfn.AGGREGATE(15, 6, ($O$2:$O$350)/($O$2:$O$350&lt;&gt;0), ROWS($R$2:R204)), "")</f>
        <v/>
      </c>
      <c r="S204" t="str" cm="1">
        <f t="array" ref="S204">IFERROR(_xlfn.AGGREGATE(15, 6, ($P$2:$P$350)/($P$2:$P$350&lt;&gt;0), ROWS($R$2:R204)), "")</f>
        <v/>
      </c>
      <c r="U204" t="str">
        <f t="shared" ca="1" si="81"/>
        <v/>
      </c>
      <c r="V204" t="str">
        <f t="shared" ca="1" si="82"/>
        <v/>
      </c>
      <c r="W204" t="str">
        <f t="shared" ca="1" si="83"/>
        <v/>
      </c>
      <c r="X204" t="str">
        <f t="shared" ca="1" si="84"/>
        <v/>
      </c>
      <c r="Z204" t="str">
        <f t="shared" ca="1" si="91"/>
        <v/>
      </c>
      <c r="AA204" t="str">
        <f t="shared" ca="1" si="78"/>
        <v/>
      </c>
      <c r="AB204" t="str">
        <f t="shared" ca="1" si="79"/>
        <v/>
      </c>
      <c r="AC204" t="str">
        <f t="shared" ca="1" si="80"/>
        <v/>
      </c>
      <c r="AE204" t="str">
        <f t="shared" ca="1" si="85"/>
        <v/>
      </c>
      <c r="AF204" t="str">
        <f t="shared" ca="1" si="86"/>
        <v/>
      </c>
      <c r="AG204" t="str">
        <f t="shared" ca="1" si="87"/>
        <v/>
      </c>
      <c r="AH204" t="str">
        <f t="shared" ca="1" si="88"/>
        <v/>
      </c>
      <c r="AI204" t="str">
        <f t="shared" ca="1" si="89"/>
        <v/>
      </c>
      <c r="AJ204" t="str">
        <f t="shared" ca="1" si="90"/>
        <v/>
      </c>
    </row>
    <row r="205" spans="15:36" ht="18.600000000000001" customHeight="1" x14ac:dyDescent="0.45">
      <c r="O205">
        <f t="shared" si="92"/>
        <v>0</v>
      </c>
      <c r="P205">
        <f t="shared" si="93"/>
        <v>0</v>
      </c>
      <c r="R205" t="str" cm="1">
        <f t="array" ref="R205">IFERROR(_xlfn.AGGREGATE(15, 6, ($O$2:$O$350)/($O$2:$O$350&lt;&gt;0), ROWS($R$2:R205)), "")</f>
        <v/>
      </c>
      <c r="S205" t="str" cm="1">
        <f t="array" ref="S205">IFERROR(_xlfn.AGGREGATE(15, 6, ($P$2:$P$350)/($P$2:$P$350&lt;&gt;0), ROWS($R$2:R205)), "")</f>
        <v/>
      </c>
      <c r="U205" t="str">
        <f t="shared" ca="1" si="81"/>
        <v/>
      </c>
      <c r="V205" t="str">
        <f t="shared" ca="1" si="82"/>
        <v/>
      </c>
      <c r="W205" t="str">
        <f t="shared" ca="1" si="83"/>
        <v/>
      </c>
      <c r="X205" t="str">
        <f t="shared" ca="1" si="84"/>
        <v/>
      </c>
      <c r="Z205" t="str">
        <f t="shared" ca="1" si="91"/>
        <v/>
      </c>
      <c r="AA205" t="str">
        <f t="shared" ca="1" si="78"/>
        <v/>
      </c>
      <c r="AB205" t="str">
        <f t="shared" ca="1" si="79"/>
        <v/>
      </c>
      <c r="AC205" t="str">
        <f t="shared" ca="1" si="80"/>
        <v/>
      </c>
      <c r="AE205" t="str">
        <f t="shared" ca="1" si="85"/>
        <v/>
      </c>
      <c r="AF205" t="str">
        <f t="shared" ca="1" si="86"/>
        <v/>
      </c>
      <c r="AG205" t="str">
        <f t="shared" ca="1" si="87"/>
        <v/>
      </c>
      <c r="AH205" t="str">
        <f t="shared" ca="1" si="88"/>
        <v/>
      </c>
      <c r="AI205" t="str">
        <f t="shared" ca="1" si="89"/>
        <v/>
      </c>
      <c r="AJ205" t="str">
        <f t="shared" ca="1" si="90"/>
        <v/>
      </c>
    </row>
    <row r="206" spans="15:36" ht="18.600000000000001" customHeight="1" x14ac:dyDescent="0.45">
      <c r="O206">
        <f t="shared" si="92"/>
        <v>0</v>
      </c>
      <c r="P206">
        <f t="shared" si="93"/>
        <v>0</v>
      </c>
      <c r="R206" t="str" cm="1">
        <f t="array" ref="R206">IFERROR(_xlfn.AGGREGATE(15, 6, ($O$2:$O$350)/($O$2:$O$350&lt;&gt;0), ROWS($R$2:R206)), "")</f>
        <v/>
      </c>
      <c r="S206" t="str" cm="1">
        <f t="array" ref="S206">IFERROR(_xlfn.AGGREGATE(15, 6, ($P$2:$P$350)/($P$2:$P$350&lt;&gt;0), ROWS($R$2:R206)), "")</f>
        <v/>
      </c>
      <c r="U206" t="str">
        <f t="shared" ca="1" si="81"/>
        <v/>
      </c>
      <c r="V206" t="str">
        <f t="shared" ca="1" si="82"/>
        <v/>
      </c>
      <c r="W206" t="str">
        <f t="shared" ca="1" si="83"/>
        <v/>
      </c>
      <c r="X206" t="str">
        <f t="shared" ca="1" si="84"/>
        <v/>
      </c>
      <c r="Z206" t="str">
        <f t="shared" ca="1" si="91"/>
        <v/>
      </c>
      <c r="AA206" t="str">
        <f t="shared" ca="1" si="78"/>
        <v/>
      </c>
      <c r="AB206" t="str">
        <f t="shared" ca="1" si="79"/>
        <v/>
      </c>
      <c r="AC206" t="str">
        <f t="shared" ca="1" si="80"/>
        <v/>
      </c>
      <c r="AE206" t="str">
        <f t="shared" ca="1" si="85"/>
        <v/>
      </c>
      <c r="AF206" t="str">
        <f t="shared" ca="1" si="86"/>
        <v/>
      </c>
      <c r="AG206" t="str">
        <f t="shared" ca="1" si="87"/>
        <v/>
      </c>
      <c r="AH206" t="str">
        <f t="shared" ca="1" si="88"/>
        <v/>
      </c>
      <c r="AI206" t="str">
        <f t="shared" ca="1" si="89"/>
        <v/>
      </c>
      <c r="AJ206" t="str">
        <f t="shared" ca="1" si="90"/>
        <v/>
      </c>
    </row>
    <row r="207" spans="15:36" ht="18.600000000000001" customHeight="1" x14ac:dyDescent="0.45">
      <c r="O207">
        <f t="shared" si="92"/>
        <v>0</v>
      </c>
      <c r="P207">
        <f t="shared" si="93"/>
        <v>0</v>
      </c>
      <c r="R207" t="str" cm="1">
        <f t="array" ref="R207">IFERROR(_xlfn.AGGREGATE(15, 6, ($O$2:$O$350)/($O$2:$O$350&lt;&gt;0), ROWS($R$2:R207)), "")</f>
        <v/>
      </c>
      <c r="S207" t="str" cm="1">
        <f t="array" ref="S207">IFERROR(_xlfn.AGGREGATE(15, 6, ($P$2:$P$350)/($P$2:$P$350&lt;&gt;0), ROWS($R$2:R207)), "")</f>
        <v/>
      </c>
      <c r="U207" t="str">
        <f t="shared" ca="1" si="81"/>
        <v/>
      </c>
      <c r="V207" t="str">
        <f t="shared" ca="1" si="82"/>
        <v/>
      </c>
      <c r="W207" t="str">
        <f t="shared" ca="1" si="83"/>
        <v/>
      </c>
      <c r="X207" t="str">
        <f t="shared" ca="1" si="84"/>
        <v/>
      </c>
      <c r="Z207" t="str">
        <f t="shared" ca="1" si="91"/>
        <v/>
      </c>
      <c r="AA207" t="str">
        <f t="shared" ca="1" si="78"/>
        <v/>
      </c>
      <c r="AB207" t="str">
        <f t="shared" ca="1" si="79"/>
        <v/>
      </c>
      <c r="AC207" t="str">
        <f t="shared" ca="1" si="80"/>
        <v/>
      </c>
      <c r="AE207" t="str">
        <f t="shared" ca="1" si="85"/>
        <v/>
      </c>
      <c r="AF207" t="str">
        <f t="shared" ca="1" si="86"/>
        <v/>
      </c>
      <c r="AG207" t="str">
        <f t="shared" ca="1" si="87"/>
        <v/>
      </c>
      <c r="AH207" t="str">
        <f t="shared" ca="1" si="88"/>
        <v/>
      </c>
      <c r="AI207" t="str">
        <f t="shared" ca="1" si="89"/>
        <v/>
      </c>
      <c r="AJ207" t="str">
        <f t="shared" ca="1" si="90"/>
        <v/>
      </c>
    </row>
    <row r="208" spans="15:36" ht="18.600000000000001" customHeight="1" x14ac:dyDescent="0.45">
      <c r="O208">
        <f t="shared" si="92"/>
        <v>0</v>
      </c>
      <c r="P208">
        <f t="shared" si="93"/>
        <v>0</v>
      </c>
      <c r="R208" t="str" cm="1">
        <f t="array" ref="R208">IFERROR(_xlfn.AGGREGATE(15, 6, ($O$2:$O$350)/($O$2:$O$350&lt;&gt;0), ROWS($R$2:R208)), "")</f>
        <v/>
      </c>
      <c r="S208" t="str" cm="1">
        <f t="array" ref="S208">IFERROR(_xlfn.AGGREGATE(15, 6, ($P$2:$P$350)/($P$2:$P$350&lt;&gt;0), ROWS($R$2:R208)), "")</f>
        <v/>
      </c>
      <c r="U208" t="str">
        <f t="shared" ca="1" si="81"/>
        <v/>
      </c>
      <c r="V208" t="str">
        <f t="shared" ca="1" si="82"/>
        <v/>
      </c>
      <c r="W208" t="str">
        <f t="shared" ca="1" si="83"/>
        <v/>
      </c>
      <c r="X208" t="str">
        <f t="shared" ca="1" si="84"/>
        <v/>
      </c>
      <c r="Z208" t="str">
        <f t="shared" ca="1" si="91"/>
        <v/>
      </c>
      <c r="AA208" t="str">
        <f t="shared" ca="1" si="78"/>
        <v/>
      </c>
      <c r="AB208" t="str">
        <f t="shared" ca="1" si="79"/>
        <v/>
      </c>
      <c r="AC208" t="str">
        <f t="shared" ca="1" si="80"/>
        <v/>
      </c>
      <c r="AE208" t="str">
        <f t="shared" ca="1" si="85"/>
        <v/>
      </c>
      <c r="AF208" t="str">
        <f t="shared" ca="1" si="86"/>
        <v/>
      </c>
      <c r="AG208" t="str">
        <f t="shared" ca="1" si="87"/>
        <v/>
      </c>
      <c r="AH208" t="str">
        <f t="shared" ca="1" si="88"/>
        <v/>
      </c>
      <c r="AI208" t="str">
        <f t="shared" ca="1" si="89"/>
        <v/>
      </c>
      <c r="AJ208" t="str">
        <f t="shared" ca="1" si="90"/>
        <v/>
      </c>
    </row>
    <row r="209" spans="15:36" ht="18.600000000000001" customHeight="1" x14ac:dyDescent="0.45">
      <c r="O209">
        <f t="shared" si="92"/>
        <v>0</v>
      </c>
      <c r="P209">
        <f t="shared" si="93"/>
        <v>0</v>
      </c>
      <c r="R209" t="str" cm="1">
        <f t="array" ref="R209">IFERROR(_xlfn.AGGREGATE(15, 6, ($O$2:$O$350)/($O$2:$O$350&lt;&gt;0), ROWS($R$2:R209)), "")</f>
        <v/>
      </c>
      <c r="S209" t="str" cm="1">
        <f t="array" ref="S209">IFERROR(_xlfn.AGGREGATE(15, 6, ($P$2:$P$350)/($P$2:$P$350&lt;&gt;0), ROWS($R$2:R209)), "")</f>
        <v/>
      </c>
      <c r="U209" t="str">
        <f t="shared" ca="1" si="81"/>
        <v/>
      </c>
      <c r="V209" t="str">
        <f t="shared" ca="1" si="82"/>
        <v/>
      </c>
      <c r="W209" t="str">
        <f t="shared" ca="1" si="83"/>
        <v/>
      </c>
      <c r="X209" t="str">
        <f t="shared" ca="1" si="84"/>
        <v/>
      </c>
      <c r="Z209" t="str">
        <f t="shared" ca="1" si="91"/>
        <v/>
      </c>
      <c r="AA209" t="str">
        <f t="shared" ca="1" si="78"/>
        <v/>
      </c>
      <c r="AB209" t="str">
        <f t="shared" ca="1" si="79"/>
        <v/>
      </c>
      <c r="AC209" t="str">
        <f t="shared" ca="1" si="80"/>
        <v/>
      </c>
      <c r="AE209" t="str">
        <f t="shared" ca="1" si="85"/>
        <v/>
      </c>
      <c r="AF209" t="str">
        <f t="shared" ca="1" si="86"/>
        <v/>
      </c>
      <c r="AG209" t="str">
        <f t="shared" ca="1" si="87"/>
        <v/>
      </c>
      <c r="AH209" t="str">
        <f t="shared" ca="1" si="88"/>
        <v/>
      </c>
      <c r="AI209" t="str">
        <f t="shared" ca="1" si="89"/>
        <v/>
      </c>
      <c r="AJ209" t="str">
        <f t="shared" ca="1" si="90"/>
        <v/>
      </c>
    </row>
    <row r="210" spans="15:36" ht="18.600000000000001" customHeight="1" x14ac:dyDescent="0.45">
      <c r="O210">
        <f t="shared" si="92"/>
        <v>0</v>
      </c>
      <c r="P210">
        <f t="shared" si="93"/>
        <v>0</v>
      </c>
      <c r="R210" t="str" cm="1">
        <f t="array" ref="R210">IFERROR(_xlfn.AGGREGATE(15, 6, ($O$2:$O$350)/($O$2:$O$350&lt;&gt;0), ROWS($R$2:R210)), "")</f>
        <v/>
      </c>
      <c r="S210" t="str" cm="1">
        <f t="array" ref="S210">IFERROR(_xlfn.AGGREGATE(15, 6, ($P$2:$P$350)/($P$2:$P$350&lt;&gt;0), ROWS($R$2:R210)), "")</f>
        <v/>
      </c>
      <c r="U210" t="str">
        <f t="shared" ca="1" si="81"/>
        <v/>
      </c>
      <c r="V210" t="str">
        <f t="shared" ca="1" si="82"/>
        <v/>
      </c>
      <c r="W210" t="str">
        <f t="shared" ca="1" si="83"/>
        <v/>
      </c>
      <c r="X210" t="str">
        <f t="shared" ca="1" si="84"/>
        <v/>
      </c>
      <c r="Z210" t="str">
        <f t="shared" ca="1" si="91"/>
        <v/>
      </c>
      <c r="AA210" t="str">
        <f t="shared" ca="1" si="78"/>
        <v/>
      </c>
      <c r="AB210" t="str">
        <f t="shared" ca="1" si="79"/>
        <v/>
      </c>
      <c r="AC210" t="str">
        <f t="shared" ca="1" si="80"/>
        <v/>
      </c>
      <c r="AE210" t="str">
        <f t="shared" ca="1" si="85"/>
        <v/>
      </c>
      <c r="AF210" t="str">
        <f t="shared" ca="1" si="86"/>
        <v/>
      </c>
      <c r="AG210" t="str">
        <f t="shared" ca="1" si="87"/>
        <v/>
      </c>
      <c r="AH210" t="str">
        <f t="shared" ca="1" si="88"/>
        <v/>
      </c>
      <c r="AI210" t="str">
        <f t="shared" ca="1" si="89"/>
        <v/>
      </c>
      <c r="AJ210" t="str">
        <f t="shared" ca="1" si="90"/>
        <v/>
      </c>
    </row>
    <row r="211" spans="15:36" ht="18.600000000000001" customHeight="1" x14ac:dyDescent="0.45">
      <c r="O211">
        <f t="shared" si="92"/>
        <v>0</v>
      </c>
      <c r="P211">
        <f t="shared" si="93"/>
        <v>0</v>
      </c>
      <c r="R211" t="str" cm="1">
        <f t="array" ref="R211">IFERROR(_xlfn.AGGREGATE(15, 6, ($O$2:$O$350)/($O$2:$O$350&lt;&gt;0), ROWS($R$2:R211)), "")</f>
        <v/>
      </c>
      <c r="S211" t="str" cm="1">
        <f t="array" ref="S211">IFERROR(_xlfn.AGGREGATE(15, 6, ($P$2:$P$350)/($P$2:$P$350&lt;&gt;0), ROWS($R$2:R211)), "")</f>
        <v/>
      </c>
      <c r="U211" t="str">
        <f t="shared" ca="1" si="81"/>
        <v/>
      </c>
      <c r="V211" t="str">
        <f t="shared" ca="1" si="82"/>
        <v/>
      </c>
      <c r="W211" t="str">
        <f t="shared" ca="1" si="83"/>
        <v/>
      </c>
      <c r="X211" t="str">
        <f t="shared" ca="1" si="84"/>
        <v/>
      </c>
      <c r="Z211" t="str">
        <f t="shared" ca="1" si="91"/>
        <v/>
      </c>
      <c r="AA211" t="str">
        <f t="shared" ca="1" si="78"/>
        <v/>
      </c>
      <c r="AB211" t="str">
        <f t="shared" ca="1" si="79"/>
        <v/>
      </c>
      <c r="AC211" t="str">
        <f t="shared" ca="1" si="80"/>
        <v/>
      </c>
      <c r="AE211" t="str">
        <f t="shared" ca="1" si="85"/>
        <v/>
      </c>
      <c r="AF211" t="str">
        <f t="shared" ca="1" si="86"/>
        <v/>
      </c>
      <c r="AG211" t="str">
        <f t="shared" ca="1" si="87"/>
        <v/>
      </c>
      <c r="AH211" t="str">
        <f t="shared" ca="1" si="88"/>
        <v/>
      </c>
      <c r="AI211" t="str">
        <f t="shared" ca="1" si="89"/>
        <v/>
      </c>
      <c r="AJ211" t="str">
        <f t="shared" ca="1" si="90"/>
        <v/>
      </c>
    </row>
    <row r="212" spans="15:36" ht="18.600000000000001" customHeight="1" x14ac:dyDescent="0.45">
      <c r="O212">
        <f t="shared" si="92"/>
        <v>0</v>
      </c>
      <c r="P212">
        <f t="shared" si="93"/>
        <v>0</v>
      </c>
      <c r="R212" t="str" cm="1">
        <f t="array" ref="R212">IFERROR(_xlfn.AGGREGATE(15, 6, ($O$2:$O$350)/($O$2:$O$350&lt;&gt;0), ROWS($R$2:R212)), "")</f>
        <v/>
      </c>
      <c r="S212" t="str" cm="1">
        <f t="array" ref="S212">IFERROR(_xlfn.AGGREGATE(15, 6, ($P$2:$P$350)/($P$2:$P$350&lt;&gt;0), ROWS($R$2:R212)), "")</f>
        <v/>
      </c>
      <c r="U212" t="str">
        <f t="shared" ca="1" si="81"/>
        <v/>
      </c>
      <c r="V212" t="str">
        <f t="shared" ca="1" si="82"/>
        <v/>
      </c>
      <c r="W212" t="str">
        <f t="shared" ca="1" si="83"/>
        <v/>
      </c>
      <c r="X212" t="str">
        <f t="shared" ca="1" si="84"/>
        <v/>
      </c>
      <c r="Z212" t="str">
        <f t="shared" ca="1" si="91"/>
        <v/>
      </c>
      <c r="AA212" t="str">
        <f t="shared" ca="1" si="78"/>
        <v/>
      </c>
      <c r="AB212" t="str">
        <f t="shared" ca="1" si="79"/>
        <v/>
      </c>
      <c r="AC212" t="str">
        <f t="shared" ca="1" si="80"/>
        <v/>
      </c>
      <c r="AE212" t="str">
        <f t="shared" ca="1" si="85"/>
        <v/>
      </c>
      <c r="AF212" t="str">
        <f t="shared" ca="1" si="86"/>
        <v/>
      </c>
      <c r="AG212" t="str">
        <f t="shared" ca="1" si="87"/>
        <v/>
      </c>
      <c r="AH212" t="str">
        <f t="shared" ca="1" si="88"/>
        <v/>
      </c>
      <c r="AI212" t="str">
        <f t="shared" ca="1" si="89"/>
        <v/>
      </c>
      <c r="AJ212" t="str">
        <f t="shared" ca="1" si="90"/>
        <v/>
      </c>
    </row>
    <row r="213" spans="15:36" ht="18.600000000000001" customHeight="1" x14ac:dyDescent="0.45">
      <c r="O213">
        <f t="shared" si="92"/>
        <v>0</v>
      </c>
      <c r="P213">
        <f t="shared" si="93"/>
        <v>0</v>
      </c>
      <c r="R213" t="str" cm="1">
        <f t="array" ref="R213">IFERROR(_xlfn.AGGREGATE(15, 6, ($O$2:$O$350)/($O$2:$O$350&lt;&gt;0), ROWS($R$2:R213)), "")</f>
        <v/>
      </c>
      <c r="S213" t="str" cm="1">
        <f t="array" ref="S213">IFERROR(_xlfn.AGGREGATE(15, 6, ($P$2:$P$350)/($P$2:$P$350&lt;&gt;0), ROWS($R$2:R213)), "")</f>
        <v/>
      </c>
      <c r="U213" t="str">
        <f t="shared" ca="1" si="81"/>
        <v/>
      </c>
      <c r="V213" t="str">
        <f t="shared" ca="1" si="82"/>
        <v/>
      </c>
      <c r="W213" t="str">
        <f t="shared" ca="1" si="83"/>
        <v/>
      </c>
      <c r="X213" t="str">
        <f t="shared" ca="1" si="84"/>
        <v/>
      </c>
      <c r="Z213" t="str">
        <f t="shared" ca="1" si="91"/>
        <v/>
      </c>
      <c r="AA213" t="str">
        <f t="shared" ca="1" si="78"/>
        <v/>
      </c>
      <c r="AB213" t="str">
        <f t="shared" ca="1" si="79"/>
        <v/>
      </c>
      <c r="AC213" t="str">
        <f t="shared" ca="1" si="80"/>
        <v/>
      </c>
      <c r="AE213" t="str">
        <f t="shared" ca="1" si="85"/>
        <v/>
      </c>
      <c r="AF213" t="str">
        <f t="shared" ca="1" si="86"/>
        <v/>
      </c>
      <c r="AG213" t="str">
        <f t="shared" ca="1" si="87"/>
        <v/>
      </c>
      <c r="AH213" t="str">
        <f t="shared" ca="1" si="88"/>
        <v/>
      </c>
      <c r="AI213" t="str">
        <f t="shared" ca="1" si="89"/>
        <v/>
      </c>
      <c r="AJ213" t="str">
        <f t="shared" ca="1" si="90"/>
        <v/>
      </c>
    </row>
    <row r="214" spans="15:36" ht="18.600000000000001" customHeight="1" x14ac:dyDescent="0.45">
      <c r="O214">
        <f t="shared" si="92"/>
        <v>0</v>
      </c>
      <c r="P214">
        <f t="shared" si="93"/>
        <v>0</v>
      </c>
      <c r="R214" t="str" cm="1">
        <f t="array" ref="R214">IFERROR(_xlfn.AGGREGATE(15, 6, ($O$2:$O$350)/($O$2:$O$350&lt;&gt;0), ROWS($R$2:R214)), "")</f>
        <v/>
      </c>
      <c r="S214" t="str" cm="1">
        <f t="array" ref="S214">IFERROR(_xlfn.AGGREGATE(15, 6, ($P$2:$P$350)/($P$2:$P$350&lt;&gt;0), ROWS($R$2:R214)), "")</f>
        <v/>
      </c>
      <c r="U214" t="str">
        <f t="shared" ca="1" si="81"/>
        <v/>
      </c>
      <c r="V214" t="str">
        <f t="shared" ca="1" si="82"/>
        <v/>
      </c>
      <c r="W214" t="str">
        <f t="shared" ca="1" si="83"/>
        <v/>
      </c>
      <c r="X214" t="str">
        <f t="shared" ca="1" si="84"/>
        <v/>
      </c>
      <c r="Z214" t="str">
        <f t="shared" ca="1" si="91"/>
        <v/>
      </c>
      <c r="AA214" t="str">
        <f t="shared" ca="1" si="78"/>
        <v/>
      </c>
      <c r="AB214" t="str">
        <f t="shared" ca="1" si="79"/>
        <v/>
      </c>
      <c r="AC214" t="str">
        <f t="shared" ca="1" si="80"/>
        <v/>
      </c>
      <c r="AE214" t="str">
        <f t="shared" ca="1" si="85"/>
        <v/>
      </c>
      <c r="AF214" t="str">
        <f t="shared" ca="1" si="86"/>
        <v/>
      </c>
      <c r="AG214" t="str">
        <f t="shared" ca="1" si="87"/>
        <v/>
      </c>
      <c r="AH214" t="str">
        <f t="shared" ca="1" si="88"/>
        <v/>
      </c>
      <c r="AI214" t="str">
        <f t="shared" ca="1" si="89"/>
        <v/>
      </c>
      <c r="AJ214" t="str">
        <f t="shared" ca="1" si="90"/>
        <v/>
      </c>
    </row>
    <row r="215" spans="15:36" ht="18.600000000000001" customHeight="1" x14ac:dyDescent="0.45">
      <c r="O215">
        <f t="shared" si="92"/>
        <v>0</v>
      </c>
      <c r="P215">
        <f t="shared" si="93"/>
        <v>0</v>
      </c>
      <c r="R215" t="str" cm="1">
        <f t="array" ref="R215">IFERROR(_xlfn.AGGREGATE(15, 6, ($O$2:$O$350)/($O$2:$O$350&lt;&gt;0), ROWS($R$2:R215)), "")</f>
        <v/>
      </c>
      <c r="S215" t="str" cm="1">
        <f t="array" ref="S215">IFERROR(_xlfn.AGGREGATE(15, 6, ($P$2:$P$350)/($P$2:$P$350&lt;&gt;0), ROWS($R$2:R215)), "")</f>
        <v/>
      </c>
      <c r="U215" t="str">
        <f t="shared" ca="1" si="81"/>
        <v/>
      </c>
      <c r="V215" t="str">
        <f t="shared" ca="1" si="82"/>
        <v/>
      </c>
      <c r="W215" t="str">
        <f t="shared" ca="1" si="83"/>
        <v/>
      </c>
      <c r="X215" t="str">
        <f t="shared" ca="1" si="84"/>
        <v/>
      </c>
      <c r="Z215" t="str">
        <f t="shared" ca="1" si="91"/>
        <v/>
      </c>
      <c r="AA215" t="str">
        <f t="shared" ca="1" si="78"/>
        <v/>
      </c>
      <c r="AB215" t="str">
        <f t="shared" ca="1" si="79"/>
        <v/>
      </c>
      <c r="AC215" t="str">
        <f t="shared" ca="1" si="80"/>
        <v/>
      </c>
      <c r="AE215" t="str">
        <f t="shared" ca="1" si="85"/>
        <v/>
      </c>
      <c r="AF215" t="str">
        <f t="shared" ca="1" si="86"/>
        <v/>
      </c>
      <c r="AG215" t="str">
        <f t="shared" ca="1" si="87"/>
        <v/>
      </c>
      <c r="AH215" t="str">
        <f t="shared" ca="1" si="88"/>
        <v/>
      </c>
      <c r="AI215" t="str">
        <f t="shared" ca="1" si="89"/>
        <v/>
      </c>
      <c r="AJ215" t="str">
        <f t="shared" ca="1" si="90"/>
        <v/>
      </c>
    </row>
    <row r="216" spans="15:36" ht="18.600000000000001" customHeight="1" x14ac:dyDescent="0.45">
      <c r="O216">
        <f t="shared" si="92"/>
        <v>0</v>
      </c>
      <c r="P216">
        <f t="shared" si="93"/>
        <v>0</v>
      </c>
      <c r="R216" t="str" cm="1">
        <f t="array" ref="R216">IFERROR(_xlfn.AGGREGATE(15, 6, ($O$2:$O$350)/($O$2:$O$350&lt;&gt;0), ROWS($R$2:R216)), "")</f>
        <v/>
      </c>
      <c r="S216" t="str" cm="1">
        <f t="array" ref="S216">IFERROR(_xlfn.AGGREGATE(15, 6, ($P$2:$P$350)/($P$2:$P$350&lt;&gt;0), ROWS($R$2:R216)), "")</f>
        <v/>
      </c>
      <c r="U216" t="str">
        <f t="shared" ca="1" si="81"/>
        <v/>
      </c>
      <c r="V216" t="str">
        <f t="shared" ca="1" si="82"/>
        <v/>
      </c>
      <c r="W216" t="str">
        <f t="shared" ca="1" si="83"/>
        <v/>
      </c>
      <c r="X216" t="str">
        <f t="shared" ca="1" si="84"/>
        <v/>
      </c>
      <c r="Z216" t="str">
        <f t="shared" ca="1" si="91"/>
        <v/>
      </c>
      <c r="AA216" t="str">
        <f t="shared" ca="1" si="78"/>
        <v/>
      </c>
      <c r="AB216" t="str">
        <f t="shared" ca="1" si="79"/>
        <v/>
      </c>
      <c r="AC216" t="str">
        <f t="shared" ca="1" si="80"/>
        <v/>
      </c>
      <c r="AE216" t="str">
        <f t="shared" ca="1" si="85"/>
        <v/>
      </c>
      <c r="AF216" t="str">
        <f t="shared" ca="1" si="86"/>
        <v/>
      </c>
      <c r="AG216" t="str">
        <f t="shared" ca="1" si="87"/>
        <v/>
      </c>
      <c r="AH216" t="str">
        <f t="shared" ca="1" si="88"/>
        <v/>
      </c>
      <c r="AI216" t="str">
        <f t="shared" ca="1" si="89"/>
        <v/>
      </c>
      <c r="AJ216" t="str">
        <f t="shared" ca="1" si="90"/>
        <v/>
      </c>
    </row>
    <row r="217" spans="15:36" ht="18.600000000000001" customHeight="1" x14ac:dyDescent="0.45">
      <c r="O217">
        <f t="shared" si="92"/>
        <v>0</v>
      </c>
      <c r="P217">
        <f t="shared" si="93"/>
        <v>0</v>
      </c>
      <c r="R217" t="str" cm="1">
        <f t="array" ref="R217">IFERROR(_xlfn.AGGREGATE(15, 6, ($O$2:$O$350)/($O$2:$O$350&lt;&gt;0), ROWS($R$2:R217)), "")</f>
        <v/>
      </c>
      <c r="S217" t="str" cm="1">
        <f t="array" ref="S217">IFERROR(_xlfn.AGGREGATE(15, 6, ($P$2:$P$350)/($P$2:$P$350&lt;&gt;0), ROWS($R$2:R217)), "")</f>
        <v/>
      </c>
      <c r="U217" t="str">
        <f t="shared" ca="1" si="81"/>
        <v/>
      </c>
      <c r="V217" t="str">
        <f t="shared" ca="1" si="82"/>
        <v/>
      </c>
      <c r="W217" t="str">
        <f t="shared" ca="1" si="83"/>
        <v/>
      </c>
      <c r="X217" t="str">
        <f t="shared" ca="1" si="84"/>
        <v/>
      </c>
      <c r="Z217" t="str">
        <f t="shared" ca="1" si="91"/>
        <v/>
      </c>
      <c r="AA217" t="str">
        <f t="shared" ca="1" si="78"/>
        <v/>
      </c>
      <c r="AB217" t="str">
        <f t="shared" ca="1" si="79"/>
        <v/>
      </c>
      <c r="AC217" t="str">
        <f t="shared" ca="1" si="80"/>
        <v/>
      </c>
      <c r="AE217" t="str">
        <f t="shared" ca="1" si="85"/>
        <v/>
      </c>
      <c r="AF217" t="str">
        <f t="shared" ca="1" si="86"/>
        <v/>
      </c>
      <c r="AG217" t="str">
        <f t="shared" ca="1" si="87"/>
        <v/>
      </c>
      <c r="AH217" t="str">
        <f t="shared" ca="1" si="88"/>
        <v/>
      </c>
      <c r="AI217" t="str">
        <f t="shared" ca="1" si="89"/>
        <v/>
      </c>
      <c r="AJ217" t="str">
        <f t="shared" ca="1" si="90"/>
        <v/>
      </c>
    </row>
    <row r="218" spans="15:36" ht="18.600000000000001" customHeight="1" x14ac:dyDescent="0.45">
      <c r="O218">
        <f t="shared" si="92"/>
        <v>0</v>
      </c>
      <c r="P218">
        <f t="shared" si="93"/>
        <v>0</v>
      </c>
      <c r="R218" t="str" cm="1">
        <f t="array" ref="R218">IFERROR(_xlfn.AGGREGATE(15, 6, ($O$2:$O$350)/($O$2:$O$350&lt;&gt;0), ROWS($R$2:R218)), "")</f>
        <v/>
      </c>
      <c r="S218" t="str" cm="1">
        <f t="array" ref="S218">IFERROR(_xlfn.AGGREGATE(15, 6, ($P$2:$P$350)/($P$2:$P$350&lt;&gt;0), ROWS($R$2:R218)), "")</f>
        <v/>
      </c>
      <c r="U218" t="str">
        <f t="shared" ca="1" si="81"/>
        <v/>
      </c>
      <c r="V218" t="str">
        <f t="shared" ca="1" si="82"/>
        <v/>
      </c>
      <c r="W218" t="str">
        <f t="shared" ca="1" si="83"/>
        <v/>
      </c>
      <c r="X218" t="str">
        <f t="shared" ca="1" si="84"/>
        <v/>
      </c>
      <c r="Z218" t="str">
        <f t="shared" ca="1" si="91"/>
        <v/>
      </c>
      <c r="AA218" t="str">
        <f t="shared" ca="1" si="78"/>
        <v/>
      </c>
      <c r="AB218" t="str">
        <f t="shared" ca="1" si="79"/>
        <v/>
      </c>
      <c r="AC218" t="str">
        <f t="shared" ca="1" si="80"/>
        <v/>
      </c>
      <c r="AE218" t="str">
        <f t="shared" ca="1" si="85"/>
        <v/>
      </c>
      <c r="AF218" t="str">
        <f t="shared" ca="1" si="86"/>
        <v/>
      </c>
      <c r="AG218" t="str">
        <f t="shared" ca="1" si="87"/>
        <v/>
      </c>
      <c r="AH218" t="str">
        <f t="shared" ca="1" si="88"/>
        <v/>
      </c>
      <c r="AI218" t="str">
        <f t="shared" ca="1" si="89"/>
        <v/>
      </c>
      <c r="AJ218" t="str">
        <f t="shared" ca="1" si="90"/>
        <v/>
      </c>
    </row>
    <row r="219" spans="15:36" ht="18.600000000000001" customHeight="1" x14ac:dyDescent="0.45">
      <c r="O219">
        <f t="shared" si="92"/>
        <v>0</v>
      </c>
      <c r="P219">
        <f t="shared" si="93"/>
        <v>0</v>
      </c>
      <c r="R219" t="str" cm="1">
        <f t="array" ref="R219">IFERROR(_xlfn.AGGREGATE(15, 6, ($O$2:$O$350)/($O$2:$O$350&lt;&gt;0), ROWS($R$2:R219)), "")</f>
        <v/>
      </c>
      <c r="S219" t="str" cm="1">
        <f t="array" ref="S219">IFERROR(_xlfn.AGGREGATE(15, 6, ($P$2:$P$350)/($P$2:$P$350&lt;&gt;0), ROWS($R$2:R219)), "")</f>
        <v/>
      </c>
      <c r="U219" t="str">
        <f t="shared" ca="1" si="81"/>
        <v/>
      </c>
      <c r="V219" t="str">
        <f t="shared" ca="1" si="82"/>
        <v/>
      </c>
      <c r="W219" t="str">
        <f t="shared" ca="1" si="83"/>
        <v/>
      </c>
      <c r="X219" t="str">
        <f t="shared" ca="1" si="84"/>
        <v/>
      </c>
      <c r="Z219" t="str">
        <f t="shared" ca="1" si="91"/>
        <v/>
      </c>
      <c r="AA219" t="str">
        <f t="shared" ca="1" si="78"/>
        <v/>
      </c>
      <c r="AB219" t="str">
        <f t="shared" ca="1" si="79"/>
        <v/>
      </c>
      <c r="AC219" t="str">
        <f t="shared" ca="1" si="80"/>
        <v/>
      </c>
      <c r="AE219" t="str">
        <f t="shared" ca="1" si="85"/>
        <v/>
      </c>
      <c r="AF219" t="str">
        <f t="shared" ca="1" si="86"/>
        <v/>
      </c>
      <c r="AG219" t="str">
        <f t="shared" ca="1" si="87"/>
        <v/>
      </c>
      <c r="AH219" t="str">
        <f t="shared" ca="1" si="88"/>
        <v/>
      </c>
      <c r="AI219" t="str">
        <f t="shared" ca="1" si="89"/>
        <v/>
      </c>
      <c r="AJ219" t="str">
        <f t="shared" ca="1" si="90"/>
        <v/>
      </c>
    </row>
    <row r="220" spans="15:36" ht="18.600000000000001" customHeight="1" x14ac:dyDescent="0.45">
      <c r="O220">
        <f t="shared" si="92"/>
        <v>0</v>
      </c>
      <c r="P220">
        <f t="shared" si="93"/>
        <v>0</v>
      </c>
      <c r="R220" t="str" cm="1">
        <f t="array" ref="R220">IFERROR(_xlfn.AGGREGATE(15, 6, ($O$2:$O$350)/($O$2:$O$350&lt;&gt;0), ROWS($R$2:R220)), "")</f>
        <v/>
      </c>
      <c r="S220" t="str" cm="1">
        <f t="array" ref="S220">IFERROR(_xlfn.AGGREGATE(15, 6, ($P$2:$P$350)/($P$2:$P$350&lt;&gt;0), ROWS($R$2:R220)), "")</f>
        <v/>
      </c>
      <c r="U220" t="str">
        <f t="shared" ca="1" si="81"/>
        <v/>
      </c>
      <c r="V220" t="str">
        <f t="shared" ca="1" si="82"/>
        <v/>
      </c>
      <c r="W220" t="str">
        <f t="shared" ca="1" si="83"/>
        <v/>
      </c>
      <c r="X220" t="str">
        <f t="shared" ca="1" si="84"/>
        <v/>
      </c>
      <c r="Z220" t="str">
        <f t="shared" ca="1" si="91"/>
        <v/>
      </c>
      <c r="AA220" t="str">
        <f t="shared" ca="1" si="78"/>
        <v/>
      </c>
      <c r="AB220" t="str">
        <f t="shared" ca="1" si="79"/>
        <v/>
      </c>
      <c r="AC220" t="str">
        <f t="shared" ca="1" si="80"/>
        <v/>
      </c>
      <c r="AE220" t="str">
        <f t="shared" ca="1" si="85"/>
        <v/>
      </c>
      <c r="AF220" t="str">
        <f t="shared" ca="1" si="86"/>
        <v/>
      </c>
      <c r="AG220" t="str">
        <f t="shared" ca="1" si="87"/>
        <v/>
      </c>
      <c r="AH220" t="str">
        <f t="shared" ca="1" si="88"/>
        <v/>
      </c>
      <c r="AI220" t="str">
        <f t="shared" ca="1" si="89"/>
        <v/>
      </c>
      <c r="AJ220" t="str">
        <f t="shared" ca="1" si="90"/>
        <v/>
      </c>
    </row>
    <row r="221" spans="15:36" ht="18.600000000000001" customHeight="1" x14ac:dyDescent="0.45">
      <c r="O221">
        <f t="shared" si="92"/>
        <v>0</v>
      </c>
      <c r="P221">
        <f t="shared" si="93"/>
        <v>0</v>
      </c>
      <c r="R221" t="str" cm="1">
        <f t="array" ref="R221">IFERROR(_xlfn.AGGREGATE(15, 6, ($O$2:$O$350)/($O$2:$O$350&lt;&gt;0), ROWS($R$2:R221)), "")</f>
        <v/>
      </c>
      <c r="S221" t="str" cm="1">
        <f t="array" ref="S221">IFERROR(_xlfn.AGGREGATE(15, 6, ($P$2:$P$350)/($P$2:$P$350&lt;&gt;0), ROWS($R$2:R221)), "")</f>
        <v/>
      </c>
      <c r="U221" t="str">
        <f t="shared" ca="1" si="81"/>
        <v/>
      </c>
      <c r="V221" t="str">
        <f t="shared" ca="1" si="82"/>
        <v/>
      </c>
      <c r="W221" t="str">
        <f t="shared" ca="1" si="83"/>
        <v/>
      </c>
      <c r="X221" t="str">
        <f t="shared" ca="1" si="84"/>
        <v/>
      </c>
      <c r="Z221" t="str">
        <f t="shared" ca="1" si="91"/>
        <v/>
      </c>
      <c r="AA221" t="str">
        <f t="shared" ref="AA221:AA284" ca="1" si="94">IFERROR(IF(S221&lt;&gt;"",
IF(Z221&lt;&gt;"",
IF(COUNTIF(OFFSET($A$1,$S221-1,Z221),"*g*"),
Z221,IF(COUNTIF(OFFSET($A$1,$S221-1,Z221+1),"*g*"),Z221+2,
IF(OFFSET($A$1,$S221-1,Z221)=".","",
IF(OFFSET($A$1,$S221-1,Z221)=OFFSET($A$1,$S221-1,Z221+1),Z221+1,Z221+2)))),
IF(COUNTIF(OFFSET($A$1,$S221-1,2),"*g*"),
2,IF(COUNTIF(OFFSET($A$1,$S221-1,2+1),"*g*"),2+2,
IF(OFFSET($A$1,$S221-1,2)=".","",
IF(OFFSET($A$1,$S221-1,2)=OFFSET($A$1,$S221-1,2+1),
IF(OFFSET($A$1,$S221-1,2+1)=0,"",2+1),
IF(OFFSET($A$1,$S221-1,2)&lt;&gt;"",2,
IF(OFFSET($A$1,$S221-1,2+1)&lt;&gt;"",2+1,""))))))),""),"")</f>
        <v/>
      </c>
      <c r="AB221" t="str">
        <f t="shared" ref="AB221:AB284" ca="1" si="95">IFERROR(IF(S221&lt;&gt;"",
IF(COUNTIF(OFFSET($A$1,$S221-1,AA221),"*g*"),
AA221,IF(COUNTIF(OFFSET($A$1,$S221-1,AA221+1),"*g*"),AA221+2,
IF(OFFSET($A$1,$S221-1,AA221)=".","",
IF(OFFSET($A$1,$S221-1,AA221)=OFFSET($A$1,$S221-1,AA221+1),AA221+1,AA221+2)))),""),"")</f>
        <v/>
      </c>
      <c r="AC221" t="str">
        <f t="shared" ref="AC221:AC284" ca="1" si="96">IFERROR(IF(S221&lt;&gt;"",
IF(COUNTIF(OFFSET($A$1,$S221-1,AB221),"*g*"),
AB221,IF(COUNTIF(OFFSET($A$1,$S221-1,AB221+1),"*g*"),AB221+2,
IF(OFFSET($A$1,$S221-1,AB221)=".","",
IF(OFFSET($A$1,$S221-1,AB221)=OFFSET($A$1,$S221-1,AB221+1),AB221+1,
IF(OFFSET($A$1,$S221-1,AB221+1)&lt;&gt;0,AB221+2,
IF(OFFSET($A$1,$S221-1,AB221)&lt;&gt;0,AB221+1,"")))))),""),"")</f>
        <v/>
      </c>
      <c r="AE221" t="str">
        <f t="shared" ca="1" si="85"/>
        <v/>
      </c>
      <c r="AF221" t="str">
        <f t="shared" ca="1" si="86"/>
        <v/>
      </c>
      <c r="AG221" t="str">
        <f t="shared" ca="1" si="87"/>
        <v/>
      </c>
      <c r="AH221" t="str">
        <f t="shared" ca="1" si="88"/>
        <v/>
      </c>
      <c r="AI221" t="str">
        <f t="shared" ca="1" si="89"/>
        <v/>
      </c>
      <c r="AJ221" t="str">
        <f t="shared" ca="1" si="90"/>
        <v/>
      </c>
    </row>
    <row r="222" spans="15:36" ht="18.600000000000001" customHeight="1" x14ac:dyDescent="0.45">
      <c r="O222">
        <f t="shared" si="92"/>
        <v>0</v>
      </c>
      <c r="P222">
        <f t="shared" si="93"/>
        <v>0</v>
      </c>
      <c r="R222" t="str" cm="1">
        <f t="array" ref="R222">IFERROR(_xlfn.AGGREGATE(15, 6, ($O$2:$O$350)/($O$2:$O$350&lt;&gt;0), ROWS($R$2:R222)), "")</f>
        <v/>
      </c>
      <c r="S222" t="str" cm="1">
        <f t="array" ref="S222">IFERROR(_xlfn.AGGREGATE(15, 6, ($P$2:$P$350)/($P$2:$P$350&lt;&gt;0), ROWS($R$2:R222)), "")</f>
        <v/>
      </c>
      <c r="U222" t="str">
        <f t="shared" ref="U222:U285" ca="1" si="97">IF(R222&lt;&gt;"",
IF(COUNTIF(OFFSET($A$1,$R222-1,0),"*/*"),
IF(COUNTIF(OFFSET($A$1,$R222-1,1),"*/*"),"",2),1),"")</f>
        <v/>
      </c>
      <c r="V222" t="str">
        <f t="shared" ref="V222:V285" ca="1" si="98">IF(R222&lt;&gt;"",IF(U222&lt;&gt;"",
IF(COUNTIF(OFFSET($A$1,$R222-1,U222),"*/*"),
IF(COUNTIF(OFFSET($A$1,$R222-1,U222+1),"*/*"),"",U222+2),U222+1),
IF(COUNTIF(OFFSET($A$1,$R222-1,1),"*/*"),
IF(COUNTIF(OFFSET($A$1,$R222-1,1+1),"*/*"),"",1+2),1+1)),"")</f>
        <v/>
      </c>
      <c r="W222" t="str">
        <f t="shared" ref="W222:W285" ca="1" si="99">IF(R222&lt;&gt;"",IF(V222&lt;&gt;"",
IF(COUNTIF(OFFSET($A$1,$R222-1,V222),"*/*"),
IF(COUNTIF(OFFSET($A$1,$R222-1,V222+1),"*/*"),"",V222+2),V222+1),
IF(COUNTIF(OFFSET($A$1,$R222-1,2),"*/*"),
IF(COUNTIF(OFFSET($A$1,$R222-1,2+1),"*/*"),"",2+2),2+1)),"")</f>
        <v/>
      </c>
      <c r="X222" t="str">
        <f t="shared" ref="X222:X285" ca="1" si="100">IF(R222&lt;&gt;"",IF(W222&lt;&gt;"",
IF(COUNTIF(OFFSET($A$1,$R222-1,W222),"*/*"),
IF(COUNTIF(OFFSET($A$1,$R222-1,W222+1),"*/*"),"",W222+2),W222+1),
IF(COUNTIF(OFFSET($A$1,$R222-1,5),"*/*"),
IF(COUNTIF(OFFSET($A$1,$R222-1,5+1),"*/*"),"",
IF(OFFSET($A$1,R222-1,5+2-1)=0,"",5+2)),IF(OFFSET($A$1,R222-1,5+1-1)=0,"",5+1))),"")</f>
        <v/>
      </c>
      <c r="Z222" t="str">
        <f t="shared" ca="1" si="91"/>
        <v/>
      </c>
      <c r="AA222" t="str">
        <f t="shared" ca="1" si="94"/>
        <v/>
      </c>
      <c r="AB222" t="str">
        <f t="shared" ca="1" si="95"/>
        <v/>
      </c>
      <c r="AC222" t="str">
        <f t="shared" ca="1" si="96"/>
        <v/>
      </c>
      <c r="AE222" t="str">
        <f t="shared" ref="AE222:AE285" ca="1" si="101">IF(R222&lt;&gt;"",
IF(AND($S222-$R221&gt;3,COUNTIF(OFFSET($A$1,$R221+($S222-$R221-4),0),"&lt;&gt;*テキスト*")),
IF(OFFSET($A$1,$R221+($S222-$R221-4),0)=OFFSET($A$1,$R221+($S222-$R221-4),1),1,
IF(OFFSET($A$1,$R221+($S222-$R221-4),0)=OFFSET($A$1,$R221+($S222-$R221-4),2),2,
IF(OFFSET($A$1,$R221+($S222-$R221-4),0)=OFFSET($A$1,$R221+($S222-$R221-4),3),3,4))),
IF(AND($S222-$R221&gt;2,COUNTIF(OFFSET($A$1,$R221+($S222-$R221-3),0),"&lt;&gt;*テキスト*")),
IF(OFFSET($A$1,$R221+($S222-$R221-3),0)=OFFSET($A$1,$R221+($S222-$R221-3),1),1,
IF(OFFSET($A$1,$R221+($S222-$R221-3),0)=OFFSET($A$1,$R221+($S222-$R221-3),2),2,
IF(OFFSET($A$1,$R221+($S222-$R221-3),0)=OFFSET($A$1,$R221+($S222-$R221-3),3),3,4))),
IF(COUNTIF(OFFSET($A$1,$R221+($S222-$R221-2),0),"*様*"),1,
IF(COUNTIF(OFFSET($A$1,$R221+($S222-$R221-2),1),"*様*"),2,
IF(COUNTIF(OFFSET($A$1,$R221+($S222-$R221-2),2),"*様*"),3,4))))),"")</f>
        <v/>
      </c>
      <c r="AF222" t="str">
        <f t="shared" ref="AF222:AF285" ca="1" si="102">IF(R222&lt;&gt;"",
IF(AND($S222-$R221&gt;3,COUNTIF(OFFSET($A$1,$R221+($S222-$R221-4),0),"&lt;&gt;*テキスト*")),
IFERROR(IF(OFFSET($A$1,$R221+($S222-$R221-4),AE222)=0,"",
IF(OFFSET($A$1,$R221+($S222-$R221-4),AE222)=OFFSET($A$1,$R221+($S222-$R221-4),AE222+1),1+AE222,
IF(OFFSET($A$1,$R221+($S222-$R221-4),AE222)=OFFSET($A$1,$R221+($S222-$R221-4),AE222+2),2+AE222,
IF(OFFSET($A$1,$R221+($S222-$R221-4),AE222)=OFFSET($A$1,$R221+($S222-$R221-4),AE222+3),3+AE222,3+AE222)))),""),
IF(AND($S222-$R221&gt;2,COUNTIF(OFFSET($A$1,$R221+($S222-$R221-3),0),"&lt;&gt;*テキスト*")),
IFERROR(IF(OFFSET($A$1,$R221+($S222-$R221-3),AE222)=0,"",
IF(OFFSET($A$1,$R221+($S222-$R221-3),AE222)=OFFSET($A$1,$R221+($S222-$R221-3),AE222+1),1+AE222,
IF(OFFSET($A$1,$R221+($S222-$R221-3),AE222)=OFFSET($A$1,$R221+($S222-$R221-3),AE222+2),2+AE222,
IF(OFFSET($A$1,$R221+($S222-$R221-3),AE222)=OFFSET($A$1,$R221+($S222-$R221-3),AE222+3),3+AE222,3+AE222)))),""),
IF(COUNTIF(OFFSET($A$1,$R221+($S222-$R221-2),AE222),"*様*"),1+AE222,
IF(COUNTIF(OFFSET($A$1,$R221+($S222-$R221-2),AE222+1),"*様*"),2+AE222,
IF(COUNTIF(OFFSET($A$1,$R221+($S222-$R221-2),AE222+2),"*様*"),3+AE222,4+AE222))))),"")</f>
        <v/>
      </c>
      <c r="AG222" t="str">
        <f t="shared" ref="AG222:AG285" ca="1" si="103">IF(R222&lt;&gt;"",
IF(AND($S222-$R221&gt;3,COUNTIF(OFFSET($A$1,$R221+($S222-$R221-4),0),"&lt;&gt;*テキスト*")),
IFERROR(IF(OFFSET($A$1,$R221+($S222-$R221-4),AF222)=0,"",
IF(OFFSET($A$1,$R221+($S222-$R221-4),AF222)=OFFSET($A$1,$R221+($S222-$R221-4),AF222+1),1+AF222,
IF(OFFSET($A$1,$R221+($S222-$R221-4),AF222)=OFFSET($A$1,$R221+($S222-$R221-4),AF222+2),2+AF222,
IF(OFFSET($A$1,$R221+($S222-$R221-4),AF222)=OFFSET($A$1,$R221+($S222-$R221-4),AF222+3),3+AF222,3+AF222)))),""),
IF(AND($S222-$R221&gt;2,COUNTIF(OFFSET($A$1,$R221+($S222-$R221-3),0),"&lt;&gt;*テキスト*")),
IFERROR(IF(OFFSET($A$1,$R221+($S222-$R221-3),AF222)=0,"",
IF(OFFSET($A$1,$R221+($S222-$R221-3),AF222)=OFFSET($A$1,$R221+($S222-$R221-3),AF222+1),1+AF222,
IF(OFFSET($A$1,$R221+($S222-$R221-3),AF222)=OFFSET($A$1,$R221+($S222-$R221-3),AF222+2),2+AF222,
IF(OFFSET($A$1,$R221+($S222-$R221-3),AF222)=OFFSET($A$1,$R221+($S222-$R221-3),AF222+3),3+AF222,3+AF222)))),""),
IF(COUNTIF(OFFSET($A$1,$R221+($S222-$R221-2),AF222),"*様*"),1+AF222,
IF(COUNTIF(OFFSET($A$1,$R221+($S222-$R221-2),AF222+1),"*様*"),2+AF222,
IF(COUNTIF(OFFSET($A$1,$R221+($S222-$R221-2),AF222+2),"*様*"),3+AF222,4+AF222))))),"")</f>
        <v/>
      </c>
      <c r="AH222" t="str">
        <f t="shared" ref="AH222:AH285" ca="1" si="104">IF(R222&lt;&gt;"",
IF(AND($S222-$R221&gt;3,COUNTIF(OFFSET($A$1,$R221+($S222-$R221-4),0),"&lt;&gt;*テキスト*")),
IFERROR(IF(OFFSET($A$1,$R221+($S222-$R221-4),AG222)=0,"",
IF(OFFSET($A$1,$R221+($S222-$R221-4),AG222)=OFFSET($A$1,$R221+($S222-$R221-4),AG222+1),1+AG222,
IF(OFFSET($A$1,$R221+($S222-$R221-4),AG222)=OFFSET($A$1,$R221+($S222-$R221-4),AG222+2),2+AG222,
IF(OFFSET($A$1,$R221+($S222-$R221-4),AG222)=OFFSET($A$1,$R221+($S222-$R221-4),AG222+3),3+AG222,3+AG222)))),""),
IF(AND($S222-$R221&gt;2,COUNTIF(OFFSET($A$1,$R221+($S222-$R221-3),0),"&lt;&gt;*テキスト*")),
IFERROR(IF(OFFSET($A$1,$R221+($S222-$R221-3),AG222)=0,"",
IF(OFFSET($A$1,$R221+($S222-$R221-3),AG222)=OFFSET($A$1,$R221+($S222-$R221-3),AG222+1),1+AG222,
IF(OFFSET($A$1,$R221+($S222-$R221-3),AG222)=OFFSET($A$1,$R221+($S222-$R221-3),AG222+2),2+AG222,
IF(OFFSET($A$1,$R221+($S222-$R221-3),AG222)=OFFSET($A$1,$R221+($S222-$R221-3),AG222+3),3+AG222,3+AG222)))),""),
IF(COUNTIF(OFFSET($A$1,$R221+($S222-$R221-2),AG222),"*様*"),1+AG222,
IF(COUNTIF(OFFSET($A$1,$R221+($S222-$R221-2),AG222+1),"*様*"),2+AG222,
IF(COUNTIF(OFFSET($A$1,$R221+($S222-$R221-2),AG222+2),"*様*"),3+AG222,4+AG222))))),"")</f>
        <v/>
      </c>
      <c r="AI222" t="str">
        <f t="shared" ref="AI222:AI285" ca="1" si="105">IF(R222&lt;&gt;"",
IF(AG222&lt;&gt;"","",
IF(COUNTIF(OFFSET($A$1,$R221+($S222-$R221-3),0),"*様*"),1,
IF(COUNTIF(OFFSET($A$1,$R221+($S222-$R221-3),1),"*様*"),2,
IF(COUNTIF(OFFSET($A$1,$R221+($S222-$R221-3),2),"*様*"),3,4)))),"")</f>
        <v/>
      </c>
      <c r="AJ222" t="str">
        <f t="shared" ref="AJ222:AJ285" ca="1" si="106">IF(R222&lt;&gt;"",
IF(AH222&lt;&gt;"","",
IF(AI222&lt;&gt;"",
IF(COUNTIF(OFFSET($A$1,$R221+($S222-$R221-3),AI222),"*様*"),1+AI222,
IF(COUNTIF(OFFSET($A$1,$R221+($S222-$R221-3),AI222+1),"*様*"),2+AI222,
IF(COUNTIF(OFFSET($A$1,$R221+($S222-$R221-3),AI222+2),"*様*"),3+AI222,4+AI222))),
IF(COUNTIF(OFFSET($A$1,$R221+($S222-$R221-3),0),"*様*"),1,
IF(COUNTIF(OFFSET($A$1,$R221+($S222-$R221-3),1),"*様*"),2,
IF(COUNTIF(OFFSET($A$1,$R221+($S222-$R221-3),2),"*様*"),3,4))))),"")</f>
        <v/>
      </c>
    </row>
    <row r="223" spans="15:36" ht="18.600000000000001" customHeight="1" x14ac:dyDescent="0.45">
      <c r="O223">
        <f t="shared" si="92"/>
        <v>0</v>
      </c>
      <c r="P223">
        <f t="shared" si="93"/>
        <v>0</v>
      </c>
      <c r="R223" t="str" cm="1">
        <f t="array" ref="R223">IFERROR(_xlfn.AGGREGATE(15, 6, ($O$2:$O$350)/($O$2:$O$350&lt;&gt;0), ROWS($R$2:R223)), "")</f>
        <v/>
      </c>
      <c r="S223" t="str" cm="1">
        <f t="array" ref="S223">IFERROR(_xlfn.AGGREGATE(15, 6, ($P$2:$P$350)/($P$2:$P$350&lt;&gt;0), ROWS($R$2:R223)), "")</f>
        <v/>
      </c>
      <c r="U223" t="str">
        <f t="shared" ca="1" si="97"/>
        <v/>
      </c>
      <c r="V223" t="str">
        <f t="shared" ca="1" si="98"/>
        <v/>
      </c>
      <c r="W223" t="str">
        <f t="shared" ca="1" si="99"/>
        <v/>
      </c>
      <c r="X223" t="str">
        <f t="shared" ca="1" si="100"/>
        <v/>
      </c>
      <c r="Z223" t="str">
        <f t="shared" ca="1" si="91"/>
        <v/>
      </c>
      <c r="AA223" t="str">
        <f t="shared" ca="1" si="94"/>
        <v/>
      </c>
      <c r="AB223" t="str">
        <f t="shared" ca="1" si="95"/>
        <v/>
      </c>
      <c r="AC223" t="str">
        <f t="shared" ca="1" si="96"/>
        <v/>
      </c>
      <c r="AE223" t="str">
        <f t="shared" ca="1" si="101"/>
        <v/>
      </c>
      <c r="AF223" t="str">
        <f t="shared" ca="1" si="102"/>
        <v/>
      </c>
      <c r="AG223" t="str">
        <f t="shared" ca="1" si="103"/>
        <v/>
      </c>
      <c r="AH223" t="str">
        <f t="shared" ca="1" si="104"/>
        <v/>
      </c>
      <c r="AI223" t="str">
        <f t="shared" ca="1" si="105"/>
        <v/>
      </c>
      <c r="AJ223" t="str">
        <f t="shared" ca="1" si="106"/>
        <v/>
      </c>
    </row>
    <row r="224" spans="15:36" ht="18.600000000000001" customHeight="1" x14ac:dyDescent="0.45">
      <c r="O224">
        <f t="shared" si="92"/>
        <v>0</v>
      </c>
      <c r="P224">
        <f t="shared" si="93"/>
        <v>0</v>
      </c>
      <c r="R224" t="str" cm="1">
        <f t="array" ref="R224">IFERROR(_xlfn.AGGREGATE(15, 6, ($O$2:$O$350)/($O$2:$O$350&lt;&gt;0), ROWS($R$2:R224)), "")</f>
        <v/>
      </c>
      <c r="S224" t="str" cm="1">
        <f t="array" ref="S224">IFERROR(_xlfn.AGGREGATE(15, 6, ($P$2:$P$350)/($P$2:$P$350&lt;&gt;0), ROWS($R$2:R224)), "")</f>
        <v/>
      </c>
      <c r="U224" t="str">
        <f t="shared" ca="1" si="97"/>
        <v/>
      </c>
      <c r="V224" t="str">
        <f t="shared" ca="1" si="98"/>
        <v/>
      </c>
      <c r="W224" t="str">
        <f t="shared" ca="1" si="99"/>
        <v/>
      </c>
      <c r="X224" t="str">
        <f t="shared" ca="1" si="100"/>
        <v/>
      </c>
      <c r="Z224" t="str">
        <f t="shared" ca="1" si="91"/>
        <v/>
      </c>
      <c r="AA224" t="str">
        <f t="shared" ca="1" si="94"/>
        <v/>
      </c>
      <c r="AB224" t="str">
        <f t="shared" ca="1" si="95"/>
        <v/>
      </c>
      <c r="AC224" t="str">
        <f t="shared" ca="1" si="96"/>
        <v/>
      </c>
      <c r="AE224" t="str">
        <f t="shared" ca="1" si="101"/>
        <v/>
      </c>
      <c r="AF224" t="str">
        <f t="shared" ca="1" si="102"/>
        <v/>
      </c>
      <c r="AG224" t="str">
        <f t="shared" ca="1" si="103"/>
        <v/>
      </c>
      <c r="AH224" t="str">
        <f t="shared" ca="1" si="104"/>
        <v/>
      </c>
      <c r="AI224" t="str">
        <f t="shared" ca="1" si="105"/>
        <v/>
      </c>
      <c r="AJ224" t="str">
        <f t="shared" ca="1" si="106"/>
        <v/>
      </c>
    </row>
    <row r="225" spans="15:36" ht="18.600000000000001" customHeight="1" x14ac:dyDescent="0.45">
      <c r="O225">
        <f t="shared" si="92"/>
        <v>0</v>
      </c>
      <c r="P225">
        <f t="shared" si="93"/>
        <v>0</v>
      </c>
      <c r="R225" t="str" cm="1">
        <f t="array" ref="R225">IFERROR(_xlfn.AGGREGATE(15, 6, ($O$2:$O$350)/($O$2:$O$350&lt;&gt;0), ROWS($R$2:R225)), "")</f>
        <v/>
      </c>
      <c r="S225" t="str" cm="1">
        <f t="array" ref="S225">IFERROR(_xlfn.AGGREGATE(15, 6, ($P$2:$P$350)/($P$2:$P$350&lt;&gt;0), ROWS($R$2:R225)), "")</f>
        <v/>
      </c>
      <c r="U225" t="str">
        <f t="shared" ca="1" si="97"/>
        <v/>
      </c>
      <c r="V225" t="str">
        <f t="shared" ca="1" si="98"/>
        <v/>
      </c>
      <c r="W225" t="str">
        <f t="shared" ca="1" si="99"/>
        <v/>
      </c>
      <c r="X225" t="str">
        <f t="shared" ca="1" si="100"/>
        <v/>
      </c>
      <c r="Z225" t="str">
        <f t="shared" ca="1" si="91"/>
        <v/>
      </c>
      <c r="AA225" t="str">
        <f t="shared" ca="1" si="94"/>
        <v/>
      </c>
      <c r="AB225" t="str">
        <f t="shared" ca="1" si="95"/>
        <v/>
      </c>
      <c r="AC225" t="str">
        <f t="shared" ca="1" si="96"/>
        <v/>
      </c>
      <c r="AE225" t="str">
        <f t="shared" ca="1" si="101"/>
        <v/>
      </c>
      <c r="AF225" t="str">
        <f t="shared" ca="1" si="102"/>
        <v/>
      </c>
      <c r="AG225" t="str">
        <f t="shared" ca="1" si="103"/>
        <v/>
      </c>
      <c r="AH225" t="str">
        <f t="shared" ca="1" si="104"/>
        <v/>
      </c>
      <c r="AI225" t="str">
        <f t="shared" ca="1" si="105"/>
        <v/>
      </c>
      <c r="AJ225" t="str">
        <f t="shared" ca="1" si="106"/>
        <v/>
      </c>
    </row>
    <row r="226" spans="15:36" ht="18.600000000000001" customHeight="1" x14ac:dyDescent="0.45">
      <c r="O226">
        <f t="shared" si="92"/>
        <v>0</v>
      </c>
      <c r="P226">
        <f t="shared" si="93"/>
        <v>0</v>
      </c>
      <c r="R226" t="str" cm="1">
        <f t="array" ref="R226">IFERROR(_xlfn.AGGREGATE(15, 6, ($O$2:$O$350)/($O$2:$O$350&lt;&gt;0), ROWS($R$2:R226)), "")</f>
        <v/>
      </c>
      <c r="S226" t="str" cm="1">
        <f t="array" ref="S226">IFERROR(_xlfn.AGGREGATE(15, 6, ($P$2:$P$350)/($P$2:$P$350&lt;&gt;0), ROWS($R$2:R226)), "")</f>
        <v/>
      </c>
      <c r="U226" t="str">
        <f t="shared" ca="1" si="97"/>
        <v/>
      </c>
      <c r="V226" t="str">
        <f t="shared" ca="1" si="98"/>
        <v/>
      </c>
      <c r="W226" t="str">
        <f t="shared" ca="1" si="99"/>
        <v/>
      </c>
      <c r="X226" t="str">
        <f t="shared" ca="1" si="100"/>
        <v/>
      </c>
      <c r="Z226" t="str">
        <f t="shared" ca="1" si="91"/>
        <v/>
      </c>
      <c r="AA226" t="str">
        <f t="shared" ca="1" si="94"/>
        <v/>
      </c>
      <c r="AB226" t="str">
        <f t="shared" ca="1" si="95"/>
        <v/>
      </c>
      <c r="AC226" t="str">
        <f t="shared" ca="1" si="96"/>
        <v/>
      </c>
      <c r="AE226" t="str">
        <f t="shared" ca="1" si="101"/>
        <v/>
      </c>
      <c r="AF226" t="str">
        <f t="shared" ca="1" si="102"/>
        <v/>
      </c>
      <c r="AG226" t="str">
        <f t="shared" ca="1" si="103"/>
        <v/>
      </c>
      <c r="AH226" t="str">
        <f t="shared" ca="1" si="104"/>
        <v/>
      </c>
      <c r="AI226" t="str">
        <f t="shared" ca="1" si="105"/>
        <v/>
      </c>
      <c r="AJ226" t="str">
        <f t="shared" ca="1" si="106"/>
        <v/>
      </c>
    </row>
    <row r="227" spans="15:36" ht="18.600000000000001" customHeight="1" x14ac:dyDescent="0.45">
      <c r="O227">
        <f t="shared" si="92"/>
        <v>0</v>
      </c>
      <c r="P227">
        <f t="shared" si="93"/>
        <v>0</v>
      </c>
      <c r="R227" t="str" cm="1">
        <f t="array" ref="R227">IFERROR(_xlfn.AGGREGATE(15, 6, ($O$2:$O$350)/($O$2:$O$350&lt;&gt;0), ROWS($R$2:R227)), "")</f>
        <v/>
      </c>
      <c r="S227" t="str" cm="1">
        <f t="array" ref="S227">IFERROR(_xlfn.AGGREGATE(15, 6, ($P$2:$P$350)/($P$2:$P$350&lt;&gt;0), ROWS($R$2:R227)), "")</f>
        <v/>
      </c>
      <c r="U227" t="str">
        <f t="shared" ca="1" si="97"/>
        <v/>
      </c>
      <c r="V227" t="str">
        <f t="shared" ca="1" si="98"/>
        <v/>
      </c>
      <c r="W227" t="str">
        <f t="shared" ca="1" si="99"/>
        <v/>
      </c>
      <c r="X227" t="str">
        <f t="shared" ca="1" si="100"/>
        <v/>
      </c>
      <c r="Z227" t="str">
        <f t="shared" ca="1" si="91"/>
        <v/>
      </c>
      <c r="AA227" t="str">
        <f t="shared" ca="1" si="94"/>
        <v/>
      </c>
      <c r="AB227" t="str">
        <f t="shared" ca="1" si="95"/>
        <v/>
      </c>
      <c r="AC227" t="str">
        <f t="shared" ca="1" si="96"/>
        <v/>
      </c>
      <c r="AE227" t="str">
        <f t="shared" ca="1" si="101"/>
        <v/>
      </c>
      <c r="AF227" t="str">
        <f t="shared" ca="1" si="102"/>
        <v/>
      </c>
      <c r="AG227" t="str">
        <f t="shared" ca="1" si="103"/>
        <v/>
      </c>
      <c r="AH227" t="str">
        <f t="shared" ca="1" si="104"/>
        <v/>
      </c>
      <c r="AI227" t="str">
        <f t="shared" ca="1" si="105"/>
        <v/>
      </c>
      <c r="AJ227" t="str">
        <f t="shared" ca="1" si="106"/>
        <v/>
      </c>
    </row>
    <row r="228" spans="15:36" ht="18.600000000000001" customHeight="1" x14ac:dyDescent="0.45">
      <c r="O228">
        <f t="shared" si="92"/>
        <v>0</v>
      </c>
      <c r="P228">
        <f t="shared" si="93"/>
        <v>0</v>
      </c>
      <c r="R228" t="str" cm="1">
        <f t="array" ref="R228">IFERROR(_xlfn.AGGREGATE(15, 6, ($O$2:$O$350)/($O$2:$O$350&lt;&gt;0), ROWS($R$2:R228)), "")</f>
        <v/>
      </c>
      <c r="S228" t="str" cm="1">
        <f t="array" ref="S228">IFERROR(_xlfn.AGGREGATE(15, 6, ($P$2:$P$350)/($P$2:$P$350&lt;&gt;0), ROWS($R$2:R228)), "")</f>
        <v/>
      </c>
      <c r="U228" t="str">
        <f t="shared" ca="1" si="97"/>
        <v/>
      </c>
      <c r="V228" t="str">
        <f t="shared" ca="1" si="98"/>
        <v/>
      </c>
      <c r="W228" t="str">
        <f t="shared" ca="1" si="99"/>
        <v/>
      </c>
      <c r="X228" t="str">
        <f t="shared" ca="1" si="100"/>
        <v/>
      </c>
      <c r="Z228" t="str">
        <f t="shared" ca="1" si="91"/>
        <v/>
      </c>
      <c r="AA228" t="str">
        <f t="shared" ca="1" si="94"/>
        <v/>
      </c>
      <c r="AB228" t="str">
        <f t="shared" ca="1" si="95"/>
        <v/>
      </c>
      <c r="AC228" t="str">
        <f t="shared" ca="1" si="96"/>
        <v/>
      </c>
      <c r="AE228" t="str">
        <f t="shared" ca="1" si="101"/>
        <v/>
      </c>
      <c r="AF228" t="str">
        <f t="shared" ca="1" si="102"/>
        <v/>
      </c>
      <c r="AG228" t="str">
        <f t="shared" ca="1" si="103"/>
        <v/>
      </c>
      <c r="AH228" t="str">
        <f t="shared" ca="1" si="104"/>
        <v/>
      </c>
      <c r="AI228" t="str">
        <f t="shared" ca="1" si="105"/>
        <v/>
      </c>
      <c r="AJ228" t="str">
        <f t="shared" ca="1" si="106"/>
        <v/>
      </c>
    </row>
    <row r="229" spans="15:36" ht="18.600000000000001" customHeight="1" x14ac:dyDescent="0.45">
      <c r="O229">
        <f t="shared" si="92"/>
        <v>0</v>
      </c>
      <c r="P229">
        <f t="shared" si="93"/>
        <v>0</v>
      </c>
      <c r="R229" t="str" cm="1">
        <f t="array" ref="R229">IFERROR(_xlfn.AGGREGATE(15, 6, ($O$2:$O$350)/($O$2:$O$350&lt;&gt;0), ROWS($R$2:R229)), "")</f>
        <v/>
      </c>
      <c r="S229" t="str" cm="1">
        <f t="array" ref="S229">IFERROR(_xlfn.AGGREGATE(15, 6, ($P$2:$P$350)/($P$2:$P$350&lt;&gt;0), ROWS($R$2:R229)), "")</f>
        <v/>
      </c>
      <c r="U229" t="str">
        <f t="shared" ca="1" si="97"/>
        <v/>
      </c>
      <c r="V229" t="str">
        <f t="shared" ca="1" si="98"/>
        <v/>
      </c>
      <c r="W229" t="str">
        <f t="shared" ca="1" si="99"/>
        <v/>
      </c>
      <c r="X229" t="str">
        <f t="shared" ca="1" si="100"/>
        <v/>
      </c>
      <c r="Z229" t="str">
        <f t="shared" ca="1" si="91"/>
        <v/>
      </c>
      <c r="AA229" t="str">
        <f t="shared" ca="1" si="94"/>
        <v/>
      </c>
      <c r="AB229" t="str">
        <f t="shared" ca="1" si="95"/>
        <v/>
      </c>
      <c r="AC229" t="str">
        <f t="shared" ca="1" si="96"/>
        <v/>
      </c>
      <c r="AE229" t="str">
        <f t="shared" ca="1" si="101"/>
        <v/>
      </c>
      <c r="AF229" t="str">
        <f t="shared" ca="1" si="102"/>
        <v/>
      </c>
      <c r="AG229" t="str">
        <f t="shared" ca="1" si="103"/>
        <v/>
      </c>
      <c r="AH229" t="str">
        <f t="shared" ca="1" si="104"/>
        <v/>
      </c>
      <c r="AI229" t="str">
        <f t="shared" ca="1" si="105"/>
        <v/>
      </c>
      <c r="AJ229" t="str">
        <f t="shared" ca="1" si="106"/>
        <v/>
      </c>
    </row>
    <row r="230" spans="15:36" ht="18.600000000000001" customHeight="1" x14ac:dyDescent="0.45">
      <c r="O230">
        <f t="shared" si="92"/>
        <v>0</v>
      </c>
      <c r="P230">
        <f t="shared" si="93"/>
        <v>0</v>
      </c>
      <c r="R230" t="str" cm="1">
        <f t="array" ref="R230">IFERROR(_xlfn.AGGREGATE(15, 6, ($O$2:$O$350)/($O$2:$O$350&lt;&gt;0), ROWS($R$2:R230)), "")</f>
        <v/>
      </c>
      <c r="S230" t="str" cm="1">
        <f t="array" ref="S230">IFERROR(_xlfn.AGGREGATE(15, 6, ($P$2:$P$350)/($P$2:$P$350&lt;&gt;0), ROWS($R$2:R230)), "")</f>
        <v/>
      </c>
      <c r="U230" t="str">
        <f t="shared" ca="1" si="97"/>
        <v/>
      </c>
      <c r="V230" t="str">
        <f t="shared" ca="1" si="98"/>
        <v/>
      </c>
      <c r="W230" t="str">
        <f t="shared" ca="1" si="99"/>
        <v/>
      </c>
      <c r="X230" t="str">
        <f t="shared" ca="1" si="100"/>
        <v/>
      </c>
      <c r="Z230" t="str">
        <f t="shared" ca="1" si="91"/>
        <v/>
      </c>
      <c r="AA230" t="str">
        <f t="shared" ca="1" si="94"/>
        <v/>
      </c>
      <c r="AB230" t="str">
        <f t="shared" ca="1" si="95"/>
        <v/>
      </c>
      <c r="AC230" t="str">
        <f t="shared" ca="1" si="96"/>
        <v/>
      </c>
      <c r="AE230" t="str">
        <f t="shared" ca="1" si="101"/>
        <v/>
      </c>
      <c r="AF230" t="str">
        <f t="shared" ca="1" si="102"/>
        <v/>
      </c>
      <c r="AG230" t="str">
        <f t="shared" ca="1" si="103"/>
        <v/>
      </c>
      <c r="AH230" t="str">
        <f t="shared" ca="1" si="104"/>
        <v/>
      </c>
      <c r="AI230" t="str">
        <f t="shared" ca="1" si="105"/>
        <v/>
      </c>
      <c r="AJ230" t="str">
        <f t="shared" ca="1" si="106"/>
        <v/>
      </c>
    </row>
    <row r="231" spans="15:36" ht="18.600000000000001" customHeight="1" x14ac:dyDescent="0.45">
      <c r="O231">
        <f t="shared" si="92"/>
        <v>0</v>
      </c>
      <c r="P231">
        <f t="shared" si="93"/>
        <v>0</v>
      </c>
      <c r="R231" t="str" cm="1">
        <f t="array" ref="R231">IFERROR(_xlfn.AGGREGATE(15, 6, ($O$2:$O$350)/($O$2:$O$350&lt;&gt;0), ROWS($R$2:R231)), "")</f>
        <v/>
      </c>
      <c r="S231" t="str" cm="1">
        <f t="array" ref="S231">IFERROR(_xlfn.AGGREGATE(15, 6, ($P$2:$P$350)/($P$2:$P$350&lt;&gt;0), ROWS($R$2:R231)), "")</f>
        <v/>
      </c>
      <c r="U231" t="str">
        <f t="shared" ca="1" si="97"/>
        <v/>
      </c>
      <c r="V231" t="str">
        <f t="shared" ca="1" si="98"/>
        <v/>
      </c>
      <c r="W231" t="str">
        <f t="shared" ca="1" si="99"/>
        <v/>
      </c>
      <c r="X231" t="str">
        <f t="shared" ca="1" si="100"/>
        <v/>
      </c>
      <c r="Z231" t="str">
        <f t="shared" ca="1" si="91"/>
        <v/>
      </c>
      <c r="AA231" t="str">
        <f t="shared" ca="1" si="94"/>
        <v/>
      </c>
      <c r="AB231" t="str">
        <f t="shared" ca="1" si="95"/>
        <v/>
      </c>
      <c r="AC231" t="str">
        <f t="shared" ca="1" si="96"/>
        <v/>
      </c>
      <c r="AE231" t="str">
        <f t="shared" ca="1" si="101"/>
        <v/>
      </c>
      <c r="AF231" t="str">
        <f t="shared" ca="1" si="102"/>
        <v/>
      </c>
      <c r="AG231" t="str">
        <f t="shared" ca="1" si="103"/>
        <v/>
      </c>
      <c r="AH231" t="str">
        <f t="shared" ca="1" si="104"/>
        <v/>
      </c>
      <c r="AI231" t="str">
        <f t="shared" ca="1" si="105"/>
        <v/>
      </c>
      <c r="AJ231" t="str">
        <f t="shared" ca="1" si="106"/>
        <v/>
      </c>
    </row>
    <row r="232" spans="15:36" ht="18.600000000000001" customHeight="1" x14ac:dyDescent="0.45">
      <c r="O232">
        <f t="shared" si="92"/>
        <v>0</v>
      </c>
      <c r="P232">
        <f t="shared" si="93"/>
        <v>0</v>
      </c>
      <c r="R232" t="str" cm="1">
        <f t="array" ref="R232">IFERROR(_xlfn.AGGREGATE(15, 6, ($O$2:$O$350)/($O$2:$O$350&lt;&gt;0), ROWS($R$2:R232)), "")</f>
        <v/>
      </c>
      <c r="S232" t="str" cm="1">
        <f t="array" ref="S232">IFERROR(_xlfn.AGGREGATE(15, 6, ($P$2:$P$350)/($P$2:$P$350&lt;&gt;0), ROWS($R$2:R232)), "")</f>
        <v/>
      </c>
      <c r="U232" t="str">
        <f t="shared" ca="1" si="97"/>
        <v/>
      </c>
      <c r="V232" t="str">
        <f t="shared" ca="1" si="98"/>
        <v/>
      </c>
      <c r="W232" t="str">
        <f t="shared" ca="1" si="99"/>
        <v/>
      </c>
      <c r="X232" t="str">
        <f t="shared" ca="1" si="100"/>
        <v/>
      </c>
      <c r="Z232" t="str">
        <f t="shared" ref="Z232:Z295" ca="1" si="107">IF(S232&lt;&gt;"",
IF(COUNTIF(OFFSET($A$1,$S232-1,0),"*g*"),
1,IF(COUNTIF(OFFSET($A$1,$S232-1,1),"*g*"),2,
IF(OFFSET($A$1,$S232-1,0)=".","",
IF(OFFSET($A$1,$S232-1,0)=OFFSET($A$1,$S232-1,1),1,2)))),"")</f>
        <v/>
      </c>
      <c r="AA232" t="str">
        <f t="shared" ca="1" si="94"/>
        <v/>
      </c>
      <c r="AB232" t="str">
        <f t="shared" ca="1" si="95"/>
        <v/>
      </c>
      <c r="AC232" t="str">
        <f t="shared" ca="1" si="96"/>
        <v/>
      </c>
      <c r="AE232" t="str">
        <f t="shared" ca="1" si="101"/>
        <v/>
      </c>
      <c r="AF232" t="str">
        <f t="shared" ca="1" si="102"/>
        <v/>
      </c>
      <c r="AG232" t="str">
        <f t="shared" ca="1" si="103"/>
        <v/>
      </c>
      <c r="AH232" t="str">
        <f t="shared" ca="1" si="104"/>
        <v/>
      </c>
      <c r="AI232" t="str">
        <f t="shared" ca="1" si="105"/>
        <v/>
      </c>
      <c r="AJ232" t="str">
        <f t="shared" ca="1" si="106"/>
        <v/>
      </c>
    </row>
    <row r="233" spans="15:36" ht="18.600000000000001" customHeight="1" x14ac:dyDescent="0.45">
      <c r="O233">
        <f t="shared" si="92"/>
        <v>0</v>
      </c>
      <c r="P233">
        <f t="shared" si="93"/>
        <v>0</v>
      </c>
      <c r="R233" t="str" cm="1">
        <f t="array" ref="R233">IFERROR(_xlfn.AGGREGATE(15, 6, ($O$2:$O$350)/($O$2:$O$350&lt;&gt;0), ROWS($R$2:R233)), "")</f>
        <v/>
      </c>
      <c r="S233" t="str" cm="1">
        <f t="array" ref="S233">IFERROR(_xlfn.AGGREGATE(15, 6, ($P$2:$P$350)/($P$2:$P$350&lt;&gt;0), ROWS($R$2:R233)), "")</f>
        <v/>
      </c>
      <c r="U233" t="str">
        <f t="shared" ca="1" si="97"/>
        <v/>
      </c>
      <c r="V233" t="str">
        <f t="shared" ca="1" si="98"/>
        <v/>
      </c>
      <c r="W233" t="str">
        <f t="shared" ca="1" si="99"/>
        <v/>
      </c>
      <c r="X233" t="str">
        <f t="shared" ca="1" si="100"/>
        <v/>
      </c>
      <c r="Z233" t="str">
        <f t="shared" ca="1" si="107"/>
        <v/>
      </c>
      <c r="AA233" t="str">
        <f t="shared" ca="1" si="94"/>
        <v/>
      </c>
      <c r="AB233" t="str">
        <f t="shared" ca="1" si="95"/>
        <v/>
      </c>
      <c r="AC233" t="str">
        <f t="shared" ca="1" si="96"/>
        <v/>
      </c>
      <c r="AE233" t="str">
        <f t="shared" ca="1" si="101"/>
        <v/>
      </c>
      <c r="AF233" t="str">
        <f t="shared" ca="1" si="102"/>
        <v/>
      </c>
      <c r="AG233" t="str">
        <f t="shared" ca="1" si="103"/>
        <v/>
      </c>
      <c r="AH233" t="str">
        <f t="shared" ca="1" si="104"/>
        <v/>
      </c>
      <c r="AI233" t="str">
        <f t="shared" ca="1" si="105"/>
        <v/>
      </c>
      <c r="AJ233" t="str">
        <f t="shared" ca="1" si="106"/>
        <v/>
      </c>
    </row>
    <row r="234" spans="15:36" ht="18.600000000000001" customHeight="1" x14ac:dyDescent="0.45">
      <c r="O234">
        <f t="shared" si="92"/>
        <v>0</v>
      </c>
      <c r="P234">
        <f t="shared" si="93"/>
        <v>0</v>
      </c>
      <c r="R234" t="str" cm="1">
        <f t="array" ref="R234">IFERROR(_xlfn.AGGREGATE(15, 6, ($O$2:$O$350)/($O$2:$O$350&lt;&gt;0), ROWS($R$2:R234)), "")</f>
        <v/>
      </c>
      <c r="S234" t="str" cm="1">
        <f t="array" ref="S234">IFERROR(_xlfn.AGGREGATE(15, 6, ($P$2:$P$350)/($P$2:$P$350&lt;&gt;0), ROWS($R$2:R234)), "")</f>
        <v/>
      </c>
      <c r="U234" t="str">
        <f t="shared" ca="1" si="97"/>
        <v/>
      </c>
      <c r="V234" t="str">
        <f t="shared" ca="1" si="98"/>
        <v/>
      </c>
      <c r="W234" t="str">
        <f t="shared" ca="1" si="99"/>
        <v/>
      </c>
      <c r="X234" t="str">
        <f t="shared" ca="1" si="100"/>
        <v/>
      </c>
      <c r="Z234" t="str">
        <f t="shared" ca="1" si="107"/>
        <v/>
      </c>
      <c r="AA234" t="str">
        <f t="shared" ca="1" si="94"/>
        <v/>
      </c>
      <c r="AB234" t="str">
        <f t="shared" ca="1" si="95"/>
        <v/>
      </c>
      <c r="AC234" t="str">
        <f t="shared" ca="1" si="96"/>
        <v/>
      </c>
      <c r="AE234" t="str">
        <f t="shared" ca="1" si="101"/>
        <v/>
      </c>
      <c r="AF234" t="str">
        <f t="shared" ca="1" si="102"/>
        <v/>
      </c>
      <c r="AG234" t="str">
        <f t="shared" ca="1" si="103"/>
        <v/>
      </c>
      <c r="AH234" t="str">
        <f t="shared" ca="1" si="104"/>
        <v/>
      </c>
      <c r="AI234" t="str">
        <f t="shared" ca="1" si="105"/>
        <v/>
      </c>
      <c r="AJ234" t="str">
        <f t="shared" ca="1" si="106"/>
        <v/>
      </c>
    </row>
    <row r="235" spans="15:36" ht="18.600000000000001" customHeight="1" x14ac:dyDescent="0.45">
      <c r="O235">
        <f t="shared" si="92"/>
        <v>0</v>
      </c>
      <c r="P235">
        <f t="shared" si="93"/>
        <v>0</v>
      </c>
      <c r="R235" t="str" cm="1">
        <f t="array" ref="R235">IFERROR(_xlfn.AGGREGATE(15, 6, ($O$2:$O$350)/($O$2:$O$350&lt;&gt;0), ROWS($R$2:R235)), "")</f>
        <v/>
      </c>
      <c r="S235" t="str" cm="1">
        <f t="array" ref="S235">IFERROR(_xlfn.AGGREGATE(15, 6, ($P$2:$P$350)/($P$2:$P$350&lt;&gt;0), ROWS($R$2:R235)), "")</f>
        <v/>
      </c>
      <c r="U235" t="str">
        <f t="shared" ca="1" si="97"/>
        <v/>
      </c>
      <c r="V235" t="str">
        <f t="shared" ca="1" si="98"/>
        <v/>
      </c>
      <c r="W235" t="str">
        <f t="shared" ca="1" si="99"/>
        <v/>
      </c>
      <c r="X235" t="str">
        <f t="shared" ca="1" si="100"/>
        <v/>
      </c>
      <c r="Z235" t="str">
        <f t="shared" ca="1" si="107"/>
        <v/>
      </c>
      <c r="AA235" t="str">
        <f t="shared" ca="1" si="94"/>
        <v/>
      </c>
      <c r="AB235" t="str">
        <f t="shared" ca="1" si="95"/>
        <v/>
      </c>
      <c r="AC235" t="str">
        <f t="shared" ca="1" si="96"/>
        <v/>
      </c>
      <c r="AE235" t="str">
        <f t="shared" ca="1" si="101"/>
        <v/>
      </c>
      <c r="AF235" t="str">
        <f t="shared" ca="1" si="102"/>
        <v/>
      </c>
      <c r="AG235" t="str">
        <f t="shared" ca="1" si="103"/>
        <v/>
      </c>
      <c r="AH235" t="str">
        <f t="shared" ca="1" si="104"/>
        <v/>
      </c>
      <c r="AI235" t="str">
        <f t="shared" ca="1" si="105"/>
        <v/>
      </c>
      <c r="AJ235" t="str">
        <f t="shared" ca="1" si="106"/>
        <v/>
      </c>
    </row>
    <row r="236" spans="15:36" ht="18.600000000000001" customHeight="1" x14ac:dyDescent="0.45">
      <c r="O236">
        <f t="shared" si="92"/>
        <v>0</v>
      </c>
      <c r="P236">
        <f t="shared" si="93"/>
        <v>0</v>
      </c>
      <c r="R236" t="str" cm="1">
        <f t="array" ref="R236">IFERROR(_xlfn.AGGREGATE(15, 6, ($O$2:$O$350)/($O$2:$O$350&lt;&gt;0), ROWS($R$2:R236)), "")</f>
        <v/>
      </c>
      <c r="S236" t="str" cm="1">
        <f t="array" ref="S236">IFERROR(_xlfn.AGGREGATE(15, 6, ($P$2:$P$350)/($P$2:$P$350&lt;&gt;0), ROWS($R$2:R236)), "")</f>
        <v/>
      </c>
      <c r="U236" t="str">
        <f t="shared" ca="1" si="97"/>
        <v/>
      </c>
      <c r="V236" t="str">
        <f t="shared" ca="1" si="98"/>
        <v/>
      </c>
      <c r="W236" t="str">
        <f t="shared" ca="1" si="99"/>
        <v/>
      </c>
      <c r="X236" t="str">
        <f t="shared" ca="1" si="100"/>
        <v/>
      </c>
      <c r="Z236" t="str">
        <f t="shared" ca="1" si="107"/>
        <v/>
      </c>
      <c r="AA236" t="str">
        <f t="shared" ca="1" si="94"/>
        <v/>
      </c>
      <c r="AB236" t="str">
        <f t="shared" ca="1" si="95"/>
        <v/>
      </c>
      <c r="AC236" t="str">
        <f t="shared" ca="1" si="96"/>
        <v/>
      </c>
      <c r="AE236" t="str">
        <f t="shared" ca="1" si="101"/>
        <v/>
      </c>
      <c r="AF236" t="str">
        <f t="shared" ca="1" si="102"/>
        <v/>
      </c>
      <c r="AG236" t="str">
        <f t="shared" ca="1" si="103"/>
        <v/>
      </c>
      <c r="AH236" t="str">
        <f t="shared" ca="1" si="104"/>
        <v/>
      </c>
      <c r="AI236" t="str">
        <f t="shared" ca="1" si="105"/>
        <v/>
      </c>
      <c r="AJ236" t="str">
        <f t="shared" ca="1" si="106"/>
        <v/>
      </c>
    </row>
    <row r="237" spans="15:36" ht="18.600000000000001" customHeight="1" x14ac:dyDescent="0.45">
      <c r="O237">
        <f t="shared" si="92"/>
        <v>0</v>
      </c>
      <c r="P237">
        <f t="shared" si="93"/>
        <v>0</v>
      </c>
      <c r="R237" t="str" cm="1">
        <f t="array" ref="R237">IFERROR(_xlfn.AGGREGATE(15, 6, ($O$2:$O$350)/($O$2:$O$350&lt;&gt;0), ROWS($R$2:R237)), "")</f>
        <v/>
      </c>
      <c r="S237" t="str" cm="1">
        <f t="array" ref="S237">IFERROR(_xlfn.AGGREGATE(15, 6, ($P$2:$P$350)/($P$2:$P$350&lt;&gt;0), ROWS($R$2:R237)), "")</f>
        <v/>
      </c>
      <c r="U237" t="str">
        <f t="shared" ca="1" si="97"/>
        <v/>
      </c>
      <c r="V237" t="str">
        <f t="shared" ca="1" si="98"/>
        <v/>
      </c>
      <c r="W237" t="str">
        <f t="shared" ca="1" si="99"/>
        <v/>
      </c>
      <c r="X237" t="str">
        <f t="shared" ca="1" si="100"/>
        <v/>
      </c>
      <c r="Z237" t="str">
        <f t="shared" ca="1" si="107"/>
        <v/>
      </c>
      <c r="AA237" t="str">
        <f t="shared" ca="1" si="94"/>
        <v/>
      </c>
      <c r="AB237" t="str">
        <f t="shared" ca="1" si="95"/>
        <v/>
      </c>
      <c r="AC237" t="str">
        <f t="shared" ca="1" si="96"/>
        <v/>
      </c>
      <c r="AE237" t="str">
        <f t="shared" ca="1" si="101"/>
        <v/>
      </c>
      <c r="AF237" t="str">
        <f t="shared" ca="1" si="102"/>
        <v/>
      </c>
      <c r="AG237" t="str">
        <f t="shared" ca="1" si="103"/>
        <v/>
      </c>
      <c r="AH237" t="str">
        <f t="shared" ca="1" si="104"/>
        <v/>
      </c>
      <c r="AI237" t="str">
        <f t="shared" ca="1" si="105"/>
        <v/>
      </c>
      <c r="AJ237" t="str">
        <f t="shared" ca="1" si="106"/>
        <v/>
      </c>
    </row>
    <row r="238" spans="15:36" ht="18.600000000000001" customHeight="1" x14ac:dyDescent="0.45">
      <c r="O238">
        <f t="shared" si="92"/>
        <v>0</v>
      </c>
      <c r="P238">
        <f t="shared" si="93"/>
        <v>0</v>
      </c>
      <c r="R238" t="str" cm="1">
        <f t="array" ref="R238">IFERROR(_xlfn.AGGREGATE(15, 6, ($O$2:$O$350)/($O$2:$O$350&lt;&gt;0), ROWS($R$2:R238)), "")</f>
        <v/>
      </c>
      <c r="S238" t="str" cm="1">
        <f t="array" ref="S238">IFERROR(_xlfn.AGGREGATE(15, 6, ($P$2:$P$350)/($P$2:$P$350&lt;&gt;0), ROWS($R$2:R238)), "")</f>
        <v/>
      </c>
      <c r="U238" t="str">
        <f t="shared" ca="1" si="97"/>
        <v/>
      </c>
      <c r="V238" t="str">
        <f t="shared" ca="1" si="98"/>
        <v/>
      </c>
      <c r="W238" t="str">
        <f t="shared" ca="1" si="99"/>
        <v/>
      </c>
      <c r="X238" t="str">
        <f t="shared" ca="1" si="100"/>
        <v/>
      </c>
      <c r="Z238" t="str">
        <f t="shared" ca="1" si="107"/>
        <v/>
      </c>
      <c r="AA238" t="str">
        <f t="shared" ca="1" si="94"/>
        <v/>
      </c>
      <c r="AB238" t="str">
        <f t="shared" ca="1" si="95"/>
        <v/>
      </c>
      <c r="AC238" t="str">
        <f t="shared" ca="1" si="96"/>
        <v/>
      </c>
      <c r="AE238" t="str">
        <f t="shared" ca="1" si="101"/>
        <v/>
      </c>
      <c r="AF238" t="str">
        <f t="shared" ca="1" si="102"/>
        <v/>
      </c>
      <c r="AG238" t="str">
        <f t="shared" ca="1" si="103"/>
        <v/>
      </c>
      <c r="AH238" t="str">
        <f t="shared" ca="1" si="104"/>
        <v/>
      </c>
      <c r="AI238" t="str">
        <f t="shared" ca="1" si="105"/>
        <v/>
      </c>
      <c r="AJ238" t="str">
        <f t="shared" ca="1" si="106"/>
        <v/>
      </c>
    </row>
    <row r="239" spans="15:36" ht="18.600000000000001" customHeight="1" x14ac:dyDescent="0.45">
      <c r="O239">
        <f t="shared" si="92"/>
        <v>0</v>
      </c>
      <c r="P239">
        <f t="shared" si="93"/>
        <v>0</v>
      </c>
      <c r="R239" t="str" cm="1">
        <f t="array" ref="R239">IFERROR(_xlfn.AGGREGATE(15, 6, ($O$2:$O$350)/($O$2:$O$350&lt;&gt;0), ROWS($R$2:R239)), "")</f>
        <v/>
      </c>
      <c r="S239" t="str" cm="1">
        <f t="array" ref="S239">IFERROR(_xlfn.AGGREGATE(15, 6, ($P$2:$P$350)/($P$2:$P$350&lt;&gt;0), ROWS($R$2:R239)), "")</f>
        <v/>
      </c>
      <c r="U239" t="str">
        <f t="shared" ca="1" si="97"/>
        <v/>
      </c>
      <c r="V239" t="str">
        <f t="shared" ca="1" si="98"/>
        <v/>
      </c>
      <c r="W239" t="str">
        <f t="shared" ca="1" si="99"/>
        <v/>
      </c>
      <c r="X239" t="str">
        <f t="shared" ca="1" si="100"/>
        <v/>
      </c>
      <c r="Z239" t="str">
        <f t="shared" ca="1" si="107"/>
        <v/>
      </c>
      <c r="AA239" t="str">
        <f t="shared" ca="1" si="94"/>
        <v/>
      </c>
      <c r="AB239" t="str">
        <f t="shared" ca="1" si="95"/>
        <v/>
      </c>
      <c r="AC239" t="str">
        <f t="shared" ca="1" si="96"/>
        <v/>
      </c>
      <c r="AE239" t="str">
        <f t="shared" ca="1" si="101"/>
        <v/>
      </c>
      <c r="AF239" t="str">
        <f t="shared" ca="1" si="102"/>
        <v/>
      </c>
      <c r="AG239" t="str">
        <f t="shared" ca="1" si="103"/>
        <v/>
      </c>
      <c r="AH239" t="str">
        <f t="shared" ca="1" si="104"/>
        <v/>
      </c>
      <c r="AI239" t="str">
        <f t="shared" ca="1" si="105"/>
        <v/>
      </c>
      <c r="AJ239" t="str">
        <f t="shared" ca="1" si="106"/>
        <v/>
      </c>
    </row>
    <row r="240" spans="15:36" ht="18.600000000000001" customHeight="1" x14ac:dyDescent="0.45">
      <c r="O240">
        <f t="shared" si="92"/>
        <v>0</v>
      </c>
      <c r="P240">
        <f t="shared" si="93"/>
        <v>0</v>
      </c>
      <c r="R240" t="str" cm="1">
        <f t="array" ref="R240">IFERROR(_xlfn.AGGREGATE(15, 6, ($O$2:$O$350)/($O$2:$O$350&lt;&gt;0), ROWS($R$2:R240)), "")</f>
        <v/>
      </c>
      <c r="S240" t="str" cm="1">
        <f t="array" ref="S240">IFERROR(_xlfn.AGGREGATE(15, 6, ($P$2:$P$350)/($P$2:$P$350&lt;&gt;0), ROWS($R$2:R240)), "")</f>
        <v/>
      </c>
      <c r="U240" t="str">
        <f t="shared" ca="1" si="97"/>
        <v/>
      </c>
      <c r="V240" t="str">
        <f t="shared" ca="1" si="98"/>
        <v/>
      </c>
      <c r="W240" t="str">
        <f t="shared" ca="1" si="99"/>
        <v/>
      </c>
      <c r="X240" t="str">
        <f t="shared" ca="1" si="100"/>
        <v/>
      </c>
      <c r="Z240" t="str">
        <f t="shared" ca="1" si="107"/>
        <v/>
      </c>
      <c r="AA240" t="str">
        <f t="shared" ca="1" si="94"/>
        <v/>
      </c>
      <c r="AB240" t="str">
        <f t="shared" ca="1" si="95"/>
        <v/>
      </c>
      <c r="AC240" t="str">
        <f t="shared" ca="1" si="96"/>
        <v/>
      </c>
      <c r="AE240" t="str">
        <f t="shared" ca="1" si="101"/>
        <v/>
      </c>
      <c r="AF240" t="str">
        <f t="shared" ca="1" si="102"/>
        <v/>
      </c>
      <c r="AG240" t="str">
        <f t="shared" ca="1" si="103"/>
        <v/>
      </c>
      <c r="AH240" t="str">
        <f t="shared" ca="1" si="104"/>
        <v/>
      </c>
      <c r="AI240" t="str">
        <f t="shared" ca="1" si="105"/>
        <v/>
      </c>
      <c r="AJ240" t="str">
        <f t="shared" ca="1" si="106"/>
        <v/>
      </c>
    </row>
    <row r="241" spans="15:36" ht="18.600000000000001" customHeight="1" x14ac:dyDescent="0.45">
      <c r="O241">
        <f t="shared" si="92"/>
        <v>0</v>
      </c>
      <c r="P241">
        <f t="shared" si="93"/>
        <v>0</v>
      </c>
      <c r="R241" t="str" cm="1">
        <f t="array" ref="R241">IFERROR(_xlfn.AGGREGATE(15, 6, ($O$2:$O$350)/($O$2:$O$350&lt;&gt;0), ROWS($R$2:R241)), "")</f>
        <v/>
      </c>
      <c r="S241" t="str" cm="1">
        <f t="array" ref="S241">IFERROR(_xlfn.AGGREGATE(15, 6, ($P$2:$P$350)/($P$2:$P$350&lt;&gt;0), ROWS($R$2:R241)), "")</f>
        <v/>
      </c>
      <c r="U241" t="str">
        <f t="shared" ca="1" si="97"/>
        <v/>
      </c>
      <c r="V241" t="str">
        <f t="shared" ca="1" si="98"/>
        <v/>
      </c>
      <c r="W241" t="str">
        <f t="shared" ca="1" si="99"/>
        <v/>
      </c>
      <c r="X241" t="str">
        <f t="shared" ca="1" si="100"/>
        <v/>
      </c>
      <c r="Z241" t="str">
        <f t="shared" ca="1" si="107"/>
        <v/>
      </c>
      <c r="AA241" t="str">
        <f t="shared" ca="1" si="94"/>
        <v/>
      </c>
      <c r="AB241" t="str">
        <f t="shared" ca="1" si="95"/>
        <v/>
      </c>
      <c r="AC241" t="str">
        <f t="shared" ca="1" si="96"/>
        <v/>
      </c>
      <c r="AE241" t="str">
        <f t="shared" ca="1" si="101"/>
        <v/>
      </c>
      <c r="AF241" t="str">
        <f t="shared" ca="1" si="102"/>
        <v/>
      </c>
      <c r="AG241" t="str">
        <f t="shared" ca="1" si="103"/>
        <v/>
      </c>
      <c r="AH241" t="str">
        <f t="shared" ca="1" si="104"/>
        <v/>
      </c>
      <c r="AI241" t="str">
        <f t="shared" ca="1" si="105"/>
        <v/>
      </c>
      <c r="AJ241" t="str">
        <f t="shared" ca="1" si="106"/>
        <v/>
      </c>
    </row>
    <row r="242" spans="15:36" ht="18.600000000000001" customHeight="1" x14ac:dyDescent="0.45">
      <c r="O242">
        <f t="shared" si="92"/>
        <v>0</v>
      </c>
      <c r="P242">
        <f t="shared" si="93"/>
        <v>0</v>
      </c>
      <c r="R242" t="str" cm="1">
        <f t="array" ref="R242">IFERROR(_xlfn.AGGREGATE(15, 6, ($O$2:$O$350)/($O$2:$O$350&lt;&gt;0), ROWS($R$2:R242)), "")</f>
        <v/>
      </c>
      <c r="S242" t="str" cm="1">
        <f t="array" ref="S242">IFERROR(_xlfn.AGGREGATE(15, 6, ($P$2:$P$350)/($P$2:$P$350&lt;&gt;0), ROWS($R$2:R242)), "")</f>
        <v/>
      </c>
      <c r="U242" t="str">
        <f t="shared" ca="1" si="97"/>
        <v/>
      </c>
      <c r="V242" t="str">
        <f t="shared" ca="1" si="98"/>
        <v/>
      </c>
      <c r="W242" t="str">
        <f t="shared" ca="1" si="99"/>
        <v/>
      </c>
      <c r="X242" t="str">
        <f t="shared" ca="1" si="100"/>
        <v/>
      </c>
      <c r="Z242" t="str">
        <f t="shared" ca="1" si="107"/>
        <v/>
      </c>
      <c r="AA242" t="str">
        <f t="shared" ca="1" si="94"/>
        <v/>
      </c>
      <c r="AB242" t="str">
        <f t="shared" ca="1" si="95"/>
        <v/>
      </c>
      <c r="AC242" t="str">
        <f t="shared" ca="1" si="96"/>
        <v/>
      </c>
      <c r="AE242" t="str">
        <f t="shared" ca="1" si="101"/>
        <v/>
      </c>
      <c r="AF242" t="str">
        <f t="shared" ca="1" si="102"/>
        <v/>
      </c>
      <c r="AG242" t="str">
        <f t="shared" ca="1" si="103"/>
        <v/>
      </c>
      <c r="AH242" t="str">
        <f t="shared" ca="1" si="104"/>
        <v/>
      </c>
      <c r="AI242" t="str">
        <f t="shared" ca="1" si="105"/>
        <v/>
      </c>
      <c r="AJ242" t="str">
        <f t="shared" ca="1" si="106"/>
        <v/>
      </c>
    </row>
    <row r="243" spans="15:36" ht="18.600000000000001" customHeight="1" x14ac:dyDescent="0.45">
      <c r="O243">
        <f t="shared" si="92"/>
        <v>0</v>
      </c>
      <c r="P243">
        <f t="shared" si="93"/>
        <v>0</v>
      </c>
      <c r="R243" t="str" cm="1">
        <f t="array" ref="R243">IFERROR(_xlfn.AGGREGATE(15, 6, ($O$2:$O$350)/($O$2:$O$350&lt;&gt;0), ROWS($R$2:R243)), "")</f>
        <v/>
      </c>
      <c r="S243" t="str" cm="1">
        <f t="array" ref="S243">IFERROR(_xlfn.AGGREGATE(15, 6, ($P$2:$P$350)/($P$2:$P$350&lt;&gt;0), ROWS($R$2:R243)), "")</f>
        <v/>
      </c>
      <c r="U243" t="str">
        <f t="shared" ca="1" si="97"/>
        <v/>
      </c>
      <c r="V243" t="str">
        <f t="shared" ca="1" si="98"/>
        <v/>
      </c>
      <c r="W243" t="str">
        <f t="shared" ca="1" si="99"/>
        <v/>
      </c>
      <c r="X243" t="str">
        <f t="shared" ca="1" si="100"/>
        <v/>
      </c>
      <c r="Z243" t="str">
        <f t="shared" ca="1" si="107"/>
        <v/>
      </c>
      <c r="AA243" t="str">
        <f t="shared" ca="1" si="94"/>
        <v/>
      </c>
      <c r="AB243" t="str">
        <f t="shared" ca="1" si="95"/>
        <v/>
      </c>
      <c r="AC243" t="str">
        <f t="shared" ca="1" si="96"/>
        <v/>
      </c>
      <c r="AE243" t="str">
        <f t="shared" ca="1" si="101"/>
        <v/>
      </c>
      <c r="AF243" t="str">
        <f t="shared" ca="1" si="102"/>
        <v/>
      </c>
      <c r="AG243" t="str">
        <f t="shared" ca="1" si="103"/>
        <v/>
      </c>
      <c r="AH243" t="str">
        <f t="shared" ca="1" si="104"/>
        <v/>
      </c>
      <c r="AI243" t="str">
        <f t="shared" ca="1" si="105"/>
        <v/>
      </c>
      <c r="AJ243" t="str">
        <f t="shared" ca="1" si="106"/>
        <v/>
      </c>
    </row>
    <row r="244" spans="15:36" ht="18.600000000000001" customHeight="1" x14ac:dyDescent="0.45">
      <c r="O244">
        <f t="shared" si="92"/>
        <v>0</v>
      </c>
      <c r="P244">
        <f t="shared" si="93"/>
        <v>0</v>
      </c>
      <c r="R244" t="str" cm="1">
        <f t="array" ref="R244">IFERROR(_xlfn.AGGREGATE(15, 6, ($O$2:$O$350)/($O$2:$O$350&lt;&gt;0), ROWS($R$2:R244)), "")</f>
        <v/>
      </c>
      <c r="S244" t="str" cm="1">
        <f t="array" ref="S244">IFERROR(_xlfn.AGGREGATE(15, 6, ($P$2:$P$350)/($P$2:$P$350&lt;&gt;0), ROWS($R$2:R244)), "")</f>
        <v/>
      </c>
      <c r="U244" t="str">
        <f t="shared" ca="1" si="97"/>
        <v/>
      </c>
      <c r="V244" t="str">
        <f t="shared" ca="1" si="98"/>
        <v/>
      </c>
      <c r="W244" t="str">
        <f t="shared" ca="1" si="99"/>
        <v/>
      </c>
      <c r="X244" t="str">
        <f t="shared" ca="1" si="100"/>
        <v/>
      </c>
      <c r="Z244" t="str">
        <f t="shared" ca="1" si="107"/>
        <v/>
      </c>
      <c r="AA244" t="str">
        <f t="shared" ca="1" si="94"/>
        <v/>
      </c>
      <c r="AB244" t="str">
        <f t="shared" ca="1" si="95"/>
        <v/>
      </c>
      <c r="AC244" t="str">
        <f t="shared" ca="1" si="96"/>
        <v/>
      </c>
      <c r="AE244" t="str">
        <f t="shared" ca="1" si="101"/>
        <v/>
      </c>
      <c r="AF244" t="str">
        <f t="shared" ca="1" si="102"/>
        <v/>
      </c>
      <c r="AG244" t="str">
        <f t="shared" ca="1" si="103"/>
        <v/>
      </c>
      <c r="AH244" t="str">
        <f t="shared" ca="1" si="104"/>
        <v/>
      </c>
      <c r="AI244" t="str">
        <f t="shared" ca="1" si="105"/>
        <v/>
      </c>
      <c r="AJ244" t="str">
        <f t="shared" ca="1" si="106"/>
        <v/>
      </c>
    </row>
    <row r="245" spans="15:36" ht="18.600000000000001" customHeight="1" x14ac:dyDescent="0.45">
      <c r="O245">
        <f t="shared" si="92"/>
        <v>0</v>
      </c>
      <c r="P245">
        <f t="shared" si="93"/>
        <v>0</v>
      </c>
      <c r="R245" t="str" cm="1">
        <f t="array" ref="R245">IFERROR(_xlfn.AGGREGATE(15, 6, ($O$2:$O$350)/($O$2:$O$350&lt;&gt;0), ROWS($R$2:R245)), "")</f>
        <v/>
      </c>
      <c r="S245" t="str" cm="1">
        <f t="array" ref="S245">IFERROR(_xlfn.AGGREGATE(15, 6, ($P$2:$P$350)/($P$2:$P$350&lt;&gt;0), ROWS($R$2:R245)), "")</f>
        <v/>
      </c>
      <c r="U245" t="str">
        <f t="shared" ca="1" si="97"/>
        <v/>
      </c>
      <c r="V245" t="str">
        <f t="shared" ca="1" si="98"/>
        <v/>
      </c>
      <c r="W245" t="str">
        <f t="shared" ca="1" si="99"/>
        <v/>
      </c>
      <c r="X245" t="str">
        <f t="shared" ca="1" si="100"/>
        <v/>
      </c>
      <c r="Z245" t="str">
        <f t="shared" ca="1" si="107"/>
        <v/>
      </c>
      <c r="AA245" t="str">
        <f t="shared" ca="1" si="94"/>
        <v/>
      </c>
      <c r="AB245" t="str">
        <f t="shared" ca="1" si="95"/>
        <v/>
      </c>
      <c r="AC245" t="str">
        <f t="shared" ca="1" si="96"/>
        <v/>
      </c>
      <c r="AE245" t="str">
        <f t="shared" ca="1" si="101"/>
        <v/>
      </c>
      <c r="AF245" t="str">
        <f t="shared" ca="1" si="102"/>
        <v/>
      </c>
      <c r="AG245" t="str">
        <f t="shared" ca="1" si="103"/>
        <v/>
      </c>
      <c r="AH245" t="str">
        <f t="shared" ca="1" si="104"/>
        <v/>
      </c>
      <c r="AI245" t="str">
        <f t="shared" ca="1" si="105"/>
        <v/>
      </c>
      <c r="AJ245" t="str">
        <f t="shared" ca="1" si="106"/>
        <v/>
      </c>
    </row>
    <row r="246" spans="15:36" ht="18.600000000000001" customHeight="1" x14ac:dyDescent="0.45">
      <c r="O246">
        <f t="shared" si="92"/>
        <v>0</v>
      </c>
      <c r="P246">
        <f t="shared" si="93"/>
        <v>0</v>
      </c>
      <c r="R246" t="str" cm="1">
        <f t="array" ref="R246">IFERROR(_xlfn.AGGREGATE(15, 6, ($O$2:$O$350)/($O$2:$O$350&lt;&gt;0), ROWS($R$2:R246)), "")</f>
        <v/>
      </c>
      <c r="S246" t="str" cm="1">
        <f t="array" ref="S246">IFERROR(_xlfn.AGGREGATE(15, 6, ($P$2:$P$350)/($P$2:$P$350&lt;&gt;0), ROWS($R$2:R246)), "")</f>
        <v/>
      </c>
      <c r="U246" t="str">
        <f t="shared" ca="1" si="97"/>
        <v/>
      </c>
      <c r="V246" t="str">
        <f t="shared" ca="1" si="98"/>
        <v/>
      </c>
      <c r="W246" t="str">
        <f t="shared" ca="1" si="99"/>
        <v/>
      </c>
      <c r="X246" t="str">
        <f t="shared" ca="1" si="100"/>
        <v/>
      </c>
      <c r="Z246" t="str">
        <f t="shared" ca="1" si="107"/>
        <v/>
      </c>
      <c r="AA246" t="str">
        <f t="shared" ca="1" si="94"/>
        <v/>
      </c>
      <c r="AB246" t="str">
        <f t="shared" ca="1" si="95"/>
        <v/>
      </c>
      <c r="AC246" t="str">
        <f t="shared" ca="1" si="96"/>
        <v/>
      </c>
      <c r="AE246" t="str">
        <f t="shared" ca="1" si="101"/>
        <v/>
      </c>
      <c r="AF246" t="str">
        <f t="shared" ca="1" si="102"/>
        <v/>
      </c>
      <c r="AG246" t="str">
        <f t="shared" ca="1" si="103"/>
        <v/>
      </c>
      <c r="AH246" t="str">
        <f t="shared" ca="1" si="104"/>
        <v/>
      </c>
      <c r="AI246" t="str">
        <f t="shared" ca="1" si="105"/>
        <v/>
      </c>
      <c r="AJ246" t="str">
        <f t="shared" ca="1" si="106"/>
        <v/>
      </c>
    </row>
    <row r="247" spans="15:36" ht="18.600000000000001" customHeight="1" x14ac:dyDescent="0.45">
      <c r="O247">
        <f t="shared" si="92"/>
        <v>0</v>
      </c>
      <c r="P247">
        <f t="shared" si="93"/>
        <v>0</v>
      </c>
      <c r="R247" t="str" cm="1">
        <f t="array" ref="R247">IFERROR(_xlfn.AGGREGATE(15, 6, ($O$2:$O$350)/($O$2:$O$350&lt;&gt;0), ROWS($R$2:R247)), "")</f>
        <v/>
      </c>
      <c r="S247" t="str" cm="1">
        <f t="array" ref="S247">IFERROR(_xlfn.AGGREGATE(15, 6, ($P$2:$P$350)/($P$2:$P$350&lt;&gt;0), ROWS($R$2:R247)), "")</f>
        <v/>
      </c>
      <c r="U247" t="str">
        <f t="shared" ca="1" si="97"/>
        <v/>
      </c>
      <c r="V247" t="str">
        <f t="shared" ca="1" si="98"/>
        <v/>
      </c>
      <c r="W247" t="str">
        <f t="shared" ca="1" si="99"/>
        <v/>
      </c>
      <c r="X247" t="str">
        <f t="shared" ca="1" si="100"/>
        <v/>
      </c>
      <c r="Z247" t="str">
        <f t="shared" ca="1" si="107"/>
        <v/>
      </c>
      <c r="AA247" t="str">
        <f t="shared" ca="1" si="94"/>
        <v/>
      </c>
      <c r="AB247" t="str">
        <f t="shared" ca="1" si="95"/>
        <v/>
      </c>
      <c r="AC247" t="str">
        <f t="shared" ca="1" si="96"/>
        <v/>
      </c>
      <c r="AE247" t="str">
        <f t="shared" ca="1" si="101"/>
        <v/>
      </c>
      <c r="AF247" t="str">
        <f t="shared" ca="1" si="102"/>
        <v/>
      </c>
      <c r="AG247" t="str">
        <f t="shared" ca="1" si="103"/>
        <v/>
      </c>
      <c r="AH247" t="str">
        <f t="shared" ca="1" si="104"/>
        <v/>
      </c>
      <c r="AI247" t="str">
        <f t="shared" ca="1" si="105"/>
        <v/>
      </c>
      <c r="AJ247" t="str">
        <f t="shared" ca="1" si="106"/>
        <v/>
      </c>
    </row>
    <row r="248" spans="15:36" ht="18.600000000000001" customHeight="1" x14ac:dyDescent="0.45">
      <c r="O248">
        <f t="shared" si="92"/>
        <v>0</v>
      </c>
      <c r="P248">
        <f t="shared" si="93"/>
        <v>0</v>
      </c>
      <c r="R248" t="str" cm="1">
        <f t="array" ref="R248">IFERROR(_xlfn.AGGREGATE(15, 6, ($O$2:$O$350)/($O$2:$O$350&lt;&gt;0), ROWS($R$2:R248)), "")</f>
        <v/>
      </c>
      <c r="S248" t="str" cm="1">
        <f t="array" ref="S248">IFERROR(_xlfn.AGGREGATE(15, 6, ($P$2:$P$350)/($P$2:$P$350&lt;&gt;0), ROWS($R$2:R248)), "")</f>
        <v/>
      </c>
      <c r="U248" t="str">
        <f t="shared" ca="1" si="97"/>
        <v/>
      </c>
      <c r="V248" t="str">
        <f t="shared" ca="1" si="98"/>
        <v/>
      </c>
      <c r="W248" t="str">
        <f t="shared" ca="1" si="99"/>
        <v/>
      </c>
      <c r="X248" t="str">
        <f t="shared" ca="1" si="100"/>
        <v/>
      </c>
      <c r="Z248" t="str">
        <f t="shared" ca="1" si="107"/>
        <v/>
      </c>
      <c r="AA248" t="str">
        <f t="shared" ca="1" si="94"/>
        <v/>
      </c>
      <c r="AB248" t="str">
        <f t="shared" ca="1" si="95"/>
        <v/>
      </c>
      <c r="AC248" t="str">
        <f t="shared" ca="1" si="96"/>
        <v/>
      </c>
      <c r="AE248" t="str">
        <f t="shared" ca="1" si="101"/>
        <v/>
      </c>
      <c r="AF248" t="str">
        <f t="shared" ca="1" si="102"/>
        <v/>
      </c>
      <c r="AG248" t="str">
        <f t="shared" ca="1" si="103"/>
        <v/>
      </c>
      <c r="AH248" t="str">
        <f t="shared" ca="1" si="104"/>
        <v/>
      </c>
      <c r="AI248" t="str">
        <f t="shared" ca="1" si="105"/>
        <v/>
      </c>
      <c r="AJ248" t="str">
        <f t="shared" ca="1" si="106"/>
        <v/>
      </c>
    </row>
    <row r="249" spans="15:36" ht="18.600000000000001" customHeight="1" x14ac:dyDescent="0.45">
      <c r="O249">
        <f t="shared" si="92"/>
        <v>0</v>
      </c>
      <c r="P249">
        <f t="shared" si="93"/>
        <v>0</v>
      </c>
      <c r="R249" t="str" cm="1">
        <f t="array" ref="R249">IFERROR(_xlfn.AGGREGATE(15, 6, ($O$2:$O$350)/($O$2:$O$350&lt;&gt;0), ROWS($R$2:R249)), "")</f>
        <v/>
      </c>
      <c r="S249" t="str" cm="1">
        <f t="array" ref="S249">IFERROR(_xlfn.AGGREGATE(15, 6, ($P$2:$P$350)/($P$2:$P$350&lt;&gt;0), ROWS($R$2:R249)), "")</f>
        <v/>
      </c>
      <c r="U249" t="str">
        <f t="shared" ca="1" si="97"/>
        <v/>
      </c>
      <c r="V249" t="str">
        <f t="shared" ca="1" si="98"/>
        <v/>
      </c>
      <c r="W249" t="str">
        <f t="shared" ca="1" si="99"/>
        <v/>
      </c>
      <c r="X249" t="str">
        <f t="shared" ca="1" si="100"/>
        <v/>
      </c>
      <c r="Z249" t="str">
        <f t="shared" ca="1" si="107"/>
        <v/>
      </c>
      <c r="AA249" t="str">
        <f t="shared" ca="1" si="94"/>
        <v/>
      </c>
      <c r="AB249" t="str">
        <f t="shared" ca="1" si="95"/>
        <v/>
      </c>
      <c r="AC249" t="str">
        <f t="shared" ca="1" si="96"/>
        <v/>
      </c>
      <c r="AE249" t="str">
        <f t="shared" ca="1" si="101"/>
        <v/>
      </c>
      <c r="AF249" t="str">
        <f t="shared" ca="1" si="102"/>
        <v/>
      </c>
      <c r="AG249" t="str">
        <f t="shared" ca="1" si="103"/>
        <v/>
      </c>
      <c r="AH249" t="str">
        <f t="shared" ca="1" si="104"/>
        <v/>
      </c>
      <c r="AI249" t="str">
        <f t="shared" ca="1" si="105"/>
        <v/>
      </c>
      <c r="AJ249" t="str">
        <f t="shared" ca="1" si="106"/>
        <v/>
      </c>
    </row>
    <row r="250" spans="15:36" ht="18.600000000000001" customHeight="1" x14ac:dyDescent="0.45">
      <c r="O250">
        <f t="shared" si="92"/>
        <v>0</v>
      </c>
      <c r="P250">
        <f t="shared" si="93"/>
        <v>0</v>
      </c>
      <c r="R250" t="str" cm="1">
        <f t="array" ref="R250">IFERROR(_xlfn.AGGREGATE(15, 6, ($O$2:$O$350)/($O$2:$O$350&lt;&gt;0), ROWS($R$2:R250)), "")</f>
        <v/>
      </c>
      <c r="S250" t="str" cm="1">
        <f t="array" ref="S250">IFERROR(_xlfn.AGGREGATE(15, 6, ($P$2:$P$350)/($P$2:$P$350&lt;&gt;0), ROWS($R$2:R250)), "")</f>
        <v/>
      </c>
      <c r="U250" t="str">
        <f t="shared" ca="1" si="97"/>
        <v/>
      </c>
      <c r="V250" t="str">
        <f t="shared" ca="1" si="98"/>
        <v/>
      </c>
      <c r="W250" t="str">
        <f t="shared" ca="1" si="99"/>
        <v/>
      </c>
      <c r="X250" t="str">
        <f t="shared" ca="1" si="100"/>
        <v/>
      </c>
      <c r="Z250" t="str">
        <f t="shared" ca="1" si="107"/>
        <v/>
      </c>
      <c r="AA250" t="str">
        <f t="shared" ca="1" si="94"/>
        <v/>
      </c>
      <c r="AB250" t="str">
        <f t="shared" ca="1" si="95"/>
        <v/>
      </c>
      <c r="AC250" t="str">
        <f t="shared" ca="1" si="96"/>
        <v/>
      </c>
      <c r="AE250" t="str">
        <f t="shared" ca="1" si="101"/>
        <v/>
      </c>
      <c r="AF250" t="str">
        <f t="shared" ca="1" si="102"/>
        <v/>
      </c>
      <c r="AG250" t="str">
        <f t="shared" ca="1" si="103"/>
        <v/>
      </c>
      <c r="AH250" t="str">
        <f t="shared" ca="1" si="104"/>
        <v/>
      </c>
      <c r="AI250" t="str">
        <f t="shared" ca="1" si="105"/>
        <v/>
      </c>
      <c r="AJ250" t="str">
        <f t="shared" ca="1" si="106"/>
        <v/>
      </c>
    </row>
    <row r="251" spans="15:36" ht="18.600000000000001" customHeight="1" x14ac:dyDescent="0.45">
      <c r="O251">
        <f t="shared" si="92"/>
        <v>0</v>
      </c>
      <c r="P251">
        <f t="shared" si="93"/>
        <v>0</v>
      </c>
      <c r="R251" t="str" cm="1">
        <f t="array" ref="R251">IFERROR(_xlfn.AGGREGATE(15, 6, ($O$2:$O$350)/($O$2:$O$350&lt;&gt;0), ROWS($R$2:R251)), "")</f>
        <v/>
      </c>
      <c r="S251" t="str" cm="1">
        <f t="array" ref="S251">IFERROR(_xlfn.AGGREGATE(15, 6, ($P$2:$P$350)/($P$2:$P$350&lt;&gt;0), ROWS($R$2:R251)), "")</f>
        <v/>
      </c>
      <c r="U251" t="str">
        <f t="shared" ca="1" si="97"/>
        <v/>
      </c>
      <c r="V251" t="str">
        <f t="shared" ca="1" si="98"/>
        <v/>
      </c>
      <c r="W251" t="str">
        <f t="shared" ca="1" si="99"/>
        <v/>
      </c>
      <c r="X251" t="str">
        <f t="shared" ca="1" si="100"/>
        <v/>
      </c>
      <c r="Z251" t="str">
        <f t="shared" ca="1" si="107"/>
        <v/>
      </c>
      <c r="AA251" t="str">
        <f t="shared" ca="1" si="94"/>
        <v/>
      </c>
      <c r="AB251" t="str">
        <f t="shared" ca="1" si="95"/>
        <v/>
      </c>
      <c r="AC251" t="str">
        <f t="shared" ca="1" si="96"/>
        <v/>
      </c>
      <c r="AE251" t="str">
        <f t="shared" ca="1" si="101"/>
        <v/>
      </c>
      <c r="AF251" t="str">
        <f t="shared" ca="1" si="102"/>
        <v/>
      </c>
      <c r="AG251" t="str">
        <f t="shared" ca="1" si="103"/>
        <v/>
      </c>
      <c r="AH251" t="str">
        <f t="shared" ca="1" si="104"/>
        <v/>
      </c>
      <c r="AI251" t="str">
        <f t="shared" ca="1" si="105"/>
        <v/>
      </c>
      <c r="AJ251" t="str">
        <f t="shared" ca="1" si="106"/>
        <v/>
      </c>
    </row>
    <row r="252" spans="15:36" ht="18.600000000000001" customHeight="1" x14ac:dyDescent="0.45">
      <c r="O252">
        <f t="shared" si="92"/>
        <v>0</v>
      </c>
      <c r="P252">
        <f t="shared" si="93"/>
        <v>0</v>
      </c>
      <c r="R252" t="str" cm="1">
        <f t="array" ref="R252">IFERROR(_xlfn.AGGREGATE(15, 6, ($O$2:$O$350)/($O$2:$O$350&lt;&gt;0), ROWS($R$2:R252)), "")</f>
        <v/>
      </c>
      <c r="S252" t="str" cm="1">
        <f t="array" ref="S252">IFERROR(_xlfn.AGGREGATE(15, 6, ($P$2:$P$350)/($P$2:$P$350&lt;&gt;0), ROWS($R$2:R252)), "")</f>
        <v/>
      </c>
      <c r="U252" t="str">
        <f t="shared" ca="1" si="97"/>
        <v/>
      </c>
      <c r="V252" t="str">
        <f t="shared" ca="1" si="98"/>
        <v/>
      </c>
      <c r="W252" t="str">
        <f t="shared" ca="1" si="99"/>
        <v/>
      </c>
      <c r="X252" t="str">
        <f t="shared" ca="1" si="100"/>
        <v/>
      </c>
      <c r="Z252" t="str">
        <f t="shared" ca="1" si="107"/>
        <v/>
      </c>
      <c r="AA252" t="str">
        <f t="shared" ca="1" si="94"/>
        <v/>
      </c>
      <c r="AB252" t="str">
        <f t="shared" ca="1" si="95"/>
        <v/>
      </c>
      <c r="AC252" t="str">
        <f t="shared" ca="1" si="96"/>
        <v/>
      </c>
      <c r="AE252" t="str">
        <f t="shared" ca="1" si="101"/>
        <v/>
      </c>
      <c r="AF252" t="str">
        <f t="shared" ca="1" si="102"/>
        <v/>
      </c>
      <c r="AG252" t="str">
        <f t="shared" ca="1" si="103"/>
        <v/>
      </c>
      <c r="AH252" t="str">
        <f t="shared" ca="1" si="104"/>
        <v/>
      </c>
      <c r="AI252" t="str">
        <f t="shared" ca="1" si="105"/>
        <v/>
      </c>
      <c r="AJ252" t="str">
        <f t="shared" ca="1" si="106"/>
        <v/>
      </c>
    </row>
    <row r="253" spans="15:36" ht="18.600000000000001" customHeight="1" x14ac:dyDescent="0.45">
      <c r="O253">
        <f t="shared" si="92"/>
        <v>0</v>
      </c>
      <c r="P253">
        <f t="shared" si="93"/>
        <v>0</v>
      </c>
      <c r="R253" t="str" cm="1">
        <f t="array" ref="R253">IFERROR(_xlfn.AGGREGATE(15, 6, ($O$2:$O$350)/($O$2:$O$350&lt;&gt;0), ROWS($R$2:R253)), "")</f>
        <v/>
      </c>
      <c r="S253" t="str" cm="1">
        <f t="array" ref="S253">IFERROR(_xlfn.AGGREGATE(15, 6, ($P$2:$P$350)/($P$2:$P$350&lt;&gt;0), ROWS($R$2:R253)), "")</f>
        <v/>
      </c>
      <c r="U253" t="str">
        <f t="shared" ca="1" si="97"/>
        <v/>
      </c>
      <c r="V253" t="str">
        <f t="shared" ca="1" si="98"/>
        <v/>
      </c>
      <c r="W253" t="str">
        <f t="shared" ca="1" si="99"/>
        <v/>
      </c>
      <c r="X253" t="str">
        <f t="shared" ca="1" si="100"/>
        <v/>
      </c>
      <c r="Z253" t="str">
        <f t="shared" ca="1" si="107"/>
        <v/>
      </c>
      <c r="AA253" t="str">
        <f t="shared" ca="1" si="94"/>
        <v/>
      </c>
      <c r="AB253" t="str">
        <f t="shared" ca="1" si="95"/>
        <v/>
      </c>
      <c r="AC253" t="str">
        <f t="shared" ca="1" si="96"/>
        <v/>
      </c>
      <c r="AE253" t="str">
        <f t="shared" ca="1" si="101"/>
        <v/>
      </c>
      <c r="AF253" t="str">
        <f t="shared" ca="1" si="102"/>
        <v/>
      </c>
      <c r="AG253" t="str">
        <f t="shared" ca="1" si="103"/>
        <v/>
      </c>
      <c r="AH253" t="str">
        <f t="shared" ca="1" si="104"/>
        <v/>
      </c>
      <c r="AI253" t="str">
        <f t="shared" ca="1" si="105"/>
        <v/>
      </c>
      <c r="AJ253" t="str">
        <f t="shared" ca="1" si="106"/>
        <v/>
      </c>
    </row>
    <row r="254" spans="15:36" ht="18.600000000000001" customHeight="1" x14ac:dyDescent="0.45">
      <c r="O254">
        <f t="shared" si="92"/>
        <v>0</v>
      </c>
      <c r="P254">
        <f t="shared" si="93"/>
        <v>0</v>
      </c>
      <c r="R254" t="str" cm="1">
        <f t="array" ref="R254">IFERROR(_xlfn.AGGREGATE(15, 6, ($O$2:$O$350)/($O$2:$O$350&lt;&gt;0), ROWS($R$2:R254)), "")</f>
        <v/>
      </c>
      <c r="S254" t="str" cm="1">
        <f t="array" ref="S254">IFERROR(_xlfn.AGGREGATE(15, 6, ($P$2:$P$350)/($P$2:$P$350&lt;&gt;0), ROWS($R$2:R254)), "")</f>
        <v/>
      </c>
      <c r="U254" t="str">
        <f t="shared" ca="1" si="97"/>
        <v/>
      </c>
      <c r="V254" t="str">
        <f t="shared" ca="1" si="98"/>
        <v/>
      </c>
      <c r="W254" t="str">
        <f t="shared" ca="1" si="99"/>
        <v/>
      </c>
      <c r="X254" t="str">
        <f t="shared" ca="1" si="100"/>
        <v/>
      </c>
      <c r="Z254" t="str">
        <f t="shared" ca="1" si="107"/>
        <v/>
      </c>
      <c r="AA254" t="str">
        <f t="shared" ca="1" si="94"/>
        <v/>
      </c>
      <c r="AB254" t="str">
        <f t="shared" ca="1" si="95"/>
        <v/>
      </c>
      <c r="AC254" t="str">
        <f t="shared" ca="1" si="96"/>
        <v/>
      </c>
      <c r="AE254" t="str">
        <f t="shared" ca="1" si="101"/>
        <v/>
      </c>
      <c r="AF254" t="str">
        <f t="shared" ca="1" si="102"/>
        <v/>
      </c>
      <c r="AG254" t="str">
        <f t="shared" ca="1" si="103"/>
        <v/>
      </c>
      <c r="AH254" t="str">
        <f t="shared" ca="1" si="104"/>
        <v/>
      </c>
      <c r="AI254" t="str">
        <f t="shared" ca="1" si="105"/>
        <v/>
      </c>
      <c r="AJ254" t="str">
        <f t="shared" ca="1" si="106"/>
        <v/>
      </c>
    </row>
    <row r="255" spans="15:36" ht="18.600000000000001" customHeight="1" x14ac:dyDescent="0.45">
      <c r="O255">
        <f t="shared" si="92"/>
        <v>0</v>
      </c>
      <c r="P255">
        <f t="shared" si="93"/>
        <v>0</v>
      </c>
      <c r="R255" t="str" cm="1">
        <f t="array" ref="R255">IFERROR(_xlfn.AGGREGATE(15, 6, ($O$2:$O$350)/($O$2:$O$350&lt;&gt;0), ROWS($R$2:R255)), "")</f>
        <v/>
      </c>
      <c r="S255" t="str" cm="1">
        <f t="array" ref="S255">IFERROR(_xlfn.AGGREGATE(15, 6, ($P$2:$P$350)/($P$2:$P$350&lt;&gt;0), ROWS($R$2:R255)), "")</f>
        <v/>
      </c>
      <c r="U255" t="str">
        <f t="shared" ca="1" si="97"/>
        <v/>
      </c>
      <c r="V255" t="str">
        <f t="shared" ca="1" si="98"/>
        <v/>
      </c>
      <c r="W255" t="str">
        <f t="shared" ca="1" si="99"/>
        <v/>
      </c>
      <c r="X255" t="str">
        <f t="shared" ca="1" si="100"/>
        <v/>
      </c>
      <c r="Z255" t="str">
        <f t="shared" ca="1" si="107"/>
        <v/>
      </c>
      <c r="AA255" t="str">
        <f t="shared" ca="1" si="94"/>
        <v/>
      </c>
      <c r="AB255" t="str">
        <f t="shared" ca="1" si="95"/>
        <v/>
      </c>
      <c r="AC255" t="str">
        <f t="shared" ca="1" si="96"/>
        <v/>
      </c>
      <c r="AE255" t="str">
        <f t="shared" ca="1" si="101"/>
        <v/>
      </c>
      <c r="AF255" t="str">
        <f t="shared" ca="1" si="102"/>
        <v/>
      </c>
      <c r="AG255" t="str">
        <f t="shared" ca="1" si="103"/>
        <v/>
      </c>
      <c r="AH255" t="str">
        <f t="shared" ca="1" si="104"/>
        <v/>
      </c>
      <c r="AI255" t="str">
        <f t="shared" ca="1" si="105"/>
        <v/>
      </c>
      <c r="AJ255" t="str">
        <f t="shared" ca="1" si="106"/>
        <v/>
      </c>
    </row>
    <row r="256" spans="15:36" ht="18.600000000000001" customHeight="1" x14ac:dyDescent="0.45">
      <c r="O256">
        <f t="shared" si="92"/>
        <v>0</v>
      </c>
      <c r="P256">
        <f t="shared" si="93"/>
        <v>0</v>
      </c>
      <c r="R256" t="str" cm="1">
        <f t="array" ref="R256">IFERROR(_xlfn.AGGREGATE(15, 6, ($O$2:$O$350)/($O$2:$O$350&lt;&gt;0), ROWS($R$2:R256)), "")</f>
        <v/>
      </c>
      <c r="S256" t="str" cm="1">
        <f t="array" ref="S256">IFERROR(_xlfn.AGGREGATE(15, 6, ($P$2:$P$350)/($P$2:$P$350&lt;&gt;0), ROWS($R$2:R256)), "")</f>
        <v/>
      </c>
      <c r="U256" t="str">
        <f t="shared" ca="1" si="97"/>
        <v/>
      </c>
      <c r="V256" t="str">
        <f t="shared" ca="1" si="98"/>
        <v/>
      </c>
      <c r="W256" t="str">
        <f t="shared" ca="1" si="99"/>
        <v/>
      </c>
      <c r="X256" t="str">
        <f t="shared" ca="1" si="100"/>
        <v/>
      </c>
      <c r="Z256" t="str">
        <f t="shared" ca="1" si="107"/>
        <v/>
      </c>
      <c r="AA256" t="str">
        <f t="shared" ca="1" si="94"/>
        <v/>
      </c>
      <c r="AB256" t="str">
        <f t="shared" ca="1" si="95"/>
        <v/>
      </c>
      <c r="AC256" t="str">
        <f t="shared" ca="1" si="96"/>
        <v/>
      </c>
      <c r="AE256" t="str">
        <f t="shared" ca="1" si="101"/>
        <v/>
      </c>
      <c r="AF256" t="str">
        <f t="shared" ca="1" si="102"/>
        <v/>
      </c>
      <c r="AG256" t="str">
        <f t="shared" ca="1" si="103"/>
        <v/>
      </c>
      <c r="AH256" t="str">
        <f t="shared" ca="1" si="104"/>
        <v/>
      </c>
      <c r="AI256" t="str">
        <f t="shared" ca="1" si="105"/>
        <v/>
      </c>
      <c r="AJ256" t="str">
        <f t="shared" ca="1" si="106"/>
        <v/>
      </c>
    </row>
    <row r="257" spans="15:36" ht="18.600000000000001" customHeight="1" x14ac:dyDescent="0.45">
      <c r="O257">
        <f t="shared" si="92"/>
        <v>0</v>
      </c>
      <c r="P257">
        <f t="shared" si="93"/>
        <v>0</v>
      </c>
      <c r="R257" t="str" cm="1">
        <f t="array" ref="R257">IFERROR(_xlfn.AGGREGATE(15, 6, ($O$2:$O$350)/($O$2:$O$350&lt;&gt;0), ROWS($R$2:R257)), "")</f>
        <v/>
      </c>
      <c r="S257" t="str" cm="1">
        <f t="array" ref="S257">IFERROR(_xlfn.AGGREGATE(15, 6, ($P$2:$P$350)/($P$2:$P$350&lt;&gt;0), ROWS($R$2:R257)), "")</f>
        <v/>
      </c>
      <c r="U257" t="str">
        <f t="shared" ca="1" si="97"/>
        <v/>
      </c>
      <c r="V257" t="str">
        <f t="shared" ca="1" si="98"/>
        <v/>
      </c>
      <c r="W257" t="str">
        <f t="shared" ca="1" si="99"/>
        <v/>
      </c>
      <c r="X257" t="str">
        <f t="shared" ca="1" si="100"/>
        <v/>
      </c>
      <c r="Z257" t="str">
        <f t="shared" ca="1" si="107"/>
        <v/>
      </c>
      <c r="AA257" t="str">
        <f t="shared" ca="1" si="94"/>
        <v/>
      </c>
      <c r="AB257" t="str">
        <f t="shared" ca="1" si="95"/>
        <v/>
      </c>
      <c r="AC257" t="str">
        <f t="shared" ca="1" si="96"/>
        <v/>
      </c>
      <c r="AE257" t="str">
        <f t="shared" ca="1" si="101"/>
        <v/>
      </c>
      <c r="AF257" t="str">
        <f t="shared" ca="1" si="102"/>
        <v/>
      </c>
      <c r="AG257" t="str">
        <f t="shared" ca="1" si="103"/>
        <v/>
      </c>
      <c r="AH257" t="str">
        <f t="shared" ca="1" si="104"/>
        <v/>
      </c>
      <c r="AI257" t="str">
        <f t="shared" ca="1" si="105"/>
        <v/>
      </c>
      <c r="AJ257" t="str">
        <f t="shared" ca="1" si="106"/>
        <v/>
      </c>
    </row>
    <row r="258" spans="15:36" ht="18.600000000000001" customHeight="1" x14ac:dyDescent="0.45">
      <c r="O258">
        <f t="shared" ref="O258:O321" si="108">IF(COUNTIF(A258,"*/*"),ROW(),0)</f>
        <v>0</v>
      </c>
      <c r="P258">
        <f t="shared" si="93"/>
        <v>0</v>
      </c>
      <c r="R258" t="str" cm="1">
        <f t="array" ref="R258">IFERROR(_xlfn.AGGREGATE(15, 6, ($O$2:$O$350)/($O$2:$O$350&lt;&gt;0), ROWS($R$2:R258)), "")</f>
        <v/>
      </c>
      <c r="S258" t="str" cm="1">
        <f t="array" ref="S258">IFERROR(_xlfn.AGGREGATE(15, 6, ($P$2:$P$350)/($P$2:$P$350&lt;&gt;0), ROWS($R$2:R258)), "")</f>
        <v/>
      </c>
      <c r="U258" t="str">
        <f t="shared" ca="1" si="97"/>
        <v/>
      </c>
      <c r="V258" t="str">
        <f t="shared" ca="1" si="98"/>
        <v/>
      </c>
      <c r="W258" t="str">
        <f t="shared" ca="1" si="99"/>
        <v/>
      </c>
      <c r="X258" t="str">
        <f t="shared" ca="1" si="100"/>
        <v/>
      </c>
      <c r="Z258" t="str">
        <f t="shared" ca="1" si="107"/>
        <v/>
      </c>
      <c r="AA258" t="str">
        <f t="shared" ca="1" si="94"/>
        <v/>
      </c>
      <c r="AB258" t="str">
        <f t="shared" ca="1" si="95"/>
        <v/>
      </c>
      <c r="AC258" t="str">
        <f t="shared" ca="1" si="96"/>
        <v/>
      </c>
      <c r="AE258" t="str">
        <f t="shared" ca="1" si="101"/>
        <v/>
      </c>
      <c r="AF258" t="str">
        <f t="shared" ca="1" si="102"/>
        <v/>
      </c>
      <c r="AG258" t="str">
        <f t="shared" ca="1" si="103"/>
        <v/>
      </c>
      <c r="AH258" t="str">
        <f t="shared" ca="1" si="104"/>
        <v/>
      </c>
      <c r="AI258" t="str">
        <f t="shared" ca="1" si="105"/>
        <v/>
      </c>
      <c r="AJ258" t="str">
        <f t="shared" ca="1" si="106"/>
        <v/>
      </c>
    </row>
    <row r="259" spans="15:36" ht="18.600000000000001" customHeight="1" x14ac:dyDescent="0.45">
      <c r="O259">
        <f t="shared" si="108"/>
        <v>0</v>
      </c>
      <c r="P259">
        <f t="shared" si="93"/>
        <v>0</v>
      </c>
      <c r="R259" t="str" cm="1">
        <f t="array" ref="R259">IFERROR(_xlfn.AGGREGATE(15, 6, ($O$2:$O$350)/($O$2:$O$350&lt;&gt;0), ROWS($R$2:R259)), "")</f>
        <v/>
      </c>
      <c r="S259" t="str" cm="1">
        <f t="array" ref="S259">IFERROR(_xlfn.AGGREGATE(15, 6, ($P$2:$P$350)/($P$2:$P$350&lt;&gt;0), ROWS($R$2:R259)), "")</f>
        <v/>
      </c>
      <c r="U259" t="str">
        <f t="shared" ca="1" si="97"/>
        <v/>
      </c>
      <c r="V259" t="str">
        <f t="shared" ca="1" si="98"/>
        <v/>
      </c>
      <c r="W259" t="str">
        <f t="shared" ca="1" si="99"/>
        <v/>
      </c>
      <c r="X259" t="str">
        <f t="shared" ca="1" si="100"/>
        <v/>
      </c>
      <c r="Z259" t="str">
        <f t="shared" ca="1" si="107"/>
        <v/>
      </c>
      <c r="AA259" t="str">
        <f t="shared" ca="1" si="94"/>
        <v/>
      </c>
      <c r="AB259" t="str">
        <f t="shared" ca="1" si="95"/>
        <v/>
      </c>
      <c r="AC259" t="str">
        <f t="shared" ca="1" si="96"/>
        <v/>
      </c>
      <c r="AE259" t="str">
        <f t="shared" ca="1" si="101"/>
        <v/>
      </c>
      <c r="AF259" t="str">
        <f t="shared" ca="1" si="102"/>
        <v/>
      </c>
      <c r="AG259" t="str">
        <f t="shared" ca="1" si="103"/>
        <v/>
      </c>
      <c r="AH259" t="str">
        <f t="shared" ca="1" si="104"/>
        <v/>
      </c>
      <c r="AI259" t="str">
        <f t="shared" ca="1" si="105"/>
        <v/>
      </c>
      <c r="AJ259" t="str">
        <f t="shared" ca="1" si="106"/>
        <v/>
      </c>
    </row>
    <row r="260" spans="15:36" ht="18.600000000000001" customHeight="1" x14ac:dyDescent="0.45">
      <c r="O260">
        <f t="shared" si="108"/>
        <v>0</v>
      </c>
      <c r="P260">
        <f t="shared" si="93"/>
        <v>0</v>
      </c>
      <c r="R260" t="str" cm="1">
        <f t="array" ref="R260">IFERROR(_xlfn.AGGREGATE(15, 6, ($O$2:$O$350)/($O$2:$O$350&lt;&gt;0), ROWS($R$2:R260)), "")</f>
        <v/>
      </c>
      <c r="S260" t="str" cm="1">
        <f t="array" ref="S260">IFERROR(_xlfn.AGGREGATE(15, 6, ($P$2:$P$350)/($P$2:$P$350&lt;&gt;0), ROWS($R$2:R260)), "")</f>
        <v/>
      </c>
      <c r="U260" t="str">
        <f t="shared" ca="1" si="97"/>
        <v/>
      </c>
      <c r="V260" t="str">
        <f t="shared" ca="1" si="98"/>
        <v/>
      </c>
      <c r="W260" t="str">
        <f t="shared" ca="1" si="99"/>
        <v/>
      </c>
      <c r="X260" t="str">
        <f t="shared" ca="1" si="100"/>
        <v/>
      </c>
      <c r="Z260" t="str">
        <f t="shared" ca="1" si="107"/>
        <v/>
      </c>
      <c r="AA260" t="str">
        <f t="shared" ca="1" si="94"/>
        <v/>
      </c>
      <c r="AB260" t="str">
        <f t="shared" ca="1" si="95"/>
        <v/>
      </c>
      <c r="AC260" t="str">
        <f t="shared" ca="1" si="96"/>
        <v/>
      </c>
      <c r="AE260" t="str">
        <f t="shared" ca="1" si="101"/>
        <v/>
      </c>
      <c r="AF260" t="str">
        <f t="shared" ca="1" si="102"/>
        <v/>
      </c>
      <c r="AG260" t="str">
        <f t="shared" ca="1" si="103"/>
        <v/>
      </c>
      <c r="AH260" t="str">
        <f t="shared" ca="1" si="104"/>
        <v/>
      </c>
      <c r="AI260" t="str">
        <f t="shared" ca="1" si="105"/>
        <v/>
      </c>
      <c r="AJ260" t="str">
        <f t="shared" ca="1" si="106"/>
        <v/>
      </c>
    </row>
    <row r="261" spans="15:36" ht="18.600000000000001" customHeight="1" x14ac:dyDescent="0.45">
      <c r="O261">
        <f t="shared" si="108"/>
        <v>0</v>
      </c>
      <c r="P261">
        <f t="shared" ref="P261:P324" si="109">IF(O261&lt;&gt;0,O261-1,0)</f>
        <v>0</v>
      </c>
      <c r="R261" t="str" cm="1">
        <f t="array" ref="R261">IFERROR(_xlfn.AGGREGATE(15, 6, ($O$2:$O$350)/($O$2:$O$350&lt;&gt;0), ROWS($R$2:R261)), "")</f>
        <v/>
      </c>
      <c r="S261" t="str" cm="1">
        <f t="array" ref="S261">IFERROR(_xlfn.AGGREGATE(15, 6, ($P$2:$P$350)/($P$2:$P$350&lt;&gt;0), ROWS($R$2:R261)), "")</f>
        <v/>
      </c>
      <c r="U261" t="str">
        <f t="shared" ca="1" si="97"/>
        <v/>
      </c>
      <c r="V261" t="str">
        <f t="shared" ca="1" si="98"/>
        <v/>
      </c>
      <c r="W261" t="str">
        <f t="shared" ca="1" si="99"/>
        <v/>
      </c>
      <c r="X261" t="str">
        <f t="shared" ca="1" si="100"/>
        <v/>
      </c>
      <c r="Z261" t="str">
        <f t="shared" ca="1" si="107"/>
        <v/>
      </c>
      <c r="AA261" t="str">
        <f t="shared" ca="1" si="94"/>
        <v/>
      </c>
      <c r="AB261" t="str">
        <f t="shared" ca="1" si="95"/>
        <v/>
      </c>
      <c r="AC261" t="str">
        <f t="shared" ca="1" si="96"/>
        <v/>
      </c>
      <c r="AE261" t="str">
        <f t="shared" ca="1" si="101"/>
        <v/>
      </c>
      <c r="AF261" t="str">
        <f t="shared" ca="1" si="102"/>
        <v/>
      </c>
      <c r="AG261" t="str">
        <f t="shared" ca="1" si="103"/>
        <v/>
      </c>
      <c r="AH261" t="str">
        <f t="shared" ca="1" si="104"/>
        <v/>
      </c>
      <c r="AI261" t="str">
        <f t="shared" ca="1" si="105"/>
        <v/>
      </c>
      <c r="AJ261" t="str">
        <f t="shared" ca="1" si="106"/>
        <v/>
      </c>
    </row>
    <row r="262" spans="15:36" ht="18.600000000000001" customHeight="1" x14ac:dyDescent="0.45">
      <c r="O262">
        <f t="shared" si="108"/>
        <v>0</v>
      </c>
      <c r="P262">
        <f t="shared" si="109"/>
        <v>0</v>
      </c>
      <c r="R262" t="str" cm="1">
        <f t="array" ref="R262">IFERROR(_xlfn.AGGREGATE(15, 6, ($O$2:$O$350)/($O$2:$O$350&lt;&gt;0), ROWS($R$2:R262)), "")</f>
        <v/>
      </c>
      <c r="S262" t="str" cm="1">
        <f t="array" ref="S262">IFERROR(_xlfn.AGGREGATE(15, 6, ($P$2:$P$350)/($P$2:$P$350&lt;&gt;0), ROWS($R$2:R262)), "")</f>
        <v/>
      </c>
      <c r="U262" t="str">
        <f t="shared" ca="1" si="97"/>
        <v/>
      </c>
      <c r="V262" t="str">
        <f t="shared" ca="1" si="98"/>
        <v/>
      </c>
      <c r="W262" t="str">
        <f t="shared" ca="1" si="99"/>
        <v/>
      </c>
      <c r="X262" t="str">
        <f t="shared" ca="1" si="100"/>
        <v/>
      </c>
      <c r="Z262" t="str">
        <f t="shared" ca="1" si="107"/>
        <v/>
      </c>
      <c r="AA262" t="str">
        <f t="shared" ca="1" si="94"/>
        <v/>
      </c>
      <c r="AB262" t="str">
        <f t="shared" ca="1" si="95"/>
        <v/>
      </c>
      <c r="AC262" t="str">
        <f t="shared" ca="1" si="96"/>
        <v/>
      </c>
      <c r="AE262" t="str">
        <f t="shared" ca="1" si="101"/>
        <v/>
      </c>
      <c r="AF262" t="str">
        <f t="shared" ca="1" si="102"/>
        <v/>
      </c>
      <c r="AG262" t="str">
        <f t="shared" ca="1" si="103"/>
        <v/>
      </c>
      <c r="AH262" t="str">
        <f t="shared" ca="1" si="104"/>
        <v/>
      </c>
      <c r="AI262" t="str">
        <f t="shared" ca="1" si="105"/>
        <v/>
      </c>
      <c r="AJ262" t="str">
        <f t="shared" ca="1" si="106"/>
        <v/>
      </c>
    </row>
    <row r="263" spans="15:36" ht="18.600000000000001" customHeight="1" x14ac:dyDescent="0.45">
      <c r="O263">
        <f t="shared" si="108"/>
        <v>0</v>
      </c>
      <c r="P263">
        <f t="shared" si="109"/>
        <v>0</v>
      </c>
      <c r="R263" t="str" cm="1">
        <f t="array" ref="R263">IFERROR(_xlfn.AGGREGATE(15, 6, ($O$2:$O$350)/($O$2:$O$350&lt;&gt;0), ROWS($R$2:R263)), "")</f>
        <v/>
      </c>
      <c r="S263" t="str" cm="1">
        <f t="array" ref="S263">IFERROR(_xlfn.AGGREGATE(15, 6, ($P$2:$P$350)/($P$2:$P$350&lt;&gt;0), ROWS($R$2:R263)), "")</f>
        <v/>
      </c>
      <c r="U263" t="str">
        <f t="shared" ca="1" si="97"/>
        <v/>
      </c>
      <c r="V263" t="str">
        <f t="shared" ca="1" si="98"/>
        <v/>
      </c>
      <c r="W263" t="str">
        <f t="shared" ca="1" si="99"/>
        <v/>
      </c>
      <c r="X263" t="str">
        <f t="shared" ca="1" si="100"/>
        <v/>
      </c>
      <c r="Z263" t="str">
        <f t="shared" ca="1" si="107"/>
        <v/>
      </c>
      <c r="AA263" t="str">
        <f t="shared" ca="1" si="94"/>
        <v/>
      </c>
      <c r="AB263" t="str">
        <f t="shared" ca="1" si="95"/>
        <v/>
      </c>
      <c r="AC263" t="str">
        <f t="shared" ca="1" si="96"/>
        <v/>
      </c>
      <c r="AE263" t="str">
        <f t="shared" ca="1" si="101"/>
        <v/>
      </c>
      <c r="AF263" t="str">
        <f t="shared" ca="1" si="102"/>
        <v/>
      </c>
      <c r="AG263" t="str">
        <f t="shared" ca="1" si="103"/>
        <v/>
      </c>
      <c r="AH263" t="str">
        <f t="shared" ca="1" si="104"/>
        <v/>
      </c>
      <c r="AI263" t="str">
        <f t="shared" ca="1" si="105"/>
        <v/>
      </c>
      <c r="AJ263" t="str">
        <f t="shared" ca="1" si="106"/>
        <v/>
      </c>
    </row>
    <row r="264" spans="15:36" ht="18.600000000000001" customHeight="1" x14ac:dyDescent="0.45">
      <c r="O264">
        <f t="shared" si="108"/>
        <v>0</v>
      </c>
      <c r="P264">
        <f t="shared" si="109"/>
        <v>0</v>
      </c>
      <c r="R264" t="str" cm="1">
        <f t="array" ref="R264">IFERROR(_xlfn.AGGREGATE(15, 6, ($O$2:$O$350)/($O$2:$O$350&lt;&gt;0), ROWS($R$2:R264)), "")</f>
        <v/>
      </c>
      <c r="S264" t="str" cm="1">
        <f t="array" ref="S264">IFERROR(_xlfn.AGGREGATE(15, 6, ($P$2:$P$350)/($P$2:$P$350&lt;&gt;0), ROWS($R$2:R264)), "")</f>
        <v/>
      </c>
      <c r="U264" t="str">
        <f t="shared" ca="1" si="97"/>
        <v/>
      </c>
      <c r="V264" t="str">
        <f t="shared" ca="1" si="98"/>
        <v/>
      </c>
      <c r="W264" t="str">
        <f t="shared" ca="1" si="99"/>
        <v/>
      </c>
      <c r="X264" t="str">
        <f t="shared" ca="1" si="100"/>
        <v/>
      </c>
      <c r="Z264" t="str">
        <f t="shared" ca="1" si="107"/>
        <v/>
      </c>
      <c r="AA264" t="str">
        <f t="shared" ca="1" si="94"/>
        <v/>
      </c>
      <c r="AB264" t="str">
        <f t="shared" ca="1" si="95"/>
        <v/>
      </c>
      <c r="AC264" t="str">
        <f t="shared" ca="1" si="96"/>
        <v/>
      </c>
      <c r="AE264" t="str">
        <f t="shared" ca="1" si="101"/>
        <v/>
      </c>
      <c r="AF264" t="str">
        <f t="shared" ca="1" si="102"/>
        <v/>
      </c>
      <c r="AG264" t="str">
        <f t="shared" ca="1" si="103"/>
        <v/>
      </c>
      <c r="AH264" t="str">
        <f t="shared" ca="1" si="104"/>
        <v/>
      </c>
      <c r="AI264" t="str">
        <f t="shared" ca="1" si="105"/>
        <v/>
      </c>
      <c r="AJ264" t="str">
        <f t="shared" ca="1" si="106"/>
        <v/>
      </c>
    </row>
    <row r="265" spans="15:36" ht="18.600000000000001" customHeight="1" x14ac:dyDescent="0.45">
      <c r="O265">
        <f t="shared" si="108"/>
        <v>0</v>
      </c>
      <c r="P265">
        <f t="shared" si="109"/>
        <v>0</v>
      </c>
      <c r="R265" t="str" cm="1">
        <f t="array" ref="R265">IFERROR(_xlfn.AGGREGATE(15, 6, ($O$2:$O$350)/($O$2:$O$350&lt;&gt;0), ROWS($R$2:R265)), "")</f>
        <v/>
      </c>
      <c r="S265" t="str" cm="1">
        <f t="array" ref="S265">IFERROR(_xlfn.AGGREGATE(15, 6, ($P$2:$P$350)/($P$2:$P$350&lt;&gt;0), ROWS($R$2:R265)), "")</f>
        <v/>
      </c>
      <c r="U265" t="str">
        <f t="shared" ca="1" si="97"/>
        <v/>
      </c>
      <c r="V265" t="str">
        <f t="shared" ca="1" si="98"/>
        <v/>
      </c>
      <c r="W265" t="str">
        <f t="shared" ca="1" si="99"/>
        <v/>
      </c>
      <c r="X265" t="str">
        <f t="shared" ca="1" si="100"/>
        <v/>
      </c>
      <c r="Z265" t="str">
        <f t="shared" ca="1" si="107"/>
        <v/>
      </c>
      <c r="AA265" t="str">
        <f t="shared" ca="1" si="94"/>
        <v/>
      </c>
      <c r="AB265" t="str">
        <f t="shared" ca="1" si="95"/>
        <v/>
      </c>
      <c r="AC265" t="str">
        <f t="shared" ca="1" si="96"/>
        <v/>
      </c>
      <c r="AE265" t="str">
        <f t="shared" ca="1" si="101"/>
        <v/>
      </c>
      <c r="AF265" t="str">
        <f t="shared" ca="1" si="102"/>
        <v/>
      </c>
      <c r="AG265" t="str">
        <f t="shared" ca="1" si="103"/>
        <v/>
      </c>
      <c r="AH265" t="str">
        <f t="shared" ca="1" si="104"/>
        <v/>
      </c>
      <c r="AI265" t="str">
        <f t="shared" ca="1" si="105"/>
        <v/>
      </c>
      <c r="AJ265" t="str">
        <f t="shared" ca="1" si="106"/>
        <v/>
      </c>
    </row>
    <row r="266" spans="15:36" ht="18.600000000000001" customHeight="1" x14ac:dyDescent="0.45">
      <c r="O266">
        <f t="shared" si="108"/>
        <v>0</v>
      </c>
      <c r="P266">
        <f t="shared" si="109"/>
        <v>0</v>
      </c>
      <c r="R266" t="str" cm="1">
        <f t="array" ref="R266">IFERROR(_xlfn.AGGREGATE(15, 6, ($O$2:$O$350)/($O$2:$O$350&lt;&gt;0), ROWS($R$2:R266)), "")</f>
        <v/>
      </c>
      <c r="S266" t="str" cm="1">
        <f t="array" ref="S266">IFERROR(_xlfn.AGGREGATE(15, 6, ($P$2:$P$350)/($P$2:$P$350&lt;&gt;0), ROWS($R$2:R266)), "")</f>
        <v/>
      </c>
      <c r="U266" t="str">
        <f t="shared" ca="1" si="97"/>
        <v/>
      </c>
      <c r="V266" t="str">
        <f t="shared" ca="1" si="98"/>
        <v/>
      </c>
      <c r="W266" t="str">
        <f t="shared" ca="1" si="99"/>
        <v/>
      </c>
      <c r="X266" t="str">
        <f t="shared" ca="1" si="100"/>
        <v/>
      </c>
      <c r="Z266" t="str">
        <f t="shared" ca="1" si="107"/>
        <v/>
      </c>
      <c r="AA266" t="str">
        <f t="shared" ca="1" si="94"/>
        <v/>
      </c>
      <c r="AB266" t="str">
        <f t="shared" ca="1" si="95"/>
        <v/>
      </c>
      <c r="AC266" t="str">
        <f t="shared" ca="1" si="96"/>
        <v/>
      </c>
      <c r="AE266" t="str">
        <f t="shared" ca="1" si="101"/>
        <v/>
      </c>
      <c r="AF266" t="str">
        <f t="shared" ca="1" si="102"/>
        <v/>
      </c>
      <c r="AG266" t="str">
        <f t="shared" ca="1" si="103"/>
        <v/>
      </c>
      <c r="AH266" t="str">
        <f t="shared" ca="1" si="104"/>
        <v/>
      </c>
      <c r="AI266" t="str">
        <f t="shared" ca="1" si="105"/>
        <v/>
      </c>
      <c r="AJ266" t="str">
        <f t="shared" ca="1" si="106"/>
        <v/>
      </c>
    </row>
    <row r="267" spans="15:36" ht="18.600000000000001" customHeight="1" x14ac:dyDescent="0.45">
      <c r="O267">
        <f t="shared" si="108"/>
        <v>0</v>
      </c>
      <c r="P267">
        <f t="shared" si="109"/>
        <v>0</v>
      </c>
      <c r="R267" t="str" cm="1">
        <f t="array" ref="R267">IFERROR(_xlfn.AGGREGATE(15, 6, ($O$2:$O$350)/($O$2:$O$350&lt;&gt;0), ROWS($R$2:R267)), "")</f>
        <v/>
      </c>
      <c r="S267" t="str" cm="1">
        <f t="array" ref="S267">IFERROR(_xlfn.AGGREGATE(15, 6, ($P$2:$P$350)/($P$2:$P$350&lt;&gt;0), ROWS($R$2:R267)), "")</f>
        <v/>
      </c>
      <c r="U267" t="str">
        <f t="shared" ca="1" si="97"/>
        <v/>
      </c>
      <c r="V267" t="str">
        <f t="shared" ca="1" si="98"/>
        <v/>
      </c>
      <c r="W267" t="str">
        <f t="shared" ca="1" si="99"/>
        <v/>
      </c>
      <c r="X267" t="str">
        <f t="shared" ca="1" si="100"/>
        <v/>
      </c>
      <c r="Z267" t="str">
        <f t="shared" ca="1" si="107"/>
        <v/>
      </c>
      <c r="AA267" t="str">
        <f t="shared" ca="1" si="94"/>
        <v/>
      </c>
      <c r="AB267" t="str">
        <f t="shared" ca="1" si="95"/>
        <v/>
      </c>
      <c r="AC267" t="str">
        <f t="shared" ca="1" si="96"/>
        <v/>
      </c>
      <c r="AE267" t="str">
        <f t="shared" ca="1" si="101"/>
        <v/>
      </c>
      <c r="AF267" t="str">
        <f t="shared" ca="1" si="102"/>
        <v/>
      </c>
      <c r="AG267" t="str">
        <f t="shared" ca="1" si="103"/>
        <v/>
      </c>
      <c r="AH267" t="str">
        <f t="shared" ca="1" si="104"/>
        <v/>
      </c>
      <c r="AI267" t="str">
        <f t="shared" ca="1" si="105"/>
        <v/>
      </c>
      <c r="AJ267" t="str">
        <f t="shared" ca="1" si="106"/>
        <v/>
      </c>
    </row>
    <row r="268" spans="15:36" ht="18.600000000000001" customHeight="1" x14ac:dyDescent="0.45">
      <c r="O268">
        <f t="shared" si="108"/>
        <v>0</v>
      </c>
      <c r="P268">
        <f t="shared" si="109"/>
        <v>0</v>
      </c>
      <c r="R268" t="str" cm="1">
        <f t="array" ref="R268">IFERROR(_xlfn.AGGREGATE(15, 6, ($O$2:$O$350)/($O$2:$O$350&lt;&gt;0), ROWS($R$2:R268)), "")</f>
        <v/>
      </c>
      <c r="S268" t="str" cm="1">
        <f t="array" ref="S268">IFERROR(_xlfn.AGGREGATE(15, 6, ($P$2:$P$350)/($P$2:$P$350&lt;&gt;0), ROWS($R$2:R268)), "")</f>
        <v/>
      </c>
      <c r="U268" t="str">
        <f t="shared" ca="1" si="97"/>
        <v/>
      </c>
      <c r="V268" t="str">
        <f t="shared" ca="1" si="98"/>
        <v/>
      </c>
      <c r="W268" t="str">
        <f t="shared" ca="1" si="99"/>
        <v/>
      </c>
      <c r="X268" t="str">
        <f t="shared" ca="1" si="100"/>
        <v/>
      </c>
      <c r="Z268" t="str">
        <f t="shared" ca="1" si="107"/>
        <v/>
      </c>
      <c r="AA268" t="str">
        <f t="shared" ca="1" si="94"/>
        <v/>
      </c>
      <c r="AB268" t="str">
        <f t="shared" ca="1" si="95"/>
        <v/>
      </c>
      <c r="AC268" t="str">
        <f t="shared" ca="1" si="96"/>
        <v/>
      </c>
      <c r="AE268" t="str">
        <f t="shared" ca="1" si="101"/>
        <v/>
      </c>
      <c r="AF268" t="str">
        <f t="shared" ca="1" si="102"/>
        <v/>
      </c>
      <c r="AG268" t="str">
        <f t="shared" ca="1" si="103"/>
        <v/>
      </c>
      <c r="AH268" t="str">
        <f t="shared" ca="1" si="104"/>
        <v/>
      </c>
      <c r="AI268" t="str">
        <f t="shared" ca="1" si="105"/>
        <v/>
      </c>
      <c r="AJ268" t="str">
        <f t="shared" ca="1" si="106"/>
        <v/>
      </c>
    </row>
    <row r="269" spans="15:36" ht="18.600000000000001" customHeight="1" x14ac:dyDescent="0.45">
      <c r="O269">
        <f t="shared" si="108"/>
        <v>0</v>
      </c>
      <c r="P269">
        <f t="shared" si="109"/>
        <v>0</v>
      </c>
      <c r="R269" t="str" cm="1">
        <f t="array" ref="R269">IFERROR(_xlfn.AGGREGATE(15, 6, ($O$2:$O$350)/($O$2:$O$350&lt;&gt;0), ROWS($R$2:R269)), "")</f>
        <v/>
      </c>
      <c r="S269" t="str" cm="1">
        <f t="array" ref="S269">IFERROR(_xlfn.AGGREGATE(15, 6, ($P$2:$P$350)/($P$2:$P$350&lt;&gt;0), ROWS($R$2:R269)), "")</f>
        <v/>
      </c>
      <c r="U269" t="str">
        <f t="shared" ca="1" si="97"/>
        <v/>
      </c>
      <c r="V269" t="str">
        <f t="shared" ca="1" si="98"/>
        <v/>
      </c>
      <c r="W269" t="str">
        <f t="shared" ca="1" si="99"/>
        <v/>
      </c>
      <c r="X269" t="str">
        <f t="shared" ca="1" si="100"/>
        <v/>
      </c>
      <c r="Z269" t="str">
        <f t="shared" ca="1" si="107"/>
        <v/>
      </c>
      <c r="AA269" t="str">
        <f t="shared" ca="1" si="94"/>
        <v/>
      </c>
      <c r="AB269" t="str">
        <f t="shared" ca="1" si="95"/>
        <v/>
      </c>
      <c r="AC269" t="str">
        <f t="shared" ca="1" si="96"/>
        <v/>
      </c>
      <c r="AE269" t="str">
        <f t="shared" ca="1" si="101"/>
        <v/>
      </c>
      <c r="AF269" t="str">
        <f t="shared" ca="1" si="102"/>
        <v/>
      </c>
      <c r="AG269" t="str">
        <f t="shared" ca="1" si="103"/>
        <v/>
      </c>
      <c r="AH269" t="str">
        <f t="shared" ca="1" si="104"/>
        <v/>
      </c>
      <c r="AI269" t="str">
        <f t="shared" ca="1" si="105"/>
        <v/>
      </c>
      <c r="AJ269" t="str">
        <f t="shared" ca="1" si="106"/>
        <v/>
      </c>
    </row>
    <row r="270" spans="15:36" ht="18.600000000000001" customHeight="1" x14ac:dyDescent="0.45">
      <c r="O270">
        <f t="shared" si="108"/>
        <v>0</v>
      </c>
      <c r="P270">
        <f t="shared" si="109"/>
        <v>0</v>
      </c>
      <c r="R270" t="str" cm="1">
        <f t="array" ref="R270">IFERROR(_xlfn.AGGREGATE(15, 6, ($O$2:$O$350)/($O$2:$O$350&lt;&gt;0), ROWS($R$2:R270)), "")</f>
        <v/>
      </c>
      <c r="S270" t="str" cm="1">
        <f t="array" ref="S270">IFERROR(_xlfn.AGGREGATE(15, 6, ($P$2:$P$350)/($P$2:$P$350&lt;&gt;0), ROWS($R$2:R270)), "")</f>
        <v/>
      </c>
      <c r="U270" t="str">
        <f t="shared" ca="1" si="97"/>
        <v/>
      </c>
      <c r="V270" t="str">
        <f t="shared" ca="1" si="98"/>
        <v/>
      </c>
      <c r="W270" t="str">
        <f t="shared" ca="1" si="99"/>
        <v/>
      </c>
      <c r="X270" t="str">
        <f t="shared" ca="1" si="100"/>
        <v/>
      </c>
      <c r="Z270" t="str">
        <f t="shared" ca="1" si="107"/>
        <v/>
      </c>
      <c r="AA270" t="str">
        <f t="shared" ca="1" si="94"/>
        <v/>
      </c>
      <c r="AB270" t="str">
        <f t="shared" ca="1" si="95"/>
        <v/>
      </c>
      <c r="AC270" t="str">
        <f t="shared" ca="1" si="96"/>
        <v/>
      </c>
      <c r="AE270" t="str">
        <f t="shared" ca="1" si="101"/>
        <v/>
      </c>
      <c r="AF270" t="str">
        <f t="shared" ca="1" si="102"/>
        <v/>
      </c>
      <c r="AG270" t="str">
        <f t="shared" ca="1" si="103"/>
        <v/>
      </c>
      <c r="AH270" t="str">
        <f t="shared" ca="1" si="104"/>
        <v/>
      </c>
      <c r="AI270" t="str">
        <f t="shared" ca="1" si="105"/>
        <v/>
      </c>
      <c r="AJ270" t="str">
        <f t="shared" ca="1" si="106"/>
        <v/>
      </c>
    </row>
    <row r="271" spans="15:36" ht="18.600000000000001" customHeight="1" x14ac:dyDescent="0.45">
      <c r="O271">
        <f t="shared" si="108"/>
        <v>0</v>
      </c>
      <c r="P271">
        <f t="shared" si="109"/>
        <v>0</v>
      </c>
      <c r="R271" t="str" cm="1">
        <f t="array" ref="R271">IFERROR(_xlfn.AGGREGATE(15, 6, ($O$2:$O$350)/($O$2:$O$350&lt;&gt;0), ROWS($R$2:R271)), "")</f>
        <v/>
      </c>
      <c r="S271" t="str" cm="1">
        <f t="array" ref="S271">IFERROR(_xlfn.AGGREGATE(15, 6, ($P$2:$P$350)/($P$2:$P$350&lt;&gt;0), ROWS($R$2:R271)), "")</f>
        <v/>
      </c>
      <c r="U271" t="str">
        <f t="shared" ca="1" si="97"/>
        <v/>
      </c>
      <c r="V271" t="str">
        <f t="shared" ca="1" si="98"/>
        <v/>
      </c>
      <c r="W271" t="str">
        <f t="shared" ca="1" si="99"/>
        <v/>
      </c>
      <c r="X271" t="str">
        <f t="shared" ca="1" si="100"/>
        <v/>
      </c>
      <c r="Z271" t="str">
        <f t="shared" ca="1" si="107"/>
        <v/>
      </c>
      <c r="AA271" t="str">
        <f t="shared" ca="1" si="94"/>
        <v/>
      </c>
      <c r="AB271" t="str">
        <f t="shared" ca="1" si="95"/>
        <v/>
      </c>
      <c r="AC271" t="str">
        <f t="shared" ca="1" si="96"/>
        <v/>
      </c>
      <c r="AE271" t="str">
        <f t="shared" ca="1" si="101"/>
        <v/>
      </c>
      <c r="AF271" t="str">
        <f t="shared" ca="1" si="102"/>
        <v/>
      </c>
      <c r="AG271" t="str">
        <f t="shared" ca="1" si="103"/>
        <v/>
      </c>
      <c r="AH271" t="str">
        <f t="shared" ca="1" si="104"/>
        <v/>
      </c>
      <c r="AI271" t="str">
        <f t="shared" ca="1" si="105"/>
        <v/>
      </c>
      <c r="AJ271" t="str">
        <f t="shared" ca="1" si="106"/>
        <v/>
      </c>
    </row>
    <row r="272" spans="15:36" ht="18.600000000000001" customHeight="1" x14ac:dyDescent="0.45">
      <c r="O272">
        <f t="shared" si="108"/>
        <v>0</v>
      </c>
      <c r="P272">
        <f t="shared" si="109"/>
        <v>0</v>
      </c>
      <c r="R272" t="str" cm="1">
        <f t="array" ref="R272">IFERROR(_xlfn.AGGREGATE(15, 6, ($O$2:$O$350)/($O$2:$O$350&lt;&gt;0), ROWS($R$2:R272)), "")</f>
        <v/>
      </c>
      <c r="S272" t="str" cm="1">
        <f t="array" ref="S272">IFERROR(_xlfn.AGGREGATE(15, 6, ($P$2:$P$350)/($P$2:$P$350&lt;&gt;0), ROWS($R$2:R272)), "")</f>
        <v/>
      </c>
      <c r="U272" t="str">
        <f t="shared" ca="1" si="97"/>
        <v/>
      </c>
      <c r="V272" t="str">
        <f t="shared" ca="1" si="98"/>
        <v/>
      </c>
      <c r="W272" t="str">
        <f t="shared" ca="1" si="99"/>
        <v/>
      </c>
      <c r="X272" t="str">
        <f t="shared" ca="1" si="100"/>
        <v/>
      </c>
      <c r="Z272" t="str">
        <f t="shared" ca="1" si="107"/>
        <v/>
      </c>
      <c r="AA272" t="str">
        <f t="shared" ca="1" si="94"/>
        <v/>
      </c>
      <c r="AB272" t="str">
        <f t="shared" ca="1" si="95"/>
        <v/>
      </c>
      <c r="AC272" t="str">
        <f t="shared" ca="1" si="96"/>
        <v/>
      </c>
      <c r="AE272" t="str">
        <f t="shared" ca="1" si="101"/>
        <v/>
      </c>
      <c r="AF272" t="str">
        <f t="shared" ca="1" si="102"/>
        <v/>
      </c>
      <c r="AG272" t="str">
        <f t="shared" ca="1" si="103"/>
        <v/>
      </c>
      <c r="AH272" t="str">
        <f t="shared" ca="1" si="104"/>
        <v/>
      </c>
      <c r="AI272" t="str">
        <f t="shared" ca="1" si="105"/>
        <v/>
      </c>
      <c r="AJ272" t="str">
        <f t="shared" ca="1" si="106"/>
        <v/>
      </c>
    </row>
    <row r="273" spans="15:36" ht="18.600000000000001" customHeight="1" x14ac:dyDescent="0.45">
      <c r="O273">
        <f t="shared" si="108"/>
        <v>0</v>
      </c>
      <c r="P273">
        <f t="shared" si="109"/>
        <v>0</v>
      </c>
      <c r="R273" t="str" cm="1">
        <f t="array" ref="R273">IFERROR(_xlfn.AGGREGATE(15, 6, ($O$2:$O$350)/($O$2:$O$350&lt;&gt;0), ROWS($R$2:R273)), "")</f>
        <v/>
      </c>
      <c r="S273" t="str" cm="1">
        <f t="array" ref="S273">IFERROR(_xlfn.AGGREGATE(15, 6, ($P$2:$P$350)/($P$2:$P$350&lt;&gt;0), ROWS($R$2:R273)), "")</f>
        <v/>
      </c>
      <c r="U273" t="str">
        <f t="shared" ca="1" si="97"/>
        <v/>
      </c>
      <c r="V273" t="str">
        <f t="shared" ca="1" si="98"/>
        <v/>
      </c>
      <c r="W273" t="str">
        <f t="shared" ca="1" si="99"/>
        <v/>
      </c>
      <c r="X273" t="str">
        <f t="shared" ca="1" si="100"/>
        <v/>
      </c>
      <c r="Z273" t="str">
        <f t="shared" ca="1" si="107"/>
        <v/>
      </c>
      <c r="AA273" t="str">
        <f t="shared" ca="1" si="94"/>
        <v/>
      </c>
      <c r="AB273" t="str">
        <f t="shared" ca="1" si="95"/>
        <v/>
      </c>
      <c r="AC273" t="str">
        <f t="shared" ca="1" si="96"/>
        <v/>
      </c>
      <c r="AE273" t="str">
        <f t="shared" ca="1" si="101"/>
        <v/>
      </c>
      <c r="AF273" t="str">
        <f t="shared" ca="1" si="102"/>
        <v/>
      </c>
      <c r="AG273" t="str">
        <f t="shared" ca="1" si="103"/>
        <v/>
      </c>
      <c r="AH273" t="str">
        <f t="shared" ca="1" si="104"/>
        <v/>
      </c>
      <c r="AI273" t="str">
        <f t="shared" ca="1" si="105"/>
        <v/>
      </c>
      <c r="AJ273" t="str">
        <f t="shared" ca="1" si="106"/>
        <v/>
      </c>
    </row>
    <row r="274" spans="15:36" ht="18.600000000000001" customHeight="1" x14ac:dyDescent="0.45">
      <c r="O274">
        <f t="shared" si="108"/>
        <v>0</v>
      </c>
      <c r="P274">
        <f t="shared" si="109"/>
        <v>0</v>
      </c>
      <c r="R274" t="str" cm="1">
        <f t="array" ref="R274">IFERROR(_xlfn.AGGREGATE(15, 6, ($O$2:$O$350)/($O$2:$O$350&lt;&gt;0), ROWS($R$2:R274)), "")</f>
        <v/>
      </c>
      <c r="S274" t="str" cm="1">
        <f t="array" ref="S274">IFERROR(_xlfn.AGGREGATE(15, 6, ($P$2:$P$350)/($P$2:$P$350&lt;&gt;0), ROWS($R$2:R274)), "")</f>
        <v/>
      </c>
      <c r="U274" t="str">
        <f t="shared" ca="1" si="97"/>
        <v/>
      </c>
      <c r="V274" t="str">
        <f t="shared" ca="1" si="98"/>
        <v/>
      </c>
      <c r="W274" t="str">
        <f t="shared" ca="1" si="99"/>
        <v/>
      </c>
      <c r="X274" t="str">
        <f t="shared" ca="1" si="100"/>
        <v/>
      </c>
      <c r="Z274" t="str">
        <f t="shared" ca="1" si="107"/>
        <v/>
      </c>
      <c r="AA274" t="str">
        <f t="shared" ca="1" si="94"/>
        <v/>
      </c>
      <c r="AB274" t="str">
        <f t="shared" ca="1" si="95"/>
        <v/>
      </c>
      <c r="AC274" t="str">
        <f t="shared" ca="1" si="96"/>
        <v/>
      </c>
      <c r="AE274" t="str">
        <f t="shared" ca="1" si="101"/>
        <v/>
      </c>
      <c r="AF274" t="str">
        <f t="shared" ca="1" si="102"/>
        <v/>
      </c>
      <c r="AG274" t="str">
        <f t="shared" ca="1" si="103"/>
        <v/>
      </c>
      <c r="AH274" t="str">
        <f t="shared" ca="1" si="104"/>
        <v/>
      </c>
      <c r="AI274" t="str">
        <f t="shared" ca="1" si="105"/>
        <v/>
      </c>
      <c r="AJ274" t="str">
        <f t="shared" ca="1" si="106"/>
        <v/>
      </c>
    </row>
    <row r="275" spans="15:36" ht="18.600000000000001" customHeight="1" x14ac:dyDescent="0.45">
      <c r="O275">
        <f t="shared" si="108"/>
        <v>0</v>
      </c>
      <c r="P275">
        <f t="shared" si="109"/>
        <v>0</v>
      </c>
      <c r="R275" t="str" cm="1">
        <f t="array" ref="R275">IFERROR(_xlfn.AGGREGATE(15, 6, ($O$2:$O$350)/($O$2:$O$350&lt;&gt;0), ROWS($R$2:R275)), "")</f>
        <v/>
      </c>
      <c r="S275" t="str" cm="1">
        <f t="array" ref="S275">IFERROR(_xlfn.AGGREGATE(15, 6, ($P$2:$P$350)/($P$2:$P$350&lt;&gt;0), ROWS($R$2:R275)), "")</f>
        <v/>
      </c>
      <c r="U275" t="str">
        <f t="shared" ca="1" si="97"/>
        <v/>
      </c>
      <c r="V275" t="str">
        <f t="shared" ca="1" si="98"/>
        <v/>
      </c>
      <c r="W275" t="str">
        <f t="shared" ca="1" si="99"/>
        <v/>
      </c>
      <c r="X275" t="str">
        <f t="shared" ca="1" si="100"/>
        <v/>
      </c>
      <c r="Z275" t="str">
        <f t="shared" ca="1" si="107"/>
        <v/>
      </c>
      <c r="AA275" t="str">
        <f t="shared" ca="1" si="94"/>
        <v/>
      </c>
      <c r="AB275" t="str">
        <f t="shared" ca="1" si="95"/>
        <v/>
      </c>
      <c r="AC275" t="str">
        <f t="shared" ca="1" si="96"/>
        <v/>
      </c>
      <c r="AE275" t="str">
        <f t="shared" ca="1" si="101"/>
        <v/>
      </c>
      <c r="AF275" t="str">
        <f t="shared" ca="1" si="102"/>
        <v/>
      </c>
      <c r="AG275" t="str">
        <f t="shared" ca="1" si="103"/>
        <v/>
      </c>
      <c r="AH275" t="str">
        <f t="shared" ca="1" si="104"/>
        <v/>
      </c>
      <c r="AI275" t="str">
        <f t="shared" ca="1" si="105"/>
        <v/>
      </c>
      <c r="AJ275" t="str">
        <f t="shared" ca="1" si="106"/>
        <v/>
      </c>
    </row>
    <row r="276" spans="15:36" ht="18.600000000000001" customHeight="1" x14ac:dyDescent="0.45">
      <c r="O276">
        <f t="shared" si="108"/>
        <v>0</v>
      </c>
      <c r="P276">
        <f t="shared" si="109"/>
        <v>0</v>
      </c>
      <c r="R276" t="str" cm="1">
        <f t="array" ref="R276">IFERROR(_xlfn.AGGREGATE(15, 6, ($O$2:$O$350)/($O$2:$O$350&lt;&gt;0), ROWS($R$2:R276)), "")</f>
        <v/>
      </c>
      <c r="S276" t="str" cm="1">
        <f t="array" ref="S276">IFERROR(_xlfn.AGGREGATE(15, 6, ($P$2:$P$350)/($P$2:$P$350&lt;&gt;0), ROWS($R$2:R276)), "")</f>
        <v/>
      </c>
      <c r="U276" t="str">
        <f t="shared" ca="1" si="97"/>
        <v/>
      </c>
      <c r="V276" t="str">
        <f t="shared" ca="1" si="98"/>
        <v/>
      </c>
      <c r="W276" t="str">
        <f t="shared" ca="1" si="99"/>
        <v/>
      </c>
      <c r="X276" t="str">
        <f t="shared" ca="1" si="100"/>
        <v/>
      </c>
      <c r="Z276" t="str">
        <f t="shared" ca="1" si="107"/>
        <v/>
      </c>
      <c r="AA276" t="str">
        <f t="shared" ca="1" si="94"/>
        <v/>
      </c>
      <c r="AB276" t="str">
        <f t="shared" ca="1" si="95"/>
        <v/>
      </c>
      <c r="AC276" t="str">
        <f t="shared" ca="1" si="96"/>
        <v/>
      </c>
      <c r="AE276" t="str">
        <f t="shared" ca="1" si="101"/>
        <v/>
      </c>
      <c r="AF276" t="str">
        <f t="shared" ca="1" si="102"/>
        <v/>
      </c>
      <c r="AG276" t="str">
        <f t="shared" ca="1" si="103"/>
        <v/>
      </c>
      <c r="AH276" t="str">
        <f t="shared" ca="1" si="104"/>
        <v/>
      </c>
      <c r="AI276" t="str">
        <f t="shared" ca="1" si="105"/>
        <v/>
      </c>
      <c r="AJ276" t="str">
        <f t="shared" ca="1" si="106"/>
        <v/>
      </c>
    </row>
    <row r="277" spans="15:36" ht="18.600000000000001" customHeight="1" x14ac:dyDescent="0.45">
      <c r="O277">
        <f t="shared" si="108"/>
        <v>0</v>
      </c>
      <c r="P277">
        <f t="shared" si="109"/>
        <v>0</v>
      </c>
      <c r="R277" t="str" cm="1">
        <f t="array" ref="R277">IFERROR(_xlfn.AGGREGATE(15, 6, ($O$2:$O$350)/($O$2:$O$350&lt;&gt;0), ROWS($R$2:R277)), "")</f>
        <v/>
      </c>
      <c r="S277" t="str" cm="1">
        <f t="array" ref="S277">IFERROR(_xlfn.AGGREGATE(15, 6, ($P$2:$P$350)/($P$2:$P$350&lt;&gt;0), ROWS($R$2:R277)), "")</f>
        <v/>
      </c>
      <c r="U277" t="str">
        <f t="shared" ca="1" si="97"/>
        <v/>
      </c>
      <c r="V277" t="str">
        <f t="shared" ca="1" si="98"/>
        <v/>
      </c>
      <c r="W277" t="str">
        <f t="shared" ca="1" si="99"/>
        <v/>
      </c>
      <c r="X277" t="str">
        <f t="shared" ca="1" si="100"/>
        <v/>
      </c>
      <c r="Z277" t="str">
        <f t="shared" ca="1" si="107"/>
        <v/>
      </c>
      <c r="AA277" t="str">
        <f t="shared" ca="1" si="94"/>
        <v/>
      </c>
      <c r="AB277" t="str">
        <f t="shared" ca="1" si="95"/>
        <v/>
      </c>
      <c r="AC277" t="str">
        <f t="shared" ca="1" si="96"/>
        <v/>
      </c>
      <c r="AE277" t="str">
        <f t="shared" ca="1" si="101"/>
        <v/>
      </c>
      <c r="AF277" t="str">
        <f t="shared" ca="1" si="102"/>
        <v/>
      </c>
      <c r="AG277" t="str">
        <f t="shared" ca="1" si="103"/>
        <v/>
      </c>
      <c r="AH277" t="str">
        <f t="shared" ca="1" si="104"/>
        <v/>
      </c>
      <c r="AI277" t="str">
        <f t="shared" ca="1" si="105"/>
        <v/>
      </c>
      <c r="AJ277" t="str">
        <f t="shared" ca="1" si="106"/>
        <v/>
      </c>
    </row>
    <row r="278" spans="15:36" ht="18.600000000000001" customHeight="1" x14ac:dyDescent="0.45">
      <c r="O278">
        <f t="shared" si="108"/>
        <v>0</v>
      </c>
      <c r="P278">
        <f t="shared" si="109"/>
        <v>0</v>
      </c>
      <c r="R278" t="str" cm="1">
        <f t="array" ref="R278">IFERROR(_xlfn.AGGREGATE(15, 6, ($O$2:$O$350)/($O$2:$O$350&lt;&gt;0), ROWS($R$2:R278)), "")</f>
        <v/>
      </c>
      <c r="S278" t="str" cm="1">
        <f t="array" ref="S278">IFERROR(_xlfn.AGGREGATE(15, 6, ($P$2:$P$350)/($P$2:$P$350&lt;&gt;0), ROWS($R$2:R278)), "")</f>
        <v/>
      </c>
      <c r="U278" t="str">
        <f t="shared" ca="1" si="97"/>
        <v/>
      </c>
      <c r="V278" t="str">
        <f t="shared" ca="1" si="98"/>
        <v/>
      </c>
      <c r="W278" t="str">
        <f t="shared" ca="1" si="99"/>
        <v/>
      </c>
      <c r="X278" t="str">
        <f t="shared" ca="1" si="100"/>
        <v/>
      </c>
      <c r="Z278" t="str">
        <f t="shared" ca="1" si="107"/>
        <v/>
      </c>
      <c r="AA278" t="str">
        <f t="shared" ca="1" si="94"/>
        <v/>
      </c>
      <c r="AB278" t="str">
        <f t="shared" ca="1" si="95"/>
        <v/>
      </c>
      <c r="AC278" t="str">
        <f t="shared" ca="1" si="96"/>
        <v/>
      </c>
      <c r="AE278" t="str">
        <f t="shared" ca="1" si="101"/>
        <v/>
      </c>
      <c r="AF278" t="str">
        <f t="shared" ca="1" si="102"/>
        <v/>
      </c>
      <c r="AG278" t="str">
        <f t="shared" ca="1" si="103"/>
        <v/>
      </c>
      <c r="AH278" t="str">
        <f t="shared" ca="1" si="104"/>
        <v/>
      </c>
      <c r="AI278" t="str">
        <f t="shared" ca="1" si="105"/>
        <v/>
      </c>
      <c r="AJ278" t="str">
        <f t="shared" ca="1" si="106"/>
        <v/>
      </c>
    </row>
    <row r="279" spans="15:36" ht="18.600000000000001" customHeight="1" x14ac:dyDescent="0.45">
      <c r="O279">
        <f t="shared" si="108"/>
        <v>0</v>
      </c>
      <c r="P279">
        <f t="shared" si="109"/>
        <v>0</v>
      </c>
      <c r="R279" t="str" cm="1">
        <f t="array" ref="R279">IFERROR(_xlfn.AGGREGATE(15, 6, ($O$2:$O$350)/($O$2:$O$350&lt;&gt;0), ROWS($R$2:R279)), "")</f>
        <v/>
      </c>
      <c r="S279" t="str" cm="1">
        <f t="array" ref="S279">IFERROR(_xlfn.AGGREGATE(15, 6, ($P$2:$P$350)/($P$2:$P$350&lt;&gt;0), ROWS($R$2:R279)), "")</f>
        <v/>
      </c>
      <c r="U279" t="str">
        <f t="shared" ca="1" si="97"/>
        <v/>
      </c>
      <c r="V279" t="str">
        <f t="shared" ca="1" si="98"/>
        <v/>
      </c>
      <c r="W279" t="str">
        <f t="shared" ca="1" si="99"/>
        <v/>
      </c>
      <c r="X279" t="str">
        <f t="shared" ca="1" si="100"/>
        <v/>
      </c>
      <c r="Z279" t="str">
        <f t="shared" ca="1" si="107"/>
        <v/>
      </c>
      <c r="AA279" t="str">
        <f t="shared" ca="1" si="94"/>
        <v/>
      </c>
      <c r="AB279" t="str">
        <f t="shared" ca="1" si="95"/>
        <v/>
      </c>
      <c r="AC279" t="str">
        <f t="shared" ca="1" si="96"/>
        <v/>
      </c>
      <c r="AE279" t="str">
        <f t="shared" ca="1" si="101"/>
        <v/>
      </c>
      <c r="AF279" t="str">
        <f t="shared" ca="1" si="102"/>
        <v/>
      </c>
      <c r="AG279" t="str">
        <f t="shared" ca="1" si="103"/>
        <v/>
      </c>
      <c r="AH279" t="str">
        <f t="shared" ca="1" si="104"/>
        <v/>
      </c>
      <c r="AI279" t="str">
        <f t="shared" ca="1" si="105"/>
        <v/>
      </c>
      <c r="AJ279" t="str">
        <f t="shared" ca="1" si="106"/>
        <v/>
      </c>
    </row>
    <row r="280" spans="15:36" ht="18.600000000000001" customHeight="1" x14ac:dyDescent="0.45">
      <c r="O280">
        <f t="shared" si="108"/>
        <v>0</v>
      </c>
      <c r="P280">
        <f t="shared" si="109"/>
        <v>0</v>
      </c>
      <c r="R280" t="str" cm="1">
        <f t="array" ref="R280">IFERROR(_xlfn.AGGREGATE(15, 6, ($O$2:$O$350)/($O$2:$O$350&lt;&gt;0), ROWS($R$2:R280)), "")</f>
        <v/>
      </c>
      <c r="S280" t="str" cm="1">
        <f t="array" ref="S280">IFERROR(_xlfn.AGGREGATE(15, 6, ($P$2:$P$350)/($P$2:$P$350&lt;&gt;0), ROWS($R$2:R280)), "")</f>
        <v/>
      </c>
      <c r="U280" t="str">
        <f t="shared" ca="1" si="97"/>
        <v/>
      </c>
      <c r="V280" t="str">
        <f t="shared" ca="1" si="98"/>
        <v/>
      </c>
      <c r="W280" t="str">
        <f t="shared" ca="1" si="99"/>
        <v/>
      </c>
      <c r="X280" t="str">
        <f t="shared" ca="1" si="100"/>
        <v/>
      </c>
      <c r="Z280" t="str">
        <f t="shared" ca="1" si="107"/>
        <v/>
      </c>
      <c r="AA280" t="str">
        <f t="shared" ca="1" si="94"/>
        <v/>
      </c>
      <c r="AB280" t="str">
        <f t="shared" ca="1" si="95"/>
        <v/>
      </c>
      <c r="AC280" t="str">
        <f t="shared" ca="1" si="96"/>
        <v/>
      </c>
      <c r="AE280" t="str">
        <f t="shared" ca="1" si="101"/>
        <v/>
      </c>
      <c r="AF280" t="str">
        <f t="shared" ca="1" si="102"/>
        <v/>
      </c>
      <c r="AG280" t="str">
        <f t="shared" ca="1" si="103"/>
        <v/>
      </c>
      <c r="AH280" t="str">
        <f t="shared" ca="1" si="104"/>
        <v/>
      </c>
      <c r="AI280" t="str">
        <f t="shared" ca="1" si="105"/>
        <v/>
      </c>
      <c r="AJ280" t="str">
        <f t="shared" ca="1" si="106"/>
        <v/>
      </c>
    </row>
    <row r="281" spans="15:36" ht="18.600000000000001" customHeight="1" x14ac:dyDescent="0.45">
      <c r="O281">
        <f t="shared" si="108"/>
        <v>0</v>
      </c>
      <c r="P281">
        <f t="shared" si="109"/>
        <v>0</v>
      </c>
      <c r="R281" t="str" cm="1">
        <f t="array" ref="R281">IFERROR(_xlfn.AGGREGATE(15, 6, ($O$2:$O$350)/($O$2:$O$350&lt;&gt;0), ROWS($R$2:R281)), "")</f>
        <v/>
      </c>
      <c r="S281" t="str" cm="1">
        <f t="array" ref="S281">IFERROR(_xlfn.AGGREGATE(15, 6, ($P$2:$P$350)/($P$2:$P$350&lt;&gt;0), ROWS($R$2:R281)), "")</f>
        <v/>
      </c>
      <c r="U281" t="str">
        <f t="shared" ca="1" si="97"/>
        <v/>
      </c>
      <c r="V281" t="str">
        <f t="shared" ca="1" si="98"/>
        <v/>
      </c>
      <c r="W281" t="str">
        <f t="shared" ca="1" si="99"/>
        <v/>
      </c>
      <c r="X281" t="str">
        <f t="shared" ca="1" si="100"/>
        <v/>
      </c>
      <c r="Z281" t="str">
        <f t="shared" ca="1" si="107"/>
        <v/>
      </c>
      <c r="AA281" t="str">
        <f t="shared" ca="1" si="94"/>
        <v/>
      </c>
      <c r="AB281" t="str">
        <f t="shared" ca="1" si="95"/>
        <v/>
      </c>
      <c r="AC281" t="str">
        <f t="shared" ca="1" si="96"/>
        <v/>
      </c>
      <c r="AE281" t="str">
        <f t="shared" ca="1" si="101"/>
        <v/>
      </c>
      <c r="AF281" t="str">
        <f t="shared" ca="1" si="102"/>
        <v/>
      </c>
      <c r="AG281" t="str">
        <f t="shared" ca="1" si="103"/>
        <v/>
      </c>
      <c r="AH281" t="str">
        <f t="shared" ca="1" si="104"/>
        <v/>
      </c>
      <c r="AI281" t="str">
        <f t="shared" ca="1" si="105"/>
        <v/>
      </c>
      <c r="AJ281" t="str">
        <f t="shared" ca="1" si="106"/>
        <v/>
      </c>
    </row>
    <row r="282" spans="15:36" ht="18.600000000000001" customHeight="1" x14ac:dyDescent="0.45">
      <c r="O282">
        <f t="shared" si="108"/>
        <v>0</v>
      </c>
      <c r="P282">
        <f t="shared" si="109"/>
        <v>0</v>
      </c>
      <c r="R282" t="str" cm="1">
        <f t="array" ref="R282">IFERROR(_xlfn.AGGREGATE(15, 6, ($O$2:$O$350)/($O$2:$O$350&lt;&gt;0), ROWS($R$2:R282)), "")</f>
        <v/>
      </c>
      <c r="S282" t="str" cm="1">
        <f t="array" ref="S282">IFERROR(_xlfn.AGGREGATE(15, 6, ($P$2:$P$350)/($P$2:$P$350&lt;&gt;0), ROWS($R$2:R282)), "")</f>
        <v/>
      </c>
      <c r="U282" t="str">
        <f t="shared" ca="1" si="97"/>
        <v/>
      </c>
      <c r="V282" t="str">
        <f t="shared" ca="1" si="98"/>
        <v/>
      </c>
      <c r="W282" t="str">
        <f t="shared" ca="1" si="99"/>
        <v/>
      </c>
      <c r="X282" t="str">
        <f t="shared" ca="1" si="100"/>
        <v/>
      </c>
      <c r="Z282" t="str">
        <f t="shared" ca="1" si="107"/>
        <v/>
      </c>
      <c r="AA282" t="str">
        <f t="shared" ca="1" si="94"/>
        <v/>
      </c>
      <c r="AB282" t="str">
        <f t="shared" ca="1" si="95"/>
        <v/>
      </c>
      <c r="AC282" t="str">
        <f t="shared" ca="1" si="96"/>
        <v/>
      </c>
      <c r="AE282" t="str">
        <f t="shared" ca="1" si="101"/>
        <v/>
      </c>
      <c r="AF282" t="str">
        <f t="shared" ca="1" si="102"/>
        <v/>
      </c>
      <c r="AG282" t="str">
        <f t="shared" ca="1" si="103"/>
        <v/>
      </c>
      <c r="AH282" t="str">
        <f t="shared" ca="1" si="104"/>
        <v/>
      </c>
      <c r="AI282" t="str">
        <f t="shared" ca="1" si="105"/>
        <v/>
      </c>
      <c r="AJ282" t="str">
        <f t="shared" ca="1" si="106"/>
        <v/>
      </c>
    </row>
    <row r="283" spans="15:36" ht="18.600000000000001" customHeight="1" x14ac:dyDescent="0.45">
      <c r="O283">
        <f t="shared" si="108"/>
        <v>0</v>
      </c>
      <c r="P283">
        <f t="shared" si="109"/>
        <v>0</v>
      </c>
      <c r="R283" t="str" cm="1">
        <f t="array" ref="R283">IFERROR(_xlfn.AGGREGATE(15, 6, ($O$2:$O$350)/($O$2:$O$350&lt;&gt;0), ROWS($R$2:R283)), "")</f>
        <v/>
      </c>
      <c r="S283" t="str" cm="1">
        <f t="array" ref="S283">IFERROR(_xlfn.AGGREGATE(15, 6, ($P$2:$P$350)/($P$2:$P$350&lt;&gt;0), ROWS($R$2:R283)), "")</f>
        <v/>
      </c>
      <c r="U283" t="str">
        <f t="shared" ca="1" si="97"/>
        <v/>
      </c>
      <c r="V283" t="str">
        <f t="shared" ca="1" si="98"/>
        <v/>
      </c>
      <c r="W283" t="str">
        <f t="shared" ca="1" si="99"/>
        <v/>
      </c>
      <c r="X283" t="str">
        <f t="shared" ca="1" si="100"/>
        <v/>
      </c>
      <c r="Z283" t="str">
        <f t="shared" ca="1" si="107"/>
        <v/>
      </c>
      <c r="AA283" t="str">
        <f t="shared" ca="1" si="94"/>
        <v/>
      </c>
      <c r="AB283" t="str">
        <f t="shared" ca="1" si="95"/>
        <v/>
      </c>
      <c r="AC283" t="str">
        <f t="shared" ca="1" si="96"/>
        <v/>
      </c>
      <c r="AE283" t="str">
        <f t="shared" ca="1" si="101"/>
        <v/>
      </c>
      <c r="AF283" t="str">
        <f t="shared" ca="1" si="102"/>
        <v/>
      </c>
      <c r="AG283" t="str">
        <f t="shared" ca="1" si="103"/>
        <v/>
      </c>
      <c r="AH283" t="str">
        <f t="shared" ca="1" si="104"/>
        <v/>
      </c>
      <c r="AI283" t="str">
        <f t="shared" ca="1" si="105"/>
        <v/>
      </c>
      <c r="AJ283" t="str">
        <f t="shared" ca="1" si="106"/>
        <v/>
      </c>
    </row>
    <row r="284" spans="15:36" ht="18.600000000000001" customHeight="1" x14ac:dyDescent="0.45">
      <c r="O284">
        <f t="shared" si="108"/>
        <v>0</v>
      </c>
      <c r="P284">
        <f t="shared" si="109"/>
        <v>0</v>
      </c>
      <c r="R284" t="str" cm="1">
        <f t="array" ref="R284">IFERROR(_xlfn.AGGREGATE(15, 6, ($O$2:$O$350)/($O$2:$O$350&lt;&gt;0), ROWS($R$2:R284)), "")</f>
        <v/>
      </c>
      <c r="S284" t="str" cm="1">
        <f t="array" ref="S284">IFERROR(_xlfn.AGGREGATE(15, 6, ($P$2:$P$350)/($P$2:$P$350&lt;&gt;0), ROWS($R$2:R284)), "")</f>
        <v/>
      </c>
      <c r="U284" t="str">
        <f t="shared" ca="1" si="97"/>
        <v/>
      </c>
      <c r="V284" t="str">
        <f t="shared" ca="1" si="98"/>
        <v/>
      </c>
      <c r="W284" t="str">
        <f t="shared" ca="1" si="99"/>
        <v/>
      </c>
      <c r="X284" t="str">
        <f t="shared" ca="1" si="100"/>
        <v/>
      </c>
      <c r="Z284" t="str">
        <f t="shared" ca="1" si="107"/>
        <v/>
      </c>
      <c r="AA284" t="str">
        <f t="shared" ca="1" si="94"/>
        <v/>
      </c>
      <c r="AB284" t="str">
        <f t="shared" ca="1" si="95"/>
        <v/>
      </c>
      <c r="AC284" t="str">
        <f t="shared" ca="1" si="96"/>
        <v/>
      </c>
      <c r="AE284" t="str">
        <f t="shared" ca="1" si="101"/>
        <v/>
      </c>
      <c r="AF284" t="str">
        <f t="shared" ca="1" si="102"/>
        <v/>
      </c>
      <c r="AG284" t="str">
        <f t="shared" ca="1" si="103"/>
        <v/>
      </c>
      <c r="AH284" t="str">
        <f t="shared" ca="1" si="104"/>
        <v/>
      </c>
      <c r="AI284" t="str">
        <f t="shared" ca="1" si="105"/>
        <v/>
      </c>
      <c r="AJ284" t="str">
        <f t="shared" ca="1" si="106"/>
        <v/>
      </c>
    </row>
    <row r="285" spans="15:36" ht="18.600000000000001" customHeight="1" x14ac:dyDescent="0.45">
      <c r="O285">
        <f t="shared" si="108"/>
        <v>0</v>
      </c>
      <c r="P285">
        <f t="shared" si="109"/>
        <v>0</v>
      </c>
      <c r="R285" t="str" cm="1">
        <f t="array" ref="R285">IFERROR(_xlfn.AGGREGATE(15, 6, ($O$2:$O$350)/($O$2:$O$350&lt;&gt;0), ROWS($R$2:R285)), "")</f>
        <v/>
      </c>
      <c r="S285" t="str" cm="1">
        <f t="array" ref="S285">IFERROR(_xlfn.AGGREGATE(15, 6, ($P$2:$P$350)/($P$2:$P$350&lt;&gt;0), ROWS($R$2:R285)), "")</f>
        <v/>
      </c>
      <c r="U285" t="str">
        <f t="shared" ca="1" si="97"/>
        <v/>
      </c>
      <c r="V285" t="str">
        <f t="shared" ca="1" si="98"/>
        <v/>
      </c>
      <c r="W285" t="str">
        <f t="shared" ca="1" si="99"/>
        <v/>
      </c>
      <c r="X285" t="str">
        <f t="shared" ca="1" si="100"/>
        <v/>
      </c>
      <c r="Z285" t="str">
        <f t="shared" ca="1" si="107"/>
        <v/>
      </c>
      <c r="AA285" t="str">
        <f t="shared" ref="AA285:AA348" ca="1" si="110">IFERROR(IF(S285&lt;&gt;"",
IF(Z285&lt;&gt;"",
IF(COUNTIF(OFFSET($A$1,$S285-1,Z285),"*g*"),
Z285,IF(COUNTIF(OFFSET($A$1,$S285-1,Z285+1),"*g*"),Z285+2,
IF(OFFSET($A$1,$S285-1,Z285)=".","",
IF(OFFSET($A$1,$S285-1,Z285)=OFFSET($A$1,$S285-1,Z285+1),Z285+1,Z285+2)))),
IF(COUNTIF(OFFSET($A$1,$S285-1,2),"*g*"),
2,IF(COUNTIF(OFFSET($A$1,$S285-1,2+1),"*g*"),2+2,
IF(OFFSET($A$1,$S285-1,2)=".","",
IF(OFFSET($A$1,$S285-1,2)=OFFSET($A$1,$S285-1,2+1),
IF(OFFSET($A$1,$S285-1,2+1)=0,"",2+1),
IF(OFFSET($A$1,$S285-1,2)&lt;&gt;"",2,
IF(OFFSET($A$1,$S285-1,2+1)&lt;&gt;"",2+1,""))))))),""),"")</f>
        <v/>
      </c>
      <c r="AB285" t="str">
        <f t="shared" ref="AB285:AB348" ca="1" si="111">IFERROR(IF(S285&lt;&gt;"",
IF(COUNTIF(OFFSET($A$1,$S285-1,AA285),"*g*"),
AA285,IF(COUNTIF(OFFSET($A$1,$S285-1,AA285+1),"*g*"),AA285+2,
IF(OFFSET($A$1,$S285-1,AA285)=".","",
IF(OFFSET($A$1,$S285-1,AA285)=OFFSET($A$1,$S285-1,AA285+1),AA285+1,AA285+2)))),""),"")</f>
        <v/>
      </c>
      <c r="AC285" t="str">
        <f t="shared" ref="AC285:AC348" ca="1" si="112">IFERROR(IF(S285&lt;&gt;"",
IF(COUNTIF(OFFSET($A$1,$S285-1,AB285),"*g*"),
AB285,IF(COUNTIF(OFFSET($A$1,$S285-1,AB285+1),"*g*"),AB285+2,
IF(OFFSET($A$1,$S285-1,AB285)=".","",
IF(OFFSET($A$1,$S285-1,AB285)=OFFSET($A$1,$S285-1,AB285+1),AB285+1,
IF(OFFSET($A$1,$S285-1,AB285+1)&lt;&gt;0,AB285+2,
IF(OFFSET($A$1,$S285-1,AB285)&lt;&gt;0,AB285+1,"")))))),""),"")</f>
        <v/>
      </c>
      <c r="AE285" t="str">
        <f t="shared" ca="1" si="101"/>
        <v/>
      </c>
      <c r="AF285" t="str">
        <f t="shared" ca="1" si="102"/>
        <v/>
      </c>
      <c r="AG285" t="str">
        <f t="shared" ca="1" si="103"/>
        <v/>
      </c>
      <c r="AH285" t="str">
        <f t="shared" ca="1" si="104"/>
        <v/>
      </c>
      <c r="AI285" t="str">
        <f t="shared" ca="1" si="105"/>
        <v/>
      </c>
      <c r="AJ285" t="str">
        <f t="shared" ca="1" si="106"/>
        <v/>
      </c>
    </row>
    <row r="286" spans="15:36" ht="18.600000000000001" customHeight="1" x14ac:dyDescent="0.45">
      <c r="O286">
        <f t="shared" si="108"/>
        <v>0</v>
      </c>
      <c r="P286">
        <f t="shared" si="109"/>
        <v>0</v>
      </c>
      <c r="R286" t="str" cm="1">
        <f t="array" ref="R286">IFERROR(_xlfn.AGGREGATE(15, 6, ($O$2:$O$350)/($O$2:$O$350&lt;&gt;0), ROWS($R$2:R286)), "")</f>
        <v/>
      </c>
      <c r="S286" t="str" cm="1">
        <f t="array" ref="S286">IFERROR(_xlfn.AGGREGATE(15, 6, ($P$2:$P$350)/($P$2:$P$350&lt;&gt;0), ROWS($R$2:R286)), "")</f>
        <v/>
      </c>
      <c r="U286" t="str">
        <f t="shared" ref="U286:U349" ca="1" si="113">IF(R286&lt;&gt;"",
IF(COUNTIF(OFFSET($A$1,$R286-1,0),"*/*"),
IF(COUNTIF(OFFSET($A$1,$R286-1,1),"*/*"),"",2),1),"")</f>
        <v/>
      </c>
      <c r="V286" t="str">
        <f t="shared" ref="V286:V349" ca="1" si="114">IF(R286&lt;&gt;"",IF(U286&lt;&gt;"",
IF(COUNTIF(OFFSET($A$1,$R286-1,U286),"*/*"),
IF(COUNTIF(OFFSET($A$1,$R286-1,U286+1),"*/*"),"",U286+2),U286+1),
IF(COUNTIF(OFFSET($A$1,$R286-1,1),"*/*"),
IF(COUNTIF(OFFSET($A$1,$R286-1,1+1),"*/*"),"",1+2),1+1)),"")</f>
        <v/>
      </c>
      <c r="W286" t="str">
        <f t="shared" ref="W286:W349" ca="1" si="115">IF(R286&lt;&gt;"",IF(V286&lt;&gt;"",
IF(COUNTIF(OFFSET($A$1,$R286-1,V286),"*/*"),
IF(COUNTIF(OFFSET($A$1,$R286-1,V286+1),"*/*"),"",V286+2),V286+1),
IF(COUNTIF(OFFSET($A$1,$R286-1,2),"*/*"),
IF(COUNTIF(OFFSET($A$1,$R286-1,2+1),"*/*"),"",2+2),2+1)),"")</f>
        <v/>
      </c>
      <c r="X286" t="str">
        <f t="shared" ref="X286:X349" ca="1" si="116">IF(R286&lt;&gt;"",IF(W286&lt;&gt;"",
IF(COUNTIF(OFFSET($A$1,$R286-1,W286),"*/*"),
IF(COUNTIF(OFFSET($A$1,$R286-1,W286+1),"*/*"),"",W286+2),W286+1),
IF(COUNTIF(OFFSET($A$1,$R286-1,5),"*/*"),
IF(COUNTIF(OFFSET($A$1,$R286-1,5+1),"*/*"),"",
IF(OFFSET($A$1,R286-1,5+2-1)=0,"",5+2)),IF(OFFSET($A$1,R286-1,5+1-1)=0,"",5+1))),"")</f>
        <v/>
      </c>
      <c r="Z286" t="str">
        <f t="shared" ca="1" si="107"/>
        <v/>
      </c>
      <c r="AA286" t="str">
        <f t="shared" ca="1" si="110"/>
        <v/>
      </c>
      <c r="AB286" t="str">
        <f t="shared" ca="1" si="111"/>
        <v/>
      </c>
      <c r="AC286" t="str">
        <f t="shared" ca="1" si="112"/>
        <v/>
      </c>
      <c r="AE286" t="str">
        <f t="shared" ref="AE286:AE349" ca="1" si="117">IF(R286&lt;&gt;"",
IF(AND($S286-$R285&gt;3,COUNTIF(OFFSET($A$1,$R285+($S286-$R285-4),0),"&lt;&gt;*テキスト*")),
IF(OFFSET($A$1,$R285+($S286-$R285-4),0)=OFFSET($A$1,$R285+($S286-$R285-4),1),1,
IF(OFFSET($A$1,$R285+($S286-$R285-4),0)=OFFSET($A$1,$R285+($S286-$R285-4),2),2,
IF(OFFSET($A$1,$R285+($S286-$R285-4),0)=OFFSET($A$1,$R285+($S286-$R285-4),3),3,4))),
IF(AND($S286-$R285&gt;2,COUNTIF(OFFSET($A$1,$R285+($S286-$R285-3),0),"&lt;&gt;*テキスト*")),
IF(OFFSET($A$1,$R285+($S286-$R285-3),0)=OFFSET($A$1,$R285+($S286-$R285-3),1),1,
IF(OFFSET($A$1,$R285+($S286-$R285-3),0)=OFFSET($A$1,$R285+($S286-$R285-3),2),2,
IF(OFFSET($A$1,$R285+($S286-$R285-3),0)=OFFSET($A$1,$R285+($S286-$R285-3),3),3,4))),
IF(COUNTIF(OFFSET($A$1,$R285+($S286-$R285-2),0),"*様*"),1,
IF(COUNTIF(OFFSET($A$1,$R285+($S286-$R285-2),1),"*様*"),2,
IF(COUNTIF(OFFSET($A$1,$R285+($S286-$R285-2),2),"*様*"),3,4))))),"")</f>
        <v/>
      </c>
      <c r="AF286" t="str">
        <f t="shared" ref="AF286:AF349" ca="1" si="118">IF(R286&lt;&gt;"",
IF(AND($S286-$R285&gt;3,COUNTIF(OFFSET($A$1,$R285+($S286-$R285-4),0),"&lt;&gt;*テキスト*")),
IFERROR(IF(OFFSET($A$1,$R285+($S286-$R285-4),AE286)=0,"",
IF(OFFSET($A$1,$R285+($S286-$R285-4),AE286)=OFFSET($A$1,$R285+($S286-$R285-4),AE286+1),1+AE286,
IF(OFFSET($A$1,$R285+($S286-$R285-4),AE286)=OFFSET($A$1,$R285+($S286-$R285-4),AE286+2),2+AE286,
IF(OFFSET($A$1,$R285+($S286-$R285-4),AE286)=OFFSET($A$1,$R285+($S286-$R285-4),AE286+3),3+AE286,3+AE286)))),""),
IF(AND($S286-$R285&gt;2,COUNTIF(OFFSET($A$1,$R285+($S286-$R285-3),0),"&lt;&gt;*テキスト*")),
IFERROR(IF(OFFSET($A$1,$R285+($S286-$R285-3),AE286)=0,"",
IF(OFFSET($A$1,$R285+($S286-$R285-3),AE286)=OFFSET($A$1,$R285+($S286-$R285-3),AE286+1),1+AE286,
IF(OFFSET($A$1,$R285+($S286-$R285-3),AE286)=OFFSET($A$1,$R285+($S286-$R285-3),AE286+2),2+AE286,
IF(OFFSET($A$1,$R285+($S286-$R285-3),AE286)=OFFSET($A$1,$R285+($S286-$R285-3),AE286+3),3+AE286,3+AE286)))),""),
IF(COUNTIF(OFFSET($A$1,$R285+($S286-$R285-2),AE286),"*様*"),1+AE286,
IF(COUNTIF(OFFSET($A$1,$R285+($S286-$R285-2),AE286+1),"*様*"),2+AE286,
IF(COUNTIF(OFFSET($A$1,$R285+($S286-$R285-2),AE286+2),"*様*"),3+AE286,4+AE286))))),"")</f>
        <v/>
      </c>
      <c r="AG286" t="str">
        <f t="shared" ref="AG286:AG349" ca="1" si="119">IF(R286&lt;&gt;"",
IF(AND($S286-$R285&gt;3,COUNTIF(OFFSET($A$1,$R285+($S286-$R285-4),0),"&lt;&gt;*テキスト*")),
IFERROR(IF(OFFSET($A$1,$R285+($S286-$R285-4),AF286)=0,"",
IF(OFFSET($A$1,$R285+($S286-$R285-4),AF286)=OFFSET($A$1,$R285+($S286-$R285-4),AF286+1),1+AF286,
IF(OFFSET($A$1,$R285+($S286-$R285-4),AF286)=OFFSET($A$1,$R285+($S286-$R285-4),AF286+2),2+AF286,
IF(OFFSET($A$1,$R285+($S286-$R285-4),AF286)=OFFSET($A$1,$R285+($S286-$R285-4),AF286+3),3+AF286,3+AF286)))),""),
IF(AND($S286-$R285&gt;2,COUNTIF(OFFSET($A$1,$R285+($S286-$R285-3),0),"&lt;&gt;*テキスト*")),
IFERROR(IF(OFFSET($A$1,$R285+($S286-$R285-3),AF286)=0,"",
IF(OFFSET($A$1,$R285+($S286-$R285-3),AF286)=OFFSET($A$1,$R285+($S286-$R285-3),AF286+1),1+AF286,
IF(OFFSET($A$1,$R285+($S286-$R285-3),AF286)=OFFSET($A$1,$R285+($S286-$R285-3),AF286+2),2+AF286,
IF(OFFSET($A$1,$R285+($S286-$R285-3),AF286)=OFFSET($A$1,$R285+($S286-$R285-3),AF286+3),3+AF286,3+AF286)))),""),
IF(COUNTIF(OFFSET($A$1,$R285+($S286-$R285-2),AF286),"*様*"),1+AF286,
IF(COUNTIF(OFFSET($A$1,$R285+($S286-$R285-2),AF286+1),"*様*"),2+AF286,
IF(COUNTIF(OFFSET($A$1,$R285+($S286-$R285-2),AF286+2),"*様*"),3+AF286,4+AF286))))),"")</f>
        <v/>
      </c>
      <c r="AH286" t="str">
        <f t="shared" ref="AH286:AH349" ca="1" si="120">IF(R286&lt;&gt;"",
IF(AND($S286-$R285&gt;3,COUNTIF(OFFSET($A$1,$R285+($S286-$R285-4),0),"&lt;&gt;*テキスト*")),
IFERROR(IF(OFFSET($A$1,$R285+($S286-$R285-4),AG286)=0,"",
IF(OFFSET($A$1,$R285+($S286-$R285-4),AG286)=OFFSET($A$1,$R285+($S286-$R285-4),AG286+1),1+AG286,
IF(OFFSET($A$1,$R285+($S286-$R285-4),AG286)=OFFSET($A$1,$R285+($S286-$R285-4),AG286+2),2+AG286,
IF(OFFSET($A$1,$R285+($S286-$R285-4),AG286)=OFFSET($A$1,$R285+($S286-$R285-4),AG286+3),3+AG286,3+AG286)))),""),
IF(AND($S286-$R285&gt;2,COUNTIF(OFFSET($A$1,$R285+($S286-$R285-3),0),"&lt;&gt;*テキスト*")),
IFERROR(IF(OFFSET($A$1,$R285+($S286-$R285-3),AG286)=0,"",
IF(OFFSET($A$1,$R285+($S286-$R285-3),AG286)=OFFSET($A$1,$R285+($S286-$R285-3),AG286+1),1+AG286,
IF(OFFSET($A$1,$R285+($S286-$R285-3),AG286)=OFFSET($A$1,$R285+($S286-$R285-3),AG286+2),2+AG286,
IF(OFFSET($A$1,$R285+($S286-$R285-3),AG286)=OFFSET($A$1,$R285+($S286-$R285-3),AG286+3),3+AG286,3+AG286)))),""),
IF(COUNTIF(OFFSET($A$1,$R285+($S286-$R285-2),AG286),"*様*"),1+AG286,
IF(COUNTIF(OFFSET($A$1,$R285+($S286-$R285-2),AG286+1),"*様*"),2+AG286,
IF(COUNTIF(OFFSET($A$1,$R285+($S286-$R285-2),AG286+2),"*様*"),3+AG286,4+AG286))))),"")</f>
        <v/>
      </c>
      <c r="AI286" t="str">
        <f t="shared" ref="AI286:AI349" ca="1" si="121">IF(R286&lt;&gt;"",
IF(AG286&lt;&gt;"","",
IF(COUNTIF(OFFSET($A$1,$R285+($S286-$R285-3),0),"*様*"),1,
IF(COUNTIF(OFFSET($A$1,$R285+($S286-$R285-3),1),"*様*"),2,
IF(COUNTIF(OFFSET($A$1,$R285+($S286-$R285-3),2),"*様*"),3,4)))),"")</f>
        <v/>
      </c>
      <c r="AJ286" t="str">
        <f t="shared" ref="AJ286:AJ349" ca="1" si="122">IF(R286&lt;&gt;"",
IF(AH286&lt;&gt;"","",
IF(AI286&lt;&gt;"",
IF(COUNTIF(OFFSET($A$1,$R285+($S286-$R285-3),AI286),"*様*"),1+AI286,
IF(COUNTIF(OFFSET($A$1,$R285+($S286-$R285-3),AI286+1),"*様*"),2+AI286,
IF(COUNTIF(OFFSET($A$1,$R285+($S286-$R285-3),AI286+2),"*様*"),3+AI286,4+AI286))),
IF(COUNTIF(OFFSET($A$1,$R285+($S286-$R285-3),0),"*様*"),1,
IF(COUNTIF(OFFSET($A$1,$R285+($S286-$R285-3),1),"*様*"),2,
IF(COUNTIF(OFFSET($A$1,$R285+($S286-$R285-3),2),"*様*"),3,4))))),"")</f>
        <v/>
      </c>
    </row>
    <row r="287" spans="15:36" ht="18.600000000000001" customHeight="1" x14ac:dyDescent="0.45">
      <c r="O287">
        <f t="shared" si="108"/>
        <v>0</v>
      </c>
      <c r="P287">
        <f t="shared" si="109"/>
        <v>0</v>
      </c>
      <c r="R287" t="str" cm="1">
        <f t="array" ref="R287">IFERROR(_xlfn.AGGREGATE(15, 6, ($O$2:$O$350)/($O$2:$O$350&lt;&gt;0), ROWS($R$2:R287)), "")</f>
        <v/>
      </c>
      <c r="S287" t="str" cm="1">
        <f t="array" ref="S287">IFERROR(_xlfn.AGGREGATE(15, 6, ($P$2:$P$350)/($P$2:$P$350&lt;&gt;0), ROWS($R$2:R287)), "")</f>
        <v/>
      </c>
      <c r="U287" t="str">
        <f t="shared" ca="1" si="113"/>
        <v/>
      </c>
      <c r="V287" t="str">
        <f t="shared" ca="1" si="114"/>
        <v/>
      </c>
      <c r="W287" t="str">
        <f t="shared" ca="1" si="115"/>
        <v/>
      </c>
      <c r="X287" t="str">
        <f t="shared" ca="1" si="116"/>
        <v/>
      </c>
      <c r="Z287" t="str">
        <f t="shared" ca="1" si="107"/>
        <v/>
      </c>
      <c r="AA287" t="str">
        <f t="shared" ca="1" si="110"/>
        <v/>
      </c>
      <c r="AB287" t="str">
        <f t="shared" ca="1" si="111"/>
        <v/>
      </c>
      <c r="AC287" t="str">
        <f t="shared" ca="1" si="112"/>
        <v/>
      </c>
      <c r="AE287" t="str">
        <f t="shared" ca="1" si="117"/>
        <v/>
      </c>
      <c r="AF287" t="str">
        <f t="shared" ca="1" si="118"/>
        <v/>
      </c>
      <c r="AG287" t="str">
        <f t="shared" ca="1" si="119"/>
        <v/>
      </c>
      <c r="AH287" t="str">
        <f t="shared" ca="1" si="120"/>
        <v/>
      </c>
      <c r="AI287" t="str">
        <f t="shared" ca="1" si="121"/>
        <v/>
      </c>
      <c r="AJ287" t="str">
        <f t="shared" ca="1" si="122"/>
        <v/>
      </c>
    </row>
    <row r="288" spans="15:36" ht="18.600000000000001" customHeight="1" x14ac:dyDescent="0.45">
      <c r="O288">
        <f t="shared" si="108"/>
        <v>0</v>
      </c>
      <c r="P288">
        <f t="shared" si="109"/>
        <v>0</v>
      </c>
      <c r="R288" t="str" cm="1">
        <f t="array" ref="R288">IFERROR(_xlfn.AGGREGATE(15, 6, ($O$2:$O$350)/($O$2:$O$350&lt;&gt;0), ROWS($R$2:R288)), "")</f>
        <v/>
      </c>
      <c r="S288" t="str" cm="1">
        <f t="array" ref="S288">IFERROR(_xlfn.AGGREGATE(15, 6, ($P$2:$P$350)/($P$2:$P$350&lt;&gt;0), ROWS($R$2:R288)), "")</f>
        <v/>
      </c>
      <c r="U288" t="str">
        <f t="shared" ca="1" si="113"/>
        <v/>
      </c>
      <c r="V288" t="str">
        <f t="shared" ca="1" si="114"/>
        <v/>
      </c>
      <c r="W288" t="str">
        <f t="shared" ca="1" si="115"/>
        <v/>
      </c>
      <c r="X288" t="str">
        <f t="shared" ca="1" si="116"/>
        <v/>
      </c>
      <c r="Z288" t="str">
        <f t="shared" ca="1" si="107"/>
        <v/>
      </c>
      <c r="AA288" t="str">
        <f t="shared" ca="1" si="110"/>
        <v/>
      </c>
      <c r="AB288" t="str">
        <f t="shared" ca="1" si="111"/>
        <v/>
      </c>
      <c r="AC288" t="str">
        <f t="shared" ca="1" si="112"/>
        <v/>
      </c>
      <c r="AE288" t="str">
        <f t="shared" ca="1" si="117"/>
        <v/>
      </c>
      <c r="AF288" t="str">
        <f t="shared" ca="1" si="118"/>
        <v/>
      </c>
      <c r="AG288" t="str">
        <f t="shared" ca="1" si="119"/>
        <v/>
      </c>
      <c r="AH288" t="str">
        <f t="shared" ca="1" si="120"/>
        <v/>
      </c>
      <c r="AI288" t="str">
        <f t="shared" ca="1" si="121"/>
        <v/>
      </c>
      <c r="AJ288" t="str">
        <f t="shared" ca="1" si="122"/>
        <v/>
      </c>
    </row>
    <row r="289" spans="15:36" ht="18.600000000000001" customHeight="1" x14ac:dyDescent="0.45">
      <c r="O289">
        <f t="shared" si="108"/>
        <v>0</v>
      </c>
      <c r="P289">
        <f t="shared" si="109"/>
        <v>0</v>
      </c>
      <c r="R289" t="str" cm="1">
        <f t="array" ref="R289">IFERROR(_xlfn.AGGREGATE(15, 6, ($O$2:$O$350)/($O$2:$O$350&lt;&gt;0), ROWS($R$2:R289)), "")</f>
        <v/>
      </c>
      <c r="S289" t="str" cm="1">
        <f t="array" ref="S289">IFERROR(_xlfn.AGGREGATE(15, 6, ($P$2:$P$350)/($P$2:$P$350&lt;&gt;0), ROWS($R$2:R289)), "")</f>
        <v/>
      </c>
      <c r="U289" t="str">
        <f t="shared" ca="1" si="113"/>
        <v/>
      </c>
      <c r="V289" t="str">
        <f t="shared" ca="1" si="114"/>
        <v/>
      </c>
      <c r="W289" t="str">
        <f t="shared" ca="1" si="115"/>
        <v/>
      </c>
      <c r="X289" t="str">
        <f t="shared" ca="1" si="116"/>
        <v/>
      </c>
      <c r="Z289" t="str">
        <f t="shared" ca="1" si="107"/>
        <v/>
      </c>
      <c r="AA289" t="str">
        <f t="shared" ca="1" si="110"/>
        <v/>
      </c>
      <c r="AB289" t="str">
        <f t="shared" ca="1" si="111"/>
        <v/>
      </c>
      <c r="AC289" t="str">
        <f t="shared" ca="1" si="112"/>
        <v/>
      </c>
      <c r="AE289" t="str">
        <f t="shared" ca="1" si="117"/>
        <v/>
      </c>
      <c r="AF289" t="str">
        <f t="shared" ca="1" si="118"/>
        <v/>
      </c>
      <c r="AG289" t="str">
        <f t="shared" ca="1" si="119"/>
        <v/>
      </c>
      <c r="AH289" t="str">
        <f t="shared" ca="1" si="120"/>
        <v/>
      </c>
      <c r="AI289" t="str">
        <f t="shared" ca="1" si="121"/>
        <v/>
      </c>
      <c r="AJ289" t="str">
        <f t="shared" ca="1" si="122"/>
        <v/>
      </c>
    </row>
    <row r="290" spans="15:36" ht="18.600000000000001" customHeight="1" x14ac:dyDescent="0.45">
      <c r="O290">
        <f t="shared" si="108"/>
        <v>0</v>
      </c>
      <c r="P290">
        <f t="shared" si="109"/>
        <v>0</v>
      </c>
      <c r="R290" t="str" cm="1">
        <f t="array" ref="R290">IFERROR(_xlfn.AGGREGATE(15, 6, ($O$2:$O$350)/($O$2:$O$350&lt;&gt;0), ROWS($R$2:R290)), "")</f>
        <v/>
      </c>
      <c r="S290" t="str" cm="1">
        <f t="array" ref="S290">IFERROR(_xlfn.AGGREGATE(15, 6, ($P$2:$P$350)/($P$2:$P$350&lt;&gt;0), ROWS($R$2:R290)), "")</f>
        <v/>
      </c>
      <c r="U290" t="str">
        <f t="shared" ca="1" si="113"/>
        <v/>
      </c>
      <c r="V290" t="str">
        <f t="shared" ca="1" si="114"/>
        <v/>
      </c>
      <c r="W290" t="str">
        <f t="shared" ca="1" si="115"/>
        <v/>
      </c>
      <c r="X290" t="str">
        <f t="shared" ca="1" si="116"/>
        <v/>
      </c>
      <c r="Z290" t="str">
        <f t="shared" ca="1" si="107"/>
        <v/>
      </c>
      <c r="AA290" t="str">
        <f t="shared" ca="1" si="110"/>
        <v/>
      </c>
      <c r="AB290" t="str">
        <f t="shared" ca="1" si="111"/>
        <v/>
      </c>
      <c r="AC290" t="str">
        <f t="shared" ca="1" si="112"/>
        <v/>
      </c>
      <c r="AE290" t="str">
        <f t="shared" ca="1" si="117"/>
        <v/>
      </c>
      <c r="AF290" t="str">
        <f t="shared" ca="1" si="118"/>
        <v/>
      </c>
      <c r="AG290" t="str">
        <f t="shared" ca="1" si="119"/>
        <v/>
      </c>
      <c r="AH290" t="str">
        <f t="shared" ca="1" si="120"/>
        <v/>
      </c>
      <c r="AI290" t="str">
        <f t="shared" ca="1" si="121"/>
        <v/>
      </c>
      <c r="AJ290" t="str">
        <f t="shared" ca="1" si="122"/>
        <v/>
      </c>
    </row>
    <row r="291" spans="15:36" ht="18.600000000000001" customHeight="1" x14ac:dyDescent="0.45">
      <c r="O291">
        <f t="shared" si="108"/>
        <v>0</v>
      </c>
      <c r="P291">
        <f t="shared" si="109"/>
        <v>0</v>
      </c>
      <c r="R291" t="str" cm="1">
        <f t="array" ref="R291">IFERROR(_xlfn.AGGREGATE(15, 6, ($O$2:$O$350)/($O$2:$O$350&lt;&gt;0), ROWS($R$2:R291)), "")</f>
        <v/>
      </c>
      <c r="S291" t="str" cm="1">
        <f t="array" ref="S291">IFERROR(_xlfn.AGGREGATE(15, 6, ($P$2:$P$350)/($P$2:$P$350&lt;&gt;0), ROWS($R$2:R291)), "")</f>
        <v/>
      </c>
      <c r="U291" t="str">
        <f t="shared" ca="1" si="113"/>
        <v/>
      </c>
      <c r="V291" t="str">
        <f t="shared" ca="1" si="114"/>
        <v/>
      </c>
      <c r="W291" t="str">
        <f t="shared" ca="1" si="115"/>
        <v/>
      </c>
      <c r="X291" t="str">
        <f t="shared" ca="1" si="116"/>
        <v/>
      </c>
      <c r="Z291" t="str">
        <f t="shared" ca="1" si="107"/>
        <v/>
      </c>
      <c r="AA291" t="str">
        <f t="shared" ca="1" si="110"/>
        <v/>
      </c>
      <c r="AB291" t="str">
        <f t="shared" ca="1" si="111"/>
        <v/>
      </c>
      <c r="AC291" t="str">
        <f t="shared" ca="1" si="112"/>
        <v/>
      </c>
      <c r="AE291" t="str">
        <f t="shared" ca="1" si="117"/>
        <v/>
      </c>
      <c r="AF291" t="str">
        <f t="shared" ca="1" si="118"/>
        <v/>
      </c>
      <c r="AG291" t="str">
        <f t="shared" ca="1" si="119"/>
        <v/>
      </c>
      <c r="AH291" t="str">
        <f t="shared" ca="1" si="120"/>
        <v/>
      </c>
      <c r="AI291" t="str">
        <f t="shared" ca="1" si="121"/>
        <v/>
      </c>
      <c r="AJ291" t="str">
        <f t="shared" ca="1" si="122"/>
        <v/>
      </c>
    </row>
    <row r="292" spans="15:36" ht="18.600000000000001" customHeight="1" x14ac:dyDescent="0.45">
      <c r="O292">
        <f t="shared" si="108"/>
        <v>0</v>
      </c>
      <c r="P292">
        <f t="shared" si="109"/>
        <v>0</v>
      </c>
      <c r="R292" t="str" cm="1">
        <f t="array" ref="R292">IFERROR(_xlfn.AGGREGATE(15, 6, ($O$2:$O$350)/($O$2:$O$350&lt;&gt;0), ROWS($R$2:R292)), "")</f>
        <v/>
      </c>
      <c r="S292" t="str" cm="1">
        <f t="array" ref="S292">IFERROR(_xlfn.AGGREGATE(15, 6, ($P$2:$P$350)/($P$2:$P$350&lt;&gt;0), ROWS($R$2:R292)), "")</f>
        <v/>
      </c>
      <c r="U292" t="str">
        <f t="shared" ca="1" si="113"/>
        <v/>
      </c>
      <c r="V292" t="str">
        <f t="shared" ca="1" si="114"/>
        <v/>
      </c>
      <c r="W292" t="str">
        <f t="shared" ca="1" si="115"/>
        <v/>
      </c>
      <c r="X292" t="str">
        <f t="shared" ca="1" si="116"/>
        <v/>
      </c>
      <c r="Z292" t="str">
        <f t="shared" ca="1" si="107"/>
        <v/>
      </c>
      <c r="AA292" t="str">
        <f t="shared" ca="1" si="110"/>
        <v/>
      </c>
      <c r="AB292" t="str">
        <f t="shared" ca="1" si="111"/>
        <v/>
      </c>
      <c r="AC292" t="str">
        <f t="shared" ca="1" si="112"/>
        <v/>
      </c>
      <c r="AE292" t="str">
        <f t="shared" ca="1" si="117"/>
        <v/>
      </c>
      <c r="AF292" t="str">
        <f t="shared" ca="1" si="118"/>
        <v/>
      </c>
      <c r="AG292" t="str">
        <f t="shared" ca="1" si="119"/>
        <v/>
      </c>
      <c r="AH292" t="str">
        <f t="shared" ca="1" si="120"/>
        <v/>
      </c>
      <c r="AI292" t="str">
        <f t="shared" ca="1" si="121"/>
        <v/>
      </c>
      <c r="AJ292" t="str">
        <f t="shared" ca="1" si="122"/>
        <v/>
      </c>
    </row>
    <row r="293" spans="15:36" ht="18.600000000000001" customHeight="1" x14ac:dyDescent="0.45">
      <c r="O293">
        <f t="shared" si="108"/>
        <v>0</v>
      </c>
      <c r="P293">
        <f t="shared" si="109"/>
        <v>0</v>
      </c>
      <c r="R293" t="str" cm="1">
        <f t="array" ref="R293">IFERROR(_xlfn.AGGREGATE(15, 6, ($O$2:$O$350)/($O$2:$O$350&lt;&gt;0), ROWS($R$2:R293)), "")</f>
        <v/>
      </c>
      <c r="S293" t="str" cm="1">
        <f t="array" ref="S293">IFERROR(_xlfn.AGGREGATE(15, 6, ($P$2:$P$350)/($P$2:$P$350&lt;&gt;0), ROWS($R$2:R293)), "")</f>
        <v/>
      </c>
      <c r="U293" t="str">
        <f t="shared" ca="1" si="113"/>
        <v/>
      </c>
      <c r="V293" t="str">
        <f t="shared" ca="1" si="114"/>
        <v/>
      </c>
      <c r="W293" t="str">
        <f t="shared" ca="1" si="115"/>
        <v/>
      </c>
      <c r="X293" t="str">
        <f t="shared" ca="1" si="116"/>
        <v/>
      </c>
      <c r="Z293" t="str">
        <f t="shared" ca="1" si="107"/>
        <v/>
      </c>
      <c r="AA293" t="str">
        <f t="shared" ca="1" si="110"/>
        <v/>
      </c>
      <c r="AB293" t="str">
        <f t="shared" ca="1" si="111"/>
        <v/>
      </c>
      <c r="AC293" t="str">
        <f t="shared" ca="1" si="112"/>
        <v/>
      </c>
      <c r="AE293" t="str">
        <f t="shared" ca="1" si="117"/>
        <v/>
      </c>
      <c r="AF293" t="str">
        <f t="shared" ca="1" si="118"/>
        <v/>
      </c>
      <c r="AG293" t="str">
        <f t="shared" ca="1" si="119"/>
        <v/>
      </c>
      <c r="AH293" t="str">
        <f t="shared" ca="1" si="120"/>
        <v/>
      </c>
      <c r="AI293" t="str">
        <f t="shared" ca="1" si="121"/>
        <v/>
      </c>
      <c r="AJ293" t="str">
        <f t="shared" ca="1" si="122"/>
        <v/>
      </c>
    </row>
    <row r="294" spans="15:36" ht="18.600000000000001" customHeight="1" x14ac:dyDescent="0.45">
      <c r="O294">
        <f t="shared" si="108"/>
        <v>0</v>
      </c>
      <c r="P294">
        <f t="shared" si="109"/>
        <v>0</v>
      </c>
      <c r="R294" t="str" cm="1">
        <f t="array" ref="R294">IFERROR(_xlfn.AGGREGATE(15, 6, ($O$2:$O$350)/($O$2:$O$350&lt;&gt;0), ROWS($R$2:R294)), "")</f>
        <v/>
      </c>
      <c r="S294" t="str" cm="1">
        <f t="array" ref="S294">IFERROR(_xlfn.AGGREGATE(15, 6, ($P$2:$P$350)/($P$2:$P$350&lt;&gt;0), ROWS($R$2:R294)), "")</f>
        <v/>
      </c>
      <c r="U294" t="str">
        <f t="shared" ca="1" si="113"/>
        <v/>
      </c>
      <c r="V294" t="str">
        <f t="shared" ca="1" si="114"/>
        <v/>
      </c>
      <c r="W294" t="str">
        <f t="shared" ca="1" si="115"/>
        <v/>
      </c>
      <c r="X294" t="str">
        <f t="shared" ca="1" si="116"/>
        <v/>
      </c>
      <c r="Z294" t="str">
        <f t="shared" ca="1" si="107"/>
        <v/>
      </c>
      <c r="AA294" t="str">
        <f t="shared" ca="1" si="110"/>
        <v/>
      </c>
      <c r="AB294" t="str">
        <f t="shared" ca="1" si="111"/>
        <v/>
      </c>
      <c r="AC294" t="str">
        <f t="shared" ca="1" si="112"/>
        <v/>
      </c>
      <c r="AE294" t="str">
        <f t="shared" ca="1" si="117"/>
        <v/>
      </c>
      <c r="AF294" t="str">
        <f t="shared" ca="1" si="118"/>
        <v/>
      </c>
      <c r="AG294" t="str">
        <f t="shared" ca="1" si="119"/>
        <v/>
      </c>
      <c r="AH294" t="str">
        <f t="shared" ca="1" si="120"/>
        <v/>
      </c>
      <c r="AI294" t="str">
        <f t="shared" ca="1" si="121"/>
        <v/>
      </c>
      <c r="AJ294" t="str">
        <f t="shared" ca="1" si="122"/>
        <v/>
      </c>
    </row>
    <row r="295" spans="15:36" ht="18.600000000000001" customHeight="1" x14ac:dyDescent="0.45">
      <c r="O295">
        <f t="shared" si="108"/>
        <v>0</v>
      </c>
      <c r="P295">
        <f t="shared" si="109"/>
        <v>0</v>
      </c>
      <c r="R295" t="str" cm="1">
        <f t="array" ref="R295">IFERROR(_xlfn.AGGREGATE(15, 6, ($O$2:$O$350)/($O$2:$O$350&lt;&gt;0), ROWS($R$2:R295)), "")</f>
        <v/>
      </c>
      <c r="S295" t="str" cm="1">
        <f t="array" ref="S295">IFERROR(_xlfn.AGGREGATE(15, 6, ($P$2:$P$350)/($P$2:$P$350&lt;&gt;0), ROWS($R$2:R295)), "")</f>
        <v/>
      </c>
      <c r="U295" t="str">
        <f t="shared" ca="1" si="113"/>
        <v/>
      </c>
      <c r="V295" t="str">
        <f t="shared" ca="1" si="114"/>
        <v/>
      </c>
      <c r="W295" t="str">
        <f t="shared" ca="1" si="115"/>
        <v/>
      </c>
      <c r="X295" t="str">
        <f t="shared" ca="1" si="116"/>
        <v/>
      </c>
      <c r="Z295" t="str">
        <f t="shared" ca="1" si="107"/>
        <v/>
      </c>
      <c r="AA295" t="str">
        <f t="shared" ca="1" si="110"/>
        <v/>
      </c>
      <c r="AB295" t="str">
        <f t="shared" ca="1" si="111"/>
        <v/>
      </c>
      <c r="AC295" t="str">
        <f t="shared" ca="1" si="112"/>
        <v/>
      </c>
      <c r="AE295" t="str">
        <f t="shared" ca="1" si="117"/>
        <v/>
      </c>
      <c r="AF295" t="str">
        <f t="shared" ca="1" si="118"/>
        <v/>
      </c>
      <c r="AG295" t="str">
        <f t="shared" ca="1" si="119"/>
        <v/>
      </c>
      <c r="AH295" t="str">
        <f t="shared" ca="1" si="120"/>
        <v/>
      </c>
      <c r="AI295" t="str">
        <f t="shared" ca="1" si="121"/>
        <v/>
      </c>
      <c r="AJ295" t="str">
        <f t="shared" ca="1" si="122"/>
        <v/>
      </c>
    </row>
    <row r="296" spans="15:36" ht="18.600000000000001" customHeight="1" x14ac:dyDescent="0.45">
      <c r="O296">
        <f t="shared" si="108"/>
        <v>0</v>
      </c>
      <c r="P296">
        <f t="shared" si="109"/>
        <v>0</v>
      </c>
      <c r="R296" t="str" cm="1">
        <f t="array" ref="R296">IFERROR(_xlfn.AGGREGATE(15, 6, ($O$2:$O$350)/($O$2:$O$350&lt;&gt;0), ROWS($R$2:R296)), "")</f>
        <v/>
      </c>
      <c r="S296" t="str" cm="1">
        <f t="array" ref="S296">IFERROR(_xlfn.AGGREGATE(15, 6, ($P$2:$P$350)/($P$2:$P$350&lt;&gt;0), ROWS($R$2:R296)), "")</f>
        <v/>
      </c>
      <c r="U296" t="str">
        <f t="shared" ca="1" si="113"/>
        <v/>
      </c>
      <c r="V296" t="str">
        <f t="shared" ca="1" si="114"/>
        <v/>
      </c>
      <c r="W296" t="str">
        <f t="shared" ca="1" si="115"/>
        <v/>
      </c>
      <c r="X296" t="str">
        <f t="shared" ca="1" si="116"/>
        <v/>
      </c>
      <c r="Z296" t="str">
        <f t="shared" ref="Z296:Z349" ca="1" si="123">IF(S296&lt;&gt;"",
IF(COUNTIF(OFFSET($A$1,$S296-1,0),"*g*"),
1,IF(COUNTIF(OFFSET($A$1,$S296-1,1),"*g*"),2,
IF(OFFSET($A$1,$S296-1,0)=".","",
IF(OFFSET($A$1,$S296-1,0)=OFFSET($A$1,$S296-1,1),1,2)))),"")</f>
        <v/>
      </c>
      <c r="AA296" t="str">
        <f t="shared" ca="1" si="110"/>
        <v/>
      </c>
      <c r="AB296" t="str">
        <f t="shared" ca="1" si="111"/>
        <v/>
      </c>
      <c r="AC296" t="str">
        <f t="shared" ca="1" si="112"/>
        <v/>
      </c>
      <c r="AE296" t="str">
        <f t="shared" ca="1" si="117"/>
        <v/>
      </c>
      <c r="AF296" t="str">
        <f t="shared" ca="1" si="118"/>
        <v/>
      </c>
      <c r="AG296" t="str">
        <f t="shared" ca="1" si="119"/>
        <v/>
      </c>
      <c r="AH296" t="str">
        <f t="shared" ca="1" si="120"/>
        <v/>
      </c>
      <c r="AI296" t="str">
        <f t="shared" ca="1" si="121"/>
        <v/>
      </c>
      <c r="AJ296" t="str">
        <f t="shared" ca="1" si="122"/>
        <v/>
      </c>
    </row>
    <row r="297" spans="15:36" ht="18.600000000000001" customHeight="1" x14ac:dyDescent="0.45">
      <c r="O297">
        <f t="shared" si="108"/>
        <v>0</v>
      </c>
      <c r="P297">
        <f t="shared" si="109"/>
        <v>0</v>
      </c>
      <c r="R297" t="str" cm="1">
        <f t="array" ref="R297">IFERROR(_xlfn.AGGREGATE(15, 6, ($O$2:$O$350)/($O$2:$O$350&lt;&gt;0), ROWS($R$2:R297)), "")</f>
        <v/>
      </c>
      <c r="S297" t="str" cm="1">
        <f t="array" ref="S297">IFERROR(_xlfn.AGGREGATE(15, 6, ($P$2:$P$350)/($P$2:$P$350&lt;&gt;0), ROWS($R$2:R297)), "")</f>
        <v/>
      </c>
      <c r="U297" t="str">
        <f t="shared" ca="1" si="113"/>
        <v/>
      </c>
      <c r="V297" t="str">
        <f t="shared" ca="1" si="114"/>
        <v/>
      </c>
      <c r="W297" t="str">
        <f t="shared" ca="1" si="115"/>
        <v/>
      </c>
      <c r="X297" t="str">
        <f t="shared" ca="1" si="116"/>
        <v/>
      </c>
      <c r="Z297" t="str">
        <f t="shared" ca="1" si="123"/>
        <v/>
      </c>
      <c r="AA297" t="str">
        <f t="shared" ca="1" si="110"/>
        <v/>
      </c>
      <c r="AB297" t="str">
        <f t="shared" ca="1" si="111"/>
        <v/>
      </c>
      <c r="AC297" t="str">
        <f t="shared" ca="1" si="112"/>
        <v/>
      </c>
      <c r="AE297" t="str">
        <f t="shared" ca="1" si="117"/>
        <v/>
      </c>
      <c r="AF297" t="str">
        <f t="shared" ca="1" si="118"/>
        <v/>
      </c>
      <c r="AG297" t="str">
        <f t="shared" ca="1" si="119"/>
        <v/>
      </c>
      <c r="AH297" t="str">
        <f t="shared" ca="1" si="120"/>
        <v/>
      </c>
      <c r="AI297" t="str">
        <f t="shared" ca="1" si="121"/>
        <v/>
      </c>
      <c r="AJ297" t="str">
        <f t="shared" ca="1" si="122"/>
        <v/>
      </c>
    </row>
    <row r="298" spans="15:36" ht="18.600000000000001" customHeight="1" x14ac:dyDescent="0.45">
      <c r="O298">
        <f t="shared" si="108"/>
        <v>0</v>
      </c>
      <c r="P298">
        <f t="shared" si="109"/>
        <v>0</v>
      </c>
      <c r="R298" t="str" cm="1">
        <f t="array" ref="R298">IFERROR(_xlfn.AGGREGATE(15, 6, ($O$2:$O$350)/($O$2:$O$350&lt;&gt;0), ROWS($R$2:R298)), "")</f>
        <v/>
      </c>
      <c r="S298" t="str" cm="1">
        <f t="array" ref="S298">IFERROR(_xlfn.AGGREGATE(15, 6, ($P$2:$P$350)/($P$2:$P$350&lt;&gt;0), ROWS($R$2:R298)), "")</f>
        <v/>
      </c>
      <c r="U298" t="str">
        <f t="shared" ca="1" si="113"/>
        <v/>
      </c>
      <c r="V298" t="str">
        <f t="shared" ca="1" si="114"/>
        <v/>
      </c>
      <c r="W298" t="str">
        <f t="shared" ca="1" si="115"/>
        <v/>
      </c>
      <c r="X298" t="str">
        <f t="shared" ca="1" si="116"/>
        <v/>
      </c>
      <c r="Z298" t="str">
        <f t="shared" ca="1" si="123"/>
        <v/>
      </c>
      <c r="AA298" t="str">
        <f t="shared" ca="1" si="110"/>
        <v/>
      </c>
      <c r="AB298" t="str">
        <f t="shared" ca="1" si="111"/>
        <v/>
      </c>
      <c r="AC298" t="str">
        <f t="shared" ca="1" si="112"/>
        <v/>
      </c>
      <c r="AE298" t="str">
        <f t="shared" ca="1" si="117"/>
        <v/>
      </c>
      <c r="AF298" t="str">
        <f t="shared" ca="1" si="118"/>
        <v/>
      </c>
      <c r="AG298" t="str">
        <f t="shared" ca="1" si="119"/>
        <v/>
      </c>
      <c r="AH298" t="str">
        <f t="shared" ca="1" si="120"/>
        <v/>
      </c>
      <c r="AI298" t="str">
        <f t="shared" ca="1" si="121"/>
        <v/>
      </c>
      <c r="AJ298" t="str">
        <f t="shared" ca="1" si="122"/>
        <v/>
      </c>
    </row>
    <row r="299" spans="15:36" ht="18.600000000000001" customHeight="1" x14ac:dyDescent="0.45">
      <c r="O299">
        <f t="shared" si="108"/>
        <v>0</v>
      </c>
      <c r="P299">
        <f t="shared" si="109"/>
        <v>0</v>
      </c>
      <c r="R299" t="str" cm="1">
        <f t="array" ref="R299">IFERROR(_xlfn.AGGREGATE(15, 6, ($O$2:$O$350)/($O$2:$O$350&lt;&gt;0), ROWS($R$2:R299)), "")</f>
        <v/>
      </c>
      <c r="S299" t="str" cm="1">
        <f t="array" ref="S299">IFERROR(_xlfn.AGGREGATE(15, 6, ($P$2:$P$350)/($P$2:$P$350&lt;&gt;0), ROWS($R$2:R299)), "")</f>
        <v/>
      </c>
      <c r="U299" t="str">
        <f t="shared" ca="1" si="113"/>
        <v/>
      </c>
      <c r="V299" t="str">
        <f t="shared" ca="1" si="114"/>
        <v/>
      </c>
      <c r="W299" t="str">
        <f t="shared" ca="1" si="115"/>
        <v/>
      </c>
      <c r="X299" t="str">
        <f t="shared" ca="1" si="116"/>
        <v/>
      </c>
      <c r="Z299" t="str">
        <f t="shared" ca="1" si="123"/>
        <v/>
      </c>
      <c r="AA299" t="str">
        <f t="shared" ca="1" si="110"/>
        <v/>
      </c>
      <c r="AB299" t="str">
        <f t="shared" ca="1" si="111"/>
        <v/>
      </c>
      <c r="AC299" t="str">
        <f t="shared" ca="1" si="112"/>
        <v/>
      </c>
      <c r="AE299" t="str">
        <f t="shared" ca="1" si="117"/>
        <v/>
      </c>
      <c r="AF299" t="str">
        <f t="shared" ca="1" si="118"/>
        <v/>
      </c>
      <c r="AG299" t="str">
        <f t="shared" ca="1" si="119"/>
        <v/>
      </c>
      <c r="AH299" t="str">
        <f t="shared" ca="1" si="120"/>
        <v/>
      </c>
      <c r="AI299" t="str">
        <f t="shared" ca="1" si="121"/>
        <v/>
      </c>
      <c r="AJ299" t="str">
        <f t="shared" ca="1" si="122"/>
        <v/>
      </c>
    </row>
    <row r="300" spans="15:36" ht="18.600000000000001" customHeight="1" x14ac:dyDescent="0.45">
      <c r="O300">
        <f t="shared" si="108"/>
        <v>0</v>
      </c>
      <c r="P300">
        <f t="shared" si="109"/>
        <v>0</v>
      </c>
      <c r="R300" t="str" cm="1">
        <f t="array" ref="R300">IFERROR(_xlfn.AGGREGATE(15, 6, ($O$2:$O$350)/($O$2:$O$350&lt;&gt;0), ROWS($R$2:R300)), "")</f>
        <v/>
      </c>
      <c r="S300" t="str" cm="1">
        <f t="array" ref="S300">IFERROR(_xlfn.AGGREGATE(15, 6, ($P$2:$P$350)/($P$2:$P$350&lt;&gt;0), ROWS($R$2:R300)), "")</f>
        <v/>
      </c>
      <c r="U300" t="str">
        <f t="shared" ca="1" si="113"/>
        <v/>
      </c>
      <c r="V300" t="str">
        <f t="shared" ca="1" si="114"/>
        <v/>
      </c>
      <c r="W300" t="str">
        <f t="shared" ca="1" si="115"/>
        <v/>
      </c>
      <c r="X300" t="str">
        <f t="shared" ca="1" si="116"/>
        <v/>
      </c>
      <c r="Z300" t="str">
        <f t="shared" ca="1" si="123"/>
        <v/>
      </c>
      <c r="AA300" t="str">
        <f t="shared" ca="1" si="110"/>
        <v/>
      </c>
      <c r="AB300" t="str">
        <f t="shared" ca="1" si="111"/>
        <v/>
      </c>
      <c r="AC300" t="str">
        <f t="shared" ca="1" si="112"/>
        <v/>
      </c>
      <c r="AE300" t="str">
        <f t="shared" ca="1" si="117"/>
        <v/>
      </c>
      <c r="AF300" t="str">
        <f t="shared" ca="1" si="118"/>
        <v/>
      </c>
      <c r="AG300" t="str">
        <f t="shared" ca="1" si="119"/>
        <v/>
      </c>
      <c r="AH300" t="str">
        <f t="shared" ca="1" si="120"/>
        <v/>
      </c>
      <c r="AI300" t="str">
        <f t="shared" ca="1" si="121"/>
        <v/>
      </c>
      <c r="AJ300" t="str">
        <f t="shared" ca="1" si="122"/>
        <v/>
      </c>
    </row>
    <row r="301" spans="15:36" ht="18.600000000000001" customHeight="1" x14ac:dyDescent="0.45">
      <c r="O301">
        <f t="shared" si="108"/>
        <v>0</v>
      </c>
      <c r="P301">
        <f t="shared" si="109"/>
        <v>0</v>
      </c>
      <c r="R301" t="str" cm="1">
        <f t="array" ref="R301">IFERROR(_xlfn.AGGREGATE(15, 6, ($O$2:$O$350)/($O$2:$O$350&lt;&gt;0), ROWS($R$2:R301)), "")</f>
        <v/>
      </c>
      <c r="S301" t="str" cm="1">
        <f t="array" ref="S301">IFERROR(_xlfn.AGGREGATE(15, 6, ($P$2:$P$350)/($P$2:$P$350&lt;&gt;0), ROWS($R$2:R301)), "")</f>
        <v/>
      </c>
      <c r="U301" t="str">
        <f t="shared" ca="1" si="113"/>
        <v/>
      </c>
      <c r="V301" t="str">
        <f t="shared" ca="1" si="114"/>
        <v/>
      </c>
      <c r="W301" t="str">
        <f t="shared" ca="1" si="115"/>
        <v/>
      </c>
      <c r="X301" t="str">
        <f t="shared" ca="1" si="116"/>
        <v/>
      </c>
      <c r="Z301" t="str">
        <f t="shared" ca="1" si="123"/>
        <v/>
      </c>
      <c r="AA301" t="str">
        <f t="shared" ca="1" si="110"/>
        <v/>
      </c>
      <c r="AB301" t="str">
        <f t="shared" ca="1" si="111"/>
        <v/>
      </c>
      <c r="AC301" t="str">
        <f t="shared" ca="1" si="112"/>
        <v/>
      </c>
      <c r="AE301" t="str">
        <f t="shared" ca="1" si="117"/>
        <v/>
      </c>
      <c r="AF301" t="str">
        <f t="shared" ca="1" si="118"/>
        <v/>
      </c>
      <c r="AG301" t="str">
        <f t="shared" ca="1" si="119"/>
        <v/>
      </c>
      <c r="AH301" t="str">
        <f t="shared" ca="1" si="120"/>
        <v/>
      </c>
      <c r="AI301" t="str">
        <f t="shared" ca="1" si="121"/>
        <v/>
      </c>
      <c r="AJ301" t="str">
        <f t="shared" ca="1" si="122"/>
        <v/>
      </c>
    </row>
    <row r="302" spans="15:36" ht="18.600000000000001" customHeight="1" x14ac:dyDescent="0.45">
      <c r="O302">
        <f t="shared" si="108"/>
        <v>0</v>
      </c>
      <c r="P302">
        <f t="shared" si="109"/>
        <v>0</v>
      </c>
      <c r="R302" t="str" cm="1">
        <f t="array" ref="R302">IFERROR(_xlfn.AGGREGATE(15, 6, ($O$2:$O$350)/($O$2:$O$350&lt;&gt;0), ROWS($R$2:R302)), "")</f>
        <v/>
      </c>
      <c r="S302" t="str" cm="1">
        <f t="array" ref="S302">IFERROR(_xlfn.AGGREGATE(15, 6, ($P$2:$P$350)/($P$2:$P$350&lt;&gt;0), ROWS($R$2:R302)), "")</f>
        <v/>
      </c>
      <c r="U302" t="str">
        <f t="shared" ca="1" si="113"/>
        <v/>
      </c>
      <c r="V302" t="str">
        <f t="shared" ca="1" si="114"/>
        <v/>
      </c>
      <c r="W302" t="str">
        <f t="shared" ca="1" si="115"/>
        <v/>
      </c>
      <c r="X302" t="str">
        <f t="shared" ca="1" si="116"/>
        <v/>
      </c>
      <c r="Z302" t="str">
        <f t="shared" ca="1" si="123"/>
        <v/>
      </c>
      <c r="AA302" t="str">
        <f t="shared" ca="1" si="110"/>
        <v/>
      </c>
      <c r="AB302" t="str">
        <f t="shared" ca="1" si="111"/>
        <v/>
      </c>
      <c r="AC302" t="str">
        <f t="shared" ca="1" si="112"/>
        <v/>
      </c>
      <c r="AE302" t="str">
        <f t="shared" ca="1" si="117"/>
        <v/>
      </c>
      <c r="AF302" t="str">
        <f t="shared" ca="1" si="118"/>
        <v/>
      </c>
      <c r="AG302" t="str">
        <f t="shared" ca="1" si="119"/>
        <v/>
      </c>
      <c r="AH302" t="str">
        <f t="shared" ca="1" si="120"/>
        <v/>
      </c>
      <c r="AI302" t="str">
        <f t="shared" ca="1" si="121"/>
        <v/>
      </c>
      <c r="AJ302" t="str">
        <f t="shared" ca="1" si="122"/>
        <v/>
      </c>
    </row>
    <row r="303" spans="15:36" ht="18.600000000000001" customHeight="1" x14ac:dyDescent="0.45">
      <c r="O303">
        <f t="shared" si="108"/>
        <v>0</v>
      </c>
      <c r="P303">
        <f t="shared" si="109"/>
        <v>0</v>
      </c>
      <c r="R303" t="str" cm="1">
        <f t="array" ref="R303">IFERROR(_xlfn.AGGREGATE(15, 6, ($O$2:$O$350)/($O$2:$O$350&lt;&gt;0), ROWS($R$2:R303)), "")</f>
        <v/>
      </c>
      <c r="S303" t="str" cm="1">
        <f t="array" ref="S303">IFERROR(_xlfn.AGGREGATE(15, 6, ($P$2:$P$350)/($P$2:$P$350&lt;&gt;0), ROWS($R$2:R303)), "")</f>
        <v/>
      </c>
      <c r="U303" t="str">
        <f t="shared" ca="1" si="113"/>
        <v/>
      </c>
      <c r="V303" t="str">
        <f t="shared" ca="1" si="114"/>
        <v/>
      </c>
      <c r="W303" t="str">
        <f t="shared" ca="1" si="115"/>
        <v/>
      </c>
      <c r="X303" t="str">
        <f t="shared" ca="1" si="116"/>
        <v/>
      </c>
      <c r="Z303" t="str">
        <f t="shared" ca="1" si="123"/>
        <v/>
      </c>
      <c r="AA303" t="str">
        <f t="shared" ca="1" si="110"/>
        <v/>
      </c>
      <c r="AB303" t="str">
        <f t="shared" ca="1" si="111"/>
        <v/>
      </c>
      <c r="AC303" t="str">
        <f t="shared" ca="1" si="112"/>
        <v/>
      </c>
      <c r="AE303" t="str">
        <f t="shared" ca="1" si="117"/>
        <v/>
      </c>
      <c r="AF303" t="str">
        <f t="shared" ca="1" si="118"/>
        <v/>
      </c>
      <c r="AG303" t="str">
        <f t="shared" ca="1" si="119"/>
        <v/>
      </c>
      <c r="AH303" t="str">
        <f t="shared" ca="1" si="120"/>
        <v/>
      </c>
      <c r="AI303" t="str">
        <f t="shared" ca="1" si="121"/>
        <v/>
      </c>
      <c r="AJ303" t="str">
        <f t="shared" ca="1" si="122"/>
        <v/>
      </c>
    </row>
    <row r="304" spans="15:36" ht="18.600000000000001" customHeight="1" x14ac:dyDescent="0.45">
      <c r="O304">
        <f t="shared" si="108"/>
        <v>0</v>
      </c>
      <c r="P304">
        <f t="shared" si="109"/>
        <v>0</v>
      </c>
      <c r="R304" t="str" cm="1">
        <f t="array" ref="R304">IFERROR(_xlfn.AGGREGATE(15, 6, ($O$2:$O$350)/($O$2:$O$350&lt;&gt;0), ROWS($R$2:R304)), "")</f>
        <v/>
      </c>
      <c r="S304" t="str" cm="1">
        <f t="array" ref="S304">IFERROR(_xlfn.AGGREGATE(15, 6, ($P$2:$P$350)/($P$2:$P$350&lt;&gt;0), ROWS($R$2:R304)), "")</f>
        <v/>
      </c>
      <c r="U304" t="str">
        <f t="shared" ca="1" si="113"/>
        <v/>
      </c>
      <c r="V304" t="str">
        <f t="shared" ca="1" si="114"/>
        <v/>
      </c>
      <c r="W304" t="str">
        <f t="shared" ca="1" si="115"/>
        <v/>
      </c>
      <c r="X304" t="str">
        <f t="shared" ca="1" si="116"/>
        <v/>
      </c>
      <c r="Z304" t="str">
        <f t="shared" ca="1" si="123"/>
        <v/>
      </c>
      <c r="AA304" t="str">
        <f t="shared" ca="1" si="110"/>
        <v/>
      </c>
      <c r="AB304" t="str">
        <f t="shared" ca="1" si="111"/>
        <v/>
      </c>
      <c r="AC304" t="str">
        <f t="shared" ca="1" si="112"/>
        <v/>
      </c>
      <c r="AE304" t="str">
        <f t="shared" ca="1" si="117"/>
        <v/>
      </c>
      <c r="AF304" t="str">
        <f t="shared" ca="1" si="118"/>
        <v/>
      </c>
      <c r="AG304" t="str">
        <f t="shared" ca="1" si="119"/>
        <v/>
      </c>
      <c r="AH304" t="str">
        <f t="shared" ca="1" si="120"/>
        <v/>
      </c>
      <c r="AI304" t="str">
        <f t="shared" ca="1" si="121"/>
        <v/>
      </c>
      <c r="AJ304" t="str">
        <f t="shared" ca="1" si="122"/>
        <v/>
      </c>
    </row>
    <row r="305" spans="15:36" ht="18.600000000000001" customHeight="1" x14ac:dyDescent="0.45">
      <c r="O305">
        <f t="shared" si="108"/>
        <v>0</v>
      </c>
      <c r="P305">
        <f t="shared" si="109"/>
        <v>0</v>
      </c>
      <c r="R305" t="str" cm="1">
        <f t="array" ref="R305">IFERROR(_xlfn.AGGREGATE(15, 6, ($O$2:$O$350)/($O$2:$O$350&lt;&gt;0), ROWS($R$2:R305)), "")</f>
        <v/>
      </c>
      <c r="S305" t="str" cm="1">
        <f t="array" ref="S305">IFERROR(_xlfn.AGGREGATE(15, 6, ($P$2:$P$350)/($P$2:$P$350&lt;&gt;0), ROWS($R$2:R305)), "")</f>
        <v/>
      </c>
      <c r="U305" t="str">
        <f t="shared" ca="1" si="113"/>
        <v/>
      </c>
      <c r="V305" t="str">
        <f t="shared" ca="1" si="114"/>
        <v/>
      </c>
      <c r="W305" t="str">
        <f t="shared" ca="1" si="115"/>
        <v/>
      </c>
      <c r="X305" t="str">
        <f t="shared" ca="1" si="116"/>
        <v/>
      </c>
      <c r="Z305" t="str">
        <f t="shared" ca="1" si="123"/>
        <v/>
      </c>
      <c r="AA305" t="str">
        <f t="shared" ca="1" si="110"/>
        <v/>
      </c>
      <c r="AB305" t="str">
        <f t="shared" ca="1" si="111"/>
        <v/>
      </c>
      <c r="AC305" t="str">
        <f t="shared" ca="1" si="112"/>
        <v/>
      </c>
      <c r="AE305" t="str">
        <f t="shared" ca="1" si="117"/>
        <v/>
      </c>
      <c r="AF305" t="str">
        <f t="shared" ca="1" si="118"/>
        <v/>
      </c>
      <c r="AG305" t="str">
        <f t="shared" ca="1" si="119"/>
        <v/>
      </c>
      <c r="AH305" t="str">
        <f t="shared" ca="1" si="120"/>
        <v/>
      </c>
      <c r="AI305" t="str">
        <f t="shared" ca="1" si="121"/>
        <v/>
      </c>
      <c r="AJ305" t="str">
        <f t="shared" ca="1" si="122"/>
        <v/>
      </c>
    </row>
    <row r="306" spans="15:36" ht="18.600000000000001" customHeight="1" x14ac:dyDescent="0.45">
      <c r="O306">
        <f t="shared" si="108"/>
        <v>0</v>
      </c>
      <c r="P306">
        <f t="shared" si="109"/>
        <v>0</v>
      </c>
      <c r="R306" t="str" cm="1">
        <f t="array" ref="R306">IFERROR(_xlfn.AGGREGATE(15, 6, ($O$2:$O$350)/($O$2:$O$350&lt;&gt;0), ROWS($R$2:R306)), "")</f>
        <v/>
      </c>
      <c r="S306" t="str" cm="1">
        <f t="array" ref="S306">IFERROR(_xlfn.AGGREGATE(15, 6, ($P$2:$P$350)/($P$2:$P$350&lt;&gt;0), ROWS($R$2:R306)), "")</f>
        <v/>
      </c>
      <c r="U306" t="str">
        <f t="shared" ca="1" si="113"/>
        <v/>
      </c>
      <c r="V306" t="str">
        <f t="shared" ca="1" si="114"/>
        <v/>
      </c>
      <c r="W306" t="str">
        <f t="shared" ca="1" si="115"/>
        <v/>
      </c>
      <c r="X306" t="str">
        <f t="shared" ca="1" si="116"/>
        <v/>
      </c>
      <c r="Z306" t="str">
        <f t="shared" ca="1" si="123"/>
        <v/>
      </c>
      <c r="AA306" t="str">
        <f t="shared" ca="1" si="110"/>
        <v/>
      </c>
      <c r="AB306" t="str">
        <f t="shared" ca="1" si="111"/>
        <v/>
      </c>
      <c r="AC306" t="str">
        <f t="shared" ca="1" si="112"/>
        <v/>
      </c>
      <c r="AE306" t="str">
        <f t="shared" ca="1" si="117"/>
        <v/>
      </c>
      <c r="AF306" t="str">
        <f t="shared" ca="1" si="118"/>
        <v/>
      </c>
      <c r="AG306" t="str">
        <f t="shared" ca="1" si="119"/>
        <v/>
      </c>
      <c r="AH306" t="str">
        <f t="shared" ca="1" si="120"/>
        <v/>
      </c>
      <c r="AI306" t="str">
        <f t="shared" ca="1" si="121"/>
        <v/>
      </c>
      <c r="AJ306" t="str">
        <f t="shared" ca="1" si="122"/>
        <v/>
      </c>
    </row>
    <row r="307" spans="15:36" ht="18.600000000000001" customHeight="1" x14ac:dyDescent="0.45">
      <c r="O307">
        <f t="shared" si="108"/>
        <v>0</v>
      </c>
      <c r="P307">
        <f t="shared" si="109"/>
        <v>0</v>
      </c>
      <c r="R307" t="str" cm="1">
        <f t="array" ref="R307">IFERROR(_xlfn.AGGREGATE(15, 6, ($O$2:$O$350)/($O$2:$O$350&lt;&gt;0), ROWS($R$2:R307)), "")</f>
        <v/>
      </c>
      <c r="S307" t="str" cm="1">
        <f t="array" ref="S307">IFERROR(_xlfn.AGGREGATE(15, 6, ($P$2:$P$350)/($P$2:$P$350&lt;&gt;0), ROWS($R$2:R307)), "")</f>
        <v/>
      </c>
      <c r="U307" t="str">
        <f t="shared" ca="1" si="113"/>
        <v/>
      </c>
      <c r="V307" t="str">
        <f t="shared" ca="1" si="114"/>
        <v/>
      </c>
      <c r="W307" t="str">
        <f t="shared" ca="1" si="115"/>
        <v/>
      </c>
      <c r="X307" t="str">
        <f t="shared" ca="1" si="116"/>
        <v/>
      </c>
      <c r="Z307" t="str">
        <f t="shared" ca="1" si="123"/>
        <v/>
      </c>
      <c r="AA307" t="str">
        <f t="shared" ca="1" si="110"/>
        <v/>
      </c>
      <c r="AB307" t="str">
        <f t="shared" ca="1" si="111"/>
        <v/>
      </c>
      <c r="AC307" t="str">
        <f t="shared" ca="1" si="112"/>
        <v/>
      </c>
      <c r="AE307" t="str">
        <f t="shared" ca="1" si="117"/>
        <v/>
      </c>
      <c r="AF307" t="str">
        <f t="shared" ca="1" si="118"/>
        <v/>
      </c>
      <c r="AG307" t="str">
        <f t="shared" ca="1" si="119"/>
        <v/>
      </c>
      <c r="AH307" t="str">
        <f t="shared" ca="1" si="120"/>
        <v/>
      </c>
      <c r="AI307" t="str">
        <f t="shared" ca="1" si="121"/>
        <v/>
      </c>
      <c r="AJ307" t="str">
        <f t="shared" ca="1" si="122"/>
        <v/>
      </c>
    </row>
    <row r="308" spans="15:36" ht="18.600000000000001" customHeight="1" x14ac:dyDescent="0.45">
      <c r="O308">
        <f t="shared" si="108"/>
        <v>0</v>
      </c>
      <c r="P308">
        <f t="shared" si="109"/>
        <v>0</v>
      </c>
      <c r="R308" t="str" cm="1">
        <f t="array" ref="R308">IFERROR(_xlfn.AGGREGATE(15, 6, ($O$2:$O$350)/($O$2:$O$350&lt;&gt;0), ROWS($R$2:R308)), "")</f>
        <v/>
      </c>
      <c r="S308" t="str" cm="1">
        <f t="array" ref="S308">IFERROR(_xlfn.AGGREGATE(15, 6, ($P$2:$P$350)/($P$2:$P$350&lt;&gt;0), ROWS($R$2:R308)), "")</f>
        <v/>
      </c>
      <c r="U308" t="str">
        <f t="shared" ca="1" si="113"/>
        <v/>
      </c>
      <c r="V308" t="str">
        <f t="shared" ca="1" si="114"/>
        <v/>
      </c>
      <c r="W308" t="str">
        <f t="shared" ca="1" si="115"/>
        <v/>
      </c>
      <c r="X308" t="str">
        <f t="shared" ca="1" si="116"/>
        <v/>
      </c>
      <c r="Z308" t="str">
        <f t="shared" ca="1" si="123"/>
        <v/>
      </c>
      <c r="AA308" t="str">
        <f t="shared" ca="1" si="110"/>
        <v/>
      </c>
      <c r="AB308" t="str">
        <f t="shared" ca="1" si="111"/>
        <v/>
      </c>
      <c r="AC308" t="str">
        <f t="shared" ca="1" si="112"/>
        <v/>
      </c>
      <c r="AE308" t="str">
        <f t="shared" ca="1" si="117"/>
        <v/>
      </c>
      <c r="AF308" t="str">
        <f t="shared" ca="1" si="118"/>
        <v/>
      </c>
      <c r="AG308" t="str">
        <f t="shared" ca="1" si="119"/>
        <v/>
      </c>
      <c r="AH308" t="str">
        <f t="shared" ca="1" si="120"/>
        <v/>
      </c>
      <c r="AI308" t="str">
        <f t="shared" ca="1" si="121"/>
        <v/>
      </c>
      <c r="AJ308" t="str">
        <f t="shared" ca="1" si="122"/>
        <v/>
      </c>
    </row>
    <row r="309" spans="15:36" ht="18.600000000000001" customHeight="1" x14ac:dyDescent="0.45">
      <c r="O309">
        <f t="shared" si="108"/>
        <v>0</v>
      </c>
      <c r="P309">
        <f t="shared" si="109"/>
        <v>0</v>
      </c>
      <c r="R309" t="str" cm="1">
        <f t="array" ref="R309">IFERROR(_xlfn.AGGREGATE(15, 6, ($O$2:$O$350)/($O$2:$O$350&lt;&gt;0), ROWS($R$2:R309)), "")</f>
        <v/>
      </c>
      <c r="S309" t="str" cm="1">
        <f t="array" ref="S309">IFERROR(_xlfn.AGGREGATE(15, 6, ($P$2:$P$350)/($P$2:$P$350&lt;&gt;0), ROWS($R$2:R309)), "")</f>
        <v/>
      </c>
      <c r="U309" t="str">
        <f t="shared" ca="1" si="113"/>
        <v/>
      </c>
      <c r="V309" t="str">
        <f t="shared" ca="1" si="114"/>
        <v/>
      </c>
      <c r="W309" t="str">
        <f t="shared" ca="1" si="115"/>
        <v/>
      </c>
      <c r="X309" t="str">
        <f t="shared" ca="1" si="116"/>
        <v/>
      </c>
      <c r="Z309" t="str">
        <f t="shared" ca="1" si="123"/>
        <v/>
      </c>
      <c r="AA309" t="str">
        <f t="shared" ca="1" si="110"/>
        <v/>
      </c>
      <c r="AB309" t="str">
        <f t="shared" ca="1" si="111"/>
        <v/>
      </c>
      <c r="AC309" t="str">
        <f t="shared" ca="1" si="112"/>
        <v/>
      </c>
      <c r="AE309" t="str">
        <f t="shared" ca="1" si="117"/>
        <v/>
      </c>
      <c r="AF309" t="str">
        <f t="shared" ca="1" si="118"/>
        <v/>
      </c>
      <c r="AG309" t="str">
        <f t="shared" ca="1" si="119"/>
        <v/>
      </c>
      <c r="AH309" t="str">
        <f t="shared" ca="1" si="120"/>
        <v/>
      </c>
      <c r="AI309" t="str">
        <f t="shared" ca="1" si="121"/>
        <v/>
      </c>
      <c r="AJ309" t="str">
        <f t="shared" ca="1" si="122"/>
        <v/>
      </c>
    </row>
    <row r="310" spans="15:36" ht="18.600000000000001" customHeight="1" x14ac:dyDescent="0.45">
      <c r="O310">
        <f t="shared" si="108"/>
        <v>0</v>
      </c>
      <c r="P310">
        <f t="shared" si="109"/>
        <v>0</v>
      </c>
      <c r="R310" t="str" cm="1">
        <f t="array" ref="R310">IFERROR(_xlfn.AGGREGATE(15, 6, ($O$2:$O$350)/($O$2:$O$350&lt;&gt;0), ROWS($R$2:R310)), "")</f>
        <v/>
      </c>
      <c r="S310" t="str" cm="1">
        <f t="array" ref="S310">IFERROR(_xlfn.AGGREGATE(15, 6, ($P$2:$P$350)/($P$2:$P$350&lt;&gt;0), ROWS($R$2:R310)), "")</f>
        <v/>
      </c>
      <c r="U310" t="str">
        <f t="shared" ca="1" si="113"/>
        <v/>
      </c>
      <c r="V310" t="str">
        <f t="shared" ca="1" si="114"/>
        <v/>
      </c>
      <c r="W310" t="str">
        <f t="shared" ca="1" si="115"/>
        <v/>
      </c>
      <c r="X310" t="str">
        <f t="shared" ca="1" si="116"/>
        <v/>
      </c>
      <c r="Z310" t="str">
        <f t="shared" ca="1" si="123"/>
        <v/>
      </c>
      <c r="AA310" t="str">
        <f t="shared" ca="1" si="110"/>
        <v/>
      </c>
      <c r="AB310" t="str">
        <f t="shared" ca="1" si="111"/>
        <v/>
      </c>
      <c r="AC310" t="str">
        <f t="shared" ca="1" si="112"/>
        <v/>
      </c>
      <c r="AE310" t="str">
        <f t="shared" ca="1" si="117"/>
        <v/>
      </c>
      <c r="AF310" t="str">
        <f t="shared" ca="1" si="118"/>
        <v/>
      </c>
      <c r="AG310" t="str">
        <f t="shared" ca="1" si="119"/>
        <v/>
      </c>
      <c r="AH310" t="str">
        <f t="shared" ca="1" si="120"/>
        <v/>
      </c>
      <c r="AI310" t="str">
        <f t="shared" ca="1" si="121"/>
        <v/>
      </c>
      <c r="AJ310" t="str">
        <f t="shared" ca="1" si="122"/>
        <v/>
      </c>
    </row>
    <row r="311" spans="15:36" ht="18.600000000000001" customHeight="1" x14ac:dyDescent="0.45">
      <c r="O311">
        <f t="shared" si="108"/>
        <v>0</v>
      </c>
      <c r="P311">
        <f t="shared" si="109"/>
        <v>0</v>
      </c>
      <c r="R311" t="str" cm="1">
        <f t="array" ref="R311">IFERROR(_xlfn.AGGREGATE(15, 6, ($O$2:$O$350)/($O$2:$O$350&lt;&gt;0), ROWS($R$2:R311)), "")</f>
        <v/>
      </c>
      <c r="S311" t="str" cm="1">
        <f t="array" ref="S311">IFERROR(_xlfn.AGGREGATE(15, 6, ($P$2:$P$350)/($P$2:$P$350&lt;&gt;0), ROWS($R$2:R311)), "")</f>
        <v/>
      </c>
      <c r="U311" t="str">
        <f t="shared" ca="1" si="113"/>
        <v/>
      </c>
      <c r="V311" t="str">
        <f t="shared" ca="1" si="114"/>
        <v/>
      </c>
      <c r="W311" t="str">
        <f t="shared" ca="1" si="115"/>
        <v/>
      </c>
      <c r="X311" t="str">
        <f t="shared" ca="1" si="116"/>
        <v/>
      </c>
      <c r="Z311" t="str">
        <f t="shared" ca="1" si="123"/>
        <v/>
      </c>
      <c r="AA311" t="str">
        <f t="shared" ca="1" si="110"/>
        <v/>
      </c>
      <c r="AB311" t="str">
        <f t="shared" ca="1" si="111"/>
        <v/>
      </c>
      <c r="AC311" t="str">
        <f t="shared" ca="1" si="112"/>
        <v/>
      </c>
      <c r="AE311" t="str">
        <f t="shared" ca="1" si="117"/>
        <v/>
      </c>
      <c r="AF311" t="str">
        <f t="shared" ca="1" si="118"/>
        <v/>
      </c>
      <c r="AG311" t="str">
        <f t="shared" ca="1" si="119"/>
        <v/>
      </c>
      <c r="AH311" t="str">
        <f t="shared" ca="1" si="120"/>
        <v/>
      </c>
      <c r="AI311" t="str">
        <f t="shared" ca="1" si="121"/>
        <v/>
      </c>
      <c r="AJ311" t="str">
        <f t="shared" ca="1" si="122"/>
        <v/>
      </c>
    </row>
    <row r="312" spans="15:36" ht="18.600000000000001" customHeight="1" x14ac:dyDescent="0.45">
      <c r="O312">
        <f t="shared" si="108"/>
        <v>0</v>
      </c>
      <c r="P312">
        <f t="shared" si="109"/>
        <v>0</v>
      </c>
      <c r="R312" t="str" cm="1">
        <f t="array" ref="R312">IFERROR(_xlfn.AGGREGATE(15, 6, ($O$2:$O$350)/($O$2:$O$350&lt;&gt;0), ROWS($R$2:R312)), "")</f>
        <v/>
      </c>
      <c r="S312" t="str" cm="1">
        <f t="array" ref="S312">IFERROR(_xlfn.AGGREGATE(15, 6, ($P$2:$P$350)/($P$2:$P$350&lt;&gt;0), ROWS($R$2:R312)), "")</f>
        <v/>
      </c>
      <c r="U312" t="str">
        <f t="shared" ca="1" si="113"/>
        <v/>
      </c>
      <c r="V312" t="str">
        <f t="shared" ca="1" si="114"/>
        <v/>
      </c>
      <c r="W312" t="str">
        <f t="shared" ca="1" si="115"/>
        <v/>
      </c>
      <c r="X312" t="str">
        <f t="shared" ca="1" si="116"/>
        <v/>
      </c>
      <c r="Z312" t="str">
        <f t="shared" ca="1" si="123"/>
        <v/>
      </c>
      <c r="AA312" t="str">
        <f t="shared" ca="1" si="110"/>
        <v/>
      </c>
      <c r="AB312" t="str">
        <f t="shared" ca="1" si="111"/>
        <v/>
      </c>
      <c r="AC312" t="str">
        <f t="shared" ca="1" si="112"/>
        <v/>
      </c>
      <c r="AE312" t="str">
        <f t="shared" ca="1" si="117"/>
        <v/>
      </c>
      <c r="AF312" t="str">
        <f t="shared" ca="1" si="118"/>
        <v/>
      </c>
      <c r="AG312" t="str">
        <f t="shared" ca="1" si="119"/>
        <v/>
      </c>
      <c r="AH312" t="str">
        <f t="shared" ca="1" si="120"/>
        <v/>
      </c>
      <c r="AI312" t="str">
        <f t="shared" ca="1" si="121"/>
        <v/>
      </c>
      <c r="AJ312" t="str">
        <f t="shared" ca="1" si="122"/>
        <v/>
      </c>
    </row>
    <row r="313" spans="15:36" ht="18.600000000000001" customHeight="1" x14ac:dyDescent="0.45">
      <c r="O313">
        <f t="shared" si="108"/>
        <v>0</v>
      </c>
      <c r="P313">
        <f t="shared" si="109"/>
        <v>0</v>
      </c>
      <c r="R313" t="str" cm="1">
        <f t="array" ref="R313">IFERROR(_xlfn.AGGREGATE(15, 6, ($O$2:$O$350)/($O$2:$O$350&lt;&gt;0), ROWS($R$2:R313)), "")</f>
        <v/>
      </c>
      <c r="S313" t="str" cm="1">
        <f t="array" ref="S313">IFERROR(_xlfn.AGGREGATE(15, 6, ($P$2:$P$350)/($P$2:$P$350&lt;&gt;0), ROWS($R$2:R313)), "")</f>
        <v/>
      </c>
      <c r="U313" t="str">
        <f t="shared" ca="1" si="113"/>
        <v/>
      </c>
      <c r="V313" t="str">
        <f t="shared" ca="1" si="114"/>
        <v/>
      </c>
      <c r="W313" t="str">
        <f t="shared" ca="1" si="115"/>
        <v/>
      </c>
      <c r="X313" t="str">
        <f t="shared" ca="1" si="116"/>
        <v/>
      </c>
      <c r="Z313" t="str">
        <f t="shared" ca="1" si="123"/>
        <v/>
      </c>
      <c r="AA313" t="str">
        <f t="shared" ca="1" si="110"/>
        <v/>
      </c>
      <c r="AB313" t="str">
        <f t="shared" ca="1" si="111"/>
        <v/>
      </c>
      <c r="AC313" t="str">
        <f t="shared" ca="1" si="112"/>
        <v/>
      </c>
      <c r="AE313" t="str">
        <f t="shared" ca="1" si="117"/>
        <v/>
      </c>
      <c r="AF313" t="str">
        <f t="shared" ca="1" si="118"/>
        <v/>
      </c>
      <c r="AG313" t="str">
        <f t="shared" ca="1" si="119"/>
        <v/>
      </c>
      <c r="AH313" t="str">
        <f t="shared" ca="1" si="120"/>
        <v/>
      </c>
      <c r="AI313" t="str">
        <f t="shared" ca="1" si="121"/>
        <v/>
      </c>
      <c r="AJ313" t="str">
        <f t="shared" ca="1" si="122"/>
        <v/>
      </c>
    </row>
    <row r="314" spans="15:36" ht="18.600000000000001" customHeight="1" x14ac:dyDescent="0.45">
      <c r="O314">
        <f t="shared" si="108"/>
        <v>0</v>
      </c>
      <c r="P314">
        <f t="shared" si="109"/>
        <v>0</v>
      </c>
      <c r="R314" t="str" cm="1">
        <f t="array" ref="R314">IFERROR(_xlfn.AGGREGATE(15, 6, ($O$2:$O$350)/($O$2:$O$350&lt;&gt;0), ROWS($R$2:R314)), "")</f>
        <v/>
      </c>
      <c r="S314" t="str" cm="1">
        <f t="array" ref="S314">IFERROR(_xlfn.AGGREGATE(15, 6, ($P$2:$P$350)/($P$2:$P$350&lt;&gt;0), ROWS($R$2:R314)), "")</f>
        <v/>
      </c>
      <c r="U314" t="str">
        <f t="shared" ca="1" si="113"/>
        <v/>
      </c>
      <c r="V314" t="str">
        <f t="shared" ca="1" si="114"/>
        <v/>
      </c>
      <c r="W314" t="str">
        <f t="shared" ca="1" si="115"/>
        <v/>
      </c>
      <c r="X314" t="str">
        <f t="shared" ca="1" si="116"/>
        <v/>
      </c>
      <c r="Z314" t="str">
        <f t="shared" ca="1" si="123"/>
        <v/>
      </c>
      <c r="AA314" t="str">
        <f t="shared" ca="1" si="110"/>
        <v/>
      </c>
      <c r="AB314" t="str">
        <f t="shared" ca="1" si="111"/>
        <v/>
      </c>
      <c r="AC314" t="str">
        <f t="shared" ca="1" si="112"/>
        <v/>
      </c>
      <c r="AE314" t="str">
        <f t="shared" ca="1" si="117"/>
        <v/>
      </c>
      <c r="AF314" t="str">
        <f t="shared" ca="1" si="118"/>
        <v/>
      </c>
      <c r="AG314" t="str">
        <f t="shared" ca="1" si="119"/>
        <v/>
      </c>
      <c r="AH314" t="str">
        <f t="shared" ca="1" si="120"/>
        <v/>
      </c>
      <c r="AI314" t="str">
        <f t="shared" ca="1" si="121"/>
        <v/>
      </c>
      <c r="AJ314" t="str">
        <f t="shared" ca="1" si="122"/>
        <v/>
      </c>
    </row>
    <row r="315" spans="15:36" ht="18.600000000000001" customHeight="1" x14ac:dyDescent="0.45">
      <c r="O315">
        <f t="shared" si="108"/>
        <v>0</v>
      </c>
      <c r="P315">
        <f t="shared" si="109"/>
        <v>0</v>
      </c>
      <c r="R315" t="str" cm="1">
        <f t="array" ref="R315">IFERROR(_xlfn.AGGREGATE(15, 6, ($O$2:$O$350)/($O$2:$O$350&lt;&gt;0), ROWS($R$2:R315)), "")</f>
        <v/>
      </c>
      <c r="S315" t="str" cm="1">
        <f t="array" ref="S315">IFERROR(_xlfn.AGGREGATE(15, 6, ($P$2:$P$350)/($P$2:$P$350&lt;&gt;0), ROWS($R$2:R315)), "")</f>
        <v/>
      </c>
      <c r="U315" t="str">
        <f t="shared" ca="1" si="113"/>
        <v/>
      </c>
      <c r="V315" t="str">
        <f t="shared" ca="1" si="114"/>
        <v/>
      </c>
      <c r="W315" t="str">
        <f t="shared" ca="1" si="115"/>
        <v/>
      </c>
      <c r="X315" t="str">
        <f t="shared" ca="1" si="116"/>
        <v/>
      </c>
      <c r="Z315" t="str">
        <f t="shared" ca="1" si="123"/>
        <v/>
      </c>
      <c r="AA315" t="str">
        <f t="shared" ca="1" si="110"/>
        <v/>
      </c>
      <c r="AB315" t="str">
        <f t="shared" ca="1" si="111"/>
        <v/>
      </c>
      <c r="AC315" t="str">
        <f t="shared" ca="1" si="112"/>
        <v/>
      </c>
      <c r="AE315" t="str">
        <f t="shared" ca="1" si="117"/>
        <v/>
      </c>
      <c r="AF315" t="str">
        <f t="shared" ca="1" si="118"/>
        <v/>
      </c>
      <c r="AG315" t="str">
        <f t="shared" ca="1" si="119"/>
        <v/>
      </c>
      <c r="AH315" t="str">
        <f t="shared" ca="1" si="120"/>
        <v/>
      </c>
      <c r="AI315" t="str">
        <f t="shared" ca="1" si="121"/>
        <v/>
      </c>
      <c r="AJ315" t="str">
        <f t="shared" ca="1" si="122"/>
        <v/>
      </c>
    </row>
    <row r="316" spans="15:36" ht="18.600000000000001" customHeight="1" x14ac:dyDescent="0.45">
      <c r="O316">
        <f t="shared" si="108"/>
        <v>0</v>
      </c>
      <c r="P316">
        <f t="shared" si="109"/>
        <v>0</v>
      </c>
      <c r="R316" t="str" cm="1">
        <f t="array" ref="R316">IFERROR(_xlfn.AGGREGATE(15, 6, ($O$2:$O$350)/($O$2:$O$350&lt;&gt;0), ROWS($R$2:R316)), "")</f>
        <v/>
      </c>
      <c r="S316" t="str" cm="1">
        <f t="array" ref="S316">IFERROR(_xlfn.AGGREGATE(15, 6, ($P$2:$P$350)/($P$2:$P$350&lt;&gt;0), ROWS($R$2:R316)), "")</f>
        <v/>
      </c>
      <c r="U316" t="str">
        <f t="shared" ca="1" si="113"/>
        <v/>
      </c>
      <c r="V316" t="str">
        <f t="shared" ca="1" si="114"/>
        <v/>
      </c>
      <c r="W316" t="str">
        <f t="shared" ca="1" si="115"/>
        <v/>
      </c>
      <c r="X316" t="str">
        <f t="shared" ca="1" si="116"/>
        <v/>
      </c>
      <c r="Z316" t="str">
        <f t="shared" ca="1" si="123"/>
        <v/>
      </c>
      <c r="AA316" t="str">
        <f t="shared" ca="1" si="110"/>
        <v/>
      </c>
      <c r="AB316" t="str">
        <f t="shared" ca="1" si="111"/>
        <v/>
      </c>
      <c r="AC316" t="str">
        <f t="shared" ca="1" si="112"/>
        <v/>
      </c>
      <c r="AE316" t="str">
        <f t="shared" ca="1" si="117"/>
        <v/>
      </c>
      <c r="AF316" t="str">
        <f t="shared" ca="1" si="118"/>
        <v/>
      </c>
      <c r="AG316" t="str">
        <f t="shared" ca="1" si="119"/>
        <v/>
      </c>
      <c r="AH316" t="str">
        <f t="shared" ca="1" si="120"/>
        <v/>
      </c>
      <c r="AI316" t="str">
        <f t="shared" ca="1" si="121"/>
        <v/>
      </c>
      <c r="AJ316" t="str">
        <f t="shared" ca="1" si="122"/>
        <v/>
      </c>
    </row>
    <row r="317" spans="15:36" ht="18.600000000000001" customHeight="1" x14ac:dyDescent="0.45">
      <c r="O317">
        <f t="shared" si="108"/>
        <v>0</v>
      </c>
      <c r="P317">
        <f t="shared" si="109"/>
        <v>0</v>
      </c>
      <c r="R317" t="str" cm="1">
        <f t="array" ref="R317">IFERROR(_xlfn.AGGREGATE(15, 6, ($O$2:$O$350)/($O$2:$O$350&lt;&gt;0), ROWS($R$2:R317)), "")</f>
        <v/>
      </c>
      <c r="S317" t="str" cm="1">
        <f t="array" ref="S317">IFERROR(_xlfn.AGGREGATE(15, 6, ($P$2:$P$350)/($P$2:$P$350&lt;&gt;0), ROWS($R$2:R317)), "")</f>
        <v/>
      </c>
      <c r="U317" t="str">
        <f t="shared" ca="1" si="113"/>
        <v/>
      </c>
      <c r="V317" t="str">
        <f t="shared" ca="1" si="114"/>
        <v/>
      </c>
      <c r="W317" t="str">
        <f t="shared" ca="1" si="115"/>
        <v/>
      </c>
      <c r="X317" t="str">
        <f t="shared" ca="1" si="116"/>
        <v/>
      </c>
      <c r="Z317" t="str">
        <f t="shared" ca="1" si="123"/>
        <v/>
      </c>
      <c r="AA317" t="str">
        <f t="shared" ca="1" si="110"/>
        <v/>
      </c>
      <c r="AB317" t="str">
        <f t="shared" ca="1" si="111"/>
        <v/>
      </c>
      <c r="AC317" t="str">
        <f t="shared" ca="1" si="112"/>
        <v/>
      </c>
      <c r="AE317" t="str">
        <f t="shared" ca="1" si="117"/>
        <v/>
      </c>
      <c r="AF317" t="str">
        <f t="shared" ca="1" si="118"/>
        <v/>
      </c>
      <c r="AG317" t="str">
        <f t="shared" ca="1" si="119"/>
        <v/>
      </c>
      <c r="AH317" t="str">
        <f t="shared" ca="1" si="120"/>
        <v/>
      </c>
      <c r="AI317" t="str">
        <f t="shared" ca="1" si="121"/>
        <v/>
      </c>
      <c r="AJ317" t="str">
        <f t="shared" ca="1" si="122"/>
        <v/>
      </c>
    </row>
    <row r="318" spans="15:36" ht="18.600000000000001" customHeight="1" x14ac:dyDescent="0.45">
      <c r="O318">
        <f t="shared" si="108"/>
        <v>0</v>
      </c>
      <c r="P318">
        <f t="shared" si="109"/>
        <v>0</v>
      </c>
      <c r="R318" t="str" cm="1">
        <f t="array" ref="R318">IFERROR(_xlfn.AGGREGATE(15, 6, ($O$2:$O$350)/($O$2:$O$350&lt;&gt;0), ROWS($R$2:R318)), "")</f>
        <v/>
      </c>
      <c r="S318" t="str" cm="1">
        <f t="array" ref="S318">IFERROR(_xlfn.AGGREGATE(15, 6, ($P$2:$P$350)/($P$2:$P$350&lt;&gt;0), ROWS($R$2:R318)), "")</f>
        <v/>
      </c>
      <c r="U318" t="str">
        <f t="shared" ca="1" si="113"/>
        <v/>
      </c>
      <c r="V318" t="str">
        <f t="shared" ca="1" si="114"/>
        <v/>
      </c>
      <c r="W318" t="str">
        <f t="shared" ca="1" si="115"/>
        <v/>
      </c>
      <c r="X318" t="str">
        <f t="shared" ca="1" si="116"/>
        <v/>
      </c>
      <c r="Z318" t="str">
        <f t="shared" ca="1" si="123"/>
        <v/>
      </c>
      <c r="AA318" t="str">
        <f t="shared" ca="1" si="110"/>
        <v/>
      </c>
      <c r="AB318" t="str">
        <f t="shared" ca="1" si="111"/>
        <v/>
      </c>
      <c r="AC318" t="str">
        <f t="shared" ca="1" si="112"/>
        <v/>
      </c>
      <c r="AE318" t="str">
        <f t="shared" ca="1" si="117"/>
        <v/>
      </c>
      <c r="AF318" t="str">
        <f t="shared" ca="1" si="118"/>
        <v/>
      </c>
      <c r="AG318" t="str">
        <f t="shared" ca="1" si="119"/>
        <v/>
      </c>
      <c r="AH318" t="str">
        <f t="shared" ca="1" si="120"/>
        <v/>
      </c>
      <c r="AI318" t="str">
        <f t="shared" ca="1" si="121"/>
        <v/>
      </c>
      <c r="AJ318" t="str">
        <f t="shared" ca="1" si="122"/>
        <v/>
      </c>
    </row>
    <row r="319" spans="15:36" ht="18.600000000000001" customHeight="1" x14ac:dyDescent="0.45">
      <c r="O319">
        <f t="shared" si="108"/>
        <v>0</v>
      </c>
      <c r="P319">
        <f t="shared" si="109"/>
        <v>0</v>
      </c>
      <c r="R319" t="str" cm="1">
        <f t="array" ref="R319">IFERROR(_xlfn.AGGREGATE(15, 6, ($O$2:$O$350)/($O$2:$O$350&lt;&gt;0), ROWS($R$2:R319)), "")</f>
        <v/>
      </c>
      <c r="S319" t="str" cm="1">
        <f t="array" ref="S319">IFERROR(_xlfn.AGGREGATE(15, 6, ($P$2:$P$350)/($P$2:$P$350&lt;&gt;0), ROWS($R$2:R319)), "")</f>
        <v/>
      </c>
      <c r="U319" t="str">
        <f t="shared" ca="1" si="113"/>
        <v/>
      </c>
      <c r="V319" t="str">
        <f t="shared" ca="1" si="114"/>
        <v/>
      </c>
      <c r="W319" t="str">
        <f t="shared" ca="1" si="115"/>
        <v/>
      </c>
      <c r="X319" t="str">
        <f t="shared" ca="1" si="116"/>
        <v/>
      </c>
      <c r="Z319" t="str">
        <f t="shared" ca="1" si="123"/>
        <v/>
      </c>
      <c r="AA319" t="str">
        <f t="shared" ca="1" si="110"/>
        <v/>
      </c>
      <c r="AB319" t="str">
        <f t="shared" ca="1" si="111"/>
        <v/>
      </c>
      <c r="AC319" t="str">
        <f t="shared" ca="1" si="112"/>
        <v/>
      </c>
      <c r="AE319" t="str">
        <f t="shared" ca="1" si="117"/>
        <v/>
      </c>
      <c r="AF319" t="str">
        <f t="shared" ca="1" si="118"/>
        <v/>
      </c>
      <c r="AG319" t="str">
        <f t="shared" ca="1" si="119"/>
        <v/>
      </c>
      <c r="AH319" t="str">
        <f t="shared" ca="1" si="120"/>
        <v/>
      </c>
      <c r="AI319" t="str">
        <f t="shared" ca="1" si="121"/>
        <v/>
      </c>
      <c r="AJ319" t="str">
        <f t="shared" ca="1" si="122"/>
        <v/>
      </c>
    </row>
    <row r="320" spans="15:36" ht="18.600000000000001" customHeight="1" x14ac:dyDescent="0.45">
      <c r="O320">
        <f t="shared" si="108"/>
        <v>0</v>
      </c>
      <c r="P320">
        <f t="shared" si="109"/>
        <v>0</v>
      </c>
      <c r="R320" t="str" cm="1">
        <f t="array" ref="R320">IFERROR(_xlfn.AGGREGATE(15, 6, ($O$2:$O$350)/($O$2:$O$350&lt;&gt;0), ROWS($R$2:R320)), "")</f>
        <v/>
      </c>
      <c r="S320" t="str" cm="1">
        <f t="array" ref="S320">IFERROR(_xlfn.AGGREGATE(15, 6, ($P$2:$P$350)/($P$2:$P$350&lt;&gt;0), ROWS($R$2:R320)), "")</f>
        <v/>
      </c>
      <c r="U320" t="str">
        <f t="shared" ca="1" si="113"/>
        <v/>
      </c>
      <c r="V320" t="str">
        <f t="shared" ca="1" si="114"/>
        <v/>
      </c>
      <c r="W320" t="str">
        <f t="shared" ca="1" si="115"/>
        <v/>
      </c>
      <c r="X320" t="str">
        <f t="shared" ca="1" si="116"/>
        <v/>
      </c>
      <c r="Z320" t="str">
        <f t="shared" ca="1" si="123"/>
        <v/>
      </c>
      <c r="AA320" t="str">
        <f t="shared" ca="1" si="110"/>
        <v/>
      </c>
      <c r="AB320" t="str">
        <f t="shared" ca="1" si="111"/>
        <v/>
      </c>
      <c r="AC320" t="str">
        <f t="shared" ca="1" si="112"/>
        <v/>
      </c>
      <c r="AE320" t="str">
        <f t="shared" ca="1" si="117"/>
        <v/>
      </c>
      <c r="AF320" t="str">
        <f t="shared" ca="1" si="118"/>
        <v/>
      </c>
      <c r="AG320" t="str">
        <f t="shared" ca="1" si="119"/>
        <v/>
      </c>
      <c r="AH320" t="str">
        <f t="shared" ca="1" si="120"/>
        <v/>
      </c>
      <c r="AI320" t="str">
        <f t="shared" ca="1" si="121"/>
        <v/>
      </c>
      <c r="AJ320" t="str">
        <f t="shared" ca="1" si="122"/>
        <v/>
      </c>
    </row>
    <row r="321" spans="15:36" ht="18.600000000000001" customHeight="1" x14ac:dyDescent="0.45">
      <c r="O321">
        <f t="shared" si="108"/>
        <v>0</v>
      </c>
      <c r="P321">
        <f t="shared" si="109"/>
        <v>0</v>
      </c>
      <c r="R321" t="str" cm="1">
        <f t="array" ref="R321">IFERROR(_xlfn.AGGREGATE(15, 6, ($O$2:$O$350)/($O$2:$O$350&lt;&gt;0), ROWS($R$2:R321)), "")</f>
        <v/>
      </c>
      <c r="S321" t="str" cm="1">
        <f t="array" ref="S321">IFERROR(_xlfn.AGGREGATE(15, 6, ($P$2:$P$350)/($P$2:$P$350&lt;&gt;0), ROWS($R$2:R321)), "")</f>
        <v/>
      </c>
      <c r="U321" t="str">
        <f t="shared" ca="1" si="113"/>
        <v/>
      </c>
      <c r="V321" t="str">
        <f t="shared" ca="1" si="114"/>
        <v/>
      </c>
      <c r="W321" t="str">
        <f t="shared" ca="1" si="115"/>
        <v/>
      </c>
      <c r="X321" t="str">
        <f t="shared" ca="1" si="116"/>
        <v/>
      </c>
      <c r="Z321" t="str">
        <f t="shared" ca="1" si="123"/>
        <v/>
      </c>
      <c r="AA321" t="str">
        <f t="shared" ca="1" si="110"/>
        <v/>
      </c>
      <c r="AB321" t="str">
        <f t="shared" ca="1" si="111"/>
        <v/>
      </c>
      <c r="AC321" t="str">
        <f t="shared" ca="1" si="112"/>
        <v/>
      </c>
      <c r="AE321" t="str">
        <f t="shared" ca="1" si="117"/>
        <v/>
      </c>
      <c r="AF321" t="str">
        <f t="shared" ca="1" si="118"/>
        <v/>
      </c>
      <c r="AG321" t="str">
        <f t="shared" ca="1" si="119"/>
        <v/>
      </c>
      <c r="AH321" t="str">
        <f t="shared" ca="1" si="120"/>
        <v/>
      </c>
      <c r="AI321" t="str">
        <f t="shared" ca="1" si="121"/>
        <v/>
      </c>
      <c r="AJ321" t="str">
        <f t="shared" ca="1" si="122"/>
        <v/>
      </c>
    </row>
    <row r="322" spans="15:36" ht="18.600000000000001" customHeight="1" x14ac:dyDescent="0.45">
      <c r="O322">
        <f t="shared" ref="O322:O349" si="124">IF(COUNTIF(A322,"*/*"),ROW(),0)</f>
        <v>0</v>
      </c>
      <c r="P322">
        <f t="shared" si="109"/>
        <v>0</v>
      </c>
      <c r="R322" t="str" cm="1">
        <f t="array" ref="R322">IFERROR(_xlfn.AGGREGATE(15, 6, ($O$2:$O$350)/($O$2:$O$350&lt;&gt;0), ROWS($R$2:R322)), "")</f>
        <v/>
      </c>
      <c r="S322" t="str" cm="1">
        <f t="array" ref="S322">IFERROR(_xlfn.AGGREGATE(15, 6, ($P$2:$P$350)/($P$2:$P$350&lt;&gt;0), ROWS($R$2:R322)), "")</f>
        <v/>
      </c>
      <c r="U322" t="str">
        <f t="shared" ca="1" si="113"/>
        <v/>
      </c>
      <c r="V322" t="str">
        <f t="shared" ca="1" si="114"/>
        <v/>
      </c>
      <c r="W322" t="str">
        <f t="shared" ca="1" si="115"/>
        <v/>
      </c>
      <c r="X322" t="str">
        <f t="shared" ca="1" si="116"/>
        <v/>
      </c>
      <c r="Z322" t="str">
        <f t="shared" ca="1" si="123"/>
        <v/>
      </c>
      <c r="AA322" t="str">
        <f t="shared" ca="1" si="110"/>
        <v/>
      </c>
      <c r="AB322" t="str">
        <f t="shared" ca="1" si="111"/>
        <v/>
      </c>
      <c r="AC322" t="str">
        <f t="shared" ca="1" si="112"/>
        <v/>
      </c>
      <c r="AE322" t="str">
        <f t="shared" ca="1" si="117"/>
        <v/>
      </c>
      <c r="AF322" t="str">
        <f t="shared" ca="1" si="118"/>
        <v/>
      </c>
      <c r="AG322" t="str">
        <f t="shared" ca="1" si="119"/>
        <v/>
      </c>
      <c r="AH322" t="str">
        <f t="shared" ca="1" si="120"/>
        <v/>
      </c>
      <c r="AI322" t="str">
        <f t="shared" ca="1" si="121"/>
        <v/>
      </c>
      <c r="AJ322" t="str">
        <f t="shared" ca="1" si="122"/>
        <v/>
      </c>
    </row>
    <row r="323" spans="15:36" ht="18.600000000000001" customHeight="1" x14ac:dyDescent="0.45">
      <c r="O323">
        <f t="shared" si="124"/>
        <v>0</v>
      </c>
      <c r="P323">
        <f t="shared" si="109"/>
        <v>0</v>
      </c>
      <c r="R323" t="str" cm="1">
        <f t="array" ref="R323">IFERROR(_xlfn.AGGREGATE(15, 6, ($O$2:$O$350)/($O$2:$O$350&lt;&gt;0), ROWS($R$2:R323)), "")</f>
        <v/>
      </c>
      <c r="S323" t="str" cm="1">
        <f t="array" ref="S323">IFERROR(_xlfn.AGGREGATE(15, 6, ($P$2:$P$350)/($P$2:$P$350&lt;&gt;0), ROWS($R$2:R323)), "")</f>
        <v/>
      </c>
      <c r="U323" t="str">
        <f t="shared" ca="1" si="113"/>
        <v/>
      </c>
      <c r="V323" t="str">
        <f t="shared" ca="1" si="114"/>
        <v/>
      </c>
      <c r="W323" t="str">
        <f t="shared" ca="1" si="115"/>
        <v/>
      </c>
      <c r="X323" t="str">
        <f t="shared" ca="1" si="116"/>
        <v/>
      </c>
      <c r="Z323" t="str">
        <f t="shared" ca="1" si="123"/>
        <v/>
      </c>
      <c r="AA323" t="str">
        <f t="shared" ca="1" si="110"/>
        <v/>
      </c>
      <c r="AB323" t="str">
        <f t="shared" ca="1" si="111"/>
        <v/>
      </c>
      <c r="AC323" t="str">
        <f t="shared" ca="1" si="112"/>
        <v/>
      </c>
      <c r="AE323" t="str">
        <f t="shared" ca="1" si="117"/>
        <v/>
      </c>
      <c r="AF323" t="str">
        <f t="shared" ca="1" si="118"/>
        <v/>
      </c>
      <c r="AG323" t="str">
        <f t="shared" ca="1" si="119"/>
        <v/>
      </c>
      <c r="AH323" t="str">
        <f t="shared" ca="1" si="120"/>
        <v/>
      </c>
      <c r="AI323" t="str">
        <f t="shared" ca="1" si="121"/>
        <v/>
      </c>
      <c r="AJ323" t="str">
        <f t="shared" ca="1" si="122"/>
        <v/>
      </c>
    </row>
    <row r="324" spans="15:36" ht="18.600000000000001" customHeight="1" x14ac:dyDescent="0.45">
      <c r="O324">
        <f t="shared" si="124"/>
        <v>0</v>
      </c>
      <c r="P324">
        <f t="shared" si="109"/>
        <v>0</v>
      </c>
      <c r="R324" t="str" cm="1">
        <f t="array" ref="R324">IFERROR(_xlfn.AGGREGATE(15, 6, ($O$2:$O$350)/($O$2:$O$350&lt;&gt;0), ROWS($R$2:R324)), "")</f>
        <v/>
      </c>
      <c r="S324" t="str" cm="1">
        <f t="array" ref="S324">IFERROR(_xlfn.AGGREGATE(15, 6, ($P$2:$P$350)/($P$2:$P$350&lt;&gt;0), ROWS($R$2:R324)), "")</f>
        <v/>
      </c>
      <c r="U324" t="str">
        <f t="shared" ca="1" si="113"/>
        <v/>
      </c>
      <c r="V324" t="str">
        <f t="shared" ca="1" si="114"/>
        <v/>
      </c>
      <c r="W324" t="str">
        <f t="shared" ca="1" si="115"/>
        <v/>
      </c>
      <c r="X324" t="str">
        <f t="shared" ca="1" si="116"/>
        <v/>
      </c>
      <c r="Z324" t="str">
        <f t="shared" ca="1" si="123"/>
        <v/>
      </c>
      <c r="AA324" t="str">
        <f t="shared" ca="1" si="110"/>
        <v/>
      </c>
      <c r="AB324" t="str">
        <f t="shared" ca="1" si="111"/>
        <v/>
      </c>
      <c r="AC324" t="str">
        <f t="shared" ca="1" si="112"/>
        <v/>
      </c>
      <c r="AE324" t="str">
        <f t="shared" ca="1" si="117"/>
        <v/>
      </c>
      <c r="AF324" t="str">
        <f t="shared" ca="1" si="118"/>
        <v/>
      </c>
      <c r="AG324" t="str">
        <f t="shared" ca="1" si="119"/>
        <v/>
      </c>
      <c r="AH324" t="str">
        <f t="shared" ca="1" si="120"/>
        <v/>
      </c>
      <c r="AI324" t="str">
        <f t="shared" ca="1" si="121"/>
        <v/>
      </c>
      <c r="AJ324" t="str">
        <f t="shared" ca="1" si="122"/>
        <v/>
      </c>
    </row>
    <row r="325" spans="15:36" ht="18.600000000000001" customHeight="1" x14ac:dyDescent="0.45">
      <c r="O325">
        <f t="shared" si="124"/>
        <v>0</v>
      </c>
      <c r="P325">
        <f t="shared" ref="P325:P350" si="125">IF(O325&lt;&gt;0,O325-1,0)</f>
        <v>0</v>
      </c>
      <c r="R325" t="str" cm="1">
        <f t="array" ref="R325">IFERROR(_xlfn.AGGREGATE(15, 6, ($O$2:$O$350)/($O$2:$O$350&lt;&gt;0), ROWS($R$2:R325)), "")</f>
        <v/>
      </c>
      <c r="S325" t="str" cm="1">
        <f t="array" ref="S325">IFERROR(_xlfn.AGGREGATE(15, 6, ($P$2:$P$350)/($P$2:$P$350&lt;&gt;0), ROWS($R$2:R325)), "")</f>
        <v/>
      </c>
      <c r="U325" t="str">
        <f t="shared" ca="1" si="113"/>
        <v/>
      </c>
      <c r="V325" t="str">
        <f t="shared" ca="1" si="114"/>
        <v/>
      </c>
      <c r="W325" t="str">
        <f t="shared" ca="1" si="115"/>
        <v/>
      </c>
      <c r="X325" t="str">
        <f t="shared" ca="1" si="116"/>
        <v/>
      </c>
      <c r="Z325" t="str">
        <f t="shared" ca="1" si="123"/>
        <v/>
      </c>
      <c r="AA325" t="str">
        <f t="shared" ca="1" si="110"/>
        <v/>
      </c>
      <c r="AB325" t="str">
        <f t="shared" ca="1" si="111"/>
        <v/>
      </c>
      <c r="AC325" t="str">
        <f t="shared" ca="1" si="112"/>
        <v/>
      </c>
      <c r="AE325" t="str">
        <f t="shared" ca="1" si="117"/>
        <v/>
      </c>
      <c r="AF325" t="str">
        <f t="shared" ca="1" si="118"/>
        <v/>
      </c>
      <c r="AG325" t="str">
        <f t="shared" ca="1" si="119"/>
        <v/>
      </c>
      <c r="AH325" t="str">
        <f t="shared" ca="1" si="120"/>
        <v/>
      </c>
      <c r="AI325" t="str">
        <f t="shared" ca="1" si="121"/>
        <v/>
      </c>
      <c r="AJ325" t="str">
        <f t="shared" ca="1" si="122"/>
        <v/>
      </c>
    </row>
    <row r="326" spans="15:36" ht="18.600000000000001" customHeight="1" x14ac:dyDescent="0.45">
      <c r="O326">
        <f t="shared" si="124"/>
        <v>0</v>
      </c>
      <c r="P326">
        <f t="shared" si="125"/>
        <v>0</v>
      </c>
      <c r="R326" t="str" cm="1">
        <f t="array" ref="R326">IFERROR(_xlfn.AGGREGATE(15, 6, ($O$2:$O$350)/($O$2:$O$350&lt;&gt;0), ROWS($R$2:R326)), "")</f>
        <v/>
      </c>
      <c r="S326" t="str" cm="1">
        <f t="array" ref="S326">IFERROR(_xlfn.AGGREGATE(15, 6, ($P$2:$P$350)/($P$2:$P$350&lt;&gt;0), ROWS($R$2:R326)), "")</f>
        <v/>
      </c>
      <c r="U326" t="str">
        <f t="shared" ca="1" si="113"/>
        <v/>
      </c>
      <c r="V326" t="str">
        <f t="shared" ca="1" si="114"/>
        <v/>
      </c>
      <c r="W326" t="str">
        <f t="shared" ca="1" si="115"/>
        <v/>
      </c>
      <c r="X326" t="str">
        <f t="shared" ca="1" si="116"/>
        <v/>
      </c>
      <c r="Z326" t="str">
        <f t="shared" ca="1" si="123"/>
        <v/>
      </c>
      <c r="AA326" t="str">
        <f t="shared" ca="1" si="110"/>
        <v/>
      </c>
      <c r="AB326" t="str">
        <f t="shared" ca="1" si="111"/>
        <v/>
      </c>
      <c r="AC326" t="str">
        <f t="shared" ca="1" si="112"/>
        <v/>
      </c>
      <c r="AE326" t="str">
        <f t="shared" ca="1" si="117"/>
        <v/>
      </c>
      <c r="AF326" t="str">
        <f t="shared" ca="1" si="118"/>
        <v/>
      </c>
      <c r="AG326" t="str">
        <f t="shared" ca="1" si="119"/>
        <v/>
      </c>
      <c r="AH326" t="str">
        <f t="shared" ca="1" si="120"/>
        <v/>
      </c>
      <c r="AI326" t="str">
        <f t="shared" ca="1" si="121"/>
        <v/>
      </c>
      <c r="AJ326" t="str">
        <f t="shared" ca="1" si="122"/>
        <v/>
      </c>
    </row>
    <row r="327" spans="15:36" ht="18.600000000000001" customHeight="1" x14ac:dyDescent="0.45">
      <c r="O327">
        <f t="shared" si="124"/>
        <v>0</v>
      </c>
      <c r="P327">
        <f t="shared" si="125"/>
        <v>0</v>
      </c>
      <c r="R327" t="str" cm="1">
        <f t="array" ref="R327">IFERROR(_xlfn.AGGREGATE(15, 6, ($O$2:$O$350)/($O$2:$O$350&lt;&gt;0), ROWS($R$2:R327)), "")</f>
        <v/>
      </c>
      <c r="S327" t="str" cm="1">
        <f t="array" ref="S327">IFERROR(_xlfn.AGGREGATE(15, 6, ($P$2:$P$350)/($P$2:$P$350&lt;&gt;0), ROWS($R$2:R327)), "")</f>
        <v/>
      </c>
      <c r="U327" t="str">
        <f t="shared" ca="1" si="113"/>
        <v/>
      </c>
      <c r="V327" t="str">
        <f t="shared" ca="1" si="114"/>
        <v/>
      </c>
      <c r="W327" t="str">
        <f t="shared" ca="1" si="115"/>
        <v/>
      </c>
      <c r="X327" t="str">
        <f t="shared" ca="1" si="116"/>
        <v/>
      </c>
      <c r="Z327" t="str">
        <f t="shared" ca="1" si="123"/>
        <v/>
      </c>
      <c r="AA327" t="str">
        <f t="shared" ca="1" si="110"/>
        <v/>
      </c>
      <c r="AB327" t="str">
        <f t="shared" ca="1" si="111"/>
        <v/>
      </c>
      <c r="AC327" t="str">
        <f t="shared" ca="1" si="112"/>
        <v/>
      </c>
      <c r="AE327" t="str">
        <f t="shared" ca="1" si="117"/>
        <v/>
      </c>
      <c r="AF327" t="str">
        <f t="shared" ca="1" si="118"/>
        <v/>
      </c>
      <c r="AG327" t="str">
        <f t="shared" ca="1" si="119"/>
        <v/>
      </c>
      <c r="AH327" t="str">
        <f t="shared" ca="1" si="120"/>
        <v/>
      </c>
      <c r="AI327" t="str">
        <f t="shared" ca="1" si="121"/>
        <v/>
      </c>
      <c r="AJ327" t="str">
        <f t="shared" ca="1" si="122"/>
        <v/>
      </c>
    </row>
    <row r="328" spans="15:36" ht="18.600000000000001" customHeight="1" x14ac:dyDescent="0.45">
      <c r="O328">
        <f t="shared" si="124"/>
        <v>0</v>
      </c>
      <c r="P328">
        <f t="shared" si="125"/>
        <v>0</v>
      </c>
      <c r="R328" t="str" cm="1">
        <f t="array" ref="R328">IFERROR(_xlfn.AGGREGATE(15, 6, ($O$2:$O$350)/($O$2:$O$350&lt;&gt;0), ROWS($R$2:R328)), "")</f>
        <v/>
      </c>
      <c r="S328" t="str" cm="1">
        <f t="array" ref="S328">IFERROR(_xlfn.AGGREGATE(15, 6, ($P$2:$P$350)/($P$2:$P$350&lt;&gt;0), ROWS($R$2:R328)), "")</f>
        <v/>
      </c>
      <c r="U328" t="str">
        <f t="shared" ca="1" si="113"/>
        <v/>
      </c>
      <c r="V328" t="str">
        <f t="shared" ca="1" si="114"/>
        <v/>
      </c>
      <c r="W328" t="str">
        <f t="shared" ca="1" si="115"/>
        <v/>
      </c>
      <c r="X328" t="str">
        <f t="shared" ca="1" si="116"/>
        <v/>
      </c>
      <c r="Z328" t="str">
        <f t="shared" ca="1" si="123"/>
        <v/>
      </c>
      <c r="AA328" t="str">
        <f t="shared" ca="1" si="110"/>
        <v/>
      </c>
      <c r="AB328" t="str">
        <f t="shared" ca="1" si="111"/>
        <v/>
      </c>
      <c r="AC328" t="str">
        <f t="shared" ca="1" si="112"/>
        <v/>
      </c>
      <c r="AE328" t="str">
        <f t="shared" ca="1" si="117"/>
        <v/>
      </c>
      <c r="AF328" t="str">
        <f t="shared" ca="1" si="118"/>
        <v/>
      </c>
      <c r="AG328" t="str">
        <f t="shared" ca="1" si="119"/>
        <v/>
      </c>
      <c r="AH328" t="str">
        <f t="shared" ca="1" si="120"/>
        <v/>
      </c>
      <c r="AI328" t="str">
        <f t="shared" ca="1" si="121"/>
        <v/>
      </c>
      <c r="AJ328" t="str">
        <f t="shared" ca="1" si="122"/>
        <v/>
      </c>
    </row>
    <row r="329" spans="15:36" ht="18.600000000000001" customHeight="1" x14ac:dyDescent="0.45">
      <c r="O329">
        <f t="shared" si="124"/>
        <v>0</v>
      </c>
      <c r="P329">
        <f t="shared" si="125"/>
        <v>0</v>
      </c>
      <c r="R329" t="str" cm="1">
        <f t="array" ref="R329">IFERROR(_xlfn.AGGREGATE(15, 6, ($O$2:$O$350)/($O$2:$O$350&lt;&gt;0), ROWS($R$2:R329)), "")</f>
        <v/>
      </c>
      <c r="S329" t="str" cm="1">
        <f t="array" ref="S329">IFERROR(_xlfn.AGGREGATE(15, 6, ($P$2:$P$350)/($P$2:$P$350&lt;&gt;0), ROWS($R$2:R329)), "")</f>
        <v/>
      </c>
      <c r="U329" t="str">
        <f t="shared" ca="1" si="113"/>
        <v/>
      </c>
      <c r="V329" t="str">
        <f t="shared" ca="1" si="114"/>
        <v/>
      </c>
      <c r="W329" t="str">
        <f t="shared" ca="1" si="115"/>
        <v/>
      </c>
      <c r="X329" t="str">
        <f t="shared" ca="1" si="116"/>
        <v/>
      </c>
      <c r="Z329" t="str">
        <f t="shared" ca="1" si="123"/>
        <v/>
      </c>
      <c r="AA329" t="str">
        <f t="shared" ca="1" si="110"/>
        <v/>
      </c>
      <c r="AB329" t="str">
        <f t="shared" ca="1" si="111"/>
        <v/>
      </c>
      <c r="AC329" t="str">
        <f t="shared" ca="1" si="112"/>
        <v/>
      </c>
      <c r="AE329" t="str">
        <f t="shared" ca="1" si="117"/>
        <v/>
      </c>
      <c r="AF329" t="str">
        <f t="shared" ca="1" si="118"/>
        <v/>
      </c>
      <c r="AG329" t="str">
        <f t="shared" ca="1" si="119"/>
        <v/>
      </c>
      <c r="AH329" t="str">
        <f t="shared" ca="1" si="120"/>
        <v/>
      </c>
      <c r="AI329" t="str">
        <f t="shared" ca="1" si="121"/>
        <v/>
      </c>
      <c r="AJ329" t="str">
        <f t="shared" ca="1" si="122"/>
        <v/>
      </c>
    </row>
    <row r="330" spans="15:36" ht="18.600000000000001" customHeight="1" x14ac:dyDescent="0.45">
      <c r="O330">
        <f t="shared" si="124"/>
        <v>0</v>
      </c>
      <c r="P330">
        <f t="shared" si="125"/>
        <v>0</v>
      </c>
      <c r="R330" t="str" cm="1">
        <f t="array" ref="R330">IFERROR(_xlfn.AGGREGATE(15, 6, ($O$2:$O$350)/($O$2:$O$350&lt;&gt;0), ROWS($R$2:R330)), "")</f>
        <v/>
      </c>
      <c r="S330" t="str" cm="1">
        <f t="array" ref="S330">IFERROR(_xlfn.AGGREGATE(15, 6, ($P$2:$P$350)/($P$2:$P$350&lt;&gt;0), ROWS($R$2:R330)), "")</f>
        <v/>
      </c>
      <c r="U330" t="str">
        <f t="shared" ca="1" si="113"/>
        <v/>
      </c>
      <c r="V330" t="str">
        <f t="shared" ca="1" si="114"/>
        <v/>
      </c>
      <c r="W330" t="str">
        <f t="shared" ca="1" si="115"/>
        <v/>
      </c>
      <c r="X330" t="str">
        <f t="shared" ca="1" si="116"/>
        <v/>
      </c>
      <c r="Z330" t="str">
        <f t="shared" ca="1" si="123"/>
        <v/>
      </c>
      <c r="AA330" t="str">
        <f t="shared" ca="1" si="110"/>
        <v/>
      </c>
      <c r="AB330" t="str">
        <f t="shared" ca="1" si="111"/>
        <v/>
      </c>
      <c r="AC330" t="str">
        <f t="shared" ca="1" si="112"/>
        <v/>
      </c>
      <c r="AE330" t="str">
        <f t="shared" ca="1" si="117"/>
        <v/>
      </c>
      <c r="AF330" t="str">
        <f t="shared" ca="1" si="118"/>
        <v/>
      </c>
      <c r="AG330" t="str">
        <f t="shared" ca="1" si="119"/>
        <v/>
      </c>
      <c r="AH330" t="str">
        <f t="shared" ca="1" si="120"/>
        <v/>
      </c>
      <c r="AI330" t="str">
        <f t="shared" ca="1" si="121"/>
        <v/>
      </c>
      <c r="AJ330" t="str">
        <f t="shared" ca="1" si="122"/>
        <v/>
      </c>
    </row>
    <row r="331" spans="15:36" ht="18.600000000000001" customHeight="1" x14ac:dyDescent="0.45">
      <c r="O331">
        <f t="shared" si="124"/>
        <v>0</v>
      </c>
      <c r="P331">
        <f t="shared" si="125"/>
        <v>0</v>
      </c>
      <c r="R331" t="str" cm="1">
        <f t="array" ref="R331">IFERROR(_xlfn.AGGREGATE(15, 6, ($O$2:$O$350)/($O$2:$O$350&lt;&gt;0), ROWS($R$2:R331)), "")</f>
        <v/>
      </c>
      <c r="S331" t="str" cm="1">
        <f t="array" ref="S331">IFERROR(_xlfn.AGGREGATE(15, 6, ($P$2:$P$350)/($P$2:$P$350&lt;&gt;0), ROWS($R$2:R331)), "")</f>
        <v/>
      </c>
      <c r="U331" t="str">
        <f t="shared" ca="1" si="113"/>
        <v/>
      </c>
      <c r="V331" t="str">
        <f t="shared" ca="1" si="114"/>
        <v/>
      </c>
      <c r="W331" t="str">
        <f t="shared" ca="1" si="115"/>
        <v/>
      </c>
      <c r="X331" t="str">
        <f t="shared" ca="1" si="116"/>
        <v/>
      </c>
      <c r="Z331" t="str">
        <f t="shared" ca="1" si="123"/>
        <v/>
      </c>
      <c r="AA331" t="str">
        <f t="shared" ca="1" si="110"/>
        <v/>
      </c>
      <c r="AB331" t="str">
        <f t="shared" ca="1" si="111"/>
        <v/>
      </c>
      <c r="AC331" t="str">
        <f t="shared" ca="1" si="112"/>
        <v/>
      </c>
      <c r="AE331" t="str">
        <f t="shared" ca="1" si="117"/>
        <v/>
      </c>
      <c r="AF331" t="str">
        <f t="shared" ca="1" si="118"/>
        <v/>
      </c>
      <c r="AG331" t="str">
        <f t="shared" ca="1" si="119"/>
        <v/>
      </c>
      <c r="AH331" t="str">
        <f t="shared" ca="1" si="120"/>
        <v/>
      </c>
      <c r="AI331" t="str">
        <f t="shared" ca="1" si="121"/>
        <v/>
      </c>
      <c r="AJ331" t="str">
        <f t="shared" ca="1" si="122"/>
        <v/>
      </c>
    </row>
    <row r="332" spans="15:36" ht="18.600000000000001" customHeight="1" x14ac:dyDescent="0.45">
      <c r="O332">
        <f t="shared" si="124"/>
        <v>0</v>
      </c>
      <c r="P332">
        <f t="shared" si="125"/>
        <v>0</v>
      </c>
      <c r="R332" t="str" cm="1">
        <f t="array" ref="R332">IFERROR(_xlfn.AGGREGATE(15, 6, ($O$2:$O$350)/($O$2:$O$350&lt;&gt;0), ROWS($R$2:R332)), "")</f>
        <v/>
      </c>
      <c r="S332" t="str" cm="1">
        <f t="array" ref="S332">IFERROR(_xlfn.AGGREGATE(15, 6, ($P$2:$P$350)/($P$2:$P$350&lt;&gt;0), ROWS($R$2:R332)), "")</f>
        <v/>
      </c>
      <c r="U332" t="str">
        <f t="shared" ca="1" si="113"/>
        <v/>
      </c>
      <c r="V332" t="str">
        <f t="shared" ca="1" si="114"/>
        <v/>
      </c>
      <c r="W332" t="str">
        <f t="shared" ca="1" si="115"/>
        <v/>
      </c>
      <c r="X332" t="str">
        <f t="shared" ca="1" si="116"/>
        <v/>
      </c>
      <c r="Z332" t="str">
        <f t="shared" ca="1" si="123"/>
        <v/>
      </c>
      <c r="AA332" t="str">
        <f t="shared" ca="1" si="110"/>
        <v/>
      </c>
      <c r="AB332" t="str">
        <f t="shared" ca="1" si="111"/>
        <v/>
      </c>
      <c r="AC332" t="str">
        <f t="shared" ca="1" si="112"/>
        <v/>
      </c>
      <c r="AE332" t="str">
        <f t="shared" ca="1" si="117"/>
        <v/>
      </c>
      <c r="AF332" t="str">
        <f t="shared" ca="1" si="118"/>
        <v/>
      </c>
      <c r="AG332" t="str">
        <f t="shared" ca="1" si="119"/>
        <v/>
      </c>
      <c r="AH332" t="str">
        <f t="shared" ca="1" si="120"/>
        <v/>
      </c>
      <c r="AI332" t="str">
        <f t="shared" ca="1" si="121"/>
        <v/>
      </c>
      <c r="AJ332" t="str">
        <f t="shared" ca="1" si="122"/>
        <v/>
      </c>
    </row>
    <row r="333" spans="15:36" ht="18.600000000000001" customHeight="1" x14ac:dyDescent="0.45">
      <c r="O333">
        <f t="shared" si="124"/>
        <v>0</v>
      </c>
      <c r="P333">
        <f t="shared" si="125"/>
        <v>0</v>
      </c>
      <c r="R333" t="str" cm="1">
        <f t="array" ref="R333">IFERROR(_xlfn.AGGREGATE(15, 6, ($O$2:$O$350)/($O$2:$O$350&lt;&gt;0), ROWS($R$2:R333)), "")</f>
        <v/>
      </c>
      <c r="S333" t="str" cm="1">
        <f t="array" ref="S333">IFERROR(_xlfn.AGGREGATE(15, 6, ($P$2:$P$350)/($P$2:$P$350&lt;&gt;0), ROWS($R$2:R333)), "")</f>
        <v/>
      </c>
      <c r="U333" t="str">
        <f t="shared" ca="1" si="113"/>
        <v/>
      </c>
      <c r="V333" t="str">
        <f t="shared" ca="1" si="114"/>
        <v/>
      </c>
      <c r="W333" t="str">
        <f t="shared" ca="1" si="115"/>
        <v/>
      </c>
      <c r="X333" t="str">
        <f t="shared" ca="1" si="116"/>
        <v/>
      </c>
      <c r="Z333" t="str">
        <f t="shared" ca="1" si="123"/>
        <v/>
      </c>
      <c r="AA333" t="str">
        <f t="shared" ca="1" si="110"/>
        <v/>
      </c>
      <c r="AB333" t="str">
        <f t="shared" ca="1" si="111"/>
        <v/>
      </c>
      <c r="AC333" t="str">
        <f t="shared" ca="1" si="112"/>
        <v/>
      </c>
      <c r="AE333" t="str">
        <f t="shared" ca="1" si="117"/>
        <v/>
      </c>
      <c r="AF333" t="str">
        <f t="shared" ca="1" si="118"/>
        <v/>
      </c>
      <c r="AG333" t="str">
        <f t="shared" ca="1" si="119"/>
        <v/>
      </c>
      <c r="AH333" t="str">
        <f t="shared" ca="1" si="120"/>
        <v/>
      </c>
      <c r="AI333" t="str">
        <f t="shared" ca="1" si="121"/>
        <v/>
      </c>
      <c r="AJ333" t="str">
        <f t="shared" ca="1" si="122"/>
        <v/>
      </c>
    </row>
    <row r="334" spans="15:36" ht="18.600000000000001" customHeight="1" x14ac:dyDescent="0.45">
      <c r="O334">
        <f t="shared" si="124"/>
        <v>0</v>
      </c>
      <c r="P334">
        <f t="shared" si="125"/>
        <v>0</v>
      </c>
      <c r="R334" t="str" cm="1">
        <f t="array" ref="R334">IFERROR(_xlfn.AGGREGATE(15, 6, ($O$2:$O$350)/($O$2:$O$350&lt;&gt;0), ROWS($R$2:R334)), "")</f>
        <v/>
      </c>
      <c r="S334" t="str" cm="1">
        <f t="array" ref="S334">IFERROR(_xlfn.AGGREGATE(15, 6, ($P$2:$P$350)/($P$2:$P$350&lt;&gt;0), ROWS($R$2:R334)), "")</f>
        <v/>
      </c>
      <c r="U334" t="str">
        <f t="shared" ca="1" si="113"/>
        <v/>
      </c>
      <c r="V334" t="str">
        <f t="shared" ca="1" si="114"/>
        <v/>
      </c>
      <c r="W334" t="str">
        <f t="shared" ca="1" si="115"/>
        <v/>
      </c>
      <c r="X334" t="str">
        <f t="shared" ca="1" si="116"/>
        <v/>
      </c>
      <c r="Z334" t="str">
        <f t="shared" ca="1" si="123"/>
        <v/>
      </c>
      <c r="AA334" t="str">
        <f t="shared" ca="1" si="110"/>
        <v/>
      </c>
      <c r="AB334" t="str">
        <f t="shared" ca="1" si="111"/>
        <v/>
      </c>
      <c r="AC334" t="str">
        <f t="shared" ca="1" si="112"/>
        <v/>
      </c>
      <c r="AE334" t="str">
        <f t="shared" ca="1" si="117"/>
        <v/>
      </c>
      <c r="AF334" t="str">
        <f t="shared" ca="1" si="118"/>
        <v/>
      </c>
      <c r="AG334" t="str">
        <f t="shared" ca="1" si="119"/>
        <v/>
      </c>
      <c r="AH334" t="str">
        <f t="shared" ca="1" si="120"/>
        <v/>
      </c>
      <c r="AI334" t="str">
        <f t="shared" ca="1" si="121"/>
        <v/>
      </c>
      <c r="AJ334" t="str">
        <f t="shared" ca="1" si="122"/>
        <v/>
      </c>
    </row>
    <row r="335" spans="15:36" ht="18.600000000000001" customHeight="1" x14ac:dyDescent="0.45">
      <c r="O335">
        <f t="shared" si="124"/>
        <v>0</v>
      </c>
      <c r="P335">
        <f t="shared" si="125"/>
        <v>0</v>
      </c>
      <c r="R335" t="str" cm="1">
        <f t="array" ref="R335">IFERROR(_xlfn.AGGREGATE(15, 6, ($O$2:$O$350)/($O$2:$O$350&lt;&gt;0), ROWS($R$2:R335)), "")</f>
        <v/>
      </c>
      <c r="S335" t="str" cm="1">
        <f t="array" ref="S335">IFERROR(_xlfn.AGGREGATE(15, 6, ($P$2:$P$350)/($P$2:$P$350&lt;&gt;0), ROWS($R$2:R335)), "")</f>
        <v/>
      </c>
      <c r="U335" t="str">
        <f t="shared" ca="1" si="113"/>
        <v/>
      </c>
      <c r="V335" t="str">
        <f t="shared" ca="1" si="114"/>
        <v/>
      </c>
      <c r="W335" t="str">
        <f t="shared" ca="1" si="115"/>
        <v/>
      </c>
      <c r="X335" t="str">
        <f t="shared" ca="1" si="116"/>
        <v/>
      </c>
      <c r="Z335" t="str">
        <f t="shared" ca="1" si="123"/>
        <v/>
      </c>
      <c r="AA335" t="str">
        <f t="shared" ca="1" si="110"/>
        <v/>
      </c>
      <c r="AB335" t="str">
        <f t="shared" ca="1" si="111"/>
        <v/>
      </c>
      <c r="AC335" t="str">
        <f t="shared" ca="1" si="112"/>
        <v/>
      </c>
      <c r="AE335" t="str">
        <f t="shared" ca="1" si="117"/>
        <v/>
      </c>
      <c r="AF335" t="str">
        <f t="shared" ca="1" si="118"/>
        <v/>
      </c>
      <c r="AG335" t="str">
        <f t="shared" ca="1" si="119"/>
        <v/>
      </c>
      <c r="AH335" t="str">
        <f t="shared" ca="1" si="120"/>
        <v/>
      </c>
      <c r="AI335" t="str">
        <f t="shared" ca="1" si="121"/>
        <v/>
      </c>
      <c r="AJ335" t="str">
        <f t="shared" ca="1" si="122"/>
        <v/>
      </c>
    </row>
    <row r="336" spans="15:36" ht="18.600000000000001" customHeight="1" x14ac:dyDescent="0.45">
      <c r="O336">
        <f t="shared" si="124"/>
        <v>0</v>
      </c>
      <c r="P336">
        <f t="shared" si="125"/>
        <v>0</v>
      </c>
      <c r="R336" t="str" cm="1">
        <f t="array" ref="R336">IFERROR(_xlfn.AGGREGATE(15, 6, ($O$2:$O$350)/($O$2:$O$350&lt;&gt;0), ROWS($R$2:R336)), "")</f>
        <v/>
      </c>
      <c r="S336" t="str" cm="1">
        <f t="array" ref="S336">IFERROR(_xlfn.AGGREGATE(15, 6, ($P$2:$P$350)/($P$2:$P$350&lt;&gt;0), ROWS($R$2:R336)), "")</f>
        <v/>
      </c>
      <c r="U336" t="str">
        <f t="shared" ca="1" si="113"/>
        <v/>
      </c>
      <c r="V336" t="str">
        <f t="shared" ca="1" si="114"/>
        <v/>
      </c>
      <c r="W336" t="str">
        <f t="shared" ca="1" si="115"/>
        <v/>
      </c>
      <c r="X336" t="str">
        <f t="shared" ca="1" si="116"/>
        <v/>
      </c>
      <c r="Z336" t="str">
        <f t="shared" ca="1" si="123"/>
        <v/>
      </c>
      <c r="AA336" t="str">
        <f t="shared" ca="1" si="110"/>
        <v/>
      </c>
      <c r="AB336" t="str">
        <f t="shared" ca="1" si="111"/>
        <v/>
      </c>
      <c r="AC336" t="str">
        <f t="shared" ca="1" si="112"/>
        <v/>
      </c>
      <c r="AE336" t="str">
        <f t="shared" ca="1" si="117"/>
        <v/>
      </c>
      <c r="AF336" t="str">
        <f t="shared" ca="1" si="118"/>
        <v/>
      </c>
      <c r="AG336" t="str">
        <f t="shared" ca="1" si="119"/>
        <v/>
      </c>
      <c r="AH336" t="str">
        <f t="shared" ca="1" si="120"/>
        <v/>
      </c>
      <c r="AI336" t="str">
        <f t="shared" ca="1" si="121"/>
        <v/>
      </c>
      <c r="AJ336" t="str">
        <f t="shared" ca="1" si="122"/>
        <v/>
      </c>
    </row>
    <row r="337" spans="15:36" ht="18.600000000000001" customHeight="1" x14ac:dyDescent="0.45">
      <c r="O337">
        <f t="shared" si="124"/>
        <v>0</v>
      </c>
      <c r="P337">
        <f t="shared" si="125"/>
        <v>0</v>
      </c>
      <c r="R337" t="str" cm="1">
        <f t="array" ref="R337">IFERROR(_xlfn.AGGREGATE(15, 6, ($O$2:$O$350)/($O$2:$O$350&lt;&gt;0), ROWS($R$2:R337)), "")</f>
        <v/>
      </c>
      <c r="S337" t="str" cm="1">
        <f t="array" ref="S337">IFERROR(_xlfn.AGGREGATE(15, 6, ($P$2:$P$350)/($P$2:$P$350&lt;&gt;0), ROWS($R$2:R337)), "")</f>
        <v/>
      </c>
      <c r="U337" t="str">
        <f t="shared" ca="1" si="113"/>
        <v/>
      </c>
      <c r="V337" t="str">
        <f t="shared" ca="1" si="114"/>
        <v/>
      </c>
      <c r="W337" t="str">
        <f t="shared" ca="1" si="115"/>
        <v/>
      </c>
      <c r="X337" t="str">
        <f t="shared" ca="1" si="116"/>
        <v/>
      </c>
      <c r="Z337" t="str">
        <f t="shared" ca="1" si="123"/>
        <v/>
      </c>
      <c r="AA337" t="str">
        <f t="shared" ca="1" si="110"/>
        <v/>
      </c>
      <c r="AB337" t="str">
        <f t="shared" ca="1" si="111"/>
        <v/>
      </c>
      <c r="AC337" t="str">
        <f t="shared" ca="1" si="112"/>
        <v/>
      </c>
      <c r="AE337" t="str">
        <f t="shared" ca="1" si="117"/>
        <v/>
      </c>
      <c r="AF337" t="str">
        <f t="shared" ca="1" si="118"/>
        <v/>
      </c>
      <c r="AG337" t="str">
        <f t="shared" ca="1" si="119"/>
        <v/>
      </c>
      <c r="AH337" t="str">
        <f t="shared" ca="1" si="120"/>
        <v/>
      </c>
      <c r="AI337" t="str">
        <f t="shared" ca="1" si="121"/>
        <v/>
      </c>
      <c r="AJ337" t="str">
        <f t="shared" ca="1" si="122"/>
        <v/>
      </c>
    </row>
    <row r="338" spans="15:36" ht="18.600000000000001" customHeight="1" x14ac:dyDescent="0.45">
      <c r="O338">
        <f t="shared" si="124"/>
        <v>0</v>
      </c>
      <c r="P338">
        <f t="shared" si="125"/>
        <v>0</v>
      </c>
      <c r="R338" t="str" cm="1">
        <f t="array" ref="R338">IFERROR(_xlfn.AGGREGATE(15, 6, ($O$2:$O$350)/($O$2:$O$350&lt;&gt;0), ROWS($R$2:R338)), "")</f>
        <v/>
      </c>
      <c r="S338" t="str" cm="1">
        <f t="array" ref="S338">IFERROR(_xlfn.AGGREGATE(15, 6, ($P$2:$P$350)/($P$2:$P$350&lt;&gt;0), ROWS($R$2:R338)), "")</f>
        <v/>
      </c>
      <c r="U338" t="str">
        <f t="shared" ca="1" si="113"/>
        <v/>
      </c>
      <c r="V338" t="str">
        <f t="shared" ca="1" si="114"/>
        <v/>
      </c>
      <c r="W338" t="str">
        <f t="shared" ca="1" si="115"/>
        <v/>
      </c>
      <c r="X338" t="str">
        <f t="shared" ca="1" si="116"/>
        <v/>
      </c>
      <c r="Z338" t="str">
        <f t="shared" ca="1" si="123"/>
        <v/>
      </c>
      <c r="AA338" t="str">
        <f t="shared" ca="1" si="110"/>
        <v/>
      </c>
      <c r="AB338" t="str">
        <f t="shared" ca="1" si="111"/>
        <v/>
      </c>
      <c r="AC338" t="str">
        <f t="shared" ca="1" si="112"/>
        <v/>
      </c>
      <c r="AE338" t="str">
        <f t="shared" ca="1" si="117"/>
        <v/>
      </c>
      <c r="AF338" t="str">
        <f t="shared" ca="1" si="118"/>
        <v/>
      </c>
      <c r="AG338" t="str">
        <f t="shared" ca="1" si="119"/>
        <v/>
      </c>
      <c r="AH338" t="str">
        <f t="shared" ca="1" si="120"/>
        <v/>
      </c>
      <c r="AI338" t="str">
        <f t="shared" ca="1" si="121"/>
        <v/>
      </c>
      <c r="AJ338" t="str">
        <f t="shared" ca="1" si="122"/>
        <v/>
      </c>
    </row>
    <row r="339" spans="15:36" ht="18.600000000000001" customHeight="1" x14ac:dyDescent="0.45">
      <c r="O339">
        <f t="shared" si="124"/>
        <v>0</v>
      </c>
      <c r="P339">
        <f t="shared" si="125"/>
        <v>0</v>
      </c>
      <c r="R339" t="str" cm="1">
        <f t="array" ref="R339">IFERROR(_xlfn.AGGREGATE(15, 6, ($O$2:$O$350)/($O$2:$O$350&lt;&gt;0), ROWS($R$2:R339)), "")</f>
        <v/>
      </c>
      <c r="S339" t="str" cm="1">
        <f t="array" ref="S339">IFERROR(_xlfn.AGGREGATE(15, 6, ($P$2:$P$350)/($P$2:$P$350&lt;&gt;0), ROWS($R$2:R339)), "")</f>
        <v/>
      </c>
      <c r="U339" t="str">
        <f t="shared" ca="1" si="113"/>
        <v/>
      </c>
      <c r="V339" t="str">
        <f t="shared" ca="1" si="114"/>
        <v/>
      </c>
      <c r="W339" t="str">
        <f t="shared" ca="1" si="115"/>
        <v/>
      </c>
      <c r="X339" t="str">
        <f t="shared" ca="1" si="116"/>
        <v/>
      </c>
      <c r="Z339" t="str">
        <f t="shared" ca="1" si="123"/>
        <v/>
      </c>
      <c r="AA339" t="str">
        <f t="shared" ca="1" si="110"/>
        <v/>
      </c>
      <c r="AB339" t="str">
        <f t="shared" ca="1" si="111"/>
        <v/>
      </c>
      <c r="AC339" t="str">
        <f t="shared" ca="1" si="112"/>
        <v/>
      </c>
      <c r="AE339" t="str">
        <f t="shared" ca="1" si="117"/>
        <v/>
      </c>
      <c r="AF339" t="str">
        <f t="shared" ca="1" si="118"/>
        <v/>
      </c>
      <c r="AG339" t="str">
        <f t="shared" ca="1" si="119"/>
        <v/>
      </c>
      <c r="AH339" t="str">
        <f t="shared" ca="1" si="120"/>
        <v/>
      </c>
      <c r="AI339" t="str">
        <f t="shared" ca="1" si="121"/>
        <v/>
      </c>
      <c r="AJ339" t="str">
        <f t="shared" ca="1" si="122"/>
        <v/>
      </c>
    </row>
    <row r="340" spans="15:36" ht="18.600000000000001" customHeight="1" x14ac:dyDescent="0.45">
      <c r="O340">
        <f t="shared" si="124"/>
        <v>0</v>
      </c>
      <c r="P340">
        <f t="shared" si="125"/>
        <v>0</v>
      </c>
      <c r="R340" t="str" cm="1">
        <f t="array" ref="R340">IFERROR(_xlfn.AGGREGATE(15, 6, ($O$2:$O$350)/($O$2:$O$350&lt;&gt;0), ROWS($R$2:R340)), "")</f>
        <v/>
      </c>
      <c r="S340" t="str" cm="1">
        <f t="array" ref="S340">IFERROR(_xlfn.AGGREGATE(15, 6, ($P$2:$P$350)/($P$2:$P$350&lt;&gt;0), ROWS($R$2:R340)), "")</f>
        <v/>
      </c>
      <c r="U340" t="str">
        <f t="shared" ca="1" si="113"/>
        <v/>
      </c>
      <c r="V340" t="str">
        <f t="shared" ca="1" si="114"/>
        <v/>
      </c>
      <c r="W340" t="str">
        <f t="shared" ca="1" si="115"/>
        <v/>
      </c>
      <c r="X340" t="str">
        <f t="shared" ca="1" si="116"/>
        <v/>
      </c>
      <c r="Z340" t="str">
        <f t="shared" ca="1" si="123"/>
        <v/>
      </c>
      <c r="AA340" t="str">
        <f t="shared" ca="1" si="110"/>
        <v/>
      </c>
      <c r="AB340" t="str">
        <f t="shared" ca="1" si="111"/>
        <v/>
      </c>
      <c r="AC340" t="str">
        <f t="shared" ca="1" si="112"/>
        <v/>
      </c>
      <c r="AE340" t="str">
        <f t="shared" ca="1" si="117"/>
        <v/>
      </c>
      <c r="AF340" t="str">
        <f t="shared" ca="1" si="118"/>
        <v/>
      </c>
      <c r="AG340" t="str">
        <f t="shared" ca="1" si="119"/>
        <v/>
      </c>
      <c r="AH340" t="str">
        <f t="shared" ca="1" si="120"/>
        <v/>
      </c>
      <c r="AI340" t="str">
        <f t="shared" ca="1" si="121"/>
        <v/>
      </c>
      <c r="AJ340" t="str">
        <f t="shared" ca="1" si="122"/>
        <v/>
      </c>
    </row>
    <row r="341" spans="15:36" ht="18.600000000000001" customHeight="1" x14ac:dyDescent="0.45">
      <c r="O341">
        <f t="shared" si="124"/>
        <v>0</v>
      </c>
      <c r="P341">
        <f t="shared" si="125"/>
        <v>0</v>
      </c>
      <c r="R341" t="str" cm="1">
        <f t="array" ref="R341">IFERROR(_xlfn.AGGREGATE(15, 6, ($O$2:$O$350)/($O$2:$O$350&lt;&gt;0), ROWS($R$2:R341)), "")</f>
        <v/>
      </c>
      <c r="S341" t="str" cm="1">
        <f t="array" ref="S341">IFERROR(_xlfn.AGGREGATE(15, 6, ($P$2:$P$350)/($P$2:$P$350&lt;&gt;0), ROWS($R$2:R341)), "")</f>
        <v/>
      </c>
      <c r="U341" t="str">
        <f t="shared" ca="1" si="113"/>
        <v/>
      </c>
      <c r="V341" t="str">
        <f t="shared" ca="1" si="114"/>
        <v/>
      </c>
      <c r="W341" t="str">
        <f t="shared" ca="1" si="115"/>
        <v/>
      </c>
      <c r="X341" t="str">
        <f t="shared" ca="1" si="116"/>
        <v/>
      </c>
      <c r="Z341" t="str">
        <f t="shared" ca="1" si="123"/>
        <v/>
      </c>
      <c r="AA341" t="str">
        <f t="shared" ca="1" si="110"/>
        <v/>
      </c>
      <c r="AB341" t="str">
        <f t="shared" ca="1" si="111"/>
        <v/>
      </c>
      <c r="AC341" t="str">
        <f t="shared" ca="1" si="112"/>
        <v/>
      </c>
      <c r="AE341" t="str">
        <f t="shared" ca="1" si="117"/>
        <v/>
      </c>
      <c r="AF341" t="str">
        <f t="shared" ca="1" si="118"/>
        <v/>
      </c>
      <c r="AG341" t="str">
        <f t="shared" ca="1" si="119"/>
        <v/>
      </c>
      <c r="AH341" t="str">
        <f t="shared" ca="1" si="120"/>
        <v/>
      </c>
      <c r="AI341" t="str">
        <f t="shared" ca="1" si="121"/>
        <v/>
      </c>
      <c r="AJ341" t="str">
        <f t="shared" ca="1" si="122"/>
        <v/>
      </c>
    </row>
    <row r="342" spans="15:36" ht="18.600000000000001" customHeight="1" x14ac:dyDescent="0.45">
      <c r="O342">
        <f t="shared" si="124"/>
        <v>0</v>
      </c>
      <c r="P342">
        <f t="shared" si="125"/>
        <v>0</v>
      </c>
      <c r="R342" t="str" cm="1">
        <f t="array" ref="R342">IFERROR(_xlfn.AGGREGATE(15, 6, ($O$2:$O$350)/($O$2:$O$350&lt;&gt;0), ROWS($R$2:R342)), "")</f>
        <v/>
      </c>
      <c r="S342" t="str" cm="1">
        <f t="array" ref="S342">IFERROR(_xlfn.AGGREGATE(15, 6, ($P$2:$P$350)/($P$2:$P$350&lt;&gt;0), ROWS($R$2:R342)), "")</f>
        <v/>
      </c>
      <c r="U342" t="str">
        <f t="shared" ca="1" si="113"/>
        <v/>
      </c>
      <c r="V342" t="str">
        <f t="shared" ca="1" si="114"/>
        <v/>
      </c>
      <c r="W342" t="str">
        <f t="shared" ca="1" si="115"/>
        <v/>
      </c>
      <c r="X342" t="str">
        <f t="shared" ca="1" si="116"/>
        <v/>
      </c>
      <c r="Z342" t="str">
        <f t="shared" ca="1" si="123"/>
        <v/>
      </c>
      <c r="AA342" t="str">
        <f t="shared" ca="1" si="110"/>
        <v/>
      </c>
      <c r="AB342" t="str">
        <f t="shared" ca="1" si="111"/>
        <v/>
      </c>
      <c r="AC342" t="str">
        <f t="shared" ca="1" si="112"/>
        <v/>
      </c>
      <c r="AE342" t="str">
        <f t="shared" ca="1" si="117"/>
        <v/>
      </c>
      <c r="AF342" t="str">
        <f t="shared" ca="1" si="118"/>
        <v/>
      </c>
      <c r="AG342" t="str">
        <f t="shared" ca="1" si="119"/>
        <v/>
      </c>
      <c r="AH342" t="str">
        <f t="shared" ca="1" si="120"/>
        <v/>
      </c>
      <c r="AI342" t="str">
        <f t="shared" ca="1" si="121"/>
        <v/>
      </c>
      <c r="AJ342" t="str">
        <f t="shared" ca="1" si="122"/>
        <v/>
      </c>
    </row>
    <row r="343" spans="15:36" ht="18.600000000000001" customHeight="1" x14ac:dyDescent="0.45">
      <c r="O343">
        <f t="shared" si="124"/>
        <v>0</v>
      </c>
      <c r="P343">
        <f t="shared" si="125"/>
        <v>0</v>
      </c>
      <c r="R343" t="str" cm="1">
        <f t="array" ref="R343">IFERROR(_xlfn.AGGREGATE(15, 6, ($O$2:$O$350)/($O$2:$O$350&lt;&gt;0), ROWS($R$2:R343)), "")</f>
        <v/>
      </c>
      <c r="S343" t="str" cm="1">
        <f t="array" ref="S343">IFERROR(_xlfn.AGGREGATE(15, 6, ($P$2:$P$350)/($P$2:$P$350&lt;&gt;0), ROWS($R$2:R343)), "")</f>
        <v/>
      </c>
      <c r="U343" t="str">
        <f t="shared" ca="1" si="113"/>
        <v/>
      </c>
      <c r="V343" t="str">
        <f t="shared" ca="1" si="114"/>
        <v/>
      </c>
      <c r="W343" t="str">
        <f t="shared" ca="1" si="115"/>
        <v/>
      </c>
      <c r="X343" t="str">
        <f t="shared" ca="1" si="116"/>
        <v/>
      </c>
      <c r="Z343" t="str">
        <f t="shared" ca="1" si="123"/>
        <v/>
      </c>
      <c r="AA343" t="str">
        <f t="shared" ca="1" si="110"/>
        <v/>
      </c>
      <c r="AB343" t="str">
        <f t="shared" ca="1" si="111"/>
        <v/>
      </c>
      <c r="AC343" t="str">
        <f t="shared" ca="1" si="112"/>
        <v/>
      </c>
      <c r="AE343" t="str">
        <f t="shared" ca="1" si="117"/>
        <v/>
      </c>
      <c r="AF343" t="str">
        <f t="shared" ca="1" si="118"/>
        <v/>
      </c>
      <c r="AG343" t="str">
        <f t="shared" ca="1" si="119"/>
        <v/>
      </c>
      <c r="AH343" t="str">
        <f t="shared" ca="1" si="120"/>
        <v/>
      </c>
      <c r="AI343" t="str">
        <f t="shared" ca="1" si="121"/>
        <v/>
      </c>
      <c r="AJ343" t="str">
        <f t="shared" ca="1" si="122"/>
        <v/>
      </c>
    </row>
    <row r="344" spans="15:36" ht="18.600000000000001" customHeight="1" x14ac:dyDescent="0.45">
      <c r="O344">
        <f t="shared" si="124"/>
        <v>0</v>
      </c>
      <c r="P344">
        <f t="shared" si="125"/>
        <v>0</v>
      </c>
      <c r="R344" t="str" cm="1">
        <f t="array" ref="R344">IFERROR(_xlfn.AGGREGATE(15, 6, ($O$2:$O$350)/($O$2:$O$350&lt;&gt;0), ROWS($R$2:R344)), "")</f>
        <v/>
      </c>
      <c r="S344" t="str" cm="1">
        <f t="array" ref="S344">IFERROR(_xlfn.AGGREGATE(15, 6, ($P$2:$P$350)/($P$2:$P$350&lt;&gt;0), ROWS($R$2:R344)), "")</f>
        <v/>
      </c>
      <c r="U344" t="str">
        <f t="shared" ca="1" si="113"/>
        <v/>
      </c>
      <c r="V344" t="str">
        <f t="shared" ca="1" si="114"/>
        <v/>
      </c>
      <c r="W344" t="str">
        <f t="shared" ca="1" si="115"/>
        <v/>
      </c>
      <c r="X344" t="str">
        <f t="shared" ca="1" si="116"/>
        <v/>
      </c>
      <c r="Z344" t="str">
        <f t="shared" ca="1" si="123"/>
        <v/>
      </c>
      <c r="AA344" t="str">
        <f t="shared" ca="1" si="110"/>
        <v/>
      </c>
      <c r="AB344" t="str">
        <f t="shared" ca="1" si="111"/>
        <v/>
      </c>
      <c r="AC344" t="str">
        <f t="shared" ca="1" si="112"/>
        <v/>
      </c>
      <c r="AE344" t="str">
        <f t="shared" ca="1" si="117"/>
        <v/>
      </c>
      <c r="AF344" t="str">
        <f t="shared" ca="1" si="118"/>
        <v/>
      </c>
      <c r="AG344" t="str">
        <f t="shared" ca="1" si="119"/>
        <v/>
      </c>
      <c r="AH344" t="str">
        <f t="shared" ca="1" si="120"/>
        <v/>
      </c>
      <c r="AI344" t="str">
        <f t="shared" ca="1" si="121"/>
        <v/>
      </c>
      <c r="AJ344" t="str">
        <f t="shared" ca="1" si="122"/>
        <v/>
      </c>
    </row>
    <row r="345" spans="15:36" ht="18.600000000000001" customHeight="1" x14ac:dyDescent="0.45">
      <c r="O345">
        <f t="shared" si="124"/>
        <v>0</v>
      </c>
      <c r="P345">
        <f t="shared" si="125"/>
        <v>0</v>
      </c>
      <c r="R345" t="str" cm="1">
        <f t="array" ref="R345">IFERROR(_xlfn.AGGREGATE(15, 6, ($O$2:$O$350)/($O$2:$O$350&lt;&gt;0), ROWS($R$2:R345)), "")</f>
        <v/>
      </c>
      <c r="S345" t="str" cm="1">
        <f t="array" ref="S345">IFERROR(_xlfn.AGGREGATE(15, 6, ($P$2:$P$350)/($P$2:$P$350&lt;&gt;0), ROWS($R$2:R345)), "")</f>
        <v/>
      </c>
      <c r="U345" t="str">
        <f t="shared" ca="1" si="113"/>
        <v/>
      </c>
      <c r="V345" t="str">
        <f t="shared" ca="1" si="114"/>
        <v/>
      </c>
      <c r="W345" t="str">
        <f t="shared" ca="1" si="115"/>
        <v/>
      </c>
      <c r="X345" t="str">
        <f t="shared" ca="1" si="116"/>
        <v/>
      </c>
      <c r="Z345" t="str">
        <f t="shared" ca="1" si="123"/>
        <v/>
      </c>
      <c r="AA345" t="str">
        <f t="shared" ca="1" si="110"/>
        <v/>
      </c>
      <c r="AB345" t="str">
        <f t="shared" ca="1" si="111"/>
        <v/>
      </c>
      <c r="AC345" t="str">
        <f t="shared" ca="1" si="112"/>
        <v/>
      </c>
      <c r="AE345" t="str">
        <f t="shared" ca="1" si="117"/>
        <v/>
      </c>
      <c r="AF345" t="str">
        <f t="shared" ca="1" si="118"/>
        <v/>
      </c>
      <c r="AG345" t="str">
        <f t="shared" ca="1" si="119"/>
        <v/>
      </c>
      <c r="AH345" t="str">
        <f t="shared" ca="1" si="120"/>
        <v/>
      </c>
      <c r="AI345" t="str">
        <f t="shared" ca="1" si="121"/>
        <v/>
      </c>
      <c r="AJ345" t="str">
        <f t="shared" ca="1" si="122"/>
        <v/>
      </c>
    </row>
    <row r="346" spans="15:36" ht="18.600000000000001" customHeight="1" x14ac:dyDescent="0.45">
      <c r="O346">
        <f t="shared" si="124"/>
        <v>0</v>
      </c>
      <c r="P346">
        <f t="shared" si="125"/>
        <v>0</v>
      </c>
      <c r="R346" t="str" cm="1">
        <f t="array" ref="R346">IFERROR(_xlfn.AGGREGATE(15, 6, ($O$2:$O$350)/($O$2:$O$350&lt;&gt;0), ROWS($R$2:R346)), "")</f>
        <v/>
      </c>
      <c r="S346" t="str" cm="1">
        <f t="array" ref="S346">IFERROR(_xlfn.AGGREGATE(15, 6, ($P$2:$P$350)/($P$2:$P$350&lt;&gt;0), ROWS($R$2:R346)), "")</f>
        <v/>
      </c>
      <c r="U346" t="str">
        <f t="shared" ca="1" si="113"/>
        <v/>
      </c>
      <c r="V346" t="str">
        <f t="shared" ca="1" si="114"/>
        <v/>
      </c>
      <c r="W346" t="str">
        <f t="shared" ca="1" si="115"/>
        <v/>
      </c>
      <c r="X346" t="str">
        <f t="shared" ca="1" si="116"/>
        <v/>
      </c>
      <c r="Z346" t="str">
        <f t="shared" ca="1" si="123"/>
        <v/>
      </c>
      <c r="AA346" t="str">
        <f t="shared" ca="1" si="110"/>
        <v/>
      </c>
      <c r="AB346" t="str">
        <f t="shared" ca="1" si="111"/>
        <v/>
      </c>
      <c r="AC346" t="str">
        <f t="shared" ca="1" si="112"/>
        <v/>
      </c>
      <c r="AE346" t="str">
        <f t="shared" ca="1" si="117"/>
        <v/>
      </c>
      <c r="AF346" t="str">
        <f t="shared" ca="1" si="118"/>
        <v/>
      </c>
      <c r="AG346" t="str">
        <f t="shared" ca="1" si="119"/>
        <v/>
      </c>
      <c r="AH346" t="str">
        <f t="shared" ca="1" si="120"/>
        <v/>
      </c>
      <c r="AI346" t="str">
        <f t="shared" ca="1" si="121"/>
        <v/>
      </c>
      <c r="AJ346" t="str">
        <f t="shared" ca="1" si="122"/>
        <v/>
      </c>
    </row>
    <row r="347" spans="15:36" ht="18.600000000000001" customHeight="1" x14ac:dyDescent="0.45">
      <c r="O347">
        <f t="shared" si="124"/>
        <v>0</v>
      </c>
      <c r="P347">
        <f t="shared" si="125"/>
        <v>0</v>
      </c>
      <c r="R347" t="str" cm="1">
        <f t="array" ref="R347">IFERROR(_xlfn.AGGREGATE(15, 6, ($O$2:$O$350)/($O$2:$O$350&lt;&gt;0), ROWS($R$2:R347)), "")</f>
        <v/>
      </c>
      <c r="S347" t="str" cm="1">
        <f t="array" ref="S347">IFERROR(_xlfn.AGGREGATE(15, 6, ($P$2:$P$350)/($P$2:$P$350&lt;&gt;0), ROWS($R$2:R347)), "")</f>
        <v/>
      </c>
      <c r="U347" t="str">
        <f t="shared" ca="1" si="113"/>
        <v/>
      </c>
      <c r="V347" t="str">
        <f t="shared" ca="1" si="114"/>
        <v/>
      </c>
      <c r="W347" t="str">
        <f t="shared" ca="1" si="115"/>
        <v/>
      </c>
      <c r="X347" t="str">
        <f t="shared" ca="1" si="116"/>
        <v/>
      </c>
      <c r="Z347" t="str">
        <f t="shared" ca="1" si="123"/>
        <v/>
      </c>
      <c r="AA347" t="str">
        <f t="shared" ca="1" si="110"/>
        <v/>
      </c>
      <c r="AB347" t="str">
        <f t="shared" ca="1" si="111"/>
        <v/>
      </c>
      <c r="AC347" t="str">
        <f t="shared" ca="1" si="112"/>
        <v/>
      </c>
      <c r="AE347" t="str">
        <f t="shared" ca="1" si="117"/>
        <v/>
      </c>
      <c r="AF347" t="str">
        <f t="shared" ca="1" si="118"/>
        <v/>
      </c>
      <c r="AG347" t="str">
        <f t="shared" ca="1" si="119"/>
        <v/>
      </c>
      <c r="AH347" t="str">
        <f t="shared" ca="1" si="120"/>
        <v/>
      </c>
      <c r="AI347" t="str">
        <f t="shared" ca="1" si="121"/>
        <v/>
      </c>
      <c r="AJ347" t="str">
        <f t="shared" ca="1" si="122"/>
        <v/>
      </c>
    </row>
    <row r="348" spans="15:36" ht="18.600000000000001" customHeight="1" x14ac:dyDescent="0.45">
      <c r="O348">
        <f t="shared" si="124"/>
        <v>0</v>
      </c>
      <c r="P348">
        <f t="shared" si="125"/>
        <v>0</v>
      </c>
      <c r="R348" t="str" cm="1">
        <f t="array" ref="R348">IFERROR(_xlfn.AGGREGATE(15, 6, ($O$2:$O$350)/($O$2:$O$350&lt;&gt;0), ROWS($R$2:R348)), "")</f>
        <v/>
      </c>
      <c r="S348" t="str" cm="1">
        <f t="array" ref="S348">IFERROR(_xlfn.AGGREGATE(15, 6, ($P$2:$P$350)/($P$2:$P$350&lt;&gt;0), ROWS($R$2:R348)), "")</f>
        <v/>
      </c>
      <c r="U348" t="str">
        <f t="shared" ca="1" si="113"/>
        <v/>
      </c>
      <c r="V348" t="str">
        <f t="shared" ca="1" si="114"/>
        <v/>
      </c>
      <c r="W348" t="str">
        <f t="shared" ca="1" si="115"/>
        <v/>
      </c>
      <c r="X348" t="str">
        <f t="shared" ca="1" si="116"/>
        <v/>
      </c>
      <c r="Z348" t="str">
        <f t="shared" ca="1" si="123"/>
        <v/>
      </c>
      <c r="AA348" t="str">
        <f t="shared" ca="1" si="110"/>
        <v/>
      </c>
      <c r="AB348" t="str">
        <f t="shared" ca="1" si="111"/>
        <v/>
      </c>
      <c r="AC348" t="str">
        <f t="shared" ca="1" si="112"/>
        <v/>
      </c>
      <c r="AE348" t="str">
        <f t="shared" ca="1" si="117"/>
        <v/>
      </c>
      <c r="AF348" t="str">
        <f t="shared" ca="1" si="118"/>
        <v/>
      </c>
      <c r="AG348" t="str">
        <f t="shared" ca="1" si="119"/>
        <v/>
      </c>
      <c r="AH348" t="str">
        <f t="shared" ca="1" si="120"/>
        <v/>
      </c>
      <c r="AI348" t="str">
        <f t="shared" ca="1" si="121"/>
        <v/>
      </c>
      <c r="AJ348" t="str">
        <f t="shared" ca="1" si="122"/>
        <v/>
      </c>
    </row>
    <row r="349" spans="15:36" ht="18.600000000000001" customHeight="1" x14ac:dyDescent="0.45">
      <c r="O349">
        <f t="shared" si="124"/>
        <v>0</v>
      </c>
      <c r="P349">
        <f t="shared" si="125"/>
        <v>0</v>
      </c>
      <c r="R349" t="str" cm="1">
        <f t="array" ref="R349">IFERROR(_xlfn.AGGREGATE(15, 6, ($O$2:$O$350)/($O$2:$O$350&lt;&gt;0), ROWS($R$2:R349)), "")</f>
        <v/>
      </c>
      <c r="S349" t="str" cm="1">
        <f t="array" ref="S349">IFERROR(_xlfn.AGGREGATE(15, 6, ($P$2:$P$350)/($P$2:$P$350&lt;&gt;0), ROWS($R$2:R349)), "")</f>
        <v/>
      </c>
      <c r="U349" t="str">
        <f t="shared" ca="1" si="113"/>
        <v/>
      </c>
      <c r="V349" t="str">
        <f t="shared" ca="1" si="114"/>
        <v/>
      </c>
      <c r="W349" t="str">
        <f t="shared" ca="1" si="115"/>
        <v/>
      </c>
      <c r="X349" t="str">
        <f t="shared" ca="1" si="116"/>
        <v/>
      </c>
      <c r="Z349" t="str">
        <f t="shared" ca="1" si="123"/>
        <v/>
      </c>
      <c r="AA349" t="str">
        <f t="shared" ref="AA349:AA350" ca="1" si="126">IFERROR(IF(S349&lt;&gt;"",
IF(Z349&lt;&gt;"",
IF(COUNTIF(OFFSET($A$1,$S349-1,Z349),"*g*"),
Z349,IF(COUNTIF(OFFSET($A$1,$S349-1,Z349+1),"*g*"),Z349+2,
IF(OFFSET($A$1,$S349-1,Z349)=".","",
IF(OFFSET($A$1,$S349-1,Z349)=OFFSET($A$1,$S349-1,Z349+1),Z349+1,Z349+2)))),
IF(COUNTIF(OFFSET($A$1,$S349-1,2),"*g*"),
2,IF(COUNTIF(OFFSET($A$1,$S349-1,2+1),"*g*"),2+2,
IF(OFFSET($A$1,$S349-1,2)=".","",
IF(OFFSET($A$1,$S349-1,2)=OFFSET($A$1,$S349-1,2+1),
IF(OFFSET($A$1,$S349-1,2+1)=0,"",2+1),
IF(OFFSET($A$1,$S349-1,2)&lt;&gt;"",2,
IF(OFFSET($A$1,$S349-1,2+1)&lt;&gt;"",2+1,""))))))),""),"")</f>
        <v/>
      </c>
      <c r="AB349" t="str">
        <f t="shared" ref="AB349:AB350" ca="1" si="127">IFERROR(IF(S349&lt;&gt;"",
IF(COUNTIF(OFFSET($A$1,$S349-1,AA349),"*g*"),
AA349,IF(COUNTIF(OFFSET($A$1,$S349-1,AA349+1),"*g*"),AA349+2,
IF(OFFSET($A$1,$S349-1,AA349)=".","",
IF(OFFSET($A$1,$S349-1,AA349)=OFFSET($A$1,$S349-1,AA349+1),AA349+1,AA349+2)))),""),"")</f>
        <v/>
      </c>
      <c r="AC349" t="str">
        <f t="shared" ref="AC349:AC350" ca="1" si="128">IFERROR(IF(S349&lt;&gt;"",
IF(COUNTIF(OFFSET($A$1,$S349-1,AB349),"*g*"),
AB349,IF(COUNTIF(OFFSET($A$1,$S349-1,AB349+1),"*g*"),AB349+2,
IF(OFFSET($A$1,$S349-1,AB349)=".","",
IF(OFFSET($A$1,$S349-1,AB349)=OFFSET($A$1,$S349-1,AB349+1),AB349+1,
IF(OFFSET($A$1,$S349-1,AB349+1)&lt;&gt;0,AB349+2,
IF(OFFSET($A$1,$S349-1,AB349)&lt;&gt;0,AB349+1,"")))))),""),"")</f>
        <v/>
      </c>
      <c r="AE349" t="str">
        <f t="shared" ca="1" si="117"/>
        <v/>
      </c>
      <c r="AF349" t="str">
        <f t="shared" ca="1" si="118"/>
        <v/>
      </c>
      <c r="AG349" t="str">
        <f t="shared" ca="1" si="119"/>
        <v/>
      </c>
      <c r="AH349" t="str">
        <f t="shared" ca="1" si="120"/>
        <v/>
      </c>
      <c r="AI349" t="str">
        <f t="shared" ca="1" si="121"/>
        <v/>
      </c>
      <c r="AJ349" t="str">
        <f t="shared" ca="1" si="122"/>
        <v/>
      </c>
    </row>
    <row r="350" spans="15:36" ht="18.600000000000001" customHeight="1" x14ac:dyDescent="0.45">
      <c r="O350">
        <f>IF(COUNTIF(A350,"*/*"),ROW(),0)</f>
        <v>0</v>
      </c>
      <c r="P350">
        <f t="shared" si="125"/>
        <v>0</v>
      </c>
      <c r="R350" t="str" cm="1">
        <f t="array" ref="R350">IFERROR(_xlfn.AGGREGATE(15, 6, ($O$2:$O$350)/($O$2:$O$350&lt;&gt;0), ROWS($R$2:R350)), "")</f>
        <v/>
      </c>
      <c r="S350" t="str" cm="1">
        <f t="array" ref="S350">IFERROR(_xlfn.AGGREGATE(15, 6, ($P$2:$P$350)/($P$2:$P$350&lt;&gt;0), ROWS($R$2:R350)), "")</f>
        <v/>
      </c>
      <c r="U350" t="str">
        <f t="shared" ref="U350" ca="1" si="129">IF(R350&lt;&gt;"",
IF(COUNTIF(OFFSET($A$1,$R350-1,0),"*/*"),
IF(COUNTIF(OFFSET($A$1,$R350-1,1),"*/*"),"",2),1),"")</f>
        <v/>
      </c>
      <c r="V350" t="str">
        <f t="shared" ref="V350" ca="1" si="130">IF(R350&lt;&gt;"",IF(U350&lt;&gt;"",
IF(COUNTIF(OFFSET($A$1,$R350-1,U350),"*/*"),
IF(COUNTIF(OFFSET($A$1,$R350-1,U350+1),"*/*"),"",U350+2),U350+1),
IF(COUNTIF(OFFSET($A$1,$R350-1,1),"*/*"),
IF(COUNTIF(OFFSET($A$1,$R350-1,1+1),"*/*"),"",1+2),1+1)),"")</f>
        <v/>
      </c>
      <c r="W350" t="str">
        <f t="shared" ref="W350" ca="1" si="131">IF(R350&lt;&gt;"",IF(V350&lt;&gt;"",
IF(COUNTIF(OFFSET($A$1,$R350-1,V350),"*/*"),
IF(COUNTIF(OFFSET($A$1,$R350-1,V350+1),"*/*"),"",V350+2),V350+1),
IF(COUNTIF(OFFSET($A$1,$R350-1,2),"*/*"),
IF(COUNTIF(OFFSET($A$1,$R350-1,2+1),"*/*"),"",2+2),2+1)),"")</f>
        <v/>
      </c>
      <c r="X350" t="str">
        <f t="shared" ref="X350" ca="1" si="132">IF(R350&lt;&gt;"",IF(W350&lt;&gt;"",
IF(COUNTIF(OFFSET($A$1,$R350-1,W350),"*/*"),
IF(COUNTIF(OFFSET($A$1,$R350-1,W350+1),"*/*"),"",W350+2),W350+1),
IF(COUNTIF(OFFSET($A$1,$R350-1,5),"*/*"),
IF(COUNTIF(OFFSET($A$1,$R350-1,5+1),"*/*"),"",
IF(OFFSET($A$1,R350-1,5+2-1)=0,"",5+2)),IF(OFFSET($A$1,R350-1,5+1-1)=0,"",5+1))),"")</f>
        <v/>
      </c>
      <c r="Z350" t="str">
        <f ca="1">IF(S350&lt;&gt;"",
IF(COUNTIF(OFFSET($A$1,$S350-1,0),"*g*"),
1,IF(COUNTIF(OFFSET($A$1,$S350-1,1),"*g*"),2,
IF(OFFSET($A$1,$S350-1,0)=".","",
IF(OFFSET($A$1,$S350-1,0)=OFFSET($A$1,$S350-1,1),1,2)))),"")</f>
        <v/>
      </c>
      <c r="AA350" t="str">
        <f t="shared" ca="1" si="126"/>
        <v/>
      </c>
      <c r="AB350" t="str">
        <f t="shared" ca="1" si="127"/>
        <v/>
      </c>
      <c r="AC350" t="str">
        <f t="shared" ca="1" si="128"/>
        <v/>
      </c>
      <c r="AE350" t="str">
        <f t="shared" ref="AE350" ca="1" si="133">IF(R350&lt;&gt;"",
IF(AND($S350-$R349&gt;3,COUNTIF(OFFSET($A$1,$R349+($S350-$R349-4),0),"&lt;&gt;*テキスト*")),
IF(OFFSET($A$1,$R349+($S350-$R349-4),0)=OFFSET($A$1,$R349+($S350-$R349-4),1),1,
IF(OFFSET($A$1,$R349+($S350-$R349-4),0)=OFFSET($A$1,$R349+($S350-$R349-4),2),2,
IF(OFFSET($A$1,$R349+($S350-$R349-4),0)=OFFSET($A$1,$R349+($S350-$R349-4),3),3,4))),
IF(AND($S350-$R349&gt;2,COUNTIF(OFFSET($A$1,$R349+($S350-$R349-3),0),"&lt;&gt;*テキスト*")),
IF(OFFSET($A$1,$R349+($S350-$R349-3),0)=OFFSET($A$1,$R349+($S350-$R349-3),1),1,
IF(OFFSET($A$1,$R349+($S350-$R349-3),0)=OFFSET($A$1,$R349+($S350-$R349-3),2),2,
IF(OFFSET($A$1,$R349+($S350-$R349-3),0)=OFFSET($A$1,$R349+($S350-$R349-3),3),3,4))),
IF(COUNTIF(OFFSET($A$1,$R349+($S350-$R349-2),0),"*様*"),1,
IF(COUNTIF(OFFSET($A$1,$R349+($S350-$R349-2),1),"*様*"),2,
IF(COUNTIF(OFFSET($A$1,$R349+($S350-$R349-2),2),"*様*"),3,4))))),"")</f>
        <v/>
      </c>
      <c r="AF350" t="str">
        <f t="shared" ref="AF350" ca="1" si="134">IF(R350&lt;&gt;"",
IF(AND($S350-$R349&gt;3,COUNTIF(OFFSET($A$1,$R349+($S350-$R349-4),0),"&lt;&gt;*テキスト*")),
IFERROR(IF(OFFSET($A$1,$R349+($S350-$R349-4),AE350)=0,"",
IF(OFFSET($A$1,$R349+($S350-$R349-4),AE350)=OFFSET($A$1,$R349+($S350-$R349-4),AE350+1),1+AE350,
IF(OFFSET($A$1,$R349+($S350-$R349-4),AE350)=OFFSET($A$1,$R349+($S350-$R349-4),AE350+2),2+AE350,
IF(OFFSET($A$1,$R349+($S350-$R349-4),AE350)=OFFSET($A$1,$R349+($S350-$R349-4),AE350+3),3+AE350,3+AE350)))),""),
IF(AND($S350-$R349&gt;2,COUNTIF(OFFSET($A$1,$R349+($S350-$R349-3),0),"&lt;&gt;*テキスト*")),
IFERROR(IF(OFFSET($A$1,$R349+($S350-$R349-3),AE350)=0,"",
IF(OFFSET($A$1,$R349+($S350-$R349-3),AE350)=OFFSET($A$1,$R349+($S350-$R349-3),AE350+1),1+AE350,
IF(OFFSET($A$1,$R349+($S350-$R349-3),AE350)=OFFSET($A$1,$R349+($S350-$R349-3),AE350+2),2+AE350,
IF(OFFSET($A$1,$R349+($S350-$R349-3),AE350)=OFFSET($A$1,$R349+($S350-$R349-3),AE350+3),3+AE350,3+AE350)))),""),
IF(COUNTIF(OFFSET($A$1,$R349+($S350-$R349-2),AE350),"*様*"),1+AE350,
IF(COUNTIF(OFFSET($A$1,$R349+($S350-$R349-2),AE350+1),"*様*"),2+AE350,
IF(COUNTIF(OFFSET($A$1,$R349+($S350-$R349-2),AE350+2),"*様*"),3+AE350,4+AE350))))),"")</f>
        <v/>
      </c>
      <c r="AG350" t="str">
        <f t="shared" ref="AG350" ca="1" si="135">IF(R350&lt;&gt;"",
IF(AND($S350-$R349&gt;3,COUNTIF(OFFSET($A$1,$R349+($S350-$R349-4),0),"&lt;&gt;*テキスト*")),
IFERROR(IF(OFFSET($A$1,$R349+($S350-$R349-4),AF350)=0,"",
IF(OFFSET($A$1,$R349+($S350-$R349-4),AF350)=OFFSET($A$1,$R349+($S350-$R349-4),AF350+1),1+AF350,
IF(OFFSET($A$1,$R349+($S350-$R349-4),AF350)=OFFSET($A$1,$R349+($S350-$R349-4),AF350+2),2+AF350,
IF(OFFSET($A$1,$R349+($S350-$R349-4),AF350)=OFFSET($A$1,$R349+($S350-$R349-4),AF350+3),3+AF350,3+AF350)))),""),
IF(AND($S350-$R349&gt;2,COUNTIF(OFFSET($A$1,$R349+($S350-$R349-3),0),"&lt;&gt;*テキスト*")),
IFERROR(IF(OFFSET($A$1,$R349+($S350-$R349-3),AF350)=0,"",
IF(OFFSET($A$1,$R349+($S350-$R349-3),AF350)=OFFSET($A$1,$R349+($S350-$R349-3),AF350+1),1+AF350,
IF(OFFSET($A$1,$R349+($S350-$R349-3),AF350)=OFFSET($A$1,$R349+($S350-$R349-3),AF350+2),2+AF350,
IF(OFFSET($A$1,$R349+($S350-$R349-3),AF350)=OFFSET($A$1,$R349+($S350-$R349-3),AF350+3),3+AF350,3+AF350)))),""),
IF(COUNTIF(OFFSET($A$1,$R349+($S350-$R349-2),AF350),"*様*"),1+AF350,
IF(COUNTIF(OFFSET($A$1,$R349+($S350-$R349-2),AF350+1),"*様*"),2+AF350,
IF(COUNTIF(OFFSET($A$1,$R349+($S350-$R349-2),AF350+2),"*様*"),3+AF350,4+AF350))))),"")</f>
        <v/>
      </c>
      <c r="AH350" t="str">
        <f t="shared" ref="AH350" ca="1" si="136">IF(R350&lt;&gt;"",
IF(AND($S350-$R349&gt;3,COUNTIF(OFFSET($A$1,$R349+($S350-$R349-4),0),"&lt;&gt;*テキスト*")),
IFERROR(IF(OFFSET($A$1,$R349+($S350-$R349-4),AG350)=0,"",
IF(OFFSET($A$1,$R349+($S350-$R349-4),AG350)=OFFSET($A$1,$R349+($S350-$R349-4),AG350+1),1+AG350,
IF(OFFSET($A$1,$R349+($S350-$R349-4),AG350)=OFFSET($A$1,$R349+($S350-$R349-4),AG350+2),2+AG350,
IF(OFFSET($A$1,$R349+($S350-$R349-4),AG350)=OFFSET($A$1,$R349+($S350-$R349-4),AG350+3),3+AG350,3+AG350)))),""),
IF(AND($S350-$R349&gt;2,COUNTIF(OFFSET($A$1,$R349+($S350-$R349-3),0),"&lt;&gt;*テキスト*")),
IFERROR(IF(OFFSET($A$1,$R349+($S350-$R349-3),AG350)=0,"",
IF(OFFSET($A$1,$R349+($S350-$R349-3),AG350)=OFFSET($A$1,$R349+($S350-$R349-3),AG350+1),1+AG350,
IF(OFFSET($A$1,$R349+($S350-$R349-3),AG350)=OFFSET($A$1,$R349+($S350-$R349-3),AG350+2),2+AG350,
IF(OFFSET($A$1,$R349+($S350-$R349-3),AG350)=OFFSET($A$1,$R349+($S350-$R349-3),AG350+3),3+AG350,3+AG350)))),""),
IF(COUNTIF(OFFSET($A$1,$R349+($S350-$R349-2),AG350),"*様*"),1+AG350,
IF(COUNTIF(OFFSET($A$1,$R349+($S350-$R349-2),AG350+1),"*様*"),2+AG350,
IF(COUNTIF(OFFSET($A$1,$R349+($S350-$R349-2),AG350+2),"*様*"),3+AG350,4+AG350))))),"")</f>
        <v/>
      </c>
      <c r="AI350" t="str">
        <f t="shared" ref="AI350" ca="1" si="137">IF(R350&lt;&gt;"",
IF(AG350&lt;&gt;"","",
IF(COUNTIF(OFFSET($A$1,$R349+($S350-$R349-3),0),"*様*"),1,
IF(COUNTIF(OFFSET($A$1,$R349+($S350-$R349-3),1),"*様*"),2,
IF(COUNTIF(OFFSET($A$1,$R349+($S350-$R349-3),2),"*様*"),3,4)))),"")</f>
        <v/>
      </c>
      <c r="AJ350" t="str">
        <f t="shared" ref="AJ350" ca="1" si="138">IF(R350&lt;&gt;"",
IF(AH350&lt;&gt;"","",
IF(AI350&lt;&gt;"",
IF(COUNTIF(OFFSET($A$1,$R349+($S350-$R349-3),AI350),"*様*"),1+AI350,
IF(COUNTIF(OFFSET($A$1,$R349+($S350-$R349-3),AI350+1),"*様*"),2+AI350,
IF(COUNTIF(OFFSET($A$1,$R349+($S350-$R349-3),AI350+2),"*様*"),3+AI350,4+AI350))),
IF(COUNTIF(OFFSET($A$1,$R349+($S350-$R349-3),0),"*様*"),1,
IF(COUNTIF(OFFSET($A$1,$R349+($S350-$R349-3),1),"*様*"),2,
IF(COUNTIF(OFFSET($A$1,$R349+($S350-$R349-3),2),"*様*"),3,4))))),"")</f>
        <v/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B328B-4F16-430A-8827-6B142F8C2816}">
  <dimension ref="A1:W350"/>
  <sheetViews>
    <sheetView zoomScale="70" zoomScaleNormal="70" workbookViewId="0">
      <selection activeCell="D37" sqref="D37"/>
    </sheetView>
  </sheetViews>
  <sheetFormatPr defaultRowHeight="18" x14ac:dyDescent="0.45"/>
  <cols>
    <col min="4" max="4" width="16.3984375" customWidth="1"/>
    <col min="5" max="5" width="19.09765625" customWidth="1"/>
    <col min="9" max="9" width="10.796875" customWidth="1"/>
    <col min="14" max="14" width="17.19921875" customWidth="1"/>
    <col min="19" max="19" width="8.796875" customWidth="1"/>
  </cols>
  <sheetData>
    <row r="1" spans="1:23" x14ac:dyDescent="0.45">
      <c r="C1">
        <f>貼り付け2!A4</f>
        <v>0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</row>
    <row r="2" spans="1:23" x14ac:dyDescent="0.45">
      <c r="A2" t="str">
        <f>貼り付け2!S2</f>
        <v/>
      </c>
      <c r="B2" t="str">
        <f>貼り付け2!R2</f>
        <v/>
      </c>
      <c r="C2" t="e">
        <f t="shared" ref="C2" si="0">A2-A1</f>
        <v>#VALUE!</v>
      </c>
      <c r="D2" t="e">
        <f ca="1">IF(OFFSET(貼り付け2!$A$1,ROW()-1,MATCH(D$1,貼り付け2!$1:$1,0)-1)=2,
OFFSET(貼り付け2!$A$1,A2-2,OFFSET(貼り付け2!$A$1,ROW()-1,MATCH(D$1,貼り付け2!$1:$1,0)-1)-2)
&amp;OFFSET(貼り付け2!$A$1,A2-2,OFFSET(貼り付け2!$A$1,ROW()-1,MATCH(D$1,貼り付け2!$1:$1,0)-1)-1),
IF(OFFSET(貼り付け2!$A$1,ROW()-1,MATCH(D$1,貼り付け2!$1:$1,0)-1)=3,
OFFSET(貼り付け2!$A$1,A2-2,OFFSET(貼り付け2!$A$1,ROW()-1,MATCH(D$1,貼り付け2!$1:$1,0)-1)-3)
&amp;OFFSET(貼り付け2!$A$1,A2-2,OFFSET(貼り付け2!$A$1,ROW()-1,MATCH(D$1,貼り付け2!$1:$1,0)-1)-2)
&amp;OFFSET(貼り付け2!$A$1,A2-2,OFFSET(貼り付け2!$A$1,ROW()-1,MATCH(D$1,貼り付け2!$1:$1,0)-1)-1),""))</f>
        <v>#VALUE!</v>
      </c>
      <c r="E2" t="str">
        <f ca="1">IF(OFFSET(貼り付け2!$A$1,ROW()-1,MATCH(E$1,貼り付け2!$1:$1,0)-1)=2,
OFFSET(貼り付け2!$A$1,$A2-1,OFFSET(貼り付け2!$A$1,ROW()-1,MATCH(E$1,貼り付け2!$1:$1,0)-1)-2)&amp;"・"&amp;OFFSET(貼り付け2!$A$1,$A2-1,OFFSET(貼り付け2!$A$1,ROW()-1,MATCH(E$1,貼り付け2!$1:$1,0)-1)-1),
IF(OFFSET(貼り付け2!$A$1,ROW()-1,MATCH(E$1,貼り付け2!$1:$1,0)-1)=1,
OFFSET(貼り付け2!$A$1,$A2-1,OFFSET(貼り付け2!$A$1,ROW()-1,MATCH(E$1,貼り付け2!$1:$1,0)-1)-1),""))</f>
        <v/>
      </c>
      <c r="F2" t="e">
        <f ca="1">OFFSET(貼り付け1!$A$1,貼り付け1!$G1-1,0)</f>
        <v>#REF!</v>
      </c>
      <c r="G2" t="e">
        <f ca="1">OFFSET(貼り付け1!$A$1,貼り付け1!$F1-1,0)</f>
        <v>#REF!</v>
      </c>
      <c r="H2" t="str">
        <f ca="1">IFERROR(OFFSET(貼り付け2!$A$1,まとめ!$B2-1,OFFSET(貼り付け2!$A$1,ROW()-1,MATCH(H$1,貼り付け2!$1:$1,0)-1)-1),"")</f>
        <v/>
      </c>
      <c r="I2" t="e">
        <f ca="1">IF((OFFSET(貼り付け2!$A$1,ROW()-1,MATCH(I$1,貼り付け2!$1:$1,0)-1)-OFFSET(貼り付け2!$A$1,ROW()-1,MATCH(D$1,貼り付け2!$1:$1,0)-1))=2,
OFFSET(貼り付け2!$A$1,$A2-2,OFFSET(貼り付け2!$A$1,ROW()-1,MATCH(I$1,貼り付け2!$1:$1,0)-1)-2)
&amp;OFFSET(貼り付け2!$A$1,$A2-2,OFFSET(貼り付け2!$A$1,ROW()-1,MATCH(I$1,貼り付け2!$1:$1,0)-1)-1),
IF((OFFSET(貼り付け2!$A$1,ROW()-1,MATCH(I$1,貼り付け2!$1:$1,0)-1)-OFFSET(貼り付け2!$A$1,ROW()-1,MATCH(D$1,貼り付け2!$1:$1,0)-1))=3,
OFFSET(貼り付け2!$A$1,$A2-2,OFFSET(貼り付け2!$A$1,ROW()-1,MATCH(I$1,貼り付け2!$1:$1,0)-1)-3)
&amp;OFFSET(貼り付け2!$A$1,$A2-2,OFFSET(貼り付け2!$A$1,ROW()-1,MATCH(I$1,貼り付け2!$1:$1,0)-1)-2)
&amp;OFFSET(貼り付け2!$A$1,$A2-2,OFFSET(貼り付け2!$A$1,ROW()-1,MATCH(I$1,貼り付け2!$1:$1,0)-1)-1),""))</f>
        <v>#VALUE!</v>
      </c>
      <c r="J2" t="str">
        <f ca="1">IFERROR(
IF(OR(OFFSET(貼り付け2!$A$1,$A2-1,OFFSET(貼り付け2!$A$1,ROW()-1,MATCH(J$1,貼り付け2!$1:$1,0)-1)-2)&lt;&gt;"",OFFSET(貼り付け2!$A$1,$A2-1,OFFSET(貼り付け2!$A$1,ROW()-1,MATCH(J$1,貼り付け2!$1:$1,0)-1)-2)=OFFSET(貼り付け2!$A$1,$A2-1,OFFSET(貼り付け2!$A$1,ROW()-1,MATCH(J$1,貼り付け2!$1:$1,0)-1)-1)),
OFFSET(貼り付け2!$A$1,$A2-1,OFFSET(貼り付け2!$A$1,ROW()-1,MATCH(J$1,貼り付け2!$1:$1,0)-1)-2)&amp;"・"&amp;OFFSET(貼り付け2!$A$1,$A2-1,OFFSET(貼り付け2!$A$1,ROW()-1,MATCH(J$1,貼り付け2!$1:$1,0)-1)-1),),"")</f>
        <v/>
      </c>
      <c r="K2" t="e">
        <f ca="1">OFFSET(貼り付け1!$A$1,貼り付け1!$G1-1,1)</f>
        <v>#REF!</v>
      </c>
      <c r="L2" t="e">
        <f ca="1">OFFSET(貼り付け1!$A$1,貼り付け1!$F1-1,1)</f>
        <v>#REF!</v>
      </c>
      <c r="M2" t="str">
        <f ca="1">IFERROR(OFFSET(貼り付け2!$A$1,まとめ!$B2-1,OFFSET(貼り付け2!$A$1,ROW()-1,MATCH(M$1,貼り付け2!$1:$1,0)-1)-1),"")</f>
        <v/>
      </c>
      <c r="N2" t="e">
        <f ca="1">IF(OFFSET(貼り付け2!$A$1,ROW()-1,MATCH(N$1,貼り付け2!$1:$1,0)-1)&lt;&gt;"",
IF($C2=TRUE,
IF((OFFSET(貼り付け2!$A$1,ROW()-1,MATCH(N$1,貼り付け2!$1:$1,0)-1)-OFFSET(貼り付け2!$A$1,ROW()-1,MATCH(I$1,貼り付け2!$1:$1,0)-1))=2,
OFFSET(貼り付け2!$A$1,$A2-4,OFFSET(貼り付け2!$A$1,ROW()-1,MATCH(N$1,貼り付け2!$1:$1,0)-1)-2)
&amp;OFFSET(貼り付け2!$A$1,$A2-4,OFFSET(貼り付け2!$A$1,ROW()-1,MATCH(N$1,貼り付け2!$1:$1,0)-1)-1),
IF((OFFSET(貼り付け2!$A$1,ROW()-1,MATCH(N$1,貼り付け2!$1:$1,0)-1)-OFFSET(貼り付け2!$A$1,ROW()-1,MATCH(I$1,貼り付け2!$1:$1,0)-1))=3,
OFFSET(貼り付け2!$A$1,$A2-4,OFFSET(貼り付け2!$A$1,ROW()-1,MATCH(N$1,貼り付け2!$1:$1,0)-1)-3)
&amp;OFFSET(貼り付け2!$A$1,$A2-4,OFFSET(貼り付け2!$A$1,ROW()-1,MATCH(N$1,貼り付け2!$1:$1,0)-1)-2)
&amp;OFFSET(貼り付け2!$A$1,$A2-4,OFFSET(貼り付け2!$A$1,ROW()-1,MATCH(N$1,貼り付け2!$1:$1,0)-1)-1),"")),
IF((OFFSET(貼り付け2!$A$1,ROW()-1,MATCH(N$1,貼り付け2!$1:$1,0)-1)-OFFSET(貼り付け2!$A$1,ROW()-1,MATCH(I$1,貼り付け2!$1:$1,0)-1))=2,
OFFSET(貼り付け2!$A$1,$A2-2,OFFSET(貼り付け2!$A$1,ROW()-1,MATCH(N$1,貼り付け2!$1:$1,0)-1)-2)
&amp;OFFSET(貼り付け2!$A$1,$A2-2,OFFSET(貼り付け2!$A$1,ROW()-1,MATCH(N$1,貼り付け2!$1:$1,0)-1)-1),
IF((OFFSET(貼り付け2!$A$1,ROW()-1,MATCH(N$1,貼り付け2!$1:$1,0)-1)-OFFSET(貼り付け2!$A$1,ROW()-1,MATCH(I$1,貼り付け2!$1:$1,0)-1))=3,
OFFSET(貼り付け2!$A$1,$A2-2,OFFSET(貼り付け2!$A$1,ROW()-1,MATCH(N$1,貼り付け2!$1:$1,0)-1)-3)
&amp;OFFSET(貼り付け2!$A$1,$A2-2,OFFSET(貼り付け2!$A$1,ROW()-1,MATCH(N$1,貼り付け2!$1:$1,0)-1)-2)
&amp;OFFSET(貼り付け2!$A$1,$A2-2,OFFSET(貼り付け2!$A$1,ROW()-1,MATCH(N$1,貼り付け2!$1:$1,0)-1)-1),""))),
IF(OFFSET(貼り付け2!$A$1,ROW()-1,MATCH(N$1,貼り付け2!$1:$1,0)+1)=2,
OFFSET(貼り付け2!$A$1,$A2-3,OFFSET(貼り付け2!$A$1,ROW()-1,MATCH(N$1,貼り付け2!$1:$1,0)+1)-2)
&amp;OFFSET(貼り付け2!$A$1,$A2-3,OFFSET(貼り付け2!$A$1,ROW()-1,MATCH(N$1,貼り付け2!$1:$1,0)+1)-1),
IF(OFFSET(貼り付け2!$A$1,ROW()-1,MATCH(N$1,貼り付け2!$1:$1,0)+1)=3,
OFFSET(貼り付け2!$A$1,$A2-3,OFFSET(貼り付け2!$A$1,ROW()-1,MATCH(N$1,貼り付け2!$1:$1,0)+1)-3)
&amp;OFFSET(貼り付け2!$A$1,$A2-3,OFFSET(貼り付け2!$A$1,ROW()-1,MATCH(N$1,貼り付け2!$1:$1,0)+1)-2)
&amp;OFFSET(貼り付け2!$A$1,$A2-3,OFFSET(貼り付け2!$A$1,ROW()-1,MATCH(N$1,貼り付け2!$1:$1,0)+1)-1),"")))</f>
        <v>#VALUE!</v>
      </c>
      <c r="O2" t="str">
        <f ca="1">IFERROR(
IF(OR(OFFSET(貼り付け2!$A$1,$A2-1,OFFSET(貼り付け2!$A$1,ROW()-1,MATCH(O$1,貼り付け2!$1:$1,0)-1)-2)&lt;&gt;"",OFFSET(貼り付け2!$A$1,$A2-1,OFFSET(貼り付け2!$A$1,ROW()-1,MATCH(O$1,貼り付け2!$1:$1,0)-1)-2)=OFFSET(貼り付け2!$A$1,$A2-1,OFFSET(貼り付け2!$A$1,ROW()-1,MATCH(O$1,貼り付け2!$1:$1,0)-1)-1)),
OFFSET(貼り付け2!$A$1,$A2-1,OFFSET(貼り付け2!$A$1,ROW()-1,MATCH(O$1,貼り付け2!$1:$1,0)-1)-2)&amp;"・"&amp;OFFSET(貼り付け2!$A$1,$A2-1,OFFSET(貼り付け2!$A$1,ROW()-1,MATCH(O$1,貼り付け2!$1:$1,0)-1)-1),),"")</f>
        <v/>
      </c>
      <c r="P2" t="e">
        <f ca="1">OFFSET(貼り付け1!$A$1,貼り付け1!$G1-1,2)</f>
        <v>#REF!</v>
      </c>
      <c r="Q2" t="e">
        <f ca="1">OFFSET(貼り付け1!$A$1,貼り付け1!$F1-1,2)</f>
        <v>#REF!</v>
      </c>
      <c r="R2" t="str">
        <f ca="1">IFERROR(OFFSET(貼り付け2!$A$1,まとめ!$B2-1,OFFSET(貼り付け2!$A$1,ROW()-1,MATCH(R$1,貼り付け2!$1:$1,0)-1)-1),"")</f>
        <v/>
      </c>
      <c r="S2" t="e">
        <f ca="1">IF(OFFSET(貼り付け2!$A$1,ROW()-1,MATCH(S$1,貼り付け2!$1:$1,0)-1)&lt;&gt;"",
IF($C2=TRUE,
IF((OFFSET(貼り付け2!$A$1,ROW()-1,MATCH(S$1,貼り付け2!$1:$1,0)-1)-OFFSET(貼り付け2!$A$1,ROW()-1,MATCH(N$1,貼り付け2!$1:$1,0)-1))=2,
OFFSET(貼り付け2!$A$1,$A2-4,OFFSET(貼り付け2!$A$1,ROW()-1,MATCH(S$1,貼り付け2!$1:$1,0)-1)-2)
&amp;OFFSET(貼り付け2!$A$1,$A2-4,OFFSET(貼り付け2!$A$1,ROW()-1,MATCH(S$1,貼り付け2!$1:$1,0)-1)-1),
IF((OFFSET(貼り付け2!$A$1,ROW()-1,MATCH(S$1,貼り付け2!$1:$1,0)-1)-OFFSET(貼り付け2!$A$1,ROW()-1,MATCH(N$1,貼り付け2!$1:$1,0)-1))=3,
OFFSET(貼り付け2!$A$1,$A2-4,OFFSET(貼り付け2!$A$1,ROW()-1,MATCH(S$1,貼り付け2!$1:$1,0)-1)-3)
&amp;OFFSET(貼り付け2!$A$1,$A2-4,OFFSET(貼り付け2!$A$1,ROW()-1,MATCH(S$1,貼り付け2!$1:$1,0)-1)-2)
&amp;OFFSET(貼り付け2!$A$1,$A2-4,OFFSET(貼り付け2!$A$1,ROW()-1,MATCH(S$1,貼り付け2!$1:$1,0)-1)-1),"")),
IF((OFFSET(貼り付け2!$A$1,ROW()-1,MATCH(S$1,貼り付け2!$1:$1,0)-1)-OFFSET(貼り付け2!$A$1,ROW()-1,MATCH(N$1,貼り付け2!$1:$1,0)-1))=2,
OFFSET(貼り付け2!$A$1,$A2-2,OFFSET(貼り付け2!$A$1,ROW()-1,MATCH(S$1,貼り付け2!$1:$1,0)-1)-2)
&amp;OFFSET(貼り付け2!$A$1,$A2-2,OFFSET(貼り付け2!$A$1,ROW()-1,MATCH(S$1,貼り付け2!$1:$1,0)-1)-1),
IF((OFFSET(貼り付け2!$A$1,ROW()-1,MATCH(S$1,貼り付け2!$1:$1,0)-1)-OFFSET(貼り付け2!$A$1,ROW()-1,MATCH(N$1,貼り付け2!$1:$1,0)-1))=3,
OFFSET(貼り付け2!$A$1,$A2-2,OFFSET(貼り付け2!$A$1,ROW()-1,MATCH(S$1,貼り付け2!$1:$1,0)-1)-3)
&amp;OFFSET(貼り付け2!$A$1,$A2-2,OFFSET(貼り付け2!$A$1,ROW()-1,MATCH(S$1,貼り付け2!$1:$1,0)-1)-2)
&amp;OFFSET(貼り付け2!$A$1,$A2-2,OFFSET(貼り付け2!$A$1,ROW()-1,MATCH(S$1,貼り付け2!$1:$1,0)-1)-1),""))),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OFFSET(貼り付け2!$A$1,$A2-3,OFFSET(貼り付け2!$A$1,ROW()-1,MATCH(S$1,貼り付け2!$1:$1,0)+1)-2)
&amp;OFFSET(貼り付け2!$A$1,$A2-3,OFFSET(貼り付け2!$A$1,ROW()-1,MATCH(S$1,貼り付け2!$1:$1,0)+1)-1),
IF(OFFSET(貼り付け2!$A$1,ROW()-1,MATCH(S$1,貼り付け2!$1:$1,0)+1)-OFFSET(貼り付け2!$A$1,ROW()-1,MATCH(N$1,貼り付け2!$1:$1,0)+1)=3,
OFFSET(貼り付け2!$A$1,$A2-3,OFFSET(貼り付け2!$A$1,ROW()-1,MATCH(S$1,貼り付け2!$1:$1,0)+1)-3)
&amp;OFFSET(貼り付け2!$A$1,$A2-3,OFFSET(貼り付け2!$A$1,ROW()-1,MATCH(S$1,貼り付け2!$1:$1,0)+1)-2)
&amp;OFFSET(貼り付け2!$A$1,$A2-3,OFFSET(貼り付け2!$A$1,ROW()-1,MATCH(S$1,貼り付け2!$1:$1,0)+1)-1),"")),
IF(OFFSET(貼り付け2!$A$1,ROW()-1,MATCH(S$1,貼り付け2!$1:$1,0)+1)=2,
OFFSET(貼り付け2!$A$1,$A2-3,OFFSET(貼り付け2!$A$1,ROW()-1,MATCH(S$1,貼り付け2!$1:$1,0)+1)-2)
&amp;OFFSET(貼り付け2!$A$1,$A2-3,OFFSET(貼り付け2!$A$1,ROW()-1,MATCH(S$1,貼り付け2!$1:$1,0)+1)-1),
IF(OFFSET(貼り付け2!$A$1,ROW()-1,MATCH(S$1,貼り付け2!$1:$1,0)+1)=3,
OFFSET(貼り付け2!$A$1,$A2-3,OFFSET(貼り付け2!$A$1,ROW()-1,MATCH(S$1,貼り付け2!$1:$1,0)+1)-3)
&amp;OFFSET(貼り付け2!$A$1,$A2-3,OFFSET(貼り付け2!$A$1,ROW()-1,MATCH(S$1,貼り付け2!$1:$1,0)+1)-2)
&amp;OFFSET(貼り付け2!$A$1,$A2-3,OFFSET(貼り付け2!$A$1,ROW()-1,MATCH(S$1,貼り付け2!$1:$1,0)+1)-1),""))))</f>
        <v>#VALUE!</v>
      </c>
      <c r="T2" t="str">
        <f ca="1">IFERROR(
IF(OR(OFFSET(貼り付け2!$A$1,$A2-1,OFFSET(貼り付け2!$A$1,ROW()-1,MATCH(T$1,貼り付け2!$1:$1,0)-1)-2)&lt;&gt;"",OFFSET(貼り付け2!$A$1,$A2-1,OFFSET(貼り付け2!$A$1,ROW()-1,MATCH(T$1,貼り付け2!$1:$1,0)-1)-2)=OFFSET(貼り付け2!$A$1,$A2-1,OFFSET(貼り付け2!$A$1,ROW()-1,MATCH(T$1,貼り付け2!$1:$1,0)-1)-1)),
OFFSET(貼り付け2!$A$1,$A2-1,OFFSET(貼り付け2!$A$1,ROW()-1,MATCH(T$1,貼り付け2!$1:$1,0)-1)-2)&amp;"・"&amp;OFFSET(貼り付け2!$A$1,$A2-1,OFFSET(貼り付け2!$A$1,ROW()-1,MATCH(T$1,貼り付け2!$1:$1,0)-1)-1),),"")</f>
        <v/>
      </c>
      <c r="U2" t="e">
        <f ca="1">OFFSET(貼り付け1!$A$1,貼り付け1!$G1-1,3)</f>
        <v>#REF!</v>
      </c>
      <c r="V2" t="e">
        <f ca="1">OFFSET(貼り付け1!$A$1,貼り付け1!$F1-1,3)</f>
        <v>#REF!</v>
      </c>
      <c r="W2" t="str">
        <f ca="1">IFERROR(OFFSET(貼り付け2!$A$1,まとめ!$B2-1,OFFSET(貼り付け2!$A$1,ROW()-1,MATCH(W$1,貼り付け2!$1:$1,0)-1)-1),"")</f>
        <v/>
      </c>
    </row>
    <row r="3" spans="1:23" x14ac:dyDescent="0.45">
      <c r="A3" t="str">
        <f>貼り付け2!S3</f>
        <v/>
      </c>
      <c r="B3" t="str">
        <f>貼り付け2!R3</f>
        <v/>
      </c>
      <c r="C3" t="e">
        <f t="shared" ref="C2:C43" ca="1" si="1">AND($A3-$B2&gt;3,COUNTIF(OFFSET($A$1,$B2+($A3-$B2-4),0),"&lt;&gt;*テキスト*"))</f>
        <v>#VALUE!</v>
      </c>
      <c r="D3" t="str">
        <f ca="1">IF(OFFSET(貼り付け2!$A$1,ROW()-1,MATCH(D$1,貼り付け2!$1:$1,0)-1)=2,
OFFSET(貼り付け2!$A$1,A3-2,OFFSET(貼り付け2!$A$1,ROW()-1,MATCH(D$1,貼り付け2!$1:$1,0)-1)-2)
&amp;OFFSET(貼り付け2!$A$1,A3-2,OFFSET(貼り付け2!$A$1,ROW()-1,MATCH(D$1,貼り付け2!$1:$1,0)-1)-1),
IF(OFFSET(貼り付け2!$A$1,ROW()-1,MATCH(D$1,貼り付け2!$1:$1,0)-1)=3,
OFFSET(貼り付け2!$A$1,A3-2,OFFSET(貼り付け2!$A$1,ROW()-1,MATCH(D$1,貼り付け2!$1:$1,0)-1)-3)
&amp;OFFSET(貼り付け2!$A$1,A3-2,OFFSET(貼り付け2!$A$1,ROW()-1,MATCH(D$1,貼り付け2!$1:$1,0)-1)-2)
&amp;OFFSET(貼り付け2!$A$1,A3-2,OFFSET(貼り付け2!$A$1,ROW()-1,MATCH(D$1,貼り付け2!$1:$1,0)-1)-1),""))</f>
        <v/>
      </c>
      <c r="E3" t="str">
        <f ca="1">IF(OFFSET(貼り付け2!$A$1,ROW()-1,MATCH(E$1,貼り付け2!$1:$1,0)-1)=2,
OFFSET(貼り付け2!$A$1,$A3-1,OFFSET(貼り付け2!$A$1,ROW()-1,MATCH(E$1,貼り付け2!$1:$1,0)-1)-2)&amp;"・"&amp;OFFSET(貼り付け2!$A$1,$A3-1,OFFSET(貼り付け2!$A$1,ROW()-1,MATCH(E$1,貼り付け2!$1:$1,0)-1)-1),
IF(OFFSET(貼り付け2!$A$1,ROW()-1,MATCH(E$1,貼り付け2!$1:$1,0)-1)=1,
OFFSET(貼り付け2!$A$1,$A3-1,OFFSET(貼り付け2!$A$1,ROW()-1,MATCH(E$1,貼り付け2!$1:$1,0)-1)-1),""))</f>
        <v/>
      </c>
      <c r="F3" t="e">
        <f ca="1">OFFSET(貼り付け1!$A$1,貼り付け1!$G2-1,0)</f>
        <v>#REF!</v>
      </c>
      <c r="G3" t="e">
        <f ca="1">OFFSET(貼り付け1!$A$1,貼り付け1!$F2-1,0)</f>
        <v>#REF!</v>
      </c>
      <c r="H3" t="str">
        <f ca="1">IFERROR(OFFSET(貼り付け2!$A$1,まとめ!$B3-1,OFFSET(貼り付け2!$A$1,ROW()-1,MATCH(H$1,貼り付け2!$1:$1,0)-1)-1),"")</f>
        <v/>
      </c>
      <c r="I3" t="e">
        <f ca="1">IF((OFFSET(貼り付け2!$A$1,ROW()-1,MATCH(I$1,貼り付け2!$1:$1,0)-1)-OFFSET(貼り付け2!$A$1,ROW()-1,MATCH(D$1,貼り付け2!$1:$1,0)-1))=2,
OFFSET(貼り付け2!$A$1,$A3-2,OFFSET(貼り付け2!$A$1,ROW()-1,MATCH(I$1,貼り付け2!$1:$1,0)-1)-2)
&amp;OFFSET(貼り付け2!$A$1,$A3-2,OFFSET(貼り付け2!$A$1,ROW()-1,MATCH(I$1,貼り付け2!$1:$1,0)-1)-1),
IF((OFFSET(貼り付け2!$A$1,ROW()-1,MATCH(I$1,貼り付け2!$1:$1,0)-1)-OFFSET(貼り付け2!$A$1,ROW()-1,MATCH(D$1,貼り付け2!$1:$1,0)-1))=3,
OFFSET(貼り付け2!$A$1,$A3-2,OFFSET(貼り付け2!$A$1,ROW()-1,MATCH(I$1,貼り付け2!$1:$1,0)-1)-3)
&amp;OFFSET(貼り付け2!$A$1,$A3-2,OFFSET(貼り付け2!$A$1,ROW()-1,MATCH(I$1,貼り付け2!$1:$1,0)-1)-2)
&amp;OFFSET(貼り付け2!$A$1,$A3-2,OFFSET(貼り付け2!$A$1,ROW()-1,MATCH(I$1,貼り付け2!$1:$1,0)-1)-1),""))</f>
        <v>#VALUE!</v>
      </c>
      <c r="J3" t="str">
        <f ca="1">IFERROR(
IF(OR(OFFSET(貼り付け2!$A$1,$A3-1,OFFSET(貼り付け2!$A$1,ROW()-1,MATCH(J$1,貼り付け2!$1:$1,0)-1)-2)&lt;&gt;"",OFFSET(貼り付け2!$A$1,$A3-1,OFFSET(貼り付け2!$A$1,ROW()-1,MATCH(J$1,貼り付け2!$1:$1,0)-1)-2)=OFFSET(貼り付け2!$A$1,$A3-1,OFFSET(貼り付け2!$A$1,ROW()-1,MATCH(J$1,貼り付け2!$1:$1,0)-1)-1)),
OFFSET(貼り付け2!$A$1,$A3-1,OFFSET(貼り付け2!$A$1,ROW()-1,MATCH(J$1,貼り付け2!$1:$1,0)-1)-2)&amp;"・"&amp;OFFSET(貼り付け2!$A$1,$A3-1,OFFSET(貼り付け2!$A$1,ROW()-1,MATCH(J$1,貼り付け2!$1:$1,0)-1)-1),),"")</f>
        <v/>
      </c>
      <c r="K3" t="e">
        <f ca="1">OFFSET(貼り付け1!$A$1,貼り付け1!$G2-1,1)</f>
        <v>#REF!</v>
      </c>
      <c r="L3" t="e">
        <f ca="1">OFFSET(貼り付け1!$A$1,貼り付け1!$F2-1,1)</f>
        <v>#REF!</v>
      </c>
      <c r="M3" t="str">
        <f ca="1">IFERROR(OFFSET(貼り付け2!$A$1,まとめ!$B3-1,OFFSET(貼り付け2!$A$1,ROW()-1,MATCH(M$1,貼り付け2!$1:$1,0)-1)-1),"")</f>
        <v/>
      </c>
      <c r="N3" t="str">
        <f ca="1">IF(OFFSET(貼り付け2!$A$1,ROW()-1,MATCH(N$1,貼り付け2!$1:$1,0)-1)&lt;&gt;"",
IF($C3=TRUE,
IF((OFFSET(貼り付け2!$A$1,ROW()-1,MATCH(N$1,貼り付け2!$1:$1,0)-1)-OFFSET(貼り付け2!$A$1,ROW()-1,MATCH(I$1,貼り付け2!$1:$1,0)-1))=2,
OFFSET(貼り付け2!$A$1,$A3-4,OFFSET(貼り付け2!$A$1,ROW()-1,MATCH(N$1,貼り付け2!$1:$1,0)-1)-2)
&amp;OFFSET(貼り付け2!$A$1,$A3-4,OFFSET(貼り付け2!$A$1,ROW()-1,MATCH(N$1,貼り付け2!$1:$1,0)-1)-1),
IF((OFFSET(貼り付け2!$A$1,ROW()-1,MATCH(N$1,貼り付け2!$1:$1,0)-1)-OFFSET(貼り付け2!$A$1,ROW()-1,MATCH(I$1,貼り付け2!$1:$1,0)-1))=3,
OFFSET(貼り付け2!$A$1,$A3-4,OFFSET(貼り付け2!$A$1,ROW()-1,MATCH(N$1,貼り付け2!$1:$1,0)-1)-3)
&amp;OFFSET(貼り付け2!$A$1,$A3-4,OFFSET(貼り付け2!$A$1,ROW()-1,MATCH(N$1,貼り付け2!$1:$1,0)-1)-2)
&amp;OFFSET(貼り付け2!$A$1,$A3-4,OFFSET(貼り付け2!$A$1,ROW()-1,MATCH(N$1,貼り付け2!$1:$1,0)-1)-1),"")),
IF((OFFSET(貼り付け2!$A$1,ROW()-1,MATCH(N$1,貼り付け2!$1:$1,0)-1)-OFFSET(貼り付け2!$A$1,ROW()-1,MATCH(I$1,貼り付け2!$1:$1,0)-1))=2,
OFFSET(貼り付け2!$A$1,$A3-2,OFFSET(貼り付け2!$A$1,ROW()-1,MATCH(N$1,貼り付け2!$1:$1,0)-1)-2)
&amp;OFFSET(貼り付け2!$A$1,$A3-2,OFFSET(貼り付け2!$A$1,ROW()-1,MATCH(N$1,貼り付け2!$1:$1,0)-1)-1),
IF((OFFSET(貼り付け2!$A$1,ROW()-1,MATCH(N$1,貼り付け2!$1:$1,0)-1)-OFFSET(貼り付け2!$A$1,ROW()-1,MATCH(I$1,貼り付け2!$1:$1,0)-1))=3,
OFFSET(貼り付け2!$A$1,$A3-2,OFFSET(貼り付け2!$A$1,ROW()-1,MATCH(N$1,貼り付け2!$1:$1,0)-1)-3)
&amp;OFFSET(貼り付け2!$A$1,$A3-2,OFFSET(貼り付け2!$A$1,ROW()-1,MATCH(N$1,貼り付け2!$1:$1,0)-1)-2)
&amp;OFFSET(貼り付け2!$A$1,$A3-2,OFFSET(貼り付け2!$A$1,ROW()-1,MATCH(N$1,貼り付け2!$1:$1,0)-1)-1),""))),
IF(OFFSET(貼り付け2!$A$1,ROW()-1,MATCH(N$1,貼り付け2!$1:$1,0)+1)=2,
OFFSET(貼り付け2!$A$1,$A3-3,OFFSET(貼り付け2!$A$1,ROW()-1,MATCH(N$1,貼り付け2!$1:$1,0)+1)-2)
&amp;OFFSET(貼り付け2!$A$1,$A3-3,OFFSET(貼り付け2!$A$1,ROW()-1,MATCH(N$1,貼り付け2!$1:$1,0)+1)-1),
IF(OFFSET(貼り付け2!$A$1,ROW()-1,MATCH(N$1,貼り付け2!$1:$1,0)+1)=3,
OFFSET(貼り付け2!$A$1,$A3-3,OFFSET(貼り付け2!$A$1,ROW()-1,MATCH(N$1,貼り付け2!$1:$1,0)+1)-3)
&amp;OFFSET(貼り付け2!$A$1,$A3-3,OFFSET(貼り付け2!$A$1,ROW()-1,MATCH(N$1,貼り付け2!$1:$1,0)+1)-2)
&amp;OFFSET(貼り付け2!$A$1,$A3-3,OFFSET(貼り付け2!$A$1,ROW()-1,MATCH(N$1,貼り付け2!$1:$1,0)+1)-1),"")))</f>
        <v/>
      </c>
      <c r="O3" t="str">
        <f ca="1">IFERROR(
IF(OR(OFFSET(貼り付け2!$A$1,$A3-1,OFFSET(貼り付け2!$A$1,ROW()-1,MATCH(O$1,貼り付け2!$1:$1,0)-1)-2)&lt;&gt;"",OFFSET(貼り付け2!$A$1,$A3-1,OFFSET(貼り付け2!$A$1,ROW()-1,MATCH(O$1,貼り付け2!$1:$1,0)-1)-2)=OFFSET(貼り付け2!$A$1,$A3-1,OFFSET(貼り付け2!$A$1,ROW()-1,MATCH(O$1,貼り付け2!$1:$1,0)-1)-1)),
OFFSET(貼り付け2!$A$1,$A3-1,OFFSET(貼り付け2!$A$1,ROW()-1,MATCH(O$1,貼り付け2!$1:$1,0)-1)-2)&amp;"・"&amp;OFFSET(貼り付け2!$A$1,$A3-1,OFFSET(貼り付け2!$A$1,ROW()-1,MATCH(O$1,貼り付け2!$1:$1,0)-1)-1),),"")</f>
        <v/>
      </c>
      <c r="P3" t="e">
        <f ca="1">OFFSET(貼り付け1!$A$1,貼り付け1!$G2-1,2)</f>
        <v>#REF!</v>
      </c>
      <c r="Q3" t="e">
        <f ca="1">OFFSET(貼り付け1!$A$1,貼り付け1!$F2-1,2)</f>
        <v>#REF!</v>
      </c>
      <c r="R3" t="str">
        <f ca="1">IFERROR(OFFSET(貼り付け2!$A$1,まとめ!$B3-1,OFFSET(貼り付け2!$A$1,ROW()-1,MATCH(R$1,貼り付け2!$1:$1,0)-1)-1),"")</f>
        <v/>
      </c>
      <c r="S3" t="str">
        <f ca="1">IF(OFFSET(貼り付け2!$A$1,ROW()-1,MATCH(S$1,貼り付け2!$1:$1,0)-1)&lt;&gt;"",
IF($C3=TRUE,
IF((OFFSET(貼り付け2!$A$1,ROW()-1,MATCH(S$1,貼り付け2!$1:$1,0)-1)-OFFSET(貼り付け2!$A$1,ROW()-1,MATCH(N$1,貼り付け2!$1:$1,0)-1))=2,
OFFSET(貼り付け2!$A$1,$A3-4,OFFSET(貼り付け2!$A$1,ROW()-1,MATCH(S$1,貼り付け2!$1:$1,0)-1)-2)
&amp;OFFSET(貼り付け2!$A$1,$A3-4,OFFSET(貼り付け2!$A$1,ROW()-1,MATCH(S$1,貼り付け2!$1:$1,0)-1)-1),
IF((OFFSET(貼り付け2!$A$1,ROW()-1,MATCH(S$1,貼り付け2!$1:$1,0)-1)-OFFSET(貼り付け2!$A$1,ROW()-1,MATCH(N$1,貼り付け2!$1:$1,0)-1))=3,
OFFSET(貼り付け2!$A$1,$A3-4,OFFSET(貼り付け2!$A$1,ROW()-1,MATCH(S$1,貼り付け2!$1:$1,0)-1)-3)
&amp;OFFSET(貼り付け2!$A$1,$A3-4,OFFSET(貼り付け2!$A$1,ROW()-1,MATCH(S$1,貼り付け2!$1:$1,0)-1)-2)
&amp;OFFSET(貼り付け2!$A$1,$A3-4,OFFSET(貼り付け2!$A$1,ROW()-1,MATCH(S$1,貼り付け2!$1:$1,0)-1)-1),"")),
IF((OFFSET(貼り付け2!$A$1,ROW()-1,MATCH(S$1,貼り付け2!$1:$1,0)-1)-OFFSET(貼り付け2!$A$1,ROW()-1,MATCH(N$1,貼り付け2!$1:$1,0)-1))=2,
OFFSET(貼り付け2!$A$1,$A3-2,OFFSET(貼り付け2!$A$1,ROW()-1,MATCH(S$1,貼り付け2!$1:$1,0)-1)-2)
&amp;OFFSET(貼り付け2!$A$1,$A3-2,OFFSET(貼り付け2!$A$1,ROW()-1,MATCH(S$1,貼り付け2!$1:$1,0)-1)-1),
IF((OFFSET(貼り付け2!$A$1,ROW()-1,MATCH(S$1,貼り付け2!$1:$1,0)-1)-OFFSET(貼り付け2!$A$1,ROW()-1,MATCH(N$1,貼り付け2!$1:$1,0)-1))=3,
OFFSET(貼り付け2!$A$1,$A3-2,OFFSET(貼り付け2!$A$1,ROW()-1,MATCH(S$1,貼り付け2!$1:$1,0)-1)-3)
&amp;OFFSET(貼り付け2!$A$1,$A3-2,OFFSET(貼り付け2!$A$1,ROW()-1,MATCH(S$1,貼り付け2!$1:$1,0)-1)-2)
&amp;OFFSET(貼り付け2!$A$1,$A3-2,OFFSET(貼り付け2!$A$1,ROW()-1,MATCH(S$1,貼り付け2!$1:$1,0)-1)-1),""))),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OFFSET(貼り付け2!$A$1,$A3-3,OFFSET(貼り付け2!$A$1,ROW()-1,MATCH(S$1,貼り付け2!$1:$1,0)+1)-2)
&amp;OFFSET(貼り付け2!$A$1,$A3-3,OFFSET(貼り付け2!$A$1,ROW()-1,MATCH(S$1,貼り付け2!$1:$1,0)+1)-1),
IF(OFFSET(貼り付け2!$A$1,ROW()-1,MATCH(S$1,貼り付け2!$1:$1,0)+1)-OFFSET(貼り付け2!$A$1,ROW()-1,MATCH(N$1,貼り付け2!$1:$1,0)+1)=3,
OFFSET(貼り付け2!$A$1,$A3-3,OFFSET(貼り付け2!$A$1,ROW()-1,MATCH(S$1,貼り付け2!$1:$1,0)+1)-3)
&amp;OFFSET(貼り付け2!$A$1,$A3-3,OFFSET(貼り付け2!$A$1,ROW()-1,MATCH(S$1,貼り付け2!$1:$1,0)+1)-2)
&amp;OFFSET(貼り付け2!$A$1,$A3-3,OFFSET(貼り付け2!$A$1,ROW()-1,MATCH(S$1,貼り付け2!$1:$1,0)+1)-1),"")),
IF(OFFSET(貼り付け2!$A$1,ROW()-1,MATCH(S$1,貼り付け2!$1:$1,0)+1)=2,
OFFSET(貼り付け2!$A$1,$A3-3,OFFSET(貼り付け2!$A$1,ROW()-1,MATCH(S$1,貼り付け2!$1:$1,0)+1)-2)
&amp;OFFSET(貼り付け2!$A$1,$A3-3,OFFSET(貼り付け2!$A$1,ROW()-1,MATCH(S$1,貼り付け2!$1:$1,0)+1)-1),
IF(OFFSET(貼り付け2!$A$1,ROW()-1,MATCH(S$1,貼り付け2!$1:$1,0)+1)=3,
OFFSET(貼り付け2!$A$1,$A3-3,OFFSET(貼り付け2!$A$1,ROW()-1,MATCH(S$1,貼り付け2!$1:$1,0)+1)-3)
&amp;OFFSET(貼り付け2!$A$1,$A3-3,OFFSET(貼り付け2!$A$1,ROW()-1,MATCH(S$1,貼り付け2!$1:$1,0)+1)-2)
&amp;OFFSET(貼り付け2!$A$1,$A3-3,OFFSET(貼り付け2!$A$1,ROW()-1,MATCH(S$1,貼り付け2!$1:$1,0)+1)-1),""))))</f>
        <v/>
      </c>
      <c r="T3" t="str">
        <f ca="1">IFERROR(
IF(OR(OFFSET(貼り付け2!$A$1,$A3-1,OFFSET(貼り付け2!$A$1,ROW()-1,MATCH(T$1,貼り付け2!$1:$1,0)-1)-2)&lt;&gt;"",OFFSET(貼り付け2!$A$1,$A3-1,OFFSET(貼り付け2!$A$1,ROW()-1,MATCH(T$1,貼り付け2!$1:$1,0)-1)-2)=OFFSET(貼り付け2!$A$1,$A3-1,OFFSET(貼り付け2!$A$1,ROW()-1,MATCH(T$1,貼り付け2!$1:$1,0)-1)-1)),
OFFSET(貼り付け2!$A$1,$A3-1,OFFSET(貼り付け2!$A$1,ROW()-1,MATCH(T$1,貼り付け2!$1:$1,0)-1)-2)&amp;"・"&amp;OFFSET(貼り付け2!$A$1,$A3-1,OFFSET(貼り付け2!$A$1,ROW()-1,MATCH(T$1,貼り付け2!$1:$1,0)-1)-1),),"")</f>
        <v/>
      </c>
      <c r="U3" t="e">
        <f ca="1">OFFSET(貼り付け1!$A$1,貼り付け1!$G2-1,3)</f>
        <v>#REF!</v>
      </c>
      <c r="V3" t="e">
        <f ca="1">OFFSET(貼り付け1!$A$1,貼り付け1!$F2-1,3)</f>
        <v>#REF!</v>
      </c>
      <c r="W3" t="str">
        <f ca="1">IFERROR(OFFSET(貼り付け2!$A$1,まとめ!$B3-1,OFFSET(貼り付け2!$A$1,ROW()-1,MATCH(W$1,貼り付け2!$1:$1,0)-1)-1),"")</f>
        <v/>
      </c>
    </row>
    <row r="4" spans="1:23" x14ac:dyDescent="0.45">
      <c r="A4" t="str">
        <f>貼り付け2!S4</f>
        <v/>
      </c>
      <c r="B4" t="str">
        <f>貼り付け2!R4</f>
        <v/>
      </c>
      <c r="C4" t="e">
        <f t="shared" ca="1" si="1"/>
        <v>#VALUE!</v>
      </c>
      <c r="D4" t="str">
        <f ca="1">IF(OFFSET(貼り付け2!$A$1,ROW()-1,MATCH(D$1,貼り付け2!$1:$1,0)-1)=2,
OFFSET(貼り付け2!$A$1,A4-2,OFFSET(貼り付け2!$A$1,ROW()-1,MATCH(D$1,貼り付け2!$1:$1,0)-1)-2)
&amp;OFFSET(貼り付け2!$A$1,A4-2,OFFSET(貼り付け2!$A$1,ROW()-1,MATCH(D$1,貼り付け2!$1:$1,0)-1)-1),
IF(OFFSET(貼り付け2!$A$1,ROW()-1,MATCH(D$1,貼り付け2!$1:$1,0)-1)=3,
OFFSET(貼り付け2!$A$1,A4-2,OFFSET(貼り付け2!$A$1,ROW()-1,MATCH(D$1,貼り付け2!$1:$1,0)-1)-3)
&amp;OFFSET(貼り付け2!$A$1,A4-2,OFFSET(貼り付け2!$A$1,ROW()-1,MATCH(D$1,貼り付け2!$1:$1,0)-1)-2)
&amp;OFFSET(貼り付け2!$A$1,A4-2,OFFSET(貼り付け2!$A$1,ROW()-1,MATCH(D$1,貼り付け2!$1:$1,0)-1)-1),""))</f>
        <v/>
      </c>
      <c r="E4" t="str">
        <f ca="1">IF(OFFSET(貼り付け2!$A$1,ROW()-1,MATCH(E$1,貼り付け2!$1:$1,0)-1)=2,
OFFSET(貼り付け2!$A$1,$A4-1,OFFSET(貼り付け2!$A$1,ROW()-1,MATCH(E$1,貼り付け2!$1:$1,0)-1)-2)&amp;"・"&amp;OFFSET(貼り付け2!$A$1,$A4-1,OFFSET(貼り付け2!$A$1,ROW()-1,MATCH(E$1,貼り付け2!$1:$1,0)-1)-1),
IF(OFFSET(貼り付け2!$A$1,ROW()-1,MATCH(E$1,貼り付け2!$1:$1,0)-1)=1,
OFFSET(貼り付け2!$A$1,$A4-1,OFFSET(貼り付け2!$A$1,ROW()-1,MATCH(E$1,貼り付け2!$1:$1,0)-1)-1),""))</f>
        <v/>
      </c>
      <c r="F4" t="e">
        <f ca="1">OFFSET(貼り付け1!$A$1,貼り付け1!$G3-1,0)</f>
        <v>#REF!</v>
      </c>
      <c r="G4" t="e">
        <f ca="1">OFFSET(貼り付け1!$A$1,貼り付け1!$F3-1,0)</f>
        <v>#REF!</v>
      </c>
      <c r="H4" t="str">
        <f ca="1">IFERROR(OFFSET(貼り付け2!$A$1,まとめ!$B4-1,OFFSET(貼り付け2!$A$1,ROW()-1,MATCH(H$1,貼り付け2!$1:$1,0)-1)-1),"")</f>
        <v/>
      </c>
      <c r="I4" t="e">
        <f ca="1">IF((OFFSET(貼り付け2!$A$1,ROW()-1,MATCH(I$1,貼り付け2!$1:$1,0)-1)-OFFSET(貼り付け2!$A$1,ROW()-1,MATCH(D$1,貼り付け2!$1:$1,0)-1))=2,
OFFSET(貼り付け2!$A$1,$A4-2,OFFSET(貼り付け2!$A$1,ROW()-1,MATCH(I$1,貼り付け2!$1:$1,0)-1)-2)
&amp;OFFSET(貼り付け2!$A$1,$A4-2,OFFSET(貼り付け2!$A$1,ROW()-1,MATCH(I$1,貼り付け2!$1:$1,0)-1)-1),
IF((OFFSET(貼り付け2!$A$1,ROW()-1,MATCH(I$1,貼り付け2!$1:$1,0)-1)-OFFSET(貼り付け2!$A$1,ROW()-1,MATCH(D$1,貼り付け2!$1:$1,0)-1))=3,
OFFSET(貼り付け2!$A$1,$A4-2,OFFSET(貼り付け2!$A$1,ROW()-1,MATCH(I$1,貼り付け2!$1:$1,0)-1)-3)
&amp;OFFSET(貼り付け2!$A$1,$A4-2,OFFSET(貼り付け2!$A$1,ROW()-1,MATCH(I$1,貼り付け2!$1:$1,0)-1)-2)
&amp;OFFSET(貼り付け2!$A$1,$A4-2,OFFSET(貼り付け2!$A$1,ROW()-1,MATCH(I$1,貼り付け2!$1:$1,0)-1)-1),""))</f>
        <v>#VALUE!</v>
      </c>
      <c r="J4" t="str">
        <f ca="1">IFERROR(
IF(OR(OFFSET(貼り付け2!$A$1,$A4-1,OFFSET(貼り付け2!$A$1,ROW()-1,MATCH(J$1,貼り付け2!$1:$1,0)-1)-2)&lt;&gt;"",OFFSET(貼り付け2!$A$1,$A4-1,OFFSET(貼り付け2!$A$1,ROW()-1,MATCH(J$1,貼り付け2!$1:$1,0)-1)-2)=OFFSET(貼り付け2!$A$1,$A4-1,OFFSET(貼り付け2!$A$1,ROW()-1,MATCH(J$1,貼り付け2!$1:$1,0)-1)-1)),
OFFSET(貼り付け2!$A$1,$A4-1,OFFSET(貼り付け2!$A$1,ROW()-1,MATCH(J$1,貼り付け2!$1:$1,0)-1)-2)&amp;"・"&amp;OFFSET(貼り付け2!$A$1,$A4-1,OFFSET(貼り付け2!$A$1,ROW()-1,MATCH(J$1,貼り付け2!$1:$1,0)-1)-1),),"")</f>
        <v/>
      </c>
      <c r="K4" t="e">
        <f ca="1">OFFSET(貼り付け1!$A$1,貼り付け1!$G3-1,1)</f>
        <v>#REF!</v>
      </c>
      <c r="L4" t="e">
        <f ca="1">OFFSET(貼り付け1!$A$1,貼り付け1!$F3-1,1)</f>
        <v>#REF!</v>
      </c>
      <c r="M4" t="str">
        <f ca="1">IFERROR(OFFSET(貼り付け2!$A$1,まとめ!$B4-1,OFFSET(貼り付け2!$A$1,ROW()-1,MATCH(M$1,貼り付け2!$1:$1,0)-1)-1),"")</f>
        <v/>
      </c>
      <c r="N4" t="str">
        <f ca="1">IF(OFFSET(貼り付け2!$A$1,ROW()-1,MATCH(N$1,貼り付け2!$1:$1,0)-1)&lt;&gt;"",
IF($C4=TRUE,
IF((OFFSET(貼り付け2!$A$1,ROW()-1,MATCH(N$1,貼り付け2!$1:$1,0)-1)-OFFSET(貼り付け2!$A$1,ROW()-1,MATCH(I$1,貼り付け2!$1:$1,0)-1))=2,
OFFSET(貼り付け2!$A$1,$A4-4,OFFSET(貼り付け2!$A$1,ROW()-1,MATCH(N$1,貼り付け2!$1:$1,0)-1)-2)
&amp;OFFSET(貼り付け2!$A$1,$A4-4,OFFSET(貼り付け2!$A$1,ROW()-1,MATCH(N$1,貼り付け2!$1:$1,0)-1)-1),
IF((OFFSET(貼り付け2!$A$1,ROW()-1,MATCH(N$1,貼り付け2!$1:$1,0)-1)-OFFSET(貼り付け2!$A$1,ROW()-1,MATCH(I$1,貼り付け2!$1:$1,0)-1))=3,
OFFSET(貼り付け2!$A$1,$A4-4,OFFSET(貼り付け2!$A$1,ROW()-1,MATCH(N$1,貼り付け2!$1:$1,0)-1)-3)
&amp;OFFSET(貼り付け2!$A$1,$A4-4,OFFSET(貼り付け2!$A$1,ROW()-1,MATCH(N$1,貼り付け2!$1:$1,0)-1)-2)
&amp;OFFSET(貼り付け2!$A$1,$A4-4,OFFSET(貼り付け2!$A$1,ROW()-1,MATCH(N$1,貼り付け2!$1:$1,0)-1)-1),"")),
IF((OFFSET(貼り付け2!$A$1,ROW()-1,MATCH(N$1,貼り付け2!$1:$1,0)-1)-OFFSET(貼り付け2!$A$1,ROW()-1,MATCH(I$1,貼り付け2!$1:$1,0)-1))=2,
OFFSET(貼り付け2!$A$1,$A4-2,OFFSET(貼り付け2!$A$1,ROW()-1,MATCH(N$1,貼り付け2!$1:$1,0)-1)-2)
&amp;OFFSET(貼り付け2!$A$1,$A4-2,OFFSET(貼り付け2!$A$1,ROW()-1,MATCH(N$1,貼り付け2!$1:$1,0)-1)-1),
IF((OFFSET(貼り付け2!$A$1,ROW()-1,MATCH(N$1,貼り付け2!$1:$1,0)-1)-OFFSET(貼り付け2!$A$1,ROW()-1,MATCH(I$1,貼り付け2!$1:$1,0)-1))=3,
OFFSET(貼り付け2!$A$1,$A4-2,OFFSET(貼り付け2!$A$1,ROW()-1,MATCH(N$1,貼り付け2!$1:$1,0)-1)-3)
&amp;OFFSET(貼り付け2!$A$1,$A4-2,OFFSET(貼り付け2!$A$1,ROW()-1,MATCH(N$1,貼り付け2!$1:$1,0)-1)-2)
&amp;OFFSET(貼り付け2!$A$1,$A4-2,OFFSET(貼り付け2!$A$1,ROW()-1,MATCH(N$1,貼り付け2!$1:$1,0)-1)-1),""))),
IF(OFFSET(貼り付け2!$A$1,ROW()-1,MATCH(N$1,貼り付け2!$1:$1,0)+1)=2,
OFFSET(貼り付け2!$A$1,$A4-3,OFFSET(貼り付け2!$A$1,ROW()-1,MATCH(N$1,貼り付け2!$1:$1,0)+1)-2)
&amp;OFFSET(貼り付け2!$A$1,$A4-3,OFFSET(貼り付け2!$A$1,ROW()-1,MATCH(N$1,貼り付け2!$1:$1,0)+1)-1),
IF(OFFSET(貼り付け2!$A$1,ROW()-1,MATCH(N$1,貼り付け2!$1:$1,0)+1)=3,
OFFSET(貼り付け2!$A$1,$A4-3,OFFSET(貼り付け2!$A$1,ROW()-1,MATCH(N$1,貼り付け2!$1:$1,0)+1)-3)
&amp;OFFSET(貼り付け2!$A$1,$A4-3,OFFSET(貼り付け2!$A$1,ROW()-1,MATCH(N$1,貼り付け2!$1:$1,0)+1)-2)
&amp;OFFSET(貼り付け2!$A$1,$A4-3,OFFSET(貼り付け2!$A$1,ROW()-1,MATCH(N$1,貼り付け2!$1:$1,0)+1)-1),"")))</f>
        <v/>
      </c>
      <c r="O4" t="str">
        <f ca="1">IFERROR(
IF(OR(OFFSET(貼り付け2!$A$1,$A4-1,OFFSET(貼り付け2!$A$1,ROW()-1,MATCH(O$1,貼り付け2!$1:$1,0)-1)-2)&lt;&gt;"",OFFSET(貼り付け2!$A$1,$A4-1,OFFSET(貼り付け2!$A$1,ROW()-1,MATCH(O$1,貼り付け2!$1:$1,0)-1)-2)=OFFSET(貼り付け2!$A$1,$A4-1,OFFSET(貼り付け2!$A$1,ROW()-1,MATCH(O$1,貼り付け2!$1:$1,0)-1)-1)),
OFFSET(貼り付け2!$A$1,$A4-1,OFFSET(貼り付け2!$A$1,ROW()-1,MATCH(O$1,貼り付け2!$1:$1,0)-1)-2)&amp;"・"&amp;OFFSET(貼り付け2!$A$1,$A4-1,OFFSET(貼り付け2!$A$1,ROW()-1,MATCH(O$1,貼り付け2!$1:$1,0)-1)-1),),"")</f>
        <v/>
      </c>
      <c r="P4" t="e">
        <f ca="1">OFFSET(貼り付け1!$A$1,貼り付け1!$G3-1,2)</f>
        <v>#REF!</v>
      </c>
      <c r="Q4" t="e">
        <f ca="1">OFFSET(貼り付け1!$A$1,貼り付け1!$F3-1,2)</f>
        <v>#REF!</v>
      </c>
      <c r="R4" t="str">
        <f ca="1">IFERROR(OFFSET(貼り付け2!$A$1,まとめ!$B4-1,OFFSET(貼り付け2!$A$1,ROW()-1,MATCH(R$1,貼り付け2!$1:$1,0)-1)-1),"")</f>
        <v/>
      </c>
      <c r="S4" t="str">
        <f ca="1">IF(OFFSET(貼り付け2!$A$1,ROW()-1,MATCH(S$1,貼り付け2!$1:$1,0)-1)&lt;&gt;"",
IF($C4=TRUE,
IF((OFFSET(貼り付け2!$A$1,ROW()-1,MATCH(S$1,貼り付け2!$1:$1,0)-1)-OFFSET(貼り付け2!$A$1,ROW()-1,MATCH(N$1,貼り付け2!$1:$1,0)-1))=2,
OFFSET(貼り付け2!$A$1,$A4-4,OFFSET(貼り付け2!$A$1,ROW()-1,MATCH(S$1,貼り付け2!$1:$1,0)-1)-2)
&amp;OFFSET(貼り付け2!$A$1,$A4-4,OFFSET(貼り付け2!$A$1,ROW()-1,MATCH(S$1,貼り付け2!$1:$1,0)-1)-1),
IF((OFFSET(貼り付け2!$A$1,ROW()-1,MATCH(S$1,貼り付け2!$1:$1,0)-1)-OFFSET(貼り付け2!$A$1,ROW()-1,MATCH(N$1,貼り付け2!$1:$1,0)-1))=3,
OFFSET(貼り付け2!$A$1,$A4-4,OFFSET(貼り付け2!$A$1,ROW()-1,MATCH(S$1,貼り付け2!$1:$1,0)-1)-3)
&amp;OFFSET(貼り付け2!$A$1,$A4-4,OFFSET(貼り付け2!$A$1,ROW()-1,MATCH(S$1,貼り付け2!$1:$1,0)-1)-2)
&amp;OFFSET(貼り付け2!$A$1,$A4-4,OFFSET(貼り付け2!$A$1,ROW()-1,MATCH(S$1,貼り付け2!$1:$1,0)-1)-1),"")),
IF((OFFSET(貼り付け2!$A$1,ROW()-1,MATCH(S$1,貼り付け2!$1:$1,0)-1)-OFFSET(貼り付け2!$A$1,ROW()-1,MATCH(N$1,貼り付け2!$1:$1,0)-1))=2,
OFFSET(貼り付け2!$A$1,$A4-2,OFFSET(貼り付け2!$A$1,ROW()-1,MATCH(S$1,貼り付け2!$1:$1,0)-1)-2)
&amp;OFFSET(貼り付け2!$A$1,$A4-2,OFFSET(貼り付け2!$A$1,ROW()-1,MATCH(S$1,貼り付け2!$1:$1,0)-1)-1),
IF((OFFSET(貼り付け2!$A$1,ROW()-1,MATCH(S$1,貼り付け2!$1:$1,0)-1)-OFFSET(貼り付け2!$A$1,ROW()-1,MATCH(N$1,貼り付け2!$1:$1,0)-1))=3,
OFFSET(貼り付け2!$A$1,$A4-2,OFFSET(貼り付け2!$A$1,ROW()-1,MATCH(S$1,貼り付け2!$1:$1,0)-1)-3)
&amp;OFFSET(貼り付け2!$A$1,$A4-2,OFFSET(貼り付け2!$A$1,ROW()-1,MATCH(S$1,貼り付け2!$1:$1,0)-1)-2)
&amp;OFFSET(貼り付け2!$A$1,$A4-2,OFFSET(貼り付け2!$A$1,ROW()-1,MATCH(S$1,貼り付け2!$1:$1,0)-1)-1),""))),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OFFSET(貼り付け2!$A$1,$A4-3,OFFSET(貼り付け2!$A$1,ROW()-1,MATCH(S$1,貼り付け2!$1:$1,0)+1)-2)
&amp;OFFSET(貼り付け2!$A$1,$A4-3,OFFSET(貼り付け2!$A$1,ROW()-1,MATCH(S$1,貼り付け2!$1:$1,0)+1)-1),
IF(OFFSET(貼り付け2!$A$1,ROW()-1,MATCH(S$1,貼り付け2!$1:$1,0)+1)-OFFSET(貼り付け2!$A$1,ROW()-1,MATCH(N$1,貼り付け2!$1:$1,0)+1)=3,
OFFSET(貼り付け2!$A$1,$A4-3,OFFSET(貼り付け2!$A$1,ROW()-1,MATCH(S$1,貼り付け2!$1:$1,0)+1)-3)
&amp;OFFSET(貼り付け2!$A$1,$A4-3,OFFSET(貼り付け2!$A$1,ROW()-1,MATCH(S$1,貼り付け2!$1:$1,0)+1)-2)
&amp;OFFSET(貼り付け2!$A$1,$A4-3,OFFSET(貼り付け2!$A$1,ROW()-1,MATCH(S$1,貼り付け2!$1:$1,0)+1)-1),"")),
IF(OFFSET(貼り付け2!$A$1,ROW()-1,MATCH(S$1,貼り付け2!$1:$1,0)+1)=2,
OFFSET(貼り付け2!$A$1,$A4-3,OFFSET(貼り付け2!$A$1,ROW()-1,MATCH(S$1,貼り付け2!$1:$1,0)+1)-2)
&amp;OFFSET(貼り付け2!$A$1,$A4-3,OFFSET(貼り付け2!$A$1,ROW()-1,MATCH(S$1,貼り付け2!$1:$1,0)+1)-1),
IF(OFFSET(貼り付け2!$A$1,ROW()-1,MATCH(S$1,貼り付け2!$1:$1,0)+1)=3,
OFFSET(貼り付け2!$A$1,$A4-3,OFFSET(貼り付け2!$A$1,ROW()-1,MATCH(S$1,貼り付け2!$1:$1,0)+1)-3)
&amp;OFFSET(貼り付け2!$A$1,$A4-3,OFFSET(貼り付け2!$A$1,ROW()-1,MATCH(S$1,貼り付け2!$1:$1,0)+1)-2)
&amp;OFFSET(貼り付け2!$A$1,$A4-3,OFFSET(貼り付け2!$A$1,ROW()-1,MATCH(S$1,貼り付け2!$1:$1,0)+1)-1),""))))</f>
        <v/>
      </c>
      <c r="T4" t="str">
        <f ca="1">IFERROR(
IF(OR(OFFSET(貼り付け2!$A$1,$A4-1,OFFSET(貼り付け2!$A$1,ROW()-1,MATCH(T$1,貼り付け2!$1:$1,0)-1)-2)&lt;&gt;"",OFFSET(貼り付け2!$A$1,$A4-1,OFFSET(貼り付け2!$A$1,ROW()-1,MATCH(T$1,貼り付け2!$1:$1,0)-1)-2)=OFFSET(貼り付け2!$A$1,$A4-1,OFFSET(貼り付け2!$A$1,ROW()-1,MATCH(T$1,貼り付け2!$1:$1,0)-1)-1)),
OFFSET(貼り付け2!$A$1,$A4-1,OFFSET(貼り付け2!$A$1,ROW()-1,MATCH(T$1,貼り付け2!$1:$1,0)-1)-2)&amp;"・"&amp;OFFSET(貼り付け2!$A$1,$A4-1,OFFSET(貼り付け2!$A$1,ROW()-1,MATCH(T$1,貼り付け2!$1:$1,0)-1)-1),),"")</f>
        <v/>
      </c>
      <c r="U4" t="e">
        <f ca="1">OFFSET(貼り付け1!$A$1,貼り付け1!$G3-1,3)</f>
        <v>#REF!</v>
      </c>
      <c r="V4" t="e">
        <f ca="1">OFFSET(貼り付け1!$A$1,貼り付け1!$F3-1,3)</f>
        <v>#REF!</v>
      </c>
      <c r="W4" t="str">
        <f ca="1">IFERROR(OFFSET(貼り付け2!$A$1,まとめ!$B4-1,OFFSET(貼り付け2!$A$1,ROW()-1,MATCH(W$1,貼り付け2!$1:$1,0)-1)-1),"")</f>
        <v/>
      </c>
    </row>
    <row r="5" spans="1:23" x14ac:dyDescent="0.45">
      <c r="A5" t="str">
        <f>貼り付け2!S5</f>
        <v/>
      </c>
      <c r="B5" t="str">
        <f>貼り付け2!R5</f>
        <v/>
      </c>
      <c r="C5" t="e">
        <f t="shared" ca="1" si="1"/>
        <v>#VALUE!</v>
      </c>
      <c r="D5" t="str">
        <f ca="1">IF(OFFSET(貼り付け2!$A$1,ROW()-1,MATCH(D$1,貼り付け2!$1:$1,0)-1)=2,
OFFSET(貼り付け2!$A$1,A5-2,OFFSET(貼り付け2!$A$1,ROW()-1,MATCH(D$1,貼り付け2!$1:$1,0)-1)-2)
&amp;OFFSET(貼り付け2!$A$1,A5-2,OFFSET(貼り付け2!$A$1,ROW()-1,MATCH(D$1,貼り付け2!$1:$1,0)-1)-1),
IF(OFFSET(貼り付け2!$A$1,ROW()-1,MATCH(D$1,貼り付け2!$1:$1,0)-1)=3,
OFFSET(貼り付け2!$A$1,A5-2,OFFSET(貼り付け2!$A$1,ROW()-1,MATCH(D$1,貼り付け2!$1:$1,0)-1)-3)
&amp;OFFSET(貼り付け2!$A$1,A5-2,OFFSET(貼り付け2!$A$1,ROW()-1,MATCH(D$1,貼り付け2!$1:$1,0)-1)-2)
&amp;OFFSET(貼り付け2!$A$1,A5-2,OFFSET(貼り付け2!$A$1,ROW()-1,MATCH(D$1,貼り付け2!$1:$1,0)-1)-1),""))</f>
        <v/>
      </c>
      <c r="E5" t="str">
        <f ca="1">IF(OFFSET(貼り付け2!$A$1,ROW()-1,MATCH(E$1,貼り付け2!$1:$1,0)-1)=2,
OFFSET(貼り付け2!$A$1,$A5-1,OFFSET(貼り付け2!$A$1,ROW()-1,MATCH(E$1,貼り付け2!$1:$1,0)-1)-2)&amp;"・"&amp;OFFSET(貼り付け2!$A$1,$A5-1,OFFSET(貼り付け2!$A$1,ROW()-1,MATCH(E$1,貼り付け2!$1:$1,0)-1)-1),
IF(OFFSET(貼り付け2!$A$1,ROW()-1,MATCH(E$1,貼り付け2!$1:$1,0)-1)=1,
OFFSET(貼り付け2!$A$1,$A5-1,OFFSET(貼り付け2!$A$1,ROW()-1,MATCH(E$1,貼り付け2!$1:$1,0)-1)-1),""))</f>
        <v/>
      </c>
      <c r="F5" t="e">
        <f ca="1">OFFSET(貼り付け1!$A$1,貼り付け1!$G4-1,0)</f>
        <v>#REF!</v>
      </c>
      <c r="G5" t="e">
        <f ca="1">OFFSET(貼り付け1!$A$1,貼り付け1!$F4-1,0)</f>
        <v>#REF!</v>
      </c>
      <c r="H5" t="str">
        <f ca="1">IFERROR(OFFSET(貼り付け2!$A$1,まとめ!$B5-1,OFFSET(貼り付け2!$A$1,ROW()-1,MATCH(H$1,貼り付け2!$1:$1,0)-1)-1),"")</f>
        <v/>
      </c>
      <c r="I5" t="e">
        <f ca="1">IF((OFFSET(貼り付け2!$A$1,ROW()-1,MATCH(I$1,貼り付け2!$1:$1,0)-1)-OFFSET(貼り付け2!$A$1,ROW()-1,MATCH(D$1,貼り付け2!$1:$1,0)-1))=2,
OFFSET(貼り付け2!$A$1,$A5-2,OFFSET(貼り付け2!$A$1,ROW()-1,MATCH(I$1,貼り付け2!$1:$1,0)-1)-2)
&amp;OFFSET(貼り付け2!$A$1,$A5-2,OFFSET(貼り付け2!$A$1,ROW()-1,MATCH(I$1,貼り付け2!$1:$1,0)-1)-1),
IF((OFFSET(貼り付け2!$A$1,ROW()-1,MATCH(I$1,貼り付け2!$1:$1,0)-1)-OFFSET(貼り付け2!$A$1,ROW()-1,MATCH(D$1,貼り付け2!$1:$1,0)-1))=3,
OFFSET(貼り付け2!$A$1,$A5-2,OFFSET(貼り付け2!$A$1,ROW()-1,MATCH(I$1,貼り付け2!$1:$1,0)-1)-3)
&amp;OFFSET(貼り付け2!$A$1,$A5-2,OFFSET(貼り付け2!$A$1,ROW()-1,MATCH(I$1,貼り付け2!$1:$1,0)-1)-2)
&amp;OFFSET(貼り付け2!$A$1,$A5-2,OFFSET(貼り付け2!$A$1,ROW()-1,MATCH(I$1,貼り付け2!$1:$1,0)-1)-1),""))</f>
        <v>#VALUE!</v>
      </c>
      <c r="J5" t="str">
        <f ca="1">IFERROR(
IF(OR(OFFSET(貼り付け2!$A$1,$A5-1,OFFSET(貼り付け2!$A$1,ROW()-1,MATCH(J$1,貼り付け2!$1:$1,0)-1)-2)&lt;&gt;"",OFFSET(貼り付け2!$A$1,$A5-1,OFFSET(貼り付け2!$A$1,ROW()-1,MATCH(J$1,貼り付け2!$1:$1,0)-1)-2)=OFFSET(貼り付け2!$A$1,$A5-1,OFFSET(貼り付け2!$A$1,ROW()-1,MATCH(J$1,貼り付け2!$1:$1,0)-1)-1)),
OFFSET(貼り付け2!$A$1,$A5-1,OFFSET(貼り付け2!$A$1,ROW()-1,MATCH(J$1,貼り付け2!$1:$1,0)-1)-2)&amp;"・"&amp;OFFSET(貼り付け2!$A$1,$A5-1,OFFSET(貼り付け2!$A$1,ROW()-1,MATCH(J$1,貼り付け2!$1:$1,0)-1)-1),),"")</f>
        <v/>
      </c>
      <c r="K5" t="e">
        <f ca="1">OFFSET(貼り付け1!$A$1,貼り付け1!$G4-1,1)</f>
        <v>#REF!</v>
      </c>
      <c r="L5" t="e">
        <f ca="1">OFFSET(貼り付け1!$A$1,貼り付け1!$F4-1,1)</f>
        <v>#REF!</v>
      </c>
      <c r="M5" t="str">
        <f ca="1">IFERROR(OFFSET(貼り付け2!$A$1,まとめ!$B5-1,OFFSET(貼り付け2!$A$1,ROW()-1,MATCH(M$1,貼り付け2!$1:$1,0)-1)-1),"")</f>
        <v/>
      </c>
      <c r="N5" t="str">
        <f ca="1">IF(OFFSET(貼り付け2!$A$1,ROW()-1,MATCH(N$1,貼り付け2!$1:$1,0)-1)&lt;&gt;"",
IF($C5=TRUE,
IF((OFFSET(貼り付け2!$A$1,ROW()-1,MATCH(N$1,貼り付け2!$1:$1,0)-1)-OFFSET(貼り付け2!$A$1,ROW()-1,MATCH(I$1,貼り付け2!$1:$1,0)-1))=2,
OFFSET(貼り付け2!$A$1,$A5-4,OFFSET(貼り付け2!$A$1,ROW()-1,MATCH(N$1,貼り付け2!$1:$1,0)-1)-2)
&amp;OFFSET(貼り付け2!$A$1,$A5-4,OFFSET(貼り付け2!$A$1,ROW()-1,MATCH(N$1,貼り付け2!$1:$1,0)-1)-1),
IF((OFFSET(貼り付け2!$A$1,ROW()-1,MATCH(N$1,貼り付け2!$1:$1,0)-1)-OFFSET(貼り付け2!$A$1,ROW()-1,MATCH(I$1,貼り付け2!$1:$1,0)-1))=3,
OFFSET(貼り付け2!$A$1,$A5-4,OFFSET(貼り付け2!$A$1,ROW()-1,MATCH(N$1,貼り付け2!$1:$1,0)-1)-3)
&amp;OFFSET(貼り付け2!$A$1,$A5-4,OFFSET(貼り付け2!$A$1,ROW()-1,MATCH(N$1,貼り付け2!$1:$1,0)-1)-2)
&amp;OFFSET(貼り付け2!$A$1,$A5-4,OFFSET(貼り付け2!$A$1,ROW()-1,MATCH(N$1,貼り付け2!$1:$1,0)-1)-1),"")),
IF((OFFSET(貼り付け2!$A$1,ROW()-1,MATCH(N$1,貼り付け2!$1:$1,0)-1)-OFFSET(貼り付け2!$A$1,ROW()-1,MATCH(I$1,貼り付け2!$1:$1,0)-1))=2,
OFFSET(貼り付け2!$A$1,$A5-2,OFFSET(貼り付け2!$A$1,ROW()-1,MATCH(N$1,貼り付け2!$1:$1,0)-1)-2)
&amp;OFFSET(貼り付け2!$A$1,$A5-2,OFFSET(貼り付け2!$A$1,ROW()-1,MATCH(N$1,貼り付け2!$1:$1,0)-1)-1),
IF((OFFSET(貼り付け2!$A$1,ROW()-1,MATCH(N$1,貼り付け2!$1:$1,0)-1)-OFFSET(貼り付け2!$A$1,ROW()-1,MATCH(I$1,貼り付け2!$1:$1,0)-1))=3,
OFFSET(貼り付け2!$A$1,$A5-2,OFFSET(貼り付け2!$A$1,ROW()-1,MATCH(N$1,貼り付け2!$1:$1,0)-1)-3)
&amp;OFFSET(貼り付け2!$A$1,$A5-2,OFFSET(貼り付け2!$A$1,ROW()-1,MATCH(N$1,貼り付け2!$1:$1,0)-1)-2)
&amp;OFFSET(貼り付け2!$A$1,$A5-2,OFFSET(貼り付け2!$A$1,ROW()-1,MATCH(N$1,貼り付け2!$1:$1,0)-1)-1),""))),
IF(OFFSET(貼り付け2!$A$1,ROW()-1,MATCH(N$1,貼り付け2!$1:$1,0)+1)=2,
OFFSET(貼り付け2!$A$1,$A5-3,OFFSET(貼り付け2!$A$1,ROW()-1,MATCH(N$1,貼り付け2!$1:$1,0)+1)-2)
&amp;OFFSET(貼り付け2!$A$1,$A5-3,OFFSET(貼り付け2!$A$1,ROW()-1,MATCH(N$1,貼り付け2!$1:$1,0)+1)-1),
IF(OFFSET(貼り付け2!$A$1,ROW()-1,MATCH(N$1,貼り付け2!$1:$1,0)+1)=3,
OFFSET(貼り付け2!$A$1,$A5-3,OFFSET(貼り付け2!$A$1,ROW()-1,MATCH(N$1,貼り付け2!$1:$1,0)+1)-3)
&amp;OFFSET(貼り付け2!$A$1,$A5-3,OFFSET(貼り付け2!$A$1,ROW()-1,MATCH(N$1,貼り付け2!$1:$1,0)+1)-2)
&amp;OFFSET(貼り付け2!$A$1,$A5-3,OFFSET(貼り付け2!$A$1,ROW()-1,MATCH(N$1,貼り付け2!$1:$1,0)+1)-1),"")))</f>
        <v/>
      </c>
      <c r="O5" t="str">
        <f ca="1">IFERROR(
IF(OR(OFFSET(貼り付け2!$A$1,$A5-1,OFFSET(貼り付け2!$A$1,ROW()-1,MATCH(O$1,貼り付け2!$1:$1,0)-1)-2)&lt;&gt;"",OFFSET(貼り付け2!$A$1,$A5-1,OFFSET(貼り付け2!$A$1,ROW()-1,MATCH(O$1,貼り付け2!$1:$1,0)-1)-2)=OFFSET(貼り付け2!$A$1,$A5-1,OFFSET(貼り付け2!$A$1,ROW()-1,MATCH(O$1,貼り付け2!$1:$1,0)-1)-1)),
OFFSET(貼り付け2!$A$1,$A5-1,OFFSET(貼り付け2!$A$1,ROW()-1,MATCH(O$1,貼り付け2!$1:$1,0)-1)-2)&amp;"・"&amp;OFFSET(貼り付け2!$A$1,$A5-1,OFFSET(貼り付け2!$A$1,ROW()-1,MATCH(O$1,貼り付け2!$1:$1,0)-1)-1),),"")</f>
        <v/>
      </c>
      <c r="P5" t="e">
        <f ca="1">OFFSET(貼り付け1!$A$1,貼り付け1!$G4-1,2)</f>
        <v>#REF!</v>
      </c>
      <c r="Q5" t="e">
        <f ca="1">OFFSET(貼り付け1!$A$1,貼り付け1!$F4-1,2)</f>
        <v>#REF!</v>
      </c>
      <c r="R5" t="str">
        <f ca="1">IFERROR(OFFSET(貼り付け2!$A$1,まとめ!$B5-1,OFFSET(貼り付け2!$A$1,ROW()-1,MATCH(R$1,貼り付け2!$1:$1,0)-1)-1),"")</f>
        <v/>
      </c>
      <c r="S5" t="str">
        <f ca="1">IF(OFFSET(貼り付け2!$A$1,ROW()-1,MATCH(S$1,貼り付け2!$1:$1,0)-1)&lt;&gt;"",
IF($C5=TRUE,
IF((OFFSET(貼り付け2!$A$1,ROW()-1,MATCH(S$1,貼り付け2!$1:$1,0)-1)-OFFSET(貼り付け2!$A$1,ROW()-1,MATCH(N$1,貼り付け2!$1:$1,0)-1))=2,
OFFSET(貼り付け2!$A$1,$A5-4,OFFSET(貼り付け2!$A$1,ROW()-1,MATCH(S$1,貼り付け2!$1:$1,0)-1)-2)
&amp;OFFSET(貼り付け2!$A$1,$A5-4,OFFSET(貼り付け2!$A$1,ROW()-1,MATCH(S$1,貼り付け2!$1:$1,0)-1)-1),
IF((OFFSET(貼り付け2!$A$1,ROW()-1,MATCH(S$1,貼り付け2!$1:$1,0)-1)-OFFSET(貼り付け2!$A$1,ROW()-1,MATCH(N$1,貼り付け2!$1:$1,0)-1))=3,
OFFSET(貼り付け2!$A$1,$A5-4,OFFSET(貼り付け2!$A$1,ROW()-1,MATCH(S$1,貼り付け2!$1:$1,0)-1)-3)
&amp;OFFSET(貼り付け2!$A$1,$A5-4,OFFSET(貼り付け2!$A$1,ROW()-1,MATCH(S$1,貼り付け2!$1:$1,0)-1)-2)
&amp;OFFSET(貼り付け2!$A$1,$A5-4,OFFSET(貼り付け2!$A$1,ROW()-1,MATCH(S$1,貼り付け2!$1:$1,0)-1)-1),"")),
IF((OFFSET(貼り付け2!$A$1,ROW()-1,MATCH(S$1,貼り付け2!$1:$1,0)-1)-OFFSET(貼り付け2!$A$1,ROW()-1,MATCH(N$1,貼り付け2!$1:$1,0)-1))=2,
OFFSET(貼り付け2!$A$1,$A5-2,OFFSET(貼り付け2!$A$1,ROW()-1,MATCH(S$1,貼り付け2!$1:$1,0)-1)-2)
&amp;OFFSET(貼り付け2!$A$1,$A5-2,OFFSET(貼り付け2!$A$1,ROW()-1,MATCH(S$1,貼り付け2!$1:$1,0)-1)-1),
IF((OFFSET(貼り付け2!$A$1,ROW()-1,MATCH(S$1,貼り付け2!$1:$1,0)-1)-OFFSET(貼り付け2!$A$1,ROW()-1,MATCH(N$1,貼り付け2!$1:$1,0)-1))=3,
OFFSET(貼り付け2!$A$1,$A5-2,OFFSET(貼り付け2!$A$1,ROW()-1,MATCH(S$1,貼り付け2!$1:$1,0)-1)-3)
&amp;OFFSET(貼り付け2!$A$1,$A5-2,OFFSET(貼り付け2!$A$1,ROW()-1,MATCH(S$1,貼り付け2!$1:$1,0)-1)-2)
&amp;OFFSET(貼り付け2!$A$1,$A5-2,OFFSET(貼り付け2!$A$1,ROW()-1,MATCH(S$1,貼り付け2!$1:$1,0)-1)-1),""))),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OFFSET(貼り付け2!$A$1,$A5-3,OFFSET(貼り付け2!$A$1,ROW()-1,MATCH(S$1,貼り付け2!$1:$1,0)+1)-2)
&amp;OFFSET(貼り付け2!$A$1,$A5-3,OFFSET(貼り付け2!$A$1,ROW()-1,MATCH(S$1,貼り付け2!$1:$1,0)+1)-1),
IF(OFFSET(貼り付け2!$A$1,ROW()-1,MATCH(S$1,貼り付け2!$1:$1,0)+1)-OFFSET(貼り付け2!$A$1,ROW()-1,MATCH(N$1,貼り付け2!$1:$1,0)+1)=3,
OFFSET(貼り付け2!$A$1,$A5-3,OFFSET(貼り付け2!$A$1,ROW()-1,MATCH(S$1,貼り付け2!$1:$1,0)+1)-3)
&amp;OFFSET(貼り付け2!$A$1,$A5-3,OFFSET(貼り付け2!$A$1,ROW()-1,MATCH(S$1,貼り付け2!$1:$1,0)+1)-2)
&amp;OFFSET(貼り付け2!$A$1,$A5-3,OFFSET(貼り付け2!$A$1,ROW()-1,MATCH(S$1,貼り付け2!$1:$1,0)+1)-1),"")),
IF(OFFSET(貼り付け2!$A$1,ROW()-1,MATCH(S$1,貼り付け2!$1:$1,0)+1)=2,
OFFSET(貼り付け2!$A$1,$A5-3,OFFSET(貼り付け2!$A$1,ROW()-1,MATCH(S$1,貼り付け2!$1:$1,0)+1)-2)
&amp;OFFSET(貼り付け2!$A$1,$A5-3,OFFSET(貼り付け2!$A$1,ROW()-1,MATCH(S$1,貼り付け2!$1:$1,0)+1)-1),
IF(OFFSET(貼り付け2!$A$1,ROW()-1,MATCH(S$1,貼り付け2!$1:$1,0)+1)=3,
OFFSET(貼り付け2!$A$1,$A5-3,OFFSET(貼り付け2!$A$1,ROW()-1,MATCH(S$1,貼り付け2!$1:$1,0)+1)-3)
&amp;OFFSET(貼り付け2!$A$1,$A5-3,OFFSET(貼り付け2!$A$1,ROW()-1,MATCH(S$1,貼り付け2!$1:$1,0)+1)-2)
&amp;OFFSET(貼り付け2!$A$1,$A5-3,OFFSET(貼り付け2!$A$1,ROW()-1,MATCH(S$1,貼り付け2!$1:$1,0)+1)-1),""))))</f>
        <v/>
      </c>
      <c r="T5" t="str">
        <f ca="1">IFERROR(
IF(OR(OFFSET(貼り付け2!$A$1,$A5-1,OFFSET(貼り付け2!$A$1,ROW()-1,MATCH(T$1,貼り付け2!$1:$1,0)-1)-2)&lt;&gt;"",OFFSET(貼り付け2!$A$1,$A5-1,OFFSET(貼り付け2!$A$1,ROW()-1,MATCH(T$1,貼り付け2!$1:$1,0)-1)-2)=OFFSET(貼り付け2!$A$1,$A5-1,OFFSET(貼り付け2!$A$1,ROW()-1,MATCH(T$1,貼り付け2!$1:$1,0)-1)-1)),
OFFSET(貼り付け2!$A$1,$A5-1,OFFSET(貼り付け2!$A$1,ROW()-1,MATCH(T$1,貼り付け2!$1:$1,0)-1)-2)&amp;"・"&amp;OFFSET(貼り付け2!$A$1,$A5-1,OFFSET(貼り付け2!$A$1,ROW()-1,MATCH(T$1,貼り付け2!$1:$1,0)-1)-1),),"")</f>
        <v/>
      </c>
      <c r="U5" t="e">
        <f ca="1">OFFSET(貼り付け1!$A$1,貼り付け1!$G4-1,3)</f>
        <v>#REF!</v>
      </c>
      <c r="V5" t="e">
        <f ca="1">OFFSET(貼り付け1!$A$1,貼り付け1!$F4-1,3)</f>
        <v>#REF!</v>
      </c>
      <c r="W5" t="str">
        <f ca="1">IFERROR(OFFSET(貼り付け2!$A$1,まとめ!$B5-1,OFFSET(貼り付け2!$A$1,ROW()-1,MATCH(W$1,貼り付け2!$1:$1,0)-1)-1),"")</f>
        <v/>
      </c>
    </row>
    <row r="6" spans="1:23" x14ac:dyDescent="0.45">
      <c r="A6" t="str">
        <f>貼り付け2!S6</f>
        <v/>
      </c>
      <c r="B6" t="str">
        <f>貼り付け2!R6</f>
        <v/>
      </c>
      <c r="C6" t="e">
        <f t="shared" ca="1" si="1"/>
        <v>#VALUE!</v>
      </c>
      <c r="D6" t="str">
        <f ca="1">IF(OFFSET(貼り付け2!$A$1,ROW()-1,MATCH(D$1,貼り付け2!$1:$1,0)-1)=2,
OFFSET(貼り付け2!$A$1,A6-2,OFFSET(貼り付け2!$A$1,ROW()-1,MATCH(D$1,貼り付け2!$1:$1,0)-1)-2)
&amp;OFFSET(貼り付け2!$A$1,A6-2,OFFSET(貼り付け2!$A$1,ROW()-1,MATCH(D$1,貼り付け2!$1:$1,0)-1)-1),
IF(OFFSET(貼り付け2!$A$1,ROW()-1,MATCH(D$1,貼り付け2!$1:$1,0)-1)=3,
OFFSET(貼り付け2!$A$1,A6-2,OFFSET(貼り付け2!$A$1,ROW()-1,MATCH(D$1,貼り付け2!$1:$1,0)-1)-3)
&amp;OFFSET(貼り付け2!$A$1,A6-2,OFFSET(貼り付け2!$A$1,ROW()-1,MATCH(D$1,貼り付け2!$1:$1,0)-1)-2)
&amp;OFFSET(貼り付け2!$A$1,A6-2,OFFSET(貼り付け2!$A$1,ROW()-1,MATCH(D$1,貼り付け2!$1:$1,0)-1)-1),""))</f>
        <v/>
      </c>
      <c r="E6" t="str">
        <f ca="1">IF(OFFSET(貼り付け2!$A$1,ROW()-1,MATCH(E$1,貼り付け2!$1:$1,0)-1)=2,
OFFSET(貼り付け2!$A$1,$A6-1,OFFSET(貼り付け2!$A$1,ROW()-1,MATCH(E$1,貼り付け2!$1:$1,0)-1)-2)&amp;"・"&amp;OFFSET(貼り付け2!$A$1,$A6-1,OFFSET(貼り付け2!$A$1,ROW()-1,MATCH(E$1,貼り付け2!$1:$1,0)-1)-1),
IF(OFFSET(貼り付け2!$A$1,ROW()-1,MATCH(E$1,貼り付け2!$1:$1,0)-1)=1,
OFFSET(貼り付け2!$A$1,$A6-1,OFFSET(貼り付け2!$A$1,ROW()-1,MATCH(E$1,貼り付け2!$1:$1,0)-1)-1),""))</f>
        <v/>
      </c>
      <c r="F6" t="e">
        <f ca="1">OFFSET(貼り付け1!$A$1,貼り付け1!$G5-1,0)</f>
        <v>#REF!</v>
      </c>
      <c r="G6" t="e">
        <f ca="1">OFFSET(貼り付け1!$A$1,貼り付け1!$F5-1,0)</f>
        <v>#REF!</v>
      </c>
      <c r="H6" t="str">
        <f ca="1">IFERROR(OFFSET(貼り付け2!$A$1,まとめ!$B6-1,OFFSET(貼り付け2!$A$1,ROW()-1,MATCH(H$1,貼り付け2!$1:$1,0)-1)-1),"")</f>
        <v/>
      </c>
      <c r="I6" t="e">
        <f ca="1">IF((OFFSET(貼り付け2!$A$1,ROW()-1,MATCH(I$1,貼り付け2!$1:$1,0)-1)-OFFSET(貼り付け2!$A$1,ROW()-1,MATCH(D$1,貼り付け2!$1:$1,0)-1))=2,
OFFSET(貼り付け2!$A$1,$A6-2,OFFSET(貼り付け2!$A$1,ROW()-1,MATCH(I$1,貼り付け2!$1:$1,0)-1)-2)
&amp;OFFSET(貼り付け2!$A$1,$A6-2,OFFSET(貼り付け2!$A$1,ROW()-1,MATCH(I$1,貼り付け2!$1:$1,0)-1)-1),
IF((OFFSET(貼り付け2!$A$1,ROW()-1,MATCH(I$1,貼り付け2!$1:$1,0)-1)-OFFSET(貼り付け2!$A$1,ROW()-1,MATCH(D$1,貼り付け2!$1:$1,0)-1))=3,
OFFSET(貼り付け2!$A$1,$A6-2,OFFSET(貼り付け2!$A$1,ROW()-1,MATCH(I$1,貼り付け2!$1:$1,0)-1)-3)
&amp;OFFSET(貼り付け2!$A$1,$A6-2,OFFSET(貼り付け2!$A$1,ROW()-1,MATCH(I$1,貼り付け2!$1:$1,0)-1)-2)
&amp;OFFSET(貼り付け2!$A$1,$A6-2,OFFSET(貼り付け2!$A$1,ROW()-1,MATCH(I$1,貼り付け2!$1:$1,0)-1)-1),""))</f>
        <v>#VALUE!</v>
      </c>
      <c r="J6" t="str">
        <f ca="1">IFERROR(
IF(OR(OFFSET(貼り付け2!$A$1,$A6-1,OFFSET(貼り付け2!$A$1,ROW()-1,MATCH(J$1,貼り付け2!$1:$1,0)-1)-2)&lt;&gt;"",OFFSET(貼り付け2!$A$1,$A6-1,OFFSET(貼り付け2!$A$1,ROW()-1,MATCH(J$1,貼り付け2!$1:$1,0)-1)-2)=OFFSET(貼り付け2!$A$1,$A6-1,OFFSET(貼り付け2!$A$1,ROW()-1,MATCH(J$1,貼り付け2!$1:$1,0)-1)-1)),
OFFSET(貼り付け2!$A$1,$A6-1,OFFSET(貼り付け2!$A$1,ROW()-1,MATCH(J$1,貼り付け2!$1:$1,0)-1)-2)&amp;"・"&amp;OFFSET(貼り付け2!$A$1,$A6-1,OFFSET(貼り付け2!$A$1,ROW()-1,MATCH(J$1,貼り付け2!$1:$1,0)-1)-1),),"")</f>
        <v/>
      </c>
      <c r="K6" t="e">
        <f ca="1">OFFSET(貼り付け1!$A$1,貼り付け1!$G5-1,1)</f>
        <v>#REF!</v>
      </c>
      <c r="L6" t="e">
        <f ca="1">OFFSET(貼り付け1!$A$1,貼り付け1!$F5-1,1)</f>
        <v>#REF!</v>
      </c>
      <c r="M6" t="str">
        <f ca="1">IFERROR(OFFSET(貼り付け2!$A$1,まとめ!$B6-1,OFFSET(貼り付け2!$A$1,ROW()-1,MATCH(M$1,貼り付け2!$1:$1,0)-1)-1),"")</f>
        <v/>
      </c>
      <c r="N6" t="str">
        <f ca="1">IF(OFFSET(貼り付け2!$A$1,ROW()-1,MATCH(N$1,貼り付け2!$1:$1,0)-1)&lt;&gt;"",
IF($C6=TRUE,
IF((OFFSET(貼り付け2!$A$1,ROW()-1,MATCH(N$1,貼り付け2!$1:$1,0)-1)-OFFSET(貼り付け2!$A$1,ROW()-1,MATCH(I$1,貼り付け2!$1:$1,0)-1))=2,
OFFSET(貼り付け2!$A$1,$A6-4,OFFSET(貼り付け2!$A$1,ROW()-1,MATCH(N$1,貼り付け2!$1:$1,0)-1)-2)
&amp;OFFSET(貼り付け2!$A$1,$A6-4,OFFSET(貼り付け2!$A$1,ROW()-1,MATCH(N$1,貼り付け2!$1:$1,0)-1)-1),
IF((OFFSET(貼り付け2!$A$1,ROW()-1,MATCH(N$1,貼り付け2!$1:$1,0)-1)-OFFSET(貼り付け2!$A$1,ROW()-1,MATCH(I$1,貼り付け2!$1:$1,0)-1))=3,
OFFSET(貼り付け2!$A$1,$A6-4,OFFSET(貼り付け2!$A$1,ROW()-1,MATCH(N$1,貼り付け2!$1:$1,0)-1)-3)
&amp;OFFSET(貼り付け2!$A$1,$A6-4,OFFSET(貼り付け2!$A$1,ROW()-1,MATCH(N$1,貼り付け2!$1:$1,0)-1)-2)
&amp;OFFSET(貼り付け2!$A$1,$A6-4,OFFSET(貼り付け2!$A$1,ROW()-1,MATCH(N$1,貼り付け2!$1:$1,0)-1)-1),"")),
IF((OFFSET(貼り付け2!$A$1,ROW()-1,MATCH(N$1,貼り付け2!$1:$1,0)-1)-OFFSET(貼り付け2!$A$1,ROW()-1,MATCH(I$1,貼り付け2!$1:$1,0)-1))=2,
OFFSET(貼り付け2!$A$1,$A6-2,OFFSET(貼り付け2!$A$1,ROW()-1,MATCH(N$1,貼り付け2!$1:$1,0)-1)-2)
&amp;OFFSET(貼り付け2!$A$1,$A6-2,OFFSET(貼り付け2!$A$1,ROW()-1,MATCH(N$1,貼り付け2!$1:$1,0)-1)-1),
IF((OFFSET(貼り付け2!$A$1,ROW()-1,MATCH(N$1,貼り付け2!$1:$1,0)-1)-OFFSET(貼り付け2!$A$1,ROW()-1,MATCH(I$1,貼り付け2!$1:$1,0)-1))=3,
OFFSET(貼り付け2!$A$1,$A6-2,OFFSET(貼り付け2!$A$1,ROW()-1,MATCH(N$1,貼り付け2!$1:$1,0)-1)-3)
&amp;OFFSET(貼り付け2!$A$1,$A6-2,OFFSET(貼り付け2!$A$1,ROW()-1,MATCH(N$1,貼り付け2!$1:$1,0)-1)-2)
&amp;OFFSET(貼り付け2!$A$1,$A6-2,OFFSET(貼り付け2!$A$1,ROW()-1,MATCH(N$1,貼り付け2!$1:$1,0)-1)-1),""))),
IF(OFFSET(貼り付け2!$A$1,ROW()-1,MATCH(N$1,貼り付け2!$1:$1,0)+1)=2,
OFFSET(貼り付け2!$A$1,$A6-3,OFFSET(貼り付け2!$A$1,ROW()-1,MATCH(N$1,貼り付け2!$1:$1,0)+1)-2)
&amp;OFFSET(貼り付け2!$A$1,$A6-3,OFFSET(貼り付け2!$A$1,ROW()-1,MATCH(N$1,貼り付け2!$1:$1,0)+1)-1),
IF(OFFSET(貼り付け2!$A$1,ROW()-1,MATCH(N$1,貼り付け2!$1:$1,0)+1)=3,
OFFSET(貼り付け2!$A$1,$A6-3,OFFSET(貼り付け2!$A$1,ROW()-1,MATCH(N$1,貼り付け2!$1:$1,0)+1)-3)
&amp;OFFSET(貼り付け2!$A$1,$A6-3,OFFSET(貼り付け2!$A$1,ROW()-1,MATCH(N$1,貼り付け2!$1:$1,0)+1)-2)
&amp;OFFSET(貼り付け2!$A$1,$A6-3,OFFSET(貼り付け2!$A$1,ROW()-1,MATCH(N$1,貼り付け2!$1:$1,0)+1)-1),"")))</f>
        <v/>
      </c>
      <c r="O6" t="str">
        <f ca="1">IFERROR(
IF(OR(OFFSET(貼り付け2!$A$1,$A6-1,OFFSET(貼り付け2!$A$1,ROW()-1,MATCH(O$1,貼り付け2!$1:$1,0)-1)-2)&lt;&gt;"",OFFSET(貼り付け2!$A$1,$A6-1,OFFSET(貼り付け2!$A$1,ROW()-1,MATCH(O$1,貼り付け2!$1:$1,0)-1)-2)=OFFSET(貼り付け2!$A$1,$A6-1,OFFSET(貼り付け2!$A$1,ROW()-1,MATCH(O$1,貼り付け2!$1:$1,0)-1)-1)),
OFFSET(貼り付け2!$A$1,$A6-1,OFFSET(貼り付け2!$A$1,ROW()-1,MATCH(O$1,貼り付け2!$1:$1,0)-1)-2)&amp;"・"&amp;OFFSET(貼り付け2!$A$1,$A6-1,OFFSET(貼り付け2!$A$1,ROW()-1,MATCH(O$1,貼り付け2!$1:$1,0)-1)-1),),"")</f>
        <v/>
      </c>
      <c r="P6" t="e">
        <f ca="1">OFFSET(貼り付け1!$A$1,貼り付け1!$G5-1,2)</f>
        <v>#REF!</v>
      </c>
      <c r="Q6" t="e">
        <f ca="1">OFFSET(貼り付け1!$A$1,貼り付け1!$F5-1,2)</f>
        <v>#REF!</v>
      </c>
      <c r="R6" t="str">
        <f ca="1">IFERROR(OFFSET(貼り付け2!$A$1,まとめ!$B6-1,OFFSET(貼り付け2!$A$1,ROW()-1,MATCH(R$1,貼り付け2!$1:$1,0)-1)-1),"")</f>
        <v/>
      </c>
      <c r="S6" t="str">
        <f ca="1">IF(OFFSET(貼り付け2!$A$1,ROW()-1,MATCH(S$1,貼り付け2!$1:$1,0)-1)&lt;&gt;"",
IF($C6=TRUE,
IF((OFFSET(貼り付け2!$A$1,ROW()-1,MATCH(S$1,貼り付け2!$1:$1,0)-1)-OFFSET(貼り付け2!$A$1,ROW()-1,MATCH(N$1,貼り付け2!$1:$1,0)-1))=2,
OFFSET(貼り付け2!$A$1,$A6-4,OFFSET(貼り付け2!$A$1,ROW()-1,MATCH(S$1,貼り付け2!$1:$1,0)-1)-2)
&amp;OFFSET(貼り付け2!$A$1,$A6-4,OFFSET(貼り付け2!$A$1,ROW()-1,MATCH(S$1,貼り付け2!$1:$1,0)-1)-1),
IF((OFFSET(貼り付け2!$A$1,ROW()-1,MATCH(S$1,貼り付け2!$1:$1,0)-1)-OFFSET(貼り付け2!$A$1,ROW()-1,MATCH(N$1,貼り付け2!$1:$1,0)-1))=3,
OFFSET(貼り付け2!$A$1,$A6-4,OFFSET(貼り付け2!$A$1,ROW()-1,MATCH(S$1,貼り付け2!$1:$1,0)-1)-3)
&amp;OFFSET(貼り付け2!$A$1,$A6-4,OFFSET(貼り付け2!$A$1,ROW()-1,MATCH(S$1,貼り付け2!$1:$1,0)-1)-2)
&amp;OFFSET(貼り付け2!$A$1,$A6-4,OFFSET(貼り付け2!$A$1,ROW()-1,MATCH(S$1,貼り付け2!$1:$1,0)-1)-1),"")),
IF((OFFSET(貼り付け2!$A$1,ROW()-1,MATCH(S$1,貼り付け2!$1:$1,0)-1)-OFFSET(貼り付け2!$A$1,ROW()-1,MATCH(N$1,貼り付け2!$1:$1,0)-1))=2,
OFFSET(貼り付け2!$A$1,$A6-2,OFFSET(貼り付け2!$A$1,ROW()-1,MATCH(S$1,貼り付け2!$1:$1,0)-1)-2)
&amp;OFFSET(貼り付け2!$A$1,$A6-2,OFFSET(貼り付け2!$A$1,ROW()-1,MATCH(S$1,貼り付け2!$1:$1,0)-1)-1),
IF((OFFSET(貼り付け2!$A$1,ROW()-1,MATCH(S$1,貼り付け2!$1:$1,0)-1)-OFFSET(貼り付け2!$A$1,ROW()-1,MATCH(N$1,貼り付け2!$1:$1,0)-1))=3,
OFFSET(貼り付け2!$A$1,$A6-2,OFFSET(貼り付け2!$A$1,ROW()-1,MATCH(S$1,貼り付け2!$1:$1,0)-1)-3)
&amp;OFFSET(貼り付け2!$A$1,$A6-2,OFFSET(貼り付け2!$A$1,ROW()-1,MATCH(S$1,貼り付け2!$1:$1,0)-1)-2)
&amp;OFFSET(貼り付け2!$A$1,$A6-2,OFFSET(貼り付け2!$A$1,ROW()-1,MATCH(S$1,貼り付け2!$1:$1,0)-1)-1),""))),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OFFSET(貼り付け2!$A$1,$A6-3,OFFSET(貼り付け2!$A$1,ROW()-1,MATCH(S$1,貼り付け2!$1:$1,0)+1)-2)
&amp;OFFSET(貼り付け2!$A$1,$A6-3,OFFSET(貼り付け2!$A$1,ROW()-1,MATCH(S$1,貼り付け2!$1:$1,0)+1)-1),
IF(OFFSET(貼り付け2!$A$1,ROW()-1,MATCH(S$1,貼り付け2!$1:$1,0)+1)-OFFSET(貼り付け2!$A$1,ROW()-1,MATCH(N$1,貼り付け2!$1:$1,0)+1)=3,
OFFSET(貼り付け2!$A$1,$A6-3,OFFSET(貼り付け2!$A$1,ROW()-1,MATCH(S$1,貼り付け2!$1:$1,0)+1)-3)
&amp;OFFSET(貼り付け2!$A$1,$A6-3,OFFSET(貼り付け2!$A$1,ROW()-1,MATCH(S$1,貼り付け2!$1:$1,0)+1)-2)
&amp;OFFSET(貼り付け2!$A$1,$A6-3,OFFSET(貼り付け2!$A$1,ROW()-1,MATCH(S$1,貼り付け2!$1:$1,0)+1)-1),"")),
IF(OFFSET(貼り付け2!$A$1,ROW()-1,MATCH(S$1,貼り付け2!$1:$1,0)+1)=2,
OFFSET(貼り付け2!$A$1,$A6-3,OFFSET(貼り付け2!$A$1,ROW()-1,MATCH(S$1,貼り付け2!$1:$1,0)+1)-2)
&amp;OFFSET(貼り付け2!$A$1,$A6-3,OFFSET(貼り付け2!$A$1,ROW()-1,MATCH(S$1,貼り付け2!$1:$1,0)+1)-1),
IF(OFFSET(貼り付け2!$A$1,ROW()-1,MATCH(S$1,貼り付け2!$1:$1,0)+1)=3,
OFFSET(貼り付け2!$A$1,$A6-3,OFFSET(貼り付け2!$A$1,ROW()-1,MATCH(S$1,貼り付け2!$1:$1,0)+1)-3)
&amp;OFFSET(貼り付け2!$A$1,$A6-3,OFFSET(貼り付け2!$A$1,ROW()-1,MATCH(S$1,貼り付け2!$1:$1,0)+1)-2)
&amp;OFFSET(貼り付け2!$A$1,$A6-3,OFFSET(貼り付け2!$A$1,ROW()-1,MATCH(S$1,貼り付け2!$1:$1,0)+1)-1),""))))</f>
        <v/>
      </c>
      <c r="T6" t="str">
        <f ca="1">IFERROR(
IF(OR(OFFSET(貼り付け2!$A$1,$A6-1,OFFSET(貼り付け2!$A$1,ROW()-1,MATCH(T$1,貼り付け2!$1:$1,0)-1)-2)&lt;&gt;"",OFFSET(貼り付け2!$A$1,$A6-1,OFFSET(貼り付け2!$A$1,ROW()-1,MATCH(T$1,貼り付け2!$1:$1,0)-1)-2)=OFFSET(貼り付け2!$A$1,$A6-1,OFFSET(貼り付け2!$A$1,ROW()-1,MATCH(T$1,貼り付け2!$1:$1,0)-1)-1)),
OFFSET(貼り付け2!$A$1,$A6-1,OFFSET(貼り付け2!$A$1,ROW()-1,MATCH(T$1,貼り付け2!$1:$1,0)-1)-2)&amp;"・"&amp;OFFSET(貼り付け2!$A$1,$A6-1,OFFSET(貼り付け2!$A$1,ROW()-1,MATCH(T$1,貼り付け2!$1:$1,0)-1)-1),),"")</f>
        <v/>
      </c>
      <c r="U6" t="e">
        <f ca="1">OFFSET(貼り付け1!$A$1,貼り付け1!$G5-1,3)</f>
        <v>#REF!</v>
      </c>
      <c r="V6" t="e">
        <f ca="1">OFFSET(貼り付け1!$A$1,貼り付け1!$F5-1,3)</f>
        <v>#REF!</v>
      </c>
      <c r="W6" t="str">
        <f ca="1">IFERROR(OFFSET(貼り付け2!$A$1,まとめ!$B6-1,OFFSET(貼り付け2!$A$1,ROW()-1,MATCH(W$1,貼り付け2!$1:$1,0)-1)-1),"")</f>
        <v/>
      </c>
    </row>
    <row r="7" spans="1:23" x14ac:dyDescent="0.45">
      <c r="A7" t="str">
        <f>貼り付け2!S7</f>
        <v/>
      </c>
      <c r="B7" t="str">
        <f>貼り付け2!R7</f>
        <v/>
      </c>
      <c r="C7" t="e">
        <f t="shared" ca="1" si="1"/>
        <v>#VALUE!</v>
      </c>
      <c r="D7" t="str">
        <f ca="1">IF(OFFSET(貼り付け2!$A$1,ROW()-1,MATCH(D$1,貼り付け2!$1:$1,0)-1)=2,
OFFSET(貼り付け2!$A$1,A7-2,OFFSET(貼り付け2!$A$1,ROW()-1,MATCH(D$1,貼り付け2!$1:$1,0)-1)-2)
&amp;OFFSET(貼り付け2!$A$1,A7-2,OFFSET(貼り付け2!$A$1,ROW()-1,MATCH(D$1,貼り付け2!$1:$1,0)-1)-1),
IF(OFFSET(貼り付け2!$A$1,ROW()-1,MATCH(D$1,貼り付け2!$1:$1,0)-1)=3,
OFFSET(貼り付け2!$A$1,A7-2,OFFSET(貼り付け2!$A$1,ROW()-1,MATCH(D$1,貼り付け2!$1:$1,0)-1)-3)
&amp;OFFSET(貼り付け2!$A$1,A7-2,OFFSET(貼り付け2!$A$1,ROW()-1,MATCH(D$1,貼り付け2!$1:$1,0)-1)-2)
&amp;OFFSET(貼り付け2!$A$1,A7-2,OFFSET(貼り付け2!$A$1,ROW()-1,MATCH(D$1,貼り付け2!$1:$1,0)-1)-1),""))</f>
        <v/>
      </c>
      <c r="E7" t="str">
        <f ca="1">IF(OFFSET(貼り付け2!$A$1,ROW()-1,MATCH(E$1,貼り付け2!$1:$1,0)-1)=2,
OFFSET(貼り付け2!$A$1,$A7-1,OFFSET(貼り付け2!$A$1,ROW()-1,MATCH(E$1,貼り付け2!$1:$1,0)-1)-2)&amp;"・"&amp;OFFSET(貼り付け2!$A$1,$A7-1,OFFSET(貼り付け2!$A$1,ROW()-1,MATCH(E$1,貼り付け2!$1:$1,0)-1)-1),
IF(OFFSET(貼り付け2!$A$1,ROW()-1,MATCH(E$1,貼り付け2!$1:$1,0)-1)=1,
OFFSET(貼り付け2!$A$1,$A7-1,OFFSET(貼り付け2!$A$1,ROW()-1,MATCH(E$1,貼り付け2!$1:$1,0)-1)-1),""))</f>
        <v/>
      </c>
      <c r="F7" t="e">
        <f ca="1">OFFSET(貼り付け1!$A$1,貼り付け1!$G6-1,0)</f>
        <v>#REF!</v>
      </c>
      <c r="G7" t="e">
        <f ca="1">OFFSET(貼り付け1!$A$1,貼り付け1!$F6-1,0)</f>
        <v>#REF!</v>
      </c>
      <c r="H7" t="str">
        <f ca="1">IFERROR(OFFSET(貼り付け2!$A$1,まとめ!$B7-1,OFFSET(貼り付け2!$A$1,ROW()-1,MATCH(H$1,貼り付け2!$1:$1,0)-1)-1),"")</f>
        <v/>
      </c>
      <c r="I7" t="e">
        <f ca="1">IF((OFFSET(貼り付け2!$A$1,ROW()-1,MATCH(I$1,貼り付け2!$1:$1,0)-1)-OFFSET(貼り付け2!$A$1,ROW()-1,MATCH(D$1,貼り付け2!$1:$1,0)-1))=2,
OFFSET(貼り付け2!$A$1,$A7-2,OFFSET(貼り付け2!$A$1,ROW()-1,MATCH(I$1,貼り付け2!$1:$1,0)-1)-2)
&amp;OFFSET(貼り付け2!$A$1,$A7-2,OFFSET(貼り付け2!$A$1,ROW()-1,MATCH(I$1,貼り付け2!$1:$1,0)-1)-1),
IF((OFFSET(貼り付け2!$A$1,ROW()-1,MATCH(I$1,貼り付け2!$1:$1,0)-1)-OFFSET(貼り付け2!$A$1,ROW()-1,MATCH(D$1,貼り付け2!$1:$1,0)-1))=3,
OFFSET(貼り付け2!$A$1,$A7-2,OFFSET(貼り付け2!$A$1,ROW()-1,MATCH(I$1,貼り付け2!$1:$1,0)-1)-3)
&amp;OFFSET(貼り付け2!$A$1,$A7-2,OFFSET(貼り付け2!$A$1,ROW()-1,MATCH(I$1,貼り付け2!$1:$1,0)-1)-2)
&amp;OFFSET(貼り付け2!$A$1,$A7-2,OFFSET(貼り付け2!$A$1,ROW()-1,MATCH(I$1,貼り付け2!$1:$1,0)-1)-1),""))</f>
        <v>#VALUE!</v>
      </c>
      <c r="J7" t="str">
        <f ca="1">IFERROR(
IF(OR(OFFSET(貼り付け2!$A$1,$A7-1,OFFSET(貼り付け2!$A$1,ROW()-1,MATCH(J$1,貼り付け2!$1:$1,0)-1)-2)&lt;&gt;"",OFFSET(貼り付け2!$A$1,$A7-1,OFFSET(貼り付け2!$A$1,ROW()-1,MATCH(J$1,貼り付け2!$1:$1,0)-1)-2)=OFFSET(貼り付け2!$A$1,$A7-1,OFFSET(貼り付け2!$A$1,ROW()-1,MATCH(J$1,貼り付け2!$1:$1,0)-1)-1)),
OFFSET(貼り付け2!$A$1,$A7-1,OFFSET(貼り付け2!$A$1,ROW()-1,MATCH(J$1,貼り付け2!$1:$1,0)-1)-2)&amp;"・"&amp;OFFSET(貼り付け2!$A$1,$A7-1,OFFSET(貼り付け2!$A$1,ROW()-1,MATCH(J$1,貼り付け2!$1:$1,0)-1)-1),),"")</f>
        <v/>
      </c>
      <c r="K7" t="e">
        <f ca="1">OFFSET(貼り付け1!$A$1,貼り付け1!$G6-1,1)</f>
        <v>#REF!</v>
      </c>
      <c r="L7" t="e">
        <f ca="1">OFFSET(貼り付け1!$A$1,貼り付け1!$F6-1,1)</f>
        <v>#REF!</v>
      </c>
      <c r="M7" t="str">
        <f ca="1">IFERROR(OFFSET(貼り付け2!$A$1,まとめ!$B7-1,OFFSET(貼り付け2!$A$1,ROW()-1,MATCH(M$1,貼り付け2!$1:$1,0)-1)-1),"")</f>
        <v/>
      </c>
      <c r="N7" t="str">
        <f ca="1">IF(OFFSET(貼り付け2!$A$1,ROW()-1,MATCH(N$1,貼り付け2!$1:$1,0)-1)&lt;&gt;"",
IF($C7=TRUE,
IF((OFFSET(貼り付け2!$A$1,ROW()-1,MATCH(N$1,貼り付け2!$1:$1,0)-1)-OFFSET(貼り付け2!$A$1,ROW()-1,MATCH(I$1,貼り付け2!$1:$1,0)-1))=2,
OFFSET(貼り付け2!$A$1,$A7-4,OFFSET(貼り付け2!$A$1,ROW()-1,MATCH(N$1,貼り付け2!$1:$1,0)-1)-2)
&amp;OFFSET(貼り付け2!$A$1,$A7-4,OFFSET(貼り付け2!$A$1,ROW()-1,MATCH(N$1,貼り付け2!$1:$1,0)-1)-1),
IF((OFFSET(貼り付け2!$A$1,ROW()-1,MATCH(N$1,貼り付け2!$1:$1,0)-1)-OFFSET(貼り付け2!$A$1,ROW()-1,MATCH(I$1,貼り付け2!$1:$1,0)-1))=3,
OFFSET(貼り付け2!$A$1,$A7-4,OFFSET(貼り付け2!$A$1,ROW()-1,MATCH(N$1,貼り付け2!$1:$1,0)-1)-3)
&amp;OFFSET(貼り付け2!$A$1,$A7-4,OFFSET(貼り付け2!$A$1,ROW()-1,MATCH(N$1,貼り付け2!$1:$1,0)-1)-2)
&amp;OFFSET(貼り付け2!$A$1,$A7-4,OFFSET(貼り付け2!$A$1,ROW()-1,MATCH(N$1,貼り付け2!$1:$1,0)-1)-1),"")),
IF((OFFSET(貼り付け2!$A$1,ROW()-1,MATCH(N$1,貼り付け2!$1:$1,0)-1)-OFFSET(貼り付け2!$A$1,ROW()-1,MATCH(I$1,貼り付け2!$1:$1,0)-1))=2,
OFFSET(貼り付け2!$A$1,$A7-2,OFFSET(貼り付け2!$A$1,ROW()-1,MATCH(N$1,貼り付け2!$1:$1,0)-1)-2)
&amp;OFFSET(貼り付け2!$A$1,$A7-2,OFFSET(貼り付け2!$A$1,ROW()-1,MATCH(N$1,貼り付け2!$1:$1,0)-1)-1),
IF((OFFSET(貼り付け2!$A$1,ROW()-1,MATCH(N$1,貼り付け2!$1:$1,0)-1)-OFFSET(貼り付け2!$A$1,ROW()-1,MATCH(I$1,貼り付け2!$1:$1,0)-1))=3,
OFFSET(貼り付け2!$A$1,$A7-2,OFFSET(貼り付け2!$A$1,ROW()-1,MATCH(N$1,貼り付け2!$1:$1,0)-1)-3)
&amp;OFFSET(貼り付け2!$A$1,$A7-2,OFFSET(貼り付け2!$A$1,ROW()-1,MATCH(N$1,貼り付け2!$1:$1,0)-1)-2)
&amp;OFFSET(貼り付け2!$A$1,$A7-2,OFFSET(貼り付け2!$A$1,ROW()-1,MATCH(N$1,貼り付け2!$1:$1,0)-1)-1),""))),
IF(OFFSET(貼り付け2!$A$1,ROW()-1,MATCH(N$1,貼り付け2!$1:$1,0)+1)=2,
OFFSET(貼り付け2!$A$1,$A7-3,OFFSET(貼り付け2!$A$1,ROW()-1,MATCH(N$1,貼り付け2!$1:$1,0)+1)-2)
&amp;OFFSET(貼り付け2!$A$1,$A7-3,OFFSET(貼り付け2!$A$1,ROW()-1,MATCH(N$1,貼り付け2!$1:$1,0)+1)-1),
IF(OFFSET(貼り付け2!$A$1,ROW()-1,MATCH(N$1,貼り付け2!$1:$1,0)+1)=3,
OFFSET(貼り付け2!$A$1,$A7-3,OFFSET(貼り付け2!$A$1,ROW()-1,MATCH(N$1,貼り付け2!$1:$1,0)+1)-3)
&amp;OFFSET(貼り付け2!$A$1,$A7-3,OFFSET(貼り付け2!$A$1,ROW()-1,MATCH(N$1,貼り付け2!$1:$1,0)+1)-2)
&amp;OFFSET(貼り付け2!$A$1,$A7-3,OFFSET(貼り付け2!$A$1,ROW()-1,MATCH(N$1,貼り付け2!$1:$1,0)+1)-1),"")))</f>
        <v/>
      </c>
      <c r="O7" t="str">
        <f ca="1">IFERROR(
IF(OR(OFFSET(貼り付け2!$A$1,$A7-1,OFFSET(貼り付け2!$A$1,ROW()-1,MATCH(O$1,貼り付け2!$1:$1,0)-1)-2)&lt;&gt;"",OFFSET(貼り付け2!$A$1,$A7-1,OFFSET(貼り付け2!$A$1,ROW()-1,MATCH(O$1,貼り付け2!$1:$1,0)-1)-2)=OFFSET(貼り付け2!$A$1,$A7-1,OFFSET(貼り付け2!$A$1,ROW()-1,MATCH(O$1,貼り付け2!$1:$1,0)-1)-1)),
OFFSET(貼り付け2!$A$1,$A7-1,OFFSET(貼り付け2!$A$1,ROW()-1,MATCH(O$1,貼り付け2!$1:$1,0)-1)-2)&amp;"・"&amp;OFFSET(貼り付け2!$A$1,$A7-1,OFFSET(貼り付け2!$A$1,ROW()-1,MATCH(O$1,貼り付け2!$1:$1,0)-1)-1),),"")</f>
        <v/>
      </c>
      <c r="P7" t="e">
        <f ca="1">OFFSET(貼り付け1!$A$1,貼り付け1!$G6-1,2)</f>
        <v>#REF!</v>
      </c>
      <c r="Q7" t="e">
        <f ca="1">OFFSET(貼り付け1!$A$1,貼り付け1!$F6-1,2)</f>
        <v>#REF!</v>
      </c>
      <c r="R7" t="str">
        <f ca="1">IFERROR(OFFSET(貼り付け2!$A$1,まとめ!$B7-1,OFFSET(貼り付け2!$A$1,ROW()-1,MATCH(R$1,貼り付け2!$1:$1,0)-1)-1),"")</f>
        <v/>
      </c>
      <c r="S7" t="str">
        <f ca="1">IF(OFFSET(貼り付け2!$A$1,ROW()-1,MATCH(S$1,貼り付け2!$1:$1,0)-1)&lt;&gt;"",
IF($C7=TRUE,
IF((OFFSET(貼り付け2!$A$1,ROW()-1,MATCH(S$1,貼り付け2!$1:$1,0)-1)-OFFSET(貼り付け2!$A$1,ROW()-1,MATCH(N$1,貼り付け2!$1:$1,0)-1))=2,
OFFSET(貼り付け2!$A$1,$A7-4,OFFSET(貼り付け2!$A$1,ROW()-1,MATCH(S$1,貼り付け2!$1:$1,0)-1)-2)
&amp;OFFSET(貼り付け2!$A$1,$A7-4,OFFSET(貼り付け2!$A$1,ROW()-1,MATCH(S$1,貼り付け2!$1:$1,0)-1)-1),
IF((OFFSET(貼り付け2!$A$1,ROW()-1,MATCH(S$1,貼り付け2!$1:$1,0)-1)-OFFSET(貼り付け2!$A$1,ROW()-1,MATCH(N$1,貼り付け2!$1:$1,0)-1))=3,
OFFSET(貼り付け2!$A$1,$A7-4,OFFSET(貼り付け2!$A$1,ROW()-1,MATCH(S$1,貼り付け2!$1:$1,0)-1)-3)
&amp;OFFSET(貼り付け2!$A$1,$A7-4,OFFSET(貼り付け2!$A$1,ROW()-1,MATCH(S$1,貼り付け2!$1:$1,0)-1)-2)
&amp;OFFSET(貼り付け2!$A$1,$A7-4,OFFSET(貼り付け2!$A$1,ROW()-1,MATCH(S$1,貼り付け2!$1:$1,0)-1)-1),"")),
IF((OFFSET(貼り付け2!$A$1,ROW()-1,MATCH(S$1,貼り付け2!$1:$1,0)-1)-OFFSET(貼り付け2!$A$1,ROW()-1,MATCH(N$1,貼り付け2!$1:$1,0)-1))=2,
OFFSET(貼り付け2!$A$1,$A7-2,OFFSET(貼り付け2!$A$1,ROW()-1,MATCH(S$1,貼り付け2!$1:$1,0)-1)-2)
&amp;OFFSET(貼り付け2!$A$1,$A7-2,OFFSET(貼り付け2!$A$1,ROW()-1,MATCH(S$1,貼り付け2!$1:$1,0)-1)-1),
IF((OFFSET(貼り付け2!$A$1,ROW()-1,MATCH(S$1,貼り付け2!$1:$1,0)-1)-OFFSET(貼り付け2!$A$1,ROW()-1,MATCH(N$1,貼り付け2!$1:$1,0)-1))=3,
OFFSET(貼り付け2!$A$1,$A7-2,OFFSET(貼り付け2!$A$1,ROW()-1,MATCH(S$1,貼り付け2!$1:$1,0)-1)-3)
&amp;OFFSET(貼り付け2!$A$1,$A7-2,OFFSET(貼り付け2!$A$1,ROW()-1,MATCH(S$1,貼り付け2!$1:$1,0)-1)-2)
&amp;OFFSET(貼り付け2!$A$1,$A7-2,OFFSET(貼り付け2!$A$1,ROW()-1,MATCH(S$1,貼り付け2!$1:$1,0)-1)-1),""))),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OFFSET(貼り付け2!$A$1,$A7-3,OFFSET(貼り付け2!$A$1,ROW()-1,MATCH(S$1,貼り付け2!$1:$1,0)+1)-2)
&amp;OFFSET(貼り付け2!$A$1,$A7-3,OFFSET(貼り付け2!$A$1,ROW()-1,MATCH(S$1,貼り付け2!$1:$1,0)+1)-1),
IF(OFFSET(貼り付け2!$A$1,ROW()-1,MATCH(S$1,貼り付け2!$1:$1,0)+1)-OFFSET(貼り付け2!$A$1,ROW()-1,MATCH(N$1,貼り付け2!$1:$1,0)+1)=3,
OFFSET(貼り付け2!$A$1,$A7-3,OFFSET(貼り付け2!$A$1,ROW()-1,MATCH(S$1,貼り付け2!$1:$1,0)+1)-3)
&amp;OFFSET(貼り付け2!$A$1,$A7-3,OFFSET(貼り付け2!$A$1,ROW()-1,MATCH(S$1,貼り付け2!$1:$1,0)+1)-2)
&amp;OFFSET(貼り付け2!$A$1,$A7-3,OFFSET(貼り付け2!$A$1,ROW()-1,MATCH(S$1,貼り付け2!$1:$1,0)+1)-1),"")),
IF(OFFSET(貼り付け2!$A$1,ROW()-1,MATCH(S$1,貼り付け2!$1:$1,0)+1)=2,
OFFSET(貼り付け2!$A$1,$A7-3,OFFSET(貼り付け2!$A$1,ROW()-1,MATCH(S$1,貼り付け2!$1:$1,0)+1)-2)
&amp;OFFSET(貼り付け2!$A$1,$A7-3,OFFSET(貼り付け2!$A$1,ROW()-1,MATCH(S$1,貼り付け2!$1:$1,0)+1)-1),
IF(OFFSET(貼り付け2!$A$1,ROW()-1,MATCH(S$1,貼り付け2!$1:$1,0)+1)=3,
OFFSET(貼り付け2!$A$1,$A7-3,OFFSET(貼り付け2!$A$1,ROW()-1,MATCH(S$1,貼り付け2!$1:$1,0)+1)-3)
&amp;OFFSET(貼り付け2!$A$1,$A7-3,OFFSET(貼り付け2!$A$1,ROW()-1,MATCH(S$1,貼り付け2!$1:$1,0)+1)-2)
&amp;OFFSET(貼り付け2!$A$1,$A7-3,OFFSET(貼り付け2!$A$1,ROW()-1,MATCH(S$1,貼り付け2!$1:$1,0)+1)-1),""))))</f>
        <v/>
      </c>
      <c r="T7" t="str">
        <f ca="1">IFERROR(
IF(OR(OFFSET(貼り付け2!$A$1,$A7-1,OFFSET(貼り付け2!$A$1,ROW()-1,MATCH(T$1,貼り付け2!$1:$1,0)-1)-2)&lt;&gt;"",OFFSET(貼り付け2!$A$1,$A7-1,OFFSET(貼り付け2!$A$1,ROW()-1,MATCH(T$1,貼り付け2!$1:$1,0)-1)-2)=OFFSET(貼り付け2!$A$1,$A7-1,OFFSET(貼り付け2!$A$1,ROW()-1,MATCH(T$1,貼り付け2!$1:$1,0)-1)-1)),
OFFSET(貼り付け2!$A$1,$A7-1,OFFSET(貼り付け2!$A$1,ROW()-1,MATCH(T$1,貼り付け2!$1:$1,0)-1)-2)&amp;"・"&amp;OFFSET(貼り付け2!$A$1,$A7-1,OFFSET(貼り付け2!$A$1,ROW()-1,MATCH(T$1,貼り付け2!$1:$1,0)-1)-1),),"")</f>
        <v/>
      </c>
      <c r="U7" t="e">
        <f ca="1">OFFSET(貼り付け1!$A$1,貼り付け1!$G6-1,3)</f>
        <v>#REF!</v>
      </c>
      <c r="V7" t="e">
        <f ca="1">OFFSET(貼り付け1!$A$1,貼り付け1!$F6-1,3)</f>
        <v>#REF!</v>
      </c>
      <c r="W7" t="str">
        <f ca="1">IFERROR(OFFSET(貼り付け2!$A$1,まとめ!$B7-1,OFFSET(貼り付け2!$A$1,ROW()-1,MATCH(W$1,貼り付け2!$1:$1,0)-1)-1),"")</f>
        <v/>
      </c>
    </row>
    <row r="8" spans="1:23" x14ac:dyDescent="0.45">
      <c r="A8" t="str">
        <f>貼り付け2!S8</f>
        <v/>
      </c>
      <c r="B8" t="str">
        <f>貼り付け2!R8</f>
        <v/>
      </c>
      <c r="C8" t="e">
        <f t="shared" ca="1" si="1"/>
        <v>#VALUE!</v>
      </c>
      <c r="D8" t="str">
        <f ca="1">IF(OFFSET(貼り付け2!$A$1,ROW()-1,MATCH(D$1,貼り付け2!$1:$1,0)-1)=2,
OFFSET(貼り付け2!$A$1,A8-2,OFFSET(貼り付け2!$A$1,ROW()-1,MATCH(D$1,貼り付け2!$1:$1,0)-1)-2)
&amp;OFFSET(貼り付け2!$A$1,A8-2,OFFSET(貼り付け2!$A$1,ROW()-1,MATCH(D$1,貼り付け2!$1:$1,0)-1)-1),
IF(OFFSET(貼り付け2!$A$1,ROW()-1,MATCH(D$1,貼り付け2!$1:$1,0)-1)=3,
OFFSET(貼り付け2!$A$1,A8-2,OFFSET(貼り付け2!$A$1,ROW()-1,MATCH(D$1,貼り付け2!$1:$1,0)-1)-3)
&amp;OFFSET(貼り付け2!$A$1,A8-2,OFFSET(貼り付け2!$A$1,ROW()-1,MATCH(D$1,貼り付け2!$1:$1,0)-1)-2)
&amp;OFFSET(貼り付け2!$A$1,A8-2,OFFSET(貼り付け2!$A$1,ROW()-1,MATCH(D$1,貼り付け2!$1:$1,0)-1)-1),""))</f>
        <v/>
      </c>
      <c r="E8" t="str">
        <f ca="1">IF(OFFSET(貼り付け2!$A$1,ROW()-1,MATCH(E$1,貼り付け2!$1:$1,0)-1)=2,
OFFSET(貼り付け2!$A$1,$A8-1,OFFSET(貼り付け2!$A$1,ROW()-1,MATCH(E$1,貼り付け2!$1:$1,0)-1)-2)&amp;"・"&amp;OFFSET(貼り付け2!$A$1,$A8-1,OFFSET(貼り付け2!$A$1,ROW()-1,MATCH(E$1,貼り付け2!$1:$1,0)-1)-1),
IF(OFFSET(貼り付け2!$A$1,ROW()-1,MATCH(E$1,貼り付け2!$1:$1,0)-1)=1,
OFFSET(貼り付け2!$A$1,$A8-1,OFFSET(貼り付け2!$A$1,ROW()-1,MATCH(E$1,貼り付け2!$1:$1,0)-1)-1),""))</f>
        <v/>
      </c>
      <c r="F8" t="e">
        <f ca="1">OFFSET(貼り付け1!$A$1,貼り付け1!$G7-1,0)</f>
        <v>#REF!</v>
      </c>
      <c r="G8" t="e">
        <f ca="1">OFFSET(貼り付け1!$A$1,貼り付け1!$F7-1,0)</f>
        <v>#REF!</v>
      </c>
      <c r="H8" t="str">
        <f ca="1">IFERROR(OFFSET(貼り付け2!$A$1,まとめ!$B8-1,OFFSET(貼り付け2!$A$1,ROW()-1,MATCH(H$1,貼り付け2!$1:$1,0)-1)-1),"")</f>
        <v/>
      </c>
      <c r="I8" t="e">
        <f ca="1">IF((OFFSET(貼り付け2!$A$1,ROW()-1,MATCH(I$1,貼り付け2!$1:$1,0)-1)-OFFSET(貼り付け2!$A$1,ROW()-1,MATCH(D$1,貼り付け2!$1:$1,0)-1))=2,
OFFSET(貼り付け2!$A$1,$A8-2,OFFSET(貼り付け2!$A$1,ROW()-1,MATCH(I$1,貼り付け2!$1:$1,0)-1)-2)
&amp;OFFSET(貼り付け2!$A$1,$A8-2,OFFSET(貼り付け2!$A$1,ROW()-1,MATCH(I$1,貼り付け2!$1:$1,0)-1)-1),
IF((OFFSET(貼り付け2!$A$1,ROW()-1,MATCH(I$1,貼り付け2!$1:$1,0)-1)-OFFSET(貼り付け2!$A$1,ROW()-1,MATCH(D$1,貼り付け2!$1:$1,0)-1))=3,
OFFSET(貼り付け2!$A$1,$A8-2,OFFSET(貼り付け2!$A$1,ROW()-1,MATCH(I$1,貼り付け2!$1:$1,0)-1)-3)
&amp;OFFSET(貼り付け2!$A$1,$A8-2,OFFSET(貼り付け2!$A$1,ROW()-1,MATCH(I$1,貼り付け2!$1:$1,0)-1)-2)
&amp;OFFSET(貼り付け2!$A$1,$A8-2,OFFSET(貼り付け2!$A$1,ROW()-1,MATCH(I$1,貼り付け2!$1:$1,0)-1)-1),""))</f>
        <v>#VALUE!</v>
      </c>
      <c r="J8" t="str">
        <f ca="1">IFERROR(
IF(OR(OFFSET(貼り付け2!$A$1,$A8-1,OFFSET(貼り付け2!$A$1,ROW()-1,MATCH(J$1,貼り付け2!$1:$1,0)-1)-2)&lt;&gt;"",OFFSET(貼り付け2!$A$1,$A8-1,OFFSET(貼り付け2!$A$1,ROW()-1,MATCH(J$1,貼り付け2!$1:$1,0)-1)-2)=OFFSET(貼り付け2!$A$1,$A8-1,OFFSET(貼り付け2!$A$1,ROW()-1,MATCH(J$1,貼り付け2!$1:$1,0)-1)-1)),
OFFSET(貼り付け2!$A$1,$A8-1,OFFSET(貼り付け2!$A$1,ROW()-1,MATCH(J$1,貼り付け2!$1:$1,0)-1)-2)&amp;"・"&amp;OFFSET(貼り付け2!$A$1,$A8-1,OFFSET(貼り付け2!$A$1,ROW()-1,MATCH(J$1,貼り付け2!$1:$1,0)-1)-1),),"")</f>
        <v/>
      </c>
      <c r="K8" t="e">
        <f ca="1">OFFSET(貼り付け1!$A$1,貼り付け1!$G7-1,1)</f>
        <v>#REF!</v>
      </c>
      <c r="L8" t="e">
        <f ca="1">OFFSET(貼り付け1!$A$1,貼り付け1!$F7-1,1)</f>
        <v>#REF!</v>
      </c>
      <c r="M8" t="str">
        <f ca="1">IFERROR(OFFSET(貼り付け2!$A$1,まとめ!$B8-1,OFFSET(貼り付け2!$A$1,ROW()-1,MATCH(M$1,貼り付け2!$1:$1,0)-1)-1),"")</f>
        <v/>
      </c>
      <c r="N8" t="str">
        <f ca="1">IF(OFFSET(貼り付け2!$A$1,ROW()-1,MATCH(N$1,貼り付け2!$1:$1,0)-1)&lt;&gt;"",
IF($C8=TRUE,
IF((OFFSET(貼り付け2!$A$1,ROW()-1,MATCH(N$1,貼り付け2!$1:$1,0)-1)-OFFSET(貼り付け2!$A$1,ROW()-1,MATCH(I$1,貼り付け2!$1:$1,0)-1))=2,
OFFSET(貼り付け2!$A$1,$A8-4,OFFSET(貼り付け2!$A$1,ROW()-1,MATCH(N$1,貼り付け2!$1:$1,0)-1)-2)
&amp;OFFSET(貼り付け2!$A$1,$A8-4,OFFSET(貼り付け2!$A$1,ROW()-1,MATCH(N$1,貼り付け2!$1:$1,0)-1)-1),
IF((OFFSET(貼り付け2!$A$1,ROW()-1,MATCH(N$1,貼り付け2!$1:$1,0)-1)-OFFSET(貼り付け2!$A$1,ROW()-1,MATCH(I$1,貼り付け2!$1:$1,0)-1))=3,
OFFSET(貼り付け2!$A$1,$A8-4,OFFSET(貼り付け2!$A$1,ROW()-1,MATCH(N$1,貼り付け2!$1:$1,0)-1)-3)
&amp;OFFSET(貼り付け2!$A$1,$A8-4,OFFSET(貼り付け2!$A$1,ROW()-1,MATCH(N$1,貼り付け2!$1:$1,0)-1)-2)
&amp;OFFSET(貼り付け2!$A$1,$A8-4,OFFSET(貼り付け2!$A$1,ROW()-1,MATCH(N$1,貼り付け2!$1:$1,0)-1)-1),"")),
IF((OFFSET(貼り付け2!$A$1,ROW()-1,MATCH(N$1,貼り付け2!$1:$1,0)-1)-OFFSET(貼り付け2!$A$1,ROW()-1,MATCH(I$1,貼り付け2!$1:$1,0)-1))=2,
OFFSET(貼り付け2!$A$1,$A8-2,OFFSET(貼り付け2!$A$1,ROW()-1,MATCH(N$1,貼り付け2!$1:$1,0)-1)-2)
&amp;OFFSET(貼り付け2!$A$1,$A8-2,OFFSET(貼り付け2!$A$1,ROW()-1,MATCH(N$1,貼り付け2!$1:$1,0)-1)-1),
IF((OFFSET(貼り付け2!$A$1,ROW()-1,MATCH(N$1,貼り付け2!$1:$1,0)-1)-OFFSET(貼り付け2!$A$1,ROW()-1,MATCH(I$1,貼り付け2!$1:$1,0)-1))=3,
OFFSET(貼り付け2!$A$1,$A8-2,OFFSET(貼り付け2!$A$1,ROW()-1,MATCH(N$1,貼り付け2!$1:$1,0)-1)-3)
&amp;OFFSET(貼り付け2!$A$1,$A8-2,OFFSET(貼り付け2!$A$1,ROW()-1,MATCH(N$1,貼り付け2!$1:$1,0)-1)-2)
&amp;OFFSET(貼り付け2!$A$1,$A8-2,OFFSET(貼り付け2!$A$1,ROW()-1,MATCH(N$1,貼り付け2!$1:$1,0)-1)-1),""))),
IF(OFFSET(貼り付け2!$A$1,ROW()-1,MATCH(N$1,貼り付け2!$1:$1,0)+1)=2,
OFFSET(貼り付け2!$A$1,$A8-3,OFFSET(貼り付け2!$A$1,ROW()-1,MATCH(N$1,貼り付け2!$1:$1,0)+1)-2)
&amp;OFFSET(貼り付け2!$A$1,$A8-3,OFFSET(貼り付け2!$A$1,ROW()-1,MATCH(N$1,貼り付け2!$1:$1,0)+1)-1),
IF(OFFSET(貼り付け2!$A$1,ROW()-1,MATCH(N$1,貼り付け2!$1:$1,0)+1)=3,
OFFSET(貼り付け2!$A$1,$A8-3,OFFSET(貼り付け2!$A$1,ROW()-1,MATCH(N$1,貼り付け2!$1:$1,0)+1)-3)
&amp;OFFSET(貼り付け2!$A$1,$A8-3,OFFSET(貼り付け2!$A$1,ROW()-1,MATCH(N$1,貼り付け2!$1:$1,0)+1)-2)
&amp;OFFSET(貼り付け2!$A$1,$A8-3,OFFSET(貼り付け2!$A$1,ROW()-1,MATCH(N$1,貼り付け2!$1:$1,0)+1)-1),"")))</f>
        <v/>
      </c>
      <c r="O8" t="str">
        <f ca="1">IFERROR(
IF(OR(OFFSET(貼り付け2!$A$1,$A8-1,OFFSET(貼り付け2!$A$1,ROW()-1,MATCH(O$1,貼り付け2!$1:$1,0)-1)-2)&lt;&gt;"",OFFSET(貼り付け2!$A$1,$A8-1,OFFSET(貼り付け2!$A$1,ROW()-1,MATCH(O$1,貼り付け2!$1:$1,0)-1)-2)=OFFSET(貼り付け2!$A$1,$A8-1,OFFSET(貼り付け2!$A$1,ROW()-1,MATCH(O$1,貼り付け2!$1:$1,0)-1)-1)),
OFFSET(貼り付け2!$A$1,$A8-1,OFFSET(貼り付け2!$A$1,ROW()-1,MATCH(O$1,貼り付け2!$1:$1,0)-1)-2)&amp;"・"&amp;OFFSET(貼り付け2!$A$1,$A8-1,OFFSET(貼り付け2!$A$1,ROW()-1,MATCH(O$1,貼り付け2!$1:$1,0)-1)-1),),"")</f>
        <v/>
      </c>
      <c r="P8" t="e">
        <f ca="1">OFFSET(貼り付け1!$A$1,貼り付け1!$G7-1,2)</f>
        <v>#REF!</v>
      </c>
      <c r="Q8" t="e">
        <f ca="1">OFFSET(貼り付け1!$A$1,貼り付け1!$F7-1,2)</f>
        <v>#REF!</v>
      </c>
      <c r="R8" t="str">
        <f ca="1">IFERROR(OFFSET(貼り付け2!$A$1,まとめ!$B8-1,OFFSET(貼り付け2!$A$1,ROW()-1,MATCH(R$1,貼り付け2!$1:$1,0)-1)-1),"")</f>
        <v/>
      </c>
      <c r="S8" t="str">
        <f ca="1">IF(OFFSET(貼り付け2!$A$1,ROW()-1,MATCH(S$1,貼り付け2!$1:$1,0)-1)&lt;&gt;"",
IF($C8=TRUE,
IF((OFFSET(貼り付け2!$A$1,ROW()-1,MATCH(S$1,貼り付け2!$1:$1,0)-1)-OFFSET(貼り付け2!$A$1,ROW()-1,MATCH(N$1,貼り付け2!$1:$1,0)-1))=2,
OFFSET(貼り付け2!$A$1,$A8-4,OFFSET(貼り付け2!$A$1,ROW()-1,MATCH(S$1,貼り付け2!$1:$1,0)-1)-2)
&amp;OFFSET(貼り付け2!$A$1,$A8-4,OFFSET(貼り付け2!$A$1,ROW()-1,MATCH(S$1,貼り付け2!$1:$1,0)-1)-1),
IF((OFFSET(貼り付け2!$A$1,ROW()-1,MATCH(S$1,貼り付け2!$1:$1,0)-1)-OFFSET(貼り付け2!$A$1,ROW()-1,MATCH(N$1,貼り付け2!$1:$1,0)-1))=3,
OFFSET(貼り付け2!$A$1,$A8-4,OFFSET(貼り付け2!$A$1,ROW()-1,MATCH(S$1,貼り付け2!$1:$1,0)-1)-3)
&amp;OFFSET(貼り付け2!$A$1,$A8-4,OFFSET(貼り付け2!$A$1,ROW()-1,MATCH(S$1,貼り付け2!$1:$1,0)-1)-2)
&amp;OFFSET(貼り付け2!$A$1,$A8-4,OFFSET(貼り付け2!$A$1,ROW()-1,MATCH(S$1,貼り付け2!$1:$1,0)-1)-1),"")),
IF((OFFSET(貼り付け2!$A$1,ROW()-1,MATCH(S$1,貼り付け2!$1:$1,0)-1)-OFFSET(貼り付け2!$A$1,ROW()-1,MATCH(N$1,貼り付け2!$1:$1,0)-1))=2,
OFFSET(貼り付け2!$A$1,$A8-2,OFFSET(貼り付け2!$A$1,ROW()-1,MATCH(S$1,貼り付け2!$1:$1,0)-1)-2)
&amp;OFFSET(貼り付け2!$A$1,$A8-2,OFFSET(貼り付け2!$A$1,ROW()-1,MATCH(S$1,貼り付け2!$1:$1,0)-1)-1),
IF((OFFSET(貼り付け2!$A$1,ROW()-1,MATCH(S$1,貼り付け2!$1:$1,0)-1)-OFFSET(貼り付け2!$A$1,ROW()-1,MATCH(N$1,貼り付け2!$1:$1,0)-1))=3,
OFFSET(貼り付け2!$A$1,$A8-2,OFFSET(貼り付け2!$A$1,ROW()-1,MATCH(S$1,貼り付け2!$1:$1,0)-1)-3)
&amp;OFFSET(貼り付け2!$A$1,$A8-2,OFFSET(貼り付け2!$A$1,ROW()-1,MATCH(S$1,貼り付け2!$1:$1,0)-1)-2)
&amp;OFFSET(貼り付け2!$A$1,$A8-2,OFFSET(貼り付け2!$A$1,ROW()-1,MATCH(S$1,貼り付け2!$1:$1,0)-1)-1),""))),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OFFSET(貼り付け2!$A$1,$A8-3,OFFSET(貼り付け2!$A$1,ROW()-1,MATCH(S$1,貼り付け2!$1:$1,0)+1)-2)
&amp;OFFSET(貼り付け2!$A$1,$A8-3,OFFSET(貼り付け2!$A$1,ROW()-1,MATCH(S$1,貼り付け2!$1:$1,0)+1)-1),
IF(OFFSET(貼り付け2!$A$1,ROW()-1,MATCH(S$1,貼り付け2!$1:$1,0)+1)-OFFSET(貼り付け2!$A$1,ROW()-1,MATCH(N$1,貼り付け2!$1:$1,0)+1)=3,
OFFSET(貼り付け2!$A$1,$A8-3,OFFSET(貼り付け2!$A$1,ROW()-1,MATCH(S$1,貼り付け2!$1:$1,0)+1)-3)
&amp;OFFSET(貼り付け2!$A$1,$A8-3,OFFSET(貼り付け2!$A$1,ROW()-1,MATCH(S$1,貼り付け2!$1:$1,0)+1)-2)
&amp;OFFSET(貼り付け2!$A$1,$A8-3,OFFSET(貼り付け2!$A$1,ROW()-1,MATCH(S$1,貼り付け2!$1:$1,0)+1)-1),"")),
IF(OFFSET(貼り付け2!$A$1,ROW()-1,MATCH(S$1,貼り付け2!$1:$1,0)+1)=2,
OFFSET(貼り付け2!$A$1,$A8-3,OFFSET(貼り付け2!$A$1,ROW()-1,MATCH(S$1,貼り付け2!$1:$1,0)+1)-2)
&amp;OFFSET(貼り付け2!$A$1,$A8-3,OFFSET(貼り付け2!$A$1,ROW()-1,MATCH(S$1,貼り付け2!$1:$1,0)+1)-1),
IF(OFFSET(貼り付け2!$A$1,ROW()-1,MATCH(S$1,貼り付け2!$1:$1,0)+1)=3,
OFFSET(貼り付け2!$A$1,$A8-3,OFFSET(貼り付け2!$A$1,ROW()-1,MATCH(S$1,貼り付け2!$1:$1,0)+1)-3)
&amp;OFFSET(貼り付け2!$A$1,$A8-3,OFFSET(貼り付け2!$A$1,ROW()-1,MATCH(S$1,貼り付け2!$1:$1,0)+1)-2)
&amp;OFFSET(貼り付け2!$A$1,$A8-3,OFFSET(貼り付け2!$A$1,ROW()-1,MATCH(S$1,貼り付け2!$1:$1,0)+1)-1),""))))</f>
        <v/>
      </c>
      <c r="T8" t="str">
        <f ca="1">IFERROR(
IF(OR(OFFSET(貼り付け2!$A$1,$A8-1,OFFSET(貼り付け2!$A$1,ROW()-1,MATCH(T$1,貼り付け2!$1:$1,0)-1)-2)&lt;&gt;"",OFFSET(貼り付け2!$A$1,$A8-1,OFFSET(貼り付け2!$A$1,ROW()-1,MATCH(T$1,貼り付け2!$1:$1,0)-1)-2)=OFFSET(貼り付け2!$A$1,$A8-1,OFFSET(貼り付け2!$A$1,ROW()-1,MATCH(T$1,貼り付け2!$1:$1,0)-1)-1)),
OFFSET(貼り付け2!$A$1,$A8-1,OFFSET(貼り付け2!$A$1,ROW()-1,MATCH(T$1,貼り付け2!$1:$1,0)-1)-2)&amp;"・"&amp;OFFSET(貼り付け2!$A$1,$A8-1,OFFSET(貼り付け2!$A$1,ROW()-1,MATCH(T$1,貼り付け2!$1:$1,0)-1)-1),),"")</f>
        <v/>
      </c>
      <c r="U8" t="e">
        <f ca="1">OFFSET(貼り付け1!$A$1,貼り付け1!$G7-1,3)</f>
        <v>#REF!</v>
      </c>
      <c r="V8" t="e">
        <f ca="1">OFFSET(貼り付け1!$A$1,貼り付け1!$F7-1,3)</f>
        <v>#REF!</v>
      </c>
      <c r="W8" t="str">
        <f ca="1">IFERROR(OFFSET(貼り付け2!$A$1,まとめ!$B8-1,OFFSET(貼り付け2!$A$1,ROW()-1,MATCH(W$1,貼り付け2!$1:$1,0)-1)-1),"")</f>
        <v/>
      </c>
    </row>
    <row r="9" spans="1:23" x14ac:dyDescent="0.45">
      <c r="A9" t="str">
        <f>貼り付け2!S9</f>
        <v/>
      </c>
      <c r="B9" t="str">
        <f>貼り付け2!R9</f>
        <v/>
      </c>
      <c r="C9" t="e">
        <f t="shared" ca="1" si="1"/>
        <v>#VALUE!</v>
      </c>
      <c r="D9" t="str">
        <f ca="1">IF(OFFSET(貼り付け2!$A$1,ROW()-1,MATCH(D$1,貼り付け2!$1:$1,0)-1)=2,
OFFSET(貼り付け2!$A$1,A9-2,OFFSET(貼り付け2!$A$1,ROW()-1,MATCH(D$1,貼り付け2!$1:$1,0)-1)-2)
&amp;OFFSET(貼り付け2!$A$1,A9-2,OFFSET(貼り付け2!$A$1,ROW()-1,MATCH(D$1,貼り付け2!$1:$1,0)-1)-1),
IF(OFFSET(貼り付け2!$A$1,ROW()-1,MATCH(D$1,貼り付け2!$1:$1,0)-1)=3,
OFFSET(貼り付け2!$A$1,A9-2,OFFSET(貼り付け2!$A$1,ROW()-1,MATCH(D$1,貼り付け2!$1:$1,0)-1)-3)
&amp;OFFSET(貼り付け2!$A$1,A9-2,OFFSET(貼り付け2!$A$1,ROW()-1,MATCH(D$1,貼り付け2!$1:$1,0)-1)-2)
&amp;OFFSET(貼り付け2!$A$1,A9-2,OFFSET(貼り付け2!$A$1,ROW()-1,MATCH(D$1,貼り付け2!$1:$1,0)-1)-1),""))</f>
        <v/>
      </c>
      <c r="E9" t="str">
        <f ca="1">IF(OFFSET(貼り付け2!$A$1,ROW()-1,MATCH(E$1,貼り付け2!$1:$1,0)-1)=2,
OFFSET(貼り付け2!$A$1,$A9-1,OFFSET(貼り付け2!$A$1,ROW()-1,MATCH(E$1,貼り付け2!$1:$1,0)-1)-2)&amp;"・"&amp;OFFSET(貼り付け2!$A$1,$A9-1,OFFSET(貼り付け2!$A$1,ROW()-1,MATCH(E$1,貼り付け2!$1:$1,0)-1)-1),
IF(OFFSET(貼り付け2!$A$1,ROW()-1,MATCH(E$1,貼り付け2!$1:$1,0)-1)=1,
OFFSET(貼り付け2!$A$1,$A9-1,OFFSET(貼り付け2!$A$1,ROW()-1,MATCH(E$1,貼り付け2!$1:$1,0)-1)-1),""))</f>
        <v/>
      </c>
      <c r="F9" t="e">
        <f ca="1">OFFSET(貼り付け1!$A$1,貼り付け1!$G8-1,0)</f>
        <v>#REF!</v>
      </c>
      <c r="G9" t="e">
        <f ca="1">OFFSET(貼り付け1!$A$1,貼り付け1!$F8-1,0)</f>
        <v>#REF!</v>
      </c>
      <c r="H9" t="str">
        <f ca="1">IFERROR(OFFSET(貼り付け2!$A$1,まとめ!$B9-1,OFFSET(貼り付け2!$A$1,ROW()-1,MATCH(H$1,貼り付け2!$1:$1,0)-1)-1),"")</f>
        <v/>
      </c>
      <c r="I9" t="e">
        <f ca="1">IF((OFFSET(貼り付け2!$A$1,ROW()-1,MATCH(I$1,貼り付け2!$1:$1,0)-1)-OFFSET(貼り付け2!$A$1,ROW()-1,MATCH(D$1,貼り付け2!$1:$1,0)-1))=2,
OFFSET(貼り付け2!$A$1,$A9-2,OFFSET(貼り付け2!$A$1,ROW()-1,MATCH(I$1,貼り付け2!$1:$1,0)-1)-2)
&amp;OFFSET(貼り付け2!$A$1,$A9-2,OFFSET(貼り付け2!$A$1,ROW()-1,MATCH(I$1,貼り付け2!$1:$1,0)-1)-1),
IF((OFFSET(貼り付け2!$A$1,ROW()-1,MATCH(I$1,貼り付け2!$1:$1,0)-1)-OFFSET(貼り付け2!$A$1,ROW()-1,MATCH(D$1,貼り付け2!$1:$1,0)-1))=3,
OFFSET(貼り付け2!$A$1,$A9-2,OFFSET(貼り付け2!$A$1,ROW()-1,MATCH(I$1,貼り付け2!$1:$1,0)-1)-3)
&amp;OFFSET(貼り付け2!$A$1,$A9-2,OFFSET(貼り付け2!$A$1,ROW()-1,MATCH(I$1,貼り付け2!$1:$1,0)-1)-2)
&amp;OFFSET(貼り付け2!$A$1,$A9-2,OFFSET(貼り付け2!$A$1,ROW()-1,MATCH(I$1,貼り付け2!$1:$1,0)-1)-1),""))</f>
        <v>#VALUE!</v>
      </c>
      <c r="J9" t="str">
        <f ca="1">IFERROR(
IF(OR(OFFSET(貼り付け2!$A$1,$A9-1,OFFSET(貼り付け2!$A$1,ROW()-1,MATCH(J$1,貼り付け2!$1:$1,0)-1)-2)&lt;&gt;"",OFFSET(貼り付け2!$A$1,$A9-1,OFFSET(貼り付け2!$A$1,ROW()-1,MATCH(J$1,貼り付け2!$1:$1,0)-1)-2)=OFFSET(貼り付け2!$A$1,$A9-1,OFFSET(貼り付け2!$A$1,ROW()-1,MATCH(J$1,貼り付け2!$1:$1,0)-1)-1)),
OFFSET(貼り付け2!$A$1,$A9-1,OFFSET(貼り付け2!$A$1,ROW()-1,MATCH(J$1,貼り付け2!$1:$1,0)-1)-2)&amp;"・"&amp;OFFSET(貼り付け2!$A$1,$A9-1,OFFSET(貼り付け2!$A$1,ROW()-1,MATCH(J$1,貼り付け2!$1:$1,0)-1)-1),),"")</f>
        <v/>
      </c>
      <c r="K9" t="e">
        <f ca="1">OFFSET(貼り付け1!$A$1,貼り付け1!$G8-1,1)</f>
        <v>#REF!</v>
      </c>
      <c r="L9" t="e">
        <f ca="1">OFFSET(貼り付け1!$A$1,貼り付け1!$F8-1,1)</f>
        <v>#REF!</v>
      </c>
      <c r="M9" t="str">
        <f ca="1">IFERROR(OFFSET(貼り付け2!$A$1,まとめ!$B9-1,OFFSET(貼り付け2!$A$1,ROW()-1,MATCH(M$1,貼り付け2!$1:$1,0)-1)-1),"")</f>
        <v/>
      </c>
      <c r="N9" t="str">
        <f ca="1">IF(OFFSET(貼り付け2!$A$1,ROW()-1,MATCH(N$1,貼り付け2!$1:$1,0)-1)&lt;&gt;"",
IF($C9=TRUE,
IF((OFFSET(貼り付け2!$A$1,ROW()-1,MATCH(N$1,貼り付け2!$1:$1,0)-1)-OFFSET(貼り付け2!$A$1,ROW()-1,MATCH(I$1,貼り付け2!$1:$1,0)-1))=2,
OFFSET(貼り付け2!$A$1,$A9-4,OFFSET(貼り付け2!$A$1,ROW()-1,MATCH(N$1,貼り付け2!$1:$1,0)-1)-2)
&amp;OFFSET(貼り付け2!$A$1,$A9-4,OFFSET(貼り付け2!$A$1,ROW()-1,MATCH(N$1,貼り付け2!$1:$1,0)-1)-1),
IF((OFFSET(貼り付け2!$A$1,ROW()-1,MATCH(N$1,貼り付け2!$1:$1,0)-1)-OFFSET(貼り付け2!$A$1,ROW()-1,MATCH(I$1,貼り付け2!$1:$1,0)-1))=3,
OFFSET(貼り付け2!$A$1,$A9-4,OFFSET(貼り付け2!$A$1,ROW()-1,MATCH(N$1,貼り付け2!$1:$1,0)-1)-3)
&amp;OFFSET(貼り付け2!$A$1,$A9-4,OFFSET(貼り付け2!$A$1,ROW()-1,MATCH(N$1,貼り付け2!$1:$1,0)-1)-2)
&amp;OFFSET(貼り付け2!$A$1,$A9-4,OFFSET(貼り付け2!$A$1,ROW()-1,MATCH(N$1,貼り付け2!$1:$1,0)-1)-1),"")),
IF((OFFSET(貼り付け2!$A$1,ROW()-1,MATCH(N$1,貼り付け2!$1:$1,0)-1)-OFFSET(貼り付け2!$A$1,ROW()-1,MATCH(I$1,貼り付け2!$1:$1,0)-1))=2,
OFFSET(貼り付け2!$A$1,$A9-2,OFFSET(貼り付け2!$A$1,ROW()-1,MATCH(N$1,貼り付け2!$1:$1,0)-1)-2)
&amp;OFFSET(貼り付け2!$A$1,$A9-2,OFFSET(貼り付け2!$A$1,ROW()-1,MATCH(N$1,貼り付け2!$1:$1,0)-1)-1),
IF((OFFSET(貼り付け2!$A$1,ROW()-1,MATCH(N$1,貼り付け2!$1:$1,0)-1)-OFFSET(貼り付け2!$A$1,ROW()-1,MATCH(I$1,貼り付け2!$1:$1,0)-1))=3,
OFFSET(貼り付け2!$A$1,$A9-2,OFFSET(貼り付け2!$A$1,ROW()-1,MATCH(N$1,貼り付け2!$1:$1,0)-1)-3)
&amp;OFFSET(貼り付け2!$A$1,$A9-2,OFFSET(貼り付け2!$A$1,ROW()-1,MATCH(N$1,貼り付け2!$1:$1,0)-1)-2)
&amp;OFFSET(貼り付け2!$A$1,$A9-2,OFFSET(貼り付け2!$A$1,ROW()-1,MATCH(N$1,貼り付け2!$1:$1,0)-1)-1),""))),
IF(OFFSET(貼り付け2!$A$1,ROW()-1,MATCH(N$1,貼り付け2!$1:$1,0)+1)=2,
OFFSET(貼り付け2!$A$1,$A9-3,OFFSET(貼り付け2!$A$1,ROW()-1,MATCH(N$1,貼り付け2!$1:$1,0)+1)-2)
&amp;OFFSET(貼り付け2!$A$1,$A9-3,OFFSET(貼り付け2!$A$1,ROW()-1,MATCH(N$1,貼り付け2!$1:$1,0)+1)-1),
IF(OFFSET(貼り付け2!$A$1,ROW()-1,MATCH(N$1,貼り付け2!$1:$1,0)+1)=3,
OFFSET(貼り付け2!$A$1,$A9-3,OFFSET(貼り付け2!$A$1,ROW()-1,MATCH(N$1,貼り付け2!$1:$1,0)+1)-3)
&amp;OFFSET(貼り付け2!$A$1,$A9-3,OFFSET(貼り付け2!$A$1,ROW()-1,MATCH(N$1,貼り付け2!$1:$1,0)+1)-2)
&amp;OFFSET(貼り付け2!$A$1,$A9-3,OFFSET(貼り付け2!$A$1,ROW()-1,MATCH(N$1,貼り付け2!$1:$1,0)+1)-1),"")))</f>
        <v/>
      </c>
      <c r="O9" t="str">
        <f ca="1">IFERROR(
IF(OR(OFFSET(貼り付け2!$A$1,$A9-1,OFFSET(貼り付け2!$A$1,ROW()-1,MATCH(O$1,貼り付け2!$1:$1,0)-1)-2)&lt;&gt;"",OFFSET(貼り付け2!$A$1,$A9-1,OFFSET(貼り付け2!$A$1,ROW()-1,MATCH(O$1,貼り付け2!$1:$1,0)-1)-2)=OFFSET(貼り付け2!$A$1,$A9-1,OFFSET(貼り付け2!$A$1,ROW()-1,MATCH(O$1,貼り付け2!$1:$1,0)-1)-1)),
OFFSET(貼り付け2!$A$1,$A9-1,OFFSET(貼り付け2!$A$1,ROW()-1,MATCH(O$1,貼り付け2!$1:$1,0)-1)-2)&amp;"・"&amp;OFFSET(貼り付け2!$A$1,$A9-1,OFFSET(貼り付け2!$A$1,ROW()-1,MATCH(O$1,貼り付け2!$1:$1,0)-1)-1),),"")</f>
        <v/>
      </c>
      <c r="P9" t="e">
        <f ca="1">OFFSET(貼り付け1!$A$1,貼り付け1!$G8-1,2)</f>
        <v>#REF!</v>
      </c>
      <c r="Q9" t="e">
        <f ca="1">OFFSET(貼り付け1!$A$1,貼り付け1!$F8-1,2)</f>
        <v>#REF!</v>
      </c>
      <c r="R9" t="str">
        <f ca="1">IFERROR(OFFSET(貼り付け2!$A$1,まとめ!$B9-1,OFFSET(貼り付け2!$A$1,ROW()-1,MATCH(R$1,貼り付け2!$1:$1,0)-1)-1),"")</f>
        <v/>
      </c>
      <c r="S9" t="str">
        <f ca="1">IF(OFFSET(貼り付け2!$A$1,ROW()-1,MATCH(S$1,貼り付け2!$1:$1,0)-1)&lt;&gt;"",
IF($C9=TRUE,
IF((OFFSET(貼り付け2!$A$1,ROW()-1,MATCH(S$1,貼り付け2!$1:$1,0)-1)-OFFSET(貼り付け2!$A$1,ROW()-1,MATCH(N$1,貼り付け2!$1:$1,0)-1))=2,
OFFSET(貼り付け2!$A$1,$A9-4,OFFSET(貼り付け2!$A$1,ROW()-1,MATCH(S$1,貼り付け2!$1:$1,0)-1)-2)
&amp;OFFSET(貼り付け2!$A$1,$A9-4,OFFSET(貼り付け2!$A$1,ROW()-1,MATCH(S$1,貼り付け2!$1:$1,0)-1)-1),
IF((OFFSET(貼り付け2!$A$1,ROW()-1,MATCH(S$1,貼り付け2!$1:$1,0)-1)-OFFSET(貼り付け2!$A$1,ROW()-1,MATCH(N$1,貼り付け2!$1:$1,0)-1))=3,
OFFSET(貼り付け2!$A$1,$A9-4,OFFSET(貼り付け2!$A$1,ROW()-1,MATCH(S$1,貼り付け2!$1:$1,0)-1)-3)
&amp;OFFSET(貼り付け2!$A$1,$A9-4,OFFSET(貼り付け2!$A$1,ROW()-1,MATCH(S$1,貼り付け2!$1:$1,0)-1)-2)
&amp;OFFSET(貼り付け2!$A$1,$A9-4,OFFSET(貼り付け2!$A$1,ROW()-1,MATCH(S$1,貼り付け2!$1:$1,0)-1)-1),"")),
IF((OFFSET(貼り付け2!$A$1,ROW()-1,MATCH(S$1,貼り付け2!$1:$1,0)-1)-OFFSET(貼り付け2!$A$1,ROW()-1,MATCH(N$1,貼り付け2!$1:$1,0)-1))=2,
OFFSET(貼り付け2!$A$1,$A9-2,OFFSET(貼り付け2!$A$1,ROW()-1,MATCH(S$1,貼り付け2!$1:$1,0)-1)-2)
&amp;OFFSET(貼り付け2!$A$1,$A9-2,OFFSET(貼り付け2!$A$1,ROW()-1,MATCH(S$1,貼り付け2!$1:$1,0)-1)-1),
IF((OFFSET(貼り付け2!$A$1,ROW()-1,MATCH(S$1,貼り付け2!$1:$1,0)-1)-OFFSET(貼り付け2!$A$1,ROW()-1,MATCH(N$1,貼り付け2!$1:$1,0)-1))=3,
OFFSET(貼り付け2!$A$1,$A9-2,OFFSET(貼り付け2!$A$1,ROW()-1,MATCH(S$1,貼り付け2!$1:$1,0)-1)-3)
&amp;OFFSET(貼り付け2!$A$1,$A9-2,OFFSET(貼り付け2!$A$1,ROW()-1,MATCH(S$1,貼り付け2!$1:$1,0)-1)-2)
&amp;OFFSET(貼り付け2!$A$1,$A9-2,OFFSET(貼り付け2!$A$1,ROW()-1,MATCH(S$1,貼り付け2!$1:$1,0)-1)-1),""))),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OFFSET(貼り付け2!$A$1,$A9-3,OFFSET(貼り付け2!$A$1,ROW()-1,MATCH(S$1,貼り付け2!$1:$1,0)+1)-2)
&amp;OFFSET(貼り付け2!$A$1,$A9-3,OFFSET(貼り付け2!$A$1,ROW()-1,MATCH(S$1,貼り付け2!$1:$1,0)+1)-1),
IF(OFFSET(貼り付け2!$A$1,ROW()-1,MATCH(S$1,貼り付け2!$1:$1,0)+1)-OFFSET(貼り付け2!$A$1,ROW()-1,MATCH(N$1,貼り付け2!$1:$1,0)+1)=3,
OFFSET(貼り付け2!$A$1,$A9-3,OFFSET(貼り付け2!$A$1,ROW()-1,MATCH(S$1,貼り付け2!$1:$1,0)+1)-3)
&amp;OFFSET(貼り付け2!$A$1,$A9-3,OFFSET(貼り付け2!$A$1,ROW()-1,MATCH(S$1,貼り付け2!$1:$1,0)+1)-2)
&amp;OFFSET(貼り付け2!$A$1,$A9-3,OFFSET(貼り付け2!$A$1,ROW()-1,MATCH(S$1,貼り付け2!$1:$1,0)+1)-1),"")),
IF(OFFSET(貼り付け2!$A$1,ROW()-1,MATCH(S$1,貼り付け2!$1:$1,0)+1)=2,
OFFSET(貼り付け2!$A$1,$A9-3,OFFSET(貼り付け2!$A$1,ROW()-1,MATCH(S$1,貼り付け2!$1:$1,0)+1)-2)
&amp;OFFSET(貼り付け2!$A$1,$A9-3,OFFSET(貼り付け2!$A$1,ROW()-1,MATCH(S$1,貼り付け2!$1:$1,0)+1)-1),
IF(OFFSET(貼り付け2!$A$1,ROW()-1,MATCH(S$1,貼り付け2!$1:$1,0)+1)=3,
OFFSET(貼り付け2!$A$1,$A9-3,OFFSET(貼り付け2!$A$1,ROW()-1,MATCH(S$1,貼り付け2!$1:$1,0)+1)-3)
&amp;OFFSET(貼り付け2!$A$1,$A9-3,OFFSET(貼り付け2!$A$1,ROW()-1,MATCH(S$1,貼り付け2!$1:$1,0)+1)-2)
&amp;OFFSET(貼り付け2!$A$1,$A9-3,OFFSET(貼り付け2!$A$1,ROW()-1,MATCH(S$1,貼り付け2!$1:$1,0)+1)-1),""))))</f>
        <v/>
      </c>
      <c r="T9" t="str">
        <f ca="1">IFERROR(
IF(OR(OFFSET(貼り付け2!$A$1,$A9-1,OFFSET(貼り付け2!$A$1,ROW()-1,MATCH(T$1,貼り付け2!$1:$1,0)-1)-2)&lt;&gt;"",OFFSET(貼り付け2!$A$1,$A9-1,OFFSET(貼り付け2!$A$1,ROW()-1,MATCH(T$1,貼り付け2!$1:$1,0)-1)-2)=OFFSET(貼り付け2!$A$1,$A9-1,OFFSET(貼り付け2!$A$1,ROW()-1,MATCH(T$1,貼り付け2!$1:$1,0)-1)-1)),
OFFSET(貼り付け2!$A$1,$A9-1,OFFSET(貼り付け2!$A$1,ROW()-1,MATCH(T$1,貼り付け2!$1:$1,0)-1)-2)&amp;"・"&amp;OFFSET(貼り付け2!$A$1,$A9-1,OFFSET(貼り付け2!$A$1,ROW()-1,MATCH(T$1,貼り付け2!$1:$1,0)-1)-1),),"")</f>
        <v/>
      </c>
      <c r="U9" t="e">
        <f ca="1">OFFSET(貼り付け1!$A$1,貼り付け1!$G8-1,3)</f>
        <v>#REF!</v>
      </c>
      <c r="V9" t="e">
        <f ca="1">OFFSET(貼り付け1!$A$1,貼り付け1!$F8-1,3)</f>
        <v>#REF!</v>
      </c>
      <c r="W9" t="str">
        <f ca="1">IFERROR(OFFSET(貼り付け2!$A$1,まとめ!$B9-1,OFFSET(貼り付け2!$A$1,ROW()-1,MATCH(W$1,貼り付け2!$1:$1,0)-1)-1),"")</f>
        <v/>
      </c>
    </row>
    <row r="10" spans="1:23" x14ac:dyDescent="0.45">
      <c r="A10" t="str">
        <f>貼り付け2!S10</f>
        <v/>
      </c>
      <c r="B10" t="str">
        <f>貼り付け2!R10</f>
        <v/>
      </c>
      <c r="C10" t="e">
        <f t="shared" ca="1" si="1"/>
        <v>#VALUE!</v>
      </c>
      <c r="D10" t="str">
        <f ca="1">IF(OFFSET(貼り付け2!$A$1,ROW()-1,MATCH(D$1,貼り付け2!$1:$1,0)-1)=2,
OFFSET(貼り付け2!$A$1,A10-2,OFFSET(貼り付け2!$A$1,ROW()-1,MATCH(D$1,貼り付け2!$1:$1,0)-1)-2)
&amp;OFFSET(貼り付け2!$A$1,A10-2,OFFSET(貼り付け2!$A$1,ROW()-1,MATCH(D$1,貼り付け2!$1:$1,0)-1)-1),
IF(OFFSET(貼り付け2!$A$1,ROW()-1,MATCH(D$1,貼り付け2!$1:$1,0)-1)=3,
OFFSET(貼り付け2!$A$1,A10-2,OFFSET(貼り付け2!$A$1,ROW()-1,MATCH(D$1,貼り付け2!$1:$1,0)-1)-3)
&amp;OFFSET(貼り付け2!$A$1,A10-2,OFFSET(貼り付け2!$A$1,ROW()-1,MATCH(D$1,貼り付け2!$1:$1,0)-1)-2)
&amp;OFFSET(貼り付け2!$A$1,A10-2,OFFSET(貼り付け2!$A$1,ROW()-1,MATCH(D$1,貼り付け2!$1:$1,0)-1)-1),""))</f>
        <v/>
      </c>
      <c r="E10" t="str">
        <f ca="1">IF(OFFSET(貼り付け2!$A$1,ROW()-1,MATCH(E$1,貼り付け2!$1:$1,0)-1)=2,
OFFSET(貼り付け2!$A$1,$A10-1,OFFSET(貼り付け2!$A$1,ROW()-1,MATCH(E$1,貼り付け2!$1:$1,0)-1)-2)&amp;"・"&amp;OFFSET(貼り付け2!$A$1,$A10-1,OFFSET(貼り付け2!$A$1,ROW()-1,MATCH(E$1,貼り付け2!$1:$1,0)-1)-1),
IF(OFFSET(貼り付け2!$A$1,ROW()-1,MATCH(E$1,貼り付け2!$1:$1,0)-1)=1,
OFFSET(貼り付け2!$A$1,$A10-1,OFFSET(貼り付け2!$A$1,ROW()-1,MATCH(E$1,貼り付け2!$1:$1,0)-1)-1),""))</f>
        <v/>
      </c>
      <c r="F10" t="e">
        <f ca="1">OFFSET(貼り付け1!$A$1,貼り付け1!$G9-1,0)</f>
        <v>#REF!</v>
      </c>
      <c r="G10" t="e">
        <f ca="1">OFFSET(貼り付け1!$A$1,貼り付け1!$F9-1,0)</f>
        <v>#REF!</v>
      </c>
      <c r="H10" t="str">
        <f ca="1">IFERROR(OFFSET(貼り付け2!$A$1,まとめ!$B10-1,OFFSET(貼り付け2!$A$1,ROW()-1,MATCH(H$1,貼り付け2!$1:$1,0)-1)-1),"")</f>
        <v/>
      </c>
      <c r="I10" t="e">
        <f ca="1">IF((OFFSET(貼り付け2!$A$1,ROW()-1,MATCH(I$1,貼り付け2!$1:$1,0)-1)-OFFSET(貼り付け2!$A$1,ROW()-1,MATCH(D$1,貼り付け2!$1:$1,0)-1))=2,
OFFSET(貼り付け2!$A$1,$A10-2,OFFSET(貼り付け2!$A$1,ROW()-1,MATCH(I$1,貼り付け2!$1:$1,0)-1)-2)
&amp;OFFSET(貼り付け2!$A$1,$A10-2,OFFSET(貼り付け2!$A$1,ROW()-1,MATCH(I$1,貼り付け2!$1:$1,0)-1)-1),
IF((OFFSET(貼り付け2!$A$1,ROW()-1,MATCH(I$1,貼り付け2!$1:$1,0)-1)-OFFSET(貼り付け2!$A$1,ROW()-1,MATCH(D$1,貼り付け2!$1:$1,0)-1))=3,
OFFSET(貼り付け2!$A$1,$A10-2,OFFSET(貼り付け2!$A$1,ROW()-1,MATCH(I$1,貼り付け2!$1:$1,0)-1)-3)
&amp;OFFSET(貼り付け2!$A$1,$A10-2,OFFSET(貼り付け2!$A$1,ROW()-1,MATCH(I$1,貼り付け2!$1:$1,0)-1)-2)
&amp;OFFSET(貼り付け2!$A$1,$A10-2,OFFSET(貼り付け2!$A$1,ROW()-1,MATCH(I$1,貼り付け2!$1:$1,0)-1)-1),""))</f>
        <v>#VALUE!</v>
      </c>
      <c r="J10" t="str">
        <f ca="1">IFERROR(
IF(OR(OFFSET(貼り付け2!$A$1,$A10-1,OFFSET(貼り付け2!$A$1,ROW()-1,MATCH(J$1,貼り付け2!$1:$1,0)-1)-2)&lt;&gt;"",OFFSET(貼り付け2!$A$1,$A10-1,OFFSET(貼り付け2!$A$1,ROW()-1,MATCH(J$1,貼り付け2!$1:$1,0)-1)-2)=OFFSET(貼り付け2!$A$1,$A10-1,OFFSET(貼り付け2!$A$1,ROW()-1,MATCH(J$1,貼り付け2!$1:$1,0)-1)-1)),
OFFSET(貼り付け2!$A$1,$A10-1,OFFSET(貼り付け2!$A$1,ROW()-1,MATCH(J$1,貼り付け2!$1:$1,0)-1)-2)&amp;"・"&amp;OFFSET(貼り付け2!$A$1,$A10-1,OFFSET(貼り付け2!$A$1,ROW()-1,MATCH(J$1,貼り付け2!$1:$1,0)-1)-1),),"")</f>
        <v/>
      </c>
      <c r="K10" t="e">
        <f ca="1">OFFSET(貼り付け1!$A$1,貼り付け1!$G9-1,1)</f>
        <v>#REF!</v>
      </c>
      <c r="L10" t="e">
        <f ca="1">OFFSET(貼り付け1!$A$1,貼り付け1!$F9-1,1)</f>
        <v>#REF!</v>
      </c>
      <c r="M10" t="str">
        <f ca="1">IFERROR(OFFSET(貼り付け2!$A$1,まとめ!$B10-1,OFFSET(貼り付け2!$A$1,ROW()-1,MATCH(M$1,貼り付け2!$1:$1,0)-1)-1),"")</f>
        <v/>
      </c>
      <c r="N10" t="str">
        <f ca="1">IF(OFFSET(貼り付け2!$A$1,ROW()-1,MATCH(N$1,貼り付け2!$1:$1,0)-1)&lt;&gt;"",
IF($C10=TRUE,
IF((OFFSET(貼り付け2!$A$1,ROW()-1,MATCH(N$1,貼り付け2!$1:$1,0)-1)-OFFSET(貼り付け2!$A$1,ROW()-1,MATCH(I$1,貼り付け2!$1:$1,0)-1))=2,
OFFSET(貼り付け2!$A$1,$A10-4,OFFSET(貼り付け2!$A$1,ROW()-1,MATCH(N$1,貼り付け2!$1:$1,0)-1)-2)
&amp;OFFSET(貼り付け2!$A$1,$A10-4,OFFSET(貼り付け2!$A$1,ROW()-1,MATCH(N$1,貼り付け2!$1:$1,0)-1)-1),
IF((OFFSET(貼り付け2!$A$1,ROW()-1,MATCH(N$1,貼り付け2!$1:$1,0)-1)-OFFSET(貼り付け2!$A$1,ROW()-1,MATCH(I$1,貼り付け2!$1:$1,0)-1))=3,
OFFSET(貼り付け2!$A$1,$A10-4,OFFSET(貼り付け2!$A$1,ROW()-1,MATCH(N$1,貼り付け2!$1:$1,0)-1)-3)
&amp;OFFSET(貼り付け2!$A$1,$A10-4,OFFSET(貼り付け2!$A$1,ROW()-1,MATCH(N$1,貼り付け2!$1:$1,0)-1)-2)
&amp;OFFSET(貼り付け2!$A$1,$A10-4,OFFSET(貼り付け2!$A$1,ROW()-1,MATCH(N$1,貼り付け2!$1:$1,0)-1)-1),"")),
IF((OFFSET(貼り付け2!$A$1,ROW()-1,MATCH(N$1,貼り付け2!$1:$1,0)-1)-OFFSET(貼り付け2!$A$1,ROW()-1,MATCH(I$1,貼り付け2!$1:$1,0)-1))=2,
OFFSET(貼り付け2!$A$1,$A10-2,OFFSET(貼り付け2!$A$1,ROW()-1,MATCH(N$1,貼り付け2!$1:$1,0)-1)-2)
&amp;OFFSET(貼り付け2!$A$1,$A10-2,OFFSET(貼り付け2!$A$1,ROW()-1,MATCH(N$1,貼り付け2!$1:$1,0)-1)-1),
IF((OFFSET(貼り付け2!$A$1,ROW()-1,MATCH(N$1,貼り付け2!$1:$1,0)-1)-OFFSET(貼り付け2!$A$1,ROW()-1,MATCH(I$1,貼り付け2!$1:$1,0)-1))=3,
OFFSET(貼り付け2!$A$1,$A10-2,OFFSET(貼り付け2!$A$1,ROW()-1,MATCH(N$1,貼り付け2!$1:$1,0)-1)-3)
&amp;OFFSET(貼り付け2!$A$1,$A10-2,OFFSET(貼り付け2!$A$1,ROW()-1,MATCH(N$1,貼り付け2!$1:$1,0)-1)-2)
&amp;OFFSET(貼り付け2!$A$1,$A10-2,OFFSET(貼り付け2!$A$1,ROW()-1,MATCH(N$1,貼り付け2!$1:$1,0)-1)-1),""))),
IF(OFFSET(貼り付け2!$A$1,ROW()-1,MATCH(N$1,貼り付け2!$1:$1,0)+1)=2,
OFFSET(貼り付け2!$A$1,$A10-3,OFFSET(貼り付け2!$A$1,ROW()-1,MATCH(N$1,貼り付け2!$1:$1,0)+1)-2)
&amp;OFFSET(貼り付け2!$A$1,$A10-3,OFFSET(貼り付け2!$A$1,ROW()-1,MATCH(N$1,貼り付け2!$1:$1,0)+1)-1),
IF(OFFSET(貼り付け2!$A$1,ROW()-1,MATCH(N$1,貼り付け2!$1:$1,0)+1)=3,
OFFSET(貼り付け2!$A$1,$A10-3,OFFSET(貼り付け2!$A$1,ROW()-1,MATCH(N$1,貼り付け2!$1:$1,0)+1)-3)
&amp;OFFSET(貼り付け2!$A$1,$A10-3,OFFSET(貼り付け2!$A$1,ROW()-1,MATCH(N$1,貼り付け2!$1:$1,0)+1)-2)
&amp;OFFSET(貼り付け2!$A$1,$A10-3,OFFSET(貼り付け2!$A$1,ROW()-1,MATCH(N$1,貼り付け2!$1:$1,0)+1)-1),"")))</f>
        <v/>
      </c>
      <c r="O10" t="str">
        <f ca="1">IFERROR(
IF(OR(OFFSET(貼り付け2!$A$1,$A10-1,OFFSET(貼り付け2!$A$1,ROW()-1,MATCH(O$1,貼り付け2!$1:$1,0)-1)-2)&lt;&gt;"",OFFSET(貼り付け2!$A$1,$A10-1,OFFSET(貼り付け2!$A$1,ROW()-1,MATCH(O$1,貼り付け2!$1:$1,0)-1)-2)=OFFSET(貼り付け2!$A$1,$A10-1,OFFSET(貼り付け2!$A$1,ROW()-1,MATCH(O$1,貼り付け2!$1:$1,0)-1)-1)),
OFFSET(貼り付け2!$A$1,$A10-1,OFFSET(貼り付け2!$A$1,ROW()-1,MATCH(O$1,貼り付け2!$1:$1,0)-1)-2)&amp;"・"&amp;OFFSET(貼り付け2!$A$1,$A10-1,OFFSET(貼り付け2!$A$1,ROW()-1,MATCH(O$1,貼り付け2!$1:$1,0)-1)-1),),"")</f>
        <v/>
      </c>
      <c r="P10" t="e">
        <f ca="1">OFFSET(貼り付け1!$A$1,貼り付け1!$G9-1,2)</f>
        <v>#REF!</v>
      </c>
      <c r="Q10" t="e">
        <f ca="1">OFFSET(貼り付け1!$A$1,貼り付け1!$F9-1,2)</f>
        <v>#REF!</v>
      </c>
      <c r="R10" t="str">
        <f ca="1">IFERROR(OFFSET(貼り付け2!$A$1,まとめ!$B10-1,OFFSET(貼り付け2!$A$1,ROW()-1,MATCH(R$1,貼り付け2!$1:$1,0)-1)-1),"")</f>
        <v/>
      </c>
      <c r="S10" t="str">
        <f ca="1">IF(OFFSET(貼り付け2!$A$1,ROW()-1,MATCH(S$1,貼り付け2!$1:$1,0)-1)&lt;&gt;"",
IF($C10=TRUE,
IF((OFFSET(貼り付け2!$A$1,ROW()-1,MATCH(S$1,貼り付け2!$1:$1,0)-1)-OFFSET(貼り付け2!$A$1,ROW()-1,MATCH(N$1,貼り付け2!$1:$1,0)-1))=2,
OFFSET(貼り付け2!$A$1,$A10-4,OFFSET(貼り付け2!$A$1,ROW()-1,MATCH(S$1,貼り付け2!$1:$1,0)-1)-2)
&amp;OFFSET(貼り付け2!$A$1,$A10-4,OFFSET(貼り付け2!$A$1,ROW()-1,MATCH(S$1,貼り付け2!$1:$1,0)-1)-1),
IF((OFFSET(貼り付け2!$A$1,ROW()-1,MATCH(S$1,貼り付け2!$1:$1,0)-1)-OFFSET(貼り付け2!$A$1,ROW()-1,MATCH(N$1,貼り付け2!$1:$1,0)-1))=3,
OFFSET(貼り付け2!$A$1,$A10-4,OFFSET(貼り付け2!$A$1,ROW()-1,MATCH(S$1,貼り付け2!$1:$1,0)-1)-3)
&amp;OFFSET(貼り付け2!$A$1,$A10-4,OFFSET(貼り付け2!$A$1,ROW()-1,MATCH(S$1,貼り付け2!$1:$1,0)-1)-2)
&amp;OFFSET(貼り付け2!$A$1,$A10-4,OFFSET(貼り付け2!$A$1,ROW()-1,MATCH(S$1,貼り付け2!$1:$1,0)-1)-1),"")),
IF((OFFSET(貼り付け2!$A$1,ROW()-1,MATCH(S$1,貼り付け2!$1:$1,0)-1)-OFFSET(貼り付け2!$A$1,ROW()-1,MATCH(N$1,貼り付け2!$1:$1,0)-1))=2,
OFFSET(貼り付け2!$A$1,$A10-2,OFFSET(貼り付け2!$A$1,ROW()-1,MATCH(S$1,貼り付け2!$1:$1,0)-1)-2)
&amp;OFFSET(貼り付け2!$A$1,$A10-2,OFFSET(貼り付け2!$A$1,ROW()-1,MATCH(S$1,貼り付け2!$1:$1,0)-1)-1),
IF((OFFSET(貼り付け2!$A$1,ROW()-1,MATCH(S$1,貼り付け2!$1:$1,0)-1)-OFFSET(貼り付け2!$A$1,ROW()-1,MATCH(N$1,貼り付け2!$1:$1,0)-1))=3,
OFFSET(貼り付け2!$A$1,$A10-2,OFFSET(貼り付け2!$A$1,ROW()-1,MATCH(S$1,貼り付け2!$1:$1,0)-1)-3)
&amp;OFFSET(貼り付け2!$A$1,$A10-2,OFFSET(貼り付け2!$A$1,ROW()-1,MATCH(S$1,貼り付け2!$1:$1,0)-1)-2)
&amp;OFFSET(貼り付け2!$A$1,$A10-2,OFFSET(貼り付け2!$A$1,ROW()-1,MATCH(S$1,貼り付け2!$1:$1,0)-1)-1),""))),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OFFSET(貼り付け2!$A$1,$A10-3,OFFSET(貼り付け2!$A$1,ROW()-1,MATCH(S$1,貼り付け2!$1:$1,0)+1)-2)
&amp;OFFSET(貼り付け2!$A$1,$A10-3,OFFSET(貼り付け2!$A$1,ROW()-1,MATCH(S$1,貼り付け2!$1:$1,0)+1)-1),
IF(OFFSET(貼り付け2!$A$1,ROW()-1,MATCH(S$1,貼り付け2!$1:$1,0)+1)-OFFSET(貼り付け2!$A$1,ROW()-1,MATCH(N$1,貼り付け2!$1:$1,0)+1)=3,
OFFSET(貼り付け2!$A$1,$A10-3,OFFSET(貼り付け2!$A$1,ROW()-1,MATCH(S$1,貼り付け2!$1:$1,0)+1)-3)
&amp;OFFSET(貼り付け2!$A$1,$A10-3,OFFSET(貼り付け2!$A$1,ROW()-1,MATCH(S$1,貼り付け2!$1:$1,0)+1)-2)
&amp;OFFSET(貼り付け2!$A$1,$A10-3,OFFSET(貼り付け2!$A$1,ROW()-1,MATCH(S$1,貼り付け2!$1:$1,0)+1)-1),"")),
IF(OFFSET(貼り付け2!$A$1,ROW()-1,MATCH(S$1,貼り付け2!$1:$1,0)+1)=2,
OFFSET(貼り付け2!$A$1,$A10-3,OFFSET(貼り付け2!$A$1,ROW()-1,MATCH(S$1,貼り付け2!$1:$1,0)+1)-2)
&amp;OFFSET(貼り付け2!$A$1,$A10-3,OFFSET(貼り付け2!$A$1,ROW()-1,MATCH(S$1,貼り付け2!$1:$1,0)+1)-1),
IF(OFFSET(貼り付け2!$A$1,ROW()-1,MATCH(S$1,貼り付け2!$1:$1,0)+1)=3,
OFFSET(貼り付け2!$A$1,$A10-3,OFFSET(貼り付け2!$A$1,ROW()-1,MATCH(S$1,貼り付け2!$1:$1,0)+1)-3)
&amp;OFFSET(貼り付け2!$A$1,$A10-3,OFFSET(貼り付け2!$A$1,ROW()-1,MATCH(S$1,貼り付け2!$1:$1,0)+1)-2)
&amp;OFFSET(貼り付け2!$A$1,$A10-3,OFFSET(貼り付け2!$A$1,ROW()-1,MATCH(S$1,貼り付け2!$1:$1,0)+1)-1),""))))</f>
        <v/>
      </c>
      <c r="T10" t="str">
        <f ca="1">IFERROR(
IF(OR(OFFSET(貼り付け2!$A$1,$A10-1,OFFSET(貼り付け2!$A$1,ROW()-1,MATCH(T$1,貼り付け2!$1:$1,0)-1)-2)&lt;&gt;"",OFFSET(貼り付け2!$A$1,$A10-1,OFFSET(貼り付け2!$A$1,ROW()-1,MATCH(T$1,貼り付け2!$1:$1,0)-1)-2)=OFFSET(貼り付け2!$A$1,$A10-1,OFFSET(貼り付け2!$A$1,ROW()-1,MATCH(T$1,貼り付け2!$1:$1,0)-1)-1)),
OFFSET(貼り付け2!$A$1,$A10-1,OFFSET(貼り付け2!$A$1,ROW()-1,MATCH(T$1,貼り付け2!$1:$1,0)-1)-2)&amp;"・"&amp;OFFSET(貼り付け2!$A$1,$A10-1,OFFSET(貼り付け2!$A$1,ROW()-1,MATCH(T$1,貼り付け2!$1:$1,0)-1)-1),),"")</f>
        <v/>
      </c>
      <c r="U10" t="e">
        <f ca="1">OFFSET(貼り付け1!$A$1,貼り付け1!$G9-1,3)</f>
        <v>#REF!</v>
      </c>
      <c r="V10" t="e">
        <f ca="1">OFFSET(貼り付け1!$A$1,貼り付け1!$F9-1,3)</f>
        <v>#REF!</v>
      </c>
      <c r="W10" t="str">
        <f ca="1">IFERROR(OFFSET(貼り付け2!$A$1,まとめ!$B10-1,OFFSET(貼り付け2!$A$1,ROW()-1,MATCH(W$1,貼り付け2!$1:$1,0)-1)-1),"")</f>
        <v/>
      </c>
    </row>
    <row r="11" spans="1:23" x14ac:dyDescent="0.45">
      <c r="A11" t="str">
        <f>貼り付け2!S11</f>
        <v/>
      </c>
      <c r="B11" t="str">
        <f>貼り付け2!R11</f>
        <v/>
      </c>
      <c r="C11" t="e">
        <f t="shared" ca="1" si="1"/>
        <v>#VALUE!</v>
      </c>
      <c r="D11" t="str">
        <f ca="1">IF(OFFSET(貼り付け2!$A$1,ROW()-1,MATCH(D$1,貼り付け2!$1:$1,0)-1)=2,
OFFSET(貼り付け2!$A$1,A11-2,OFFSET(貼り付け2!$A$1,ROW()-1,MATCH(D$1,貼り付け2!$1:$1,0)-1)-2)
&amp;OFFSET(貼り付け2!$A$1,A11-2,OFFSET(貼り付け2!$A$1,ROW()-1,MATCH(D$1,貼り付け2!$1:$1,0)-1)-1),
IF(OFFSET(貼り付け2!$A$1,ROW()-1,MATCH(D$1,貼り付け2!$1:$1,0)-1)=3,
OFFSET(貼り付け2!$A$1,A11-2,OFFSET(貼り付け2!$A$1,ROW()-1,MATCH(D$1,貼り付け2!$1:$1,0)-1)-3)
&amp;OFFSET(貼り付け2!$A$1,A11-2,OFFSET(貼り付け2!$A$1,ROW()-1,MATCH(D$1,貼り付け2!$1:$1,0)-1)-2)
&amp;OFFSET(貼り付け2!$A$1,A11-2,OFFSET(貼り付け2!$A$1,ROW()-1,MATCH(D$1,貼り付け2!$1:$1,0)-1)-1),""))</f>
        <v/>
      </c>
      <c r="E11" t="str">
        <f ca="1">IF(OFFSET(貼り付け2!$A$1,ROW()-1,MATCH(E$1,貼り付け2!$1:$1,0)-1)=2,
OFFSET(貼り付け2!$A$1,$A11-1,OFFSET(貼り付け2!$A$1,ROW()-1,MATCH(E$1,貼り付け2!$1:$1,0)-1)-2)&amp;"・"&amp;OFFSET(貼り付け2!$A$1,$A11-1,OFFSET(貼り付け2!$A$1,ROW()-1,MATCH(E$1,貼り付け2!$1:$1,0)-1)-1),
IF(OFFSET(貼り付け2!$A$1,ROW()-1,MATCH(E$1,貼り付け2!$1:$1,0)-1)=1,
OFFSET(貼り付け2!$A$1,$A11-1,OFFSET(貼り付け2!$A$1,ROW()-1,MATCH(E$1,貼り付け2!$1:$1,0)-1)-1),""))</f>
        <v/>
      </c>
      <c r="F11" t="e">
        <f ca="1">OFFSET(貼り付け1!$A$1,貼り付け1!$G10-1,0)</f>
        <v>#REF!</v>
      </c>
      <c r="G11" t="e">
        <f ca="1">OFFSET(貼り付け1!$A$1,貼り付け1!$F10-1,0)</f>
        <v>#REF!</v>
      </c>
      <c r="H11" t="str">
        <f ca="1">IFERROR(OFFSET(貼り付け2!$A$1,まとめ!$B11-1,OFFSET(貼り付け2!$A$1,ROW()-1,MATCH(H$1,貼り付け2!$1:$1,0)-1)-1),"")</f>
        <v/>
      </c>
      <c r="I11" t="e">
        <f ca="1">IF((OFFSET(貼り付け2!$A$1,ROW()-1,MATCH(I$1,貼り付け2!$1:$1,0)-1)-OFFSET(貼り付け2!$A$1,ROW()-1,MATCH(D$1,貼り付け2!$1:$1,0)-1))=2,
OFFSET(貼り付け2!$A$1,$A11-2,OFFSET(貼り付け2!$A$1,ROW()-1,MATCH(I$1,貼り付け2!$1:$1,0)-1)-2)
&amp;OFFSET(貼り付け2!$A$1,$A11-2,OFFSET(貼り付け2!$A$1,ROW()-1,MATCH(I$1,貼り付け2!$1:$1,0)-1)-1),
IF((OFFSET(貼り付け2!$A$1,ROW()-1,MATCH(I$1,貼り付け2!$1:$1,0)-1)-OFFSET(貼り付け2!$A$1,ROW()-1,MATCH(D$1,貼り付け2!$1:$1,0)-1))=3,
OFFSET(貼り付け2!$A$1,$A11-2,OFFSET(貼り付け2!$A$1,ROW()-1,MATCH(I$1,貼り付け2!$1:$1,0)-1)-3)
&amp;OFFSET(貼り付け2!$A$1,$A11-2,OFFSET(貼り付け2!$A$1,ROW()-1,MATCH(I$1,貼り付け2!$1:$1,0)-1)-2)
&amp;OFFSET(貼り付け2!$A$1,$A11-2,OFFSET(貼り付け2!$A$1,ROW()-1,MATCH(I$1,貼り付け2!$1:$1,0)-1)-1),""))</f>
        <v>#VALUE!</v>
      </c>
      <c r="J11" t="str">
        <f ca="1">IFERROR(
IF(OR(OFFSET(貼り付け2!$A$1,$A11-1,OFFSET(貼り付け2!$A$1,ROW()-1,MATCH(J$1,貼り付け2!$1:$1,0)-1)-2)&lt;&gt;"",OFFSET(貼り付け2!$A$1,$A11-1,OFFSET(貼り付け2!$A$1,ROW()-1,MATCH(J$1,貼り付け2!$1:$1,0)-1)-2)=OFFSET(貼り付け2!$A$1,$A11-1,OFFSET(貼り付け2!$A$1,ROW()-1,MATCH(J$1,貼り付け2!$1:$1,0)-1)-1)),
OFFSET(貼り付け2!$A$1,$A11-1,OFFSET(貼り付け2!$A$1,ROW()-1,MATCH(J$1,貼り付け2!$1:$1,0)-1)-2)&amp;"・"&amp;OFFSET(貼り付け2!$A$1,$A11-1,OFFSET(貼り付け2!$A$1,ROW()-1,MATCH(J$1,貼り付け2!$1:$1,0)-1)-1),),"")</f>
        <v/>
      </c>
      <c r="K11" t="e">
        <f ca="1">OFFSET(貼り付け1!$A$1,貼り付け1!$G10-1,1)</f>
        <v>#REF!</v>
      </c>
      <c r="L11" t="e">
        <f ca="1">OFFSET(貼り付け1!$A$1,貼り付け1!$F10-1,1)</f>
        <v>#REF!</v>
      </c>
      <c r="M11" t="str">
        <f ca="1">IFERROR(OFFSET(貼り付け2!$A$1,まとめ!$B11-1,OFFSET(貼り付け2!$A$1,ROW()-1,MATCH(M$1,貼り付け2!$1:$1,0)-1)-1),"")</f>
        <v/>
      </c>
      <c r="N11" t="str">
        <f ca="1">IF(OFFSET(貼り付け2!$A$1,ROW()-1,MATCH(N$1,貼り付け2!$1:$1,0)-1)&lt;&gt;"",
IF($C11=TRUE,
IF((OFFSET(貼り付け2!$A$1,ROW()-1,MATCH(N$1,貼り付け2!$1:$1,0)-1)-OFFSET(貼り付け2!$A$1,ROW()-1,MATCH(I$1,貼り付け2!$1:$1,0)-1))=2,
OFFSET(貼り付け2!$A$1,$A11-4,OFFSET(貼り付け2!$A$1,ROW()-1,MATCH(N$1,貼り付け2!$1:$1,0)-1)-2)
&amp;OFFSET(貼り付け2!$A$1,$A11-4,OFFSET(貼り付け2!$A$1,ROW()-1,MATCH(N$1,貼り付け2!$1:$1,0)-1)-1),
IF((OFFSET(貼り付け2!$A$1,ROW()-1,MATCH(N$1,貼り付け2!$1:$1,0)-1)-OFFSET(貼り付け2!$A$1,ROW()-1,MATCH(I$1,貼り付け2!$1:$1,0)-1))=3,
OFFSET(貼り付け2!$A$1,$A11-4,OFFSET(貼り付け2!$A$1,ROW()-1,MATCH(N$1,貼り付け2!$1:$1,0)-1)-3)
&amp;OFFSET(貼り付け2!$A$1,$A11-4,OFFSET(貼り付け2!$A$1,ROW()-1,MATCH(N$1,貼り付け2!$1:$1,0)-1)-2)
&amp;OFFSET(貼り付け2!$A$1,$A11-4,OFFSET(貼り付け2!$A$1,ROW()-1,MATCH(N$1,貼り付け2!$1:$1,0)-1)-1),"")),
IF((OFFSET(貼り付け2!$A$1,ROW()-1,MATCH(N$1,貼り付け2!$1:$1,0)-1)-OFFSET(貼り付け2!$A$1,ROW()-1,MATCH(I$1,貼り付け2!$1:$1,0)-1))=2,
OFFSET(貼り付け2!$A$1,$A11-2,OFFSET(貼り付け2!$A$1,ROW()-1,MATCH(N$1,貼り付け2!$1:$1,0)-1)-2)
&amp;OFFSET(貼り付け2!$A$1,$A11-2,OFFSET(貼り付け2!$A$1,ROW()-1,MATCH(N$1,貼り付け2!$1:$1,0)-1)-1),
IF((OFFSET(貼り付け2!$A$1,ROW()-1,MATCH(N$1,貼り付け2!$1:$1,0)-1)-OFFSET(貼り付け2!$A$1,ROW()-1,MATCH(I$1,貼り付け2!$1:$1,0)-1))=3,
OFFSET(貼り付け2!$A$1,$A11-2,OFFSET(貼り付け2!$A$1,ROW()-1,MATCH(N$1,貼り付け2!$1:$1,0)-1)-3)
&amp;OFFSET(貼り付け2!$A$1,$A11-2,OFFSET(貼り付け2!$A$1,ROW()-1,MATCH(N$1,貼り付け2!$1:$1,0)-1)-2)
&amp;OFFSET(貼り付け2!$A$1,$A11-2,OFFSET(貼り付け2!$A$1,ROW()-1,MATCH(N$1,貼り付け2!$1:$1,0)-1)-1),""))),
IF(OFFSET(貼り付け2!$A$1,ROW()-1,MATCH(N$1,貼り付け2!$1:$1,0)+1)=2,
OFFSET(貼り付け2!$A$1,$A11-3,OFFSET(貼り付け2!$A$1,ROW()-1,MATCH(N$1,貼り付け2!$1:$1,0)+1)-2)
&amp;OFFSET(貼り付け2!$A$1,$A11-3,OFFSET(貼り付け2!$A$1,ROW()-1,MATCH(N$1,貼り付け2!$1:$1,0)+1)-1),
IF(OFFSET(貼り付け2!$A$1,ROW()-1,MATCH(N$1,貼り付け2!$1:$1,0)+1)=3,
OFFSET(貼り付け2!$A$1,$A11-3,OFFSET(貼り付け2!$A$1,ROW()-1,MATCH(N$1,貼り付け2!$1:$1,0)+1)-3)
&amp;OFFSET(貼り付け2!$A$1,$A11-3,OFFSET(貼り付け2!$A$1,ROW()-1,MATCH(N$1,貼り付け2!$1:$1,0)+1)-2)
&amp;OFFSET(貼り付け2!$A$1,$A11-3,OFFSET(貼り付け2!$A$1,ROW()-1,MATCH(N$1,貼り付け2!$1:$1,0)+1)-1),"")))</f>
        <v/>
      </c>
      <c r="O11" t="str">
        <f ca="1">IFERROR(
IF(OR(OFFSET(貼り付け2!$A$1,$A11-1,OFFSET(貼り付け2!$A$1,ROW()-1,MATCH(O$1,貼り付け2!$1:$1,0)-1)-2)&lt;&gt;"",OFFSET(貼り付け2!$A$1,$A11-1,OFFSET(貼り付け2!$A$1,ROW()-1,MATCH(O$1,貼り付け2!$1:$1,0)-1)-2)=OFFSET(貼り付け2!$A$1,$A11-1,OFFSET(貼り付け2!$A$1,ROW()-1,MATCH(O$1,貼り付け2!$1:$1,0)-1)-1)),
OFFSET(貼り付け2!$A$1,$A11-1,OFFSET(貼り付け2!$A$1,ROW()-1,MATCH(O$1,貼り付け2!$1:$1,0)-1)-2)&amp;"・"&amp;OFFSET(貼り付け2!$A$1,$A11-1,OFFSET(貼り付け2!$A$1,ROW()-1,MATCH(O$1,貼り付け2!$1:$1,0)-1)-1),),"")</f>
        <v/>
      </c>
      <c r="P11" t="e">
        <f ca="1">OFFSET(貼り付け1!$A$1,貼り付け1!$G10-1,2)</f>
        <v>#REF!</v>
      </c>
      <c r="Q11" t="e">
        <f ca="1">OFFSET(貼り付け1!$A$1,貼り付け1!$F10-1,2)</f>
        <v>#REF!</v>
      </c>
      <c r="R11" t="str">
        <f ca="1">IFERROR(OFFSET(貼り付け2!$A$1,まとめ!$B11-1,OFFSET(貼り付け2!$A$1,ROW()-1,MATCH(R$1,貼り付け2!$1:$1,0)-1)-1),"")</f>
        <v/>
      </c>
      <c r="S11" t="str">
        <f ca="1">IF(OFFSET(貼り付け2!$A$1,ROW()-1,MATCH(S$1,貼り付け2!$1:$1,0)-1)&lt;&gt;"",
IF($C11=TRUE,
IF((OFFSET(貼り付け2!$A$1,ROW()-1,MATCH(S$1,貼り付け2!$1:$1,0)-1)-OFFSET(貼り付け2!$A$1,ROW()-1,MATCH(N$1,貼り付け2!$1:$1,0)-1))=2,
OFFSET(貼り付け2!$A$1,$A11-4,OFFSET(貼り付け2!$A$1,ROW()-1,MATCH(S$1,貼り付け2!$1:$1,0)-1)-2)
&amp;OFFSET(貼り付け2!$A$1,$A11-4,OFFSET(貼り付け2!$A$1,ROW()-1,MATCH(S$1,貼り付け2!$1:$1,0)-1)-1),
IF((OFFSET(貼り付け2!$A$1,ROW()-1,MATCH(S$1,貼り付け2!$1:$1,0)-1)-OFFSET(貼り付け2!$A$1,ROW()-1,MATCH(N$1,貼り付け2!$1:$1,0)-1))=3,
OFFSET(貼り付け2!$A$1,$A11-4,OFFSET(貼り付け2!$A$1,ROW()-1,MATCH(S$1,貼り付け2!$1:$1,0)-1)-3)
&amp;OFFSET(貼り付け2!$A$1,$A11-4,OFFSET(貼り付け2!$A$1,ROW()-1,MATCH(S$1,貼り付け2!$1:$1,0)-1)-2)
&amp;OFFSET(貼り付け2!$A$1,$A11-4,OFFSET(貼り付け2!$A$1,ROW()-1,MATCH(S$1,貼り付け2!$1:$1,0)-1)-1),"")),
IF((OFFSET(貼り付け2!$A$1,ROW()-1,MATCH(S$1,貼り付け2!$1:$1,0)-1)-OFFSET(貼り付け2!$A$1,ROW()-1,MATCH(N$1,貼り付け2!$1:$1,0)-1))=2,
OFFSET(貼り付け2!$A$1,$A11-2,OFFSET(貼り付け2!$A$1,ROW()-1,MATCH(S$1,貼り付け2!$1:$1,0)-1)-2)
&amp;OFFSET(貼り付け2!$A$1,$A11-2,OFFSET(貼り付け2!$A$1,ROW()-1,MATCH(S$1,貼り付け2!$1:$1,0)-1)-1),
IF((OFFSET(貼り付け2!$A$1,ROW()-1,MATCH(S$1,貼り付け2!$1:$1,0)-1)-OFFSET(貼り付け2!$A$1,ROW()-1,MATCH(N$1,貼り付け2!$1:$1,0)-1))=3,
OFFSET(貼り付け2!$A$1,$A11-2,OFFSET(貼り付け2!$A$1,ROW()-1,MATCH(S$1,貼り付け2!$1:$1,0)-1)-3)
&amp;OFFSET(貼り付け2!$A$1,$A11-2,OFFSET(貼り付け2!$A$1,ROW()-1,MATCH(S$1,貼り付け2!$1:$1,0)-1)-2)
&amp;OFFSET(貼り付け2!$A$1,$A11-2,OFFSET(貼り付け2!$A$1,ROW()-1,MATCH(S$1,貼り付け2!$1:$1,0)-1)-1),""))),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OFFSET(貼り付け2!$A$1,$A11-3,OFFSET(貼り付け2!$A$1,ROW()-1,MATCH(S$1,貼り付け2!$1:$1,0)+1)-2)
&amp;OFFSET(貼り付け2!$A$1,$A11-3,OFFSET(貼り付け2!$A$1,ROW()-1,MATCH(S$1,貼り付け2!$1:$1,0)+1)-1),
IF(OFFSET(貼り付け2!$A$1,ROW()-1,MATCH(S$1,貼り付け2!$1:$1,0)+1)-OFFSET(貼り付け2!$A$1,ROW()-1,MATCH(N$1,貼り付け2!$1:$1,0)+1)=3,
OFFSET(貼り付け2!$A$1,$A11-3,OFFSET(貼り付け2!$A$1,ROW()-1,MATCH(S$1,貼り付け2!$1:$1,0)+1)-3)
&amp;OFFSET(貼り付け2!$A$1,$A11-3,OFFSET(貼り付け2!$A$1,ROW()-1,MATCH(S$1,貼り付け2!$1:$1,0)+1)-2)
&amp;OFFSET(貼り付け2!$A$1,$A11-3,OFFSET(貼り付け2!$A$1,ROW()-1,MATCH(S$1,貼り付け2!$1:$1,0)+1)-1),"")),
IF(OFFSET(貼り付け2!$A$1,ROW()-1,MATCH(S$1,貼り付け2!$1:$1,0)+1)=2,
OFFSET(貼り付け2!$A$1,$A11-3,OFFSET(貼り付け2!$A$1,ROW()-1,MATCH(S$1,貼り付け2!$1:$1,0)+1)-2)
&amp;OFFSET(貼り付け2!$A$1,$A11-3,OFFSET(貼り付け2!$A$1,ROW()-1,MATCH(S$1,貼り付け2!$1:$1,0)+1)-1),
IF(OFFSET(貼り付け2!$A$1,ROW()-1,MATCH(S$1,貼り付け2!$1:$1,0)+1)=3,
OFFSET(貼り付け2!$A$1,$A11-3,OFFSET(貼り付け2!$A$1,ROW()-1,MATCH(S$1,貼り付け2!$1:$1,0)+1)-3)
&amp;OFFSET(貼り付け2!$A$1,$A11-3,OFFSET(貼り付け2!$A$1,ROW()-1,MATCH(S$1,貼り付け2!$1:$1,0)+1)-2)
&amp;OFFSET(貼り付け2!$A$1,$A11-3,OFFSET(貼り付け2!$A$1,ROW()-1,MATCH(S$1,貼り付け2!$1:$1,0)+1)-1),""))))</f>
        <v/>
      </c>
      <c r="T11" t="str">
        <f ca="1">IFERROR(
IF(OR(OFFSET(貼り付け2!$A$1,$A11-1,OFFSET(貼り付け2!$A$1,ROW()-1,MATCH(T$1,貼り付け2!$1:$1,0)-1)-2)&lt;&gt;"",OFFSET(貼り付け2!$A$1,$A11-1,OFFSET(貼り付け2!$A$1,ROW()-1,MATCH(T$1,貼り付け2!$1:$1,0)-1)-2)=OFFSET(貼り付け2!$A$1,$A11-1,OFFSET(貼り付け2!$A$1,ROW()-1,MATCH(T$1,貼り付け2!$1:$1,0)-1)-1)),
OFFSET(貼り付け2!$A$1,$A11-1,OFFSET(貼り付け2!$A$1,ROW()-1,MATCH(T$1,貼り付け2!$1:$1,0)-1)-2)&amp;"・"&amp;OFFSET(貼り付け2!$A$1,$A11-1,OFFSET(貼り付け2!$A$1,ROW()-1,MATCH(T$1,貼り付け2!$1:$1,0)-1)-1),),"")</f>
        <v/>
      </c>
      <c r="U11" t="e">
        <f ca="1">OFFSET(貼り付け1!$A$1,貼り付け1!$G10-1,3)</f>
        <v>#REF!</v>
      </c>
      <c r="V11" t="e">
        <f ca="1">OFFSET(貼り付け1!$A$1,貼り付け1!$F10-1,3)</f>
        <v>#REF!</v>
      </c>
      <c r="W11" t="str">
        <f ca="1">IFERROR(OFFSET(貼り付け2!$A$1,まとめ!$B11-1,OFFSET(貼り付け2!$A$1,ROW()-1,MATCH(W$1,貼り付け2!$1:$1,0)-1)-1),"")</f>
        <v/>
      </c>
    </row>
    <row r="12" spans="1:23" x14ac:dyDescent="0.45">
      <c r="A12" t="str">
        <f>貼り付け2!S12</f>
        <v/>
      </c>
      <c r="B12" t="str">
        <f>貼り付け2!R12</f>
        <v/>
      </c>
      <c r="C12" t="e">
        <f t="shared" ca="1" si="1"/>
        <v>#VALUE!</v>
      </c>
      <c r="D12" t="str">
        <f ca="1">IF(OFFSET(貼り付け2!$A$1,ROW()-1,MATCH(D$1,貼り付け2!$1:$1,0)-1)=2,
OFFSET(貼り付け2!$A$1,A12-2,OFFSET(貼り付け2!$A$1,ROW()-1,MATCH(D$1,貼り付け2!$1:$1,0)-1)-2)
&amp;OFFSET(貼り付け2!$A$1,A12-2,OFFSET(貼り付け2!$A$1,ROW()-1,MATCH(D$1,貼り付け2!$1:$1,0)-1)-1),
IF(OFFSET(貼り付け2!$A$1,ROW()-1,MATCH(D$1,貼り付け2!$1:$1,0)-1)=3,
OFFSET(貼り付け2!$A$1,A12-2,OFFSET(貼り付け2!$A$1,ROW()-1,MATCH(D$1,貼り付け2!$1:$1,0)-1)-3)
&amp;OFFSET(貼り付け2!$A$1,A12-2,OFFSET(貼り付け2!$A$1,ROW()-1,MATCH(D$1,貼り付け2!$1:$1,0)-1)-2)
&amp;OFFSET(貼り付け2!$A$1,A12-2,OFFSET(貼り付け2!$A$1,ROW()-1,MATCH(D$1,貼り付け2!$1:$1,0)-1)-1),""))</f>
        <v/>
      </c>
      <c r="E12" t="str">
        <f ca="1">IF(OFFSET(貼り付け2!$A$1,ROW()-1,MATCH(E$1,貼り付け2!$1:$1,0)-1)=2,
OFFSET(貼り付け2!$A$1,$A12-1,OFFSET(貼り付け2!$A$1,ROW()-1,MATCH(E$1,貼り付け2!$1:$1,0)-1)-2)&amp;"・"&amp;OFFSET(貼り付け2!$A$1,$A12-1,OFFSET(貼り付け2!$A$1,ROW()-1,MATCH(E$1,貼り付け2!$1:$1,0)-1)-1),
IF(OFFSET(貼り付け2!$A$1,ROW()-1,MATCH(E$1,貼り付け2!$1:$1,0)-1)=1,
OFFSET(貼り付け2!$A$1,$A12-1,OFFSET(貼り付け2!$A$1,ROW()-1,MATCH(E$1,貼り付け2!$1:$1,0)-1)-1),""))</f>
        <v/>
      </c>
      <c r="F12" t="e">
        <f ca="1">OFFSET(貼り付け1!$A$1,貼り付け1!$G11-1,0)</f>
        <v>#REF!</v>
      </c>
      <c r="G12" t="e">
        <f ca="1">OFFSET(貼り付け1!$A$1,貼り付け1!$F11-1,0)</f>
        <v>#REF!</v>
      </c>
      <c r="H12" t="str">
        <f ca="1">IFERROR(OFFSET(貼り付け2!$A$1,まとめ!$B12-1,OFFSET(貼り付け2!$A$1,ROW()-1,MATCH(H$1,貼り付け2!$1:$1,0)-1)-1),"")</f>
        <v/>
      </c>
      <c r="I12" t="e">
        <f ca="1">IF((OFFSET(貼り付け2!$A$1,ROW()-1,MATCH(I$1,貼り付け2!$1:$1,0)-1)-OFFSET(貼り付け2!$A$1,ROW()-1,MATCH(D$1,貼り付け2!$1:$1,0)-1))=2,
OFFSET(貼り付け2!$A$1,$A12-2,OFFSET(貼り付け2!$A$1,ROW()-1,MATCH(I$1,貼り付け2!$1:$1,0)-1)-2)
&amp;OFFSET(貼り付け2!$A$1,$A12-2,OFFSET(貼り付け2!$A$1,ROW()-1,MATCH(I$1,貼り付け2!$1:$1,0)-1)-1),
IF((OFFSET(貼り付け2!$A$1,ROW()-1,MATCH(I$1,貼り付け2!$1:$1,0)-1)-OFFSET(貼り付け2!$A$1,ROW()-1,MATCH(D$1,貼り付け2!$1:$1,0)-1))=3,
OFFSET(貼り付け2!$A$1,$A12-2,OFFSET(貼り付け2!$A$1,ROW()-1,MATCH(I$1,貼り付け2!$1:$1,0)-1)-3)
&amp;OFFSET(貼り付け2!$A$1,$A12-2,OFFSET(貼り付け2!$A$1,ROW()-1,MATCH(I$1,貼り付け2!$1:$1,0)-1)-2)
&amp;OFFSET(貼り付け2!$A$1,$A12-2,OFFSET(貼り付け2!$A$1,ROW()-1,MATCH(I$1,貼り付け2!$1:$1,0)-1)-1),""))</f>
        <v>#VALUE!</v>
      </c>
      <c r="J12" t="str">
        <f ca="1">IFERROR(
IF(OR(OFFSET(貼り付け2!$A$1,$A12-1,OFFSET(貼り付け2!$A$1,ROW()-1,MATCH(J$1,貼り付け2!$1:$1,0)-1)-2)&lt;&gt;"",OFFSET(貼り付け2!$A$1,$A12-1,OFFSET(貼り付け2!$A$1,ROW()-1,MATCH(J$1,貼り付け2!$1:$1,0)-1)-2)=OFFSET(貼り付け2!$A$1,$A12-1,OFFSET(貼り付け2!$A$1,ROW()-1,MATCH(J$1,貼り付け2!$1:$1,0)-1)-1)),
OFFSET(貼り付け2!$A$1,$A12-1,OFFSET(貼り付け2!$A$1,ROW()-1,MATCH(J$1,貼り付け2!$1:$1,0)-1)-2)&amp;"・"&amp;OFFSET(貼り付け2!$A$1,$A12-1,OFFSET(貼り付け2!$A$1,ROW()-1,MATCH(J$1,貼り付け2!$1:$1,0)-1)-1),),"")</f>
        <v/>
      </c>
      <c r="K12" t="e">
        <f ca="1">OFFSET(貼り付け1!$A$1,貼り付け1!$G11-1,1)</f>
        <v>#REF!</v>
      </c>
      <c r="L12" t="e">
        <f ca="1">OFFSET(貼り付け1!$A$1,貼り付け1!$F11-1,1)</f>
        <v>#REF!</v>
      </c>
      <c r="M12" t="str">
        <f ca="1">IFERROR(OFFSET(貼り付け2!$A$1,まとめ!$B12-1,OFFSET(貼り付け2!$A$1,ROW()-1,MATCH(M$1,貼り付け2!$1:$1,0)-1)-1),"")</f>
        <v/>
      </c>
      <c r="N12" t="str">
        <f ca="1">IF(OFFSET(貼り付け2!$A$1,ROW()-1,MATCH(N$1,貼り付け2!$1:$1,0)-1)&lt;&gt;"",
IF($C12=TRUE,
IF((OFFSET(貼り付け2!$A$1,ROW()-1,MATCH(N$1,貼り付け2!$1:$1,0)-1)-OFFSET(貼り付け2!$A$1,ROW()-1,MATCH(I$1,貼り付け2!$1:$1,0)-1))=2,
OFFSET(貼り付け2!$A$1,$A12-4,OFFSET(貼り付け2!$A$1,ROW()-1,MATCH(N$1,貼り付け2!$1:$1,0)-1)-2)
&amp;OFFSET(貼り付け2!$A$1,$A12-4,OFFSET(貼り付け2!$A$1,ROW()-1,MATCH(N$1,貼り付け2!$1:$1,0)-1)-1),
IF((OFFSET(貼り付け2!$A$1,ROW()-1,MATCH(N$1,貼り付け2!$1:$1,0)-1)-OFFSET(貼り付け2!$A$1,ROW()-1,MATCH(I$1,貼り付け2!$1:$1,0)-1))=3,
OFFSET(貼り付け2!$A$1,$A12-4,OFFSET(貼り付け2!$A$1,ROW()-1,MATCH(N$1,貼り付け2!$1:$1,0)-1)-3)
&amp;OFFSET(貼り付け2!$A$1,$A12-4,OFFSET(貼り付け2!$A$1,ROW()-1,MATCH(N$1,貼り付け2!$1:$1,0)-1)-2)
&amp;OFFSET(貼り付け2!$A$1,$A12-4,OFFSET(貼り付け2!$A$1,ROW()-1,MATCH(N$1,貼り付け2!$1:$1,0)-1)-1),"")),
IF((OFFSET(貼り付け2!$A$1,ROW()-1,MATCH(N$1,貼り付け2!$1:$1,0)-1)-OFFSET(貼り付け2!$A$1,ROW()-1,MATCH(I$1,貼り付け2!$1:$1,0)-1))=2,
OFFSET(貼り付け2!$A$1,$A12-2,OFFSET(貼り付け2!$A$1,ROW()-1,MATCH(N$1,貼り付け2!$1:$1,0)-1)-2)
&amp;OFFSET(貼り付け2!$A$1,$A12-2,OFFSET(貼り付け2!$A$1,ROW()-1,MATCH(N$1,貼り付け2!$1:$1,0)-1)-1),
IF((OFFSET(貼り付け2!$A$1,ROW()-1,MATCH(N$1,貼り付け2!$1:$1,0)-1)-OFFSET(貼り付け2!$A$1,ROW()-1,MATCH(I$1,貼り付け2!$1:$1,0)-1))=3,
OFFSET(貼り付け2!$A$1,$A12-2,OFFSET(貼り付け2!$A$1,ROW()-1,MATCH(N$1,貼り付け2!$1:$1,0)-1)-3)
&amp;OFFSET(貼り付け2!$A$1,$A12-2,OFFSET(貼り付け2!$A$1,ROW()-1,MATCH(N$1,貼り付け2!$1:$1,0)-1)-2)
&amp;OFFSET(貼り付け2!$A$1,$A12-2,OFFSET(貼り付け2!$A$1,ROW()-1,MATCH(N$1,貼り付け2!$1:$1,0)-1)-1),""))),
IF(OFFSET(貼り付け2!$A$1,ROW()-1,MATCH(N$1,貼り付け2!$1:$1,0)+1)=2,
OFFSET(貼り付け2!$A$1,$A12-3,OFFSET(貼り付け2!$A$1,ROW()-1,MATCH(N$1,貼り付け2!$1:$1,0)+1)-2)
&amp;OFFSET(貼り付け2!$A$1,$A12-3,OFFSET(貼り付け2!$A$1,ROW()-1,MATCH(N$1,貼り付け2!$1:$1,0)+1)-1),
IF(OFFSET(貼り付け2!$A$1,ROW()-1,MATCH(N$1,貼り付け2!$1:$1,0)+1)=3,
OFFSET(貼り付け2!$A$1,$A12-3,OFFSET(貼り付け2!$A$1,ROW()-1,MATCH(N$1,貼り付け2!$1:$1,0)+1)-3)
&amp;OFFSET(貼り付け2!$A$1,$A12-3,OFFSET(貼り付け2!$A$1,ROW()-1,MATCH(N$1,貼り付け2!$1:$1,0)+1)-2)
&amp;OFFSET(貼り付け2!$A$1,$A12-3,OFFSET(貼り付け2!$A$1,ROW()-1,MATCH(N$1,貼り付け2!$1:$1,0)+1)-1),"")))</f>
        <v/>
      </c>
      <c r="O12" t="str">
        <f ca="1">IFERROR(
IF(OR(OFFSET(貼り付け2!$A$1,$A12-1,OFFSET(貼り付け2!$A$1,ROW()-1,MATCH(O$1,貼り付け2!$1:$1,0)-1)-2)&lt;&gt;"",OFFSET(貼り付け2!$A$1,$A12-1,OFFSET(貼り付け2!$A$1,ROW()-1,MATCH(O$1,貼り付け2!$1:$1,0)-1)-2)=OFFSET(貼り付け2!$A$1,$A12-1,OFFSET(貼り付け2!$A$1,ROW()-1,MATCH(O$1,貼り付け2!$1:$1,0)-1)-1)),
OFFSET(貼り付け2!$A$1,$A12-1,OFFSET(貼り付け2!$A$1,ROW()-1,MATCH(O$1,貼り付け2!$1:$1,0)-1)-2)&amp;"・"&amp;OFFSET(貼り付け2!$A$1,$A12-1,OFFSET(貼り付け2!$A$1,ROW()-1,MATCH(O$1,貼り付け2!$1:$1,0)-1)-1),),"")</f>
        <v/>
      </c>
      <c r="P12" t="e">
        <f ca="1">OFFSET(貼り付け1!$A$1,貼り付け1!$G11-1,2)</f>
        <v>#REF!</v>
      </c>
      <c r="Q12" t="e">
        <f ca="1">OFFSET(貼り付け1!$A$1,貼り付け1!$F11-1,2)</f>
        <v>#REF!</v>
      </c>
      <c r="R12" t="str">
        <f ca="1">IFERROR(OFFSET(貼り付け2!$A$1,まとめ!$B12-1,OFFSET(貼り付け2!$A$1,ROW()-1,MATCH(R$1,貼り付け2!$1:$1,0)-1)-1),"")</f>
        <v/>
      </c>
      <c r="S12" t="str">
        <f ca="1">IF(OFFSET(貼り付け2!$A$1,ROW()-1,MATCH(S$1,貼り付け2!$1:$1,0)-1)&lt;&gt;"",
IF($C12=TRUE,
IF((OFFSET(貼り付け2!$A$1,ROW()-1,MATCH(S$1,貼り付け2!$1:$1,0)-1)-OFFSET(貼り付け2!$A$1,ROW()-1,MATCH(N$1,貼り付け2!$1:$1,0)-1))=2,
OFFSET(貼り付け2!$A$1,$A12-4,OFFSET(貼り付け2!$A$1,ROW()-1,MATCH(S$1,貼り付け2!$1:$1,0)-1)-2)
&amp;OFFSET(貼り付け2!$A$1,$A12-4,OFFSET(貼り付け2!$A$1,ROW()-1,MATCH(S$1,貼り付け2!$1:$1,0)-1)-1),
IF((OFFSET(貼り付け2!$A$1,ROW()-1,MATCH(S$1,貼り付け2!$1:$1,0)-1)-OFFSET(貼り付け2!$A$1,ROW()-1,MATCH(N$1,貼り付け2!$1:$1,0)-1))=3,
OFFSET(貼り付け2!$A$1,$A12-4,OFFSET(貼り付け2!$A$1,ROW()-1,MATCH(S$1,貼り付け2!$1:$1,0)-1)-3)
&amp;OFFSET(貼り付け2!$A$1,$A12-4,OFFSET(貼り付け2!$A$1,ROW()-1,MATCH(S$1,貼り付け2!$1:$1,0)-1)-2)
&amp;OFFSET(貼り付け2!$A$1,$A12-4,OFFSET(貼り付け2!$A$1,ROW()-1,MATCH(S$1,貼り付け2!$1:$1,0)-1)-1),"")),
IF((OFFSET(貼り付け2!$A$1,ROW()-1,MATCH(S$1,貼り付け2!$1:$1,0)-1)-OFFSET(貼り付け2!$A$1,ROW()-1,MATCH(N$1,貼り付け2!$1:$1,0)-1))=2,
OFFSET(貼り付け2!$A$1,$A12-2,OFFSET(貼り付け2!$A$1,ROW()-1,MATCH(S$1,貼り付け2!$1:$1,0)-1)-2)
&amp;OFFSET(貼り付け2!$A$1,$A12-2,OFFSET(貼り付け2!$A$1,ROW()-1,MATCH(S$1,貼り付け2!$1:$1,0)-1)-1),
IF((OFFSET(貼り付け2!$A$1,ROW()-1,MATCH(S$1,貼り付け2!$1:$1,0)-1)-OFFSET(貼り付け2!$A$1,ROW()-1,MATCH(N$1,貼り付け2!$1:$1,0)-1))=3,
OFFSET(貼り付け2!$A$1,$A12-2,OFFSET(貼り付け2!$A$1,ROW()-1,MATCH(S$1,貼り付け2!$1:$1,0)-1)-3)
&amp;OFFSET(貼り付け2!$A$1,$A12-2,OFFSET(貼り付け2!$A$1,ROW()-1,MATCH(S$1,貼り付け2!$1:$1,0)-1)-2)
&amp;OFFSET(貼り付け2!$A$1,$A12-2,OFFSET(貼り付け2!$A$1,ROW()-1,MATCH(S$1,貼り付け2!$1:$1,0)-1)-1),""))),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OFFSET(貼り付け2!$A$1,$A12-3,OFFSET(貼り付け2!$A$1,ROW()-1,MATCH(S$1,貼り付け2!$1:$1,0)+1)-2)
&amp;OFFSET(貼り付け2!$A$1,$A12-3,OFFSET(貼り付け2!$A$1,ROW()-1,MATCH(S$1,貼り付け2!$1:$1,0)+1)-1),
IF(OFFSET(貼り付け2!$A$1,ROW()-1,MATCH(S$1,貼り付け2!$1:$1,0)+1)-OFFSET(貼り付け2!$A$1,ROW()-1,MATCH(N$1,貼り付け2!$1:$1,0)+1)=3,
OFFSET(貼り付け2!$A$1,$A12-3,OFFSET(貼り付け2!$A$1,ROW()-1,MATCH(S$1,貼り付け2!$1:$1,0)+1)-3)
&amp;OFFSET(貼り付け2!$A$1,$A12-3,OFFSET(貼り付け2!$A$1,ROW()-1,MATCH(S$1,貼り付け2!$1:$1,0)+1)-2)
&amp;OFFSET(貼り付け2!$A$1,$A12-3,OFFSET(貼り付け2!$A$1,ROW()-1,MATCH(S$1,貼り付け2!$1:$1,0)+1)-1),"")),
IF(OFFSET(貼り付け2!$A$1,ROW()-1,MATCH(S$1,貼り付け2!$1:$1,0)+1)=2,
OFFSET(貼り付け2!$A$1,$A12-3,OFFSET(貼り付け2!$A$1,ROW()-1,MATCH(S$1,貼り付け2!$1:$1,0)+1)-2)
&amp;OFFSET(貼り付け2!$A$1,$A12-3,OFFSET(貼り付け2!$A$1,ROW()-1,MATCH(S$1,貼り付け2!$1:$1,0)+1)-1),
IF(OFFSET(貼り付け2!$A$1,ROW()-1,MATCH(S$1,貼り付け2!$1:$1,0)+1)=3,
OFFSET(貼り付け2!$A$1,$A12-3,OFFSET(貼り付け2!$A$1,ROW()-1,MATCH(S$1,貼り付け2!$1:$1,0)+1)-3)
&amp;OFFSET(貼り付け2!$A$1,$A12-3,OFFSET(貼り付け2!$A$1,ROW()-1,MATCH(S$1,貼り付け2!$1:$1,0)+1)-2)
&amp;OFFSET(貼り付け2!$A$1,$A12-3,OFFSET(貼り付け2!$A$1,ROW()-1,MATCH(S$1,貼り付け2!$1:$1,0)+1)-1),""))))</f>
        <v/>
      </c>
      <c r="T12" t="str">
        <f ca="1">IFERROR(
IF(OR(OFFSET(貼り付け2!$A$1,$A12-1,OFFSET(貼り付け2!$A$1,ROW()-1,MATCH(T$1,貼り付け2!$1:$1,0)-1)-2)&lt;&gt;"",OFFSET(貼り付け2!$A$1,$A12-1,OFFSET(貼り付け2!$A$1,ROW()-1,MATCH(T$1,貼り付け2!$1:$1,0)-1)-2)=OFFSET(貼り付け2!$A$1,$A12-1,OFFSET(貼り付け2!$A$1,ROW()-1,MATCH(T$1,貼り付け2!$1:$1,0)-1)-1)),
OFFSET(貼り付け2!$A$1,$A12-1,OFFSET(貼り付け2!$A$1,ROW()-1,MATCH(T$1,貼り付け2!$1:$1,0)-1)-2)&amp;"・"&amp;OFFSET(貼り付け2!$A$1,$A12-1,OFFSET(貼り付け2!$A$1,ROW()-1,MATCH(T$1,貼り付け2!$1:$1,0)-1)-1),),"")</f>
        <v/>
      </c>
      <c r="U12" t="e">
        <f ca="1">OFFSET(貼り付け1!$A$1,貼り付け1!$G11-1,3)</f>
        <v>#REF!</v>
      </c>
      <c r="V12" t="e">
        <f ca="1">OFFSET(貼り付け1!$A$1,貼り付け1!$F11-1,3)</f>
        <v>#REF!</v>
      </c>
      <c r="W12" t="str">
        <f ca="1">IFERROR(OFFSET(貼り付け2!$A$1,まとめ!$B12-1,OFFSET(貼り付け2!$A$1,ROW()-1,MATCH(W$1,貼り付け2!$1:$1,0)-1)-1),"")</f>
        <v/>
      </c>
    </row>
    <row r="13" spans="1:23" x14ac:dyDescent="0.45">
      <c r="A13" t="str">
        <f>貼り付け2!S13</f>
        <v/>
      </c>
      <c r="B13" t="str">
        <f>貼り付け2!R13</f>
        <v/>
      </c>
      <c r="C13" t="e">
        <f t="shared" ca="1" si="1"/>
        <v>#VALUE!</v>
      </c>
      <c r="D13" t="str">
        <f ca="1">IF(OFFSET(貼り付け2!$A$1,ROW()-1,MATCH(D$1,貼り付け2!$1:$1,0)-1)=2,
OFFSET(貼り付け2!$A$1,A13-2,OFFSET(貼り付け2!$A$1,ROW()-1,MATCH(D$1,貼り付け2!$1:$1,0)-1)-2)
&amp;OFFSET(貼り付け2!$A$1,A13-2,OFFSET(貼り付け2!$A$1,ROW()-1,MATCH(D$1,貼り付け2!$1:$1,0)-1)-1),
IF(OFFSET(貼り付け2!$A$1,ROW()-1,MATCH(D$1,貼り付け2!$1:$1,0)-1)=3,
OFFSET(貼り付け2!$A$1,A13-2,OFFSET(貼り付け2!$A$1,ROW()-1,MATCH(D$1,貼り付け2!$1:$1,0)-1)-3)
&amp;OFFSET(貼り付け2!$A$1,A13-2,OFFSET(貼り付け2!$A$1,ROW()-1,MATCH(D$1,貼り付け2!$1:$1,0)-1)-2)
&amp;OFFSET(貼り付け2!$A$1,A13-2,OFFSET(貼り付け2!$A$1,ROW()-1,MATCH(D$1,貼り付け2!$1:$1,0)-1)-1),""))</f>
        <v/>
      </c>
      <c r="E13" t="str">
        <f ca="1">IF(OFFSET(貼り付け2!$A$1,ROW()-1,MATCH(E$1,貼り付け2!$1:$1,0)-1)=2,
OFFSET(貼り付け2!$A$1,$A13-1,OFFSET(貼り付け2!$A$1,ROW()-1,MATCH(E$1,貼り付け2!$1:$1,0)-1)-2)&amp;"・"&amp;OFFSET(貼り付け2!$A$1,$A13-1,OFFSET(貼り付け2!$A$1,ROW()-1,MATCH(E$1,貼り付け2!$1:$1,0)-1)-1),
IF(OFFSET(貼り付け2!$A$1,ROW()-1,MATCH(E$1,貼り付け2!$1:$1,0)-1)=1,
OFFSET(貼り付け2!$A$1,$A13-1,OFFSET(貼り付け2!$A$1,ROW()-1,MATCH(E$1,貼り付け2!$1:$1,0)-1)-1),""))</f>
        <v/>
      </c>
      <c r="F13" t="e">
        <f ca="1">OFFSET(貼り付け1!$A$1,貼り付け1!$G12-1,0)</f>
        <v>#REF!</v>
      </c>
      <c r="G13" t="e">
        <f ca="1">OFFSET(貼り付け1!$A$1,貼り付け1!$F12-1,0)</f>
        <v>#REF!</v>
      </c>
      <c r="H13" t="str">
        <f ca="1">IFERROR(OFFSET(貼り付け2!$A$1,まとめ!$B13-1,OFFSET(貼り付け2!$A$1,ROW()-1,MATCH(H$1,貼り付け2!$1:$1,0)-1)-1),"")</f>
        <v/>
      </c>
      <c r="I13" t="e">
        <f ca="1">IF((OFFSET(貼り付け2!$A$1,ROW()-1,MATCH(I$1,貼り付け2!$1:$1,0)-1)-OFFSET(貼り付け2!$A$1,ROW()-1,MATCH(D$1,貼り付け2!$1:$1,0)-1))=2,
OFFSET(貼り付け2!$A$1,$A13-2,OFFSET(貼り付け2!$A$1,ROW()-1,MATCH(I$1,貼り付け2!$1:$1,0)-1)-2)
&amp;OFFSET(貼り付け2!$A$1,$A13-2,OFFSET(貼り付け2!$A$1,ROW()-1,MATCH(I$1,貼り付け2!$1:$1,0)-1)-1),
IF((OFFSET(貼り付け2!$A$1,ROW()-1,MATCH(I$1,貼り付け2!$1:$1,0)-1)-OFFSET(貼り付け2!$A$1,ROW()-1,MATCH(D$1,貼り付け2!$1:$1,0)-1))=3,
OFFSET(貼り付け2!$A$1,$A13-2,OFFSET(貼り付け2!$A$1,ROW()-1,MATCH(I$1,貼り付け2!$1:$1,0)-1)-3)
&amp;OFFSET(貼り付け2!$A$1,$A13-2,OFFSET(貼り付け2!$A$1,ROW()-1,MATCH(I$1,貼り付け2!$1:$1,0)-1)-2)
&amp;OFFSET(貼り付け2!$A$1,$A13-2,OFFSET(貼り付け2!$A$1,ROW()-1,MATCH(I$1,貼り付け2!$1:$1,0)-1)-1),""))</f>
        <v>#VALUE!</v>
      </c>
      <c r="J13" t="str">
        <f ca="1">IFERROR(
IF(OR(OFFSET(貼り付け2!$A$1,$A13-1,OFFSET(貼り付け2!$A$1,ROW()-1,MATCH(J$1,貼り付け2!$1:$1,0)-1)-2)&lt;&gt;"",OFFSET(貼り付け2!$A$1,$A13-1,OFFSET(貼り付け2!$A$1,ROW()-1,MATCH(J$1,貼り付け2!$1:$1,0)-1)-2)=OFFSET(貼り付け2!$A$1,$A13-1,OFFSET(貼り付け2!$A$1,ROW()-1,MATCH(J$1,貼り付け2!$1:$1,0)-1)-1)),
OFFSET(貼り付け2!$A$1,$A13-1,OFFSET(貼り付け2!$A$1,ROW()-1,MATCH(J$1,貼り付け2!$1:$1,0)-1)-2)&amp;"・"&amp;OFFSET(貼り付け2!$A$1,$A13-1,OFFSET(貼り付け2!$A$1,ROW()-1,MATCH(J$1,貼り付け2!$1:$1,0)-1)-1),),"")</f>
        <v/>
      </c>
      <c r="K13" t="e">
        <f ca="1">OFFSET(貼り付け1!$A$1,貼り付け1!$G12-1,1)</f>
        <v>#REF!</v>
      </c>
      <c r="L13" t="e">
        <f ca="1">OFFSET(貼り付け1!$A$1,貼り付け1!$F12-1,1)</f>
        <v>#REF!</v>
      </c>
      <c r="M13" t="str">
        <f ca="1">IFERROR(OFFSET(貼り付け2!$A$1,まとめ!$B13-1,OFFSET(貼り付け2!$A$1,ROW()-1,MATCH(M$1,貼り付け2!$1:$1,0)-1)-1),"")</f>
        <v/>
      </c>
      <c r="N13" t="str">
        <f ca="1">IF(OFFSET(貼り付け2!$A$1,ROW()-1,MATCH(N$1,貼り付け2!$1:$1,0)-1)&lt;&gt;"",
IF($C13=TRUE,
IF((OFFSET(貼り付け2!$A$1,ROW()-1,MATCH(N$1,貼り付け2!$1:$1,0)-1)-OFFSET(貼り付け2!$A$1,ROW()-1,MATCH(I$1,貼り付け2!$1:$1,0)-1))=2,
OFFSET(貼り付け2!$A$1,$A13-4,OFFSET(貼り付け2!$A$1,ROW()-1,MATCH(N$1,貼り付け2!$1:$1,0)-1)-2)
&amp;OFFSET(貼り付け2!$A$1,$A13-4,OFFSET(貼り付け2!$A$1,ROW()-1,MATCH(N$1,貼り付け2!$1:$1,0)-1)-1),
IF((OFFSET(貼り付け2!$A$1,ROW()-1,MATCH(N$1,貼り付け2!$1:$1,0)-1)-OFFSET(貼り付け2!$A$1,ROW()-1,MATCH(I$1,貼り付け2!$1:$1,0)-1))=3,
OFFSET(貼り付け2!$A$1,$A13-4,OFFSET(貼り付け2!$A$1,ROW()-1,MATCH(N$1,貼り付け2!$1:$1,0)-1)-3)
&amp;OFFSET(貼り付け2!$A$1,$A13-4,OFFSET(貼り付け2!$A$1,ROW()-1,MATCH(N$1,貼り付け2!$1:$1,0)-1)-2)
&amp;OFFSET(貼り付け2!$A$1,$A13-4,OFFSET(貼り付け2!$A$1,ROW()-1,MATCH(N$1,貼り付け2!$1:$1,0)-1)-1),"")),
IF((OFFSET(貼り付け2!$A$1,ROW()-1,MATCH(N$1,貼り付け2!$1:$1,0)-1)-OFFSET(貼り付け2!$A$1,ROW()-1,MATCH(I$1,貼り付け2!$1:$1,0)-1))=2,
OFFSET(貼り付け2!$A$1,$A13-2,OFFSET(貼り付け2!$A$1,ROW()-1,MATCH(N$1,貼り付け2!$1:$1,0)-1)-2)
&amp;OFFSET(貼り付け2!$A$1,$A13-2,OFFSET(貼り付け2!$A$1,ROW()-1,MATCH(N$1,貼り付け2!$1:$1,0)-1)-1),
IF((OFFSET(貼り付け2!$A$1,ROW()-1,MATCH(N$1,貼り付け2!$1:$1,0)-1)-OFFSET(貼り付け2!$A$1,ROW()-1,MATCH(I$1,貼り付け2!$1:$1,0)-1))=3,
OFFSET(貼り付け2!$A$1,$A13-2,OFFSET(貼り付け2!$A$1,ROW()-1,MATCH(N$1,貼り付け2!$1:$1,0)-1)-3)
&amp;OFFSET(貼り付け2!$A$1,$A13-2,OFFSET(貼り付け2!$A$1,ROW()-1,MATCH(N$1,貼り付け2!$1:$1,0)-1)-2)
&amp;OFFSET(貼り付け2!$A$1,$A13-2,OFFSET(貼り付け2!$A$1,ROW()-1,MATCH(N$1,貼り付け2!$1:$1,0)-1)-1),""))),
IF(OFFSET(貼り付け2!$A$1,ROW()-1,MATCH(N$1,貼り付け2!$1:$1,0)+1)=2,
OFFSET(貼り付け2!$A$1,$A13-3,OFFSET(貼り付け2!$A$1,ROW()-1,MATCH(N$1,貼り付け2!$1:$1,0)+1)-2)
&amp;OFFSET(貼り付け2!$A$1,$A13-3,OFFSET(貼り付け2!$A$1,ROW()-1,MATCH(N$1,貼り付け2!$1:$1,0)+1)-1),
IF(OFFSET(貼り付け2!$A$1,ROW()-1,MATCH(N$1,貼り付け2!$1:$1,0)+1)=3,
OFFSET(貼り付け2!$A$1,$A13-3,OFFSET(貼り付け2!$A$1,ROW()-1,MATCH(N$1,貼り付け2!$1:$1,0)+1)-3)
&amp;OFFSET(貼り付け2!$A$1,$A13-3,OFFSET(貼り付け2!$A$1,ROW()-1,MATCH(N$1,貼り付け2!$1:$1,0)+1)-2)
&amp;OFFSET(貼り付け2!$A$1,$A13-3,OFFSET(貼り付け2!$A$1,ROW()-1,MATCH(N$1,貼り付け2!$1:$1,0)+1)-1),"")))</f>
        <v/>
      </c>
      <c r="O13" t="str">
        <f ca="1">IFERROR(
IF(OR(OFFSET(貼り付け2!$A$1,$A13-1,OFFSET(貼り付け2!$A$1,ROW()-1,MATCH(O$1,貼り付け2!$1:$1,0)-1)-2)&lt;&gt;"",OFFSET(貼り付け2!$A$1,$A13-1,OFFSET(貼り付け2!$A$1,ROW()-1,MATCH(O$1,貼り付け2!$1:$1,0)-1)-2)=OFFSET(貼り付け2!$A$1,$A13-1,OFFSET(貼り付け2!$A$1,ROW()-1,MATCH(O$1,貼り付け2!$1:$1,0)-1)-1)),
OFFSET(貼り付け2!$A$1,$A13-1,OFFSET(貼り付け2!$A$1,ROW()-1,MATCH(O$1,貼り付け2!$1:$1,0)-1)-2)&amp;"・"&amp;OFFSET(貼り付け2!$A$1,$A13-1,OFFSET(貼り付け2!$A$1,ROW()-1,MATCH(O$1,貼り付け2!$1:$1,0)-1)-1),),"")</f>
        <v/>
      </c>
      <c r="P13" t="e">
        <f ca="1">OFFSET(貼り付け1!$A$1,貼り付け1!$G12-1,2)</f>
        <v>#REF!</v>
      </c>
      <c r="Q13" t="e">
        <f ca="1">OFFSET(貼り付け1!$A$1,貼り付け1!$F12-1,2)</f>
        <v>#REF!</v>
      </c>
      <c r="R13" t="str">
        <f ca="1">IFERROR(OFFSET(貼り付け2!$A$1,まとめ!$B13-1,OFFSET(貼り付け2!$A$1,ROW()-1,MATCH(R$1,貼り付け2!$1:$1,0)-1)-1),"")</f>
        <v/>
      </c>
      <c r="S13" t="str">
        <f ca="1">IF(OFFSET(貼り付け2!$A$1,ROW()-1,MATCH(S$1,貼り付け2!$1:$1,0)-1)&lt;&gt;"",
IF($C13=TRUE,
IF((OFFSET(貼り付け2!$A$1,ROW()-1,MATCH(S$1,貼り付け2!$1:$1,0)-1)-OFFSET(貼り付け2!$A$1,ROW()-1,MATCH(N$1,貼り付け2!$1:$1,0)-1))=2,
OFFSET(貼り付け2!$A$1,$A13-4,OFFSET(貼り付け2!$A$1,ROW()-1,MATCH(S$1,貼り付け2!$1:$1,0)-1)-2)
&amp;OFFSET(貼り付け2!$A$1,$A13-4,OFFSET(貼り付け2!$A$1,ROW()-1,MATCH(S$1,貼り付け2!$1:$1,0)-1)-1),
IF((OFFSET(貼り付け2!$A$1,ROW()-1,MATCH(S$1,貼り付け2!$1:$1,0)-1)-OFFSET(貼り付け2!$A$1,ROW()-1,MATCH(N$1,貼り付け2!$1:$1,0)-1))=3,
OFFSET(貼り付け2!$A$1,$A13-4,OFFSET(貼り付け2!$A$1,ROW()-1,MATCH(S$1,貼り付け2!$1:$1,0)-1)-3)
&amp;OFFSET(貼り付け2!$A$1,$A13-4,OFFSET(貼り付け2!$A$1,ROW()-1,MATCH(S$1,貼り付け2!$1:$1,0)-1)-2)
&amp;OFFSET(貼り付け2!$A$1,$A13-4,OFFSET(貼り付け2!$A$1,ROW()-1,MATCH(S$1,貼り付け2!$1:$1,0)-1)-1),"")),
IF((OFFSET(貼り付け2!$A$1,ROW()-1,MATCH(S$1,貼り付け2!$1:$1,0)-1)-OFFSET(貼り付け2!$A$1,ROW()-1,MATCH(N$1,貼り付け2!$1:$1,0)-1))=2,
OFFSET(貼り付け2!$A$1,$A13-2,OFFSET(貼り付け2!$A$1,ROW()-1,MATCH(S$1,貼り付け2!$1:$1,0)-1)-2)
&amp;OFFSET(貼り付け2!$A$1,$A13-2,OFFSET(貼り付け2!$A$1,ROW()-1,MATCH(S$1,貼り付け2!$1:$1,0)-1)-1),
IF((OFFSET(貼り付け2!$A$1,ROW()-1,MATCH(S$1,貼り付け2!$1:$1,0)-1)-OFFSET(貼り付け2!$A$1,ROW()-1,MATCH(N$1,貼り付け2!$1:$1,0)-1))=3,
OFFSET(貼り付け2!$A$1,$A13-2,OFFSET(貼り付け2!$A$1,ROW()-1,MATCH(S$1,貼り付け2!$1:$1,0)-1)-3)
&amp;OFFSET(貼り付け2!$A$1,$A13-2,OFFSET(貼り付け2!$A$1,ROW()-1,MATCH(S$1,貼り付け2!$1:$1,0)-1)-2)
&amp;OFFSET(貼り付け2!$A$1,$A13-2,OFFSET(貼り付け2!$A$1,ROW()-1,MATCH(S$1,貼り付け2!$1:$1,0)-1)-1),""))),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OFFSET(貼り付け2!$A$1,$A13-3,OFFSET(貼り付け2!$A$1,ROW()-1,MATCH(S$1,貼り付け2!$1:$1,0)+1)-2)
&amp;OFFSET(貼り付け2!$A$1,$A13-3,OFFSET(貼り付け2!$A$1,ROW()-1,MATCH(S$1,貼り付け2!$1:$1,0)+1)-1),
IF(OFFSET(貼り付け2!$A$1,ROW()-1,MATCH(S$1,貼り付け2!$1:$1,0)+1)-OFFSET(貼り付け2!$A$1,ROW()-1,MATCH(N$1,貼り付け2!$1:$1,0)+1)=3,
OFFSET(貼り付け2!$A$1,$A13-3,OFFSET(貼り付け2!$A$1,ROW()-1,MATCH(S$1,貼り付け2!$1:$1,0)+1)-3)
&amp;OFFSET(貼り付け2!$A$1,$A13-3,OFFSET(貼り付け2!$A$1,ROW()-1,MATCH(S$1,貼り付け2!$1:$1,0)+1)-2)
&amp;OFFSET(貼り付け2!$A$1,$A13-3,OFFSET(貼り付け2!$A$1,ROW()-1,MATCH(S$1,貼り付け2!$1:$1,0)+1)-1),"")),
IF(OFFSET(貼り付け2!$A$1,ROW()-1,MATCH(S$1,貼り付け2!$1:$1,0)+1)=2,
OFFSET(貼り付け2!$A$1,$A13-3,OFFSET(貼り付け2!$A$1,ROW()-1,MATCH(S$1,貼り付け2!$1:$1,0)+1)-2)
&amp;OFFSET(貼り付け2!$A$1,$A13-3,OFFSET(貼り付け2!$A$1,ROW()-1,MATCH(S$1,貼り付け2!$1:$1,0)+1)-1),
IF(OFFSET(貼り付け2!$A$1,ROW()-1,MATCH(S$1,貼り付け2!$1:$1,0)+1)=3,
OFFSET(貼り付け2!$A$1,$A13-3,OFFSET(貼り付け2!$A$1,ROW()-1,MATCH(S$1,貼り付け2!$1:$1,0)+1)-3)
&amp;OFFSET(貼り付け2!$A$1,$A13-3,OFFSET(貼り付け2!$A$1,ROW()-1,MATCH(S$1,貼り付け2!$1:$1,0)+1)-2)
&amp;OFFSET(貼り付け2!$A$1,$A13-3,OFFSET(貼り付け2!$A$1,ROW()-1,MATCH(S$1,貼り付け2!$1:$1,0)+1)-1),""))))</f>
        <v/>
      </c>
      <c r="T13" t="str">
        <f ca="1">IFERROR(
IF(OR(OFFSET(貼り付け2!$A$1,$A13-1,OFFSET(貼り付け2!$A$1,ROW()-1,MATCH(T$1,貼り付け2!$1:$1,0)-1)-2)&lt;&gt;"",OFFSET(貼り付け2!$A$1,$A13-1,OFFSET(貼り付け2!$A$1,ROW()-1,MATCH(T$1,貼り付け2!$1:$1,0)-1)-2)=OFFSET(貼り付け2!$A$1,$A13-1,OFFSET(貼り付け2!$A$1,ROW()-1,MATCH(T$1,貼り付け2!$1:$1,0)-1)-1)),
OFFSET(貼り付け2!$A$1,$A13-1,OFFSET(貼り付け2!$A$1,ROW()-1,MATCH(T$1,貼り付け2!$1:$1,0)-1)-2)&amp;"・"&amp;OFFSET(貼り付け2!$A$1,$A13-1,OFFSET(貼り付け2!$A$1,ROW()-1,MATCH(T$1,貼り付け2!$1:$1,0)-1)-1),),"")</f>
        <v/>
      </c>
      <c r="U13" t="e">
        <f ca="1">OFFSET(貼り付け1!$A$1,貼り付け1!$G12-1,3)</f>
        <v>#REF!</v>
      </c>
      <c r="V13" t="e">
        <f ca="1">OFFSET(貼り付け1!$A$1,貼り付け1!$F12-1,3)</f>
        <v>#REF!</v>
      </c>
      <c r="W13" t="str">
        <f ca="1">IFERROR(OFFSET(貼り付け2!$A$1,まとめ!$B13-1,OFFSET(貼り付け2!$A$1,ROW()-1,MATCH(W$1,貼り付け2!$1:$1,0)-1)-1),"")</f>
        <v/>
      </c>
    </row>
    <row r="14" spans="1:23" x14ac:dyDescent="0.45">
      <c r="A14" t="str">
        <f>貼り付け2!S14</f>
        <v/>
      </c>
      <c r="B14" t="str">
        <f>貼り付け2!R14</f>
        <v/>
      </c>
      <c r="C14" t="e">
        <f t="shared" ca="1" si="1"/>
        <v>#VALUE!</v>
      </c>
      <c r="D14" t="str">
        <f ca="1">IF(OFFSET(貼り付け2!$A$1,ROW()-1,MATCH(D$1,貼り付け2!$1:$1,0)-1)=2,
OFFSET(貼り付け2!$A$1,A14-2,OFFSET(貼り付け2!$A$1,ROW()-1,MATCH(D$1,貼り付け2!$1:$1,0)-1)-2)
&amp;OFFSET(貼り付け2!$A$1,A14-2,OFFSET(貼り付け2!$A$1,ROW()-1,MATCH(D$1,貼り付け2!$1:$1,0)-1)-1),
IF(OFFSET(貼り付け2!$A$1,ROW()-1,MATCH(D$1,貼り付け2!$1:$1,0)-1)=3,
OFFSET(貼り付け2!$A$1,A14-2,OFFSET(貼り付け2!$A$1,ROW()-1,MATCH(D$1,貼り付け2!$1:$1,0)-1)-3)
&amp;OFFSET(貼り付け2!$A$1,A14-2,OFFSET(貼り付け2!$A$1,ROW()-1,MATCH(D$1,貼り付け2!$1:$1,0)-1)-2)
&amp;OFFSET(貼り付け2!$A$1,A14-2,OFFSET(貼り付け2!$A$1,ROW()-1,MATCH(D$1,貼り付け2!$1:$1,0)-1)-1),""))</f>
        <v/>
      </c>
      <c r="E14" t="str">
        <f ca="1">IF(OFFSET(貼り付け2!$A$1,ROW()-1,MATCH(E$1,貼り付け2!$1:$1,0)-1)=2,
OFFSET(貼り付け2!$A$1,$A14-1,OFFSET(貼り付け2!$A$1,ROW()-1,MATCH(E$1,貼り付け2!$1:$1,0)-1)-2)&amp;"・"&amp;OFFSET(貼り付け2!$A$1,$A14-1,OFFSET(貼り付け2!$A$1,ROW()-1,MATCH(E$1,貼り付け2!$1:$1,0)-1)-1),
IF(OFFSET(貼り付け2!$A$1,ROW()-1,MATCH(E$1,貼り付け2!$1:$1,0)-1)=1,
OFFSET(貼り付け2!$A$1,$A14-1,OFFSET(貼り付け2!$A$1,ROW()-1,MATCH(E$1,貼り付け2!$1:$1,0)-1)-1),""))</f>
        <v/>
      </c>
      <c r="F14" t="e">
        <f ca="1">OFFSET(貼り付け1!$A$1,貼り付け1!$G13-1,0)</f>
        <v>#REF!</v>
      </c>
      <c r="G14" t="e">
        <f ca="1">OFFSET(貼り付け1!$A$1,貼り付け1!$F13-1,0)</f>
        <v>#REF!</v>
      </c>
      <c r="H14" t="str">
        <f ca="1">IFERROR(OFFSET(貼り付け2!$A$1,まとめ!$B14-1,OFFSET(貼り付け2!$A$1,ROW()-1,MATCH(H$1,貼り付け2!$1:$1,0)-1)-1),"")</f>
        <v/>
      </c>
      <c r="I14" t="e">
        <f ca="1">IF((OFFSET(貼り付け2!$A$1,ROW()-1,MATCH(I$1,貼り付け2!$1:$1,0)-1)-OFFSET(貼り付け2!$A$1,ROW()-1,MATCH(D$1,貼り付け2!$1:$1,0)-1))=2,
OFFSET(貼り付け2!$A$1,$A14-2,OFFSET(貼り付け2!$A$1,ROW()-1,MATCH(I$1,貼り付け2!$1:$1,0)-1)-2)
&amp;OFFSET(貼り付け2!$A$1,$A14-2,OFFSET(貼り付け2!$A$1,ROW()-1,MATCH(I$1,貼り付け2!$1:$1,0)-1)-1),
IF((OFFSET(貼り付け2!$A$1,ROW()-1,MATCH(I$1,貼り付け2!$1:$1,0)-1)-OFFSET(貼り付け2!$A$1,ROW()-1,MATCH(D$1,貼り付け2!$1:$1,0)-1))=3,
OFFSET(貼り付け2!$A$1,$A14-2,OFFSET(貼り付け2!$A$1,ROW()-1,MATCH(I$1,貼り付け2!$1:$1,0)-1)-3)
&amp;OFFSET(貼り付け2!$A$1,$A14-2,OFFSET(貼り付け2!$A$1,ROW()-1,MATCH(I$1,貼り付け2!$1:$1,0)-1)-2)
&amp;OFFSET(貼り付け2!$A$1,$A14-2,OFFSET(貼り付け2!$A$1,ROW()-1,MATCH(I$1,貼り付け2!$1:$1,0)-1)-1),""))</f>
        <v>#VALUE!</v>
      </c>
      <c r="J14" t="str">
        <f ca="1">IFERROR(
IF(OR(OFFSET(貼り付け2!$A$1,$A14-1,OFFSET(貼り付け2!$A$1,ROW()-1,MATCH(J$1,貼り付け2!$1:$1,0)-1)-2)&lt;&gt;"",OFFSET(貼り付け2!$A$1,$A14-1,OFFSET(貼り付け2!$A$1,ROW()-1,MATCH(J$1,貼り付け2!$1:$1,0)-1)-2)=OFFSET(貼り付け2!$A$1,$A14-1,OFFSET(貼り付け2!$A$1,ROW()-1,MATCH(J$1,貼り付け2!$1:$1,0)-1)-1)),
OFFSET(貼り付け2!$A$1,$A14-1,OFFSET(貼り付け2!$A$1,ROW()-1,MATCH(J$1,貼り付け2!$1:$1,0)-1)-2)&amp;"・"&amp;OFFSET(貼り付け2!$A$1,$A14-1,OFFSET(貼り付け2!$A$1,ROW()-1,MATCH(J$1,貼り付け2!$1:$1,0)-1)-1),),"")</f>
        <v/>
      </c>
      <c r="K14" t="e">
        <f ca="1">OFFSET(貼り付け1!$A$1,貼り付け1!$G13-1,1)</f>
        <v>#REF!</v>
      </c>
      <c r="L14" t="e">
        <f ca="1">OFFSET(貼り付け1!$A$1,貼り付け1!$F13-1,1)</f>
        <v>#REF!</v>
      </c>
      <c r="M14" t="str">
        <f ca="1">IFERROR(OFFSET(貼り付け2!$A$1,まとめ!$B14-1,OFFSET(貼り付け2!$A$1,ROW()-1,MATCH(M$1,貼り付け2!$1:$1,0)-1)-1),"")</f>
        <v/>
      </c>
      <c r="N14" t="str">
        <f ca="1">IF(OFFSET(貼り付け2!$A$1,ROW()-1,MATCH(N$1,貼り付け2!$1:$1,0)-1)&lt;&gt;"",
IF($C14=TRUE,
IF((OFFSET(貼り付け2!$A$1,ROW()-1,MATCH(N$1,貼り付け2!$1:$1,0)-1)-OFFSET(貼り付け2!$A$1,ROW()-1,MATCH(I$1,貼り付け2!$1:$1,0)-1))=2,
OFFSET(貼り付け2!$A$1,$A14-4,OFFSET(貼り付け2!$A$1,ROW()-1,MATCH(N$1,貼り付け2!$1:$1,0)-1)-2)
&amp;OFFSET(貼り付け2!$A$1,$A14-4,OFFSET(貼り付け2!$A$1,ROW()-1,MATCH(N$1,貼り付け2!$1:$1,0)-1)-1),
IF((OFFSET(貼り付け2!$A$1,ROW()-1,MATCH(N$1,貼り付け2!$1:$1,0)-1)-OFFSET(貼り付け2!$A$1,ROW()-1,MATCH(I$1,貼り付け2!$1:$1,0)-1))=3,
OFFSET(貼り付け2!$A$1,$A14-4,OFFSET(貼り付け2!$A$1,ROW()-1,MATCH(N$1,貼り付け2!$1:$1,0)-1)-3)
&amp;OFFSET(貼り付け2!$A$1,$A14-4,OFFSET(貼り付け2!$A$1,ROW()-1,MATCH(N$1,貼り付け2!$1:$1,0)-1)-2)
&amp;OFFSET(貼り付け2!$A$1,$A14-4,OFFSET(貼り付け2!$A$1,ROW()-1,MATCH(N$1,貼り付け2!$1:$1,0)-1)-1),"")),
IF((OFFSET(貼り付け2!$A$1,ROW()-1,MATCH(N$1,貼り付け2!$1:$1,0)-1)-OFFSET(貼り付け2!$A$1,ROW()-1,MATCH(I$1,貼り付け2!$1:$1,0)-1))=2,
OFFSET(貼り付け2!$A$1,$A14-2,OFFSET(貼り付け2!$A$1,ROW()-1,MATCH(N$1,貼り付け2!$1:$1,0)-1)-2)
&amp;OFFSET(貼り付け2!$A$1,$A14-2,OFFSET(貼り付け2!$A$1,ROW()-1,MATCH(N$1,貼り付け2!$1:$1,0)-1)-1),
IF((OFFSET(貼り付け2!$A$1,ROW()-1,MATCH(N$1,貼り付け2!$1:$1,0)-1)-OFFSET(貼り付け2!$A$1,ROW()-1,MATCH(I$1,貼り付け2!$1:$1,0)-1))=3,
OFFSET(貼り付け2!$A$1,$A14-2,OFFSET(貼り付け2!$A$1,ROW()-1,MATCH(N$1,貼り付け2!$1:$1,0)-1)-3)
&amp;OFFSET(貼り付け2!$A$1,$A14-2,OFFSET(貼り付け2!$A$1,ROW()-1,MATCH(N$1,貼り付け2!$1:$1,0)-1)-2)
&amp;OFFSET(貼り付け2!$A$1,$A14-2,OFFSET(貼り付け2!$A$1,ROW()-1,MATCH(N$1,貼り付け2!$1:$1,0)-1)-1),""))),
IF(OFFSET(貼り付け2!$A$1,ROW()-1,MATCH(N$1,貼り付け2!$1:$1,0)+1)=2,
OFFSET(貼り付け2!$A$1,$A14-3,OFFSET(貼り付け2!$A$1,ROW()-1,MATCH(N$1,貼り付け2!$1:$1,0)+1)-2)
&amp;OFFSET(貼り付け2!$A$1,$A14-3,OFFSET(貼り付け2!$A$1,ROW()-1,MATCH(N$1,貼り付け2!$1:$1,0)+1)-1),
IF(OFFSET(貼り付け2!$A$1,ROW()-1,MATCH(N$1,貼り付け2!$1:$1,0)+1)=3,
OFFSET(貼り付け2!$A$1,$A14-3,OFFSET(貼り付け2!$A$1,ROW()-1,MATCH(N$1,貼り付け2!$1:$1,0)+1)-3)
&amp;OFFSET(貼り付け2!$A$1,$A14-3,OFFSET(貼り付け2!$A$1,ROW()-1,MATCH(N$1,貼り付け2!$1:$1,0)+1)-2)
&amp;OFFSET(貼り付け2!$A$1,$A14-3,OFFSET(貼り付け2!$A$1,ROW()-1,MATCH(N$1,貼り付け2!$1:$1,0)+1)-1),"")))</f>
        <v/>
      </c>
      <c r="O14" t="str">
        <f ca="1">IFERROR(
IF(OR(OFFSET(貼り付け2!$A$1,$A14-1,OFFSET(貼り付け2!$A$1,ROW()-1,MATCH(O$1,貼り付け2!$1:$1,0)-1)-2)&lt;&gt;"",OFFSET(貼り付け2!$A$1,$A14-1,OFFSET(貼り付け2!$A$1,ROW()-1,MATCH(O$1,貼り付け2!$1:$1,0)-1)-2)=OFFSET(貼り付け2!$A$1,$A14-1,OFFSET(貼り付け2!$A$1,ROW()-1,MATCH(O$1,貼り付け2!$1:$1,0)-1)-1)),
OFFSET(貼り付け2!$A$1,$A14-1,OFFSET(貼り付け2!$A$1,ROW()-1,MATCH(O$1,貼り付け2!$1:$1,0)-1)-2)&amp;"・"&amp;OFFSET(貼り付け2!$A$1,$A14-1,OFFSET(貼り付け2!$A$1,ROW()-1,MATCH(O$1,貼り付け2!$1:$1,0)-1)-1),),"")</f>
        <v/>
      </c>
      <c r="P14" t="e">
        <f ca="1">OFFSET(貼り付け1!$A$1,貼り付け1!$G13-1,2)</f>
        <v>#REF!</v>
      </c>
      <c r="Q14" t="e">
        <f ca="1">OFFSET(貼り付け1!$A$1,貼り付け1!$F13-1,2)</f>
        <v>#REF!</v>
      </c>
      <c r="R14" t="str">
        <f ca="1">IFERROR(OFFSET(貼り付け2!$A$1,まとめ!$B14-1,OFFSET(貼り付け2!$A$1,ROW()-1,MATCH(R$1,貼り付け2!$1:$1,0)-1)-1),"")</f>
        <v/>
      </c>
      <c r="S14" t="str">
        <f ca="1">IF(OFFSET(貼り付け2!$A$1,ROW()-1,MATCH(S$1,貼り付け2!$1:$1,0)-1)&lt;&gt;"",
IF($C14=TRUE,
IF((OFFSET(貼り付け2!$A$1,ROW()-1,MATCH(S$1,貼り付け2!$1:$1,0)-1)-OFFSET(貼り付け2!$A$1,ROW()-1,MATCH(N$1,貼り付け2!$1:$1,0)-1))=2,
OFFSET(貼り付け2!$A$1,$A14-4,OFFSET(貼り付け2!$A$1,ROW()-1,MATCH(S$1,貼り付け2!$1:$1,0)-1)-2)
&amp;OFFSET(貼り付け2!$A$1,$A14-4,OFFSET(貼り付け2!$A$1,ROW()-1,MATCH(S$1,貼り付け2!$1:$1,0)-1)-1),
IF((OFFSET(貼り付け2!$A$1,ROW()-1,MATCH(S$1,貼り付け2!$1:$1,0)-1)-OFFSET(貼り付け2!$A$1,ROW()-1,MATCH(N$1,貼り付け2!$1:$1,0)-1))=3,
OFFSET(貼り付け2!$A$1,$A14-4,OFFSET(貼り付け2!$A$1,ROW()-1,MATCH(S$1,貼り付け2!$1:$1,0)-1)-3)
&amp;OFFSET(貼り付け2!$A$1,$A14-4,OFFSET(貼り付け2!$A$1,ROW()-1,MATCH(S$1,貼り付け2!$1:$1,0)-1)-2)
&amp;OFFSET(貼り付け2!$A$1,$A14-4,OFFSET(貼り付け2!$A$1,ROW()-1,MATCH(S$1,貼り付け2!$1:$1,0)-1)-1),"")),
IF((OFFSET(貼り付け2!$A$1,ROW()-1,MATCH(S$1,貼り付け2!$1:$1,0)-1)-OFFSET(貼り付け2!$A$1,ROW()-1,MATCH(N$1,貼り付け2!$1:$1,0)-1))=2,
OFFSET(貼り付け2!$A$1,$A14-2,OFFSET(貼り付け2!$A$1,ROW()-1,MATCH(S$1,貼り付け2!$1:$1,0)-1)-2)
&amp;OFFSET(貼り付け2!$A$1,$A14-2,OFFSET(貼り付け2!$A$1,ROW()-1,MATCH(S$1,貼り付け2!$1:$1,0)-1)-1),
IF((OFFSET(貼り付け2!$A$1,ROW()-1,MATCH(S$1,貼り付け2!$1:$1,0)-1)-OFFSET(貼り付け2!$A$1,ROW()-1,MATCH(N$1,貼り付け2!$1:$1,0)-1))=3,
OFFSET(貼り付け2!$A$1,$A14-2,OFFSET(貼り付け2!$A$1,ROW()-1,MATCH(S$1,貼り付け2!$1:$1,0)-1)-3)
&amp;OFFSET(貼り付け2!$A$1,$A14-2,OFFSET(貼り付け2!$A$1,ROW()-1,MATCH(S$1,貼り付け2!$1:$1,0)-1)-2)
&amp;OFFSET(貼り付け2!$A$1,$A14-2,OFFSET(貼り付け2!$A$1,ROW()-1,MATCH(S$1,貼り付け2!$1:$1,0)-1)-1),""))),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OFFSET(貼り付け2!$A$1,$A14-3,OFFSET(貼り付け2!$A$1,ROW()-1,MATCH(S$1,貼り付け2!$1:$1,0)+1)-2)
&amp;OFFSET(貼り付け2!$A$1,$A14-3,OFFSET(貼り付け2!$A$1,ROW()-1,MATCH(S$1,貼り付け2!$1:$1,0)+1)-1),
IF(OFFSET(貼り付け2!$A$1,ROW()-1,MATCH(S$1,貼り付け2!$1:$1,0)+1)-OFFSET(貼り付け2!$A$1,ROW()-1,MATCH(N$1,貼り付け2!$1:$1,0)+1)=3,
OFFSET(貼り付け2!$A$1,$A14-3,OFFSET(貼り付け2!$A$1,ROW()-1,MATCH(S$1,貼り付け2!$1:$1,0)+1)-3)
&amp;OFFSET(貼り付け2!$A$1,$A14-3,OFFSET(貼り付け2!$A$1,ROW()-1,MATCH(S$1,貼り付け2!$1:$1,0)+1)-2)
&amp;OFFSET(貼り付け2!$A$1,$A14-3,OFFSET(貼り付け2!$A$1,ROW()-1,MATCH(S$1,貼り付け2!$1:$1,0)+1)-1),"")),
IF(OFFSET(貼り付け2!$A$1,ROW()-1,MATCH(S$1,貼り付け2!$1:$1,0)+1)=2,
OFFSET(貼り付け2!$A$1,$A14-3,OFFSET(貼り付け2!$A$1,ROW()-1,MATCH(S$1,貼り付け2!$1:$1,0)+1)-2)
&amp;OFFSET(貼り付け2!$A$1,$A14-3,OFFSET(貼り付け2!$A$1,ROW()-1,MATCH(S$1,貼り付け2!$1:$1,0)+1)-1),
IF(OFFSET(貼り付け2!$A$1,ROW()-1,MATCH(S$1,貼り付け2!$1:$1,0)+1)=3,
OFFSET(貼り付け2!$A$1,$A14-3,OFFSET(貼り付け2!$A$1,ROW()-1,MATCH(S$1,貼り付け2!$1:$1,0)+1)-3)
&amp;OFFSET(貼り付け2!$A$1,$A14-3,OFFSET(貼り付け2!$A$1,ROW()-1,MATCH(S$1,貼り付け2!$1:$1,0)+1)-2)
&amp;OFFSET(貼り付け2!$A$1,$A14-3,OFFSET(貼り付け2!$A$1,ROW()-1,MATCH(S$1,貼り付け2!$1:$1,0)+1)-1),""))))</f>
        <v/>
      </c>
      <c r="T14" t="str">
        <f ca="1">IFERROR(
IF(OR(OFFSET(貼り付け2!$A$1,$A14-1,OFFSET(貼り付け2!$A$1,ROW()-1,MATCH(T$1,貼り付け2!$1:$1,0)-1)-2)&lt;&gt;"",OFFSET(貼り付け2!$A$1,$A14-1,OFFSET(貼り付け2!$A$1,ROW()-1,MATCH(T$1,貼り付け2!$1:$1,0)-1)-2)=OFFSET(貼り付け2!$A$1,$A14-1,OFFSET(貼り付け2!$A$1,ROW()-1,MATCH(T$1,貼り付け2!$1:$1,0)-1)-1)),
OFFSET(貼り付け2!$A$1,$A14-1,OFFSET(貼り付け2!$A$1,ROW()-1,MATCH(T$1,貼り付け2!$1:$1,0)-1)-2)&amp;"・"&amp;OFFSET(貼り付け2!$A$1,$A14-1,OFFSET(貼り付け2!$A$1,ROW()-1,MATCH(T$1,貼り付け2!$1:$1,0)-1)-1),),"")</f>
        <v/>
      </c>
      <c r="U14" t="e">
        <f ca="1">OFFSET(貼り付け1!$A$1,貼り付け1!$G13-1,3)</f>
        <v>#REF!</v>
      </c>
      <c r="V14" t="e">
        <f ca="1">OFFSET(貼り付け1!$A$1,貼り付け1!$F13-1,3)</f>
        <v>#REF!</v>
      </c>
      <c r="W14" t="str">
        <f ca="1">IFERROR(OFFSET(貼り付け2!$A$1,まとめ!$B14-1,OFFSET(貼り付け2!$A$1,ROW()-1,MATCH(W$1,貼り付け2!$1:$1,0)-1)-1),"")</f>
        <v/>
      </c>
    </row>
    <row r="15" spans="1:23" x14ac:dyDescent="0.45">
      <c r="A15" t="str">
        <f>貼り付け2!S15</f>
        <v/>
      </c>
      <c r="B15" t="str">
        <f>貼り付け2!R15</f>
        <v/>
      </c>
      <c r="C15" t="e">
        <f t="shared" ca="1" si="1"/>
        <v>#VALUE!</v>
      </c>
      <c r="D15" t="str">
        <f ca="1">IF(OFFSET(貼り付け2!$A$1,ROW()-1,MATCH(D$1,貼り付け2!$1:$1,0)-1)=2,
OFFSET(貼り付け2!$A$1,A15-2,OFFSET(貼り付け2!$A$1,ROW()-1,MATCH(D$1,貼り付け2!$1:$1,0)-1)-2)
&amp;OFFSET(貼り付け2!$A$1,A15-2,OFFSET(貼り付け2!$A$1,ROW()-1,MATCH(D$1,貼り付け2!$1:$1,0)-1)-1),
IF(OFFSET(貼り付け2!$A$1,ROW()-1,MATCH(D$1,貼り付け2!$1:$1,0)-1)=3,
OFFSET(貼り付け2!$A$1,A15-2,OFFSET(貼り付け2!$A$1,ROW()-1,MATCH(D$1,貼り付け2!$1:$1,0)-1)-3)
&amp;OFFSET(貼り付け2!$A$1,A15-2,OFFSET(貼り付け2!$A$1,ROW()-1,MATCH(D$1,貼り付け2!$1:$1,0)-1)-2)
&amp;OFFSET(貼り付け2!$A$1,A15-2,OFFSET(貼り付け2!$A$1,ROW()-1,MATCH(D$1,貼り付け2!$1:$1,0)-1)-1),""))</f>
        <v/>
      </c>
      <c r="E15" t="str">
        <f ca="1">IF(OFFSET(貼り付け2!$A$1,ROW()-1,MATCH(E$1,貼り付け2!$1:$1,0)-1)=2,
OFFSET(貼り付け2!$A$1,$A15-1,OFFSET(貼り付け2!$A$1,ROW()-1,MATCH(E$1,貼り付け2!$1:$1,0)-1)-2)&amp;"・"&amp;OFFSET(貼り付け2!$A$1,$A15-1,OFFSET(貼り付け2!$A$1,ROW()-1,MATCH(E$1,貼り付け2!$1:$1,0)-1)-1),
IF(OFFSET(貼り付け2!$A$1,ROW()-1,MATCH(E$1,貼り付け2!$1:$1,0)-1)=1,
OFFSET(貼り付け2!$A$1,$A15-1,OFFSET(貼り付け2!$A$1,ROW()-1,MATCH(E$1,貼り付け2!$1:$1,0)-1)-1),""))</f>
        <v/>
      </c>
      <c r="F15" t="e">
        <f ca="1">OFFSET(貼り付け1!$A$1,貼り付け1!$G14-1,0)</f>
        <v>#REF!</v>
      </c>
      <c r="G15" t="e">
        <f ca="1">OFFSET(貼り付け1!$A$1,貼り付け1!$F14-1,0)</f>
        <v>#REF!</v>
      </c>
      <c r="H15" t="str">
        <f ca="1">IFERROR(OFFSET(貼り付け2!$A$1,まとめ!$B15-1,OFFSET(貼り付け2!$A$1,ROW()-1,MATCH(H$1,貼り付け2!$1:$1,0)-1)-1),"")</f>
        <v/>
      </c>
      <c r="I15" t="e">
        <f ca="1">IF((OFFSET(貼り付け2!$A$1,ROW()-1,MATCH(I$1,貼り付け2!$1:$1,0)-1)-OFFSET(貼り付け2!$A$1,ROW()-1,MATCH(D$1,貼り付け2!$1:$1,0)-1))=2,
OFFSET(貼り付け2!$A$1,$A15-2,OFFSET(貼り付け2!$A$1,ROW()-1,MATCH(I$1,貼り付け2!$1:$1,0)-1)-2)
&amp;OFFSET(貼り付け2!$A$1,$A15-2,OFFSET(貼り付け2!$A$1,ROW()-1,MATCH(I$1,貼り付け2!$1:$1,0)-1)-1),
IF((OFFSET(貼り付け2!$A$1,ROW()-1,MATCH(I$1,貼り付け2!$1:$1,0)-1)-OFFSET(貼り付け2!$A$1,ROW()-1,MATCH(D$1,貼り付け2!$1:$1,0)-1))=3,
OFFSET(貼り付け2!$A$1,$A15-2,OFFSET(貼り付け2!$A$1,ROW()-1,MATCH(I$1,貼り付け2!$1:$1,0)-1)-3)
&amp;OFFSET(貼り付け2!$A$1,$A15-2,OFFSET(貼り付け2!$A$1,ROW()-1,MATCH(I$1,貼り付け2!$1:$1,0)-1)-2)
&amp;OFFSET(貼り付け2!$A$1,$A15-2,OFFSET(貼り付け2!$A$1,ROW()-1,MATCH(I$1,貼り付け2!$1:$1,0)-1)-1),""))</f>
        <v>#VALUE!</v>
      </c>
      <c r="J15" t="str">
        <f ca="1">IFERROR(
IF(OR(OFFSET(貼り付け2!$A$1,$A15-1,OFFSET(貼り付け2!$A$1,ROW()-1,MATCH(J$1,貼り付け2!$1:$1,0)-1)-2)&lt;&gt;"",OFFSET(貼り付け2!$A$1,$A15-1,OFFSET(貼り付け2!$A$1,ROW()-1,MATCH(J$1,貼り付け2!$1:$1,0)-1)-2)=OFFSET(貼り付け2!$A$1,$A15-1,OFFSET(貼り付け2!$A$1,ROW()-1,MATCH(J$1,貼り付け2!$1:$1,0)-1)-1)),
OFFSET(貼り付け2!$A$1,$A15-1,OFFSET(貼り付け2!$A$1,ROW()-1,MATCH(J$1,貼り付け2!$1:$1,0)-1)-2)&amp;"・"&amp;OFFSET(貼り付け2!$A$1,$A15-1,OFFSET(貼り付け2!$A$1,ROW()-1,MATCH(J$1,貼り付け2!$1:$1,0)-1)-1),),"")</f>
        <v/>
      </c>
      <c r="K15" t="e">
        <f ca="1">OFFSET(貼り付け1!$A$1,貼り付け1!$G14-1,1)</f>
        <v>#REF!</v>
      </c>
      <c r="L15" t="e">
        <f ca="1">OFFSET(貼り付け1!$A$1,貼り付け1!$F14-1,1)</f>
        <v>#REF!</v>
      </c>
      <c r="M15" t="str">
        <f ca="1">IFERROR(OFFSET(貼り付け2!$A$1,まとめ!$B15-1,OFFSET(貼り付け2!$A$1,ROW()-1,MATCH(M$1,貼り付け2!$1:$1,0)-1)-1),"")</f>
        <v/>
      </c>
      <c r="N15" t="str">
        <f ca="1">IF(OFFSET(貼り付け2!$A$1,ROW()-1,MATCH(N$1,貼り付け2!$1:$1,0)-1)&lt;&gt;"",
IF($C15=TRUE,
IF((OFFSET(貼り付け2!$A$1,ROW()-1,MATCH(N$1,貼り付け2!$1:$1,0)-1)-OFFSET(貼り付け2!$A$1,ROW()-1,MATCH(I$1,貼り付け2!$1:$1,0)-1))=2,
OFFSET(貼り付け2!$A$1,$A15-4,OFFSET(貼り付け2!$A$1,ROW()-1,MATCH(N$1,貼り付け2!$1:$1,0)-1)-2)
&amp;OFFSET(貼り付け2!$A$1,$A15-4,OFFSET(貼り付け2!$A$1,ROW()-1,MATCH(N$1,貼り付け2!$1:$1,0)-1)-1),
IF((OFFSET(貼り付け2!$A$1,ROW()-1,MATCH(N$1,貼り付け2!$1:$1,0)-1)-OFFSET(貼り付け2!$A$1,ROW()-1,MATCH(I$1,貼り付け2!$1:$1,0)-1))=3,
OFFSET(貼り付け2!$A$1,$A15-4,OFFSET(貼り付け2!$A$1,ROW()-1,MATCH(N$1,貼り付け2!$1:$1,0)-1)-3)
&amp;OFFSET(貼り付け2!$A$1,$A15-4,OFFSET(貼り付け2!$A$1,ROW()-1,MATCH(N$1,貼り付け2!$1:$1,0)-1)-2)
&amp;OFFSET(貼り付け2!$A$1,$A15-4,OFFSET(貼り付け2!$A$1,ROW()-1,MATCH(N$1,貼り付け2!$1:$1,0)-1)-1),"")),
IF((OFFSET(貼り付け2!$A$1,ROW()-1,MATCH(N$1,貼り付け2!$1:$1,0)-1)-OFFSET(貼り付け2!$A$1,ROW()-1,MATCH(I$1,貼り付け2!$1:$1,0)-1))=2,
OFFSET(貼り付け2!$A$1,$A15-2,OFFSET(貼り付け2!$A$1,ROW()-1,MATCH(N$1,貼り付け2!$1:$1,0)-1)-2)
&amp;OFFSET(貼り付け2!$A$1,$A15-2,OFFSET(貼り付け2!$A$1,ROW()-1,MATCH(N$1,貼り付け2!$1:$1,0)-1)-1),
IF((OFFSET(貼り付け2!$A$1,ROW()-1,MATCH(N$1,貼り付け2!$1:$1,0)-1)-OFFSET(貼り付け2!$A$1,ROW()-1,MATCH(I$1,貼り付け2!$1:$1,0)-1))=3,
OFFSET(貼り付け2!$A$1,$A15-2,OFFSET(貼り付け2!$A$1,ROW()-1,MATCH(N$1,貼り付け2!$1:$1,0)-1)-3)
&amp;OFFSET(貼り付け2!$A$1,$A15-2,OFFSET(貼り付け2!$A$1,ROW()-1,MATCH(N$1,貼り付け2!$1:$1,0)-1)-2)
&amp;OFFSET(貼り付け2!$A$1,$A15-2,OFFSET(貼り付け2!$A$1,ROW()-1,MATCH(N$1,貼り付け2!$1:$1,0)-1)-1),""))),
IF(OFFSET(貼り付け2!$A$1,ROW()-1,MATCH(N$1,貼り付け2!$1:$1,0)+1)=2,
OFFSET(貼り付け2!$A$1,$A15-3,OFFSET(貼り付け2!$A$1,ROW()-1,MATCH(N$1,貼り付け2!$1:$1,0)+1)-2)
&amp;OFFSET(貼り付け2!$A$1,$A15-3,OFFSET(貼り付け2!$A$1,ROW()-1,MATCH(N$1,貼り付け2!$1:$1,0)+1)-1),
IF(OFFSET(貼り付け2!$A$1,ROW()-1,MATCH(N$1,貼り付け2!$1:$1,0)+1)=3,
OFFSET(貼り付け2!$A$1,$A15-3,OFFSET(貼り付け2!$A$1,ROW()-1,MATCH(N$1,貼り付け2!$1:$1,0)+1)-3)
&amp;OFFSET(貼り付け2!$A$1,$A15-3,OFFSET(貼り付け2!$A$1,ROW()-1,MATCH(N$1,貼り付け2!$1:$1,0)+1)-2)
&amp;OFFSET(貼り付け2!$A$1,$A15-3,OFFSET(貼り付け2!$A$1,ROW()-1,MATCH(N$1,貼り付け2!$1:$1,0)+1)-1),"")))</f>
        <v/>
      </c>
      <c r="O15" t="str">
        <f ca="1">IFERROR(
IF(OR(OFFSET(貼り付け2!$A$1,$A15-1,OFFSET(貼り付け2!$A$1,ROW()-1,MATCH(O$1,貼り付け2!$1:$1,0)-1)-2)&lt;&gt;"",OFFSET(貼り付け2!$A$1,$A15-1,OFFSET(貼り付け2!$A$1,ROW()-1,MATCH(O$1,貼り付け2!$1:$1,0)-1)-2)=OFFSET(貼り付け2!$A$1,$A15-1,OFFSET(貼り付け2!$A$1,ROW()-1,MATCH(O$1,貼り付け2!$1:$1,0)-1)-1)),
OFFSET(貼り付け2!$A$1,$A15-1,OFFSET(貼り付け2!$A$1,ROW()-1,MATCH(O$1,貼り付け2!$1:$1,0)-1)-2)&amp;"・"&amp;OFFSET(貼り付け2!$A$1,$A15-1,OFFSET(貼り付け2!$A$1,ROW()-1,MATCH(O$1,貼り付け2!$1:$1,0)-1)-1),),"")</f>
        <v/>
      </c>
      <c r="P15" t="e">
        <f ca="1">OFFSET(貼り付け1!$A$1,貼り付け1!$G14-1,2)</f>
        <v>#REF!</v>
      </c>
      <c r="Q15" t="e">
        <f ca="1">OFFSET(貼り付け1!$A$1,貼り付け1!$F14-1,2)</f>
        <v>#REF!</v>
      </c>
      <c r="R15" t="str">
        <f ca="1">IFERROR(OFFSET(貼り付け2!$A$1,まとめ!$B15-1,OFFSET(貼り付け2!$A$1,ROW()-1,MATCH(R$1,貼り付け2!$1:$1,0)-1)-1),"")</f>
        <v/>
      </c>
      <c r="S15" t="str">
        <f ca="1">IF(OFFSET(貼り付け2!$A$1,ROW()-1,MATCH(S$1,貼り付け2!$1:$1,0)-1)&lt;&gt;"",
IF($C15=TRUE,
IF((OFFSET(貼り付け2!$A$1,ROW()-1,MATCH(S$1,貼り付け2!$1:$1,0)-1)-OFFSET(貼り付け2!$A$1,ROW()-1,MATCH(N$1,貼り付け2!$1:$1,0)-1))=2,
OFFSET(貼り付け2!$A$1,$A15-4,OFFSET(貼り付け2!$A$1,ROW()-1,MATCH(S$1,貼り付け2!$1:$1,0)-1)-2)
&amp;OFFSET(貼り付け2!$A$1,$A15-4,OFFSET(貼り付け2!$A$1,ROW()-1,MATCH(S$1,貼り付け2!$1:$1,0)-1)-1),
IF((OFFSET(貼り付け2!$A$1,ROW()-1,MATCH(S$1,貼り付け2!$1:$1,0)-1)-OFFSET(貼り付け2!$A$1,ROW()-1,MATCH(N$1,貼り付け2!$1:$1,0)-1))=3,
OFFSET(貼り付け2!$A$1,$A15-4,OFFSET(貼り付け2!$A$1,ROW()-1,MATCH(S$1,貼り付け2!$1:$1,0)-1)-3)
&amp;OFFSET(貼り付け2!$A$1,$A15-4,OFFSET(貼り付け2!$A$1,ROW()-1,MATCH(S$1,貼り付け2!$1:$1,0)-1)-2)
&amp;OFFSET(貼り付け2!$A$1,$A15-4,OFFSET(貼り付け2!$A$1,ROW()-1,MATCH(S$1,貼り付け2!$1:$1,0)-1)-1),"")),
IF((OFFSET(貼り付け2!$A$1,ROW()-1,MATCH(S$1,貼り付け2!$1:$1,0)-1)-OFFSET(貼り付け2!$A$1,ROW()-1,MATCH(N$1,貼り付け2!$1:$1,0)-1))=2,
OFFSET(貼り付け2!$A$1,$A15-2,OFFSET(貼り付け2!$A$1,ROW()-1,MATCH(S$1,貼り付け2!$1:$1,0)-1)-2)
&amp;OFFSET(貼り付け2!$A$1,$A15-2,OFFSET(貼り付け2!$A$1,ROW()-1,MATCH(S$1,貼り付け2!$1:$1,0)-1)-1),
IF((OFFSET(貼り付け2!$A$1,ROW()-1,MATCH(S$1,貼り付け2!$1:$1,0)-1)-OFFSET(貼り付け2!$A$1,ROW()-1,MATCH(N$1,貼り付け2!$1:$1,0)-1))=3,
OFFSET(貼り付け2!$A$1,$A15-2,OFFSET(貼り付け2!$A$1,ROW()-1,MATCH(S$1,貼り付け2!$1:$1,0)-1)-3)
&amp;OFFSET(貼り付け2!$A$1,$A15-2,OFFSET(貼り付け2!$A$1,ROW()-1,MATCH(S$1,貼り付け2!$1:$1,0)-1)-2)
&amp;OFFSET(貼り付け2!$A$1,$A15-2,OFFSET(貼り付け2!$A$1,ROW()-1,MATCH(S$1,貼り付け2!$1:$1,0)-1)-1),""))),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OFFSET(貼り付け2!$A$1,$A15-3,OFFSET(貼り付け2!$A$1,ROW()-1,MATCH(S$1,貼り付け2!$1:$1,0)+1)-2)
&amp;OFFSET(貼り付け2!$A$1,$A15-3,OFFSET(貼り付け2!$A$1,ROW()-1,MATCH(S$1,貼り付け2!$1:$1,0)+1)-1),
IF(OFFSET(貼り付け2!$A$1,ROW()-1,MATCH(S$1,貼り付け2!$1:$1,0)+1)-OFFSET(貼り付け2!$A$1,ROW()-1,MATCH(N$1,貼り付け2!$1:$1,0)+1)=3,
OFFSET(貼り付け2!$A$1,$A15-3,OFFSET(貼り付け2!$A$1,ROW()-1,MATCH(S$1,貼り付け2!$1:$1,0)+1)-3)
&amp;OFFSET(貼り付け2!$A$1,$A15-3,OFFSET(貼り付け2!$A$1,ROW()-1,MATCH(S$1,貼り付け2!$1:$1,0)+1)-2)
&amp;OFFSET(貼り付け2!$A$1,$A15-3,OFFSET(貼り付け2!$A$1,ROW()-1,MATCH(S$1,貼り付け2!$1:$1,0)+1)-1),"")),
IF(OFFSET(貼り付け2!$A$1,ROW()-1,MATCH(S$1,貼り付け2!$1:$1,0)+1)=2,
OFFSET(貼り付け2!$A$1,$A15-3,OFFSET(貼り付け2!$A$1,ROW()-1,MATCH(S$1,貼り付け2!$1:$1,0)+1)-2)
&amp;OFFSET(貼り付け2!$A$1,$A15-3,OFFSET(貼り付け2!$A$1,ROW()-1,MATCH(S$1,貼り付け2!$1:$1,0)+1)-1),
IF(OFFSET(貼り付け2!$A$1,ROW()-1,MATCH(S$1,貼り付け2!$1:$1,0)+1)=3,
OFFSET(貼り付け2!$A$1,$A15-3,OFFSET(貼り付け2!$A$1,ROW()-1,MATCH(S$1,貼り付け2!$1:$1,0)+1)-3)
&amp;OFFSET(貼り付け2!$A$1,$A15-3,OFFSET(貼り付け2!$A$1,ROW()-1,MATCH(S$1,貼り付け2!$1:$1,0)+1)-2)
&amp;OFFSET(貼り付け2!$A$1,$A15-3,OFFSET(貼り付け2!$A$1,ROW()-1,MATCH(S$1,貼り付け2!$1:$1,0)+1)-1),""))))</f>
        <v/>
      </c>
      <c r="T15" t="str">
        <f ca="1">IFERROR(
IF(OR(OFFSET(貼り付け2!$A$1,$A15-1,OFFSET(貼り付け2!$A$1,ROW()-1,MATCH(T$1,貼り付け2!$1:$1,0)-1)-2)&lt;&gt;"",OFFSET(貼り付け2!$A$1,$A15-1,OFFSET(貼り付け2!$A$1,ROW()-1,MATCH(T$1,貼り付け2!$1:$1,0)-1)-2)=OFFSET(貼り付け2!$A$1,$A15-1,OFFSET(貼り付け2!$A$1,ROW()-1,MATCH(T$1,貼り付け2!$1:$1,0)-1)-1)),
OFFSET(貼り付け2!$A$1,$A15-1,OFFSET(貼り付け2!$A$1,ROW()-1,MATCH(T$1,貼り付け2!$1:$1,0)-1)-2)&amp;"・"&amp;OFFSET(貼り付け2!$A$1,$A15-1,OFFSET(貼り付け2!$A$1,ROW()-1,MATCH(T$1,貼り付け2!$1:$1,0)-1)-1),),"")</f>
        <v/>
      </c>
      <c r="U15" t="e">
        <f ca="1">OFFSET(貼り付け1!$A$1,貼り付け1!$G14-1,3)</f>
        <v>#REF!</v>
      </c>
      <c r="V15" t="e">
        <f ca="1">OFFSET(貼り付け1!$A$1,貼り付け1!$F14-1,3)</f>
        <v>#REF!</v>
      </c>
      <c r="W15" t="str">
        <f ca="1">IFERROR(OFFSET(貼り付け2!$A$1,まとめ!$B15-1,OFFSET(貼り付け2!$A$1,ROW()-1,MATCH(W$1,貼り付け2!$1:$1,0)-1)-1),"")</f>
        <v/>
      </c>
    </row>
    <row r="16" spans="1:23" x14ac:dyDescent="0.45">
      <c r="A16" t="str">
        <f>貼り付け2!S16</f>
        <v/>
      </c>
      <c r="B16" t="str">
        <f>貼り付け2!R16</f>
        <v/>
      </c>
      <c r="C16" t="e">
        <f t="shared" ca="1" si="1"/>
        <v>#VALUE!</v>
      </c>
      <c r="D16" t="str">
        <f ca="1">IF(OFFSET(貼り付け2!$A$1,ROW()-1,MATCH(D$1,貼り付け2!$1:$1,0)-1)=2,
OFFSET(貼り付け2!$A$1,A16-2,OFFSET(貼り付け2!$A$1,ROW()-1,MATCH(D$1,貼り付け2!$1:$1,0)-1)-2)
&amp;OFFSET(貼り付け2!$A$1,A16-2,OFFSET(貼り付け2!$A$1,ROW()-1,MATCH(D$1,貼り付け2!$1:$1,0)-1)-1),
IF(OFFSET(貼り付け2!$A$1,ROW()-1,MATCH(D$1,貼り付け2!$1:$1,0)-1)=3,
OFFSET(貼り付け2!$A$1,A16-2,OFFSET(貼り付け2!$A$1,ROW()-1,MATCH(D$1,貼り付け2!$1:$1,0)-1)-3)
&amp;OFFSET(貼り付け2!$A$1,A16-2,OFFSET(貼り付け2!$A$1,ROW()-1,MATCH(D$1,貼り付け2!$1:$1,0)-1)-2)
&amp;OFFSET(貼り付け2!$A$1,A16-2,OFFSET(貼り付け2!$A$1,ROW()-1,MATCH(D$1,貼り付け2!$1:$1,0)-1)-1),""))</f>
        <v/>
      </c>
      <c r="E16" t="str">
        <f ca="1">IF(OFFSET(貼り付け2!$A$1,ROW()-1,MATCH(E$1,貼り付け2!$1:$1,0)-1)=2,
OFFSET(貼り付け2!$A$1,$A16-1,OFFSET(貼り付け2!$A$1,ROW()-1,MATCH(E$1,貼り付け2!$1:$1,0)-1)-2)&amp;"・"&amp;OFFSET(貼り付け2!$A$1,$A16-1,OFFSET(貼り付け2!$A$1,ROW()-1,MATCH(E$1,貼り付け2!$1:$1,0)-1)-1),
IF(OFFSET(貼り付け2!$A$1,ROW()-1,MATCH(E$1,貼り付け2!$1:$1,0)-1)=1,
OFFSET(貼り付け2!$A$1,$A16-1,OFFSET(貼り付け2!$A$1,ROW()-1,MATCH(E$1,貼り付け2!$1:$1,0)-1)-1),""))</f>
        <v/>
      </c>
      <c r="F16" t="e">
        <f ca="1">OFFSET(貼り付け1!$A$1,貼り付け1!$G15-1,0)</f>
        <v>#REF!</v>
      </c>
      <c r="G16" t="e">
        <f ca="1">OFFSET(貼り付け1!$A$1,貼り付け1!$F15-1,0)</f>
        <v>#REF!</v>
      </c>
      <c r="H16" t="str">
        <f ca="1">IFERROR(OFFSET(貼り付け2!$A$1,まとめ!$B16-1,OFFSET(貼り付け2!$A$1,ROW()-1,MATCH(H$1,貼り付け2!$1:$1,0)-1)-1),"")</f>
        <v/>
      </c>
      <c r="I16" t="e">
        <f ca="1">IF((OFFSET(貼り付け2!$A$1,ROW()-1,MATCH(I$1,貼り付け2!$1:$1,0)-1)-OFFSET(貼り付け2!$A$1,ROW()-1,MATCH(D$1,貼り付け2!$1:$1,0)-1))=2,
OFFSET(貼り付け2!$A$1,$A16-2,OFFSET(貼り付け2!$A$1,ROW()-1,MATCH(I$1,貼り付け2!$1:$1,0)-1)-2)
&amp;OFFSET(貼り付け2!$A$1,$A16-2,OFFSET(貼り付け2!$A$1,ROW()-1,MATCH(I$1,貼り付け2!$1:$1,0)-1)-1),
IF((OFFSET(貼り付け2!$A$1,ROW()-1,MATCH(I$1,貼り付け2!$1:$1,0)-1)-OFFSET(貼り付け2!$A$1,ROW()-1,MATCH(D$1,貼り付け2!$1:$1,0)-1))=3,
OFFSET(貼り付け2!$A$1,$A16-2,OFFSET(貼り付け2!$A$1,ROW()-1,MATCH(I$1,貼り付け2!$1:$1,0)-1)-3)
&amp;OFFSET(貼り付け2!$A$1,$A16-2,OFFSET(貼り付け2!$A$1,ROW()-1,MATCH(I$1,貼り付け2!$1:$1,0)-1)-2)
&amp;OFFSET(貼り付け2!$A$1,$A16-2,OFFSET(貼り付け2!$A$1,ROW()-1,MATCH(I$1,貼り付け2!$1:$1,0)-1)-1),""))</f>
        <v>#VALUE!</v>
      </c>
      <c r="J16" t="str">
        <f ca="1">IFERROR(
IF(OR(OFFSET(貼り付け2!$A$1,$A16-1,OFFSET(貼り付け2!$A$1,ROW()-1,MATCH(J$1,貼り付け2!$1:$1,0)-1)-2)&lt;&gt;"",OFFSET(貼り付け2!$A$1,$A16-1,OFFSET(貼り付け2!$A$1,ROW()-1,MATCH(J$1,貼り付け2!$1:$1,0)-1)-2)=OFFSET(貼り付け2!$A$1,$A16-1,OFFSET(貼り付け2!$A$1,ROW()-1,MATCH(J$1,貼り付け2!$1:$1,0)-1)-1)),
OFFSET(貼り付け2!$A$1,$A16-1,OFFSET(貼り付け2!$A$1,ROW()-1,MATCH(J$1,貼り付け2!$1:$1,0)-1)-2)&amp;"・"&amp;OFFSET(貼り付け2!$A$1,$A16-1,OFFSET(貼り付け2!$A$1,ROW()-1,MATCH(J$1,貼り付け2!$1:$1,0)-1)-1),),"")</f>
        <v/>
      </c>
      <c r="K16" t="e">
        <f ca="1">OFFSET(貼り付け1!$A$1,貼り付け1!$G15-1,1)</f>
        <v>#REF!</v>
      </c>
      <c r="L16" t="e">
        <f ca="1">OFFSET(貼り付け1!$A$1,貼り付け1!$F15-1,1)</f>
        <v>#REF!</v>
      </c>
      <c r="M16" t="str">
        <f ca="1">IFERROR(OFFSET(貼り付け2!$A$1,まとめ!$B16-1,OFFSET(貼り付け2!$A$1,ROW()-1,MATCH(M$1,貼り付け2!$1:$1,0)-1)-1),"")</f>
        <v/>
      </c>
      <c r="N16" t="str">
        <f ca="1">IF(OFFSET(貼り付け2!$A$1,ROW()-1,MATCH(N$1,貼り付け2!$1:$1,0)-1)&lt;&gt;"",
IF($C16=TRUE,
IF((OFFSET(貼り付け2!$A$1,ROW()-1,MATCH(N$1,貼り付け2!$1:$1,0)-1)-OFFSET(貼り付け2!$A$1,ROW()-1,MATCH(I$1,貼り付け2!$1:$1,0)-1))=2,
OFFSET(貼り付け2!$A$1,$A16-4,OFFSET(貼り付け2!$A$1,ROW()-1,MATCH(N$1,貼り付け2!$1:$1,0)-1)-2)
&amp;OFFSET(貼り付け2!$A$1,$A16-4,OFFSET(貼り付け2!$A$1,ROW()-1,MATCH(N$1,貼り付け2!$1:$1,0)-1)-1),
IF((OFFSET(貼り付け2!$A$1,ROW()-1,MATCH(N$1,貼り付け2!$1:$1,0)-1)-OFFSET(貼り付け2!$A$1,ROW()-1,MATCH(I$1,貼り付け2!$1:$1,0)-1))=3,
OFFSET(貼り付け2!$A$1,$A16-4,OFFSET(貼り付け2!$A$1,ROW()-1,MATCH(N$1,貼り付け2!$1:$1,0)-1)-3)
&amp;OFFSET(貼り付け2!$A$1,$A16-4,OFFSET(貼り付け2!$A$1,ROW()-1,MATCH(N$1,貼り付け2!$1:$1,0)-1)-2)
&amp;OFFSET(貼り付け2!$A$1,$A16-4,OFFSET(貼り付け2!$A$1,ROW()-1,MATCH(N$1,貼り付け2!$1:$1,0)-1)-1),"")),
IF((OFFSET(貼り付け2!$A$1,ROW()-1,MATCH(N$1,貼り付け2!$1:$1,0)-1)-OFFSET(貼り付け2!$A$1,ROW()-1,MATCH(I$1,貼り付け2!$1:$1,0)-1))=2,
OFFSET(貼り付け2!$A$1,$A16-2,OFFSET(貼り付け2!$A$1,ROW()-1,MATCH(N$1,貼り付け2!$1:$1,0)-1)-2)
&amp;OFFSET(貼り付け2!$A$1,$A16-2,OFFSET(貼り付け2!$A$1,ROW()-1,MATCH(N$1,貼り付け2!$1:$1,0)-1)-1),
IF((OFFSET(貼り付け2!$A$1,ROW()-1,MATCH(N$1,貼り付け2!$1:$1,0)-1)-OFFSET(貼り付け2!$A$1,ROW()-1,MATCH(I$1,貼り付け2!$1:$1,0)-1))=3,
OFFSET(貼り付け2!$A$1,$A16-2,OFFSET(貼り付け2!$A$1,ROW()-1,MATCH(N$1,貼り付け2!$1:$1,0)-1)-3)
&amp;OFFSET(貼り付け2!$A$1,$A16-2,OFFSET(貼り付け2!$A$1,ROW()-1,MATCH(N$1,貼り付け2!$1:$1,0)-1)-2)
&amp;OFFSET(貼り付け2!$A$1,$A16-2,OFFSET(貼り付け2!$A$1,ROW()-1,MATCH(N$1,貼り付け2!$1:$1,0)-1)-1),""))),
IF(OFFSET(貼り付け2!$A$1,ROW()-1,MATCH(N$1,貼り付け2!$1:$1,0)+1)=2,
OFFSET(貼り付け2!$A$1,$A16-3,OFFSET(貼り付け2!$A$1,ROW()-1,MATCH(N$1,貼り付け2!$1:$1,0)+1)-2)
&amp;OFFSET(貼り付け2!$A$1,$A16-3,OFFSET(貼り付け2!$A$1,ROW()-1,MATCH(N$1,貼り付け2!$1:$1,0)+1)-1),
IF(OFFSET(貼り付け2!$A$1,ROW()-1,MATCH(N$1,貼り付け2!$1:$1,0)+1)=3,
OFFSET(貼り付け2!$A$1,$A16-3,OFFSET(貼り付け2!$A$1,ROW()-1,MATCH(N$1,貼り付け2!$1:$1,0)+1)-3)
&amp;OFFSET(貼り付け2!$A$1,$A16-3,OFFSET(貼り付け2!$A$1,ROW()-1,MATCH(N$1,貼り付け2!$1:$1,0)+1)-2)
&amp;OFFSET(貼り付け2!$A$1,$A16-3,OFFSET(貼り付け2!$A$1,ROW()-1,MATCH(N$1,貼り付け2!$1:$1,0)+1)-1),"")))</f>
        <v/>
      </c>
      <c r="O16" t="str">
        <f ca="1">IFERROR(
IF(OR(OFFSET(貼り付け2!$A$1,$A16-1,OFFSET(貼り付け2!$A$1,ROW()-1,MATCH(O$1,貼り付け2!$1:$1,0)-1)-2)&lt;&gt;"",OFFSET(貼り付け2!$A$1,$A16-1,OFFSET(貼り付け2!$A$1,ROW()-1,MATCH(O$1,貼り付け2!$1:$1,0)-1)-2)=OFFSET(貼り付け2!$A$1,$A16-1,OFFSET(貼り付け2!$A$1,ROW()-1,MATCH(O$1,貼り付け2!$1:$1,0)-1)-1)),
OFFSET(貼り付け2!$A$1,$A16-1,OFFSET(貼り付け2!$A$1,ROW()-1,MATCH(O$1,貼り付け2!$1:$1,0)-1)-2)&amp;"・"&amp;OFFSET(貼り付け2!$A$1,$A16-1,OFFSET(貼り付け2!$A$1,ROW()-1,MATCH(O$1,貼り付け2!$1:$1,0)-1)-1),),"")</f>
        <v/>
      </c>
      <c r="P16" t="e">
        <f ca="1">OFFSET(貼り付け1!$A$1,貼り付け1!$G15-1,2)</f>
        <v>#REF!</v>
      </c>
      <c r="Q16" t="e">
        <f ca="1">OFFSET(貼り付け1!$A$1,貼り付け1!$F15-1,2)</f>
        <v>#REF!</v>
      </c>
      <c r="R16" t="str">
        <f ca="1">IFERROR(OFFSET(貼り付け2!$A$1,まとめ!$B16-1,OFFSET(貼り付け2!$A$1,ROW()-1,MATCH(R$1,貼り付け2!$1:$1,0)-1)-1),"")</f>
        <v/>
      </c>
      <c r="S16" t="str">
        <f ca="1">IF(OFFSET(貼り付け2!$A$1,ROW()-1,MATCH(S$1,貼り付け2!$1:$1,0)-1)&lt;&gt;"",
IF($C16=TRUE,
IF((OFFSET(貼り付け2!$A$1,ROW()-1,MATCH(S$1,貼り付け2!$1:$1,0)-1)-OFFSET(貼り付け2!$A$1,ROW()-1,MATCH(N$1,貼り付け2!$1:$1,0)-1))=2,
OFFSET(貼り付け2!$A$1,$A16-4,OFFSET(貼り付け2!$A$1,ROW()-1,MATCH(S$1,貼り付け2!$1:$1,0)-1)-2)
&amp;OFFSET(貼り付け2!$A$1,$A16-4,OFFSET(貼り付け2!$A$1,ROW()-1,MATCH(S$1,貼り付け2!$1:$1,0)-1)-1),
IF((OFFSET(貼り付け2!$A$1,ROW()-1,MATCH(S$1,貼り付け2!$1:$1,0)-1)-OFFSET(貼り付け2!$A$1,ROW()-1,MATCH(N$1,貼り付け2!$1:$1,0)-1))=3,
OFFSET(貼り付け2!$A$1,$A16-4,OFFSET(貼り付け2!$A$1,ROW()-1,MATCH(S$1,貼り付け2!$1:$1,0)-1)-3)
&amp;OFFSET(貼り付け2!$A$1,$A16-4,OFFSET(貼り付け2!$A$1,ROW()-1,MATCH(S$1,貼り付け2!$1:$1,0)-1)-2)
&amp;OFFSET(貼り付け2!$A$1,$A16-4,OFFSET(貼り付け2!$A$1,ROW()-1,MATCH(S$1,貼り付け2!$1:$1,0)-1)-1),"")),
IF((OFFSET(貼り付け2!$A$1,ROW()-1,MATCH(S$1,貼り付け2!$1:$1,0)-1)-OFFSET(貼り付け2!$A$1,ROW()-1,MATCH(N$1,貼り付け2!$1:$1,0)-1))=2,
OFFSET(貼り付け2!$A$1,$A16-2,OFFSET(貼り付け2!$A$1,ROW()-1,MATCH(S$1,貼り付け2!$1:$1,0)-1)-2)
&amp;OFFSET(貼り付け2!$A$1,$A16-2,OFFSET(貼り付け2!$A$1,ROW()-1,MATCH(S$1,貼り付け2!$1:$1,0)-1)-1),
IF((OFFSET(貼り付け2!$A$1,ROW()-1,MATCH(S$1,貼り付け2!$1:$1,0)-1)-OFFSET(貼り付け2!$A$1,ROW()-1,MATCH(N$1,貼り付け2!$1:$1,0)-1))=3,
OFFSET(貼り付け2!$A$1,$A16-2,OFFSET(貼り付け2!$A$1,ROW()-1,MATCH(S$1,貼り付け2!$1:$1,0)-1)-3)
&amp;OFFSET(貼り付け2!$A$1,$A16-2,OFFSET(貼り付け2!$A$1,ROW()-1,MATCH(S$1,貼り付け2!$1:$1,0)-1)-2)
&amp;OFFSET(貼り付け2!$A$1,$A16-2,OFFSET(貼り付け2!$A$1,ROW()-1,MATCH(S$1,貼り付け2!$1:$1,0)-1)-1),""))),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OFFSET(貼り付け2!$A$1,$A16-3,OFFSET(貼り付け2!$A$1,ROW()-1,MATCH(S$1,貼り付け2!$1:$1,0)+1)-2)
&amp;OFFSET(貼り付け2!$A$1,$A16-3,OFFSET(貼り付け2!$A$1,ROW()-1,MATCH(S$1,貼り付け2!$1:$1,0)+1)-1),
IF(OFFSET(貼り付け2!$A$1,ROW()-1,MATCH(S$1,貼り付け2!$1:$1,0)+1)-OFFSET(貼り付け2!$A$1,ROW()-1,MATCH(N$1,貼り付け2!$1:$1,0)+1)=3,
OFFSET(貼り付け2!$A$1,$A16-3,OFFSET(貼り付け2!$A$1,ROW()-1,MATCH(S$1,貼り付け2!$1:$1,0)+1)-3)
&amp;OFFSET(貼り付け2!$A$1,$A16-3,OFFSET(貼り付け2!$A$1,ROW()-1,MATCH(S$1,貼り付け2!$1:$1,0)+1)-2)
&amp;OFFSET(貼り付け2!$A$1,$A16-3,OFFSET(貼り付け2!$A$1,ROW()-1,MATCH(S$1,貼り付け2!$1:$1,0)+1)-1),"")),
IF(OFFSET(貼り付け2!$A$1,ROW()-1,MATCH(S$1,貼り付け2!$1:$1,0)+1)=2,
OFFSET(貼り付け2!$A$1,$A16-3,OFFSET(貼り付け2!$A$1,ROW()-1,MATCH(S$1,貼り付け2!$1:$1,0)+1)-2)
&amp;OFFSET(貼り付け2!$A$1,$A16-3,OFFSET(貼り付け2!$A$1,ROW()-1,MATCH(S$1,貼り付け2!$1:$1,0)+1)-1),
IF(OFFSET(貼り付け2!$A$1,ROW()-1,MATCH(S$1,貼り付け2!$1:$1,0)+1)=3,
OFFSET(貼り付け2!$A$1,$A16-3,OFFSET(貼り付け2!$A$1,ROW()-1,MATCH(S$1,貼り付け2!$1:$1,0)+1)-3)
&amp;OFFSET(貼り付け2!$A$1,$A16-3,OFFSET(貼り付け2!$A$1,ROW()-1,MATCH(S$1,貼り付け2!$1:$1,0)+1)-2)
&amp;OFFSET(貼り付け2!$A$1,$A16-3,OFFSET(貼り付け2!$A$1,ROW()-1,MATCH(S$1,貼り付け2!$1:$1,0)+1)-1),""))))</f>
        <v/>
      </c>
      <c r="T16" t="str">
        <f ca="1">IFERROR(
IF(OR(OFFSET(貼り付け2!$A$1,$A16-1,OFFSET(貼り付け2!$A$1,ROW()-1,MATCH(T$1,貼り付け2!$1:$1,0)-1)-2)&lt;&gt;"",OFFSET(貼り付け2!$A$1,$A16-1,OFFSET(貼り付け2!$A$1,ROW()-1,MATCH(T$1,貼り付け2!$1:$1,0)-1)-2)=OFFSET(貼り付け2!$A$1,$A16-1,OFFSET(貼り付け2!$A$1,ROW()-1,MATCH(T$1,貼り付け2!$1:$1,0)-1)-1)),
OFFSET(貼り付け2!$A$1,$A16-1,OFFSET(貼り付け2!$A$1,ROW()-1,MATCH(T$1,貼り付け2!$1:$1,0)-1)-2)&amp;"・"&amp;OFFSET(貼り付け2!$A$1,$A16-1,OFFSET(貼り付け2!$A$1,ROW()-1,MATCH(T$1,貼り付け2!$1:$1,0)-1)-1),),"")</f>
        <v/>
      </c>
      <c r="U16" t="e">
        <f ca="1">OFFSET(貼り付け1!$A$1,貼り付け1!$G15-1,3)</f>
        <v>#REF!</v>
      </c>
      <c r="V16" t="e">
        <f ca="1">OFFSET(貼り付け1!$A$1,貼り付け1!$F15-1,3)</f>
        <v>#REF!</v>
      </c>
      <c r="W16" t="str">
        <f ca="1">IFERROR(OFFSET(貼り付け2!$A$1,まとめ!$B16-1,OFFSET(貼り付け2!$A$1,ROW()-1,MATCH(W$1,貼り付け2!$1:$1,0)-1)-1),"")</f>
        <v/>
      </c>
    </row>
    <row r="17" spans="1:23" x14ac:dyDescent="0.45">
      <c r="A17" t="str">
        <f>貼り付け2!S17</f>
        <v/>
      </c>
      <c r="B17" t="str">
        <f>貼り付け2!R17</f>
        <v/>
      </c>
      <c r="C17" t="e">
        <f t="shared" ca="1" si="1"/>
        <v>#VALUE!</v>
      </c>
      <c r="D17" t="str">
        <f ca="1">IF(OFFSET(貼り付け2!$A$1,ROW()-1,MATCH(D$1,貼り付け2!$1:$1,0)-1)=2,
OFFSET(貼り付け2!$A$1,A17-2,OFFSET(貼り付け2!$A$1,ROW()-1,MATCH(D$1,貼り付け2!$1:$1,0)-1)-2)
&amp;OFFSET(貼り付け2!$A$1,A17-2,OFFSET(貼り付け2!$A$1,ROW()-1,MATCH(D$1,貼り付け2!$1:$1,0)-1)-1),
IF(OFFSET(貼り付け2!$A$1,ROW()-1,MATCH(D$1,貼り付け2!$1:$1,0)-1)=3,
OFFSET(貼り付け2!$A$1,A17-2,OFFSET(貼り付け2!$A$1,ROW()-1,MATCH(D$1,貼り付け2!$1:$1,0)-1)-3)
&amp;OFFSET(貼り付け2!$A$1,A17-2,OFFSET(貼り付け2!$A$1,ROW()-1,MATCH(D$1,貼り付け2!$1:$1,0)-1)-2)
&amp;OFFSET(貼り付け2!$A$1,A17-2,OFFSET(貼り付け2!$A$1,ROW()-1,MATCH(D$1,貼り付け2!$1:$1,0)-1)-1),""))</f>
        <v/>
      </c>
      <c r="E17" t="str">
        <f ca="1">IF(OFFSET(貼り付け2!$A$1,ROW()-1,MATCH(E$1,貼り付け2!$1:$1,0)-1)=2,
OFFSET(貼り付け2!$A$1,$A17-1,OFFSET(貼り付け2!$A$1,ROW()-1,MATCH(E$1,貼り付け2!$1:$1,0)-1)-2)&amp;"・"&amp;OFFSET(貼り付け2!$A$1,$A17-1,OFFSET(貼り付け2!$A$1,ROW()-1,MATCH(E$1,貼り付け2!$1:$1,0)-1)-1),
IF(OFFSET(貼り付け2!$A$1,ROW()-1,MATCH(E$1,貼り付け2!$1:$1,0)-1)=1,
OFFSET(貼り付け2!$A$1,$A17-1,OFFSET(貼り付け2!$A$1,ROW()-1,MATCH(E$1,貼り付け2!$1:$1,0)-1)-1),""))</f>
        <v/>
      </c>
      <c r="F17" t="e">
        <f ca="1">OFFSET(貼り付け1!$A$1,貼り付け1!$G16-1,0)</f>
        <v>#REF!</v>
      </c>
      <c r="G17" t="e">
        <f ca="1">OFFSET(貼り付け1!$A$1,貼り付け1!$F16-1,0)</f>
        <v>#REF!</v>
      </c>
      <c r="H17" t="str">
        <f ca="1">IFERROR(OFFSET(貼り付け2!$A$1,まとめ!$B17-1,OFFSET(貼り付け2!$A$1,ROW()-1,MATCH(H$1,貼り付け2!$1:$1,0)-1)-1),"")</f>
        <v/>
      </c>
      <c r="I17" t="e">
        <f ca="1">IF((OFFSET(貼り付け2!$A$1,ROW()-1,MATCH(I$1,貼り付け2!$1:$1,0)-1)-OFFSET(貼り付け2!$A$1,ROW()-1,MATCH(D$1,貼り付け2!$1:$1,0)-1))=2,
OFFSET(貼り付け2!$A$1,$A17-2,OFFSET(貼り付け2!$A$1,ROW()-1,MATCH(I$1,貼り付け2!$1:$1,0)-1)-2)
&amp;OFFSET(貼り付け2!$A$1,$A17-2,OFFSET(貼り付け2!$A$1,ROW()-1,MATCH(I$1,貼り付け2!$1:$1,0)-1)-1),
IF((OFFSET(貼り付け2!$A$1,ROW()-1,MATCH(I$1,貼り付け2!$1:$1,0)-1)-OFFSET(貼り付け2!$A$1,ROW()-1,MATCH(D$1,貼り付け2!$1:$1,0)-1))=3,
OFFSET(貼り付け2!$A$1,$A17-2,OFFSET(貼り付け2!$A$1,ROW()-1,MATCH(I$1,貼り付け2!$1:$1,0)-1)-3)
&amp;OFFSET(貼り付け2!$A$1,$A17-2,OFFSET(貼り付け2!$A$1,ROW()-1,MATCH(I$1,貼り付け2!$1:$1,0)-1)-2)
&amp;OFFSET(貼り付け2!$A$1,$A17-2,OFFSET(貼り付け2!$A$1,ROW()-1,MATCH(I$1,貼り付け2!$1:$1,0)-1)-1),""))</f>
        <v>#VALUE!</v>
      </c>
      <c r="J17" t="str">
        <f ca="1">IFERROR(
IF(OR(OFFSET(貼り付け2!$A$1,$A17-1,OFFSET(貼り付け2!$A$1,ROW()-1,MATCH(J$1,貼り付け2!$1:$1,0)-1)-2)&lt;&gt;"",OFFSET(貼り付け2!$A$1,$A17-1,OFFSET(貼り付け2!$A$1,ROW()-1,MATCH(J$1,貼り付け2!$1:$1,0)-1)-2)=OFFSET(貼り付け2!$A$1,$A17-1,OFFSET(貼り付け2!$A$1,ROW()-1,MATCH(J$1,貼り付け2!$1:$1,0)-1)-1)),
OFFSET(貼り付け2!$A$1,$A17-1,OFFSET(貼り付け2!$A$1,ROW()-1,MATCH(J$1,貼り付け2!$1:$1,0)-1)-2)&amp;"・"&amp;OFFSET(貼り付け2!$A$1,$A17-1,OFFSET(貼り付け2!$A$1,ROW()-1,MATCH(J$1,貼り付け2!$1:$1,0)-1)-1),),"")</f>
        <v/>
      </c>
      <c r="K17" t="e">
        <f ca="1">OFFSET(貼り付け1!$A$1,貼り付け1!$G16-1,1)</f>
        <v>#REF!</v>
      </c>
      <c r="L17" t="e">
        <f ca="1">OFFSET(貼り付け1!$A$1,貼り付け1!$F16-1,1)</f>
        <v>#REF!</v>
      </c>
      <c r="M17" t="str">
        <f ca="1">IFERROR(OFFSET(貼り付け2!$A$1,まとめ!$B17-1,OFFSET(貼り付け2!$A$1,ROW()-1,MATCH(M$1,貼り付け2!$1:$1,0)-1)-1),"")</f>
        <v/>
      </c>
      <c r="N17" t="str">
        <f ca="1">IF(OFFSET(貼り付け2!$A$1,ROW()-1,MATCH(N$1,貼り付け2!$1:$1,0)-1)&lt;&gt;"",
IF($C17=TRUE,
IF((OFFSET(貼り付け2!$A$1,ROW()-1,MATCH(N$1,貼り付け2!$1:$1,0)-1)-OFFSET(貼り付け2!$A$1,ROW()-1,MATCH(I$1,貼り付け2!$1:$1,0)-1))=2,
OFFSET(貼り付け2!$A$1,$A17-4,OFFSET(貼り付け2!$A$1,ROW()-1,MATCH(N$1,貼り付け2!$1:$1,0)-1)-2)
&amp;OFFSET(貼り付け2!$A$1,$A17-4,OFFSET(貼り付け2!$A$1,ROW()-1,MATCH(N$1,貼り付け2!$1:$1,0)-1)-1),
IF((OFFSET(貼り付け2!$A$1,ROW()-1,MATCH(N$1,貼り付け2!$1:$1,0)-1)-OFFSET(貼り付け2!$A$1,ROW()-1,MATCH(I$1,貼り付け2!$1:$1,0)-1))=3,
OFFSET(貼り付け2!$A$1,$A17-4,OFFSET(貼り付け2!$A$1,ROW()-1,MATCH(N$1,貼り付け2!$1:$1,0)-1)-3)
&amp;OFFSET(貼り付け2!$A$1,$A17-4,OFFSET(貼り付け2!$A$1,ROW()-1,MATCH(N$1,貼り付け2!$1:$1,0)-1)-2)
&amp;OFFSET(貼り付け2!$A$1,$A17-4,OFFSET(貼り付け2!$A$1,ROW()-1,MATCH(N$1,貼り付け2!$1:$1,0)-1)-1),"")),
IF((OFFSET(貼り付け2!$A$1,ROW()-1,MATCH(N$1,貼り付け2!$1:$1,0)-1)-OFFSET(貼り付け2!$A$1,ROW()-1,MATCH(I$1,貼り付け2!$1:$1,0)-1))=2,
OFFSET(貼り付け2!$A$1,$A17-2,OFFSET(貼り付け2!$A$1,ROW()-1,MATCH(N$1,貼り付け2!$1:$1,0)-1)-2)
&amp;OFFSET(貼り付け2!$A$1,$A17-2,OFFSET(貼り付け2!$A$1,ROW()-1,MATCH(N$1,貼り付け2!$1:$1,0)-1)-1),
IF((OFFSET(貼り付け2!$A$1,ROW()-1,MATCH(N$1,貼り付け2!$1:$1,0)-1)-OFFSET(貼り付け2!$A$1,ROW()-1,MATCH(I$1,貼り付け2!$1:$1,0)-1))=3,
OFFSET(貼り付け2!$A$1,$A17-2,OFFSET(貼り付け2!$A$1,ROW()-1,MATCH(N$1,貼り付け2!$1:$1,0)-1)-3)
&amp;OFFSET(貼り付け2!$A$1,$A17-2,OFFSET(貼り付け2!$A$1,ROW()-1,MATCH(N$1,貼り付け2!$1:$1,0)-1)-2)
&amp;OFFSET(貼り付け2!$A$1,$A17-2,OFFSET(貼り付け2!$A$1,ROW()-1,MATCH(N$1,貼り付け2!$1:$1,0)-1)-1),""))),
IF(OFFSET(貼り付け2!$A$1,ROW()-1,MATCH(N$1,貼り付け2!$1:$1,0)+1)=2,
OFFSET(貼り付け2!$A$1,$A17-3,OFFSET(貼り付け2!$A$1,ROW()-1,MATCH(N$1,貼り付け2!$1:$1,0)+1)-2)
&amp;OFFSET(貼り付け2!$A$1,$A17-3,OFFSET(貼り付け2!$A$1,ROW()-1,MATCH(N$1,貼り付け2!$1:$1,0)+1)-1),
IF(OFFSET(貼り付け2!$A$1,ROW()-1,MATCH(N$1,貼り付け2!$1:$1,0)+1)=3,
OFFSET(貼り付け2!$A$1,$A17-3,OFFSET(貼り付け2!$A$1,ROW()-1,MATCH(N$1,貼り付け2!$1:$1,0)+1)-3)
&amp;OFFSET(貼り付け2!$A$1,$A17-3,OFFSET(貼り付け2!$A$1,ROW()-1,MATCH(N$1,貼り付け2!$1:$1,0)+1)-2)
&amp;OFFSET(貼り付け2!$A$1,$A17-3,OFFSET(貼り付け2!$A$1,ROW()-1,MATCH(N$1,貼り付け2!$1:$1,0)+1)-1),"")))</f>
        <v/>
      </c>
      <c r="O17" t="str">
        <f ca="1">IFERROR(
IF(OR(OFFSET(貼り付け2!$A$1,$A17-1,OFFSET(貼り付け2!$A$1,ROW()-1,MATCH(O$1,貼り付け2!$1:$1,0)-1)-2)&lt;&gt;"",OFFSET(貼り付け2!$A$1,$A17-1,OFFSET(貼り付け2!$A$1,ROW()-1,MATCH(O$1,貼り付け2!$1:$1,0)-1)-2)=OFFSET(貼り付け2!$A$1,$A17-1,OFFSET(貼り付け2!$A$1,ROW()-1,MATCH(O$1,貼り付け2!$1:$1,0)-1)-1)),
OFFSET(貼り付け2!$A$1,$A17-1,OFFSET(貼り付け2!$A$1,ROW()-1,MATCH(O$1,貼り付け2!$1:$1,0)-1)-2)&amp;"・"&amp;OFFSET(貼り付け2!$A$1,$A17-1,OFFSET(貼り付け2!$A$1,ROW()-1,MATCH(O$1,貼り付け2!$1:$1,0)-1)-1),),"")</f>
        <v/>
      </c>
      <c r="P17" t="e">
        <f ca="1">OFFSET(貼り付け1!$A$1,貼り付け1!$G16-1,2)</f>
        <v>#REF!</v>
      </c>
      <c r="Q17" t="e">
        <f ca="1">OFFSET(貼り付け1!$A$1,貼り付け1!$F16-1,2)</f>
        <v>#REF!</v>
      </c>
      <c r="R17" t="str">
        <f ca="1">IFERROR(OFFSET(貼り付け2!$A$1,まとめ!$B17-1,OFFSET(貼り付け2!$A$1,ROW()-1,MATCH(R$1,貼り付け2!$1:$1,0)-1)-1),"")</f>
        <v/>
      </c>
      <c r="S17" t="str">
        <f ca="1">IF(OFFSET(貼り付け2!$A$1,ROW()-1,MATCH(S$1,貼り付け2!$1:$1,0)-1)&lt;&gt;"",
IF($C17=TRUE,
IF((OFFSET(貼り付け2!$A$1,ROW()-1,MATCH(S$1,貼り付け2!$1:$1,0)-1)-OFFSET(貼り付け2!$A$1,ROW()-1,MATCH(N$1,貼り付け2!$1:$1,0)-1))=2,
OFFSET(貼り付け2!$A$1,$A17-4,OFFSET(貼り付け2!$A$1,ROW()-1,MATCH(S$1,貼り付け2!$1:$1,0)-1)-2)
&amp;OFFSET(貼り付け2!$A$1,$A17-4,OFFSET(貼り付け2!$A$1,ROW()-1,MATCH(S$1,貼り付け2!$1:$1,0)-1)-1),
IF((OFFSET(貼り付け2!$A$1,ROW()-1,MATCH(S$1,貼り付け2!$1:$1,0)-1)-OFFSET(貼り付け2!$A$1,ROW()-1,MATCH(N$1,貼り付け2!$1:$1,0)-1))=3,
OFFSET(貼り付け2!$A$1,$A17-4,OFFSET(貼り付け2!$A$1,ROW()-1,MATCH(S$1,貼り付け2!$1:$1,0)-1)-3)
&amp;OFFSET(貼り付け2!$A$1,$A17-4,OFFSET(貼り付け2!$A$1,ROW()-1,MATCH(S$1,貼り付け2!$1:$1,0)-1)-2)
&amp;OFFSET(貼り付け2!$A$1,$A17-4,OFFSET(貼り付け2!$A$1,ROW()-1,MATCH(S$1,貼り付け2!$1:$1,0)-1)-1),"")),
IF((OFFSET(貼り付け2!$A$1,ROW()-1,MATCH(S$1,貼り付け2!$1:$1,0)-1)-OFFSET(貼り付け2!$A$1,ROW()-1,MATCH(N$1,貼り付け2!$1:$1,0)-1))=2,
OFFSET(貼り付け2!$A$1,$A17-2,OFFSET(貼り付け2!$A$1,ROW()-1,MATCH(S$1,貼り付け2!$1:$1,0)-1)-2)
&amp;OFFSET(貼り付け2!$A$1,$A17-2,OFFSET(貼り付け2!$A$1,ROW()-1,MATCH(S$1,貼り付け2!$1:$1,0)-1)-1),
IF((OFFSET(貼り付け2!$A$1,ROW()-1,MATCH(S$1,貼り付け2!$1:$1,0)-1)-OFFSET(貼り付け2!$A$1,ROW()-1,MATCH(N$1,貼り付け2!$1:$1,0)-1))=3,
OFFSET(貼り付け2!$A$1,$A17-2,OFFSET(貼り付け2!$A$1,ROW()-1,MATCH(S$1,貼り付け2!$1:$1,0)-1)-3)
&amp;OFFSET(貼り付け2!$A$1,$A17-2,OFFSET(貼り付け2!$A$1,ROW()-1,MATCH(S$1,貼り付け2!$1:$1,0)-1)-2)
&amp;OFFSET(貼り付け2!$A$1,$A17-2,OFFSET(貼り付け2!$A$1,ROW()-1,MATCH(S$1,貼り付け2!$1:$1,0)-1)-1),""))),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OFFSET(貼り付け2!$A$1,$A17-3,OFFSET(貼り付け2!$A$1,ROW()-1,MATCH(S$1,貼り付け2!$1:$1,0)+1)-2)
&amp;OFFSET(貼り付け2!$A$1,$A17-3,OFFSET(貼り付け2!$A$1,ROW()-1,MATCH(S$1,貼り付け2!$1:$1,0)+1)-1),
IF(OFFSET(貼り付け2!$A$1,ROW()-1,MATCH(S$1,貼り付け2!$1:$1,0)+1)-OFFSET(貼り付け2!$A$1,ROW()-1,MATCH(N$1,貼り付け2!$1:$1,0)+1)=3,
OFFSET(貼り付け2!$A$1,$A17-3,OFFSET(貼り付け2!$A$1,ROW()-1,MATCH(S$1,貼り付け2!$1:$1,0)+1)-3)
&amp;OFFSET(貼り付け2!$A$1,$A17-3,OFFSET(貼り付け2!$A$1,ROW()-1,MATCH(S$1,貼り付け2!$1:$1,0)+1)-2)
&amp;OFFSET(貼り付け2!$A$1,$A17-3,OFFSET(貼り付け2!$A$1,ROW()-1,MATCH(S$1,貼り付け2!$1:$1,0)+1)-1),"")),
IF(OFFSET(貼り付け2!$A$1,ROW()-1,MATCH(S$1,貼り付け2!$1:$1,0)+1)=2,
OFFSET(貼り付け2!$A$1,$A17-3,OFFSET(貼り付け2!$A$1,ROW()-1,MATCH(S$1,貼り付け2!$1:$1,0)+1)-2)
&amp;OFFSET(貼り付け2!$A$1,$A17-3,OFFSET(貼り付け2!$A$1,ROW()-1,MATCH(S$1,貼り付け2!$1:$1,0)+1)-1),
IF(OFFSET(貼り付け2!$A$1,ROW()-1,MATCH(S$1,貼り付け2!$1:$1,0)+1)=3,
OFFSET(貼り付け2!$A$1,$A17-3,OFFSET(貼り付け2!$A$1,ROW()-1,MATCH(S$1,貼り付け2!$1:$1,0)+1)-3)
&amp;OFFSET(貼り付け2!$A$1,$A17-3,OFFSET(貼り付け2!$A$1,ROW()-1,MATCH(S$1,貼り付け2!$1:$1,0)+1)-2)
&amp;OFFSET(貼り付け2!$A$1,$A17-3,OFFSET(貼り付け2!$A$1,ROW()-1,MATCH(S$1,貼り付け2!$1:$1,0)+1)-1),""))))</f>
        <v/>
      </c>
      <c r="T17" t="str">
        <f ca="1">IFERROR(
IF(OR(OFFSET(貼り付け2!$A$1,$A17-1,OFFSET(貼り付け2!$A$1,ROW()-1,MATCH(T$1,貼り付け2!$1:$1,0)-1)-2)&lt;&gt;"",OFFSET(貼り付け2!$A$1,$A17-1,OFFSET(貼り付け2!$A$1,ROW()-1,MATCH(T$1,貼り付け2!$1:$1,0)-1)-2)=OFFSET(貼り付け2!$A$1,$A17-1,OFFSET(貼り付け2!$A$1,ROW()-1,MATCH(T$1,貼り付け2!$1:$1,0)-1)-1)),
OFFSET(貼り付け2!$A$1,$A17-1,OFFSET(貼り付け2!$A$1,ROW()-1,MATCH(T$1,貼り付け2!$1:$1,0)-1)-2)&amp;"・"&amp;OFFSET(貼り付け2!$A$1,$A17-1,OFFSET(貼り付け2!$A$1,ROW()-1,MATCH(T$1,貼り付け2!$1:$1,0)-1)-1),),"")</f>
        <v/>
      </c>
      <c r="U17" t="e">
        <f ca="1">OFFSET(貼り付け1!$A$1,貼り付け1!$G16-1,3)</f>
        <v>#REF!</v>
      </c>
      <c r="V17" t="e">
        <f ca="1">OFFSET(貼り付け1!$A$1,貼り付け1!$F16-1,3)</f>
        <v>#REF!</v>
      </c>
      <c r="W17" t="str">
        <f ca="1">IFERROR(OFFSET(貼り付け2!$A$1,まとめ!$B17-1,OFFSET(貼り付け2!$A$1,ROW()-1,MATCH(W$1,貼り付け2!$1:$1,0)-1)-1),"")</f>
        <v/>
      </c>
    </row>
    <row r="18" spans="1:23" x14ac:dyDescent="0.45">
      <c r="A18" t="str">
        <f>貼り付け2!S18</f>
        <v/>
      </c>
      <c r="B18" t="str">
        <f>貼り付け2!R18</f>
        <v/>
      </c>
      <c r="C18" t="e">
        <f t="shared" ca="1" si="1"/>
        <v>#VALUE!</v>
      </c>
      <c r="D18" t="str">
        <f ca="1">IF(OFFSET(貼り付け2!$A$1,ROW()-1,MATCH(D$1,貼り付け2!$1:$1,0)-1)=2,
OFFSET(貼り付け2!$A$1,A18-2,OFFSET(貼り付け2!$A$1,ROW()-1,MATCH(D$1,貼り付け2!$1:$1,0)-1)-2)
&amp;OFFSET(貼り付け2!$A$1,A18-2,OFFSET(貼り付け2!$A$1,ROW()-1,MATCH(D$1,貼り付け2!$1:$1,0)-1)-1),
IF(OFFSET(貼り付け2!$A$1,ROW()-1,MATCH(D$1,貼り付け2!$1:$1,0)-1)=3,
OFFSET(貼り付け2!$A$1,A18-2,OFFSET(貼り付け2!$A$1,ROW()-1,MATCH(D$1,貼り付け2!$1:$1,0)-1)-3)
&amp;OFFSET(貼り付け2!$A$1,A18-2,OFFSET(貼り付け2!$A$1,ROW()-1,MATCH(D$1,貼り付け2!$1:$1,0)-1)-2)
&amp;OFFSET(貼り付け2!$A$1,A18-2,OFFSET(貼り付け2!$A$1,ROW()-1,MATCH(D$1,貼り付け2!$1:$1,0)-1)-1),""))</f>
        <v/>
      </c>
      <c r="E18" t="str">
        <f ca="1">IF(OFFSET(貼り付け2!$A$1,ROW()-1,MATCH(E$1,貼り付け2!$1:$1,0)-1)=2,
OFFSET(貼り付け2!$A$1,$A18-1,OFFSET(貼り付け2!$A$1,ROW()-1,MATCH(E$1,貼り付け2!$1:$1,0)-1)-2)&amp;"・"&amp;OFFSET(貼り付け2!$A$1,$A18-1,OFFSET(貼り付け2!$A$1,ROW()-1,MATCH(E$1,貼り付け2!$1:$1,0)-1)-1),
IF(OFFSET(貼り付け2!$A$1,ROW()-1,MATCH(E$1,貼り付け2!$1:$1,0)-1)=1,
OFFSET(貼り付け2!$A$1,$A18-1,OFFSET(貼り付け2!$A$1,ROW()-1,MATCH(E$1,貼り付け2!$1:$1,0)-1)-1),""))</f>
        <v/>
      </c>
      <c r="F18" t="e">
        <f ca="1">OFFSET(貼り付け1!$A$1,貼り付け1!$G17-1,0)</f>
        <v>#REF!</v>
      </c>
      <c r="G18" t="e">
        <f ca="1">OFFSET(貼り付け1!$A$1,貼り付け1!$F17-1,0)</f>
        <v>#REF!</v>
      </c>
      <c r="H18" t="str">
        <f ca="1">IFERROR(OFFSET(貼り付け2!$A$1,まとめ!$B18-1,OFFSET(貼り付け2!$A$1,ROW()-1,MATCH(H$1,貼り付け2!$1:$1,0)-1)-1),"")</f>
        <v/>
      </c>
      <c r="I18" t="e">
        <f ca="1">IF((OFFSET(貼り付け2!$A$1,ROW()-1,MATCH(I$1,貼り付け2!$1:$1,0)-1)-OFFSET(貼り付け2!$A$1,ROW()-1,MATCH(D$1,貼り付け2!$1:$1,0)-1))=2,
OFFSET(貼り付け2!$A$1,$A18-2,OFFSET(貼り付け2!$A$1,ROW()-1,MATCH(I$1,貼り付け2!$1:$1,0)-1)-2)
&amp;OFFSET(貼り付け2!$A$1,$A18-2,OFFSET(貼り付け2!$A$1,ROW()-1,MATCH(I$1,貼り付け2!$1:$1,0)-1)-1),
IF((OFFSET(貼り付け2!$A$1,ROW()-1,MATCH(I$1,貼り付け2!$1:$1,0)-1)-OFFSET(貼り付け2!$A$1,ROW()-1,MATCH(D$1,貼り付け2!$1:$1,0)-1))=3,
OFFSET(貼り付け2!$A$1,$A18-2,OFFSET(貼り付け2!$A$1,ROW()-1,MATCH(I$1,貼り付け2!$1:$1,0)-1)-3)
&amp;OFFSET(貼り付け2!$A$1,$A18-2,OFFSET(貼り付け2!$A$1,ROW()-1,MATCH(I$1,貼り付け2!$1:$1,0)-1)-2)
&amp;OFFSET(貼り付け2!$A$1,$A18-2,OFFSET(貼り付け2!$A$1,ROW()-1,MATCH(I$1,貼り付け2!$1:$1,0)-1)-1),""))</f>
        <v>#VALUE!</v>
      </c>
      <c r="J18" t="str">
        <f ca="1">IFERROR(
IF(OR(OFFSET(貼り付け2!$A$1,$A18-1,OFFSET(貼り付け2!$A$1,ROW()-1,MATCH(J$1,貼り付け2!$1:$1,0)-1)-2)&lt;&gt;"",OFFSET(貼り付け2!$A$1,$A18-1,OFFSET(貼り付け2!$A$1,ROW()-1,MATCH(J$1,貼り付け2!$1:$1,0)-1)-2)=OFFSET(貼り付け2!$A$1,$A18-1,OFFSET(貼り付け2!$A$1,ROW()-1,MATCH(J$1,貼り付け2!$1:$1,0)-1)-1)),
OFFSET(貼り付け2!$A$1,$A18-1,OFFSET(貼り付け2!$A$1,ROW()-1,MATCH(J$1,貼り付け2!$1:$1,0)-1)-2)&amp;"・"&amp;OFFSET(貼り付け2!$A$1,$A18-1,OFFSET(貼り付け2!$A$1,ROW()-1,MATCH(J$1,貼り付け2!$1:$1,0)-1)-1),),"")</f>
        <v/>
      </c>
      <c r="K18" t="e">
        <f ca="1">OFFSET(貼り付け1!$A$1,貼り付け1!$G17-1,1)</f>
        <v>#REF!</v>
      </c>
      <c r="L18" t="e">
        <f ca="1">OFFSET(貼り付け1!$A$1,貼り付け1!$F17-1,1)</f>
        <v>#REF!</v>
      </c>
      <c r="M18" t="str">
        <f ca="1">IFERROR(OFFSET(貼り付け2!$A$1,まとめ!$B18-1,OFFSET(貼り付け2!$A$1,ROW()-1,MATCH(M$1,貼り付け2!$1:$1,0)-1)-1),"")</f>
        <v/>
      </c>
      <c r="N18" t="str">
        <f ca="1">IF(OFFSET(貼り付け2!$A$1,ROW()-1,MATCH(N$1,貼り付け2!$1:$1,0)-1)&lt;&gt;"",
IF($C18=TRUE,
IF((OFFSET(貼り付け2!$A$1,ROW()-1,MATCH(N$1,貼り付け2!$1:$1,0)-1)-OFFSET(貼り付け2!$A$1,ROW()-1,MATCH(I$1,貼り付け2!$1:$1,0)-1))=2,
OFFSET(貼り付け2!$A$1,$A18-4,OFFSET(貼り付け2!$A$1,ROW()-1,MATCH(N$1,貼り付け2!$1:$1,0)-1)-2)
&amp;OFFSET(貼り付け2!$A$1,$A18-4,OFFSET(貼り付け2!$A$1,ROW()-1,MATCH(N$1,貼り付け2!$1:$1,0)-1)-1),
IF((OFFSET(貼り付け2!$A$1,ROW()-1,MATCH(N$1,貼り付け2!$1:$1,0)-1)-OFFSET(貼り付け2!$A$1,ROW()-1,MATCH(I$1,貼り付け2!$1:$1,0)-1))=3,
OFFSET(貼り付け2!$A$1,$A18-4,OFFSET(貼り付け2!$A$1,ROW()-1,MATCH(N$1,貼り付け2!$1:$1,0)-1)-3)
&amp;OFFSET(貼り付け2!$A$1,$A18-4,OFFSET(貼り付け2!$A$1,ROW()-1,MATCH(N$1,貼り付け2!$1:$1,0)-1)-2)
&amp;OFFSET(貼り付け2!$A$1,$A18-4,OFFSET(貼り付け2!$A$1,ROW()-1,MATCH(N$1,貼り付け2!$1:$1,0)-1)-1),"")),
IF((OFFSET(貼り付け2!$A$1,ROW()-1,MATCH(N$1,貼り付け2!$1:$1,0)-1)-OFFSET(貼り付け2!$A$1,ROW()-1,MATCH(I$1,貼り付け2!$1:$1,0)-1))=2,
OFFSET(貼り付け2!$A$1,$A18-2,OFFSET(貼り付け2!$A$1,ROW()-1,MATCH(N$1,貼り付け2!$1:$1,0)-1)-2)
&amp;OFFSET(貼り付け2!$A$1,$A18-2,OFFSET(貼り付け2!$A$1,ROW()-1,MATCH(N$1,貼り付け2!$1:$1,0)-1)-1),
IF((OFFSET(貼り付け2!$A$1,ROW()-1,MATCH(N$1,貼り付け2!$1:$1,0)-1)-OFFSET(貼り付け2!$A$1,ROW()-1,MATCH(I$1,貼り付け2!$1:$1,0)-1))=3,
OFFSET(貼り付け2!$A$1,$A18-2,OFFSET(貼り付け2!$A$1,ROW()-1,MATCH(N$1,貼り付け2!$1:$1,0)-1)-3)
&amp;OFFSET(貼り付け2!$A$1,$A18-2,OFFSET(貼り付け2!$A$1,ROW()-1,MATCH(N$1,貼り付け2!$1:$1,0)-1)-2)
&amp;OFFSET(貼り付け2!$A$1,$A18-2,OFFSET(貼り付け2!$A$1,ROW()-1,MATCH(N$1,貼り付け2!$1:$1,0)-1)-1),""))),
IF(OFFSET(貼り付け2!$A$1,ROW()-1,MATCH(N$1,貼り付け2!$1:$1,0)+1)=2,
OFFSET(貼り付け2!$A$1,$A18-3,OFFSET(貼り付け2!$A$1,ROW()-1,MATCH(N$1,貼り付け2!$1:$1,0)+1)-2)
&amp;OFFSET(貼り付け2!$A$1,$A18-3,OFFSET(貼り付け2!$A$1,ROW()-1,MATCH(N$1,貼り付け2!$1:$1,0)+1)-1),
IF(OFFSET(貼り付け2!$A$1,ROW()-1,MATCH(N$1,貼り付け2!$1:$1,0)+1)=3,
OFFSET(貼り付け2!$A$1,$A18-3,OFFSET(貼り付け2!$A$1,ROW()-1,MATCH(N$1,貼り付け2!$1:$1,0)+1)-3)
&amp;OFFSET(貼り付け2!$A$1,$A18-3,OFFSET(貼り付け2!$A$1,ROW()-1,MATCH(N$1,貼り付け2!$1:$1,0)+1)-2)
&amp;OFFSET(貼り付け2!$A$1,$A18-3,OFFSET(貼り付け2!$A$1,ROW()-1,MATCH(N$1,貼り付け2!$1:$1,0)+1)-1),"")))</f>
        <v/>
      </c>
      <c r="O18" t="str">
        <f ca="1">IFERROR(
IF(OR(OFFSET(貼り付け2!$A$1,$A18-1,OFFSET(貼り付け2!$A$1,ROW()-1,MATCH(O$1,貼り付け2!$1:$1,0)-1)-2)&lt;&gt;"",OFFSET(貼り付け2!$A$1,$A18-1,OFFSET(貼り付け2!$A$1,ROW()-1,MATCH(O$1,貼り付け2!$1:$1,0)-1)-2)=OFFSET(貼り付け2!$A$1,$A18-1,OFFSET(貼り付け2!$A$1,ROW()-1,MATCH(O$1,貼り付け2!$1:$1,0)-1)-1)),
OFFSET(貼り付け2!$A$1,$A18-1,OFFSET(貼り付け2!$A$1,ROW()-1,MATCH(O$1,貼り付け2!$1:$1,0)-1)-2)&amp;"・"&amp;OFFSET(貼り付け2!$A$1,$A18-1,OFFSET(貼り付け2!$A$1,ROW()-1,MATCH(O$1,貼り付け2!$1:$1,0)-1)-1),),"")</f>
        <v/>
      </c>
      <c r="P18" t="e">
        <f ca="1">OFFSET(貼り付け1!$A$1,貼り付け1!$G17-1,2)</f>
        <v>#REF!</v>
      </c>
      <c r="Q18" t="e">
        <f ca="1">OFFSET(貼り付け1!$A$1,貼り付け1!$F17-1,2)</f>
        <v>#REF!</v>
      </c>
      <c r="R18" t="str">
        <f ca="1">IFERROR(OFFSET(貼り付け2!$A$1,まとめ!$B18-1,OFFSET(貼り付け2!$A$1,ROW()-1,MATCH(R$1,貼り付け2!$1:$1,0)-1)-1),"")</f>
        <v/>
      </c>
      <c r="S18" t="str">
        <f ca="1">IF(OFFSET(貼り付け2!$A$1,ROW()-1,MATCH(S$1,貼り付け2!$1:$1,0)-1)&lt;&gt;"",
IF($C18=TRUE,
IF((OFFSET(貼り付け2!$A$1,ROW()-1,MATCH(S$1,貼り付け2!$1:$1,0)-1)-OFFSET(貼り付け2!$A$1,ROW()-1,MATCH(N$1,貼り付け2!$1:$1,0)-1))=2,
OFFSET(貼り付け2!$A$1,$A18-4,OFFSET(貼り付け2!$A$1,ROW()-1,MATCH(S$1,貼り付け2!$1:$1,0)-1)-2)
&amp;OFFSET(貼り付け2!$A$1,$A18-4,OFFSET(貼り付け2!$A$1,ROW()-1,MATCH(S$1,貼り付け2!$1:$1,0)-1)-1),
IF((OFFSET(貼り付け2!$A$1,ROW()-1,MATCH(S$1,貼り付け2!$1:$1,0)-1)-OFFSET(貼り付け2!$A$1,ROW()-1,MATCH(N$1,貼り付け2!$1:$1,0)-1))=3,
OFFSET(貼り付け2!$A$1,$A18-4,OFFSET(貼り付け2!$A$1,ROW()-1,MATCH(S$1,貼り付け2!$1:$1,0)-1)-3)
&amp;OFFSET(貼り付け2!$A$1,$A18-4,OFFSET(貼り付け2!$A$1,ROW()-1,MATCH(S$1,貼り付け2!$1:$1,0)-1)-2)
&amp;OFFSET(貼り付け2!$A$1,$A18-4,OFFSET(貼り付け2!$A$1,ROW()-1,MATCH(S$1,貼り付け2!$1:$1,0)-1)-1),"")),
IF((OFFSET(貼り付け2!$A$1,ROW()-1,MATCH(S$1,貼り付け2!$1:$1,0)-1)-OFFSET(貼り付け2!$A$1,ROW()-1,MATCH(N$1,貼り付け2!$1:$1,0)-1))=2,
OFFSET(貼り付け2!$A$1,$A18-2,OFFSET(貼り付け2!$A$1,ROW()-1,MATCH(S$1,貼り付け2!$1:$1,0)-1)-2)
&amp;OFFSET(貼り付け2!$A$1,$A18-2,OFFSET(貼り付け2!$A$1,ROW()-1,MATCH(S$1,貼り付け2!$1:$1,0)-1)-1),
IF((OFFSET(貼り付け2!$A$1,ROW()-1,MATCH(S$1,貼り付け2!$1:$1,0)-1)-OFFSET(貼り付け2!$A$1,ROW()-1,MATCH(N$1,貼り付け2!$1:$1,0)-1))=3,
OFFSET(貼り付け2!$A$1,$A18-2,OFFSET(貼り付け2!$A$1,ROW()-1,MATCH(S$1,貼り付け2!$1:$1,0)-1)-3)
&amp;OFFSET(貼り付け2!$A$1,$A18-2,OFFSET(貼り付け2!$A$1,ROW()-1,MATCH(S$1,貼り付け2!$1:$1,0)-1)-2)
&amp;OFFSET(貼り付け2!$A$1,$A18-2,OFFSET(貼り付け2!$A$1,ROW()-1,MATCH(S$1,貼り付け2!$1:$1,0)-1)-1),""))),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OFFSET(貼り付け2!$A$1,$A18-3,OFFSET(貼り付け2!$A$1,ROW()-1,MATCH(S$1,貼り付け2!$1:$1,0)+1)-2)
&amp;OFFSET(貼り付け2!$A$1,$A18-3,OFFSET(貼り付け2!$A$1,ROW()-1,MATCH(S$1,貼り付け2!$1:$1,0)+1)-1),
IF(OFFSET(貼り付け2!$A$1,ROW()-1,MATCH(S$1,貼り付け2!$1:$1,0)+1)-OFFSET(貼り付け2!$A$1,ROW()-1,MATCH(N$1,貼り付け2!$1:$1,0)+1)=3,
OFFSET(貼り付け2!$A$1,$A18-3,OFFSET(貼り付け2!$A$1,ROW()-1,MATCH(S$1,貼り付け2!$1:$1,0)+1)-3)
&amp;OFFSET(貼り付け2!$A$1,$A18-3,OFFSET(貼り付け2!$A$1,ROW()-1,MATCH(S$1,貼り付け2!$1:$1,0)+1)-2)
&amp;OFFSET(貼り付け2!$A$1,$A18-3,OFFSET(貼り付け2!$A$1,ROW()-1,MATCH(S$1,貼り付け2!$1:$1,0)+1)-1),"")),
IF(OFFSET(貼り付け2!$A$1,ROW()-1,MATCH(S$1,貼り付け2!$1:$1,0)+1)=2,
OFFSET(貼り付け2!$A$1,$A18-3,OFFSET(貼り付け2!$A$1,ROW()-1,MATCH(S$1,貼り付け2!$1:$1,0)+1)-2)
&amp;OFFSET(貼り付け2!$A$1,$A18-3,OFFSET(貼り付け2!$A$1,ROW()-1,MATCH(S$1,貼り付け2!$1:$1,0)+1)-1),
IF(OFFSET(貼り付け2!$A$1,ROW()-1,MATCH(S$1,貼り付け2!$1:$1,0)+1)=3,
OFFSET(貼り付け2!$A$1,$A18-3,OFFSET(貼り付け2!$A$1,ROW()-1,MATCH(S$1,貼り付け2!$1:$1,0)+1)-3)
&amp;OFFSET(貼り付け2!$A$1,$A18-3,OFFSET(貼り付け2!$A$1,ROW()-1,MATCH(S$1,貼り付け2!$1:$1,0)+1)-2)
&amp;OFFSET(貼り付け2!$A$1,$A18-3,OFFSET(貼り付け2!$A$1,ROW()-1,MATCH(S$1,貼り付け2!$1:$1,0)+1)-1),""))))</f>
        <v/>
      </c>
      <c r="T18" t="str">
        <f ca="1">IFERROR(
IF(OR(OFFSET(貼り付け2!$A$1,$A18-1,OFFSET(貼り付け2!$A$1,ROW()-1,MATCH(T$1,貼り付け2!$1:$1,0)-1)-2)&lt;&gt;"",OFFSET(貼り付け2!$A$1,$A18-1,OFFSET(貼り付け2!$A$1,ROW()-1,MATCH(T$1,貼り付け2!$1:$1,0)-1)-2)=OFFSET(貼り付け2!$A$1,$A18-1,OFFSET(貼り付け2!$A$1,ROW()-1,MATCH(T$1,貼り付け2!$1:$1,0)-1)-1)),
OFFSET(貼り付け2!$A$1,$A18-1,OFFSET(貼り付け2!$A$1,ROW()-1,MATCH(T$1,貼り付け2!$1:$1,0)-1)-2)&amp;"・"&amp;OFFSET(貼り付け2!$A$1,$A18-1,OFFSET(貼り付け2!$A$1,ROW()-1,MATCH(T$1,貼り付け2!$1:$1,0)-1)-1),),"")</f>
        <v/>
      </c>
      <c r="U18" t="e">
        <f ca="1">OFFSET(貼り付け1!$A$1,貼り付け1!$G17-1,3)</f>
        <v>#REF!</v>
      </c>
      <c r="V18" t="e">
        <f ca="1">OFFSET(貼り付け1!$A$1,貼り付け1!$F17-1,3)</f>
        <v>#REF!</v>
      </c>
      <c r="W18" t="str">
        <f ca="1">IFERROR(OFFSET(貼り付け2!$A$1,まとめ!$B18-1,OFFSET(貼り付け2!$A$1,ROW()-1,MATCH(W$1,貼り付け2!$1:$1,0)-1)-1),"")</f>
        <v/>
      </c>
    </row>
    <row r="19" spans="1:23" x14ac:dyDescent="0.45">
      <c r="A19" t="str">
        <f>貼り付け2!S19</f>
        <v/>
      </c>
      <c r="B19" t="str">
        <f>貼り付け2!R19</f>
        <v/>
      </c>
      <c r="C19" t="e">
        <f t="shared" ca="1" si="1"/>
        <v>#VALUE!</v>
      </c>
      <c r="D19" t="str">
        <f ca="1">IF(OFFSET(貼り付け2!$A$1,ROW()-1,MATCH(D$1,貼り付け2!$1:$1,0)-1)=2,
OFFSET(貼り付け2!$A$1,A19-2,OFFSET(貼り付け2!$A$1,ROW()-1,MATCH(D$1,貼り付け2!$1:$1,0)-1)-2)
&amp;OFFSET(貼り付け2!$A$1,A19-2,OFFSET(貼り付け2!$A$1,ROW()-1,MATCH(D$1,貼り付け2!$1:$1,0)-1)-1),
IF(OFFSET(貼り付け2!$A$1,ROW()-1,MATCH(D$1,貼り付け2!$1:$1,0)-1)=3,
OFFSET(貼り付け2!$A$1,A19-2,OFFSET(貼り付け2!$A$1,ROW()-1,MATCH(D$1,貼り付け2!$1:$1,0)-1)-3)
&amp;OFFSET(貼り付け2!$A$1,A19-2,OFFSET(貼り付け2!$A$1,ROW()-1,MATCH(D$1,貼り付け2!$1:$1,0)-1)-2)
&amp;OFFSET(貼り付け2!$A$1,A19-2,OFFSET(貼り付け2!$A$1,ROW()-1,MATCH(D$1,貼り付け2!$1:$1,0)-1)-1),""))</f>
        <v/>
      </c>
      <c r="E19" t="str">
        <f ca="1">IF(OFFSET(貼り付け2!$A$1,ROW()-1,MATCH(E$1,貼り付け2!$1:$1,0)-1)=2,
OFFSET(貼り付け2!$A$1,$A19-1,OFFSET(貼り付け2!$A$1,ROW()-1,MATCH(E$1,貼り付け2!$1:$1,0)-1)-2)&amp;"・"&amp;OFFSET(貼り付け2!$A$1,$A19-1,OFFSET(貼り付け2!$A$1,ROW()-1,MATCH(E$1,貼り付け2!$1:$1,0)-1)-1),
IF(OFFSET(貼り付け2!$A$1,ROW()-1,MATCH(E$1,貼り付け2!$1:$1,0)-1)=1,
OFFSET(貼り付け2!$A$1,$A19-1,OFFSET(貼り付け2!$A$1,ROW()-1,MATCH(E$1,貼り付け2!$1:$1,0)-1)-1),""))</f>
        <v/>
      </c>
      <c r="F19" t="e">
        <f ca="1">OFFSET(貼り付け1!$A$1,貼り付け1!$G18-1,0)</f>
        <v>#REF!</v>
      </c>
      <c r="G19" t="e">
        <f ca="1">OFFSET(貼り付け1!$A$1,貼り付け1!$F18-1,0)</f>
        <v>#REF!</v>
      </c>
      <c r="H19" t="str">
        <f ca="1">IFERROR(OFFSET(貼り付け2!$A$1,まとめ!$B19-1,OFFSET(貼り付け2!$A$1,ROW()-1,MATCH(H$1,貼り付け2!$1:$1,0)-1)-1),"")</f>
        <v/>
      </c>
      <c r="I19" t="e">
        <f ca="1">IF((OFFSET(貼り付け2!$A$1,ROW()-1,MATCH(I$1,貼り付け2!$1:$1,0)-1)-OFFSET(貼り付け2!$A$1,ROW()-1,MATCH(D$1,貼り付け2!$1:$1,0)-1))=2,
OFFSET(貼り付け2!$A$1,$A19-2,OFFSET(貼り付け2!$A$1,ROW()-1,MATCH(I$1,貼り付け2!$1:$1,0)-1)-2)
&amp;OFFSET(貼り付け2!$A$1,$A19-2,OFFSET(貼り付け2!$A$1,ROW()-1,MATCH(I$1,貼り付け2!$1:$1,0)-1)-1),
IF((OFFSET(貼り付け2!$A$1,ROW()-1,MATCH(I$1,貼り付け2!$1:$1,0)-1)-OFFSET(貼り付け2!$A$1,ROW()-1,MATCH(D$1,貼り付け2!$1:$1,0)-1))=3,
OFFSET(貼り付け2!$A$1,$A19-2,OFFSET(貼り付け2!$A$1,ROW()-1,MATCH(I$1,貼り付け2!$1:$1,0)-1)-3)
&amp;OFFSET(貼り付け2!$A$1,$A19-2,OFFSET(貼り付け2!$A$1,ROW()-1,MATCH(I$1,貼り付け2!$1:$1,0)-1)-2)
&amp;OFFSET(貼り付け2!$A$1,$A19-2,OFFSET(貼り付け2!$A$1,ROW()-1,MATCH(I$1,貼り付け2!$1:$1,0)-1)-1),""))</f>
        <v>#VALUE!</v>
      </c>
      <c r="J19" t="str">
        <f ca="1">IFERROR(
IF(OR(OFFSET(貼り付け2!$A$1,$A19-1,OFFSET(貼り付け2!$A$1,ROW()-1,MATCH(J$1,貼り付け2!$1:$1,0)-1)-2)&lt;&gt;"",OFFSET(貼り付け2!$A$1,$A19-1,OFFSET(貼り付け2!$A$1,ROW()-1,MATCH(J$1,貼り付け2!$1:$1,0)-1)-2)=OFFSET(貼り付け2!$A$1,$A19-1,OFFSET(貼り付け2!$A$1,ROW()-1,MATCH(J$1,貼り付け2!$1:$1,0)-1)-1)),
OFFSET(貼り付け2!$A$1,$A19-1,OFFSET(貼り付け2!$A$1,ROW()-1,MATCH(J$1,貼り付け2!$1:$1,0)-1)-2)&amp;"・"&amp;OFFSET(貼り付け2!$A$1,$A19-1,OFFSET(貼り付け2!$A$1,ROW()-1,MATCH(J$1,貼り付け2!$1:$1,0)-1)-1),),"")</f>
        <v/>
      </c>
      <c r="K19" t="e">
        <f ca="1">OFFSET(貼り付け1!$A$1,貼り付け1!$G18-1,1)</f>
        <v>#REF!</v>
      </c>
      <c r="L19" t="e">
        <f ca="1">OFFSET(貼り付け1!$A$1,貼り付け1!$F18-1,1)</f>
        <v>#REF!</v>
      </c>
      <c r="M19" t="str">
        <f ca="1">IFERROR(OFFSET(貼り付け2!$A$1,まとめ!$B19-1,OFFSET(貼り付け2!$A$1,ROW()-1,MATCH(M$1,貼り付け2!$1:$1,0)-1)-1),"")</f>
        <v/>
      </c>
      <c r="N19" t="str">
        <f ca="1">IF(OFFSET(貼り付け2!$A$1,ROW()-1,MATCH(N$1,貼り付け2!$1:$1,0)-1)&lt;&gt;"",
IF($C19=TRUE,
IF((OFFSET(貼り付け2!$A$1,ROW()-1,MATCH(N$1,貼り付け2!$1:$1,0)-1)-OFFSET(貼り付け2!$A$1,ROW()-1,MATCH(I$1,貼り付け2!$1:$1,0)-1))=2,
OFFSET(貼り付け2!$A$1,$A19-4,OFFSET(貼り付け2!$A$1,ROW()-1,MATCH(N$1,貼り付け2!$1:$1,0)-1)-2)
&amp;OFFSET(貼り付け2!$A$1,$A19-4,OFFSET(貼り付け2!$A$1,ROW()-1,MATCH(N$1,貼り付け2!$1:$1,0)-1)-1),
IF((OFFSET(貼り付け2!$A$1,ROW()-1,MATCH(N$1,貼り付け2!$1:$1,0)-1)-OFFSET(貼り付け2!$A$1,ROW()-1,MATCH(I$1,貼り付け2!$1:$1,0)-1))=3,
OFFSET(貼り付け2!$A$1,$A19-4,OFFSET(貼り付け2!$A$1,ROW()-1,MATCH(N$1,貼り付け2!$1:$1,0)-1)-3)
&amp;OFFSET(貼り付け2!$A$1,$A19-4,OFFSET(貼り付け2!$A$1,ROW()-1,MATCH(N$1,貼り付け2!$1:$1,0)-1)-2)
&amp;OFFSET(貼り付け2!$A$1,$A19-4,OFFSET(貼り付け2!$A$1,ROW()-1,MATCH(N$1,貼り付け2!$1:$1,0)-1)-1),"")),
IF((OFFSET(貼り付け2!$A$1,ROW()-1,MATCH(N$1,貼り付け2!$1:$1,0)-1)-OFFSET(貼り付け2!$A$1,ROW()-1,MATCH(I$1,貼り付け2!$1:$1,0)-1))=2,
OFFSET(貼り付け2!$A$1,$A19-2,OFFSET(貼り付け2!$A$1,ROW()-1,MATCH(N$1,貼り付け2!$1:$1,0)-1)-2)
&amp;OFFSET(貼り付け2!$A$1,$A19-2,OFFSET(貼り付け2!$A$1,ROW()-1,MATCH(N$1,貼り付け2!$1:$1,0)-1)-1),
IF((OFFSET(貼り付け2!$A$1,ROW()-1,MATCH(N$1,貼り付け2!$1:$1,0)-1)-OFFSET(貼り付け2!$A$1,ROW()-1,MATCH(I$1,貼り付け2!$1:$1,0)-1))=3,
OFFSET(貼り付け2!$A$1,$A19-2,OFFSET(貼り付け2!$A$1,ROW()-1,MATCH(N$1,貼り付け2!$1:$1,0)-1)-3)
&amp;OFFSET(貼り付け2!$A$1,$A19-2,OFFSET(貼り付け2!$A$1,ROW()-1,MATCH(N$1,貼り付け2!$1:$1,0)-1)-2)
&amp;OFFSET(貼り付け2!$A$1,$A19-2,OFFSET(貼り付け2!$A$1,ROW()-1,MATCH(N$1,貼り付け2!$1:$1,0)-1)-1),""))),
IF(OFFSET(貼り付け2!$A$1,ROW()-1,MATCH(N$1,貼り付け2!$1:$1,0)+1)=2,
OFFSET(貼り付け2!$A$1,$A19-3,OFFSET(貼り付け2!$A$1,ROW()-1,MATCH(N$1,貼り付け2!$1:$1,0)+1)-2)
&amp;OFFSET(貼り付け2!$A$1,$A19-3,OFFSET(貼り付け2!$A$1,ROW()-1,MATCH(N$1,貼り付け2!$1:$1,0)+1)-1),
IF(OFFSET(貼り付け2!$A$1,ROW()-1,MATCH(N$1,貼り付け2!$1:$1,0)+1)=3,
OFFSET(貼り付け2!$A$1,$A19-3,OFFSET(貼り付け2!$A$1,ROW()-1,MATCH(N$1,貼り付け2!$1:$1,0)+1)-3)
&amp;OFFSET(貼り付け2!$A$1,$A19-3,OFFSET(貼り付け2!$A$1,ROW()-1,MATCH(N$1,貼り付け2!$1:$1,0)+1)-2)
&amp;OFFSET(貼り付け2!$A$1,$A19-3,OFFSET(貼り付け2!$A$1,ROW()-1,MATCH(N$1,貼り付け2!$1:$1,0)+1)-1),"")))</f>
        <v/>
      </c>
      <c r="O19" t="str">
        <f ca="1">IFERROR(
IF(OR(OFFSET(貼り付け2!$A$1,$A19-1,OFFSET(貼り付け2!$A$1,ROW()-1,MATCH(O$1,貼り付け2!$1:$1,0)-1)-2)&lt;&gt;"",OFFSET(貼り付け2!$A$1,$A19-1,OFFSET(貼り付け2!$A$1,ROW()-1,MATCH(O$1,貼り付け2!$1:$1,0)-1)-2)=OFFSET(貼り付け2!$A$1,$A19-1,OFFSET(貼り付け2!$A$1,ROW()-1,MATCH(O$1,貼り付け2!$1:$1,0)-1)-1)),
OFFSET(貼り付け2!$A$1,$A19-1,OFFSET(貼り付け2!$A$1,ROW()-1,MATCH(O$1,貼り付け2!$1:$1,0)-1)-2)&amp;"・"&amp;OFFSET(貼り付け2!$A$1,$A19-1,OFFSET(貼り付け2!$A$1,ROW()-1,MATCH(O$1,貼り付け2!$1:$1,0)-1)-1),),"")</f>
        <v/>
      </c>
      <c r="P19" t="e">
        <f ca="1">OFFSET(貼り付け1!$A$1,貼り付け1!$G18-1,2)</f>
        <v>#REF!</v>
      </c>
      <c r="Q19" t="e">
        <f ca="1">OFFSET(貼り付け1!$A$1,貼り付け1!$F18-1,2)</f>
        <v>#REF!</v>
      </c>
      <c r="R19" t="str">
        <f ca="1">IFERROR(OFFSET(貼り付け2!$A$1,まとめ!$B19-1,OFFSET(貼り付け2!$A$1,ROW()-1,MATCH(R$1,貼り付け2!$1:$1,0)-1)-1),"")</f>
        <v/>
      </c>
      <c r="S19" t="str">
        <f ca="1">IF(OFFSET(貼り付け2!$A$1,ROW()-1,MATCH(S$1,貼り付け2!$1:$1,0)-1)&lt;&gt;"",
IF($C19=TRUE,
IF((OFFSET(貼り付け2!$A$1,ROW()-1,MATCH(S$1,貼り付け2!$1:$1,0)-1)-OFFSET(貼り付け2!$A$1,ROW()-1,MATCH(N$1,貼り付け2!$1:$1,0)-1))=2,
OFFSET(貼り付け2!$A$1,$A19-4,OFFSET(貼り付け2!$A$1,ROW()-1,MATCH(S$1,貼り付け2!$1:$1,0)-1)-2)
&amp;OFFSET(貼り付け2!$A$1,$A19-4,OFFSET(貼り付け2!$A$1,ROW()-1,MATCH(S$1,貼り付け2!$1:$1,0)-1)-1),
IF((OFFSET(貼り付け2!$A$1,ROW()-1,MATCH(S$1,貼り付け2!$1:$1,0)-1)-OFFSET(貼り付け2!$A$1,ROW()-1,MATCH(N$1,貼り付け2!$1:$1,0)-1))=3,
OFFSET(貼り付け2!$A$1,$A19-4,OFFSET(貼り付け2!$A$1,ROW()-1,MATCH(S$1,貼り付け2!$1:$1,0)-1)-3)
&amp;OFFSET(貼り付け2!$A$1,$A19-4,OFFSET(貼り付け2!$A$1,ROW()-1,MATCH(S$1,貼り付け2!$1:$1,0)-1)-2)
&amp;OFFSET(貼り付け2!$A$1,$A19-4,OFFSET(貼り付け2!$A$1,ROW()-1,MATCH(S$1,貼り付け2!$1:$1,0)-1)-1),"")),
IF((OFFSET(貼り付け2!$A$1,ROW()-1,MATCH(S$1,貼り付け2!$1:$1,0)-1)-OFFSET(貼り付け2!$A$1,ROW()-1,MATCH(N$1,貼り付け2!$1:$1,0)-1))=2,
OFFSET(貼り付け2!$A$1,$A19-2,OFFSET(貼り付け2!$A$1,ROW()-1,MATCH(S$1,貼り付け2!$1:$1,0)-1)-2)
&amp;OFFSET(貼り付け2!$A$1,$A19-2,OFFSET(貼り付け2!$A$1,ROW()-1,MATCH(S$1,貼り付け2!$1:$1,0)-1)-1),
IF((OFFSET(貼り付け2!$A$1,ROW()-1,MATCH(S$1,貼り付け2!$1:$1,0)-1)-OFFSET(貼り付け2!$A$1,ROW()-1,MATCH(N$1,貼り付け2!$1:$1,0)-1))=3,
OFFSET(貼り付け2!$A$1,$A19-2,OFFSET(貼り付け2!$A$1,ROW()-1,MATCH(S$1,貼り付け2!$1:$1,0)-1)-3)
&amp;OFFSET(貼り付け2!$A$1,$A19-2,OFFSET(貼り付け2!$A$1,ROW()-1,MATCH(S$1,貼り付け2!$1:$1,0)-1)-2)
&amp;OFFSET(貼り付け2!$A$1,$A19-2,OFFSET(貼り付け2!$A$1,ROW()-1,MATCH(S$1,貼り付け2!$1:$1,0)-1)-1),""))),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OFFSET(貼り付け2!$A$1,$A19-3,OFFSET(貼り付け2!$A$1,ROW()-1,MATCH(S$1,貼り付け2!$1:$1,0)+1)-2)
&amp;OFFSET(貼り付け2!$A$1,$A19-3,OFFSET(貼り付け2!$A$1,ROW()-1,MATCH(S$1,貼り付け2!$1:$1,0)+1)-1),
IF(OFFSET(貼り付け2!$A$1,ROW()-1,MATCH(S$1,貼り付け2!$1:$1,0)+1)-OFFSET(貼り付け2!$A$1,ROW()-1,MATCH(N$1,貼り付け2!$1:$1,0)+1)=3,
OFFSET(貼り付け2!$A$1,$A19-3,OFFSET(貼り付け2!$A$1,ROW()-1,MATCH(S$1,貼り付け2!$1:$1,0)+1)-3)
&amp;OFFSET(貼り付け2!$A$1,$A19-3,OFFSET(貼り付け2!$A$1,ROW()-1,MATCH(S$1,貼り付け2!$1:$1,0)+1)-2)
&amp;OFFSET(貼り付け2!$A$1,$A19-3,OFFSET(貼り付け2!$A$1,ROW()-1,MATCH(S$1,貼り付け2!$1:$1,0)+1)-1),"")),
IF(OFFSET(貼り付け2!$A$1,ROW()-1,MATCH(S$1,貼り付け2!$1:$1,0)+1)=2,
OFFSET(貼り付け2!$A$1,$A19-3,OFFSET(貼り付け2!$A$1,ROW()-1,MATCH(S$1,貼り付け2!$1:$1,0)+1)-2)
&amp;OFFSET(貼り付け2!$A$1,$A19-3,OFFSET(貼り付け2!$A$1,ROW()-1,MATCH(S$1,貼り付け2!$1:$1,0)+1)-1),
IF(OFFSET(貼り付け2!$A$1,ROW()-1,MATCH(S$1,貼り付け2!$1:$1,0)+1)=3,
OFFSET(貼り付け2!$A$1,$A19-3,OFFSET(貼り付け2!$A$1,ROW()-1,MATCH(S$1,貼り付け2!$1:$1,0)+1)-3)
&amp;OFFSET(貼り付け2!$A$1,$A19-3,OFFSET(貼り付け2!$A$1,ROW()-1,MATCH(S$1,貼り付け2!$1:$1,0)+1)-2)
&amp;OFFSET(貼り付け2!$A$1,$A19-3,OFFSET(貼り付け2!$A$1,ROW()-1,MATCH(S$1,貼り付け2!$1:$1,0)+1)-1),""))))</f>
        <v/>
      </c>
      <c r="T19" t="str">
        <f ca="1">IFERROR(
IF(OR(OFFSET(貼り付け2!$A$1,$A19-1,OFFSET(貼り付け2!$A$1,ROW()-1,MATCH(T$1,貼り付け2!$1:$1,0)-1)-2)&lt;&gt;"",OFFSET(貼り付け2!$A$1,$A19-1,OFFSET(貼り付け2!$A$1,ROW()-1,MATCH(T$1,貼り付け2!$1:$1,0)-1)-2)=OFFSET(貼り付け2!$A$1,$A19-1,OFFSET(貼り付け2!$A$1,ROW()-1,MATCH(T$1,貼り付け2!$1:$1,0)-1)-1)),
OFFSET(貼り付け2!$A$1,$A19-1,OFFSET(貼り付け2!$A$1,ROW()-1,MATCH(T$1,貼り付け2!$1:$1,0)-1)-2)&amp;"・"&amp;OFFSET(貼り付け2!$A$1,$A19-1,OFFSET(貼り付け2!$A$1,ROW()-1,MATCH(T$1,貼り付け2!$1:$1,0)-1)-1),),"")</f>
        <v/>
      </c>
      <c r="U19" t="e">
        <f ca="1">OFFSET(貼り付け1!$A$1,貼り付け1!$G18-1,3)</f>
        <v>#REF!</v>
      </c>
      <c r="V19" t="e">
        <f ca="1">OFFSET(貼り付け1!$A$1,貼り付け1!$F18-1,3)</f>
        <v>#REF!</v>
      </c>
      <c r="W19" t="str">
        <f ca="1">IFERROR(OFFSET(貼り付け2!$A$1,まとめ!$B19-1,OFFSET(貼り付け2!$A$1,ROW()-1,MATCH(W$1,貼り付け2!$1:$1,0)-1)-1),"")</f>
        <v/>
      </c>
    </row>
    <row r="20" spans="1:23" x14ac:dyDescent="0.45">
      <c r="A20" t="str">
        <f>貼り付け2!S20</f>
        <v/>
      </c>
      <c r="B20" t="str">
        <f>貼り付け2!R20</f>
        <v/>
      </c>
      <c r="C20" t="e">
        <f t="shared" ca="1" si="1"/>
        <v>#VALUE!</v>
      </c>
      <c r="D20" t="str">
        <f ca="1">IF(OFFSET(貼り付け2!$A$1,ROW()-1,MATCH(D$1,貼り付け2!$1:$1,0)-1)=2,
OFFSET(貼り付け2!$A$1,A20-2,OFFSET(貼り付け2!$A$1,ROW()-1,MATCH(D$1,貼り付け2!$1:$1,0)-1)-2)
&amp;OFFSET(貼り付け2!$A$1,A20-2,OFFSET(貼り付け2!$A$1,ROW()-1,MATCH(D$1,貼り付け2!$1:$1,0)-1)-1),
IF(OFFSET(貼り付け2!$A$1,ROW()-1,MATCH(D$1,貼り付け2!$1:$1,0)-1)=3,
OFFSET(貼り付け2!$A$1,A20-2,OFFSET(貼り付け2!$A$1,ROW()-1,MATCH(D$1,貼り付け2!$1:$1,0)-1)-3)
&amp;OFFSET(貼り付け2!$A$1,A20-2,OFFSET(貼り付け2!$A$1,ROW()-1,MATCH(D$1,貼り付け2!$1:$1,0)-1)-2)
&amp;OFFSET(貼り付け2!$A$1,A20-2,OFFSET(貼り付け2!$A$1,ROW()-1,MATCH(D$1,貼り付け2!$1:$1,0)-1)-1),""))</f>
        <v/>
      </c>
      <c r="E20" t="str">
        <f ca="1">IF(OFFSET(貼り付け2!$A$1,ROW()-1,MATCH(E$1,貼り付け2!$1:$1,0)-1)=2,
OFFSET(貼り付け2!$A$1,$A20-1,OFFSET(貼り付け2!$A$1,ROW()-1,MATCH(E$1,貼り付け2!$1:$1,0)-1)-2)&amp;"・"&amp;OFFSET(貼り付け2!$A$1,$A20-1,OFFSET(貼り付け2!$A$1,ROW()-1,MATCH(E$1,貼り付け2!$1:$1,0)-1)-1),
IF(OFFSET(貼り付け2!$A$1,ROW()-1,MATCH(E$1,貼り付け2!$1:$1,0)-1)=1,
OFFSET(貼り付け2!$A$1,$A20-1,OFFSET(貼り付け2!$A$1,ROW()-1,MATCH(E$1,貼り付け2!$1:$1,0)-1)-1),""))</f>
        <v/>
      </c>
      <c r="F20" t="e">
        <f ca="1">OFFSET(貼り付け1!$A$1,貼り付け1!$G19-1,0)</f>
        <v>#REF!</v>
      </c>
      <c r="G20" t="e">
        <f ca="1">OFFSET(貼り付け1!$A$1,貼り付け1!$F19-1,0)</f>
        <v>#REF!</v>
      </c>
      <c r="H20" t="str">
        <f ca="1">IFERROR(OFFSET(貼り付け2!$A$1,まとめ!$B20-1,OFFSET(貼り付け2!$A$1,ROW()-1,MATCH(H$1,貼り付け2!$1:$1,0)-1)-1),"")</f>
        <v/>
      </c>
      <c r="I20" t="e">
        <f ca="1">IF((OFFSET(貼り付け2!$A$1,ROW()-1,MATCH(I$1,貼り付け2!$1:$1,0)-1)-OFFSET(貼り付け2!$A$1,ROW()-1,MATCH(D$1,貼り付け2!$1:$1,0)-1))=2,
OFFSET(貼り付け2!$A$1,$A20-2,OFFSET(貼り付け2!$A$1,ROW()-1,MATCH(I$1,貼り付け2!$1:$1,0)-1)-2)
&amp;OFFSET(貼り付け2!$A$1,$A20-2,OFFSET(貼り付け2!$A$1,ROW()-1,MATCH(I$1,貼り付け2!$1:$1,0)-1)-1),
IF((OFFSET(貼り付け2!$A$1,ROW()-1,MATCH(I$1,貼り付け2!$1:$1,0)-1)-OFFSET(貼り付け2!$A$1,ROW()-1,MATCH(D$1,貼り付け2!$1:$1,0)-1))=3,
OFFSET(貼り付け2!$A$1,$A20-2,OFFSET(貼り付け2!$A$1,ROW()-1,MATCH(I$1,貼り付け2!$1:$1,0)-1)-3)
&amp;OFFSET(貼り付け2!$A$1,$A20-2,OFFSET(貼り付け2!$A$1,ROW()-1,MATCH(I$1,貼り付け2!$1:$1,0)-1)-2)
&amp;OFFSET(貼り付け2!$A$1,$A20-2,OFFSET(貼り付け2!$A$1,ROW()-1,MATCH(I$1,貼り付け2!$1:$1,0)-1)-1),""))</f>
        <v>#VALUE!</v>
      </c>
      <c r="J20" t="str">
        <f ca="1">IFERROR(
IF(OR(OFFSET(貼り付け2!$A$1,$A20-1,OFFSET(貼り付け2!$A$1,ROW()-1,MATCH(J$1,貼り付け2!$1:$1,0)-1)-2)&lt;&gt;"",OFFSET(貼り付け2!$A$1,$A20-1,OFFSET(貼り付け2!$A$1,ROW()-1,MATCH(J$1,貼り付け2!$1:$1,0)-1)-2)=OFFSET(貼り付け2!$A$1,$A20-1,OFFSET(貼り付け2!$A$1,ROW()-1,MATCH(J$1,貼り付け2!$1:$1,0)-1)-1)),
OFFSET(貼り付け2!$A$1,$A20-1,OFFSET(貼り付け2!$A$1,ROW()-1,MATCH(J$1,貼り付け2!$1:$1,0)-1)-2)&amp;"・"&amp;OFFSET(貼り付け2!$A$1,$A20-1,OFFSET(貼り付け2!$A$1,ROW()-1,MATCH(J$1,貼り付け2!$1:$1,0)-1)-1),),"")</f>
        <v/>
      </c>
      <c r="K20" t="e">
        <f ca="1">OFFSET(貼り付け1!$A$1,貼り付け1!$G19-1,1)</f>
        <v>#REF!</v>
      </c>
      <c r="L20" t="e">
        <f ca="1">OFFSET(貼り付け1!$A$1,貼り付け1!$F19-1,1)</f>
        <v>#REF!</v>
      </c>
      <c r="M20" t="str">
        <f ca="1">IFERROR(OFFSET(貼り付け2!$A$1,まとめ!$B20-1,OFFSET(貼り付け2!$A$1,ROW()-1,MATCH(M$1,貼り付け2!$1:$1,0)-1)-1),"")</f>
        <v/>
      </c>
      <c r="N20" t="str">
        <f ca="1">IF(OFFSET(貼り付け2!$A$1,ROW()-1,MATCH(N$1,貼り付け2!$1:$1,0)-1)&lt;&gt;"",
IF($C20=TRUE,
IF((OFFSET(貼り付け2!$A$1,ROW()-1,MATCH(N$1,貼り付け2!$1:$1,0)-1)-OFFSET(貼り付け2!$A$1,ROW()-1,MATCH(I$1,貼り付け2!$1:$1,0)-1))=2,
OFFSET(貼り付け2!$A$1,$A20-4,OFFSET(貼り付け2!$A$1,ROW()-1,MATCH(N$1,貼り付け2!$1:$1,0)-1)-2)
&amp;OFFSET(貼り付け2!$A$1,$A20-4,OFFSET(貼り付け2!$A$1,ROW()-1,MATCH(N$1,貼り付け2!$1:$1,0)-1)-1),
IF((OFFSET(貼り付け2!$A$1,ROW()-1,MATCH(N$1,貼り付け2!$1:$1,0)-1)-OFFSET(貼り付け2!$A$1,ROW()-1,MATCH(I$1,貼り付け2!$1:$1,0)-1))=3,
OFFSET(貼り付け2!$A$1,$A20-4,OFFSET(貼り付け2!$A$1,ROW()-1,MATCH(N$1,貼り付け2!$1:$1,0)-1)-3)
&amp;OFFSET(貼り付け2!$A$1,$A20-4,OFFSET(貼り付け2!$A$1,ROW()-1,MATCH(N$1,貼り付け2!$1:$1,0)-1)-2)
&amp;OFFSET(貼り付け2!$A$1,$A20-4,OFFSET(貼り付け2!$A$1,ROW()-1,MATCH(N$1,貼り付け2!$1:$1,0)-1)-1),"")),
IF((OFFSET(貼り付け2!$A$1,ROW()-1,MATCH(N$1,貼り付け2!$1:$1,0)-1)-OFFSET(貼り付け2!$A$1,ROW()-1,MATCH(I$1,貼り付け2!$1:$1,0)-1))=2,
OFFSET(貼り付け2!$A$1,$A20-2,OFFSET(貼り付け2!$A$1,ROW()-1,MATCH(N$1,貼り付け2!$1:$1,0)-1)-2)
&amp;OFFSET(貼り付け2!$A$1,$A20-2,OFFSET(貼り付け2!$A$1,ROW()-1,MATCH(N$1,貼り付け2!$1:$1,0)-1)-1),
IF((OFFSET(貼り付け2!$A$1,ROW()-1,MATCH(N$1,貼り付け2!$1:$1,0)-1)-OFFSET(貼り付け2!$A$1,ROW()-1,MATCH(I$1,貼り付け2!$1:$1,0)-1))=3,
OFFSET(貼り付け2!$A$1,$A20-2,OFFSET(貼り付け2!$A$1,ROW()-1,MATCH(N$1,貼り付け2!$1:$1,0)-1)-3)
&amp;OFFSET(貼り付け2!$A$1,$A20-2,OFFSET(貼り付け2!$A$1,ROW()-1,MATCH(N$1,貼り付け2!$1:$1,0)-1)-2)
&amp;OFFSET(貼り付け2!$A$1,$A20-2,OFFSET(貼り付け2!$A$1,ROW()-1,MATCH(N$1,貼り付け2!$1:$1,0)-1)-1),""))),
IF(OFFSET(貼り付け2!$A$1,ROW()-1,MATCH(N$1,貼り付け2!$1:$1,0)+1)=2,
OFFSET(貼り付け2!$A$1,$A20-3,OFFSET(貼り付け2!$A$1,ROW()-1,MATCH(N$1,貼り付け2!$1:$1,0)+1)-2)
&amp;OFFSET(貼り付け2!$A$1,$A20-3,OFFSET(貼り付け2!$A$1,ROW()-1,MATCH(N$1,貼り付け2!$1:$1,0)+1)-1),
IF(OFFSET(貼り付け2!$A$1,ROW()-1,MATCH(N$1,貼り付け2!$1:$1,0)+1)=3,
OFFSET(貼り付け2!$A$1,$A20-3,OFFSET(貼り付け2!$A$1,ROW()-1,MATCH(N$1,貼り付け2!$1:$1,0)+1)-3)
&amp;OFFSET(貼り付け2!$A$1,$A20-3,OFFSET(貼り付け2!$A$1,ROW()-1,MATCH(N$1,貼り付け2!$1:$1,0)+1)-2)
&amp;OFFSET(貼り付け2!$A$1,$A20-3,OFFSET(貼り付け2!$A$1,ROW()-1,MATCH(N$1,貼り付け2!$1:$1,0)+1)-1),"")))</f>
        <v/>
      </c>
      <c r="O20" t="str">
        <f ca="1">IFERROR(
IF(OR(OFFSET(貼り付け2!$A$1,$A20-1,OFFSET(貼り付け2!$A$1,ROW()-1,MATCH(O$1,貼り付け2!$1:$1,0)-1)-2)&lt;&gt;"",OFFSET(貼り付け2!$A$1,$A20-1,OFFSET(貼り付け2!$A$1,ROW()-1,MATCH(O$1,貼り付け2!$1:$1,0)-1)-2)=OFFSET(貼り付け2!$A$1,$A20-1,OFFSET(貼り付け2!$A$1,ROW()-1,MATCH(O$1,貼り付け2!$1:$1,0)-1)-1)),
OFFSET(貼り付け2!$A$1,$A20-1,OFFSET(貼り付け2!$A$1,ROW()-1,MATCH(O$1,貼り付け2!$1:$1,0)-1)-2)&amp;"・"&amp;OFFSET(貼り付け2!$A$1,$A20-1,OFFSET(貼り付け2!$A$1,ROW()-1,MATCH(O$1,貼り付け2!$1:$1,0)-1)-1),),"")</f>
        <v/>
      </c>
      <c r="P20" t="e">
        <f ca="1">OFFSET(貼り付け1!$A$1,貼り付け1!$G19-1,2)</f>
        <v>#REF!</v>
      </c>
      <c r="Q20" t="e">
        <f ca="1">OFFSET(貼り付け1!$A$1,貼り付け1!$F19-1,2)</f>
        <v>#REF!</v>
      </c>
      <c r="R20" t="str">
        <f ca="1">IFERROR(OFFSET(貼り付け2!$A$1,まとめ!$B20-1,OFFSET(貼り付け2!$A$1,ROW()-1,MATCH(R$1,貼り付け2!$1:$1,0)-1)-1),"")</f>
        <v/>
      </c>
      <c r="S20" t="str">
        <f ca="1">IF(OFFSET(貼り付け2!$A$1,ROW()-1,MATCH(S$1,貼り付け2!$1:$1,0)-1)&lt;&gt;"",
IF($C20=TRUE,
IF((OFFSET(貼り付け2!$A$1,ROW()-1,MATCH(S$1,貼り付け2!$1:$1,0)-1)-OFFSET(貼り付け2!$A$1,ROW()-1,MATCH(N$1,貼り付け2!$1:$1,0)-1))=2,
OFFSET(貼り付け2!$A$1,$A20-4,OFFSET(貼り付け2!$A$1,ROW()-1,MATCH(S$1,貼り付け2!$1:$1,0)-1)-2)
&amp;OFFSET(貼り付け2!$A$1,$A20-4,OFFSET(貼り付け2!$A$1,ROW()-1,MATCH(S$1,貼り付け2!$1:$1,0)-1)-1),
IF((OFFSET(貼り付け2!$A$1,ROW()-1,MATCH(S$1,貼り付け2!$1:$1,0)-1)-OFFSET(貼り付け2!$A$1,ROW()-1,MATCH(N$1,貼り付け2!$1:$1,0)-1))=3,
OFFSET(貼り付け2!$A$1,$A20-4,OFFSET(貼り付け2!$A$1,ROW()-1,MATCH(S$1,貼り付け2!$1:$1,0)-1)-3)
&amp;OFFSET(貼り付け2!$A$1,$A20-4,OFFSET(貼り付け2!$A$1,ROW()-1,MATCH(S$1,貼り付け2!$1:$1,0)-1)-2)
&amp;OFFSET(貼り付け2!$A$1,$A20-4,OFFSET(貼り付け2!$A$1,ROW()-1,MATCH(S$1,貼り付け2!$1:$1,0)-1)-1),"")),
IF((OFFSET(貼り付け2!$A$1,ROW()-1,MATCH(S$1,貼り付け2!$1:$1,0)-1)-OFFSET(貼り付け2!$A$1,ROW()-1,MATCH(N$1,貼り付け2!$1:$1,0)-1))=2,
OFFSET(貼り付け2!$A$1,$A20-2,OFFSET(貼り付け2!$A$1,ROW()-1,MATCH(S$1,貼り付け2!$1:$1,0)-1)-2)
&amp;OFFSET(貼り付け2!$A$1,$A20-2,OFFSET(貼り付け2!$A$1,ROW()-1,MATCH(S$1,貼り付け2!$1:$1,0)-1)-1),
IF((OFFSET(貼り付け2!$A$1,ROW()-1,MATCH(S$1,貼り付け2!$1:$1,0)-1)-OFFSET(貼り付け2!$A$1,ROW()-1,MATCH(N$1,貼り付け2!$1:$1,0)-1))=3,
OFFSET(貼り付け2!$A$1,$A20-2,OFFSET(貼り付け2!$A$1,ROW()-1,MATCH(S$1,貼り付け2!$1:$1,0)-1)-3)
&amp;OFFSET(貼り付け2!$A$1,$A20-2,OFFSET(貼り付け2!$A$1,ROW()-1,MATCH(S$1,貼り付け2!$1:$1,0)-1)-2)
&amp;OFFSET(貼り付け2!$A$1,$A20-2,OFFSET(貼り付け2!$A$1,ROW()-1,MATCH(S$1,貼り付け2!$1:$1,0)-1)-1),""))),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OFFSET(貼り付け2!$A$1,$A20-3,OFFSET(貼り付け2!$A$1,ROW()-1,MATCH(S$1,貼り付け2!$1:$1,0)+1)-2)
&amp;OFFSET(貼り付け2!$A$1,$A20-3,OFFSET(貼り付け2!$A$1,ROW()-1,MATCH(S$1,貼り付け2!$1:$1,0)+1)-1),
IF(OFFSET(貼り付け2!$A$1,ROW()-1,MATCH(S$1,貼り付け2!$1:$1,0)+1)-OFFSET(貼り付け2!$A$1,ROW()-1,MATCH(N$1,貼り付け2!$1:$1,0)+1)=3,
OFFSET(貼り付け2!$A$1,$A20-3,OFFSET(貼り付け2!$A$1,ROW()-1,MATCH(S$1,貼り付け2!$1:$1,0)+1)-3)
&amp;OFFSET(貼り付け2!$A$1,$A20-3,OFFSET(貼り付け2!$A$1,ROW()-1,MATCH(S$1,貼り付け2!$1:$1,0)+1)-2)
&amp;OFFSET(貼り付け2!$A$1,$A20-3,OFFSET(貼り付け2!$A$1,ROW()-1,MATCH(S$1,貼り付け2!$1:$1,0)+1)-1),"")),
IF(OFFSET(貼り付け2!$A$1,ROW()-1,MATCH(S$1,貼り付け2!$1:$1,0)+1)=2,
OFFSET(貼り付け2!$A$1,$A20-3,OFFSET(貼り付け2!$A$1,ROW()-1,MATCH(S$1,貼り付け2!$1:$1,0)+1)-2)
&amp;OFFSET(貼り付け2!$A$1,$A20-3,OFFSET(貼り付け2!$A$1,ROW()-1,MATCH(S$1,貼り付け2!$1:$1,0)+1)-1),
IF(OFFSET(貼り付け2!$A$1,ROW()-1,MATCH(S$1,貼り付け2!$1:$1,0)+1)=3,
OFFSET(貼り付け2!$A$1,$A20-3,OFFSET(貼り付け2!$A$1,ROW()-1,MATCH(S$1,貼り付け2!$1:$1,0)+1)-3)
&amp;OFFSET(貼り付け2!$A$1,$A20-3,OFFSET(貼り付け2!$A$1,ROW()-1,MATCH(S$1,貼り付け2!$1:$1,0)+1)-2)
&amp;OFFSET(貼り付け2!$A$1,$A20-3,OFFSET(貼り付け2!$A$1,ROW()-1,MATCH(S$1,貼り付け2!$1:$1,0)+1)-1),""))))</f>
        <v/>
      </c>
      <c r="T20" t="str">
        <f ca="1">IFERROR(
IF(OR(OFFSET(貼り付け2!$A$1,$A20-1,OFFSET(貼り付け2!$A$1,ROW()-1,MATCH(T$1,貼り付け2!$1:$1,0)-1)-2)&lt;&gt;"",OFFSET(貼り付け2!$A$1,$A20-1,OFFSET(貼り付け2!$A$1,ROW()-1,MATCH(T$1,貼り付け2!$1:$1,0)-1)-2)=OFFSET(貼り付け2!$A$1,$A20-1,OFFSET(貼り付け2!$A$1,ROW()-1,MATCH(T$1,貼り付け2!$1:$1,0)-1)-1)),
OFFSET(貼り付け2!$A$1,$A20-1,OFFSET(貼り付け2!$A$1,ROW()-1,MATCH(T$1,貼り付け2!$1:$1,0)-1)-2)&amp;"・"&amp;OFFSET(貼り付け2!$A$1,$A20-1,OFFSET(貼り付け2!$A$1,ROW()-1,MATCH(T$1,貼り付け2!$1:$1,0)-1)-1),),"")</f>
        <v/>
      </c>
      <c r="U20" t="e">
        <f ca="1">OFFSET(貼り付け1!$A$1,貼り付け1!$G19-1,3)</f>
        <v>#REF!</v>
      </c>
      <c r="V20" t="e">
        <f ca="1">OFFSET(貼り付け1!$A$1,貼り付け1!$F19-1,3)</f>
        <v>#REF!</v>
      </c>
      <c r="W20" t="str">
        <f ca="1">IFERROR(OFFSET(貼り付け2!$A$1,まとめ!$B20-1,OFFSET(貼り付け2!$A$1,ROW()-1,MATCH(W$1,貼り付け2!$1:$1,0)-1)-1),"")</f>
        <v/>
      </c>
    </row>
    <row r="21" spans="1:23" x14ac:dyDescent="0.45">
      <c r="A21" t="str">
        <f>貼り付け2!S21</f>
        <v/>
      </c>
      <c r="B21" t="str">
        <f>貼り付け2!R21</f>
        <v/>
      </c>
      <c r="C21" t="e">
        <f t="shared" ca="1" si="1"/>
        <v>#VALUE!</v>
      </c>
      <c r="D21" t="str">
        <f ca="1">IF(OFFSET(貼り付け2!$A$1,ROW()-1,MATCH(D$1,貼り付け2!$1:$1,0)-1)=2,
OFFSET(貼り付け2!$A$1,A21-2,OFFSET(貼り付け2!$A$1,ROW()-1,MATCH(D$1,貼り付け2!$1:$1,0)-1)-2)
&amp;OFFSET(貼り付け2!$A$1,A21-2,OFFSET(貼り付け2!$A$1,ROW()-1,MATCH(D$1,貼り付け2!$1:$1,0)-1)-1),
IF(OFFSET(貼り付け2!$A$1,ROW()-1,MATCH(D$1,貼り付け2!$1:$1,0)-1)=3,
OFFSET(貼り付け2!$A$1,A21-2,OFFSET(貼り付け2!$A$1,ROW()-1,MATCH(D$1,貼り付け2!$1:$1,0)-1)-3)
&amp;OFFSET(貼り付け2!$A$1,A21-2,OFFSET(貼り付け2!$A$1,ROW()-1,MATCH(D$1,貼り付け2!$1:$1,0)-1)-2)
&amp;OFFSET(貼り付け2!$A$1,A21-2,OFFSET(貼り付け2!$A$1,ROW()-1,MATCH(D$1,貼り付け2!$1:$1,0)-1)-1),""))</f>
        <v/>
      </c>
      <c r="E21" t="str">
        <f ca="1">IF(OFFSET(貼り付け2!$A$1,ROW()-1,MATCH(E$1,貼り付け2!$1:$1,0)-1)=2,
OFFSET(貼り付け2!$A$1,$A21-1,OFFSET(貼り付け2!$A$1,ROW()-1,MATCH(E$1,貼り付け2!$1:$1,0)-1)-2)&amp;"・"&amp;OFFSET(貼り付け2!$A$1,$A21-1,OFFSET(貼り付け2!$A$1,ROW()-1,MATCH(E$1,貼り付け2!$1:$1,0)-1)-1),
IF(OFFSET(貼り付け2!$A$1,ROW()-1,MATCH(E$1,貼り付け2!$1:$1,0)-1)=1,
OFFSET(貼り付け2!$A$1,$A21-1,OFFSET(貼り付け2!$A$1,ROW()-1,MATCH(E$1,貼り付け2!$1:$1,0)-1)-1),""))</f>
        <v/>
      </c>
      <c r="F21" t="e">
        <f ca="1">OFFSET(貼り付け1!$A$1,貼り付け1!$G20-1,0)</f>
        <v>#REF!</v>
      </c>
      <c r="G21" t="e">
        <f ca="1">OFFSET(貼り付け1!$A$1,貼り付け1!$F20-1,0)</f>
        <v>#REF!</v>
      </c>
      <c r="H21" t="str">
        <f ca="1">IFERROR(OFFSET(貼り付け2!$A$1,まとめ!$B21-1,OFFSET(貼り付け2!$A$1,ROW()-1,MATCH(H$1,貼り付け2!$1:$1,0)-1)-1),"")</f>
        <v/>
      </c>
      <c r="I21" t="e">
        <f ca="1">IF((OFFSET(貼り付け2!$A$1,ROW()-1,MATCH(I$1,貼り付け2!$1:$1,0)-1)-OFFSET(貼り付け2!$A$1,ROW()-1,MATCH(D$1,貼り付け2!$1:$1,0)-1))=2,
OFFSET(貼り付け2!$A$1,$A21-2,OFFSET(貼り付け2!$A$1,ROW()-1,MATCH(I$1,貼り付け2!$1:$1,0)-1)-2)
&amp;OFFSET(貼り付け2!$A$1,$A21-2,OFFSET(貼り付け2!$A$1,ROW()-1,MATCH(I$1,貼り付け2!$1:$1,0)-1)-1),
IF((OFFSET(貼り付け2!$A$1,ROW()-1,MATCH(I$1,貼り付け2!$1:$1,0)-1)-OFFSET(貼り付け2!$A$1,ROW()-1,MATCH(D$1,貼り付け2!$1:$1,0)-1))=3,
OFFSET(貼り付け2!$A$1,$A21-2,OFFSET(貼り付け2!$A$1,ROW()-1,MATCH(I$1,貼り付け2!$1:$1,0)-1)-3)
&amp;OFFSET(貼り付け2!$A$1,$A21-2,OFFSET(貼り付け2!$A$1,ROW()-1,MATCH(I$1,貼り付け2!$1:$1,0)-1)-2)
&amp;OFFSET(貼り付け2!$A$1,$A21-2,OFFSET(貼り付け2!$A$1,ROW()-1,MATCH(I$1,貼り付け2!$1:$1,0)-1)-1),""))</f>
        <v>#VALUE!</v>
      </c>
      <c r="J21" t="e">
        <f ca="1">IF(OFFSET(貼り付け2!$A$1,ROW()-1,MATCH(J$1,貼り付け2!$1:$1,0)-1)-OFFSET(貼り付け2!$A$1,ROW()-1,MATCH(E$1,貼り付け2!$1:$1,0)-1)=2,
OFFSET(貼り付け2!$A$1,$A21-1,OFFSET(貼り付け2!$A$1,ROW()-1,MATCH(J$1,貼り付け2!$1:$1,0)-1)-2)&amp;"・"&amp;OFFSET(貼り付け2!$A$1,$A21-1,OFFSET(貼り付け2!$A$1,ROW()-1,MATCH(J$1,貼り付け2!$1:$1,0)-1)-1),
IF(OFFSET(貼り付け2!$A$1,ROW()-1,MATCH(J$1,貼り付け2!$1:$1,0)-1)-OFFSET(貼り付け2!$A$1,ROW()-1,MATCH(E$1,貼り付け2!$1:$1,0)-1)=1,
OFFSET(貼り付け2!$A$1,$A21-1,OFFSET(貼り付け2!$A$1,ROW()-1,MATCH(J$1,貼り付け2!$1:$1,0)-1)-1),""))</f>
        <v>#VALUE!</v>
      </c>
      <c r="K21" t="e">
        <f ca="1">OFFSET(貼り付け1!$A$1,貼り付け1!$G20-1,1)</f>
        <v>#REF!</v>
      </c>
      <c r="L21" t="e">
        <f ca="1">OFFSET(貼り付け1!$A$1,貼り付け1!$F20-1,1)</f>
        <v>#REF!</v>
      </c>
      <c r="M21" t="str">
        <f ca="1">IFERROR(OFFSET(貼り付け2!$A$1,まとめ!$B21-1,OFFSET(貼り付け2!$A$1,ROW()-1,MATCH(M$1,貼り付け2!$1:$1,0)-1)-1),"")</f>
        <v/>
      </c>
      <c r="N21" t="str">
        <f ca="1">IF(OFFSET(貼り付け2!$A$1,ROW()-1,MATCH(N$1,貼り付け2!$1:$1,0)-1)&lt;&gt;"",
IF($C21=TRUE,
IF((OFFSET(貼り付け2!$A$1,ROW()-1,MATCH(N$1,貼り付け2!$1:$1,0)-1)-OFFSET(貼り付け2!$A$1,ROW()-1,MATCH(I$1,貼り付け2!$1:$1,0)-1))=2,
OFFSET(貼り付け2!$A$1,$A21-4,OFFSET(貼り付け2!$A$1,ROW()-1,MATCH(N$1,貼り付け2!$1:$1,0)-1)-2)
&amp;OFFSET(貼り付け2!$A$1,$A21-4,OFFSET(貼り付け2!$A$1,ROW()-1,MATCH(N$1,貼り付け2!$1:$1,0)-1)-1),
IF((OFFSET(貼り付け2!$A$1,ROW()-1,MATCH(N$1,貼り付け2!$1:$1,0)-1)-OFFSET(貼り付け2!$A$1,ROW()-1,MATCH(I$1,貼り付け2!$1:$1,0)-1))=3,
OFFSET(貼り付け2!$A$1,$A21-4,OFFSET(貼り付け2!$A$1,ROW()-1,MATCH(N$1,貼り付け2!$1:$1,0)-1)-3)
&amp;OFFSET(貼り付け2!$A$1,$A21-4,OFFSET(貼り付け2!$A$1,ROW()-1,MATCH(N$1,貼り付け2!$1:$1,0)-1)-2)
&amp;OFFSET(貼り付け2!$A$1,$A21-4,OFFSET(貼り付け2!$A$1,ROW()-1,MATCH(N$1,貼り付け2!$1:$1,0)-1)-1),"")),
IF((OFFSET(貼り付け2!$A$1,ROW()-1,MATCH(N$1,貼り付け2!$1:$1,0)-1)-OFFSET(貼り付け2!$A$1,ROW()-1,MATCH(I$1,貼り付け2!$1:$1,0)-1))=2,
OFFSET(貼り付け2!$A$1,$A21-2,OFFSET(貼り付け2!$A$1,ROW()-1,MATCH(N$1,貼り付け2!$1:$1,0)-1)-2)
&amp;OFFSET(貼り付け2!$A$1,$A21-2,OFFSET(貼り付け2!$A$1,ROW()-1,MATCH(N$1,貼り付け2!$1:$1,0)-1)-1),
IF((OFFSET(貼り付け2!$A$1,ROW()-1,MATCH(N$1,貼り付け2!$1:$1,0)-1)-OFFSET(貼り付け2!$A$1,ROW()-1,MATCH(I$1,貼り付け2!$1:$1,0)-1))=3,
OFFSET(貼り付け2!$A$1,$A21-2,OFFSET(貼り付け2!$A$1,ROW()-1,MATCH(N$1,貼り付け2!$1:$1,0)-1)-3)
&amp;OFFSET(貼り付け2!$A$1,$A21-2,OFFSET(貼り付け2!$A$1,ROW()-1,MATCH(N$1,貼り付け2!$1:$1,0)-1)-2)
&amp;OFFSET(貼り付け2!$A$1,$A21-2,OFFSET(貼り付け2!$A$1,ROW()-1,MATCH(N$1,貼り付け2!$1:$1,0)-1)-1),""))),
IF(OFFSET(貼り付け2!$A$1,ROW()-1,MATCH(N$1,貼り付け2!$1:$1,0)+1)=2,
OFFSET(貼り付け2!$A$1,$A21-3,OFFSET(貼り付け2!$A$1,ROW()-1,MATCH(N$1,貼り付け2!$1:$1,0)+1)-2)
&amp;OFFSET(貼り付け2!$A$1,$A21-3,OFFSET(貼り付け2!$A$1,ROW()-1,MATCH(N$1,貼り付け2!$1:$1,0)+1)-1),
IF(OFFSET(貼り付け2!$A$1,ROW()-1,MATCH(N$1,貼り付け2!$1:$1,0)+1)=3,
OFFSET(貼り付け2!$A$1,$A21-3,OFFSET(貼り付け2!$A$1,ROW()-1,MATCH(N$1,貼り付け2!$1:$1,0)+1)-3)
&amp;OFFSET(貼り付け2!$A$1,$A21-3,OFFSET(貼り付け2!$A$1,ROW()-1,MATCH(N$1,貼り付け2!$1:$1,0)+1)-2)
&amp;OFFSET(貼り付け2!$A$1,$A21-3,OFFSET(貼り付け2!$A$1,ROW()-1,MATCH(N$1,貼り付け2!$1:$1,0)+1)-1),"")))</f>
        <v/>
      </c>
      <c r="O21" t="str">
        <f ca="1">IFERROR(OFFSET(貼り付け2!$A$1,$A21-1,OFFSET(貼り付け2!$A$1,ROW()-1,MATCH(O$1,貼り付け2!$1:$1,0)-1)-1),"")</f>
        <v/>
      </c>
      <c r="P21" t="e">
        <f ca="1">OFFSET(貼り付け1!$A$1,貼り付け1!$G20-1,2)</f>
        <v>#REF!</v>
      </c>
      <c r="Q21" t="e">
        <f ca="1">OFFSET(貼り付け1!$A$1,貼り付け1!$F20-1,2)</f>
        <v>#REF!</v>
      </c>
      <c r="R21" t="str">
        <f ca="1">IFERROR(OFFSET(貼り付け2!$A$1,まとめ!$B21-1,OFFSET(貼り付け2!$A$1,ROW()-1,MATCH(R$1,貼り付け2!$1:$1,0)-1)-1),"")</f>
        <v/>
      </c>
      <c r="S21" t="str">
        <f ca="1">IF(OFFSET(貼り付け2!$A$1,ROW()-1,MATCH(S$1,貼り付け2!$1:$1,0)-1)&lt;&gt;"",
IF($C21=TRUE,
IF((OFFSET(貼り付け2!$A$1,ROW()-1,MATCH(S$1,貼り付け2!$1:$1,0)-1)-OFFSET(貼り付け2!$A$1,ROW()-1,MATCH(N$1,貼り付け2!$1:$1,0)-1))=2,
OFFSET(貼り付け2!$A$1,$A21-4,OFFSET(貼り付け2!$A$1,ROW()-1,MATCH(S$1,貼り付け2!$1:$1,0)-1)-2)
&amp;OFFSET(貼り付け2!$A$1,$A21-4,OFFSET(貼り付け2!$A$1,ROW()-1,MATCH(S$1,貼り付け2!$1:$1,0)-1)-1),
IF((OFFSET(貼り付け2!$A$1,ROW()-1,MATCH(S$1,貼り付け2!$1:$1,0)-1)-OFFSET(貼り付け2!$A$1,ROW()-1,MATCH(N$1,貼り付け2!$1:$1,0)-1))=3,
OFFSET(貼り付け2!$A$1,$A21-4,OFFSET(貼り付け2!$A$1,ROW()-1,MATCH(S$1,貼り付け2!$1:$1,0)-1)-3)
&amp;OFFSET(貼り付け2!$A$1,$A21-4,OFFSET(貼り付け2!$A$1,ROW()-1,MATCH(S$1,貼り付け2!$1:$1,0)-1)-2)
&amp;OFFSET(貼り付け2!$A$1,$A21-4,OFFSET(貼り付け2!$A$1,ROW()-1,MATCH(S$1,貼り付け2!$1:$1,0)-1)-1),"")),
IF((OFFSET(貼り付け2!$A$1,ROW()-1,MATCH(S$1,貼り付け2!$1:$1,0)-1)-OFFSET(貼り付け2!$A$1,ROW()-1,MATCH(N$1,貼り付け2!$1:$1,0)-1))=2,
OFFSET(貼り付け2!$A$1,$A21-2,OFFSET(貼り付け2!$A$1,ROW()-1,MATCH(S$1,貼り付け2!$1:$1,0)-1)-2)
&amp;OFFSET(貼り付け2!$A$1,$A21-2,OFFSET(貼り付け2!$A$1,ROW()-1,MATCH(S$1,貼り付け2!$1:$1,0)-1)-1),
IF((OFFSET(貼り付け2!$A$1,ROW()-1,MATCH(S$1,貼り付け2!$1:$1,0)-1)-OFFSET(貼り付け2!$A$1,ROW()-1,MATCH(N$1,貼り付け2!$1:$1,0)-1))=3,
OFFSET(貼り付け2!$A$1,$A21-2,OFFSET(貼り付け2!$A$1,ROW()-1,MATCH(S$1,貼り付け2!$1:$1,0)-1)-3)
&amp;OFFSET(貼り付け2!$A$1,$A21-2,OFFSET(貼り付け2!$A$1,ROW()-1,MATCH(S$1,貼り付け2!$1:$1,0)-1)-2)
&amp;OFFSET(貼り付け2!$A$1,$A21-2,OFFSET(貼り付け2!$A$1,ROW()-1,MATCH(S$1,貼り付け2!$1:$1,0)-1)-1),""))),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OFFSET(貼り付け2!$A$1,$A21-3,OFFSET(貼り付け2!$A$1,ROW()-1,MATCH(S$1,貼り付け2!$1:$1,0)+1)-2)
&amp;OFFSET(貼り付け2!$A$1,$A21-3,OFFSET(貼り付け2!$A$1,ROW()-1,MATCH(S$1,貼り付け2!$1:$1,0)+1)-1),
IF(OFFSET(貼り付け2!$A$1,ROW()-1,MATCH(S$1,貼り付け2!$1:$1,0)+1)-OFFSET(貼り付け2!$A$1,ROW()-1,MATCH(N$1,貼り付け2!$1:$1,0)+1)=3,
OFFSET(貼り付け2!$A$1,$A21-3,OFFSET(貼り付け2!$A$1,ROW()-1,MATCH(S$1,貼り付け2!$1:$1,0)+1)-3)
&amp;OFFSET(貼り付け2!$A$1,$A21-3,OFFSET(貼り付け2!$A$1,ROW()-1,MATCH(S$1,貼り付け2!$1:$1,0)+1)-2)
&amp;OFFSET(貼り付け2!$A$1,$A21-3,OFFSET(貼り付け2!$A$1,ROW()-1,MATCH(S$1,貼り付け2!$1:$1,0)+1)-1),"")),
IF(OFFSET(貼り付け2!$A$1,ROW()-1,MATCH(S$1,貼り付け2!$1:$1,0)+1)=2,
OFFSET(貼り付け2!$A$1,$A21-3,OFFSET(貼り付け2!$A$1,ROW()-1,MATCH(S$1,貼り付け2!$1:$1,0)+1)-2)
&amp;OFFSET(貼り付け2!$A$1,$A21-3,OFFSET(貼り付け2!$A$1,ROW()-1,MATCH(S$1,貼り付け2!$1:$1,0)+1)-1),
IF(OFFSET(貼り付け2!$A$1,ROW()-1,MATCH(S$1,貼り付け2!$1:$1,0)+1)=3,
OFFSET(貼り付け2!$A$1,$A21-3,OFFSET(貼り付け2!$A$1,ROW()-1,MATCH(S$1,貼り付け2!$1:$1,0)+1)-3)
&amp;OFFSET(貼り付け2!$A$1,$A21-3,OFFSET(貼り付け2!$A$1,ROW()-1,MATCH(S$1,貼り付け2!$1:$1,0)+1)-2)
&amp;OFFSET(貼り付け2!$A$1,$A21-3,OFFSET(貼り付け2!$A$1,ROW()-1,MATCH(S$1,貼り付け2!$1:$1,0)+1)-1),""))))</f>
        <v/>
      </c>
      <c r="T21" t="str">
        <f ca="1">IFERROR(OFFSET(貼り付け2!$A$1,$A21-1,OFFSET(貼り付け2!$A$1,ROW()-1,MATCH(T$1,貼り付け2!$1:$1,0)-1)-1),"")</f>
        <v/>
      </c>
      <c r="U21" t="e">
        <f ca="1">OFFSET(貼り付け1!$A$1,貼り付け1!$G20-1,3)</f>
        <v>#REF!</v>
      </c>
      <c r="V21" t="e">
        <f ca="1">OFFSET(貼り付け1!$A$1,貼り付け1!$F20-1,3)</f>
        <v>#REF!</v>
      </c>
      <c r="W21" t="str">
        <f ca="1">IFERROR(OFFSET(貼り付け2!$A$1,まとめ!$B21-1,OFFSET(貼り付け2!$A$1,ROW()-1,MATCH(W$1,貼り付け2!$1:$1,0)-1)-1),"")</f>
        <v/>
      </c>
    </row>
    <row r="22" spans="1:23" x14ac:dyDescent="0.45">
      <c r="A22" t="str">
        <f>貼り付け2!S22</f>
        <v/>
      </c>
      <c r="B22" t="str">
        <f>貼り付け2!R22</f>
        <v/>
      </c>
      <c r="C22" t="e">
        <f t="shared" ca="1" si="1"/>
        <v>#VALUE!</v>
      </c>
      <c r="D22" t="str">
        <f ca="1">IF(OFFSET(貼り付け2!$A$1,ROW()-1,MATCH(D$1,貼り付け2!$1:$1,0)-1)=2,
OFFSET(貼り付け2!$A$1,A22-2,OFFSET(貼り付け2!$A$1,ROW()-1,MATCH(D$1,貼り付け2!$1:$1,0)-1)-2)
&amp;OFFSET(貼り付け2!$A$1,A22-2,OFFSET(貼り付け2!$A$1,ROW()-1,MATCH(D$1,貼り付け2!$1:$1,0)-1)-1),
IF(OFFSET(貼り付け2!$A$1,ROW()-1,MATCH(D$1,貼り付け2!$1:$1,0)-1)=3,
OFFSET(貼り付け2!$A$1,A22-2,OFFSET(貼り付け2!$A$1,ROW()-1,MATCH(D$1,貼り付け2!$1:$1,0)-1)-3)
&amp;OFFSET(貼り付け2!$A$1,A22-2,OFFSET(貼り付け2!$A$1,ROW()-1,MATCH(D$1,貼り付け2!$1:$1,0)-1)-2)
&amp;OFFSET(貼り付け2!$A$1,A22-2,OFFSET(貼り付け2!$A$1,ROW()-1,MATCH(D$1,貼り付け2!$1:$1,0)-1)-1),""))</f>
        <v/>
      </c>
      <c r="E22" t="str">
        <f ca="1">IF(OFFSET(貼り付け2!$A$1,ROW()-1,MATCH(E$1,貼り付け2!$1:$1,0)-1)=2,
OFFSET(貼り付け2!$A$1,$A22-1,OFFSET(貼り付け2!$A$1,ROW()-1,MATCH(E$1,貼り付け2!$1:$1,0)-1)-2)&amp;"・"&amp;OFFSET(貼り付け2!$A$1,$A22-1,OFFSET(貼り付け2!$A$1,ROW()-1,MATCH(E$1,貼り付け2!$1:$1,0)-1)-1),
IF(OFFSET(貼り付け2!$A$1,ROW()-1,MATCH(E$1,貼り付け2!$1:$1,0)-1)=1,
OFFSET(貼り付け2!$A$1,$A22-1,OFFSET(貼り付け2!$A$1,ROW()-1,MATCH(E$1,貼り付け2!$1:$1,0)-1)-1),""))</f>
        <v/>
      </c>
      <c r="F22" t="e">
        <f ca="1">OFFSET(貼り付け1!$A$1,貼り付け1!$G21-1,0)</f>
        <v>#REF!</v>
      </c>
      <c r="G22" t="e">
        <f ca="1">OFFSET(貼り付け1!$A$1,貼り付け1!$F21-1,0)</f>
        <v>#REF!</v>
      </c>
      <c r="H22" t="str">
        <f ca="1">IFERROR(OFFSET(貼り付け2!$A$1,まとめ!$B22-1,OFFSET(貼り付け2!$A$1,ROW()-1,MATCH(H$1,貼り付け2!$1:$1,0)-1)-1),"")</f>
        <v/>
      </c>
      <c r="I22" t="e">
        <f ca="1">IF((OFFSET(貼り付け2!$A$1,ROW()-1,MATCH(I$1,貼り付け2!$1:$1,0)-1)-OFFSET(貼り付け2!$A$1,ROW()-1,MATCH(D$1,貼り付け2!$1:$1,0)-1))=2,
OFFSET(貼り付け2!$A$1,$A22-2,OFFSET(貼り付け2!$A$1,ROW()-1,MATCH(I$1,貼り付け2!$1:$1,0)-1)-2)
&amp;OFFSET(貼り付け2!$A$1,$A22-2,OFFSET(貼り付け2!$A$1,ROW()-1,MATCH(I$1,貼り付け2!$1:$1,0)-1)-1),
IF((OFFSET(貼り付け2!$A$1,ROW()-1,MATCH(I$1,貼り付け2!$1:$1,0)-1)-OFFSET(貼り付け2!$A$1,ROW()-1,MATCH(D$1,貼り付け2!$1:$1,0)-1))=3,
OFFSET(貼り付け2!$A$1,$A22-2,OFFSET(貼り付け2!$A$1,ROW()-1,MATCH(I$1,貼り付け2!$1:$1,0)-1)-3)
&amp;OFFSET(貼り付け2!$A$1,$A22-2,OFFSET(貼り付け2!$A$1,ROW()-1,MATCH(I$1,貼り付け2!$1:$1,0)-1)-2)
&amp;OFFSET(貼り付け2!$A$1,$A22-2,OFFSET(貼り付け2!$A$1,ROW()-1,MATCH(I$1,貼り付け2!$1:$1,0)-1)-1),""))</f>
        <v>#VALUE!</v>
      </c>
      <c r="J22" t="e">
        <f ca="1">IF(OFFSET(貼り付け2!$A$1,ROW()-1,MATCH(J$1,貼り付け2!$1:$1,0)-1)-OFFSET(貼り付け2!$A$1,ROW()-1,MATCH(E$1,貼り付け2!$1:$1,0)-1)=2,
OFFSET(貼り付け2!$A$1,$A22-1,OFFSET(貼り付け2!$A$1,ROW()-1,MATCH(J$1,貼り付け2!$1:$1,0)-1)-2)&amp;"・"&amp;OFFSET(貼り付け2!$A$1,$A22-1,OFFSET(貼り付け2!$A$1,ROW()-1,MATCH(J$1,貼り付け2!$1:$1,0)-1)-1),
IF(OFFSET(貼り付け2!$A$1,ROW()-1,MATCH(J$1,貼り付け2!$1:$1,0)-1)-OFFSET(貼り付け2!$A$1,ROW()-1,MATCH(E$1,貼り付け2!$1:$1,0)-1)=1,
OFFSET(貼り付け2!$A$1,$A22-1,OFFSET(貼り付け2!$A$1,ROW()-1,MATCH(J$1,貼り付け2!$1:$1,0)-1)-1),""))</f>
        <v>#VALUE!</v>
      </c>
      <c r="K22" t="e">
        <f ca="1">OFFSET(貼り付け1!$A$1,貼り付け1!$G21-1,1)</f>
        <v>#REF!</v>
      </c>
      <c r="L22" t="e">
        <f ca="1">OFFSET(貼り付け1!$A$1,貼り付け1!$F21-1,1)</f>
        <v>#REF!</v>
      </c>
      <c r="M22" t="str">
        <f ca="1">IFERROR(OFFSET(貼り付け2!$A$1,まとめ!$B22-1,OFFSET(貼り付け2!$A$1,ROW()-1,MATCH(M$1,貼り付け2!$1:$1,0)-1)-1),"")</f>
        <v/>
      </c>
      <c r="N22" t="str">
        <f ca="1">IF(OFFSET(貼り付け2!$A$1,ROW()-1,MATCH(N$1,貼り付け2!$1:$1,0)-1)&lt;&gt;"",
IF($C22=TRUE,
IF((OFFSET(貼り付け2!$A$1,ROW()-1,MATCH(N$1,貼り付け2!$1:$1,0)-1)-OFFSET(貼り付け2!$A$1,ROW()-1,MATCH(I$1,貼り付け2!$1:$1,0)-1))=2,
OFFSET(貼り付け2!$A$1,$A22-4,OFFSET(貼り付け2!$A$1,ROW()-1,MATCH(N$1,貼り付け2!$1:$1,0)-1)-2)
&amp;OFFSET(貼り付け2!$A$1,$A22-4,OFFSET(貼り付け2!$A$1,ROW()-1,MATCH(N$1,貼り付け2!$1:$1,0)-1)-1),
IF((OFFSET(貼り付け2!$A$1,ROW()-1,MATCH(N$1,貼り付け2!$1:$1,0)-1)-OFFSET(貼り付け2!$A$1,ROW()-1,MATCH(I$1,貼り付け2!$1:$1,0)-1))=3,
OFFSET(貼り付け2!$A$1,$A22-4,OFFSET(貼り付け2!$A$1,ROW()-1,MATCH(N$1,貼り付け2!$1:$1,0)-1)-3)
&amp;OFFSET(貼り付け2!$A$1,$A22-4,OFFSET(貼り付け2!$A$1,ROW()-1,MATCH(N$1,貼り付け2!$1:$1,0)-1)-2)
&amp;OFFSET(貼り付け2!$A$1,$A22-4,OFFSET(貼り付け2!$A$1,ROW()-1,MATCH(N$1,貼り付け2!$1:$1,0)-1)-1),"")),
IF((OFFSET(貼り付け2!$A$1,ROW()-1,MATCH(N$1,貼り付け2!$1:$1,0)-1)-OFFSET(貼り付け2!$A$1,ROW()-1,MATCH(I$1,貼り付け2!$1:$1,0)-1))=2,
OFFSET(貼り付け2!$A$1,$A22-2,OFFSET(貼り付け2!$A$1,ROW()-1,MATCH(N$1,貼り付け2!$1:$1,0)-1)-2)
&amp;OFFSET(貼り付け2!$A$1,$A22-2,OFFSET(貼り付け2!$A$1,ROW()-1,MATCH(N$1,貼り付け2!$1:$1,0)-1)-1),
IF((OFFSET(貼り付け2!$A$1,ROW()-1,MATCH(N$1,貼り付け2!$1:$1,0)-1)-OFFSET(貼り付け2!$A$1,ROW()-1,MATCH(I$1,貼り付け2!$1:$1,0)-1))=3,
OFFSET(貼り付け2!$A$1,$A22-2,OFFSET(貼り付け2!$A$1,ROW()-1,MATCH(N$1,貼り付け2!$1:$1,0)-1)-3)
&amp;OFFSET(貼り付け2!$A$1,$A22-2,OFFSET(貼り付け2!$A$1,ROW()-1,MATCH(N$1,貼り付け2!$1:$1,0)-1)-2)
&amp;OFFSET(貼り付け2!$A$1,$A22-2,OFFSET(貼り付け2!$A$1,ROW()-1,MATCH(N$1,貼り付け2!$1:$1,0)-1)-1),""))),
IF(OFFSET(貼り付け2!$A$1,ROW()-1,MATCH(N$1,貼り付け2!$1:$1,0)+1)=2,
OFFSET(貼り付け2!$A$1,$A22-3,OFFSET(貼り付け2!$A$1,ROW()-1,MATCH(N$1,貼り付け2!$1:$1,0)+1)-2)
&amp;OFFSET(貼り付け2!$A$1,$A22-3,OFFSET(貼り付け2!$A$1,ROW()-1,MATCH(N$1,貼り付け2!$1:$1,0)+1)-1),
IF(OFFSET(貼り付け2!$A$1,ROW()-1,MATCH(N$1,貼り付け2!$1:$1,0)+1)=3,
OFFSET(貼り付け2!$A$1,$A22-3,OFFSET(貼り付け2!$A$1,ROW()-1,MATCH(N$1,貼り付け2!$1:$1,0)+1)-3)
&amp;OFFSET(貼り付け2!$A$1,$A22-3,OFFSET(貼り付け2!$A$1,ROW()-1,MATCH(N$1,貼り付け2!$1:$1,0)+1)-2)
&amp;OFFSET(貼り付け2!$A$1,$A22-3,OFFSET(貼り付け2!$A$1,ROW()-1,MATCH(N$1,貼り付け2!$1:$1,0)+1)-1),"")))</f>
        <v/>
      </c>
      <c r="O22" t="str">
        <f ca="1">IFERROR(OFFSET(貼り付け2!$A$1,$A22-1,OFFSET(貼り付け2!$A$1,ROW()-1,MATCH(O$1,貼り付け2!$1:$1,0)-1)-1),"")</f>
        <v/>
      </c>
      <c r="P22" t="e">
        <f ca="1">OFFSET(貼り付け1!$A$1,貼り付け1!$G21-1,2)</f>
        <v>#REF!</v>
      </c>
      <c r="Q22" t="e">
        <f ca="1">OFFSET(貼り付け1!$A$1,貼り付け1!$F21-1,2)</f>
        <v>#REF!</v>
      </c>
      <c r="R22" t="str">
        <f ca="1">IFERROR(OFFSET(貼り付け2!$A$1,まとめ!$B22-1,OFFSET(貼り付け2!$A$1,ROW()-1,MATCH(R$1,貼り付け2!$1:$1,0)-1)-1),"")</f>
        <v/>
      </c>
      <c r="S22" t="str">
        <f ca="1">IF(OFFSET(貼り付け2!$A$1,ROW()-1,MATCH(S$1,貼り付け2!$1:$1,0)-1)&lt;&gt;"",
IF($C22=TRUE,
IF((OFFSET(貼り付け2!$A$1,ROW()-1,MATCH(S$1,貼り付け2!$1:$1,0)-1)-OFFSET(貼り付け2!$A$1,ROW()-1,MATCH(N$1,貼り付け2!$1:$1,0)-1))=2,
OFFSET(貼り付け2!$A$1,$A22-4,OFFSET(貼り付け2!$A$1,ROW()-1,MATCH(S$1,貼り付け2!$1:$1,0)-1)-2)
&amp;OFFSET(貼り付け2!$A$1,$A22-4,OFFSET(貼り付け2!$A$1,ROW()-1,MATCH(S$1,貼り付け2!$1:$1,0)-1)-1),
IF((OFFSET(貼り付け2!$A$1,ROW()-1,MATCH(S$1,貼り付け2!$1:$1,0)-1)-OFFSET(貼り付け2!$A$1,ROW()-1,MATCH(N$1,貼り付け2!$1:$1,0)-1))=3,
OFFSET(貼り付け2!$A$1,$A22-4,OFFSET(貼り付け2!$A$1,ROW()-1,MATCH(S$1,貼り付け2!$1:$1,0)-1)-3)
&amp;OFFSET(貼り付け2!$A$1,$A22-4,OFFSET(貼り付け2!$A$1,ROW()-1,MATCH(S$1,貼り付け2!$1:$1,0)-1)-2)
&amp;OFFSET(貼り付け2!$A$1,$A22-4,OFFSET(貼り付け2!$A$1,ROW()-1,MATCH(S$1,貼り付け2!$1:$1,0)-1)-1),"")),
IF((OFFSET(貼り付け2!$A$1,ROW()-1,MATCH(S$1,貼り付け2!$1:$1,0)-1)-OFFSET(貼り付け2!$A$1,ROW()-1,MATCH(N$1,貼り付け2!$1:$1,0)-1))=2,
OFFSET(貼り付け2!$A$1,$A22-2,OFFSET(貼り付け2!$A$1,ROW()-1,MATCH(S$1,貼り付け2!$1:$1,0)-1)-2)
&amp;OFFSET(貼り付け2!$A$1,$A22-2,OFFSET(貼り付け2!$A$1,ROW()-1,MATCH(S$1,貼り付け2!$1:$1,0)-1)-1),
IF((OFFSET(貼り付け2!$A$1,ROW()-1,MATCH(S$1,貼り付け2!$1:$1,0)-1)-OFFSET(貼り付け2!$A$1,ROW()-1,MATCH(N$1,貼り付け2!$1:$1,0)-1))=3,
OFFSET(貼り付け2!$A$1,$A22-2,OFFSET(貼り付け2!$A$1,ROW()-1,MATCH(S$1,貼り付け2!$1:$1,0)-1)-3)
&amp;OFFSET(貼り付け2!$A$1,$A22-2,OFFSET(貼り付け2!$A$1,ROW()-1,MATCH(S$1,貼り付け2!$1:$1,0)-1)-2)
&amp;OFFSET(貼り付け2!$A$1,$A22-2,OFFSET(貼り付け2!$A$1,ROW()-1,MATCH(S$1,貼り付け2!$1:$1,0)-1)-1),""))),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OFFSET(貼り付け2!$A$1,$A22-3,OFFSET(貼り付け2!$A$1,ROW()-1,MATCH(S$1,貼り付け2!$1:$1,0)+1)-2)
&amp;OFFSET(貼り付け2!$A$1,$A22-3,OFFSET(貼り付け2!$A$1,ROW()-1,MATCH(S$1,貼り付け2!$1:$1,0)+1)-1),
IF(OFFSET(貼り付け2!$A$1,ROW()-1,MATCH(S$1,貼り付け2!$1:$1,0)+1)-OFFSET(貼り付け2!$A$1,ROW()-1,MATCH(N$1,貼り付け2!$1:$1,0)+1)=3,
OFFSET(貼り付け2!$A$1,$A22-3,OFFSET(貼り付け2!$A$1,ROW()-1,MATCH(S$1,貼り付け2!$1:$1,0)+1)-3)
&amp;OFFSET(貼り付け2!$A$1,$A22-3,OFFSET(貼り付け2!$A$1,ROW()-1,MATCH(S$1,貼り付け2!$1:$1,0)+1)-2)
&amp;OFFSET(貼り付け2!$A$1,$A22-3,OFFSET(貼り付け2!$A$1,ROW()-1,MATCH(S$1,貼り付け2!$1:$1,0)+1)-1),"")),
IF(OFFSET(貼り付け2!$A$1,ROW()-1,MATCH(S$1,貼り付け2!$1:$1,0)+1)=2,
OFFSET(貼り付け2!$A$1,$A22-3,OFFSET(貼り付け2!$A$1,ROW()-1,MATCH(S$1,貼り付け2!$1:$1,0)+1)-2)
&amp;OFFSET(貼り付け2!$A$1,$A22-3,OFFSET(貼り付け2!$A$1,ROW()-1,MATCH(S$1,貼り付け2!$1:$1,0)+1)-1),
IF(OFFSET(貼り付け2!$A$1,ROW()-1,MATCH(S$1,貼り付け2!$1:$1,0)+1)=3,
OFFSET(貼り付け2!$A$1,$A22-3,OFFSET(貼り付け2!$A$1,ROW()-1,MATCH(S$1,貼り付け2!$1:$1,0)+1)-3)
&amp;OFFSET(貼り付け2!$A$1,$A22-3,OFFSET(貼り付け2!$A$1,ROW()-1,MATCH(S$1,貼り付け2!$1:$1,0)+1)-2)
&amp;OFFSET(貼り付け2!$A$1,$A22-3,OFFSET(貼り付け2!$A$1,ROW()-1,MATCH(S$1,貼り付け2!$1:$1,0)+1)-1),""))))</f>
        <v/>
      </c>
      <c r="T22" t="str">
        <f ca="1">IFERROR(OFFSET(貼り付け2!$A$1,$A22-1,OFFSET(貼り付け2!$A$1,ROW()-1,MATCH(T$1,貼り付け2!$1:$1,0)-1)-1),"")</f>
        <v/>
      </c>
      <c r="U22" t="e">
        <f ca="1">OFFSET(貼り付け1!$A$1,貼り付け1!$G21-1,3)</f>
        <v>#REF!</v>
      </c>
      <c r="V22" t="e">
        <f ca="1">OFFSET(貼り付け1!$A$1,貼り付け1!$F21-1,3)</f>
        <v>#REF!</v>
      </c>
      <c r="W22" t="str">
        <f ca="1">IFERROR(OFFSET(貼り付け2!$A$1,まとめ!$B22-1,OFFSET(貼り付け2!$A$1,ROW()-1,MATCH(W$1,貼り付け2!$1:$1,0)-1)-1),"")</f>
        <v/>
      </c>
    </row>
    <row r="23" spans="1:23" x14ac:dyDescent="0.45">
      <c r="A23" t="str">
        <f>貼り付け2!S23</f>
        <v/>
      </c>
      <c r="B23" t="str">
        <f>貼り付け2!R23</f>
        <v/>
      </c>
      <c r="C23" t="e">
        <f t="shared" ca="1" si="1"/>
        <v>#VALUE!</v>
      </c>
      <c r="D23" t="str">
        <f ca="1">IF(OFFSET(貼り付け2!$A$1,ROW()-1,MATCH(D$1,貼り付け2!$1:$1,0)-1)=2,
OFFSET(貼り付け2!$A$1,A23-2,OFFSET(貼り付け2!$A$1,ROW()-1,MATCH(D$1,貼り付け2!$1:$1,0)-1)-2)
&amp;OFFSET(貼り付け2!$A$1,A23-2,OFFSET(貼り付け2!$A$1,ROW()-1,MATCH(D$1,貼り付け2!$1:$1,0)-1)-1),
IF(OFFSET(貼り付け2!$A$1,ROW()-1,MATCH(D$1,貼り付け2!$1:$1,0)-1)=3,
OFFSET(貼り付け2!$A$1,A23-2,OFFSET(貼り付け2!$A$1,ROW()-1,MATCH(D$1,貼り付け2!$1:$1,0)-1)-3)
&amp;OFFSET(貼り付け2!$A$1,A23-2,OFFSET(貼り付け2!$A$1,ROW()-1,MATCH(D$1,貼り付け2!$1:$1,0)-1)-2)
&amp;OFFSET(貼り付け2!$A$1,A23-2,OFFSET(貼り付け2!$A$1,ROW()-1,MATCH(D$1,貼り付け2!$1:$1,0)-1)-1),""))</f>
        <v/>
      </c>
      <c r="E23" t="str">
        <f ca="1">IF(OFFSET(貼り付け2!$A$1,ROW()-1,MATCH(E$1,貼り付け2!$1:$1,0)-1)=2,
OFFSET(貼り付け2!$A$1,$A23-1,OFFSET(貼り付け2!$A$1,ROW()-1,MATCH(E$1,貼り付け2!$1:$1,0)-1)-2)&amp;"・"&amp;OFFSET(貼り付け2!$A$1,$A23-1,OFFSET(貼り付け2!$A$1,ROW()-1,MATCH(E$1,貼り付け2!$1:$1,0)-1)-1),
IF(OFFSET(貼り付け2!$A$1,ROW()-1,MATCH(E$1,貼り付け2!$1:$1,0)-1)=1,
OFFSET(貼り付け2!$A$1,$A23-1,OFFSET(貼り付け2!$A$1,ROW()-1,MATCH(E$1,貼り付け2!$1:$1,0)-1)-1),""))</f>
        <v/>
      </c>
      <c r="F23" t="e">
        <f ca="1">OFFSET(貼り付け1!$A$1,貼り付け1!$G22-1,0)</f>
        <v>#REF!</v>
      </c>
      <c r="G23" t="e">
        <f ca="1">OFFSET(貼り付け1!$A$1,貼り付け1!$F22-1,0)</f>
        <v>#REF!</v>
      </c>
      <c r="H23" t="str">
        <f ca="1">IFERROR(OFFSET(貼り付け2!$A$1,まとめ!$B23-1,OFFSET(貼り付け2!$A$1,ROW()-1,MATCH(H$1,貼り付け2!$1:$1,0)-1)-1),"")</f>
        <v/>
      </c>
      <c r="I23" t="e">
        <f ca="1">IF((OFFSET(貼り付け2!$A$1,ROW()-1,MATCH(I$1,貼り付け2!$1:$1,0)-1)-OFFSET(貼り付け2!$A$1,ROW()-1,MATCH(D$1,貼り付け2!$1:$1,0)-1))=2,
OFFSET(貼り付け2!$A$1,$A23-2,OFFSET(貼り付け2!$A$1,ROW()-1,MATCH(I$1,貼り付け2!$1:$1,0)-1)-2)
&amp;OFFSET(貼り付け2!$A$1,$A23-2,OFFSET(貼り付け2!$A$1,ROW()-1,MATCH(I$1,貼り付け2!$1:$1,0)-1)-1),
IF((OFFSET(貼り付け2!$A$1,ROW()-1,MATCH(I$1,貼り付け2!$1:$1,0)-1)-OFFSET(貼り付け2!$A$1,ROW()-1,MATCH(D$1,貼り付け2!$1:$1,0)-1))=3,
OFFSET(貼り付け2!$A$1,$A23-2,OFFSET(貼り付け2!$A$1,ROW()-1,MATCH(I$1,貼り付け2!$1:$1,0)-1)-3)
&amp;OFFSET(貼り付け2!$A$1,$A23-2,OFFSET(貼り付け2!$A$1,ROW()-1,MATCH(I$1,貼り付け2!$1:$1,0)-1)-2)
&amp;OFFSET(貼り付け2!$A$1,$A23-2,OFFSET(貼り付け2!$A$1,ROW()-1,MATCH(I$1,貼り付け2!$1:$1,0)-1)-1),""))</f>
        <v>#VALUE!</v>
      </c>
      <c r="J23" t="e">
        <f ca="1">IF(OFFSET(貼り付け2!$A$1,ROW()-1,MATCH(J$1,貼り付け2!$1:$1,0)-1)-OFFSET(貼り付け2!$A$1,ROW()-1,MATCH(E$1,貼り付け2!$1:$1,0)-1)=2,
OFFSET(貼り付け2!$A$1,$A23-1,OFFSET(貼り付け2!$A$1,ROW()-1,MATCH(J$1,貼り付け2!$1:$1,0)-1)-2)&amp;"・"&amp;OFFSET(貼り付け2!$A$1,$A23-1,OFFSET(貼り付け2!$A$1,ROW()-1,MATCH(J$1,貼り付け2!$1:$1,0)-1)-1),
IF(OFFSET(貼り付け2!$A$1,ROW()-1,MATCH(J$1,貼り付け2!$1:$1,0)-1)-OFFSET(貼り付け2!$A$1,ROW()-1,MATCH(E$1,貼り付け2!$1:$1,0)-1)=1,
OFFSET(貼り付け2!$A$1,$A23-1,OFFSET(貼り付け2!$A$1,ROW()-1,MATCH(J$1,貼り付け2!$1:$1,0)-1)-1),""))</f>
        <v>#VALUE!</v>
      </c>
      <c r="K23" t="e">
        <f ca="1">OFFSET(貼り付け1!$A$1,貼り付け1!$G22-1,1)</f>
        <v>#REF!</v>
      </c>
      <c r="L23" t="e">
        <f ca="1">OFFSET(貼り付け1!$A$1,貼り付け1!$F22-1,1)</f>
        <v>#REF!</v>
      </c>
      <c r="M23" t="str">
        <f ca="1">IFERROR(OFFSET(貼り付け2!$A$1,まとめ!$B23-1,OFFSET(貼り付け2!$A$1,ROW()-1,MATCH(M$1,貼り付け2!$1:$1,0)-1)-1),"")</f>
        <v/>
      </c>
      <c r="N23" t="str">
        <f ca="1">IF(OFFSET(貼り付け2!$A$1,ROW()-1,MATCH(N$1,貼り付け2!$1:$1,0)-1)&lt;&gt;"",
IF($C23=TRUE,
IF((OFFSET(貼り付け2!$A$1,ROW()-1,MATCH(N$1,貼り付け2!$1:$1,0)-1)-OFFSET(貼り付け2!$A$1,ROW()-1,MATCH(I$1,貼り付け2!$1:$1,0)-1))=2,
OFFSET(貼り付け2!$A$1,$A23-4,OFFSET(貼り付け2!$A$1,ROW()-1,MATCH(N$1,貼り付け2!$1:$1,0)-1)-2)
&amp;OFFSET(貼り付け2!$A$1,$A23-4,OFFSET(貼り付け2!$A$1,ROW()-1,MATCH(N$1,貼り付け2!$1:$1,0)-1)-1),
IF((OFFSET(貼り付け2!$A$1,ROW()-1,MATCH(N$1,貼り付け2!$1:$1,0)-1)-OFFSET(貼り付け2!$A$1,ROW()-1,MATCH(I$1,貼り付け2!$1:$1,0)-1))=3,
OFFSET(貼り付け2!$A$1,$A23-4,OFFSET(貼り付け2!$A$1,ROW()-1,MATCH(N$1,貼り付け2!$1:$1,0)-1)-3)
&amp;OFFSET(貼り付け2!$A$1,$A23-4,OFFSET(貼り付け2!$A$1,ROW()-1,MATCH(N$1,貼り付け2!$1:$1,0)-1)-2)
&amp;OFFSET(貼り付け2!$A$1,$A23-4,OFFSET(貼り付け2!$A$1,ROW()-1,MATCH(N$1,貼り付け2!$1:$1,0)-1)-1),"")),
IF((OFFSET(貼り付け2!$A$1,ROW()-1,MATCH(N$1,貼り付け2!$1:$1,0)-1)-OFFSET(貼り付け2!$A$1,ROW()-1,MATCH(I$1,貼り付け2!$1:$1,0)-1))=2,
OFFSET(貼り付け2!$A$1,$A23-2,OFFSET(貼り付け2!$A$1,ROW()-1,MATCH(N$1,貼り付け2!$1:$1,0)-1)-2)
&amp;OFFSET(貼り付け2!$A$1,$A23-2,OFFSET(貼り付け2!$A$1,ROW()-1,MATCH(N$1,貼り付け2!$1:$1,0)-1)-1),
IF((OFFSET(貼り付け2!$A$1,ROW()-1,MATCH(N$1,貼り付け2!$1:$1,0)-1)-OFFSET(貼り付け2!$A$1,ROW()-1,MATCH(I$1,貼り付け2!$1:$1,0)-1))=3,
OFFSET(貼り付け2!$A$1,$A23-2,OFFSET(貼り付け2!$A$1,ROW()-1,MATCH(N$1,貼り付け2!$1:$1,0)-1)-3)
&amp;OFFSET(貼り付け2!$A$1,$A23-2,OFFSET(貼り付け2!$A$1,ROW()-1,MATCH(N$1,貼り付け2!$1:$1,0)-1)-2)
&amp;OFFSET(貼り付け2!$A$1,$A23-2,OFFSET(貼り付け2!$A$1,ROW()-1,MATCH(N$1,貼り付け2!$1:$1,0)-1)-1),""))),
IF(OFFSET(貼り付け2!$A$1,ROW()-1,MATCH(N$1,貼り付け2!$1:$1,0)+1)=2,
OFFSET(貼り付け2!$A$1,$A23-3,OFFSET(貼り付け2!$A$1,ROW()-1,MATCH(N$1,貼り付け2!$1:$1,0)+1)-2)
&amp;OFFSET(貼り付け2!$A$1,$A23-3,OFFSET(貼り付け2!$A$1,ROW()-1,MATCH(N$1,貼り付け2!$1:$1,0)+1)-1),
IF(OFFSET(貼り付け2!$A$1,ROW()-1,MATCH(N$1,貼り付け2!$1:$1,0)+1)=3,
OFFSET(貼り付け2!$A$1,$A23-3,OFFSET(貼り付け2!$A$1,ROW()-1,MATCH(N$1,貼り付け2!$1:$1,0)+1)-3)
&amp;OFFSET(貼り付け2!$A$1,$A23-3,OFFSET(貼り付け2!$A$1,ROW()-1,MATCH(N$1,貼り付け2!$1:$1,0)+1)-2)
&amp;OFFSET(貼り付け2!$A$1,$A23-3,OFFSET(貼り付け2!$A$1,ROW()-1,MATCH(N$1,貼り付け2!$1:$1,0)+1)-1),"")))</f>
        <v/>
      </c>
      <c r="O23" t="str">
        <f ca="1">IFERROR(OFFSET(貼り付け2!$A$1,$A23-1,OFFSET(貼り付け2!$A$1,ROW()-1,MATCH(O$1,貼り付け2!$1:$1,0)-1)-1),"")</f>
        <v/>
      </c>
      <c r="P23" t="e">
        <f ca="1">OFFSET(貼り付け1!$A$1,貼り付け1!$G22-1,2)</f>
        <v>#REF!</v>
      </c>
      <c r="Q23" t="e">
        <f ca="1">OFFSET(貼り付け1!$A$1,貼り付け1!$F22-1,2)</f>
        <v>#REF!</v>
      </c>
      <c r="R23" t="str">
        <f ca="1">IFERROR(OFFSET(貼り付け2!$A$1,まとめ!$B23-1,OFFSET(貼り付け2!$A$1,ROW()-1,MATCH(R$1,貼り付け2!$1:$1,0)-1)-1),"")</f>
        <v/>
      </c>
      <c r="S23" t="str">
        <f ca="1">IF(OFFSET(貼り付け2!$A$1,ROW()-1,MATCH(S$1,貼り付け2!$1:$1,0)-1)&lt;&gt;"",
IF($C23=TRUE,
IF((OFFSET(貼り付け2!$A$1,ROW()-1,MATCH(S$1,貼り付け2!$1:$1,0)-1)-OFFSET(貼り付け2!$A$1,ROW()-1,MATCH(N$1,貼り付け2!$1:$1,0)-1))=2,
OFFSET(貼り付け2!$A$1,$A23-4,OFFSET(貼り付け2!$A$1,ROW()-1,MATCH(S$1,貼り付け2!$1:$1,0)-1)-2)
&amp;OFFSET(貼り付け2!$A$1,$A23-4,OFFSET(貼り付け2!$A$1,ROW()-1,MATCH(S$1,貼り付け2!$1:$1,0)-1)-1),
IF((OFFSET(貼り付け2!$A$1,ROW()-1,MATCH(S$1,貼り付け2!$1:$1,0)-1)-OFFSET(貼り付け2!$A$1,ROW()-1,MATCH(N$1,貼り付け2!$1:$1,0)-1))=3,
OFFSET(貼り付け2!$A$1,$A23-4,OFFSET(貼り付け2!$A$1,ROW()-1,MATCH(S$1,貼り付け2!$1:$1,0)-1)-3)
&amp;OFFSET(貼り付け2!$A$1,$A23-4,OFFSET(貼り付け2!$A$1,ROW()-1,MATCH(S$1,貼り付け2!$1:$1,0)-1)-2)
&amp;OFFSET(貼り付け2!$A$1,$A23-4,OFFSET(貼り付け2!$A$1,ROW()-1,MATCH(S$1,貼り付け2!$1:$1,0)-1)-1),"")),
IF((OFFSET(貼り付け2!$A$1,ROW()-1,MATCH(S$1,貼り付け2!$1:$1,0)-1)-OFFSET(貼り付け2!$A$1,ROW()-1,MATCH(N$1,貼り付け2!$1:$1,0)-1))=2,
OFFSET(貼り付け2!$A$1,$A23-2,OFFSET(貼り付け2!$A$1,ROW()-1,MATCH(S$1,貼り付け2!$1:$1,0)-1)-2)
&amp;OFFSET(貼り付け2!$A$1,$A23-2,OFFSET(貼り付け2!$A$1,ROW()-1,MATCH(S$1,貼り付け2!$1:$1,0)-1)-1),
IF((OFFSET(貼り付け2!$A$1,ROW()-1,MATCH(S$1,貼り付け2!$1:$1,0)-1)-OFFSET(貼り付け2!$A$1,ROW()-1,MATCH(N$1,貼り付け2!$1:$1,0)-1))=3,
OFFSET(貼り付け2!$A$1,$A23-2,OFFSET(貼り付け2!$A$1,ROW()-1,MATCH(S$1,貼り付け2!$1:$1,0)-1)-3)
&amp;OFFSET(貼り付け2!$A$1,$A23-2,OFFSET(貼り付け2!$A$1,ROW()-1,MATCH(S$1,貼り付け2!$1:$1,0)-1)-2)
&amp;OFFSET(貼り付け2!$A$1,$A23-2,OFFSET(貼り付け2!$A$1,ROW()-1,MATCH(S$1,貼り付け2!$1:$1,0)-1)-1),""))),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OFFSET(貼り付け2!$A$1,$A23-3,OFFSET(貼り付け2!$A$1,ROW()-1,MATCH(S$1,貼り付け2!$1:$1,0)+1)-2)
&amp;OFFSET(貼り付け2!$A$1,$A23-3,OFFSET(貼り付け2!$A$1,ROW()-1,MATCH(S$1,貼り付け2!$1:$1,0)+1)-1),
IF(OFFSET(貼り付け2!$A$1,ROW()-1,MATCH(S$1,貼り付け2!$1:$1,0)+1)-OFFSET(貼り付け2!$A$1,ROW()-1,MATCH(N$1,貼り付け2!$1:$1,0)+1)=3,
OFFSET(貼り付け2!$A$1,$A23-3,OFFSET(貼り付け2!$A$1,ROW()-1,MATCH(S$1,貼り付け2!$1:$1,0)+1)-3)
&amp;OFFSET(貼り付け2!$A$1,$A23-3,OFFSET(貼り付け2!$A$1,ROW()-1,MATCH(S$1,貼り付け2!$1:$1,0)+1)-2)
&amp;OFFSET(貼り付け2!$A$1,$A23-3,OFFSET(貼り付け2!$A$1,ROW()-1,MATCH(S$1,貼り付け2!$1:$1,0)+1)-1),"")),
IF(OFFSET(貼り付け2!$A$1,ROW()-1,MATCH(S$1,貼り付け2!$1:$1,0)+1)=2,
OFFSET(貼り付け2!$A$1,$A23-3,OFFSET(貼り付け2!$A$1,ROW()-1,MATCH(S$1,貼り付け2!$1:$1,0)+1)-2)
&amp;OFFSET(貼り付け2!$A$1,$A23-3,OFFSET(貼り付け2!$A$1,ROW()-1,MATCH(S$1,貼り付け2!$1:$1,0)+1)-1),
IF(OFFSET(貼り付け2!$A$1,ROW()-1,MATCH(S$1,貼り付け2!$1:$1,0)+1)=3,
OFFSET(貼り付け2!$A$1,$A23-3,OFFSET(貼り付け2!$A$1,ROW()-1,MATCH(S$1,貼り付け2!$1:$1,0)+1)-3)
&amp;OFFSET(貼り付け2!$A$1,$A23-3,OFFSET(貼り付け2!$A$1,ROW()-1,MATCH(S$1,貼り付け2!$1:$1,0)+1)-2)
&amp;OFFSET(貼り付け2!$A$1,$A23-3,OFFSET(貼り付け2!$A$1,ROW()-1,MATCH(S$1,貼り付け2!$1:$1,0)+1)-1),""))))</f>
        <v/>
      </c>
      <c r="T23" t="str">
        <f ca="1">IFERROR(OFFSET(貼り付け2!$A$1,$A23-1,OFFSET(貼り付け2!$A$1,ROW()-1,MATCH(T$1,貼り付け2!$1:$1,0)-1)-1),"")</f>
        <v/>
      </c>
      <c r="U23" t="e">
        <f ca="1">OFFSET(貼り付け1!$A$1,貼り付け1!$G22-1,3)</f>
        <v>#REF!</v>
      </c>
      <c r="V23" t="e">
        <f ca="1">OFFSET(貼り付け1!$A$1,貼り付け1!$F22-1,3)</f>
        <v>#REF!</v>
      </c>
      <c r="W23" t="str">
        <f ca="1">IFERROR(OFFSET(貼り付け2!$A$1,まとめ!$B23-1,OFFSET(貼り付け2!$A$1,ROW()-1,MATCH(W$1,貼り付け2!$1:$1,0)-1)-1),"")</f>
        <v/>
      </c>
    </row>
    <row r="24" spans="1:23" x14ac:dyDescent="0.45">
      <c r="A24" t="str">
        <f>貼り付け2!S24</f>
        <v/>
      </c>
      <c r="B24" t="str">
        <f>貼り付け2!R24</f>
        <v/>
      </c>
      <c r="C24" t="e">
        <f t="shared" ca="1" si="1"/>
        <v>#VALUE!</v>
      </c>
      <c r="D24" t="str">
        <f ca="1">IF(OFFSET(貼り付け2!$A$1,ROW()-1,MATCH(D$1,貼り付け2!$1:$1,0)-1)=2,
OFFSET(貼り付け2!$A$1,A24-2,OFFSET(貼り付け2!$A$1,ROW()-1,MATCH(D$1,貼り付け2!$1:$1,0)-1)-2)
&amp;OFFSET(貼り付け2!$A$1,A24-2,OFFSET(貼り付け2!$A$1,ROW()-1,MATCH(D$1,貼り付け2!$1:$1,0)-1)-1),
IF(OFFSET(貼り付け2!$A$1,ROW()-1,MATCH(D$1,貼り付け2!$1:$1,0)-1)=3,
OFFSET(貼り付け2!$A$1,A24-2,OFFSET(貼り付け2!$A$1,ROW()-1,MATCH(D$1,貼り付け2!$1:$1,0)-1)-3)
&amp;OFFSET(貼り付け2!$A$1,A24-2,OFFSET(貼り付け2!$A$1,ROW()-1,MATCH(D$1,貼り付け2!$1:$1,0)-1)-2)
&amp;OFFSET(貼り付け2!$A$1,A24-2,OFFSET(貼り付け2!$A$1,ROW()-1,MATCH(D$1,貼り付け2!$1:$1,0)-1)-1),""))</f>
        <v/>
      </c>
      <c r="E24" t="str">
        <f ca="1">IF(OFFSET(貼り付け2!$A$1,ROW()-1,MATCH(E$1,貼り付け2!$1:$1,0)-1)=2,
OFFSET(貼り付け2!$A$1,$A24-1,OFFSET(貼り付け2!$A$1,ROW()-1,MATCH(E$1,貼り付け2!$1:$1,0)-1)-2)&amp;"・"&amp;OFFSET(貼り付け2!$A$1,$A24-1,OFFSET(貼り付け2!$A$1,ROW()-1,MATCH(E$1,貼り付け2!$1:$1,0)-1)-1),
IF(OFFSET(貼り付け2!$A$1,ROW()-1,MATCH(E$1,貼り付け2!$1:$1,0)-1)=1,
OFFSET(貼り付け2!$A$1,$A24-1,OFFSET(貼り付け2!$A$1,ROW()-1,MATCH(E$1,貼り付け2!$1:$1,0)-1)-1),""))</f>
        <v/>
      </c>
      <c r="F24" t="e">
        <f ca="1">OFFSET(貼り付け1!$A$1,貼り付け1!$G23-1,0)</f>
        <v>#REF!</v>
      </c>
      <c r="G24" t="e">
        <f ca="1">OFFSET(貼り付け1!$A$1,貼り付け1!$F23-1,0)</f>
        <v>#REF!</v>
      </c>
      <c r="H24" t="str">
        <f ca="1">IFERROR(OFFSET(貼り付け2!$A$1,まとめ!$B24-1,OFFSET(貼り付け2!$A$1,ROW()-1,MATCH(H$1,貼り付け2!$1:$1,0)-1)-1),"")</f>
        <v/>
      </c>
      <c r="I24" t="e">
        <f ca="1">IF((OFFSET(貼り付け2!$A$1,ROW()-1,MATCH(I$1,貼り付け2!$1:$1,0)-1)-OFFSET(貼り付け2!$A$1,ROW()-1,MATCH(D$1,貼り付け2!$1:$1,0)-1))=2,
OFFSET(貼り付け2!$A$1,$A24-2,OFFSET(貼り付け2!$A$1,ROW()-1,MATCH(I$1,貼り付け2!$1:$1,0)-1)-2)
&amp;OFFSET(貼り付け2!$A$1,$A24-2,OFFSET(貼り付け2!$A$1,ROW()-1,MATCH(I$1,貼り付け2!$1:$1,0)-1)-1),
IF((OFFSET(貼り付け2!$A$1,ROW()-1,MATCH(I$1,貼り付け2!$1:$1,0)-1)-OFFSET(貼り付け2!$A$1,ROW()-1,MATCH(D$1,貼り付け2!$1:$1,0)-1))=3,
OFFSET(貼り付け2!$A$1,$A24-2,OFFSET(貼り付け2!$A$1,ROW()-1,MATCH(I$1,貼り付け2!$1:$1,0)-1)-3)
&amp;OFFSET(貼り付け2!$A$1,$A24-2,OFFSET(貼り付け2!$A$1,ROW()-1,MATCH(I$1,貼り付け2!$1:$1,0)-1)-2)
&amp;OFFSET(貼り付け2!$A$1,$A24-2,OFFSET(貼り付け2!$A$1,ROW()-1,MATCH(I$1,貼り付け2!$1:$1,0)-1)-1),""))</f>
        <v>#VALUE!</v>
      </c>
      <c r="J24" t="e">
        <f ca="1">IF(OFFSET(貼り付け2!$A$1,ROW()-1,MATCH(J$1,貼り付け2!$1:$1,0)-1)-OFFSET(貼り付け2!$A$1,ROW()-1,MATCH(E$1,貼り付け2!$1:$1,0)-1)=2,
OFFSET(貼り付け2!$A$1,$A24-1,OFFSET(貼り付け2!$A$1,ROW()-1,MATCH(J$1,貼り付け2!$1:$1,0)-1)-2)&amp;"・"&amp;OFFSET(貼り付け2!$A$1,$A24-1,OFFSET(貼り付け2!$A$1,ROW()-1,MATCH(J$1,貼り付け2!$1:$1,0)-1)-1),
IF(OFFSET(貼り付け2!$A$1,ROW()-1,MATCH(J$1,貼り付け2!$1:$1,0)-1)-OFFSET(貼り付け2!$A$1,ROW()-1,MATCH(E$1,貼り付け2!$1:$1,0)-1)=1,
OFFSET(貼り付け2!$A$1,$A24-1,OFFSET(貼り付け2!$A$1,ROW()-1,MATCH(J$1,貼り付け2!$1:$1,0)-1)-1),""))</f>
        <v>#VALUE!</v>
      </c>
      <c r="K24" t="e">
        <f ca="1">OFFSET(貼り付け1!$A$1,貼り付け1!$G23-1,1)</f>
        <v>#REF!</v>
      </c>
      <c r="L24" t="e">
        <f ca="1">OFFSET(貼り付け1!$A$1,貼り付け1!$F23-1,1)</f>
        <v>#REF!</v>
      </c>
      <c r="M24" t="str">
        <f ca="1">IFERROR(OFFSET(貼り付け2!$A$1,まとめ!$B24-1,OFFSET(貼り付け2!$A$1,ROW()-1,MATCH(M$1,貼り付け2!$1:$1,0)-1)-1),"")</f>
        <v/>
      </c>
      <c r="N24" t="str">
        <f ca="1">IF(OFFSET(貼り付け2!$A$1,ROW()-1,MATCH(N$1,貼り付け2!$1:$1,0)-1)&lt;&gt;"",
IF($C24=TRUE,
IF((OFFSET(貼り付け2!$A$1,ROW()-1,MATCH(N$1,貼り付け2!$1:$1,0)-1)-OFFSET(貼り付け2!$A$1,ROW()-1,MATCH(I$1,貼り付け2!$1:$1,0)-1))=2,
OFFSET(貼り付け2!$A$1,$A24-4,OFFSET(貼り付け2!$A$1,ROW()-1,MATCH(N$1,貼り付け2!$1:$1,0)-1)-2)
&amp;OFFSET(貼り付け2!$A$1,$A24-4,OFFSET(貼り付け2!$A$1,ROW()-1,MATCH(N$1,貼り付け2!$1:$1,0)-1)-1),
IF((OFFSET(貼り付け2!$A$1,ROW()-1,MATCH(N$1,貼り付け2!$1:$1,0)-1)-OFFSET(貼り付け2!$A$1,ROW()-1,MATCH(I$1,貼り付け2!$1:$1,0)-1))=3,
OFFSET(貼り付け2!$A$1,$A24-4,OFFSET(貼り付け2!$A$1,ROW()-1,MATCH(N$1,貼り付け2!$1:$1,0)-1)-3)
&amp;OFFSET(貼り付け2!$A$1,$A24-4,OFFSET(貼り付け2!$A$1,ROW()-1,MATCH(N$1,貼り付け2!$1:$1,0)-1)-2)
&amp;OFFSET(貼り付け2!$A$1,$A24-4,OFFSET(貼り付け2!$A$1,ROW()-1,MATCH(N$1,貼り付け2!$1:$1,0)-1)-1),"")),
IF((OFFSET(貼り付け2!$A$1,ROW()-1,MATCH(N$1,貼り付け2!$1:$1,0)-1)-OFFSET(貼り付け2!$A$1,ROW()-1,MATCH(I$1,貼り付け2!$1:$1,0)-1))=2,
OFFSET(貼り付け2!$A$1,$A24-2,OFFSET(貼り付け2!$A$1,ROW()-1,MATCH(N$1,貼り付け2!$1:$1,0)-1)-2)
&amp;OFFSET(貼り付け2!$A$1,$A24-2,OFFSET(貼り付け2!$A$1,ROW()-1,MATCH(N$1,貼り付け2!$1:$1,0)-1)-1),
IF((OFFSET(貼り付け2!$A$1,ROW()-1,MATCH(N$1,貼り付け2!$1:$1,0)-1)-OFFSET(貼り付け2!$A$1,ROW()-1,MATCH(I$1,貼り付け2!$1:$1,0)-1))=3,
OFFSET(貼り付け2!$A$1,$A24-2,OFFSET(貼り付け2!$A$1,ROW()-1,MATCH(N$1,貼り付け2!$1:$1,0)-1)-3)
&amp;OFFSET(貼り付け2!$A$1,$A24-2,OFFSET(貼り付け2!$A$1,ROW()-1,MATCH(N$1,貼り付け2!$1:$1,0)-1)-2)
&amp;OFFSET(貼り付け2!$A$1,$A24-2,OFFSET(貼り付け2!$A$1,ROW()-1,MATCH(N$1,貼り付け2!$1:$1,0)-1)-1),""))),
IF(OFFSET(貼り付け2!$A$1,ROW()-1,MATCH(N$1,貼り付け2!$1:$1,0)+1)=2,
OFFSET(貼り付け2!$A$1,$A24-3,OFFSET(貼り付け2!$A$1,ROW()-1,MATCH(N$1,貼り付け2!$1:$1,0)+1)-2)
&amp;OFFSET(貼り付け2!$A$1,$A24-3,OFFSET(貼り付け2!$A$1,ROW()-1,MATCH(N$1,貼り付け2!$1:$1,0)+1)-1),
IF(OFFSET(貼り付け2!$A$1,ROW()-1,MATCH(N$1,貼り付け2!$1:$1,0)+1)=3,
OFFSET(貼り付け2!$A$1,$A24-3,OFFSET(貼り付け2!$A$1,ROW()-1,MATCH(N$1,貼り付け2!$1:$1,0)+1)-3)
&amp;OFFSET(貼り付け2!$A$1,$A24-3,OFFSET(貼り付け2!$A$1,ROW()-1,MATCH(N$1,貼り付け2!$1:$1,0)+1)-2)
&amp;OFFSET(貼り付け2!$A$1,$A24-3,OFFSET(貼り付け2!$A$1,ROW()-1,MATCH(N$1,貼り付け2!$1:$1,0)+1)-1),"")))</f>
        <v/>
      </c>
      <c r="O24" t="str">
        <f ca="1">IFERROR(OFFSET(貼り付け2!$A$1,$A24-1,OFFSET(貼り付け2!$A$1,ROW()-1,MATCH(O$1,貼り付け2!$1:$1,0)-1)-1),"")</f>
        <v/>
      </c>
      <c r="P24" t="e">
        <f ca="1">OFFSET(貼り付け1!$A$1,貼り付け1!$G23-1,2)</f>
        <v>#REF!</v>
      </c>
      <c r="Q24" t="e">
        <f ca="1">OFFSET(貼り付け1!$A$1,貼り付け1!$F23-1,2)</f>
        <v>#REF!</v>
      </c>
      <c r="R24" t="str">
        <f ca="1">IFERROR(OFFSET(貼り付け2!$A$1,まとめ!$B24-1,OFFSET(貼り付け2!$A$1,ROW()-1,MATCH(R$1,貼り付け2!$1:$1,0)-1)-1),"")</f>
        <v/>
      </c>
      <c r="S24" t="str">
        <f ca="1">IF(OFFSET(貼り付け2!$A$1,ROW()-1,MATCH(S$1,貼り付け2!$1:$1,0)-1)&lt;&gt;"",
IF($C24=TRUE,
IF((OFFSET(貼り付け2!$A$1,ROW()-1,MATCH(S$1,貼り付け2!$1:$1,0)-1)-OFFSET(貼り付け2!$A$1,ROW()-1,MATCH(N$1,貼り付け2!$1:$1,0)-1))=2,
OFFSET(貼り付け2!$A$1,$A24-4,OFFSET(貼り付け2!$A$1,ROW()-1,MATCH(S$1,貼り付け2!$1:$1,0)-1)-2)
&amp;OFFSET(貼り付け2!$A$1,$A24-4,OFFSET(貼り付け2!$A$1,ROW()-1,MATCH(S$1,貼り付け2!$1:$1,0)-1)-1),
IF((OFFSET(貼り付け2!$A$1,ROW()-1,MATCH(S$1,貼り付け2!$1:$1,0)-1)-OFFSET(貼り付け2!$A$1,ROW()-1,MATCH(N$1,貼り付け2!$1:$1,0)-1))=3,
OFFSET(貼り付け2!$A$1,$A24-4,OFFSET(貼り付け2!$A$1,ROW()-1,MATCH(S$1,貼り付け2!$1:$1,0)-1)-3)
&amp;OFFSET(貼り付け2!$A$1,$A24-4,OFFSET(貼り付け2!$A$1,ROW()-1,MATCH(S$1,貼り付け2!$1:$1,0)-1)-2)
&amp;OFFSET(貼り付け2!$A$1,$A24-4,OFFSET(貼り付け2!$A$1,ROW()-1,MATCH(S$1,貼り付け2!$1:$1,0)-1)-1),"")),
IF((OFFSET(貼り付け2!$A$1,ROW()-1,MATCH(S$1,貼り付け2!$1:$1,0)-1)-OFFSET(貼り付け2!$A$1,ROW()-1,MATCH(N$1,貼り付け2!$1:$1,0)-1))=2,
OFFSET(貼り付け2!$A$1,$A24-2,OFFSET(貼り付け2!$A$1,ROW()-1,MATCH(S$1,貼り付け2!$1:$1,0)-1)-2)
&amp;OFFSET(貼り付け2!$A$1,$A24-2,OFFSET(貼り付け2!$A$1,ROW()-1,MATCH(S$1,貼り付け2!$1:$1,0)-1)-1),
IF((OFFSET(貼り付け2!$A$1,ROW()-1,MATCH(S$1,貼り付け2!$1:$1,0)-1)-OFFSET(貼り付け2!$A$1,ROW()-1,MATCH(N$1,貼り付け2!$1:$1,0)-1))=3,
OFFSET(貼り付け2!$A$1,$A24-2,OFFSET(貼り付け2!$A$1,ROW()-1,MATCH(S$1,貼り付け2!$1:$1,0)-1)-3)
&amp;OFFSET(貼り付け2!$A$1,$A24-2,OFFSET(貼り付け2!$A$1,ROW()-1,MATCH(S$1,貼り付け2!$1:$1,0)-1)-2)
&amp;OFFSET(貼り付け2!$A$1,$A24-2,OFFSET(貼り付け2!$A$1,ROW()-1,MATCH(S$1,貼り付け2!$1:$1,0)-1)-1),""))),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OFFSET(貼り付け2!$A$1,$A24-3,OFFSET(貼り付け2!$A$1,ROW()-1,MATCH(S$1,貼り付け2!$1:$1,0)+1)-2)
&amp;OFFSET(貼り付け2!$A$1,$A24-3,OFFSET(貼り付け2!$A$1,ROW()-1,MATCH(S$1,貼り付け2!$1:$1,0)+1)-1),
IF(OFFSET(貼り付け2!$A$1,ROW()-1,MATCH(S$1,貼り付け2!$1:$1,0)+1)-OFFSET(貼り付け2!$A$1,ROW()-1,MATCH(N$1,貼り付け2!$1:$1,0)+1)=3,
OFFSET(貼り付け2!$A$1,$A24-3,OFFSET(貼り付け2!$A$1,ROW()-1,MATCH(S$1,貼り付け2!$1:$1,0)+1)-3)
&amp;OFFSET(貼り付け2!$A$1,$A24-3,OFFSET(貼り付け2!$A$1,ROW()-1,MATCH(S$1,貼り付け2!$1:$1,0)+1)-2)
&amp;OFFSET(貼り付け2!$A$1,$A24-3,OFFSET(貼り付け2!$A$1,ROW()-1,MATCH(S$1,貼り付け2!$1:$1,0)+1)-1),"")),
IF(OFFSET(貼り付け2!$A$1,ROW()-1,MATCH(S$1,貼り付け2!$1:$1,0)+1)=2,
OFFSET(貼り付け2!$A$1,$A24-3,OFFSET(貼り付け2!$A$1,ROW()-1,MATCH(S$1,貼り付け2!$1:$1,0)+1)-2)
&amp;OFFSET(貼り付け2!$A$1,$A24-3,OFFSET(貼り付け2!$A$1,ROW()-1,MATCH(S$1,貼り付け2!$1:$1,0)+1)-1),
IF(OFFSET(貼り付け2!$A$1,ROW()-1,MATCH(S$1,貼り付け2!$1:$1,0)+1)=3,
OFFSET(貼り付け2!$A$1,$A24-3,OFFSET(貼り付け2!$A$1,ROW()-1,MATCH(S$1,貼り付け2!$1:$1,0)+1)-3)
&amp;OFFSET(貼り付け2!$A$1,$A24-3,OFFSET(貼り付け2!$A$1,ROW()-1,MATCH(S$1,貼り付け2!$1:$1,0)+1)-2)
&amp;OFFSET(貼り付け2!$A$1,$A24-3,OFFSET(貼り付け2!$A$1,ROW()-1,MATCH(S$1,貼り付け2!$1:$1,0)+1)-1),""))))</f>
        <v/>
      </c>
      <c r="T24" t="str">
        <f ca="1">IFERROR(OFFSET(貼り付け2!$A$1,$A24-1,OFFSET(貼り付け2!$A$1,ROW()-1,MATCH(T$1,貼り付け2!$1:$1,0)-1)-1),"")</f>
        <v/>
      </c>
      <c r="U24" t="e">
        <f ca="1">OFFSET(貼り付け1!$A$1,貼り付け1!$G23-1,3)</f>
        <v>#REF!</v>
      </c>
      <c r="V24" t="e">
        <f ca="1">OFFSET(貼り付け1!$A$1,貼り付け1!$F23-1,3)</f>
        <v>#REF!</v>
      </c>
      <c r="W24" t="str">
        <f ca="1">IFERROR(OFFSET(貼り付け2!$A$1,まとめ!$B24-1,OFFSET(貼り付け2!$A$1,ROW()-1,MATCH(W$1,貼り付け2!$1:$1,0)-1)-1),"")</f>
        <v/>
      </c>
    </row>
    <row r="25" spans="1:23" x14ac:dyDescent="0.45">
      <c r="A25" t="str">
        <f>貼り付け2!S25</f>
        <v/>
      </c>
      <c r="B25" t="str">
        <f>貼り付け2!R25</f>
        <v/>
      </c>
      <c r="C25" t="e">
        <f t="shared" ca="1" si="1"/>
        <v>#VALUE!</v>
      </c>
      <c r="D25" t="str">
        <f ca="1">IF(OFFSET(貼り付け2!$A$1,ROW()-1,MATCH(D$1,貼り付け2!$1:$1,0)-1)=2,
OFFSET(貼り付け2!$A$1,A25-2,OFFSET(貼り付け2!$A$1,ROW()-1,MATCH(D$1,貼り付け2!$1:$1,0)-1)-2)
&amp;OFFSET(貼り付け2!$A$1,A25-2,OFFSET(貼り付け2!$A$1,ROW()-1,MATCH(D$1,貼り付け2!$1:$1,0)-1)-1),
IF(OFFSET(貼り付け2!$A$1,ROW()-1,MATCH(D$1,貼り付け2!$1:$1,0)-1)=3,
OFFSET(貼り付け2!$A$1,A25-2,OFFSET(貼り付け2!$A$1,ROW()-1,MATCH(D$1,貼り付け2!$1:$1,0)-1)-3)
&amp;OFFSET(貼り付け2!$A$1,A25-2,OFFSET(貼り付け2!$A$1,ROW()-1,MATCH(D$1,貼り付け2!$1:$1,0)-1)-2)
&amp;OFFSET(貼り付け2!$A$1,A25-2,OFFSET(貼り付け2!$A$1,ROW()-1,MATCH(D$1,貼り付け2!$1:$1,0)-1)-1),""))</f>
        <v/>
      </c>
      <c r="E25" t="str">
        <f ca="1">IF(OFFSET(貼り付け2!$A$1,ROW()-1,MATCH(E$1,貼り付け2!$1:$1,0)-1)=2,
OFFSET(貼り付け2!$A$1,$A25-1,OFFSET(貼り付け2!$A$1,ROW()-1,MATCH(E$1,貼り付け2!$1:$1,0)-1)-2)&amp;"・"&amp;OFFSET(貼り付け2!$A$1,$A25-1,OFFSET(貼り付け2!$A$1,ROW()-1,MATCH(E$1,貼り付け2!$1:$1,0)-1)-1),
IF(OFFSET(貼り付け2!$A$1,ROW()-1,MATCH(E$1,貼り付け2!$1:$1,0)-1)=1,
OFFSET(貼り付け2!$A$1,$A25-1,OFFSET(貼り付け2!$A$1,ROW()-1,MATCH(E$1,貼り付け2!$1:$1,0)-1)-1),""))</f>
        <v/>
      </c>
      <c r="F25" t="e">
        <f ca="1">OFFSET(貼り付け1!$A$1,貼り付け1!$G24-1,0)</f>
        <v>#REF!</v>
      </c>
      <c r="G25" t="e">
        <f ca="1">OFFSET(貼り付け1!$A$1,貼り付け1!$F24-1,0)</f>
        <v>#REF!</v>
      </c>
      <c r="H25" t="str">
        <f ca="1">IFERROR(OFFSET(貼り付け2!$A$1,まとめ!$B25-1,OFFSET(貼り付け2!$A$1,ROW()-1,MATCH(H$1,貼り付け2!$1:$1,0)-1)-1),"")</f>
        <v/>
      </c>
      <c r="I25" t="e">
        <f ca="1">IF((OFFSET(貼り付け2!$A$1,ROW()-1,MATCH(I$1,貼り付け2!$1:$1,0)-1)-OFFSET(貼り付け2!$A$1,ROW()-1,MATCH(D$1,貼り付け2!$1:$1,0)-1))=2,
OFFSET(貼り付け2!$A$1,$A25-2,OFFSET(貼り付け2!$A$1,ROW()-1,MATCH(I$1,貼り付け2!$1:$1,0)-1)-2)
&amp;OFFSET(貼り付け2!$A$1,$A25-2,OFFSET(貼り付け2!$A$1,ROW()-1,MATCH(I$1,貼り付け2!$1:$1,0)-1)-1),
IF((OFFSET(貼り付け2!$A$1,ROW()-1,MATCH(I$1,貼り付け2!$1:$1,0)-1)-OFFSET(貼り付け2!$A$1,ROW()-1,MATCH(D$1,貼り付け2!$1:$1,0)-1))=3,
OFFSET(貼り付け2!$A$1,$A25-2,OFFSET(貼り付け2!$A$1,ROW()-1,MATCH(I$1,貼り付け2!$1:$1,0)-1)-3)
&amp;OFFSET(貼り付け2!$A$1,$A25-2,OFFSET(貼り付け2!$A$1,ROW()-1,MATCH(I$1,貼り付け2!$1:$1,0)-1)-2)
&amp;OFFSET(貼り付け2!$A$1,$A25-2,OFFSET(貼り付け2!$A$1,ROW()-1,MATCH(I$1,貼り付け2!$1:$1,0)-1)-1),""))</f>
        <v>#VALUE!</v>
      </c>
      <c r="J25" t="e">
        <f ca="1">IF(OFFSET(貼り付け2!$A$1,ROW()-1,MATCH(J$1,貼り付け2!$1:$1,0)-1)-OFFSET(貼り付け2!$A$1,ROW()-1,MATCH(E$1,貼り付け2!$1:$1,0)-1)=2,
OFFSET(貼り付け2!$A$1,$A25-1,OFFSET(貼り付け2!$A$1,ROW()-1,MATCH(J$1,貼り付け2!$1:$1,0)-1)-2)&amp;"・"&amp;OFFSET(貼り付け2!$A$1,$A25-1,OFFSET(貼り付け2!$A$1,ROW()-1,MATCH(J$1,貼り付け2!$1:$1,0)-1)-1),
IF(OFFSET(貼り付け2!$A$1,ROW()-1,MATCH(J$1,貼り付け2!$1:$1,0)-1)-OFFSET(貼り付け2!$A$1,ROW()-1,MATCH(E$1,貼り付け2!$1:$1,0)-1)=1,
OFFSET(貼り付け2!$A$1,$A25-1,OFFSET(貼り付け2!$A$1,ROW()-1,MATCH(J$1,貼り付け2!$1:$1,0)-1)-1),""))</f>
        <v>#VALUE!</v>
      </c>
      <c r="K25" t="e">
        <f ca="1">OFFSET(貼り付け1!$A$1,貼り付け1!$G24-1,1)</f>
        <v>#REF!</v>
      </c>
      <c r="L25" t="e">
        <f ca="1">OFFSET(貼り付け1!$A$1,貼り付け1!$F24-1,1)</f>
        <v>#REF!</v>
      </c>
      <c r="M25" t="str">
        <f ca="1">IFERROR(OFFSET(貼り付け2!$A$1,まとめ!$B25-1,OFFSET(貼り付け2!$A$1,ROW()-1,MATCH(M$1,貼り付け2!$1:$1,0)-1)-1),"")</f>
        <v/>
      </c>
      <c r="N25" t="str">
        <f ca="1">IF(OFFSET(貼り付け2!$A$1,ROW()-1,MATCH(N$1,貼り付け2!$1:$1,0)-1)&lt;&gt;"",
IF($C25=TRUE,
IF((OFFSET(貼り付け2!$A$1,ROW()-1,MATCH(N$1,貼り付け2!$1:$1,0)-1)-OFFSET(貼り付け2!$A$1,ROW()-1,MATCH(I$1,貼り付け2!$1:$1,0)-1))=2,
OFFSET(貼り付け2!$A$1,$A25-4,OFFSET(貼り付け2!$A$1,ROW()-1,MATCH(N$1,貼り付け2!$1:$1,0)-1)-2)
&amp;OFFSET(貼り付け2!$A$1,$A25-4,OFFSET(貼り付け2!$A$1,ROW()-1,MATCH(N$1,貼り付け2!$1:$1,0)-1)-1),
IF((OFFSET(貼り付け2!$A$1,ROW()-1,MATCH(N$1,貼り付け2!$1:$1,0)-1)-OFFSET(貼り付け2!$A$1,ROW()-1,MATCH(I$1,貼り付け2!$1:$1,0)-1))=3,
OFFSET(貼り付け2!$A$1,$A25-4,OFFSET(貼り付け2!$A$1,ROW()-1,MATCH(N$1,貼り付け2!$1:$1,0)-1)-3)
&amp;OFFSET(貼り付け2!$A$1,$A25-4,OFFSET(貼り付け2!$A$1,ROW()-1,MATCH(N$1,貼り付け2!$1:$1,0)-1)-2)
&amp;OFFSET(貼り付け2!$A$1,$A25-4,OFFSET(貼り付け2!$A$1,ROW()-1,MATCH(N$1,貼り付け2!$1:$1,0)-1)-1),"")),
IF((OFFSET(貼り付け2!$A$1,ROW()-1,MATCH(N$1,貼り付け2!$1:$1,0)-1)-OFFSET(貼り付け2!$A$1,ROW()-1,MATCH(I$1,貼り付け2!$1:$1,0)-1))=2,
OFFSET(貼り付け2!$A$1,$A25-2,OFFSET(貼り付け2!$A$1,ROW()-1,MATCH(N$1,貼り付け2!$1:$1,0)-1)-2)
&amp;OFFSET(貼り付け2!$A$1,$A25-2,OFFSET(貼り付け2!$A$1,ROW()-1,MATCH(N$1,貼り付け2!$1:$1,0)-1)-1),
IF((OFFSET(貼り付け2!$A$1,ROW()-1,MATCH(N$1,貼り付け2!$1:$1,0)-1)-OFFSET(貼り付け2!$A$1,ROW()-1,MATCH(I$1,貼り付け2!$1:$1,0)-1))=3,
OFFSET(貼り付け2!$A$1,$A25-2,OFFSET(貼り付け2!$A$1,ROW()-1,MATCH(N$1,貼り付け2!$1:$1,0)-1)-3)
&amp;OFFSET(貼り付け2!$A$1,$A25-2,OFFSET(貼り付け2!$A$1,ROW()-1,MATCH(N$1,貼り付け2!$1:$1,0)-1)-2)
&amp;OFFSET(貼り付け2!$A$1,$A25-2,OFFSET(貼り付け2!$A$1,ROW()-1,MATCH(N$1,貼り付け2!$1:$1,0)-1)-1),""))),
IF(OFFSET(貼り付け2!$A$1,ROW()-1,MATCH(N$1,貼り付け2!$1:$1,0)+1)=2,
OFFSET(貼り付け2!$A$1,$A25-3,OFFSET(貼り付け2!$A$1,ROW()-1,MATCH(N$1,貼り付け2!$1:$1,0)+1)-2)
&amp;OFFSET(貼り付け2!$A$1,$A25-3,OFFSET(貼り付け2!$A$1,ROW()-1,MATCH(N$1,貼り付け2!$1:$1,0)+1)-1),
IF(OFFSET(貼り付け2!$A$1,ROW()-1,MATCH(N$1,貼り付け2!$1:$1,0)+1)=3,
OFFSET(貼り付け2!$A$1,$A25-3,OFFSET(貼り付け2!$A$1,ROW()-1,MATCH(N$1,貼り付け2!$1:$1,0)+1)-3)
&amp;OFFSET(貼り付け2!$A$1,$A25-3,OFFSET(貼り付け2!$A$1,ROW()-1,MATCH(N$1,貼り付け2!$1:$1,0)+1)-2)
&amp;OFFSET(貼り付け2!$A$1,$A25-3,OFFSET(貼り付け2!$A$1,ROW()-1,MATCH(N$1,貼り付け2!$1:$1,0)+1)-1),"")))</f>
        <v/>
      </c>
      <c r="O25" t="str">
        <f ca="1">IFERROR(OFFSET(貼り付け2!$A$1,$A25-1,OFFSET(貼り付け2!$A$1,ROW()-1,MATCH(O$1,貼り付け2!$1:$1,0)-1)-1),"")</f>
        <v/>
      </c>
      <c r="P25" t="e">
        <f ca="1">OFFSET(貼り付け1!$A$1,貼り付け1!$G24-1,2)</f>
        <v>#REF!</v>
      </c>
      <c r="Q25" t="e">
        <f ca="1">OFFSET(貼り付け1!$A$1,貼り付け1!$F24-1,2)</f>
        <v>#REF!</v>
      </c>
      <c r="R25" t="str">
        <f ca="1">IFERROR(OFFSET(貼り付け2!$A$1,まとめ!$B25-1,OFFSET(貼り付け2!$A$1,ROW()-1,MATCH(R$1,貼り付け2!$1:$1,0)-1)-1),"")</f>
        <v/>
      </c>
      <c r="S25" t="str">
        <f ca="1">IF(OFFSET(貼り付け2!$A$1,ROW()-1,MATCH(S$1,貼り付け2!$1:$1,0)-1)&lt;&gt;"",
IF($C25=TRUE,
IF((OFFSET(貼り付け2!$A$1,ROW()-1,MATCH(S$1,貼り付け2!$1:$1,0)-1)-OFFSET(貼り付け2!$A$1,ROW()-1,MATCH(N$1,貼り付け2!$1:$1,0)-1))=2,
OFFSET(貼り付け2!$A$1,$A25-4,OFFSET(貼り付け2!$A$1,ROW()-1,MATCH(S$1,貼り付け2!$1:$1,0)-1)-2)
&amp;OFFSET(貼り付け2!$A$1,$A25-4,OFFSET(貼り付け2!$A$1,ROW()-1,MATCH(S$1,貼り付け2!$1:$1,0)-1)-1),
IF((OFFSET(貼り付け2!$A$1,ROW()-1,MATCH(S$1,貼り付け2!$1:$1,0)-1)-OFFSET(貼り付け2!$A$1,ROW()-1,MATCH(N$1,貼り付け2!$1:$1,0)-1))=3,
OFFSET(貼り付け2!$A$1,$A25-4,OFFSET(貼り付け2!$A$1,ROW()-1,MATCH(S$1,貼り付け2!$1:$1,0)-1)-3)
&amp;OFFSET(貼り付け2!$A$1,$A25-4,OFFSET(貼り付け2!$A$1,ROW()-1,MATCH(S$1,貼り付け2!$1:$1,0)-1)-2)
&amp;OFFSET(貼り付け2!$A$1,$A25-4,OFFSET(貼り付け2!$A$1,ROW()-1,MATCH(S$1,貼り付け2!$1:$1,0)-1)-1),"")),
IF((OFFSET(貼り付け2!$A$1,ROW()-1,MATCH(S$1,貼り付け2!$1:$1,0)-1)-OFFSET(貼り付け2!$A$1,ROW()-1,MATCH(N$1,貼り付け2!$1:$1,0)-1))=2,
OFFSET(貼り付け2!$A$1,$A25-2,OFFSET(貼り付け2!$A$1,ROW()-1,MATCH(S$1,貼り付け2!$1:$1,0)-1)-2)
&amp;OFFSET(貼り付け2!$A$1,$A25-2,OFFSET(貼り付け2!$A$1,ROW()-1,MATCH(S$1,貼り付け2!$1:$1,0)-1)-1),
IF((OFFSET(貼り付け2!$A$1,ROW()-1,MATCH(S$1,貼り付け2!$1:$1,0)-1)-OFFSET(貼り付け2!$A$1,ROW()-1,MATCH(N$1,貼り付け2!$1:$1,0)-1))=3,
OFFSET(貼り付け2!$A$1,$A25-2,OFFSET(貼り付け2!$A$1,ROW()-1,MATCH(S$1,貼り付け2!$1:$1,0)-1)-3)
&amp;OFFSET(貼り付け2!$A$1,$A25-2,OFFSET(貼り付け2!$A$1,ROW()-1,MATCH(S$1,貼り付け2!$1:$1,0)-1)-2)
&amp;OFFSET(貼り付け2!$A$1,$A25-2,OFFSET(貼り付け2!$A$1,ROW()-1,MATCH(S$1,貼り付け2!$1:$1,0)-1)-1),""))),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OFFSET(貼り付け2!$A$1,$A25-3,OFFSET(貼り付け2!$A$1,ROW()-1,MATCH(S$1,貼り付け2!$1:$1,0)+1)-2)
&amp;OFFSET(貼り付け2!$A$1,$A25-3,OFFSET(貼り付け2!$A$1,ROW()-1,MATCH(S$1,貼り付け2!$1:$1,0)+1)-1),
IF(OFFSET(貼り付け2!$A$1,ROW()-1,MATCH(S$1,貼り付け2!$1:$1,0)+1)-OFFSET(貼り付け2!$A$1,ROW()-1,MATCH(N$1,貼り付け2!$1:$1,0)+1)=3,
OFFSET(貼り付け2!$A$1,$A25-3,OFFSET(貼り付け2!$A$1,ROW()-1,MATCH(S$1,貼り付け2!$1:$1,0)+1)-3)
&amp;OFFSET(貼り付け2!$A$1,$A25-3,OFFSET(貼り付け2!$A$1,ROW()-1,MATCH(S$1,貼り付け2!$1:$1,0)+1)-2)
&amp;OFFSET(貼り付け2!$A$1,$A25-3,OFFSET(貼り付け2!$A$1,ROW()-1,MATCH(S$1,貼り付け2!$1:$1,0)+1)-1),"")),
IF(OFFSET(貼り付け2!$A$1,ROW()-1,MATCH(S$1,貼り付け2!$1:$1,0)+1)=2,
OFFSET(貼り付け2!$A$1,$A25-3,OFFSET(貼り付け2!$A$1,ROW()-1,MATCH(S$1,貼り付け2!$1:$1,0)+1)-2)
&amp;OFFSET(貼り付け2!$A$1,$A25-3,OFFSET(貼り付け2!$A$1,ROW()-1,MATCH(S$1,貼り付け2!$1:$1,0)+1)-1),
IF(OFFSET(貼り付け2!$A$1,ROW()-1,MATCH(S$1,貼り付け2!$1:$1,0)+1)=3,
OFFSET(貼り付け2!$A$1,$A25-3,OFFSET(貼り付け2!$A$1,ROW()-1,MATCH(S$1,貼り付け2!$1:$1,0)+1)-3)
&amp;OFFSET(貼り付け2!$A$1,$A25-3,OFFSET(貼り付け2!$A$1,ROW()-1,MATCH(S$1,貼り付け2!$1:$1,0)+1)-2)
&amp;OFFSET(貼り付け2!$A$1,$A25-3,OFFSET(貼り付け2!$A$1,ROW()-1,MATCH(S$1,貼り付け2!$1:$1,0)+1)-1),""))))</f>
        <v/>
      </c>
      <c r="T25" t="str">
        <f ca="1">IFERROR(OFFSET(貼り付け2!$A$1,$A25-1,OFFSET(貼り付け2!$A$1,ROW()-1,MATCH(T$1,貼り付け2!$1:$1,0)-1)-1),"")</f>
        <v/>
      </c>
      <c r="U25" t="e">
        <f ca="1">OFFSET(貼り付け1!$A$1,貼り付け1!$G24-1,3)</f>
        <v>#REF!</v>
      </c>
      <c r="V25" t="e">
        <f ca="1">OFFSET(貼り付け1!$A$1,貼り付け1!$F24-1,3)</f>
        <v>#REF!</v>
      </c>
      <c r="W25" t="str">
        <f ca="1">IFERROR(OFFSET(貼り付け2!$A$1,まとめ!$B25-1,OFFSET(貼り付け2!$A$1,ROW()-1,MATCH(W$1,貼り付け2!$1:$1,0)-1)-1),"")</f>
        <v/>
      </c>
    </row>
    <row r="26" spans="1:23" x14ac:dyDescent="0.45">
      <c r="A26" t="str">
        <f>貼り付け2!S26</f>
        <v/>
      </c>
      <c r="B26" t="str">
        <f>貼り付け2!R26</f>
        <v/>
      </c>
      <c r="C26" t="e">
        <f t="shared" ca="1" si="1"/>
        <v>#VALUE!</v>
      </c>
      <c r="D26" t="str">
        <f ca="1">IF(OFFSET(貼り付け2!$A$1,ROW()-1,MATCH(D$1,貼り付け2!$1:$1,0)-1)=2,
OFFSET(貼り付け2!$A$1,A26-2,OFFSET(貼り付け2!$A$1,ROW()-1,MATCH(D$1,貼り付け2!$1:$1,0)-1)-2)
&amp;OFFSET(貼り付け2!$A$1,A26-2,OFFSET(貼り付け2!$A$1,ROW()-1,MATCH(D$1,貼り付け2!$1:$1,0)-1)-1),
IF(OFFSET(貼り付け2!$A$1,ROW()-1,MATCH(D$1,貼り付け2!$1:$1,0)-1)=3,
OFFSET(貼り付け2!$A$1,A26-2,OFFSET(貼り付け2!$A$1,ROW()-1,MATCH(D$1,貼り付け2!$1:$1,0)-1)-3)
&amp;OFFSET(貼り付け2!$A$1,A26-2,OFFSET(貼り付け2!$A$1,ROW()-1,MATCH(D$1,貼り付け2!$1:$1,0)-1)-2)
&amp;OFFSET(貼り付け2!$A$1,A26-2,OFFSET(貼り付け2!$A$1,ROW()-1,MATCH(D$1,貼り付け2!$1:$1,0)-1)-1),""))</f>
        <v/>
      </c>
      <c r="E26" t="str">
        <f ca="1">IF(OFFSET(貼り付け2!$A$1,ROW()-1,MATCH(E$1,貼り付け2!$1:$1,0)-1)=2,
OFFSET(貼り付け2!$A$1,$A26-1,OFFSET(貼り付け2!$A$1,ROW()-1,MATCH(E$1,貼り付け2!$1:$1,0)-1)-2)&amp;"・"&amp;OFFSET(貼り付け2!$A$1,$A26-1,OFFSET(貼り付け2!$A$1,ROW()-1,MATCH(E$1,貼り付け2!$1:$1,0)-1)-1),
IF(OFFSET(貼り付け2!$A$1,ROW()-1,MATCH(E$1,貼り付け2!$1:$1,0)-1)=1,
OFFSET(貼り付け2!$A$1,$A26-1,OFFSET(貼り付け2!$A$1,ROW()-1,MATCH(E$1,貼り付け2!$1:$1,0)-1)-1),""))</f>
        <v/>
      </c>
      <c r="F26" t="e">
        <f ca="1">OFFSET(貼り付け1!$A$1,貼り付け1!$G25-1,0)</f>
        <v>#REF!</v>
      </c>
      <c r="G26" t="e">
        <f ca="1">OFFSET(貼り付け1!$A$1,貼り付け1!$F25-1,0)</f>
        <v>#REF!</v>
      </c>
      <c r="H26" t="str">
        <f ca="1">IFERROR(OFFSET(貼り付け2!$A$1,まとめ!$B26-1,OFFSET(貼り付け2!$A$1,ROW()-1,MATCH(H$1,貼り付け2!$1:$1,0)-1)-1),"")</f>
        <v/>
      </c>
      <c r="I26" t="e">
        <f ca="1">IF((OFFSET(貼り付け2!$A$1,ROW()-1,MATCH(I$1,貼り付け2!$1:$1,0)-1)-OFFSET(貼り付け2!$A$1,ROW()-1,MATCH(D$1,貼り付け2!$1:$1,0)-1))=2,
OFFSET(貼り付け2!$A$1,$A26-2,OFFSET(貼り付け2!$A$1,ROW()-1,MATCH(I$1,貼り付け2!$1:$1,0)-1)-2)
&amp;OFFSET(貼り付け2!$A$1,$A26-2,OFFSET(貼り付け2!$A$1,ROW()-1,MATCH(I$1,貼り付け2!$1:$1,0)-1)-1),
IF((OFFSET(貼り付け2!$A$1,ROW()-1,MATCH(I$1,貼り付け2!$1:$1,0)-1)-OFFSET(貼り付け2!$A$1,ROW()-1,MATCH(D$1,貼り付け2!$1:$1,0)-1))=3,
OFFSET(貼り付け2!$A$1,$A26-2,OFFSET(貼り付け2!$A$1,ROW()-1,MATCH(I$1,貼り付け2!$1:$1,0)-1)-3)
&amp;OFFSET(貼り付け2!$A$1,$A26-2,OFFSET(貼り付け2!$A$1,ROW()-1,MATCH(I$1,貼り付け2!$1:$1,0)-1)-2)
&amp;OFFSET(貼り付け2!$A$1,$A26-2,OFFSET(貼り付け2!$A$1,ROW()-1,MATCH(I$1,貼り付け2!$1:$1,0)-1)-1),""))</f>
        <v>#VALUE!</v>
      </c>
      <c r="J26" t="e">
        <f ca="1">IF(OFFSET(貼り付け2!$A$1,ROW()-1,MATCH(J$1,貼り付け2!$1:$1,0)-1)-OFFSET(貼り付け2!$A$1,ROW()-1,MATCH(E$1,貼り付け2!$1:$1,0)-1)=2,
OFFSET(貼り付け2!$A$1,$A26-1,OFFSET(貼り付け2!$A$1,ROW()-1,MATCH(J$1,貼り付け2!$1:$1,0)-1)-2)&amp;"・"&amp;OFFSET(貼り付け2!$A$1,$A26-1,OFFSET(貼り付け2!$A$1,ROW()-1,MATCH(J$1,貼り付け2!$1:$1,0)-1)-1),
IF(OFFSET(貼り付け2!$A$1,ROW()-1,MATCH(J$1,貼り付け2!$1:$1,0)-1)-OFFSET(貼り付け2!$A$1,ROW()-1,MATCH(E$1,貼り付け2!$1:$1,0)-1)=1,
OFFSET(貼り付け2!$A$1,$A26-1,OFFSET(貼り付け2!$A$1,ROW()-1,MATCH(J$1,貼り付け2!$1:$1,0)-1)-1),""))</f>
        <v>#VALUE!</v>
      </c>
      <c r="K26" t="e">
        <f ca="1">OFFSET(貼り付け1!$A$1,貼り付け1!$G25-1,1)</f>
        <v>#REF!</v>
      </c>
      <c r="L26" t="e">
        <f ca="1">OFFSET(貼り付け1!$A$1,貼り付け1!$F25-1,1)</f>
        <v>#REF!</v>
      </c>
      <c r="M26" t="str">
        <f ca="1">IFERROR(OFFSET(貼り付け2!$A$1,まとめ!$B26-1,OFFSET(貼り付け2!$A$1,ROW()-1,MATCH(M$1,貼り付け2!$1:$1,0)-1)-1),"")</f>
        <v/>
      </c>
      <c r="N26" t="str">
        <f ca="1">IF(OFFSET(貼り付け2!$A$1,ROW()-1,MATCH(N$1,貼り付け2!$1:$1,0)-1)&lt;&gt;"",
IF($C26=TRUE,
IF((OFFSET(貼り付け2!$A$1,ROW()-1,MATCH(N$1,貼り付け2!$1:$1,0)-1)-OFFSET(貼り付け2!$A$1,ROW()-1,MATCH(I$1,貼り付け2!$1:$1,0)-1))=2,
OFFSET(貼り付け2!$A$1,$A26-4,OFFSET(貼り付け2!$A$1,ROW()-1,MATCH(N$1,貼り付け2!$1:$1,0)-1)-2)
&amp;OFFSET(貼り付け2!$A$1,$A26-4,OFFSET(貼り付け2!$A$1,ROW()-1,MATCH(N$1,貼り付け2!$1:$1,0)-1)-1),
IF((OFFSET(貼り付け2!$A$1,ROW()-1,MATCH(N$1,貼り付け2!$1:$1,0)-1)-OFFSET(貼り付け2!$A$1,ROW()-1,MATCH(I$1,貼り付け2!$1:$1,0)-1))=3,
OFFSET(貼り付け2!$A$1,$A26-4,OFFSET(貼り付け2!$A$1,ROW()-1,MATCH(N$1,貼り付け2!$1:$1,0)-1)-3)
&amp;OFFSET(貼り付け2!$A$1,$A26-4,OFFSET(貼り付け2!$A$1,ROW()-1,MATCH(N$1,貼り付け2!$1:$1,0)-1)-2)
&amp;OFFSET(貼り付け2!$A$1,$A26-4,OFFSET(貼り付け2!$A$1,ROW()-1,MATCH(N$1,貼り付け2!$1:$1,0)-1)-1),"")),
IF((OFFSET(貼り付け2!$A$1,ROW()-1,MATCH(N$1,貼り付け2!$1:$1,0)-1)-OFFSET(貼り付け2!$A$1,ROW()-1,MATCH(I$1,貼り付け2!$1:$1,0)-1))=2,
OFFSET(貼り付け2!$A$1,$A26-2,OFFSET(貼り付け2!$A$1,ROW()-1,MATCH(N$1,貼り付け2!$1:$1,0)-1)-2)
&amp;OFFSET(貼り付け2!$A$1,$A26-2,OFFSET(貼り付け2!$A$1,ROW()-1,MATCH(N$1,貼り付け2!$1:$1,0)-1)-1),
IF((OFFSET(貼り付け2!$A$1,ROW()-1,MATCH(N$1,貼り付け2!$1:$1,0)-1)-OFFSET(貼り付け2!$A$1,ROW()-1,MATCH(I$1,貼り付け2!$1:$1,0)-1))=3,
OFFSET(貼り付け2!$A$1,$A26-2,OFFSET(貼り付け2!$A$1,ROW()-1,MATCH(N$1,貼り付け2!$1:$1,0)-1)-3)
&amp;OFFSET(貼り付け2!$A$1,$A26-2,OFFSET(貼り付け2!$A$1,ROW()-1,MATCH(N$1,貼り付け2!$1:$1,0)-1)-2)
&amp;OFFSET(貼り付け2!$A$1,$A26-2,OFFSET(貼り付け2!$A$1,ROW()-1,MATCH(N$1,貼り付け2!$1:$1,0)-1)-1),""))),
IF(OFFSET(貼り付け2!$A$1,ROW()-1,MATCH(N$1,貼り付け2!$1:$1,0)+1)=2,
OFFSET(貼り付け2!$A$1,$A26-3,OFFSET(貼り付け2!$A$1,ROW()-1,MATCH(N$1,貼り付け2!$1:$1,0)+1)-2)
&amp;OFFSET(貼り付け2!$A$1,$A26-3,OFFSET(貼り付け2!$A$1,ROW()-1,MATCH(N$1,貼り付け2!$1:$1,0)+1)-1),
IF(OFFSET(貼り付け2!$A$1,ROW()-1,MATCH(N$1,貼り付け2!$1:$1,0)+1)=3,
OFFSET(貼り付け2!$A$1,$A26-3,OFFSET(貼り付け2!$A$1,ROW()-1,MATCH(N$1,貼り付け2!$1:$1,0)+1)-3)
&amp;OFFSET(貼り付け2!$A$1,$A26-3,OFFSET(貼り付け2!$A$1,ROW()-1,MATCH(N$1,貼り付け2!$1:$1,0)+1)-2)
&amp;OFFSET(貼り付け2!$A$1,$A26-3,OFFSET(貼り付け2!$A$1,ROW()-1,MATCH(N$1,貼り付け2!$1:$1,0)+1)-1),"")))</f>
        <v/>
      </c>
      <c r="O26" t="str">
        <f ca="1">IFERROR(OFFSET(貼り付け2!$A$1,$A26-1,OFFSET(貼り付け2!$A$1,ROW()-1,MATCH(O$1,貼り付け2!$1:$1,0)-1)-1),"")</f>
        <v/>
      </c>
      <c r="P26" t="e">
        <f ca="1">OFFSET(貼り付け1!$A$1,貼り付け1!$G25-1,2)</f>
        <v>#REF!</v>
      </c>
      <c r="Q26" t="e">
        <f ca="1">OFFSET(貼り付け1!$A$1,貼り付け1!$F25-1,2)</f>
        <v>#REF!</v>
      </c>
      <c r="R26" t="str">
        <f ca="1">IFERROR(OFFSET(貼り付け2!$A$1,まとめ!$B26-1,OFFSET(貼り付け2!$A$1,ROW()-1,MATCH(R$1,貼り付け2!$1:$1,0)-1)-1),"")</f>
        <v/>
      </c>
      <c r="S26" t="str">
        <f ca="1">IF(OFFSET(貼り付け2!$A$1,ROW()-1,MATCH(S$1,貼り付け2!$1:$1,0)-1)&lt;&gt;"",
IF($C26=TRUE,
IF((OFFSET(貼り付け2!$A$1,ROW()-1,MATCH(S$1,貼り付け2!$1:$1,0)-1)-OFFSET(貼り付け2!$A$1,ROW()-1,MATCH(N$1,貼り付け2!$1:$1,0)-1))=2,
OFFSET(貼り付け2!$A$1,$A26-4,OFFSET(貼り付け2!$A$1,ROW()-1,MATCH(S$1,貼り付け2!$1:$1,0)-1)-2)
&amp;OFFSET(貼り付け2!$A$1,$A26-4,OFFSET(貼り付け2!$A$1,ROW()-1,MATCH(S$1,貼り付け2!$1:$1,0)-1)-1),
IF((OFFSET(貼り付け2!$A$1,ROW()-1,MATCH(S$1,貼り付け2!$1:$1,0)-1)-OFFSET(貼り付け2!$A$1,ROW()-1,MATCH(N$1,貼り付け2!$1:$1,0)-1))=3,
OFFSET(貼り付け2!$A$1,$A26-4,OFFSET(貼り付け2!$A$1,ROW()-1,MATCH(S$1,貼り付け2!$1:$1,0)-1)-3)
&amp;OFFSET(貼り付け2!$A$1,$A26-4,OFFSET(貼り付け2!$A$1,ROW()-1,MATCH(S$1,貼り付け2!$1:$1,0)-1)-2)
&amp;OFFSET(貼り付け2!$A$1,$A26-4,OFFSET(貼り付け2!$A$1,ROW()-1,MATCH(S$1,貼り付け2!$1:$1,0)-1)-1),"")),
IF((OFFSET(貼り付け2!$A$1,ROW()-1,MATCH(S$1,貼り付け2!$1:$1,0)-1)-OFFSET(貼り付け2!$A$1,ROW()-1,MATCH(N$1,貼り付け2!$1:$1,0)-1))=2,
OFFSET(貼り付け2!$A$1,$A26-2,OFFSET(貼り付け2!$A$1,ROW()-1,MATCH(S$1,貼り付け2!$1:$1,0)-1)-2)
&amp;OFFSET(貼り付け2!$A$1,$A26-2,OFFSET(貼り付け2!$A$1,ROW()-1,MATCH(S$1,貼り付け2!$1:$1,0)-1)-1),
IF((OFFSET(貼り付け2!$A$1,ROW()-1,MATCH(S$1,貼り付け2!$1:$1,0)-1)-OFFSET(貼り付け2!$A$1,ROW()-1,MATCH(N$1,貼り付け2!$1:$1,0)-1))=3,
OFFSET(貼り付け2!$A$1,$A26-2,OFFSET(貼り付け2!$A$1,ROW()-1,MATCH(S$1,貼り付け2!$1:$1,0)-1)-3)
&amp;OFFSET(貼り付け2!$A$1,$A26-2,OFFSET(貼り付け2!$A$1,ROW()-1,MATCH(S$1,貼り付け2!$1:$1,0)-1)-2)
&amp;OFFSET(貼り付け2!$A$1,$A26-2,OFFSET(貼り付け2!$A$1,ROW()-1,MATCH(S$1,貼り付け2!$1:$1,0)-1)-1),""))),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OFFSET(貼り付け2!$A$1,$A26-3,OFFSET(貼り付け2!$A$1,ROW()-1,MATCH(S$1,貼り付け2!$1:$1,0)+1)-2)
&amp;OFFSET(貼り付け2!$A$1,$A26-3,OFFSET(貼り付け2!$A$1,ROW()-1,MATCH(S$1,貼り付け2!$1:$1,0)+1)-1),
IF(OFFSET(貼り付け2!$A$1,ROW()-1,MATCH(S$1,貼り付け2!$1:$1,0)+1)-OFFSET(貼り付け2!$A$1,ROW()-1,MATCH(N$1,貼り付け2!$1:$1,0)+1)=3,
OFFSET(貼り付け2!$A$1,$A26-3,OFFSET(貼り付け2!$A$1,ROW()-1,MATCH(S$1,貼り付け2!$1:$1,0)+1)-3)
&amp;OFFSET(貼り付け2!$A$1,$A26-3,OFFSET(貼り付け2!$A$1,ROW()-1,MATCH(S$1,貼り付け2!$1:$1,0)+1)-2)
&amp;OFFSET(貼り付け2!$A$1,$A26-3,OFFSET(貼り付け2!$A$1,ROW()-1,MATCH(S$1,貼り付け2!$1:$1,0)+1)-1),"")),
IF(OFFSET(貼り付け2!$A$1,ROW()-1,MATCH(S$1,貼り付け2!$1:$1,0)+1)=2,
OFFSET(貼り付け2!$A$1,$A26-3,OFFSET(貼り付け2!$A$1,ROW()-1,MATCH(S$1,貼り付け2!$1:$1,0)+1)-2)
&amp;OFFSET(貼り付け2!$A$1,$A26-3,OFFSET(貼り付け2!$A$1,ROW()-1,MATCH(S$1,貼り付け2!$1:$1,0)+1)-1),
IF(OFFSET(貼り付け2!$A$1,ROW()-1,MATCH(S$1,貼り付け2!$1:$1,0)+1)=3,
OFFSET(貼り付け2!$A$1,$A26-3,OFFSET(貼り付け2!$A$1,ROW()-1,MATCH(S$1,貼り付け2!$1:$1,0)+1)-3)
&amp;OFFSET(貼り付け2!$A$1,$A26-3,OFFSET(貼り付け2!$A$1,ROW()-1,MATCH(S$1,貼り付け2!$1:$1,0)+1)-2)
&amp;OFFSET(貼り付け2!$A$1,$A26-3,OFFSET(貼り付け2!$A$1,ROW()-1,MATCH(S$1,貼り付け2!$1:$1,0)+1)-1),""))))</f>
        <v/>
      </c>
      <c r="T26" t="str">
        <f ca="1">IFERROR(OFFSET(貼り付け2!$A$1,$A26-1,OFFSET(貼り付け2!$A$1,ROW()-1,MATCH(T$1,貼り付け2!$1:$1,0)-1)-1),"")</f>
        <v/>
      </c>
      <c r="U26" t="e">
        <f ca="1">OFFSET(貼り付け1!$A$1,貼り付け1!$G25-1,3)</f>
        <v>#REF!</v>
      </c>
      <c r="V26" t="e">
        <f ca="1">OFFSET(貼り付け1!$A$1,貼り付け1!$F25-1,3)</f>
        <v>#REF!</v>
      </c>
      <c r="W26" t="str">
        <f ca="1">IFERROR(OFFSET(貼り付け2!$A$1,まとめ!$B26-1,OFFSET(貼り付け2!$A$1,ROW()-1,MATCH(W$1,貼り付け2!$1:$1,0)-1)-1),"")</f>
        <v/>
      </c>
    </row>
    <row r="27" spans="1:23" x14ac:dyDescent="0.45">
      <c r="A27" t="str">
        <f>貼り付け2!S27</f>
        <v/>
      </c>
      <c r="B27" t="str">
        <f>貼り付け2!R27</f>
        <v/>
      </c>
      <c r="C27" t="e">
        <f t="shared" ca="1" si="1"/>
        <v>#VALUE!</v>
      </c>
      <c r="D27" t="str">
        <f ca="1">IF(OFFSET(貼り付け2!$A$1,ROW()-1,MATCH(D$1,貼り付け2!$1:$1,0)-1)=2,
OFFSET(貼り付け2!$A$1,A27-2,OFFSET(貼り付け2!$A$1,ROW()-1,MATCH(D$1,貼り付け2!$1:$1,0)-1)-2)
&amp;OFFSET(貼り付け2!$A$1,A27-2,OFFSET(貼り付け2!$A$1,ROW()-1,MATCH(D$1,貼り付け2!$1:$1,0)-1)-1),
IF(OFFSET(貼り付け2!$A$1,ROW()-1,MATCH(D$1,貼り付け2!$1:$1,0)-1)=3,
OFFSET(貼り付け2!$A$1,A27-2,OFFSET(貼り付け2!$A$1,ROW()-1,MATCH(D$1,貼り付け2!$1:$1,0)-1)-3)
&amp;OFFSET(貼り付け2!$A$1,A27-2,OFFSET(貼り付け2!$A$1,ROW()-1,MATCH(D$1,貼り付け2!$1:$1,0)-1)-2)
&amp;OFFSET(貼り付け2!$A$1,A27-2,OFFSET(貼り付け2!$A$1,ROW()-1,MATCH(D$1,貼り付け2!$1:$1,0)-1)-1),""))</f>
        <v/>
      </c>
      <c r="E27" t="str">
        <f ca="1">IF(OFFSET(貼り付け2!$A$1,ROW()-1,MATCH(E$1,貼り付け2!$1:$1,0)-1)=2,
OFFSET(貼り付け2!$A$1,$A27-1,OFFSET(貼り付け2!$A$1,ROW()-1,MATCH(E$1,貼り付け2!$1:$1,0)-1)-2)&amp;"・"&amp;OFFSET(貼り付け2!$A$1,$A27-1,OFFSET(貼り付け2!$A$1,ROW()-1,MATCH(E$1,貼り付け2!$1:$1,0)-1)-1),
IF(OFFSET(貼り付け2!$A$1,ROW()-1,MATCH(E$1,貼り付け2!$1:$1,0)-1)=1,
OFFSET(貼り付け2!$A$1,$A27-1,OFFSET(貼り付け2!$A$1,ROW()-1,MATCH(E$1,貼り付け2!$1:$1,0)-1)-1),""))</f>
        <v/>
      </c>
      <c r="F27" t="e">
        <f ca="1">OFFSET(貼り付け1!$A$1,貼り付け1!$G26-1,0)</f>
        <v>#REF!</v>
      </c>
      <c r="G27" t="e">
        <f ca="1">OFFSET(貼り付け1!$A$1,貼り付け1!$F26-1,0)</f>
        <v>#REF!</v>
      </c>
      <c r="H27" t="str">
        <f ca="1">IFERROR(OFFSET(貼り付け2!$A$1,まとめ!$B27-1,OFFSET(貼り付け2!$A$1,ROW()-1,MATCH(H$1,貼り付け2!$1:$1,0)-1)-1),"")</f>
        <v/>
      </c>
      <c r="I27" t="e">
        <f ca="1">IF((OFFSET(貼り付け2!$A$1,ROW()-1,MATCH(I$1,貼り付け2!$1:$1,0)-1)-OFFSET(貼り付け2!$A$1,ROW()-1,MATCH(D$1,貼り付け2!$1:$1,0)-1))=2,
OFFSET(貼り付け2!$A$1,$A27-2,OFFSET(貼り付け2!$A$1,ROW()-1,MATCH(I$1,貼り付け2!$1:$1,0)-1)-2)
&amp;OFFSET(貼り付け2!$A$1,$A27-2,OFFSET(貼り付け2!$A$1,ROW()-1,MATCH(I$1,貼り付け2!$1:$1,0)-1)-1),
IF((OFFSET(貼り付け2!$A$1,ROW()-1,MATCH(I$1,貼り付け2!$1:$1,0)-1)-OFFSET(貼り付け2!$A$1,ROW()-1,MATCH(D$1,貼り付け2!$1:$1,0)-1))=3,
OFFSET(貼り付け2!$A$1,$A27-2,OFFSET(貼り付け2!$A$1,ROW()-1,MATCH(I$1,貼り付け2!$1:$1,0)-1)-3)
&amp;OFFSET(貼り付け2!$A$1,$A27-2,OFFSET(貼り付け2!$A$1,ROW()-1,MATCH(I$1,貼り付け2!$1:$1,0)-1)-2)
&amp;OFFSET(貼り付け2!$A$1,$A27-2,OFFSET(貼り付け2!$A$1,ROW()-1,MATCH(I$1,貼り付け2!$1:$1,0)-1)-1),""))</f>
        <v>#VALUE!</v>
      </c>
      <c r="J27" t="e">
        <f ca="1">IF(OFFSET(貼り付け2!$A$1,ROW()-1,MATCH(J$1,貼り付け2!$1:$1,0)-1)-OFFSET(貼り付け2!$A$1,ROW()-1,MATCH(E$1,貼り付け2!$1:$1,0)-1)=2,
OFFSET(貼り付け2!$A$1,$A27-1,OFFSET(貼り付け2!$A$1,ROW()-1,MATCH(J$1,貼り付け2!$1:$1,0)-1)-2)&amp;"・"&amp;OFFSET(貼り付け2!$A$1,$A27-1,OFFSET(貼り付け2!$A$1,ROW()-1,MATCH(J$1,貼り付け2!$1:$1,0)-1)-1),
IF(OFFSET(貼り付け2!$A$1,ROW()-1,MATCH(J$1,貼り付け2!$1:$1,0)-1)-OFFSET(貼り付け2!$A$1,ROW()-1,MATCH(E$1,貼り付け2!$1:$1,0)-1)=1,
OFFSET(貼り付け2!$A$1,$A27-1,OFFSET(貼り付け2!$A$1,ROW()-1,MATCH(J$1,貼り付け2!$1:$1,0)-1)-1),""))</f>
        <v>#VALUE!</v>
      </c>
      <c r="K27" t="e">
        <f ca="1">OFFSET(貼り付け1!$A$1,貼り付け1!$G26-1,1)</f>
        <v>#REF!</v>
      </c>
      <c r="L27" t="e">
        <f ca="1">OFFSET(貼り付け1!$A$1,貼り付け1!$F26-1,1)</f>
        <v>#REF!</v>
      </c>
      <c r="M27" t="str">
        <f ca="1">IFERROR(OFFSET(貼り付け2!$A$1,まとめ!$B27-1,OFFSET(貼り付け2!$A$1,ROW()-1,MATCH(M$1,貼り付け2!$1:$1,0)-1)-1),"")</f>
        <v/>
      </c>
      <c r="N27" t="str">
        <f ca="1">IF(OFFSET(貼り付け2!$A$1,ROW()-1,MATCH(N$1,貼り付け2!$1:$1,0)-1)&lt;&gt;"",
IF($C27=TRUE,
IF((OFFSET(貼り付け2!$A$1,ROW()-1,MATCH(N$1,貼り付け2!$1:$1,0)-1)-OFFSET(貼り付け2!$A$1,ROW()-1,MATCH(I$1,貼り付け2!$1:$1,0)-1))=2,
OFFSET(貼り付け2!$A$1,$A27-4,OFFSET(貼り付け2!$A$1,ROW()-1,MATCH(N$1,貼り付け2!$1:$1,0)-1)-2)
&amp;OFFSET(貼り付け2!$A$1,$A27-4,OFFSET(貼り付け2!$A$1,ROW()-1,MATCH(N$1,貼り付け2!$1:$1,0)-1)-1),
IF((OFFSET(貼り付け2!$A$1,ROW()-1,MATCH(N$1,貼り付け2!$1:$1,0)-1)-OFFSET(貼り付け2!$A$1,ROW()-1,MATCH(I$1,貼り付け2!$1:$1,0)-1))=3,
OFFSET(貼り付け2!$A$1,$A27-4,OFFSET(貼り付け2!$A$1,ROW()-1,MATCH(N$1,貼り付け2!$1:$1,0)-1)-3)
&amp;OFFSET(貼り付け2!$A$1,$A27-4,OFFSET(貼り付け2!$A$1,ROW()-1,MATCH(N$1,貼り付け2!$1:$1,0)-1)-2)
&amp;OFFSET(貼り付け2!$A$1,$A27-4,OFFSET(貼り付け2!$A$1,ROW()-1,MATCH(N$1,貼り付け2!$1:$1,0)-1)-1),"")),
IF((OFFSET(貼り付け2!$A$1,ROW()-1,MATCH(N$1,貼り付け2!$1:$1,0)-1)-OFFSET(貼り付け2!$A$1,ROW()-1,MATCH(I$1,貼り付け2!$1:$1,0)-1))=2,
OFFSET(貼り付け2!$A$1,$A27-2,OFFSET(貼り付け2!$A$1,ROW()-1,MATCH(N$1,貼り付け2!$1:$1,0)-1)-2)
&amp;OFFSET(貼り付け2!$A$1,$A27-2,OFFSET(貼り付け2!$A$1,ROW()-1,MATCH(N$1,貼り付け2!$1:$1,0)-1)-1),
IF((OFFSET(貼り付け2!$A$1,ROW()-1,MATCH(N$1,貼り付け2!$1:$1,0)-1)-OFFSET(貼り付け2!$A$1,ROW()-1,MATCH(I$1,貼り付け2!$1:$1,0)-1))=3,
OFFSET(貼り付け2!$A$1,$A27-2,OFFSET(貼り付け2!$A$1,ROW()-1,MATCH(N$1,貼り付け2!$1:$1,0)-1)-3)
&amp;OFFSET(貼り付け2!$A$1,$A27-2,OFFSET(貼り付け2!$A$1,ROW()-1,MATCH(N$1,貼り付け2!$1:$1,0)-1)-2)
&amp;OFFSET(貼り付け2!$A$1,$A27-2,OFFSET(貼り付け2!$A$1,ROW()-1,MATCH(N$1,貼り付け2!$1:$1,0)-1)-1),""))),
IF(OFFSET(貼り付け2!$A$1,ROW()-1,MATCH(N$1,貼り付け2!$1:$1,0)+1)=2,
OFFSET(貼り付け2!$A$1,$A27-3,OFFSET(貼り付け2!$A$1,ROW()-1,MATCH(N$1,貼り付け2!$1:$1,0)+1)-2)
&amp;OFFSET(貼り付け2!$A$1,$A27-3,OFFSET(貼り付け2!$A$1,ROW()-1,MATCH(N$1,貼り付け2!$1:$1,0)+1)-1),
IF(OFFSET(貼り付け2!$A$1,ROW()-1,MATCH(N$1,貼り付け2!$1:$1,0)+1)=3,
OFFSET(貼り付け2!$A$1,$A27-3,OFFSET(貼り付け2!$A$1,ROW()-1,MATCH(N$1,貼り付け2!$1:$1,0)+1)-3)
&amp;OFFSET(貼り付け2!$A$1,$A27-3,OFFSET(貼り付け2!$A$1,ROW()-1,MATCH(N$1,貼り付け2!$1:$1,0)+1)-2)
&amp;OFFSET(貼り付け2!$A$1,$A27-3,OFFSET(貼り付け2!$A$1,ROW()-1,MATCH(N$1,貼り付け2!$1:$1,0)+1)-1),"")))</f>
        <v/>
      </c>
      <c r="O27" t="str">
        <f ca="1">IFERROR(OFFSET(貼り付け2!$A$1,$A27-1,OFFSET(貼り付け2!$A$1,ROW()-1,MATCH(O$1,貼り付け2!$1:$1,0)-1)-1),"")</f>
        <v/>
      </c>
      <c r="P27" t="e">
        <f ca="1">OFFSET(貼り付け1!$A$1,貼り付け1!$G26-1,2)</f>
        <v>#REF!</v>
      </c>
      <c r="Q27" t="e">
        <f ca="1">OFFSET(貼り付け1!$A$1,貼り付け1!$F26-1,2)</f>
        <v>#REF!</v>
      </c>
      <c r="R27" t="str">
        <f ca="1">IFERROR(OFFSET(貼り付け2!$A$1,まとめ!$B27-1,OFFSET(貼り付け2!$A$1,ROW()-1,MATCH(R$1,貼り付け2!$1:$1,0)-1)-1),"")</f>
        <v/>
      </c>
      <c r="S27" t="str">
        <f ca="1">IF(OFFSET(貼り付け2!$A$1,ROW()-1,MATCH(S$1,貼り付け2!$1:$1,0)-1)&lt;&gt;"",
IF($C27=TRUE,
IF((OFFSET(貼り付け2!$A$1,ROW()-1,MATCH(S$1,貼り付け2!$1:$1,0)-1)-OFFSET(貼り付け2!$A$1,ROW()-1,MATCH(N$1,貼り付け2!$1:$1,0)-1))=2,
OFFSET(貼り付け2!$A$1,$A27-4,OFFSET(貼り付け2!$A$1,ROW()-1,MATCH(S$1,貼り付け2!$1:$1,0)-1)-2)
&amp;OFFSET(貼り付け2!$A$1,$A27-4,OFFSET(貼り付け2!$A$1,ROW()-1,MATCH(S$1,貼り付け2!$1:$1,0)-1)-1),
IF((OFFSET(貼り付け2!$A$1,ROW()-1,MATCH(S$1,貼り付け2!$1:$1,0)-1)-OFFSET(貼り付け2!$A$1,ROW()-1,MATCH(N$1,貼り付け2!$1:$1,0)-1))=3,
OFFSET(貼り付け2!$A$1,$A27-4,OFFSET(貼り付け2!$A$1,ROW()-1,MATCH(S$1,貼り付け2!$1:$1,0)-1)-3)
&amp;OFFSET(貼り付け2!$A$1,$A27-4,OFFSET(貼り付け2!$A$1,ROW()-1,MATCH(S$1,貼り付け2!$1:$1,0)-1)-2)
&amp;OFFSET(貼り付け2!$A$1,$A27-4,OFFSET(貼り付け2!$A$1,ROW()-1,MATCH(S$1,貼り付け2!$1:$1,0)-1)-1),"")),
IF((OFFSET(貼り付け2!$A$1,ROW()-1,MATCH(S$1,貼り付け2!$1:$1,0)-1)-OFFSET(貼り付け2!$A$1,ROW()-1,MATCH(N$1,貼り付け2!$1:$1,0)-1))=2,
OFFSET(貼り付け2!$A$1,$A27-2,OFFSET(貼り付け2!$A$1,ROW()-1,MATCH(S$1,貼り付け2!$1:$1,0)-1)-2)
&amp;OFFSET(貼り付け2!$A$1,$A27-2,OFFSET(貼り付け2!$A$1,ROW()-1,MATCH(S$1,貼り付け2!$1:$1,0)-1)-1),
IF((OFFSET(貼り付け2!$A$1,ROW()-1,MATCH(S$1,貼り付け2!$1:$1,0)-1)-OFFSET(貼り付け2!$A$1,ROW()-1,MATCH(N$1,貼り付け2!$1:$1,0)-1))=3,
OFFSET(貼り付け2!$A$1,$A27-2,OFFSET(貼り付け2!$A$1,ROW()-1,MATCH(S$1,貼り付け2!$1:$1,0)-1)-3)
&amp;OFFSET(貼り付け2!$A$1,$A27-2,OFFSET(貼り付け2!$A$1,ROW()-1,MATCH(S$1,貼り付け2!$1:$1,0)-1)-2)
&amp;OFFSET(貼り付け2!$A$1,$A27-2,OFFSET(貼り付け2!$A$1,ROW()-1,MATCH(S$1,貼り付け2!$1:$1,0)-1)-1),""))),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OFFSET(貼り付け2!$A$1,$A27-3,OFFSET(貼り付け2!$A$1,ROW()-1,MATCH(S$1,貼り付け2!$1:$1,0)+1)-2)
&amp;OFFSET(貼り付け2!$A$1,$A27-3,OFFSET(貼り付け2!$A$1,ROW()-1,MATCH(S$1,貼り付け2!$1:$1,0)+1)-1),
IF(OFFSET(貼り付け2!$A$1,ROW()-1,MATCH(S$1,貼り付け2!$1:$1,0)+1)-OFFSET(貼り付け2!$A$1,ROW()-1,MATCH(N$1,貼り付け2!$1:$1,0)+1)=3,
OFFSET(貼り付け2!$A$1,$A27-3,OFFSET(貼り付け2!$A$1,ROW()-1,MATCH(S$1,貼り付け2!$1:$1,0)+1)-3)
&amp;OFFSET(貼り付け2!$A$1,$A27-3,OFFSET(貼り付け2!$A$1,ROW()-1,MATCH(S$1,貼り付け2!$1:$1,0)+1)-2)
&amp;OFFSET(貼り付け2!$A$1,$A27-3,OFFSET(貼り付け2!$A$1,ROW()-1,MATCH(S$1,貼り付け2!$1:$1,0)+1)-1),"")),
IF(OFFSET(貼り付け2!$A$1,ROW()-1,MATCH(S$1,貼り付け2!$1:$1,0)+1)=2,
OFFSET(貼り付け2!$A$1,$A27-3,OFFSET(貼り付け2!$A$1,ROW()-1,MATCH(S$1,貼り付け2!$1:$1,0)+1)-2)
&amp;OFFSET(貼り付け2!$A$1,$A27-3,OFFSET(貼り付け2!$A$1,ROW()-1,MATCH(S$1,貼り付け2!$1:$1,0)+1)-1),
IF(OFFSET(貼り付け2!$A$1,ROW()-1,MATCH(S$1,貼り付け2!$1:$1,0)+1)=3,
OFFSET(貼り付け2!$A$1,$A27-3,OFFSET(貼り付け2!$A$1,ROW()-1,MATCH(S$1,貼り付け2!$1:$1,0)+1)-3)
&amp;OFFSET(貼り付け2!$A$1,$A27-3,OFFSET(貼り付け2!$A$1,ROW()-1,MATCH(S$1,貼り付け2!$1:$1,0)+1)-2)
&amp;OFFSET(貼り付け2!$A$1,$A27-3,OFFSET(貼り付け2!$A$1,ROW()-1,MATCH(S$1,貼り付け2!$1:$1,0)+1)-1),""))))</f>
        <v/>
      </c>
      <c r="T27" t="str">
        <f ca="1">IFERROR(OFFSET(貼り付け2!$A$1,$A27-1,OFFSET(貼り付け2!$A$1,ROW()-1,MATCH(T$1,貼り付け2!$1:$1,0)-1)-1),"")</f>
        <v/>
      </c>
      <c r="U27" t="e">
        <f ca="1">OFFSET(貼り付け1!$A$1,貼り付け1!$G26-1,3)</f>
        <v>#REF!</v>
      </c>
      <c r="V27" t="e">
        <f ca="1">OFFSET(貼り付け1!$A$1,貼り付け1!$F26-1,3)</f>
        <v>#REF!</v>
      </c>
      <c r="W27" t="str">
        <f ca="1">IFERROR(OFFSET(貼り付け2!$A$1,まとめ!$B27-1,OFFSET(貼り付け2!$A$1,ROW()-1,MATCH(W$1,貼り付け2!$1:$1,0)-1)-1),"")</f>
        <v/>
      </c>
    </row>
    <row r="28" spans="1:23" x14ac:dyDescent="0.45">
      <c r="A28" t="str">
        <f>貼り付け2!S28</f>
        <v/>
      </c>
      <c r="B28" t="str">
        <f>貼り付け2!R28</f>
        <v/>
      </c>
      <c r="C28" t="e">
        <f t="shared" ca="1" si="1"/>
        <v>#VALUE!</v>
      </c>
      <c r="D28" t="str">
        <f ca="1">IF(OFFSET(貼り付け2!$A$1,ROW()-1,MATCH(D$1,貼り付け2!$1:$1,0)-1)=2,
OFFSET(貼り付け2!$A$1,A28-2,OFFSET(貼り付け2!$A$1,ROW()-1,MATCH(D$1,貼り付け2!$1:$1,0)-1)-2)
&amp;OFFSET(貼り付け2!$A$1,A28-2,OFFSET(貼り付け2!$A$1,ROW()-1,MATCH(D$1,貼り付け2!$1:$1,0)-1)-1),
IF(OFFSET(貼り付け2!$A$1,ROW()-1,MATCH(D$1,貼り付け2!$1:$1,0)-1)=3,
OFFSET(貼り付け2!$A$1,A28-2,OFFSET(貼り付け2!$A$1,ROW()-1,MATCH(D$1,貼り付け2!$1:$1,0)-1)-3)
&amp;OFFSET(貼り付け2!$A$1,A28-2,OFFSET(貼り付け2!$A$1,ROW()-1,MATCH(D$1,貼り付け2!$1:$1,0)-1)-2)
&amp;OFFSET(貼り付け2!$A$1,A28-2,OFFSET(貼り付け2!$A$1,ROW()-1,MATCH(D$1,貼り付け2!$1:$1,0)-1)-1),""))</f>
        <v/>
      </c>
      <c r="E28" t="str">
        <f ca="1">IF(OFFSET(貼り付け2!$A$1,ROW()-1,MATCH(E$1,貼り付け2!$1:$1,0)-1)=2,
OFFSET(貼り付け2!$A$1,$A28-1,OFFSET(貼り付け2!$A$1,ROW()-1,MATCH(E$1,貼り付け2!$1:$1,0)-1)-2)&amp;"・"&amp;OFFSET(貼り付け2!$A$1,$A28-1,OFFSET(貼り付け2!$A$1,ROW()-1,MATCH(E$1,貼り付け2!$1:$1,0)-1)-1),
IF(OFFSET(貼り付け2!$A$1,ROW()-1,MATCH(E$1,貼り付け2!$1:$1,0)-1)=1,
OFFSET(貼り付け2!$A$1,$A28-1,OFFSET(貼り付け2!$A$1,ROW()-1,MATCH(E$1,貼り付け2!$1:$1,0)-1)-1),""))</f>
        <v/>
      </c>
      <c r="F28" t="e">
        <f ca="1">OFFSET(貼り付け1!$A$1,貼り付け1!$G27-1,0)</f>
        <v>#REF!</v>
      </c>
      <c r="G28" t="e">
        <f ca="1">OFFSET(貼り付け1!$A$1,貼り付け1!$F27-1,0)</f>
        <v>#REF!</v>
      </c>
      <c r="H28" t="str">
        <f ca="1">IFERROR(OFFSET(貼り付け2!$A$1,まとめ!$B28-1,OFFSET(貼り付け2!$A$1,ROW()-1,MATCH(H$1,貼り付け2!$1:$1,0)-1)-1),"")</f>
        <v/>
      </c>
      <c r="I28" t="e">
        <f ca="1">IF((OFFSET(貼り付け2!$A$1,ROW()-1,MATCH(I$1,貼り付け2!$1:$1,0)-1)-OFFSET(貼り付け2!$A$1,ROW()-1,MATCH(D$1,貼り付け2!$1:$1,0)-1))=2,
OFFSET(貼り付け2!$A$1,$A28-2,OFFSET(貼り付け2!$A$1,ROW()-1,MATCH(I$1,貼り付け2!$1:$1,0)-1)-2)
&amp;OFFSET(貼り付け2!$A$1,$A28-2,OFFSET(貼り付け2!$A$1,ROW()-1,MATCH(I$1,貼り付け2!$1:$1,0)-1)-1),
IF((OFFSET(貼り付け2!$A$1,ROW()-1,MATCH(I$1,貼り付け2!$1:$1,0)-1)-OFFSET(貼り付け2!$A$1,ROW()-1,MATCH(D$1,貼り付け2!$1:$1,0)-1))=3,
OFFSET(貼り付け2!$A$1,$A28-2,OFFSET(貼り付け2!$A$1,ROW()-1,MATCH(I$1,貼り付け2!$1:$1,0)-1)-3)
&amp;OFFSET(貼り付け2!$A$1,$A28-2,OFFSET(貼り付け2!$A$1,ROW()-1,MATCH(I$1,貼り付け2!$1:$1,0)-1)-2)
&amp;OFFSET(貼り付け2!$A$1,$A28-2,OFFSET(貼り付け2!$A$1,ROW()-1,MATCH(I$1,貼り付け2!$1:$1,0)-1)-1),""))</f>
        <v>#VALUE!</v>
      </c>
      <c r="J28" t="e">
        <f ca="1">IF(OFFSET(貼り付け2!$A$1,ROW()-1,MATCH(J$1,貼り付け2!$1:$1,0)-1)-OFFSET(貼り付け2!$A$1,ROW()-1,MATCH(E$1,貼り付け2!$1:$1,0)-1)=2,
OFFSET(貼り付け2!$A$1,$A28-1,OFFSET(貼り付け2!$A$1,ROW()-1,MATCH(J$1,貼り付け2!$1:$1,0)-1)-2)&amp;"・"&amp;OFFSET(貼り付け2!$A$1,$A28-1,OFFSET(貼り付け2!$A$1,ROW()-1,MATCH(J$1,貼り付け2!$1:$1,0)-1)-1),
IF(OFFSET(貼り付け2!$A$1,ROW()-1,MATCH(J$1,貼り付け2!$1:$1,0)-1)-OFFSET(貼り付け2!$A$1,ROW()-1,MATCH(E$1,貼り付け2!$1:$1,0)-1)=1,
OFFSET(貼り付け2!$A$1,$A28-1,OFFSET(貼り付け2!$A$1,ROW()-1,MATCH(J$1,貼り付け2!$1:$1,0)-1)-1),""))</f>
        <v>#VALUE!</v>
      </c>
      <c r="K28" t="e">
        <f ca="1">OFFSET(貼り付け1!$A$1,貼り付け1!$G27-1,1)</f>
        <v>#REF!</v>
      </c>
      <c r="L28" t="e">
        <f ca="1">OFFSET(貼り付け1!$A$1,貼り付け1!$F27-1,1)</f>
        <v>#REF!</v>
      </c>
      <c r="M28" t="str">
        <f ca="1">IFERROR(OFFSET(貼り付け2!$A$1,まとめ!$B28-1,OFFSET(貼り付け2!$A$1,ROW()-1,MATCH(M$1,貼り付け2!$1:$1,0)-1)-1),"")</f>
        <v/>
      </c>
      <c r="N28" t="str">
        <f ca="1">IF(OFFSET(貼り付け2!$A$1,ROW()-1,MATCH(N$1,貼り付け2!$1:$1,0)-1)&lt;&gt;"",
IF($C28=TRUE,
IF((OFFSET(貼り付け2!$A$1,ROW()-1,MATCH(N$1,貼り付け2!$1:$1,0)-1)-OFFSET(貼り付け2!$A$1,ROW()-1,MATCH(I$1,貼り付け2!$1:$1,0)-1))=2,
OFFSET(貼り付け2!$A$1,$A28-4,OFFSET(貼り付け2!$A$1,ROW()-1,MATCH(N$1,貼り付け2!$1:$1,0)-1)-2)
&amp;OFFSET(貼り付け2!$A$1,$A28-4,OFFSET(貼り付け2!$A$1,ROW()-1,MATCH(N$1,貼り付け2!$1:$1,0)-1)-1),
IF((OFFSET(貼り付け2!$A$1,ROW()-1,MATCH(N$1,貼り付け2!$1:$1,0)-1)-OFFSET(貼り付け2!$A$1,ROW()-1,MATCH(I$1,貼り付け2!$1:$1,0)-1))=3,
OFFSET(貼り付け2!$A$1,$A28-4,OFFSET(貼り付け2!$A$1,ROW()-1,MATCH(N$1,貼り付け2!$1:$1,0)-1)-3)
&amp;OFFSET(貼り付け2!$A$1,$A28-4,OFFSET(貼り付け2!$A$1,ROW()-1,MATCH(N$1,貼り付け2!$1:$1,0)-1)-2)
&amp;OFFSET(貼り付け2!$A$1,$A28-4,OFFSET(貼り付け2!$A$1,ROW()-1,MATCH(N$1,貼り付け2!$1:$1,0)-1)-1),"")),
IF((OFFSET(貼り付け2!$A$1,ROW()-1,MATCH(N$1,貼り付け2!$1:$1,0)-1)-OFFSET(貼り付け2!$A$1,ROW()-1,MATCH(I$1,貼り付け2!$1:$1,0)-1))=2,
OFFSET(貼り付け2!$A$1,$A28-2,OFFSET(貼り付け2!$A$1,ROW()-1,MATCH(N$1,貼り付け2!$1:$1,0)-1)-2)
&amp;OFFSET(貼り付け2!$A$1,$A28-2,OFFSET(貼り付け2!$A$1,ROW()-1,MATCH(N$1,貼り付け2!$1:$1,0)-1)-1),
IF((OFFSET(貼り付け2!$A$1,ROW()-1,MATCH(N$1,貼り付け2!$1:$1,0)-1)-OFFSET(貼り付け2!$A$1,ROW()-1,MATCH(I$1,貼り付け2!$1:$1,0)-1))=3,
OFFSET(貼り付け2!$A$1,$A28-2,OFFSET(貼り付け2!$A$1,ROW()-1,MATCH(N$1,貼り付け2!$1:$1,0)-1)-3)
&amp;OFFSET(貼り付け2!$A$1,$A28-2,OFFSET(貼り付け2!$A$1,ROW()-1,MATCH(N$1,貼り付け2!$1:$1,0)-1)-2)
&amp;OFFSET(貼り付け2!$A$1,$A28-2,OFFSET(貼り付け2!$A$1,ROW()-1,MATCH(N$1,貼り付け2!$1:$1,0)-1)-1),""))),
IF(OFFSET(貼り付け2!$A$1,ROW()-1,MATCH(N$1,貼り付け2!$1:$1,0)+1)=2,
OFFSET(貼り付け2!$A$1,$A28-3,OFFSET(貼り付け2!$A$1,ROW()-1,MATCH(N$1,貼り付け2!$1:$1,0)+1)-2)
&amp;OFFSET(貼り付け2!$A$1,$A28-3,OFFSET(貼り付け2!$A$1,ROW()-1,MATCH(N$1,貼り付け2!$1:$1,0)+1)-1),
IF(OFFSET(貼り付け2!$A$1,ROW()-1,MATCH(N$1,貼り付け2!$1:$1,0)+1)=3,
OFFSET(貼り付け2!$A$1,$A28-3,OFFSET(貼り付け2!$A$1,ROW()-1,MATCH(N$1,貼り付け2!$1:$1,0)+1)-3)
&amp;OFFSET(貼り付け2!$A$1,$A28-3,OFFSET(貼り付け2!$A$1,ROW()-1,MATCH(N$1,貼り付け2!$1:$1,0)+1)-2)
&amp;OFFSET(貼り付け2!$A$1,$A28-3,OFFSET(貼り付け2!$A$1,ROW()-1,MATCH(N$1,貼り付け2!$1:$1,0)+1)-1),"")))</f>
        <v/>
      </c>
      <c r="O28" t="str">
        <f ca="1">IFERROR(OFFSET(貼り付け2!$A$1,$A28-1,OFFSET(貼り付け2!$A$1,ROW()-1,MATCH(O$1,貼り付け2!$1:$1,0)-1)-1),"")</f>
        <v/>
      </c>
      <c r="P28" t="e">
        <f ca="1">OFFSET(貼り付け1!$A$1,貼り付け1!$G27-1,2)</f>
        <v>#REF!</v>
      </c>
      <c r="Q28" t="e">
        <f ca="1">OFFSET(貼り付け1!$A$1,貼り付け1!$F27-1,2)</f>
        <v>#REF!</v>
      </c>
      <c r="R28" t="str">
        <f ca="1">IFERROR(OFFSET(貼り付け2!$A$1,まとめ!$B28-1,OFFSET(貼り付け2!$A$1,ROW()-1,MATCH(R$1,貼り付け2!$1:$1,0)-1)-1),"")</f>
        <v/>
      </c>
      <c r="S28" t="str">
        <f ca="1">IF(OFFSET(貼り付け2!$A$1,ROW()-1,MATCH(S$1,貼り付け2!$1:$1,0)-1)&lt;&gt;"",
IF($C28=TRUE,
IF((OFFSET(貼り付け2!$A$1,ROW()-1,MATCH(S$1,貼り付け2!$1:$1,0)-1)-OFFSET(貼り付け2!$A$1,ROW()-1,MATCH(N$1,貼り付け2!$1:$1,0)-1))=2,
OFFSET(貼り付け2!$A$1,$A28-4,OFFSET(貼り付け2!$A$1,ROW()-1,MATCH(S$1,貼り付け2!$1:$1,0)-1)-2)
&amp;OFFSET(貼り付け2!$A$1,$A28-4,OFFSET(貼り付け2!$A$1,ROW()-1,MATCH(S$1,貼り付け2!$1:$1,0)-1)-1),
IF((OFFSET(貼り付け2!$A$1,ROW()-1,MATCH(S$1,貼り付け2!$1:$1,0)-1)-OFFSET(貼り付け2!$A$1,ROW()-1,MATCH(N$1,貼り付け2!$1:$1,0)-1))=3,
OFFSET(貼り付け2!$A$1,$A28-4,OFFSET(貼り付け2!$A$1,ROW()-1,MATCH(S$1,貼り付け2!$1:$1,0)-1)-3)
&amp;OFFSET(貼り付け2!$A$1,$A28-4,OFFSET(貼り付け2!$A$1,ROW()-1,MATCH(S$1,貼り付け2!$1:$1,0)-1)-2)
&amp;OFFSET(貼り付け2!$A$1,$A28-4,OFFSET(貼り付け2!$A$1,ROW()-1,MATCH(S$1,貼り付け2!$1:$1,0)-1)-1),"")),
IF((OFFSET(貼り付け2!$A$1,ROW()-1,MATCH(S$1,貼り付け2!$1:$1,0)-1)-OFFSET(貼り付け2!$A$1,ROW()-1,MATCH(N$1,貼り付け2!$1:$1,0)-1))=2,
OFFSET(貼り付け2!$A$1,$A28-2,OFFSET(貼り付け2!$A$1,ROW()-1,MATCH(S$1,貼り付け2!$1:$1,0)-1)-2)
&amp;OFFSET(貼り付け2!$A$1,$A28-2,OFFSET(貼り付け2!$A$1,ROW()-1,MATCH(S$1,貼り付け2!$1:$1,0)-1)-1),
IF((OFFSET(貼り付け2!$A$1,ROW()-1,MATCH(S$1,貼り付け2!$1:$1,0)-1)-OFFSET(貼り付け2!$A$1,ROW()-1,MATCH(N$1,貼り付け2!$1:$1,0)-1))=3,
OFFSET(貼り付け2!$A$1,$A28-2,OFFSET(貼り付け2!$A$1,ROW()-1,MATCH(S$1,貼り付け2!$1:$1,0)-1)-3)
&amp;OFFSET(貼り付け2!$A$1,$A28-2,OFFSET(貼り付け2!$A$1,ROW()-1,MATCH(S$1,貼り付け2!$1:$1,0)-1)-2)
&amp;OFFSET(貼り付け2!$A$1,$A28-2,OFFSET(貼り付け2!$A$1,ROW()-1,MATCH(S$1,貼り付け2!$1:$1,0)-1)-1),""))),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OFFSET(貼り付け2!$A$1,$A28-3,OFFSET(貼り付け2!$A$1,ROW()-1,MATCH(S$1,貼り付け2!$1:$1,0)+1)-2)
&amp;OFFSET(貼り付け2!$A$1,$A28-3,OFFSET(貼り付け2!$A$1,ROW()-1,MATCH(S$1,貼り付け2!$1:$1,0)+1)-1),
IF(OFFSET(貼り付け2!$A$1,ROW()-1,MATCH(S$1,貼り付け2!$1:$1,0)+1)-OFFSET(貼り付け2!$A$1,ROW()-1,MATCH(N$1,貼り付け2!$1:$1,0)+1)=3,
OFFSET(貼り付け2!$A$1,$A28-3,OFFSET(貼り付け2!$A$1,ROW()-1,MATCH(S$1,貼り付け2!$1:$1,0)+1)-3)
&amp;OFFSET(貼り付け2!$A$1,$A28-3,OFFSET(貼り付け2!$A$1,ROW()-1,MATCH(S$1,貼り付け2!$1:$1,0)+1)-2)
&amp;OFFSET(貼り付け2!$A$1,$A28-3,OFFSET(貼り付け2!$A$1,ROW()-1,MATCH(S$1,貼り付け2!$1:$1,0)+1)-1),"")),
IF(OFFSET(貼り付け2!$A$1,ROW()-1,MATCH(S$1,貼り付け2!$1:$1,0)+1)=2,
OFFSET(貼り付け2!$A$1,$A28-3,OFFSET(貼り付け2!$A$1,ROW()-1,MATCH(S$1,貼り付け2!$1:$1,0)+1)-2)
&amp;OFFSET(貼り付け2!$A$1,$A28-3,OFFSET(貼り付け2!$A$1,ROW()-1,MATCH(S$1,貼り付け2!$1:$1,0)+1)-1),
IF(OFFSET(貼り付け2!$A$1,ROW()-1,MATCH(S$1,貼り付け2!$1:$1,0)+1)=3,
OFFSET(貼り付け2!$A$1,$A28-3,OFFSET(貼り付け2!$A$1,ROW()-1,MATCH(S$1,貼り付け2!$1:$1,0)+1)-3)
&amp;OFFSET(貼り付け2!$A$1,$A28-3,OFFSET(貼り付け2!$A$1,ROW()-1,MATCH(S$1,貼り付け2!$1:$1,0)+1)-2)
&amp;OFFSET(貼り付け2!$A$1,$A28-3,OFFSET(貼り付け2!$A$1,ROW()-1,MATCH(S$1,貼り付け2!$1:$1,0)+1)-1),""))))</f>
        <v/>
      </c>
      <c r="T28" t="str">
        <f ca="1">IFERROR(OFFSET(貼り付け2!$A$1,$A28-1,OFFSET(貼り付け2!$A$1,ROW()-1,MATCH(T$1,貼り付け2!$1:$1,0)-1)-1),"")</f>
        <v/>
      </c>
      <c r="U28" t="e">
        <f ca="1">OFFSET(貼り付け1!$A$1,貼り付け1!$G27-1,3)</f>
        <v>#REF!</v>
      </c>
      <c r="V28" t="e">
        <f ca="1">OFFSET(貼り付け1!$A$1,貼り付け1!$F27-1,3)</f>
        <v>#REF!</v>
      </c>
      <c r="W28" t="str">
        <f ca="1">IFERROR(OFFSET(貼り付け2!$A$1,まとめ!$B28-1,OFFSET(貼り付け2!$A$1,ROW()-1,MATCH(W$1,貼り付け2!$1:$1,0)-1)-1),"")</f>
        <v/>
      </c>
    </row>
    <row r="29" spans="1:23" x14ac:dyDescent="0.45">
      <c r="A29" t="str">
        <f>貼り付け2!S29</f>
        <v/>
      </c>
      <c r="B29" t="str">
        <f>貼り付け2!R29</f>
        <v/>
      </c>
      <c r="C29" t="e">
        <f t="shared" ca="1" si="1"/>
        <v>#VALUE!</v>
      </c>
      <c r="D29" t="str">
        <f ca="1">IF(OFFSET(貼り付け2!$A$1,ROW()-1,MATCH(D$1,貼り付け2!$1:$1,0)-1)=2,
OFFSET(貼り付け2!$A$1,A29-2,OFFSET(貼り付け2!$A$1,ROW()-1,MATCH(D$1,貼り付け2!$1:$1,0)-1)-2)
&amp;OFFSET(貼り付け2!$A$1,A29-2,OFFSET(貼り付け2!$A$1,ROW()-1,MATCH(D$1,貼り付け2!$1:$1,0)-1)-1),
IF(OFFSET(貼り付け2!$A$1,ROW()-1,MATCH(D$1,貼り付け2!$1:$1,0)-1)=3,
OFFSET(貼り付け2!$A$1,A29-2,OFFSET(貼り付け2!$A$1,ROW()-1,MATCH(D$1,貼り付け2!$1:$1,0)-1)-3)
&amp;OFFSET(貼り付け2!$A$1,A29-2,OFFSET(貼り付け2!$A$1,ROW()-1,MATCH(D$1,貼り付け2!$1:$1,0)-1)-2)
&amp;OFFSET(貼り付け2!$A$1,A29-2,OFFSET(貼り付け2!$A$1,ROW()-1,MATCH(D$1,貼り付け2!$1:$1,0)-1)-1),""))</f>
        <v/>
      </c>
      <c r="E29" t="str">
        <f ca="1">IF(OFFSET(貼り付け2!$A$1,ROW()-1,MATCH(E$1,貼り付け2!$1:$1,0)-1)=2,
OFFSET(貼り付け2!$A$1,$A29-1,OFFSET(貼り付け2!$A$1,ROW()-1,MATCH(E$1,貼り付け2!$1:$1,0)-1)-2)&amp;"・"&amp;OFFSET(貼り付け2!$A$1,$A29-1,OFFSET(貼り付け2!$A$1,ROW()-1,MATCH(E$1,貼り付け2!$1:$1,0)-1)-1),
IF(OFFSET(貼り付け2!$A$1,ROW()-1,MATCH(E$1,貼り付け2!$1:$1,0)-1)=1,
OFFSET(貼り付け2!$A$1,$A29-1,OFFSET(貼り付け2!$A$1,ROW()-1,MATCH(E$1,貼り付け2!$1:$1,0)-1)-1),""))</f>
        <v/>
      </c>
      <c r="F29" t="e">
        <f ca="1">OFFSET(貼り付け1!$A$1,貼り付け1!$G28-1,0)</f>
        <v>#REF!</v>
      </c>
      <c r="G29" t="e">
        <f ca="1">OFFSET(貼り付け1!$A$1,貼り付け1!$F28-1,0)</f>
        <v>#REF!</v>
      </c>
      <c r="H29" t="str">
        <f ca="1">IFERROR(OFFSET(貼り付け2!$A$1,まとめ!$B29-1,OFFSET(貼り付け2!$A$1,ROW()-1,MATCH(H$1,貼り付け2!$1:$1,0)-1)-1),"")</f>
        <v/>
      </c>
      <c r="I29" t="e">
        <f ca="1">IF((OFFSET(貼り付け2!$A$1,ROW()-1,MATCH(I$1,貼り付け2!$1:$1,0)-1)-OFFSET(貼り付け2!$A$1,ROW()-1,MATCH(D$1,貼り付け2!$1:$1,0)-1))=2,
OFFSET(貼り付け2!$A$1,$A29-2,OFFSET(貼り付け2!$A$1,ROW()-1,MATCH(I$1,貼り付け2!$1:$1,0)-1)-2)
&amp;OFFSET(貼り付け2!$A$1,$A29-2,OFFSET(貼り付け2!$A$1,ROW()-1,MATCH(I$1,貼り付け2!$1:$1,0)-1)-1),
IF((OFFSET(貼り付け2!$A$1,ROW()-1,MATCH(I$1,貼り付け2!$1:$1,0)-1)-OFFSET(貼り付け2!$A$1,ROW()-1,MATCH(D$1,貼り付け2!$1:$1,0)-1))=3,
OFFSET(貼り付け2!$A$1,$A29-2,OFFSET(貼り付け2!$A$1,ROW()-1,MATCH(I$1,貼り付け2!$1:$1,0)-1)-3)
&amp;OFFSET(貼り付け2!$A$1,$A29-2,OFFSET(貼り付け2!$A$1,ROW()-1,MATCH(I$1,貼り付け2!$1:$1,0)-1)-2)
&amp;OFFSET(貼り付け2!$A$1,$A29-2,OFFSET(貼り付け2!$A$1,ROW()-1,MATCH(I$1,貼り付け2!$1:$1,0)-1)-1),""))</f>
        <v>#VALUE!</v>
      </c>
      <c r="J29" t="str">
        <f ca="1">IFERROR(OFFSET(貼り付け2!$A$1,$A29-1,OFFSET(貼り付け2!$A$1,ROW()-1,MATCH(J$1,貼り付け2!$1:$1,0)-1)-1),"")</f>
        <v/>
      </c>
      <c r="K29" t="e">
        <f ca="1">OFFSET(貼り付け1!$A$1,貼り付け1!$G28-1,1)</f>
        <v>#REF!</v>
      </c>
      <c r="L29" t="e">
        <f ca="1">OFFSET(貼り付け1!$A$1,貼り付け1!$F28-1,1)</f>
        <v>#REF!</v>
      </c>
      <c r="M29" t="str">
        <f ca="1">IFERROR(OFFSET(貼り付け2!$A$1,まとめ!$B29-1,OFFSET(貼り付け2!$A$1,ROW()-1,MATCH(M$1,貼り付け2!$1:$1,0)-1)-1),"")</f>
        <v/>
      </c>
      <c r="N29" t="str">
        <f ca="1">IF(OFFSET(貼り付け2!$A$1,ROW()-1,MATCH(N$1,貼り付け2!$1:$1,0)-1)&lt;&gt;"",
IF($C29=TRUE,
IF((OFFSET(貼り付け2!$A$1,ROW()-1,MATCH(N$1,貼り付け2!$1:$1,0)-1)-OFFSET(貼り付け2!$A$1,ROW()-1,MATCH(I$1,貼り付け2!$1:$1,0)-1))=2,
OFFSET(貼り付け2!$A$1,$A29-4,OFFSET(貼り付け2!$A$1,ROW()-1,MATCH(N$1,貼り付け2!$1:$1,0)-1)-2)
&amp;OFFSET(貼り付け2!$A$1,$A29-4,OFFSET(貼り付け2!$A$1,ROW()-1,MATCH(N$1,貼り付け2!$1:$1,0)-1)-1),
IF((OFFSET(貼り付け2!$A$1,ROW()-1,MATCH(N$1,貼り付け2!$1:$1,0)-1)-OFFSET(貼り付け2!$A$1,ROW()-1,MATCH(I$1,貼り付け2!$1:$1,0)-1))=3,
OFFSET(貼り付け2!$A$1,$A29-4,OFFSET(貼り付け2!$A$1,ROW()-1,MATCH(N$1,貼り付け2!$1:$1,0)-1)-3)
&amp;OFFSET(貼り付け2!$A$1,$A29-4,OFFSET(貼り付け2!$A$1,ROW()-1,MATCH(N$1,貼り付け2!$1:$1,0)-1)-2)
&amp;OFFSET(貼り付け2!$A$1,$A29-4,OFFSET(貼り付け2!$A$1,ROW()-1,MATCH(N$1,貼り付け2!$1:$1,0)-1)-1),"")),
IF((OFFSET(貼り付け2!$A$1,ROW()-1,MATCH(N$1,貼り付け2!$1:$1,0)-1)-OFFSET(貼り付け2!$A$1,ROW()-1,MATCH(I$1,貼り付け2!$1:$1,0)-1))=2,
OFFSET(貼り付け2!$A$1,$A29-2,OFFSET(貼り付け2!$A$1,ROW()-1,MATCH(N$1,貼り付け2!$1:$1,0)-1)-2)
&amp;OFFSET(貼り付け2!$A$1,$A29-2,OFFSET(貼り付け2!$A$1,ROW()-1,MATCH(N$1,貼り付け2!$1:$1,0)-1)-1),
IF((OFFSET(貼り付け2!$A$1,ROW()-1,MATCH(N$1,貼り付け2!$1:$1,0)-1)-OFFSET(貼り付け2!$A$1,ROW()-1,MATCH(I$1,貼り付け2!$1:$1,0)-1))=3,
OFFSET(貼り付け2!$A$1,$A29-2,OFFSET(貼り付け2!$A$1,ROW()-1,MATCH(N$1,貼り付け2!$1:$1,0)-1)-3)
&amp;OFFSET(貼り付け2!$A$1,$A29-2,OFFSET(貼り付け2!$A$1,ROW()-1,MATCH(N$1,貼り付け2!$1:$1,0)-1)-2)
&amp;OFFSET(貼り付け2!$A$1,$A29-2,OFFSET(貼り付け2!$A$1,ROW()-1,MATCH(N$1,貼り付け2!$1:$1,0)-1)-1),""))),
IF(OFFSET(貼り付け2!$A$1,ROW()-1,MATCH(N$1,貼り付け2!$1:$1,0)+1)=2,
OFFSET(貼り付け2!$A$1,$A29-3,OFFSET(貼り付け2!$A$1,ROW()-1,MATCH(N$1,貼り付け2!$1:$1,0)+1)-2)
&amp;OFFSET(貼り付け2!$A$1,$A29-3,OFFSET(貼り付け2!$A$1,ROW()-1,MATCH(N$1,貼り付け2!$1:$1,0)+1)-1),
IF(OFFSET(貼り付け2!$A$1,ROW()-1,MATCH(N$1,貼り付け2!$1:$1,0)+1)=3,
OFFSET(貼り付け2!$A$1,$A29-3,OFFSET(貼り付け2!$A$1,ROW()-1,MATCH(N$1,貼り付け2!$1:$1,0)+1)-3)
&amp;OFFSET(貼り付け2!$A$1,$A29-3,OFFSET(貼り付け2!$A$1,ROW()-1,MATCH(N$1,貼り付け2!$1:$1,0)+1)-2)
&amp;OFFSET(貼り付け2!$A$1,$A29-3,OFFSET(貼り付け2!$A$1,ROW()-1,MATCH(N$1,貼り付け2!$1:$1,0)+1)-1),"")))</f>
        <v/>
      </c>
      <c r="O29" t="str">
        <f ca="1">IFERROR(OFFSET(貼り付け2!$A$1,$A29-1,OFFSET(貼り付け2!$A$1,ROW()-1,MATCH(O$1,貼り付け2!$1:$1,0)-1)-1),"")</f>
        <v/>
      </c>
      <c r="P29" t="e">
        <f ca="1">OFFSET(貼り付け1!$A$1,貼り付け1!$G28-1,2)</f>
        <v>#REF!</v>
      </c>
      <c r="Q29" t="e">
        <f ca="1">OFFSET(貼り付け1!$A$1,貼り付け1!$F28-1,2)</f>
        <v>#REF!</v>
      </c>
      <c r="R29" t="str">
        <f ca="1">IFERROR(OFFSET(貼り付け2!$A$1,まとめ!$B29-1,OFFSET(貼り付け2!$A$1,ROW()-1,MATCH(R$1,貼り付け2!$1:$1,0)-1)-1),"")</f>
        <v/>
      </c>
      <c r="S29" t="str">
        <f ca="1">IF(OFFSET(貼り付け2!$A$1,ROW()-1,MATCH(S$1,貼り付け2!$1:$1,0)-1)&lt;&gt;"",
IF($C29=TRUE,
IF((OFFSET(貼り付け2!$A$1,ROW()-1,MATCH(S$1,貼り付け2!$1:$1,0)-1)-OFFSET(貼り付け2!$A$1,ROW()-1,MATCH(N$1,貼り付け2!$1:$1,0)-1))=2,
OFFSET(貼り付け2!$A$1,$A29-4,OFFSET(貼り付け2!$A$1,ROW()-1,MATCH(S$1,貼り付け2!$1:$1,0)-1)-2)
&amp;OFFSET(貼り付け2!$A$1,$A29-4,OFFSET(貼り付け2!$A$1,ROW()-1,MATCH(S$1,貼り付け2!$1:$1,0)-1)-1),
IF((OFFSET(貼り付け2!$A$1,ROW()-1,MATCH(S$1,貼り付け2!$1:$1,0)-1)-OFFSET(貼り付け2!$A$1,ROW()-1,MATCH(N$1,貼り付け2!$1:$1,0)-1))=3,
OFFSET(貼り付け2!$A$1,$A29-4,OFFSET(貼り付け2!$A$1,ROW()-1,MATCH(S$1,貼り付け2!$1:$1,0)-1)-3)
&amp;OFFSET(貼り付け2!$A$1,$A29-4,OFFSET(貼り付け2!$A$1,ROW()-1,MATCH(S$1,貼り付け2!$1:$1,0)-1)-2)
&amp;OFFSET(貼り付け2!$A$1,$A29-4,OFFSET(貼り付け2!$A$1,ROW()-1,MATCH(S$1,貼り付け2!$1:$1,0)-1)-1),"")),
IF((OFFSET(貼り付け2!$A$1,ROW()-1,MATCH(S$1,貼り付け2!$1:$1,0)-1)-OFFSET(貼り付け2!$A$1,ROW()-1,MATCH(N$1,貼り付け2!$1:$1,0)-1))=2,
OFFSET(貼り付け2!$A$1,$A29-2,OFFSET(貼り付け2!$A$1,ROW()-1,MATCH(S$1,貼り付け2!$1:$1,0)-1)-2)
&amp;OFFSET(貼り付け2!$A$1,$A29-2,OFFSET(貼り付け2!$A$1,ROW()-1,MATCH(S$1,貼り付け2!$1:$1,0)-1)-1),
IF((OFFSET(貼り付け2!$A$1,ROW()-1,MATCH(S$1,貼り付け2!$1:$1,0)-1)-OFFSET(貼り付け2!$A$1,ROW()-1,MATCH(N$1,貼り付け2!$1:$1,0)-1))=3,
OFFSET(貼り付け2!$A$1,$A29-2,OFFSET(貼り付け2!$A$1,ROW()-1,MATCH(S$1,貼り付け2!$1:$1,0)-1)-3)
&amp;OFFSET(貼り付け2!$A$1,$A29-2,OFFSET(貼り付け2!$A$1,ROW()-1,MATCH(S$1,貼り付け2!$1:$1,0)-1)-2)
&amp;OFFSET(貼り付け2!$A$1,$A29-2,OFFSET(貼り付け2!$A$1,ROW()-1,MATCH(S$1,貼り付け2!$1:$1,0)-1)-1),""))),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OFFSET(貼り付け2!$A$1,$A29-3,OFFSET(貼り付け2!$A$1,ROW()-1,MATCH(S$1,貼り付け2!$1:$1,0)+1)-2)
&amp;OFFSET(貼り付け2!$A$1,$A29-3,OFFSET(貼り付け2!$A$1,ROW()-1,MATCH(S$1,貼り付け2!$1:$1,0)+1)-1),
IF(OFFSET(貼り付け2!$A$1,ROW()-1,MATCH(S$1,貼り付け2!$1:$1,0)+1)-OFFSET(貼り付け2!$A$1,ROW()-1,MATCH(N$1,貼り付け2!$1:$1,0)+1)=3,
OFFSET(貼り付け2!$A$1,$A29-3,OFFSET(貼り付け2!$A$1,ROW()-1,MATCH(S$1,貼り付け2!$1:$1,0)+1)-3)
&amp;OFFSET(貼り付け2!$A$1,$A29-3,OFFSET(貼り付け2!$A$1,ROW()-1,MATCH(S$1,貼り付け2!$1:$1,0)+1)-2)
&amp;OFFSET(貼り付け2!$A$1,$A29-3,OFFSET(貼り付け2!$A$1,ROW()-1,MATCH(S$1,貼り付け2!$1:$1,0)+1)-1),"")),
IF(OFFSET(貼り付け2!$A$1,ROW()-1,MATCH(S$1,貼り付け2!$1:$1,0)+1)=2,
OFFSET(貼り付け2!$A$1,$A29-3,OFFSET(貼り付け2!$A$1,ROW()-1,MATCH(S$1,貼り付け2!$1:$1,0)+1)-2)
&amp;OFFSET(貼り付け2!$A$1,$A29-3,OFFSET(貼り付け2!$A$1,ROW()-1,MATCH(S$1,貼り付け2!$1:$1,0)+1)-1),
IF(OFFSET(貼り付け2!$A$1,ROW()-1,MATCH(S$1,貼り付け2!$1:$1,0)+1)=3,
OFFSET(貼り付け2!$A$1,$A29-3,OFFSET(貼り付け2!$A$1,ROW()-1,MATCH(S$1,貼り付け2!$1:$1,0)+1)-3)
&amp;OFFSET(貼り付け2!$A$1,$A29-3,OFFSET(貼り付け2!$A$1,ROW()-1,MATCH(S$1,貼り付け2!$1:$1,0)+1)-2)
&amp;OFFSET(貼り付け2!$A$1,$A29-3,OFFSET(貼り付け2!$A$1,ROW()-1,MATCH(S$1,貼り付け2!$1:$1,0)+1)-1),""))))</f>
        <v/>
      </c>
      <c r="T29" t="str">
        <f ca="1">IFERROR(OFFSET(貼り付け2!$A$1,$A29-1,OFFSET(貼り付け2!$A$1,ROW()-1,MATCH(T$1,貼り付け2!$1:$1,0)-1)-1),"")</f>
        <v/>
      </c>
      <c r="U29" t="e">
        <f ca="1">OFFSET(貼り付け1!$A$1,貼り付け1!$G28-1,3)</f>
        <v>#REF!</v>
      </c>
      <c r="V29" t="e">
        <f ca="1">OFFSET(貼り付け1!$A$1,貼り付け1!$F28-1,3)</f>
        <v>#REF!</v>
      </c>
      <c r="W29" t="str">
        <f ca="1">IFERROR(OFFSET(貼り付け2!$A$1,まとめ!$B29-1,OFFSET(貼り付け2!$A$1,ROW()-1,MATCH(W$1,貼り付け2!$1:$1,0)-1)-1),"")</f>
        <v/>
      </c>
    </row>
    <row r="30" spans="1:23" x14ac:dyDescent="0.45">
      <c r="A30" t="str">
        <f>貼り付け2!S30</f>
        <v/>
      </c>
      <c r="B30" t="str">
        <f>貼り付け2!R30</f>
        <v/>
      </c>
      <c r="C30" t="e">
        <f t="shared" ca="1" si="1"/>
        <v>#VALUE!</v>
      </c>
      <c r="D30" t="str">
        <f ca="1">IF(OFFSET(貼り付け2!$A$1,ROW()-1,MATCH(D$1,貼り付け2!$1:$1,0)-1)=2,
OFFSET(貼り付け2!$A$1,A30-2,OFFSET(貼り付け2!$A$1,ROW()-1,MATCH(D$1,貼り付け2!$1:$1,0)-1)-2)
&amp;OFFSET(貼り付け2!$A$1,A30-2,OFFSET(貼り付け2!$A$1,ROW()-1,MATCH(D$1,貼り付け2!$1:$1,0)-1)-1),
IF(OFFSET(貼り付け2!$A$1,ROW()-1,MATCH(D$1,貼り付け2!$1:$1,0)-1)=3,
OFFSET(貼り付け2!$A$1,A30-2,OFFSET(貼り付け2!$A$1,ROW()-1,MATCH(D$1,貼り付け2!$1:$1,0)-1)-3)
&amp;OFFSET(貼り付け2!$A$1,A30-2,OFFSET(貼り付け2!$A$1,ROW()-1,MATCH(D$1,貼り付け2!$1:$1,0)-1)-2)
&amp;OFFSET(貼り付け2!$A$1,A30-2,OFFSET(貼り付け2!$A$1,ROW()-1,MATCH(D$1,貼り付け2!$1:$1,0)-1)-1),""))</f>
        <v/>
      </c>
      <c r="E30" t="str">
        <f ca="1">IF(OFFSET(貼り付け2!$A$1,ROW()-1,MATCH(E$1,貼り付け2!$1:$1,0)-1)=2,
OFFSET(貼り付け2!$A$1,$A30-1,OFFSET(貼り付け2!$A$1,ROW()-1,MATCH(E$1,貼り付け2!$1:$1,0)-1)-2)&amp;"・"&amp;OFFSET(貼り付け2!$A$1,$A30-1,OFFSET(貼り付け2!$A$1,ROW()-1,MATCH(E$1,貼り付け2!$1:$1,0)-1)-1),
IF(OFFSET(貼り付け2!$A$1,ROW()-1,MATCH(E$1,貼り付け2!$1:$1,0)-1)=1,
OFFSET(貼り付け2!$A$1,$A30-1,OFFSET(貼り付け2!$A$1,ROW()-1,MATCH(E$1,貼り付け2!$1:$1,0)-1)-1),""))</f>
        <v/>
      </c>
      <c r="F30" t="e">
        <f ca="1">OFFSET(貼り付け1!$A$1,貼り付け1!$G29-1,0)</f>
        <v>#REF!</v>
      </c>
      <c r="G30" t="e">
        <f ca="1">OFFSET(貼り付け1!$A$1,貼り付け1!$F29-1,0)</f>
        <v>#REF!</v>
      </c>
      <c r="H30" t="str">
        <f ca="1">IFERROR(OFFSET(貼り付け2!$A$1,まとめ!$B30-1,OFFSET(貼り付け2!$A$1,ROW()-1,MATCH(H$1,貼り付け2!$1:$1,0)-1)-1),"")</f>
        <v/>
      </c>
      <c r="I30" t="e">
        <f ca="1">IF((OFFSET(貼り付け2!$A$1,ROW()-1,MATCH(I$1,貼り付け2!$1:$1,0)-1)-OFFSET(貼り付け2!$A$1,ROW()-1,MATCH(D$1,貼り付け2!$1:$1,0)-1))=2,
OFFSET(貼り付け2!$A$1,$A30-2,OFFSET(貼り付け2!$A$1,ROW()-1,MATCH(I$1,貼り付け2!$1:$1,0)-1)-2)
&amp;OFFSET(貼り付け2!$A$1,$A30-2,OFFSET(貼り付け2!$A$1,ROW()-1,MATCH(I$1,貼り付け2!$1:$1,0)-1)-1),
IF((OFFSET(貼り付け2!$A$1,ROW()-1,MATCH(I$1,貼り付け2!$1:$1,0)-1)-OFFSET(貼り付け2!$A$1,ROW()-1,MATCH(D$1,貼り付け2!$1:$1,0)-1))=3,
OFFSET(貼り付け2!$A$1,$A30-2,OFFSET(貼り付け2!$A$1,ROW()-1,MATCH(I$1,貼り付け2!$1:$1,0)-1)-3)
&amp;OFFSET(貼り付け2!$A$1,$A30-2,OFFSET(貼り付け2!$A$1,ROW()-1,MATCH(I$1,貼り付け2!$1:$1,0)-1)-2)
&amp;OFFSET(貼り付け2!$A$1,$A30-2,OFFSET(貼り付け2!$A$1,ROW()-1,MATCH(I$1,貼り付け2!$1:$1,0)-1)-1),""))</f>
        <v>#VALUE!</v>
      </c>
      <c r="J30" t="str">
        <f ca="1">IFERROR(OFFSET(貼り付け2!$A$1,$A30-1,OFFSET(貼り付け2!$A$1,ROW()-1,MATCH(J$1,貼り付け2!$1:$1,0)-1)-1),"")</f>
        <v/>
      </c>
      <c r="K30" t="e">
        <f ca="1">OFFSET(貼り付け1!$A$1,貼り付け1!$G29-1,1)</f>
        <v>#REF!</v>
      </c>
      <c r="L30" t="e">
        <f ca="1">OFFSET(貼り付け1!$A$1,貼り付け1!$F29-1,1)</f>
        <v>#REF!</v>
      </c>
      <c r="M30" t="str">
        <f ca="1">IFERROR(OFFSET(貼り付け2!$A$1,まとめ!$B30-1,OFFSET(貼り付け2!$A$1,ROW()-1,MATCH(M$1,貼り付け2!$1:$1,0)-1)-1),"")</f>
        <v/>
      </c>
      <c r="N30" t="str">
        <f ca="1">IF(OFFSET(貼り付け2!$A$1,ROW()-1,MATCH(N$1,貼り付け2!$1:$1,0)-1)&lt;&gt;"",
IF($C30=TRUE,
IF((OFFSET(貼り付け2!$A$1,ROW()-1,MATCH(N$1,貼り付け2!$1:$1,0)-1)-OFFSET(貼り付け2!$A$1,ROW()-1,MATCH(I$1,貼り付け2!$1:$1,0)-1))=2,
OFFSET(貼り付け2!$A$1,$A30-4,OFFSET(貼り付け2!$A$1,ROW()-1,MATCH(N$1,貼り付け2!$1:$1,0)-1)-2)
&amp;OFFSET(貼り付け2!$A$1,$A30-4,OFFSET(貼り付け2!$A$1,ROW()-1,MATCH(N$1,貼り付け2!$1:$1,0)-1)-1),
IF((OFFSET(貼り付け2!$A$1,ROW()-1,MATCH(N$1,貼り付け2!$1:$1,0)-1)-OFFSET(貼り付け2!$A$1,ROW()-1,MATCH(I$1,貼り付け2!$1:$1,0)-1))=3,
OFFSET(貼り付け2!$A$1,$A30-4,OFFSET(貼り付け2!$A$1,ROW()-1,MATCH(N$1,貼り付け2!$1:$1,0)-1)-3)
&amp;OFFSET(貼り付け2!$A$1,$A30-4,OFFSET(貼り付け2!$A$1,ROW()-1,MATCH(N$1,貼り付け2!$1:$1,0)-1)-2)
&amp;OFFSET(貼り付け2!$A$1,$A30-4,OFFSET(貼り付け2!$A$1,ROW()-1,MATCH(N$1,貼り付け2!$1:$1,0)-1)-1),"")),
IF((OFFSET(貼り付け2!$A$1,ROW()-1,MATCH(N$1,貼り付け2!$1:$1,0)-1)-OFFSET(貼り付け2!$A$1,ROW()-1,MATCH(I$1,貼り付け2!$1:$1,0)-1))=2,
OFFSET(貼り付け2!$A$1,$A30-2,OFFSET(貼り付け2!$A$1,ROW()-1,MATCH(N$1,貼り付け2!$1:$1,0)-1)-2)
&amp;OFFSET(貼り付け2!$A$1,$A30-2,OFFSET(貼り付け2!$A$1,ROW()-1,MATCH(N$1,貼り付け2!$1:$1,0)-1)-1),
IF((OFFSET(貼り付け2!$A$1,ROW()-1,MATCH(N$1,貼り付け2!$1:$1,0)-1)-OFFSET(貼り付け2!$A$1,ROW()-1,MATCH(I$1,貼り付け2!$1:$1,0)-1))=3,
OFFSET(貼り付け2!$A$1,$A30-2,OFFSET(貼り付け2!$A$1,ROW()-1,MATCH(N$1,貼り付け2!$1:$1,0)-1)-3)
&amp;OFFSET(貼り付け2!$A$1,$A30-2,OFFSET(貼り付け2!$A$1,ROW()-1,MATCH(N$1,貼り付け2!$1:$1,0)-1)-2)
&amp;OFFSET(貼り付け2!$A$1,$A30-2,OFFSET(貼り付け2!$A$1,ROW()-1,MATCH(N$1,貼り付け2!$1:$1,0)-1)-1),""))),
IF(OFFSET(貼り付け2!$A$1,ROW()-1,MATCH(N$1,貼り付け2!$1:$1,0)+1)=2,
OFFSET(貼り付け2!$A$1,$A30-3,OFFSET(貼り付け2!$A$1,ROW()-1,MATCH(N$1,貼り付け2!$1:$1,0)+1)-2)
&amp;OFFSET(貼り付け2!$A$1,$A30-3,OFFSET(貼り付け2!$A$1,ROW()-1,MATCH(N$1,貼り付け2!$1:$1,0)+1)-1),
IF(OFFSET(貼り付け2!$A$1,ROW()-1,MATCH(N$1,貼り付け2!$1:$1,0)+1)=3,
OFFSET(貼り付け2!$A$1,$A30-3,OFFSET(貼り付け2!$A$1,ROW()-1,MATCH(N$1,貼り付け2!$1:$1,0)+1)-3)
&amp;OFFSET(貼り付け2!$A$1,$A30-3,OFFSET(貼り付け2!$A$1,ROW()-1,MATCH(N$1,貼り付け2!$1:$1,0)+1)-2)
&amp;OFFSET(貼り付け2!$A$1,$A30-3,OFFSET(貼り付け2!$A$1,ROW()-1,MATCH(N$1,貼り付け2!$1:$1,0)+1)-1),"")))</f>
        <v/>
      </c>
      <c r="O30" t="str">
        <f ca="1">IFERROR(OFFSET(貼り付け2!$A$1,$A30-1,OFFSET(貼り付け2!$A$1,ROW()-1,MATCH(O$1,貼り付け2!$1:$1,0)-1)-1),"")</f>
        <v/>
      </c>
      <c r="P30" t="e">
        <f ca="1">OFFSET(貼り付け1!$A$1,貼り付け1!$G29-1,2)</f>
        <v>#REF!</v>
      </c>
      <c r="Q30" t="e">
        <f ca="1">OFFSET(貼り付け1!$A$1,貼り付け1!$F29-1,2)</f>
        <v>#REF!</v>
      </c>
      <c r="R30" t="str">
        <f ca="1">IFERROR(OFFSET(貼り付け2!$A$1,まとめ!$B30-1,OFFSET(貼り付け2!$A$1,ROW()-1,MATCH(R$1,貼り付け2!$1:$1,0)-1)-1),"")</f>
        <v/>
      </c>
      <c r="S30" t="str">
        <f ca="1">IF(OFFSET(貼り付け2!$A$1,ROW()-1,MATCH(S$1,貼り付け2!$1:$1,0)-1)&lt;&gt;"",
IF($C30=TRUE,
IF((OFFSET(貼り付け2!$A$1,ROW()-1,MATCH(S$1,貼り付け2!$1:$1,0)-1)-OFFSET(貼り付け2!$A$1,ROW()-1,MATCH(N$1,貼り付け2!$1:$1,0)-1))=2,
OFFSET(貼り付け2!$A$1,$A30-4,OFFSET(貼り付け2!$A$1,ROW()-1,MATCH(S$1,貼り付け2!$1:$1,0)-1)-2)
&amp;OFFSET(貼り付け2!$A$1,$A30-4,OFFSET(貼り付け2!$A$1,ROW()-1,MATCH(S$1,貼り付け2!$1:$1,0)-1)-1),
IF((OFFSET(貼り付け2!$A$1,ROW()-1,MATCH(S$1,貼り付け2!$1:$1,0)-1)-OFFSET(貼り付け2!$A$1,ROW()-1,MATCH(N$1,貼り付け2!$1:$1,0)-1))=3,
OFFSET(貼り付け2!$A$1,$A30-4,OFFSET(貼り付け2!$A$1,ROW()-1,MATCH(S$1,貼り付け2!$1:$1,0)-1)-3)
&amp;OFFSET(貼り付け2!$A$1,$A30-4,OFFSET(貼り付け2!$A$1,ROW()-1,MATCH(S$1,貼り付け2!$1:$1,0)-1)-2)
&amp;OFFSET(貼り付け2!$A$1,$A30-4,OFFSET(貼り付け2!$A$1,ROW()-1,MATCH(S$1,貼り付け2!$1:$1,0)-1)-1),"")),
IF((OFFSET(貼り付け2!$A$1,ROW()-1,MATCH(S$1,貼り付け2!$1:$1,0)-1)-OFFSET(貼り付け2!$A$1,ROW()-1,MATCH(N$1,貼り付け2!$1:$1,0)-1))=2,
OFFSET(貼り付け2!$A$1,$A30-2,OFFSET(貼り付け2!$A$1,ROW()-1,MATCH(S$1,貼り付け2!$1:$1,0)-1)-2)
&amp;OFFSET(貼り付け2!$A$1,$A30-2,OFFSET(貼り付け2!$A$1,ROW()-1,MATCH(S$1,貼り付け2!$1:$1,0)-1)-1),
IF((OFFSET(貼り付け2!$A$1,ROW()-1,MATCH(S$1,貼り付け2!$1:$1,0)-1)-OFFSET(貼り付け2!$A$1,ROW()-1,MATCH(N$1,貼り付け2!$1:$1,0)-1))=3,
OFFSET(貼り付け2!$A$1,$A30-2,OFFSET(貼り付け2!$A$1,ROW()-1,MATCH(S$1,貼り付け2!$1:$1,0)-1)-3)
&amp;OFFSET(貼り付け2!$A$1,$A30-2,OFFSET(貼り付け2!$A$1,ROW()-1,MATCH(S$1,貼り付け2!$1:$1,0)-1)-2)
&amp;OFFSET(貼り付け2!$A$1,$A30-2,OFFSET(貼り付け2!$A$1,ROW()-1,MATCH(S$1,貼り付け2!$1:$1,0)-1)-1),""))),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OFFSET(貼り付け2!$A$1,$A30-3,OFFSET(貼り付け2!$A$1,ROW()-1,MATCH(S$1,貼り付け2!$1:$1,0)+1)-2)
&amp;OFFSET(貼り付け2!$A$1,$A30-3,OFFSET(貼り付け2!$A$1,ROW()-1,MATCH(S$1,貼り付け2!$1:$1,0)+1)-1),
IF(OFFSET(貼り付け2!$A$1,ROW()-1,MATCH(S$1,貼り付け2!$1:$1,0)+1)-OFFSET(貼り付け2!$A$1,ROW()-1,MATCH(N$1,貼り付け2!$1:$1,0)+1)=3,
OFFSET(貼り付け2!$A$1,$A30-3,OFFSET(貼り付け2!$A$1,ROW()-1,MATCH(S$1,貼り付け2!$1:$1,0)+1)-3)
&amp;OFFSET(貼り付け2!$A$1,$A30-3,OFFSET(貼り付け2!$A$1,ROW()-1,MATCH(S$1,貼り付け2!$1:$1,0)+1)-2)
&amp;OFFSET(貼り付け2!$A$1,$A30-3,OFFSET(貼り付け2!$A$1,ROW()-1,MATCH(S$1,貼り付け2!$1:$1,0)+1)-1),"")),
IF(OFFSET(貼り付け2!$A$1,ROW()-1,MATCH(S$1,貼り付け2!$1:$1,0)+1)=2,
OFFSET(貼り付け2!$A$1,$A30-3,OFFSET(貼り付け2!$A$1,ROW()-1,MATCH(S$1,貼り付け2!$1:$1,0)+1)-2)
&amp;OFFSET(貼り付け2!$A$1,$A30-3,OFFSET(貼り付け2!$A$1,ROW()-1,MATCH(S$1,貼り付け2!$1:$1,0)+1)-1),
IF(OFFSET(貼り付け2!$A$1,ROW()-1,MATCH(S$1,貼り付け2!$1:$1,0)+1)=3,
OFFSET(貼り付け2!$A$1,$A30-3,OFFSET(貼り付け2!$A$1,ROW()-1,MATCH(S$1,貼り付け2!$1:$1,0)+1)-3)
&amp;OFFSET(貼り付け2!$A$1,$A30-3,OFFSET(貼り付け2!$A$1,ROW()-1,MATCH(S$1,貼り付け2!$1:$1,0)+1)-2)
&amp;OFFSET(貼り付け2!$A$1,$A30-3,OFFSET(貼り付け2!$A$1,ROW()-1,MATCH(S$1,貼り付け2!$1:$1,0)+1)-1),""))))</f>
        <v/>
      </c>
      <c r="T30" t="str">
        <f ca="1">IFERROR(OFFSET(貼り付け2!$A$1,$A30-1,OFFSET(貼り付け2!$A$1,ROW()-1,MATCH(T$1,貼り付け2!$1:$1,0)-1)-1),"")</f>
        <v/>
      </c>
      <c r="U30" t="e">
        <f ca="1">OFFSET(貼り付け1!$A$1,貼り付け1!$G29-1,3)</f>
        <v>#REF!</v>
      </c>
      <c r="V30" t="e">
        <f ca="1">OFFSET(貼り付け1!$A$1,貼り付け1!$F29-1,3)</f>
        <v>#REF!</v>
      </c>
      <c r="W30" t="str">
        <f ca="1">IFERROR(OFFSET(貼り付け2!$A$1,まとめ!$B30-1,OFFSET(貼り付け2!$A$1,ROW()-1,MATCH(W$1,貼り付け2!$1:$1,0)-1)-1),"")</f>
        <v/>
      </c>
    </row>
    <row r="31" spans="1:23" x14ac:dyDescent="0.45">
      <c r="A31" t="str">
        <f>貼り付け2!S31</f>
        <v/>
      </c>
      <c r="B31" t="str">
        <f>貼り付け2!R31</f>
        <v/>
      </c>
      <c r="C31" t="e">
        <f t="shared" ca="1" si="1"/>
        <v>#VALUE!</v>
      </c>
      <c r="D31" t="str">
        <f ca="1">IF(OFFSET(貼り付け2!$A$1,ROW()-1,MATCH(D$1,貼り付け2!$1:$1,0)-1)=2,
OFFSET(貼り付け2!$A$1,A31-2,OFFSET(貼り付け2!$A$1,ROW()-1,MATCH(D$1,貼り付け2!$1:$1,0)-1)-2)
&amp;OFFSET(貼り付け2!$A$1,A31-2,OFFSET(貼り付け2!$A$1,ROW()-1,MATCH(D$1,貼り付け2!$1:$1,0)-1)-1),
IF(OFFSET(貼り付け2!$A$1,ROW()-1,MATCH(D$1,貼り付け2!$1:$1,0)-1)=3,
OFFSET(貼り付け2!$A$1,A31-2,OFFSET(貼り付け2!$A$1,ROW()-1,MATCH(D$1,貼り付け2!$1:$1,0)-1)-3)
&amp;OFFSET(貼り付け2!$A$1,A31-2,OFFSET(貼り付け2!$A$1,ROW()-1,MATCH(D$1,貼り付け2!$1:$1,0)-1)-2)
&amp;OFFSET(貼り付け2!$A$1,A31-2,OFFSET(貼り付け2!$A$1,ROW()-1,MATCH(D$1,貼り付け2!$1:$1,0)-1)-1),""))</f>
        <v/>
      </c>
      <c r="E31" t="str">
        <f ca="1">IF(OFFSET(貼り付け2!$A$1,ROW()-1,MATCH(E$1,貼り付け2!$1:$1,0)-1)=2,
OFFSET(貼り付け2!$A$1,$A31-1,OFFSET(貼り付け2!$A$1,ROW()-1,MATCH(E$1,貼り付け2!$1:$1,0)-1)-2)&amp;"・"&amp;OFFSET(貼り付け2!$A$1,$A31-1,OFFSET(貼り付け2!$A$1,ROW()-1,MATCH(E$1,貼り付け2!$1:$1,0)-1)-1),
IF(OFFSET(貼り付け2!$A$1,ROW()-1,MATCH(E$1,貼り付け2!$1:$1,0)-1)=1,
OFFSET(貼り付け2!$A$1,$A31-1,OFFSET(貼り付け2!$A$1,ROW()-1,MATCH(E$1,貼り付け2!$1:$1,0)-1)-1),""))</f>
        <v/>
      </c>
      <c r="F31" t="e">
        <f ca="1">OFFSET(貼り付け1!$A$1,貼り付け1!$G30-1,0)</f>
        <v>#REF!</v>
      </c>
      <c r="G31" t="e">
        <f ca="1">OFFSET(貼り付け1!$A$1,貼り付け1!$F30-1,0)</f>
        <v>#REF!</v>
      </c>
      <c r="H31" t="str">
        <f ca="1">IFERROR(OFFSET(貼り付け2!$A$1,まとめ!$B31-1,OFFSET(貼り付け2!$A$1,ROW()-1,MATCH(H$1,貼り付け2!$1:$1,0)-1)-1),"")</f>
        <v/>
      </c>
      <c r="I31" t="e">
        <f ca="1">IF((OFFSET(貼り付け2!$A$1,ROW()-1,MATCH(I$1,貼り付け2!$1:$1,0)-1)-OFFSET(貼り付け2!$A$1,ROW()-1,MATCH(D$1,貼り付け2!$1:$1,0)-1))=2,
OFFSET(貼り付け2!$A$1,$A31-2,OFFSET(貼り付け2!$A$1,ROW()-1,MATCH(I$1,貼り付け2!$1:$1,0)-1)-2)
&amp;OFFSET(貼り付け2!$A$1,$A31-2,OFFSET(貼り付け2!$A$1,ROW()-1,MATCH(I$1,貼り付け2!$1:$1,0)-1)-1),
IF((OFFSET(貼り付け2!$A$1,ROW()-1,MATCH(I$1,貼り付け2!$1:$1,0)-1)-OFFSET(貼り付け2!$A$1,ROW()-1,MATCH(D$1,貼り付け2!$1:$1,0)-1))=3,
OFFSET(貼り付け2!$A$1,$A31-2,OFFSET(貼り付け2!$A$1,ROW()-1,MATCH(I$1,貼り付け2!$1:$1,0)-1)-3)
&amp;OFFSET(貼り付け2!$A$1,$A31-2,OFFSET(貼り付け2!$A$1,ROW()-1,MATCH(I$1,貼り付け2!$1:$1,0)-1)-2)
&amp;OFFSET(貼り付け2!$A$1,$A31-2,OFFSET(貼り付け2!$A$1,ROW()-1,MATCH(I$1,貼り付け2!$1:$1,0)-1)-1),""))</f>
        <v>#VALUE!</v>
      </c>
      <c r="J31" t="str">
        <f ca="1">IFERROR(OFFSET(貼り付け2!$A$1,$A31-1,OFFSET(貼り付け2!$A$1,ROW()-1,MATCH(J$1,貼り付け2!$1:$1,0)-1)-1),"")</f>
        <v/>
      </c>
      <c r="K31" t="e">
        <f ca="1">OFFSET(貼り付け1!$A$1,貼り付け1!$G30-1,1)</f>
        <v>#REF!</v>
      </c>
      <c r="L31" t="e">
        <f ca="1">OFFSET(貼り付け1!$A$1,貼り付け1!$F30-1,1)</f>
        <v>#REF!</v>
      </c>
      <c r="M31" t="str">
        <f ca="1">IFERROR(OFFSET(貼り付け2!$A$1,まとめ!$B31-1,OFFSET(貼り付け2!$A$1,ROW()-1,MATCH(M$1,貼り付け2!$1:$1,0)-1)-1),"")</f>
        <v/>
      </c>
      <c r="N31" t="str">
        <f ca="1">IF(OFFSET(貼り付け2!$A$1,ROW()-1,MATCH(N$1,貼り付け2!$1:$1,0)-1)&lt;&gt;"",
IF($C31=TRUE,
IF((OFFSET(貼り付け2!$A$1,ROW()-1,MATCH(N$1,貼り付け2!$1:$1,0)-1)-OFFSET(貼り付け2!$A$1,ROW()-1,MATCH(I$1,貼り付け2!$1:$1,0)-1))=2,
OFFSET(貼り付け2!$A$1,$A31-4,OFFSET(貼り付け2!$A$1,ROW()-1,MATCH(N$1,貼り付け2!$1:$1,0)-1)-2)
&amp;OFFSET(貼り付け2!$A$1,$A31-4,OFFSET(貼り付け2!$A$1,ROW()-1,MATCH(N$1,貼り付け2!$1:$1,0)-1)-1),
IF((OFFSET(貼り付け2!$A$1,ROW()-1,MATCH(N$1,貼り付け2!$1:$1,0)-1)-OFFSET(貼り付け2!$A$1,ROW()-1,MATCH(I$1,貼り付け2!$1:$1,0)-1))=3,
OFFSET(貼り付け2!$A$1,$A31-4,OFFSET(貼り付け2!$A$1,ROW()-1,MATCH(N$1,貼り付け2!$1:$1,0)-1)-3)
&amp;OFFSET(貼り付け2!$A$1,$A31-4,OFFSET(貼り付け2!$A$1,ROW()-1,MATCH(N$1,貼り付け2!$1:$1,0)-1)-2)
&amp;OFFSET(貼り付け2!$A$1,$A31-4,OFFSET(貼り付け2!$A$1,ROW()-1,MATCH(N$1,貼り付け2!$1:$1,0)-1)-1),"")),
IF((OFFSET(貼り付け2!$A$1,ROW()-1,MATCH(N$1,貼り付け2!$1:$1,0)-1)-OFFSET(貼り付け2!$A$1,ROW()-1,MATCH(I$1,貼り付け2!$1:$1,0)-1))=2,
OFFSET(貼り付け2!$A$1,$A31-2,OFFSET(貼り付け2!$A$1,ROW()-1,MATCH(N$1,貼り付け2!$1:$1,0)-1)-2)
&amp;OFFSET(貼り付け2!$A$1,$A31-2,OFFSET(貼り付け2!$A$1,ROW()-1,MATCH(N$1,貼り付け2!$1:$1,0)-1)-1),
IF((OFFSET(貼り付け2!$A$1,ROW()-1,MATCH(N$1,貼り付け2!$1:$1,0)-1)-OFFSET(貼り付け2!$A$1,ROW()-1,MATCH(I$1,貼り付け2!$1:$1,0)-1))=3,
OFFSET(貼り付け2!$A$1,$A31-2,OFFSET(貼り付け2!$A$1,ROW()-1,MATCH(N$1,貼り付け2!$1:$1,0)-1)-3)
&amp;OFFSET(貼り付け2!$A$1,$A31-2,OFFSET(貼り付け2!$A$1,ROW()-1,MATCH(N$1,貼り付け2!$1:$1,0)-1)-2)
&amp;OFFSET(貼り付け2!$A$1,$A31-2,OFFSET(貼り付け2!$A$1,ROW()-1,MATCH(N$1,貼り付け2!$1:$1,0)-1)-1),""))),
IF(OFFSET(貼り付け2!$A$1,ROW()-1,MATCH(N$1,貼り付け2!$1:$1,0)+1)=2,
OFFSET(貼り付け2!$A$1,$A31-3,OFFSET(貼り付け2!$A$1,ROW()-1,MATCH(N$1,貼り付け2!$1:$1,0)+1)-2)
&amp;OFFSET(貼り付け2!$A$1,$A31-3,OFFSET(貼り付け2!$A$1,ROW()-1,MATCH(N$1,貼り付け2!$1:$1,0)+1)-1),
IF(OFFSET(貼り付け2!$A$1,ROW()-1,MATCH(N$1,貼り付け2!$1:$1,0)+1)=3,
OFFSET(貼り付け2!$A$1,$A31-3,OFFSET(貼り付け2!$A$1,ROW()-1,MATCH(N$1,貼り付け2!$1:$1,0)+1)-3)
&amp;OFFSET(貼り付け2!$A$1,$A31-3,OFFSET(貼り付け2!$A$1,ROW()-1,MATCH(N$1,貼り付け2!$1:$1,0)+1)-2)
&amp;OFFSET(貼り付け2!$A$1,$A31-3,OFFSET(貼り付け2!$A$1,ROW()-1,MATCH(N$1,貼り付け2!$1:$1,0)+1)-1),"")))</f>
        <v/>
      </c>
      <c r="O31" t="str">
        <f ca="1">IFERROR(OFFSET(貼り付け2!$A$1,$A31-1,OFFSET(貼り付け2!$A$1,ROW()-1,MATCH(O$1,貼り付け2!$1:$1,0)-1)-1),"")</f>
        <v/>
      </c>
      <c r="P31" t="e">
        <f ca="1">OFFSET(貼り付け1!$A$1,貼り付け1!$G30-1,2)</f>
        <v>#REF!</v>
      </c>
      <c r="Q31" t="e">
        <f ca="1">OFFSET(貼り付け1!$A$1,貼り付け1!$F30-1,2)</f>
        <v>#REF!</v>
      </c>
      <c r="R31" t="str">
        <f ca="1">IFERROR(OFFSET(貼り付け2!$A$1,まとめ!$B31-1,OFFSET(貼り付け2!$A$1,ROW()-1,MATCH(R$1,貼り付け2!$1:$1,0)-1)-1),"")</f>
        <v/>
      </c>
      <c r="S31" t="str">
        <f ca="1">IF(OFFSET(貼り付け2!$A$1,ROW()-1,MATCH(S$1,貼り付け2!$1:$1,0)-1)&lt;&gt;"",
IF($C31=TRUE,
IF((OFFSET(貼り付け2!$A$1,ROW()-1,MATCH(S$1,貼り付け2!$1:$1,0)-1)-OFFSET(貼り付け2!$A$1,ROW()-1,MATCH(N$1,貼り付け2!$1:$1,0)-1))=2,
OFFSET(貼り付け2!$A$1,$A31-4,OFFSET(貼り付け2!$A$1,ROW()-1,MATCH(S$1,貼り付け2!$1:$1,0)-1)-2)
&amp;OFFSET(貼り付け2!$A$1,$A31-4,OFFSET(貼り付け2!$A$1,ROW()-1,MATCH(S$1,貼り付け2!$1:$1,0)-1)-1),
IF((OFFSET(貼り付け2!$A$1,ROW()-1,MATCH(S$1,貼り付け2!$1:$1,0)-1)-OFFSET(貼り付け2!$A$1,ROW()-1,MATCH(N$1,貼り付け2!$1:$1,0)-1))=3,
OFFSET(貼り付け2!$A$1,$A31-4,OFFSET(貼り付け2!$A$1,ROW()-1,MATCH(S$1,貼り付け2!$1:$1,0)-1)-3)
&amp;OFFSET(貼り付け2!$A$1,$A31-4,OFFSET(貼り付け2!$A$1,ROW()-1,MATCH(S$1,貼り付け2!$1:$1,0)-1)-2)
&amp;OFFSET(貼り付け2!$A$1,$A31-4,OFFSET(貼り付け2!$A$1,ROW()-1,MATCH(S$1,貼り付け2!$1:$1,0)-1)-1),"")),
IF((OFFSET(貼り付け2!$A$1,ROW()-1,MATCH(S$1,貼り付け2!$1:$1,0)-1)-OFFSET(貼り付け2!$A$1,ROW()-1,MATCH(N$1,貼り付け2!$1:$1,0)-1))=2,
OFFSET(貼り付け2!$A$1,$A31-2,OFFSET(貼り付け2!$A$1,ROW()-1,MATCH(S$1,貼り付け2!$1:$1,0)-1)-2)
&amp;OFFSET(貼り付け2!$A$1,$A31-2,OFFSET(貼り付け2!$A$1,ROW()-1,MATCH(S$1,貼り付け2!$1:$1,0)-1)-1),
IF((OFFSET(貼り付け2!$A$1,ROW()-1,MATCH(S$1,貼り付け2!$1:$1,0)-1)-OFFSET(貼り付け2!$A$1,ROW()-1,MATCH(N$1,貼り付け2!$1:$1,0)-1))=3,
OFFSET(貼り付け2!$A$1,$A31-2,OFFSET(貼り付け2!$A$1,ROW()-1,MATCH(S$1,貼り付け2!$1:$1,0)-1)-3)
&amp;OFFSET(貼り付け2!$A$1,$A31-2,OFFSET(貼り付け2!$A$1,ROW()-1,MATCH(S$1,貼り付け2!$1:$1,0)-1)-2)
&amp;OFFSET(貼り付け2!$A$1,$A31-2,OFFSET(貼り付け2!$A$1,ROW()-1,MATCH(S$1,貼り付け2!$1:$1,0)-1)-1),""))),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OFFSET(貼り付け2!$A$1,$A31-3,OFFSET(貼り付け2!$A$1,ROW()-1,MATCH(S$1,貼り付け2!$1:$1,0)+1)-2)
&amp;OFFSET(貼り付け2!$A$1,$A31-3,OFFSET(貼り付け2!$A$1,ROW()-1,MATCH(S$1,貼り付け2!$1:$1,0)+1)-1),
IF(OFFSET(貼り付け2!$A$1,ROW()-1,MATCH(S$1,貼り付け2!$1:$1,0)+1)-OFFSET(貼り付け2!$A$1,ROW()-1,MATCH(N$1,貼り付け2!$1:$1,0)+1)=3,
OFFSET(貼り付け2!$A$1,$A31-3,OFFSET(貼り付け2!$A$1,ROW()-1,MATCH(S$1,貼り付け2!$1:$1,0)+1)-3)
&amp;OFFSET(貼り付け2!$A$1,$A31-3,OFFSET(貼り付け2!$A$1,ROW()-1,MATCH(S$1,貼り付け2!$1:$1,0)+1)-2)
&amp;OFFSET(貼り付け2!$A$1,$A31-3,OFFSET(貼り付け2!$A$1,ROW()-1,MATCH(S$1,貼り付け2!$1:$1,0)+1)-1),"")),
IF(OFFSET(貼り付け2!$A$1,ROW()-1,MATCH(S$1,貼り付け2!$1:$1,0)+1)=2,
OFFSET(貼り付け2!$A$1,$A31-3,OFFSET(貼り付け2!$A$1,ROW()-1,MATCH(S$1,貼り付け2!$1:$1,0)+1)-2)
&amp;OFFSET(貼り付け2!$A$1,$A31-3,OFFSET(貼り付け2!$A$1,ROW()-1,MATCH(S$1,貼り付け2!$1:$1,0)+1)-1),
IF(OFFSET(貼り付け2!$A$1,ROW()-1,MATCH(S$1,貼り付け2!$1:$1,0)+1)=3,
OFFSET(貼り付け2!$A$1,$A31-3,OFFSET(貼り付け2!$A$1,ROW()-1,MATCH(S$1,貼り付け2!$1:$1,0)+1)-3)
&amp;OFFSET(貼り付け2!$A$1,$A31-3,OFFSET(貼り付け2!$A$1,ROW()-1,MATCH(S$1,貼り付け2!$1:$1,0)+1)-2)
&amp;OFFSET(貼り付け2!$A$1,$A31-3,OFFSET(貼り付け2!$A$1,ROW()-1,MATCH(S$1,貼り付け2!$1:$1,0)+1)-1),""))))</f>
        <v/>
      </c>
      <c r="T31" t="str">
        <f ca="1">IFERROR(OFFSET(貼り付け2!$A$1,$A31-1,OFFSET(貼り付け2!$A$1,ROW()-1,MATCH(T$1,貼り付け2!$1:$1,0)-1)-1),"")</f>
        <v/>
      </c>
      <c r="U31" t="e">
        <f ca="1">OFFSET(貼り付け1!$A$1,貼り付け1!$G30-1,3)</f>
        <v>#REF!</v>
      </c>
      <c r="V31" t="e">
        <f ca="1">OFFSET(貼り付け1!$A$1,貼り付け1!$F30-1,3)</f>
        <v>#REF!</v>
      </c>
      <c r="W31" t="str">
        <f ca="1">IFERROR(OFFSET(貼り付け2!$A$1,まとめ!$B31-1,OFFSET(貼り付け2!$A$1,ROW()-1,MATCH(W$1,貼り付け2!$1:$1,0)-1)-1),"")</f>
        <v/>
      </c>
    </row>
    <row r="32" spans="1:23" x14ac:dyDescent="0.45">
      <c r="A32" t="str">
        <f>貼り付け2!S32</f>
        <v/>
      </c>
      <c r="B32" t="str">
        <f>貼り付け2!R32</f>
        <v/>
      </c>
      <c r="C32" t="e">
        <f t="shared" ca="1" si="1"/>
        <v>#VALUE!</v>
      </c>
      <c r="D32" t="str">
        <f ca="1">IF(OFFSET(貼り付け2!$A$1,ROW()-1,MATCH(D$1,貼り付け2!$1:$1,0)-1)=2,
OFFSET(貼り付け2!$A$1,A32-2,OFFSET(貼り付け2!$A$1,ROW()-1,MATCH(D$1,貼り付け2!$1:$1,0)-1)-2)
&amp;OFFSET(貼り付け2!$A$1,A32-2,OFFSET(貼り付け2!$A$1,ROW()-1,MATCH(D$1,貼り付け2!$1:$1,0)-1)-1),
IF(OFFSET(貼り付け2!$A$1,ROW()-1,MATCH(D$1,貼り付け2!$1:$1,0)-1)=3,
OFFSET(貼り付け2!$A$1,A32-2,OFFSET(貼り付け2!$A$1,ROW()-1,MATCH(D$1,貼り付け2!$1:$1,0)-1)-3)
&amp;OFFSET(貼り付け2!$A$1,A32-2,OFFSET(貼り付け2!$A$1,ROW()-1,MATCH(D$1,貼り付け2!$1:$1,0)-1)-2)
&amp;OFFSET(貼り付け2!$A$1,A32-2,OFFSET(貼り付け2!$A$1,ROW()-1,MATCH(D$1,貼り付け2!$1:$1,0)-1)-1),""))</f>
        <v/>
      </c>
      <c r="E32" t="str">
        <f ca="1">IF(OFFSET(貼り付け2!$A$1,ROW()-1,MATCH(E$1,貼り付け2!$1:$1,0)-1)=2,
OFFSET(貼り付け2!$A$1,$A32-1,OFFSET(貼り付け2!$A$1,ROW()-1,MATCH(E$1,貼り付け2!$1:$1,0)-1)-2)&amp;"・"&amp;OFFSET(貼り付け2!$A$1,$A32-1,OFFSET(貼り付け2!$A$1,ROW()-1,MATCH(E$1,貼り付け2!$1:$1,0)-1)-1),
IF(OFFSET(貼り付け2!$A$1,ROW()-1,MATCH(E$1,貼り付け2!$1:$1,0)-1)=1,
OFFSET(貼り付け2!$A$1,$A32-1,OFFSET(貼り付け2!$A$1,ROW()-1,MATCH(E$1,貼り付け2!$1:$1,0)-1)-1),""))</f>
        <v/>
      </c>
      <c r="F32" t="e">
        <f ca="1">OFFSET(貼り付け1!$A$1,貼り付け1!$G31-1,0)</f>
        <v>#REF!</v>
      </c>
      <c r="G32" t="e">
        <f ca="1">OFFSET(貼り付け1!$A$1,貼り付け1!$F31-1,0)</f>
        <v>#REF!</v>
      </c>
      <c r="H32" t="str">
        <f ca="1">IFERROR(OFFSET(貼り付け2!$A$1,まとめ!$B32-1,OFFSET(貼り付け2!$A$1,ROW()-1,MATCH(H$1,貼り付け2!$1:$1,0)-1)-1),"")</f>
        <v/>
      </c>
      <c r="I32" t="e">
        <f ca="1">IF((OFFSET(貼り付け2!$A$1,ROW()-1,MATCH(I$1,貼り付け2!$1:$1,0)-1)-OFFSET(貼り付け2!$A$1,ROW()-1,MATCH(D$1,貼り付け2!$1:$1,0)-1))=2,
OFFSET(貼り付け2!$A$1,$A32-2,OFFSET(貼り付け2!$A$1,ROW()-1,MATCH(I$1,貼り付け2!$1:$1,0)-1)-2)
&amp;OFFSET(貼り付け2!$A$1,$A32-2,OFFSET(貼り付け2!$A$1,ROW()-1,MATCH(I$1,貼り付け2!$1:$1,0)-1)-1),
IF((OFFSET(貼り付け2!$A$1,ROW()-1,MATCH(I$1,貼り付け2!$1:$1,0)-1)-OFFSET(貼り付け2!$A$1,ROW()-1,MATCH(D$1,貼り付け2!$1:$1,0)-1))=3,
OFFSET(貼り付け2!$A$1,$A32-2,OFFSET(貼り付け2!$A$1,ROW()-1,MATCH(I$1,貼り付け2!$1:$1,0)-1)-3)
&amp;OFFSET(貼り付け2!$A$1,$A32-2,OFFSET(貼り付け2!$A$1,ROW()-1,MATCH(I$1,貼り付け2!$1:$1,0)-1)-2)
&amp;OFFSET(貼り付け2!$A$1,$A32-2,OFFSET(貼り付け2!$A$1,ROW()-1,MATCH(I$1,貼り付け2!$1:$1,0)-1)-1),""))</f>
        <v>#VALUE!</v>
      </c>
      <c r="J32" t="str">
        <f ca="1">IFERROR(OFFSET(貼り付け2!$A$1,$A32-1,OFFSET(貼り付け2!$A$1,ROW()-1,MATCH(J$1,貼り付け2!$1:$1,0)-1)-1),"")</f>
        <v/>
      </c>
      <c r="K32" t="e">
        <f ca="1">OFFSET(貼り付け1!$A$1,貼り付け1!$G31-1,1)</f>
        <v>#REF!</v>
      </c>
      <c r="L32" t="e">
        <f ca="1">OFFSET(貼り付け1!$A$1,貼り付け1!$F31-1,1)</f>
        <v>#REF!</v>
      </c>
      <c r="M32" t="str">
        <f ca="1">IFERROR(OFFSET(貼り付け2!$A$1,まとめ!$B32-1,OFFSET(貼り付け2!$A$1,ROW()-1,MATCH(M$1,貼り付け2!$1:$1,0)-1)-1),"")</f>
        <v/>
      </c>
      <c r="N32" t="str">
        <f ca="1">IF(OFFSET(貼り付け2!$A$1,ROW()-1,MATCH(N$1,貼り付け2!$1:$1,0)-1)&lt;&gt;"",
IF($C32=TRUE,
IF((OFFSET(貼り付け2!$A$1,ROW()-1,MATCH(N$1,貼り付け2!$1:$1,0)-1)-OFFSET(貼り付け2!$A$1,ROW()-1,MATCH(I$1,貼り付け2!$1:$1,0)-1))=2,
OFFSET(貼り付け2!$A$1,$A32-4,OFFSET(貼り付け2!$A$1,ROW()-1,MATCH(N$1,貼り付け2!$1:$1,0)-1)-2)
&amp;OFFSET(貼り付け2!$A$1,$A32-4,OFFSET(貼り付け2!$A$1,ROW()-1,MATCH(N$1,貼り付け2!$1:$1,0)-1)-1),
IF((OFFSET(貼り付け2!$A$1,ROW()-1,MATCH(N$1,貼り付け2!$1:$1,0)-1)-OFFSET(貼り付け2!$A$1,ROW()-1,MATCH(I$1,貼り付け2!$1:$1,0)-1))=3,
OFFSET(貼り付け2!$A$1,$A32-4,OFFSET(貼り付け2!$A$1,ROW()-1,MATCH(N$1,貼り付け2!$1:$1,0)-1)-3)
&amp;OFFSET(貼り付け2!$A$1,$A32-4,OFFSET(貼り付け2!$A$1,ROW()-1,MATCH(N$1,貼り付け2!$1:$1,0)-1)-2)
&amp;OFFSET(貼り付け2!$A$1,$A32-4,OFFSET(貼り付け2!$A$1,ROW()-1,MATCH(N$1,貼り付け2!$1:$1,0)-1)-1),"")),
IF((OFFSET(貼り付け2!$A$1,ROW()-1,MATCH(N$1,貼り付け2!$1:$1,0)-1)-OFFSET(貼り付け2!$A$1,ROW()-1,MATCH(I$1,貼り付け2!$1:$1,0)-1))=2,
OFFSET(貼り付け2!$A$1,$A32-2,OFFSET(貼り付け2!$A$1,ROW()-1,MATCH(N$1,貼り付け2!$1:$1,0)-1)-2)
&amp;OFFSET(貼り付け2!$A$1,$A32-2,OFFSET(貼り付け2!$A$1,ROW()-1,MATCH(N$1,貼り付け2!$1:$1,0)-1)-1),
IF((OFFSET(貼り付け2!$A$1,ROW()-1,MATCH(N$1,貼り付け2!$1:$1,0)-1)-OFFSET(貼り付け2!$A$1,ROW()-1,MATCH(I$1,貼り付け2!$1:$1,0)-1))=3,
OFFSET(貼り付け2!$A$1,$A32-2,OFFSET(貼り付け2!$A$1,ROW()-1,MATCH(N$1,貼り付け2!$1:$1,0)-1)-3)
&amp;OFFSET(貼り付け2!$A$1,$A32-2,OFFSET(貼り付け2!$A$1,ROW()-1,MATCH(N$1,貼り付け2!$1:$1,0)-1)-2)
&amp;OFFSET(貼り付け2!$A$1,$A32-2,OFFSET(貼り付け2!$A$1,ROW()-1,MATCH(N$1,貼り付け2!$1:$1,0)-1)-1),""))),
IF(OFFSET(貼り付け2!$A$1,ROW()-1,MATCH(N$1,貼り付け2!$1:$1,0)+1)=2,
OFFSET(貼り付け2!$A$1,$A32-3,OFFSET(貼り付け2!$A$1,ROW()-1,MATCH(N$1,貼り付け2!$1:$1,0)+1)-2)
&amp;OFFSET(貼り付け2!$A$1,$A32-3,OFFSET(貼り付け2!$A$1,ROW()-1,MATCH(N$1,貼り付け2!$1:$1,0)+1)-1),
IF(OFFSET(貼り付け2!$A$1,ROW()-1,MATCH(N$1,貼り付け2!$1:$1,0)+1)=3,
OFFSET(貼り付け2!$A$1,$A32-3,OFFSET(貼り付け2!$A$1,ROW()-1,MATCH(N$1,貼り付け2!$1:$1,0)+1)-3)
&amp;OFFSET(貼り付け2!$A$1,$A32-3,OFFSET(貼り付け2!$A$1,ROW()-1,MATCH(N$1,貼り付け2!$1:$1,0)+1)-2)
&amp;OFFSET(貼り付け2!$A$1,$A32-3,OFFSET(貼り付け2!$A$1,ROW()-1,MATCH(N$1,貼り付け2!$1:$1,0)+1)-1),"")))</f>
        <v/>
      </c>
      <c r="O32" t="str">
        <f ca="1">IFERROR(OFFSET(貼り付け2!$A$1,$A32-1,OFFSET(貼り付け2!$A$1,ROW()-1,MATCH(O$1,貼り付け2!$1:$1,0)-1)-1),"")</f>
        <v/>
      </c>
      <c r="P32" t="e">
        <f ca="1">OFFSET(貼り付け1!$A$1,貼り付け1!$G31-1,2)</f>
        <v>#REF!</v>
      </c>
      <c r="Q32" t="e">
        <f ca="1">OFFSET(貼り付け1!$A$1,貼り付け1!$F31-1,2)</f>
        <v>#REF!</v>
      </c>
      <c r="R32" t="str">
        <f ca="1">IFERROR(OFFSET(貼り付け2!$A$1,まとめ!$B32-1,OFFSET(貼り付け2!$A$1,ROW()-1,MATCH(R$1,貼り付け2!$1:$1,0)-1)-1),"")</f>
        <v/>
      </c>
      <c r="S32" t="str">
        <f ca="1">IF(OFFSET(貼り付け2!$A$1,ROW()-1,MATCH(S$1,貼り付け2!$1:$1,0)-1)&lt;&gt;"",
IF($C32=TRUE,
IF((OFFSET(貼り付け2!$A$1,ROW()-1,MATCH(S$1,貼り付け2!$1:$1,0)-1)-OFFSET(貼り付け2!$A$1,ROW()-1,MATCH(N$1,貼り付け2!$1:$1,0)-1))=2,
OFFSET(貼り付け2!$A$1,$A32-4,OFFSET(貼り付け2!$A$1,ROW()-1,MATCH(S$1,貼り付け2!$1:$1,0)-1)-2)
&amp;OFFSET(貼り付け2!$A$1,$A32-4,OFFSET(貼り付け2!$A$1,ROW()-1,MATCH(S$1,貼り付け2!$1:$1,0)-1)-1),
IF((OFFSET(貼り付け2!$A$1,ROW()-1,MATCH(S$1,貼り付け2!$1:$1,0)-1)-OFFSET(貼り付け2!$A$1,ROW()-1,MATCH(N$1,貼り付け2!$1:$1,0)-1))=3,
OFFSET(貼り付け2!$A$1,$A32-4,OFFSET(貼り付け2!$A$1,ROW()-1,MATCH(S$1,貼り付け2!$1:$1,0)-1)-3)
&amp;OFFSET(貼り付け2!$A$1,$A32-4,OFFSET(貼り付け2!$A$1,ROW()-1,MATCH(S$1,貼り付け2!$1:$1,0)-1)-2)
&amp;OFFSET(貼り付け2!$A$1,$A32-4,OFFSET(貼り付け2!$A$1,ROW()-1,MATCH(S$1,貼り付け2!$1:$1,0)-1)-1),"")),
IF((OFFSET(貼り付け2!$A$1,ROW()-1,MATCH(S$1,貼り付け2!$1:$1,0)-1)-OFFSET(貼り付け2!$A$1,ROW()-1,MATCH(N$1,貼り付け2!$1:$1,0)-1))=2,
OFFSET(貼り付け2!$A$1,$A32-2,OFFSET(貼り付け2!$A$1,ROW()-1,MATCH(S$1,貼り付け2!$1:$1,0)-1)-2)
&amp;OFFSET(貼り付け2!$A$1,$A32-2,OFFSET(貼り付け2!$A$1,ROW()-1,MATCH(S$1,貼り付け2!$1:$1,0)-1)-1),
IF((OFFSET(貼り付け2!$A$1,ROW()-1,MATCH(S$1,貼り付け2!$1:$1,0)-1)-OFFSET(貼り付け2!$A$1,ROW()-1,MATCH(N$1,貼り付け2!$1:$1,0)-1))=3,
OFFSET(貼り付け2!$A$1,$A32-2,OFFSET(貼り付け2!$A$1,ROW()-1,MATCH(S$1,貼り付け2!$1:$1,0)-1)-3)
&amp;OFFSET(貼り付け2!$A$1,$A32-2,OFFSET(貼り付け2!$A$1,ROW()-1,MATCH(S$1,貼り付け2!$1:$1,0)-1)-2)
&amp;OFFSET(貼り付け2!$A$1,$A32-2,OFFSET(貼り付け2!$A$1,ROW()-1,MATCH(S$1,貼り付け2!$1:$1,0)-1)-1),""))),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OFFSET(貼り付け2!$A$1,$A32-3,OFFSET(貼り付け2!$A$1,ROW()-1,MATCH(S$1,貼り付け2!$1:$1,0)+1)-2)
&amp;OFFSET(貼り付け2!$A$1,$A32-3,OFFSET(貼り付け2!$A$1,ROW()-1,MATCH(S$1,貼り付け2!$1:$1,0)+1)-1),
IF(OFFSET(貼り付け2!$A$1,ROW()-1,MATCH(S$1,貼り付け2!$1:$1,0)+1)-OFFSET(貼り付け2!$A$1,ROW()-1,MATCH(N$1,貼り付け2!$1:$1,0)+1)=3,
OFFSET(貼り付け2!$A$1,$A32-3,OFFSET(貼り付け2!$A$1,ROW()-1,MATCH(S$1,貼り付け2!$1:$1,0)+1)-3)
&amp;OFFSET(貼り付け2!$A$1,$A32-3,OFFSET(貼り付け2!$A$1,ROW()-1,MATCH(S$1,貼り付け2!$1:$1,0)+1)-2)
&amp;OFFSET(貼り付け2!$A$1,$A32-3,OFFSET(貼り付け2!$A$1,ROW()-1,MATCH(S$1,貼り付け2!$1:$1,0)+1)-1),"")),
IF(OFFSET(貼り付け2!$A$1,ROW()-1,MATCH(S$1,貼り付け2!$1:$1,0)+1)=2,
OFFSET(貼り付け2!$A$1,$A32-3,OFFSET(貼り付け2!$A$1,ROW()-1,MATCH(S$1,貼り付け2!$1:$1,0)+1)-2)
&amp;OFFSET(貼り付け2!$A$1,$A32-3,OFFSET(貼り付け2!$A$1,ROW()-1,MATCH(S$1,貼り付け2!$1:$1,0)+1)-1),
IF(OFFSET(貼り付け2!$A$1,ROW()-1,MATCH(S$1,貼り付け2!$1:$1,0)+1)=3,
OFFSET(貼り付け2!$A$1,$A32-3,OFFSET(貼り付け2!$A$1,ROW()-1,MATCH(S$1,貼り付け2!$1:$1,0)+1)-3)
&amp;OFFSET(貼り付け2!$A$1,$A32-3,OFFSET(貼り付け2!$A$1,ROW()-1,MATCH(S$1,貼り付け2!$1:$1,0)+1)-2)
&amp;OFFSET(貼り付け2!$A$1,$A32-3,OFFSET(貼り付け2!$A$1,ROW()-1,MATCH(S$1,貼り付け2!$1:$1,0)+1)-1),""))))</f>
        <v/>
      </c>
      <c r="T32" t="str">
        <f ca="1">IFERROR(OFFSET(貼り付け2!$A$1,$A32-1,OFFSET(貼り付け2!$A$1,ROW()-1,MATCH(T$1,貼り付け2!$1:$1,0)-1)-1),"")</f>
        <v/>
      </c>
      <c r="U32" t="e">
        <f ca="1">OFFSET(貼り付け1!$A$1,貼り付け1!$G31-1,3)</f>
        <v>#REF!</v>
      </c>
      <c r="V32" t="e">
        <f ca="1">OFFSET(貼り付け1!$A$1,貼り付け1!$F31-1,3)</f>
        <v>#REF!</v>
      </c>
      <c r="W32" t="str">
        <f ca="1">IFERROR(OFFSET(貼り付け2!$A$1,まとめ!$B32-1,OFFSET(貼り付け2!$A$1,ROW()-1,MATCH(W$1,貼り付け2!$1:$1,0)-1)-1),"")</f>
        <v/>
      </c>
    </row>
    <row r="33" spans="1:23" x14ac:dyDescent="0.45">
      <c r="A33" t="str">
        <f>貼り付け2!S33</f>
        <v/>
      </c>
      <c r="B33" t="str">
        <f>貼り付け2!R33</f>
        <v/>
      </c>
      <c r="C33" t="e">
        <f t="shared" ca="1" si="1"/>
        <v>#VALUE!</v>
      </c>
      <c r="D33" t="str">
        <f ca="1">IF(OFFSET(貼り付け2!$A$1,ROW()-1,MATCH(D$1,貼り付け2!$1:$1,0)-1)=2,
OFFSET(貼り付け2!$A$1,A33-2,OFFSET(貼り付け2!$A$1,ROW()-1,MATCH(D$1,貼り付け2!$1:$1,0)-1)-2)
&amp;OFFSET(貼り付け2!$A$1,A33-2,OFFSET(貼り付け2!$A$1,ROW()-1,MATCH(D$1,貼り付け2!$1:$1,0)-1)-1),
IF(OFFSET(貼り付け2!$A$1,ROW()-1,MATCH(D$1,貼り付け2!$1:$1,0)-1)=3,
OFFSET(貼り付け2!$A$1,A33-2,OFFSET(貼り付け2!$A$1,ROW()-1,MATCH(D$1,貼り付け2!$1:$1,0)-1)-3)
&amp;OFFSET(貼り付け2!$A$1,A33-2,OFFSET(貼り付け2!$A$1,ROW()-1,MATCH(D$1,貼り付け2!$1:$1,0)-1)-2)
&amp;OFFSET(貼り付け2!$A$1,A33-2,OFFSET(貼り付け2!$A$1,ROW()-1,MATCH(D$1,貼り付け2!$1:$1,0)-1)-1),""))</f>
        <v/>
      </c>
      <c r="E33" t="str">
        <f ca="1">IF(OFFSET(貼り付け2!$A$1,ROW()-1,MATCH(E$1,貼り付け2!$1:$1,0)-1)=2,
OFFSET(貼り付け2!$A$1,$A33-1,OFFSET(貼り付け2!$A$1,ROW()-1,MATCH(E$1,貼り付け2!$1:$1,0)-1)-2)&amp;"・"&amp;OFFSET(貼り付け2!$A$1,$A33-1,OFFSET(貼り付け2!$A$1,ROW()-1,MATCH(E$1,貼り付け2!$1:$1,0)-1)-1),
IF(OFFSET(貼り付け2!$A$1,ROW()-1,MATCH(E$1,貼り付け2!$1:$1,0)-1)=1,
OFFSET(貼り付け2!$A$1,$A33-1,OFFSET(貼り付け2!$A$1,ROW()-1,MATCH(E$1,貼り付け2!$1:$1,0)-1)-1),""))</f>
        <v/>
      </c>
      <c r="F33" t="e">
        <f ca="1">OFFSET(貼り付け1!$A$1,貼り付け1!$G32-1,0)</f>
        <v>#REF!</v>
      </c>
      <c r="G33" t="e">
        <f ca="1">OFFSET(貼り付け1!$A$1,貼り付け1!$F32-1,0)</f>
        <v>#REF!</v>
      </c>
      <c r="H33" t="str">
        <f ca="1">IFERROR(OFFSET(貼り付け2!$A$1,まとめ!$B33-1,OFFSET(貼り付け2!$A$1,ROW()-1,MATCH(H$1,貼り付け2!$1:$1,0)-1)-1),"")</f>
        <v/>
      </c>
      <c r="I33" t="e">
        <f ca="1">IF((OFFSET(貼り付け2!$A$1,ROW()-1,MATCH(I$1,貼り付け2!$1:$1,0)-1)-OFFSET(貼り付け2!$A$1,ROW()-1,MATCH(D$1,貼り付け2!$1:$1,0)-1))=2,
OFFSET(貼り付け2!$A$1,$A33-2,OFFSET(貼り付け2!$A$1,ROW()-1,MATCH(I$1,貼り付け2!$1:$1,0)-1)-2)
&amp;OFFSET(貼り付け2!$A$1,$A33-2,OFFSET(貼り付け2!$A$1,ROW()-1,MATCH(I$1,貼り付け2!$1:$1,0)-1)-1),
IF((OFFSET(貼り付け2!$A$1,ROW()-1,MATCH(I$1,貼り付け2!$1:$1,0)-1)-OFFSET(貼り付け2!$A$1,ROW()-1,MATCH(D$1,貼り付け2!$1:$1,0)-1))=3,
OFFSET(貼り付け2!$A$1,$A33-2,OFFSET(貼り付け2!$A$1,ROW()-1,MATCH(I$1,貼り付け2!$1:$1,0)-1)-3)
&amp;OFFSET(貼り付け2!$A$1,$A33-2,OFFSET(貼り付け2!$A$1,ROW()-1,MATCH(I$1,貼り付け2!$1:$1,0)-1)-2)
&amp;OFFSET(貼り付け2!$A$1,$A33-2,OFFSET(貼り付け2!$A$1,ROW()-1,MATCH(I$1,貼り付け2!$1:$1,0)-1)-1),""))</f>
        <v>#VALUE!</v>
      </c>
      <c r="J33" t="str">
        <f ca="1">IFERROR(OFFSET(貼り付け2!$A$1,$A33-1,OFFSET(貼り付け2!$A$1,ROW()-1,MATCH(J$1,貼り付け2!$1:$1,0)-1)-1),"")</f>
        <v/>
      </c>
      <c r="K33" t="e">
        <f ca="1">OFFSET(貼り付け1!$A$1,貼り付け1!$G32-1,1)</f>
        <v>#REF!</v>
      </c>
      <c r="L33" t="e">
        <f ca="1">OFFSET(貼り付け1!$A$1,貼り付け1!$F32-1,1)</f>
        <v>#REF!</v>
      </c>
      <c r="M33" t="str">
        <f ca="1">IFERROR(OFFSET(貼り付け2!$A$1,まとめ!$B33-1,OFFSET(貼り付け2!$A$1,ROW()-1,MATCH(M$1,貼り付け2!$1:$1,0)-1)-1),"")</f>
        <v/>
      </c>
      <c r="N33" t="str">
        <f ca="1">IF(OFFSET(貼り付け2!$A$1,ROW()-1,MATCH(N$1,貼り付け2!$1:$1,0)-1)&lt;&gt;"",
IF($C33=TRUE,
IF((OFFSET(貼り付け2!$A$1,ROW()-1,MATCH(N$1,貼り付け2!$1:$1,0)-1)-OFFSET(貼り付け2!$A$1,ROW()-1,MATCH(I$1,貼り付け2!$1:$1,0)-1))=2,
OFFSET(貼り付け2!$A$1,$A33-4,OFFSET(貼り付け2!$A$1,ROW()-1,MATCH(N$1,貼り付け2!$1:$1,0)-1)-2)
&amp;OFFSET(貼り付け2!$A$1,$A33-4,OFFSET(貼り付け2!$A$1,ROW()-1,MATCH(N$1,貼り付け2!$1:$1,0)-1)-1),
IF((OFFSET(貼り付け2!$A$1,ROW()-1,MATCH(N$1,貼り付け2!$1:$1,0)-1)-OFFSET(貼り付け2!$A$1,ROW()-1,MATCH(I$1,貼り付け2!$1:$1,0)-1))=3,
OFFSET(貼り付け2!$A$1,$A33-4,OFFSET(貼り付け2!$A$1,ROW()-1,MATCH(N$1,貼り付け2!$1:$1,0)-1)-3)
&amp;OFFSET(貼り付け2!$A$1,$A33-4,OFFSET(貼り付け2!$A$1,ROW()-1,MATCH(N$1,貼り付け2!$1:$1,0)-1)-2)
&amp;OFFSET(貼り付け2!$A$1,$A33-4,OFFSET(貼り付け2!$A$1,ROW()-1,MATCH(N$1,貼り付け2!$1:$1,0)-1)-1),"")),
IF((OFFSET(貼り付け2!$A$1,ROW()-1,MATCH(N$1,貼り付け2!$1:$1,0)-1)-OFFSET(貼り付け2!$A$1,ROW()-1,MATCH(I$1,貼り付け2!$1:$1,0)-1))=2,
OFFSET(貼り付け2!$A$1,$A33-2,OFFSET(貼り付け2!$A$1,ROW()-1,MATCH(N$1,貼り付け2!$1:$1,0)-1)-2)
&amp;OFFSET(貼り付け2!$A$1,$A33-2,OFFSET(貼り付け2!$A$1,ROW()-1,MATCH(N$1,貼り付け2!$1:$1,0)-1)-1),
IF((OFFSET(貼り付け2!$A$1,ROW()-1,MATCH(N$1,貼り付け2!$1:$1,0)-1)-OFFSET(貼り付け2!$A$1,ROW()-1,MATCH(I$1,貼り付け2!$1:$1,0)-1))=3,
OFFSET(貼り付け2!$A$1,$A33-2,OFFSET(貼り付け2!$A$1,ROW()-1,MATCH(N$1,貼り付け2!$1:$1,0)-1)-3)
&amp;OFFSET(貼り付け2!$A$1,$A33-2,OFFSET(貼り付け2!$A$1,ROW()-1,MATCH(N$1,貼り付け2!$1:$1,0)-1)-2)
&amp;OFFSET(貼り付け2!$A$1,$A33-2,OFFSET(貼り付け2!$A$1,ROW()-1,MATCH(N$1,貼り付け2!$1:$1,0)-1)-1),""))),
IF(OFFSET(貼り付け2!$A$1,ROW()-1,MATCH(N$1,貼り付け2!$1:$1,0)+1)=2,
OFFSET(貼り付け2!$A$1,$A33-3,OFFSET(貼り付け2!$A$1,ROW()-1,MATCH(N$1,貼り付け2!$1:$1,0)+1)-2)
&amp;OFFSET(貼り付け2!$A$1,$A33-3,OFFSET(貼り付け2!$A$1,ROW()-1,MATCH(N$1,貼り付け2!$1:$1,0)+1)-1),
IF(OFFSET(貼り付け2!$A$1,ROW()-1,MATCH(N$1,貼り付け2!$1:$1,0)+1)=3,
OFFSET(貼り付け2!$A$1,$A33-3,OFFSET(貼り付け2!$A$1,ROW()-1,MATCH(N$1,貼り付け2!$1:$1,0)+1)-3)
&amp;OFFSET(貼り付け2!$A$1,$A33-3,OFFSET(貼り付け2!$A$1,ROW()-1,MATCH(N$1,貼り付け2!$1:$1,0)+1)-2)
&amp;OFFSET(貼り付け2!$A$1,$A33-3,OFFSET(貼り付け2!$A$1,ROW()-1,MATCH(N$1,貼り付け2!$1:$1,0)+1)-1),"")))</f>
        <v/>
      </c>
      <c r="O33" t="str">
        <f ca="1">IFERROR(OFFSET(貼り付け2!$A$1,$A33-1,OFFSET(貼り付け2!$A$1,ROW()-1,MATCH(O$1,貼り付け2!$1:$1,0)-1)-1),"")</f>
        <v/>
      </c>
      <c r="P33" t="e">
        <f ca="1">OFFSET(貼り付け1!$A$1,貼り付け1!$G32-1,2)</f>
        <v>#REF!</v>
      </c>
      <c r="Q33" t="e">
        <f ca="1">OFFSET(貼り付け1!$A$1,貼り付け1!$F32-1,2)</f>
        <v>#REF!</v>
      </c>
      <c r="R33" t="str">
        <f ca="1">IFERROR(OFFSET(貼り付け2!$A$1,まとめ!$B33-1,OFFSET(貼り付け2!$A$1,ROW()-1,MATCH(R$1,貼り付け2!$1:$1,0)-1)-1),"")</f>
        <v/>
      </c>
      <c r="S33" t="str">
        <f ca="1">IF(OFFSET(貼り付け2!$A$1,ROW()-1,MATCH(S$1,貼り付け2!$1:$1,0)-1)&lt;&gt;"",
IF($C33=TRUE,
IF((OFFSET(貼り付け2!$A$1,ROW()-1,MATCH(S$1,貼り付け2!$1:$1,0)-1)-OFFSET(貼り付け2!$A$1,ROW()-1,MATCH(N$1,貼り付け2!$1:$1,0)-1))=2,
OFFSET(貼り付け2!$A$1,$A33-4,OFFSET(貼り付け2!$A$1,ROW()-1,MATCH(S$1,貼り付け2!$1:$1,0)-1)-2)
&amp;OFFSET(貼り付け2!$A$1,$A33-4,OFFSET(貼り付け2!$A$1,ROW()-1,MATCH(S$1,貼り付け2!$1:$1,0)-1)-1),
IF((OFFSET(貼り付け2!$A$1,ROW()-1,MATCH(S$1,貼り付け2!$1:$1,0)-1)-OFFSET(貼り付け2!$A$1,ROW()-1,MATCH(N$1,貼り付け2!$1:$1,0)-1))=3,
OFFSET(貼り付け2!$A$1,$A33-4,OFFSET(貼り付け2!$A$1,ROW()-1,MATCH(S$1,貼り付け2!$1:$1,0)-1)-3)
&amp;OFFSET(貼り付け2!$A$1,$A33-4,OFFSET(貼り付け2!$A$1,ROW()-1,MATCH(S$1,貼り付け2!$1:$1,0)-1)-2)
&amp;OFFSET(貼り付け2!$A$1,$A33-4,OFFSET(貼り付け2!$A$1,ROW()-1,MATCH(S$1,貼り付け2!$1:$1,0)-1)-1),"")),
IF((OFFSET(貼り付け2!$A$1,ROW()-1,MATCH(S$1,貼り付け2!$1:$1,0)-1)-OFFSET(貼り付け2!$A$1,ROW()-1,MATCH(N$1,貼り付け2!$1:$1,0)-1))=2,
OFFSET(貼り付け2!$A$1,$A33-2,OFFSET(貼り付け2!$A$1,ROW()-1,MATCH(S$1,貼り付け2!$1:$1,0)-1)-2)
&amp;OFFSET(貼り付け2!$A$1,$A33-2,OFFSET(貼り付け2!$A$1,ROW()-1,MATCH(S$1,貼り付け2!$1:$1,0)-1)-1),
IF((OFFSET(貼り付け2!$A$1,ROW()-1,MATCH(S$1,貼り付け2!$1:$1,0)-1)-OFFSET(貼り付け2!$A$1,ROW()-1,MATCH(N$1,貼り付け2!$1:$1,0)-1))=3,
OFFSET(貼り付け2!$A$1,$A33-2,OFFSET(貼り付け2!$A$1,ROW()-1,MATCH(S$1,貼り付け2!$1:$1,0)-1)-3)
&amp;OFFSET(貼り付け2!$A$1,$A33-2,OFFSET(貼り付け2!$A$1,ROW()-1,MATCH(S$1,貼り付け2!$1:$1,0)-1)-2)
&amp;OFFSET(貼り付け2!$A$1,$A33-2,OFFSET(貼り付け2!$A$1,ROW()-1,MATCH(S$1,貼り付け2!$1:$1,0)-1)-1),""))),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OFFSET(貼り付け2!$A$1,$A33-3,OFFSET(貼り付け2!$A$1,ROW()-1,MATCH(S$1,貼り付け2!$1:$1,0)+1)-2)
&amp;OFFSET(貼り付け2!$A$1,$A33-3,OFFSET(貼り付け2!$A$1,ROW()-1,MATCH(S$1,貼り付け2!$1:$1,0)+1)-1),
IF(OFFSET(貼り付け2!$A$1,ROW()-1,MATCH(S$1,貼り付け2!$1:$1,0)+1)-OFFSET(貼り付け2!$A$1,ROW()-1,MATCH(N$1,貼り付け2!$1:$1,0)+1)=3,
OFFSET(貼り付け2!$A$1,$A33-3,OFFSET(貼り付け2!$A$1,ROW()-1,MATCH(S$1,貼り付け2!$1:$1,0)+1)-3)
&amp;OFFSET(貼り付け2!$A$1,$A33-3,OFFSET(貼り付け2!$A$1,ROW()-1,MATCH(S$1,貼り付け2!$1:$1,0)+1)-2)
&amp;OFFSET(貼り付け2!$A$1,$A33-3,OFFSET(貼り付け2!$A$1,ROW()-1,MATCH(S$1,貼り付け2!$1:$1,0)+1)-1),"")),
IF(OFFSET(貼り付け2!$A$1,ROW()-1,MATCH(S$1,貼り付け2!$1:$1,0)+1)=2,
OFFSET(貼り付け2!$A$1,$A33-3,OFFSET(貼り付け2!$A$1,ROW()-1,MATCH(S$1,貼り付け2!$1:$1,0)+1)-2)
&amp;OFFSET(貼り付け2!$A$1,$A33-3,OFFSET(貼り付け2!$A$1,ROW()-1,MATCH(S$1,貼り付け2!$1:$1,0)+1)-1),
IF(OFFSET(貼り付け2!$A$1,ROW()-1,MATCH(S$1,貼り付け2!$1:$1,0)+1)=3,
OFFSET(貼り付け2!$A$1,$A33-3,OFFSET(貼り付け2!$A$1,ROW()-1,MATCH(S$1,貼り付け2!$1:$1,0)+1)-3)
&amp;OFFSET(貼り付け2!$A$1,$A33-3,OFFSET(貼り付け2!$A$1,ROW()-1,MATCH(S$1,貼り付け2!$1:$1,0)+1)-2)
&amp;OFFSET(貼り付け2!$A$1,$A33-3,OFFSET(貼り付け2!$A$1,ROW()-1,MATCH(S$1,貼り付け2!$1:$1,0)+1)-1),""))))</f>
        <v/>
      </c>
      <c r="T33" t="str">
        <f ca="1">IFERROR(OFFSET(貼り付け2!$A$1,$A33-1,OFFSET(貼り付け2!$A$1,ROW()-1,MATCH(T$1,貼り付け2!$1:$1,0)-1)-1),"")</f>
        <v/>
      </c>
      <c r="U33" t="e">
        <f ca="1">OFFSET(貼り付け1!$A$1,貼り付け1!$G32-1,3)</f>
        <v>#REF!</v>
      </c>
      <c r="V33" t="e">
        <f ca="1">OFFSET(貼り付け1!$A$1,貼り付け1!$F32-1,3)</f>
        <v>#REF!</v>
      </c>
      <c r="W33" t="str">
        <f ca="1">IFERROR(OFFSET(貼り付け2!$A$1,まとめ!$B33-1,OFFSET(貼り付け2!$A$1,ROW()-1,MATCH(W$1,貼り付け2!$1:$1,0)-1)-1),"")</f>
        <v/>
      </c>
    </row>
    <row r="34" spans="1:23" x14ac:dyDescent="0.45">
      <c r="A34" t="str">
        <f>貼り付け2!S34</f>
        <v/>
      </c>
      <c r="B34" t="str">
        <f>貼り付け2!R34</f>
        <v/>
      </c>
      <c r="C34" t="e">
        <f t="shared" ca="1" si="1"/>
        <v>#VALUE!</v>
      </c>
      <c r="D34" t="str">
        <f ca="1">IF(OFFSET(貼り付け2!$A$1,ROW()-1,MATCH(D$1,貼り付け2!$1:$1,0)-1)=2,
OFFSET(貼り付け2!$A$1,A34-2,OFFSET(貼り付け2!$A$1,ROW()-1,MATCH(D$1,貼り付け2!$1:$1,0)-1)-2)
&amp;OFFSET(貼り付け2!$A$1,A34-2,OFFSET(貼り付け2!$A$1,ROW()-1,MATCH(D$1,貼り付け2!$1:$1,0)-1)-1),
IF(OFFSET(貼り付け2!$A$1,ROW()-1,MATCH(D$1,貼り付け2!$1:$1,0)-1)=3,
OFFSET(貼り付け2!$A$1,A34-2,OFFSET(貼り付け2!$A$1,ROW()-1,MATCH(D$1,貼り付け2!$1:$1,0)-1)-3)
&amp;OFFSET(貼り付け2!$A$1,A34-2,OFFSET(貼り付け2!$A$1,ROW()-1,MATCH(D$1,貼り付け2!$1:$1,0)-1)-2)
&amp;OFFSET(貼り付け2!$A$1,A34-2,OFFSET(貼り付け2!$A$1,ROW()-1,MATCH(D$1,貼り付け2!$1:$1,0)-1)-1),""))</f>
        <v/>
      </c>
      <c r="E34" t="str">
        <f ca="1">IF(OFFSET(貼り付け2!$A$1,ROW()-1,MATCH(E$1,貼り付け2!$1:$1,0)-1)=2,
OFFSET(貼り付け2!$A$1,$A34-1,OFFSET(貼り付け2!$A$1,ROW()-1,MATCH(E$1,貼り付け2!$1:$1,0)-1)-2)&amp;"・"&amp;OFFSET(貼り付け2!$A$1,$A34-1,OFFSET(貼り付け2!$A$1,ROW()-1,MATCH(E$1,貼り付け2!$1:$1,0)-1)-1),
IF(OFFSET(貼り付け2!$A$1,ROW()-1,MATCH(E$1,貼り付け2!$1:$1,0)-1)=1,
OFFSET(貼り付け2!$A$1,$A34-1,OFFSET(貼り付け2!$A$1,ROW()-1,MATCH(E$1,貼り付け2!$1:$1,0)-1)-1),""))</f>
        <v/>
      </c>
      <c r="F34" t="e">
        <f ca="1">OFFSET(貼り付け1!$A$1,貼り付け1!$G33-1,0)</f>
        <v>#REF!</v>
      </c>
      <c r="G34" t="e">
        <f ca="1">OFFSET(貼り付け1!$A$1,貼り付け1!$F33-1,0)</f>
        <v>#REF!</v>
      </c>
      <c r="H34" t="str">
        <f ca="1">IFERROR(OFFSET(貼り付け2!$A$1,まとめ!$B34-1,OFFSET(貼り付け2!$A$1,ROW()-1,MATCH(H$1,貼り付け2!$1:$1,0)-1)-1),"")</f>
        <v/>
      </c>
      <c r="I34" t="e">
        <f ca="1">IF((OFFSET(貼り付け2!$A$1,ROW()-1,MATCH(I$1,貼り付け2!$1:$1,0)-1)-OFFSET(貼り付け2!$A$1,ROW()-1,MATCH(D$1,貼り付け2!$1:$1,0)-1))=2,
OFFSET(貼り付け2!$A$1,$A34-2,OFFSET(貼り付け2!$A$1,ROW()-1,MATCH(I$1,貼り付け2!$1:$1,0)-1)-2)
&amp;OFFSET(貼り付け2!$A$1,$A34-2,OFFSET(貼り付け2!$A$1,ROW()-1,MATCH(I$1,貼り付け2!$1:$1,0)-1)-1),
IF((OFFSET(貼り付け2!$A$1,ROW()-1,MATCH(I$1,貼り付け2!$1:$1,0)-1)-OFFSET(貼り付け2!$A$1,ROW()-1,MATCH(D$1,貼り付け2!$1:$1,0)-1))=3,
OFFSET(貼り付け2!$A$1,$A34-2,OFFSET(貼り付け2!$A$1,ROW()-1,MATCH(I$1,貼り付け2!$1:$1,0)-1)-3)
&amp;OFFSET(貼り付け2!$A$1,$A34-2,OFFSET(貼り付け2!$A$1,ROW()-1,MATCH(I$1,貼り付け2!$1:$1,0)-1)-2)
&amp;OFFSET(貼り付け2!$A$1,$A34-2,OFFSET(貼り付け2!$A$1,ROW()-1,MATCH(I$1,貼り付け2!$1:$1,0)-1)-1),""))</f>
        <v>#VALUE!</v>
      </c>
      <c r="J34" t="str">
        <f ca="1">IFERROR(OFFSET(貼り付け2!$A$1,$A34-1,OFFSET(貼り付け2!$A$1,ROW()-1,MATCH(J$1,貼り付け2!$1:$1,0)-1)-1),"")</f>
        <v/>
      </c>
      <c r="K34" t="e">
        <f ca="1">OFFSET(貼り付け1!$A$1,貼り付け1!$G33-1,1)</f>
        <v>#REF!</v>
      </c>
      <c r="L34" t="e">
        <f ca="1">OFFSET(貼り付け1!$A$1,貼り付け1!$F33-1,1)</f>
        <v>#REF!</v>
      </c>
      <c r="M34" t="str">
        <f ca="1">IFERROR(OFFSET(貼り付け2!$A$1,まとめ!$B34-1,OFFSET(貼り付け2!$A$1,ROW()-1,MATCH(M$1,貼り付け2!$1:$1,0)-1)-1),"")</f>
        <v/>
      </c>
      <c r="N34" t="str">
        <f ca="1">IF(OFFSET(貼り付け2!$A$1,ROW()-1,MATCH(N$1,貼り付け2!$1:$1,0)-1)&lt;&gt;"",
IF($C34=TRUE,
IF((OFFSET(貼り付け2!$A$1,ROW()-1,MATCH(N$1,貼り付け2!$1:$1,0)-1)-OFFSET(貼り付け2!$A$1,ROW()-1,MATCH(I$1,貼り付け2!$1:$1,0)-1))=2,
OFFSET(貼り付け2!$A$1,$A34-4,OFFSET(貼り付け2!$A$1,ROW()-1,MATCH(N$1,貼り付け2!$1:$1,0)-1)-2)
&amp;OFFSET(貼り付け2!$A$1,$A34-4,OFFSET(貼り付け2!$A$1,ROW()-1,MATCH(N$1,貼り付け2!$1:$1,0)-1)-1),
IF((OFFSET(貼り付け2!$A$1,ROW()-1,MATCH(N$1,貼り付け2!$1:$1,0)-1)-OFFSET(貼り付け2!$A$1,ROW()-1,MATCH(I$1,貼り付け2!$1:$1,0)-1))=3,
OFFSET(貼り付け2!$A$1,$A34-4,OFFSET(貼り付け2!$A$1,ROW()-1,MATCH(N$1,貼り付け2!$1:$1,0)-1)-3)
&amp;OFFSET(貼り付け2!$A$1,$A34-4,OFFSET(貼り付け2!$A$1,ROW()-1,MATCH(N$1,貼り付け2!$1:$1,0)-1)-2)
&amp;OFFSET(貼り付け2!$A$1,$A34-4,OFFSET(貼り付け2!$A$1,ROW()-1,MATCH(N$1,貼り付け2!$1:$1,0)-1)-1),"")),
IF((OFFSET(貼り付け2!$A$1,ROW()-1,MATCH(N$1,貼り付け2!$1:$1,0)-1)-OFFSET(貼り付け2!$A$1,ROW()-1,MATCH(I$1,貼り付け2!$1:$1,0)-1))=2,
OFFSET(貼り付け2!$A$1,$A34-2,OFFSET(貼り付け2!$A$1,ROW()-1,MATCH(N$1,貼り付け2!$1:$1,0)-1)-2)
&amp;OFFSET(貼り付け2!$A$1,$A34-2,OFFSET(貼り付け2!$A$1,ROW()-1,MATCH(N$1,貼り付け2!$1:$1,0)-1)-1),
IF((OFFSET(貼り付け2!$A$1,ROW()-1,MATCH(N$1,貼り付け2!$1:$1,0)-1)-OFFSET(貼り付け2!$A$1,ROW()-1,MATCH(I$1,貼り付け2!$1:$1,0)-1))=3,
OFFSET(貼り付け2!$A$1,$A34-2,OFFSET(貼り付け2!$A$1,ROW()-1,MATCH(N$1,貼り付け2!$1:$1,0)-1)-3)
&amp;OFFSET(貼り付け2!$A$1,$A34-2,OFFSET(貼り付け2!$A$1,ROW()-1,MATCH(N$1,貼り付け2!$1:$1,0)-1)-2)
&amp;OFFSET(貼り付け2!$A$1,$A34-2,OFFSET(貼り付け2!$A$1,ROW()-1,MATCH(N$1,貼り付け2!$1:$1,0)-1)-1),""))),
IF(OFFSET(貼り付け2!$A$1,ROW()-1,MATCH(N$1,貼り付け2!$1:$1,0)+1)=2,
OFFSET(貼り付け2!$A$1,$A34-3,OFFSET(貼り付け2!$A$1,ROW()-1,MATCH(N$1,貼り付け2!$1:$1,0)+1)-2)
&amp;OFFSET(貼り付け2!$A$1,$A34-3,OFFSET(貼り付け2!$A$1,ROW()-1,MATCH(N$1,貼り付け2!$1:$1,0)+1)-1),
IF(OFFSET(貼り付け2!$A$1,ROW()-1,MATCH(N$1,貼り付け2!$1:$1,0)+1)=3,
OFFSET(貼り付け2!$A$1,$A34-3,OFFSET(貼り付け2!$A$1,ROW()-1,MATCH(N$1,貼り付け2!$1:$1,0)+1)-3)
&amp;OFFSET(貼り付け2!$A$1,$A34-3,OFFSET(貼り付け2!$A$1,ROW()-1,MATCH(N$1,貼り付け2!$1:$1,0)+1)-2)
&amp;OFFSET(貼り付け2!$A$1,$A34-3,OFFSET(貼り付け2!$A$1,ROW()-1,MATCH(N$1,貼り付け2!$1:$1,0)+1)-1),"")))</f>
        <v/>
      </c>
      <c r="O34" t="str">
        <f ca="1">IFERROR(OFFSET(貼り付け2!$A$1,$A34-1,OFFSET(貼り付け2!$A$1,ROW()-1,MATCH(O$1,貼り付け2!$1:$1,0)-1)-1),"")</f>
        <v/>
      </c>
      <c r="P34" t="e">
        <f ca="1">OFFSET(貼り付け1!$A$1,貼り付け1!$G33-1,2)</f>
        <v>#REF!</v>
      </c>
      <c r="Q34" t="e">
        <f ca="1">OFFSET(貼り付け1!$A$1,貼り付け1!$F33-1,2)</f>
        <v>#REF!</v>
      </c>
      <c r="R34" t="str">
        <f ca="1">IFERROR(OFFSET(貼り付け2!$A$1,まとめ!$B34-1,OFFSET(貼り付け2!$A$1,ROW()-1,MATCH(R$1,貼り付け2!$1:$1,0)-1)-1),"")</f>
        <v/>
      </c>
      <c r="S34" t="str">
        <f ca="1">IF(OFFSET(貼り付け2!$A$1,ROW()-1,MATCH(S$1,貼り付け2!$1:$1,0)-1)&lt;&gt;"",
IF($C34=TRUE,
IF((OFFSET(貼り付け2!$A$1,ROW()-1,MATCH(S$1,貼り付け2!$1:$1,0)-1)-OFFSET(貼り付け2!$A$1,ROW()-1,MATCH(N$1,貼り付け2!$1:$1,0)-1))=2,
OFFSET(貼り付け2!$A$1,$A34-4,OFFSET(貼り付け2!$A$1,ROW()-1,MATCH(S$1,貼り付け2!$1:$1,0)-1)-2)
&amp;OFFSET(貼り付け2!$A$1,$A34-4,OFFSET(貼り付け2!$A$1,ROW()-1,MATCH(S$1,貼り付け2!$1:$1,0)-1)-1),
IF((OFFSET(貼り付け2!$A$1,ROW()-1,MATCH(S$1,貼り付け2!$1:$1,0)-1)-OFFSET(貼り付け2!$A$1,ROW()-1,MATCH(N$1,貼り付け2!$1:$1,0)-1))=3,
OFFSET(貼り付け2!$A$1,$A34-4,OFFSET(貼り付け2!$A$1,ROW()-1,MATCH(S$1,貼り付け2!$1:$1,0)-1)-3)
&amp;OFFSET(貼り付け2!$A$1,$A34-4,OFFSET(貼り付け2!$A$1,ROW()-1,MATCH(S$1,貼り付け2!$1:$1,0)-1)-2)
&amp;OFFSET(貼り付け2!$A$1,$A34-4,OFFSET(貼り付け2!$A$1,ROW()-1,MATCH(S$1,貼り付け2!$1:$1,0)-1)-1),"")),
IF((OFFSET(貼り付け2!$A$1,ROW()-1,MATCH(S$1,貼り付け2!$1:$1,0)-1)-OFFSET(貼り付け2!$A$1,ROW()-1,MATCH(N$1,貼り付け2!$1:$1,0)-1))=2,
OFFSET(貼り付け2!$A$1,$A34-2,OFFSET(貼り付け2!$A$1,ROW()-1,MATCH(S$1,貼り付け2!$1:$1,0)-1)-2)
&amp;OFFSET(貼り付け2!$A$1,$A34-2,OFFSET(貼り付け2!$A$1,ROW()-1,MATCH(S$1,貼り付け2!$1:$1,0)-1)-1),
IF((OFFSET(貼り付け2!$A$1,ROW()-1,MATCH(S$1,貼り付け2!$1:$1,0)-1)-OFFSET(貼り付け2!$A$1,ROW()-1,MATCH(N$1,貼り付け2!$1:$1,0)-1))=3,
OFFSET(貼り付け2!$A$1,$A34-2,OFFSET(貼り付け2!$A$1,ROW()-1,MATCH(S$1,貼り付け2!$1:$1,0)-1)-3)
&amp;OFFSET(貼り付け2!$A$1,$A34-2,OFFSET(貼り付け2!$A$1,ROW()-1,MATCH(S$1,貼り付け2!$1:$1,0)-1)-2)
&amp;OFFSET(貼り付け2!$A$1,$A34-2,OFFSET(貼り付け2!$A$1,ROW()-1,MATCH(S$1,貼り付け2!$1:$1,0)-1)-1),""))),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OFFSET(貼り付け2!$A$1,$A34-3,OFFSET(貼り付け2!$A$1,ROW()-1,MATCH(S$1,貼り付け2!$1:$1,0)+1)-2)
&amp;OFFSET(貼り付け2!$A$1,$A34-3,OFFSET(貼り付け2!$A$1,ROW()-1,MATCH(S$1,貼り付け2!$1:$1,0)+1)-1),
IF(OFFSET(貼り付け2!$A$1,ROW()-1,MATCH(S$1,貼り付け2!$1:$1,0)+1)-OFFSET(貼り付け2!$A$1,ROW()-1,MATCH(N$1,貼り付け2!$1:$1,0)+1)=3,
OFFSET(貼り付け2!$A$1,$A34-3,OFFSET(貼り付け2!$A$1,ROW()-1,MATCH(S$1,貼り付け2!$1:$1,0)+1)-3)
&amp;OFFSET(貼り付け2!$A$1,$A34-3,OFFSET(貼り付け2!$A$1,ROW()-1,MATCH(S$1,貼り付け2!$1:$1,0)+1)-2)
&amp;OFFSET(貼り付け2!$A$1,$A34-3,OFFSET(貼り付け2!$A$1,ROW()-1,MATCH(S$1,貼り付け2!$1:$1,0)+1)-1),"")),
IF(OFFSET(貼り付け2!$A$1,ROW()-1,MATCH(S$1,貼り付け2!$1:$1,0)+1)=2,
OFFSET(貼り付け2!$A$1,$A34-3,OFFSET(貼り付け2!$A$1,ROW()-1,MATCH(S$1,貼り付け2!$1:$1,0)+1)-2)
&amp;OFFSET(貼り付け2!$A$1,$A34-3,OFFSET(貼り付け2!$A$1,ROW()-1,MATCH(S$1,貼り付け2!$1:$1,0)+1)-1),
IF(OFFSET(貼り付け2!$A$1,ROW()-1,MATCH(S$1,貼り付け2!$1:$1,0)+1)=3,
OFFSET(貼り付け2!$A$1,$A34-3,OFFSET(貼り付け2!$A$1,ROW()-1,MATCH(S$1,貼り付け2!$1:$1,0)+1)-3)
&amp;OFFSET(貼り付け2!$A$1,$A34-3,OFFSET(貼り付け2!$A$1,ROW()-1,MATCH(S$1,貼り付け2!$1:$1,0)+1)-2)
&amp;OFFSET(貼り付け2!$A$1,$A34-3,OFFSET(貼り付け2!$A$1,ROW()-1,MATCH(S$1,貼り付け2!$1:$1,0)+1)-1),""))))</f>
        <v/>
      </c>
      <c r="T34" t="str">
        <f ca="1">IFERROR(OFFSET(貼り付け2!$A$1,$A34-1,OFFSET(貼り付け2!$A$1,ROW()-1,MATCH(T$1,貼り付け2!$1:$1,0)-1)-1),"")</f>
        <v/>
      </c>
      <c r="U34" t="e">
        <f ca="1">OFFSET(貼り付け1!$A$1,貼り付け1!$G33-1,3)</f>
        <v>#REF!</v>
      </c>
      <c r="V34" t="e">
        <f ca="1">OFFSET(貼り付け1!$A$1,貼り付け1!$F33-1,3)</f>
        <v>#REF!</v>
      </c>
      <c r="W34" t="str">
        <f ca="1">IFERROR(OFFSET(貼り付け2!$A$1,まとめ!$B34-1,OFFSET(貼り付け2!$A$1,ROW()-1,MATCH(W$1,貼り付け2!$1:$1,0)-1)-1),"")</f>
        <v/>
      </c>
    </row>
    <row r="35" spans="1:23" x14ac:dyDescent="0.45">
      <c r="A35" t="str">
        <f>貼り付け2!S35</f>
        <v/>
      </c>
      <c r="B35" t="str">
        <f>貼り付け2!R35</f>
        <v/>
      </c>
      <c r="C35" t="e">
        <f t="shared" ca="1" si="1"/>
        <v>#VALUE!</v>
      </c>
      <c r="D35" t="str">
        <f ca="1">IF(OFFSET(貼り付け2!$A$1,ROW()-1,MATCH(D$1,貼り付け2!$1:$1,0)-1)=2,
OFFSET(貼り付け2!$A$1,A35-2,OFFSET(貼り付け2!$A$1,ROW()-1,MATCH(D$1,貼り付け2!$1:$1,0)-1)-2)
&amp;OFFSET(貼り付け2!$A$1,A35-2,OFFSET(貼り付け2!$A$1,ROW()-1,MATCH(D$1,貼り付け2!$1:$1,0)-1)-1),
IF(OFFSET(貼り付け2!$A$1,ROW()-1,MATCH(D$1,貼り付け2!$1:$1,0)-1)=3,
OFFSET(貼り付け2!$A$1,A35-2,OFFSET(貼り付け2!$A$1,ROW()-1,MATCH(D$1,貼り付け2!$1:$1,0)-1)-3)
&amp;OFFSET(貼り付け2!$A$1,A35-2,OFFSET(貼り付け2!$A$1,ROW()-1,MATCH(D$1,貼り付け2!$1:$1,0)-1)-2)
&amp;OFFSET(貼り付け2!$A$1,A35-2,OFFSET(貼り付け2!$A$1,ROW()-1,MATCH(D$1,貼り付け2!$1:$1,0)-1)-1),""))</f>
        <v/>
      </c>
      <c r="E35" t="str">
        <f ca="1">IF(OFFSET(貼り付け2!$A$1,ROW()-1,MATCH(E$1,貼り付け2!$1:$1,0)-1)=2,
OFFSET(貼り付け2!$A$1,$A35-1,OFFSET(貼り付け2!$A$1,ROW()-1,MATCH(E$1,貼り付け2!$1:$1,0)-1)-2)&amp;"・"&amp;OFFSET(貼り付け2!$A$1,$A35-1,OFFSET(貼り付け2!$A$1,ROW()-1,MATCH(E$1,貼り付け2!$1:$1,0)-1)-1),
IF(OFFSET(貼り付け2!$A$1,ROW()-1,MATCH(E$1,貼り付け2!$1:$1,0)-1)=1,
OFFSET(貼り付け2!$A$1,$A35-1,OFFSET(貼り付け2!$A$1,ROW()-1,MATCH(E$1,貼り付け2!$1:$1,0)-1)-1),""))</f>
        <v/>
      </c>
      <c r="F35" t="e">
        <f ca="1">OFFSET(貼り付け1!$A$1,貼り付け1!$G34-1,0)</f>
        <v>#REF!</v>
      </c>
      <c r="G35" t="e">
        <f ca="1">OFFSET(貼り付け1!$A$1,貼り付け1!$F34-1,0)</f>
        <v>#REF!</v>
      </c>
      <c r="H35" t="str">
        <f ca="1">IFERROR(OFFSET(貼り付け2!$A$1,まとめ!$B35-1,OFFSET(貼り付け2!$A$1,ROW()-1,MATCH(H$1,貼り付け2!$1:$1,0)-1)-1),"")</f>
        <v/>
      </c>
      <c r="I35" t="e">
        <f ca="1">IF((OFFSET(貼り付け2!$A$1,ROW()-1,MATCH(I$1,貼り付け2!$1:$1,0)-1)-OFFSET(貼り付け2!$A$1,ROW()-1,MATCH(D$1,貼り付け2!$1:$1,0)-1))=2,
OFFSET(貼り付け2!$A$1,$A35-2,OFFSET(貼り付け2!$A$1,ROW()-1,MATCH(I$1,貼り付け2!$1:$1,0)-1)-2)
&amp;OFFSET(貼り付け2!$A$1,$A35-2,OFFSET(貼り付け2!$A$1,ROW()-1,MATCH(I$1,貼り付け2!$1:$1,0)-1)-1),
IF((OFFSET(貼り付け2!$A$1,ROW()-1,MATCH(I$1,貼り付け2!$1:$1,0)-1)-OFFSET(貼り付け2!$A$1,ROW()-1,MATCH(D$1,貼り付け2!$1:$1,0)-1))=3,
OFFSET(貼り付け2!$A$1,$A35-2,OFFSET(貼り付け2!$A$1,ROW()-1,MATCH(I$1,貼り付け2!$1:$1,0)-1)-3)
&amp;OFFSET(貼り付け2!$A$1,$A35-2,OFFSET(貼り付け2!$A$1,ROW()-1,MATCH(I$1,貼り付け2!$1:$1,0)-1)-2)
&amp;OFFSET(貼り付け2!$A$1,$A35-2,OFFSET(貼り付け2!$A$1,ROW()-1,MATCH(I$1,貼り付け2!$1:$1,0)-1)-1),""))</f>
        <v>#VALUE!</v>
      </c>
      <c r="J35" t="str">
        <f ca="1">IFERROR(OFFSET(貼り付け2!$A$1,$A35-1,OFFSET(貼り付け2!$A$1,ROW()-1,MATCH(J$1,貼り付け2!$1:$1,0)-1)-1),"")</f>
        <v/>
      </c>
      <c r="K35" t="e">
        <f ca="1">OFFSET(貼り付け1!$A$1,貼り付け1!$G34-1,1)</f>
        <v>#REF!</v>
      </c>
      <c r="L35" t="e">
        <f ca="1">OFFSET(貼り付け1!$A$1,貼り付け1!$F34-1,1)</f>
        <v>#REF!</v>
      </c>
      <c r="M35" t="str">
        <f ca="1">IFERROR(OFFSET(貼り付け2!$A$1,まとめ!$B35-1,OFFSET(貼り付け2!$A$1,ROW()-1,MATCH(M$1,貼り付け2!$1:$1,0)-1)-1),"")</f>
        <v/>
      </c>
      <c r="N35" t="str">
        <f ca="1">IF(OFFSET(貼り付け2!$A$1,ROW()-1,MATCH(N$1,貼り付け2!$1:$1,0)-1)&lt;&gt;"",
IF($C35=TRUE,
IF((OFFSET(貼り付け2!$A$1,ROW()-1,MATCH(N$1,貼り付け2!$1:$1,0)-1)-OFFSET(貼り付け2!$A$1,ROW()-1,MATCH(I$1,貼り付け2!$1:$1,0)-1))=2,
OFFSET(貼り付け2!$A$1,$A35-4,OFFSET(貼り付け2!$A$1,ROW()-1,MATCH(N$1,貼り付け2!$1:$1,0)-1)-2)
&amp;OFFSET(貼り付け2!$A$1,$A35-4,OFFSET(貼り付け2!$A$1,ROW()-1,MATCH(N$1,貼り付け2!$1:$1,0)-1)-1),
IF((OFFSET(貼り付け2!$A$1,ROW()-1,MATCH(N$1,貼り付け2!$1:$1,0)-1)-OFFSET(貼り付け2!$A$1,ROW()-1,MATCH(I$1,貼り付け2!$1:$1,0)-1))=3,
OFFSET(貼り付け2!$A$1,$A35-4,OFFSET(貼り付け2!$A$1,ROW()-1,MATCH(N$1,貼り付け2!$1:$1,0)-1)-3)
&amp;OFFSET(貼り付け2!$A$1,$A35-4,OFFSET(貼り付け2!$A$1,ROW()-1,MATCH(N$1,貼り付け2!$1:$1,0)-1)-2)
&amp;OFFSET(貼り付け2!$A$1,$A35-4,OFFSET(貼り付け2!$A$1,ROW()-1,MATCH(N$1,貼り付け2!$1:$1,0)-1)-1),"")),
IF((OFFSET(貼り付け2!$A$1,ROW()-1,MATCH(N$1,貼り付け2!$1:$1,0)-1)-OFFSET(貼り付け2!$A$1,ROW()-1,MATCH(I$1,貼り付け2!$1:$1,0)-1))=2,
OFFSET(貼り付け2!$A$1,$A35-2,OFFSET(貼り付け2!$A$1,ROW()-1,MATCH(N$1,貼り付け2!$1:$1,0)-1)-2)
&amp;OFFSET(貼り付け2!$A$1,$A35-2,OFFSET(貼り付け2!$A$1,ROW()-1,MATCH(N$1,貼り付け2!$1:$1,0)-1)-1),
IF((OFFSET(貼り付け2!$A$1,ROW()-1,MATCH(N$1,貼り付け2!$1:$1,0)-1)-OFFSET(貼り付け2!$A$1,ROW()-1,MATCH(I$1,貼り付け2!$1:$1,0)-1))=3,
OFFSET(貼り付け2!$A$1,$A35-2,OFFSET(貼り付け2!$A$1,ROW()-1,MATCH(N$1,貼り付け2!$1:$1,0)-1)-3)
&amp;OFFSET(貼り付け2!$A$1,$A35-2,OFFSET(貼り付け2!$A$1,ROW()-1,MATCH(N$1,貼り付け2!$1:$1,0)-1)-2)
&amp;OFFSET(貼り付け2!$A$1,$A35-2,OFFSET(貼り付け2!$A$1,ROW()-1,MATCH(N$1,貼り付け2!$1:$1,0)-1)-1),""))),
IF(OFFSET(貼り付け2!$A$1,ROW()-1,MATCH(N$1,貼り付け2!$1:$1,0)+1)=2,
OFFSET(貼り付け2!$A$1,$A35-3,OFFSET(貼り付け2!$A$1,ROW()-1,MATCH(N$1,貼り付け2!$1:$1,0)+1)-2)
&amp;OFFSET(貼り付け2!$A$1,$A35-3,OFFSET(貼り付け2!$A$1,ROW()-1,MATCH(N$1,貼り付け2!$1:$1,0)+1)-1),
IF(OFFSET(貼り付け2!$A$1,ROW()-1,MATCH(N$1,貼り付け2!$1:$1,0)+1)=3,
OFFSET(貼り付け2!$A$1,$A35-3,OFFSET(貼り付け2!$A$1,ROW()-1,MATCH(N$1,貼り付け2!$1:$1,0)+1)-3)
&amp;OFFSET(貼り付け2!$A$1,$A35-3,OFFSET(貼り付け2!$A$1,ROW()-1,MATCH(N$1,貼り付け2!$1:$1,0)+1)-2)
&amp;OFFSET(貼り付け2!$A$1,$A35-3,OFFSET(貼り付け2!$A$1,ROW()-1,MATCH(N$1,貼り付け2!$1:$1,0)+1)-1),"")))</f>
        <v/>
      </c>
      <c r="O35" t="str">
        <f ca="1">IFERROR(OFFSET(貼り付け2!$A$1,$A35-1,OFFSET(貼り付け2!$A$1,ROW()-1,MATCH(O$1,貼り付け2!$1:$1,0)-1)-1),"")</f>
        <v/>
      </c>
      <c r="P35" t="e">
        <f ca="1">OFFSET(貼り付け1!$A$1,貼り付け1!$G34-1,2)</f>
        <v>#REF!</v>
      </c>
      <c r="Q35" t="e">
        <f ca="1">OFFSET(貼り付け1!$A$1,貼り付け1!$F34-1,2)</f>
        <v>#REF!</v>
      </c>
      <c r="R35" t="str">
        <f ca="1">IFERROR(OFFSET(貼り付け2!$A$1,まとめ!$B35-1,OFFSET(貼り付け2!$A$1,ROW()-1,MATCH(R$1,貼り付け2!$1:$1,0)-1)-1),"")</f>
        <v/>
      </c>
      <c r="S35" t="str">
        <f ca="1">IF(OFFSET(貼り付け2!$A$1,ROW()-1,MATCH(S$1,貼り付け2!$1:$1,0)-1)&lt;&gt;"",
IF($C35=TRUE,
IF((OFFSET(貼り付け2!$A$1,ROW()-1,MATCH(S$1,貼り付け2!$1:$1,0)-1)-OFFSET(貼り付け2!$A$1,ROW()-1,MATCH(N$1,貼り付け2!$1:$1,0)-1))=2,
OFFSET(貼り付け2!$A$1,$A35-4,OFFSET(貼り付け2!$A$1,ROW()-1,MATCH(S$1,貼り付け2!$1:$1,0)-1)-2)
&amp;OFFSET(貼り付け2!$A$1,$A35-4,OFFSET(貼り付け2!$A$1,ROW()-1,MATCH(S$1,貼り付け2!$1:$1,0)-1)-1),
IF((OFFSET(貼り付け2!$A$1,ROW()-1,MATCH(S$1,貼り付け2!$1:$1,0)-1)-OFFSET(貼り付け2!$A$1,ROW()-1,MATCH(N$1,貼り付け2!$1:$1,0)-1))=3,
OFFSET(貼り付け2!$A$1,$A35-4,OFFSET(貼り付け2!$A$1,ROW()-1,MATCH(S$1,貼り付け2!$1:$1,0)-1)-3)
&amp;OFFSET(貼り付け2!$A$1,$A35-4,OFFSET(貼り付け2!$A$1,ROW()-1,MATCH(S$1,貼り付け2!$1:$1,0)-1)-2)
&amp;OFFSET(貼り付け2!$A$1,$A35-4,OFFSET(貼り付け2!$A$1,ROW()-1,MATCH(S$1,貼り付け2!$1:$1,0)-1)-1),"")),
IF((OFFSET(貼り付け2!$A$1,ROW()-1,MATCH(S$1,貼り付け2!$1:$1,0)-1)-OFFSET(貼り付け2!$A$1,ROW()-1,MATCH(N$1,貼り付け2!$1:$1,0)-1))=2,
OFFSET(貼り付け2!$A$1,$A35-2,OFFSET(貼り付け2!$A$1,ROW()-1,MATCH(S$1,貼り付け2!$1:$1,0)-1)-2)
&amp;OFFSET(貼り付け2!$A$1,$A35-2,OFFSET(貼り付け2!$A$1,ROW()-1,MATCH(S$1,貼り付け2!$1:$1,0)-1)-1),
IF((OFFSET(貼り付け2!$A$1,ROW()-1,MATCH(S$1,貼り付け2!$1:$1,0)-1)-OFFSET(貼り付け2!$A$1,ROW()-1,MATCH(N$1,貼り付け2!$1:$1,0)-1))=3,
OFFSET(貼り付け2!$A$1,$A35-2,OFFSET(貼り付け2!$A$1,ROW()-1,MATCH(S$1,貼り付け2!$1:$1,0)-1)-3)
&amp;OFFSET(貼り付け2!$A$1,$A35-2,OFFSET(貼り付け2!$A$1,ROW()-1,MATCH(S$1,貼り付け2!$1:$1,0)-1)-2)
&amp;OFFSET(貼り付け2!$A$1,$A35-2,OFFSET(貼り付け2!$A$1,ROW()-1,MATCH(S$1,貼り付け2!$1:$1,0)-1)-1),""))),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OFFSET(貼り付け2!$A$1,$A35-3,OFFSET(貼り付け2!$A$1,ROW()-1,MATCH(S$1,貼り付け2!$1:$1,0)+1)-2)
&amp;OFFSET(貼り付け2!$A$1,$A35-3,OFFSET(貼り付け2!$A$1,ROW()-1,MATCH(S$1,貼り付け2!$1:$1,0)+1)-1),
IF(OFFSET(貼り付け2!$A$1,ROW()-1,MATCH(S$1,貼り付け2!$1:$1,0)+1)-OFFSET(貼り付け2!$A$1,ROW()-1,MATCH(N$1,貼り付け2!$1:$1,0)+1)=3,
OFFSET(貼り付け2!$A$1,$A35-3,OFFSET(貼り付け2!$A$1,ROW()-1,MATCH(S$1,貼り付け2!$1:$1,0)+1)-3)
&amp;OFFSET(貼り付け2!$A$1,$A35-3,OFFSET(貼り付け2!$A$1,ROW()-1,MATCH(S$1,貼り付け2!$1:$1,0)+1)-2)
&amp;OFFSET(貼り付け2!$A$1,$A35-3,OFFSET(貼り付け2!$A$1,ROW()-1,MATCH(S$1,貼り付け2!$1:$1,0)+1)-1),"")),
IF(OFFSET(貼り付け2!$A$1,ROW()-1,MATCH(S$1,貼り付け2!$1:$1,0)+1)=2,
OFFSET(貼り付け2!$A$1,$A35-3,OFFSET(貼り付け2!$A$1,ROW()-1,MATCH(S$1,貼り付け2!$1:$1,0)+1)-2)
&amp;OFFSET(貼り付け2!$A$1,$A35-3,OFFSET(貼り付け2!$A$1,ROW()-1,MATCH(S$1,貼り付け2!$1:$1,0)+1)-1),
IF(OFFSET(貼り付け2!$A$1,ROW()-1,MATCH(S$1,貼り付け2!$1:$1,0)+1)=3,
OFFSET(貼り付け2!$A$1,$A35-3,OFFSET(貼り付け2!$A$1,ROW()-1,MATCH(S$1,貼り付け2!$1:$1,0)+1)-3)
&amp;OFFSET(貼り付け2!$A$1,$A35-3,OFFSET(貼り付け2!$A$1,ROW()-1,MATCH(S$1,貼り付け2!$1:$1,0)+1)-2)
&amp;OFFSET(貼り付け2!$A$1,$A35-3,OFFSET(貼り付け2!$A$1,ROW()-1,MATCH(S$1,貼り付け2!$1:$1,0)+1)-1),""))))</f>
        <v/>
      </c>
      <c r="T35" t="str">
        <f ca="1">IFERROR(OFFSET(貼り付け2!$A$1,$A35-1,OFFSET(貼り付け2!$A$1,ROW()-1,MATCH(T$1,貼り付け2!$1:$1,0)-1)-1),"")</f>
        <v/>
      </c>
      <c r="U35" t="e">
        <f ca="1">OFFSET(貼り付け1!$A$1,貼り付け1!$G34-1,3)</f>
        <v>#REF!</v>
      </c>
      <c r="V35" t="e">
        <f ca="1">OFFSET(貼り付け1!$A$1,貼り付け1!$F34-1,3)</f>
        <v>#REF!</v>
      </c>
      <c r="W35" t="str">
        <f ca="1">IFERROR(OFFSET(貼り付け2!$A$1,まとめ!$B35-1,OFFSET(貼り付け2!$A$1,ROW()-1,MATCH(W$1,貼り付け2!$1:$1,0)-1)-1),"")</f>
        <v/>
      </c>
    </row>
    <row r="36" spans="1:23" x14ac:dyDescent="0.45">
      <c r="A36" t="str">
        <f>貼り付け2!S36</f>
        <v/>
      </c>
      <c r="B36" t="str">
        <f>貼り付け2!R36</f>
        <v/>
      </c>
      <c r="C36" t="e">
        <f t="shared" ca="1" si="1"/>
        <v>#VALUE!</v>
      </c>
      <c r="D36" t="str">
        <f ca="1">IF(OFFSET(貼り付け2!$A$1,ROW()-1,MATCH(D$1,貼り付け2!$1:$1,0)-1)=2,
OFFSET(貼り付け2!$A$1,A36-2,OFFSET(貼り付け2!$A$1,ROW()-1,MATCH(D$1,貼り付け2!$1:$1,0)-1)-2)
&amp;OFFSET(貼り付け2!$A$1,A36-2,OFFSET(貼り付け2!$A$1,ROW()-1,MATCH(D$1,貼り付け2!$1:$1,0)-1)-1),
IF(OFFSET(貼り付け2!$A$1,ROW()-1,MATCH(D$1,貼り付け2!$1:$1,0)-1)=3,
OFFSET(貼り付け2!$A$1,A36-2,OFFSET(貼り付け2!$A$1,ROW()-1,MATCH(D$1,貼り付け2!$1:$1,0)-1)-3)
&amp;OFFSET(貼り付け2!$A$1,A36-2,OFFSET(貼り付け2!$A$1,ROW()-1,MATCH(D$1,貼り付け2!$1:$1,0)-1)-2)
&amp;OFFSET(貼り付け2!$A$1,A36-2,OFFSET(貼り付け2!$A$1,ROW()-1,MATCH(D$1,貼り付け2!$1:$1,0)-1)-1),""))</f>
        <v/>
      </c>
      <c r="E36" t="str">
        <f ca="1">IF(OFFSET(貼り付け2!$A$1,ROW()-1,MATCH(E$1,貼り付け2!$1:$1,0)-1)=2,
OFFSET(貼り付け2!$A$1,$A36-1,OFFSET(貼り付け2!$A$1,ROW()-1,MATCH(E$1,貼り付け2!$1:$1,0)-1)-2)&amp;"・"&amp;OFFSET(貼り付け2!$A$1,$A36-1,OFFSET(貼り付け2!$A$1,ROW()-1,MATCH(E$1,貼り付け2!$1:$1,0)-1)-1),
IF(OFFSET(貼り付け2!$A$1,ROW()-1,MATCH(E$1,貼り付け2!$1:$1,0)-1)=1,
OFFSET(貼り付け2!$A$1,$A36-1,OFFSET(貼り付け2!$A$1,ROW()-1,MATCH(E$1,貼り付け2!$1:$1,0)-1)-1),""))</f>
        <v/>
      </c>
      <c r="F36" t="e">
        <f ca="1">OFFSET(貼り付け1!$A$1,貼り付け1!$G35-1,0)</f>
        <v>#REF!</v>
      </c>
      <c r="G36" t="e">
        <f ca="1">OFFSET(貼り付け1!$A$1,貼り付け1!$F35-1,0)</f>
        <v>#REF!</v>
      </c>
      <c r="H36" t="str">
        <f ca="1">IFERROR(OFFSET(貼り付け2!$A$1,まとめ!$B36-1,OFFSET(貼り付け2!$A$1,ROW()-1,MATCH(H$1,貼り付け2!$1:$1,0)-1)-1),"")</f>
        <v/>
      </c>
      <c r="I36" t="e">
        <f ca="1">IF((OFFSET(貼り付け2!$A$1,ROW()-1,MATCH(I$1,貼り付け2!$1:$1,0)-1)-OFFSET(貼り付け2!$A$1,ROW()-1,MATCH(D$1,貼り付け2!$1:$1,0)-1))=2,
OFFSET(貼り付け2!$A$1,$A36-2,OFFSET(貼り付け2!$A$1,ROW()-1,MATCH(I$1,貼り付け2!$1:$1,0)-1)-2)
&amp;OFFSET(貼り付け2!$A$1,$A36-2,OFFSET(貼り付け2!$A$1,ROW()-1,MATCH(I$1,貼り付け2!$1:$1,0)-1)-1),
IF((OFFSET(貼り付け2!$A$1,ROW()-1,MATCH(I$1,貼り付け2!$1:$1,0)-1)-OFFSET(貼り付け2!$A$1,ROW()-1,MATCH(D$1,貼り付け2!$1:$1,0)-1))=3,
OFFSET(貼り付け2!$A$1,$A36-2,OFFSET(貼り付け2!$A$1,ROW()-1,MATCH(I$1,貼り付け2!$1:$1,0)-1)-3)
&amp;OFFSET(貼り付け2!$A$1,$A36-2,OFFSET(貼り付け2!$A$1,ROW()-1,MATCH(I$1,貼り付け2!$1:$1,0)-1)-2)
&amp;OFFSET(貼り付け2!$A$1,$A36-2,OFFSET(貼り付け2!$A$1,ROW()-1,MATCH(I$1,貼り付け2!$1:$1,0)-1)-1),""))</f>
        <v>#VALUE!</v>
      </c>
      <c r="J36" t="str">
        <f ca="1">IFERROR(OFFSET(貼り付け2!$A$1,$A36-1,OFFSET(貼り付け2!$A$1,ROW()-1,MATCH(J$1,貼り付け2!$1:$1,0)-1)-1),"")</f>
        <v/>
      </c>
      <c r="K36" t="e">
        <f ca="1">OFFSET(貼り付け1!$A$1,貼り付け1!$G35-1,1)</f>
        <v>#REF!</v>
      </c>
      <c r="L36" t="e">
        <f ca="1">OFFSET(貼り付け1!$A$1,貼り付け1!$F35-1,1)</f>
        <v>#REF!</v>
      </c>
      <c r="M36" t="str">
        <f ca="1">IFERROR(OFFSET(貼り付け2!$A$1,まとめ!$B36-1,OFFSET(貼り付け2!$A$1,ROW()-1,MATCH(M$1,貼り付け2!$1:$1,0)-1)-1),"")</f>
        <v/>
      </c>
      <c r="N36" t="str">
        <f ca="1">IF(OFFSET(貼り付け2!$A$1,ROW()-1,MATCH(N$1,貼り付け2!$1:$1,0)-1)&lt;&gt;"",
IF($C36=TRUE,
IF((OFFSET(貼り付け2!$A$1,ROW()-1,MATCH(N$1,貼り付け2!$1:$1,0)-1)-OFFSET(貼り付け2!$A$1,ROW()-1,MATCH(I$1,貼り付け2!$1:$1,0)-1))=2,
OFFSET(貼り付け2!$A$1,$A36-4,OFFSET(貼り付け2!$A$1,ROW()-1,MATCH(N$1,貼り付け2!$1:$1,0)-1)-2)
&amp;OFFSET(貼り付け2!$A$1,$A36-4,OFFSET(貼り付け2!$A$1,ROW()-1,MATCH(N$1,貼り付け2!$1:$1,0)-1)-1),
IF((OFFSET(貼り付け2!$A$1,ROW()-1,MATCH(N$1,貼り付け2!$1:$1,0)-1)-OFFSET(貼り付け2!$A$1,ROW()-1,MATCH(I$1,貼り付け2!$1:$1,0)-1))=3,
OFFSET(貼り付け2!$A$1,$A36-4,OFFSET(貼り付け2!$A$1,ROW()-1,MATCH(N$1,貼り付け2!$1:$1,0)-1)-3)
&amp;OFFSET(貼り付け2!$A$1,$A36-4,OFFSET(貼り付け2!$A$1,ROW()-1,MATCH(N$1,貼り付け2!$1:$1,0)-1)-2)
&amp;OFFSET(貼り付け2!$A$1,$A36-4,OFFSET(貼り付け2!$A$1,ROW()-1,MATCH(N$1,貼り付け2!$1:$1,0)-1)-1),"")),
IF((OFFSET(貼り付け2!$A$1,ROW()-1,MATCH(N$1,貼り付け2!$1:$1,0)-1)-OFFSET(貼り付け2!$A$1,ROW()-1,MATCH(I$1,貼り付け2!$1:$1,0)-1))=2,
OFFSET(貼り付け2!$A$1,$A36-2,OFFSET(貼り付け2!$A$1,ROW()-1,MATCH(N$1,貼り付け2!$1:$1,0)-1)-2)
&amp;OFFSET(貼り付け2!$A$1,$A36-2,OFFSET(貼り付け2!$A$1,ROW()-1,MATCH(N$1,貼り付け2!$1:$1,0)-1)-1),
IF((OFFSET(貼り付け2!$A$1,ROW()-1,MATCH(N$1,貼り付け2!$1:$1,0)-1)-OFFSET(貼り付け2!$A$1,ROW()-1,MATCH(I$1,貼り付け2!$1:$1,0)-1))=3,
OFFSET(貼り付け2!$A$1,$A36-2,OFFSET(貼り付け2!$A$1,ROW()-1,MATCH(N$1,貼り付け2!$1:$1,0)-1)-3)
&amp;OFFSET(貼り付け2!$A$1,$A36-2,OFFSET(貼り付け2!$A$1,ROW()-1,MATCH(N$1,貼り付け2!$1:$1,0)-1)-2)
&amp;OFFSET(貼り付け2!$A$1,$A36-2,OFFSET(貼り付け2!$A$1,ROW()-1,MATCH(N$1,貼り付け2!$1:$1,0)-1)-1),""))),
IF(OFFSET(貼り付け2!$A$1,ROW()-1,MATCH(N$1,貼り付け2!$1:$1,0)+1)=2,
OFFSET(貼り付け2!$A$1,$A36-3,OFFSET(貼り付け2!$A$1,ROW()-1,MATCH(N$1,貼り付け2!$1:$1,0)+1)-2)
&amp;OFFSET(貼り付け2!$A$1,$A36-3,OFFSET(貼り付け2!$A$1,ROW()-1,MATCH(N$1,貼り付け2!$1:$1,0)+1)-1),
IF(OFFSET(貼り付け2!$A$1,ROW()-1,MATCH(N$1,貼り付け2!$1:$1,0)+1)=3,
OFFSET(貼り付け2!$A$1,$A36-3,OFFSET(貼り付け2!$A$1,ROW()-1,MATCH(N$1,貼り付け2!$1:$1,0)+1)-3)
&amp;OFFSET(貼り付け2!$A$1,$A36-3,OFFSET(貼り付け2!$A$1,ROW()-1,MATCH(N$1,貼り付け2!$1:$1,0)+1)-2)
&amp;OFFSET(貼り付け2!$A$1,$A36-3,OFFSET(貼り付け2!$A$1,ROW()-1,MATCH(N$1,貼り付け2!$1:$1,0)+1)-1),"")))</f>
        <v/>
      </c>
      <c r="O36" t="str">
        <f ca="1">IFERROR(OFFSET(貼り付け2!$A$1,$A36-1,OFFSET(貼り付け2!$A$1,ROW()-1,MATCH(O$1,貼り付け2!$1:$1,0)-1)-1),"")</f>
        <v/>
      </c>
      <c r="P36" t="e">
        <f ca="1">OFFSET(貼り付け1!$A$1,貼り付け1!$G35-1,2)</f>
        <v>#REF!</v>
      </c>
      <c r="Q36" t="e">
        <f ca="1">OFFSET(貼り付け1!$A$1,貼り付け1!$F35-1,2)</f>
        <v>#REF!</v>
      </c>
      <c r="R36" t="str">
        <f ca="1">IFERROR(OFFSET(貼り付け2!$A$1,まとめ!$B36-1,OFFSET(貼り付け2!$A$1,ROW()-1,MATCH(R$1,貼り付け2!$1:$1,0)-1)-1),"")</f>
        <v/>
      </c>
      <c r="S36" t="str">
        <f ca="1">IF(OFFSET(貼り付け2!$A$1,ROW()-1,MATCH(S$1,貼り付け2!$1:$1,0)-1)&lt;&gt;"",
IF($C36=TRUE,
IF((OFFSET(貼り付け2!$A$1,ROW()-1,MATCH(S$1,貼り付け2!$1:$1,0)-1)-OFFSET(貼り付け2!$A$1,ROW()-1,MATCH(N$1,貼り付け2!$1:$1,0)-1))=2,
OFFSET(貼り付け2!$A$1,$A36-4,OFFSET(貼り付け2!$A$1,ROW()-1,MATCH(S$1,貼り付け2!$1:$1,0)-1)-2)
&amp;OFFSET(貼り付け2!$A$1,$A36-4,OFFSET(貼り付け2!$A$1,ROW()-1,MATCH(S$1,貼り付け2!$1:$1,0)-1)-1),
IF((OFFSET(貼り付け2!$A$1,ROW()-1,MATCH(S$1,貼り付け2!$1:$1,0)-1)-OFFSET(貼り付け2!$A$1,ROW()-1,MATCH(N$1,貼り付け2!$1:$1,0)-1))=3,
OFFSET(貼り付け2!$A$1,$A36-4,OFFSET(貼り付け2!$A$1,ROW()-1,MATCH(S$1,貼り付け2!$1:$1,0)-1)-3)
&amp;OFFSET(貼り付け2!$A$1,$A36-4,OFFSET(貼り付け2!$A$1,ROW()-1,MATCH(S$1,貼り付け2!$1:$1,0)-1)-2)
&amp;OFFSET(貼り付け2!$A$1,$A36-4,OFFSET(貼り付け2!$A$1,ROW()-1,MATCH(S$1,貼り付け2!$1:$1,0)-1)-1),"")),
IF((OFFSET(貼り付け2!$A$1,ROW()-1,MATCH(S$1,貼り付け2!$1:$1,0)-1)-OFFSET(貼り付け2!$A$1,ROW()-1,MATCH(N$1,貼り付け2!$1:$1,0)-1))=2,
OFFSET(貼り付け2!$A$1,$A36-2,OFFSET(貼り付け2!$A$1,ROW()-1,MATCH(S$1,貼り付け2!$1:$1,0)-1)-2)
&amp;OFFSET(貼り付け2!$A$1,$A36-2,OFFSET(貼り付け2!$A$1,ROW()-1,MATCH(S$1,貼り付け2!$1:$1,0)-1)-1),
IF((OFFSET(貼り付け2!$A$1,ROW()-1,MATCH(S$1,貼り付け2!$1:$1,0)-1)-OFFSET(貼り付け2!$A$1,ROW()-1,MATCH(N$1,貼り付け2!$1:$1,0)-1))=3,
OFFSET(貼り付け2!$A$1,$A36-2,OFFSET(貼り付け2!$A$1,ROW()-1,MATCH(S$1,貼り付け2!$1:$1,0)-1)-3)
&amp;OFFSET(貼り付け2!$A$1,$A36-2,OFFSET(貼り付け2!$A$1,ROW()-1,MATCH(S$1,貼り付け2!$1:$1,0)-1)-2)
&amp;OFFSET(貼り付け2!$A$1,$A36-2,OFFSET(貼り付け2!$A$1,ROW()-1,MATCH(S$1,貼り付け2!$1:$1,0)-1)-1),""))),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OFFSET(貼り付け2!$A$1,$A36-3,OFFSET(貼り付け2!$A$1,ROW()-1,MATCH(S$1,貼り付け2!$1:$1,0)+1)-2)
&amp;OFFSET(貼り付け2!$A$1,$A36-3,OFFSET(貼り付け2!$A$1,ROW()-1,MATCH(S$1,貼り付け2!$1:$1,0)+1)-1),
IF(OFFSET(貼り付け2!$A$1,ROW()-1,MATCH(S$1,貼り付け2!$1:$1,0)+1)-OFFSET(貼り付け2!$A$1,ROW()-1,MATCH(N$1,貼り付け2!$1:$1,0)+1)=3,
OFFSET(貼り付け2!$A$1,$A36-3,OFFSET(貼り付け2!$A$1,ROW()-1,MATCH(S$1,貼り付け2!$1:$1,0)+1)-3)
&amp;OFFSET(貼り付け2!$A$1,$A36-3,OFFSET(貼り付け2!$A$1,ROW()-1,MATCH(S$1,貼り付け2!$1:$1,0)+1)-2)
&amp;OFFSET(貼り付け2!$A$1,$A36-3,OFFSET(貼り付け2!$A$1,ROW()-1,MATCH(S$1,貼り付け2!$1:$1,0)+1)-1),"")),
IF(OFFSET(貼り付け2!$A$1,ROW()-1,MATCH(S$1,貼り付け2!$1:$1,0)+1)=2,
OFFSET(貼り付け2!$A$1,$A36-3,OFFSET(貼り付け2!$A$1,ROW()-1,MATCH(S$1,貼り付け2!$1:$1,0)+1)-2)
&amp;OFFSET(貼り付け2!$A$1,$A36-3,OFFSET(貼り付け2!$A$1,ROW()-1,MATCH(S$1,貼り付け2!$1:$1,0)+1)-1),
IF(OFFSET(貼り付け2!$A$1,ROW()-1,MATCH(S$1,貼り付け2!$1:$1,0)+1)=3,
OFFSET(貼り付け2!$A$1,$A36-3,OFFSET(貼り付け2!$A$1,ROW()-1,MATCH(S$1,貼り付け2!$1:$1,0)+1)-3)
&amp;OFFSET(貼り付け2!$A$1,$A36-3,OFFSET(貼り付け2!$A$1,ROW()-1,MATCH(S$1,貼り付け2!$1:$1,0)+1)-2)
&amp;OFFSET(貼り付け2!$A$1,$A36-3,OFFSET(貼り付け2!$A$1,ROW()-1,MATCH(S$1,貼り付け2!$1:$1,0)+1)-1),""))))</f>
        <v/>
      </c>
      <c r="T36" t="str">
        <f ca="1">IFERROR(OFFSET(貼り付け2!$A$1,$A36-1,OFFSET(貼り付け2!$A$1,ROW()-1,MATCH(T$1,貼り付け2!$1:$1,0)-1)-1),"")</f>
        <v/>
      </c>
      <c r="U36" t="e">
        <f ca="1">OFFSET(貼り付け1!$A$1,貼り付け1!$G35-1,3)</f>
        <v>#REF!</v>
      </c>
      <c r="V36" t="e">
        <f ca="1">OFFSET(貼り付け1!$A$1,貼り付け1!$F35-1,3)</f>
        <v>#REF!</v>
      </c>
      <c r="W36" t="str">
        <f ca="1">IFERROR(OFFSET(貼り付け2!$A$1,まとめ!$B36-1,OFFSET(貼り付け2!$A$1,ROW()-1,MATCH(W$1,貼り付け2!$1:$1,0)-1)-1),"")</f>
        <v/>
      </c>
    </row>
    <row r="37" spans="1:23" x14ac:dyDescent="0.45">
      <c r="A37" t="str">
        <f>貼り付け2!S37</f>
        <v/>
      </c>
      <c r="B37" t="str">
        <f>貼り付け2!R37</f>
        <v/>
      </c>
      <c r="C37" t="e">
        <f t="shared" ca="1" si="1"/>
        <v>#VALUE!</v>
      </c>
      <c r="D37" t="str">
        <f ca="1">IF(OFFSET(貼り付け2!$A$1,ROW()-1,MATCH(D$1,貼り付け2!$1:$1,0)-1)=2,
OFFSET(貼り付け2!$A$1,A37-2,OFFSET(貼り付け2!$A$1,ROW()-1,MATCH(D$1,貼り付け2!$1:$1,0)-1)-2)
&amp;OFFSET(貼り付け2!$A$1,A37-2,OFFSET(貼り付け2!$A$1,ROW()-1,MATCH(D$1,貼り付け2!$1:$1,0)-1)-1),
IF(OFFSET(貼り付け2!$A$1,ROW()-1,MATCH(D$1,貼り付け2!$1:$1,0)-1)=3,
OFFSET(貼り付け2!$A$1,A37-2,OFFSET(貼り付け2!$A$1,ROW()-1,MATCH(D$1,貼り付け2!$1:$1,0)-1)-3)
&amp;OFFSET(貼り付け2!$A$1,A37-2,OFFSET(貼り付け2!$A$1,ROW()-1,MATCH(D$1,貼り付け2!$1:$1,0)-1)-2)
&amp;OFFSET(貼り付け2!$A$1,A37-2,OFFSET(貼り付け2!$A$1,ROW()-1,MATCH(D$1,貼り付け2!$1:$1,0)-1)-1),""))</f>
        <v/>
      </c>
      <c r="E37" t="str">
        <f ca="1">IF(OFFSET(貼り付け2!$A$1,ROW()-1,MATCH(E$1,貼り付け2!$1:$1,0)-1)=2,
OFFSET(貼り付け2!$A$1,$A37-1,OFFSET(貼り付け2!$A$1,ROW()-1,MATCH(E$1,貼り付け2!$1:$1,0)-1)-2)&amp;"・"&amp;OFFSET(貼り付け2!$A$1,$A37-1,OFFSET(貼り付け2!$A$1,ROW()-1,MATCH(E$1,貼り付け2!$1:$1,0)-1)-1),
IF(OFFSET(貼り付け2!$A$1,ROW()-1,MATCH(E$1,貼り付け2!$1:$1,0)-1)=1,
OFFSET(貼り付け2!$A$1,$A37-1,OFFSET(貼り付け2!$A$1,ROW()-1,MATCH(E$1,貼り付け2!$1:$1,0)-1)-1),""))</f>
        <v/>
      </c>
      <c r="F37" t="e">
        <f ca="1">OFFSET(貼り付け1!$A$1,貼り付け1!$G36-1,0)</f>
        <v>#REF!</v>
      </c>
      <c r="G37" t="e">
        <f ca="1">OFFSET(貼り付け1!$A$1,貼り付け1!$F36-1,0)</f>
        <v>#REF!</v>
      </c>
      <c r="H37" t="str">
        <f ca="1">IFERROR(OFFSET(貼り付け2!$A$1,まとめ!$B37-1,OFFSET(貼り付け2!$A$1,ROW()-1,MATCH(H$1,貼り付け2!$1:$1,0)-1)-1),"")</f>
        <v/>
      </c>
      <c r="I37" t="e">
        <f ca="1">IF((OFFSET(貼り付け2!$A$1,ROW()-1,MATCH(I$1,貼り付け2!$1:$1,0)-1)-OFFSET(貼り付け2!$A$1,ROW()-1,MATCH(D$1,貼り付け2!$1:$1,0)-1))=2,
OFFSET(貼り付け2!$A$1,$A37-2,OFFSET(貼り付け2!$A$1,ROW()-1,MATCH(I$1,貼り付け2!$1:$1,0)-1)-2)
&amp;OFFSET(貼り付け2!$A$1,$A37-2,OFFSET(貼り付け2!$A$1,ROW()-1,MATCH(I$1,貼り付け2!$1:$1,0)-1)-1),
IF((OFFSET(貼り付け2!$A$1,ROW()-1,MATCH(I$1,貼り付け2!$1:$1,0)-1)-OFFSET(貼り付け2!$A$1,ROW()-1,MATCH(D$1,貼り付け2!$1:$1,0)-1))=3,
OFFSET(貼り付け2!$A$1,$A37-2,OFFSET(貼り付け2!$A$1,ROW()-1,MATCH(I$1,貼り付け2!$1:$1,0)-1)-3)
&amp;OFFSET(貼り付け2!$A$1,$A37-2,OFFSET(貼り付け2!$A$1,ROW()-1,MATCH(I$1,貼り付け2!$1:$1,0)-1)-2)
&amp;OFFSET(貼り付け2!$A$1,$A37-2,OFFSET(貼り付け2!$A$1,ROW()-1,MATCH(I$1,貼り付け2!$1:$1,0)-1)-1),""))</f>
        <v>#VALUE!</v>
      </c>
      <c r="J37" t="str">
        <f ca="1">IFERROR(OFFSET(貼り付け2!$A$1,$A37-1,OFFSET(貼り付け2!$A$1,ROW()-1,MATCH(J$1,貼り付け2!$1:$1,0)-1)-1),"")</f>
        <v/>
      </c>
      <c r="K37" t="e">
        <f ca="1">OFFSET(貼り付け1!$A$1,貼り付け1!$G36-1,1)</f>
        <v>#REF!</v>
      </c>
      <c r="L37" t="e">
        <f ca="1">OFFSET(貼り付け1!$A$1,貼り付け1!$F36-1,1)</f>
        <v>#REF!</v>
      </c>
      <c r="M37" t="str">
        <f ca="1">IFERROR(OFFSET(貼り付け2!$A$1,まとめ!$B37-1,OFFSET(貼り付け2!$A$1,ROW()-1,MATCH(M$1,貼り付け2!$1:$1,0)-1)-1),"")</f>
        <v/>
      </c>
      <c r="N37" t="str">
        <f ca="1">IF(OFFSET(貼り付け2!$A$1,ROW()-1,MATCH(N$1,貼り付け2!$1:$1,0)-1)&lt;&gt;"",
IF($C37=TRUE,
IF((OFFSET(貼り付け2!$A$1,ROW()-1,MATCH(N$1,貼り付け2!$1:$1,0)-1)-OFFSET(貼り付け2!$A$1,ROW()-1,MATCH(I$1,貼り付け2!$1:$1,0)-1))=2,
OFFSET(貼り付け2!$A$1,$A37-4,OFFSET(貼り付け2!$A$1,ROW()-1,MATCH(N$1,貼り付け2!$1:$1,0)-1)-2)
&amp;OFFSET(貼り付け2!$A$1,$A37-4,OFFSET(貼り付け2!$A$1,ROW()-1,MATCH(N$1,貼り付け2!$1:$1,0)-1)-1),
IF((OFFSET(貼り付け2!$A$1,ROW()-1,MATCH(N$1,貼り付け2!$1:$1,0)-1)-OFFSET(貼り付け2!$A$1,ROW()-1,MATCH(I$1,貼り付け2!$1:$1,0)-1))=3,
OFFSET(貼り付け2!$A$1,$A37-4,OFFSET(貼り付け2!$A$1,ROW()-1,MATCH(N$1,貼り付け2!$1:$1,0)-1)-3)
&amp;OFFSET(貼り付け2!$A$1,$A37-4,OFFSET(貼り付け2!$A$1,ROW()-1,MATCH(N$1,貼り付け2!$1:$1,0)-1)-2)
&amp;OFFSET(貼り付け2!$A$1,$A37-4,OFFSET(貼り付け2!$A$1,ROW()-1,MATCH(N$1,貼り付け2!$1:$1,0)-1)-1),"")),
IF((OFFSET(貼り付け2!$A$1,ROW()-1,MATCH(N$1,貼り付け2!$1:$1,0)-1)-OFFSET(貼り付け2!$A$1,ROW()-1,MATCH(I$1,貼り付け2!$1:$1,0)-1))=2,
OFFSET(貼り付け2!$A$1,$A37-2,OFFSET(貼り付け2!$A$1,ROW()-1,MATCH(N$1,貼り付け2!$1:$1,0)-1)-2)
&amp;OFFSET(貼り付け2!$A$1,$A37-2,OFFSET(貼り付け2!$A$1,ROW()-1,MATCH(N$1,貼り付け2!$1:$1,0)-1)-1),
IF((OFFSET(貼り付け2!$A$1,ROW()-1,MATCH(N$1,貼り付け2!$1:$1,0)-1)-OFFSET(貼り付け2!$A$1,ROW()-1,MATCH(I$1,貼り付け2!$1:$1,0)-1))=3,
OFFSET(貼り付け2!$A$1,$A37-2,OFFSET(貼り付け2!$A$1,ROW()-1,MATCH(N$1,貼り付け2!$1:$1,0)-1)-3)
&amp;OFFSET(貼り付け2!$A$1,$A37-2,OFFSET(貼り付け2!$A$1,ROW()-1,MATCH(N$1,貼り付け2!$1:$1,0)-1)-2)
&amp;OFFSET(貼り付け2!$A$1,$A37-2,OFFSET(貼り付け2!$A$1,ROW()-1,MATCH(N$1,貼り付け2!$1:$1,0)-1)-1),""))),
IF(OFFSET(貼り付け2!$A$1,ROW()-1,MATCH(N$1,貼り付け2!$1:$1,0)+1)=2,
OFFSET(貼り付け2!$A$1,$A37-3,OFFSET(貼り付け2!$A$1,ROW()-1,MATCH(N$1,貼り付け2!$1:$1,0)+1)-2)
&amp;OFFSET(貼り付け2!$A$1,$A37-3,OFFSET(貼り付け2!$A$1,ROW()-1,MATCH(N$1,貼り付け2!$1:$1,0)+1)-1),
IF(OFFSET(貼り付け2!$A$1,ROW()-1,MATCH(N$1,貼り付け2!$1:$1,0)+1)=3,
OFFSET(貼り付け2!$A$1,$A37-3,OFFSET(貼り付け2!$A$1,ROW()-1,MATCH(N$1,貼り付け2!$1:$1,0)+1)-3)
&amp;OFFSET(貼り付け2!$A$1,$A37-3,OFFSET(貼り付け2!$A$1,ROW()-1,MATCH(N$1,貼り付け2!$1:$1,0)+1)-2)
&amp;OFFSET(貼り付け2!$A$1,$A37-3,OFFSET(貼り付け2!$A$1,ROW()-1,MATCH(N$1,貼り付け2!$1:$1,0)+1)-1),"")))</f>
        <v/>
      </c>
      <c r="O37" t="str">
        <f ca="1">IFERROR(OFFSET(貼り付け2!$A$1,$A37-1,OFFSET(貼り付け2!$A$1,ROW()-1,MATCH(O$1,貼り付け2!$1:$1,0)-1)-1),"")</f>
        <v/>
      </c>
      <c r="P37" t="e">
        <f ca="1">OFFSET(貼り付け1!$A$1,貼り付け1!$G36-1,2)</f>
        <v>#REF!</v>
      </c>
      <c r="Q37" t="e">
        <f ca="1">OFFSET(貼り付け1!$A$1,貼り付け1!$F36-1,2)</f>
        <v>#REF!</v>
      </c>
      <c r="R37" t="str">
        <f ca="1">IFERROR(OFFSET(貼り付け2!$A$1,まとめ!$B37-1,OFFSET(貼り付け2!$A$1,ROW()-1,MATCH(R$1,貼り付け2!$1:$1,0)-1)-1),"")</f>
        <v/>
      </c>
      <c r="S37" t="str">
        <f ca="1">IF(OFFSET(貼り付け2!$A$1,ROW()-1,MATCH(S$1,貼り付け2!$1:$1,0)-1)&lt;&gt;"",
IF($C37=TRUE,
IF((OFFSET(貼り付け2!$A$1,ROW()-1,MATCH(S$1,貼り付け2!$1:$1,0)-1)-OFFSET(貼り付け2!$A$1,ROW()-1,MATCH(N$1,貼り付け2!$1:$1,0)-1))=2,
OFFSET(貼り付け2!$A$1,$A37-4,OFFSET(貼り付け2!$A$1,ROW()-1,MATCH(S$1,貼り付け2!$1:$1,0)-1)-2)
&amp;OFFSET(貼り付け2!$A$1,$A37-4,OFFSET(貼り付け2!$A$1,ROW()-1,MATCH(S$1,貼り付け2!$1:$1,0)-1)-1),
IF((OFFSET(貼り付け2!$A$1,ROW()-1,MATCH(S$1,貼り付け2!$1:$1,0)-1)-OFFSET(貼り付け2!$A$1,ROW()-1,MATCH(N$1,貼り付け2!$1:$1,0)-1))=3,
OFFSET(貼り付け2!$A$1,$A37-4,OFFSET(貼り付け2!$A$1,ROW()-1,MATCH(S$1,貼り付け2!$1:$1,0)-1)-3)
&amp;OFFSET(貼り付け2!$A$1,$A37-4,OFFSET(貼り付け2!$A$1,ROW()-1,MATCH(S$1,貼り付け2!$1:$1,0)-1)-2)
&amp;OFFSET(貼り付け2!$A$1,$A37-4,OFFSET(貼り付け2!$A$1,ROW()-1,MATCH(S$1,貼り付け2!$1:$1,0)-1)-1),"")),
IF((OFFSET(貼り付け2!$A$1,ROW()-1,MATCH(S$1,貼り付け2!$1:$1,0)-1)-OFFSET(貼り付け2!$A$1,ROW()-1,MATCH(N$1,貼り付け2!$1:$1,0)-1))=2,
OFFSET(貼り付け2!$A$1,$A37-2,OFFSET(貼り付け2!$A$1,ROW()-1,MATCH(S$1,貼り付け2!$1:$1,0)-1)-2)
&amp;OFFSET(貼り付け2!$A$1,$A37-2,OFFSET(貼り付け2!$A$1,ROW()-1,MATCH(S$1,貼り付け2!$1:$1,0)-1)-1),
IF((OFFSET(貼り付け2!$A$1,ROW()-1,MATCH(S$1,貼り付け2!$1:$1,0)-1)-OFFSET(貼り付け2!$A$1,ROW()-1,MATCH(N$1,貼り付け2!$1:$1,0)-1))=3,
OFFSET(貼り付け2!$A$1,$A37-2,OFFSET(貼り付け2!$A$1,ROW()-1,MATCH(S$1,貼り付け2!$1:$1,0)-1)-3)
&amp;OFFSET(貼り付け2!$A$1,$A37-2,OFFSET(貼り付け2!$A$1,ROW()-1,MATCH(S$1,貼り付け2!$1:$1,0)-1)-2)
&amp;OFFSET(貼り付け2!$A$1,$A37-2,OFFSET(貼り付け2!$A$1,ROW()-1,MATCH(S$1,貼り付け2!$1:$1,0)-1)-1),""))),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OFFSET(貼り付け2!$A$1,$A37-3,OFFSET(貼り付け2!$A$1,ROW()-1,MATCH(S$1,貼り付け2!$1:$1,0)+1)-2)
&amp;OFFSET(貼り付け2!$A$1,$A37-3,OFFSET(貼り付け2!$A$1,ROW()-1,MATCH(S$1,貼り付け2!$1:$1,0)+1)-1),
IF(OFFSET(貼り付け2!$A$1,ROW()-1,MATCH(S$1,貼り付け2!$1:$1,0)+1)-OFFSET(貼り付け2!$A$1,ROW()-1,MATCH(N$1,貼り付け2!$1:$1,0)+1)=3,
OFFSET(貼り付け2!$A$1,$A37-3,OFFSET(貼り付け2!$A$1,ROW()-1,MATCH(S$1,貼り付け2!$1:$1,0)+1)-3)
&amp;OFFSET(貼り付け2!$A$1,$A37-3,OFFSET(貼り付け2!$A$1,ROW()-1,MATCH(S$1,貼り付け2!$1:$1,0)+1)-2)
&amp;OFFSET(貼り付け2!$A$1,$A37-3,OFFSET(貼り付け2!$A$1,ROW()-1,MATCH(S$1,貼り付け2!$1:$1,0)+1)-1),"")),
IF(OFFSET(貼り付け2!$A$1,ROW()-1,MATCH(S$1,貼り付け2!$1:$1,0)+1)=2,
OFFSET(貼り付け2!$A$1,$A37-3,OFFSET(貼り付け2!$A$1,ROW()-1,MATCH(S$1,貼り付け2!$1:$1,0)+1)-2)
&amp;OFFSET(貼り付け2!$A$1,$A37-3,OFFSET(貼り付け2!$A$1,ROW()-1,MATCH(S$1,貼り付け2!$1:$1,0)+1)-1),
IF(OFFSET(貼り付け2!$A$1,ROW()-1,MATCH(S$1,貼り付け2!$1:$1,0)+1)=3,
OFFSET(貼り付け2!$A$1,$A37-3,OFFSET(貼り付け2!$A$1,ROW()-1,MATCH(S$1,貼り付け2!$1:$1,0)+1)-3)
&amp;OFFSET(貼り付け2!$A$1,$A37-3,OFFSET(貼り付け2!$A$1,ROW()-1,MATCH(S$1,貼り付け2!$1:$1,0)+1)-2)
&amp;OFFSET(貼り付け2!$A$1,$A37-3,OFFSET(貼り付け2!$A$1,ROW()-1,MATCH(S$1,貼り付け2!$1:$1,0)+1)-1),""))))</f>
        <v/>
      </c>
      <c r="T37" t="str">
        <f ca="1">IFERROR(OFFSET(貼り付け2!$A$1,$A37-1,OFFSET(貼り付け2!$A$1,ROW()-1,MATCH(T$1,貼り付け2!$1:$1,0)-1)-1),"")</f>
        <v/>
      </c>
      <c r="U37" t="e">
        <f ca="1">OFFSET(貼り付け1!$A$1,貼り付け1!$G36-1,3)</f>
        <v>#REF!</v>
      </c>
      <c r="V37" t="e">
        <f ca="1">OFFSET(貼り付け1!$A$1,貼り付け1!$F36-1,3)</f>
        <v>#REF!</v>
      </c>
      <c r="W37" t="str">
        <f ca="1">IFERROR(OFFSET(貼り付け2!$A$1,まとめ!$B37-1,OFFSET(貼り付け2!$A$1,ROW()-1,MATCH(W$1,貼り付け2!$1:$1,0)-1)-1),"")</f>
        <v/>
      </c>
    </row>
    <row r="38" spans="1:23" x14ac:dyDescent="0.45">
      <c r="A38" t="str">
        <f>貼り付け2!S38</f>
        <v/>
      </c>
      <c r="B38" t="str">
        <f>貼り付け2!R38</f>
        <v/>
      </c>
      <c r="C38" t="e">
        <f t="shared" ca="1" si="1"/>
        <v>#VALUE!</v>
      </c>
      <c r="D38" t="str">
        <f ca="1">IF(OFFSET(貼り付け2!$A$1,ROW()-1,MATCH(D$1,貼り付け2!$1:$1,0)-1)=2,
OFFSET(貼り付け2!$A$1,A38-2,OFFSET(貼り付け2!$A$1,ROW()-1,MATCH(D$1,貼り付け2!$1:$1,0)-1)-2)
&amp;OFFSET(貼り付け2!$A$1,A38-2,OFFSET(貼り付け2!$A$1,ROW()-1,MATCH(D$1,貼り付け2!$1:$1,0)-1)-1),
IF(OFFSET(貼り付け2!$A$1,ROW()-1,MATCH(D$1,貼り付け2!$1:$1,0)-1)=3,
OFFSET(貼り付け2!$A$1,A38-2,OFFSET(貼り付け2!$A$1,ROW()-1,MATCH(D$1,貼り付け2!$1:$1,0)-1)-3)
&amp;OFFSET(貼り付け2!$A$1,A38-2,OFFSET(貼り付け2!$A$1,ROW()-1,MATCH(D$1,貼り付け2!$1:$1,0)-1)-2)
&amp;OFFSET(貼り付け2!$A$1,A38-2,OFFSET(貼り付け2!$A$1,ROW()-1,MATCH(D$1,貼り付け2!$1:$1,0)-1)-1),""))</f>
        <v/>
      </c>
      <c r="E38" t="str">
        <f ca="1">IF(OFFSET(貼り付け2!$A$1,ROW()-1,MATCH(E$1,貼り付け2!$1:$1,0)-1)=2,
OFFSET(貼り付け2!$A$1,$A38-1,OFFSET(貼り付け2!$A$1,ROW()-1,MATCH(E$1,貼り付け2!$1:$1,0)-1)-2)&amp;"・"&amp;OFFSET(貼り付け2!$A$1,$A38-1,OFFSET(貼り付け2!$A$1,ROW()-1,MATCH(E$1,貼り付け2!$1:$1,0)-1)-1),
IF(OFFSET(貼り付け2!$A$1,ROW()-1,MATCH(E$1,貼り付け2!$1:$1,0)-1)=1,
OFFSET(貼り付け2!$A$1,$A38-1,OFFSET(貼り付け2!$A$1,ROW()-1,MATCH(E$1,貼り付け2!$1:$1,0)-1)-1),""))</f>
        <v/>
      </c>
      <c r="F38" t="e">
        <f ca="1">OFFSET(貼り付け1!$A$1,貼り付け1!$G37-1,0)</f>
        <v>#REF!</v>
      </c>
      <c r="G38" t="e">
        <f ca="1">OFFSET(貼り付け1!$A$1,貼り付け1!$F37-1,0)</f>
        <v>#REF!</v>
      </c>
      <c r="H38" t="str">
        <f ca="1">IFERROR(OFFSET(貼り付け2!$A$1,まとめ!$B38-1,OFFSET(貼り付け2!$A$1,ROW()-1,MATCH(H$1,貼り付け2!$1:$1,0)-1)-1),"")</f>
        <v/>
      </c>
      <c r="I38" t="e">
        <f ca="1">IF((OFFSET(貼り付け2!$A$1,ROW()-1,MATCH(I$1,貼り付け2!$1:$1,0)-1)-OFFSET(貼り付け2!$A$1,ROW()-1,MATCH(D$1,貼り付け2!$1:$1,0)-1))=2,
OFFSET(貼り付け2!$A$1,$A38-2,OFFSET(貼り付け2!$A$1,ROW()-1,MATCH(I$1,貼り付け2!$1:$1,0)-1)-2)
&amp;OFFSET(貼り付け2!$A$1,$A38-2,OFFSET(貼り付け2!$A$1,ROW()-1,MATCH(I$1,貼り付け2!$1:$1,0)-1)-1),
IF((OFFSET(貼り付け2!$A$1,ROW()-1,MATCH(I$1,貼り付け2!$1:$1,0)-1)-OFFSET(貼り付け2!$A$1,ROW()-1,MATCH(D$1,貼り付け2!$1:$1,0)-1))=3,
OFFSET(貼り付け2!$A$1,$A38-2,OFFSET(貼り付け2!$A$1,ROW()-1,MATCH(I$1,貼り付け2!$1:$1,0)-1)-3)
&amp;OFFSET(貼り付け2!$A$1,$A38-2,OFFSET(貼り付け2!$A$1,ROW()-1,MATCH(I$1,貼り付け2!$1:$1,0)-1)-2)
&amp;OFFSET(貼り付け2!$A$1,$A38-2,OFFSET(貼り付け2!$A$1,ROW()-1,MATCH(I$1,貼り付け2!$1:$1,0)-1)-1),""))</f>
        <v>#VALUE!</v>
      </c>
      <c r="J38" t="str">
        <f ca="1">IFERROR(OFFSET(貼り付け2!$A$1,$A38-1,OFFSET(貼り付け2!$A$1,ROW()-1,MATCH(J$1,貼り付け2!$1:$1,0)-1)-1),"")</f>
        <v/>
      </c>
      <c r="K38" t="e">
        <f ca="1">OFFSET(貼り付け1!$A$1,貼り付け1!$G37-1,1)</f>
        <v>#REF!</v>
      </c>
      <c r="L38" t="e">
        <f ca="1">OFFSET(貼り付け1!$A$1,貼り付け1!$F37-1,1)</f>
        <v>#REF!</v>
      </c>
      <c r="M38" t="str">
        <f ca="1">IFERROR(OFFSET(貼り付け2!$A$1,まとめ!$B38-1,OFFSET(貼り付け2!$A$1,ROW()-1,MATCH(M$1,貼り付け2!$1:$1,0)-1)-1),"")</f>
        <v/>
      </c>
      <c r="N38" t="str">
        <f ca="1">IF(OFFSET(貼り付け2!$A$1,ROW()-1,MATCH(N$1,貼り付け2!$1:$1,0)-1)&lt;&gt;"",
IF($C38=TRUE,
IF((OFFSET(貼り付け2!$A$1,ROW()-1,MATCH(N$1,貼り付け2!$1:$1,0)-1)-OFFSET(貼り付け2!$A$1,ROW()-1,MATCH(I$1,貼り付け2!$1:$1,0)-1))=2,
OFFSET(貼り付け2!$A$1,$A38-4,OFFSET(貼り付け2!$A$1,ROW()-1,MATCH(N$1,貼り付け2!$1:$1,0)-1)-2)
&amp;OFFSET(貼り付け2!$A$1,$A38-4,OFFSET(貼り付け2!$A$1,ROW()-1,MATCH(N$1,貼り付け2!$1:$1,0)-1)-1),
IF((OFFSET(貼り付け2!$A$1,ROW()-1,MATCH(N$1,貼り付け2!$1:$1,0)-1)-OFFSET(貼り付け2!$A$1,ROW()-1,MATCH(I$1,貼り付け2!$1:$1,0)-1))=3,
OFFSET(貼り付け2!$A$1,$A38-4,OFFSET(貼り付け2!$A$1,ROW()-1,MATCH(N$1,貼り付け2!$1:$1,0)-1)-3)
&amp;OFFSET(貼り付け2!$A$1,$A38-4,OFFSET(貼り付け2!$A$1,ROW()-1,MATCH(N$1,貼り付け2!$1:$1,0)-1)-2)
&amp;OFFSET(貼り付け2!$A$1,$A38-4,OFFSET(貼り付け2!$A$1,ROW()-1,MATCH(N$1,貼り付け2!$1:$1,0)-1)-1),"")),
IF((OFFSET(貼り付け2!$A$1,ROW()-1,MATCH(N$1,貼り付け2!$1:$1,0)-1)-OFFSET(貼り付け2!$A$1,ROW()-1,MATCH(I$1,貼り付け2!$1:$1,0)-1))=2,
OFFSET(貼り付け2!$A$1,$A38-2,OFFSET(貼り付け2!$A$1,ROW()-1,MATCH(N$1,貼り付け2!$1:$1,0)-1)-2)
&amp;OFFSET(貼り付け2!$A$1,$A38-2,OFFSET(貼り付け2!$A$1,ROW()-1,MATCH(N$1,貼り付け2!$1:$1,0)-1)-1),
IF((OFFSET(貼り付け2!$A$1,ROW()-1,MATCH(N$1,貼り付け2!$1:$1,0)-1)-OFFSET(貼り付け2!$A$1,ROW()-1,MATCH(I$1,貼り付け2!$1:$1,0)-1))=3,
OFFSET(貼り付け2!$A$1,$A38-2,OFFSET(貼り付け2!$A$1,ROW()-1,MATCH(N$1,貼り付け2!$1:$1,0)-1)-3)
&amp;OFFSET(貼り付け2!$A$1,$A38-2,OFFSET(貼り付け2!$A$1,ROW()-1,MATCH(N$1,貼り付け2!$1:$1,0)-1)-2)
&amp;OFFSET(貼り付け2!$A$1,$A38-2,OFFSET(貼り付け2!$A$1,ROW()-1,MATCH(N$1,貼り付け2!$1:$1,0)-1)-1),""))),
IF(OFFSET(貼り付け2!$A$1,ROW()-1,MATCH(N$1,貼り付け2!$1:$1,0)+1)=2,
OFFSET(貼り付け2!$A$1,$A38-3,OFFSET(貼り付け2!$A$1,ROW()-1,MATCH(N$1,貼り付け2!$1:$1,0)+1)-2)
&amp;OFFSET(貼り付け2!$A$1,$A38-3,OFFSET(貼り付け2!$A$1,ROW()-1,MATCH(N$1,貼り付け2!$1:$1,0)+1)-1),
IF(OFFSET(貼り付け2!$A$1,ROW()-1,MATCH(N$1,貼り付け2!$1:$1,0)+1)=3,
OFFSET(貼り付け2!$A$1,$A38-3,OFFSET(貼り付け2!$A$1,ROW()-1,MATCH(N$1,貼り付け2!$1:$1,0)+1)-3)
&amp;OFFSET(貼り付け2!$A$1,$A38-3,OFFSET(貼り付け2!$A$1,ROW()-1,MATCH(N$1,貼り付け2!$1:$1,0)+1)-2)
&amp;OFFSET(貼り付け2!$A$1,$A38-3,OFFSET(貼り付け2!$A$1,ROW()-1,MATCH(N$1,貼り付け2!$1:$1,0)+1)-1),"")))</f>
        <v/>
      </c>
      <c r="O38" t="str">
        <f ca="1">IFERROR(OFFSET(貼り付け2!$A$1,$A38-1,OFFSET(貼り付け2!$A$1,ROW()-1,MATCH(O$1,貼り付け2!$1:$1,0)-1)-1),"")</f>
        <v/>
      </c>
      <c r="P38" t="e">
        <f ca="1">OFFSET(貼り付け1!$A$1,貼り付け1!$G37-1,2)</f>
        <v>#REF!</v>
      </c>
      <c r="Q38" t="e">
        <f ca="1">OFFSET(貼り付け1!$A$1,貼り付け1!$F37-1,2)</f>
        <v>#REF!</v>
      </c>
      <c r="R38" t="str">
        <f ca="1">IFERROR(OFFSET(貼り付け2!$A$1,まとめ!$B38-1,OFFSET(貼り付け2!$A$1,ROW()-1,MATCH(R$1,貼り付け2!$1:$1,0)-1)-1),"")</f>
        <v/>
      </c>
      <c r="S38" t="str">
        <f ca="1">IF(OFFSET(貼り付け2!$A$1,ROW()-1,MATCH(S$1,貼り付け2!$1:$1,0)-1)&lt;&gt;"",
IF($C38=TRUE,
IF((OFFSET(貼り付け2!$A$1,ROW()-1,MATCH(S$1,貼り付け2!$1:$1,0)-1)-OFFSET(貼り付け2!$A$1,ROW()-1,MATCH(N$1,貼り付け2!$1:$1,0)-1))=2,
OFFSET(貼り付け2!$A$1,$A38-4,OFFSET(貼り付け2!$A$1,ROW()-1,MATCH(S$1,貼り付け2!$1:$1,0)-1)-2)
&amp;OFFSET(貼り付け2!$A$1,$A38-4,OFFSET(貼り付け2!$A$1,ROW()-1,MATCH(S$1,貼り付け2!$1:$1,0)-1)-1),
IF((OFFSET(貼り付け2!$A$1,ROW()-1,MATCH(S$1,貼り付け2!$1:$1,0)-1)-OFFSET(貼り付け2!$A$1,ROW()-1,MATCH(N$1,貼り付け2!$1:$1,0)-1))=3,
OFFSET(貼り付け2!$A$1,$A38-4,OFFSET(貼り付け2!$A$1,ROW()-1,MATCH(S$1,貼り付け2!$1:$1,0)-1)-3)
&amp;OFFSET(貼り付け2!$A$1,$A38-4,OFFSET(貼り付け2!$A$1,ROW()-1,MATCH(S$1,貼り付け2!$1:$1,0)-1)-2)
&amp;OFFSET(貼り付け2!$A$1,$A38-4,OFFSET(貼り付け2!$A$1,ROW()-1,MATCH(S$1,貼り付け2!$1:$1,0)-1)-1),"")),
IF((OFFSET(貼り付け2!$A$1,ROW()-1,MATCH(S$1,貼り付け2!$1:$1,0)-1)-OFFSET(貼り付け2!$A$1,ROW()-1,MATCH(N$1,貼り付け2!$1:$1,0)-1))=2,
OFFSET(貼り付け2!$A$1,$A38-2,OFFSET(貼り付け2!$A$1,ROW()-1,MATCH(S$1,貼り付け2!$1:$1,0)-1)-2)
&amp;OFFSET(貼り付け2!$A$1,$A38-2,OFFSET(貼り付け2!$A$1,ROW()-1,MATCH(S$1,貼り付け2!$1:$1,0)-1)-1),
IF((OFFSET(貼り付け2!$A$1,ROW()-1,MATCH(S$1,貼り付け2!$1:$1,0)-1)-OFFSET(貼り付け2!$A$1,ROW()-1,MATCH(N$1,貼り付け2!$1:$1,0)-1))=3,
OFFSET(貼り付け2!$A$1,$A38-2,OFFSET(貼り付け2!$A$1,ROW()-1,MATCH(S$1,貼り付け2!$1:$1,0)-1)-3)
&amp;OFFSET(貼り付け2!$A$1,$A38-2,OFFSET(貼り付け2!$A$1,ROW()-1,MATCH(S$1,貼り付け2!$1:$1,0)-1)-2)
&amp;OFFSET(貼り付け2!$A$1,$A38-2,OFFSET(貼り付け2!$A$1,ROW()-1,MATCH(S$1,貼り付け2!$1:$1,0)-1)-1),""))),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OFFSET(貼り付け2!$A$1,$A38-3,OFFSET(貼り付け2!$A$1,ROW()-1,MATCH(S$1,貼り付け2!$1:$1,0)+1)-2)
&amp;OFFSET(貼り付け2!$A$1,$A38-3,OFFSET(貼り付け2!$A$1,ROW()-1,MATCH(S$1,貼り付け2!$1:$1,0)+1)-1),
IF(OFFSET(貼り付け2!$A$1,ROW()-1,MATCH(S$1,貼り付け2!$1:$1,0)+1)-OFFSET(貼り付け2!$A$1,ROW()-1,MATCH(N$1,貼り付け2!$1:$1,0)+1)=3,
OFFSET(貼り付け2!$A$1,$A38-3,OFFSET(貼り付け2!$A$1,ROW()-1,MATCH(S$1,貼り付け2!$1:$1,0)+1)-3)
&amp;OFFSET(貼り付け2!$A$1,$A38-3,OFFSET(貼り付け2!$A$1,ROW()-1,MATCH(S$1,貼り付け2!$1:$1,0)+1)-2)
&amp;OFFSET(貼り付け2!$A$1,$A38-3,OFFSET(貼り付け2!$A$1,ROW()-1,MATCH(S$1,貼り付け2!$1:$1,0)+1)-1),"")),
IF(OFFSET(貼り付け2!$A$1,ROW()-1,MATCH(S$1,貼り付け2!$1:$1,0)+1)=2,
OFFSET(貼り付け2!$A$1,$A38-3,OFFSET(貼り付け2!$A$1,ROW()-1,MATCH(S$1,貼り付け2!$1:$1,0)+1)-2)
&amp;OFFSET(貼り付け2!$A$1,$A38-3,OFFSET(貼り付け2!$A$1,ROW()-1,MATCH(S$1,貼り付け2!$1:$1,0)+1)-1),
IF(OFFSET(貼り付け2!$A$1,ROW()-1,MATCH(S$1,貼り付け2!$1:$1,0)+1)=3,
OFFSET(貼り付け2!$A$1,$A38-3,OFFSET(貼り付け2!$A$1,ROW()-1,MATCH(S$1,貼り付け2!$1:$1,0)+1)-3)
&amp;OFFSET(貼り付け2!$A$1,$A38-3,OFFSET(貼り付け2!$A$1,ROW()-1,MATCH(S$1,貼り付け2!$1:$1,0)+1)-2)
&amp;OFFSET(貼り付け2!$A$1,$A38-3,OFFSET(貼り付け2!$A$1,ROW()-1,MATCH(S$1,貼り付け2!$1:$1,0)+1)-1),""))))</f>
        <v/>
      </c>
      <c r="T38" t="str">
        <f ca="1">IFERROR(OFFSET(貼り付け2!$A$1,$A38-1,OFFSET(貼り付け2!$A$1,ROW()-1,MATCH(T$1,貼り付け2!$1:$1,0)-1)-1),"")</f>
        <v/>
      </c>
      <c r="U38" t="e">
        <f ca="1">OFFSET(貼り付け1!$A$1,貼り付け1!$G37-1,3)</f>
        <v>#REF!</v>
      </c>
      <c r="V38" t="e">
        <f ca="1">OFFSET(貼り付け1!$A$1,貼り付け1!$F37-1,3)</f>
        <v>#REF!</v>
      </c>
      <c r="W38" t="str">
        <f ca="1">IFERROR(OFFSET(貼り付け2!$A$1,まとめ!$B38-1,OFFSET(貼り付け2!$A$1,ROW()-1,MATCH(W$1,貼り付け2!$1:$1,0)-1)-1),"")</f>
        <v/>
      </c>
    </row>
    <row r="39" spans="1:23" x14ac:dyDescent="0.45">
      <c r="A39" t="str">
        <f>貼り付け2!S39</f>
        <v/>
      </c>
      <c r="B39" t="str">
        <f>貼り付け2!R39</f>
        <v/>
      </c>
      <c r="C39" t="e">
        <f t="shared" ca="1" si="1"/>
        <v>#VALUE!</v>
      </c>
      <c r="D39" t="str">
        <f ca="1">IF(OFFSET(貼り付け2!$A$1,ROW()-1,MATCH(D$1,貼り付け2!$1:$1,0)-1)=2,
OFFSET(貼り付け2!$A$1,A39-2,OFFSET(貼り付け2!$A$1,ROW()-1,MATCH(D$1,貼り付け2!$1:$1,0)-1)-2)
&amp;OFFSET(貼り付け2!$A$1,A39-2,OFFSET(貼り付け2!$A$1,ROW()-1,MATCH(D$1,貼り付け2!$1:$1,0)-1)-1),
IF(OFFSET(貼り付け2!$A$1,ROW()-1,MATCH(D$1,貼り付け2!$1:$1,0)-1)=3,
OFFSET(貼り付け2!$A$1,A39-2,OFFSET(貼り付け2!$A$1,ROW()-1,MATCH(D$1,貼り付け2!$1:$1,0)-1)-3)
&amp;OFFSET(貼り付け2!$A$1,A39-2,OFFSET(貼り付け2!$A$1,ROW()-1,MATCH(D$1,貼り付け2!$1:$1,0)-1)-2)
&amp;OFFSET(貼り付け2!$A$1,A39-2,OFFSET(貼り付け2!$A$1,ROW()-1,MATCH(D$1,貼り付け2!$1:$1,0)-1)-1),""))</f>
        <v/>
      </c>
      <c r="E39" t="str">
        <f ca="1">IF(OFFSET(貼り付け2!$A$1,ROW()-1,MATCH(E$1,貼り付け2!$1:$1,0)-1)=2,
OFFSET(貼り付け2!$A$1,$A39-1,OFFSET(貼り付け2!$A$1,ROW()-1,MATCH(E$1,貼り付け2!$1:$1,0)-1)-2)&amp;"・"&amp;OFFSET(貼り付け2!$A$1,$A39-1,OFFSET(貼り付け2!$A$1,ROW()-1,MATCH(E$1,貼り付け2!$1:$1,0)-1)-1),
IF(OFFSET(貼り付け2!$A$1,ROW()-1,MATCH(E$1,貼り付け2!$1:$1,0)-1)=1,
OFFSET(貼り付け2!$A$1,$A39-1,OFFSET(貼り付け2!$A$1,ROW()-1,MATCH(E$1,貼り付け2!$1:$1,0)-1)-1),""))</f>
        <v/>
      </c>
      <c r="F39" t="e">
        <f ca="1">OFFSET(貼り付け1!$A$1,貼り付け1!$G38-1,0)</f>
        <v>#REF!</v>
      </c>
      <c r="G39" t="e">
        <f ca="1">OFFSET(貼り付け1!$A$1,貼り付け1!$F38-1,0)</f>
        <v>#REF!</v>
      </c>
      <c r="H39" t="str">
        <f ca="1">IFERROR(OFFSET(貼り付け2!$A$1,まとめ!$B39-1,OFFSET(貼り付け2!$A$1,ROW()-1,MATCH(H$1,貼り付け2!$1:$1,0)-1)-1),"")</f>
        <v/>
      </c>
      <c r="I39" t="e">
        <f ca="1">IF((OFFSET(貼り付け2!$A$1,ROW()-1,MATCH(I$1,貼り付け2!$1:$1,0)-1)-OFFSET(貼り付け2!$A$1,ROW()-1,MATCH(D$1,貼り付け2!$1:$1,0)-1))=2,
OFFSET(貼り付け2!$A$1,$A39-2,OFFSET(貼り付け2!$A$1,ROW()-1,MATCH(I$1,貼り付け2!$1:$1,0)-1)-2)
&amp;OFFSET(貼り付け2!$A$1,$A39-2,OFFSET(貼り付け2!$A$1,ROW()-1,MATCH(I$1,貼り付け2!$1:$1,0)-1)-1),
IF((OFFSET(貼り付け2!$A$1,ROW()-1,MATCH(I$1,貼り付け2!$1:$1,0)-1)-OFFSET(貼り付け2!$A$1,ROW()-1,MATCH(D$1,貼り付け2!$1:$1,0)-1))=3,
OFFSET(貼り付け2!$A$1,$A39-2,OFFSET(貼り付け2!$A$1,ROW()-1,MATCH(I$1,貼り付け2!$1:$1,0)-1)-3)
&amp;OFFSET(貼り付け2!$A$1,$A39-2,OFFSET(貼り付け2!$A$1,ROW()-1,MATCH(I$1,貼り付け2!$1:$1,0)-1)-2)
&amp;OFFSET(貼り付け2!$A$1,$A39-2,OFFSET(貼り付け2!$A$1,ROW()-1,MATCH(I$1,貼り付け2!$1:$1,0)-1)-1),""))</f>
        <v>#VALUE!</v>
      </c>
      <c r="J39" t="str">
        <f ca="1">IFERROR(OFFSET(貼り付け2!$A$1,$A39-1,OFFSET(貼り付け2!$A$1,ROW()-1,MATCH(J$1,貼り付け2!$1:$1,0)-1)-1),"")</f>
        <v/>
      </c>
      <c r="K39" t="e">
        <f ca="1">OFFSET(貼り付け1!$A$1,貼り付け1!$G38-1,1)</f>
        <v>#REF!</v>
      </c>
      <c r="L39" t="e">
        <f ca="1">OFFSET(貼り付け1!$A$1,貼り付け1!$F38-1,1)</f>
        <v>#REF!</v>
      </c>
      <c r="M39" t="str">
        <f ca="1">IFERROR(OFFSET(貼り付け2!$A$1,まとめ!$B39-1,OFFSET(貼り付け2!$A$1,ROW()-1,MATCH(M$1,貼り付け2!$1:$1,0)-1)-1),"")</f>
        <v/>
      </c>
      <c r="N39" t="str">
        <f ca="1">IF(OFFSET(貼り付け2!$A$1,ROW()-1,MATCH(N$1,貼り付け2!$1:$1,0)-1)&lt;&gt;"",
IF($C39=TRUE,
IF((OFFSET(貼り付け2!$A$1,ROW()-1,MATCH(N$1,貼り付け2!$1:$1,0)-1)-OFFSET(貼り付け2!$A$1,ROW()-1,MATCH(I$1,貼り付け2!$1:$1,0)-1))=2,
OFFSET(貼り付け2!$A$1,$A39-4,OFFSET(貼り付け2!$A$1,ROW()-1,MATCH(N$1,貼り付け2!$1:$1,0)-1)-2)
&amp;OFFSET(貼り付け2!$A$1,$A39-4,OFFSET(貼り付け2!$A$1,ROW()-1,MATCH(N$1,貼り付け2!$1:$1,0)-1)-1),
IF((OFFSET(貼り付け2!$A$1,ROW()-1,MATCH(N$1,貼り付け2!$1:$1,0)-1)-OFFSET(貼り付け2!$A$1,ROW()-1,MATCH(I$1,貼り付け2!$1:$1,0)-1))=3,
OFFSET(貼り付け2!$A$1,$A39-4,OFFSET(貼り付け2!$A$1,ROW()-1,MATCH(N$1,貼り付け2!$1:$1,0)-1)-3)
&amp;OFFSET(貼り付け2!$A$1,$A39-4,OFFSET(貼り付け2!$A$1,ROW()-1,MATCH(N$1,貼り付け2!$1:$1,0)-1)-2)
&amp;OFFSET(貼り付け2!$A$1,$A39-4,OFFSET(貼り付け2!$A$1,ROW()-1,MATCH(N$1,貼り付け2!$1:$1,0)-1)-1),"")),
IF((OFFSET(貼り付け2!$A$1,ROW()-1,MATCH(N$1,貼り付け2!$1:$1,0)-1)-OFFSET(貼り付け2!$A$1,ROW()-1,MATCH(I$1,貼り付け2!$1:$1,0)-1))=2,
OFFSET(貼り付け2!$A$1,$A39-2,OFFSET(貼り付け2!$A$1,ROW()-1,MATCH(N$1,貼り付け2!$1:$1,0)-1)-2)
&amp;OFFSET(貼り付け2!$A$1,$A39-2,OFFSET(貼り付け2!$A$1,ROW()-1,MATCH(N$1,貼り付け2!$1:$1,0)-1)-1),
IF((OFFSET(貼り付け2!$A$1,ROW()-1,MATCH(N$1,貼り付け2!$1:$1,0)-1)-OFFSET(貼り付け2!$A$1,ROW()-1,MATCH(I$1,貼り付け2!$1:$1,0)-1))=3,
OFFSET(貼り付け2!$A$1,$A39-2,OFFSET(貼り付け2!$A$1,ROW()-1,MATCH(N$1,貼り付け2!$1:$1,0)-1)-3)
&amp;OFFSET(貼り付け2!$A$1,$A39-2,OFFSET(貼り付け2!$A$1,ROW()-1,MATCH(N$1,貼り付け2!$1:$1,0)-1)-2)
&amp;OFFSET(貼り付け2!$A$1,$A39-2,OFFSET(貼り付け2!$A$1,ROW()-1,MATCH(N$1,貼り付け2!$1:$1,0)-1)-1),""))),
IF(OFFSET(貼り付け2!$A$1,ROW()-1,MATCH(N$1,貼り付け2!$1:$1,0)+1)=2,
OFFSET(貼り付け2!$A$1,$A39-3,OFFSET(貼り付け2!$A$1,ROW()-1,MATCH(N$1,貼り付け2!$1:$1,0)+1)-2)
&amp;OFFSET(貼り付け2!$A$1,$A39-3,OFFSET(貼り付け2!$A$1,ROW()-1,MATCH(N$1,貼り付け2!$1:$1,0)+1)-1),
IF(OFFSET(貼り付け2!$A$1,ROW()-1,MATCH(N$1,貼り付け2!$1:$1,0)+1)=3,
OFFSET(貼り付け2!$A$1,$A39-3,OFFSET(貼り付け2!$A$1,ROW()-1,MATCH(N$1,貼り付け2!$1:$1,0)+1)-3)
&amp;OFFSET(貼り付け2!$A$1,$A39-3,OFFSET(貼り付け2!$A$1,ROW()-1,MATCH(N$1,貼り付け2!$1:$1,0)+1)-2)
&amp;OFFSET(貼り付け2!$A$1,$A39-3,OFFSET(貼り付け2!$A$1,ROW()-1,MATCH(N$1,貼り付け2!$1:$1,0)+1)-1),"")))</f>
        <v/>
      </c>
      <c r="O39" t="str">
        <f ca="1">IFERROR(OFFSET(貼り付け2!$A$1,$A39-1,OFFSET(貼り付け2!$A$1,ROW()-1,MATCH(O$1,貼り付け2!$1:$1,0)-1)-1),"")</f>
        <v/>
      </c>
      <c r="P39" t="e">
        <f ca="1">OFFSET(貼り付け1!$A$1,貼り付け1!$G38-1,2)</f>
        <v>#REF!</v>
      </c>
      <c r="Q39" t="e">
        <f ca="1">OFFSET(貼り付け1!$A$1,貼り付け1!$F38-1,2)</f>
        <v>#REF!</v>
      </c>
      <c r="R39" t="str">
        <f ca="1">IFERROR(OFFSET(貼り付け2!$A$1,まとめ!$B39-1,OFFSET(貼り付け2!$A$1,ROW()-1,MATCH(R$1,貼り付け2!$1:$1,0)-1)-1),"")</f>
        <v/>
      </c>
      <c r="S39" t="str">
        <f ca="1">IF(OFFSET(貼り付け2!$A$1,ROW()-1,MATCH(S$1,貼り付け2!$1:$1,0)-1)&lt;&gt;"",
IF($C39=TRUE,
IF((OFFSET(貼り付け2!$A$1,ROW()-1,MATCH(S$1,貼り付け2!$1:$1,0)-1)-OFFSET(貼り付け2!$A$1,ROW()-1,MATCH(N$1,貼り付け2!$1:$1,0)-1))=2,
OFFSET(貼り付け2!$A$1,$A39-4,OFFSET(貼り付け2!$A$1,ROW()-1,MATCH(S$1,貼り付け2!$1:$1,0)-1)-2)
&amp;OFFSET(貼り付け2!$A$1,$A39-4,OFFSET(貼り付け2!$A$1,ROW()-1,MATCH(S$1,貼り付け2!$1:$1,0)-1)-1),
IF((OFFSET(貼り付け2!$A$1,ROW()-1,MATCH(S$1,貼り付け2!$1:$1,0)-1)-OFFSET(貼り付け2!$A$1,ROW()-1,MATCH(N$1,貼り付け2!$1:$1,0)-1))=3,
OFFSET(貼り付け2!$A$1,$A39-4,OFFSET(貼り付け2!$A$1,ROW()-1,MATCH(S$1,貼り付け2!$1:$1,0)-1)-3)
&amp;OFFSET(貼り付け2!$A$1,$A39-4,OFFSET(貼り付け2!$A$1,ROW()-1,MATCH(S$1,貼り付け2!$1:$1,0)-1)-2)
&amp;OFFSET(貼り付け2!$A$1,$A39-4,OFFSET(貼り付け2!$A$1,ROW()-1,MATCH(S$1,貼り付け2!$1:$1,0)-1)-1),"")),
IF((OFFSET(貼り付け2!$A$1,ROW()-1,MATCH(S$1,貼り付け2!$1:$1,0)-1)-OFFSET(貼り付け2!$A$1,ROW()-1,MATCH(N$1,貼り付け2!$1:$1,0)-1))=2,
OFFSET(貼り付け2!$A$1,$A39-2,OFFSET(貼り付け2!$A$1,ROW()-1,MATCH(S$1,貼り付け2!$1:$1,0)-1)-2)
&amp;OFFSET(貼り付け2!$A$1,$A39-2,OFFSET(貼り付け2!$A$1,ROW()-1,MATCH(S$1,貼り付け2!$1:$1,0)-1)-1),
IF((OFFSET(貼り付け2!$A$1,ROW()-1,MATCH(S$1,貼り付け2!$1:$1,0)-1)-OFFSET(貼り付け2!$A$1,ROW()-1,MATCH(N$1,貼り付け2!$1:$1,0)-1))=3,
OFFSET(貼り付け2!$A$1,$A39-2,OFFSET(貼り付け2!$A$1,ROW()-1,MATCH(S$1,貼り付け2!$1:$1,0)-1)-3)
&amp;OFFSET(貼り付け2!$A$1,$A39-2,OFFSET(貼り付け2!$A$1,ROW()-1,MATCH(S$1,貼り付け2!$1:$1,0)-1)-2)
&amp;OFFSET(貼り付け2!$A$1,$A39-2,OFFSET(貼り付け2!$A$1,ROW()-1,MATCH(S$1,貼り付け2!$1:$1,0)-1)-1),""))),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OFFSET(貼り付け2!$A$1,$A39-3,OFFSET(貼り付け2!$A$1,ROW()-1,MATCH(S$1,貼り付け2!$1:$1,0)+1)-2)
&amp;OFFSET(貼り付け2!$A$1,$A39-3,OFFSET(貼り付け2!$A$1,ROW()-1,MATCH(S$1,貼り付け2!$1:$1,0)+1)-1),
IF(OFFSET(貼り付け2!$A$1,ROW()-1,MATCH(S$1,貼り付け2!$1:$1,0)+1)-OFFSET(貼り付け2!$A$1,ROW()-1,MATCH(N$1,貼り付け2!$1:$1,0)+1)=3,
OFFSET(貼り付け2!$A$1,$A39-3,OFFSET(貼り付け2!$A$1,ROW()-1,MATCH(S$1,貼り付け2!$1:$1,0)+1)-3)
&amp;OFFSET(貼り付け2!$A$1,$A39-3,OFFSET(貼り付け2!$A$1,ROW()-1,MATCH(S$1,貼り付け2!$1:$1,0)+1)-2)
&amp;OFFSET(貼り付け2!$A$1,$A39-3,OFFSET(貼り付け2!$A$1,ROW()-1,MATCH(S$1,貼り付け2!$1:$1,0)+1)-1),"")),
IF(OFFSET(貼り付け2!$A$1,ROW()-1,MATCH(S$1,貼り付け2!$1:$1,0)+1)=2,
OFFSET(貼り付け2!$A$1,$A39-3,OFFSET(貼り付け2!$A$1,ROW()-1,MATCH(S$1,貼り付け2!$1:$1,0)+1)-2)
&amp;OFFSET(貼り付け2!$A$1,$A39-3,OFFSET(貼り付け2!$A$1,ROW()-1,MATCH(S$1,貼り付け2!$1:$1,0)+1)-1),
IF(OFFSET(貼り付け2!$A$1,ROW()-1,MATCH(S$1,貼り付け2!$1:$1,0)+1)=3,
OFFSET(貼り付け2!$A$1,$A39-3,OFFSET(貼り付け2!$A$1,ROW()-1,MATCH(S$1,貼り付け2!$1:$1,0)+1)-3)
&amp;OFFSET(貼り付け2!$A$1,$A39-3,OFFSET(貼り付け2!$A$1,ROW()-1,MATCH(S$1,貼り付け2!$1:$1,0)+1)-2)
&amp;OFFSET(貼り付け2!$A$1,$A39-3,OFFSET(貼り付け2!$A$1,ROW()-1,MATCH(S$1,貼り付け2!$1:$1,0)+1)-1),""))))</f>
        <v/>
      </c>
      <c r="T39" t="str">
        <f ca="1">IFERROR(OFFSET(貼り付け2!$A$1,$A39-1,OFFSET(貼り付け2!$A$1,ROW()-1,MATCH(T$1,貼り付け2!$1:$1,0)-1)-1),"")</f>
        <v/>
      </c>
      <c r="U39" t="e">
        <f ca="1">OFFSET(貼り付け1!$A$1,貼り付け1!$G38-1,3)</f>
        <v>#REF!</v>
      </c>
      <c r="V39" t="e">
        <f ca="1">OFFSET(貼り付け1!$A$1,貼り付け1!$F38-1,3)</f>
        <v>#REF!</v>
      </c>
      <c r="W39" t="str">
        <f ca="1">IFERROR(OFFSET(貼り付け2!$A$1,まとめ!$B39-1,OFFSET(貼り付け2!$A$1,ROW()-1,MATCH(W$1,貼り付け2!$1:$1,0)-1)-1),"")</f>
        <v/>
      </c>
    </row>
    <row r="40" spans="1:23" x14ac:dyDescent="0.45">
      <c r="A40" t="str">
        <f>貼り付け2!S40</f>
        <v/>
      </c>
      <c r="B40" t="str">
        <f>貼り付け2!R40</f>
        <v/>
      </c>
      <c r="C40" t="e">
        <f t="shared" ca="1" si="1"/>
        <v>#VALUE!</v>
      </c>
      <c r="D40" t="str">
        <f ca="1">IF(OFFSET(貼り付け2!$A$1,ROW()-1,MATCH(D$1,貼り付け2!$1:$1,0)-1)=2,
OFFSET(貼り付け2!$A$1,A40-2,OFFSET(貼り付け2!$A$1,ROW()-1,MATCH(D$1,貼り付け2!$1:$1,0)-1)-2)
&amp;OFFSET(貼り付け2!$A$1,A40-2,OFFSET(貼り付け2!$A$1,ROW()-1,MATCH(D$1,貼り付け2!$1:$1,0)-1)-1),
IF(OFFSET(貼り付け2!$A$1,ROW()-1,MATCH(D$1,貼り付け2!$1:$1,0)-1)=3,
OFFSET(貼り付け2!$A$1,A40-2,OFFSET(貼り付け2!$A$1,ROW()-1,MATCH(D$1,貼り付け2!$1:$1,0)-1)-3)
&amp;OFFSET(貼り付け2!$A$1,A40-2,OFFSET(貼り付け2!$A$1,ROW()-1,MATCH(D$1,貼り付け2!$1:$1,0)-1)-2)
&amp;OFFSET(貼り付け2!$A$1,A40-2,OFFSET(貼り付け2!$A$1,ROW()-1,MATCH(D$1,貼り付け2!$1:$1,0)-1)-1),""))</f>
        <v/>
      </c>
      <c r="E40" t="str">
        <f ca="1">IF(OFFSET(貼り付け2!$A$1,ROW()-1,MATCH(E$1,貼り付け2!$1:$1,0)-1)=2,
OFFSET(貼り付け2!$A$1,$A40-1,OFFSET(貼り付け2!$A$1,ROW()-1,MATCH(E$1,貼り付け2!$1:$1,0)-1)-2)&amp;"・"&amp;OFFSET(貼り付け2!$A$1,$A40-1,OFFSET(貼り付け2!$A$1,ROW()-1,MATCH(E$1,貼り付け2!$1:$1,0)-1)-1),
IF(OFFSET(貼り付け2!$A$1,ROW()-1,MATCH(E$1,貼り付け2!$1:$1,0)-1)=1,
OFFSET(貼り付け2!$A$1,$A40-1,OFFSET(貼り付け2!$A$1,ROW()-1,MATCH(E$1,貼り付け2!$1:$1,0)-1)-1),""))</f>
        <v/>
      </c>
      <c r="F40" t="e">
        <f ca="1">OFFSET(貼り付け1!$A$1,貼り付け1!$G39-1,0)</f>
        <v>#REF!</v>
      </c>
      <c r="G40" t="e">
        <f ca="1">OFFSET(貼り付け1!$A$1,貼り付け1!$F39-1,0)</f>
        <v>#REF!</v>
      </c>
      <c r="H40" t="str">
        <f ca="1">IFERROR(OFFSET(貼り付け2!$A$1,まとめ!$B40-1,OFFSET(貼り付け2!$A$1,ROW()-1,MATCH(H$1,貼り付け2!$1:$1,0)-1)-1),"")</f>
        <v/>
      </c>
      <c r="I40" t="e">
        <f ca="1">IF((OFFSET(貼り付け2!$A$1,ROW()-1,MATCH(I$1,貼り付け2!$1:$1,0)-1)-OFFSET(貼り付け2!$A$1,ROW()-1,MATCH(D$1,貼り付け2!$1:$1,0)-1))=2,
OFFSET(貼り付け2!$A$1,$A40-2,OFFSET(貼り付け2!$A$1,ROW()-1,MATCH(I$1,貼り付け2!$1:$1,0)-1)-2)
&amp;OFFSET(貼り付け2!$A$1,$A40-2,OFFSET(貼り付け2!$A$1,ROW()-1,MATCH(I$1,貼り付け2!$1:$1,0)-1)-1),
IF((OFFSET(貼り付け2!$A$1,ROW()-1,MATCH(I$1,貼り付け2!$1:$1,0)-1)-OFFSET(貼り付け2!$A$1,ROW()-1,MATCH(D$1,貼り付け2!$1:$1,0)-1))=3,
OFFSET(貼り付け2!$A$1,$A40-2,OFFSET(貼り付け2!$A$1,ROW()-1,MATCH(I$1,貼り付け2!$1:$1,0)-1)-3)
&amp;OFFSET(貼り付け2!$A$1,$A40-2,OFFSET(貼り付け2!$A$1,ROW()-1,MATCH(I$1,貼り付け2!$1:$1,0)-1)-2)
&amp;OFFSET(貼り付け2!$A$1,$A40-2,OFFSET(貼り付け2!$A$1,ROW()-1,MATCH(I$1,貼り付け2!$1:$1,0)-1)-1),""))</f>
        <v>#VALUE!</v>
      </c>
      <c r="J40" t="str">
        <f ca="1">IFERROR(OFFSET(貼り付け2!$A$1,$A40-1,OFFSET(貼り付け2!$A$1,ROW()-1,MATCH(J$1,貼り付け2!$1:$1,0)-1)-1),"")</f>
        <v/>
      </c>
      <c r="K40" t="e">
        <f ca="1">OFFSET(貼り付け1!$A$1,貼り付け1!$G39-1,1)</f>
        <v>#REF!</v>
      </c>
      <c r="L40" t="e">
        <f ca="1">OFFSET(貼り付け1!$A$1,貼り付け1!$F39-1,1)</f>
        <v>#REF!</v>
      </c>
      <c r="M40" t="str">
        <f ca="1">IFERROR(OFFSET(貼り付け2!$A$1,まとめ!$B40-1,OFFSET(貼り付け2!$A$1,ROW()-1,MATCH(M$1,貼り付け2!$1:$1,0)-1)-1),"")</f>
        <v/>
      </c>
      <c r="N40" t="str">
        <f ca="1">IF(OFFSET(貼り付け2!$A$1,ROW()-1,MATCH(N$1,貼り付け2!$1:$1,0)-1)&lt;&gt;"",
IF($C40=TRUE,
IF((OFFSET(貼り付け2!$A$1,ROW()-1,MATCH(N$1,貼り付け2!$1:$1,0)-1)-OFFSET(貼り付け2!$A$1,ROW()-1,MATCH(I$1,貼り付け2!$1:$1,0)-1))=2,
OFFSET(貼り付け2!$A$1,$A40-4,OFFSET(貼り付け2!$A$1,ROW()-1,MATCH(N$1,貼り付け2!$1:$1,0)-1)-2)
&amp;OFFSET(貼り付け2!$A$1,$A40-4,OFFSET(貼り付け2!$A$1,ROW()-1,MATCH(N$1,貼り付け2!$1:$1,0)-1)-1),
IF((OFFSET(貼り付け2!$A$1,ROW()-1,MATCH(N$1,貼り付け2!$1:$1,0)-1)-OFFSET(貼り付け2!$A$1,ROW()-1,MATCH(I$1,貼り付け2!$1:$1,0)-1))=3,
OFFSET(貼り付け2!$A$1,$A40-4,OFFSET(貼り付け2!$A$1,ROW()-1,MATCH(N$1,貼り付け2!$1:$1,0)-1)-3)
&amp;OFFSET(貼り付け2!$A$1,$A40-4,OFFSET(貼り付け2!$A$1,ROW()-1,MATCH(N$1,貼り付け2!$1:$1,0)-1)-2)
&amp;OFFSET(貼り付け2!$A$1,$A40-4,OFFSET(貼り付け2!$A$1,ROW()-1,MATCH(N$1,貼り付け2!$1:$1,0)-1)-1),"")),
IF((OFFSET(貼り付け2!$A$1,ROW()-1,MATCH(N$1,貼り付け2!$1:$1,0)-1)-OFFSET(貼り付け2!$A$1,ROW()-1,MATCH(I$1,貼り付け2!$1:$1,0)-1))=2,
OFFSET(貼り付け2!$A$1,$A40-2,OFFSET(貼り付け2!$A$1,ROW()-1,MATCH(N$1,貼り付け2!$1:$1,0)-1)-2)
&amp;OFFSET(貼り付け2!$A$1,$A40-2,OFFSET(貼り付け2!$A$1,ROW()-1,MATCH(N$1,貼り付け2!$1:$1,0)-1)-1),
IF((OFFSET(貼り付け2!$A$1,ROW()-1,MATCH(N$1,貼り付け2!$1:$1,0)-1)-OFFSET(貼り付け2!$A$1,ROW()-1,MATCH(I$1,貼り付け2!$1:$1,0)-1))=3,
OFFSET(貼り付け2!$A$1,$A40-2,OFFSET(貼り付け2!$A$1,ROW()-1,MATCH(N$1,貼り付け2!$1:$1,0)-1)-3)
&amp;OFFSET(貼り付け2!$A$1,$A40-2,OFFSET(貼り付け2!$A$1,ROW()-1,MATCH(N$1,貼り付け2!$1:$1,0)-1)-2)
&amp;OFFSET(貼り付け2!$A$1,$A40-2,OFFSET(貼り付け2!$A$1,ROW()-1,MATCH(N$1,貼り付け2!$1:$1,0)-1)-1),""))),
IF(OFFSET(貼り付け2!$A$1,ROW()-1,MATCH(N$1,貼り付け2!$1:$1,0)+1)=2,
OFFSET(貼り付け2!$A$1,$A40-3,OFFSET(貼り付け2!$A$1,ROW()-1,MATCH(N$1,貼り付け2!$1:$1,0)+1)-2)
&amp;OFFSET(貼り付け2!$A$1,$A40-3,OFFSET(貼り付け2!$A$1,ROW()-1,MATCH(N$1,貼り付け2!$1:$1,0)+1)-1),
IF(OFFSET(貼り付け2!$A$1,ROW()-1,MATCH(N$1,貼り付け2!$1:$1,0)+1)=3,
OFFSET(貼り付け2!$A$1,$A40-3,OFFSET(貼り付け2!$A$1,ROW()-1,MATCH(N$1,貼り付け2!$1:$1,0)+1)-3)
&amp;OFFSET(貼り付け2!$A$1,$A40-3,OFFSET(貼り付け2!$A$1,ROW()-1,MATCH(N$1,貼り付け2!$1:$1,0)+1)-2)
&amp;OFFSET(貼り付け2!$A$1,$A40-3,OFFSET(貼り付け2!$A$1,ROW()-1,MATCH(N$1,貼り付け2!$1:$1,0)+1)-1),"")))</f>
        <v/>
      </c>
      <c r="O40" t="str">
        <f ca="1">IFERROR(OFFSET(貼り付け2!$A$1,$A40-1,OFFSET(貼り付け2!$A$1,ROW()-1,MATCH(O$1,貼り付け2!$1:$1,0)-1)-1),"")</f>
        <v/>
      </c>
      <c r="P40" t="e">
        <f ca="1">OFFSET(貼り付け1!$A$1,貼り付け1!$G39-1,2)</f>
        <v>#REF!</v>
      </c>
      <c r="Q40" t="e">
        <f ca="1">OFFSET(貼り付け1!$A$1,貼り付け1!$F39-1,2)</f>
        <v>#REF!</v>
      </c>
      <c r="R40" t="str">
        <f ca="1">IFERROR(OFFSET(貼り付け2!$A$1,まとめ!$B40-1,OFFSET(貼り付け2!$A$1,ROW()-1,MATCH(R$1,貼り付け2!$1:$1,0)-1)-1),"")</f>
        <v/>
      </c>
      <c r="S40" t="str">
        <f ca="1">IF(OFFSET(貼り付け2!$A$1,ROW()-1,MATCH(S$1,貼り付け2!$1:$1,0)-1)&lt;&gt;"",
IF($C40=TRUE,
IF((OFFSET(貼り付け2!$A$1,ROW()-1,MATCH(S$1,貼り付け2!$1:$1,0)-1)-OFFSET(貼り付け2!$A$1,ROW()-1,MATCH(N$1,貼り付け2!$1:$1,0)-1))=2,
OFFSET(貼り付け2!$A$1,$A40-4,OFFSET(貼り付け2!$A$1,ROW()-1,MATCH(S$1,貼り付け2!$1:$1,0)-1)-2)
&amp;OFFSET(貼り付け2!$A$1,$A40-4,OFFSET(貼り付け2!$A$1,ROW()-1,MATCH(S$1,貼り付け2!$1:$1,0)-1)-1),
IF((OFFSET(貼り付け2!$A$1,ROW()-1,MATCH(S$1,貼り付け2!$1:$1,0)-1)-OFFSET(貼り付け2!$A$1,ROW()-1,MATCH(N$1,貼り付け2!$1:$1,0)-1))=3,
OFFSET(貼り付け2!$A$1,$A40-4,OFFSET(貼り付け2!$A$1,ROW()-1,MATCH(S$1,貼り付け2!$1:$1,0)-1)-3)
&amp;OFFSET(貼り付け2!$A$1,$A40-4,OFFSET(貼り付け2!$A$1,ROW()-1,MATCH(S$1,貼り付け2!$1:$1,0)-1)-2)
&amp;OFFSET(貼り付け2!$A$1,$A40-4,OFFSET(貼り付け2!$A$1,ROW()-1,MATCH(S$1,貼り付け2!$1:$1,0)-1)-1),"")),
IF((OFFSET(貼り付け2!$A$1,ROW()-1,MATCH(S$1,貼り付け2!$1:$1,0)-1)-OFFSET(貼り付け2!$A$1,ROW()-1,MATCH(N$1,貼り付け2!$1:$1,0)-1))=2,
OFFSET(貼り付け2!$A$1,$A40-2,OFFSET(貼り付け2!$A$1,ROW()-1,MATCH(S$1,貼り付け2!$1:$1,0)-1)-2)
&amp;OFFSET(貼り付け2!$A$1,$A40-2,OFFSET(貼り付け2!$A$1,ROW()-1,MATCH(S$1,貼り付け2!$1:$1,0)-1)-1),
IF((OFFSET(貼り付け2!$A$1,ROW()-1,MATCH(S$1,貼り付け2!$1:$1,0)-1)-OFFSET(貼り付け2!$A$1,ROW()-1,MATCH(N$1,貼り付け2!$1:$1,0)-1))=3,
OFFSET(貼り付け2!$A$1,$A40-2,OFFSET(貼り付け2!$A$1,ROW()-1,MATCH(S$1,貼り付け2!$1:$1,0)-1)-3)
&amp;OFFSET(貼り付け2!$A$1,$A40-2,OFFSET(貼り付け2!$A$1,ROW()-1,MATCH(S$1,貼り付け2!$1:$1,0)-1)-2)
&amp;OFFSET(貼り付け2!$A$1,$A40-2,OFFSET(貼り付け2!$A$1,ROW()-1,MATCH(S$1,貼り付け2!$1:$1,0)-1)-1),""))),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OFFSET(貼り付け2!$A$1,$A40-3,OFFSET(貼り付け2!$A$1,ROW()-1,MATCH(S$1,貼り付け2!$1:$1,0)+1)-2)
&amp;OFFSET(貼り付け2!$A$1,$A40-3,OFFSET(貼り付け2!$A$1,ROW()-1,MATCH(S$1,貼り付け2!$1:$1,0)+1)-1),
IF(OFFSET(貼り付け2!$A$1,ROW()-1,MATCH(S$1,貼り付け2!$1:$1,0)+1)-OFFSET(貼り付け2!$A$1,ROW()-1,MATCH(N$1,貼り付け2!$1:$1,0)+1)=3,
OFFSET(貼り付け2!$A$1,$A40-3,OFFSET(貼り付け2!$A$1,ROW()-1,MATCH(S$1,貼り付け2!$1:$1,0)+1)-3)
&amp;OFFSET(貼り付け2!$A$1,$A40-3,OFFSET(貼り付け2!$A$1,ROW()-1,MATCH(S$1,貼り付け2!$1:$1,0)+1)-2)
&amp;OFFSET(貼り付け2!$A$1,$A40-3,OFFSET(貼り付け2!$A$1,ROW()-1,MATCH(S$1,貼り付け2!$1:$1,0)+1)-1),"")),
IF(OFFSET(貼り付け2!$A$1,ROW()-1,MATCH(S$1,貼り付け2!$1:$1,0)+1)=2,
OFFSET(貼り付け2!$A$1,$A40-3,OFFSET(貼り付け2!$A$1,ROW()-1,MATCH(S$1,貼り付け2!$1:$1,0)+1)-2)
&amp;OFFSET(貼り付け2!$A$1,$A40-3,OFFSET(貼り付け2!$A$1,ROW()-1,MATCH(S$1,貼り付け2!$1:$1,0)+1)-1),
IF(OFFSET(貼り付け2!$A$1,ROW()-1,MATCH(S$1,貼り付け2!$1:$1,0)+1)=3,
OFFSET(貼り付け2!$A$1,$A40-3,OFFSET(貼り付け2!$A$1,ROW()-1,MATCH(S$1,貼り付け2!$1:$1,0)+1)-3)
&amp;OFFSET(貼り付け2!$A$1,$A40-3,OFFSET(貼り付け2!$A$1,ROW()-1,MATCH(S$1,貼り付け2!$1:$1,0)+1)-2)
&amp;OFFSET(貼り付け2!$A$1,$A40-3,OFFSET(貼り付け2!$A$1,ROW()-1,MATCH(S$1,貼り付け2!$1:$1,0)+1)-1),""))))</f>
        <v/>
      </c>
      <c r="T40" t="str">
        <f ca="1">IFERROR(OFFSET(貼り付け2!$A$1,$A40-1,OFFSET(貼り付け2!$A$1,ROW()-1,MATCH(T$1,貼り付け2!$1:$1,0)-1)-1),"")</f>
        <v/>
      </c>
      <c r="U40" t="e">
        <f ca="1">OFFSET(貼り付け1!$A$1,貼り付け1!$G39-1,3)</f>
        <v>#REF!</v>
      </c>
      <c r="V40" t="e">
        <f ca="1">OFFSET(貼り付け1!$A$1,貼り付け1!$F39-1,3)</f>
        <v>#REF!</v>
      </c>
      <c r="W40" t="str">
        <f ca="1">IFERROR(OFFSET(貼り付け2!$A$1,まとめ!$B40-1,OFFSET(貼り付け2!$A$1,ROW()-1,MATCH(W$1,貼り付け2!$1:$1,0)-1)-1),"")</f>
        <v/>
      </c>
    </row>
    <row r="41" spans="1:23" x14ac:dyDescent="0.45">
      <c r="A41" t="str">
        <f>貼り付け2!S41</f>
        <v/>
      </c>
      <c r="B41" t="str">
        <f>貼り付け2!R41</f>
        <v/>
      </c>
      <c r="C41" t="e">
        <f t="shared" ca="1" si="1"/>
        <v>#VALUE!</v>
      </c>
      <c r="D41" t="str">
        <f ca="1">IF(OFFSET(貼り付け2!$A$1,ROW()-1,MATCH(D$1,貼り付け2!$1:$1,0)-1)=2,
OFFSET(貼り付け2!$A$1,A41-2,OFFSET(貼り付け2!$A$1,ROW()-1,MATCH(D$1,貼り付け2!$1:$1,0)-1)-2)
&amp;OFFSET(貼り付け2!$A$1,A41-2,OFFSET(貼り付け2!$A$1,ROW()-1,MATCH(D$1,貼り付け2!$1:$1,0)-1)-1),
IF(OFFSET(貼り付け2!$A$1,ROW()-1,MATCH(D$1,貼り付け2!$1:$1,0)-1)=3,
OFFSET(貼り付け2!$A$1,A41-2,OFFSET(貼り付け2!$A$1,ROW()-1,MATCH(D$1,貼り付け2!$1:$1,0)-1)-3)
&amp;OFFSET(貼り付け2!$A$1,A41-2,OFFSET(貼り付け2!$A$1,ROW()-1,MATCH(D$1,貼り付け2!$1:$1,0)-1)-2)
&amp;OFFSET(貼り付け2!$A$1,A41-2,OFFSET(貼り付け2!$A$1,ROW()-1,MATCH(D$1,貼り付け2!$1:$1,0)-1)-1),""))</f>
        <v/>
      </c>
      <c r="E41" t="str">
        <f ca="1">IF(OFFSET(貼り付け2!$A$1,ROW()-1,MATCH(E$1,貼り付け2!$1:$1,0)-1)=2,
OFFSET(貼り付け2!$A$1,$A41-1,OFFSET(貼り付け2!$A$1,ROW()-1,MATCH(E$1,貼り付け2!$1:$1,0)-1)-2)&amp;"・"&amp;OFFSET(貼り付け2!$A$1,$A41-1,OFFSET(貼り付け2!$A$1,ROW()-1,MATCH(E$1,貼り付け2!$1:$1,0)-1)-1),
IF(OFFSET(貼り付け2!$A$1,ROW()-1,MATCH(E$1,貼り付け2!$1:$1,0)-1)=1,
OFFSET(貼り付け2!$A$1,$A41-1,OFFSET(貼り付け2!$A$1,ROW()-1,MATCH(E$1,貼り付け2!$1:$1,0)-1)-1),""))</f>
        <v/>
      </c>
      <c r="F41" t="e">
        <f ca="1">OFFSET(貼り付け1!$A$1,貼り付け1!$G40-1,0)</f>
        <v>#REF!</v>
      </c>
      <c r="G41" t="e">
        <f ca="1">OFFSET(貼り付け1!$A$1,貼り付け1!$F40-1,0)</f>
        <v>#REF!</v>
      </c>
      <c r="H41" t="str">
        <f ca="1">IFERROR(OFFSET(貼り付け2!$A$1,まとめ!$B41-1,OFFSET(貼り付け2!$A$1,ROW()-1,MATCH(H$1,貼り付け2!$1:$1,0)-1)-1),"")</f>
        <v/>
      </c>
      <c r="I41" t="e">
        <f ca="1">IF((OFFSET(貼り付け2!$A$1,ROW()-1,MATCH(I$1,貼り付け2!$1:$1,0)-1)-OFFSET(貼り付け2!$A$1,ROW()-1,MATCH(D$1,貼り付け2!$1:$1,0)-1))=2,
OFFSET(貼り付け2!$A$1,$A41-2,OFFSET(貼り付け2!$A$1,ROW()-1,MATCH(I$1,貼り付け2!$1:$1,0)-1)-2)
&amp;OFFSET(貼り付け2!$A$1,$A41-2,OFFSET(貼り付け2!$A$1,ROW()-1,MATCH(I$1,貼り付け2!$1:$1,0)-1)-1),
IF((OFFSET(貼り付け2!$A$1,ROW()-1,MATCH(I$1,貼り付け2!$1:$1,0)-1)-OFFSET(貼り付け2!$A$1,ROW()-1,MATCH(D$1,貼り付け2!$1:$1,0)-1))=3,
OFFSET(貼り付け2!$A$1,$A41-2,OFFSET(貼り付け2!$A$1,ROW()-1,MATCH(I$1,貼り付け2!$1:$1,0)-1)-3)
&amp;OFFSET(貼り付け2!$A$1,$A41-2,OFFSET(貼り付け2!$A$1,ROW()-1,MATCH(I$1,貼り付け2!$1:$1,0)-1)-2)
&amp;OFFSET(貼り付け2!$A$1,$A41-2,OFFSET(貼り付け2!$A$1,ROW()-1,MATCH(I$1,貼り付け2!$1:$1,0)-1)-1),""))</f>
        <v>#VALUE!</v>
      </c>
      <c r="J41" t="str">
        <f ca="1">IFERROR(OFFSET(貼り付け2!$A$1,$A41-1,OFFSET(貼り付け2!$A$1,ROW()-1,MATCH(J$1,貼り付け2!$1:$1,0)-1)-1),"")</f>
        <v/>
      </c>
      <c r="K41" t="e">
        <f ca="1">OFFSET(貼り付け1!$A$1,貼り付け1!$G40-1,1)</f>
        <v>#REF!</v>
      </c>
      <c r="L41" t="e">
        <f ca="1">OFFSET(貼り付け1!$A$1,貼り付け1!$F40-1,1)</f>
        <v>#REF!</v>
      </c>
      <c r="M41" t="str">
        <f ca="1">IFERROR(OFFSET(貼り付け2!$A$1,まとめ!$B41-1,OFFSET(貼り付け2!$A$1,ROW()-1,MATCH(M$1,貼り付け2!$1:$1,0)-1)-1),"")</f>
        <v/>
      </c>
      <c r="N41" t="str">
        <f ca="1">IF(OFFSET(貼り付け2!$A$1,ROW()-1,MATCH(N$1,貼り付け2!$1:$1,0)-1)&lt;&gt;"",
IF($C41=TRUE,
IF((OFFSET(貼り付け2!$A$1,ROW()-1,MATCH(N$1,貼り付け2!$1:$1,0)-1)-OFFSET(貼り付け2!$A$1,ROW()-1,MATCH(I$1,貼り付け2!$1:$1,0)-1))=2,
OFFSET(貼り付け2!$A$1,$A41-4,OFFSET(貼り付け2!$A$1,ROW()-1,MATCH(N$1,貼り付け2!$1:$1,0)-1)-2)
&amp;OFFSET(貼り付け2!$A$1,$A41-4,OFFSET(貼り付け2!$A$1,ROW()-1,MATCH(N$1,貼り付け2!$1:$1,0)-1)-1),
IF((OFFSET(貼り付け2!$A$1,ROW()-1,MATCH(N$1,貼り付け2!$1:$1,0)-1)-OFFSET(貼り付け2!$A$1,ROW()-1,MATCH(I$1,貼り付け2!$1:$1,0)-1))=3,
OFFSET(貼り付け2!$A$1,$A41-4,OFFSET(貼り付け2!$A$1,ROW()-1,MATCH(N$1,貼り付け2!$1:$1,0)-1)-3)
&amp;OFFSET(貼り付け2!$A$1,$A41-4,OFFSET(貼り付け2!$A$1,ROW()-1,MATCH(N$1,貼り付け2!$1:$1,0)-1)-2)
&amp;OFFSET(貼り付け2!$A$1,$A41-4,OFFSET(貼り付け2!$A$1,ROW()-1,MATCH(N$1,貼り付け2!$1:$1,0)-1)-1),"")),
IF((OFFSET(貼り付け2!$A$1,ROW()-1,MATCH(N$1,貼り付け2!$1:$1,0)-1)-OFFSET(貼り付け2!$A$1,ROW()-1,MATCH(I$1,貼り付け2!$1:$1,0)-1))=2,
OFFSET(貼り付け2!$A$1,$A41-2,OFFSET(貼り付け2!$A$1,ROW()-1,MATCH(N$1,貼り付け2!$1:$1,0)-1)-2)
&amp;OFFSET(貼り付け2!$A$1,$A41-2,OFFSET(貼り付け2!$A$1,ROW()-1,MATCH(N$1,貼り付け2!$1:$1,0)-1)-1),
IF((OFFSET(貼り付け2!$A$1,ROW()-1,MATCH(N$1,貼り付け2!$1:$1,0)-1)-OFFSET(貼り付け2!$A$1,ROW()-1,MATCH(I$1,貼り付け2!$1:$1,0)-1))=3,
OFFSET(貼り付け2!$A$1,$A41-2,OFFSET(貼り付け2!$A$1,ROW()-1,MATCH(N$1,貼り付け2!$1:$1,0)-1)-3)
&amp;OFFSET(貼り付け2!$A$1,$A41-2,OFFSET(貼り付け2!$A$1,ROW()-1,MATCH(N$1,貼り付け2!$1:$1,0)-1)-2)
&amp;OFFSET(貼り付け2!$A$1,$A41-2,OFFSET(貼り付け2!$A$1,ROW()-1,MATCH(N$1,貼り付け2!$1:$1,0)-1)-1),""))),
IF(OFFSET(貼り付け2!$A$1,ROW()-1,MATCH(N$1,貼り付け2!$1:$1,0)+1)=2,
OFFSET(貼り付け2!$A$1,$A41-3,OFFSET(貼り付け2!$A$1,ROW()-1,MATCH(N$1,貼り付け2!$1:$1,0)+1)-2)
&amp;OFFSET(貼り付け2!$A$1,$A41-3,OFFSET(貼り付け2!$A$1,ROW()-1,MATCH(N$1,貼り付け2!$1:$1,0)+1)-1),
IF(OFFSET(貼り付け2!$A$1,ROW()-1,MATCH(N$1,貼り付け2!$1:$1,0)+1)=3,
OFFSET(貼り付け2!$A$1,$A41-3,OFFSET(貼り付け2!$A$1,ROW()-1,MATCH(N$1,貼り付け2!$1:$1,0)+1)-3)
&amp;OFFSET(貼り付け2!$A$1,$A41-3,OFFSET(貼り付け2!$A$1,ROW()-1,MATCH(N$1,貼り付け2!$1:$1,0)+1)-2)
&amp;OFFSET(貼り付け2!$A$1,$A41-3,OFFSET(貼り付け2!$A$1,ROW()-1,MATCH(N$1,貼り付け2!$1:$1,0)+1)-1),"")))</f>
        <v/>
      </c>
      <c r="O41" t="str">
        <f ca="1">IFERROR(OFFSET(貼り付け2!$A$1,$A41-1,OFFSET(貼り付け2!$A$1,ROW()-1,MATCH(O$1,貼り付け2!$1:$1,0)-1)-1),"")</f>
        <v/>
      </c>
      <c r="P41" t="e">
        <f ca="1">OFFSET(貼り付け1!$A$1,貼り付け1!$G40-1,2)</f>
        <v>#REF!</v>
      </c>
      <c r="Q41" t="e">
        <f ca="1">OFFSET(貼り付け1!$A$1,貼り付け1!$F40-1,2)</f>
        <v>#REF!</v>
      </c>
      <c r="R41" t="str">
        <f ca="1">IFERROR(OFFSET(貼り付け2!$A$1,まとめ!$B41-1,OFFSET(貼り付け2!$A$1,ROW()-1,MATCH(R$1,貼り付け2!$1:$1,0)-1)-1),"")</f>
        <v/>
      </c>
      <c r="S41" t="str">
        <f ca="1">IF(OFFSET(貼り付け2!$A$1,ROW()-1,MATCH(S$1,貼り付け2!$1:$1,0)-1)&lt;&gt;"",
IF($C41=TRUE,
IF((OFFSET(貼り付け2!$A$1,ROW()-1,MATCH(S$1,貼り付け2!$1:$1,0)-1)-OFFSET(貼り付け2!$A$1,ROW()-1,MATCH(N$1,貼り付け2!$1:$1,0)-1))=2,
OFFSET(貼り付け2!$A$1,$A41-4,OFFSET(貼り付け2!$A$1,ROW()-1,MATCH(S$1,貼り付け2!$1:$1,0)-1)-2)
&amp;OFFSET(貼り付け2!$A$1,$A41-4,OFFSET(貼り付け2!$A$1,ROW()-1,MATCH(S$1,貼り付け2!$1:$1,0)-1)-1),
IF((OFFSET(貼り付け2!$A$1,ROW()-1,MATCH(S$1,貼り付け2!$1:$1,0)-1)-OFFSET(貼り付け2!$A$1,ROW()-1,MATCH(N$1,貼り付け2!$1:$1,0)-1))=3,
OFFSET(貼り付け2!$A$1,$A41-4,OFFSET(貼り付け2!$A$1,ROW()-1,MATCH(S$1,貼り付け2!$1:$1,0)-1)-3)
&amp;OFFSET(貼り付け2!$A$1,$A41-4,OFFSET(貼り付け2!$A$1,ROW()-1,MATCH(S$1,貼り付け2!$1:$1,0)-1)-2)
&amp;OFFSET(貼り付け2!$A$1,$A41-4,OFFSET(貼り付け2!$A$1,ROW()-1,MATCH(S$1,貼り付け2!$1:$1,0)-1)-1),"")),
IF((OFFSET(貼り付け2!$A$1,ROW()-1,MATCH(S$1,貼り付け2!$1:$1,0)-1)-OFFSET(貼り付け2!$A$1,ROW()-1,MATCH(N$1,貼り付け2!$1:$1,0)-1))=2,
OFFSET(貼り付け2!$A$1,$A41-2,OFFSET(貼り付け2!$A$1,ROW()-1,MATCH(S$1,貼り付け2!$1:$1,0)-1)-2)
&amp;OFFSET(貼り付け2!$A$1,$A41-2,OFFSET(貼り付け2!$A$1,ROW()-1,MATCH(S$1,貼り付け2!$1:$1,0)-1)-1),
IF((OFFSET(貼り付け2!$A$1,ROW()-1,MATCH(S$1,貼り付け2!$1:$1,0)-1)-OFFSET(貼り付け2!$A$1,ROW()-1,MATCH(N$1,貼り付け2!$1:$1,0)-1))=3,
OFFSET(貼り付け2!$A$1,$A41-2,OFFSET(貼り付け2!$A$1,ROW()-1,MATCH(S$1,貼り付け2!$1:$1,0)-1)-3)
&amp;OFFSET(貼り付け2!$A$1,$A41-2,OFFSET(貼り付け2!$A$1,ROW()-1,MATCH(S$1,貼り付け2!$1:$1,0)-1)-2)
&amp;OFFSET(貼り付け2!$A$1,$A41-2,OFFSET(貼り付け2!$A$1,ROW()-1,MATCH(S$1,貼り付け2!$1:$1,0)-1)-1),""))),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OFFSET(貼り付け2!$A$1,$A41-3,OFFSET(貼り付け2!$A$1,ROW()-1,MATCH(S$1,貼り付け2!$1:$1,0)+1)-2)
&amp;OFFSET(貼り付け2!$A$1,$A41-3,OFFSET(貼り付け2!$A$1,ROW()-1,MATCH(S$1,貼り付け2!$1:$1,0)+1)-1),
IF(OFFSET(貼り付け2!$A$1,ROW()-1,MATCH(S$1,貼り付け2!$1:$1,0)+1)-OFFSET(貼り付け2!$A$1,ROW()-1,MATCH(N$1,貼り付け2!$1:$1,0)+1)=3,
OFFSET(貼り付け2!$A$1,$A41-3,OFFSET(貼り付け2!$A$1,ROW()-1,MATCH(S$1,貼り付け2!$1:$1,0)+1)-3)
&amp;OFFSET(貼り付け2!$A$1,$A41-3,OFFSET(貼り付け2!$A$1,ROW()-1,MATCH(S$1,貼り付け2!$1:$1,0)+1)-2)
&amp;OFFSET(貼り付け2!$A$1,$A41-3,OFFSET(貼り付け2!$A$1,ROW()-1,MATCH(S$1,貼り付け2!$1:$1,0)+1)-1),"")),
IF(OFFSET(貼り付け2!$A$1,ROW()-1,MATCH(S$1,貼り付け2!$1:$1,0)+1)=2,
OFFSET(貼り付け2!$A$1,$A41-3,OFFSET(貼り付け2!$A$1,ROW()-1,MATCH(S$1,貼り付け2!$1:$1,0)+1)-2)
&amp;OFFSET(貼り付け2!$A$1,$A41-3,OFFSET(貼り付け2!$A$1,ROW()-1,MATCH(S$1,貼り付け2!$1:$1,0)+1)-1),
IF(OFFSET(貼り付け2!$A$1,ROW()-1,MATCH(S$1,貼り付け2!$1:$1,0)+1)=3,
OFFSET(貼り付け2!$A$1,$A41-3,OFFSET(貼り付け2!$A$1,ROW()-1,MATCH(S$1,貼り付け2!$1:$1,0)+1)-3)
&amp;OFFSET(貼り付け2!$A$1,$A41-3,OFFSET(貼り付け2!$A$1,ROW()-1,MATCH(S$1,貼り付け2!$1:$1,0)+1)-2)
&amp;OFFSET(貼り付け2!$A$1,$A41-3,OFFSET(貼り付け2!$A$1,ROW()-1,MATCH(S$1,貼り付け2!$1:$1,0)+1)-1),""))))</f>
        <v/>
      </c>
      <c r="T41" t="str">
        <f ca="1">IFERROR(OFFSET(貼り付け2!$A$1,$A41-1,OFFSET(貼り付け2!$A$1,ROW()-1,MATCH(T$1,貼り付け2!$1:$1,0)-1)-1),"")</f>
        <v/>
      </c>
      <c r="U41" t="e">
        <f ca="1">OFFSET(貼り付け1!$A$1,貼り付け1!$G40-1,3)</f>
        <v>#REF!</v>
      </c>
      <c r="V41" t="e">
        <f ca="1">OFFSET(貼り付け1!$A$1,貼り付け1!$F40-1,3)</f>
        <v>#REF!</v>
      </c>
      <c r="W41" t="str">
        <f ca="1">IFERROR(OFFSET(貼り付け2!$A$1,まとめ!$B41-1,OFFSET(貼り付け2!$A$1,ROW()-1,MATCH(W$1,貼り付け2!$1:$1,0)-1)-1),"")</f>
        <v/>
      </c>
    </row>
    <row r="42" spans="1:23" x14ac:dyDescent="0.45">
      <c r="A42" t="str">
        <f>貼り付け2!S42</f>
        <v/>
      </c>
      <c r="B42" t="str">
        <f>貼り付け2!R42</f>
        <v/>
      </c>
      <c r="C42" t="e">
        <f t="shared" ca="1" si="1"/>
        <v>#VALUE!</v>
      </c>
      <c r="D42" t="str">
        <f ca="1">IF(OFFSET(貼り付け2!$A$1,ROW()-1,MATCH(D$1,貼り付け2!$1:$1,0)-1)=2,
OFFSET(貼り付け2!$A$1,A42-2,OFFSET(貼り付け2!$A$1,ROW()-1,MATCH(D$1,貼り付け2!$1:$1,0)-1)-2)
&amp;OFFSET(貼り付け2!$A$1,A42-2,OFFSET(貼り付け2!$A$1,ROW()-1,MATCH(D$1,貼り付け2!$1:$1,0)-1)-1),
IF(OFFSET(貼り付け2!$A$1,ROW()-1,MATCH(D$1,貼り付け2!$1:$1,0)-1)=3,
OFFSET(貼り付け2!$A$1,A42-2,OFFSET(貼り付け2!$A$1,ROW()-1,MATCH(D$1,貼り付け2!$1:$1,0)-1)-3)
&amp;OFFSET(貼り付け2!$A$1,A42-2,OFFSET(貼り付け2!$A$1,ROW()-1,MATCH(D$1,貼り付け2!$1:$1,0)-1)-2)
&amp;OFFSET(貼り付け2!$A$1,A42-2,OFFSET(貼り付け2!$A$1,ROW()-1,MATCH(D$1,貼り付け2!$1:$1,0)-1)-1),""))</f>
        <v/>
      </c>
      <c r="E42" t="str">
        <f ca="1">IF(OFFSET(貼り付け2!$A$1,ROW()-1,MATCH(E$1,貼り付け2!$1:$1,0)-1)=2,
OFFSET(貼り付け2!$A$1,$A42-1,OFFSET(貼り付け2!$A$1,ROW()-1,MATCH(E$1,貼り付け2!$1:$1,0)-1)-2)&amp;"・"&amp;OFFSET(貼り付け2!$A$1,$A42-1,OFFSET(貼り付け2!$A$1,ROW()-1,MATCH(E$1,貼り付け2!$1:$1,0)-1)-1),
IF(OFFSET(貼り付け2!$A$1,ROW()-1,MATCH(E$1,貼り付け2!$1:$1,0)-1)=1,
OFFSET(貼り付け2!$A$1,$A42-1,OFFSET(貼り付け2!$A$1,ROW()-1,MATCH(E$1,貼り付け2!$1:$1,0)-1)-1),""))</f>
        <v/>
      </c>
      <c r="F42" t="e">
        <f ca="1">OFFSET(貼り付け1!$A$1,貼り付け1!$G41-1,0)</f>
        <v>#REF!</v>
      </c>
      <c r="G42" t="e">
        <f ca="1">OFFSET(貼り付け1!$A$1,貼り付け1!$F41-1,0)</f>
        <v>#REF!</v>
      </c>
      <c r="H42" t="str">
        <f ca="1">IFERROR(OFFSET(貼り付け2!$A$1,まとめ!$B42-1,OFFSET(貼り付け2!$A$1,ROW()-1,MATCH(H$1,貼り付け2!$1:$1,0)-1)-1),"")</f>
        <v/>
      </c>
      <c r="I42" t="e">
        <f ca="1">IF((OFFSET(貼り付け2!$A$1,ROW()-1,MATCH(I$1,貼り付け2!$1:$1,0)-1)-OFFSET(貼り付け2!$A$1,ROW()-1,MATCH(D$1,貼り付け2!$1:$1,0)-1))=2,
OFFSET(貼り付け2!$A$1,$A42-2,OFFSET(貼り付け2!$A$1,ROW()-1,MATCH(I$1,貼り付け2!$1:$1,0)-1)-2)
&amp;OFFSET(貼り付け2!$A$1,$A42-2,OFFSET(貼り付け2!$A$1,ROW()-1,MATCH(I$1,貼り付け2!$1:$1,0)-1)-1),
IF((OFFSET(貼り付け2!$A$1,ROW()-1,MATCH(I$1,貼り付け2!$1:$1,0)-1)-OFFSET(貼り付け2!$A$1,ROW()-1,MATCH(D$1,貼り付け2!$1:$1,0)-1))=3,
OFFSET(貼り付け2!$A$1,$A42-2,OFFSET(貼り付け2!$A$1,ROW()-1,MATCH(I$1,貼り付け2!$1:$1,0)-1)-3)
&amp;OFFSET(貼り付け2!$A$1,$A42-2,OFFSET(貼り付け2!$A$1,ROW()-1,MATCH(I$1,貼り付け2!$1:$1,0)-1)-2)
&amp;OFFSET(貼り付け2!$A$1,$A42-2,OFFSET(貼り付け2!$A$1,ROW()-1,MATCH(I$1,貼り付け2!$1:$1,0)-1)-1),""))</f>
        <v>#VALUE!</v>
      </c>
      <c r="J42" t="str">
        <f ca="1">IFERROR(OFFSET(貼り付け2!$A$1,$A42-1,OFFSET(貼り付け2!$A$1,ROW()-1,MATCH(J$1,貼り付け2!$1:$1,0)-1)-1),"")</f>
        <v/>
      </c>
      <c r="K42" t="e">
        <f ca="1">OFFSET(貼り付け1!$A$1,貼り付け1!$G41-1,1)</f>
        <v>#REF!</v>
      </c>
      <c r="L42" t="e">
        <f ca="1">OFFSET(貼り付け1!$A$1,貼り付け1!$F41-1,1)</f>
        <v>#REF!</v>
      </c>
      <c r="M42" t="str">
        <f ca="1">IFERROR(OFFSET(貼り付け2!$A$1,まとめ!$B42-1,OFFSET(貼り付け2!$A$1,ROW()-1,MATCH(M$1,貼り付け2!$1:$1,0)-1)-1),"")</f>
        <v/>
      </c>
      <c r="N42" t="str">
        <f ca="1">IF(OFFSET(貼り付け2!$A$1,ROW()-1,MATCH(N$1,貼り付け2!$1:$1,0)-1)&lt;&gt;"",
IF($C42=TRUE,
IF((OFFSET(貼り付け2!$A$1,ROW()-1,MATCH(N$1,貼り付け2!$1:$1,0)-1)-OFFSET(貼り付け2!$A$1,ROW()-1,MATCH(I$1,貼り付け2!$1:$1,0)-1))=2,
OFFSET(貼り付け2!$A$1,$A42-4,OFFSET(貼り付け2!$A$1,ROW()-1,MATCH(N$1,貼り付け2!$1:$1,0)-1)-2)
&amp;OFFSET(貼り付け2!$A$1,$A42-4,OFFSET(貼り付け2!$A$1,ROW()-1,MATCH(N$1,貼り付け2!$1:$1,0)-1)-1),
IF((OFFSET(貼り付け2!$A$1,ROW()-1,MATCH(N$1,貼り付け2!$1:$1,0)-1)-OFFSET(貼り付け2!$A$1,ROW()-1,MATCH(I$1,貼り付け2!$1:$1,0)-1))=3,
OFFSET(貼り付け2!$A$1,$A42-4,OFFSET(貼り付け2!$A$1,ROW()-1,MATCH(N$1,貼り付け2!$1:$1,0)-1)-3)
&amp;OFFSET(貼り付け2!$A$1,$A42-4,OFFSET(貼り付け2!$A$1,ROW()-1,MATCH(N$1,貼り付け2!$1:$1,0)-1)-2)
&amp;OFFSET(貼り付け2!$A$1,$A42-4,OFFSET(貼り付け2!$A$1,ROW()-1,MATCH(N$1,貼り付け2!$1:$1,0)-1)-1),"")),
IF((OFFSET(貼り付け2!$A$1,ROW()-1,MATCH(N$1,貼り付け2!$1:$1,0)-1)-OFFSET(貼り付け2!$A$1,ROW()-1,MATCH(I$1,貼り付け2!$1:$1,0)-1))=2,
OFFSET(貼り付け2!$A$1,$A42-2,OFFSET(貼り付け2!$A$1,ROW()-1,MATCH(N$1,貼り付け2!$1:$1,0)-1)-2)
&amp;OFFSET(貼り付け2!$A$1,$A42-2,OFFSET(貼り付け2!$A$1,ROW()-1,MATCH(N$1,貼り付け2!$1:$1,0)-1)-1),
IF((OFFSET(貼り付け2!$A$1,ROW()-1,MATCH(N$1,貼り付け2!$1:$1,0)-1)-OFFSET(貼り付け2!$A$1,ROW()-1,MATCH(I$1,貼り付け2!$1:$1,0)-1))=3,
OFFSET(貼り付け2!$A$1,$A42-2,OFFSET(貼り付け2!$A$1,ROW()-1,MATCH(N$1,貼り付け2!$1:$1,0)-1)-3)
&amp;OFFSET(貼り付け2!$A$1,$A42-2,OFFSET(貼り付け2!$A$1,ROW()-1,MATCH(N$1,貼り付け2!$1:$1,0)-1)-2)
&amp;OFFSET(貼り付け2!$A$1,$A42-2,OFFSET(貼り付け2!$A$1,ROW()-1,MATCH(N$1,貼り付け2!$1:$1,0)-1)-1),""))),
IF(OFFSET(貼り付け2!$A$1,ROW()-1,MATCH(N$1,貼り付け2!$1:$1,0)+1)=2,
OFFSET(貼り付け2!$A$1,$A42-3,OFFSET(貼り付け2!$A$1,ROW()-1,MATCH(N$1,貼り付け2!$1:$1,0)+1)-2)
&amp;OFFSET(貼り付け2!$A$1,$A42-3,OFFSET(貼り付け2!$A$1,ROW()-1,MATCH(N$1,貼り付け2!$1:$1,0)+1)-1),
IF(OFFSET(貼り付け2!$A$1,ROW()-1,MATCH(N$1,貼り付け2!$1:$1,0)+1)=3,
OFFSET(貼り付け2!$A$1,$A42-3,OFFSET(貼り付け2!$A$1,ROW()-1,MATCH(N$1,貼り付け2!$1:$1,0)+1)-3)
&amp;OFFSET(貼り付け2!$A$1,$A42-3,OFFSET(貼り付け2!$A$1,ROW()-1,MATCH(N$1,貼り付け2!$1:$1,0)+1)-2)
&amp;OFFSET(貼り付け2!$A$1,$A42-3,OFFSET(貼り付け2!$A$1,ROW()-1,MATCH(N$1,貼り付け2!$1:$1,0)+1)-1),"")))</f>
        <v/>
      </c>
      <c r="O42" t="str">
        <f ca="1">IFERROR(OFFSET(貼り付け2!$A$1,$A42-1,OFFSET(貼り付け2!$A$1,ROW()-1,MATCH(O$1,貼り付け2!$1:$1,0)-1)-1),"")</f>
        <v/>
      </c>
      <c r="P42" t="e">
        <f ca="1">OFFSET(貼り付け1!$A$1,貼り付け1!$G41-1,2)</f>
        <v>#REF!</v>
      </c>
      <c r="Q42" t="e">
        <f ca="1">OFFSET(貼り付け1!$A$1,貼り付け1!$F41-1,2)</f>
        <v>#REF!</v>
      </c>
      <c r="R42" t="str">
        <f ca="1">IFERROR(OFFSET(貼り付け2!$A$1,まとめ!$B42-1,OFFSET(貼り付け2!$A$1,ROW()-1,MATCH(R$1,貼り付け2!$1:$1,0)-1)-1),"")</f>
        <v/>
      </c>
      <c r="S42" t="str">
        <f ca="1">IF(OFFSET(貼り付け2!$A$1,ROW()-1,MATCH(S$1,貼り付け2!$1:$1,0)-1)&lt;&gt;"",
IF($C42=TRUE,
IF((OFFSET(貼り付け2!$A$1,ROW()-1,MATCH(S$1,貼り付け2!$1:$1,0)-1)-OFFSET(貼り付け2!$A$1,ROW()-1,MATCH(N$1,貼り付け2!$1:$1,0)-1))=2,
OFFSET(貼り付け2!$A$1,$A42-4,OFFSET(貼り付け2!$A$1,ROW()-1,MATCH(S$1,貼り付け2!$1:$1,0)-1)-2)
&amp;OFFSET(貼り付け2!$A$1,$A42-4,OFFSET(貼り付け2!$A$1,ROW()-1,MATCH(S$1,貼り付け2!$1:$1,0)-1)-1),
IF((OFFSET(貼り付け2!$A$1,ROW()-1,MATCH(S$1,貼り付け2!$1:$1,0)-1)-OFFSET(貼り付け2!$A$1,ROW()-1,MATCH(N$1,貼り付け2!$1:$1,0)-1))=3,
OFFSET(貼り付け2!$A$1,$A42-4,OFFSET(貼り付け2!$A$1,ROW()-1,MATCH(S$1,貼り付け2!$1:$1,0)-1)-3)
&amp;OFFSET(貼り付け2!$A$1,$A42-4,OFFSET(貼り付け2!$A$1,ROW()-1,MATCH(S$1,貼り付け2!$1:$1,0)-1)-2)
&amp;OFFSET(貼り付け2!$A$1,$A42-4,OFFSET(貼り付け2!$A$1,ROW()-1,MATCH(S$1,貼り付け2!$1:$1,0)-1)-1),"")),
IF((OFFSET(貼り付け2!$A$1,ROW()-1,MATCH(S$1,貼り付け2!$1:$1,0)-1)-OFFSET(貼り付け2!$A$1,ROW()-1,MATCH(N$1,貼り付け2!$1:$1,0)-1))=2,
OFFSET(貼り付け2!$A$1,$A42-2,OFFSET(貼り付け2!$A$1,ROW()-1,MATCH(S$1,貼り付け2!$1:$1,0)-1)-2)
&amp;OFFSET(貼り付け2!$A$1,$A42-2,OFFSET(貼り付け2!$A$1,ROW()-1,MATCH(S$1,貼り付け2!$1:$1,0)-1)-1),
IF((OFFSET(貼り付け2!$A$1,ROW()-1,MATCH(S$1,貼り付け2!$1:$1,0)-1)-OFFSET(貼り付け2!$A$1,ROW()-1,MATCH(N$1,貼り付け2!$1:$1,0)-1))=3,
OFFSET(貼り付け2!$A$1,$A42-2,OFFSET(貼り付け2!$A$1,ROW()-1,MATCH(S$1,貼り付け2!$1:$1,0)-1)-3)
&amp;OFFSET(貼り付け2!$A$1,$A42-2,OFFSET(貼り付け2!$A$1,ROW()-1,MATCH(S$1,貼り付け2!$1:$1,0)-1)-2)
&amp;OFFSET(貼り付け2!$A$1,$A42-2,OFFSET(貼り付け2!$A$1,ROW()-1,MATCH(S$1,貼り付け2!$1:$1,0)-1)-1),""))),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OFFSET(貼り付け2!$A$1,$A42-3,OFFSET(貼り付け2!$A$1,ROW()-1,MATCH(S$1,貼り付け2!$1:$1,0)+1)-2)
&amp;OFFSET(貼り付け2!$A$1,$A42-3,OFFSET(貼り付け2!$A$1,ROW()-1,MATCH(S$1,貼り付け2!$1:$1,0)+1)-1),
IF(OFFSET(貼り付け2!$A$1,ROW()-1,MATCH(S$1,貼り付け2!$1:$1,0)+1)-OFFSET(貼り付け2!$A$1,ROW()-1,MATCH(N$1,貼り付け2!$1:$1,0)+1)=3,
OFFSET(貼り付け2!$A$1,$A42-3,OFFSET(貼り付け2!$A$1,ROW()-1,MATCH(S$1,貼り付け2!$1:$1,0)+1)-3)
&amp;OFFSET(貼り付け2!$A$1,$A42-3,OFFSET(貼り付け2!$A$1,ROW()-1,MATCH(S$1,貼り付け2!$1:$1,0)+1)-2)
&amp;OFFSET(貼り付け2!$A$1,$A42-3,OFFSET(貼り付け2!$A$1,ROW()-1,MATCH(S$1,貼り付け2!$1:$1,0)+1)-1),"")),
IF(OFFSET(貼り付け2!$A$1,ROW()-1,MATCH(S$1,貼り付け2!$1:$1,0)+1)=2,
OFFSET(貼り付け2!$A$1,$A42-3,OFFSET(貼り付け2!$A$1,ROW()-1,MATCH(S$1,貼り付け2!$1:$1,0)+1)-2)
&amp;OFFSET(貼り付け2!$A$1,$A42-3,OFFSET(貼り付け2!$A$1,ROW()-1,MATCH(S$1,貼り付け2!$1:$1,0)+1)-1),
IF(OFFSET(貼り付け2!$A$1,ROW()-1,MATCH(S$1,貼り付け2!$1:$1,0)+1)=3,
OFFSET(貼り付け2!$A$1,$A42-3,OFFSET(貼り付け2!$A$1,ROW()-1,MATCH(S$1,貼り付け2!$1:$1,0)+1)-3)
&amp;OFFSET(貼り付け2!$A$1,$A42-3,OFFSET(貼り付け2!$A$1,ROW()-1,MATCH(S$1,貼り付け2!$1:$1,0)+1)-2)
&amp;OFFSET(貼り付け2!$A$1,$A42-3,OFFSET(貼り付け2!$A$1,ROW()-1,MATCH(S$1,貼り付け2!$1:$1,0)+1)-1),""))))</f>
        <v/>
      </c>
      <c r="T42" t="str">
        <f ca="1">IFERROR(OFFSET(貼り付け2!$A$1,$A42-1,OFFSET(貼り付け2!$A$1,ROW()-1,MATCH(T$1,貼り付け2!$1:$1,0)-1)-1),"")</f>
        <v/>
      </c>
      <c r="U42" t="e">
        <f ca="1">OFFSET(貼り付け1!$A$1,貼り付け1!$G41-1,3)</f>
        <v>#REF!</v>
      </c>
      <c r="V42" t="e">
        <f ca="1">OFFSET(貼り付け1!$A$1,貼り付け1!$F41-1,3)</f>
        <v>#REF!</v>
      </c>
      <c r="W42" t="str">
        <f ca="1">IFERROR(OFFSET(貼り付け2!$A$1,まとめ!$B42-1,OFFSET(貼り付け2!$A$1,ROW()-1,MATCH(W$1,貼り付け2!$1:$1,0)-1)-1),"")</f>
        <v/>
      </c>
    </row>
    <row r="43" spans="1:23" x14ac:dyDescent="0.45">
      <c r="A43" t="str">
        <f>貼り付け2!S43</f>
        <v/>
      </c>
      <c r="B43" t="str">
        <f>貼り付け2!R43</f>
        <v/>
      </c>
      <c r="C43" t="e">
        <f t="shared" ca="1" si="1"/>
        <v>#VALUE!</v>
      </c>
      <c r="D43" t="e">
        <f ca="1">IF($C43=TRUE,
IF(OFFSET(貼り付け2!$A$1,ROW()-1,MATCH(D$1,貼り付け2!$1:$1,0)-1)=2,
OFFSET(貼り付け2!$A$1,$A43-4,OFFSET(貼り付け2!$A$1,ROW()-1,MATCH(D$1,貼り付け2!$1:$1,0)-1)-2)
&amp;OFFSET(貼り付け2!$A$1,$A43-4,OFFSET(貼り付け2!$A$1,ROW()-1,MATCH(D$1,貼り付け2!$1:$1,0)-1)-1),
IF(OFFSET(貼り付け2!$A$1,ROW()-1,MATCH(D$1,貼り付け2!$1:$1,0)-1)=3,
OFFSET(貼り付け2!$A$1,$A43-4,OFFSET(貼り付け2!$A$1,ROW()-1,MATCH(D$1,貼り付け2!$1:$1,0)-1)-3)
&amp;OFFSET(貼り付け2!$A$1,$A43-4,OFFSET(貼り付け2!$A$1,ROW()-1,MATCH(D$1,貼り付け2!$1:$1,0)-1)-2)
&amp;OFFSET(貼り付け2!$A$1,$A43-4,OFFSET(貼り付け2!$A$1,ROW()-1,MATCH(D$1,貼り付け2!$1:$1,0)-1)-1),"")),
IF(OFFSET(貼り付け2!$A$1,ROW()-1,MATCH(D$1,貼り付け2!$1:$1,0)-1)=2,
OFFSET(貼り付け2!$A$1,$A43-2,OFFSET(貼り付け2!$A$1,ROW()-1,MATCH(D$1,貼り付け2!$1:$1,0)-1)-2)
&amp;OFFSET(貼り付け2!$A$1,$A43-2,OFFSET(貼り付け2!$A$1,ROW()-1,MATCH(D$1,貼り付け2!$1:$1,0)-1)-1),
IF(OFFSET(貼り付け2!$A$1,ROW()-1,MATCH(D$1,貼り付け2!$1:$1,0)-1)=3,
OFFSET(貼り付け2!$A$1,$A43-2,OFFSET(貼り付け2!$A$1,ROW()-1,MATCH(D$1,貼り付け2!$1:$1,0)-1)-3)
&amp;OFFSET(貼り付け2!$A$1,$A43-2,OFFSET(貼り付け2!$A$1,ROW()-1,MATCH(D$1,貼り付け2!$1:$1,0)-1)-2)
&amp;OFFSET(貼り付け2!$A$1,$A43-2,OFFSET(貼り付け2!$A$1,ROW()-1,MATCH(D$1,貼り付け2!$1:$1,0)-1)-1),"")))</f>
        <v>#VALUE!</v>
      </c>
      <c r="E43" t="str">
        <f ca="1">IF(OFFSET(貼り付け2!$A$1,ROW()-1,MATCH(E$1,貼り付け2!$1:$1,0)-1)=2,
OFFSET(貼り付け2!$A$1,$A43-1,OFFSET(貼り付け2!$A$1,ROW()-1,MATCH(E$1,貼り付け2!$1:$1,0)-1)-2)&amp;"・"&amp;OFFSET(貼り付け2!$A$1,$A43-1,OFFSET(貼り付け2!$A$1,ROW()-1,MATCH(E$1,貼り付け2!$1:$1,0)-1)-1),
IF(OFFSET(貼り付け2!$A$1,ROW()-1,MATCH(E$1,貼り付け2!$1:$1,0)-1)=1,
OFFSET(貼り付け2!$A$1,$A43-1,OFFSET(貼り付け2!$A$1,ROW()-1,MATCH(E$1,貼り付け2!$1:$1,0)-1)-1),""))</f>
        <v/>
      </c>
      <c r="F43" t="e">
        <f ca="1">OFFSET(貼り付け1!$A$1,貼り付け1!$G42-1,0)</f>
        <v>#REF!</v>
      </c>
      <c r="G43" t="e">
        <f ca="1">OFFSET(貼り付け1!$A$1,貼り付け1!$F42-1,0)</f>
        <v>#REF!</v>
      </c>
      <c r="H43" t="str">
        <f ca="1">IFERROR(OFFSET(貼り付け2!$A$1,まとめ!$B43-1,OFFSET(貼り付け2!$A$1,ROW()-1,MATCH(H$1,貼り付け2!$1:$1,0)-1)-1),"")</f>
        <v/>
      </c>
      <c r="I43" t="e">
        <f ca="1">IF($C43=TRUE,
IF((OFFSET(貼り付け2!$A$1,ROW()-1,MATCH(I$1,貼り付け2!$1:$1,0)-1)-OFFSET(貼り付け2!$A$1,ROW()-1,MATCH(D$1,貼り付け2!$1:$1,0)-1))=2,
OFFSET(貼り付け2!$A$1,$A43-4,OFFSET(貼り付け2!$A$1,ROW()-1,MATCH(I$1,貼り付け2!$1:$1,0)-1)-2)
&amp;OFFSET(貼り付け2!$A$1,$A43-4,OFFSET(貼り付け2!$A$1,ROW()-1,MATCH(I$1,貼り付け2!$1:$1,0)-1)-1),
IF((OFFSET(貼り付け2!$A$1,ROW()-1,MATCH(I$1,貼り付け2!$1:$1,0)-1)-OFFSET(貼り付け2!$A$1,ROW()-1,MATCH(D$1,貼り付け2!$1:$1,0)-1))=3,
OFFSET(貼り付け2!$A$1,$A43-4,OFFSET(貼り付け2!$A$1,ROW()-1,MATCH(I$1,貼り付け2!$1:$1,0)-1)-3)
&amp;OFFSET(貼り付け2!$A$1,$A43-4,OFFSET(貼り付け2!$A$1,ROW()-1,MATCH(I$1,貼り付け2!$1:$1,0)-1)-2)
&amp;OFFSET(貼り付け2!$A$1,$A43-4,OFFSET(貼り付け2!$A$1,ROW()-1,MATCH(I$1,貼り付け2!$1:$1,0)-1)-1),"")),
IF((OFFSET(貼り付け2!$A$1,ROW()-1,MATCH(I$1,貼り付け2!$1:$1,0)-1)-OFFSET(貼り付け2!$A$1,ROW()-1,MATCH(D$1,貼り付け2!$1:$1,0)-1))=2,
OFFSET(貼り付け2!$A$1,$A43-2,OFFSET(貼り付け2!$A$1,ROW()-1,MATCH(I$1,貼り付け2!$1:$1,0)-1)-2)
&amp;OFFSET(貼り付け2!$A$1,$A43-2,OFFSET(貼り付け2!$A$1,ROW()-1,MATCH(I$1,貼り付け2!$1:$1,0)-1)-1),
IF((OFFSET(貼り付け2!$A$1,ROW()-1,MATCH(I$1,貼り付け2!$1:$1,0)-1)-OFFSET(貼り付け2!$A$1,ROW()-1,MATCH(D$1,貼り付け2!$1:$1,0)-1))=3,
OFFSET(貼り付け2!$A$1,$A43-2,OFFSET(貼り付け2!$A$1,ROW()-1,MATCH(I$1,貼り付け2!$1:$1,0)-1)-3)
&amp;OFFSET(貼り付け2!$A$1,$A43-2,OFFSET(貼り付け2!$A$1,ROW()-1,MATCH(I$1,貼り付け2!$1:$1,0)-1)-2)
&amp;OFFSET(貼り付け2!$A$1,$A43-2,OFFSET(貼り付け2!$A$1,ROW()-1,MATCH(I$1,貼り付け2!$1:$1,0)-1)-1),"")))</f>
        <v>#VALUE!</v>
      </c>
      <c r="J43" t="str">
        <f ca="1">IFERROR(OFFSET(貼り付け2!$A$1,$A43-1,OFFSET(貼り付け2!$A$1,ROW()-1,MATCH(J$1,貼り付け2!$1:$1,0)-1)-1),"")</f>
        <v/>
      </c>
      <c r="K43" t="e">
        <f ca="1">OFFSET(貼り付け1!$A$1,貼り付け1!$G42-1,1)</f>
        <v>#REF!</v>
      </c>
      <c r="L43" t="e">
        <f ca="1">OFFSET(貼り付け1!$A$1,貼り付け1!$F42-1,1)</f>
        <v>#REF!</v>
      </c>
      <c r="M43" t="str">
        <f ca="1">IFERROR(OFFSET(貼り付け2!$A$1,まとめ!$B43-1,OFFSET(貼り付け2!$A$1,ROW()-1,MATCH(M$1,貼り付け2!$1:$1,0)-1)-1),"")</f>
        <v/>
      </c>
      <c r="N43" t="str">
        <f ca="1">IF(OFFSET(貼り付け2!$A$1,ROW()-1,MATCH(N$1,貼り付け2!$1:$1,0)-1)&lt;&gt;"",
IF($C43=TRUE,
IF((OFFSET(貼り付け2!$A$1,ROW()-1,MATCH(N$1,貼り付け2!$1:$1,0)-1)-OFFSET(貼り付け2!$A$1,ROW()-1,MATCH(I$1,貼り付け2!$1:$1,0)-1))=2,
OFFSET(貼り付け2!$A$1,$A43-4,OFFSET(貼り付け2!$A$1,ROW()-1,MATCH(N$1,貼り付け2!$1:$1,0)-1)-2)
&amp;OFFSET(貼り付け2!$A$1,$A43-4,OFFSET(貼り付け2!$A$1,ROW()-1,MATCH(N$1,貼り付け2!$1:$1,0)-1)-1),
IF((OFFSET(貼り付け2!$A$1,ROW()-1,MATCH(N$1,貼り付け2!$1:$1,0)-1)-OFFSET(貼り付け2!$A$1,ROW()-1,MATCH(I$1,貼り付け2!$1:$1,0)-1))=3,
OFFSET(貼り付け2!$A$1,$A43-4,OFFSET(貼り付け2!$A$1,ROW()-1,MATCH(N$1,貼り付け2!$1:$1,0)-1)-3)
&amp;OFFSET(貼り付け2!$A$1,$A43-4,OFFSET(貼り付け2!$A$1,ROW()-1,MATCH(N$1,貼り付け2!$1:$1,0)-1)-2)
&amp;OFFSET(貼り付け2!$A$1,$A43-4,OFFSET(貼り付け2!$A$1,ROW()-1,MATCH(N$1,貼り付け2!$1:$1,0)-1)-1),"")),
IF((OFFSET(貼り付け2!$A$1,ROW()-1,MATCH(N$1,貼り付け2!$1:$1,0)-1)-OFFSET(貼り付け2!$A$1,ROW()-1,MATCH(I$1,貼り付け2!$1:$1,0)-1))=2,
OFFSET(貼り付け2!$A$1,$A43-2,OFFSET(貼り付け2!$A$1,ROW()-1,MATCH(N$1,貼り付け2!$1:$1,0)-1)-2)
&amp;OFFSET(貼り付け2!$A$1,$A43-2,OFFSET(貼り付け2!$A$1,ROW()-1,MATCH(N$1,貼り付け2!$1:$1,0)-1)-1),
IF((OFFSET(貼り付け2!$A$1,ROW()-1,MATCH(N$1,貼り付け2!$1:$1,0)-1)-OFFSET(貼り付け2!$A$1,ROW()-1,MATCH(I$1,貼り付け2!$1:$1,0)-1))=3,
OFFSET(貼り付け2!$A$1,$A43-2,OFFSET(貼り付け2!$A$1,ROW()-1,MATCH(N$1,貼り付け2!$1:$1,0)-1)-3)
&amp;OFFSET(貼り付け2!$A$1,$A43-2,OFFSET(貼り付け2!$A$1,ROW()-1,MATCH(N$1,貼り付け2!$1:$1,0)-1)-2)
&amp;OFFSET(貼り付け2!$A$1,$A43-2,OFFSET(貼り付け2!$A$1,ROW()-1,MATCH(N$1,貼り付け2!$1:$1,0)-1)-1),""))),
IF(OFFSET(貼り付け2!$A$1,ROW()-1,MATCH(N$1,貼り付け2!$1:$1,0)+1)=2,
OFFSET(貼り付け2!$A$1,$A43-3,OFFSET(貼り付け2!$A$1,ROW()-1,MATCH(N$1,貼り付け2!$1:$1,0)+1)-2)
&amp;OFFSET(貼り付け2!$A$1,$A43-3,OFFSET(貼り付け2!$A$1,ROW()-1,MATCH(N$1,貼り付け2!$1:$1,0)+1)-1),
IF(OFFSET(貼り付け2!$A$1,ROW()-1,MATCH(N$1,貼り付け2!$1:$1,0)+1)=3,
OFFSET(貼り付け2!$A$1,$A43-3,OFFSET(貼り付け2!$A$1,ROW()-1,MATCH(N$1,貼り付け2!$1:$1,0)+1)-3)
&amp;OFFSET(貼り付け2!$A$1,$A43-3,OFFSET(貼り付け2!$A$1,ROW()-1,MATCH(N$1,貼り付け2!$1:$1,0)+1)-2)
&amp;OFFSET(貼り付け2!$A$1,$A43-3,OFFSET(貼り付け2!$A$1,ROW()-1,MATCH(N$1,貼り付け2!$1:$1,0)+1)-1),"")))</f>
        <v/>
      </c>
      <c r="O43" t="str">
        <f ca="1">IFERROR(OFFSET(貼り付け2!$A$1,$A43-1,OFFSET(貼り付け2!$A$1,ROW()-1,MATCH(O$1,貼り付け2!$1:$1,0)-1)-1),"")</f>
        <v/>
      </c>
      <c r="P43" t="e">
        <f ca="1">OFFSET(貼り付け1!$A$1,貼り付け1!$G42-1,2)</f>
        <v>#REF!</v>
      </c>
      <c r="Q43" t="e">
        <f ca="1">OFFSET(貼り付け1!$A$1,貼り付け1!$F42-1,2)</f>
        <v>#REF!</v>
      </c>
      <c r="R43" t="str">
        <f ca="1">IFERROR(OFFSET(貼り付け2!$A$1,まとめ!$B43-1,OFFSET(貼り付け2!$A$1,ROW()-1,MATCH(R$1,貼り付け2!$1:$1,0)-1)-1),"")</f>
        <v/>
      </c>
      <c r="S43" t="str">
        <f ca="1">IF(OFFSET(貼り付け2!$A$1,ROW()-1,MATCH(S$1,貼り付け2!$1:$1,0)-1)&lt;&gt;"",
IF($C43=TRUE,
IF((OFFSET(貼り付け2!$A$1,ROW()-1,MATCH(S$1,貼り付け2!$1:$1,0)-1)-OFFSET(貼り付け2!$A$1,ROW()-1,MATCH(N$1,貼り付け2!$1:$1,0)-1))=2,
OFFSET(貼り付け2!$A$1,$A43-4,OFFSET(貼り付け2!$A$1,ROW()-1,MATCH(S$1,貼り付け2!$1:$1,0)-1)-2)
&amp;OFFSET(貼り付け2!$A$1,$A43-4,OFFSET(貼り付け2!$A$1,ROW()-1,MATCH(S$1,貼り付け2!$1:$1,0)-1)-1),
IF((OFFSET(貼り付け2!$A$1,ROW()-1,MATCH(S$1,貼り付け2!$1:$1,0)-1)-OFFSET(貼り付け2!$A$1,ROW()-1,MATCH(N$1,貼り付け2!$1:$1,0)-1))=3,
OFFSET(貼り付け2!$A$1,$A43-4,OFFSET(貼り付け2!$A$1,ROW()-1,MATCH(S$1,貼り付け2!$1:$1,0)-1)-3)
&amp;OFFSET(貼り付け2!$A$1,$A43-4,OFFSET(貼り付け2!$A$1,ROW()-1,MATCH(S$1,貼り付け2!$1:$1,0)-1)-2)
&amp;OFFSET(貼り付け2!$A$1,$A43-4,OFFSET(貼り付け2!$A$1,ROW()-1,MATCH(S$1,貼り付け2!$1:$1,0)-1)-1),"")),
IF((OFFSET(貼り付け2!$A$1,ROW()-1,MATCH(S$1,貼り付け2!$1:$1,0)-1)-OFFSET(貼り付け2!$A$1,ROW()-1,MATCH(N$1,貼り付け2!$1:$1,0)-1))=2,
OFFSET(貼り付け2!$A$1,$A43-2,OFFSET(貼り付け2!$A$1,ROW()-1,MATCH(S$1,貼り付け2!$1:$1,0)-1)-2)
&amp;OFFSET(貼り付け2!$A$1,$A43-2,OFFSET(貼り付け2!$A$1,ROW()-1,MATCH(S$1,貼り付け2!$1:$1,0)-1)-1),
IF((OFFSET(貼り付け2!$A$1,ROW()-1,MATCH(S$1,貼り付け2!$1:$1,0)-1)-OFFSET(貼り付け2!$A$1,ROW()-1,MATCH(N$1,貼り付け2!$1:$1,0)-1))=3,
OFFSET(貼り付け2!$A$1,$A43-2,OFFSET(貼り付け2!$A$1,ROW()-1,MATCH(S$1,貼り付け2!$1:$1,0)-1)-3)
&amp;OFFSET(貼り付け2!$A$1,$A43-2,OFFSET(貼り付け2!$A$1,ROW()-1,MATCH(S$1,貼り付け2!$1:$1,0)-1)-2)
&amp;OFFSET(貼り付け2!$A$1,$A43-2,OFFSET(貼り付け2!$A$1,ROW()-1,MATCH(S$1,貼り付け2!$1:$1,0)-1)-1),""))),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OFFSET(貼り付け2!$A$1,$A43-3,OFFSET(貼り付け2!$A$1,ROW()-1,MATCH(S$1,貼り付け2!$1:$1,0)+1)-2)
&amp;OFFSET(貼り付け2!$A$1,$A43-3,OFFSET(貼り付け2!$A$1,ROW()-1,MATCH(S$1,貼り付け2!$1:$1,0)+1)-1),
IF(OFFSET(貼り付け2!$A$1,ROW()-1,MATCH(S$1,貼り付け2!$1:$1,0)+1)-OFFSET(貼り付け2!$A$1,ROW()-1,MATCH(N$1,貼り付け2!$1:$1,0)+1)=3,
OFFSET(貼り付け2!$A$1,$A43-3,OFFSET(貼り付け2!$A$1,ROW()-1,MATCH(S$1,貼り付け2!$1:$1,0)+1)-3)
&amp;OFFSET(貼り付け2!$A$1,$A43-3,OFFSET(貼り付け2!$A$1,ROW()-1,MATCH(S$1,貼り付け2!$1:$1,0)+1)-2)
&amp;OFFSET(貼り付け2!$A$1,$A43-3,OFFSET(貼り付け2!$A$1,ROW()-1,MATCH(S$1,貼り付け2!$1:$1,0)+1)-1),"")),
IF(OFFSET(貼り付け2!$A$1,ROW()-1,MATCH(S$1,貼り付け2!$1:$1,0)+1)=2,
OFFSET(貼り付け2!$A$1,$A43-3,OFFSET(貼り付け2!$A$1,ROW()-1,MATCH(S$1,貼り付け2!$1:$1,0)+1)-2)
&amp;OFFSET(貼り付け2!$A$1,$A43-3,OFFSET(貼り付け2!$A$1,ROW()-1,MATCH(S$1,貼り付け2!$1:$1,0)+1)-1),
IF(OFFSET(貼り付け2!$A$1,ROW()-1,MATCH(S$1,貼り付け2!$1:$1,0)+1)=3,
OFFSET(貼り付け2!$A$1,$A43-3,OFFSET(貼り付け2!$A$1,ROW()-1,MATCH(S$1,貼り付け2!$1:$1,0)+1)-3)
&amp;OFFSET(貼り付け2!$A$1,$A43-3,OFFSET(貼り付け2!$A$1,ROW()-1,MATCH(S$1,貼り付け2!$1:$1,0)+1)-2)
&amp;OFFSET(貼り付け2!$A$1,$A43-3,OFFSET(貼り付け2!$A$1,ROW()-1,MATCH(S$1,貼り付け2!$1:$1,0)+1)-1),""))))</f>
        <v/>
      </c>
      <c r="T43" t="str">
        <f ca="1">IFERROR(OFFSET(貼り付け2!$A$1,$A43-1,OFFSET(貼り付け2!$A$1,ROW()-1,MATCH(T$1,貼り付け2!$1:$1,0)-1)-1),"")</f>
        <v/>
      </c>
      <c r="U43" t="e">
        <f ca="1">OFFSET(貼り付け1!$A$1,貼り付け1!$G42-1,3)</f>
        <v>#REF!</v>
      </c>
      <c r="V43" t="e">
        <f ca="1">OFFSET(貼り付け1!$A$1,貼り付け1!$F42-1,3)</f>
        <v>#REF!</v>
      </c>
      <c r="W43" t="str">
        <f ca="1">IFERROR(OFFSET(貼り付け2!$A$1,まとめ!$B43-1,OFFSET(貼り付け2!$A$1,ROW()-1,MATCH(W$1,貼り付け2!$1:$1,0)-1)-1),"")</f>
        <v/>
      </c>
    </row>
    <row r="44" spans="1:23" x14ac:dyDescent="0.45">
      <c r="A44" t="str">
        <f>貼り付け2!S44</f>
        <v/>
      </c>
      <c r="B44" t="str">
        <f>貼り付け2!R44</f>
        <v/>
      </c>
      <c r="C44" t="e">
        <f ca="1">AND($A44-$B43&gt;3,COUNTIF(OFFSET($A$1,$B43+($A44-$B43-4),0),"&lt;&gt;*テキスト*"))</f>
        <v>#VALUE!</v>
      </c>
      <c r="D44" t="e">
        <f ca="1">IF($C44=TRUE,
IF(OFFSET(貼り付け2!$A$1,ROW()-1,MATCH(D$1,貼り付け2!$1:$1,0)-1)=2,
OFFSET(貼り付け2!$A$1,$A44-4,OFFSET(貼り付け2!$A$1,ROW()-1,MATCH(D$1,貼り付け2!$1:$1,0)-1)-2)
&amp;OFFSET(貼り付け2!$A$1,$A44-4,OFFSET(貼り付け2!$A$1,ROW()-1,MATCH(D$1,貼り付け2!$1:$1,0)-1)-1),
IF(OFFSET(貼り付け2!$A$1,ROW()-1,MATCH(D$1,貼り付け2!$1:$1,0)-1)=3,
OFFSET(貼り付け2!$A$1,$A44-4,OFFSET(貼り付け2!$A$1,ROW()-1,MATCH(D$1,貼り付け2!$1:$1,0)-1)-3)
&amp;OFFSET(貼り付け2!$A$1,$A44-4,OFFSET(貼り付け2!$A$1,ROW()-1,MATCH(D$1,貼り付け2!$1:$1,0)-1)-2)
&amp;OFFSET(貼り付け2!$A$1,$A44-4,OFFSET(貼り付け2!$A$1,ROW()-1,MATCH(D$1,貼り付け2!$1:$1,0)-1)-1),"")),
IF(OFFSET(貼り付け2!$A$1,ROW()-1,MATCH(D$1,貼り付け2!$1:$1,0)-1)=2,
OFFSET(貼り付け2!$A$1,$A44-2,OFFSET(貼り付け2!$A$1,ROW()-1,MATCH(D$1,貼り付け2!$1:$1,0)-1)-2)
&amp;OFFSET(貼り付け2!$A$1,$A44-2,OFFSET(貼り付け2!$A$1,ROW()-1,MATCH(D$1,貼り付け2!$1:$1,0)-1)-1),
IF(OFFSET(貼り付け2!$A$1,ROW()-1,MATCH(D$1,貼り付け2!$1:$1,0)-1)=3,
OFFSET(貼り付け2!$A$1,$A44-2,OFFSET(貼り付け2!$A$1,ROW()-1,MATCH(D$1,貼り付け2!$1:$1,0)-1)-3)
&amp;OFFSET(貼り付け2!$A$1,$A44-2,OFFSET(貼り付け2!$A$1,ROW()-1,MATCH(D$1,貼り付け2!$1:$1,0)-1)-2)
&amp;OFFSET(貼り付け2!$A$1,$A44-2,OFFSET(貼り付け2!$A$1,ROW()-1,MATCH(D$1,貼り付け2!$1:$1,0)-1)-1),"")))</f>
        <v>#VALUE!</v>
      </c>
      <c r="E44" t="str">
        <f ca="1">IF(OFFSET(貼り付け2!$A$1,ROW()-1,MATCH(E$1,貼り付け2!$1:$1,0)-1)=2,
OFFSET(貼り付け2!$A$1,$A44-1,OFFSET(貼り付け2!$A$1,ROW()-1,MATCH(E$1,貼り付け2!$1:$1,0)-1)-2)&amp;"・"&amp;OFFSET(貼り付け2!$A$1,$A44-1,OFFSET(貼り付け2!$A$1,ROW()-1,MATCH(E$1,貼り付け2!$1:$1,0)-1)-1),
IF(OFFSET(貼り付け2!$A$1,ROW()-1,MATCH(E$1,貼り付け2!$1:$1,0)-1)=1,
OFFSET(貼り付け2!$A$1,$A44-1,OFFSET(貼り付け2!$A$1,ROW()-1,MATCH(E$1,貼り付け2!$1:$1,0)-1)-1),""))</f>
        <v/>
      </c>
      <c r="F44" t="e">
        <f ca="1">OFFSET(貼り付け1!$A$1,貼り付け1!$G43-1,0)</f>
        <v>#REF!</v>
      </c>
      <c r="G44" t="e">
        <f ca="1">OFFSET(貼り付け1!$A$1,貼り付け1!$F43-1,0)</f>
        <v>#REF!</v>
      </c>
      <c r="H44" t="str">
        <f ca="1">IFERROR(OFFSET(貼り付け2!$A$1,まとめ!$B44-1,OFFSET(貼り付け2!$A$1,ROW()-1,MATCH(H$1,貼り付け2!$1:$1,0)-1)-1),"")</f>
        <v/>
      </c>
      <c r="I44" t="e">
        <f ca="1">IF($C44=TRUE,
IF((OFFSET(貼り付け2!$A$1,ROW()-1,MATCH(I$1,貼り付け2!$1:$1,0)-1)-OFFSET(貼り付け2!$A$1,ROW()-1,MATCH(D$1,貼り付け2!$1:$1,0)-1))=2,
OFFSET(貼り付け2!$A$1,$A44-4,OFFSET(貼り付け2!$A$1,ROW()-1,MATCH(I$1,貼り付け2!$1:$1,0)-1)-2)
&amp;OFFSET(貼り付け2!$A$1,$A44-4,OFFSET(貼り付け2!$A$1,ROW()-1,MATCH(I$1,貼り付け2!$1:$1,0)-1)-1),
IF((OFFSET(貼り付け2!$A$1,ROW()-1,MATCH(I$1,貼り付け2!$1:$1,0)-1)-OFFSET(貼り付け2!$A$1,ROW()-1,MATCH(D$1,貼り付け2!$1:$1,0)-1))=3,
OFFSET(貼り付け2!$A$1,$A44-4,OFFSET(貼り付け2!$A$1,ROW()-1,MATCH(I$1,貼り付け2!$1:$1,0)-1)-3)
&amp;OFFSET(貼り付け2!$A$1,$A44-4,OFFSET(貼り付け2!$A$1,ROW()-1,MATCH(I$1,貼り付け2!$1:$1,0)-1)-2)
&amp;OFFSET(貼り付け2!$A$1,$A44-4,OFFSET(貼り付け2!$A$1,ROW()-1,MATCH(I$1,貼り付け2!$1:$1,0)-1)-1),"")),
IF((OFFSET(貼り付け2!$A$1,ROW()-1,MATCH(I$1,貼り付け2!$1:$1,0)-1)-OFFSET(貼り付け2!$A$1,ROW()-1,MATCH(D$1,貼り付け2!$1:$1,0)-1))=2,
OFFSET(貼り付け2!$A$1,$A44-2,OFFSET(貼り付け2!$A$1,ROW()-1,MATCH(I$1,貼り付け2!$1:$1,0)-1)-2)
&amp;OFFSET(貼り付け2!$A$1,$A44-2,OFFSET(貼り付け2!$A$1,ROW()-1,MATCH(I$1,貼り付け2!$1:$1,0)-1)-1),
IF((OFFSET(貼り付け2!$A$1,ROW()-1,MATCH(I$1,貼り付け2!$1:$1,0)-1)-OFFSET(貼り付け2!$A$1,ROW()-1,MATCH(D$1,貼り付け2!$1:$1,0)-1))=3,
OFFSET(貼り付け2!$A$1,$A44-2,OFFSET(貼り付け2!$A$1,ROW()-1,MATCH(I$1,貼り付け2!$1:$1,0)-1)-3)
&amp;OFFSET(貼り付け2!$A$1,$A44-2,OFFSET(貼り付け2!$A$1,ROW()-1,MATCH(I$1,貼り付け2!$1:$1,0)-1)-2)
&amp;OFFSET(貼り付け2!$A$1,$A44-2,OFFSET(貼り付け2!$A$1,ROW()-1,MATCH(I$1,貼り付け2!$1:$1,0)-1)-1),"")))</f>
        <v>#VALUE!</v>
      </c>
      <c r="J44" t="str">
        <f ca="1">IFERROR(OFFSET(貼り付け2!$A$1,$A44-1,OFFSET(貼り付け2!$A$1,ROW()-1,MATCH(J$1,貼り付け2!$1:$1,0)-1)-1),"")</f>
        <v/>
      </c>
      <c r="K44" t="e">
        <f ca="1">OFFSET(貼り付け1!$A$1,貼り付け1!$G43-1,1)</f>
        <v>#REF!</v>
      </c>
      <c r="L44" t="e">
        <f ca="1">OFFSET(貼り付け1!$A$1,貼り付け1!$F43-1,1)</f>
        <v>#REF!</v>
      </c>
      <c r="M44" t="str">
        <f ca="1">OFFSET(貼り付け2!$A$1,ROW()-1,MATCH(N$1,貼り付け2!$1:$1,0)-1)</f>
        <v/>
      </c>
      <c r="N44" t="str">
        <f ca="1">IF(OFFSET(貼り付け2!$A$1,ROW()-1,MATCH(N$1,貼り付け2!$1:$1,0)-1)&lt;&gt;"",
IF($C44=TRUE,
IF((OFFSET(貼り付け2!$A$1,ROW()-1,MATCH(N$1,貼り付け2!$1:$1,0)-1)-OFFSET(貼り付け2!$A$1,ROW()-1,MATCH(I$1,貼り付け2!$1:$1,0)-1))=2,
OFFSET(貼り付け2!$A$1,$A44-4,OFFSET(貼り付け2!$A$1,ROW()-1,MATCH(N$1,貼り付け2!$1:$1,0)-1)-2)
&amp;OFFSET(貼り付け2!$A$1,$A44-4,OFFSET(貼り付け2!$A$1,ROW()-1,MATCH(N$1,貼り付け2!$1:$1,0)-1)-1),
IF((OFFSET(貼り付け2!$A$1,ROW()-1,MATCH(N$1,貼り付け2!$1:$1,0)-1)-OFFSET(貼り付け2!$A$1,ROW()-1,MATCH(I$1,貼り付け2!$1:$1,0)-1))=3,
OFFSET(貼り付け2!$A$1,$A44-4,OFFSET(貼り付け2!$A$1,ROW()-1,MATCH(N$1,貼り付け2!$1:$1,0)-1)-3)
&amp;OFFSET(貼り付け2!$A$1,$A44-4,OFFSET(貼り付け2!$A$1,ROW()-1,MATCH(N$1,貼り付け2!$1:$1,0)-1)-2)
&amp;OFFSET(貼り付け2!$A$1,$A44-4,OFFSET(貼り付け2!$A$1,ROW()-1,MATCH(N$1,貼り付け2!$1:$1,0)-1)-1),"")),
IF((OFFSET(貼り付け2!$A$1,ROW()-1,MATCH(N$1,貼り付け2!$1:$1,0)-1)-OFFSET(貼り付け2!$A$1,ROW()-1,MATCH(I$1,貼り付け2!$1:$1,0)-1))=2,
OFFSET(貼り付け2!$A$1,$A44-2,OFFSET(貼り付け2!$A$1,ROW()-1,MATCH(N$1,貼り付け2!$1:$1,0)-1)-2)
&amp;OFFSET(貼り付け2!$A$1,$A44-2,OFFSET(貼り付け2!$A$1,ROW()-1,MATCH(N$1,貼り付け2!$1:$1,0)-1)-1),
IF((OFFSET(貼り付け2!$A$1,ROW()-1,MATCH(N$1,貼り付け2!$1:$1,0)-1)-OFFSET(貼り付け2!$A$1,ROW()-1,MATCH(I$1,貼り付け2!$1:$1,0)-1))=3,
OFFSET(貼り付け2!$A$1,$A44-2,OFFSET(貼り付け2!$A$1,ROW()-1,MATCH(N$1,貼り付け2!$1:$1,0)-1)-3)
&amp;OFFSET(貼り付け2!$A$1,$A44-2,OFFSET(貼り付け2!$A$1,ROW()-1,MATCH(N$1,貼り付け2!$1:$1,0)-1)-2)
&amp;OFFSET(貼り付け2!$A$1,$A44-2,OFFSET(貼り付け2!$A$1,ROW()-1,MATCH(N$1,貼り付け2!$1:$1,0)-1)-1),""))),
IF(OFFSET(貼り付け2!$A$1,ROW()-1,MATCH(N$1,貼り付け2!$1:$1,0)+1)=2,
OFFSET(貼り付け2!$A$1,$A44-3,OFFSET(貼り付け2!$A$1,ROW()-1,MATCH(N$1,貼り付け2!$1:$1,0)+1)-2)
&amp;OFFSET(貼り付け2!$A$1,$A44-3,OFFSET(貼り付け2!$A$1,ROW()-1,MATCH(N$1,貼り付け2!$1:$1,0)+1)-1),
IF(OFFSET(貼り付け2!$A$1,ROW()-1,MATCH(N$1,貼り付け2!$1:$1,0)+1)=3,
OFFSET(貼り付け2!$A$1,$A44-3,OFFSET(貼り付け2!$A$1,ROW()-1,MATCH(N$1,貼り付け2!$1:$1,0)+1)-3)
&amp;OFFSET(貼り付け2!$A$1,$A44-3,OFFSET(貼り付け2!$A$1,ROW()-1,MATCH(N$1,貼り付け2!$1:$1,0)+1)-2)
&amp;OFFSET(貼り付け2!$A$1,$A44-3,OFFSET(貼り付け2!$A$1,ROW()-1,MATCH(N$1,貼り付け2!$1:$1,0)+1)-1),"")))</f>
        <v/>
      </c>
      <c r="O44" t="str">
        <f ca="1">IFERROR(OFFSET(貼り付け2!$A$1,$A44-1,OFFSET(貼り付け2!$A$1,ROW()-1,MATCH(O$1,貼り付け2!$1:$1,0)-1)-1),"")</f>
        <v/>
      </c>
      <c r="P44" t="e">
        <f ca="1">OFFSET(貼り付け1!$A$1,貼り付け1!$G43-1,2)</f>
        <v>#REF!</v>
      </c>
      <c r="Q44" t="e">
        <f ca="1">OFFSET(貼り付け1!$A$1,貼り付け1!$F43-1,2)</f>
        <v>#REF!</v>
      </c>
      <c r="R44" t="str">
        <f ca="1">IFERROR(OFFSET(貼り付け2!$A$1,まとめ!$B44-1,OFFSET(貼り付け2!$A$1,ROW()-1,MATCH(R$1,貼り付け2!$1:$1,0)-1)-1),"")</f>
        <v/>
      </c>
      <c r="S44" t="str">
        <f ca="1">IF(OFFSET(貼り付け2!$A$1,ROW()-1,MATCH(S$1,貼り付け2!$1:$1,0)-1)&lt;&gt;"",
IF($C44=TRUE,
IF((OFFSET(貼り付け2!$A$1,ROW()-1,MATCH(S$1,貼り付け2!$1:$1,0)-1)-OFFSET(貼り付け2!$A$1,ROW()-1,MATCH(N$1,貼り付け2!$1:$1,0)-1))=2,
OFFSET(貼り付け2!$A$1,$A44-4,OFFSET(貼り付け2!$A$1,ROW()-1,MATCH(S$1,貼り付け2!$1:$1,0)-1)-2)
&amp;OFFSET(貼り付け2!$A$1,$A44-4,OFFSET(貼り付け2!$A$1,ROW()-1,MATCH(S$1,貼り付け2!$1:$1,0)-1)-1),
IF((OFFSET(貼り付け2!$A$1,ROW()-1,MATCH(S$1,貼り付け2!$1:$1,0)-1)-OFFSET(貼り付け2!$A$1,ROW()-1,MATCH(N$1,貼り付け2!$1:$1,0)-1))=3,
OFFSET(貼り付け2!$A$1,$A44-4,OFFSET(貼り付け2!$A$1,ROW()-1,MATCH(S$1,貼り付け2!$1:$1,0)-1)-3)
&amp;OFFSET(貼り付け2!$A$1,$A44-4,OFFSET(貼り付け2!$A$1,ROW()-1,MATCH(S$1,貼り付け2!$1:$1,0)-1)-2)
&amp;OFFSET(貼り付け2!$A$1,$A44-4,OFFSET(貼り付け2!$A$1,ROW()-1,MATCH(S$1,貼り付け2!$1:$1,0)-1)-1),"")),
IF((OFFSET(貼り付け2!$A$1,ROW()-1,MATCH(S$1,貼り付け2!$1:$1,0)-1)-OFFSET(貼り付け2!$A$1,ROW()-1,MATCH(N$1,貼り付け2!$1:$1,0)-1))=2,
OFFSET(貼り付け2!$A$1,$A44-2,OFFSET(貼り付け2!$A$1,ROW()-1,MATCH(S$1,貼り付け2!$1:$1,0)-1)-2)
&amp;OFFSET(貼り付け2!$A$1,$A44-2,OFFSET(貼り付け2!$A$1,ROW()-1,MATCH(S$1,貼り付け2!$1:$1,0)-1)-1),
IF((OFFSET(貼り付け2!$A$1,ROW()-1,MATCH(S$1,貼り付け2!$1:$1,0)-1)-OFFSET(貼り付け2!$A$1,ROW()-1,MATCH(N$1,貼り付け2!$1:$1,0)-1))=3,
OFFSET(貼り付け2!$A$1,$A44-2,OFFSET(貼り付け2!$A$1,ROW()-1,MATCH(S$1,貼り付け2!$1:$1,0)-1)-3)
&amp;OFFSET(貼り付け2!$A$1,$A44-2,OFFSET(貼り付け2!$A$1,ROW()-1,MATCH(S$1,貼り付け2!$1:$1,0)-1)-2)
&amp;OFFSET(貼り付け2!$A$1,$A44-2,OFFSET(貼り付け2!$A$1,ROW()-1,MATCH(S$1,貼り付け2!$1:$1,0)-1)-1),""))),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OFFSET(貼り付け2!$A$1,$A44-3,OFFSET(貼り付け2!$A$1,ROW()-1,MATCH(S$1,貼り付け2!$1:$1,0)+1)-2)
&amp;OFFSET(貼り付け2!$A$1,$A44-3,OFFSET(貼り付け2!$A$1,ROW()-1,MATCH(S$1,貼り付け2!$1:$1,0)+1)-1),
IF(OFFSET(貼り付け2!$A$1,ROW()-1,MATCH(S$1,貼り付け2!$1:$1,0)+1)-OFFSET(貼り付け2!$A$1,ROW()-1,MATCH(N$1,貼り付け2!$1:$1,0)+1)=3,
OFFSET(貼り付け2!$A$1,$A44-3,OFFSET(貼り付け2!$A$1,ROW()-1,MATCH(S$1,貼り付け2!$1:$1,0)+1)-3)
&amp;OFFSET(貼り付け2!$A$1,$A44-3,OFFSET(貼り付け2!$A$1,ROW()-1,MATCH(S$1,貼り付け2!$1:$1,0)+1)-2)
&amp;OFFSET(貼り付け2!$A$1,$A44-3,OFFSET(貼り付け2!$A$1,ROW()-1,MATCH(S$1,貼り付け2!$1:$1,0)+1)-1),"")),
IF(OFFSET(貼り付け2!$A$1,ROW()-1,MATCH(S$1,貼り付け2!$1:$1,0)+1)=2,
OFFSET(貼り付け2!$A$1,$A44-3,OFFSET(貼り付け2!$A$1,ROW()-1,MATCH(S$1,貼り付け2!$1:$1,0)+1)-2)
&amp;OFFSET(貼り付け2!$A$1,$A44-3,OFFSET(貼り付け2!$A$1,ROW()-1,MATCH(S$1,貼り付け2!$1:$1,0)+1)-1),
IF(OFFSET(貼り付け2!$A$1,ROW()-1,MATCH(S$1,貼り付け2!$1:$1,0)+1)=3,
OFFSET(貼り付け2!$A$1,$A44-3,OFFSET(貼り付け2!$A$1,ROW()-1,MATCH(S$1,貼り付け2!$1:$1,0)+1)-3)
&amp;OFFSET(貼り付け2!$A$1,$A44-3,OFFSET(貼り付け2!$A$1,ROW()-1,MATCH(S$1,貼り付け2!$1:$1,0)+1)-2)
&amp;OFFSET(貼り付け2!$A$1,$A44-3,OFFSET(貼り付け2!$A$1,ROW()-1,MATCH(S$1,貼り付け2!$1:$1,0)+1)-1),""))))</f>
        <v/>
      </c>
      <c r="T44" t="str">
        <f ca="1">IFERROR(OFFSET(貼り付け2!$A$1,$A44-1,OFFSET(貼り付け2!$A$1,ROW()-1,MATCH(T$1,貼り付け2!$1:$1,0)-1)-1),"")</f>
        <v/>
      </c>
      <c r="U44" t="e">
        <f ca="1">OFFSET(貼り付け1!$A$1,貼り付け1!$G43-1,3)</f>
        <v>#REF!</v>
      </c>
      <c r="V44" t="e">
        <f ca="1">OFFSET(貼り付け1!$A$1,貼り付け1!$F43-1,3)</f>
        <v>#REF!</v>
      </c>
      <c r="W44" t="str">
        <f ca="1">IFERROR(OFFSET(貼り付け2!$A$1,まとめ!$B44-1,OFFSET(貼り付け2!$A$1,ROW()-1,MATCH(W$1,貼り付け2!$1:$1,0)-1)-1),"")</f>
        <v/>
      </c>
    </row>
    <row r="45" spans="1:23" x14ac:dyDescent="0.45">
      <c r="A45" t="str">
        <f>貼り付け2!S45</f>
        <v/>
      </c>
      <c r="B45" t="str">
        <f>貼り付け2!R45</f>
        <v/>
      </c>
      <c r="C45" t="e">
        <f ca="1">AND($A45-$B44&gt;3,COUNTIF(OFFSET($A$1,$B44+($A45-$B44-4),0),"&lt;&gt;*テキスト*"))</f>
        <v>#VALUE!</v>
      </c>
      <c r="D45" t="e">
        <f ca="1">IF($C45=TRUE,
IF(OFFSET(貼り付け2!$A$1,ROW()-1,MATCH(D$1,貼り付け2!$1:$1,0)-1)=2,
OFFSET(貼り付け2!$A$1,$A45-4,OFFSET(貼り付け2!$A$1,ROW()-1,MATCH(D$1,貼り付け2!$1:$1,0)-1)-2)
&amp;OFFSET(貼り付け2!$A$1,$A45-4,OFFSET(貼り付け2!$A$1,ROW()-1,MATCH(D$1,貼り付け2!$1:$1,0)-1)-1),
IF(OFFSET(貼り付け2!$A$1,ROW()-1,MATCH(D$1,貼り付け2!$1:$1,0)-1)=3,
OFFSET(貼り付け2!$A$1,$A45-4,OFFSET(貼り付け2!$A$1,ROW()-1,MATCH(D$1,貼り付け2!$1:$1,0)-1)-3)
&amp;OFFSET(貼り付け2!$A$1,$A45-4,OFFSET(貼り付け2!$A$1,ROW()-1,MATCH(D$1,貼り付け2!$1:$1,0)-1)-2)
&amp;OFFSET(貼り付け2!$A$1,$A45-4,OFFSET(貼り付け2!$A$1,ROW()-1,MATCH(D$1,貼り付け2!$1:$1,0)-1)-1),"")),
IF(OFFSET(貼り付け2!$A$1,ROW()-1,MATCH(D$1,貼り付け2!$1:$1,0)-1)=2,
OFFSET(貼り付け2!$A$1,$A45-2,OFFSET(貼り付け2!$A$1,ROW()-1,MATCH(D$1,貼り付け2!$1:$1,0)-1)-2)
&amp;OFFSET(貼り付け2!$A$1,$A45-2,OFFSET(貼り付け2!$A$1,ROW()-1,MATCH(D$1,貼り付け2!$1:$1,0)-1)-1),
IF(OFFSET(貼り付け2!$A$1,ROW()-1,MATCH(D$1,貼り付け2!$1:$1,0)-1)=3,
OFFSET(貼り付け2!$A$1,$A45-2,OFFSET(貼り付け2!$A$1,ROW()-1,MATCH(D$1,貼り付け2!$1:$1,0)-1)-3)
&amp;OFFSET(貼り付け2!$A$1,$A45-2,OFFSET(貼り付け2!$A$1,ROW()-1,MATCH(D$1,貼り付け2!$1:$1,0)-1)-2)
&amp;OFFSET(貼り付け2!$A$1,$A45-2,OFFSET(貼り付け2!$A$1,ROW()-1,MATCH(D$1,貼り付け2!$1:$1,0)-1)-1),"")))</f>
        <v>#VALUE!</v>
      </c>
      <c r="E45" t="str">
        <f ca="1">IF(OFFSET(貼り付け2!$A$1,ROW()-1,MATCH(E$1,貼り付け2!$1:$1,0)-1)=2,
OFFSET(貼り付け2!$A$1,$A45-1,OFFSET(貼り付け2!$A$1,ROW()-1,MATCH(E$1,貼り付け2!$1:$1,0)-1)-2)&amp;"・"&amp;OFFSET(貼り付け2!$A$1,$A45-1,OFFSET(貼り付け2!$A$1,ROW()-1,MATCH(E$1,貼り付け2!$1:$1,0)-1)-1),
IF(OFFSET(貼り付け2!$A$1,ROW()-1,MATCH(E$1,貼り付け2!$1:$1,0)-1)=1,
OFFSET(貼り付け2!$A$1,$A45-1,OFFSET(貼り付け2!$A$1,ROW()-1,MATCH(E$1,貼り付け2!$1:$1,0)-1)-1),""))</f>
        <v/>
      </c>
      <c r="F45" t="e">
        <f ca="1">OFFSET(貼り付け1!$A$1,貼り付け1!$G44-1,0)</f>
        <v>#REF!</v>
      </c>
      <c r="G45" t="e">
        <f ca="1">OFFSET(貼り付け1!$A$1,貼り付け1!$F44-1,0)</f>
        <v>#REF!</v>
      </c>
      <c r="H45" t="str">
        <f ca="1">IFERROR(OFFSET(貼り付け2!$A$1,まとめ!$B45-1,OFFSET(貼り付け2!$A$1,ROW()-1,MATCH(H$1,貼り付け2!$1:$1,0)-1)-1),"")</f>
        <v/>
      </c>
      <c r="I45" t="e">
        <f ca="1">IF($C45=TRUE,
IF((OFFSET(貼り付け2!$A$1,ROW()-1,MATCH(I$1,貼り付け2!$1:$1,0)-1)-OFFSET(貼り付け2!$A$1,ROW()-1,MATCH(D$1,貼り付け2!$1:$1,0)-1))=2,
OFFSET(貼り付け2!$A$1,$A45-4,OFFSET(貼り付け2!$A$1,ROW()-1,MATCH(I$1,貼り付け2!$1:$1,0)-1)-2)
&amp;OFFSET(貼り付け2!$A$1,$A45-4,OFFSET(貼り付け2!$A$1,ROW()-1,MATCH(I$1,貼り付け2!$1:$1,0)-1)-1),
IF((OFFSET(貼り付け2!$A$1,ROW()-1,MATCH(I$1,貼り付け2!$1:$1,0)-1)-OFFSET(貼り付け2!$A$1,ROW()-1,MATCH(D$1,貼り付け2!$1:$1,0)-1))=3,
OFFSET(貼り付け2!$A$1,$A45-4,OFFSET(貼り付け2!$A$1,ROW()-1,MATCH(I$1,貼り付け2!$1:$1,0)-1)-3)
&amp;OFFSET(貼り付け2!$A$1,$A45-4,OFFSET(貼り付け2!$A$1,ROW()-1,MATCH(I$1,貼り付け2!$1:$1,0)-1)-2)
&amp;OFFSET(貼り付け2!$A$1,$A45-4,OFFSET(貼り付け2!$A$1,ROW()-1,MATCH(I$1,貼り付け2!$1:$1,0)-1)-1),"")),
IF((OFFSET(貼り付け2!$A$1,ROW()-1,MATCH(I$1,貼り付け2!$1:$1,0)-1)-OFFSET(貼り付け2!$A$1,ROW()-1,MATCH(D$1,貼り付け2!$1:$1,0)-1))=2,
OFFSET(貼り付け2!$A$1,$A45-2,OFFSET(貼り付け2!$A$1,ROW()-1,MATCH(I$1,貼り付け2!$1:$1,0)-1)-2)
&amp;OFFSET(貼り付け2!$A$1,$A45-2,OFFSET(貼り付け2!$A$1,ROW()-1,MATCH(I$1,貼り付け2!$1:$1,0)-1)-1),
IF((OFFSET(貼り付け2!$A$1,ROW()-1,MATCH(I$1,貼り付け2!$1:$1,0)-1)-OFFSET(貼り付け2!$A$1,ROW()-1,MATCH(D$1,貼り付け2!$1:$1,0)-1))=3,
OFFSET(貼り付け2!$A$1,$A45-2,OFFSET(貼り付け2!$A$1,ROW()-1,MATCH(I$1,貼り付け2!$1:$1,0)-1)-3)
&amp;OFFSET(貼り付け2!$A$1,$A45-2,OFFSET(貼り付け2!$A$1,ROW()-1,MATCH(I$1,貼り付け2!$1:$1,0)-1)-2)
&amp;OFFSET(貼り付け2!$A$1,$A45-2,OFFSET(貼り付け2!$A$1,ROW()-1,MATCH(I$1,貼り付け2!$1:$1,0)-1)-1),"")))</f>
        <v>#VALUE!</v>
      </c>
      <c r="J45" t="str">
        <f ca="1">IFERROR(OFFSET(貼り付け2!$A$1,$A45-1,OFFSET(貼り付け2!$A$1,ROW()-1,MATCH(J$1,貼り付け2!$1:$1,0)-1)-1),"")</f>
        <v/>
      </c>
      <c r="K45" t="e">
        <f ca="1">OFFSET(貼り付け1!$A$1,貼り付け1!$G44-1,1)</f>
        <v>#REF!</v>
      </c>
      <c r="L45" t="e">
        <f ca="1">OFFSET(貼り付け1!$A$1,貼り付け1!$F44-1,1)</f>
        <v>#REF!</v>
      </c>
      <c r="M45" t="str">
        <f ca="1">IFERROR(OFFSET(貼り付け2!$A$1,まとめ!$B45-1,OFFSET(貼り付け2!$A$1,ROW()-1,MATCH(M$1,貼り付け2!$1:$1,0)-1)-1),"")</f>
        <v/>
      </c>
      <c r="N45" t="str">
        <f ca="1">IF(OFFSET(貼り付け2!$A$1,ROW()-1,MATCH(N$1,貼り付け2!$1:$1,0)-1)&lt;&gt;"",
IF($C45=TRUE,
IF((OFFSET(貼り付け2!$A$1,ROW()-1,MATCH(N$1,貼り付け2!$1:$1,0)-1)-OFFSET(貼り付け2!$A$1,ROW()-1,MATCH(I$1,貼り付け2!$1:$1,0)-1))=2,
OFFSET(貼り付け2!$A$1,$A45-4,OFFSET(貼り付け2!$A$1,ROW()-1,MATCH(N$1,貼り付け2!$1:$1,0)-1)-2)
&amp;OFFSET(貼り付け2!$A$1,$A45-4,OFFSET(貼り付け2!$A$1,ROW()-1,MATCH(N$1,貼り付け2!$1:$1,0)-1)-1),
IF((OFFSET(貼り付け2!$A$1,ROW()-1,MATCH(N$1,貼り付け2!$1:$1,0)-1)-OFFSET(貼り付け2!$A$1,ROW()-1,MATCH(I$1,貼り付け2!$1:$1,0)-1))=3,
OFFSET(貼り付け2!$A$1,$A45-4,OFFSET(貼り付け2!$A$1,ROW()-1,MATCH(N$1,貼り付け2!$1:$1,0)-1)-3)
&amp;OFFSET(貼り付け2!$A$1,$A45-4,OFFSET(貼り付け2!$A$1,ROW()-1,MATCH(N$1,貼り付け2!$1:$1,0)-1)-2)
&amp;OFFSET(貼り付け2!$A$1,$A45-4,OFFSET(貼り付け2!$A$1,ROW()-1,MATCH(N$1,貼り付け2!$1:$1,0)-1)-1),"")),
IF((OFFSET(貼り付け2!$A$1,ROW()-1,MATCH(N$1,貼り付け2!$1:$1,0)-1)-OFFSET(貼り付け2!$A$1,ROW()-1,MATCH(I$1,貼り付け2!$1:$1,0)-1))=2,
OFFSET(貼り付け2!$A$1,$A45-2,OFFSET(貼り付け2!$A$1,ROW()-1,MATCH(N$1,貼り付け2!$1:$1,0)-1)-2)
&amp;OFFSET(貼り付け2!$A$1,$A45-2,OFFSET(貼り付け2!$A$1,ROW()-1,MATCH(N$1,貼り付け2!$1:$1,0)-1)-1),
IF((OFFSET(貼り付け2!$A$1,ROW()-1,MATCH(N$1,貼り付け2!$1:$1,0)-1)-OFFSET(貼り付け2!$A$1,ROW()-1,MATCH(I$1,貼り付け2!$1:$1,0)-1))=3,
OFFSET(貼り付け2!$A$1,$A45-2,OFFSET(貼り付け2!$A$1,ROW()-1,MATCH(N$1,貼り付け2!$1:$1,0)-1)-3)
&amp;OFFSET(貼り付け2!$A$1,$A45-2,OFFSET(貼り付け2!$A$1,ROW()-1,MATCH(N$1,貼り付け2!$1:$1,0)-1)-2)
&amp;OFFSET(貼り付け2!$A$1,$A45-2,OFFSET(貼り付け2!$A$1,ROW()-1,MATCH(N$1,貼り付け2!$1:$1,0)-1)-1),""))),
IF(OFFSET(貼り付け2!$A$1,ROW()-1,MATCH(N$1,貼り付け2!$1:$1,0)+1)=2,
OFFSET(貼り付け2!$A$1,$A45-3,OFFSET(貼り付け2!$A$1,ROW()-1,MATCH(N$1,貼り付け2!$1:$1,0)+1)-2)
&amp;OFFSET(貼り付け2!$A$1,$A45-3,OFFSET(貼り付け2!$A$1,ROW()-1,MATCH(N$1,貼り付け2!$1:$1,0)+1)-1),
IF(OFFSET(貼り付け2!$A$1,ROW()-1,MATCH(N$1,貼り付け2!$1:$1,0)+1)=3,
OFFSET(貼り付け2!$A$1,$A45-3,OFFSET(貼り付け2!$A$1,ROW()-1,MATCH(N$1,貼り付け2!$1:$1,0)+1)-3)
&amp;OFFSET(貼り付け2!$A$1,$A45-3,OFFSET(貼り付け2!$A$1,ROW()-1,MATCH(N$1,貼り付け2!$1:$1,0)+1)-2)
&amp;OFFSET(貼り付け2!$A$1,$A45-3,OFFSET(貼り付け2!$A$1,ROW()-1,MATCH(N$1,貼り付け2!$1:$1,0)+1)-1),"")))</f>
        <v/>
      </c>
      <c r="O45" t="str">
        <f ca="1">IFERROR(OFFSET(貼り付け2!$A$1,$A45-1,OFFSET(貼り付け2!$A$1,ROW()-1,MATCH(O$1,貼り付け2!$1:$1,0)-1)-1),"")</f>
        <v/>
      </c>
      <c r="P45" t="e">
        <f ca="1">OFFSET(貼り付け1!$A$1,貼り付け1!$G44-1,2)</f>
        <v>#REF!</v>
      </c>
      <c r="Q45" t="e">
        <f ca="1">OFFSET(貼り付け1!$A$1,貼り付け1!$F44-1,2)</f>
        <v>#REF!</v>
      </c>
      <c r="R45" t="str">
        <f ca="1">IFERROR(OFFSET(貼り付け2!$A$1,まとめ!$B45-1,OFFSET(貼り付け2!$A$1,ROW()-1,MATCH(R$1,貼り付け2!$1:$1,0)-1)-1),"")</f>
        <v/>
      </c>
      <c r="S45" t="str">
        <f ca="1">IF(OFFSET(貼り付け2!$A$1,ROW()-1,MATCH(S$1,貼り付け2!$1:$1,0)-1)&lt;&gt;"",
IF($C45=TRUE,
IF((OFFSET(貼り付け2!$A$1,ROW()-1,MATCH(S$1,貼り付け2!$1:$1,0)-1)-OFFSET(貼り付け2!$A$1,ROW()-1,MATCH(N$1,貼り付け2!$1:$1,0)-1))=2,
OFFSET(貼り付け2!$A$1,$A45-4,OFFSET(貼り付け2!$A$1,ROW()-1,MATCH(S$1,貼り付け2!$1:$1,0)-1)-2)
&amp;OFFSET(貼り付け2!$A$1,$A45-4,OFFSET(貼り付け2!$A$1,ROW()-1,MATCH(S$1,貼り付け2!$1:$1,0)-1)-1),
IF((OFFSET(貼り付け2!$A$1,ROW()-1,MATCH(S$1,貼り付け2!$1:$1,0)-1)-OFFSET(貼り付け2!$A$1,ROW()-1,MATCH(N$1,貼り付け2!$1:$1,0)-1))=3,
OFFSET(貼り付け2!$A$1,$A45-4,OFFSET(貼り付け2!$A$1,ROW()-1,MATCH(S$1,貼り付け2!$1:$1,0)-1)-3)
&amp;OFFSET(貼り付け2!$A$1,$A45-4,OFFSET(貼り付け2!$A$1,ROW()-1,MATCH(S$1,貼り付け2!$1:$1,0)-1)-2)
&amp;OFFSET(貼り付け2!$A$1,$A45-4,OFFSET(貼り付け2!$A$1,ROW()-1,MATCH(S$1,貼り付け2!$1:$1,0)-1)-1),"")),
IF((OFFSET(貼り付け2!$A$1,ROW()-1,MATCH(S$1,貼り付け2!$1:$1,0)-1)-OFFSET(貼り付け2!$A$1,ROW()-1,MATCH(N$1,貼り付け2!$1:$1,0)-1))=2,
OFFSET(貼り付け2!$A$1,$A45-2,OFFSET(貼り付け2!$A$1,ROW()-1,MATCH(S$1,貼り付け2!$1:$1,0)-1)-2)
&amp;OFFSET(貼り付け2!$A$1,$A45-2,OFFSET(貼り付け2!$A$1,ROW()-1,MATCH(S$1,貼り付け2!$1:$1,0)-1)-1),
IF((OFFSET(貼り付け2!$A$1,ROW()-1,MATCH(S$1,貼り付け2!$1:$1,0)-1)-OFFSET(貼り付け2!$A$1,ROW()-1,MATCH(N$1,貼り付け2!$1:$1,0)-1))=3,
OFFSET(貼り付け2!$A$1,$A45-2,OFFSET(貼り付け2!$A$1,ROW()-1,MATCH(S$1,貼り付け2!$1:$1,0)-1)-3)
&amp;OFFSET(貼り付け2!$A$1,$A45-2,OFFSET(貼り付け2!$A$1,ROW()-1,MATCH(S$1,貼り付け2!$1:$1,0)-1)-2)
&amp;OFFSET(貼り付け2!$A$1,$A45-2,OFFSET(貼り付け2!$A$1,ROW()-1,MATCH(S$1,貼り付け2!$1:$1,0)-1)-1),""))),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OFFSET(貼り付け2!$A$1,$A45-3,OFFSET(貼り付け2!$A$1,ROW()-1,MATCH(S$1,貼り付け2!$1:$1,0)+1)-2)
&amp;OFFSET(貼り付け2!$A$1,$A45-3,OFFSET(貼り付け2!$A$1,ROW()-1,MATCH(S$1,貼り付け2!$1:$1,0)+1)-1),
IF(OFFSET(貼り付け2!$A$1,ROW()-1,MATCH(S$1,貼り付け2!$1:$1,0)+1)-OFFSET(貼り付け2!$A$1,ROW()-1,MATCH(N$1,貼り付け2!$1:$1,0)+1)=3,
OFFSET(貼り付け2!$A$1,$A45-3,OFFSET(貼り付け2!$A$1,ROW()-1,MATCH(S$1,貼り付け2!$1:$1,0)+1)-3)
&amp;OFFSET(貼り付け2!$A$1,$A45-3,OFFSET(貼り付け2!$A$1,ROW()-1,MATCH(S$1,貼り付け2!$1:$1,0)+1)-2)
&amp;OFFSET(貼り付け2!$A$1,$A45-3,OFFSET(貼り付け2!$A$1,ROW()-1,MATCH(S$1,貼り付け2!$1:$1,0)+1)-1),"")),
IF(OFFSET(貼り付け2!$A$1,ROW()-1,MATCH(S$1,貼り付け2!$1:$1,0)+1)=2,
OFFSET(貼り付け2!$A$1,$A45-3,OFFSET(貼り付け2!$A$1,ROW()-1,MATCH(S$1,貼り付け2!$1:$1,0)+1)-2)
&amp;OFFSET(貼り付け2!$A$1,$A45-3,OFFSET(貼り付け2!$A$1,ROW()-1,MATCH(S$1,貼り付け2!$1:$1,0)+1)-1),
IF(OFFSET(貼り付け2!$A$1,ROW()-1,MATCH(S$1,貼り付け2!$1:$1,0)+1)=3,
OFFSET(貼り付け2!$A$1,$A45-3,OFFSET(貼り付け2!$A$1,ROW()-1,MATCH(S$1,貼り付け2!$1:$1,0)+1)-3)
&amp;OFFSET(貼り付け2!$A$1,$A45-3,OFFSET(貼り付け2!$A$1,ROW()-1,MATCH(S$1,貼り付け2!$1:$1,0)+1)-2)
&amp;OFFSET(貼り付け2!$A$1,$A45-3,OFFSET(貼り付け2!$A$1,ROW()-1,MATCH(S$1,貼り付け2!$1:$1,0)+1)-1),""))))</f>
        <v/>
      </c>
      <c r="T45" t="str">
        <f ca="1">IFERROR(OFFSET(貼り付け2!$A$1,$A45-1,OFFSET(貼り付け2!$A$1,ROW()-1,MATCH(T$1,貼り付け2!$1:$1,0)-1)-1),"")</f>
        <v/>
      </c>
      <c r="U45" t="e">
        <f ca="1">OFFSET(貼り付け1!$A$1,貼り付け1!$G44-1,3)</f>
        <v>#REF!</v>
      </c>
      <c r="V45" t="e">
        <f ca="1">OFFSET(貼り付け1!$A$1,貼り付け1!$F44-1,3)</f>
        <v>#REF!</v>
      </c>
      <c r="W45" t="str">
        <f ca="1">IFERROR(OFFSET(貼り付け2!$A$1,まとめ!$B45-1,OFFSET(貼り付け2!$A$1,ROW()-1,MATCH(W$1,貼り付け2!$1:$1,0)-1)-1),"")</f>
        <v/>
      </c>
    </row>
    <row r="46" spans="1:23" x14ac:dyDescent="0.45">
      <c r="A46" t="str">
        <f>貼り付け2!S46</f>
        <v/>
      </c>
      <c r="B46" t="str">
        <f>貼り付け2!R46</f>
        <v/>
      </c>
      <c r="C46" t="e">
        <f t="shared" ref="C45:C64" ca="1" si="2">AND($A46-$B45&gt;3,COUNTIF(OFFSET($A$1,$B45+($A46-$B45-4),0),"&lt;&gt;*テキスト*"))</f>
        <v>#VALUE!</v>
      </c>
      <c r="D46" t="e">
        <f ca="1">IF($C46=TRUE,
IF(OFFSET(貼り付け2!$A$1,ROW()-1,MATCH(D$1,貼り付け2!$1:$1,0)-1)=2,
OFFSET(貼り付け2!$A$1,$A46-4,OFFSET(貼り付け2!$A$1,ROW()-1,MATCH(D$1,貼り付け2!$1:$1,0)-1)-2)
&amp;OFFSET(貼り付け2!$A$1,$A46-4,OFFSET(貼り付け2!$A$1,ROW()-1,MATCH(D$1,貼り付け2!$1:$1,0)-1)-1),
IF(OFFSET(貼り付け2!$A$1,ROW()-1,MATCH(D$1,貼り付け2!$1:$1,0)-1)=3,
OFFSET(貼り付け2!$A$1,$A46-4,OFFSET(貼り付け2!$A$1,ROW()-1,MATCH(D$1,貼り付け2!$1:$1,0)-1)-3)
&amp;OFFSET(貼り付け2!$A$1,$A46-4,OFFSET(貼り付け2!$A$1,ROW()-1,MATCH(D$1,貼り付け2!$1:$1,0)-1)-2)
&amp;OFFSET(貼り付け2!$A$1,$A46-4,OFFSET(貼り付け2!$A$1,ROW()-1,MATCH(D$1,貼り付け2!$1:$1,0)-1)-1),"")),
IF(OFFSET(貼り付け2!$A$1,ROW()-1,MATCH(D$1,貼り付け2!$1:$1,0)-1)=2,
OFFSET(貼り付け2!$A$1,$A46-2,OFFSET(貼り付け2!$A$1,ROW()-1,MATCH(D$1,貼り付け2!$1:$1,0)-1)-2)
&amp;OFFSET(貼り付け2!$A$1,$A46-2,OFFSET(貼り付け2!$A$1,ROW()-1,MATCH(D$1,貼り付け2!$1:$1,0)-1)-1),
IF(OFFSET(貼り付け2!$A$1,ROW()-1,MATCH(D$1,貼り付け2!$1:$1,0)-1)=3,
OFFSET(貼り付け2!$A$1,$A46-2,OFFSET(貼り付け2!$A$1,ROW()-1,MATCH(D$1,貼り付け2!$1:$1,0)-1)-3)
&amp;OFFSET(貼り付け2!$A$1,$A46-2,OFFSET(貼り付け2!$A$1,ROW()-1,MATCH(D$1,貼り付け2!$1:$1,0)-1)-2)
&amp;OFFSET(貼り付け2!$A$1,$A46-2,OFFSET(貼り付け2!$A$1,ROW()-1,MATCH(D$1,貼り付け2!$1:$1,0)-1)-1),"")))</f>
        <v>#VALUE!</v>
      </c>
      <c r="E46" t="str">
        <f ca="1">IF(OFFSET(貼り付け2!$A$1,ROW()-1,MATCH(E$1,貼り付け2!$1:$1,0)-1)=2,
OFFSET(貼り付け2!$A$1,$A46-1,OFFSET(貼り付け2!$A$1,ROW()-1,MATCH(E$1,貼り付け2!$1:$1,0)-1)-2)&amp;"・"&amp;OFFSET(貼り付け2!$A$1,$A46-1,OFFSET(貼り付け2!$A$1,ROW()-1,MATCH(E$1,貼り付け2!$1:$1,0)-1)-1),
IF(OFFSET(貼り付け2!$A$1,ROW()-1,MATCH(E$1,貼り付け2!$1:$1,0)-1)=1,
OFFSET(貼り付け2!$A$1,$A46-1,OFFSET(貼り付け2!$A$1,ROW()-1,MATCH(E$1,貼り付け2!$1:$1,0)-1)-1),""))</f>
        <v/>
      </c>
      <c r="F46" t="e">
        <f ca="1">OFFSET(貼り付け1!$A$1,貼り付け1!$G45-1,0)</f>
        <v>#REF!</v>
      </c>
      <c r="G46" t="e">
        <f ca="1">OFFSET(貼り付け1!$A$1,貼り付け1!$F45-1,0)</f>
        <v>#REF!</v>
      </c>
      <c r="H46" t="str">
        <f ca="1">IFERROR(OFFSET(貼り付け2!$A$1,まとめ!$B46-1,OFFSET(貼り付け2!$A$1,ROW()-1,MATCH(H$1,貼り付け2!$1:$1,0)-1)-1),"")</f>
        <v/>
      </c>
      <c r="I46" t="e">
        <f ca="1">IF($C46=TRUE,
IF((OFFSET(貼り付け2!$A$1,ROW()-1,MATCH(I$1,貼り付け2!$1:$1,0)-1)-OFFSET(貼り付け2!$A$1,ROW()-1,MATCH(D$1,貼り付け2!$1:$1,0)-1))=2,
OFFSET(貼り付け2!$A$1,$A46-4,OFFSET(貼り付け2!$A$1,ROW()-1,MATCH(I$1,貼り付け2!$1:$1,0)-1)-2)
&amp;OFFSET(貼り付け2!$A$1,$A46-4,OFFSET(貼り付け2!$A$1,ROW()-1,MATCH(I$1,貼り付け2!$1:$1,0)-1)-1),
IF((OFFSET(貼り付け2!$A$1,ROW()-1,MATCH(I$1,貼り付け2!$1:$1,0)-1)-OFFSET(貼り付け2!$A$1,ROW()-1,MATCH(D$1,貼り付け2!$1:$1,0)-1))=3,
OFFSET(貼り付け2!$A$1,$A46-4,OFFSET(貼り付け2!$A$1,ROW()-1,MATCH(I$1,貼り付け2!$1:$1,0)-1)-3)
&amp;OFFSET(貼り付け2!$A$1,$A46-4,OFFSET(貼り付け2!$A$1,ROW()-1,MATCH(I$1,貼り付け2!$1:$1,0)-1)-2)
&amp;OFFSET(貼り付け2!$A$1,$A46-4,OFFSET(貼り付け2!$A$1,ROW()-1,MATCH(I$1,貼り付け2!$1:$1,0)-1)-1),"")),
IF((OFFSET(貼り付け2!$A$1,ROW()-1,MATCH(I$1,貼り付け2!$1:$1,0)-1)-OFFSET(貼り付け2!$A$1,ROW()-1,MATCH(D$1,貼り付け2!$1:$1,0)-1))=2,
OFFSET(貼り付け2!$A$1,$A46-2,OFFSET(貼り付け2!$A$1,ROW()-1,MATCH(I$1,貼り付け2!$1:$1,0)-1)-2)
&amp;OFFSET(貼り付け2!$A$1,$A46-2,OFFSET(貼り付け2!$A$1,ROW()-1,MATCH(I$1,貼り付け2!$1:$1,0)-1)-1),
IF((OFFSET(貼り付け2!$A$1,ROW()-1,MATCH(I$1,貼り付け2!$1:$1,0)-1)-OFFSET(貼り付け2!$A$1,ROW()-1,MATCH(D$1,貼り付け2!$1:$1,0)-1))=3,
OFFSET(貼り付け2!$A$1,$A46-2,OFFSET(貼り付け2!$A$1,ROW()-1,MATCH(I$1,貼り付け2!$1:$1,0)-1)-3)
&amp;OFFSET(貼り付け2!$A$1,$A46-2,OFFSET(貼り付け2!$A$1,ROW()-1,MATCH(I$1,貼り付け2!$1:$1,0)-1)-2)
&amp;OFFSET(貼り付け2!$A$1,$A46-2,OFFSET(貼り付け2!$A$1,ROW()-1,MATCH(I$1,貼り付け2!$1:$1,0)-1)-1),"")))</f>
        <v>#VALUE!</v>
      </c>
      <c r="J46" t="str">
        <f ca="1">IFERROR(OFFSET(貼り付け2!$A$1,$A46-1,OFFSET(貼り付け2!$A$1,ROW()-1,MATCH(J$1,貼り付け2!$1:$1,0)-1)-1),"")</f>
        <v/>
      </c>
      <c r="K46" t="e">
        <f ca="1">OFFSET(貼り付け1!$A$1,貼り付け1!$G45-1,1)</f>
        <v>#REF!</v>
      </c>
      <c r="L46" t="e">
        <f ca="1">OFFSET(貼り付け1!$A$1,貼り付け1!$F45-1,1)</f>
        <v>#REF!</v>
      </c>
      <c r="M46" t="str">
        <f ca="1">IFERROR(OFFSET(貼り付け2!$A$1,まとめ!$B46-1,OFFSET(貼り付け2!$A$1,ROW()-1,MATCH(M$1,貼り付け2!$1:$1,0)-1)-1),"")</f>
        <v/>
      </c>
      <c r="N46" t="str">
        <f ca="1">IF(OFFSET(貼り付け2!$A$1,ROW()-1,MATCH(N$1,貼り付け2!$1:$1,0)-1)&lt;&gt;"",
IF($C46=TRUE,
IF((OFFSET(貼り付け2!$A$1,ROW()-1,MATCH(N$1,貼り付け2!$1:$1,0)-1)-OFFSET(貼り付け2!$A$1,ROW()-1,MATCH(I$1,貼り付け2!$1:$1,0)-1))=2,
OFFSET(貼り付け2!$A$1,$A46-4,OFFSET(貼り付け2!$A$1,ROW()-1,MATCH(N$1,貼り付け2!$1:$1,0)-1)-2)
&amp;OFFSET(貼り付け2!$A$1,$A46-4,OFFSET(貼り付け2!$A$1,ROW()-1,MATCH(N$1,貼り付け2!$1:$1,0)-1)-1),
IF((OFFSET(貼り付け2!$A$1,ROW()-1,MATCH(N$1,貼り付け2!$1:$1,0)-1)-OFFSET(貼り付け2!$A$1,ROW()-1,MATCH(I$1,貼り付け2!$1:$1,0)-1))=3,
OFFSET(貼り付け2!$A$1,$A46-4,OFFSET(貼り付け2!$A$1,ROW()-1,MATCH(N$1,貼り付け2!$1:$1,0)-1)-3)
&amp;OFFSET(貼り付け2!$A$1,$A46-4,OFFSET(貼り付け2!$A$1,ROW()-1,MATCH(N$1,貼り付け2!$1:$1,0)-1)-2)
&amp;OFFSET(貼り付け2!$A$1,$A46-4,OFFSET(貼り付け2!$A$1,ROW()-1,MATCH(N$1,貼り付け2!$1:$1,0)-1)-1),"")),
IF((OFFSET(貼り付け2!$A$1,ROW()-1,MATCH(N$1,貼り付け2!$1:$1,0)-1)-OFFSET(貼り付け2!$A$1,ROW()-1,MATCH(I$1,貼り付け2!$1:$1,0)-1))=2,
OFFSET(貼り付け2!$A$1,$A46-2,OFFSET(貼り付け2!$A$1,ROW()-1,MATCH(N$1,貼り付け2!$1:$1,0)-1)-2)
&amp;OFFSET(貼り付け2!$A$1,$A46-2,OFFSET(貼り付け2!$A$1,ROW()-1,MATCH(N$1,貼り付け2!$1:$1,0)-1)-1),
IF((OFFSET(貼り付け2!$A$1,ROW()-1,MATCH(N$1,貼り付け2!$1:$1,0)-1)-OFFSET(貼り付け2!$A$1,ROW()-1,MATCH(I$1,貼り付け2!$1:$1,0)-1))=3,
OFFSET(貼り付け2!$A$1,$A46-2,OFFSET(貼り付け2!$A$1,ROW()-1,MATCH(N$1,貼り付け2!$1:$1,0)-1)-3)
&amp;OFFSET(貼り付け2!$A$1,$A46-2,OFFSET(貼り付け2!$A$1,ROW()-1,MATCH(N$1,貼り付け2!$1:$1,0)-1)-2)
&amp;OFFSET(貼り付け2!$A$1,$A46-2,OFFSET(貼り付け2!$A$1,ROW()-1,MATCH(N$1,貼り付け2!$1:$1,0)-1)-1),""))),
IF(OFFSET(貼り付け2!$A$1,ROW()-1,MATCH(N$1,貼り付け2!$1:$1,0)+1)=2,
OFFSET(貼り付け2!$A$1,$A46-3,OFFSET(貼り付け2!$A$1,ROW()-1,MATCH(N$1,貼り付け2!$1:$1,0)+1)-2)
&amp;OFFSET(貼り付け2!$A$1,$A46-3,OFFSET(貼り付け2!$A$1,ROW()-1,MATCH(N$1,貼り付け2!$1:$1,0)+1)-1),
IF(OFFSET(貼り付け2!$A$1,ROW()-1,MATCH(N$1,貼り付け2!$1:$1,0)+1)=3,
OFFSET(貼り付け2!$A$1,$A46-3,OFFSET(貼り付け2!$A$1,ROW()-1,MATCH(N$1,貼り付け2!$1:$1,0)+1)-3)
&amp;OFFSET(貼り付け2!$A$1,$A46-3,OFFSET(貼り付け2!$A$1,ROW()-1,MATCH(N$1,貼り付け2!$1:$1,0)+1)-2)
&amp;OFFSET(貼り付け2!$A$1,$A46-3,OFFSET(貼り付け2!$A$1,ROW()-1,MATCH(N$1,貼り付け2!$1:$1,0)+1)-1),"")))</f>
        <v/>
      </c>
      <c r="O46" t="str">
        <f ca="1">IFERROR(OFFSET(貼り付け2!$A$1,$A46-1,OFFSET(貼り付け2!$A$1,ROW()-1,MATCH(O$1,貼り付け2!$1:$1,0)-1)-1),"")</f>
        <v/>
      </c>
      <c r="P46" t="e">
        <f ca="1">OFFSET(貼り付け1!$A$1,貼り付け1!$G45-1,2)</f>
        <v>#REF!</v>
      </c>
      <c r="Q46" t="e">
        <f ca="1">OFFSET(貼り付け1!$A$1,貼り付け1!$F45-1,2)</f>
        <v>#REF!</v>
      </c>
      <c r="R46" t="str">
        <f ca="1">IFERROR(OFFSET(貼り付け2!$A$1,まとめ!$B46-1,OFFSET(貼り付け2!$A$1,ROW()-1,MATCH(R$1,貼り付け2!$1:$1,0)-1)-1),"")</f>
        <v/>
      </c>
      <c r="S46" t="str">
        <f ca="1">IF(OFFSET(貼り付け2!$A$1,ROW()-1,MATCH(S$1,貼り付け2!$1:$1,0)-1)&lt;&gt;"",
IF($C46=TRUE,
IF((OFFSET(貼り付け2!$A$1,ROW()-1,MATCH(S$1,貼り付け2!$1:$1,0)-1)-OFFSET(貼り付け2!$A$1,ROW()-1,MATCH(N$1,貼り付け2!$1:$1,0)-1))=2,
OFFSET(貼り付け2!$A$1,$A46-4,OFFSET(貼り付け2!$A$1,ROW()-1,MATCH(S$1,貼り付け2!$1:$1,0)-1)-2)
&amp;OFFSET(貼り付け2!$A$1,$A46-4,OFFSET(貼り付け2!$A$1,ROW()-1,MATCH(S$1,貼り付け2!$1:$1,0)-1)-1),
IF((OFFSET(貼り付け2!$A$1,ROW()-1,MATCH(S$1,貼り付け2!$1:$1,0)-1)-OFFSET(貼り付け2!$A$1,ROW()-1,MATCH(N$1,貼り付け2!$1:$1,0)-1))=3,
OFFSET(貼り付け2!$A$1,$A46-4,OFFSET(貼り付け2!$A$1,ROW()-1,MATCH(S$1,貼り付け2!$1:$1,0)-1)-3)
&amp;OFFSET(貼り付け2!$A$1,$A46-4,OFFSET(貼り付け2!$A$1,ROW()-1,MATCH(S$1,貼り付け2!$1:$1,0)-1)-2)
&amp;OFFSET(貼り付け2!$A$1,$A46-4,OFFSET(貼り付け2!$A$1,ROW()-1,MATCH(S$1,貼り付け2!$1:$1,0)-1)-1),"")),
IF((OFFSET(貼り付け2!$A$1,ROW()-1,MATCH(S$1,貼り付け2!$1:$1,0)-1)-OFFSET(貼り付け2!$A$1,ROW()-1,MATCH(N$1,貼り付け2!$1:$1,0)-1))=2,
OFFSET(貼り付け2!$A$1,$A46-2,OFFSET(貼り付け2!$A$1,ROW()-1,MATCH(S$1,貼り付け2!$1:$1,0)-1)-2)
&amp;OFFSET(貼り付け2!$A$1,$A46-2,OFFSET(貼り付け2!$A$1,ROW()-1,MATCH(S$1,貼り付け2!$1:$1,0)-1)-1),
IF((OFFSET(貼り付け2!$A$1,ROW()-1,MATCH(S$1,貼り付け2!$1:$1,0)-1)-OFFSET(貼り付け2!$A$1,ROW()-1,MATCH(N$1,貼り付け2!$1:$1,0)-1))=3,
OFFSET(貼り付け2!$A$1,$A46-2,OFFSET(貼り付け2!$A$1,ROW()-1,MATCH(S$1,貼り付け2!$1:$1,0)-1)-3)
&amp;OFFSET(貼り付け2!$A$1,$A46-2,OFFSET(貼り付け2!$A$1,ROW()-1,MATCH(S$1,貼り付け2!$1:$1,0)-1)-2)
&amp;OFFSET(貼り付け2!$A$1,$A46-2,OFFSET(貼り付け2!$A$1,ROW()-1,MATCH(S$1,貼り付け2!$1:$1,0)-1)-1),""))),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OFFSET(貼り付け2!$A$1,$A46-3,OFFSET(貼り付け2!$A$1,ROW()-1,MATCH(S$1,貼り付け2!$1:$1,0)+1)-2)
&amp;OFFSET(貼り付け2!$A$1,$A46-3,OFFSET(貼り付け2!$A$1,ROW()-1,MATCH(S$1,貼り付け2!$1:$1,0)+1)-1),
IF(OFFSET(貼り付け2!$A$1,ROW()-1,MATCH(S$1,貼り付け2!$1:$1,0)+1)-OFFSET(貼り付け2!$A$1,ROW()-1,MATCH(N$1,貼り付け2!$1:$1,0)+1)=3,
OFFSET(貼り付け2!$A$1,$A46-3,OFFSET(貼り付け2!$A$1,ROW()-1,MATCH(S$1,貼り付け2!$1:$1,0)+1)-3)
&amp;OFFSET(貼り付け2!$A$1,$A46-3,OFFSET(貼り付け2!$A$1,ROW()-1,MATCH(S$1,貼り付け2!$1:$1,0)+1)-2)
&amp;OFFSET(貼り付け2!$A$1,$A46-3,OFFSET(貼り付け2!$A$1,ROW()-1,MATCH(S$1,貼り付け2!$1:$1,0)+1)-1),"")),
IF(OFFSET(貼り付け2!$A$1,ROW()-1,MATCH(S$1,貼り付け2!$1:$1,0)+1)=2,
OFFSET(貼り付け2!$A$1,$A46-3,OFFSET(貼り付け2!$A$1,ROW()-1,MATCH(S$1,貼り付け2!$1:$1,0)+1)-2)
&amp;OFFSET(貼り付け2!$A$1,$A46-3,OFFSET(貼り付け2!$A$1,ROW()-1,MATCH(S$1,貼り付け2!$1:$1,0)+1)-1),
IF(OFFSET(貼り付け2!$A$1,ROW()-1,MATCH(S$1,貼り付け2!$1:$1,0)+1)=3,
OFFSET(貼り付け2!$A$1,$A46-3,OFFSET(貼り付け2!$A$1,ROW()-1,MATCH(S$1,貼り付け2!$1:$1,0)+1)-3)
&amp;OFFSET(貼り付け2!$A$1,$A46-3,OFFSET(貼り付け2!$A$1,ROW()-1,MATCH(S$1,貼り付け2!$1:$1,0)+1)-2)
&amp;OFFSET(貼り付け2!$A$1,$A46-3,OFFSET(貼り付け2!$A$1,ROW()-1,MATCH(S$1,貼り付け2!$1:$1,0)+1)-1),""))))</f>
        <v/>
      </c>
      <c r="T46" t="str">
        <f ca="1">IFERROR(OFFSET(貼り付け2!$A$1,$A46-1,OFFSET(貼り付け2!$A$1,ROW()-1,MATCH(T$1,貼り付け2!$1:$1,0)-1)-1),"")</f>
        <v/>
      </c>
      <c r="U46" t="e">
        <f ca="1">OFFSET(貼り付け1!$A$1,貼り付け1!$G45-1,3)</f>
        <v>#REF!</v>
      </c>
      <c r="V46" t="e">
        <f ca="1">OFFSET(貼り付け1!$A$1,貼り付け1!$F45-1,3)</f>
        <v>#REF!</v>
      </c>
      <c r="W46" t="str">
        <f ca="1">IFERROR(OFFSET(貼り付け2!$A$1,まとめ!$B46-1,OFFSET(貼り付け2!$A$1,ROW()-1,MATCH(W$1,貼り付け2!$1:$1,0)-1)-1),"")</f>
        <v/>
      </c>
    </row>
    <row r="47" spans="1:23" x14ac:dyDescent="0.45">
      <c r="A47" t="str">
        <f>貼り付け2!S47</f>
        <v/>
      </c>
      <c r="B47" t="str">
        <f>貼り付け2!R47</f>
        <v/>
      </c>
      <c r="C47" t="e">
        <f t="shared" ca="1" si="2"/>
        <v>#VALUE!</v>
      </c>
      <c r="D47" t="e">
        <f ca="1">IF($C47=TRUE,
IF(OFFSET(貼り付け2!$A$1,ROW()-1,MATCH(D$1,貼り付け2!$1:$1,0)-1)=2,
OFFSET(貼り付け2!$A$1,$A47-4,OFFSET(貼り付け2!$A$1,ROW()-1,MATCH(D$1,貼り付け2!$1:$1,0)-1)-2)
&amp;OFFSET(貼り付け2!$A$1,$A47-4,OFFSET(貼り付け2!$A$1,ROW()-1,MATCH(D$1,貼り付け2!$1:$1,0)-1)-1),
IF(OFFSET(貼り付け2!$A$1,ROW()-1,MATCH(D$1,貼り付け2!$1:$1,0)-1)=3,
OFFSET(貼り付け2!$A$1,$A47-4,OFFSET(貼り付け2!$A$1,ROW()-1,MATCH(D$1,貼り付け2!$1:$1,0)-1)-3)
&amp;OFFSET(貼り付け2!$A$1,$A47-4,OFFSET(貼り付け2!$A$1,ROW()-1,MATCH(D$1,貼り付け2!$1:$1,0)-1)-2)
&amp;OFFSET(貼り付け2!$A$1,$A47-4,OFFSET(貼り付け2!$A$1,ROW()-1,MATCH(D$1,貼り付け2!$1:$1,0)-1)-1),"")),
IF(OFFSET(貼り付け2!$A$1,ROW()-1,MATCH(D$1,貼り付け2!$1:$1,0)-1)=2,
OFFSET(貼り付け2!$A$1,$A47-2,OFFSET(貼り付け2!$A$1,ROW()-1,MATCH(D$1,貼り付け2!$1:$1,0)-1)-2)
&amp;OFFSET(貼り付け2!$A$1,$A47-2,OFFSET(貼り付け2!$A$1,ROW()-1,MATCH(D$1,貼り付け2!$1:$1,0)-1)-1),
IF(OFFSET(貼り付け2!$A$1,ROW()-1,MATCH(D$1,貼り付け2!$1:$1,0)-1)=3,
OFFSET(貼り付け2!$A$1,$A47-2,OFFSET(貼り付け2!$A$1,ROW()-1,MATCH(D$1,貼り付け2!$1:$1,0)-1)-3)
&amp;OFFSET(貼り付け2!$A$1,$A47-2,OFFSET(貼り付け2!$A$1,ROW()-1,MATCH(D$1,貼り付け2!$1:$1,0)-1)-2)
&amp;OFFSET(貼り付け2!$A$1,$A47-2,OFFSET(貼り付け2!$A$1,ROW()-1,MATCH(D$1,貼り付け2!$1:$1,0)-1)-1),"")))</f>
        <v>#VALUE!</v>
      </c>
      <c r="E47" t="str">
        <f ca="1">IFERROR(OFFSET(貼り付け2!$A$1,$A47-1,OFFSET(貼り付け2!$A$1,ROW()-1,MATCH(E$1,貼り付け2!$1:$1,0)-1)-1),"")</f>
        <v/>
      </c>
      <c r="F47" t="e">
        <f ca="1">OFFSET(貼り付け1!$A$1,貼り付け1!$G46-1,0)</f>
        <v>#REF!</v>
      </c>
      <c r="G47" t="e">
        <f ca="1">OFFSET(貼り付け1!$A$1,貼り付け1!$F46-1,0)</f>
        <v>#REF!</v>
      </c>
      <c r="H47" t="str">
        <f ca="1">IFERROR(OFFSET(貼り付け2!$A$1,まとめ!$B47-1,OFFSET(貼り付け2!$A$1,ROW()-1,MATCH(H$1,貼り付け2!$1:$1,0)-1)-1),"")</f>
        <v/>
      </c>
      <c r="I47" t="e">
        <f ca="1">IF($C47=TRUE,
IF((OFFSET(貼り付け2!$A$1,ROW()-1,MATCH(I$1,貼り付け2!$1:$1,0)-1)-OFFSET(貼り付け2!$A$1,ROW()-1,MATCH(D$1,貼り付け2!$1:$1,0)-1))=2,
OFFSET(貼り付け2!$A$1,$A47-4,OFFSET(貼り付け2!$A$1,ROW()-1,MATCH(I$1,貼り付け2!$1:$1,0)-1)-2)
&amp;OFFSET(貼り付け2!$A$1,$A47-4,OFFSET(貼り付け2!$A$1,ROW()-1,MATCH(I$1,貼り付け2!$1:$1,0)-1)-1),
IF((OFFSET(貼り付け2!$A$1,ROW()-1,MATCH(I$1,貼り付け2!$1:$1,0)-1)-OFFSET(貼り付け2!$A$1,ROW()-1,MATCH(D$1,貼り付け2!$1:$1,0)-1))=3,
OFFSET(貼り付け2!$A$1,$A47-4,OFFSET(貼り付け2!$A$1,ROW()-1,MATCH(I$1,貼り付け2!$1:$1,0)-1)-3)
&amp;OFFSET(貼り付け2!$A$1,$A47-4,OFFSET(貼り付け2!$A$1,ROW()-1,MATCH(I$1,貼り付け2!$1:$1,0)-1)-2)
&amp;OFFSET(貼り付け2!$A$1,$A47-4,OFFSET(貼り付け2!$A$1,ROW()-1,MATCH(I$1,貼り付け2!$1:$1,0)-1)-1),"")),
IF((OFFSET(貼り付け2!$A$1,ROW()-1,MATCH(I$1,貼り付け2!$1:$1,0)-1)-OFFSET(貼り付け2!$A$1,ROW()-1,MATCH(D$1,貼り付け2!$1:$1,0)-1))=2,
OFFSET(貼り付け2!$A$1,$A47-2,OFFSET(貼り付け2!$A$1,ROW()-1,MATCH(I$1,貼り付け2!$1:$1,0)-1)-2)
&amp;OFFSET(貼り付け2!$A$1,$A47-2,OFFSET(貼り付け2!$A$1,ROW()-1,MATCH(I$1,貼り付け2!$1:$1,0)-1)-1),
IF((OFFSET(貼り付け2!$A$1,ROW()-1,MATCH(I$1,貼り付け2!$1:$1,0)-1)-OFFSET(貼り付け2!$A$1,ROW()-1,MATCH(D$1,貼り付け2!$1:$1,0)-1))=3,
OFFSET(貼り付け2!$A$1,$A47-2,OFFSET(貼り付け2!$A$1,ROW()-1,MATCH(I$1,貼り付け2!$1:$1,0)-1)-3)
&amp;OFFSET(貼り付け2!$A$1,$A47-2,OFFSET(貼り付け2!$A$1,ROW()-1,MATCH(I$1,貼り付け2!$1:$1,0)-1)-2)
&amp;OFFSET(貼り付け2!$A$1,$A47-2,OFFSET(貼り付け2!$A$1,ROW()-1,MATCH(I$1,貼り付け2!$1:$1,0)-1)-1),"")))</f>
        <v>#VALUE!</v>
      </c>
      <c r="J47" t="str">
        <f ca="1">IFERROR(OFFSET(貼り付け2!$A$1,$A47-1,OFFSET(貼り付け2!$A$1,ROW()-1,MATCH(J$1,貼り付け2!$1:$1,0)-1)-1),"")</f>
        <v/>
      </c>
      <c r="K47" t="e">
        <f ca="1">OFFSET(貼り付け1!$A$1,貼り付け1!$G46-1,1)</f>
        <v>#REF!</v>
      </c>
      <c r="L47" t="e">
        <f ca="1">OFFSET(貼り付け1!$A$1,貼り付け1!$F46-1,1)</f>
        <v>#REF!</v>
      </c>
      <c r="M47" t="str">
        <f ca="1">IFERROR(OFFSET(貼り付け2!$A$1,まとめ!$B47-1,OFFSET(貼り付け2!$A$1,ROW()-1,MATCH(M$1,貼り付け2!$1:$1,0)-1)-1),"")</f>
        <v/>
      </c>
      <c r="N47" t="str">
        <f ca="1">IF(OFFSET(貼り付け2!$A$1,ROW()-1,MATCH(N$1,貼り付け2!$1:$1,0)-1)&lt;&gt;"",
IF($C47=TRUE,
IF((OFFSET(貼り付け2!$A$1,ROW()-1,MATCH(N$1,貼り付け2!$1:$1,0)-1)-OFFSET(貼り付け2!$A$1,ROW()-1,MATCH(I$1,貼り付け2!$1:$1,0)-1))=2,
OFFSET(貼り付け2!$A$1,$A47-4,OFFSET(貼り付け2!$A$1,ROW()-1,MATCH(N$1,貼り付け2!$1:$1,0)-1)-2)
&amp;OFFSET(貼り付け2!$A$1,$A47-4,OFFSET(貼り付け2!$A$1,ROW()-1,MATCH(N$1,貼り付け2!$1:$1,0)-1)-1),
IF((OFFSET(貼り付け2!$A$1,ROW()-1,MATCH(N$1,貼り付け2!$1:$1,0)-1)-OFFSET(貼り付け2!$A$1,ROW()-1,MATCH(I$1,貼り付け2!$1:$1,0)-1))=3,
OFFSET(貼り付け2!$A$1,$A47-4,OFFSET(貼り付け2!$A$1,ROW()-1,MATCH(N$1,貼り付け2!$1:$1,0)-1)-3)
&amp;OFFSET(貼り付け2!$A$1,$A47-4,OFFSET(貼り付け2!$A$1,ROW()-1,MATCH(N$1,貼り付け2!$1:$1,0)-1)-2)
&amp;OFFSET(貼り付け2!$A$1,$A47-4,OFFSET(貼り付け2!$A$1,ROW()-1,MATCH(N$1,貼り付け2!$1:$1,0)-1)-1),"")),
IF((OFFSET(貼り付け2!$A$1,ROW()-1,MATCH(N$1,貼り付け2!$1:$1,0)-1)-OFFSET(貼り付け2!$A$1,ROW()-1,MATCH(I$1,貼り付け2!$1:$1,0)-1))=2,
OFFSET(貼り付け2!$A$1,$A47-2,OFFSET(貼り付け2!$A$1,ROW()-1,MATCH(N$1,貼り付け2!$1:$1,0)-1)-2)
&amp;OFFSET(貼り付け2!$A$1,$A47-2,OFFSET(貼り付け2!$A$1,ROW()-1,MATCH(N$1,貼り付け2!$1:$1,0)-1)-1),
IF((OFFSET(貼り付け2!$A$1,ROW()-1,MATCH(N$1,貼り付け2!$1:$1,0)-1)-OFFSET(貼り付け2!$A$1,ROW()-1,MATCH(I$1,貼り付け2!$1:$1,0)-1))=3,
OFFSET(貼り付け2!$A$1,$A47-2,OFFSET(貼り付け2!$A$1,ROW()-1,MATCH(N$1,貼り付け2!$1:$1,0)-1)-3)
&amp;OFFSET(貼り付け2!$A$1,$A47-2,OFFSET(貼り付け2!$A$1,ROW()-1,MATCH(N$1,貼り付け2!$1:$1,0)-1)-2)
&amp;OFFSET(貼り付け2!$A$1,$A47-2,OFFSET(貼り付け2!$A$1,ROW()-1,MATCH(N$1,貼り付け2!$1:$1,0)-1)-1),""))),
IF(OFFSET(貼り付け2!$A$1,ROW()-1,MATCH(N$1,貼り付け2!$1:$1,0)+1)=2,
OFFSET(貼り付け2!$A$1,$A47-3,OFFSET(貼り付け2!$A$1,ROW()-1,MATCH(N$1,貼り付け2!$1:$1,0)+1)-2)
&amp;OFFSET(貼り付け2!$A$1,$A47-3,OFFSET(貼り付け2!$A$1,ROW()-1,MATCH(N$1,貼り付け2!$1:$1,0)+1)-1),
IF(OFFSET(貼り付け2!$A$1,ROW()-1,MATCH(N$1,貼り付け2!$1:$1,0)+1)=3,
OFFSET(貼り付け2!$A$1,$A47-3,OFFSET(貼り付け2!$A$1,ROW()-1,MATCH(N$1,貼り付け2!$1:$1,0)+1)-3)
&amp;OFFSET(貼り付け2!$A$1,$A47-3,OFFSET(貼り付け2!$A$1,ROW()-1,MATCH(N$1,貼り付け2!$1:$1,0)+1)-2)
&amp;OFFSET(貼り付け2!$A$1,$A47-3,OFFSET(貼り付け2!$A$1,ROW()-1,MATCH(N$1,貼り付け2!$1:$1,0)+1)-1),"")))</f>
        <v/>
      </c>
      <c r="O47" t="str">
        <f ca="1">IFERROR(OFFSET(貼り付け2!$A$1,$A47-1,OFFSET(貼り付け2!$A$1,ROW()-1,MATCH(O$1,貼り付け2!$1:$1,0)-1)-1),"")</f>
        <v/>
      </c>
      <c r="P47" t="e">
        <f ca="1">OFFSET(貼り付け1!$A$1,貼り付け1!$G46-1,2)</f>
        <v>#REF!</v>
      </c>
      <c r="Q47" t="e">
        <f ca="1">OFFSET(貼り付け1!$A$1,貼り付け1!$F46-1,2)</f>
        <v>#REF!</v>
      </c>
      <c r="R47" t="str">
        <f ca="1">IFERROR(OFFSET(貼り付け2!$A$1,まとめ!$B47-1,OFFSET(貼り付け2!$A$1,ROW()-1,MATCH(R$1,貼り付け2!$1:$1,0)-1)-1),"")</f>
        <v/>
      </c>
      <c r="S47" t="str">
        <f ca="1">IF(OFFSET(貼り付け2!$A$1,ROW()-1,MATCH(S$1,貼り付け2!$1:$1,0)-1)&lt;&gt;"",
IF($C47=TRUE,
IF((OFFSET(貼り付け2!$A$1,ROW()-1,MATCH(S$1,貼り付け2!$1:$1,0)-1)-OFFSET(貼り付け2!$A$1,ROW()-1,MATCH(N$1,貼り付け2!$1:$1,0)-1))=2,
OFFSET(貼り付け2!$A$1,$A47-4,OFFSET(貼り付け2!$A$1,ROW()-1,MATCH(S$1,貼り付け2!$1:$1,0)-1)-2)
&amp;OFFSET(貼り付け2!$A$1,$A47-4,OFFSET(貼り付け2!$A$1,ROW()-1,MATCH(S$1,貼り付け2!$1:$1,0)-1)-1),
IF((OFFSET(貼り付け2!$A$1,ROW()-1,MATCH(S$1,貼り付け2!$1:$1,0)-1)-OFFSET(貼り付け2!$A$1,ROW()-1,MATCH(N$1,貼り付け2!$1:$1,0)-1))=3,
OFFSET(貼り付け2!$A$1,$A47-4,OFFSET(貼り付け2!$A$1,ROW()-1,MATCH(S$1,貼り付け2!$1:$1,0)-1)-3)
&amp;OFFSET(貼り付け2!$A$1,$A47-4,OFFSET(貼り付け2!$A$1,ROW()-1,MATCH(S$1,貼り付け2!$1:$1,0)-1)-2)
&amp;OFFSET(貼り付け2!$A$1,$A47-4,OFFSET(貼り付け2!$A$1,ROW()-1,MATCH(S$1,貼り付け2!$1:$1,0)-1)-1),"")),
IF((OFFSET(貼り付け2!$A$1,ROW()-1,MATCH(S$1,貼り付け2!$1:$1,0)-1)-OFFSET(貼り付け2!$A$1,ROW()-1,MATCH(N$1,貼り付け2!$1:$1,0)-1))=2,
OFFSET(貼り付け2!$A$1,$A47-2,OFFSET(貼り付け2!$A$1,ROW()-1,MATCH(S$1,貼り付け2!$1:$1,0)-1)-2)
&amp;OFFSET(貼り付け2!$A$1,$A47-2,OFFSET(貼り付け2!$A$1,ROW()-1,MATCH(S$1,貼り付け2!$1:$1,0)-1)-1),
IF((OFFSET(貼り付け2!$A$1,ROW()-1,MATCH(S$1,貼り付け2!$1:$1,0)-1)-OFFSET(貼り付け2!$A$1,ROW()-1,MATCH(N$1,貼り付け2!$1:$1,0)-1))=3,
OFFSET(貼り付け2!$A$1,$A47-2,OFFSET(貼り付け2!$A$1,ROW()-1,MATCH(S$1,貼り付け2!$1:$1,0)-1)-3)
&amp;OFFSET(貼り付け2!$A$1,$A47-2,OFFSET(貼り付け2!$A$1,ROW()-1,MATCH(S$1,貼り付け2!$1:$1,0)-1)-2)
&amp;OFFSET(貼り付け2!$A$1,$A47-2,OFFSET(貼り付け2!$A$1,ROW()-1,MATCH(S$1,貼り付け2!$1:$1,0)-1)-1),""))),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OFFSET(貼り付け2!$A$1,$A47-3,OFFSET(貼り付け2!$A$1,ROW()-1,MATCH(S$1,貼り付け2!$1:$1,0)+1)-2)
&amp;OFFSET(貼り付け2!$A$1,$A47-3,OFFSET(貼り付け2!$A$1,ROW()-1,MATCH(S$1,貼り付け2!$1:$1,0)+1)-1),
IF(OFFSET(貼り付け2!$A$1,ROW()-1,MATCH(S$1,貼り付け2!$1:$1,0)+1)-OFFSET(貼り付け2!$A$1,ROW()-1,MATCH(N$1,貼り付け2!$1:$1,0)+1)=3,
OFFSET(貼り付け2!$A$1,$A47-3,OFFSET(貼り付け2!$A$1,ROW()-1,MATCH(S$1,貼り付け2!$1:$1,0)+1)-3)
&amp;OFFSET(貼り付け2!$A$1,$A47-3,OFFSET(貼り付け2!$A$1,ROW()-1,MATCH(S$1,貼り付け2!$1:$1,0)+1)-2)
&amp;OFFSET(貼り付け2!$A$1,$A47-3,OFFSET(貼り付け2!$A$1,ROW()-1,MATCH(S$1,貼り付け2!$1:$1,0)+1)-1),"")),
IF(OFFSET(貼り付け2!$A$1,ROW()-1,MATCH(S$1,貼り付け2!$1:$1,0)+1)=2,
OFFSET(貼り付け2!$A$1,$A47-3,OFFSET(貼り付け2!$A$1,ROW()-1,MATCH(S$1,貼り付け2!$1:$1,0)+1)-2)
&amp;OFFSET(貼り付け2!$A$1,$A47-3,OFFSET(貼り付け2!$A$1,ROW()-1,MATCH(S$1,貼り付け2!$1:$1,0)+1)-1),
IF(OFFSET(貼り付け2!$A$1,ROW()-1,MATCH(S$1,貼り付け2!$1:$1,0)+1)=3,
OFFSET(貼り付け2!$A$1,$A47-3,OFFSET(貼り付け2!$A$1,ROW()-1,MATCH(S$1,貼り付け2!$1:$1,0)+1)-3)
&amp;OFFSET(貼り付け2!$A$1,$A47-3,OFFSET(貼り付け2!$A$1,ROW()-1,MATCH(S$1,貼り付け2!$1:$1,0)+1)-2)
&amp;OFFSET(貼り付け2!$A$1,$A47-3,OFFSET(貼り付け2!$A$1,ROW()-1,MATCH(S$1,貼り付け2!$1:$1,0)+1)-1),""))))</f>
        <v/>
      </c>
      <c r="T47" t="str">
        <f ca="1">IFERROR(OFFSET(貼り付け2!$A$1,$A47-1,OFFSET(貼り付け2!$A$1,ROW()-1,MATCH(T$1,貼り付け2!$1:$1,0)-1)-1),"")</f>
        <v/>
      </c>
      <c r="U47" t="e">
        <f ca="1">OFFSET(貼り付け1!$A$1,貼り付け1!$G46-1,3)</f>
        <v>#REF!</v>
      </c>
      <c r="V47" t="e">
        <f ca="1">OFFSET(貼り付け1!$A$1,貼り付け1!$F46-1,3)</f>
        <v>#REF!</v>
      </c>
      <c r="W47" t="str">
        <f ca="1">IFERROR(OFFSET(貼り付け2!$A$1,まとめ!$B47-1,OFFSET(貼り付け2!$A$1,ROW()-1,MATCH(W$1,貼り付け2!$1:$1,0)-1)-1),"")</f>
        <v/>
      </c>
    </row>
    <row r="48" spans="1:23" x14ac:dyDescent="0.45">
      <c r="A48" t="str">
        <f>貼り付け2!S48</f>
        <v/>
      </c>
      <c r="B48" t="str">
        <f>貼り付け2!R48</f>
        <v/>
      </c>
      <c r="C48" t="e">
        <f t="shared" ca="1" si="2"/>
        <v>#VALUE!</v>
      </c>
      <c r="D48" t="e">
        <f ca="1">IF($C48=TRUE,
IF(OFFSET(貼り付け2!$A$1,ROW()-1,MATCH(D$1,貼り付け2!$1:$1,0)-1)=2,
OFFSET(貼り付け2!$A$1,$A48-4,OFFSET(貼り付け2!$A$1,ROW()-1,MATCH(D$1,貼り付け2!$1:$1,0)-1)-2)
&amp;OFFSET(貼り付け2!$A$1,$A48-4,OFFSET(貼り付け2!$A$1,ROW()-1,MATCH(D$1,貼り付け2!$1:$1,0)-1)-1),
IF(OFFSET(貼り付け2!$A$1,ROW()-1,MATCH(D$1,貼り付け2!$1:$1,0)-1)=3,
OFFSET(貼り付け2!$A$1,$A48-4,OFFSET(貼り付け2!$A$1,ROW()-1,MATCH(D$1,貼り付け2!$1:$1,0)-1)-3)
&amp;OFFSET(貼り付け2!$A$1,$A48-4,OFFSET(貼り付け2!$A$1,ROW()-1,MATCH(D$1,貼り付け2!$1:$1,0)-1)-2)
&amp;OFFSET(貼り付け2!$A$1,$A48-4,OFFSET(貼り付け2!$A$1,ROW()-1,MATCH(D$1,貼り付け2!$1:$1,0)-1)-1),"")),
IF(OFFSET(貼り付け2!$A$1,ROW()-1,MATCH(D$1,貼り付け2!$1:$1,0)-1)=2,
OFFSET(貼り付け2!$A$1,$A48-2,OFFSET(貼り付け2!$A$1,ROW()-1,MATCH(D$1,貼り付け2!$1:$1,0)-1)-2)
&amp;OFFSET(貼り付け2!$A$1,$A48-2,OFFSET(貼り付け2!$A$1,ROW()-1,MATCH(D$1,貼り付け2!$1:$1,0)-1)-1),
IF(OFFSET(貼り付け2!$A$1,ROW()-1,MATCH(D$1,貼り付け2!$1:$1,0)-1)=3,
OFFSET(貼り付け2!$A$1,$A48-2,OFFSET(貼り付け2!$A$1,ROW()-1,MATCH(D$1,貼り付け2!$1:$1,0)-1)-3)
&amp;OFFSET(貼り付け2!$A$1,$A48-2,OFFSET(貼り付け2!$A$1,ROW()-1,MATCH(D$1,貼り付け2!$1:$1,0)-1)-2)
&amp;OFFSET(貼り付け2!$A$1,$A48-2,OFFSET(貼り付け2!$A$1,ROW()-1,MATCH(D$1,貼り付け2!$1:$1,0)-1)-1),"")))</f>
        <v>#VALUE!</v>
      </c>
      <c r="E48" t="str">
        <f ca="1">IFERROR(OFFSET(貼り付け2!$A$1,$A48-1,OFFSET(貼り付け2!$A$1,ROW()-1,MATCH(E$1,貼り付け2!$1:$1,0)-1)-1),"")</f>
        <v/>
      </c>
      <c r="F48" t="e">
        <f ca="1">OFFSET(貼り付け1!$A$1,貼り付け1!$G47-1,0)</f>
        <v>#REF!</v>
      </c>
      <c r="G48" t="e">
        <f ca="1">OFFSET(貼り付け1!$A$1,貼り付け1!$F47-1,0)</f>
        <v>#REF!</v>
      </c>
      <c r="H48" t="str">
        <f ca="1">IFERROR(OFFSET(貼り付け2!$A$1,まとめ!$B48-1,OFFSET(貼り付け2!$A$1,ROW()-1,MATCH(H$1,貼り付け2!$1:$1,0)-1)-1),"")</f>
        <v/>
      </c>
      <c r="I48" t="e">
        <f ca="1">IF($C48=TRUE,
IF((OFFSET(貼り付け2!$A$1,ROW()-1,MATCH(I$1,貼り付け2!$1:$1,0)-1)-OFFSET(貼り付け2!$A$1,ROW()-1,MATCH(D$1,貼り付け2!$1:$1,0)-1))=2,
OFFSET(貼り付け2!$A$1,$A48-4,OFFSET(貼り付け2!$A$1,ROW()-1,MATCH(I$1,貼り付け2!$1:$1,0)-1)-2)
&amp;OFFSET(貼り付け2!$A$1,$A48-4,OFFSET(貼り付け2!$A$1,ROW()-1,MATCH(I$1,貼り付け2!$1:$1,0)-1)-1),
IF((OFFSET(貼り付け2!$A$1,ROW()-1,MATCH(I$1,貼り付け2!$1:$1,0)-1)-OFFSET(貼り付け2!$A$1,ROW()-1,MATCH(D$1,貼り付け2!$1:$1,0)-1))=3,
OFFSET(貼り付け2!$A$1,$A48-4,OFFSET(貼り付け2!$A$1,ROW()-1,MATCH(I$1,貼り付け2!$1:$1,0)-1)-3)
&amp;OFFSET(貼り付け2!$A$1,$A48-4,OFFSET(貼り付け2!$A$1,ROW()-1,MATCH(I$1,貼り付け2!$1:$1,0)-1)-2)
&amp;OFFSET(貼り付け2!$A$1,$A48-4,OFFSET(貼り付け2!$A$1,ROW()-1,MATCH(I$1,貼り付け2!$1:$1,0)-1)-1),"")),
IF((OFFSET(貼り付け2!$A$1,ROW()-1,MATCH(I$1,貼り付け2!$1:$1,0)-1)-OFFSET(貼り付け2!$A$1,ROW()-1,MATCH(D$1,貼り付け2!$1:$1,0)-1))=2,
OFFSET(貼り付け2!$A$1,$A48-2,OFFSET(貼り付け2!$A$1,ROW()-1,MATCH(I$1,貼り付け2!$1:$1,0)-1)-2)
&amp;OFFSET(貼り付け2!$A$1,$A48-2,OFFSET(貼り付け2!$A$1,ROW()-1,MATCH(I$1,貼り付け2!$1:$1,0)-1)-1),
IF((OFFSET(貼り付け2!$A$1,ROW()-1,MATCH(I$1,貼り付け2!$1:$1,0)-1)-OFFSET(貼り付け2!$A$1,ROW()-1,MATCH(D$1,貼り付け2!$1:$1,0)-1))=3,
OFFSET(貼り付け2!$A$1,$A48-2,OFFSET(貼り付け2!$A$1,ROW()-1,MATCH(I$1,貼り付け2!$1:$1,0)-1)-3)
&amp;OFFSET(貼り付け2!$A$1,$A48-2,OFFSET(貼り付け2!$A$1,ROW()-1,MATCH(I$1,貼り付け2!$1:$1,0)-1)-2)
&amp;OFFSET(貼り付け2!$A$1,$A48-2,OFFSET(貼り付け2!$A$1,ROW()-1,MATCH(I$1,貼り付け2!$1:$1,0)-1)-1),"")))</f>
        <v>#VALUE!</v>
      </c>
      <c r="J48" t="str">
        <f ca="1">IFERROR(OFFSET(貼り付け2!$A$1,$A48-1,OFFSET(貼り付け2!$A$1,ROW()-1,MATCH(J$1,貼り付け2!$1:$1,0)-1)-1),"")</f>
        <v/>
      </c>
      <c r="K48" t="e">
        <f ca="1">OFFSET(貼り付け1!$A$1,貼り付け1!$G47-1,1)</f>
        <v>#REF!</v>
      </c>
      <c r="L48" t="e">
        <f ca="1">OFFSET(貼り付け1!$A$1,貼り付け1!$F47-1,1)</f>
        <v>#REF!</v>
      </c>
      <c r="M48" t="str">
        <f ca="1">IFERROR(OFFSET(貼り付け2!$A$1,まとめ!$B48-1,OFFSET(貼り付け2!$A$1,ROW()-1,MATCH(M$1,貼り付け2!$1:$1,0)-1)-1),"")</f>
        <v/>
      </c>
      <c r="N48" t="str">
        <f ca="1">IF(OFFSET(貼り付け2!$A$1,ROW()-1,MATCH(N$1,貼り付け2!$1:$1,0)-1)&lt;&gt;"",
IF($C48=TRUE,
IF((OFFSET(貼り付け2!$A$1,ROW()-1,MATCH(N$1,貼り付け2!$1:$1,0)-1)-OFFSET(貼り付け2!$A$1,ROW()-1,MATCH(I$1,貼り付け2!$1:$1,0)-1))=2,
OFFSET(貼り付け2!$A$1,$A48-4,OFFSET(貼り付け2!$A$1,ROW()-1,MATCH(N$1,貼り付け2!$1:$1,0)-1)-2)
&amp;OFFSET(貼り付け2!$A$1,$A48-4,OFFSET(貼り付け2!$A$1,ROW()-1,MATCH(N$1,貼り付け2!$1:$1,0)-1)-1),
IF((OFFSET(貼り付け2!$A$1,ROW()-1,MATCH(N$1,貼り付け2!$1:$1,0)-1)-OFFSET(貼り付け2!$A$1,ROW()-1,MATCH(I$1,貼り付け2!$1:$1,0)-1))=3,
OFFSET(貼り付け2!$A$1,$A48-4,OFFSET(貼り付け2!$A$1,ROW()-1,MATCH(N$1,貼り付け2!$1:$1,0)-1)-3)
&amp;OFFSET(貼り付け2!$A$1,$A48-4,OFFSET(貼り付け2!$A$1,ROW()-1,MATCH(N$1,貼り付け2!$1:$1,0)-1)-2)
&amp;OFFSET(貼り付け2!$A$1,$A48-4,OFFSET(貼り付け2!$A$1,ROW()-1,MATCH(N$1,貼り付け2!$1:$1,0)-1)-1),"")),
IF((OFFSET(貼り付け2!$A$1,ROW()-1,MATCH(N$1,貼り付け2!$1:$1,0)-1)-OFFSET(貼り付け2!$A$1,ROW()-1,MATCH(I$1,貼り付け2!$1:$1,0)-1))=2,
OFFSET(貼り付け2!$A$1,$A48-2,OFFSET(貼り付け2!$A$1,ROW()-1,MATCH(N$1,貼り付け2!$1:$1,0)-1)-2)
&amp;OFFSET(貼り付け2!$A$1,$A48-2,OFFSET(貼り付け2!$A$1,ROW()-1,MATCH(N$1,貼り付け2!$1:$1,0)-1)-1),
IF((OFFSET(貼り付け2!$A$1,ROW()-1,MATCH(N$1,貼り付け2!$1:$1,0)-1)-OFFSET(貼り付け2!$A$1,ROW()-1,MATCH(I$1,貼り付け2!$1:$1,0)-1))=3,
OFFSET(貼り付け2!$A$1,$A48-2,OFFSET(貼り付け2!$A$1,ROW()-1,MATCH(N$1,貼り付け2!$1:$1,0)-1)-3)
&amp;OFFSET(貼り付け2!$A$1,$A48-2,OFFSET(貼り付け2!$A$1,ROW()-1,MATCH(N$1,貼り付け2!$1:$1,0)-1)-2)
&amp;OFFSET(貼り付け2!$A$1,$A48-2,OFFSET(貼り付け2!$A$1,ROW()-1,MATCH(N$1,貼り付け2!$1:$1,0)-1)-1),""))),
IF(OFFSET(貼り付け2!$A$1,ROW()-1,MATCH(N$1,貼り付け2!$1:$1,0)+1)=2,
OFFSET(貼り付け2!$A$1,$A48-3,OFFSET(貼り付け2!$A$1,ROW()-1,MATCH(N$1,貼り付け2!$1:$1,0)+1)-2)
&amp;OFFSET(貼り付け2!$A$1,$A48-3,OFFSET(貼り付け2!$A$1,ROW()-1,MATCH(N$1,貼り付け2!$1:$1,0)+1)-1),
IF(OFFSET(貼り付け2!$A$1,ROW()-1,MATCH(N$1,貼り付け2!$1:$1,0)+1)=3,
OFFSET(貼り付け2!$A$1,$A48-3,OFFSET(貼り付け2!$A$1,ROW()-1,MATCH(N$1,貼り付け2!$1:$1,0)+1)-3)
&amp;OFFSET(貼り付け2!$A$1,$A48-3,OFFSET(貼り付け2!$A$1,ROW()-1,MATCH(N$1,貼り付け2!$1:$1,0)+1)-2)
&amp;OFFSET(貼り付け2!$A$1,$A48-3,OFFSET(貼り付け2!$A$1,ROW()-1,MATCH(N$1,貼り付け2!$1:$1,0)+1)-1),"")))</f>
        <v/>
      </c>
      <c r="O48" t="str">
        <f ca="1">IFERROR(OFFSET(貼り付け2!$A$1,$A48-1,OFFSET(貼り付け2!$A$1,ROW()-1,MATCH(O$1,貼り付け2!$1:$1,0)-1)-1),"")</f>
        <v/>
      </c>
      <c r="P48" t="e">
        <f ca="1">OFFSET(貼り付け1!$A$1,貼り付け1!$G47-1,2)</f>
        <v>#REF!</v>
      </c>
      <c r="Q48" t="e">
        <f ca="1">OFFSET(貼り付け1!$A$1,貼り付け1!$F47-1,2)</f>
        <v>#REF!</v>
      </c>
      <c r="R48" t="str">
        <f ca="1">IFERROR(OFFSET(貼り付け2!$A$1,まとめ!$B48-1,OFFSET(貼り付け2!$A$1,ROW()-1,MATCH(R$1,貼り付け2!$1:$1,0)-1)-1),"")</f>
        <v/>
      </c>
      <c r="S48" t="str">
        <f ca="1">IF(OFFSET(貼り付け2!$A$1,ROW()-1,MATCH(S$1,貼り付け2!$1:$1,0)-1)&lt;&gt;"",
IF($C48=TRUE,
IF((OFFSET(貼り付け2!$A$1,ROW()-1,MATCH(S$1,貼り付け2!$1:$1,0)-1)-OFFSET(貼り付け2!$A$1,ROW()-1,MATCH(N$1,貼り付け2!$1:$1,0)-1))=2,
OFFSET(貼り付け2!$A$1,$A48-4,OFFSET(貼り付け2!$A$1,ROW()-1,MATCH(S$1,貼り付け2!$1:$1,0)-1)-2)
&amp;OFFSET(貼り付け2!$A$1,$A48-4,OFFSET(貼り付け2!$A$1,ROW()-1,MATCH(S$1,貼り付け2!$1:$1,0)-1)-1),
IF((OFFSET(貼り付け2!$A$1,ROW()-1,MATCH(S$1,貼り付け2!$1:$1,0)-1)-OFFSET(貼り付け2!$A$1,ROW()-1,MATCH(N$1,貼り付け2!$1:$1,0)-1))=3,
OFFSET(貼り付け2!$A$1,$A48-4,OFFSET(貼り付け2!$A$1,ROW()-1,MATCH(S$1,貼り付け2!$1:$1,0)-1)-3)
&amp;OFFSET(貼り付け2!$A$1,$A48-4,OFFSET(貼り付け2!$A$1,ROW()-1,MATCH(S$1,貼り付け2!$1:$1,0)-1)-2)
&amp;OFFSET(貼り付け2!$A$1,$A48-4,OFFSET(貼り付け2!$A$1,ROW()-1,MATCH(S$1,貼り付け2!$1:$1,0)-1)-1),"")),
IF((OFFSET(貼り付け2!$A$1,ROW()-1,MATCH(S$1,貼り付け2!$1:$1,0)-1)-OFFSET(貼り付け2!$A$1,ROW()-1,MATCH(N$1,貼り付け2!$1:$1,0)-1))=2,
OFFSET(貼り付け2!$A$1,$A48-2,OFFSET(貼り付け2!$A$1,ROW()-1,MATCH(S$1,貼り付け2!$1:$1,0)-1)-2)
&amp;OFFSET(貼り付け2!$A$1,$A48-2,OFFSET(貼り付け2!$A$1,ROW()-1,MATCH(S$1,貼り付け2!$1:$1,0)-1)-1),
IF((OFFSET(貼り付け2!$A$1,ROW()-1,MATCH(S$1,貼り付け2!$1:$1,0)-1)-OFFSET(貼り付け2!$A$1,ROW()-1,MATCH(N$1,貼り付け2!$1:$1,0)-1))=3,
OFFSET(貼り付け2!$A$1,$A48-2,OFFSET(貼り付け2!$A$1,ROW()-1,MATCH(S$1,貼り付け2!$1:$1,0)-1)-3)
&amp;OFFSET(貼り付け2!$A$1,$A48-2,OFFSET(貼り付け2!$A$1,ROW()-1,MATCH(S$1,貼り付け2!$1:$1,0)-1)-2)
&amp;OFFSET(貼り付け2!$A$1,$A48-2,OFFSET(貼り付け2!$A$1,ROW()-1,MATCH(S$1,貼り付け2!$1:$1,0)-1)-1),""))),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OFFSET(貼り付け2!$A$1,$A48-3,OFFSET(貼り付け2!$A$1,ROW()-1,MATCH(S$1,貼り付け2!$1:$1,0)+1)-2)
&amp;OFFSET(貼り付け2!$A$1,$A48-3,OFFSET(貼り付け2!$A$1,ROW()-1,MATCH(S$1,貼り付け2!$1:$1,0)+1)-1),
IF(OFFSET(貼り付け2!$A$1,ROW()-1,MATCH(S$1,貼り付け2!$1:$1,0)+1)-OFFSET(貼り付け2!$A$1,ROW()-1,MATCH(N$1,貼り付け2!$1:$1,0)+1)=3,
OFFSET(貼り付け2!$A$1,$A48-3,OFFSET(貼り付け2!$A$1,ROW()-1,MATCH(S$1,貼り付け2!$1:$1,0)+1)-3)
&amp;OFFSET(貼り付け2!$A$1,$A48-3,OFFSET(貼り付け2!$A$1,ROW()-1,MATCH(S$1,貼り付け2!$1:$1,0)+1)-2)
&amp;OFFSET(貼り付け2!$A$1,$A48-3,OFFSET(貼り付け2!$A$1,ROW()-1,MATCH(S$1,貼り付け2!$1:$1,0)+1)-1),"")),
IF(OFFSET(貼り付け2!$A$1,ROW()-1,MATCH(S$1,貼り付け2!$1:$1,0)+1)=2,
OFFSET(貼り付け2!$A$1,$A48-3,OFFSET(貼り付け2!$A$1,ROW()-1,MATCH(S$1,貼り付け2!$1:$1,0)+1)-2)
&amp;OFFSET(貼り付け2!$A$1,$A48-3,OFFSET(貼り付け2!$A$1,ROW()-1,MATCH(S$1,貼り付け2!$1:$1,0)+1)-1),
IF(OFFSET(貼り付け2!$A$1,ROW()-1,MATCH(S$1,貼り付け2!$1:$1,0)+1)=3,
OFFSET(貼り付け2!$A$1,$A48-3,OFFSET(貼り付け2!$A$1,ROW()-1,MATCH(S$1,貼り付け2!$1:$1,0)+1)-3)
&amp;OFFSET(貼り付け2!$A$1,$A48-3,OFFSET(貼り付け2!$A$1,ROW()-1,MATCH(S$1,貼り付け2!$1:$1,0)+1)-2)
&amp;OFFSET(貼り付け2!$A$1,$A48-3,OFFSET(貼り付け2!$A$1,ROW()-1,MATCH(S$1,貼り付け2!$1:$1,0)+1)-1),""))))</f>
        <v/>
      </c>
      <c r="T48" t="str">
        <f ca="1">IFERROR(OFFSET(貼り付け2!$A$1,$A48-1,OFFSET(貼り付け2!$A$1,ROW()-1,MATCH(T$1,貼り付け2!$1:$1,0)-1)-1),"")</f>
        <v/>
      </c>
      <c r="U48" t="e">
        <f ca="1">OFFSET(貼り付け1!$A$1,貼り付け1!$G47-1,3)</f>
        <v>#REF!</v>
      </c>
      <c r="V48" t="e">
        <f ca="1">OFFSET(貼り付け1!$A$1,貼り付け1!$F47-1,3)</f>
        <v>#REF!</v>
      </c>
      <c r="W48" t="str">
        <f ca="1">IFERROR(OFFSET(貼り付け2!$A$1,まとめ!$B48-1,OFFSET(貼り付け2!$A$1,ROW()-1,MATCH(W$1,貼り付け2!$1:$1,0)-1)-1),"")</f>
        <v/>
      </c>
    </row>
    <row r="49" spans="1:23" x14ac:dyDescent="0.45">
      <c r="A49" t="str">
        <f>貼り付け2!S49</f>
        <v/>
      </c>
      <c r="B49" t="str">
        <f>貼り付け2!R49</f>
        <v/>
      </c>
      <c r="C49" t="e">
        <f t="shared" ca="1" si="2"/>
        <v>#VALUE!</v>
      </c>
      <c r="D49" t="e">
        <f ca="1">IF($C49=TRUE,
IF(OFFSET(貼り付け2!$A$1,ROW()-1,MATCH(D$1,貼り付け2!$1:$1,0)-1)=2,
OFFSET(貼り付け2!$A$1,$A49-4,OFFSET(貼り付け2!$A$1,ROW()-1,MATCH(D$1,貼り付け2!$1:$1,0)-1)-2)
&amp;OFFSET(貼り付け2!$A$1,$A49-4,OFFSET(貼り付け2!$A$1,ROW()-1,MATCH(D$1,貼り付け2!$1:$1,0)-1)-1),
IF(OFFSET(貼り付け2!$A$1,ROW()-1,MATCH(D$1,貼り付け2!$1:$1,0)-1)=3,
OFFSET(貼り付け2!$A$1,$A49-4,OFFSET(貼り付け2!$A$1,ROW()-1,MATCH(D$1,貼り付け2!$1:$1,0)-1)-3)
&amp;OFFSET(貼り付け2!$A$1,$A49-4,OFFSET(貼り付け2!$A$1,ROW()-1,MATCH(D$1,貼り付け2!$1:$1,0)-1)-2)
&amp;OFFSET(貼り付け2!$A$1,$A49-4,OFFSET(貼り付け2!$A$1,ROW()-1,MATCH(D$1,貼り付け2!$1:$1,0)-1)-1),"")),
IF(OFFSET(貼り付け2!$A$1,ROW()-1,MATCH(D$1,貼り付け2!$1:$1,0)-1)=2,
OFFSET(貼り付け2!$A$1,$A49-2,OFFSET(貼り付け2!$A$1,ROW()-1,MATCH(D$1,貼り付け2!$1:$1,0)-1)-2)
&amp;OFFSET(貼り付け2!$A$1,$A49-2,OFFSET(貼り付け2!$A$1,ROW()-1,MATCH(D$1,貼り付け2!$1:$1,0)-1)-1),
IF(OFFSET(貼り付け2!$A$1,ROW()-1,MATCH(D$1,貼り付け2!$1:$1,0)-1)=3,
OFFSET(貼り付け2!$A$1,$A49-2,OFFSET(貼り付け2!$A$1,ROW()-1,MATCH(D$1,貼り付け2!$1:$1,0)-1)-3)
&amp;OFFSET(貼り付け2!$A$1,$A49-2,OFFSET(貼り付け2!$A$1,ROW()-1,MATCH(D$1,貼り付け2!$1:$1,0)-1)-2)
&amp;OFFSET(貼り付け2!$A$1,$A49-2,OFFSET(貼り付け2!$A$1,ROW()-1,MATCH(D$1,貼り付け2!$1:$1,0)-1)-1),"")))</f>
        <v>#VALUE!</v>
      </c>
      <c r="E49" t="str">
        <f ca="1">IFERROR(OFFSET(貼り付け2!$A$1,$A49-1,OFFSET(貼り付け2!$A$1,ROW()-1,MATCH(E$1,貼り付け2!$1:$1,0)-1)-1),"")</f>
        <v/>
      </c>
      <c r="F49" t="e">
        <f ca="1">OFFSET(貼り付け1!$A$1,貼り付け1!$G48-1,0)</f>
        <v>#REF!</v>
      </c>
      <c r="G49" t="e">
        <f ca="1">OFFSET(貼り付け1!$A$1,貼り付け1!$F48-1,0)</f>
        <v>#REF!</v>
      </c>
      <c r="H49" t="str">
        <f ca="1">IFERROR(OFFSET(貼り付け2!$A$1,まとめ!$B49-1,OFFSET(貼り付け2!$A$1,ROW()-1,MATCH(H$1,貼り付け2!$1:$1,0)-1)-1),"")</f>
        <v/>
      </c>
      <c r="I49" t="e">
        <f ca="1">IF($C49=TRUE,
IF((OFFSET(貼り付け2!$A$1,ROW()-1,MATCH(I$1,貼り付け2!$1:$1,0)-1)-OFFSET(貼り付け2!$A$1,ROW()-1,MATCH(D$1,貼り付け2!$1:$1,0)-1))=2,
OFFSET(貼り付け2!$A$1,$A49-4,OFFSET(貼り付け2!$A$1,ROW()-1,MATCH(I$1,貼り付け2!$1:$1,0)-1)-2)
&amp;OFFSET(貼り付け2!$A$1,$A49-4,OFFSET(貼り付け2!$A$1,ROW()-1,MATCH(I$1,貼り付け2!$1:$1,0)-1)-1),
IF((OFFSET(貼り付け2!$A$1,ROW()-1,MATCH(I$1,貼り付け2!$1:$1,0)-1)-OFFSET(貼り付け2!$A$1,ROW()-1,MATCH(D$1,貼り付け2!$1:$1,0)-1))=3,
OFFSET(貼り付け2!$A$1,$A49-4,OFFSET(貼り付け2!$A$1,ROW()-1,MATCH(I$1,貼り付け2!$1:$1,0)-1)-3)
&amp;OFFSET(貼り付け2!$A$1,$A49-4,OFFSET(貼り付け2!$A$1,ROW()-1,MATCH(I$1,貼り付け2!$1:$1,0)-1)-2)
&amp;OFFSET(貼り付け2!$A$1,$A49-4,OFFSET(貼り付け2!$A$1,ROW()-1,MATCH(I$1,貼り付け2!$1:$1,0)-1)-1),"")),
IF((OFFSET(貼り付け2!$A$1,ROW()-1,MATCH(I$1,貼り付け2!$1:$1,0)-1)-OFFSET(貼り付け2!$A$1,ROW()-1,MATCH(D$1,貼り付け2!$1:$1,0)-1))=2,
OFFSET(貼り付け2!$A$1,$A49-2,OFFSET(貼り付け2!$A$1,ROW()-1,MATCH(I$1,貼り付け2!$1:$1,0)-1)-2)
&amp;OFFSET(貼り付け2!$A$1,$A49-2,OFFSET(貼り付け2!$A$1,ROW()-1,MATCH(I$1,貼り付け2!$1:$1,0)-1)-1),
IF((OFFSET(貼り付け2!$A$1,ROW()-1,MATCH(I$1,貼り付け2!$1:$1,0)-1)-OFFSET(貼り付け2!$A$1,ROW()-1,MATCH(D$1,貼り付け2!$1:$1,0)-1))=3,
OFFSET(貼り付け2!$A$1,$A49-2,OFFSET(貼り付け2!$A$1,ROW()-1,MATCH(I$1,貼り付け2!$1:$1,0)-1)-3)
&amp;OFFSET(貼り付け2!$A$1,$A49-2,OFFSET(貼り付け2!$A$1,ROW()-1,MATCH(I$1,貼り付け2!$1:$1,0)-1)-2)
&amp;OFFSET(貼り付け2!$A$1,$A49-2,OFFSET(貼り付け2!$A$1,ROW()-1,MATCH(I$1,貼り付け2!$1:$1,0)-1)-1),"")))</f>
        <v>#VALUE!</v>
      </c>
      <c r="J49" t="str">
        <f ca="1">IFERROR(OFFSET(貼り付け2!$A$1,$A49-1,OFFSET(貼り付け2!$A$1,ROW()-1,MATCH(J$1,貼り付け2!$1:$1,0)-1)-1),"")</f>
        <v/>
      </c>
      <c r="K49" t="e">
        <f ca="1">OFFSET(貼り付け1!$A$1,貼り付け1!$G48-1,1)</f>
        <v>#REF!</v>
      </c>
      <c r="L49" t="e">
        <f ca="1">OFFSET(貼り付け1!$A$1,貼り付け1!$F48-1,1)</f>
        <v>#REF!</v>
      </c>
      <c r="M49" t="str">
        <f ca="1">IFERROR(OFFSET(貼り付け2!$A$1,まとめ!$B49-1,OFFSET(貼り付け2!$A$1,ROW()-1,MATCH(M$1,貼り付け2!$1:$1,0)-1)-1),"")</f>
        <v/>
      </c>
      <c r="N49" t="str">
        <f ca="1">IF(OFFSET(貼り付け2!$A$1,ROW()-1,MATCH(N$1,貼り付け2!$1:$1,0)-1)&lt;&gt;"",
IF($C49=TRUE,
IF((OFFSET(貼り付け2!$A$1,ROW()-1,MATCH(N$1,貼り付け2!$1:$1,0)-1)-OFFSET(貼り付け2!$A$1,ROW()-1,MATCH(I$1,貼り付け2!$1:$1,0)-1))=2,
OFFSET(貼り付け2!$A$1,$A49-4,OFFSET(貼り付け2!$A$1,ROW()-1,MATCH(N$1,貼り付け2!$1:$1,0)-1)-2)
&amp;OFFSET(貼り付け2!$A$1,$A49-4,OFFSET(貼り付け2!$A$1,ROW()-1,MATCH(N$1,貼り付け2!$1:$1,0)-1)-1),
IF((OFFSET(貼り付け2!$A$1,ROW()-1,MATCH(N$1,貼り付け2!$1:$1,0)-1)-OFFSET(貼り付け2!$A$1,ROW()-1,MATCH(I$1,貼り付け2!$1:$1,0)-1))=3,
OFFSET(貼り付け2!$A$1,$A49-4,OFFSET(貼り付け2!$A$1,ROW()-1,MATCH(N$1,貼り付け2!$1:$1,0)-1)-3)
&amp;OFFSET(貼り付け2!$A$1,$A49-4,OFFSET(貼り付け2!$A$1,ROW()-1,MATCH(N$1,貼り付け2!$1:$1,0)-1)-2)
&amp;OFFSET(貼り付け2!$A$1,$A49-4,OFFSET(貼り付け2!$A$1,ROW()-1,MATCH(N$1,貼り付け2!$1:$1,0)-1)-1),"")),
IF((OFFSET(貼り付け2!$A$1,ROW()-1,MATCH(N$1,貼り付け2!$1:$1,0)-1)-OFFSET(貼り付け2!$A$1,ROW()-1,MATCH(I$1,貼り付け2!$1:$1,0)-1))=2,
OFFSET(貼り付け2!$A$1,$A49-2,OFFSET(貼り付け2!$A$1,ROW()-1,MATCH(N$1,貼り付け2!$1:$1,0)-1)-2)
&amp;OFFSET(貼り付け2!$A$1,$A49-2,OFFSET(貼り付け2!$A$1,ROW()-1,MATCH(N$1,貼り付け2!$1:$1,0)-1)-1),
IF((OFFSET(貼り付け2!$A$1,ROW()-1,MATCH(N$1,貼り付け2!$1:$1,0)-1)-OFFSET(貼り付け2!$A$1,ROW()-1,MATCH(I$1,貼り付け2!$1:$1,0)-1))=3,
OFFSET(貼り付け2!$A$1,$A49-2,OFFSET(貼り付け2!$A$1,ROW()-1,MATCH(N$1,貼り付け2!$1:$1,0)-1)-3)
&amp;OFFSET(貼り付け2!$A$1,$A49-2,OFFSET(貼り付け2!$A$1,ROW()-1,MATCH(N$1,貼り付け2!$1:$1,0)-1)-2)
&amp;OFFSET(貼り付け2!$A$1,$A49-2,OFFSET(貼り付け2!$A$1,ROW()-1,MATCH(N$1,貼り付け2!$1:$1,0)-1)-1),""))),
IF(OFFSET(貼り付け2!$A$1,ROW()-1,MATCH(N$1,貼り付け2!$1:$1,0)+1)=2,
OFFSET(貼り付け2!$A$1,$A49-3,OFFSET(貼り付け2!$A$1,ROW()-1,MATCH(N$1,貼り付け2!$1:$1,0)+1)-2)
&amp;OFFSET(貼り付け2!$A$1,$A49-3,OFFSET(貼り付け2!$A$1,ROW()-1,MATCH(N$1,貼り付け2!$1:$1,0)+1)-1),
IF(OFFSET(貼り付け2!$A$1,ROW()-1,MATCH(N$1,貼り付け2!$1:$1,0)+1)=3,
OFFSET(貼り付け2!$A$1,$A49-3,OFFSET(貼り付け2!$A$1,ROW()-1,MATCH(N$1,貼り付け2!$1:$1,0)+1)-3)
&amp;OFFSET(貼り付け2!$A$1,$A49-3,OFFSET(貼り付け2!$A$1,ROW()-1,MATCH(N$1,貼り付け2!$1:$1,0)+1)-2)
&amp;OFFSET(貼り付け2!$A$1,$A49-3,OFFSET(貼り付け2!$A$1,ROW()-1,MATCH(N$1,貼り付け2!$1:$1,0)+1)-1),"")))</f>
        <v/>
      </c>
      <c r="O49" t="str">
        <f ca="1">IFERROR(OFFSET(貼り付け2!$A$1,$A49-1,OFFSET(貼り付け2!$A$1,ROW()-1,MATCH(O$1,貼り付け2!$1:$1,0)-1)-1),"")</f>
        <v/>
      </c>
      <c r="P49" t="e">
        <f ca="1">OFFSET(貼り付け1!$A$1,貼り付け1!$G48-1,2)</f>
        <v>#REF!</v>
      </c>
      <c r="Q49" t="e">
        <f ca="1">OFFSET(貼り付け1!$A$1,貼り付け1!$F48-1,2)</f>
        <v>#REF!</v>
      </c>
      <c r="R49" t="str">
        <f ca="1">IFERROR(OFFSET(貼り付け2!$A$1,まとめ!$B49-1,OFFSET(貼り付け2!$A$1,ROW()-1,MATCH(R$1,貼り付け2!$1:$1,0)-1)-1),"")</f>
        <v/>
      </c>
      <c r="S49" t="str">
        <f ca="1">IF(OFFSET(貼り付け2!$A$1,ROW()-1,MATCH(S$1,貼り付け2!$1:$1,0)-1)&lt;&gt;"",
IF($C49=TRUE,
IF((OFFSET(貼り付け2!$A$1,ROW()-1,MATCH(S$1,貼り付け2!$1:$1,0)-1)-OFFSET(貼り付け2!$A$1,ROW()-1,MATCH(N$1,貼り付け2!$1:$1,0)-1))=2,
OFFSET(貼り付け2!$A$1,$A49-4,OFFSET(貼り付け2!$A$1,ROW()-1,MATCH(S$1,貼り付け2!$1:$1,0)-1)-2)
&amp;OFFSET(貼り付け2!$A$1,$A49-4,OFFSET(貼り付け2!$A$1,ROW()-1,MATCH(S$1,貼り付け2!$1:$1,0)-1)-1),
IF((OFFSET(貼り付け2!$A$1,ROW()-1,MATCH(S$1,貼り付け2!$1:$1,0)-1)-OFFSET(貼り付け2!$A$1,ROW()-1,MATCH(N$1,貼り付け2!$1:$1,0)-1))=3,
OFFSET(貼り付け2!$A$1,$A49-4,OFFSET(貼り付け2!$A$1,ROW()-1,MATCH(S$1,貼り付け2!$1:$1,0)-1)-3)
&amp;OFFSET(貼り付け2!$A$1,$A49-4,OFFSET(貼り付け2!$A$1,ROW()-1,MATCH(S$1,貼り付け2!$1:$1,0)-1)-2)
&amp;OFFSET(貼り付け2!$A$1,$A49-4,OFFSET(貼り付け2!$A$1,ROW()-1,MATCH(S$1,貼り付け2!$1:$1,0)-1)-1),"")),
IF((OFFSET(貼り付け2!$A$1,ROW()-1,MATCH(S$1,貼り付け2!$1:$1,0)-1)-OFFSET(貼り付け2!$A$1,ROW()-1,MATCH(N$1,貼り付け2!$1:$1,0)-1))=2,
OFFSET(貼り付け2!$A$1,$A49-2,OFFSET(貼り付け2!$A$1,ROW()-1,MATCH(S$1,貼り付け2!$1:$1,0)-1)-2)
&amp;OFFSET(貼り付け2!$A$1,$A49-2,OFFSET(貼り付け2!$A$1,ROW()-1,MATCH(S$1,貼り付け2!$1:$1,0)-1)-1),
IF((OFFSET(貼り付け2!$A$1,ROW()-1,MATCH(S$1,貼り付け2!$1:$1,0)-1)-OFFSET(貼り付け2!$A$1,ROW()-1,MATCH(N$1,貼り付け2!$1:$1,0)-1))=3,
OFFSET(貼り付け2!$A$1,$A49-2,OFFSET(貼り付け2!$A$1,ROW()-1,MATCH(S$1,貼り付け2!$1:$1,0)-1)-3)
&amp;OFFSET(貼り付け2!$A$1,$A49-2,OFFSET(貼り付け2!$A$1,ROW()-1,MATCH(S$1,貼り付け2!$1:$1,0)-1)-2)
&amp;OFFSET(貼り付け2!$A$1,$A49-2,OFFSET(貼り付け2!$A$1,ROW()-1,MATCH(S$1,貼り付け2!$1:$1,0)-1)-1),""))),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OFFSET(貼り付け2!$A$1,$A49-3,OFFSET(貼り付け2!$A$1,ROW()-1,MATCH(S$1,貼り付け2!$1:$1,0)+1)-2)
&amp;OFFSET(貼り付け2!$A$1,$A49-3,OFFSET(貼り付け2!$A$1,ROW()-1,MATCH(S$1,貼り付け2!$1:$1,0)+1)-1),
IF(OFFSET(貼り付け2!$A$1,ROW()-1,MATCH(S$1,貼り付け2!$1:$1,0)+1)-OFFSET(貼り付け2!$A$1,ROW()-1,MATCH(N$1,貼り付け2!$1:$1,0)+1)=3,
OFFSET(貼り付け2!$A$1,$A49-3,OFFSET(貼り付け2!$A$1,ROW()-1,MATCH(S$1,貼り付け2!$1:$1,0)+1)-3)
&amp;OFFSET(貼り付け2!$A$1,$A49-3,OFFSET(貼り付け2!$A$1,ROW()-1,MATCH(S$1,貼り付け2!$1:$1,0)+1)-2)
&amp;OFFSET(貼り付け2!$A$1,$A49-3,OFFSET(貼り付け2!$A$1,ROW()-1,MATCH(S$1,貼り付け2!$1:$1,0)+1)-1),"")),
IF(OFFSET(貼り付け2!$A$1,ROW()-1,MATCH(S$1,貼り付け2!$1:$1,0)+1)=2,
OFFSET(貼り付け2!$A$1,$A49-3,OFFSET(貼り付け2!$A$1,ROW()-1,MATCH(S$1,貼り付け2!$1:$1,0)+1)-2)
&amp;OFFSET(貼り付け2!$A$1,$A49-3,OFFSET(貼り付け2!$A$1,ROW()-1,MATCH(S$1,貼り付け2!$1:$1,0)+1)-1),
IF(OFFSET(貼り付け2!$A$1,ROW()-1,MATCH(S$1,貼り付け2!$1:$1,0)+1)=3,
OFFSET(貼り付け2!$A$1,$A49-3,OFFSET(貼り付け2!$A$1,ROW()-1,MATCH(S$1,貼り付け2!$1:$1,0)+1)-3)
&amp;OFFSET(貼り付け2!$A$1,$A49-3,OFFSET(貼り付け2!$A$1,ROW()-1,MATCH(S$1,貼り付け2!$1:$1,0)+1)-2)
&amp;OFFSET(貼り付け2!$A$1,$A49-3,OFFSET(貼り付け2!$A$1,ROW()-1,MATCH(S$1,貼り付け2!$1:$1,0)+1)-1),""))))</f>
        <v/>
      </c>
      <c r="T49" t="str">
        <f ca="1">IFERROR(OFFSET(貼り付け2!$A$1,$A49-1,OFFSET(貼り付け2!$A$1,ROW()-1,MATCH(T$1,貼り付け2!$1:$1,0)-1)-1),"")</f>
        <v/>
      </c>
      <c r="U49" t="e">
        <f ca="1">OFFSET(貼り付け1!$A$1,貼り付け1!$G48-1,3)</f>
        <v>#REF!</v>
      </c>
      <c r="V49" t="e">
        <f ca="1">OFFSET(貼り付け1!$A$1,貼り付け1!$F48-1,3)</f>
        <v>#REF!</v>
      </c>
      <c r="W49" t="str">
        <f ca="1">IFERROR(OFFSET(貼り付け2!$A$1,まとめ!$B49-1,OFFSET(貼り付け2!$A$1,ROW()-1,MATCH(W$1,貼り付け2!$1:$1,0)-1)-1),"")</f>
        <v/>
      </c>
    </row>
    <row r="50" spans="1:23" x14ac:dyDescent="0.45">
      <c r="A50" t="str">
        <f>貼り付け2!S50</f>
        <v/>
      </c>
      <c r="B50" t="str">
        <f>貼り付け2!R50</f>
        <v/>
      </c>
      <c r="C50" t="e">
        <f t="shared" ca="1" si="2"/>
        <v>#VALUE!</v>
      </c>
      <c r="D50" t="e">
        <f ca="1">IF($C50=TRUE,
IF(OFFSET(貼り付け2!$A$1,ROW()-1,MATCH(D$1,貼り付け2!$1:$1,0)-1)=2,
OFFSET(貼り付け2!$A$1,$A50-4,OFFSET(貼り付け2!$A$1,ROW()-1,MATCH(D$1,貼り付け2!$1:$1,0)-1)-2)
&amp;OFFSET(貼り付け2!$A$1,$A50-4,OFFSET(貼り付け2!$A$1,ROW()-1,MATCH(D$1,貼り付け2!$1:$1,0)-1)-1),
IF(OFFSET(貼り付け2!$A$1,ROW()-1,MATCH(D$1,貼り付け2!$1:$1,0)-1)=3,
OFFSET(貼り付け2!$A$1,$A50-4,OFFSET(貼り付け2!$A$1,ROW()-1,MATCH(D$1,貼り付け2!$1:$1,0)-1)-3)
&amp;OFFSET(貼り付け2!$A$1,$A50-4,OFFSET(貼り付け2!$A$1,ROW()-1,MATCH(D$1,貼り付け2!$1:$1,0)-1)-2)
&amp;OFFSET(貼り付け2!$A$1,$A50-4,OFFSET(貼り付け2!$A$1,ROW()-1,MATCH(D$1,貼り付け2!$1:$1,0)-1)-1),"")),
IF(OFFSET(貼り付け2!$A$1,ROW()-1,MATCH(D$1,貼り付け2!$1:$1,0)-1)=2,
OFFSET(貼り付け2!$A$1,$A50-2,OFFSET(貼り付け2!$A$1,ROW()-1,MATCH(D$1,貼り付け2!$1:$1,0)-1)-2)
&amp;OFFSET(貼り付け2!$A$1,$A50-2,OFFSET(貼り付け2!$A$1,ROW()-1,MATCH(D$1,貼り付け2!$1:$1,0)-1)-1),
IF(OFFSET(貼り付け2!$A$1,ROW()-1,MATCH(D$1,貼り付け2!$1:$1,0)-1)=3,
OFFSET(貼り付け2!$A$1,$A50-2,OFFSET(貼り付け2!$A$1,ROW()-1,MATCH(D$1,貼り付け2!$1:$1,0)-1)-3)
&amp;OFFSET(貼り付け2!$A$1,$A50-2,OFFSET(貼り付け2!$A$1,ROW()-1,MATCH(D$1,貼り付け2!$1:$1,0)-1)-2)
&amp;OFFSET(貼り付け2!$A$1,$A50-2,OFFSET(貼り付け2!$A$1,ROW()-1,MATCH(D$1,貼り付け2!$1:$1,0)-1)-1),"")))</f>
        <v>#VALUE!</v>
      </c>
      <c r="E50" t="str">
        <f ca="1">IFERROR(OFFSET(貼り付け2!$A$1,$A50-1,OFFSET(貼り付け2!$A$1,ROW()-1,MATCH(E$1,貼り付け2!$1:$1,0)-1)-1),"")</f>
        <v/>
      </c>
      <c r="F50" t="e">
        <f ca="1">OFFSET(貼り付け1!$A$1,貼り付け1!$G49-1,0)</f>
        <v>#REF!</v>
      </c>
      <c r="G50" t="e">
        <f ca="1">OFFSET(貼り付け1!$A$1,貼り付け1!$F49-1,0)</f>
        <v>#REF!</v>
      </c>
      <c r="H50" t="str">
        <f ca="1">IFERROR(OFFSET(貼り付け2!$A$1,まとめ!$B50-1,OFFSET(貼り付け2!$A$1,ROW()-1,MATCH(H$1,貼り付け2!$1:$1,0)-1)-1),"")</f>
        <v/>
      </c>
      <c r="I50" t="e">
        <f ca="1">IF($C50=TRUE,
IF((OFFSET(貼り付け2!$A$1,ROW()-1,MATCH(I$1,貼り付け2!$1:$1,0)-1)-OFFSET(貼り付け2!$A$1,ROW()-1,MATCH(D$1,貼り付け2!$1:$1,0)-1))=2,
OFFSET(貼り付け2!$A$1,$A50-4,OFFSET(貼り付け2!$A$1,ROW()-1,MATCH(I$1,貼り付け2!$1:$1,0)-1)-2)
&amp;OFFSET(貼り付け2!$A$1,$A50-4,OFFSET(貼り付け2!$A$1,ROW()-1,MATCH(I$1,貼り付け2!$1:$1,0)-1)-1),
IF((OFFSET(貼り付け2!$A$1,ROW()-1,MATCH(I$1,貼り付け2!$1:$1,0)-1)-OFFSET(貼り付け2!$A$1,ROW()-1,MATCH(D$1,貼り付け2!$1:$1,0)-1))=3,
OFFSET(貼り付け2!$A$1,$A50-4,OFFSET(貼り付け2!$A$1,ROW()-1,MATCH(I$1,貼り付け2!$1:$1,0)-1)-3)
&amp;OFFSET(貼り付け2!$A$1,$A50-4,OFFSET(貼り付け2!$A$1,ROW()-1,MATCH(I$1,貼り付け2!$1:$1,0)-1)-2)
&amp;OFFSET(貼り付け2!$A$1,$A50-4,OFFSET(貼り付け2!$A$1,ROW()-1,MATCH(I$1,貼り付け2!$1:$1,0)-1)-1),"")),
IF((OFFSET(貼り付け2!$A$1,ROW()-1,MATCH(I$1,貼り付け2!$1:$1,0)-1)-OFFSET(貼り付け2!$A$1,ROW()-1,MATCH(D$1,貼り付け2!$1:$1,0)-1))=2,
OFFSET(貼り付け2!$A$1,$A50-2,OFFSET(貼り付け2!$A$1,ROW()-1,MATCH(I$1,貼り付け2!$1:$1,0)-1)-2)
&amp;OFFSET(貼り付け2!$A$1,$A50-2,OFFSET(貼り付け2!$A$1,ROW()-1,MATCH(I$1,貼り付け2!$1:$1,0)-1)-1),
IF((OFFSET(貼り付け2!$A$1,ROW()-1,MATCH(I$1,貼り付け2!$1:$1,0)-1)-OFFSET(貼り付け2!$A$1,ROW()-1,MATCH(D$1,貼り付け2!$1:$1,0)-1))=3,
OFFSET(貼り付け2!$A$1,$A50-2,OFFSET(貼り付け2!$A$1,ROW()-1,MATCH(I$1,貼り付け2!$1:$1,0)-1)-3)
&amp;OFFSET(貼り付け2!$A$1,$A50-2,OFFSET(貼り付け2!$A$1,ROW()-1,MATCH(I$1,貼り付け2!$1:$1,0)-1)-2)
&amp;OFFSET(貼り付け2!$A$1,$A50-2,OFFSET(貼り付け2!$A$1,ROW()-1,MATCH(I$1,貼り付け2!$1:$1,0)-1)-1),"")))</f>
        <v>#VALUE!</v>
      </c>
      <c r="J50" t="str">
        <f ca="1">IFERROR(OFFSET(貼り付け2!$A$1,$A50-1,OFFSET(貼り付け2!$A$1,ROW()-1,MATCH(J$1,貼り付け2!$1:$1,0)-1)-1),"")</f>
        <v/>
      </c>
      <c r="K50" t="e">
        <f ca="1">OFFSET(貼り付け1!$A$1,貼り付け1!$G49-1,1)</f>
        <v>#REF!</v>
      </c>
      <c r="L50" t="e">
        <f ca="1">OFFSET(貼り付け1!$A$1,貼り付け1!$F49-1,1)</f>
        <v>#REF!</v>
      </c>
      <c r="M50" t="str">
        <f ca="1">IFERROR(OFFSET(貼り付け2!$A$1,まとめ!$B50-1,OFFSET(貼り付け2!$A$1,ROW()-1,MATCH(M$1,貼り付け2!$1:$1,0)-1)-1),"")</f>
        <v/>
      </c>
      <c r="N50" t="str">
        <f ca="1">IF(OFFSET(貼り付け2!$A$1,ROW()-1,MATCH(N$1,貼り付け2!$1:$1,0)-1)&lt;&gt;"",
IF($C50=TRUE,
IF((OFFSET(貼り付け2!$A$1,ROW()-1,MATCH(N$1,貼り付け2!$1:$1,0)-1)-OFFSET(貼り付け2!$A$1,ROW()-1,MATCH(I$1,貼り付け2!$1:$1,0)-1))=2,
OFFSET(貼り付け2!$A$1,$A50-4,OFFSET(貼り付け2!$A$1,ROW()-1,MATCH(N$1,貼り付け2!$1:$1,0)-1)-2)
&amp;OFFSET(貼り付け2!$A$1,$A50-4,OFFSET(貼り付け2!$A$1,ROW()-1,MATCH(N$1,貼り付け2!$1:$1,0)-1)-1),
IF((OFFSET(貼り付け2!$A$1,ROW()-1,MATCH(N$1,貼り付け2!$1:$1,0)-1)-OFFSET(貼り付け2!$A$1,ROW()-1,MATCH(I$1,貼り付け2!$1:$1,0)-1))=3,
OFFSET(貼り付け2!$A$1,$A50-4,OFFSET(貼り付け2!$A$1,ROW()-1,MATCH(N$1,貼り付け2!$1:$1,0)-1)-3)
&amp;OFFSET(貼り付け2!$A$1,$A50-4,OFFSET(貼り付け2!$A$1,ROW()-1,MATCH(N$1,貼り付け2!$1:$1,0)-1)-2)
&amp;OFFSET(貼り付け2!$A$1,$A50-4,OFFSET(貼り付け2!$A$1,ROW()-1,MATCH(N$1,貼り付け2!$1:$1,0)-1)-1),"")),
IF((OFFSET(貼り付け2!$A$1,ROW()-1,MATCH(N$1,貼り付け2!$1:$1,0)-1)-OFFSET(貼り付け2!$A$1,ROW()-1,MATCH(I$1,貼り付け2!$1:$1,0)-1))=2,
OFFSET(貼り付け2!$A$1,$A50-2,OFFSET(貼り付け2!$A$1,ROW()-1,MATCH(N$1,貼り付け2!$1:$1,0)-1)-2)
&amp;OFFSET(貼り付け2!$A$1,$A50-2,OFFSET(貼り付け2!$A$1,ROW()-1,MATCH(N$1,貼り付け2!$1:$1,0)-1)-1),
IF((OFFSET(貼り付け2!$A$1,ROW()-1,MATCH(N$1,貼り付け2!$1:$1,0)-1)-OFFSET(貼り付け2!$A$1,ROW()-1,MATCH(I$1,貼り付け2!$1:$1,0)-1))=3,
OFFSET(貼り付け2!$A$1,$A50-2,OFFSET(貼り付け2!$A$1,ROW()-1,MATCH(N$1,貼り付け2!$1:$1,0)-1)-3)
&amp;OFFSET(貼り付け2!$A$1,$A50-2,OFFSET(貼り付け2!$A$1,ROW()-1,MATCH(N$1,貼り付け2!$1:$1,0)-1)-2)
&amp;OFFSET(貼り付け2!$A$1,$A50-2,OFFSET(貼り付け2!$A$1,ROW()-1,MATCH(N$1,貼り付け2!$1:$1,0)-1)-1),""))),
IF(OFFSET(貼り付け2!$A$1,ROW()-1,MATCH(N$1,貼り付け2!$1:$1,0)+1)=2,
OFFSET(貼り付け2!$A$1,$A50-3,OFFSET(貼り付け2!$A$1,ROW()-1,MATCH(N$1,貼り付け2!$1:$1,0)+1)-2)
&amp;OFFSET(貼り付け2!$A$1,$A50-3,OFFSET(貼り付け2!$A$1,ROW()-1,MATCH(N$1,貼り付け2!$1:$1,0)+1)-1),
IF(OFFSET(貼り付け2!$A$1,ROW()-1,MATCH(N$1,貼り付け2!$1:$1,0)+1)=3,
OFFSET(貼り付け2!$A$1,$A50-3,OFFSET(貼り付け2!$A$1,ROW()-1,MATCH(N$1,貼り付け2!$1:$1,0)+1)-3)
&amp;OFFSET(貼り付け2!$A$1,$A50-3,OFFSET(貼り付け2!$A$1,ROW()-1,MATCH(N$1,貼り付け2!$1:$1,0)+1)-2)
&amp;OFFSET(貼り付け2!$A$1,$A50-3,OFFSET(貼り付け2!$A$1,ROW()-1,MATCH(N$1,貼り付け2!$1:$1,0)+1)-1),"")))</f>
        <v/>
      </c>
      <c r="O50" t="str">
        <f ca="1">IFERROR(OFFSET(貼り付け2!$A$1,$A50-1,OFFSET(貼り付け2!$A$1,ROW()-1,MATCH(O$1,貼り付け2!$1:$1,0)-1)-1),"")</f>
        <v/>
      </c>
      <c r="P50" t="e">
        <f ca="1">OFFSET(貼り付け1!$A$1,貼り付け1!$G49-1,2)</f>
        <v>#REF!</v>
      </c>
      <c r="Q50" t="e">
        <f ca="1">OFFSET(貼り付け1!$A$1,貼り付け1!$F49-1,2)</f>
        <v>#REF!</v>
      </c>
      <c r="R50" t="str">
        <f ca="1">IFERROR(OFFSET(貼り付け2!$A$1,まとめ!$B50-1,OFFSET(貼り付け2!$A$1,ROW()-1,MATCH(R$1,貼り付け2!$1:$1,0)-1)-1),"")</f>
        <v/>
      </c>
      <c r="S50" t="str">
        <f ca="1">IF(OFFSET(貼り付け2!$A$1,ROW()-1,MATCH(S$1,貼り付け2!$1:$1,0)-1)&lt;&gt;"",
IF($C50=TRUE,
IF((OFFSET(貼り付け2!$A$1,ROW()-1,MATCH(S$1,貼り付け2!$1:$1,0)-1)-OFFSET(貼り付け2!$A$1,ROW()-1,MATCH(N$1,貼り付け2!$1:$1,0)-1))=2,
OFFSET(貼り付け2!$A$1,$A50-4,OFFSET(貼り付け2!$A$1,ROW()-1,MATCH(S$1,貼り付け2!$1:$1,0)-1)-2)
&amp;OFFSET(貼り付け2!$A$1,$A50-4,OFFSET(貼り付け2!$A$1,ROW()-1,MATCH(S$1,貼り付け2!$1:$1,0)-1)-1),
IF((OFFSET(貼り付け2!$A$1,ROW()-1,MATCH(S$1,貼り付け2!$1:$1,0)-1)-OFFSET(貼り付け2!$A$1,ROW()-1,MATCH(N$1,貼り付け2!$1:$1,0)-1))=3,
OFFSET(貼り付け2!$A$1,$A50-4,OFFSET(貼り付け2!$A$1,ROW()-1,MATCH(S$1,貼り付け2!$1:$1,0)-1)-3)
&amp;OFFSET(貼り付け2!$A$1,$A50-4,OFFSET(貼り付け2!$A$1,ROW()-1,MATCH(S$1,貼り付け2!$1:$1,0)-1)-2)
&amp;OFFSET(貼り付け2!$A$1,$A50-4,OFFSET(貼り付け2!$A$1,ROW()-1,MATCH(S$1,貼り付け2!$1:$1,0)-1)-1),"")),
IF((OFFSET(貼り付け2!$A$1,ROW()-1,MATCH(S$1,貼り付け2!$1:$1,0)-1)-OFFSET(貼り付け2!$A$1,ROW()-1,MATCH(N$1,貼り付け2!$1:$1,0)-1))=2,
OFFSET(貼り付け2!$A$1,$A50-2,OFFSET(貼り付け2!$A$1,ROW()-1,MATCH(S$1,貼り付け2!$1:$1,0)-1)-2)
&amp;OFFSET(貼り付け2!$A$1,$A50-2,OFFSET(貼り付け2!$A$1,ROW()-1,MATCH(S$1,貼り付け2!$1:$1,0)-1)-1),
IF((OFFSET(貼り付け2!$A$1,ROW()-1,MATCH(S$1,貼り付け2!$1:$1,0)-1)-OFFSET(貼り付け2!$A$1,ROW()-1,MATCH(N$1,貼り付け2!$1:$1,0)-1))=3,
OFFSET(貼り付け2!$A$1,$A50-2,OFFSET(貼り付け2!$A$1,ROW()-1,MATCH(S$1,貼り付け2!$1:$1,0)-1)-3)
&amp;OFFSET(貼り付け2!$A$1,$A50-2,OFFSET(貼り付け2!$A$1,ROW()-1,MATCH(S$1,貼り付け2!$1:$1,0)-1)-2)
&amp;OFFSET(貼り付け2!$A$1,$A50-2,OFFSET(貼り付け2!$A$1,ROW()-1,MATCH(S$1,貼り付け2!$1:$1,0)-1)-1),""))),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OFFSET(貼り付け2!$A$1,$A50-3,OFFSET(貼り付け2!$A$1,ROW()-1,MATCH(S$1,貼り付け2!$1:$1,0)+1)-2)
&amp;OFFSET(貼り付け2!$A$1,$A50-3,OFFSET(貼り付け2!$A$1,ROW()-1,MATCH(S$1,貼り付け2!$1:$1,0)+1)-1),
IF(OFFSET(貼り付け2!$A$1,ROW()-1,MATCH(S$1,貼り付け2!$1:$1,0)+1)-OFFSET(貼り付け2!$A$1,ROW()-1,MATCH(N$1,貼り付け2!$1:$1,0)+1)=3,
OFFSET(貼り付け2!$A$1,$A50-3,OFFSET(貼り付け2!$A$1,ROW()-1,MATCH(S$1,貼り付け2!$1:$1,0)+1)-3)
&amp;OFFSET(貼り付け2!$A$1,$A50-3,OFFSET(貼り付け2!$A$1,ROW()-1,MATCH(S$1,貼り付け2!$1:$1,0)+1)-2)
&amp;OFFSET(貼り付け2!$A$1,$A50-3,OFFSET(貼り付け2!$A$1,ROW()-1,MATCH(S$1,貼り付け2!$1:$1,0)+1)-1),"")),
IF(OFFSET(貼り付け2!$A$1,ROW()-1,MATCH(S$1,貼り付け2!$1:$1,0)+1)=2,
OFFSET(貼り付け2!$A$1,$A50-3,OFFSET(貼り付け2!$A$1,ROW()-1,MATCH(S$1,貼り付け2!$1:$1,0)+1)-2)
&amp;OFFSET(貼り付け2!$A$1,$A50-3,OFFSET(貼り付け2!$A$1,ROW()-1,MATCH(S$1,貼り付け2!$1:$1,0)+1)-1),
IF(OFFSET(貼り付け2!$A$1,ROW()-1,MATCH(S$1,貼り付け2!$1:$1,0)+1)=3,
OFFSET(貼り付け2!$A$1,$A50-3,OFFSET(貼り付け2!$A$1,ROW()-1,MATCH(S$1,貼り付け2!$1:$1,0)+1)-3)
&amp;OFFSET(貼り付け2!$A$1,$A50-3,OFFSET(貼り付け2!$A$1,ROW()-1,MATCH(S$1,貼り付け2!$1:$1,0)+1)-2)
&amp;OFFSET(貼り付け2!$A$1,$A50-3,OFFSET(貼り付け2!$A$1,ROW()-1,MATCH(S$1,貼り付け2!$1:$1,0)+1)-1),""))))</f>
        <v/>
      </c>
      <c r="T50" t="str">
        <f ca="1">IFERROR(OFFSET(貼り付け2!$A$1,$A50-1,OFFSET(貼り付け2!$A$1,ROW()-1,MATCH(T$1,貼り付け2!$1:$1,0)-1)-1),"")</f>
        <v/>
      </c>
      <c r="U50" t="e">
        <f ca="1">OFFSET(貼り付け1!$A$1,貼り付け1!$G49-1,3)</f>
        <v>#REF!</v>
      </c>
      <c r="V50" t="e">
        <f ca="1">OFFSET(貼り付け1!$A$1,貼り付け1!$F49-1,3)</f>
        <v>#REF!</v>
      </c>
      <c r="W50" t="str">
        <f ca="1">IFERROR(OFFSET(貼り付け2!$A$1,まとめ!$B50-1,OFFSET(貼り付け2!$A$1,ROW()-1,MATCH(W$1,貼り付け2!$1:$1,0)-1)-1),"")</f>
        <v/>
      </c>
    </row>
    <row r="51" spans="1:23" x14ac:dyDescent="0.45">
      <c r="A51" t="str">
        <f>貼り付け2!S51</f>
        <v/>
      </c>
      <c r="B51" t="str">
        <f>貼り付け2!R51</f>
        <v/>
      </c>
      <c r="C51" t="e">
        <f t="shared" ca="1" si="2"/>
        <v>#VALUE!</v>
      </c>
      <c r="D51" t="e">
        <f ca="1">IF($C51=TRUE,
IF(OFFSET(貼り付け2!$A$1,ROW()-1,MATCH(D$1,貼り付け2!$1:$1,0)-1)=2,
OFFSET(貼り付け2!$A$1,$A51-4,OFFSET(貼り付け2!$A$1,ROW()-1,MATCH(D$1,貼り付け2!$1:$1,0)-1)-2)
&amp;OFFSET(貼り付け2!$A$1,$A51-4,OFFSET(貼り付け2!$A$1,ROW()-1,MATCH(D$1,貼り付け2!$1:$1,0)-1)-1),
IF(OFFSET(貼り付け2!$A$1,ROW()-1,MATCH(D$1,貼り付け2!$1:$1,0)-1)=3,
OFFSET(貼り付け2!$A$1,$A51-4,OFFSET(貼り付け2!$A$1,ROW()-1,MATCH(D$1,貼り付け2!$1:$1,0)-1)-3)
&amp;OFFSET(貼り付け2!$A$1,$A51-4,OFFSET(貼り付け2!$A$1,ROW()-1,MATCH(D$1,貼り付け2!$1:$1,0)-1)-2)
&amp;OFFSET(貼り付け2!$A$1,$A51-4,OFFSET(貼り付け2!$A$1,ROW()-1,MATCH(D$1,貼り付け2!$1:$1,0)-1)-1),"")),
IF(OFFSET(貼り付け2!$A$1,ROW()-1,MATCH(D$1,貼り付け2!$1:$1,0)-1)=2,
OFFSET(貼り付け2!$A$1,$A51-2,OFFSET(貼り付け2!$A$1,ROW()-1,MATCH(D$1,貼り付け2!$1:$1,0)-1)-2)
&amp;OFFSET(貼り付け2!$A$1,$A51-2,OFFSET(貼り付け2!$A$1,ROW()-1,MATCH(D$1,貼り付け2!$1:$1,0)-1)-1),
IF(OFFSET(貼り付け2!$A$1,ROW()-1,MATCH(D$1,貼り付け2!$1:$1,0)-1)=3,
OFFSET(貼り付け2!$A$1,$A51-2,OFFSET(貼り付け2!$A$1,ROW()-1,MATCH(D$1,貼り付け2!$1:$1,0)-1)-3)
&amp;OFFSET(貼り付け2!$A$1,$A51-2,OFFSET(貼り付け2!$A$1,ROW()-1,MATCH(D$1,貼り付け2!$1:$1,0)-1)-2)
&amp;OFFSET(貼り付け2!$A$1,$A51-2,OFFSET(貼り付け2!$A$1,ROW()-1,MATCH(D$1,貼り付け2!$1:$1,0)-1)-1),"")))</f>
        <v>#VALUE!</v>
      </c>
      <c r="E51" t="str">
        <f ca="1">IFERROR(OFFSET(貼り付け2!$A$1,$A51-1,OFFSET(貼り付け2!$A$1,ROW()-1,MATCH(E$1,貼り付け2!$1:$1,0)-1)-1),"")</f>
        <v/>
      </c>
      <c r="F51" t="e">
        <f ca="1">OFFSET(貼り付け1!$A$1,貼り付け1!$G50-1,0)</f>
        <v>#REF!</v>
      </c>
      <c r="G51" t="e">
        <f ca="1">OFFSET(貼り付け1!$A$1,貼り付け1!$F50-1,0)</f>
        <v>#REF!</v>
      </c>
      <c r="H51" t="str">
        <f ca="1">IFERROR(OFFSET(貼り付け2!$A$1,まとめ!$B51-1,OFFSET(貼り付け2!$A$1,ROW()-1,MATCH(H$1,貼り付け2!$1:$1,0)-1)-1),"")</f>
        <v/>
      </c>
      <c r="I51" t="e">
        <f ca="1">IF($C51=TRUE,
IF((OFFSET(貼り付け2!$A$1,ROW()-1,MATCH(I$1,貼り付け2!$1:$1,0)-1)-OFFSET(貼り付け2!$A$1,ROW()-1,MATCH(D$1,貼り付け2!$1:$1,0)-1))=2,
OFFSET(貼り付け2!$A$1,$A51-4,OFFSET(貼り付け2!$A$1,ROW()-1,MATCH(I$1,貼り付け2!$1:$1,0)-1)-2)
&amp;OFFSET(貼り付け2!$A$1,$A51-4,OFFSET(貼り付け2!$A$1,ROW()-1,MATCH(I$1,貼り付け2!$1:$1,0)-1)-1),
IF((OFFSET(貼り付け2!$A$1,ROW()-1,MATCH(I$1,貼り付け2!$1:$1,0)-1)-OFFSET(貼り付け2!$A$1,ROW()-1,MATCH(D$1,貼り付け2!$1:$1,0)-1))=3,
OFFSET(貼り付け2!$A$1,$A51-4,OFFSET(貼り付け2!$A$1,ROW()-1,MATCH(I$1,貼り付け2!$1:$1,0)-1)-3)
&amp;OFFSET(貼り付け2!$A$1,$A51-4,OFFSET(貼り付け2!$A$1,ROW()-1,MATCH(I$1,貼り付け2!$1:$1,0)-1)-2)
&amp;OFFSET(貼り付け2!$A$1,$A51-4,OFFSET(貼り付け2!$A$1,ROW()-1,MATCH(I$1,貼り付け2!$1:$1,0)-1)-1),"")),
IF((OFFSET(貼り付け2!$A$1,ROW()-1,MATCH(I$1,貼り付け2!$1:$1,0)-1)-OFFSET(貼り付け2!$A$1,ROW()-1,MATCH(D$1,貼り付け2!$1:$1,0)-1))=2,
OFFSET(貼り付け2!$A$1,$A51-2,OFFSET(貼り付け2!$A$1,ROW()-1,MATCH(I$1,貼り付け2!$1:$1,0)-1)-2)
&amp;OFFSET(貼り付け2!$A$1,$A51-2,OFFSET(貼り付け2!$A$1,ROW()-1,MATCH(I$1,貼り付け2!$1:$1,0)-1)-1),
IF((OFFSET(貼り付け2!$A$1,ROW()-1,MATCH(I$1,貼り付け2!$1:$1,0)-1)-OFFSET(貼り付け2!$A$1,ROW()-1,MATCH(D$1,貼り付け2!$1:$1,0)-1))=3,
OFFSET(貼り付け2!$A$1,$A51-2,OFFSET(貼り付け2!$A$1,ROW()-1,MATCH(I$1,貼り付け2!$1:$1,0)-1)-3)
&amp;OFFSET(貼り付け2!$A$1,$A51-2,OFFSET(貼り付け2!$A$1,ROW()-1,MATCH(I$1,貼り付け2!$1:$1,0)-1)-2)
&amp;OFFSET(貼り付け2!$A$1,$A51-2,OFFSET(貼り付け2!$A$1,ROW()-1,MATCH(I$1,貼り付け2!$1:$1,0)-1)-1),"")))</f>
        <v>#VALUE!</v>
      </c>
      <c r="J51" t="str">
        <f ca="1">IFERROR(OFFSET(貼り付け2!$A$1,$A51-1,OFFSET(貼り付け2!$A$1,ROW()-1,MATCH(J$1,貼り付け2!$1:$1,0)-1)-1),"")</f>
        <v/>
      </c>
      <c r="K51" t="e">
        <f ca="1">OFFSET(貼り付け1!$A$1,貼り付け1!$G50-1,1)</f>
        <v>#REF!</v>
      </c>
      <c r="L51" t="e">
        <f ca="1">OFFSET(貼り付け1!$A$1,貼り付け1!$F50-1,1)</f>
        <v>#REF!</v>
      </c>
      <c r="M51" t="str">
        <f ca="1">IFERROR(OFFSET(貼り付け2!$A$1,まとめ!$B51-1,OFFSET(貼り付け2!$A$1,ROW()-1,MATCH(M$1,貼り付け2!$1:$1,0)-1)-1),"")</f>
        <v/>
      </c>
      <c r="N51" t="str">
        <f ca="1">IF(OFFSET(貼り付け2!$A$1,ROW()-1,MATCH(N$1,貼り付け2!$1:$1,0)-1)&lt;&gt;"",
IF($C51=TRUE,
IF((OFFSET(貼り付け2!$A$1,ROW()-1,MATCH(N$1,貼り付け2!$1:$1,0)-1)-OFFSET(貼り付け2!$A$1,ROW()-1,MATCH(I$1,貼り付け2!$1:$1,0)-1))=2,
OFFSET(貼り付け2!$A$1,$A51-4,OFFSET(貼り付け2!$A$1,ROW()-1,MATCH(N$1,貼り付け2!$1:$1,0)-1)-2)
&amp;OFFSET(貼り付け2!$A$1,$A51-4,OFFSET(貼り付け2!$A$1,ROW()-1,MATCH(N$1,貼り付け2!$1:$1,0)-1)-1),
IF((OFFSET(貼り付け2!$A$1,ROW()-1,MATCH(N$1,貼り付け2!$1:$1,0)-1)-OFFSET(貼り付け2!$A$1,ROW()-1,MATCH(I$1,貼り付け2!$1:$1,0)-1))=3,
OFFSET(貼り付け2!$A$1,$A51-4,OFFSET(貼り付け2!$A$1,ROW()-1,MATCH(N$1,貼り付け2!$1:$1,0)-1)-3)
&amp;OFFSET(貼り付け2!$A$1,$A51-4,OFFSET(貼り付け2!$A$1,ROW()-1,MATCH(N$1,貼り付け2!$1:$1,0)-1)-2)
&amp;OFFSET(貼り付け2!$A$1,$A51-4,OFFSET(貼り付け2!$A$1,ROW()-1,MATCH(N$1,貼り付け2!$1:$1,0)-1)-1),"")),
IF((OFFSET(貼り付け2!$A$1,ROW()-1,MATCH(N$1,貼り付け2!$1:$1,0)-1)-OFFSET(貼り付け2!$A$1,ROW()-1,MATCH(I$1,貼り付け2!$1:$1,0)-1))=2,
OFFSET(貼り付け2!$A$1,$A51-2,OFFSET(貼り付け2!$A$1,ROW()-1,MATCH(N$1,貼り付け2!$1:$1,0)-1)-2)
&amp;OFFSET(貼り付け2!$A$1,$A51-2,OFFSET(貼り付け2!$A$1,ROW()-1,MATCH(N$1,貼り付け2!$1:$1,0)-1)-1),
IF((OFFSET(貼り付け2!$A$1,ROW()-1,MATCH(N$1,貼り付け2!$1:$1,0)-1)-OFFSET(貼り付け2!$A$1,ROW()-1,MATCH(I$1,貼り付け2!$1:$1,0)-1))=3,
OFFSET(貼り付け2!$A$1,$A51-2,OFFSET(貼り付け2!$A$1,ROW()-1,MATCH(N$1,貼り付け2!$1:$1,0)-1)-3)
&amp;OFFSET(貼り付け2!$A$1,$A51-2,OFFSET(貼り付け2!$A$1,ROW()-1,MATCH(N$1,貼り付け2!$1:$1,0)-1)-2)
&amp;OFFSET(貼り付け2!$A$1,$A51-2,OFFSET(貼り付け2!$A$1,ROW()-1,MATCH(N$1,貼り付け2!$1:$1,0)-1)-1),""))),
IF(OFFSET(貼り付け2!$A$1,ROW()-1,MATCH(N$1,貼り付け2!$1:$1,0)+1)=2,
OFFSET(貼り付け2!$A$1,$A51-3,OFFSET(貼り付け2!$A$1,ROW()-1,MATCH(N$1,貼り付け2!$1:$1,0)+1)-2)
&amp;OFFSET(貼り付け2!$A$1,$A51-3,OFFSET(貼り付け2!$A$1,ROW()-1,MATCH(N$1,貼り付け2!$1:$1,0)+1)-1),
IF(OFFSET(貼り付け2!$A$1,ROW()-1,MATCH(N$1,貼り付け2!$1:$1,0)+1)=3,
OFFSET(貼り付け2!$A$1,$A51-3,OFFSET(貼り付け2!$A$1,ROW()-1,MATCH(N$1,貼り付け2!$1:$1,0)+1)-3)
&amp;OFFSET(貼り付け2!$A$1,$A51-3,OFFSET(貼り付け2!$A$1,ROW()-1,MATCH(N$1,貼り付け2!$1:$1,0)+1)-2)
&amp;OFFSET(貼り付け2!$A$1,$A51-3,OFFSET(貼り付け2!$A$1,ROW()-1,MATCH(N$1,貼り付け2!$1:$1,0)+1)-1),"")))</f>
        <v/>
      </c>
      <c r="O51" t="str">
        <f ca="1">IFERROR(OFFSET(貼り付け2!$A$1,$A51-1,OFFSET(貼り付け2!$A$1,ROW()-1,MATCH(O$1,貼り付け2!$1:$1,0)-1)-1),"")</f>
        <v/>
      </c>
      <c r="P51" t="e">
        <f ca="1">OFFSET(貼り付け1!$A$1,貼り付け1!$G50-1,2)</f>
        <v>#REF!</v>
      </c>
      <c r="Q51" t="e">
        <f ca="1">OFFSET(貼り付け1!$A$1,貼り付け1!$F50-1,2)</f>
        <v>#REF!</v>
      </c>
      <c r="R51" t="str">
        <f ca="1">IFERROR(OFFSET(貼り付け2!$A$1,まとめ!$B51-1,OFFSET(貼り付け2!$A$1,ROW()-1,MATCH(R$1,貼り付け2!$1:$1,0)-1)-1),"")</f>
        <v/>
      </c>
      <c r="S51" t="str">
        <f ca="1">IF(OFFSET(貼り付け2!$A$1,ROW()-1,MATCH(S$1,貼り付け2!$1:$1,0)-1)&lt;&gt;"",
IF($C51=TRUE,
IF((OFFSET(貼り付け2!$A$1,ROW()-1,MATCH(S$1,貼り付け2!$1:$1,0)-1)-OFFSET(貼り付け2!$A$1,ROW()-1,MATCH(N$1,貼り付け2!$1:$1,0)-1))=2,
OFFSET(貼り付け2!$A$1,$A51-4,OFFSET(貼り付け2!$A$1,ROW()-1,MATCH(S$1,貼り付け2!$1:$1,0)-1)-2)
&amp;OFFSET(貼り付け2!$A$1,$A51-4,OFFSET(貼り付け2!$A$1,ROW()-1,MATCH(S$1,貼り付け2!$1:$1,0)-1)-1),
IF((OFFSET(貼り付け2!$A$1,ROW()-1,MATCH(S$1,貼り付け2!$1:$1,0)-1)-OFFSET(貼り付け2!$A$1,ROW()-1,MATCH(N$1,貼り付け2!$1:$1,0)-1))=3,
OFFSET(貼り付け2!$A$1,$A51-4,OFFSET(貼り付け2!$A$1,ROW()-1,MATCH(S$1,貼り付け2!$1:$1,0)-1)-3)
&amp;OFFSET(貼り付け2!$A$1,$A51-4,OFFSET(貼り付け2!$A$1,ROW()-1,MATCH(S$1,貼り付け2!$1:$1,0)-1)-2)
&amp;OFFSET(貼り付け2!$A$1,$A51-4,OFFSET(貼り付け2!$A$1,ROW()-1,MATCH(S$1,貼り付け2!$1:$1,0)-1)-1),"")),
IF((OFFSET(貼り付け2!$A$1,ROW()-1,MATCH(S$1,貼り付け2!$1:$1,0)-1)-OFFSET(貼り付け2!$A$1,ROW()-1,MATCH(N$1,貼り付け2!$1:$1,0)-1))=2,
OFFSET(貼り付け2!$A$1,$A51-2,OFFSET(貼り付け2!$A$1,ROW()-1,MATCH(S$1,貼り付け2!$1:$1,0)-1)-2)
&amp;OFFSET(貼り付け2!$A$1,$A51-2,OFFSET(貼り付け2!$A$1,ROW()-1,MATCH(S$1,貼り付け2!$1:$1,0)-1)-1),
IF((OFFSET(貼り付け2!$A$1,ROW()-1,MATCH(S$1,貼り付け2!$1:$1,0)-1)-OFFSET(貼り付け2!$A$1,ROW()-1,MATCH(N$1,貼り付け2!$1:$1,0)-1))=3,
OFFSET(貼り付け2!$A$1,$A51-2,OFFSET(貼り付け2!$A$1,ROW()-1,MATCH(S$1,貼り付け2!$1:$1,0)-1)-3)
&amp;OFFSET(貼り付け2!$A$1,$A51-2,OFFSET(貼り付け2!$A$1,ROW()-1,MATCH(S$1,貼り付け2!$1:$1,0)-1)-2)
&amp;OFFSET(貼り付け2!$A$1,$A51-2,OFFSET(貼り付け2!$A$1,ROW()-1,MATCH(S$1,貼り付け2!$1:$1,0)-1)-1),""))),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OFFSET(貼り付け2!$A$1,$A51-3,OFFSET(貼り付け2!$A$1,ROW()-1,MATCH(S$1,貼り付け2!$1:$1,0)+1)-2)
&amp;OFFSET(貼り付け2!$A$1,$A51-3,OFFSET(貼り付け2!$A$1,ROW()-1,MATCH(S$1,貼り付け2!$1:$1,0)+1)-1),
IF(OFFSET(貼り付け2!$A$1,ROW()-1,MATCH(S$1,貼り付け2!$1:$1,0)+1)-OFFSET(貼り付け2!$A$1,ROW()-1,MATCH(N$1,貼り付け2!$1:$1,0)+1)=3,
OFFSET(貼り付け2!$A$1,$A51-3,OFFSET(貼り付け2!$A$1,ROW()-1,MATCH(S$1,貼り付け2!$1:$1,0)+1)-3)
&amp;OFFSET(貼り付け2!$A$1,$A51-3,OFFSET(貼り付け2!$A$1,ROW()-1,MATCH(S$1,貼り付け2!$1:$1,0)+1)-2)
&amp;OFFSET(貼り付け2!$A$1,$A51-3,OFFSET(貼り付け2!$A$1,ROW()-1,MATCH(S$1,貼り付け2!$1:$1,0)+1)-1),"")),
IF(OFFSET(貼り付け2!$A$1,ROW()-1,MATCH(S$1,貼り付け2!$1:$1,0)+1)=2,
OFFSET(貼り付け2!$A$1,$A51-3,OFFSET(貼り付け2!$A$1,ROW()-1,MATCH(S$1,貼り付け2!$1:$1,0)+1)-2)
&amp;OFFSET(貼り付け2!$A$1,$A51-3,OFFSET(貼り付け2!$A$1,ROW()-1,MATCH(S$1,貼り付け2!$1:$1,0)+1)-1),
IF(OFFSET(貼り付け2!$A$1,ROW()-1,MATCH(S$1,貼り付け2!$1:$1,0)+1)=3,
OFFSET(貼り付け2!$A$1,$A51-3,OFFSET(貼り付け2!$A$1,ROW()-1,MATCH(S$1,貼り付け2!$1:$1,0)+1)-3)
&amp;OFFSET(貼り付け2!$A$1,$A51-3,OFFSET(貼り付け2!$A$1,ROW()-1,MATCH(S$1,貼り付け2!$1:$1,0)+1)-2)
&amp;OFFSET(貼り付け2!$A$1,$A51-3,OFFSET(貼り付け2!$A$1,ROW()-1,MATCH(S$1,貼り付け2!$1:$1,0)+1)-1),""))))</f>
        <v/>
      </c>
      <c r="T51" t="str">
        <f ca="1">IFERROR(OFFSET(貼り付け2!$A$1,$A51-1,OFFSET(貼り付け2!$A$1,ROW()-1,MATCH(T$1,貼り付け2!$1:$1,0)-1)-1),"")</f>
        <v/>
      </c>
      <c r="U51" t="e">
        <f ca="1">OFFSET(貼り付け1!$A$1,貼り付け1!$G50-1,3)</f>
        <v>#REF!</v>
      </c>
      <c r="V51" t="e">
        <f ca="1">OFFSET(貼り付け1!$A$1,貼り付け1!$F50-1,3)</f>
        <v>#REF!</v>
      </c>
      <c r="W51" t="str">
        <f ca="1">IFERROR(OFFSET(貼り付け2!$A$1,まとめ!$B51-1,OFFSET(貼り付け2!$A$1,ROW()-1,MATCH(W$1,貼り付け2!$1:$1,0)-1)-1),"")</f>
        <v/>
      </c>
    </row>
    <row r="52" spans="1:23" x14ac:dyDescent="0.45">
      <c r="A52" t="str">
        <f>貼り付け2!S52</f>
        <v/>
      </c>
      <c r="B52" t="str">
        <f>貼り付け2!R52</f>
        <v/>
      </c>
      <c r="C52" t="e">
        <f t="shared" ca="1" si="2"/>
        <v>#VALUE!</v>
      </c>
      <c r="D52" t="e">
        <f ca="1">IF($C52=TRUE,
IF(OFFSET(貼り付け2!$A$1,ROW()-1,MATCH(D$1,貼り付け2!$1:$1,0)-1)=2,
OFFSET(貼り付け2!$A$1,$A52-4,OFFSET(貼り付け2!$A$1,ROW()-1,MATCH(D$1,貼り付け2!$1:$1,0)-1)-2)
&amp;OFFSET(貼り付け2!$A$1,$A52-4,OFFSET(貼り付け2!$A$1,ROW()-1,MATCH(D$1,貼り付け2!$1:$1,0)-1)-1),
IF(OFFSET(貼り付け2!$A$1,ROW()-1,MATCH(D$1,貼り付け2!$1:$1,0)-1)=3,
OFFSET(貼り付け2!$A$1,$A52-4,OFFSET(貼り付け2!$A$1,ROW()-1,MATCH(D$1,貼り付け2!$1:$1,0)-1)-3)
&amp;OFFSET(貼り付け2!$A$1,$A52-4,OFFSET(貼り付け2!$A$1,ROW()-1,MATCH(D$1,貼り付け2!$1:$1,0)-1)-2)
&amp;OFFSET(貼り付け2!$A$1,$A52-4,OFFSET(貼り付け2!$A$1,ROW()-1,MATCH(D$1,貼り付け2!$1:$1,0)-1)-1),"")),
IF(OFFSET(貼り付け2!$A$1,ROW()-1,MATCH(D$1,貼り付け2!$1:$1,0)-1)=2,
OFFSET(貼り付け2!$A$1,$A52-2,OFFSET(貼り付け2!$A$1,ROW()-1,MATCH(D$1,貼り付け2!$1:$1,0)-1)-2)
&amp;OFFSET(貼り付け2!$A$1,$A52-2,OFFSET(貼り付け2!$A$1,ROW()-1,MATCH(D$1,貼り付け2!$1:$1,0)-1)-1),
IF(OFFSET(貼り付け2!$A$1,ROW()-1,MATCH(D$1,貼り付け2!$1:$1,0)-1)=3,
OFFSET(貼り付け2!$A$1,$A52-2,OFFSET(貼り付け2!$A$1,ROW()-1,MATCH(D$1,貼り付け2!$1:$1,0)-1)-3)
&amp;OFFSET(貼り付け2!$A$1,$A52-2,OFFSET(貼り付け2!$A$1,ROW()-1,MATCH(D$1,貼り付け2!$1:$1,0)-1)-2)
&amp;OFFSET(貼り付け2!$A$1,$A52-2,OFFSET(貼り付け2!$A$1,ROW()-1,MATCH(D$1,貼り付け2!$1:$1,0)-1)-1),"")))</f>
        <v>#VALUE!</v>
      </c>
      <c r="E52" t="str">
        <f ca="1">IFERROR(OFFSET(貼り付け2!$A$1,$A52-1,OFFSET(貼り付け2!$A$1,ROW()-1,MATCH(E$1,貼り付け2!$1:$1,0)-1)-1),"")</f>
        <v/>
      </c>
      <c r="F52" t="e">
        <f ca="1">OFFSET(貼り付け1!$A$1,貼り付け1!$G51-1,0)</f>
        <v>#REF!</v>
      </c>
      <c r="G52" t="e">
        <f ca="1">OFFSET(貼り付け1!$A$1,貼り付け1!$F51-1,0)</f>
        <v>#REF!</v>
      </c>
      <c r="H52" t="str">
        <f ca="1">IFERROR(OFFSET(貼り付け2!$A$1,まとめ!$B52-1,OFFSET(貼り付け2!$A$1,ROW()-1,MATCH(H$1,貼り付け2!$1:$1,0)-1)-1),"")</f>
        <v/>
      </c>
      <c r="I52" t="e">
        <f ca="1">IF($C52=TRUE,
IF((OFFSET(貼り付け2!$A$1,ROW()-1,MATCH(I$1,貼り付け2!$1:$1,0)-1)-OFFSET(貼り付け2!$A$1,ROW()-1,MATCH(D$1,貼り付け2!$1:$1,0)-1))=2,
OFFSET(貼り付け2!$A$1,$A52-4,OFFSET(貼り付け2!$A$1,ROW()-1,MATCH(I$1,貼り付け2!$1:$1,0)-1)-2)
&amp;OFFSET(貼り付け2!$A$1,$A52-4,OFFSET(貼り付け2!$A$1,ROW()-1,MATCH(I$1,貼り付け2!$1:$1,0)-1)-1),
IF((OFFSET(貼り付け2!$A$1,ROW()-1,MATCH(I$1,貼り付け2!$1:$1,0)-1)-OFFSET(貼り付け2!$A$1,ROW()-1,MATCH(D$1,貼り付け2!$1:$1,0)-1))=3,
OFFSET(貼り付け2!$A$1,$A52-4,OFFSET(貼り付け2!$A$1,ROW()-1,MATCH(I$1,貼り付け2!$1:$1,0)-1)-3)
&amp;OFFSET(貼り付け2!$A$1,$A52-4,OFFSET(貼り付け2!$A$1,ROW()-1,MATCH(I$1,貼り付け2!$1:$1,0)-1)-2)
&amp;OFFSET(貼り付け2!$A$1,$A52-4,OFFSET(貼り付け2!$A$1,ROW()-1,MATCH(I$1,貼り付け2!$1:$1,0)-1)-1),"")),
IF((OFFSET(貼り付け2!$A$1,ROW()-1,MATCH(I$1,貼り付け2!$1:$1,0)-1)-OFFSET(貼り付け2!$A$1,ROW()-1,MATCH(D$1,貼り付け2!$1:$1,0)-1))=2,
OFFSET(貼り付け2!$A$1,$A52-2,OFFSET(貼り付け2!$A$1,ROW()-1,MATCH(I$1,貼り付け2!$1:$1,0)-1)-2)
&amp;OFFSET(貼り付け2!$A$1,$A52-2,OFFSET(貼り付け2!$A$1,ROW()-1,MATCH(I$1,貼り付け2!$1:$1,0)-1)-1),
IF((OFFSET(貼り付け2!$A$1,ROW()-1,MATCH(I$1,貼り付け2!$1:$1,0)-1)-OFFSET(貼り付け2!$A$1,ROW()-1,MATCH(D$1,貼り付け2!$1:$1,0)-1))=3,
OFFSET(貼り付け2!$A$1,$A52-2,OFFSET(貼り付け2!$A$1,ROW()-1,MATCH(I$1,貼り付け2!$1:$1,0)-1)-3)
&amp;OFFSET(貼り付け2!$A$1,$A52-2,OFFSET(貼り付け2!$A$1,ROW()-1,MATCH(I$1,貼り付け2!$1:$1,0)-1)-2)
&amp;OFFSET(貼り付け2!$A$1,$A52-2,OFFSET(貼り付け2!$A$1,ROW()-1,MATCH(I$1,貼り付け2!$1:$1,0)-1)-1),"")))</f>
        <v>#VALUE!</v>
      </c>
      <c r="J52" t="str">
        <f ca="1">IFERROR(OFFSET(貼り付け2!$A$1,$A52-1,OFFSET(貼り付け2!$A$1,ROW()-1,MATCH(J$1,貼り付け2!$1:$1,0)-1)-1),"")</f>
        <v/>
      </c>
      <c r="K52" t="e">
        <f ca="1">OFFSET(貼り付け1!$A$1,貼り付け1!$G51-1,1)</f>
        <v>#REF!</v>
      </c>
      <c r="L52" t="e">
        <f ca="1">OFFSET(貼り付け1!$A$1,貼り付け1!$F51-1,1)</f>
        <v>#REF!</v>
      </c>
      <c r="M52" t="str">
        <f ca="1">IFERROR(OFFSET(貼り付け2!$A$1,まとめ!$B52-1,OFFSET(貼り付け2!$A$1,ROW()-1,MATCH(M$1,貼り付け2!$1:$1,0)-1)-1),"")</f>
        <v/>
      </c>
      <c r="N52" t="str">
        <f ca="1">IF(OFFSET(貼り付け2!$A$1,ROW()-1,MATCH(N$1,貼り付け2!$1:$1,0)-1)&lt;&gt;"",
IF($C52=TRUE,
IF((OFFSET(貼り付け2!$A$1,ROW()-1,MATCH(N$1,貼り付け2!$1:$1,0)-1)-OFFSET(貼り付け2!$A$1,ROW()-1,MATCH(I$1,貼り付け2!$1:$1,0)-1))=2,
OFFSET(貼り付け2!$A$1,$A52-4,OFFSET(貼り付け2!$A$1,ROW()-1,MATCH(N$1,貼り付け2!$1:$1,0)-1)-2)
&amp;OFFSET(貼り付け2!$A$1,$A52-4,OFFSET(貼り付け2!$A$1,ROW()-1,MATCH(N$1,貼り付け2!$1:$1,0)-1)-1),
IF((OFFSET(貼り付け2!$A$1,ROW()-1,MATCH(N$1,貼り付け2!$1:$1,0)-1)-OFFSET(貼り付け2!$A$1,ROW()-1,MATCH(I$1,貼り付け2!$1:$1,0)-1))=3,
OFFSET(貼り付け2!$A$1,$A52-4,OFFSET(貼り付け2!$A$1,ROW()-1,MATCH(N$1,貼り付け2!$1:$1,0)-1)-3)
&amp;OFFSET(貼り付け2!$A$1,$A52-4,OFFSET(貼り付け2!$A$1,ROW()-1,MATCH(N$1,貼り付け2!$1:$1,0)-1)-2)
&amp;OFFSET(貼り付け2!$A$1,$A52-4,OFFSET(貼り付け2!$A$1,ROW()-1,MATCH(N$1,貼り付け2!$1:$1,0)-1)-1),"")),
IF((OFFSET(貼り付け2!$A$1,ROW()-1,MATCH(N$1,貼り付け2!$1:$1,0)-1)-OFFSET(貼り付け2!$A$1,ROW()-1,MATCH(I$1,貼り付け2!$1:$1,0)-1))=2,
OFFSET(貼り付け2!$A$1,$A52-2,OFFSET(貼り付け2!$A$1,ROW()-1,MATCH(N$1,貼り付け2!$1:$1,0)-1)-2)
&amp;OFFSET(貼り付け2!$A$1,$A52-2,OFFSET(貼り付け2!$A$1,ROW()-1,MATCH(N$1,貼り付け2!$1:$1,0)-1)-1),
IF((OFFSET(貼り付け2!$A$1,ROW()-1,MATCH(N$1,貼り付け2!$1:$1,0)-1)-OFFSET(貼り付け2!$A$1,ROW()-1,MATCH(I$1,貼り付け2!$1:$1,0)-1))=3,
OFFSET(貼り付け2!$A$1,$A52-2,OFFSET(貼り付け2!$A$1,ROW()-1,MATCH(N$1,貼り付け2!$1:$1,0)-1)-3)
&amp;OFFSET(貼り付け2!$A$1,$A52-2,OFFSET(貼り付け2!$A$1,ROW()-1,MATCH(N$1,貼り付け2!$1:$1,0)-1)-2)
&amp;OFFSET(貼り付け2!$A$1,$A52-2,OFFSET(貼り付け2!$A$1,ROW()-1,MATCH(N$1,貼り付け2!$1:$1,0)-1)-1),""))),
IF(OFFSET(貼り付け2!$A$1,ROW()-1,MATCH(N$1,貼り付け2!$1:$1,0)+1)=2,
OFFSET(貼り付け2!$A$1,$A52-3,OFFSET(貼り付け2!$A$1,ROW()-1,MATCH(N$1,貼り付け2!$1:$1,0)+1)-2)
&amp;OFFSET(貼り付け2!$A$1,$A52-3,OFFSET(貼り付け2!$A$1,ROW()-1,MATCH(N$1,貼り付け2!$1:$1,0)+1)-1),
IF(OFFSET(貼り付け2!$A$1,ROW()-1,MATCH(N$1,貼り付け2!$1:$1,0)+1)=3,
OFFSET(貼り付け2!$A$1,$A52-3,OFFSET(貼り付け2!$A$1,ROW()-1,MATCH(N$1,貼り付け2!$1:$1,0)+1)-3)
&amp;OFFSET(貼り付け2!$A$1,$A52-3,OFFSET(貼り付け2!$A$1,ROW()-1,MATCH(N$1,貼り付け2!$1:$1,0)+1)-2)
&amp;OFFSET(貼り付け2!$A$1,$A52-3,OFFSET(貼り付け2!$A$1,ROW()-1,MATCH(N$1,貼り付け2!$1:$1,0)+1)-1),"")))</f>
        <v/>
      </c>
      <c r="O52" t="str">
        <f ca="1">IFERROR(OFFSET(貼り付け2!$A$1,$A52-1,OFFSET(貼り付け2!$A$1,ROW()-1,MATCH(O$1,貼り付け2!$1:$1,0)-1)-1),"")</f>
        <v/>
      </c>
      <c r="P52" t="e">
        <f ca="1">OFFSET(貼り付け1!$A$1,貼り付け1!$G51-1,2)</f>
        <v>#REF!</v>
      </c>
      <c r="Q52" t="e">
        <f ca="1">OFFSET(貼り付け1!$A$1,貼り付け1!$F51-1,2)</f>
        <v>#REF!</v>
      </c>
      <c r="R52" t="str">
        <f ca="1">IFERROR(OFFSET(貼り付け2!$A$1,まとめ!$B52-1,OFFSET(貼り付け2!$A$1,ROW()-1,MATCH(R$1,貼り付け2!$1:$1,0)-1)-1),"")</f>
        <v/>
      </c>
      <c r="S52" t="str">
        <f ca="1">IF(OFFSET(貼り付け2!$A$1,ROW()-1,MATCH(S$1,貼り付け2!$1:$1,0)-1)&lt;&gt;"",
IF($C52=TRUE,
IF((OFFSET(貼り付け2!$A$1,ROW()-1,MATCH(S$1,貼り付け2!$1:$1,0)-1)-OFFSET(貼り付け2!$A$1,ROW()-1,MATCH(N$1,貼り付け2!$1:$1,0)-1))=2,
OFFSET(貼り付け2!$A$1,$A52-4,OFFSET(貼り付け2!$A$1,ROW()-1,MATCH(S$1,貼り付け2!$1:$1,0)-1)-2)
&amp;OFFSET(貼り付け2!$A$1,$A52-4,OFFSET(貼り付け2!$A$1,ROW()-1,MATCH(S$1,貼り付け2!$1:$1,0)-1)-1),
IF((OFFSET(貼り付け2!$A$1,ROW()-1,MATCH(S$1,貼り付け2!$1:$1,0)-1)-OFFSET(貼り付け2!$A$1,ROW()-1,MATCH(N$1,貼り付け2!$1:$1,0)-1))=3,
OFFSET(貼り付け2!$A$1,$A52-4,OFFSET(貼り付け2!$A$1,ROW()-1,MATCH(S$1,貼り付け2!$1:$1,0)-1)-3)
&amp;OFFSET(貼り付け2!$A$1,$A52-4,OFFSET(貼り付け2!$A$1,ROW()-1,MATCH(S$1,貼り付け2!$1:$1,0)-1)-2)
&amp;OFFSET(貼り付け2!$A$1,$A52-4,OFFSET(貼り付け2!$A$1,ROW()-1,MATCH(S$1,貼り付け2!$1:$1,0)-1)-1),"")),
IF((OFFSET(貼り付け2!$A$1,ROW()-1,MATCH(S$1,貼り付け2!$1:$1,0)-1)-OFFSET(貼り付け2!$A$1,ROW()-1,MATCH(N$1,貼り付け2!$1:$1,0)-1))=2,
OFFSET(貼り付け2!$A$1,$A52-2,OFFSET(貼り付け2!$A$1,ROW()-1,MATCH(S$1,貼り付け2!$1:$1,0)-1)-2)
&amp;OFFSET(貼り付け2!$A$1,$A52-2,OFFSET(貼り付け2!$A$1,ROW()-1,MATCH(S$1,貼り付け2!$1:$1,0)-1)-1),
IF((OFFSET(貼り付け2!$A$1,ROW()-1,MATCH(S$1,貼り付け2!$1:$1,0)-1)-OFFSET(貼り付け2!$A$1,ROW()-1,MATCH(N$1,貼り付け2!$1:$1,0)-1))=3,
OFFSET(貼り付け2!$A$1,$A52-2,OFFSET(貼り付け2!$A$1,ROW()-1,MATCH(S$1,貼り付け2!$1:$1,0)-1)-3)
&amp;OFFSET(貼り付け2!$A$1,$A52-2,OFFSET(貼り付け2!$A$1,ROW()-1,MATCH(S$1,貼り付け2!$1:$1,0)-1)-2)
&amp;OFFSET(貼り付け2!$A$1,$A52-2,OFFSET(貼り付け2!$A$1,ROW()-1,MATCH(S$1,貼り付け2!$1:$1,0)-1)-1),""))),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OFFSET(貼り付け2!$A$1,$A52-3,OFFSET(貼り付け2!$A$1,ROW()-1,MATCH(S$1,貼り付け2!$1:$1,0)+1)-2)
&amp;OFFSET(貼り付け2!$A$1,$A52-3,OFFSET(貼り付け2!$A$1,ROW()-1,MATCH(S$1,貼り付け2!$1:$1,0)+1)-1),
IF(OFFSET(貼り付け2!$A$1,ROW()-1,MATCH(S$1,貼り付け2!$1:$1,0)+1)-OFFSET(貼り付け2!$A$1,ROW()-1,MATCH(N$1,貼り付け2!$1:$1,0)+1)=3,
OFFSET(貼り付け2!$A$1,$A52-3,OFFSET(貼り付け2!$A$1,ROW()-1,MATCH(S$1,貼り付け2!$1:$1,0)+1)-3)
&amp;OFFSET(貼り付け2!$A$1,$A52-3,OFFSET(貼り付け2!$A$1,ROW()-1,MATCH(S$1,貼り付け2!$1:$1,0)+1)-2)
&amp;OFFSET(貼り付け2!$A$1,$A52-3,OFFSET(貼り付け2!$A$1,ROW()-1,MATCH(S$1,貼り付け2!$1:$1,0)+1)-1),"")),
IF(OFFSET(貼り付け2!$A$1,ROW()-1,MATCH(S$1,貼り付け2!$1:$1,0)+1)=2,
OFFSET(貼り付け2!$A$1,$A52-3,OFFSET(貼り付け2!$A$1,ROW()-1,MATCH(S$1,貼り付け2!$1:$1,0)+1)-2)
&amp;OFFSET(貼り付け2!$A$1,$A52-3,OFFSET(貼り付け2!$A$1,ROW()-1,MATCH(S$1,貼り付け2!$1:$1,0)+1)-1),
IF(OFFSET(貼り付け2!$A$1,ROW()-1,MATCH(S$1,貼り付け2!$1:$1,0)+1)=3,
OFFSET(貼り付け2!$A$1,$A52-3,OFFSET(貼り付け2!$A$1,ROW()-1,MATCH(S$1,貼り付け2!$1:$1,0)+1)-3)
&amp;OFFSET(貼り付け2!$A$1,$A52-3,OFFSET(貼り付け2!$A$1,ROW()-1,MATCH(S$1,貼り付け2!$1:$1,0)+1)-2)
&amp;OFFSET(貼り付け2!$A$1,$A52-3,OFFSET(貼り付け2!$A$1,ROW()-1,MATCH(S$1,貼り付け2!$1:$1,0)+1)-1),""))))</f>
        <v/>
      </c>
      <c r="T52" t="str">
        <f ca="1">IFERROR(OFFSET(貼り付け2!$A$1,$A52-1,OFFSET(貼り付け2!$A$1,ROW()-1,MATCH(T$1,貼り付け2!$1:$1,0)-1)-1),"")</f>
        <v/>
      </c>
      <c r="U52" t="e">
        <f ca="1">OFFSET(貼り付け1!$A$1,貼り付け1!$G51-1,3)</f>
        <v>#REF!</v>
      </c>
      <c r="V52" t="e">
        <f ca="1">OFFSET(貼り付け1!$A$1,貼り付け1!$F51-1,3)</f>
        <v>#REF!</v>
      </c>
      <c r="W52" t="str">
        <f ca="1">IFERROR(OFFSET(貼り付け2!$A$1,まとめ!$B52-1,OFFSET(貼り付け2!$A$1,ROW()-1,MATCH(W$1,貼り付け2!$1:$1,0)-1)-1),"")</f>
        <v/>
      </c>
    </row>
    <row r="53" spans="1:23" x14ac:dyDescent="0.45">
      <c r="A53" t="str">
        <f>貼り付け2!S53</f>
        <v/>
      </c>
      <c r="B53" t="str">
        <f>貼り付け2!R53</f>
        <v/>
      </c>
      <c r="C53" t="e">
        <f t="shared" ca="1" si="2"/>
        <v>#VALUE!</v>
      </c>
      <c r="D53" t="e">
        <f ca="1">IF($C53=TRUE,
IF(OFFSET(貼り付け2!$A$1,ROW()-1,MATCH(D$1,貼り付け2!$1:$1,0)-1)=2,
OFFSET(貼り付け2!$A$1,$A53-4,OFFSET(貼り付け2!$A$1,ROW()-1,MATCH(D$1,貼り付け2!$1:$1,0)-1)-2)
&amp;OFFSET(貼り付け2!$A$1,$A53-4,OFFSET(貼り付け2!$A$1,ROW()-1,MATCH(D$1,貼り付け2!$1:$1,0)-1)-1),
IF(OFFSET(貼り付け2!$A$1,ROW()-1,MATCH(D$1,貼り付け2!$1:$1,0)-1)=3,
OFFSET(貼り付け2!$A$1,$A53-4,OFFSET(貼り付け2!$A$1,ROW()-1,MATCH(D$1,貼り付け2!$1:$1,0)-1)-3)
&amp;OFFSET(貼り付け2!$A$1,$A53-4,OFFSET(貼り付け2!$A$1,ROW()-1,MATCH(D$1,貼り付け2!$1:$1,0)-1)-2)
&amp;OFFSET(貼り付け2!$A$1,$A53-4,OFFSET(貼り付け2!$A$1,ROW()-1,MATCH(D$1,貼り付け2!$1:$1,0)-1)-1),"")),
IF(OFFSET(貼り付け2!$A$1,ROW()-1,MATCH(D$1,貼り付け2!$1:$1,0)-1)=2,
OFFSET(貼り付け2!$A$1,$A53-2,OFFSET(貼り付け2!$A$1,ROW()-1,MATCH(D$1,貼り付け2!$1:$1,0)-1)-2)
&amp;OFFSET(貼り付け2!$A$1,$A53-2,OFFSET(貼り付け2!$A$1,ROW()-1,MATCH(D$1,貼り付け2!$1:$1,0)-1)-1),
IF(OFFSET(貼り付け2!$A$1,ROW()-1,MATCH(D$1,貼り付け2!$1:$1,0)-1)=3,
OFFSET(貼り付け2!$A$1,$A53-2,OFFSET(貼り付け2!$A$1,ROW()-1,MATCH(D$1,貼り付け2!$1:$1,0)-1)-3)
&amp;OFFSET(貼り付け2!$A$1,$A53-2,OFFSET(貼り付け2!$A$1,ROW()-1,MATCH(D$1,貼り付け2!$1:$1,0)-1)-2)
&amp;OFFSET(貼り付け2!$A$1,$A53-2,OFFSET(貼り付け2!$A$1,ROW()-1,MATCH(D$1,貼り付け2!$1:$1,0)-1)-1),"")))</f>
        <v>#VALUE!</v>
      </c>
      <c r="E53" t="str">
        <f ca="1">IFERROR(OFFSET(貼り付け2!$A$1,$A53-1,OFFSET(貼り付け2!$A$1,ROW()-1,MATCH(E$1,貼り付け2!$1:$1,0)-1)-1),"")</f>
        <v/>
      </c>
      <c r="F53" t="e">
        <f ca="1">OFFSET(貼り付け1!$A$1,貼り付け1!$G52-1,0)</f>
        <v>#REF!</v>
      </c>
      <c r="G53" t="e">
        <f ca="1">OFFSET(貼り付け1!$A$1,貼り付け1!$F52-1,0)</f>
        <v>#REF!</v>
      </c>
      <c r="H53" t="str">
        <f ca="1">IFERROR(OFFSET(貼り付け2!$A$1,まとめ!$B53-1,OFFSET(貼り付け2!$A$1,ROW()-1,MATCH(H$1,貼り付け2!$1:$1,0)-1)-1),"")</f>
        <v/>
      </c>
      <c r="I53" t="e">
        <f ca="1">IF($C53=TRUE,
IF((OFFSET(貼り付け2!$A$1,ROW()-1,MATCH(I$1,貼り付け2!$1:$1,0)-1)-OFFSET(貼り付け2!$A$1,ROW()-1,MATCH(D$1,貼り付け2!$1:$1,0)-1))=2,
OFFSET(貼り付け2!$A$1,$A53-4,OFFSET(貼り付け2!$A$1,ROW()-1,MATCH(I$1,貼り付け2!$1:$1,0)-1)-2)
&amp;OFFSET(貼り付け2!$A$1,$A53-4,OFFSET(貼り付け2!$A$1,ROW()-1,MATCH(I$1,貼り付け2!$1:$1,0)-1)-1),
IF((OFFSET(貼り付け2!$A$1,ROW()-1,MATCH(I$1,貼り付け2!$1:$1,0)-1)-OFFSET(貼り付け2!$A$1,ROW()-1,MATCH(D$1,貼り付け2!$1:$1,0)-1))=3,
OFFSET(貼り付け2!$A$1,$A53-4,OFFSET(貼り付け2!$A$1,ROW()-1,MATCH(I$1,貼り付け2!$1:$1,0)-1)-3)
&amp;OFFSET(貼り付け2!$A$1,$A53-4,OFFSET(貼り付け2!$A$1,ROW()-1,MATCH(I$1,貼り付け2!$1:$1,0)-1)-2)
&amp;OFFSET(貼り付け2!$A$1,$A53-4,OFFSET(貼り付け2!$A$1,ROW()-1,MATCH(I$1,貼り付け2!$1:$1,0)-1)-1),"")),
IF((OFFSET(貼り付け2!$A$1,ROW()-1,MATCH(I$1,貼り付け2!$1:$1,0)-1)-OFFSET(貼り付け2!$A$1,ROW()-1,MATCH(D$1,貼り付け2!$1:$1,0)-1))=2,
OFFSET(貼り付け2!$A$1,$A53-2,OFFSET(貼り付け2!$A$1,ROW()-1,MATCH(I$1,貼り付け2!$1:$1,0)-1)-2)
&amp;OFFSET(貼り付け2!$A$1,$A53-2,OFFSET(貼り付け2!$A$1,ROW()-1,MATCH(I$1,貼り付け2!$1:$1,0)-1)-1),
IF((OFFSET(貼り付け2!$A$1,ROW()-1,MATCH(I$1,貼り付け2!$1:$1,0)-1)-OFFSET(貼り付け2!$A$1,ROW()-1,MATCH(D$1,貼り付け2!$1:$1,0)-1))=3,
OFFSET(貼り付け2!$A$1,$A53-2,OFFSET(貼り付け2!$A$1,ROW()-1,MATCH(I$1,貼り付け2!$1:$1,0)-1)-3)
&amp;OFFSET(貼り付け2!$A$1,$A53-2,OFFSET(貼り付け2!$A$1,ROW()-1,MATCH(I$1,貼り付け2!$1:$1,0)-1)-2)
&amp;OFFSET(貼り付け2!$A$1,$A53-2,OFFSET(貼り付け2!$A$1,ROW()-1,MATCH(I$1,貼り付け2!$1:$1,0)-1)-1),"")))</f>
        <v>#VALUE!</v>
      </c>
      <c r="J53" t="str">
        <f ca="1">IFERROR(OFFSET(貼り付け2!$A$1,$A53-1,OFFSET(貼り付け2!$A$1,ROW()-1,MATCH(J$1,貼り付け2!$1:$1,0)-1)-1),"")</f>
        <v/>
      </c>
      <c r="K53" t="e">
        <f ca="1">OFFSET(貼り付け1!$A$1,貼り付け1!$G52-1,1)</f>
        <v>#REF!</v>
      </c>
      <c r="L53" t="e">
        <f ca="1">OFFSET(貼り付け1!$A$1,貼り付け1!$F52-1,1)</f>
        <v>#REF!</v>
      </c>
      <c r="M53" t="str">
        <f ca="1">IFERROR(OFFSET(貼り付け2!$A$1,まとめ!$B53-1,OFFSET(貼り付け2!$A$1,ROW()-1,MATCH(M$1,貼り付け2!$1:$1,0)-1)-1),"")</f>
        <v/>
      </c>
      <c r="N53" t="str">
        <f ca="1">IF(OFFSET(貼り付け2!$A$1,ROW()-1,MATCH(N$1,貼り付け2!$1:$1,0)-1)&lt;&gt;"",
IF($C53=TRUE,
IF((OFFSET(貼り付け2!$A$1,ROW()-1,MATCH(N$1,貼り付け2!$1:$1,0)-1)-OFFSET(貼り付け2!$A$1,ROW()-1,MATCH(I$1,貼り付け2!$1:$1,0)-1))=2,
OFFSET(貼り付け2!$A$1,$A53-4,OFFSET(貼り付け2!$A$1,ROW()-1,MATCH(N$1,貼り付け2!$1:$1,0)-1)-2)
&amp;OFFSET(貼り付け2!$A$1,$A53-4,OFFSET(貼り付け2!$A$1,ROW()-1,MATCH(N$1,貼り付け2!$1:$1,0)-1)-1),
IF((OFFSET(貼り付け2!$A$1,ROW()-1,MATCH(N$1,貼り付け2!$1:$1,0)-1)-OFFSET(貼り付け2!$A$1,ROW()-1,MATCH(I$1,貼り付け2!$1:$1,0)-1))=3,
OFFSET(貼り付け2!$A$1,$A53-4,OFFSET(貼り付け2!$A$1,ROW()-1,MATCH(N$1,貼り付け2!$1:$1,0)-1)-3)
&amp;OFFSET(貼り付け2!$A$1,$A53-4,OFFSET(貼り付け2!$A$1,ROW()-1,MATCH(N$1,貼り付け2!$1:$1,0)-1)-2)
&amp;OFFSET(貼り付け2!$A$1,$A53-4,OFFSET(貼り付け2!$A$1,ROW()-1,MATCH(N$1,貼り付け2!$1:$1,0)-1)-1),"")),
IF((OFFSET(貼り付け2!$A$1,ROW()-1,MATCH(N$1,貼り付け2!$1:$1,0)-1)-OFFSET(貼り付け2!$A$1,ROW()-1,MATCH(I$1,貼り付け2!$1:$1,0)-1))=2,
OFFSET(貼り付け2!$A$1,$A53-2,OFFSET(貼り付け2!$A$1,ROW()-1,MATCH(N$1,貼り付け2!$1:$1,0)-1)-2)
&amp;OFFSET(貼り付け2!$A$1,$A53-2,OFFSET(貼り付け2!$A$1,ROW()-1,MATCH(N$1,貼り付け2!$1:$1,0)-1)-1),
IF((OFFSET(貼り付け2!$A$1,ROW()-1,MATCH(N$1,貼り付け2!$1:$1,0)-1)-OFFSET(貼り付け2!$A$1,ROW()-1,MATCH(I$1,貼り付け2!$1:$1,0)-1))=3,
OFFSET(貼り付け2!$A$1,$A53-2,OFFSET(貼り付け2!$A$1,ROW()-1,MATCH(N$1,貼り付け2!$1:$1,0)-1)-3)
&amp;OFFSET(貼り付け2!$A$1,$A53-2,OFFSET(貼り付け2!$A$1,ROW()-1,MATCH(N$1,貼り付け2!$1:$1,0)-1)-2)
&amp;OFFSET(貼り付け2!$A$1,$A53-2,OFFSET(貼り付け2!$A$1,ROW()-1,MATCH(N$1,貼り付け2!$1:$1,0)-1)-1),""))),
IF(OFFSET(貼り付け2!$A$1,ROW()-1,MATCH(N$1,貼り付け2!$1:$1,0)+1)=2,
OFFSET(貼り付け2!$A$1,$A53-3,OFFSET(貼り付け2!$A$1,ROW()-1,MATCH(N$1,貼り付け2!$1:$1,0)+1)-2)
&amp;OFFSET(貼り付け2!$A$1,$A53-3,OFFSET(貼り付け2!$A$1,ROW()-1,MATCH(N$1,貼り付け2!$1:$1,0)+1)-1),
IF(OFFSET(貼り付け2!$A$1,ROW()-1,MATCH(N$1,貼り付け2!$1:$1,0)+1)=3,
OFFSET(貼り付け2!$A$1,$A53-3,OFFSET(貼り付け2!$A$1,ROW()-1,MATCH(N$1,貼り付け2!$1:$1,0)+1)-3)
&amp;OFFSET(貼り付け2!$A$1,$A53-3,OFFSET(貼り付け2!$A$1,ROW()-1,MATCH(N$1,貼り付け2!$1:$1,0)+1)-2)
&amp;OFFSET(貼り付け2!$A$1,$A53-3,OFFSET(貼り付け2!$A$1,ROW()-1,MATCH(N$1,貼り付け2!$1:$1,0)+1)-1),"")))</f>
        <v/>
      </c>
      <c r="O53" t="str">
        <f ca="1">IFERROR(OFFSET(貼り付け2!$A$1,$A53-1,OFFSET(貼り付け2!$A$1,ROW()-1,MATCH(O$1,貼り付け2!$1:$1,0)-1)-1),"")</f>
        <v/>
      </c>
      <c r="P53" t="e">
        <f ca="1">OFFSET(貼り付け1!$A$1,貼り付け1!$G52-1,2)</f>
        <v>#REF!</v>
      </c>
      <c r="Q53" t="e">
        <f ca="1">OFFSET(貼り付け1!$A$1,貼り付け1!$F52-1,2)</f>
        <v>#REF!</v>
      </c>
      <c r="R53" t="str">
        <f ca="1">IFERROR(OFFSET(貼り付け2!$A$1,まとめ!$B53-1,OFFSET(貼り付け2!$A$1,ROW()-1,MATCH(R$1,貼り付け2!$1:$1,0)-1)-1),"")</f>
        <v/>
      </c>
      <c r="S53" t="str">
        <f ca="1">IF(OFFSET(貼り付け2!$A$1,ROW()-1,MATCH(S$1,貼り付け2!$1:$1,0)-1)&lt;&gt;"",
IF($C53=TRUE,
IF((OFFSET(貼り付け2!$A$1,ROW()-1,MATCH(S$1,貼り付け2!$1:$1,0)-1)-OFFSET(貼り付け2!$A$1,ROW()-1,MATCH(N$1,貼り付け2!$1:$1,0)-1))=2,
OFFSET(貼り付け2!$A$1,$A53-4,OFFSET(貼り付け2!$A$1,ROW()-1,MATCH(S$1,貼り付け2!$1:$1,0)-1)-2)
&amp;OFFSET(貼り付け2!$A$1,$A53-4,OFFSET(貼り付け2!$A$1,ROW()-1,MATCH(S$1,貼り付け2!$1:$1,0)-1)-1),
IF((OFFSET(貼り付け2!$A$1,ROW()-1,MATCH(S$1,貼り付け2!$1:$1,0)-1)-OFFSET(貼り付け2!$A$1,ROW()-1,MATCH(N$1,貼り付け2!$1:$1,0)-1))=3,
OFFSET(貼り付け2!$A$1,$A53-4,OFFSET(貼り付け2!$A$1,ROW()-1,MATCH(S$1,貼り付け2!$1:$1,0)-1)-3)
&amp;OFFSET(貼り付け2!$A$1,$A53-4,OFFSET(貼り付け2!$A$1,ROW()-1,MATCH(S$1,貼り付け2!$1:$1,0)-1)-2)
&amp;OFFSET(貼り付け2!$A$1,$A53-4,OFFSET(貼り付け2!$A$1,ROW()-1,MATCH(S$1,貼り付け2!$1:$1,0)-1)-1),"")),
IF((OFFSET(貼り付け2!$A$1,ROW()-1,MATCH(S$1,貼り付け2!$1:$1,0)-1)-OFFSET(貼り付け2!$A$1,ROW()-1,MATCH(N$1,貼り付け2!$1:$1,0)-1))=2,
OFFSET(貼り付け2!$A$1,$A53-2,OFFSET(貼り付け2!$A$1,ROW()-1,MATCH(S$1,貼り付け2!$1:$1,0)-1)-2)
&amp;OFFSET(貼り付け2!$A$1,$A53-2,OFFSET(貼り付け2!$A$1,ROW()-1,MATCH(S$1,貼り付け2!$1:$1,0)-1)-1),
IF((OFFSET(貼り付け2!$A$1,ROW()-1,MATCH(S$1,貼り付け2!$1:$1,0)-1)-OFFSET(貼り付け2!$A$1,ROW()-1,MATCH(N$1,貼り付け2!$1:$1,0)-1))=3,
OFFSET(貼り付け2!$A$1,$A53-2,OFFSET(貼り付け2!$A$1,ROW()-1,MATCH(S$1,貼り付け2!$1:$1,0)-1)-3)
&amp;OFFSET(貼り付け2!$A$1,$A53-2,OFFSET(貼り付け2!$A$1,ROW()-1,MATCH(S$1,貼り付け2!$1:$1,0)-1)-2)
&amp;OFFSET(貼り付け2!$A$1,$A53-2,OFFSET(貼り付け2!$A$1,ROW()-1,MATCH(S$1,貼り付け2!$1:$1,0)-1)-1),""))),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OFFSET(貼り付け2!$A$1,$A53-3,OFFSET(貼り付け2!$A$1,ROW()-1,MATCH(S$1,貼り付け2!$1:$1,0)+1)-2)
&amp;OFFSET(貼り付け2!$A$1,$A53-3,OFFSET(貼り付け2!$A$1,ROW()-1,MATCH(S$1,貼り付け2!$1:$1,0)+1)-1),
IF(OFFSET(貼り付け2!$A$1,ROW()-1,MATCH(S$1,貼り付け2!$1:$1,0)+1)-OFFSET(貼り付け2!$A$1,ROW()-1,MATCH(N$1,貼り付け2!$1:$1,0)+1)=3,
OFFSET(貼り付け2!$A$1,$A53-3,OFFSET(貼り付け2!$A$1,ROW()-1,MATCH(S$1,貼り付け2!$1:$1,0)+1)-3)
&amp;OFFSET(貼り付け2!$A$1,$A53-3,OFFSET(貼り付け2!$A$1,ROW()-1,MATCH(S$1,貼り付け2!$1:$1,0)+1)-2)
&amp;OFFSET(貼り付け2!$A$1,$A53-3,OFFSET(貼り付け2!$A$1,ROW()-1,MATCH(S$1,貼り付け2!$1:$1,0)+1)-1),"")),
IF(OFFSET(貼り付け2!$A$1,ROW()-1,MATCH(S$1,貼り付け2!$1:$1,0)+1)=2,
OFFSET(貼り付け2!$A$1,$A53-3,OFFSET(貼り付け2!$A$1,ROW()-1,MATCH(S$1,貼り付け2!$1:$1,0)+1)-2)
&amp;OFFSET(貼り付け2!$A$1,$A53-3,OFFSET(貼り付け2!$A$1,ROW()-1,MATCH(S$1,貼り付け2!$1:$1,0)+1)-1),
IF(OFFSET(貼り付け2!$A$1,ROW()-1,MATCH(S$1,貼り付け2!$1:$1,0)+1)=3,
OFFSET(貼り付け2!$A$1,$A53-3,OFFSET(貼り付け2!$A$1,ROW()-1,MATCH(S$1,貼り付け2!$1:$1,0)+1)-3)
&amp;OFFSET(貼り付け2!$A$1,$A53-3,OFFSET(貼り付け2!$A$1,ROW()-1,MATCH(S$1,貼り付け2!$1:$1,0)+1)-2)
&amp;OFFSET(貼り付け2!$A$1,$A53-3,OFFSET(貼り付け2!$A$1,ROW()-1,MATCH(S$1,貼り付け2!$1:$1,0)+1)-1),""))))</f>
        <v/>
      </c>
      <c r="T53" t="str">
        <f ca="1">IFERROR(OFFSET(貼り付け2!$A$1,$A53-1,OFFSET(貼り付け2!$A$1,ROW()-1,MATCH(T$1,貼り付け2!$1:$1,0)-1)-1),"")</f>
        <v/>
      </c>
      <c r="U53" t="e">
        <f ca="1">OFFSET(貼り付け1!$A$1,貼り付け1!$G52-1,3)</f>
        <v>#REF!</v>
      </c>
      <c r="V53" t="e">
        <f ca="1">OFFSET(貼り付け1!$A$1,貼り付け1!$F52-1,3)</f>
        <v>#REF!</v>
      </c>
      <c r="W53" t="str">
        <f ca="1">IFERROR(OFFSET(貼り付け2!$A$1,まとめ!$B53-1,OFFSET(貼り付け2!$A$1,ROW()-1,MATCH(W$1,貼り付け2!$1:$1,0)-1)-1),"")</f>
        <v/>
      </c>
    </row>
    <row r="54" spans="1:23" x14ac:dyDescent="0.45">
      <c r="A54" t="str">
        <f>貼り付け2!S54</f>
        <v/>
      </c>
      <c r="B54" t="str">
        <f>貼り付け2!R54</f>
        <v/>
      </c>
      <c r="C54" t="e">
        <f t="shared" ca="1" si="2"/>
        <v>#VALUE!</v>
      </c>
      <c r="D54" t="e">
        <f ca="1">IF($C54=TRUE,
IF(OFFSET(貼り付け2!$A$1,ROW()-1,MATCH(D$1,貼り付け2!$1:$1,0)-1)=2,
OFFSET(貼り付け2!$A$1,$A54-4,OFFSET(貼り付け2!$A$1,ROW()-1,MATCH(D$1,貼り付け2!$1:$1,0)-1)-2)
&amp;OFFSET(貼り付け2!$A$1,$A54-4,OFFSET(貼り付け2!$A$1,ROW()-1,MATCH(D$1,貼り付け2!$1:$1,0)-1)-1),
IF(OFFSET(貼り付け2!$A$1,ROW()-1,MATCH(D$1,貼り付け2!$1:$1,0)-1)=3,
OFFSET(貼り付け2!$A$1,$A54-4,OFFSET(貼り付け2!$A$1,ROW()-1,MATCH(D$1,貼り付け2!$1:$1,0)-1)-3)
&amp;OFFSET(貼り付け2!$A$1,$A54-4,OFFSET(貼り付け2!$A$1,ROW()-1,MATCH(D$1,貼り付け2!$1:$1,0)-1)-2)
&amp;OFFSET(貼り付け2!$A$1,$A54-4,OFFSET(貼り付け2!$A$1,ROW()-1,MATCH(D$1,貼り付け2!$1:$1,0)-1)-1),"")),
IF(OFFSET(貼り付け2!$A$1,ROW()-1,MATCH(D$1,貼り付け2!$1:$1,0)-1)=2,
OFFSET(貼り付け2!$A$1,$A54-2,OFFSET(貼り付け2!$A$1,ROW()-1,MATCH(D$1,貼り付け2!$1:$1,0)-1)-2)
&amp;OFFSET(貼り付け2!$A$1,$A54-2,OFFSET(貼り付け2!$A$1,ROW()-1,MATCH(D$1,貼り付け2!$1:$1,0)-1)-1),
IF(OFFSET(貼り付け2!$A$1,ROW()-1,MATCH(D$1,貼り付け2!$1:$1,0)-1)=3,
OFFSET(貼り付け2!$A$1,$A54-2,OFFSET(貼り付け2!$A$1,ROW()-1,MATCH(D$1,貼り付け2!$1:$1,0)-1)-3)
&amp;OFFSET(貼り付け2!$A$1,$A54-2,OFFSET(貼り付け2!$A$1,ROW()-1,MATCH(D$1,貼り付け2!$1:$1,0)-1)-2)
&amp;OFFSET(貼り付け2!$A$1,$A54-2,OFFSET(貼り付け2!$A$1,ROW()-1,MATCH(D$1,貼り付け2!$1:$1,0)-1)-1),"")))</f>
        <v>#VALUE!</v>
      </c>
      <c r="E54" t="str">
        <f ca="1">IFERROR(OFFSET(貼り付け2!$A$1,$A54-1,OFFSET(貼り付け2!$A$1,ROW()-1,MATCH(E$1,貼り付け2!$1:$1,0)-1)-1),"")</f>
        <v/>
      </c>
      <c r="F54" t="e">
        <f ca="1">OFFSET(貼り付け1!$A$1,貼り付け1!$G53-1,0)</f>
        <v>#REF!</v>
      </c>
      <c r="G54" t="e">
        <f ca="1">OFFSET(貼り付け1!$A$1,貼り付け1!$F53-1,0)</f>
        <v>#REF!</v>
      </c>
      <c r="H54" t="str">
        <f ca="1">IFERROR(OFFSET(貼り付け2!$A$1,まとめ!$B54-1,OFFSET(貼り付け2!$A$1,ROW()-1,MATCH(H$1,貼り付け2!$1:$1,0)-1)-1),"")</f>
        <v/>
      </c>
      <c r="I54" t="e">
        <f ca="1">IF($C54=TRUE,
IF((OFFSET(貼り付け2!$A$1,ROW()-1,MATCH(I$1,貼り付け2!$1:$1,0)-1)-OFFSET(貼り付け2!$A$1,ROW()-1,MATCH(D$1,貼り付け2!$1:$1,0)-1))=2,
OFFSET(貼り付け2!$A$1,$A54-4,OFFSET(貼り付け2!$A$1,ROW()-1,MATCH(I$1,貼り付け2!$1:$1,0)-1)-2)
&amp;OFFSET(貼り付け2!$A$1,$A54-4,OFFSET(貼り付け2!$A$1,ROW()-1,MATCH(I$1,貼り付け2!$1:$1,0)-1)-1),
IF((OFFSET(貼り付け2!$A$1,ROW()-1,MATCH(I$1,貼り付け2!$1:$1,0)-1)-OFFSET(貼り付け2!$A$1,ROW()-1,MATCH(D$1,貼り付け2!$1:$1,0)-1))=3,
OFFSET(貼り付け2!$A$1,$A54-4,OFFSET(貼り付け2!$A$1,ROW()-1,MATCH(I$1,貼り付け2!$1:$1,0)-1)-3)
&amp;OFFSET(貼り付け2!$A$1,$A54-4,OFFSET(貼り付け2!$A$1,ROW()-1,MATCH(I$1,貼り付け2!$1:$1,0)-1)-2)
&amp;OFFSET(貼り付け2!$A$1,$A54-4,OFFSET(貼り付け2!$A$1,ROW()-1,MATCH(I$1,貼り付け2!$1:$1,0)-1)-1),"")),
IF((OFFSET(貼り付け2!$A$1,ROW()-1,MATCH(I$1,貼り付け2!$1:$1,0)-1)-OFFSET(貼り付け2!$A$1,ROW()-1,MATCH(D$1,貼り付け2!$1:$1,0)-1))=2,
OFFSET(貼り付け2!$A$1,$A54-2,OFFSET(貼り付け2!$A$1,ROW()-1,MATCH(I$1,貼り付け2!$1:$1,0)-1)-2)
&amp;OFFSET(貼り付け2!$A$1,$A54-2,OFFSET(貼り付け2!$A$1,ROW()-1,MATCH(I$1,貼り付け2!$1:$1,0)-1)-1),
IF((OFFSET(貼り付け2!$A$1,ROW()-1,MATCH(I$1,貼り付け2!$1:$1,0)-1)-OFFSET(貼り付け2!$A$1,ROW()-1,MATCH(D$1,貼り付け2!$1:$1,0)-1))=3,
OFFSET(貼り付け2!$A$1,$A54-2,OFFSET(貼り付け2!$A$1,ROW()-1,MATCH(I$1,貼り付け2!$1:$1,0)-1)-3)
&amp;OFFSET(貼り付け2!$A$1,$A54-2,OFFSET(貼り付け2!$A$1,ROW()-1,MATCH(I$1,貼り付け2!$1:$1,0)-1)-2)
&amp;OFFSET(貼り付け2!$A$1,$A54-2,OFFSET(貼り付け2!$A$1,ROW()-1,MATCH(I$1,貼り付け2!$1:$1,0)-1)-1),"")))</f>
        <v>#VALUE!</v>
      </c>
      <c r="J54" t="str">
        <f ca="1">IFERROR(OFFSET(貼り付け2!$A$1,$A54-1,OFFSET(貼り付け2!$A$1,ROW()-1,MATCH(J$1,貼り付け2!$1:$1,0)-1)-1),"")</f>
        <v/>
      </c>
      <c r="K54" t="e">
        <f ca="1">OFFSET(貼り付け1!$A$1,貼り付け1!$G53-1,1)</f>
        <v>#REF!</v>
      </c>
      <c r="L54" t="e">
        <f ca="1">OFFSET(貼り付け1!$A$1,貼り付け1!$F53-1,1)</f>
        <v>#REF!</v>
      </c>
      <c r="M54" t="str">
        <f ca="1">IFERROR(OFFSET(貼り付け2!$A$1,まとめ!$B54-1,OFFSET(貼り付け2!$A$1,ROW()-1,MATCH(M$1,貼り付け2!$1:$1,0)-1)-1),"")</f>
        <v/>
      </c>
      <c r="N54" t="str">
        <f ca="1">IF(OFFSET(貼り付け2!$A$1,ROW()-1,MATCH(N$1,貼り付け2!$1:$1,0)-1)&lt;&gt;"",
IF($C54=TRUE,
IF((OFFSET(貼り付け2!$A$1,ROW()-1,MATCH(N$1,貼り付け2!$1:$1,0)-1)-OFFSET(貼り付け2!$A$1,ROW()-1,MATCH(I$1,貼り付け2!$1:$1,0)-1))=2,
OFFSET(貼り付け2!$A$1,$A54-4,OFFSET(貼り付け2!$A$1,ROW()-1,MATCH(N$1,貼り付け2!$1:$1,0)-1)-2)
&amp;OFFSET(貼り付け2!$A$1,$A54-4,OFFSET(貼り付け2!$A$1,ROW()-1,MATCH(N$1,貼り付け2!$1:$1,0)-1)-1),
IF((OFFSET(貼り付け2!$A$1,ROW()-1,MATCH(N$1,貼り付け2!$1:$1,0)-1)-OFFSET(貼り付け2!$A$1,ROW()-1,MATCH(I$1,貼り付け2!$1:$1,0)-1))=3,
OFFSET(貼り付け2!$A$1,$A54-4,OFFSET(貼り付け2!$A$1,ROW()-1,MATCH(N$1,貼り付け2!$1:$1,0)-1)-3)
&amp;OFFSET(貼り付け2!$A$1,$A54-4,OFFSET(貼り付け2!$A$1,ROW()-1,MATCH(N$1,貼り付け2!$1:$1,0)-1)-2)
&amp;OFFSET(貼り付け2!$A$1,$A54-4,OFFSET(貼り付け2!$A$1,ROW()-1,MATCH(N$1,貼り付け2!$1:$1,0)-1)-1),"")),
IF((OFFSET(貼り付け2!$A$1,ROW()-1,MATCH(N$1,貼り付け2!$1:$1,0)-1)-OFFSET(貼り付け2!$A$1,ROW()-1,MATCH(I$1,貼り付け2!$1:$1,0)-1))=2,
OFFSET(貼り付け2!$A$1,$A54-2,OFFSET(貼り付け2!$A$1,ROW()-1,MATCH(N$1,貼り付け2!$1:$1,0)-1)-2)
&amp;OFFSET(貼り付け2!$A$1,$A54-2,OFFSET(貼り付け2!$A$1,ROW()-1,MATCH(N$1,貼り付け2!$1:$1,0)-1)-1),
IF((OFFSET(貼り付け2!$A$1,ROW()-1,MATCH(N$1,貼り付け2!$1:$1,0)-1)-OFFSET(貼り付け2!$A$1,ROW()-1,MATCH(I$1,貼り付け2!$1:$1,0)-1))=3,
OFFSET(貼り付け2!$A$1,$A54-2,OFFSET(貼り付け2!$A$1,ROW()-1,MATCH(N$1,貼り付け2!$1:$1,0)-1)-3)
&amp;OFFSET(貼り付け2!$A$1,$A54-2,OFFSET(貼り付け2!$A$1,ROW()-1,MATCH(N$1,貼り付け2!$1:$1,0)-1)-2)
&amp;OFFSET(貼り付け2!$A$1,$A54-2,OFFSET(貼り付け2!$A$1,ROW()-1,MATCH(N$1,貼り付け2!$1:$1,0)-1)-1),""))),
IF(OFFSET(貼り付け2!$A$1,ROW()-1,MATCH(N$1,貼り付け2!$1:$1,0)+1)=2,
OFFSET(貼り付け2!$A$1,$A54-3,OFFSET(貼り付け2!$A$1,ROW()-1,MATCH(N$1,貼り付け2!$1:$1,0)+1)-2)
&amp;OFFSET(貼り付け2!$A$1,$A54-3,OFFSET(貼り付け2!$A$1,ROW()-1,MATCH(N$1,貼り付け2!$1:$1,0)+1)-1),
IF(OFFSET(貼り付け2!$A$1,ROW()-1,MATCH(N$1,貼り付け2!$1:$1,0)+1)=3,
OFFSET(貼り付け2!$A$1,$A54-3,OFFSET(貼り付け2!$A$1,ROW()-1,MATCH(N$1,貼り付け2!$1:$1,0)+1)-3)
&amp;OFFSET(貼り付け2!$A$1,$A54-3,OFFSET(貼り付け2!$A$1,ROW()-1,MATCH(N$1,貼り付け2!$1:$1,0)+1)-2)
&amp;OFFSET(貼り付け2!$A$1,$A54-3,OFFSET(貼り付け2!$A$1,ROW()-1,MATCH(N$1,貼り付け2!$1:$1,0)+1)-1),"")))</f>
        <v/>
      </c>
      <c r="O54" t="str">
        <f ca="1">IFERROR(OFFSET(貼り付け2!$A$1,$A54-1,OFFSET(貼り付け2!$A$1,ROW()-1,MATCH(O$1,貼り付け2!$1:$1,0)-1)-1),"")</f>
        <v/>
      </c>
      <c r="P54" t="e">
        <f ca="1">OFFSET(貼り付け1!$A$1,貼り付け1!$G53-1,2)</f>
        <v>#REF!</v>
      </c>
      <c r="Q54" t="e">
        <f ca="1">OFFSET(貼り付け1!$A$1,貼り付け1!$F53-1,2)</f>
        <v>#REF!</v>
      </c>
      <c r="R54" t="str">
        <f ca="1">IFERROR(OFFSET(貼り付け2!$A$1,まとめ!$B54-1,OFFSET(貼り付け2!$A$1,ROW()-1,MATCH(R$1,貼り付け2!$1:$1,0)-1)-1),"")</f>
        <v/>
      </c>
      <c r="S54" t="str">
        <f ca="1">IF(OFFSET(貼り付け2!$A$1,ROW()-1,MATCH(S$1,貼り付け2!$1:$1,0)-1)&lt;&gt;"",
IF($C54=TRUE,
IF((OFFSET(貼り付け2!$A$1,ROW()-1,MATCH(S$1,貼り付け2!$1:$1,0)-1)-OFFSET(貼り付け2!$A$1,ROW()-1,MATCH(N$1,貼り付け2!$1:$1,0)-1))=2,
OFFSET(貼り付け2!$A$1,$A54-4,OFFSET(貼り付け2!$A$1,ROW()-1,MATCH(S$1,貼り付け2!$1:$1,0)-1)-2)
&amp;OFFSET(貼り付け2!$A$1,$A54-4,OFFSET(貼り付け2!$A$1,ROW()-1,MATCH(S$1,貼り付け2!$1:$1,0)-1)-1),
IF((OFFSET(貼り付け2!$A$1,ROW()-1,MATCH(S$1,貼り付け2!$1:$1,0)-1)-OFFSET(貼り付け2!$A$1,ROW()-1,MATCH(N$1,貼り付け2!$1:$1,0)-1))=3,
OFFSET(貼り付け2!$A$1,$A54-4,OFFSET(貼り付け2!$A$1,ROW()-1,MATCH(S$1,貼り付け2!$1:$1,0)-1)-3)
&amp;OFFSET(貼り付け2!$A$1,$A54-4,OFFSET(貼り付け2!$A$1,ROW()-1,MATCH(S$1,貼り付け2!$1:$1,0)-1)-2)
&amp;OFFSET(貼り付け2!$A$1,$A54-4,OFFSET(貼り付け2!$A$1,ROW()-1,MATCH(S$1,貼り付け2!$1:$1,0)-1)-1),"")),
IF((OFFSET(貼り付け2!$A$1,ROW()-1,MATCH(S$1,貼り付け2!$1:$1,0)-1)-OFFSET(貼り付け2!$A$1,ROW()-1,MATCH(N$1,貼り付け2!$1:$1,0)-1))=2,
OFFSET(貼り付け2!$A$1,$A54-2,OFFSET(貼り付け2!$A$1,ROW()-1,MATCH(S$1,貼り付け2!$1:$1,0)-1)-2)
&amp;OFFSET(貼り付け2!$A$1,$A54-2,OFFSET(貼り付け2!$A$1,ROW()-1,MATCH(S$1,貼り付け2!$1:$1,0)-1)-1),
IF((OFFSET(貼り付け2!$A$1,ROW()-1,MATCH(S$1,貼り付け2!$1:$1,0)-1)-OFFSET(貼り付け2!$A$1,ROW()-1,MATCH(N$1,貼り付け2!$1:$1,0)-1))=3,
OFFSET(貼り付け2!$A$1,$A54-2,OFFSET(貼り付け2!$A$1,ROW()-1,MATCH(S$1,貼り付け2!$1:$1,0)-1)-3)
&amp;OFFSET(貼り付け2!$A$1,$A54-2,OFFSET(貼り付け2!$A$1,ROW()-1,MATCH(S$1,貼り付け2!$1:$1,0)-1)-2)
&amp;OFFSET(貼り付け2!$A$1,$A54-2,OFFSET(貼り付け2!$A$1,ROW()-1,MATCH(S$1,貼り付け2!$1:$1,0)-1)-1),""))),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OFFSET(貼り付け2!$A$1,$A54-3,OFFSET(貼り付け2!$A$1,ROW()-1,MATCH(S$1,貼り付け2!$1:$1,0)+1)-2)
&amp;OFFSET(貼り付け2!$A$1,$A54-3,OFFSET(貼り付け2!$A$1,ROW()-1,MATCH(S$1,貼り付け2!$1:$1,0)+1)-1),
IF(OFFSET(貼り付け2!$A$1,ROW()-1,MATCH(S$1,貼り付け2!$1:$1,0)+1)-OFFSET(貼り付け2!$A$1,ROW()-1,MATCH(N$1,貼り付け2!$1:$1,0)+1)=3,
OFFSET(貼り付け2!$A$1,$A54-3,OFFSET(貼り付け2!$A$1,ROW()-1,MATCH(S$1,貼り付け2!$1:$1,0)+1)-3)
&amp;OFFSET(貼り付け2!$A$1,$A54-3,OFFSET(貼り付け2!$A$1,ROW()-1,MATCH(S$1,貼り付け2!$1:$1,0)+1)-2)
&amp;OFFSET(貼り付け2!$A$1,$A54-3,OFFSET(貼り付け2!$A$1,ROW()-1,MATCH(S$1,貼り付け2!$1:$1,0)+1)-1),"")),
IF(OFFSET(貼り付け2!$A$1,ROW()-1,MATCH(S$1,貼り付け2!$1:$1,0)+1)=2,
OFFSET(貼り付け2!$A$1,$A54-3,OFFSET(貼り付け2!$A$1,ROW()-1,MATCH(S$1,貼り付け2!$1:$1,0)+1)-2)
&amp;OFFSET(貼り付け2!$A$1,$A54-3,OFFSET(貼り付け2!$A$1,ROW()-1,MATCH(S$1,貼り付け2!$1:$1,0)+1)-1),
IF(OFFSET(貼り付け2!$A$1,ROW()-1,MATCH(S$1,貼り付け2!$1:$1,0)+1)=3,
OFFSET(貼り付け2!$A$1,$A54-3,OFFSET(貼り付け2!$A$1,ROW()-1,MATCH(S$1,貼り付け2!$1:$1,0)+1)-3)
&amp;OFFSET(貼り付け2!$A$1,$A54-3,OFFSET(貼り付け2!$A$1,ROW()-1,MATCH(S$1,貼り付け2!$1:$1,0)+1)-2)
&amp;OFFSET(貼り付け2!$A$1,$A54-3,OFFSET(貼り付け2!$A$1,ROW()-1,MATCH(S$1,貼り付け2!$1:$1,0)+1)-1),""))))</f>
        <v/>
      </c>
      <c r="T54" t="str">
        <f ca="1">IFERROR(OFFSET(貼り付け2!$A$1,$A54-1,OFFSET(貼り付け2!$A$1,ROW()-1,MATCH(T$1,貼り付け2!$1:$1,0)-1)-1),"")</f>
        <v/>
      </c>
      <c r="U54" t="e">
        <f ca="1">OFFSET(貼り付け1!$A$1,貼り付け1!$G53-1,3)</f>
        <v>#REF!</v>
      </c>
      <c r="V54" t="e">
        <f ca="1">OFFSET(貼り付け1!$A$1,貼り付け1!$F53-1,3)</f>
        <v>#REF!</v>
      </c>
      <c r="W54" t="str">
        <f ca="1">IFERROR(OFFSET(貼り付け2!$A$1,まとめ!$B54-1,OFFSET(貼り付け2!$A$1,ROW()-1,MATCH(W$1,貼り付け2!$1:$1,0)-1)-1),"")</f>
        <v/>
      </c>
    </row>
    <row r="55" spans="1:23" x14ac:dyDescent="0.45">
      <c r="A55" t="str">
        <f>貼り付け2!S55</f>
        <v/>
      </c>
      <c r="B55" t="str">
        <f>貼り付け2!R55</f>
        <v/>
      </c>
      <c r="C55" t="e">
        <f t="shared" ca="1" si="2"/>
        <v>#VALUE!</v>
      </c>
      <c r="D55" t="e">
        <f ca="1">IF($C55=TRUE,
IF(OFFSET(貼り付け2!$A$1,ROW()-1,MATCH(D$1,貼り付け2!$1:$1,0)-1)=2,
OFFSET(貼り付け2!$A$1,$A55-4,OFFSET(貼り付け2!$A$1,ROW()-1,MATCH(D$1,貼り付け2!$1:$1,0)-1)-2)
&amp;OFFSET(貼り付け2!$A$1,$A55-4,OFFSET(貼り付け2!$A$1,ROW()-1,MATCH(D$1,貼り付け2!$1:$1,0)-1)-1),
IF(OFFSET(貼り付け2!$A$1,ROW()-1,MATCH(D$1,貼り付け2!$1:$1,0)-1)=3,
OFFSET(貼り付け2!$A$1,$A55-4,OFFSET(貼り付け2!$A$1,ROW()-1,MATCH(D$1,貼り付け2!$1:$1,0)-1)-3)
&amp;OFFSET(貼り付け2!$A$1,$A55-4,OFFSET(貼り付け2!$A$1,ROW()-1,MATCH(D$1,貼り付け2!$1:$1,0)-1)-2)
&amp;OFFSET(貼り付け2!$A$1,$A55-4,OFFSET(貼り付け2!$A$1,ROW()-1,MATCH(D$1,貼り付け2!$1:$1,0)-1)-1),"")),
IF(OFFSET(貼り付け2!$A$1,ROW()-1,MATCH(D$1,貼り付け2!$1:$1,0)-1)=2,
OFFSET(貼り付け2!$A$1,$A55-2,OFFSET(貼り付け2!$A$1,ROW()-1,MATCH(D$1,貼り付け2!$1:$1,0)-1)-2)
&amp;OFFSET(貼り付け2!$A$1,$A55-2,OFFSET(貼り付け2!$A$1,ROW()-1,MATCH(D$1,貼り付け2!$1:$1,0)-1)-1),
IF(OFFSET(貼り付け2!$A$1,ROW()-1,MATCH(D$1,貼り付け2!$1:$1,0)-1)=3,
OFFSET(貼り付け2!$A$1,$A55-2,OFFSET(貼り付け2!$A$1,ROW()-1,MATCH(D$1,貼り付け2!$1:$1,0)-1)-3)
&amp;OFFSET(貼り付け2!$A$1,$A55-2,OFFSET(貼り付け2!$A$1,ROW()-1,MATCH(D$1,貼り付け2!$1:$1,0)-1)-2)
&amp;OFFSET(貼り付け2!$A$1,$A55-2,OFFSET(貼り付け2!$A$1,ROW()-1,MATCH(D$1,貼り付け2!$1:$1,0)-1)-1),"")))</f>
        <v>#VALUE!</v>
      </c>
      <c r="E55" t="str">
        <f ca="1">IFERROR(OFFSET(貼り付け2!$A$1,$A55-1,OFFSET(貼り付け2!$A$1,ROW()-1,MATCH(E$1,貼り付け2!$1:$1,0)-1)-1),"")</f>
        <v/>
      </c>
      <c r="F55" t="e">
        <f ca="1">OFFSET(貼り付け1!$A$1,貼り付け1!$G54-1,0)</f>
        <v>#REF!</v>
      </c>
      <c r="G55" t="e">
        <f ca="1">OFFSET(貼り付け1!$A$1,貼り付け1!$F54-1,0)</f>
        <v>#REF!</v>
      </c>
      <c r="H55" t="str">
        <f ca="1">IFERROR(OFFSET(貼り付け2!$A$1,まとめ!$B55-1,OFFSET(貼り付け2!$A$1,ROW()-1,MATCH(H$1,貼り付け2!$1:$1,0)-1)-1),"")</f>
        <v/>
      </c>
      <c r="I55" t="e">
        <f ca="1">IF($C55=TRUE,
IF((OFFSET(貼り付け2!$A$1,ROW()-1,MATCH(I$1,貼り付け2!$1:$1,0)-1)-OFFSET(貼り付け2!$A$1,ROW()-1,MATCH(D$1,貼り付け2!$1:$1,0)-1))=2,
OFFSET(貼り付け2!$A$1,$A55-4,OFFSET(貼り付け2!$A$1,ROW()-1,MATCH(I$1,貼り付け2!$1:$1,0)-1)-2)
&amp;OFFSET(貼り付け2!$A$1,$A55-4,OFFSET(貼り付け2!$A$1,ROW()-1,MATCH(I$1,貼り付け2!$1:$1,0)-1)-1),
IF((OFFSET(貼り付け2!$A$1,ROW()-1,MATCH(I$1,貼り付け2!$1:$1,0)-1)-OFFSET(貼り付け2!$A$1,ROW()-1,MATCH(D$1,貼り付け2!$1:$1,0)-1))=3,
OFFSET(貼り付け2!$A$1,$A55-4,OFFSET(貼り付け2!$A$1,ROW()-1,MATCH(I$1,貼り付け2!$1:$1,0)-1)-3)
&amp;OFFSET(貼り付け2!$A$1,$A55-4,OFFSET(貼り付け2!$A$1,ROW()-1,MATCH(I$1,貼り付け2!$1:$1,0)-1)-2)
&amp;OFFSET(貼り付け2!$A$1,$A55-4,OFFSET(貼り付け2!$A$1,ROW()-1,MATCH(I$1,貼り付け2!$1:$1,0)-1)-1),"")),
IF((OFFSET(貼り付け2!$A$1,ROW()-1,MATCH(I$1,貼り付け2!$1:$1,0)-1)-OFFSET(貼り付け2!$A$1,ROW()-1,MATCH(D$1,貼り付け2!$1:$1,0)-1))=2,
OFFSET(貼り付け2!$A$1,$A55-2,OFFSET(貼り付け2!$A$1,ROW()-1,MATCH(I$1,貼り付け2!$1:$1,0)-1)-2)
&amp;OFFSET(貼り付け2!$A$1,$A55-2,OFFSET(貼り付け2!$A$1,ROW()-1,MATCH(I$1,貼り付け2!$1:$1,0)-1)-1),
IF((OFFSET(貼り付け2!$A$1,ROW()-1,MATCH(I$1,貼り付け2!$1:$1,0)-1)-OFFSET(貼り付け2!$A$1,ROW()-1,MATCH(D$1,貼り付け2!$1:$1,0)-1))=3,
OFFSET(貼り付け2!$A$1,$A55-2,OFFSET(貼り付け2!$A$1,ROW()-1,MATCH(I$1,貼り付け2!$1:$1,0)-1)-3)
&amp;OFFSET(貼り付け2!$A$1,$A55-2,OFFSET(貼り付け2!$A$1,ROW()-1,MATCH(I$1,貼り付け2!$1:$1,0)-1)-2)
&amp;OFFSET(貼り付け2!$A$1,$A55-2,OFFSET(貼り付け2!$A$1,ROW()-1,MATCH(I$1,貼り付け2!$1:$1,0)-1)-1),"")))</f>
        <v>#VALUE!</v>
      </c>
      <c r="J55" t="str">
        <f ca="1">IFERROR(OFFSET(貼り付け2!$A$1,$A55-1,OFFSET(貼り付け2!$A$1,ROW()-1,MATCH(J$1,貼り付け2!$1:$1,0)-1)-1),"")</f>
        <v/>
      </c>
      <c r="K55" t="e">
        <f ca="1">OFFSET(貼り付け1!$A$1,貼り付け1!$G54-1,1)</f>
        <v>#REF!</v>
      </c>
      <c r="L55" t="e">
        <f ca="1">OFFSET(貼り付け1!$A$1,貼り付け1!$F54-1,1)</f>
        <v>#REF!</v>
      </c>
      <c r="M55" t="str">
        <f ca="1">IFERROR(OFFSET(貼り付け2!$A$1,まとめ!$B55-1,OFFSET(貼り付け2!$A$1,ROW()-1,MATCH(M$1,貼り付け2!$1:$1,0)-1)-1),"")</f>
        <v/>
      </c>
      <c r="N55" t="str">
        <f ca="1">IF(OFFSET(貼り付け2!$A$1,ROW()-1,MATCH(N$1,貼り付け2!$1:$1,0)-1)&lt;&gt;"",
IF($C55=TRUE,
IF((OFFSET(貼り付け2!$A$1,ROW()-1,MATCH(N$1,貼り付け2!$1:$1,0)-1)-OFFSET(貼り付け2!$A$1,ROW()-1,MATCH(I$1,貼り付け2!$1:$1,0)-1))=2,
OFFSET(貼り付け2!$A$1,$A55-4,OFFSET(貼り付け2!$A$1,ROW()-1,MATCH(N$1,貼り付け2!$1:$1,0)-1)-2)
&amp;OFFSET(貼り付け2!$A$1,$A55-4,OFFSET(貼り付け2!$A$1,ROW()-1,MATCH(N$1,貼り付け2!$1:$1,0)-1)-1),
IF((OFFSET(貼り付け2!$A$1,ROW()-1,MATCH(N$1,貼り付け2!$1:$1,0)-1)-OFFSET(貼り付け2!$A$1,ROW()-1,MATCH(I$1,貼り付け2!$1:$1,0)-1))=3,
OFFSET(貼り付け2!$A$1,$A55-4,OFFSET(貼り付け2!$A$1,ROW()-1,MATCH(N$1,貼り付け2!$1:$1,0)-1)-3)
&amp;OFFSET(貼り付け2!$A$1,$A55-4,OFFSET(貼り付け2!$A$1,ROW()-1,MATCH(N$1,貼り付け2!$1:$1,0)-1)-2)
&amp;OFFSET(貼り付け2!$A$1,$A55-4,OFFSET(貼り付け2!$A$1,ROW()-1,MATCH(N$1,貼り付け2!$1:$1,0)-1)-1),"")),
IF((OFFSET(貼り付け2!$A$1,ROW()-1,MATCH(N$1,貼り付け2!$1:$1,0)-1)-OFFSET(貼り付け2!$A$1,ROW()-1,MATCH(I$1,貼り付け2!$1:$1,0)-1))=2,
OFFSET(貼り付け2!$A$1,$A55-2,OFFSET(貼り付け2!$A$1,ROW()-1,MATCH(N$1,貼り付け2!$1:$1,0)-1)-2)
&amp;OFFSET(貼り付け2!$A$1,$A55-2,OFFSET(貼り付け2!$A$1,ROW()-1,MATCH(N$1,貼り付け2!$1:$1,0)-1)-1),
IF((OFFSET(貼り付け2!$A$1,ROW()-1,MATCH(N$1,貼り付け2!$1:$1,0)-1)-OFFSET(貼り付け2!$A$1,ROW()-1,MATCH(I$1,貼り付け2!$1:$1,0)-1))=3,
OFFSET(貼り付け2!$A$1,$A55-2,OFFSET(貼り付け2!$A$1,ROW()-1,MATCH(N$1,貼り付け2!$1:$1,0)-1)-3)
&amp;OFFSET(貼り付け2!$A$1,$A55-2,OFFSET(貼り付け2!$A$1,ROW()-1,MATCH(N$1,貼り付け2!$1:$1,0)-1)-2)
&amp;OFFSET(貼り付け2!$A$1,$A55-2,OFFSET(貼り付け2!$A$1,ROW()-1,MATCH(N$1,貼り付け2!$1:$1,0)-1)-1),""))),
IF(OFFSET(貼り付け2!$A$1,ROW()-1,MATCH(N$1,貼り付け2!$1:$1,0)+1)=2,
OFFSET(貼り付け2!$A$1,$A55-3,OFFSET(貼り付け2!$A$1,ROW()-1,MATCH(N$1,貼り付け2!$1:$1,0)+1)-2)
&amp;OFFSET(貼り付け2!$A$1,$A55-3,OFFSET(貼り付け2!$A$1,ROW()-1,MATCH(N$1,貼り付け2!$1:$1,0)+1)-1),
IF(OFFSET(貼り付け2!$A$1,ROW()-1,MATCH(N$1,貼り付け2!$1:$1,0)+1)=3,
OFFSET(貼り付け2!$A$1,$A55-3,OFFSET(貼り付け2!$A$1,ROW()-1,MATCH(N$1,貼り付け2!$1:$1,0)+1)-3)
&amp;OFFSET(貼り付け2!$A$1,$A55-3,OFFSET(貼り付け2!$A$1,ROW()-1,MATCH(N$1,貼り付け2!$1:$1,0)+1)-2)
&amp;OFFSET(貼り付け2!$A$1,$A55-3,OFFSET(貼り付け2!$A$1,ROW()-1,MATCH(N$1,貼り付け2!$1:$1,0)+1)-1),"")))</f>
        <v/>
      </c>
      <c r="O55" t="str">
        <f ca="1">IFERROR(OFFSET(貼り付け2!$A$1,$A55-1,OFFSET(貼り付け2!$A$1,ROW()-1,MATCH(O$1,貼り付け2!$1:$1,0)-1)-1),"")</f>
        <v/>
      </c>
      <c r="P55" t="e">
        <f ca="1">OFFSET(貼り付け1!$A$1,貼り付け1!$G54-1,2)</f>
        <v>#REF!</v>
      </c>
      <c r="Q55" t="e">
        <f ca="1">OFFSET(貼り付け1!$A$1,貼り付け1!$F54-1,2)</f>
        <v>#REF!</v>
      </c>
      <c r="R55" t="str">
        <f ca="1">IFERROR(OFFSET(貼り付け2!$A$1,まとめ!$B55-1,OFFSET(貼り付け2!$A$1,ROW()-1,MATCH(R$1,貼り付け2!$1:$1,0)-1)-1),"")</f>
        <v/>
      </c>
      <c r="S55" t="str">
        <f ca="1">IF(OFFSET(貼り付け2!$A$1,ROW()-1,MATCH(S$1,貼り付け2!$1:$1,0)-1)&lt;&gt;"",
IF($C55=TRUE,
IF((OFFSET(貼り付け2!$A$1,ROW()-1,MATCH(S$1,貼り付け2!$1:$1,0)-1)-OFFSET(貼り付け2!$A$1,ROW()-1,MATCH(N$1,貼り付け2!$1:$1,0)-1))=2,
OFFSET(貼り付け2!$A$1,$A55-4,OFFSET(貼り付け2!$A$1,ROW()-1,MATCH(S$1,貼り付け2!$1:$1,0)-1)-2)
&amp;OFFSET(貼り付け2!$A$1,$A55-4,OFFSET(貼り付け2!$A$1,ROW()-1,MATCH(S$1,貼り付け2!$1:$1,0)-1)-1),
IF((OFFSET(貼り付け2!$A$1,ROW()-1,MATCH(S$1,貼り付け2!$1:$1,0)-1)-OFFSET(貼り付け2!$A$1,ROW()-1,MATCH(N$1,貼り付け2!$1:$1,0)-1))=3,
OFFSET(貼り付け2!$A$1,$A55-4,OFFSET(貼り付け2!$A$1,ROW()-1,MATCH(S$1,貼り付け2!$1:$1,0)-1)-3)
&amp;OFFSET(貼り付け2!$A$1,$A55-4,OFFSET(貼り付け2!$A$1,ROW()-1,MATCH(S$1,貼り付け2!$1:$1,0)-1)-2)
&amp;OFFSET(貼り付け2!$A$1,$A55-4,OFFSET(貼り付け2!$A$1,ROW()-1,MATCH(S$1,貼り付け2!$1:$1,0)-1)-1),"")),
IF((OFFSET(貼り付け2!$A$1,ROW()-1,MATCH(S$1,貼り付け2!$1:$1,0)-1)-OFFSET(貼り付け2!$A$1,ROW()-1,MATCH(N$1,貼り付け2!$1:$1,0)-1))=2,
OFFSET(貼り付け2!$A$1,$A55-2,OFFSET(貼り付け2!$A$1,ROW()-1,MATCH(S$1,貼り付け2!$1:$1,0)-1)-2)
&amp;OFFSET(貼り付け2!$A$1,$A55-2,OFFSET(貼り付け2!$A$1,ROW()-1,MATCH(S$1,貼り付け2!$1:$1,0)-1)-1),
IF((OFFSET(貼り付け2!$A$1,ROW()-1,MATCH(S$1,貼り付け2!$1:$1,0)-1)-OFFSET(貼り付け2!$A$1,ROW()-1,MATCH(N$1,貼り付け2!$1:$1,0)-1))=3,
OFFSET(貼り付け2!$A$1,$A55-2,OFFSET(貼り付け2!$A$1,ROW()-1,MATCH(S$1,貼り付け2!$1:$1,0)-1)-3)
&amp;OFFSET(貼り付け2!$A$1,$A55-2,OFFSET(貼り付け2!$A$1,ROW()-1,MATCH(S$1,貼り付け2!$1:$1,0)-1)-2)
&amp;OFFSET(貼り付け2!$A$1,$A55-2,OFFSET(貼り付け2!$A$1,ROW()-1,MATCH(S$1,貼り付け2!$1:$1,0)-1)-1),""))),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OFFSET(貼り付け2!$A$1,$A55-3,OFFSET(貼り付け2!$A$1,ROW()-1,MATCH(S$1,貼り付け2!$1:$1,0)+1)-2)
&amp;OFFSET(貼り付け2!$A$1,$A55-3,OFFSET(貼り付け2!$A$1,ROW()-1,MATCH(S$1,貼り付け2!$1:$1,0)+1)-1),
IF(OFFSET(貼り付け2!$A$1,ROW()-1,MATCH(S$1,貼り付け2!$1:$1,0)+1)-OFFSET(貼り付け2!$A$1,ROW()-1,MATCH(N$1,貼り付け2!$1:$1,0)+1)=3,
OFFSET(貼り付け2!$A$1,$A55-3,OFFSET(貼り付け2!$A$1,ROW()-1,MATCH(S$1,貼り付け2!$1:$1,0)+1)-3)
&amp;OFFSET(貼り付け2!$A$1,$A55-3,OFFSET(貼り付け2!$A$1,ROW()-1,MATCH(S$1,貼り付け2!$1:$1,0)+1)-2)
&amp;OFFSET(貼り付け2!$A$1,$A55-3,OFFSET(貼り付け2!$A$1,ROW()-1,MATCH(S$1,貼り付け2!$1:$1,0)+1)-1),"")),
IF(OFFSET(貼り付け2!$A$1,ROW()-1,MATCH(S$1,貼り付け2!$1:$1,0)+1)=2,
OFFSET(貼り付け2!$A$1,$A55-3,OFFSET(貼り付け2!$A$1,ROW()-1,MATCH(S$1,貼り付け2!$1:$1,0)+1)-2)
&amp;OFFSET(貼り付け2!$A$1,$A55-3,OFFSET(貼り付け2!$A$1,ROW()-1,MATCH(S$1,貼り付け2!$1:$1,0)+1)-1),
IF(OFFSET(貼り付け2!$A$1,ROW()-1,MATCH(S$1,貼り付け2!$1:$1,0)+1)=3,
OFFSET(貼り付け2!$A$1,$A55-3,OFFSET(貼り付け2!$A$1,ROW()-1,MATCH(S$1,貼り付け2!$1:$1,0)+1)-3)
&amp;OFFSET(貼り付け2!$A$1,$A55-3,OFFSET(貼り付け2!$A$1,ROW()-1,MATCH(S$1,貼り付け2!$1:$1,0)+1)-2)
&amp;OFFSET(貼り付け2!$A$1,$A55-3,OFFSET(貼り付け2!$A$1,ROW()-1,MATCH(S$1,貼り付け2!$1:$1,0)+1)-1),""))))</f>
        <v/>
      </c>
      <c r="T55" t="str">
        <f ca="1">IFERROR(OFFSET(貼り付け2!$A$1,$A55-1,OFFSET(貼り付け2!$A$1,ROW()-1,MATCH(T$1,貼り付け2!$1:$1,0)-1)-1),"")</f>
        <v/>
      </c>
      <c r="U55" t="e">
        <f ca="1">OFFSET(貼り付け1!$A$1,貼り付け1!$G54-1,3)</f>
        <v>#REF!</v>
      </c>
      <c r="V55" t="e">
        <f ca="1">OFFSET(貼り付け1!$A$1,貼り付け1!$F54-1,3)</f>
        <v>#REF!</v>
      </c>
      <c r="W55" t="str">
        <f ca="1">IFERROR(OFFSET(貼り付け2!$A$1,まとめ!$B55-1,OFFSET(貼り付け2!$A$1,ROW()-1,MATCH(W$1,貼り付け2!$1:$1,0)-1)-1),"")</f>
        <v/>
      </c>
    </row>
    <row r="56" spans="1:23" x14ac:dyDescent="0.45">
      <c r="A56" t="str">
        <f>貼り付け2!S56</f>
        <v/>
      </c>
      <c r="B56" t="str">
        <f>貼り付け2!R56</f>
        <v/>
      </c>
      <c r="C56" t="e">
        <f t="shared" ca="1" si="2"/>
        <v>#VALUE!</v>
      </c>
      <c r="D56" t="e">
        <f ca="1">IF($C56=TRUE,
IF(OFFSET(貼り付け2!$A$1,ROW()-1,MATCH(D$1,貼り付け2!$1:$1,0)-1)=2,
OFFSET(貼り付け2!$A$1,$A56-4,OFFSET(貼り付け2!$A$1,ROW()-1,MATCH(D$1,貼り付け2!$1:$1,0)-1)-2)
&amp;OFFSET(貼り付け2!$A$1,$A56-4,OFFSET(貼り付け2!$A$1,ROW()-1,MATCH(D$1,貼り付け2!$1:$1,0)-1)-1),
IF(OFFSET(貼り付け2!$A$1,ROW()-1,MATCH(D$1,貼り付け2!$1:$1,0)-1)=3,
OFFSET(貼り付け2!$A$1,$A56-4,OFFSET(貼り付け2!$A$1,ROW()-1,MATCH(D$1,貼り付け2!$1:$1,0)-1)-3)
&amp;OFFSET(貼り付け2!$A$1,$A56-4,OFFSET(貼り付け2!$A$1,ROW()-1,MATCH(D$1,貼り付け2!$1:$1,0)-1)-2)
&amp;OFFSET(貼り付け2!$A$1,$A56-4,OFFSET(貼り付け2!$A$1,ROW()-1,MATCH(D$1,貼り付け2!$1:$1,0)-1)-1),"")),
IF(OFFSET(貼り付け2!$A$1,ROW()-1,MATCH(D$1,貼り付け2!$1:$1,0)-1)=2,
OFFSET(貼り付け2!$A$1,$A56-2,OFFSET(貼り付け2!$A$1,ROW()-1,MATCH(D$1,貼り付け2!$1:$1,0)-1)-2)
&amp;OFFSET(貼り付け2!$A$1,$A56-2,OFFSET(貼り付け2!$A$1,ROW()-1,MATCH(D$1,貼り付け2!$1:$1,0)-1)-1),
IF(OFFSET(貼り付け2!$A$1,ROW()-1,MATCH(D$1,貼り付け2!$1:$1,0)-1)=3,
OFFSET(貼り付け2!$A$1,$A56-2,OFFSET(貼り付け2!$A$1,ROW()-1,MATCH(D$1,貼り付け2!$1:$1,0)-1)-3)
&amp;OFFSET(貼り付け2!$A$1,$A56-2,OFFSET(貼り付け2!$A$1,ROW()-1,MATCH(D$1,貼り付け2!$1:$1,0)-1)-2)
&amp;OFFSET(貼り付け2!$A$1,$A56-2,OFFSET(貼り付け2!$A$1,ROW()-1,MATCH(D$1,貼り付け2!$1:$1,0)-1)-1),"")))</f>
        <v>#VALUE!</v>
      </c>
      <c r="E56" t="str">
        <f ca="1">IFERROR(OFFSET(貼り付け2!$A$1,$A56-1,OFFSET(貼り付け2!$A$1,ROW()-1,MATCH(E$1,貼り付け2!$1:$1,0)-1)-1),"")</f>
        <v/>
      </c>
      <c r="F56" t="e">
        <f ca="1">OFFSET(貼り付け1!$A$1,貼り付け1!$G55-1,0)</f>
        <v>#REF!</v>
      </c>
      <c r="G56" t="e">
        <f ca="1">OFFSET(貼り付け1!$A$1,貼り付け1!$F55-1,0)</f>
        <v>#REF!</v>
      </c>
      <c r="H56" t="str">
        <f ca="1">IFERROR(OFFSET(貼り付け2!$A$1,まとめ!$B56-1,OFFSET(貼り付け2!$A$1,ROW()-1,MATCH(H$1,貼り付け2!$1:$1,0)-1)-1),"")</f>
        <v/>
      </c>
      <c r="I56" t="e">
        <f ca="1">IF($C56=TRUE,
IF((OFFSET(貼り付け2!$A$1,ROW()-1,MATCH(I$1,貼り付け2!$1:$1,0)-1)-OFFSET(貼り付け2!$A$1,ROW()-1,MATCH(D$1,貼り付け2!$1:$1,0)-1))=2,
OFFSET(貼り付け2!$A$1,$A56-4,OFFSET(貼り付け2!$A$1,ROW()-1,MATCH(I$1,貼り付け2!$1:$1,0)-1)-2)
&amp;OFFSET(貼り付け2!$A$1,$A56-4,OFFSET(貼り付け2!$A$1,ROW()-1,MATCH(I$1,貼り付け2!$1:$1,0)-1)-1),
IF((OFFSET(貼り付け2!$A$1,ROW()-1,MATCH(I$1,貼り付け2!$1:$1,0)-1)-OFFSET(貼り付け2!$A$1,ROW()-1,MATCH(D$1,貼り付け2!$1:$1,0)-1))=3,
OFFSET(貼り付け2!$A$1,$A56-4,OFFSET(貼り付け2!$A$1,ROW()-1,MATCH(I$1,貼り付け2!$1:$1,0)-1)-3)
&amp;OFFSET(貼り付け2!$A$1,$A56-4,OFFSET(貼り付け2!$A$1,ROW()-1,MATCH(I$1,貼り付け2!$1:$1,0)-1)-2)
&amp;OFFSET(貼り付け2!$A$1,$A56-4,OFFSET(貼り付け2!$A$1,ROW()-1,MATCH(I$1,貼り付け2!$1:$1,0)-1)-1),"")),
IF((OFFSET(貼り付け2!$A$1,ROW()-1,MATCH(I$1,貼り付け2!$1:$1,0)-1)-OFFSET(貼り付け2!$A$1,ROW()-1,MATCH(D$1,貼り付け2!$1:$1,0)-1))=2,
OFFSET(貼り付け2!$A$1,$A56-2,OFFSET(貼り付け2!$A$1,ROW()-1,MATCH(I$1,貼り付け2!$1:$1,0)-1)-2)
&amp;OFFSET(貼り付け2!$A$1,$A56-2,OFFSET(貼り付け2!$A$1,ROW()-1,MATCH(I$1,貼り付け2!$1:$1,0)-1)-1),
IF((OFFSET(貼り付け2!$A$1,ROW()-1,MATCH(I$1,貼り付け2!$1:$1,0)-1)-OFFSET(貼り付け2!$A$1,ROW()-1,MATCH(D$1,貼り付け2!$1:$1,0)-1))=3,
OFFSET(貼り付け2!$A$1,$A56-2,OFFSET(貼り付け2!$A$1,ROW()-1,MATCH(I$1,貼り付け2!$1:$1,0)-1)-3)
&amp;OFFSET(貼り付け2!$A$1,$A56-2,OFFSET(貼り付け2!$A$1,ROW()-1,MATCH(I$1,貼り付け2!$1:$1,0)-1)-2)
&amp;OFFSET(貼り付け2!$A$1,$A56-2,OFFSET(貼り付け2!$A$1,ROW()-1,MATCH(I$1,貼り付け2!$1:$1,0)-1)-1),"")))</f>
        <v>#VALUE!</v>
      </c>
      <c r="J56" t="str">
        <f ca="1">IFERROR(OFFSET(貼り付け2!$A$1,$A56-1,OFFSET(貼り付け2!$A$1,ROW()-1,MATCH(J$1,貼り付け2!$1:$1,0)-1)-1),"")</f>
        <v/>
      </c>
      <c r="K56" t="e">
        <f ca="1">OFFSET(貼り付け1!$A$1,貼り付け1!$G55-1,1)</f>
        <v>#REF!</v>
      </c>
      <c r="L56" t="e">
        <f ca="1">OFFSET(貼り付け1!$A$1,貼り付け1!$F55-1,1)</f>
        <v>#REF!</v>
      </c>
      <c r="M56" t="str">
        <f ca="1">IFERROR(OFFSET(貼り付け2!$A$1,まとめ!$B56-1,OFFSET(貼り付け2!$A$1,ROW()-1,MATCH(M$1,貼り付け2!$1:$1,0)-1)-1),"")</f>
        <v/>
      </c>
      <c r="N56" t="str">
        <f ca="1">IF(OFFSET(貼り付け2!$A$1,ROW()-1,MATCH(N$1,貼り付け2!$1:$1,0)-1)&lt;&gt;"",
IF($C56=TRUE,
IF((OFFSET(貼り付け2!$A$1,ROW()-1,MATCH(N$1,貼り付け2!$1:$1,0)-1)-OFFSET(貼り付け2!$A$1,ROW()-1,MATCH(I$1,貼り付け2!$1:$1,0)-1))=2,
OFFSET(貼り付け2!$A$1,$A56-4,OFFSET(貼り付け2!$A$1,ROW()-1,MATCH(N$1,貼り付け2!$1:$1,0)-1)-2)
&amp;OFFSET(貼り付け2!$A$1,$A56-4,OFFSET(貼り付け2!$A$1,ROW()-1,MATCH(N$1,貼り付け2!$1:$1,0)-1)-1),
IF((OFFSET(貼り付け2!$A$1,ROW()-1,MATCH(N$1,貼り付け2!$1:$1,0)-1)-OFFSET(貼り付け2!$A$1,ROW()-1,MATCH(I$1,貼り付け2!$1:$1,0)-1))=3,
OFFSET(貼り付け2!$A$1,$A56-4,OFFSET(貼り付け2!$A$1,ROW()-1,MATCH(N$1,貼り付け2!$1:$1,0)-1)-3)
&amp;OFFSET(貼り付け2!$A$1,$A56-4,OFFSET(貼り付け2!$A$1,ROW()-1,MATCH(N$1,貼り付け2!$1:$1,0)-1)-2)
&amp;OFFSET(貼り付け2!$A$1,$A56-4,OFFSET(貼り付け2!$A$1,ROW()-1,MATCH(N$1,貼り付け2!$1:$1,0)-1)-1),"")),
IF((OFFSET(貼り付け2!$A$1,ROW()-1,MATCH(N$1,貼り付け2!$1:$1,0)-1)-OFFSET(貼り付け2!$A$1,ROW()-1,MATCH(I$1,貼り付け2!$1:$1,0)-1))=2,
OFFSET(貼り付け2!$A$1,$A56-2,OFFSET(貼り付け2!$A$1,ROW()-1,MATCH(N$1,貼り付け2!$1:$1,0)-1)-2)
&amp;OFFSET(貼り付け2!$A$1,$A56-2,OFFSET(貼り付け2!$A$1,ROW()-1,MATCH(N$1,貼り付け2!$1:$1,0)-1)-1),
IF((OFFSET(貼り付け2!$A$1,ROW()-1,MATCH(N$1,貼り付け2!$1:$1,0)-1)-OFFSET(貼り付け2!$A$1,ROW()-1,MATCH(I$1,貼り付け2!$1:$1,0)-1))=3,
OFFSET(貼り付け2!$A$1,$A56-2,OFFSET(貼り付け2!$A$1,ROW()-1,MATCH(N$1,貼り付け2!$1:$1,0)-1)-3)
&amp;OFFSET(貼り付け2!$A$1,$A56-2,OFFSET(貼り付け2!$A$1,ROW()-1,MATCH(N$1,貼り付け2!$1:$1,0)-1)-2)
&amp;OFFSET(貼り付け2!$A$1,$A56-2,OFFSET(貼り付け2!$A$1,ROW()-1,MATCH(N$1,貼り付け2!$1:$1,0)-1)-1),""))),
IF(OFFSET(貼り付け2!$A$1,ROW()-1,MATCH(N$1,貼り付け2!$1:$1,0)+1)=2,
OFFSET(貼り付け2!$A$1,$A56-3,OFFSET(貼り付け2!$A$1,ROW()-1,MATCH(N$1,貼り付け2!$1:$1,0)+1)-2)
&amp;OFFSET(貼り付け2!$A$1,$A56-3,OFFSET(貼り付け2!$A$1,ROW()-1,MATCH(N$1,貼り付け2!$1:$1,0)+1)-1),
IF(OFFSET(貼り付け2!$A$1,ROW()-1,MATCH(N$1,貼り付け2!$1:$1,0)+1)=3,
OFFSET(貼り付け2!$A$1,$A56-3,OFFSET(貼り付け2!$A$1,ROW()-1,MATCH(N$1,貼り付け2!$1:$1,0)+1)-3)
&amp;OFFSET(貼り付け2!$A$1,$A56-3,OFFSET(貼り付け2!$A$1,ROW()-1,MATCH(N$1,貼り付け2!$1:$1,0)+1)-2)
&amp;OFFSET(貼り付け2!$A$1,$A56-3,OFFSET(貼り付け2!$A$1,ROW()-1,MATCH(N$1,貼り付け2!$1:$1,0)+1)-1),"")))</f>
        <v/>
      </c>
      <c r="O56" t="str">
        <f ca="1">IFERROR(OFFSET(貼り付け2!$A$1,$A56-1,OFFSET(貼り付け2!$A$1,ROW()-1,MATCH(O$1,貼り付け2!$1:$1,0)-1)-1),"")</f>
        <v/>
      </c>
      <c r="P56" t="e">
        <f ca="1">OFFSET(貼り付け1!$A$1,貼り付け1!$G55-1,2)</f>
        <v>#REF!</v>
      </c>
      <c r="Q56" t="e">
        <f ca="1">OFFSET(貼り付け1!$A$1,貼り付け1!$F55-1,2)</f>
        <v>#REF!</v>
      </c>
      <c r="R56" t="str">
        <f ca="1">IFERROR(OFFSET(貼り付け2!$A$1,まとめ!$B56-1,OFFSET(貼り付け2!$A$1,ROW()-1,MATCH(R$1,貼り付け2!$1:$1,0)-1)-1),"")</f>
        <v/>
      </c>
      <c r="S56" t="str">
        <f ca="1">IF(OFFSET(貼り付け2!$A$1,ROW()-1,MATCH(S$1,貼り付け2!$1:$1,0)-1)&lt;&gt;"",
IF($C56=TRUE,
IF((OFFSET(貼り付け2!$A$1,ROW()-1,MATCH(S$1,貼り付け2!$1:$1,0)-1)-OFFSET(貼り付け2!$A$1,ROW()-1,MATCH(N$1,貼り付け2!$1:$1,0)-1))=2,
OFFSET(貼り付け2!$A$1,$A56-4,OFFSET(貼り付け2!$A$1,ROW()-1,MATCH(S$1,貼り付け2!$1:$1,0)-1)-2)
&amp;OFFSET(貼り付け2!$A$1,$A56-4,OFFSET(貼り付け2!$A$1,ROW()-1,MATCH(S$1,貼り付け2!$1:$1,0)-1)-1),
IF((OFFSET(貼り付け2!$A$1,ROW()-1,MATCH(S$1,貼り付け2!$1:$1,0)-1)-OFFSET(貼り付け2!$A$1,ROW()-1,MATCH(N$1,貼り付け2!$1:$1,0)-1))=3,
OFFSET(貼り付け2!$A$1,$A56-4,OFFSET(貼り付け2!$A$1,ROW()-1,MATCH(S$1,貼り付け2!$1:$1,0)-1)-3)
&amp;OFFSET(貼り付け2!$A$1,$A56-4,OFFSET(貼り付け2!$A$1,ROW()-1,MATCH(S$1,貼り付け2!$1:$1,0)-1)-2)
&amp;OFFSET(貼り付け2!$A$1,$A56-4,OFFSET(貼り付け2!$A$1,ROW()-1,MATCH(S$1,貼り付け2!$1:$1,0)-1)-1),"")),
IF((OFFSET(貼り付け2!$A$1,ROW()-1,MATCH(S$1,貼り付け2!$1:$1,0)-1)-OFFSET(貼り付け2!$A$1,ROW()-1,MATCH(N$1,貼り付け2!$1:$1,0)-1))=2,
OFFSET(貼り付け2!$A$1,$A56-2,OFFSET(貼り付け2!$A$1,ROW()-1,MATCH(S$1,貼り付け2!$1:$1,0)-1)-2)
&amp;OFFSET(貼り付け2!$A$1,$A56-2,OFFSET(貼り付け2!$A$1,ROW()-1,MATCH(S$1,貼り付け2!$1:$1,0)-1)-1),
IF((OFFSET(貼り付け2!$A$1,ROW()-1,MATCH(S$1,貼り付け2!$1:$1,0)-1)-OFFSET(貼り付け2!$A$1,ROW()-1,MATCH(N$1,貼り付け2!$1:$1,0)-1))=3,
OFFSET(貼り付け2!$A$1,$A56-2,OFFSET(貼り付け2!$A$1,ROW()-1,MATCH(S$1,貼り付け2!$1:$1,0)-1)-3)
&amp;OFFSET(貼り付け2!$A$1,$A56-2,OFFSET(貼り付け2!$A$1,ROW()-1,MATCH(S$1,貼り付け2!$1:$1,0)-1)-2)
&amp;OFFSET(貼り付け2!$A$1,$A56-2,OFFSET(貼り付け2!$A$1,ROW()-1,MATCH(S$1,貼り付け2!$1:$1,0)-1)-1),""))),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OFFSET(貼り付け2!$A$1,$A56-3,OFFSET(貼り付け2!$A$1,ROW()-1,MATCH(S$1,貼り付け2!$1:$1,0)+1)-2)
&amp;OFFSET(貼り付け2!$A$1,$A56-3,OFFSET(貼り付け2!$A$1,ROW()-1,MATCH(S$1,貼り付け2!$1:$1,0)+1)-1),
IF(OFFSET(貼り付け2!$A$1,ROW()-1,MATCH(S$1,貼り付け2!$1:$1,0)+1)-OFFSET(貼り付け2!$A$1,ROW()-1,MATCH(N$1,貼り付け2!$1:$1,0)+1)=3,
OFFSET(貼り付け2!$A$1,$A56-3,OFFSET(貼り付け2!$A$1,ROW()-1,MATCH(S$1,貼り付け2!$1:$1,0)+1)-3)
&amp;OFFSET(貼り付け2!$A$1,$A56-3,OFFSET(貼り付け2!$A$1,ROW()-1,MATCH(S$1,貼り付け2!$1:$1,0)+1)-2)
&amp;OFFSET(貼り付け2!$A$1,$A56-3,OFFSET(貼り付け2!$A$1,ROW()-1,MATCH(S$1,貼り付け2!$1:$1,0)+1)-1),"")),
IF(OFFSET(貼り付け2!$A$1,ROW()-1,MATCH(S$1,貼り付け2!$1:$1,0)+1)=2,
OFFSET(貼り付け2!$A$1,$A56-3,OFFSET(貼り付け2!$A$1,ROW()-1,MATCH(S$1,貼り付け2!$1:$1,0)+1)-2)
&amp;OFFSET(貼り付け2!$A$1,$A56-3,OFFSET(貼り付け2!$A$1,ROW()-1,MATCH(S$1,貼り付け2!$1:$1,0)+1)-1),
IF(OFFSET(貼り付け2!$A$1,ROW()-1,MATCH(S$1,貼り付け2!$1:$1,0)+1)=3,
OFFSET(貼り付け2!$A$1,$A56-3,OFFSET(貼り付け2!$A$1,ROW()-1,MATCH(S$1,貼り付け2!$1:$1,0)+1)-3)
&amp;OFFSET(貼り付け2!$A$1,$A56-3,OFFSET(貼り付け2!$A$1,ROW()-1,MATCH(S$1,貼り付け2!$1:$1,0)+1)-2)
&amp;OFFSET(貼り付け2!$A$1,$A56-3,OFFSET(貼り付け2!$A$1,ROW()-1,MATCH(S$1,貼り付け2!$1:$1,0)+1)-1),""))))</f>
        <v/>
      </c>
      <c r="T56" t="str">
        <f ca="1">IFERROR(OFFSET(貼り付け2!$A$1,$A56-1,OFFSET(貼り付け2!$A$1,ROW()-1,MATCH(T$1,貼り付け2!$1:$1,0)-1)-1),"")</f>
        <v/>
      </c>
      <c r="U56" t="e">
        <f ca="1">OFFSET(貼り付け1!$A$1,貼り付け1!$G55-1,3)</f>
        <v>#REF!</v>
      </c>
      <c r="V56" t="e">
        <f ca="1">OFFSET(貼り付け1!$A$1,貼り付け1!$F55-1,3)</f>
        <v>#REF!</v>
      </c>
      <c r="W56" t="str">
        <f ca="1">IFERROR(OFFSET(貼り付け2!$A$1,まとめ!$B56-1,OFFSET(貼り付け2!$A$1,ROW()-1,MATCH(W$1,貼り付け2!$1:$1,0)-1)-1),"")</f>
        <v/>
      </c>
    </row>
    <row r="57" spans="1:23" x14ac:dyDescent="0.45">
      <c r="A57" t="str">
        <f>貼り付け2!S57</f>
        <v/>
      </c>
      <c r="B57" t="str">
        <f>貼り付け2!R57</f>
        <v/>
      </c>
      <c r="C57" t="e">
        <f t="shared" ca="1" si="2"/>
        <v>#VALUE!</v>
      </c>
      <c r="D57" t="e">
        <f ca="1">IF($C57=TRUE,
IF(OFFSET(貼り付け2!$A$1,ROW()-1,MATCH(D$1,貼り付け2!$1:$1,0)-1)=2,
OFFSET(貼り付け2!$A$1,$A57-4,OFFSET(貼り付け2!$A$1,ROW()-1,MATCH(D$1,貼り付け2!$1:$1,0)-1)-2)
&amp;OFFSET(貼り付け2!$A$1,$A57-4,OFFSET(貼り付け2!$A$1,ROW()-1,MATCH(D$1,貼り付け2!$1:$1,0)-1)-1),
IF(OFFSET(貼り付け2!$A$1,ROW()-1,MATCH(D$1,貼り付け2!$1:$1,0)-1)=3,
OFFSET(貼り付け2!$A$1,$A57-4,OFFSET(貼り付け2!$A$1,ROW()-1,MATCH(D$1,貼り付け2!$1:$1,0)-1)-3)
&amp;OFFSET(貼り付け2!$A$1,$A57-4,OFFSET(貼り付け2!$A$1,ROW()-1,MATCH(D$1,貼り付け2!$1:$1,0)-1)-2)
&amp;OFFSET(貼り付け2!$A$1,$A57-4,OFFSET(貼り付け2!$A$1,ROW()-1,MATCH(D$1,貼り付け2!$1:$1,0)-1)-1),"")),
IF(OFFSET(貼り付け2!$A$1,ROW()-1,MATCH(D$1,貼り付け2!$1:$1,0)-1)=2,
OFFSET(貼り付け2!$A$1,$A57-2,OFFSET(貼り付け2!$A$1,ROW()-1,MATCH(D$1,貼り付け2!$1:$1,0)-1)-2)
&amp;OFFSET(貼り付け2!$A$1,$A57-2,OFFSET(貼り付け2!$A$1,ROW()-1,MATCH(D$1,貼り付け2!$1:$1,0)-1)-1),
IF(OFFSET(貼り付け2!$A$1,ROW()-1,MATCH(D$1,貼り付け2!$1:$1,0)-1)=3,
OFFSET(貼り付け2!$A$1,$A57-2,OFFSET(貼り付け2!$A$1,ROW()-1,MATCH(D$1,貼り付け2!$1:$1,0)-1)-3)
&amp;OFFSET(貼り付け2!$A$1,$A57-2,OFFSET(貼り付け2!$A$1,ROW()-1,MATCH(D$1,貼り付け2!$1:$1,0)-1)-2)
&amp;OFFSET(貼り付け2!$A$1,$A57-2,OFFSET(貼り付け2!$A$1,ROW()-1,MATCH(D$1,貼り付け2!$1:$1,0)-1)-1),"")))</f>
        <v>#VALUE!</v>
      </c>
      <c r="E57" t="str">
        <f ca="1">IFERROR(OFFSET(貼り付け2!$A$1,$A57-1,OFFSET(貼り付け2!$A$1,ROW()-1,MATCH(E$1,貼り付け2!$1:$1,0)-1)-1),"")</f>
        <v/>
      </c>
      <c r="F57" t="e">
        <f ca="1">OFFSET(貼り付け1!$A$1,貼り付け1!$G56-1,0)</f>
        <v>#REF!</v>
      </c>
      <c r="G57" t="e">
        <f ca="1">OFFSET(貼り付け1!$A$1,貼り付け1!$F56-1,0)</f>
        <v>#REF!</v>
      </c>
      <c r="H57" t="str">
        <f ca="1">IFERROR(OFFSET(貼り付け2!$A$1,まとめ!$B57-1,OFFSET(貼り付け2!$A$1,ROW()-1,MATCH(H$1,貼り付け2!$1:$1,0)-1)-1),"")</f>
        <v/>
      </c>
      <c r="I57" t="e">
        <f ca="1">IF($C57=TRUE,
IF((OFFSET(貼り付け2!$A$1,ROW()-1,MATCH(I$1,貼り付け2!$1:$1,0)-1)-OFFSET(貼り付け2!$A$1,ROW()-1,MATCH(D$1,貼り付け2!$1:$1,0)-1))=2,
OFFSET(貼り付け2!$A$1,$A57-4,OFFSET(貼り付け2!$A$1,ROW()-1,MATCH(I$1,貼り付け2!$1:$1,0)-1)-2)
&amp;OFFSET(貼り付け2!$A$1,$A57-4,OFFSET(貼り付け2!$A$1,ROW()-1,MATCH(I$1,貼り付け2!$1:$1,0)-1)-1),
IF((OFFSET(貼り付け2!$A$1,ROW()-1,MATCH(I$1,貼り付け2!$1:$1,0)-1)-OFFSET(貼り付け2!$A$1,ROW()-1,MATCH(D$1,貼り付け2!$1:$1,0)-1))=3,
OFFSET(貼り付け2!$A$1,$A57-4,OFFSET(貼り付け2!$A$1,ROW()-1,MATCH(I$1,貼り付け2!$1:$1,0)-1)-3)
&amp;OFFSET(貼り付け2!$A$1,$A57-4,OFFSET(貼り付け2!$A$1,ROW()-1,MATCH(I$1,貼り付け2!$1:$1,0)-1)-2)
&amp;OFFSET(貼り付け2!$A$1,$A57-4,OFFSET(貼り付け2!$A$1,ROW()-1,MATCH(I$1,貼り付け2!$1:$1,0)-1)-1),"")),
IF((OFFSET(貼り付け2!$A$1,ROW()-1,MATCH(I$1,貼り付け2!$1:$1,0)-1)-OFFSET(貼り付け2!$A$1,ROW()-1,MATCH(D$1,貼り付け2!$1:$1,0)-1))=2,
OFFSET(貼り付け2!$A$1,$A57-2,OFFSET(貼り付け2!$A$1,ROW()-1,MATCH(I$1,貼り付け2!$1:$1,0)-1)-2)
&amp;OFFSET(貼り付け2!$A$1,$A57-2,OFFSET(貼り付け2!$A$1,ROW()-1,MATCH(I$1,貼り付け2!$1:$1,0)-1)-1),
IF((OFFSET(貼り付け2!$A$1,ROW()-1,MATCH(I$1,貼り付け2!$1:$1,0)-1)-OFFSET(貼り付け2!$A$1,ROW()-1,MATCH(D$1,貼り付け2!$1:$1,0)-1))=3,
OFFSET(貼り付け2!$A$1,$A57-2,OFFSET(貼り付け2!$A$1,ROW()-1,MATCH(I$1,貼り付け2!$1:$1,0)-1)-3)
&amp;OFFSET(貼り付け2!$A$1,$A57-2,OFFSET(貼り付け2!$A$1,ROW()-1,MATCH(I$1,貼り付け2!$1:$1,0)-1)-2)
&amp;OFFSET(貼り付け2!$A$1,$A57-2,OFFSET(貼り付け2!$A$1,ROW()-1,MATCH(I$1,貼り付け2!$1:$1,0)-1)-1),"")))</f>
        <v>#VALUE!</v>
      </c>
      <c r="J57" t="str">
        <f ca="1">IFERROR(OFFSET(貼り付け2!$A$1,$A57-1,OFFSET(貼り付け2!$A$1,ROW()-1,MATCH(J$1,貼り付け2!$1:$1,0)-1)-1),"")</f>
        <v/>
      </c>
      <c r="K57" t="e">
        <f ca="1">OFFSET(貼り付け1!$A$1,貼り付け1!$G56-1,1)</f>
        <v>#REF!</v>
      </c>
      <c r="L57" t="e">
        <f ca="1">OFFSET(貼り付け1!$A$1,貼り付け1!$F56-1,1)</f>
        <v>#REF!</v>
      </c>
      <c r="M57" t="str">
        <f ca="1">IFERROR(OFFSET(貼り付け2!$A$1,まとめ!$B57-1,OFFSET(貼り付け2!$A$1,ROW()-1,MATCH(M$1,貼り付け2!$1:$1,0)-1)-1),"")</f>
        <v/>
      </c>
      <c r="N57" t="str">
        <f ca="1">IF(OFFSET(貼り付け2!$A$1,ROW()-1,MATCH(N$1,貼り付け2!$1:$1,0)-1)&lt;&gt;"",
IF($C57=TRUE,
IF((OFFSET(貼り付け2!$A$1,ROW()-1,MATCH(N$1,貼り付け2!$1:$1,0)-1)-OFFSET(貼り付け2!$A$1,ROW()-1,MATCH(I$1,貼り付け2!$1:$1,0)-1))=2,
OFFSET(貼り付け2!$A$1,$A57-4,OFFSET(貼り付け2!$A$1,ROW()-1,MATCH(N$1,貼り付け2!$1:$1,0)-1)-2)
&amp;OFFSET(貼り付け2!$A$1,$A57-4,OFFSET(貼り付け2!$A$1,ROW()-1,MATCH(N$1,貼り付け2!$1:$1,0)-1)-1),
IF((OFFSET(貼り付け2!$A$1,ROW()-1,MATCH(N$1,貼り付け2!$1:$1,0)-1)-OFFSET(貼り付け2!$A$1,ROW()-1,MATCH(I$1,貼り付け2!$1:$1,0)-1))=3,
OFFSET(貼り付け2!$A$1,$A57-4,OFFSET(貼り付け2!$A$1,ROW()-1,MATCH(N$1,貼り付け2!$1:$1,0)-1)-3)
&amp;OFFSET(貼り付け2!$A$1,$A57-4,OFFSET(貼り付け2!$A$1,ROW()-1,MATCH(N$1,貼り付け2!$1:$1,0)-1)-2)
&amp;OFFSET(貼り付け2!$A$1,$A57-4,OFFSET(貼り付け2!$A$1,ROW()-1,MATCH(N$1,貼り付け2!$1:$1,0)-1)-1),"")),
IF((OFFSET(貼り付け2!$A$1,ROW()-1,MATCH(N$1,貼り付け2!$1:$1,0)-1)-OFFSET(貼り付け2!$A$1,ROW()-1,MATCH(I$1,貼り付け2!$1:$1,0)-1))=2,
OFFSET(貼り付け2!$A$1,$A57-2,OFFSET(貼り付け2!$A$1,ROW()-1,MATCH(N$1,貼り付け2!$1:$1,0)-1)-2)
&amp;OFFSET(貼り付け2!$A$1,$A57-2,OFFSET(貼り付け2!$A$1,ROW()-1,MATCH(N$1,貼り付け2!$1:$1,0)-1)-1),
IF((OFFSET(貼り付け2!$A$1,ROW()-1,MATCH(N$1,貼り付け2!$1:$1,0)-1)-OFFSET(貼り付け2!$A$1,ROW()-1,MATCH(I$1,貼り付け2!$1:$1,0)-1))=3,
OFFSET(貼り付け2!$A$1,$A57-2,OFFSET(貼り付け2!$A$1,ROW()-1,MATCH(N$1,貼り付け2!$1:$1,0)-1)-3)
&amp;OFFSET(貼り付け2!$A$1,$A57-2,OFFSET(貼り付け2!$A$1,ROW()-1,MATCH(N$1,貼り付け2!$1:$1,0)-1)-2)
&amp;OFFSET(貼り付け2!$A$1,$A57-2,OFFSET(貼り付け2!$A$1,ROW()-1,MATCH(N$1,貼り付け2!$1:$1,0)-1)-1),""))),
IF(OFFSET(貼り付け2!$A$1,ROW()-1,MATCH(N$1,貼り付け2!$1:$1,0)+1)=2,
OFFSET(貼り付け2!$A$1,$A57-3,OFFSET(貼り付け2!$A$1,ROW()-1,MATCH(N$1,貼り付け2!$1:$1,0)+1)-2)
&amp;OFFSET(貼り付け2!$A$1,$A57-3,OFFSET(貼り付け2!$A$1,ROW()-1,MATCH(N$1,貼り付け2!$1:$1,0)+1)-1),
IF(OFFSET(貼り付け2!$A$1,ROW()-1,MATCH(N$1,貼り付け2!$1:$1,0)+1)=3,
OFFSET(貼り付け2!$A$1,$A57-3,OFFSET(貼り付け2!$A$1,ROW()-1,MATCH(N$1,貼り付け2!$1:$1,0)+1)-3)
&amp;OFFSET(貼り付け2!$A$1,$A57-3,OFFSET(貼り付け2!$A$1,ROW()-1,MATCH(N$1,貼り付け2!$1:$1,0)+1)-2)
&amp;OFFSET(貼り付け2!$A$1,$A57-3,OFFSET(貼り付け2!$A$1,ROW()-1,MATCH(N$1,貼り付け2!$1:$1,0)+1)-1),"")))</f>
        <v/>
      </c>
      <c r="O57" t="str">
        <f ca="1">IFERROR(OFFSET(貼り付け2!$A$1,$A57-1,OFFSET(貼り付け2!$A$1,ROW()-1,MATCH(O$1,貼り付け2!$1:$1,0)-1)-1),"")</f>
        <v/>
      </c>
      <c r="P57" t="e">
        <f ca="1">OFFSET(貼り付け1!$A$1,貼り付け1!$G56-1,2)</f>
        <v>#REF!</v>
      </c>
      <c r="Q57" t="e">
        <f ca="1">OFFSET(貼り付け1!$A$1,貼り付け1!$F56-1,2)</f>
        <v>#REF!</v>
      </c>
      <c r="R57" t="str">
        <f ca="1">IFERROR(OFFSET(貼り付け2!$A$1,まとめ!$B57-1,OFFSET(貼り付け2!$A$1,ROW()-1,MATCH(R$1,貼り付け2!$1:$1,0)-1)-1),"")</f>
        <v/>
      </c>
      <c r="S57" t="str">
        <f ca="1">IF(OFFSET(貼り付け2!$A$1,ROW()-1,MATCH(S$1,貼り付け2!$1:$1,0)-1)&lt;&gt;"",
IF($C57=TRUE,
IF((OFFSET(貼り付け2!$A$1,ROW()-1,MATCH(S$1,貼り付け2!$1:$1,0)-1)-OFFSET(貼り付け2!$A$1,ROW()-1,MATCH(N$1,貼り付け2!$1:$1,0)-1))=2,
OFFSET(貼り付け2!$A$1,$A57-4,OFFSET(貼り付け2!$A$1,ROW()-1,MATCH(S$1,貼り付け2!$1:$1,0)-1)-2)
&amp;OFFSET(貼り付け2!$A$1,$A57-4,OFFSET(貼り付け2!$A$1,ROW()-1,MATCH(S$1,貼り付け2!$1:$1,0)-1)-1),
IF((OFFSET(貼り付け2!$A$1,ROW()-1,MATCH(S$1,貼り付け2!$1:$1,0)-1)-OFFSET(貼り付け2!$A$1,ROW()-1,MATCH(N$1,貼り付け2!$1:$1,0)-1))=3,
OFFSET(貼り付け2!$A$1,$A57-4,OFFSET(貼り付け2!$A$1,ROW()-1,MATCH(S$1,貼り付け2!$1:$1,0)-1)-3)
&amp;OFFSET(貼り付け2!$A$1,$A57-4,OFFSET(貼り付け2!$A$1,ROW()-1,MATCH(S$1,貼り付け2!$1:$1,0)-1)-2)
&amp;OFFSET(貼り付け2!$A$1,$A57-4,OFFSET(貼り付け2!$A$1,ROW()-1,MATCH(S$1,貼り付け2!$1:$1,0)-1)-1),"")),
IF((OFFSET(貼り付け2!$A$1,ROW()-1,MATCH(S$1,貼り付け2!$1:$1,0)-1)-OFFSET(貼り付け2!$A$1,ROW()-1,MATCH(N$1,貼り付け2!$1:$1,0)-1))=2,
OFFSET(貼り付け2!$A$1,$A57-2,OFFSET(貼り付け2!$A$1,ROW()-1,MATCH(S$1,貼り付け2!$1:$1,0)-1)-2)
&amp;OFFSET(貼り付け2!$A$1,$A57-2,OFFSET(貼り付け2!$A$1,ROW()-1,MATCH(S$1,貼り付け2!$1:$1,0)-1)-1),
IF((OFFSET(貼り付け2!$A$1,ROW()-1,MATCH(S$1,貼り付け2!$1:$1,0)-1)-OFFSET(貼り付け2!$A$1,ROW()-1,MATCH(N$1,貼り付け2!$1:$1,0)-1))=3,
OFFSET(貼り付け2!$A$1,$A57-2,OFFSET(貼り付け2!$A$1,ROW()-1,MATCH(S$1,貼り付け2!$1:$1,0)-1)-3)
&amp;OFFSET(貼り付け2!$A$1,$A57-2,OFFSET(貼り付け2!$A$1,ROW()-1,MATCH(S$1,貼り付け2!$1:$1,0)-1)-2)
&amp;OFFSET(貼り付け2!$A$1,$A57-2,OFFSET(貼り付け2!$A$1,ROW()-1,MATCH(S$1,貼り付け2!$1:$1,0)-1)-1),""))),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OFFSET(貼り付け2!$A$1,$A57-3,OFFSET(貼り付け2!$A$1,ROW()-1,MATCH(S$1,貼り付け2!$1:$1,0)+1)-2)
&amp;OFFSET(貼り付け2!$A$1,$A57-3,OFFSET(貼り付け2!$A$1,ROW()-1,MATCH(S$1,貼り付け2!$1:$1,0)+1)-1),
IF(OFFSET(貼り付け2!$A$1,ROW()-1,MATCH(S$1,貼り付け2!$1:$1,0)+1)-OFFSET(貼り付け2!$A$1,ROW()-1,MATCH(N$1,貼り付け2!$1:$1,0)+1)=3,
OFFSET(貼り付け2!$A$1,$A57-3,OFFSET(貼り付け2!$A$1,ROW()-1,MATCH(S$1,貼り付け2!$1:$1,0)+1)-3)
&amp;OFFSET(貼り付け2!$A$1,$A57-3,OFFSET(貼り付け2!$A$1,ROW()-1,MATCH(S$1,貼り付け2!$1:$1,0)+1)-2)
&amp;OFFSET(貼り付け2!$A$1,$A57-3,OFFSET(貼り付け2!$A$1,ROW()-1,MATCH(S$1,貼り付け2!$1:$1,0)+1)-1),"")),
IF(OFFSET(貼り付け2!$A$1,ROW()-1,MATCH(S$1,貼り付け2!$1:$1,0)+1)=2,
OFFSET(貼り付け2!$A$1,$A57-3,OFFSET(貼り付け2!$A$1,ROW()-1,MATCH(S$1,貼り付け2!$1:$1,0)+1)-2)
&amp;OFFSET(貼り付け2!$A$1,$A57-3,OFFSET(貼り付け2!$A$1,ROW()-1,MATCH(S$1,貼り付け2!$1:$1,0)+1)-1),
IF(OFFSET(貼り付け2!$A$1,ROW()-1,MATCH(S$1,貼り付け2!$1:$1,0)+1)=3,
OFFSET(貼り付け2!$A$1,$A57-3,OFFSET(貼り付け2!$A$1,ROW()-1,MATCH(S$1,貼り付け2!$1:$1,0)+1)-3)
&amp;OFFSET(貼り付け2!$A$1,$A57-3,OFFSET(貼り付け2!$A$1,ROW()-1,MATCH(S$1,貼り付け2!$1:$1,0)+1)-2)
&amp;OFFSET(貼り付け2!$A$1,$A57-3,OFFSET(貼り付け2!$A$1,ROW()-1,MATCH(S$1,貼り付け2!$1:$1,0)+1)-1),""))))</f>
        <v/>
      </c>
      <c r="T57" t="str">
        <f ca="1">IFERROR(OFFSET(貼り付け2!$A$1,$A57-1,OFFSET(貼り付け2!$A$1,ROW()-1,MATCH(T$1,貼り付け2!$1:$1,0)-1)-1),"")</f>
        <v/>
      </c>
      <c r="U57" t="e">
        <f ca="1">OFFSET(貼り付け1!$A$1,貼り付け1!$G56-1,3)</f>
        <v>#REF!</v>
      </c>
      <c r="V57" t="e">
        <f ca="1">OFFSET(貼り付け1!$A$1,貼り付け1!$F56-1,3)</f>
        <v>#REF!</v>
      </c>
      <c r="W57" t="str">
        <f ca="1">IFERROR(OFFSET(貼り付け2!$A$1,まとめ!$B57-1,OFFSET(貼り付け2!$A$1,ROW()-1,MATCH(W$1,貼り付け2!$1:$1,0)-1)-1),"")</f>
        <v/>
      </c>
    </row>
    <row r="58" spans="1:23" x14ac:dyDescent="0.45">
      <c r="A58" t="str">
        <f>貼り付け2!S58</f>
        <v/>
      </c>
      <c r="B58" t="str">
        <f>貼り付け2!R58</f>
        <v/>
      </c>
      <c r="C58" t="e">
        <f t="shared" ca="1" si="2"/>
        <v>#VALUE!</v>
      </c>
      <c r="D58" t="e">
        <f ca="1">IF($C58=TRUE,
IF(OFFSET(貼り付け2!$A$1,ROW()-1,MATCH(D$1,貼り付け2!$1:$1,0)-1)=2,
OFFSET(貼り付け2!$A$1,$A58-4,OFFSET(貼り付け2!$A$1,ROW()-1,MATCH(D$1,貼り付け2!$1:$1,0)-1)-2)
&amp;OFFSET(貼り付け2!$A$1,$A58-4,OFFSET(貼り付け2!$A$1,ROW()-1,MATCH(D$1,貼り付け2!$1:$1,0)-1)-1),
IF(OFFSET(貼り付け2!$A$1,ROW()-1,MATCH(D$1,貼り付け2!$1:$1,0)-1)=3,
OFFSET(貼り付け2!$A$1,$A58-4,OFFSET(貼り付け2!$A$1,ROW()-1,MATCH(D$1,貼り付け2!$1:$1,0)-1)-3)
&amp;OFFSET(貼り付け2!$A$1,$A58-4,OFFSET(貼り付け2!$A$1,ROW()-1,MATCH(D$1,貼り付け2!$1:$1,0)-1)-2)
&amp;OFFSET(貼り付け2!$A$1,$A58-4,OFFSET(貼り付け2!$A$1,ROW()-1,MATCH(D$1,貼り付け2!$1:$1,0)-1)-1),"")),
IF(OFFSET(貼り付け2!$A$1,ROW()-1,MATCH(D$1,貼り付け2!$1:$1,0)-1)=2,
OFFSET(貼り付け2!$A$1,$A58-2,OFFSET(貼り付け2!$A$1,ROW()-1,MATCH(D$1,貼り付け2!$1:$1,0)-1)-2)
&amp;OFFSET(貼り付け2!$A$1,$A58-2,OFFSET(貼り付け2!$A$1,ROW()-1,MATCH(D$1,貼り付け2!$1:$1,0)-1)-1),
IF(OFFSET(貼り付け2!$A$1,ROW()-1,MATCH(D$1,貼り付け2!$1:$1,0)-1)=3,
OFFSET(貼り付け2!$A$1,$A58-2,OFFSET(貼り付け2!$A$1,ROW()-1,MATCH(D$1,貼り付け2!$1:$1,0)-1)-3)
&amp;OFFSET(貼り付け2!$A$1,$A58-2,OFFSET(貼り付け2!$A$1,ROW()-1,MATCH(D$1,貼り付け2!$1:$1,0)-1)-2)
&amp;OFFSET(貼り付け2!$A$1,$A58-2,OFFSET(貼り付け2!$A$1,ROW()-1,MATCH(D$1,貼り付け2!$1:$1,0)-1)-1),"")))</f>
        <v>#VALUE!</v>
      </c>
      <c r="E58" t="str">
        <f ca="1">IFERROR(OFFSET(貼り付け2!$A$1,$A58-1,OFFSET(貼り付け2!$A$1,ROW()-1,MATCH(E$1,貼り付け2!$1:$1,0)-1)-1),"")</f>
        <v/>
      </c>
      <c r="F58" t="e">
        <f ca="1">OFFSET(貼り付け1!$A$1,貼り付け1!$G57-1,0)</f>
        <v>#REF!</v>
      </c>
      <c r="G58" t="e">
        <f ca="1">OFFSET(貼り付け1!$A$1,貼り付け1!$F57-1,0)</f>
        <v>#REF!</v>
      </c>
      <c r="H58" t="str">
        <f ca="1">IFERROR(OFFSET(貼り付け2!$A$1,まとめ!$B58-1,OFFSET(貼り付け2!$A$1,ROW()-1,MATCH(H$1,貼り付け2!$1:$1,0)-1)-1),"")</f>
        <v/>
      </c>
      <c r="I58" t="e">
        <f ca="1">IF($C58=TRUE,
IF((OFFSET(貼り付け2!$A$1,ROW()-1,MATCH(I$1,貼り付け2!$1:$1,0)-1)-OFFSET(貼り付け2!$A$1,ROW()-1,MATCH(D$1,貼り付け2!$1:$1,0)-1))=2,
OFFSET(貼り付け2!$A$1,$A58-4,OFFSET(貼り付け2!$A$1,ROW()-1,MATCH(I$1,貼り付け2!$1:$1,0)-1)-2)
&amp;OFFSET(貼り付け2!$A$1,$A58-4,OFFSET(貼り付け2!$A$1,ROW()-1,MATCH(I$1,貼り付け2!$1:$1,0)-1)-1),
IF((OFFSET(貼り付け2!$A$1,ROW()-1,MATCH(I$1,貼り付け2!$1:$1,0)-1)-OFFSET(貼り付け2!$A$1,ROW()-1,MATCH(D$1,貼り付け2!$1:$1,0)-1))=3,
OFFSET(貼り付け2!$A$1,$A58-4,OFFSET(貼り付け2!$A$1,ROW()-1,MATCH(I$1,貼り付け2!$1:$1,0)-1)-3)
&amp;OFFSET(貼り付け2!$A$1,$A58-4,OFFSET(貼り付け2!$A$1,ROW()-1,MATCH(I$1,貼り付け2!$1:$1,0)-1)-2)
&amp;OFFSET(貼り付け2!$A$1,$A58-4,OFFSET(貼り付け2!$A$1,ROW()-1,MATCH(I$1,貼り付け2!$1:$1,0)-1)-1),"")),
IF((OFFSET(貼り付け2!$A$1,ROW()-1,MATCH(I$1,貼り付け2!$1:$1,0)-1)-OFFSET(貼り付け2!$A$1,ROW()-1,MATCH(D$1,貼り付け2!$1:$1,0)-1))=2,
OFFSET(貼り付け2!$A$1,$A58-2,OFFSET(貼り付け2!$A$1,ROW()-1,MATCH(I$1,貼り付け2!$1:$1,0)-1)-2)
&amp;OFFSET(貼り付け2!$A$1,$A58-2,OFFSET(貼り付け2!$A$1,ROW()-1,MATCH(I$1,貼り付け2!$1:$1,0)-1)-1),
IF((OFFSET(貼り付け2!$A$1,ROW()-1,MATCH(I$1,貼り付け2!$1:$1,0)-1)-OFFSET(貼り付け2!$A$1,ROW()-1,MATCH(D$1,貼り付け2!$1:$1,0)-1))=3,
OFFSET(貼り付け2!$A$1,$A58-2,OFFSET(貼り付け2!$A$1,ROW()-1,MATCH(I$1,貼り付け2!$1:$1,0)-1)-3)
&amp;OFFSET(貼り付け2!$A$1,$A58-2,OFFSET(貼り付け2!$A$1,ROW()-1,MATCH(I$1,貼り付け2!$1:$1,0)-1)-2)
&amp;OFFSET(貼り付け2!$A$1,$A58-2,OFFSET(貼り付け2!$A$1,ROW()-1,MATCH(I$1,貼り付け2!$1:$1,0)-1)-1),"")))</f>
        <v>#VALUE!</v>
      </c>
      <c r="J58" t="str">
        <f ca="1">IFERROR(OFFSET(貼り付け2!$A$1,$A58-1,OFFSET(貼り付け2!$A$1,ROW()-1,MATCH(J$1,貼り付け2!$1:$1,0)-1)-1),"")</f>
        <v/>
      </c>
      <c r="K58" t="e">
        <f ca="1">OFFSET(貼り付け1!$A$1,貼り付け1!$G57-1,1)</f>
        <v>#REF!</v>
      </c>
      <c r="L58" t="e">
        <f ca="1">OFFSET(貼り付け1!$A$1,貼り付け1!$F57-1,1)</f>
        <v>#REF!</v>
      </c>
      <c r="M58" t="str">
        <f ca="1">IFERROR(OFFSET(貼り付け2!$A$1,まとめ!$B58-1,OFFSET(貼り付け2!$A$1,ROW()-1,MATCH(M$1,貼り付け2!$1:$1,0)-1)-1),"")</f>
        <v/>
      </c>
      <c r="N58" t="str">
        <f ca="1">IF(OFFSET(貼り付け2!$A$1,ROW()-1,MATCH(N$1,貼り付け2!$1:$1,0)-1)&lt;&gt;"",
IF($C58=TRUE,
IF((OFFSET(貼り付け2!$A$1,ROW()-1,MATCH(N$1,貼り付け2!$1:$1,0)-1)-OFFSET(貼り付け2!$A$1,ROW()-1,MATCH(I$1,貼り付け2!$1:$1,0)-1))=2,
OFFSET(貼り付け2!$A$1,$A58-4,OFFSET(貼り付け2!$A$1,ROW()-1,MATCH(N$1,貼り付け2!$1:$1,0)-1)-2)
&amp;OFFSET(貼り付け2!$A$1,$A58-4,OFFSET(貼り付け2!$A$1,ROW()-1,MATCH(N$1,貼り付け2!$1:$1,0)-1)-1),
IF((OFFSET(貼り付け2!$A$1,ROW()-1,MATCH(N$1,貼り付け2!$1:$1,0)-1)-OFFSET(貼り付け2!$A$1,ROW()-1,MATCH(I$1,貼り付け2!$1:$1,0)-1))=3,
OFFSET(貼り付け2!$A$1,$A58-4,OFFSET(貼り付け2!$A$1,ROW()-1,MATCH(N$1,貼り付け2!$1:$1,0)-1)-3)
&amp;OFFSET(貼り付け2!$A$1,$A58-4,OFFSET(貼り付け2!$A$1,ROW()-1,MATCH(N$1,貼り付け2!$1:$1,0)-1)-2)
&amp;OFFSET(貼り付け2!$A$1,$A58-4,OFFSET(貼り付け2!$A$1,ROW()-1,MATCH(N$1,貼り付け2!$1:$1,0)-1)-1),"")),
IF((OFFSET(貼り付け2!$A$1,ROW()-1,MATCH(N$1,貼り付け2!$1:$1,0)-1)-OFFSET(貼り付け2!$A$1,ROW()-1,MATCH(I$1,貼り付け2!$1:$1,0)-1))=2,
OFFSET(貼り付け2!$A$1,$A58-2,OFFSET(貼り付け2!$A$1,ROW()-1,MATCH(N$1,貼り付け2!$1:$1,0)-1)-2)
&amp;OFFSET(貼り付け2!$A$1,$A58-2,OFFSET(貼り付け2!$A$1,ROW()-1,MATCH(N$1,貼り付け2!$1:$1,0)-1)-1),
IF((OFFSET(貼り付け2!$A$1,ROW()-1,MATCH(N$1,貼り付け2!$1:$1,0)-1)-OFFSET(貼り付け2!$A$1,ROW()-1,MATCH(I$1,貼り付け2!$1:$1,0)-1))=3,
OFFSET(貼り付け2!$A$1,$A58-2,OFFSET(貼り付け2!$A$1,ROW()-1,MATCH(N$1,貼り付け2!$1:$1,0)-1)-3)
&amp;OFFSET(貼り付け2!$A$1,$A58-2,OFFSET(貼り付け2!$A$1,ROW()-1,MATCH(N$1,貼り付け2!$1:$1,0)-1)-2)
&amp;OFFSET(貼り付け2!$A$1,$A58-2,OFFSET(貼り付け2!$A$1,ROW()-1,MATCH(N$1,貼り付け2!$1:$1,0)-1)-1),""))),
IF(OFFSET(貼り付け2!$A$1,ROW()-1,MATCH(N$1,貼り付け2!$1:$1,0)+1)=2,
OFFSET(貼り付け2!$A$1,$A58-3,OFFSET(貼り付け2!$A$1,ROW()-1,MATCH(N$1,貼り付け2!$1:$1,0)+1)-2)
&amp;OFFSET(貼り付け2!$A$1,$A58-3,OFFSET(貼り付け2!$A$1,ROW()-1,MATCH(N$1,貼り付け2!$1:$1,0)+1)-1),
IF(OFFSET(貼り付け2!$A$1,ROW()-1,MATCH(N$1,貼り付け2!$1:$1,0)+1)=3,
OFFSET(貼り付け2!$A$1,$A58-3,OFFSET(貼り付け2!$A$1,ROW()-1,MATCH(N$1,貼り付け2!$1:$1,0)+1)-3)
&amp;OFFSET(貼り付け2!$A$1,$A58-3,OFFSET(貼り付け2!$A$1,ROW()-1,MATCH(N$1,貼り付け2!$1:$1,0)+1)-2)
&amp;OFFSET(貼り付け2!$A$1,$A58-3,OFFSET(貼り付け2!$A$1,ROW()-1,MATCH(N$1,貼り付け2!$1:$1,0)+1)-1),"")))</f>
        <v/>
      </c>
      <c r="O58" t="str">
        <f ca="1">IFERROR(OFFSET(貼り付け2!$A$1,$A58-1,OFFSET(貼り付け2!$A$1,ROW()-1,MATCH(O$1,貼り付け2!$1:$1,0)-1)-1),"")</f>
        <v/>
      </c>
      <c r="P58" t="e">
        <f ca="1">OFFSET(貼り付け1!$A$1,貼り付け1!$G57-1,2)</f>
        <v>#REF!</v>
      </c>
      <c r="Q58" t="e">
        <f ca="1">OFFSET(貼り付け1!$A$1,貼り付け1!$F57-1,2)</f>
        <v>#REF!</v>
      </c>
      <c r="R58" t="str">
        <f ca="1">IFERROR(OFFSET(貼り付け2!$A$1,まとめ!$B58-1,OFFSET(貼り付け2!$A$1,ROW()-1,MATCH(R$1,貼り付け2!$1:$1,0)-1)-1),"")</f>
        <v/>
      </c>
      <c r="S58" t="str">
        <f ca="1">IF(OFFSET(貼り付け2!$A$1,ROW()-1,MATCH(S$1,貼り付け2!$1:$1,0)-1)&lt;&gt;"",
IF($C58=TRUE,
IF((OFFSET(貼り付け2!$A$1,ROW()-1,MATCH(S$1,貼り付け2!$1:$1,0)-1)-OFFSET(貼り付け2!$A$1,ROW()-1,MATCH(N$1,貼り付け2!$1:$1,0)-1))=2,
OFFSET(貼り付け2!$A$1,$A58-4,OFFSET(貼り付け2!$A$1,ROW()-1,MATCH(S$1,貼り付け2!$1:$1,0)-1)-2)
&amp;OFFSET(貼り付け2!$A$1,$A58-4,OFFSET(貼り付け2!$A$1,ROW()-1,MATCH(S$1,貼り付け2!$1:$1,0)-1)-1),
IF((OFFSET(貼り付け2!$A$1,ROW()-1,MATCH(S$1,貼り付け2!$1:$1,0)-1)-OFFSET(貼り付け2!$A$1,ROW()-1,MATCH(N$1,貼り付け2!$1:$1,0)-1))=3,
OFFSET(貼り付け2!$A$1,$A58-4,OFFSET(貼り付け2!$A$1,ROW()-1,MATCH(S$1,貼り付け2!$1:$1,0)-1)-3)
&amp;OFFSET(貼り付け2!$A$1,$A58-4,OFFSET(貼り付け2!$A$1,ROW()-1,MATCH(S$1,貼り付け2!$1:$1,0)-1)-2)
&amp;OFFSET(貼り付け2!$A$1,$A58-4,OFFSET(貼り付け2!$A$1,ROW()-1,MATCH(S$1,貼り付け2!$1:$1,0)-1)-1),"")),
IF((OFFSET(貼り付け2!$A$1,ROW()-1,MATCH(S$1,貼り付け2!$1:$1,0)-1)-OFFSET(貼り付け2!$A$1,ROW()-1,MATCH(N$1,貼り付け2!$1:$1,0)-1))=2,
OFFSET(貼り付け2!$A$1,$A58-2,OFFSET(貼り付け2!$A$1,ROW()-1,MATCH(S$1,貼り付け2!$1:$1,0)-1)-2)
&amp;OFFSET(貼り付け2!$A$1,$A58-2,OFFSET(貼り付け2!$A$1,ROW()-1,MATCH(S$1,貼り付け2!$1:$1,0)-1)-1),
IF((OFFSET(貼り付け2!$A$1,ROW()-1,MATCH(S$1,貼り付け2!$1:$1,0)-1)-OFFSET(貼り付け2!$A$1,ROW()-1,MATCH(N$1,貼り付け2!$1:$1,0)-1))=3,
OFFSET(貼り付け2!$A$1,$A58-2,OFFSET(貼り付け2!$A$1,ROW()-1,MATCH(S$1,貼り付け2!$1:$1,0)-1)-3)
&amp;OFFSET(貼り付け2!$A$1,$A58-2,OFFSET(貼り付け2!$A$1,ROW()-1,MATCH(S$1,貼り付け2!$1:$1,0)-1)-2)
&amp;OFFSET(貼り付け2!$A$1,$A58-2,OFFSET(貼り付け2!$A$1,ROW()-1,MATCH(S$1,貼り付け2!$1:$1,0)-1)-1),""))),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OFFSET(貼り付け2!$A$1,$A58-3,OFFSET(貼り付け2!$A$1,ROW()-1,MATCH(S$1,貼り付け2!$1:$1,0)+1)-2)
&amp;OFFSET(貼り付け2!$A$1,$A58-3,OFFSET(貼り付け2!$A$1,ROW()-1,MATCH(S$1,貼り付け2!$1:$1,0)+1)-1),
IF(OFFSET(貼り付け2!$A$1,ROW()-1,MATCH(S$1,貼り付け2!$1:$1,0)+1)-OFFSET(貼り付け2!$A$1,ROW()-1,MATCH(N$1,貼り付け2!$1:$1,0)+1)=3,
OFFSET(貼り付け2!$A$1,$A58-3,OFFSET(貼り付け2!$A$1,ROW()-1,MATCH(S$1,貼り付け2!$1:$1,0)+1)-3)
&amp;OFFSET(貼り付け2!$A$1,$A58-3,OFFSET(貼り付け2!$A$1,ROW()-1,MATCH(S$1,貼り付け2!$1:$1,0)+1)-2)
&amp;OFFSET(貼り付け2!$A$1,$A58-3,OFFSET(貼り付け2!$A$1,ROW()-1,MATCH(S$1,貼り付け2!$1:$1,0)+1)-1),"")),
IF(OFFSET(貼り付け2!$A$1,ROW()-1,MATCH(S$1,貼り付け2!$1:$1,0)+1)=2,
OFFSET(貼り付け2!$A$1,$A58-3,OFFSET(貼り付け2!$A$1,ROW()-1,MATCH(S$1,貼り付け2!$1:$1,0)+1)-2)
&amp;OFFSET(貼り付け2!$A$1,$A58-3,OFFSET(貼り付け2!$A$1,ROW()-1,MATCH(S$1,貼り付け2!$1:$1,0)+1)-1),
IF(OFFSET(貼り付け2!$A$1,ROW()-1,MATCH(S$1,貼り付け2!$1:$1,0)+1)=3,
OFFSET(貼り付け2!$A$1,$A58-3,OFFSET(貼り付け2!$A$1,ROW()-1,MATCH(S$1,貼り付け2!$1:$1,0)+1)-3)
&amp;OFFSET(貼り付け2!$A$1,$A58-3,OFFSET(貼り付け2!$A$1,ROW()-1,MATCH(S$1,貼り付け2!$1:$1,0)+1)-2)
&amp;OFFSET(貼り付け2!$A$1,$A58-3,OFFSET(貼り付け2!$A$1,ROW()-1,MATCH(S$1,貼り付け2!$1:$1,0)+1)-1),""))))</f>
        <v/>
      </c>
      <c r="T58" t="str">
        <f ca="1">IFERROR(OFFSET(貼り付け2!$A$1,$A58-1,OFFSET(貼り付け2!$A$1,ROW()-1,MATCH(T$1,貼り付け2!$1:$1,0)-1)-1),"")</f>
        <v/>
      </c>
      <c r="U58" t="e">
        <f ca="1">OFFSET(貼り付け1!$A$1,貼り付け1!$G57-1,3)</f>
        <v>#REF!</v>
      </c>
      <c r="V58" t="e">
        <f ca="1">OFFSET(貼り付け1!$A$1,貼り付け1!$F57-1,3)</f>
        <v>#REF!</v>
      </c>
      <c r="W58" t="str">
        <f ca="1">IFERROR(OFFSET(貼り付け2!$A$1,まとめ!$B58-1,OFFSET(貼り付け2!$A$1,ROW()-1,MATCH(W$1,貼り付け2!$1:$1,0)-1)-1),"")</f>
        <v/>
      </c>
    </row>
    <row r="59" spans="1:23" x14ac:dyDescent="0.45">
      <c r="A59" t="str">
        <f>貼り付け2!S59</f>
        <v/>
      </c>
      <c r="B59" t="str">
        <f>貼り付け2!R59</f>
        <v/>
      </c>
      <c r="C59" t="e">
        <f t="shared" ca="1" si="2"/>
        <v>#VALUE!</v>
      </c>
      <c r="D59" t="e">
        <f ca="1">IF($C59=TRUE,
IF(OFFSET(貼り付け2!$A$1,ROW()-1,MATCH(D$1,貼り付け2!$1:$1,0)-1)=2,
OFFSET(貼り付け2!$A$1,$A59-4,OFFSET(貼り付け2!$A$1,ROW()-1,MATCH(D$1,貼り付け2!$1:$1,0)-1)-2)
&amp;OFFSET(貼り付け2!$A$1,$A59-4,OFFSET(貼り付け2!$A$1,ROW()-1,MATCH(D$1,貼り付け2!$1:$1,0)-1)-1),
IF(OFFSET(貼り付け2!$A$1,ROW()-1,MATCH(D$1,貼り付け2!$1:$1,0)-1)=3,
OFFSET(貼り付け2!$A$1,$A59-4,OFFSET(貼り付け2!$A$1,ROW()-1,MATCH(D$1,貼り付け2!$1:$1,0)-1)-3)
&amp;OFFSET(貼り付け2!$A$1,$A59-4,OFFSET(貼り付け2!$A$1,ROW()-1,MATCH(D$1,貼り付け2!$1:$1,0)-1)-2)
&amp;OFFSET(貼り付け2!$A$1,$A59-4,OFFSET(貼り付け2!$A$1,ROW()-1,MATCH(D$1,貼り付け2!$1:$1,0)-1)-1),"")),
IF(OFFSET(貼り付け2!$A$1,ROW()-1,MATCH(D$1,貼り付け2!$1:$1,0)-1)=2,
OFFSET(貼り付け2!$A$1,$A59-2,OFFSET(貼り付け2!$A$1,ROW()-1,MATCH(D$1,貼り付け2!$1:$1,0)-1)-2)
&amp;OFFSET(貼り付け2!$A$1,$A59-2,OFFSET(貼り付け2!$A$1,ROW()-1,MATCH(D$1,貼り付け2!$1:$1,0)-1)-1),
IF(OFFSET(貼り付け2!$A$1,ROW()-1,MATCH(D$1,貼り付け2!$1:$1,0)-1)=3,
OFFSET(貼り付け2!$A$1,$A59-2,OFFSET(貼り付け2!$A$1,ROW()-1,MATCH(D$1,貼り付け2!$1:$1,0)-1)-3)
&amp;OFFSET(貼り付け2!$A$1,$A59-2,OFFSET(貼り付け2!$A$1,ROW()-1,MATCH(D$1,貼り付け2!$1:$1,0)-1)-2)
&amp;OFFSET(貼り付け2!$A$1,$A59-2,OFFSET(貼り付け2!$A$1,ROW()-1,MATCH(D$1,貼り付け2!$1:$1,0)-1)-1),"")))</f>
        <v>#VALUE!</v>
      </c>
      <c r="E59" t="str">
        <f ca="1">IFERROR(OFFSET(貼り付け2!$A$1,$A59-1,OFFSET(貼り付け2!$A$1,ROW()-1,MATCH(E$1,貼り付け2!$1:$1,0)-1)-1),"")</f>
        <v/>
      </c>
      <c r="F59" t="e">
        <f ca="1">OFFSET(貼り付け1!$A$1,貼り付け1!$G58-1,0)</f>
        <v>#REF!</v>
      </c>
      <c r="G59" t="e">
        <f ca="1">OFFSET(貼り付け1!$A$1,貼り付け1!$F58-1,0)</f>
        <v>#REF!</v>
      </c>
      <c r="H59" t="str">
        <f ca="1">IFERROR(OFFSET(貼り付け2!$A$1,まとめ!$B59-1,OFFSET(貼り付け2!$A$1,ROW()-1,MATCH(H$1,貼り付け2!$1:$1,0)-1)-1),"")</f>
        <v/>
      </c>
      <c r="I59" t="e">
        <f ca="1">IF($C59=TRUE,
IF((OFFSET(貼り付け2!$A$1,ROW()-1,MATCH(I$1,貼り付け2!$1:$1,0)-1)-OFFSET(貼り付け2!$A$1,ROW()-1,MATCH(D$1,貼り付け2!$1:$1,0)-1))=2,
OFFSET(貼り付け2!$A$1,$A59-4,OFFSET(貼り付け2!$A$1,ROW()-1,MATCH(I$1,貼り付け2!$1:$1,0)-1)-2)
&amp;OFFSET(貼り付け2!$A$1,$A59-4,OFFSET(貼り付け2!$A$1,ROW()-1,MATCH(I$1,貼り付け2!$1:$1,0)-1)-1),
IF((OFFSET(貼り付け2!$A$1,ROW()-1,MATCH(I$1,貼り付け2!$1:$1,0)-1)-OFFSET(貼り付け2!$A$1,ROW()-1,MATCH(D$1,貼り付け2!$1:$1,0)-1))=3,
OFFSET(貼り付け2!$A$1,$A59-4,OFFSET(貼り付け2!$A$1,ROW()-1,MATCH(I$1,貼り付け2!$1:$1,0)-1)-3)
&amp;OFFSET(貼り付け2!$A$1,$A59-4,OFFSET(貼り付け2!$A$1,ROW()-1,MATCH(I$1,貼り付け2!$1:$1,0)-1)-2)
&amp;OFFSET(貼り付け2!$A$1,$A59-4,OFFSET(貼り付け2!$A$1,ROW()-1,MATCH(I$1,貼り付け2!$1:$1,0)-1)-1),"")),
IF((OFFSET(貼り付け2!$A$1,ROW()-1,MATCH(I$1,貼り付け2!$1:$1,0)-1)-OFFSET(貼り付け2!$A$1,ROW()-1,MATCH(D$1,貼り付け2!$1:$1,0)-1))=2,
OFFSET(貼り付け2!$A$1,$A59-2,OFFSET(貼り付け2!$A$1,ROW()-1,MATCH(I$1,貼り付け2!$1:$1,0)-1)-2)
&amp;OFFSET(貼り付け2!$A$1,$A59-2,OFFSET(貼り付け2!$A$1,ROW()-1,MATCH(I$1,貼り付け2!$1:$1,0)-1)-1),
IF((OFFSET(貼り付け2!$A$1,ROW()-1,MATCH(I$1,貼り付け2!$1:$1,0)-1)-OFFSET(貼り付け2!$A$1,ROW()-1,MATCH(D$1,貼り付け2!$1:$1,0)-1))=3,
OFFSET(貼り付け2!$A$1,$A59-2,OFFSET(貼り付け2!$A$1,ROW()-1,MATCH(I$1,貼り付け2!$1:$1,0)-1)-3)
&amp;OFFSET(貼り付け2!$A$1,$A59-2,OFFSET(貼り付け2!$A$1,ROW()-1,MATCH(I$1,貼り付け2!$1:$1,0)-1)-2)
&amp;OFFSET(貼り付け2!$A$1,$A59-2,OFFSET(貼り付け2!$A$1,ROW()-1,MATCH(I$1,貼り付け2!$1:$1,0)-1)-1),"")))</f>
        <v>#VALUE!</v>
      </c>
      <c r="J59" t="str">
        <f ca="1">IFERROR(OFFSET(貼り付け2!$A$1,$A59-1,OFFSET(貼り付け2!$A$1,ROW()-1,MATCH(J$1,貼り付け2!$1:$1,0)-1)-1),"")</f>
        <v/>
      </c>
      <c r="K59" t="e">
        <f ca="1">OFFSET(貼り付け1!$A$1,貼り付け1!$G58-1,1)</f>
        <v>#REF!</v>
      </c>
      <c r="L59" t="e">
        <f ca="1">OFFSET(貼り付け1!$A$1,貼り付け1!$F58-1,1)</f>
        <v>#REF!</v>
      </c>
      <c r="M59" t="str">
        <f ca="1">IFERROR(OFFSET(貼り付け2!$A$1,まとめ!$B59-1,OFFSET(貼り付け2!$A$1,ROW()-1,MATCH(M$1,貼り付け2!$1:$1,0)-1)-1),"")</f>
        <v/>
      </c>
      <c r="N59" t="str">
        <f ca="1">IF(OFFSET(貼り付け2!$A$1,ROW()-1,MATCH(N$1,貼り付け2!$1:$1,0)-1)&lt;&gt;"",
IF($C59=TRUE,
IF((OFFSET(貼り付け2!$A$1,ROW()-1,MATCH(N$1,貼り付け2!$1:$1,0)-1)-OFFSET(貼り付け2!$A$1,ROW()-1,MATCH(I$1,貼り付け2!$1:$1,0)-1))=2,
OFFSET(貼り付け2!$A$1,$A59-4,OFFSET(貼り付け2!$A$1,ROW()-1,MATCH(N$1,貼り付け2!$1:$1,0)-1)-2)
&amp;OFFSET(貼り付け2!$A$1,$A59-4,OFFSET(貼り付け2!$A$1,ROW()-1,MATCH(N$1,貼り付け2!$1:$1,0)-1)-1),
IF((OFFSET(貼り付け2!$A$1,ROW()-1,MATCH(N$1,貼り付け2!$1:$1,0)-1)-OFFSET(貼り付け2!$A$1,ROW()-1,MATCH(I$1,貼り付け2!$1:$1,0)-1))=3,
OFFSET(貼り付け2!$A$1,$A59-4,OFFSET(貼り付け2!$A$1,ROW()-1,MATCH(N$1,貼り付け2!$1:$1,0)-1)-3)
&amp;OFFSET(貼り付け2!$A$1,$A59-4,OFFSET(貼り付け2!$A$1,ROW()-1,MATCH(N$1,貼り付け2!$1:$1,0)-1)-2)
&amp;OFFSET(貼り付け2!$A$1,$A59-4,OFFSET(貼り付け2!$A$1,ROW()-1,MATCH(N$1,貼り付け2!$1:$1,0)-1)-1),"")),
IF((OFFSET(貼り付け2!$A$1,ROW()-1,MATCH(N$1,貼り付け2!$1:$1,0)-1)-OFFSET(貼り付け2!$A$1,ROW()-1,MATCH(I$1,貼り付け2!$1:$1,0)-1))=2,
OFFSET(貼り付け2!$A$1,$A59-2,OFFSET(貼り付け2!$A$1,ROW()-1,MATCH(N$1,貼り付け2!$1:$1,0)-1)-2)
&amp;OFFSET(貼り付け2!$A$1,$A59-2,OFFSET(貼り付け2!$A$1,ROW()-1,MATCH(N$1,貼り付け2!$1:$1,0)-1)-1),
IF((OFFSET(貼り付け2!$A$1,ROW()-1,MATCH(N$1,貼り付け2!$1:$1,0)-1)-OFFSET(貼り付け2!$A$1,ROW()-1,MATCH(I$1,貼り付け2!$1:$1,0)-1))=3,
OFFSET(貼り付け2!$A$1,$A59-2,OFFSET(貼り付け2!$A$1,ROW()-1,MATCH(N$1,貼り付け2!$1:$1,0)-1)-3)
&amp;OFFSET(貼り付け2!$A$1,$A59-2,OFFSET(貼り付け2!$A$1,ROW()-1,MATCH(N$1,貼り付け2!$1:$1,0)-1)-2)
&amp;OFFSET(貼り付け2!$A$1,$A59-2,OFFSET(貼り付け2!$A$1,ROW()-1,MATCH(N$1,貼り付け2!$1:$1,0)-1)-1),""))),
IF(OFFSET(貼り付け2!$A$1,ROW()-1,MATCH(N$1,貼り付け2!$1:$1,0)+1)=2,
OFFSET(貼り付け2!$A$1,$A59-3,OFFSET(貼り付け2!$A$1,ROW()-1,MATCH(N$1,貼り付け2!$1:$1,0)+1)-2)
&amp;OFFSET(貼り付け2!$A$1,$A59-3,OFFSET(貼り付け2!$A$1,ROW()-1,MATCH(N$1,貼り付け2!$1:$1,0)+1)-1),
IF(OFFSET(貼り付け2!$A$1,ROW()-1,MATCH(N$1,貼り付け2!$1:$1,0)+1)=3,
OFFSET(貼り付け2!$A$1,$A59-3,OFFSET(貼り付け2!$A$1,ROW()-1,MATCH(N$1,貼り付け2!$1:$1,0)+1)-3)
&amp;OFFSET(貼り付け2!$A$1,$A59-3,OFFSET(貼り付け2!$A$1,ROW()-1,MATCH(N$1,貼り付け2!$1:$1,0)+1)-2)
&amp;OFFSET(貼り付け2!$A$1,$A59-3,OFFSET(貼り付け2!$A$1,ROW()-1,MATCH(N$1,貼り付け2!$1:$1,0)+1)-1),"")))</f>
        <v/>
      </c>
      <c r="O59" t="str">
        <f ca="1">IFERROR(OFFSET(貼り付け2!$A$1,$A59-1,OFFSET(貼り付け2!$A$1,ROW()-1,MATCH(O$1,貼り付け2!$1:$1,0)-1)-1),"")</f>
        <v/>
      </c>
      <c r="P59" t="e">
        <f ca="1">OFFSET(貼り付け1!$A$1,貼り付け1!$G58-1,2)</f>
        <v>#REF!</v>
      </c>
      <c r="Q59" t="e">
        <f ca="1">OFFSET(貼り付け1!$A$1,貼り付け1!$F58-1,2)</f>
        <v>#REF!</v>
      </c>
      <c r="R59" t="str">
        <f ca="1">IFERROR(OFFSET(貼り付け2!$A$1,まとめ!$B59-1,OFFSET(貼り付け2!$A$1,ROW()-1,MATCH(R$1,貼り付け2!$1:$1,0)-1)-1),"")</f>
        <v/>
      </c>
      <c r="S59" t="str">
        <f ca="1">IF(OFFSET(貼り付け2!$A$1,ROW()-1,MATCH(S$1,貼り付け2!$1:$1,0)-1)&lt;&gt;"",
IF($C59=TRUE,
IF((OFFSET(貼り付け2!$A$1,ROW()-1,MATCH(S$1,貼り付け2!$1:$1,0)-1)-OFFSET(貼り付け2!$A$1,ROW()-1,MATCH(N$1,貼り付け2!$1:$1,0)-1))=2,
OFFSET(貼り付け2!$A$1,$A59-4,OFFSET(貼り付け2!$A$1,ROW()-1,MATCH(S$1,貼り付け2!$1:$1,0)-1)-2)
&amp;OFFSET(貼り付け2!$A$1,$A59-4,OFFSET(貼り付け2!$A$1,ROW()-1,MATCH(S$1,貼り付け2!$1:$1,0)-1)-1),
IF((OFFSET(貼り付け2!$A$1,ROW()-1,MATCH(S$1,貼り付け2!$1:$1,0)-1)-OFFSET(貼り付け2!$A$1,ROW()-1,MATCH(N$1,貼り付け2!$1:$1,0)-1))=3,
OFFSET(貼り付け2!$A$1,$A59-4,OFFSET(貼り付け2!$A$1,ROW()-1,MATCH(S$1,貼り付け2!$1:$1,0)-1)-3)
&amp;OFFSET(貼り付け2!$A$1,$A59-4,OFFSET(貼り付け2!$A$1,ROW()-1,MATCH(S$1,貼り付け2!$1:$1,0)-1)-2)
&amp;OFFSET(貼り付け2!$A$1,$A59-4,OFFSET(貼り付け2!$A$1,ROW()-1,MATCH(S$1,貼り付け2!$1:$1,0)-1)-1),"")),
IF((OFFSET(貼り付け2!$A$1,ROW()-1,MATCH(S$1,貼り付け2!$1:$1,0)-1)-OFFSET(貼り付け2!$A$1,ROW()-1,MATCH(N$1,貼り付け2!$1:$1,0)-1))=2,
OFFSET(貼り付け2!$A$1,$A59-2,OFFSET(貼り付け2!$A$1,ROW()-1,MATCH(S$1,貼り付け2!$1:$1,0)-1)-2)
&amp;OFFSET(貼り付け2!$A$1,$A59-2,OFFSET(貼り付け2!$A$1,ROW()-1,MATCH(S$1,貼り付け2!$1:$1,0)-1)-1),
IF((OFFSET(貼り付け2!$A$1,ROW()-1,MATCH(S$1,貼り付け2!$1:$1,0)-1)-OFFSET(貼り付け2!$A$1,ROW()-1,MATCH(N$1,貼り付け2!$1:$1,0)-1))=3,
OFFSET(貼り付け2!$A$1,$A59-2,OFFSET(貼り付け2!$A$1,ROW()-1,MATCH(S$1,貼り付け2!$1:$1,0)-1)-3)
&amp;OFFSET(貼り付け2!$A$1,$A59-2,OFFSET(貼り付け2!$A$1,ROW()-1,MATCH(S$1,貼り付け2!$1:$1,0)-1)-2)
&amp;OFFSET(貼り付け2!$A$1,$A59-2,OFFSET(貼り付け2!$A$1,ROW()-1,MATCH(S$1,貼り付け2!$1:$1,0)-1)-1),""))),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OFFSET(貼り付け2!$A$1,$A59-3,OFFSET(貼り付け2!$A$1,ROW()-1,MATCH(S$1,貼り付け2!$1:$1,0)+1)-2)
&amp;OFFSET(貼り付け2!$A$1,$A59-3,OFFSET(貼り付け2!$A$1,ROW()-1,MATCH(S$1,貼り付け2!$1:$1,0)+1)-1),
IF(OFFSET(貼り付け2!$A$1,ROW()-1,MATCH(S$1,貼り付け2!$1:$1,0)+1)-OFFSET(貼り付け2!$A$1,ROW()-1,MATCH(N$1,貼り付け2!$1:$1,0)+1)=3,
OFFSET(貼り付け2!$A$1,$A59-3,OFFSET(貼り付け2!$A$1,ROW()-1,MATCH(S$1,貼り付け2!$1:$1,0)+1)-3)
&amp;OFFSET(貼り付け2!$A$1,$A59-3,OFFSET(貼り付け2!$A$1,ROW()-1,MATCH(S$1,貼り付け2!$1:$1,0)+1)-2)
&amp;OFFSET(貼り付け2!$A$1,$A59-3,OFFSET(貼り付け2!$A$1,ROW()-1,MATCH(S$1,貼り付け2!$1:$1,0)+1)-1),"")),
IF(OFFSET(貼り付け2!$A$1,ROW()-1,MATCH(S$1,貼り付け2!$1:$1,0)+1)=2,
OFFSET(貼り付け2!$A$1,$A59-3,OFFSET(貼り付け2!$A$1,ROW()-1,MATCH(S$1,貼り付け2!$1:$1,0)+1)-2)
&amp;OFFSET(貼り付け2!$A$1,$A59-3,OFFSET(貼り付け2!$A$1,ROW()-1,MATCH(S$1,貼り付け2!$1:$1,0)+1)-1),
IF(OFFSET(貼り付け2!$A$1,ROW()-1,MATCH(S$1,貼り付け2!$1:$1,0)+1)=3,
OFFSET(貼り付け2!$A$1,$A59-3,OFFSET(貼り付け2!$A$1,ROW()-1,MATCH(S$1,貼り付け2!$1:$1,0)+1)-3)
&amp;OFFSET(貼り付け2!$A$1,$A59-3,OFFSET(貼り付け2!$A$1,ROW()-1,MATCH(S$1,貼り付け2!$1:$1,0)+1)-2)
&amp;OFFSET(貼り付け2!$A$1,$A59-3,OFFSET(貼り付け2!$A$1,ROW()-1,MATCH(S$1,貼り付け2!$1:$1,0)+1)-1),""))))</f>
        <v/>
      </c>
      <c r="T59" t="str">
        <f ca="1">IFERROR(OFFSET(貼り付け2!$A$1,$A59-1,OFFSET(貼り付け2!$A$1,ROW()-1,MATCH(T$1,貼り付け2!$1:$1,0)-1)-1),"")</f>
        <v/>
      </c>
      <c r="U59" t="e">
        <f ca="1">OFFSET(貼り付け1!$A$1,貼り付け1!$G58-1,3)</f>
        <v>#REF!</v>
      </c>
      <c r="V59" t="e">
        <f ca="1">OFFSET(貼り付け1!$A$1,貼り付け1!$F58-1,3)</f>
        <v>#REF!</v>
      </c>
      <c r="W59" t="str">
        <f ca="1">IFERROR(OFFSET(貼り付け2!$A$1,まとめ!$B59-1,OFFSET(貼り付け2!$A$1,ROW()-1,MATCH(W$1,貼り付け2!$1:$1,0)-1)-1),"")</f>
        <v/>
      </c>
    </row>
    <row r="60" spans="1:23" x14ac:dyDescent="0.45">
      <c r="A60" t="str">
        <f>貼り付け2!S60</f>
        <v/>
      </c>
      <c r="B60" t="str">
        <f>貼り付け2!R60</f>
        <v/>
      </c>
      <c r="C60" t="e">
        <f t="shared" ca="1" si="2"/>
        <v>#VALUE!</v>
      </c>
      <c r="D60" t="e">
        <f ca="1">IF($C60=TRUE,
IF(OFFSET(貼り付け2!$A$1,ROW()-1,MATCH(D$1,貼り付け2!$1:$1,0)-1)=2,
OFFSET(貼り付け2!$A$1,$A60-4,OFFSET(貼り付け2!$A$1,ROW()-1,MATCH(D$1,貼り付け2!$1:$1,0)-1)-2)
&amp;OFFSET(貼り付け2!$A$1,$A60-4,OFFSET(貼り付け2!$A$1,ROW()-1,MATCH(D$1,貼り付け2!$1:$1,0)-1)-1),
IF(OFFSET(貼り付け2!$A$1,ROW()-1,MATCH(D$1,貼り付け2!$1:$1,0)-1)=3,
OFFSET(貼り付け2!$A$1,$A60-4,OFFSET(貼り付け2!$A$1,ROW()-1,MATCH(D$1,貼り付け2!$1:$1,0)-1)-3)
&amp;OFFSET(貼り付け2!$A$1,$A60-4,OFFSET(貼り付け2!$A$1,ROW()-1,MATCH(D$1,貼り付け2!$1:$1,0)-1)-2)
&amp;OFFSET(貼り付け2!$A$1,$A60-4,OFFSET(貼り付け2!$A$1,ROW()-1,MATCH(D$1,貼り付け2!$1:$1,0)-1)-1),"")),
IF(OFFSET(貼り付け2!$A$1,ROW()-1,MATCH(D$1,貼り付け2!$1:$1,0)-1)=2,
OFFSET(貼り付け2!$A$1,$A60-2,OFFSET(貼り付け2!$A$1,ROW()-1,MATCH(D$1,貼り付け2!$1:$1,0)-1)-2)
&amp;OFFSET(貼り付け2!$A$1,$A60-2,OFFSET(貼り付け2!$A$1,ROW()-1,MATCH(D$1,貼り付け2!$1:$1,0)-1)-1),
IF(OFFSET(貼り付け2!$A$1,ROW()-1,MATCH(D$1,貼り付け2!$1:$1,0)-1)=3,
OFFSET(貼り付け2!$A$1,$A60-2,OFFSET(貼り付け2!$A$1,ROW()-1,MATCH(D$1,貼り付け2!$1:$1,0)-1)-3)
&amp;OFFSET(貼り付け2!$A$1,$A60-2,OFFSET(貼り付け2!$A$1,ROW()-1,MATCH(D$1,貼り付け2!$1:$1,0)-1)-2)
&amp;OFFSET(貼り付け2!$A$1,$A60-2,OFFSET(貼り付け2!$A$1,ROW()-1,MATCH(D$1,貼り付け2!$1:$1,0)-1)-1),"")))</f>
        <v>#VALUE!</v>
      </c>
      <c r="E60" t="str">
        <f ca="1">IFERROR(OFFSET(貼り付け2!$A$1,$A60-1,OFFSET(貼り付け2!$A$1,ROW()-1,MATCH(E$1,貼り付け2!$1:$1,0)-1)-1),"")</f>
        <v/>
      </c>
      <c r="F60" t="e">
        <f ca="1">OFFSET(貼り付け1!$A$1,貼り付け1!$G59-1,0)</f>
        <v>#REF!</v>
      </c>
      <c r="G60" t="e">
        <f ca="1">OFFSET(貼り付け1!$A$1,貼り付け1!$F59-1,0)</f>
        <v>#REF!</v>
      </c>
      <c r="H60" t="str">
        <f ca="1">IFERROR(OFFSET(貼り付け2!$A$1,まとめ!$B60-1,OFFSET(貼り付け2!$A$1,ROW()-1,MATCH(H$1,貼り付け2!$1:$1,0)-1)-1),"")</f>
        <v/>
      </c>
      <c r="I60" t="e">
        <f ca="1">IF($C60=TRUE,
IF((OFFSET(貼り付け2!$A$1,ROW()-1,MATCH(I$1,貼り付け2!$1:$1,0)-1)-OFFSET(貼り付け2!$A$1,ROW()-1,MATCH(D$1,貼り付け2!$1:$1,0)-1))=2,
OFFSET(貼り付け2!$A$1,$A60-4,OFFSET(貼り付け2!$A$1,ROW()-1,MATCH(I$1,貼り付け2!$1:$1,0)-1)-2)
&amp;OFFSET(貼り付け2!$A$1,$A60-4,OFFSET(貼り付け2!$A$1,ROW()-1,MATCH(I$1,貼り付け2!$1:$1,0)-1)-1),
IF((OFFSET(貼り付け2!$A$1,ROW()-1,MATCH(I$1,貼り付け2!$1:$1,0)-1)-OFFSET(貼り付け2!$A$1,ROW()-1,MATCH(D$1,貼り付け2!$1:$1,0)-1))=3,
OFFSET(貼り付け2!$A$1,$A60-4,OFFSET(貼り付け2!$A$1,ROW()-1,MATCH(I$1,貼り付け2!$1:$1,0)-1)-3)
&amp;OFFSET(貼り付け2!$A$1,$A60-4,OFFSET(貼り付け2!$A$1,ROW()-1,MATCH(I$1,貼り付け2!$1:$1,0)-1)-2)
&amp;OFFSET(貼り付け2!$A$1,$A60-4,OFFSET(貼り付け2!$A$1,ROW()-1,MATCH(I$1,貼り付け2!$1:$1,0)-1)-1),"")),
IF((OFFSET(貼り付け2!$A$1,ROW()-1,MATCH(I$1,貼り付け2!$1:$1,0)-1)-OFFSET(貼り付け2!$A$1,ROW()-1,MATCH(D$1,貼り付け2!$1:$1,0)-1))=2,
OFFSET(貼り付け2!$A$1,$A60-2,OFFSET(貼り付け2!$A$1,ROW()-1,MATCH(I$1,貼り付け2!$1:$1,0)-1)-2)
&amp;OFFSET(貼り付け2!$A$1,$A60-2,OFFSET(貼り付け2!$A$1,ROW()-1,MATCH(I$1,貼り付け2!$1:$1,0)-1)-1),
IF((OFFSET(貼り付け2!$A$1,ROW()-1,MATCH(I$1,貼り付け2!$1:$1,0)-1)-OFFSET(貼り付け2!$A$1,ROW()-1,MATCH(D$1,貼り付け2!$1:$1,0)-1))=3,
OFFSET(貼り付け2!$A$1,$A60-2,OFFSET(貼り付け2!$A$1,ROW()-1,MATCH(I$1,貼り付け2!$1:$1,0)-1)-3)
&amp;OFFSET(貼り付け2!$A$1,$A60-2,OFFSET(貼り付け2!$A$1,ROW()-1,MATCH(I$1,貼り付け2!$1:$1,0)-1)-2)
&amp;OFFSET(貼り付け2!$A$1,$A60-2,OFFSET(貼り付け2!$A$1,ROW()-1,MATCH(I$1,貼り付け2!$1:$1,0)-1)-1),"")))</f>
        <v>#VALUE!</v>
      </c>
      <c r="J60" t="str">
        <f ca="1">IFERROR(OFFSET(貼り付け2!$A$1,$A60-1,OFFSET(貼り付け2!$A$1,ROW()-1,MATCH(J$1,貼り付け2!$1:$1,0)-1)-1),"")</f>
        <v/>
      </c>
      <c r="K60" t="e">
        <f ca="1">OFFSET(貼り付け1!$A$1,貼り付け1!$G59-1,1)</f>
        <v>#REF!</v>
      </c>
      <c r="L60" t="e">
        <f ca="1">OFFSET(貼り付け1!$A$1,貼り付け1!$F59-1,1)</f>
        <v>#REF!</v>
      </c>
      <c r="M60" t="str">
        <f ca="1">IFERROR(OFFSET(貼り付け2!$A$1,まとめ!$B60-1,OFFSET(貼り付け2!$A$1,ROW()-1,MATCH(M$1,貼り付け2!$1:$1,0)-1)-1),"")</f>
        <v/>
      </c>
      <c r="O60" t="str">
        <f ca="1">IFERROR(OFFSET(貼り付け2!$A$1,$A60-1,OFFSET(貼り付け2!$A$1,ROW()-1,MATCH(O$1,貼り付け2!$1:$1,0)-1)-1),"")</f>
        <v/>
      </c>
      <c r="P60" t="e">
        <f ca="1">OFFSET(貼り付け1!$A$1,貼り付け1!$G59-1,2)</f>
        <v>#REF!</v>
      </c>
      <c r="Q60" t="e">
        <f ca="1">OFFSET(貼り付け1!$A$1,貼り付け1!$F59-1,2)</f>
        <v>#REF!</v>
      </c>
      <c r="R60" t="str">
        <f ca="1">IFERROR(OFFSET(貼り付け2!$A$1,まとめ!$B60-1,OFFSET(貼り付け2!$A$1,ROW()-1,MATCH(R$1,貼り付け2!$1:$1,0)-1)-1),"")</f>
        <v/>
      </c>
      <c r="S60" t="str">
        <f ca="1">IF(OFFSET(貼り付け2!$A$1,ROW()-1,MATCH(S$1,貼り付け2!$1:$1,0)-1)&lt;&gt;"",
IF($C60=TRUE,
IF((OFFSET(貼り付け2!$A$1,ROW()-1,MATCH(S$1,貼り付け2!$1:$1,0)-1)-OFFSET(貼り付け2!$A$1,ROW()-1,MATCH(N$1,貼り付け2!$1:$1,0)-1))=2,
OFFSET(貼り付け2!$A$1,$A60-4,OFFSET(貼り付け2!$A$1,ROW()-1,MATCH(S$1,貼り付け2!$1:$1,0)-1)-2)
&amp;OFFSET(貼り付け2!$A$1,$A60-4,OFFSET(貼り付け2!$A$1,ROW()-1,MATCH(S$1,貼り付け2!$1:$1,0)-1)-1),
IF((OFFSET(貼り付け2!$A$1,ROW()-1,MATCH(S$1,貼り付け2!$1:$1,0)-1)-OFFSET(貼り付け2!$A$1,ROW()-1,MATCH(N$1,貼り付け2!$1:$1,0)-1))=3,
OFFSET(貼り付け2!$A$1,$A60-4,OFFSET(貼り付け2!$A$1,ROW()-1,MATCH(S$1,貼り付け2!$1:$1,0)-1)-3)
&amp;OFFSET(貼り付け2!$A$1,$A60-4,OFFSET(貼り付け2!$A$1,ROW()-1,MATCH(S$1,貼り付け2!$1:$1,0)-1)-2)
&amp;OFFSET(貼り付け2!$A$1,$A60-4,OFFSET(貼り付け2!$A$1,ROW()-1,MATCH(S$1,貼り付け2!$1:$1,0)-1)-1),"")),
IF((OFFSET(貼り付け2!$A$1,ROW()-1,MATCH(S$1,貼り付け2!$1:$1,0)-1)-OFFSET(貼り付け2!$A$1,ROW()-1,MATCH(N$1,貼り付け2!$1:$1,0)-1))=2,
OFFSET(貼り付け2!$A$1,$A60-2,OFFSET(貼り付け2!$A$1,ROW()-1,MATCH(S$1,貼り付け2!$1:$1,0)-1)-2)
&amp;OFFSET(貼り付け2!$A$1,$A60-2,OFFSET(貼り付け2!$A$1,ROW()-1,MATCH(S$1,貼り付け2!$1:$1,0)-1)-1),
IF((OFFSET(貼り付け2!$A$1,ROW()-1,MATCH(S$1,貼り付け2!$1:$1,0)-1)-OFFSET(貼り付け2!$A$1,ROW()-1,MATCH(N$1,貼り付け2!$1:$1,0)-1))=3,
OFFSET(貼り付け2!$A$1,$A60-2,OFFSET(貼り付け2!$A$1,ROW()-1,MATCH(S$1,貼り付け2!$1:$1,0)-1)-3)
&amp;OFFSET(貼り付け2!$A$1,$A60-2,OFFSET(貼り付け2!$A$1,ROW()-1,MATCH(S$1,貼り付け2!$1:$1,0)-1)-2)
&amp;OFFSET(貼り付け2!$A$1,$A60-2,OFFSET(貼り付け2!$A$1,ROW()-1,MATCH(S$1,貼り付け2!$1:$1,0)-1)-1),""))),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OFFSET(貼り付け2!$A$1,$A60-3,OFFSET(貼り付け2!$A$1,ROW()-1,MATCH(S$1,貼り付け2!$1:$1,0)+1)-2)
&amp;OFFSET(貼り付け2!$A$1,$A60-3,OFFSET(貼り付け2!$A$1,ROW()-1,MATCH(S$1,貼り付け2!$1:$1,0)+1)-1),
IF(OFFSET(貼り付け2!$A$1,ROW()-1,MATCH(S$1,貼り付け2!$1:$1,0)+1)-OFFSET(貼り付け2!$A$1,ROW()-1,MATCH(N$1,貼り付け2!$1:$1,0)+1)=3,
OFFSET(貼り付け2!$A$1,$A60-3,OFFSET(貼り付け2!$A$1,ROW()-1,MATCH(S$1,貼り付け2!$1:$1,0)+1)-3)
&amp;OFFSET(貼り付け2!$A$1,$A60-3,OFFSET(貼り付け2!$A$1,ROW()-1,MATCH(S$1,貼り付け2!$1:$1,0)+1)-2)
&amp;OFFSET(貼り付け2!$A$1,$A60-3,OFFSET(貼り付け2!$A$1,ROW()-1,MATCH(S$1,貼り付け2!$1:$1,0)+1)-1),"")),
IF(OFFSET(貼り付け2!$A$1,ROW()-1,MATCH(S$1,貼り付け2!$1:$1,0)+1)=2,
OFFSET(貼り付け2!$A$1,$A60-3,OFFSET(貼り付け2!$A$1,ROW()-1,MATCH(S$1,貼り付け2!$1:$1,0)+1)-2)
&amp;OFFSET(貼り付け2!$A$1,$A60-3,OFFSET(貼り付け2!$A$1,ROW()-1,MATCH(S$1,貼り付け2!$1:$1,0)+1)-1),
IF(OFFSET(貼り付け2!$A$1,ROW()-1,MATCH(S$1,貼り付け2!$1:$1,0)+1)=3,
OFFSET(貼り付け2!$A$1,$A60-3,OFFSET(貼り付け2!$A$1,ROW()-1,MATCH(S$1,貼り付け2!$1:$1,0)+1)-3)
&amp;OFFSET(貼り付け2!$A$1,$A60-3,OFFSET(貼り付け2!$A$1,ROW()-1,MATCH(S$1,貼り付け2!$1:$1,0)+1)-2)
&amp;OFFSET(貼り付け2!$A$1,$A60-3,OFFSET(貼り付け2!$A$1,ROW()-1,MATCH(S$1,貼り付け2!$1:$1,0)+1)-1),""))))</f>
        <v/>
      </c>
      <c r="T60" t="str">
        <f ca="1">IFERROR(OFFSET(貼り付け2!$A$1,$A60-1,OFFSET(貼り付け2!$A$1,ROW()-1,MATCH(T$1,貼り付け2!$1:$1,0)-1)-1),"")</f>
        <v/>
      </c>
      <c r="U60" t="e">
        <f ca="1">OFFSET(貼り付け1!$A$1,貼り付け1!$G59-1,3)</f>
        <v>#REF!</v>
      </c>
      <c r="V60" t="e">
        <f ca="1">OFFSET(貼り付け1!$A$1,貼り付け1!$F59-1,3)</f>
        <v>#REF!</v>
      </c>
      <c r="W60" t="str">
        <f ca="1">IFERROR(OFFSET(貼り付け2!$A$1,まとめ!$B60-1,OFFSET(貼り付け2!$A$1,ROW()-1,MATCH(W$1,貼り付け2!$1:$1,0)-1)-1),"")</f>
        <v/>
      </c>
    </row>
    <row r="61" spans="1:23" x14ac:dyDescent="0.45">
      <c r="A61" t="str">
        <f>貼り付け2!S61</f>
        <v/>
      </c>
      <c r="B61" t="str">
        <f>貼り付け2!R61</f>
        <v/>
      </c>
      <c r="C61" t="e">
        <f t="shared" ca="1" si="2"/>
        <v>#VALUE!</v>
      </c>
      <c r="D61" t="e">
        <f ca="1">IF($C61=TRUE,
IF(OFFSET(貼り付け2!$A$1,ROW()-1,MATCH(D$1,貼り付け2!$1:$1,0)-1)=2,
OFFSET(貼り付け2!$A$1,$A61-4,OFFSET(貼り付け2!$A$1,ROW()-1,MATCH(D$1,貼り付け2!$1:$1,0)-1)-2)
&amp;OFFSET(貼り付け2!$A$1,$A61-4,OFFSET(貼り付け2!$A$1,ROW()-1,MATCH(D$1,貼り付け2!$1:$1,0)-1)-1),
IF(OFFSET(貼り付け2!$A$1,ROW()-1,MATCH(D$1,貼り付け2!$1:$1,0)-1)=3,
OFFSET(貼り付け2!$A$1,$A61-4,OFFSET(貼り付け2!$A$1,ROW()-1,MATCH(D$1,貼り付け2!$1:$1,0)-1)-3)
&amp;OFFSET(貼り付け2!$A$1,$A61-4,OFFSET(貼り付け2!$A$1,ROW()-1,MATCH(D$1,貼り付け2!$1:$1,0)-1)-2)
&amp;OFFSET(貼り付け2!$A$1,$A61-4,OFFSET(貼り付け2!$A$1,ROW()-1,MATCH(D$1,貼り付け2!$1:$1,0)-1)-1),"")),
IF(OFFSET(貼り付け2!$A$1,ROW()-1,MATCH(D$1,貼り付け2!$1:$1,0)-1)=2,
OFFSET(貼り付け2!$A$1,$A61-2,OFFSET(貼り付け2!$A$1,ROW()-1,MATCH(D$1,貼り付け2!$1:$1,0)-1)-2)
&amp;OFFSET(貼り付け2!$A$1,$A61-2,OFFSET(貼り付け2!$A$1,ROW()-1,MATCH(D$1,貼り付け2!$1:$1,0)-1)-1),
IF(OFFSET(貼り付け2!$A$1,ROW()-1,MATCH(D$1,貼り付け2!$1:$1,0)-1)=3,
OFFSET(貼り付け2!$A$1,$A61-2,OFFSET(貼り付け2!$A$1,ROW()-1,MATCH(D$1,貼り付け2!$1:$1,0)-1)-3)
&amp;OFFSET(貼り付け2!$A$1,$A61-2,OFFSET(貼り付け2!$A$1,ROW()-1,MATCH(D$1,貼り付け2!$1:$1,0)-1)-2)
&amp;OFFSET(貼り付け2!$A$1,$A61-2,OFFSET(貼り付け2!$A$1,ROW()-1,MATCH(D$1,貼り付け2!$1:$1,0)-1)-1),"")))</f>
        <v>#VALUE!</v>
      </c>
      <c r="E61" t="str">
        <f ca="1">IFERROR(OFFSET(貼り付け2!$A$1,$A61-1,OFFSET(貼り付け2!$A$1,ROW()-1,MATCH(E$1,貼り付け2!$1:$1,0)-1)-1),"")</f>
        <v/>
      </c>
      <c r="F61" t="e">
        <f ca="1">OFFSET(貼り付け1!$A$1,貼り付け1!$G60-1,0)</f>
        <v>#REF!</v>
      </c>
      <c r="G61" t="e">
        <f ca="1">OFFSET(貼り付け1!$A$1,貼り付け1!$F60-1,0)</f>
        <v>#REF!</v>
      </c>
      <c r="H61" t="str">
        <f ca="1">IFERROR(OFFSET(貼り付け2!$A$1,まとめ!$B61-1,OFFSET(貼り付け2!$A$1,ROW()-1,MATCH(H$1,貼り付け2!$1:$1,0)-1)-1),"")</f>
        <v/>
      </c>
      <c r="J61" t="str">
        <f ca="1">IFERROR(OFFSET(貼り付け2!$A$1,$A61-1,OFFSET(貼り付け2!$A$1,ROW()-1,MATCH(J$1,貼り付け2!$1:$1,0)-1)-1),"")</f>
        <v/>
      </c>
      <c r="K61" t="e">
        <f ca="1">OFFSET(貼り付け1!$A$1,貼り付け1!$G60-1,1)</f>
        <v>#REF!</v>
      </c>
      <c r="L61" t="e">
        <f ca="1">OFFSET(貼り付け1!$A$1,貼り付け1!$F60-1,1)</f>
        <v>#REF!</v>
      </c>
      <c r="M61" t="str">
        <f ca="1">IFERROR(OFFSET(貼り付け2!$A$1,まとめ!$B61-1,OFFSET(貼り付け2!$A$1,ROW()-1,MATCH(M$1,貼り付け2!$1:$1,0)-1)-1),"")</f>
        <v/>
      </c>
      <c r="O61" t="str">
        <f ca="1">IFERROR(OFFSET(貼り付け2!$A$1,$A61-1,OFFSET(貼り付け2!$A$1,ROW()-1,MATCH(O$1,貼り付け2!$1:$1,0)-1)-1),"")</f>
        <v/>
      </c>
      <c r="P61" t="e">
        <f ca="1">OFFSET(貼り付け1!$A$1,貼り付け1!$G60-1,2)</f>
        <v>#REF!</v>
      </c>
      <c r="Q61" t="e">
        <f ca="1">OFFSET(貼り付け1!$A$1,貼り付け1!$F60-1,2)</f>
        <v>#REF!</v>
      </c>
      <c r="R61" t="str">
        <f ca="1">IFERROR(OFFSET(貼り付け2!$A$1,まとめ!$B61-1,OFFSET(貼り付け2!$A$1,ROW()-1,MATCH(R$1,貼り付け2!$1:$1,0)-1)-1),"")</f>
        <v/>
      </c>
      <c r="S61" t="str">
        <f ca="1">IF(OFFSET(貼り付け2!$A$1,ROW()-1,MATCH(S$1,貼り付け2!$1:$1,0)-1)&lt;&gt;"",
IF($C61=TRUE,
IF((OFFSET(貼り付け2!$A$1,ROW()-1,MATCH(S$1,貼り付け2!$1:$1,0)-1)-OFFSET(貼り付け2!$A$1,ROW()-1,MATCH(N$1,貼り付け2!$1:$1,0)-1))=2,
OFFSET(貼り付け2!$A$1,$A61-4,OFFSET(貼り付け2!$A$1,ROW()-1,MATCH(S$1,貼り付け2!$1:$1,0)-1)-2)
&amp;OFFSET(貼り付け2!$A$1,$A61-4,OFFSET(貼り付け2!$A$1,ROW()-1,MATCH(S$1,貼り付け2!$1:$1,0)-1)-1),
IF((OFFSET(貼り付け2!$A$1,ROW()-1,MATCH(S$1,貼り付け2!$1:$1,0)-1)-OFFSET(貼り付け2!$A$1,ROW()-1,MATCH(N$1,貼り付け2!$1:$1,0)-1))=3,
OFFSET(貼り付け2!$A$1,$A61-4,OFFSET(貼り付け2!$A$1,ROW()-1,MATCH(S$1,貼り付け2!$1:$1,0)-1)-3)
&amp;OFFSET(貼り付け2!$A$1,$A61-4,OFFSET(貼り付け2!$A$1,ROW()-1,MATCH(S$1,貼り付け2!$1:$1,0)-1)-2)
&amp;OFFSET(貼り付け2!$A$1,$A61-4,OFFSET(貼り付け2!$A$1,ROW()-1,MATCH(S$1,貼り付け2!$1:$1,0)-1)-1),"")),
IF((OFFSET(貼り付け2!$A$1,ROW()-1,MATCH(S$1,貼り付け2!$1:$1,0)-1)-OFFSET(貼り付け2!$A$1,ROW()-1,MATCH(N$1,貼り付け2!$1:$1,0)-1))=2,
OFFSET(貼り付け2!$A$1,$A61-2,OFFSET(貼り付け2!$A$1,ROW()-1,MATCH(S$1,貼り付け2!$1:$1,0)-1)-2)
&amp;OFFSET(貼り付け2!$A$1,$A61-2,OFFSET(貼り付け2!$A$1,ROW()-1,MATCH(S$1,貼り付け2!$1:$1,0)-1)-1),
IF((OFFSET(貼り付け2!$A$1,ROW()-1,MATCH(S$1,貼り付け2!$1:$1,0)-1)-OFFSET(貼り付け2!$A$1,ROW()-1,MATCH(N$1,貼り付け2!$1:$1,0)-1))=3,
OFFSET(貼り付け2!$A$1,$A61-2,OFFSET(貼り付け2!$A$1,ROW()-1,MATCH(S$1,貼り付け2!$1:$1,0)-1)-3)
&amp;OFFSET(貼り付け2!$A$1,$A61-2,OFFSET(貼り付け2!$A$1,ROW()-1,MATCH(S$1,貼り付け2!$1:$1,0)-1)-2)
&amp;OFFSET(貼り付け2!$A$1,$A61-2,OFFSET(貼り付け2!$A$1,ROW()-1,MATCH(S$1,貼り付け2!$1:$1,0)-1)-1),""))),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OFFSET(貼り付け2!$A$1,$A61-3,OFFSET(貼り付け2!$A$1,ROW()-1,MATCH(S$1,貼り付け2!$1:$1,0)+1)-2)
&amp;OFFSET(貼り付け2!$A$1,$A61-3,OFFSET(貼り付け2!$A$1,ROW()-1,MATCH(S$1,貼り付け2!$1:$1,0)+1)-1),
IF(OFFSET(貼り付け2!$A$1,ROW()-1,MATCH(S$1,貼り付け2!$1:$1,0)+1)-OFFSET(貼り付け2!$A$1,ROW()-1,MATCH(N$1,貼り付け2!$1:$1,0)+1)=3,
OFFSET(貼り付け2!$A$1,$A61-3,OFFSET(貼り付け2!$A$1,ROW()-1,MATCH(S$1,貼り付け2!$1:$1,0)+1)-3)
&amp;OFFSET(貼り付け2!$A$1,$A61-3,OFFSET(貼り付け2!$A$1,ROW()-1,MATCH(S$1,貼り付け2!$1:$1,0)+1)-2)
&amp;OFFSET(貼り付け2!$A$1,$A61-3,OFFSET(貼り付け2!$A$1,ROW()-1,MATCH(S$1,貼り付け2!$1:$1,0)+1)-1),"")),
IF(OFFSET(貼り付け2!$A$1,ROW()-1,MATCH(S$1,貼り付け2!$1:$1,0)+1)=2,
OFFSET(貼り付け2!$A$1,$A61-3,OFFSET(貼り付け2!$A$1,ROW()-1,MATCH(S$1,貼り付け2!$1:$1,0)+1)-2)
&amp;OFFSET(貼り付け2!$A$1,$A61-3,OFFSET(貼り付け2!$A$1,ROW()-1,MATCH(S$1,貼り付け2!$1:$1,0)+1)-1),
IF(OFFSET(貼り付け2!$A$1,ROW()-1,MATCH(S$1,貼り付け2!$1:$1,0)+1)=3,
OFFSET(貼り付け2!$A$1,$A61-3,OFFSET(貼り付け2!$A$1,ROW()-1,MATCH(S$1,貼り付け2!$1:$1,0)+1)-3)
&amp;OFFSET(貼り付け2!$A$1,$A61-3,OFFSET(貼り付け2!$A$1,ROW()-1,MATCH(S$1,貼り付け2!$1:$1,0)+1)-2)
&amp;OFFSET(貼り付け2!$A$1,$A61-3,OFFSET(貼り付け2!$A$1,ROW()-1,MATCH(S$1,貼り付け2!$1:$1,0)+1)-1),""))))</f>
        <v/>
      </c>
      <c r="T61" t="str">
        <f ca="1">IFERROR(OFFSET(貼り付け2!$A$1,$A61-1,OFFSET(貼り付け2!$A$1,ROW()-1,MATCH(T$1,貼り付け2!$1:$1,0)-1)-1),"")</f>
        <v/>
      </c>
      <c r="U61" t="e">
        <f ca="1">OFFSET(貼り付け1!$A$1,貼り付け1!$G60-1,3)</f>
        <v>#REF!</v>
      </c>
      <c r="V61" t="e">
        <f ca="1">OFFSET(貼り付け1!$A$1,貼り付け1!$F60-1,3)</f>
        <v>#REF!</v>
      </c>
      <c r="W61" t="str">
        <f ca="1">IFERROR(OFFSET(貼り付け2!$A$1,まとめ!$B61-1,OFFSET(貼り付け2!$A$1,ROW()-1,MATCH(W$1,貼り付け2!$1:$1,0)-1)-1),"")</f>
        <v/>
      </c>
    </row>
    <row r="62" spans="1:23" x14ac:dyDescent="0.45">
      <c r="A62" t="str">
        <f>貼り付け2!S62</f>
        <v/>
      </c>
      <c r="B62" t="str">
        <f>貼り付け2!R62</f>
        <v/>
      </c>
      <c r="C62" t="e">
        <f t="shared" ca="1" si="2"/>
        <v>#VALUE!</v>
      </c>
      <c r="E62" t="str">
        <f ca="1">IFERROR(OFFSET(貼り付け2!$A$1,$A62-1,OFFSET(貼り付け2!$A$1,ROW()-1,MATCH(E$1,貼り付け2!$1:$1,0)-1)-1),"")</f>
        <v/>
      </c>
      <c r="F62" t="e">
        <f ca="1">OFFSET(貼り付け1!$A$1,貼り付け1!$G61-1,0)</f>
        <v>#REF!</v>
      </c>
      <c r="G62" t="e">
        <f ca="1">OFFSET(貼り付け1!$A$1,貼り付け1!$F61-1,0)</f>
        <v>#REF!</v>
      </c>
      <c r="H62" t="str">
        <f ca="1">IFERROR(OFFSET(貼り付け2!$A$1,まとめ!$B62-1,OFFSET(貼り付け2!$A$1,ROW()-1,MATCH(H$1,貼り付け2!$1:$1,0)-1)-1),"")</f>
        <v/>
      </c>
      <c r="J62" t="str">
        <f ca="1">IFERROR(OFFSET(貼り付け2!$A$1,$A62-1,OFFSET(貼り付け2!$A$1,ROW()-1,MATCH(J$1,貼り付け2!$1:$1,0)-1)-1),"")</f>
        <v/>
      </c>
      <c r="K62" t="e">
        <f ca="1">OFFSET(貼り付け1!$A$1,貼り付け1!$G61-1,1)</f>
        <v>#REF!</v>
      </c>
      <c r="L62" t="e">
        <f ca="1">OFFSET(貼り付け1!$A$1,貼り付け1!$F61-1,1)</f>
        <v>#REF!</v>
      </c>
      <c r="M62" t="str">
        <f ca="1">IFERROR(OFFSET(貼り付け2!$A$1,まとめ!$B62-1,OFFSET(貼り付け2!$A$1,ROW()-1,MATCH(M$1,貼り付け2!$1:$1,0)-1)-1),"")</f>
        <v/>
      </c>
      <c r="O62" t="str">
        <f ca="1">IFERROR(OFFSET(貼り付け2!$A$1,$A62-1,OFFSET(貼り付け2!$A$1,ROW()-1,MATCH(O$1,貼り付け2!$1:$1,0)-1)-1),"")</f>
        <v/>
      </c>
      <c r="P62" t="e">
        <f ca="1">OFFSET(貼り付け1!$A$1,貼り付け1!$G61-1,2)</f>
        <v>#REF!</v>
      </c>
      <c r="Q62" t="e">
        <f ca="1">OFFSET(貼り付け1!$A$1,貼り付け1!$F61-1,2)</f>
        <v>#REF!</v>
      </c>
      <c r="R62" t="str">
        <f ca="1">IFERROR(OFFSET(貼り付け2!$A$1,まとめ!$B62-1,OFFSET(貼り付け2!$A$1,ROW()-1,MATCH(R$1,貼り付け2!$1:$1,0)-1)-1),"")</f>
        <v/>
      </c>
      <c r="S62" t="str">
        <f ca="1">IF(OFFSET(貼り付け2!$A$1,ROW()-1,MATCH(S$1,貼り付け2!$1:$1,0)-1)&lt;&gt;"",
IF($C62=TRUE,
IF((OFFSET(貼り付け2!$A$1,ROW()-1,MATCH(S$1,貼り付け2!$1:$1,0)-1)-OFFSET(貼り付け2!$A$1,ROW()-1,MATCH(N$1,貼り付け2!$1:$1,0)-1))=2,
OFFSET(貼り付け2!$A$1,$A62-4,OFFSET(貼り付け2!$A$1,ROW()-1,MATCH(S$1,貼り付け2!$1:$1,0)-1)-2)
&amp;OFFSET(貼り付け2!$A$1,$A62-4,OFFSET(貼り付け2!$A$1,ROW()-1,MATCH(S$1,貼り付け2!$1:$1,0)-1)-1),
IF((OFFSET(貼り付け2!$A$1,ROW()-1,MATCH(S$1,貼り付け2!$1:$1,0)-1)-OFFSET(貼り付け2!$A$1,ROW()-1,MATCH(N$1,貼り付け2!$1:$1,0)-1))=3,
OFFSET(貼り付け2!$A$1,$A62-4,OFFSET(貼り付け2!$A$1,ROW()-1,MATCH(S$1,貼り付け2!$1:$1,0)-1)-3)
&amp;OFFSET(貼り付け2!$A$1,$A62-4,OFFSET(貼り付け2!$A$1,ROW()-1,MATCH(S$1,貼り付け2!$1:$1,0)-1)-2)
&amp;OFFSET(貼り付け2!$A$1,$A62-4,OFFSET(貼り付け2!$A$1,ROW()-1,MATCH(S$1,貼り付け2!$1:$1,0)-1)-1),"")),
IF((OFFSET(貼り付け2!$A$1,ROW()-1,MATCH(S$1,貼り付け2!$1:$1,0)-1)-OFFSET(貼り付け2!$A$1,ROW()-1,MATCH(N$1,貼り付け2!$1:$1,0)-1))=2,
OFFSET(貼り付け2!$A$1,$A62-2,OFFSET(貼り付け2!$A$1,ROW()-1,MATCH(S$1,貼り付け2!$1:$1,0)-1)-2)
&amp;OFFSET(貼り付け2!$A$1,$A62-2,OFFSET(貼り付け2!$A$1,ROW()-1,MATCH(S$1,貼り付け2!$1:$1,0)-1)-1),
IF((OFFSET(貼り付け2!$A$1,ROW()-1,MATCH(S$1,貼り付け2!$1:$1,0)-1)-OFFSET(貼り付け2!$A$1,ROW()-1,MATCH(N$1,貼り付け2!$1:$1,0)-1))=3,
OFFSET(貼り付け2!$A$1,$A62-2,OFFSET(貼り付け2!$A$1,ROW()-1,MATCH(S$1,貼り付け2!$1:$1,0)-1)-3)
&amp;OFFSET(貼り付け2!$A$1,$A62-2,OFFSET(貼り付け2!$A$1,ROW()-1,MATCH(S$1,貼り付け2!$1:$1,0)-1)-2)
&amp;OFFSET(貼り付け2!$A$1,$A62-2,OFFSET(貼り付け2!$A$1,ROW()-1,MATCH(S$1,貼り付け2!$1:$1,0)-1)-1),""))),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OFFSET(貼り付け2!$A$1,$A62-3,OFFSET(貼り付け2!$A$1,ROW()-1,MATCH(S$1,貼り付け2!$1:$1,0)+1)-2)
&amp;OFFSET(貼り付け2!$A$1,$A62-3,OFFSET(貼り付け2!$A$1,ROW()-1,MATCH(S$1,貼り付け2!$1:$1,0)+1)-1),
IF(OFFSET(貼り付け2!$A$1,ROW()-1,MATCH(S$1,貼り付け2!$1:$1,0)+1)-OFFSET(貼り付け2!$A$1,ROW()-1,MATCH(N$1,貼り付け2!$1:$1,0)+1)=3,
OFFSET(貼り付け2!$A$1,$A62-3,OFFSET(貼り付け2!$A$1,ROW()-1,MATCH(S$1,貼り付け2!$1:$1,0)+1)-3)
&amp;OFFSET(貼り付け2!$A$1,$A62-3,OFFSET(貼り付け2!$A$1,ROW()-1,MATCH(S$1,貼り付け2!$1:$1,0)+1)-2)
&amp;OFFSET(貼り付け2!$A$1,$A62-3,OFFSET(貼り付け2!$A$1,ROW()-1,MATCH(S$1,貼り付け2!$1:$1,0)+1)-1),"")),
IF(OFFSET(貼り付け2!$A$1,ROW()-1,MATCH(S$1,貼り付け2!$1:$1,0)+1)=2,
OFFSET(貼り付け2!$A$1,$A62-3,OFFSET(貼り付け2!$A$1,ROW()-1,MATCH(S$1,貼り付け2!$1:$1,0)+1)-2)
&amp;OFFSET(貼り付け2!$A$1,$A62-3,OFFSET(貼り付け2!$A$1,ROW()-1,MATCH(S$1,貼り付け2!$1:$1,0)+1)-1),
IF(OFFSET(貼り付け2!$A$1,ROW()-1,MATCH(S$1,貼り付け2!$1:$1,0)+1)=3,
OFFSET(貼り付け2!$A$1,$A62-3,OFFSET(貼り付け2!$A$1,ROW()-1,MATCH(S$1,貼り付け2!$1:$1,0)+1)-3)
&amp;OFFSET(貼り付け2!$A$1,$A62-3,OFFSET(貼り付け2!$A$1,ROW()-1,MATCH(S$1,貼り付け2!$1:$1,0)+1)-2)
&amp;OFFSET(貼り付け2!$A$1,$A62-3,OFFSET(貼り付け2!$A$1,ROW()-1,MATCH(S$1,貼り付け2!$1:$1,0)+1)-1),""))))</f>
        <v/>
      </c>
      <c r="T62" t="str">
        <f ca="1">IFERROR(OFFSET(貼り付け2!$A$1,$A62-1,OFFSET(貼り付け2!$A$1,ROW()-1,MATCH(T$1,貼り付け2!$1:$1,0)-1)-1),"")</f>
        <v/>
      </c>
      <c r="U62" t="e">
        <f ca="1">OFFSET(貼り付け1!$A$1,貼り付け1!$G61-1,3)</f>
        <v>#REF!</v>
      </c>
      <c r="V62" t="e">
        <f ca="1">OFFSET(貼り付け1!$A$1,貼り付け1!$F61-1,3)</f>
        <v>#REF!</v>
      </c>
      <c r="W62" t="str">
        <f ca="1">IFERROR(OFFSET(貼り付け2!$A$1,まとめ!$B62-1,OFFSET(貼り付け2!$A$1,ROW()-1,MATCH(W$1,貼り付け2!$1:$1,0)-1)-1),"")</f>
        <v/>
      </c>
    </row>
    <row r="63" spans="1:23" x14ac:dyDescent="0.45">
      <c r="A63" t="str">
        <f>貼り付け2!S63</f>
        <v/>
      </c>
      <c r="B63" t="str">
        <f>貼り付け2!R63</f>
        <v/>
      </c>
      <c r="C63" t="e">
        <f t="shared" ca="1" si="2"/>
        <v>#VALUE!</v>
      </c>
      <c r="E63" t="str">
        <f ca="1">IFERROR(OFFSET(貼り付け2!$A$1,$A63-1,OFFSET(貼り付け2!$A$1,ROW()-1,MATCH(E$1,貼り付け2!$1:$1,0)-1)-1),"")</f>
        <v/>
      </c>
      <c r="F63" t="e">
        <f ca="1">OFFSET(貼り付け1!$A$1,貼り付け1!$G62-1,0)</f>
        <v>#REF!</v>
      </c>
      <c r="G63" t="e">
        <f ca="1">OFFSET(貼り付け1!$A$1,貼り付け1!$F62-1,0)</f>
        <v>#REF!</v>
      </c>
      <c r="H63" t="str">
        <f ca="1">IFERROR(OFFSET(貼り付け2!$A$1,まとめ!$B63-1,OFFSET(貼り付け2!$A$1,ROW()-1,MATCH(H$1,貼り付け2!$1:$1,0)-1)-1),"")</f>
        <v/>
      </c>
      <c r="J63" t="str">
        <f ca="1">IFERROR(OFFSET(貼り付け2!$A$1,$A63-1,OFFSET(貼り付け2!$A$1,ROW()-1,MATCH(J$1,貼り付け2!$1:$1,0)-1)-1),"")</f>
        <v/>
      </c>
      <c r="K63" t="e">
        <f ca="1">OFFSET(貼り付け1!$A$1,貼り付け1!$G62-1,1)</f>
        <v>#REF!</v>
      </c>
      <c r="L63" t="e">
        <f ca="1">OFFSET(貼り付け1!$A$1,貼り付け1!$F62-1,1)</f>
        <v>#REF!</v>
      </c>
      <c r="M63" t="str">
        <f ca="1">IFERROR(OFFSET(貼り付け2!$A$1,まとめ!$B63-1,OFFSET(貼り付け2!$A$1,ROW()-1,MATCH(M$1,貼り付け2!$1:$1,0)-1)-1),"")</f>
        <v/>
      </c>
      <c r="O63" t="str">
        <f ca="1">IFERROR(OFFSET(貼り付け2!$A$1,$A63-1,OFFSET(貼り付け2!$A$1,ROW()-1,MATCH(O$1,貼り付け2!$1:$1,0)-1)-1),"")</f>
        <v/>
      </c>
      <c r="P63" t="e">
        <f ca="1">OFFSET(貼り付け1!$A$1,貼り付け1!$G62-1,2)</f>
        <v>#REF!</v>
      </c>
      <c r="Q63" t="e">
        <f ca="1">OFFSET(貼り付け1!$A$1,貼り付け1!$F62-1,2)</f>
        <v>#REF!</v>
      </c>
      <c r="R63" t="str">
        <f ca="1">IFERROR(OFFSET(貼り付け2!$A$1,まとめ!$B63-1,OFFSET(貼り付け2!$A$1,ROW()-1,MATCH(R$1,貼り付け2!$1:$1,0)-1)-1),"")</f>
        <v/>
      </c>
      <c r="S63" t="str">
        <f ca="1">IF(OFFSET(貼り付け2!$A$1,ROW()-1,MATCH(S$1,貼り付け2!$1:$1,0)-1)&lt;&gt;"",
IF($C63=TRUE,
IF((OFFSET(貼り付け2!$A$1,ROW()-1,MATCH(S$1,貼り付け2!$1:$1,0)-1)-OFFSET(貼り付け2!$A$1,ROW()-1,MATCH(N$1,貼り付け2!$1:$1,0)-1))=2,
OFFSET(貼り付け2!$A$1,$A63-4,OFFSET(貼り付け2!$A$1,ROW()-1,MATCH(S$1,貼り付け2!$1:$1,0)-1)-2)
&amp;OFFSET(貼り付け2!$A$1,$A63-4,OFFSET(貼り付け2!$A$1,ROW()-1,MATCH(S$1,貼り付け2!$1:$1,0)-1)-1),
IF((OFFSET(貼り付け2!$A$1,ROW()-1,MATCH(S$1,貼り付け2!$1:$1,0)-1)-OFFSET(貼り付け2!$A$1,ROW()-1,MATCH(N$1,貼り付け2!$1:$1,0)-1))=3,
OFFSET(貼り付け2!$A$1,$A63-4,OFFSET(貼り付け2!$A$1,ROW()-1,MATCH(S$1,貼り付け2!$1:$1,0)-1)-3)
&amp;OFFSET(貼り付け2!$A$1,$A63-4,OFFSET(貼り付け2!$A$1,ROW()-1,MATCH(S$1,貼り付け2!$1:$1,0)-1)-2)
&amp;OFFSET(貼り付け2!$A$1,$A63-4,OFFSET(貼り付け2!$A$1,ROW()-1,MATCH(S$1,貼り付け2!$1:$1,0)-1)-1),"")),
IF((OFFSET(貼り付け2!$A$1,ROW()-1,MATCH(S$1,貼り付け2!$1:$1,0)-1)-OFFSET(貼り付け2!$A$1,ROW()-1,MATCH(N$1,貼り付け2!$1:$1,0)-1))=2,
OFFSET(貼り付け2!$A$1,$A63-2,OFFSET(貼り付け2!$A$1,ROW()-1,MATCH(S$1,貼り付け2!$1:$1,0)-1)-2)
&amp;OFFSET(貼り付け2!$A$1,$A63-2,OFFSET(貼り付け2!$A$1,ROW()-1,MATCH(S$1,貼り付け2!$1:$1,0)-1)-1),
IF((OFFSET(貼り付け2!$A$1,ROW()-1,MATCH(S$1,貼り付け2!$1:$1,0)-1)-OFFSET(貼り付け2!$A$1,ROW()-1,MATCH(N$1,貼り付け2!$1:$1,0)-1))=3,
OFFSET(貼り付け2!$A$1,$A63-2,OFFSET(貼り付け2!$A$1,ROW()-1,MATCH(S$1,貼り付け2!$1:$1,0)-1)-3)
&amp;OFFSET(貼り付け2!$A$1,$A63-2,OFFSET(貼り付け2!$A$1,ROW()-1,MATCH(S$1,貼り付け2!$1:$1,0)-1)-2)
&amp;OFFSET(貼り付け2!$A$1,$A63-2,OFFSET(貼り付け2!$A$1,ROW()-1,MATCH(S$1,貼り付け2!$1:$1,0)-1)-1),""))),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OFFSET(貼り付け2!$A$1,$A63-3,OFFSET(貼り付け2!$A$1,ROW()-1,MATCH(S$1,貼り付け2!$1:$1,0)+1)-2)
&amp;OFFSET(貼り付け2!$A$1,$A63-3,OFFSET(貼り付け2!$A$1,ROW()-1,MATCH(S$1,貼り付け2!$1:$1,0)+1)-1),
IF(OFFSET(貼り付け2!$A$1,ROW()-1,MATCH(S$1,貼り付け2!$1:$1,0)+1)-OFFSET(貼り付け2!$A$1,ROW()-1,MATCH(N$1,貼り付け2!$1:$1,0)+1)=3,
OFFSET(貼り付け2!$A$1,$A63-3,OFFSET(貼り付け2!$A$1,ROW()-1,MATCH(S$1,貼り付け2!$1:$1,0)+1)-3)
&amp;OFFSET(貼り付け2!$A$1,$A63-3,OFFSET(貼り付け2!$A$1,ROW()-1,MATCH(S$1,貼り付け2!$1:$1,0)+1)-2)
&amp;OFFSET(貼り付け2!$A$1,$A63-3,OFFSET(貼り付け2!$A$1,ROW()-1,MATCH(S$1,貼り付け2!$1:$1,0)+1)-1),"")),
IF(OFFSET(貼り付け2!$A$1,ROW()-1,MATCH(S$1,貼り付け2!$1:$1,0)+1)=2,
OFFSET(貼り付け2!$A$1,$A63-3,OFFSET(貼り付け2!$A$1,ROW()-1,MATCH(S$1,貼り付け2!$1:$1,0)+1)-2)
&amp;OFFSET(貼り付け2!$A$1,$A63-3,OFFSET(貼り付け2!$A$1,ROW()-1,MATCH(S$1,貼り付け2!$1:$1,0)+1)-1),
IF(OFFSET(貼り付け2!$A$1,ROW()-1,MATCH(S$1,貼り付け2!$1:$1,0)+1)=3,
OFFSET(貼り付け2!$A$1,$A63-3,OFFSET(貼り付け2!$A$1,ROW()-1,MATCH(S$1,貼り付け2!$1:$1,0)+1)-3)
&amp;OFFSET(貼り付け2!$A$1,$A63-3,OFFSET(貼り付け2!$A$1,ROW()-1,MATCH(S$1,貼り付け2!$1:$1,0)+1)-2)
&amp;OFFSET(貼り付け2!$A$1,$A63-3,OFFSET(貼り付け2!$A$1,ROW()-1,MATCH(S$1,貼り付け2!$1:$1,0)+1)-1),""))))</f>
        <v/>
      </c>
      <c r="T63" t="str">
        <f ca="1">IFERROR(OFFSET(貼り付け2!$A$1,$A63-1,OFFSET(貼り付け2!$A$1,ROW()-1,MATCH(T$1,貼り付け2!$1:$1,0)-1)-1),"")</f>
        <v/>
      </c>
      <c r="U63" t="e">
        <f ca="1">OFFSET(貼り付け1!$A$1,貼り付け1!$G62-1,3)</f>
        <v>#REF!</v>
      </c>
      <c r="V63" t="e">
        <f ca="1">OFFSET(貼り付け1!$A$1,貼り付け1!$F62-1,3)</f>
        <v>#REF!</v>
      </c>
      <c r="W63" t="str">
        <f ca="1">IFERROR(OFFSET(貼り付け2!$A$1,まとめ!$B63-1,OFFSET(貼り付け2!$A$1,ROW()-1,MATCH(W$1,貼り付け2!$1:$1,0)-1)-1),"")</f>
        <v/>
      </c>
    </row>
    <row r="64" spans="1:23" x14ac:dyDescent="0.45">
      <c r="A64" t="str">
        <f>貼り付け2!S64</f>
        <v/>
      </c>
      <c r="B64" t="str">
        <f>貼り付け2!R64</f>
        <v/>
      </c>
      <c r="C64" t="e">
        <f t="shared" ca="1" si="2"/>
        <v>#VALUE!</v>
      </c>
      <c r="E64" t="str">
        <f ca="1">IFERROR(OFFSET(貼り付け2!$A$1,$A64-1,OFFSET(貼り付け2!$A$1,ROW()-1,MATCH(E$1,貼り付け2!$1:$1,0)-1)-1),"")</f>
        <v/>
      </c>
      <c r="F64" t="e">
        <f ca="1">OFFSET(貼り付け1!$A$1,貼り付け1!$G63-1,0)</f>
        <v>#REF!</v>
      </c>
      <c r="G64" t="e">
        <f ca="1">OFFSET(貼り付け1!$A$1,貼り付け1!$F63-1,0)</f>
        <v>#REF!</v>
      </c>
      <c r="H64" t="str">
        <f ca="1">IFERROR(OFFSET(貼り付け2!$A$1,まとめ!$B64-1,OFFSET(貼り付け2!$A$1,ROW()-1,MATCH(H$1,貼り付け2!$1:$1,0)-1)-1),"")</f>
        <v/>
      </c>
      <c r="J64" t="str">
        <f ca="1">IFERROR(OFFSET(貼り付け2!$A$1,$A64-1,OFFSET(貼り付け2!$A$1,ROW()-1,MATCH(J$1,貼り付け2!$1:$1,0)-1)-1),"")</f>
        <v/>
      </c>
      <c r="K64" t="e">
        <f ca="1">OFFSET(貼り付け1!$A$1,貼り付け1!$G63-1,1)</f>
        <v>#REF!</v>
      </c>
      <c r="L64" t="e">
        <f ca="1">OFFSET(貼り付け1!$A$1,貼り付け1!$F63-1,1)</f>
        <v>#REF!</v>
      </c>
      <c r="M64" t="str">
        <f ca="1">IFERROR(OFFSET(貼り付け2!$A$1,まとめ!$B64-1,OFFSET(貼り付け2!$A$1,ROW()-1,MATCH(M$1,貼り付け2!$1:$1,0)-1)-1),"")</f>
        <v/>
      </c>
      <c r="O64" t="str">
        <f ca="1">IFERROR(OFFSET(貼り付け2!$A$1,$A64-1,OFFSET(貼り付け2!$A$1,ROW()-1,MATCH(O$1,貼り付け2!$1:$1,0)-1)-1),"")</f>
        <v/>
      </c>
      <c r="P64" t="e">
        <f ca="1">OFFSET(貼り付け1!$A$1,貼り付け1!$G63-1,2)</f>
        <v>#REF!</v>
      </c>
      <c r="Q64" t="e">
        <f ca="1">OFFSET(貼り付け1!$A$1,貼り付け1!$F63-1,2)</f>
        <v>#REF!</v>
      </c>
      <c r="R64" t="str">
        <f ca="1">IFERROR(OFFSET(貼り付け2!$A$1,まとめ!$B64-1,OFFSET(貼り付け2!$A$1,ROW()-1,MATCH(R$1,貼り付け2!$1:$1,0)-1)-1),"")</f>
        <v/>
      </c>
      <c r="S64" t="str">
        <f ca="1">IF(OFFSET(貼り付け2!$A$1,ROW()-1,MATCH(S$1,貼り付け2!$1:$1,0)-1)&lt;&gt;"",
IF($C64=TRUE,
IF((OFFSET(貼り付け2!$A$1,ROW()-1,MATCH(S$1,貼り付け2!$1:$1,0)-1)-OFFSET(貼り付け2!$A$1,ROW()-1,MATCH(N$1,貼り付け2!$1:$1,0)-1))=2,
OFFSET(貼り付け2!$A$1,$A64-4,OFFSET(貼り付け2!$A$1,ROW()-1,MATCH(S$1,貼り付け2!$1:$1,0)-1)-2)
&amp;OFFSET(貼り付け2!$A$1,$A64-4,OFFSET(貼り付け2!$A$1,ROW()-1,MATCH(S$1,貼り付け2!$1:$1,0)-1)-1),
IF((OFFSET(貼り付け2!$A$1,ROW()-1,MATCH(S$1,貼り付け2!$1:$1,0)-1)-OFFSET(貼り付け2!$A$1,ROW()-1,MATCH(N$1,貼り付け2!$1:$1,0)-1))=3,
OFFSET(貼り付け2!$A$1,$A64-4,OFFSET(貼り付け2!$A$1,ROW()-1,MATCH(S$1,貼り付け2!$1:$1,0)-1)-3)
&amp;OFFSET(貼り付け2!$A$1,$A64-4,OFFSET(貼り付け2!$A$1,ROW()-1,MATCH(S$1,貼り付け2!$1:$1,0)-1)-2)
&amp;OFFSET(貼り付け2!$A$1,$A64-4,OFFSET(貼り付け2!$A$1,ROW()-1,MATCH(S$1,貼り付け2!$1:$1,0)-1)-1),"")),
IF((OFFSET(貼り付け2!$A$1,ROW()-1,MATCH(S$1,貼り付け2!$1:$1,0)-1)-OFFSET(貼り付け2!$A$1,ROW()-1,MATCH(N$1,貼り付け2!$1:$1,0)-1))=2,
OFFSET(貼り付け2!$A$1,$A64-2,OFFSET(貼り付け2!$A$1,ROW()-1,MATCH(S$1,貼り付け2!$1:$1,0)-1)-2)
&amp;OFFSET(貼り付け2!$A$1,$A64-2,OFFSET(貼り付け2!$A$1,ROW()-1,MATCH(S$1,貼り付け2!$1:$1,0)-1)-1),
IF((OFFSET(貼り付け2!$A$1,ROW()-1,MATCH(S$1,貼り付け2!$1:$1,0)-1)-OFFSET(貼り付け2!$A$1,ROW()-1,MATCH(N$1,貼り付け2!$1:$1,0)-1))=3,
OFFSET(貼り付け2!$A$1,$A64-2,OFFSET(貼り付け2!$A$1,ROW()-1,MATCH(S$1,貼り付け2!$1:$1,0)-1)-3)
&amp;OFFSET(貼り付け2!$A$1,$A64-2,OFFSET(貼り付け2!$A$1,ROW()-1,MATCH(S$1,貼り付け2!$1:$1,0)-1)-2)
&amp;OFFSET(貼り付け2!$A$1,$A64-2,OFFSET(貼り付け2!$A$1,ROW()-1,MATCH(S$1,貼り付け2!$1:$1,0)-1)-1),""))),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OFFSET(貼り付け2!$A$1,$A64-3,OFFSET(貼り付け2!$A$1,ROW()-1,MATCH(S$1,貼り付け2!$1:$1,0)+1)-2)
&amp;OFFSET(貼り付け2!$A$1,$A64-3,OFFSET(貼り付け2!$A$1,ROW()-1,MATCH(S$1,貼り付け2!$1:$1,0)+1)-1),
IF(OFFSET(貼り付け2!$A$1,ROW()-1,MATCH(S$1,貼り付け2!$1:$1,0)+1)-OFFSET(貼り付け2!$A$1,ROW()-1,MATCH(N$1,貼り付け2!$1:$1,0)+1)=3,
OFFSET(貼り付け2!$A$1,$A64-3,OFFSET(貼り付け2!$A$1,ROW()-1,MATCH(S$1,貼り付け2!$1:$1,0)+1)-3)
&amp;OFFSET(貼り付け2!$A$1,$A64-3,OFFSET(貼り付け2!$A$1,ROW()-1,MATCH(S$1,貼り付け2!$1:$1,0)+1)-2)
&amp;OFFSET(貼り付け2!$A$1,$A64-3,OFFSET(貼り付け2!$A$1,ROW()-1,MATCH(S$1,貼り付け2!$1:$1,0)+1)-1),"")),
IF(OFFSET(貼り付け2!$A$1,ROW()-1,MATCH(S$1,貼り付け2!$1:$1,0)+1)=2,
OFFSET(貼り付け2!$A$1,$A64-3,OFFSET(貼り付け2!$A$1,ROW()-1,MATCH(S$1,貼り付け2!$1:$1,0)+1)-2)
&amp;OFFSET(貼り付け2!$A$1,$A64-3,OFFSET(貼り付け2!$A$1,ROW()-1,MATCH(S$1,貼り付け2!$1:$1,0)+1)-1),
IF(OFFSET(貼り付け2!$A$1,ROW()-1,MATCH(S$1,貼り付け2!$1:$1,0)+1)=3,
OFFSET(貼り付け2!$A$1,$A64-3,OFFSET(貼り付け2!$A$1,ROW()-1,MATCH(S$1,貼り付け2!$1:$1,0)+1)-3)
&amp;OFFSET(貼り付け2!$A$1,$A64-3,OFFSET(貼り付け2!$A$1,ROW()-1,MATCH(S$1,貼り付け2!$1:$1,0)+1)-2)
&amp;OFFSET(貼り付け2!$A$1,$A64-3,OFFSET(貼り付け2!$A$1,ROW()-1,MATCH(S$1,貼り付け2!$1:$1,0)+1)-1),""))))</f>
        <v/>
      </c>
      <c r="T64" t="str">
        <f ca="1">IFERROR(OFFSET(貼り付け2!$A$1,$A64-1,OFFSET(貼り付け2!$A$1,ROW()-1,MATCH(T$1,貼り付け2!$1:$1,0)-1)-1),"")</f>
        <v/>
      </c>
      <c r="U64" t="e">
        <f ca="1">OFFSET(貼り付け1!$A$1,貼り付け1!$G63-1,3)</f>
        <v>#REF!</v>
      </c>
      <c r="V64" t="e">
        <f ca="1">OFFSET(貼り付け1!$A$1,貼り付け1!$F63-1,3)</f>
        <v>#REF!</v>
      </c>
      <c r="W64" t="str">
        <f ca="1">IFERROR(OFFSET(貼り付け2!$A$1,まとめ!$B64-1,OFFSET(貼り付け2!$A$1,ROW()-1,MATCH(W$1,貼り付け2!$1:$1,0)-1)-1),"")</f>
        <v/>
      </c>
    </row>
    <row r="65" spans="1:23" x14ac:dyDescent="0.45">
      <c r="A65" t="str">
        <f>貼り付け2!S65</f>
        <v/>
      </c>
      <c r="B65" t="str">
        <f>貼り付け2!R65</f>
        <v/>
      </c>
      <c r="E65" t="str">
        <f ca="1">IFERROR(OFFSET(貼り付け2!$A$1,$A65-1,OFFSET(貼り付け2!$A$1,ROW()-1,MATCH(E$1,貼り付け2!$1:$1,0)-1)-1),"")</f>
        <v/>
      </c>
      <c r="F65" t="e">
        <f ca="1">OFFSET(貼り付け1!$A$1,貼り付け1!$G64-1,0)</f>
        <v>#REF!</v>
      </c>
      <c r="G65" t="e">
        <f ca="1">OFFSET(貼り付け1!$A$1,貼り付け1!$F64-1,0)</f>
        <v>#REF!</v>
      </c>
      <c r="H65" t="str">
        <f ca="1">IFERROR(OFFSET(貼り付け2!$A$1,まとめ!$B65-1,OFFSET(貼り付け2!$A$1,ROW()-1,MATCH(H$1,貼り付け2!$1:$1,0)-1)-1),"")</f>
        <v/>
      </c>
      <c r="J65" t="str">
        <f ca="1">IFERROR(OFFSET(貼り付け2!$A$1,$A65-1,OFFSET(貼り付け2!$A$1,ROW()-1,MATCH(J$1,貼り付け2!$1:$1,0)-1)-1),"")</f>
        <v/>
      </c>
      <c r="K65" t="e">
        <f ca="1">OFFSET(貼り付け1!$A$1,貼り付け1!$G64-1,1)</f>
        <v>#REF!</v>
      </c>
      <c r="L65" t="e">
        <f ca="1">OFFSET(貼り付け1!$A$1,貼り付け1!$F64-1,1)</f>
        <v>#REF!</v>
      </c>
      <c r="M65" t="str">
        <f ca="1">IFERROR(OFFSET(貼り付け2!$A$1,まとめ!$B65-1,OFFSET(貼り付け2!$A$1,ROW()-1,MATCH(M$1,貼り付け2!$1:$1,0)-1)-1),"")</f>
        <v/>
      </c>
      <c r="O65" t="str">
        <f ca="1">IFERROR(OFFSET(貼り付け2!$A$1,$A65-1,OFFSET(貼り付け2!$A$1,ROW()-1,MATCH(O$1,貼り付け2!$1:$1,0)-1)-1),"")</f>
        <v/>
      </c>
      <c r="P65" t="e">
        <f ca="1">OFFSET(貼り付け1!$A$1,貼り付け1!$G64-1,2)</f>
        <v>#REF!</v>
      </c>
      <c r="Q65" t="e">
        <f ca="1">OFFSET(貼り付け1!$A$1,貼り付け1!$F64-1,2)</f>
        <v>#REF!</v>
      </c>
      <c r="R65" t="str">
        <f ca="1">IFERROR(OFFSET(貼り付け2!$A$1,まとめ!$B65-1,OFFSET(貼り付け2!$A$1,ROW()-1,MATCH(R$1,貼り付け2!$1:$1,0)-1)-1),"")</f>
        <v/>
      </c>
      <c r="S65" t="str">
        <f ca="1">IF(OFFSET(貼り付け2!$A$1,ROW()-1,MATCH(S$1,貼り付け2!$1:$1,0)-1)&lt;&gt;"",
IF($C65=TRUE,
IF((OFFSET(貼り付け2!$A$1,ROW()-1,MATCH(S$1,貼り付け2!$1:$1,0)-1)-OFFSET(貼り付け2!$A$1,ROW()-1,MATCH(N$1,貼り付け2!$1:$1,0)-1))=2,
OFFSET(貼り付け2!$A$1,$A65-4,OFFSET(貼り付け2!$A$1,ROW()-1,MATCH(S$1,貼り付け2!$1:$1,0)-1)-2)
&amp;OFFSET(貼り付け2!$A$1,$A65-4,OFFSET(貼り付け2!$A$1,ROW()-1,MATCH(S$1,貼り付け2!$1:$1,0)-1)-1),
IF((OFFSET(貼り付け2!$A$1,ROW()-1,MATCH(S$1,貼り付け2!$1:$1,0)-1)-OFFSET(貼り付け2!$A$1,ROW()-1,MATCH(N$1,貼り付け2!$1:$1,0)-1))=3,
OFFSET(貼り付け2!$A$1,$A65-4,OFFSET(貼り付け2!$A$1,ROW()-1,MATCH(S$1,貼り付け2!$1:$1,0)-1)-3)
&amp;OFFSET(貼り付け2!$A$1,$A65-4,OFFSET(貼り付け2!$A$1,ROW()-1,MATCH(S$1,貼り付け2!$1:$1,0)-1)-2)
&amp;OFFSET(貼り付け2!$A$1,$A65-4,OFFSET(貼り付け2!$A$1,ROW()-1,MATCH(S$1,貼り付け2!$1:$1,0)-1)-1),"")),
IF((OFFSET(貼り付け2!$A$1,ROW()-1,MATCH(S$1,貼り付け2!$1:$1,0)-1)-OFFSET(貼り付け2!$A$1,ROW()-1,MATCH(N$1,貼り付け2!$1:$1,0)-1))=2,
OFFSET(貼り付け2!$A$1,$A65-2,OFFSET(貼り付け2!$A$1,ROW()-1,MATCH(S$1,貼り付け2!$1:$1,0)-1)-2)
&amp;OFFSET(貼り付け2!$A$1,$A65-2,OFFSET(貼り付け2!$A$1,ROW()-1,MATCH(S$1,貼り付け2!$1:$1,0)-1)-1),
IF((OFFSET(貼り付け2!$A$1,ROW()-1,MATCH(S$1,貼り付け2!$1:$1,0)-1)-OFFSET(貼り付け2!$A$1,ROW()-1,MATCH(N$1,貼り付け2!$1:$1,0)-1))=3,
OFFSET(貼り付け2!$A$1,$A65-2,OFFSET(貼り付け2!$A$1,ROW()-1,MATCH(S$1,貼り付け2!$1:$1,0)-1)-3)
&amp;OFFSET(貼り付け2!$A$1,$A65-2,OFFSET(貼り付け2!$A$1,ROW()-1,MATCH(S$1,貼り付け2!$1:$1,0)-1)-2)
&amp;OFFSET(貼り付け2!$A$1,$A65-2,OFFSET(貼り付け2!$A$1,ROW()-1,MATCH(S$1,貼り付け2!$1:$1,0)-1)-1),""))),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OFFSET(貼り付け2!$A$1,$A65-3,OFFSET(貼り付け2!$A$1,ROW()-1,MATCH(S$1,貼り付け2!$1:$1,0)+1)-2)
&amp;OFFSET(貼り付け2!$A$1,$A65-3,OFFSET(貼り付け2!$A$1,ROW()-1,MATCH(S$1,貼り付け2!$1:$1,0)+1)-1),
IF(OFFSET(貼り付け2!$A$1,ROW()-1,MATCH(S$1,貼り付け2!$1:$1,0)+1)-OFFSET(貼り付け2!$A$1,ROW()-1,MATCH(N$1,貼り付け2!$1:$1,0)+1)=3,
OFFSET(貼り付け2!$A$1,$A65-3,OFFSET(貼り付け2!$A$1,ROW()-1,MATCH(S$1,貼り付け2!$1:$1,0)+1)-3)
&amp;OFFSET(貼り付け2!$A$1,$A65-3,OFFSET(貼り付け2!$A$1,ROW()-1,MATCH(S$1,貼り付け2!$1:$1,0)+1)-2)
&amp;OFFSET(貼り付け2!$A$1,$A65-3,OFFSET(貼り付け2!$A$1,ROW()-1,MATCH(S$1,貼り付け2!$1:$1,0)+1)-1),"")),
IF(OFFSET(貼り付け2!$A$1,ROW()-1,MATCH(S$1,貼り付け2!$1:$1,0)+1)=2,
OFFSET(貼り付け2!$A$1,$A65-3,OFFSET(貼り付け2!$A$1,ROW()-1,MATCH(S$1,貼り付け2!$1:$1,0)+1)-2)
&amp;OFFSET(貼り付け2!$A$1,$A65-3,OFFSET(貼り付け2!$A$1,ROW()-1,MATCH(S$1,貼り付け2!$1:$1,0)+1)-1),
IF(OFFSET(貼り付け2!$A$1,ROW()-1,MATCH(S$1,貼り付け2!$1:$1,0)+1)=3,
OFFSET(貼り付け2!$A$1,$A65-3,OFFSET(貼り付け2!$A$1,ROW()-1,MATCH(S$1,貼り付け2!$1:$1,0)+1)-3)
&amp;OFFSET(貼り付け2!$A$1,$A65-3,OFFSET(貼り付け2!$A$1,ROW()-1,MATCH(S$1,貼り付け2!$1:$1,0)+1)-2)
&amp;OFFSET(貼り付け2!$A$1,$A65-3,OFFSET(貼り付け2!$A$1,ROW()-1,MATCH(S$1,貼り付け2!$1:$1,0)+1)-1),""))))</f>
        <v/>
      </c>
      <c r="T65" t="str">
        <f ca="1">IFERROR(OFFSET(貼り付け2!$A$1,$A65-1,OFFSET(貼り付け2!$A$1,ROW()-1,MATCH(T$1,貼り付け2!$1:$1,0)-1)-1),"")</f>
        <v/>
      </c>
      <c r="U65" t="e">
        <f ca="1">OFFSET(貼り付け1!$A$1,貼り付け1!$G64-1,3)</f>
        <v>#REF!</v>
      </c>
      <c r="V65" t="e">
        <f ca="1">OFFSET(貼り付け1!$A$1,貼り付け1!$F64-1,3)</f>
        <v>#REF!</v>
      </c>
      <c r="W65" t="str">
        <f ca="1">IFERROR(OFFSET(貼り付け2!$A$1,まとめ!$B65-1,OFFSET(貼り付け2!$A$1,ROW()-1,MATCH(W$1,貼り付け2!$1:$1,0)-1)-1),"")</f>
        <v/>
      </c>
    </row>
    <row r="66" spans="1:23" x14ac:dyDescent="0.45">
      <c r="A66" t="str">
        <f>貼り付け2!S66</f>
        <v/>
      </c>
      <c r="B66" t="str">
        <f>貼り付け2!R66</f>
        <v/>
      </c>
      <c r="E66" t="str">
        <f ca="1">IFERROR(OFFSET(貼り付け2!$A$1,$A66-1,OFFSET(貼り付け2!$A$1,ROW()-1,MATCH(E$1,貼り付け2!$1:$1,0)-1)-1),"")</f>
        <v/>
      </c>
      <c r="F66" t="e">
        <f ca="1">OFFSET(貼り付け1!$A$1,貼り付け1!$G65-1,0)</f>
        <v>#REF!</v>
      </c>
      <c r="G66" t="e">
        <f ca="1">OFFSET(貼り付け1!$A$1,貼り付け1!$F65-1,0)</f>
        <v>#REF!</v>
      </c>
      <c r="H66" t="str">
        <f ca="1">IFERROR(OFFSET(貼り付け2!$A$1,まとめ!$B66-1,OFFSET(貼り付け2!$A$1,ROW()-1,MATCH(H$1,貼り付け2!$1:$1,0)-1)-1),"")</f>
        <v/>
      </c>
      <c r="J66" t="str">
        <f ca="1">IFERROR(OFFSET(貼り付け2!$A$1,$A66-1,OFFSET(貼り付け2!$A$1,ROW()-1,MATCH(J$1,貼り付け2!$1:$1,0)-1)-1),"")</f>
        <v/>
      </c>
      <c r="K66" t="e">
        <f ca="1">OFFSET(貼り付け1!$A$1,貼り付け1!$G65-1,1)</f>
        <v>#REF!</v>
      </c>
      <c r="L66" t="e">
        <f ca="1">OFFSET(貼り付け1!$A$1,貼り付け1!$F65-1,1)</f>
        <v>#REF!</v>
      </c>
      <c r="M66" t="str">
        <f ca="1">IFERROR(OFFSET(貼り付け2!$A$1,まとめ!$B66-1,OFFSET(貼り付け2!$A$1,ROW()-1,MATCH(M$1,貼り付け2!$1:$1,0)-1)-1),"")</f>
        <v/>
      </c>
      <c r="O66" t="str">
        <f ca="1">IFERROR(OFFSET(貼り付け2!$A$1,$A66-1,OFFSET(貼り付け2!$A$1,ROW()-1,MATCH(O$1,貼り付け2!$1:$1,0)-1)-1),"")</f>
        <v/>
      </c>
      <c r="P66" t="e">
        <f ca="1">OFFSET(貼り付け1!$A$1,貼り付け1!$G65-1,2)</f>
        <v>#REF!</v>
      </c>
      <c r="Q66" t="e">
        <f ca="1">OFFSET(貼り付け1!$A$1,貼り付け1!$F65-1,2)</f>
        <v>#REF!</v>
      </c>
      <c r="R66" t="str">
        <f ca="1">IFERROR(OFFSET(貼り付け2!$A$1,まとめ!$B66-1,OFFSET(貼り付け2!$A$1,ROW()-1,MATCH(R$1,貼り付け2!$1:$1,0)-1)-1),"")</f>
        <v/>
      </c>
      <c r="S66" t="str">
        <f ca="1">IF(OFFSET(貼り付け2!$A$1,ROW()-1,MATCH(S$1,貼り付け2!$1:$1,0)-1)&lt;&gt;"",
IF($C66=TRUE,
IF((OFFSET(貼り付け2!$A$1,ROW()-1,MATCH(S$1,貼り付け2!$1:$1,0)-1)-OFFSET(貼り付け2!$A$1,ROW()-1,MATCH(N$1,貼り付け2!$1:$1,0)-1))=2,
OFFSET(貼り付け2!$A$1,$A66-4,OFFSET(貼り付け2!$A$1,ROW()-1,MATCH(S$1,貼り付け2!$1:$1,0)-1)-2)
&amp;OFFSET(貼り付け2!$A$1,$A66-4,OFFSET(貼り付け2!$A$1,ROW()-1,MATCH(S$1,貼り付け2!$1:$1,0)-1)-1),
IF((OFFSET(貼り付け2!$A$1,ROW()-1,MATCH(S$1,貼り付け2!$1:$1,0)-1)-OFFSET(貼り付け2!$A$1,ROW()-1,MATCH(N$1,貼り付け2!$1:$1,0)-1))=3,
OFFSET(貼り付け2!$A$1,$A66-4,OFFSET(貼り付け2!$A$1,ROW()-1,MATCH(S$1,貼り付け2!$1:$1,0)-1)-3)
&amp;OFFSET(貼り付け2!$A$1,$A66-4,OFFSET(貼り付け2!$A$1,ROW()-1,MATCH(S$1,貼り付け2!$1:$1,0)-1)-2)
&amp;OFFSET(貼り付け2!$A$1,$A66-4,OFFSET(貼り付け2!$A$1,ROW()-1,MATCH(S$1,貼り付け2!$1:$1,0)-1)-1),"")),
IF((OFFSET(貼り付け2!$A$1,ROW()-1,MATCH(S$1,貼り付け2!$1:$1,0)-1)-OFFSET(貼り付け2!$A$1,ROW()-1,MATCH(N$1,貼り付け2!$1:$1,0)-1))=2,
OFFSET(貼り付け2!$A$1,$A66-2,OFFSET(貼り付け2!$A$1,ROW()-1,MATCH(S$1,貼り付け2!$1:$1,0)-1)-2)
&amp;OFFSET(貼り付け2!$A$1,$A66-2,OFFSET(貼り付け2!$A$1,ROW()-1,MATCH(S$1,貼り付け2!$1:$1,0)-1)-1),
IF((OFFSET(貼り付け2!$A$1,ROW()-1,MATCH(S$1,貼り付け2!$1:$1,0)-1)-OFFSET(貼り付け2!$A$1,ROW()-1,MATCH(N$1,貼り付け2!$1:$1,0)-1))=3,
OFFSET(貼り付け2!$A$1,$A66-2,OFFSET(貼り付け2!$A$1,ROW()-1,MATCH(S$1,貼り付け2!$1:$1,0)-1)-3)
&amp;OFFSET(貼り付け2!$A$1,$A66-2,OFFSET(貼り付け2!$A$1,ROW()-1,MATCH(S$1,貼り付け2!$1:$1,0)-1)-2)
&amp;OFFSET(貼り付け2!$A$1,$A66-2,OFFSET(貼り付け2!$A$1,ROW()-1,MATCH(S$1,貼り付け2!$1:$1,0)-1)-1),""))),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OFFSET(貼り付け2!$A$1,$A66-3,OFFSET(貼り付け2!$A$1,ROW()-1,MATCH(S$1,貼り付け2!$1:$1,0)+1)-2)
&amp;OFFSET(貼り付け2!$A$1,$A66-3,OFFSET(貼り付け2!$A$1,ROW()-1,MATCH(S$1,貼り付け2!$1:$1,0)+1)-1),
IF(OFFSET(貼り付け2!$A$1,ROW()-1,MATCH(S$1,貼り付け2!$1:$1,0)+1)-OFFSET(貼り付け2!$A$1,ROW()-1,MATCH(N$1,貼り付け2!$1:$1,0)+1)=3,
OFFSET(貼り付け2!$A$1,$A66-3,OFFSET(貼り付け2!$A$1,ROW()-1,MATCH(S$1,貼り付け2!$1:$1,0)+1)-3)
&amp;OFFSET(貼り付け2!$A$1,$A66-3,OFFSET(貼り付け2!$A$1,ROW()-1,MATCH(S$1,貼り付け2!$1:$1,0)+1)-2)
&amp;OFFSET(貼り付け2!$A$1,$A66-3,OFFSET(貼り付け2!$A$1,ROW()-1,MATCH(S$1,貼り付け2!$1:$1,0)+1)-1),"")),
IF(OFFSET(貼り付け2!$A$1,ROW()-1,MATCH(S$1,貼り付け2!$1:$1,0)+1)=2,
OFFSET(貼り付け2!$A$1,$A66-3,OFFSET(貼り付け2!$A$1,ROW()-1,MATCH(S$1,貼り付け2!$1:$1,0)+1)-2)
&amp;OFFSET(貼り付け2!$A$1,$A66-3,OFFSET(貼り付け2!$A$1,ROW()-1,MATCH(S$1,貼り付け2!$1:$1,0)+1)-1),
IF(OFFSET(貼り付け2!$A$1,ROW()-1,MATCH(S$1,貼り付け2!$1:$1,0)+1)=3,
OFFSET(貼り付け2!$A$1,$A66-3,OFFSET(貼り付け2!$A$1,ROW()-1,MATCH(S$1,貼り付け2!$1:$1,0)+1)-3)
&amp;OFFSET(貼り付け2!$A$1,$A66-3,OFFSET(貼り付け2!$A$1,ROW()-1,MATCH(S$1,貼り付け2!$1:$1,0)+1)-2)
&amp;OFFSET(貼り付け2!$A$1,$A66-3,OFFSET(貼り付け2!$A$1,ROW()-1,MATCH(S$1,貼り付け2!$1:$1,0)+1)-1),""))))</f>
        <v/>
      </c>
      <c r="T66" t="str">
        <f ca="1">IFERROR(OFFSET(貼り付け2!$A$1,$A66-1,OFFSET(貼り付け2!$A$1,ROW()-1,MATCH(T$1,貼り付け2!$1:$1,0)-1)-1),"")</f>
        <v/>
      </c>
      <c r="U66" t="e">
        <f ca="1">OFFSET(貼り付け1!$A$1,貼り付け1!$G65-1,3)</f>
        <v>#REF!</v>
      </c>
      <c r="V66" t="e">
        <f ca="1">OFFSET(貼り付け1!$A$1,貼り付け1!$F65-1,3)</f>
        <v>#REF!</v>
      </c>
      <c r="W66" t="str">
        <f ca="1">IFERROR(OFFSET(貼り付け2!$A$1,まとめ!$B66-1,OFFSET(貼り付け2!$A$1,ROW()-1,MATCH(W$1,貼り付け2!$1:$1,0)-1)-1),"")</f>
        <v/>
      </c>
    </row>
    <row r="67" spans="1:23" x14ac:dyDescent="0.45">
      <c r="A67" t="str">
        <f>貼り付け2!S67</f>
        <v/>
      </c>
      <c r="B67" t="str">
        <f>貼り付け2!R67</f>
        <v/>
      </c>
      <c r="E67" t="str">
        <f ca="1">IFERROR(OFFSET(貼り付け2!$A$1,$A67-1,OFFSET(貼り付け2!$A$1,ROW()-1,MATCH(E$1,貼り付け2!$1:$1,0)-1)-1),"")</f>
        <v/>
      </c>
      <c r="F67" t="e">
        <f ca="1">OFFSET(貼り付け1!$A$1,貼り付け1!$G66-1,0)</f>
        <v>#REF!</v>
      </c>
      <c r="G67" t="e">
        <f ca="1">OFFSET(貼り付け1!$A$1,貼り付け1!$F66-1,0)</f>
        <v>#REF!</v>
      </c>
      <c r="H67" t="str">
        <f ca="1">IFERROR(OFFSET(貼り付け2!$A$1,まとめ!$B67-1,OFFSET(貼り付け2!$A$1,ROW()-1,MATCH(H$1,貼り付け2!$1:$1,0)-1)-1),"")</f>
        <v/>
      </c>
      <c r="J67" t="str">
        <f ca="1">IFERROR(OFFSET(貼り付け2!$A$1,$A67-1,OFFSET(貼り付け2!$A$1,ROW()-1,MATCH(J$1,貼り付け2!$1:$1,0)-1)-1),"")</f>
        <v/>
      </c>
      <c r="K67" t="e">
        <f ca="1">OFFSET(貼り付け1!$A$1,貼り付け1!$G66-1,1)</f>
        <v>#REF!</v>
      </c>
      <c r="L67" t="e">
        <f ca="1">OFFSET(貼り付け1!$A$1,貼り付け1!$F66-1,1)</f>
        <v>#REF!</v>
      </c>
      <c r="M67" t="str">
        <f ca="1">IFERROR(OFFSET(貼り付け2!$A$1,まとめ!$B67-1,OFFSET(貼り付け2!$A$1,ROW()-1,MATCH(M$1,貼り付け2!$1:$1,0)-1)-1),"")</f>
        <v/>
      </c>
      <c r="O67" t="str">
        <f ca="1">IFERROR(OFFSET(貼り付け2!$A$1,$A67-1,OFFSET(貼り付け2!$A$1,ROW()-1,MATCH(O$1,貼り付け2!$1:$1,0)-1)-1),"")</f>
        <v/>
      </c>
      <c r="P67" t="e">
        <f ca="1">OFFSET(貼り付け1!$A$1,貼り付け1!$G66-1,2)</f>
        <v>#REF!</v>
      </c>
      <c r="Q67" t="e">
        <f ca="1">OFFSET(貼り付け1!$A$1,貼り付け1!$F66-1,2)</f>
        <v>#REF!</v>
      </c>
      <c r="R67" t="str">
        <f ca="1">IFERROR(OFFSET(貼り付け2!$A$1,まとめ!$B67-1,OFFSET(貼り付け2!$A$1,ROW()-1,MATCH(R$1,貼り付け2!$1:$1,0)-1)-1),"")</f>
        <v/>
      </c>
      <c r="S67" t="str">
        <f ca="1">IF(OFFSET(貼り付け2!$A$1,ROW()-1,MATCH(S$1,貼り付け2!$1:$1,0)-1)&lt;&gt;"",
IF($C67=TRUE,
IF((OFFSET(貼り付け2!$A$1,ROW()-1,MATCH(S$1,貼り付け2!$1:$1,0)-1)-OFFSET(貼り付け2!$A$1,ROW()-1,MATCH(N$1,貼り付け2!$1:$1,0)-1))=2,
OFFSET(貼り付け2!$A$1,$A67-4,OFFSET(貼り付け2!$A$1,ROW()-1,MATCH(S$1,貼り付け2!$1:$1,0)-1)-2)
&amp;OFFSET(貼り付け2!$A$1,$A67-4,OFFSET(貼り付け2!$A$1,ROW()-1,MATCH(S$1,貼り付け2!$1:$1,0)-1)-1),
IF((OFFSET(貼り付け2!$A$1,ROW()-1,MATCH(S$1,貼り付け2!$1:$1,0)-1)-OFFSET(貼り付け2!$A$1,ROW()-1,MATCH(N$1,貼り付け2!$1:$1,0)-1))=3,
OFFSET(貼り付け2!$A$1,$A67-4,OFFSET(貼り付け2!$A$1,ROW()-1,MATCH(S$1,貼り付け2!$1:$1,0)-1)-3)
&amp;OFFSET(貼り付け2!$A$1,$A67-4,OFFSET(貼り付け2!$A$1,ROW()-1,MATCH(S$1,貼り付け2!$1:$1,0)-1)-2)
&amp;OFFSET(貼り付け2!$A$1,$A67-4,OFFSET(貼り付け2!$A$1,ROW()-1,MATCH(S$1,貼り付け2!$1:$1,0)-1)-1),"")),
IF((OFFSET(貼り付け2!$A$1,ROW()-1,MATCH(S$1,貼り付け2!$1:$1,0)-1)-OFFSET(貼り付け2!$A$1,ROW()-1,MATCH(N$1,貼り付け2!$1:$1,0)-1))=2,
OFFSET(貼り付け2!$A$1,$A67-2,OFFSET(貼り付け2!$A$1,ROW()-1,MATCH(S$1,貼り付け2!$1:$1,0)-1)-2)
&amp;OFFSET(貼り付け2!$A$1,$A67-2,OFFSET(貼り付け2!$A$1,ROW()-1,MATCH(S$1,貼り付け2!$1:$1,0)-1)-1),
IF((OFFSET(貼り付け2!$A$1,ROW()-1,MATCH(S$1,貼り付け2!$1:$1,0)-1)-OFFSET(貼り付け2!$A$1,ROW()-1,MATCH(N$1,貼り付け2!$1:$1,0)-1))=3,
OFFSET(貼り付け2!$A$1,$A67-2,OFFSET(貼り付け2!$A$1,ROW()-1,MATCH(S$1,貼り付け2!$1:$1,0)-1)-3)
&amp;OFFSET(貼り付け2!$A$1,$A67-2,OFFSET(貼り付け2!$A$1,ROW()-1,MATCH(S$1,貼り付け2!$1:$1,0)-1)-2)
&amp;OFFSET(貼り付け2!$A$1,$A67-2,OFFSET(貼り付け2!$A$1,ROW()-1,MATCH(S$1,貼り付け2!$1:$1,0)-1)-1),""))),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OFFSET(貼り付け2!$A$1,$A67-3,OFFSET(貼り付け2!$A$1,ROW()-1,MATCH(S$1,貼り付け2!$1:$1,0)+1)-2)
&amp;OFFSET(貼り付け2!$A$1,$A67-3,OFFSET(貼り付け2!$A$1,ROW()-1,MATCH(S$1,貼り付け2!$1:$1,0)+1)-1),
IF(OFFSET(貼り付け2!$A$1,ROW()-1,MATCH(S$1,貼り付け2!$1:$1,0)+1)-OFFSET(貼り付け2!$A$1,ROW()-1,MATCH(N$1,貼り付け2!$1:$1,0)+1)=3,
OFFSET(貼り付け2!$A$1,$A67-3,OFFSET(貼り付け2!$A$1,ROW()-1,MATCH(S$1,貼り付け2!$1:$1,0)+1)-3)
&amp;OFFSET(貼り付け2!$A$1,$A67-3,OFFSET(貼り付け2!$A$1,ROW()-1,MATCH(S$1,貼り付け2!$1:$1,0)+1)-2)
&amp;OFFSET(貼り付け2!$A$1,$A67-3,OFFSET(貼り付け2!$A$1,ROW()-1,MATCH(S$1,貼り付け2!$1:$1,0)+1)-1),"")),
IF(OFFSET(貼り付け2!$A$1,ROW()-1,MATCH(S$1,貼り付け2!$1:$1,0)+1)=2,
OFFSET(貼り付け2!$A$1,$A67-3,OFFSET(貼り付け2!$A$1,ROW()-1,MATCH(S$1,貼り付け2!$1:$1,0)+1)-2)
&amp;OFFSET(貼り付け2!$A$1,$A67-3,OFFSET(貼り付け2!$A$1,ROW()-1,MATCH(S$1,貼り付け2!$1:$1,0)+1)-1),
IF(OFFSET(貼り付け2!$A$1,ROW()-1,MATCH(S$1,貼り付け2!$1:$1,0)+1)=3,
OFFSET(貼り付け2!$A$1,$A67-3,OFFSET(貼り付け2!$A$1,ROW()-1,MATCH(S$1,貼り付け2!$1:$1,0)+1)-3)
&amp;OFFSET(貼り付け2!$A$1,$A67-3,OFFSET(貼り付け2!$A$1,ROW()-1,MATCH(S$1,貼り付け2!$1:$1,0)+1)-2)
&amp;OFFSET(貼り付け2!$A$1,$A67-3,OFFSET(貼り付け2!$A$1,ROW()-1,MATCH(S$1,貼り付け2!$1:$1,0)+1)-1),""))))</f>
        <v/>
      </c>
      <c r="T67" t="str">
        <f ca="1">IFERROR(OFFSET(貼り付け2!$A$1,$A67-1,OFFSET(貼り付け2!$A$1,ROW()-1,MATCH(T$1,貼り付け2!$1:$1,0)-1)-1),"")</f>
        <v/>
      </c>
      <c r="U67" t="e">
        <f ca="1">OFFSET(貼り付け1!$A$1,貼り付け1!$G66-1,3)</f>
        <v>#REF!</v>
      </c>
      <c r="V67" t="e">
        <f ca="1">OFFSET(貼り付け1!$A$1,貼り付け1!$F66-1,3)</f>
        <v>#REF!</v>
      </c>
      <c r="W67" t="str">
        <f ca="1">IFERROR(OFFSET(貼り付け2!$A$1,まとめ!$B67-1,OFFSET(貼り付け2!$A$1,ROW()-1,MATCH(W$1,貼り付け2!$1:$1,0)-1)-1),"")</f>
        <v/>
      </c>
    </row>
    <row r="68" spans="1:23" x14ac:dyDescent="0.45">
      <c r="A68" t="str">
        <f>貼り付け2!S68</f>
        <v/>
      </c>
      <c r="B68" t="str">
        <f>貼り付け2!R68</f>
        <v/>
      </c>
      <c r="E68" t="str">
        <f ca="1">IFERROR(OFFSET(貼り付け2!$A$1,$A68-1,OFFSET(貼り付け2!$A$1,ROW()-1,MATCH(E$1,貼り付け2!$1:$1,0)-1)-1),"")</f>
        <v/>
      </c>
      <c r="F68" t="e">
        <f ca="1">OFFSET(貼り付け1!$A$1,貼り付け1!$G67-1,0)</f>
        <v>#REF!</v>
      </c>
      <c r="G68" t="e">
        <f ca="1">OFFSET(貼り付け1!$A$1,貼り付け1!$F67-1,0)</f>
        <v>#REF!</v>
      </c>
      <c r="H68" t="str">
        <f ca="1">IFERROR(OFFSET(貼り付け2!$A$1,まとめ!$B68-1,OFFSET(貼り付け2!$A$1,ROW()-1,MATCH(H$1,貼り付け2!$1:$1,0)-1)-1),"")</f>
        <v/>
      </c>
      <c r="J68" t="str">
        <f ca="1">IFERROR(OFFSET(貼り付け2!$A$1,$A68-1,OFFSET(貼り付け2!$A$1,ROW()-1,MATCH(J$1,貼り付け2!$1:$1,0)-1)-1),"")</f>
        <v/>
      </c>
      <c r="K68" t="e">
        <f ca="1">OFFSET(貼り付け1!$A$1,貼り付け1!$G67-1,1)</f>
        <v>#REF!</v>
      </c>
      <c r="L68" t="e">
        <f ca="1">OFFSET(貼り付け1!$A$1,貼り付け1!$F67-1,1)</f>
        <v>#REF!</v>
      </c>
      <c r="M68" t="str">
        <f ca="1">IFERROR(OFFSET(貼り付け2!$A$1,まとめ!$B68-1,OFFSET(貼り付け2!$A$1,ROW()-1,MATCH(M$1,貼り付け2!$1:$1,0)-1)-1),"")</f>
        <v/>
      </c>
      <c r="O68" t="str">
        <f ca="1">IFERROR(OFFSET(貼り付け2!$A$1,$A68-1,OFFSET(貼り付け2!$A$1,ROW()-1,MATCH(O$1,貼り付け2!$1:$1,0)-1)-1),"")</f>
        <v/>
      </c>
      <c r="P68" t="e">
        <f ca="1">OFFSET(貼り付け1!$A$1,貼り付け1!$G67-1,2)</f>
        <v>#REF!</v>
      </c>
      <c r="Q68" t="e">
        <f ca="1">OFFSET(貼り付け1!$A$1,貼り付け1!$F67-1,2)</f>
        <v>#REF!</v>
      </c>
      <c r="R68" t="str">
        <f ca="1">IFERROR(OFFSET(貼り付け2!$A$1,まとめ!$B68-1,OFFSET(貼り付け2!$A$1,ROW()-1,MATCH(R$1,貼り付け2!$1:$1,0)-1)-1),"")</f>
        <v/>
      </c>
      <c r="S68" t="str">
        <f ca="1">IF(OFFSET(貼り付け2!$A$1,ROW()-1,MATCH(S$1,貼り付け2!$1:$1,0)-1)&lt;&gt;"",
IF($C68=TRUE,
IF((OFFSET(貼り付け2!$A$1,ROW()-1,MATCH(S$1,貼り付け2!$1:$1,0)-1)-OFFSET(貼り付け2!$A$1,ROW()-1,MATCH(N$1,貼り付け2!$1:$1,0)-1))=2,
OFFSET(貼り付け2!$A$1,$A68-4,OFFSET(貼り付け2!$A$1,ROW()-1,MATCH(S$1,貼り付け2!$1:$1,0)-1)-2)
&amp;OFFSET(貼り付け2!$A$1,$A68-4,OFFSET(貼り付け2!$A$1,ROW()-1,MATCH(S$1,貼り付け2!$1:$1,0)-1)-1),
IF((OFFSET(貼り付け2!$A$1,ROW()-1,MATCH(S$1,貼り付け2!$1:$1,0)-1)-OFFSET(貼り付け2!$A$1,ROW()-1,MATCH(N$1,貼り付け2!$1:$1,0)-1))=3,
OFFSET(貼り付け2!$A$1,$A68-4,OFFSET(貼り付け2!$A$1,ROW()-1,MATCH(S$1,貼り付け2!$1:$1,0)-1)-3)
&amp;OFFSET(貼り付け2!$A$1,$A68-4,OFFSET(貼り付け2!$A$1,ROW()-1,MATCH(S$1,貼り付け2!$1:$1,0)-1)-2)
&amp;OFFSET(貼り付け2!$A$1,$A68-4,OFFSET(貼り付け2!$A$1,ROW()-1,MATCH(S$1,貼り付け2!$1:$1,0)-1)-1),"")),
IF((OFFSET(貼り付け2!$A$1,ROW()-1,MATCH(S$1,貼り付け2!$1:$1,0)-1)-OFFSET(貼り付け2!$A$1,ROW()-1,MATCH(N$1,貼り付け2!$1:$1,0)-1))=2,
OFFSET(貼り付け2!$A$1,$A68-2,OFFSET(貼り付け2!$A$1,ROW()-1,MATCH(S$1,貼り付け2!$1:$1,0)-1)-2)
&amp;OFFSET(貼り付け2!$A$1,$A68-2,OFFSET(貼り付け2!$A$1,ROW()-1,MATCH(S$1,貼り付け2!$1:$1,0)-1)-1),
IF((OFFSET(貼り付け2!$A$1,ROW()-1,MATCH(S$1,貼り付け2!$1:$1,0)-1)-OFFSET(貼り付け2!$A$1,ROW()-1,MATCH(N$1,貼り付け2!$1:$1,0)-1))=3,
OFFSET(貼り付け2!$A$1,$A68-2,OFFSET(貼り付け2!$A$1,ROW()-1,MATCH(S$1,貼り付け2!$1:$1,0)-1)-3)
&amp;OFFSET(貼り付け2!$A$1,$A68-2,OFFSET(貼り付け2!$A$1,ROW()-1,MATCH(S$1,貼り付け2!$1:$1,0)-1)-2)
&amp;OFFSET(貼り付け2!$A$1,$A68-2,OFFSET(貼り付け2!$A$1,ROW()-1,MATCH(S$1,貼り付け2!$1:$1,0)-1)-1),""))),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OFFSET(貼り付け2!$A$1,$A68-3,OFFSET(貼り付け2!$A$1,ROW()-1,MATCH(S$1,貼り付け2!$1:$1,0)+1)-2)
&amp;OFFSET(貼り付け2!$A$1,$A68-3,OFFSET(貼り付け2!$A$1,ROW()-1,MATCH(S$1,貼り付け2!$1:$1,0)+1)-1),
IF(OFFSET(貼り付け2!$A$1,ROW()-1,MATCH(S$1,貼り付け2!$1:$1,0)+1)-OFFSET(貼り付け2!$A$1,ROW()-1,MATCH(N$1,貼り付け2!$1:$1,0)+1)=3,
OFFSET(貼り付け2!$A$1,$A68-3,OFFSET(貼り付け2!$A$1,ROW()-1,MATCH(S$1,貼り付け2!$1:$1,0)+1)-3)
&amp;OFFSET(貼り付け2!$A$1,$A68-3,OFFSET(貼り付け2!$A$1,ROW()-1,MATCH(S$1,貼り付け2!$1:$1,0)+1)-2)
&amp;OFFSET(貼り付け2!$A$1,$A68-3,OFFSET(貼り付け2!$A$1,ROW()-1,MATCH(S$1,貼り付け2!$1:$1,0)+1)-1),"")),
IF(OFFSET(貼り付け2!$A$1,ROW()-1,MATCH(S$1,貼り付け2!$1:$1,0)+1)=2,
OFFSET(貼り付け2!$A$1,$A68-3,OFFSET(貼り付け2!$A$1,ROW()-1,MATCH(S$1,貼り付け2!$1:$1,0)+1)-2)
&amp;OFFSET(貼り付け2!$A$1,$A68-3,OFFSET(貼り付け2!$A$1,ROW()-1,MATCH(S$1,貼り付け2!$1:$1,0)+1)-1),
IF(OFFSET(貼り付け2!$A$1,ROW()-1,MATCH(S$1,貼り付け2!$1:$1,0)+1)=3,
OFFSET(貼り付け2!$A$1,$A68-3,OFFSET(貼り付け2!$A$1,ROW()-1,MATCH(S$1,貼り付け2!$1:$1,0)+1)-3)
&amp;OFFSET(貼り付け2!$A$1,$A68-3,OFFSET(貼り付け2!$A$1,ROW()-1,MATCH(S$1,貼り付け2!$1:$1,0)+1)-2)
&amp;OFFSET(貼り付け2!$A$1,$A68-3,OFFSET(貼り付け2!$A$1,ROW()-1,MATCH(S$1,貼り付け2!$1:$1,0)+1)-1),""))))</f>
        <v/>
      </c>
      <c r="T68" t="str">
        <f ca="1">IFERROR(OFFSET(貼り付け2!$A$1,$A68-1,OFFSET(貼り付け2!$A$1,ROW()-1,MATCH(T$1,貼り付け2!$1:$1,0)-1)-1),"")</f>
        <v/>
      </c>
      <c r="U68" t="e">
        <f ca="1">OFFSET(貼り付け1!$A$1,貼り付け1!$G67-1,3)</f>
        <v>#REF!</v>
      </c>
      <c r="V68" t="e">
        <f ca="1">OFFSET(貼り付け1!$A$1,貼り付け1!$F67-1,3)</f>
        <v>#REF!</v>
      </c>
      <c r="W68" t="str">
        <f ca="1">IFERROR(OFFSET(貼り付け2!$A$1,まとめ!$B68-1,OFFSET(貼り付け2!$A$1,ROW()-1,MATCH(W$1,貼り付け2!$1:$1,0)-1)-1),"")</f>
        <v/>
      </c>
    </row>
    <row r="69" spans="1:23" x14ac:dyDescent="0.45">
      <c r="A69" t="str">
        <f>貼り付け2!S69</f>
        <v/>
      </c>
      <c r="B69" t="str">
        <f>貼り付け2!R69</f>
        <v/>
      </c>
      <c r="E69" t="str">
        <f ca="1">IFERROR(OFFSET(貼り付け2!$A$1,$A69-1,OFFSET(貼り付け2!$A$1,ROW()-1,MATCH(E$1,貼り付け2!$1:$1,0)-1)-1),"")</f>
        <v/>
      </c>
      <c r="F69" t="e">
        <f ca="1">OFFSET(貼り付け1!$A$1,貼り付け1!$G68-1,0)</f>
        <v>#REF!</v>
      </c>
      <c r="G69" t="e">
        <f ca="1">OFFSET(貼り付け1!$A$1,貼り付け1!$F68-1,0)</f>
        <v>#REF!</v>
      </c>
      <c r="H69" t="str">
        <f ca="1">IFERROR(OFFSET(貼り付け2!$A$1,まとめ!$B69-1,OFFSET(貼り付け2!$A$1,ROW()-1,MATCH(H$1,貼り付け2!$1:$1,0)-1)-1),"")</f>
        <v/>
      </c>
      <c r="J69" t="str">
        <f ca="1">IFERROR(OFFSET(貼り付け2!$A$1,$A69-1,OFFSET(貼り付け2!$A$1,ROW()-1,MATCH(J$1,貼り付け2!$1:$1,0)-1)-1),"")</f>
        <v/>
      </c>
      <c r="K69" t="e">
        <f ca="1">OFFSET(貼り付け1!$A$1,貼り付け1!$G68-1,1)</f>
        <v>#REF!</v>
      </c>
      <c r="L69" t="e">
        <f ca="1">OFFSET(貼り付け1!$A$1,貼り付け1!$F68-1,1)</f>
        <v>#REF!</v>
      </c>
      <c r="M69" t="str">
        <f ca="1">IFERROR(OFFSET(貼り付け2!$A$1,まとめ!$B69-1,OFFSET(貼り付け2!$A$1,ROW()-1,MATCH(M$1,貼り付け2!$1:$1,0)-1)-1),"")</f>
        <v/>
      </c>
      <c r="O69" t="str">
        <f ca="1">IFERROR(OFFSET(貼り付け2!$A$1,$A69-1,OFFSET(貼り付け2!$A$1,ROW()-1,MATCH(O$1,貼り付け2!$1:$1,0)-1)-1),"")</f>
        <v/>
      </c>
      <c r="P69" t="e">
        <f ca="1">OFFSET(貼り付け1!$A$1,貼り付け1!$G68-1,2)</f>
        <v>#REF!</v>
      </c>
      <c r="Q69" t="e">
        <f ca="1">OFFSET(貼り付け1!$A$1,貼り付け1!$F68-1,2)</f>
        <v>#REF!</v>
      </c>
      <c r="R69" t="str">
        <f ca="1">IFERROR(OFFSET(貼り付け2!$A$1,まとめ!$B69-1,OFFSET(貼り付け2!$A$1,ROW()-1,MATCH(R$1,貼り付け2!$1:$1,0)-1)-1),"")</f>
        <v/>
      </c>
      <c r="S69" t="str">
        <f ca="1">IF(OFFSET(貼り付け2!$A$1,ROW()-1,MATCH(S$1,貼り付け2!$1:$1,0)-1)&lt;&gt;"",
IF($C69=TRUE,
IF((OFFSET(貼り付け2!$A$1,ROW()-1,MATCH(S$1,貼り付け2!$1:$1,0)-1)-OFFSET(貼り付け2!$A$1,ROW()-1,MATCH(N$1,貼り付け2!$1:$1,0)-1))=2,
OFFSET(貼り付け2!$A$1,$A69-4,OFFSET(貼り付け2!$A$1,ROW()-1,MATCH(S$1,貼り付け2!$1:$1,0)-1)-2)
&amp;OFFSET(貼り付け2!$A$1,$A69-4,OFFSET(貼り付け2!$A$1,ROW()-1,MATCH(S$1,貼り付け2!$1:$1,0)-1)-1),
IF((OFFSET(貼り付け2!$A$1,ROW()-1,MATCH(S$1,貼り付け2!$1:$1,0)-1)-OFFSET(貼り付け2!$A$1,ROW()-1,MATCH(N$1,貼り付け2!$1:$1,0)-1))=3,
OFFSET(貼り付け2!$A$1,$A69-4,OFFSET(貼り付け2!$A$1,ROW()-1,MATCH(S$1,貼り付け2!$1:$1,0)-1)-3)
&amp;OFFSET(貼り付け2!$A$1,$A69-4,OFFSET(貼り付け2!$A$1,ROW()-1,MATCH(S$1,貼り付け2!$1:$1,0)-1)-2)
&amp;OFFSET(貼り付け2!$A$1,$A69-4,OFFSET(貼り付け2!$A$1,ROW()-1,MATCH(S$1,貼り付け2!$1:$1,0)-1)-1),"")),
IF((OFFSET(貼り付け2!$A$1,ROW()-1,MATCH(S$1,貼り付け2!$1:$1,0)-1)-OFFSET(貼り付け2!$A$1,ROW()-1,MATCH(N$1,貼り付け2!$1:$1,0)-1))=2,
OFFSET(貼り付け2!$A$1,$A69-2,OFFSET(貼り付け2!$A$1,ROW()-1,MATCH(S$1,貼り付け2!$1:$1,0)-1)-2)
&amp;OFFSET(貼り付け2!$A$1,$A69-2,OFFSET(貼り付け2!$A$1,ROW()-1,MATCH(S$1,貼り付け2!$1:$1,0)-1)-1),
IF((OFFSET(貼り付け2!$A$1,ROW()-1,MATCH(S$1,貼り付け2!$1:$1,0)-1)-OFFSET(貼り付け2!$A$1,ROW()-1,MATCH(N$1,貼り付け2!$1:$1,0)-1))=3,
OFFSET(貼り付け2!$A$1,$A69-2,OFFSET(貼り付け2!$A$1,ROW()-1,MATCH(S$1,貼り付け2!$1:$1,0)-1)-3)
&amp;OFFSET(貼り付け2!$A$1,$A69-2,OFFSET(貼り付け2!$A$1,ROW()-1,MATCH(S$1,貼り付け2!$1:$1,0)-1)-2)
&amp;OFFSET(貼り付け2!$A$1,$A69-2,OFFSET(貼り付け2!$A$1,ROW()-1,MATCH(S$1,貼り付け2!$1:$1,0)-1)-1),""))),
IF(OFFSET(貼り付け2!$A$1,ROW()-1,MATCH(N$1,貼り付け2!$1:$1,0)+1)&lt;&gt;"",
IF(OFFSET(貼り付け2!$A$1,ROW()-1,MATCH(S$1,貼り付け2!$1:$1,0)+1)-OFFSET(貼り付け2!$A$1,ROW()-1,MATCH(N$1,貼り付け2!$1:$1,0)+1)=2,
OFFSET(貼り付け2!$A$1,$A69-3,OFFSET(貼り付け2!$A$1,ROW()-1,MATCH(S$1,貼り付け2!$1:$1,0)+1)-2)
&amp;OFFSET(貼り付け2!$A$1,$A69-3,OFFSET(貼り付け2!$A$1,ROW()-1,MATCH(S$1,貼り付け2!$1:$1,0)+1)-1),
IF(OFFSET(貼り付け2!$A$1,ROW()-1,MATCH(S$1,貼り付け2!$1:$1,0)+1)-OFFSET(貼り付け2!$A$1,ROW()-1,MATCH(N$1,貼り付け2!$1:$1,0)+1)=3,
OFFSET(貼り付け2!$A$1,$A69-3,OFFSET(貼り付け2!$A$1,ROW()-1,MATCH(S$1,貼り付け2!$1:$1,0)+1)-3)
&amp;OFFSET(貼り付け2!$A$1,$A69-3,OFFSET(貼り付け2!$A$1,ROW()-1,MATCH(S$1,貼り付け2!$1:$1,0)+1)-2)
&amp;OFFSET(貼り付け2!$A$1,$A69-3,OFFSET(貼り付け2!$A$1,ROW()-1,MATCH(S$1,貼り付け2!$1:$1,0)+1)-1),"")),
IF(OFFSET(貼り付け2!$A$1,ROW()-1,MATCH(S$1,貼り付け2!$1:$1,0)+1)=2,
OFFSET(貼り付け2!$A$1,$A69-3,OFFSET(貼り付け2!$A$1,ROW()-1,MATCH(S$1,貼り付け2!$1:$1,0)+1)-2)
&amp;OFFSET(貼り付け2!$A$1,$A69-3,OFFSET(貼り付け2!$A$1,ROW()-1,MATCH(S$1,貼り付け2!$1:$1,0)+1)-1),
IF(OFFSET(貼り付け2!$A$1,ROW()-1,MATCH(S$1,貼り付け2!$1:$1,0)+1)=3,
OFFSET(貼り付け2!$A$1,$A69-3,OFFSET(貼り付け2!$A$1,ROW()-1,MATCH(S$1,貼り付け2!$1:$1,0)+1)-3)
&amp;OFFSET(貼り付け2!$A$1,$A69-3,OFFSET(貼り付け2!$A$1,ROW()-1,MATCH(S$1,貼り付け2!$1:$1,0)+1)-2)
&amp;OFFSET(貼り付け2!$A$1,$A69-3,OFFSET(貼り付け2!$A$1,ROW()-1,MATCH(S$1,貼り付け2!$1:$1,0)+1)-1),""))))</f>
        <v/>
      </c>
      <c r="T69" t="str">
        <f ca="1">IFERROR(OFFSET(貼り付け2!$A$1,$A69-1,OFFSET(貼り付け2!$A$1,ROW()-1,MATCH(T$1,貼り付け2!$1:$1,0)-1)-1),"")</f>
        <v/>
      </c>
      <c r="U69" t="e">
        <f ca="1">OFFSET(貼り付け1!$A$1,貼り付け1!$G68-1,3)</f>
        <v>#REF!</v>
      </c>
      <c r="V69" t="e">
        <f ca="1">OFFSET(貼り付け1!$A$1,貼り付け1!$F68-1,3)</f>
        <v>#REF!</v>
      </c>
      <c r="W69" t="str">
        <f ca="1">IFERROR(OFFSET(貼り付け2!$A$1,まとめ!$B69-1,OFFSET(貼り付け2!$A$1,ROW()-1,MATCH(W$1,貼り付け2!$1:$1,0)-1)-1),"")</f>
        <v/>
      </c>
    </row>
    <row r="70" spans="1:23" x14ac:dyDescent="0.45">
      <c r="A70" t="str">
        <f>貼り付け2!S70</f>
        <v/>
      </c>
      <c r="B70" t="str">
        <f>貼り付け2!R70</f>
        <v/>
      </c>
      <c r="E70" t="str">
        <f ca="1">IFERROR(OFFSET(貼り付け2!$A$1,$A70-1,OFFSET(貼り付け2!$A$1,ROW()-1,MATCH(E$1,貼り付け2!$1:$1,0)-1)-1),"")</f>
        <v/>
      </c>
      <c r="F70" t="e">
        <f ca="1">OFFSET(貼り付け1!$A$1,貼り付け1!$G69-1,0)</f>
        <v>#REF!</v>
      </c>
      <c r="G70" t="e">
        <f ca="1">OFFSET(貼り付け1!$A$1,貼り付け1!$F69-1,0)</f>
        <v>#REF!</v>
      </c>
      <c r="H70" t="str">
        <f ca="1">IFERROR(OFFSET(貼り付け2!$A$1,まとめ!$B70-1,OFFSET(貼り付け2!$A$1,ROW()-1,MATCH(H$1,貼り付け2!$1:$1,0)-1)-1),"")</f>
        <v/>
      </c>
      <c r="J70" t="str">
        <f ca="1">IFERROR(OFFSET(貼り付け2!$A$1,$A70-1,OFFSET(貼り付け2!$A$1,ROW()-1,MATCH(J$1,貼り付け2!$1:$1,0)-1)-1),"")</f>
        <v/>
      </c>
      <c r="K70" t="e">
        <f ca="1">OFFSET(貼り付け1!$A$1,貼り付け1!$G69-1,1)</f>
        <v>#REF!</v>
      </c>
      <c r="L70" t="e">
        <f ca="1">OFFSET(貼り付け1!$A$1,貼り付け1!$F69-1,1)</f>
        <v>#REF!</v>
      </c>
      <c r="M70" t="str">
        <f ca="1">IFERROR(OFFSET(貼り付け2!$A$1,まとめ!$B70-1,OFFSET(貼り付け2!$A$1,ROW()-1,MATCH(M$1,貼り付け2!$1:$1,0)-1)-1),"")</f>
        <v/>
      </c>
      <c r="O70" t="str">
        <f ca="1">IFERROR(OFFSET(貼り付け2!$A$1,$A70-1,OFFSET(貼り付け2!$A$1,ROW()-1,MATCH(O$1,貼り付け2!$1:$1,0)-1)-1),"")</f>
        <v/>
      </c>
      <c r="P70" t="e">
        <f ca="1">OFFSET(貼り付け1!$A$1,貼り付け1!$G69-1,2)</f>
        <v>#REF!</v>
      </c>
      <c r="Q70" t="e">
        <f ca="1">OFFSET(貼り付け1!$A$1,貼り付け1!$F69-1,2)</f>
        <v>#REF!</v>
      </c>
      <c r="R70" t="str">
        <f ca="1">IFERROR(OFFSET(貼り付け2!$A$1,まとめ!$B70-1,OFFSET(貼り付け2!$A$1,ROW()-1,MATCH(R$1,貼り付け2!$1:$1,0)-1)-1),"")</f>
        <v/>
      </c>
      <c r="T70" t="str">
        <f ca="1">IFERROR(OFFSET(貼り付け2!$A$1,$A70-1,OFFSET(貼り付け2!$A$1,ROW()-1,MATCH(T$1,貼り付け2!$1:$1,0)-1)-1),"")</f>
        <v/>
      </c>
      <c r="U70" t="e">
        <f ca="1">OFFSET(貼り付け1!$A$1,貼り付け1!$G69-1,3)</f>
        <v>#REF!</v>
      </c>
      <c r="V70" t="e">
        <f ca="1">OFFSET(貼り付け1!$A$1,貼り付け1!$F69-1,3)</f>
        <v>#REF!</v>
      </c>
      <c r="W70" t="str">
        <f ca="1">IFERROR(OFFSET(貼り付け2!$A$1,まとめ!$B70-1,OFFSET(貼り付け2!$A$1,ROW()-1,MATCH(W$1,貼り付け2!$1:$1,0)-1)-1),"")</f>
        <v/>
      </c>
    </row>
    <row r="71" spans="1:23" x14ac:dyDescent="0.45">
      <c r="A71" t="str">
        <f>貼り付け2!S71</f>
        <v/>
      </c>
      <c r="B71" t="str">
        <f>貼り付け2!R71</f>
        <v/>
      </c>
      <c r="E71" t="str">
        <f ca="1">IFERROR(OFFSET(貼り付け2!$A$1,$A71-1,OFFSET(貼り付け2!$A$1,ROW()-1,MATCH(E$1,貼り付け2!$1:$1,0)-1)-1),"")</f>
        <v/>
      </c>
      <c r="F71" t="e">
        <f ca="1">OFFSET(貼り付け1!$A$1,貼り付け1!$G70-1,0)</f>
        <v>#REF!</v>
      </c>
      <c r="G71" t="e">
        <f ca="1">OFFSET(貼り付け1!$A$1,貼り付け1!$F70-1,0)</f>
        <v>#REF!</v>
      </c>
      <c r="H71" t="str">
        <f ca="1">IFERROR(OFFSET(貼り付け2!$A$1,まとめ!$B71-1,OFFSET(貼り付け2!$A$1,ROW()-1,MATCH(H$1,貼り付け2!$1:$1,0)-1)-1),"")</f>
        <v/>
      </c>
      <c r="J71" t="str">
        <f ca="1">IFERROR(OFFSET(貼り付け2!$A$1,$A71-1,OFFSET(貼り付け2!$A$1,ROW()-1,MATCH(J$1,貼り付け2!$1:$1,0)-1)-1),"")</f>
        <v/>
      </c>
      <c r="K71" t="e">
        <f ca="1">OFFSET(貼り付け1!$A$1,貼り付け1!$G70-1,1)</f>
        <v>#REF!</v>
      </c>
      <c r="L71" t="e">
        <f ca="1">OFFSET(貼り付け1!$A$1,貼り付け1!$F70-1,1)</f>
        <v>#REF!</v>
      </c>
      <c r="M71" t="str">
        <f ca="1">IFERROR(OFFSET(貼り付け2!$A$1,まとめ!$B71-1,OFFSET(貼り付け2!$A$1,ROW()-1,MATCH(M$1,貼り付け2!$1:$1,0)-1)-1),"")</f>
        <v/>
      </c>
      <c r="O71" t="str">
        <f ca="1">IFERROR(OFFSET(貼り付け2!$A$1,$A71-1,OFFSET(貼り付け2!$A$1,ROW()-1,MATCH(O$1,貼り付け2!$1:$1,0)-1)-1),"")</f>
        <v/>
      </c>
      <c r="P71" t="e">
        <f ca="1">OFFSET(貼り付け1!$A$1,貼り付け1!$G70-1,2)</f>
        <v>#REF!</v>
      </c>
      <c r="Q71" t="e">
        <f ca="1">OFFSET(貼り付け1!$A$1,貼り付け1!$F70-1,2)</f>
        <v>#REF!</v>
      </c>
      <c r="R71" t="str">
        <f ca="1">IFERROR(OFFSET(貼り付け2!$A$1,まとめ!$B71-1,OFFSET(貼り付け2!$A$1,ROW()-1,MATCH(R$1,貼り付け2!$1:$1,0)-1)-1),"")</f>
        <v/>
      </c>
      <c r="T71" t="str">
        <f ca="1">IFERROR(OFFSET(貼り付け2!$A$1,$A71-1,OFFSET(貼り付け2!$A$1,ROW()-1,MATCH(T$1,貼り付け2!$1:$1,0)-1)-1),"")</f>
        <v/>
      </c>
      <c r="U71" t="e">
        <f ca="1">OFFSET(貼り付け1!$A$1,貼り付け1!$G70-1,3)</f>
        <v>#REF!</v>
      </c>
      <c r="V71" t="e">
        <f ca="1">OFFSET(貼り付け1!$A$1,貼り付け1!$F70-1,3)</f>
        <v>#REF!</v>
      </c>
      <c r="W71" t="str">
        <f ca="1">IFERROR(OFFSET(貼り付け2!$A$1,まとめ!$B71-1,OFFSET(貼り付け2!$A$1,ROW()-1,MATCH(W$1,貼り付け2!$1:$1,0)-1)-1),"")</f>
        <v/>
      </c>
    </row>
    <row r="72" spans="1:23" x14ac:dyDescent="0.45">
      <c r="A72" t="str">
        <f>貼り付け2!S72</f>
        <v/>
      </c>
      <c r="B72" t="str">
        <f>貼り付け2!R72</f>
        <v/>
      </c>
      <c r="E72" t="str">
        <f ca="1">IFERROR(OFFSET(貼り付け2!$A$1,$A72-1,OFFSET(貼り付け2!$A$1,ROW()-1,MATCH(E$1,貼り付け2!$1:$1,0)-1)-1),"")</f>
        <v/>
      </c>
      <c r="F72" t="e">
        <f ca="1">OFFSET(貼り付け1!$A$1,貼り付け1!$G71-1,0)</f>
        <v>#REF!</v>
      </c>
      <c r="G72" t="e">
        <f ca="1">OFFSET(貼り付け1!$A$1,貼り付け1!$F71-1,0)</f>
        <v>#REF!</v>
      </c>
      <c r="H72" t="str">
        <f ca="1">IFERROR(OFFSET(貼り付け2!$A$1,まとめ!$B72-1,OFFSET(貼り付け2!$A$1,ROW()-1,MATCH(H$1,貼り付け2!$1:$1,0)-1)-1),"")</f>
        <v/>
      </c>
      <c r="J72" t="str">
        <f ca="1">IFERROR(OFFSET(貼り付け2!$A$1,$A72-1,OFFSET(貼り付け2!$A$1,ROW()-1,MATCH(J$1,貼り付け2!$1:$1,0)-1)-1),"")</f>
        <v/>
      </c>
      <c r="K72" t="e">
        <f ca="1">OFFSET(貼り付け1!$A$1,貼り付け1!$G71-1,1)</f>
        <v>#REF!</v>
      </c>
      <c r="L72" t="e">
        <f ca="1">OFFSET(貼り付け1!$A$1,貼り付け1!$F71-1,1)</f>
        <v>#REF!</v>
      </c>
      <c r="M72" t="str">
        <f ca="1">IFERROR(OFFSET(貼り付け2!$A$1,まとめ!$B72-1,OFFSET(貼り付け2!$A$1,ROW()-1,MATCH(M$1,貼り付け2!$1:$1,0)-1)-1),"")</f>
        <v/>
      </c>
      <c r="O72" t="str">
        <f ca="1">IFERROR(OFFSET(貼り付け2!$A$1,$A72-1,OFFSET(貼り付け2!$A$1,ROW()-1,MATCH(O$1,貼り付け2!$1:$1,0)-1)-1),"")</f>
        <v/>
      </c>
      <c r="P72" t="e">
        <f ca="1">OFFSET(貼り付け1!$A$1,貼り付け1!$G71-1,2)</f>
        <v>#REF!</v>
      </c>
      <c r="Q72" t="e">
        <f ca="1">OFFSET(貼り付け1!$A$1,貼り付け1!$F71-1,2)</f>
        <v>#REF!</v>
      </c>
      <c r="R72" t="str">
        <f ca="1">IFERROR(OFFSET(貼り付け2!$A$1,まとめ!$B72-1,OFFSET(貼り付け2!$A$1,ROW()-1,MATCH(R$1,貼り付け2!$1:$1,0)-1)-1),"")</f>
        <v/>
      </c>
      <c r="T72" t="str">
        <f ca="1">IFERROR(OFFSET(貼り付け2!$A$1,$A72-1,OFFSET(貼り付け2!$A$1,ROW()-1,MATCH(T$1,貼り付け2!$1:$1,0)-1)-1),"")</f>
        <v/>
      </c>
      <c r="U72" t="e">
        <f ca="1">OFFSET(貼り付け1!$A$1,貼り付け1!$G71-1,3)</f>
        <v>#REF!</v>
      </c>
      <c r="V72" t="e">
        <f ca="1">OFFSET(貼り付け1!$A$1,貼り付け1!$F71-1,3)</f>
        <v>#REF!</v>
      </c>
      <c r="W72" t="str">
        <f ca="1">IFERROR(OFFSET(貼り付け2!$A$1,まとめ!$B72-1,OFFSET(貼り付け2!$A$1,ROW()-1,MATCH(W$1,貼り付け2!$1:$1,0)-1)-1),"")</f>
        <v/>
      </c>
    </row>
    <row r="73" spans="1:23" x14ac:dyDescent="0.45">
      <c r="A73" t="str">
        <f>貼り付け2!S73</f>
        <v/>
      </c>
      <c r="B73" t="str">
        <f>貼り付け2!R73</f>
        <v/>
      </c>
      <c r="E73" t="str">
        <f ca="1">IFERROR(OFFSET(貼り付け2!$A$1,$A73-1,OFFSET(貼り付け2!$A$1,ROW()-1,MATCH(E$1,貼り付け2!$1:$1,0)-1)-1),"")</f>
        <v/>
      </c>
      <c r="F73" t="e">
        <f ca="1">OFFSET(貼り付け1!$A$1,貼り付け1!$G72-1,0)</f>
        <v>#REF!</v>
      </c>
      <c r="G73" t="e">
        <f ca="1">OFFSET(貼り付け1!$A$1,貼り付け1!$F72-1,0)</f>
        <v>#REF!</v>
      </c>
      <c r="H73" t="str">
        <f ca="1">IFERROR(OFFSET(貼り付け2!$A$1,まとめ!$B73-1,OFFSET(貼り付け2!$A$1,ROW()-1,MATCH(H$1,貼り付け2!$1:$1,0)-1)-1),"")</f>
        <v/>
      </c>
      <c r="J73" t="str">
        <f ca="1">IFERROR(OFFSET(貼り付け2!$A$1,$A73-1,OFFSET(貼り付け2!$A$1,ROW()-1,MATCH(J$1,貼り付け2!$1:$1,0)-1)-1),"")</f>
        <v/>
      </c>
      <c r="K73" t="e">
        <f ca="1">OFFSET(貼り付け1!$A$1,貼り付け1!$G72-1,1)</f>
        <v>#REF!</v>
      </c>
      <c r="L73" t="e">
        <f ca="1">OFFSET(貼り付け1!$A$1,貼り付け1!$F72-1,1)</f>
        <v>#REF!</v>
      </c>
      <c r="M73" t="str">
        <f ca="1">IFERROR(OFFSET(貼り付け2!$A$1,まとめ!$B73-1,OFFSET(貼り付け2!$A$1,ROW()-1,MATCH(M$1,貼り付け2!$1:$1,0)-1)-1),"")</f>
        <v/>
      </c>
      <c r="O73" t="str">
        <f ca="1">IFERROR(OFFSET(貼り付け2!$A$1,$A73-1,OFFSET(貼り付け2!$A$1,ROW()-1,MATCH(O$1,貼り付け2!$1:$1,0)-1)-1),"")</f>
        <v/>
      </c>
      <c r="P73" t="e">
        <f ca="1">OFFSET(貼り付け1!$A$1,貼り付け1!$G72-1,2)</f>
        <v>#REF!</v>
      </c>
      <c r="Q73" t="e">
        <f ca="1">OFFSET(貼り付け1!$A$1,貼り付け1!$F72-1,2)</f>
        <v>#REF!</v>
      </c>
      <c r="R73" t="str">
        <f ca="1">IFERROR(OFFSET(貼り付け2!$A$1,まとめ!$B73-1,OFFSET(貼り付け2!$A$1,ROW()-1,MATCH(R$1,貼り付け2!$1:$1,0)-1)-1),"")</f>
        <v/>
      </c>
      <c r="T73" t="str">
        <f ca="1">IFERROR(OFFSET(貼り付け2!$A$1,$A73-1,OFFSET(貼り付け2!$A$1,ROW()-1,MATCH(T$1,貼り付け2!$1:$1,0)-1)-1),"")</f>
        <v/>
      </c>
      <c r="U73" t="e">
        <f ca="1">OFFSET(貼り付け1!$A$1,貼り付け1!$G72-1,3)</f>
        <v>#REF!</v>
      </c>
      <c r="V73" t="e">
        <f ca="1">OFFSET(貼り付け1!$A$1,貼り付け1!$F72-1,3)</f>
        <v>#REF!</v>
      </c>
      <c r="W73" t="str">
        <f ca="1">IFERROR(OFFSET(貼り付け2!$A$1,まとめ!$B73-1,OFFSET(貼り付け2!$A$1,ROW()-1,MATCH(W$1,貼り付け2!$1:$1,0)-1)-1),"")</f>
        <v/>
      </c>
    </row>
    <row r="74" spans="1:23" x14ac:dyDescent="0.45">
      <c r="A74" t="str">
        <f>貼り付け2!S74</f>
        <v/>
      </c>
      <c r="B74" t="str">
        <f>貼り付け2!R74</f>
        <v/>
      </c>
      <c r="E74" t="str">
        <f ca="1">IFERROR(OFFSET(貼り付け2!$A$1,$A74-1,OFFSET(貼り付け2!$A$1,ROW()-1,MATCH(E$1,貼り付け2!$1:$1,0)-1)-1),"")</f>
        <v/>
      </c>
      <c r="F74" t="e">
        <f ca="1">OFFSET(貼り付け1!$A$1,貼り付け1!$G73-1,0)</f>
        <v>#REF!</v>
      </c>
      <c r="G74" t="e">
        <f ca="1">OFFSET(貼り付け1!$A$1,貼り付け1!$F73-1,0)</f>
        <v>#REF!</v>
      </c>
      <c r="H74" t="str">
        <f ca="1">IFERROR(OFFSET(貼り付け2!$A$1,まとめ!$B74-1,OFFSET(貼り付け2!$A$1,ROW()-1,MATCH(H$1,貼り付け2!$1:$1,0)-1)-1),"")</f>
        <v/>
      </c>
      <c r="J74" t="str">
        <f ca="1">IFERROR(OFFSET(貼り付け2!$A$1,$A74-1,OFFSET(貼り付け2!$A$1,ROW()-1,MATCH(J$1,貼り付け2!$1:$1,0)-1)-1),"")</f>
        <v/>
      </c>
      <c r="K74" t="e">
        <f ca="1">OFFSET(貼り付け1!$A$1,貼り付け1!$G73-1,1)</f>
        <v>#REF!</v>
      </c>
      <c r="L74" t="e">
        <f ca="1">OFFSET(貼り付け1!$A$1,貼り付け1!$F73-1,1)</f>
        <v>#REF!</v>
      </c>
      <c r="M74" t="str">
        <f ca="1">IFERROR(OFFSET(貼り付け2!$A$1,まとめ!$B74-1,OFFSET(貼り付け2!$A$1,ROW()-1,MATCH(M$1,貼り付け2!$1:$1,0)-1)-1),"")</f>
        <v/>
      </c>
      <c r="O74" t="str">
        <f ca="1">IFERROR(OFFSET(貼り付け2!$A$1,$A74-1,OFFSET(貼り付け2!$A$1,ROW()-1,MATCH(O$1,貼り付け2!$1:$1,0)-1)-1),"")</f>
        <v/>
      </c>
      <c r="P74" t="e">
        <f ca="1">OFFSET(貼り付け1!$A$1,貼り付け1!$G73-1,2)</f>
        <v>#REF!</v>
      </c>
      <c r="Q74" t="e">
        <f ca="1">OFFSET(貼り付け1!$A$1,貼り付け1!$F73-1,2)</f>
        <v>#REF!</v>
      </c>
      <c r="R74" t="str">
        <f ca="1">IFERROR(OFFSET(貼り付け2!$A$1,まとめ!$B74-1,OFFSET(貼り付け2!$A$1,ROW()-1,MATCH(R$1,貼り付け2!$1:$1,0)-1)-1),"")</f>
        <v/>
      </c>
      <c r="T74" t="str">
        <f ca="1">IFERROR(OFFSET(貼り付け2!$A$1,$A74-1,OFFSET(貼り付け2!$A$1,ROW()-1,MATCH(T$1,貼り付け2!$1:$1,0)-1)-1),"")</f>
        <v/>
      </c>
      <c r="U74" t="e">
        <f ca="1">OFFSET(貼り付け1!$A$1,貼り付け1!$G73-1,3)</f>
        <v>#REF!</v>
      </c>
      <c r="V74" t="e">
        <f ca="1">OFFSET(貼り付け1!$A$1,貼り付け1!$F73-1,3)</f>
        <v>#REF!</v>
      </c>
      <c r="W74" t="str">
        <f ca="1">IFERROR(OFFSET(貼り付け2!$A$1,まとめ!$B74-1,OFFSET(貼り付け2!$A$1,ROW()-1,MATCH(W$1,貼り付け2!$1:$1,0)-1)-1),"")</f>
        <v/>
      </c>
    </row>
    <row r="75" spans="1:23" x14ac:dyDescent="0.45">
      <c r="A75" t="str">
        <f>貼り付け2!S75</f>
        <v/>
      </c>
      <c r="B75" t="str">
        <f>貼り付け2!R75</f>
        <v/>
      </c>
      <c r="E75" t="str">
        <f ca="1">IFERROR(OFFSET(貼り付け2!$A$1,$A75-1,OFFSET(貼り付け2!$A$1,ROW()-1,MATCH(E$1,貼り付け2!$1:$1,0)-1)-1),"")</f>
        <v/>
      </c>
      <c r="F75" t="e">
        <f ca="1">OFFSET(貼り付け1!$A$1,貼り付け1!$G74-1,0)</f>
        <v>#REF!</v>
      </c>
      <c r="G75" t="e">
        <f ca="1">OFFSET(貼り付け1!$A$1,貼り付け1!$F74-1,0)</f>
        <v>#REF!</v>
      </c>
      <c r="H75" t="str">
        <f ca="1">IFERROR(OFFSET(貼り付け2!$A$1,まとめ!$B75-1,OFFSET(貼り付け2!$A$1,ROW()-1,MATCH(H$1,貼り付け2!$1:$1,0)-1)-1),"")</f>
        <v/>
      </c>
      <c r="J75" t="str">
        <f ca="1">IFERROR(OFFSET(貼り付け2!$A$1,$A75-1,OFFSET(貼り付け2!$A$1,ROW()-1,MATCH(J$1,貼り付け2!$1:$1,0)-1)-1),"")</f>
        <v/>
      </c>
      <c r="K75" t="e">
        <f ca="1">OFFSET(貼り付け1!$A$1,貼り付け1!$G74-1,1)</f>
        <v>#REF!</v>
      </c>
      <c r="L75" t="e">
        <f ca="1">OFFSET(貼り付け1!$A$1,貼り付け1!$F74-1,1)</f>
        <v>#REF!</v>
      </c>
      <c r="M75" t="str">
        <f ca="1">IFERROR(OFFSET(貼り付け2!$A$1,まとめ!$B75-1,OFFSET(貼り付け2!$A$1,ROW()-1,MATCH(M$1,貼り付け2!$1:$1,0)-1)-1),"")</f>
        <v/>
      </c>
      <c r="O75" t="str">
        <f ca="1">IFERROR(OFFSET(貼り付け2!$A$1,$A75-1,OFFSET(貼り付け2!$A$1,ROW()-1,MATCH(O$1,貼り付け2!$1:$1,0)-1)-1),"")</f>
        <v/>
      </c>
      <c r="P75" t="e">
        <f ca="1">OFFSET(貼り付け1!$A$1,貼り付け1!$G74-1,2)</f>
        <v>#REF!</v>
      </c>
      <c r="Q75" t="e">
        <f ca="1">OFFSET(貼り付け1!$A$1,貼り付け1!$F74-1,2)</f>
        <v>#REF!</v>
      </c>
      <c r="R75" t="str">
        <f ca="1">IFERROR(OFFSET(貼り付け2!$A$1,まとめ!$B75-1,OFFSET(貼り付け2!$A$1,ROW()-1,MATCH(R$1,貼り付け2!$1:$1,0)-1)-1),"")</f>
        <v/>
      </c>
      <c r="T75" t="str">
        <f ca="1">IFERROR(OFFSET(貼り付け2!$A$1,$A75-1,OFFSET(貼り付け2!$A$1,ROW()-1,MATCH(T$1,貼り付け2!$1:$1,0)-1)-1),"")</f>
        <v/>
      </c>
      <c r="U75" t="e">
        <f ca="1">OFFSET(貼り付け1!$A$1,貼り付け1!$G74-1,3)</f>
        <v>#REF!</v>
      </c>
      <c r="V75" t="e">
        <f ca="1">OFFSET(貼り付け1!$A$1,貼り付け1!$F74-1,3)</f>
        <v>#REF!</v>
      </c>
      <c r="W75" t="str">
        <f ca="1">IFERROR(OFFSET(貼り付け2!$A$1,まとめ!$B75-1,OFFSET(貼り付け2!$A$1,ROW()-1,MATCH(W$1,貼り付け2!$1:$1,0)-1)-1),"")</f>
        <v/>
      </c>
    </row>
    <row r="76" spans="1:23" x14ac:dyDescent="0.45">
      <c r="A76" t="str">
        <f>貼り付け2!S76</f>
        <v/>
      </c>
      <c r="B76" t="str">
        <f>貼り付け2!R76</f>
        <v/>
      </c>
      <c r="E76" t="str">
        <f ca="1">IFERROR(OFFSET(貼り付け2!$A$1,$A76-1,OFFSET(貼り付け2!$A$1,ROW()-1,MATCH(E$1,貼り付け2!$1:$1,0)-1)-1),"")</f>
        <v/>
      </c>
      <c r="F76" t="e">
        <f ca="1">OFFSET(貼り付け1!$A$1,貼り付け1!$G75-1,0)</f>
        <v>#REF!</v>
      </c>
      <c r="G76" t="e">
        <f ca="1">OFFSET(貼り付け1!$A$1,貼り付け1!$F75-1,0)</f>
        <v>#REF!</v>
      </c>
      <c r="H76" t="str">
        <f ca="1">IFERROR(OFFSET(貼り付け2!$A$1,まとめ!$B76-1,OFFSET(貼り付け2!$A$1,ROW()-1,MATCH(H$1,貼り付け2!$1:$1,0)-1)-1),"")</f>
        <v/>
      </c>
      <c r="J76" t="str">
        <f ca="1">IFERROR(OFFSET(貼り付け2!$A$1,$A76-1,OFFSET(貼り付け2!$A$1,ROW()-1,MATCH(J$1,貼り付け2!$1:$1,0)-1)-1),"")</f>
        <v/>
      </c>
      <c r="K76" t="e">
        <f ca="1">OFFSET(貼り付け1!$A$1,貼り付け1!$G75-1,1)</f>
        <v>#REF!</v>
      </c>
      <c r="L76" t="e">
        <f ca="1">OFFSET(貼り付け1!$A$1,貼り付け1!$F75-1,1)</f>
        <v>#REF!</v>
      </c>
      <c r="M76" t="str">
        <f ca="1">IFERROR(OFFSET(貼り付け2!$A$1,まとめ!$B76-1,OFFSET(貼り付け2!$A$1,ROW()-1,MATCH(M$1,貼り付け2!$1:$1,0)-1)-1),"")</f>
        <v/>
      </c>
      <c r="O76" t="str">
        <f ca="1">IFERROR(OFFSET(貼り付け2!$A$1,$A76-1,OFFSET(貼り付け2!$A$1,ROW()-1,MATCH(O$1,貼り付け2!$1:$1,0)-1)-1),"")</f>
        <v/>
      </c>
      <c r="P76" t="e">
        <f ca="1">OFFSET(貼り付け1!$A$1,貼り付け1!$G75-1,2)</f>
        <v>#REF!</v>
      </c>
      <c r="Q76" t="e">
        <f ca="1">OFFSET(貼り付け1!$A$1,貼り付け1!$F75-1,2)</f>
        <v>#REF!</v>
      </c>
      <c r="R76" t="str">
        <f ca="1">IFERROR(OFFSET(貼り付け2!$A$1,まとめ!$B76-1,OFFSET(貼り付け2!$A$1,ROW()-1,MATCH(R$1,貼り付け2!$1:$1,0)-1)-1),"")</f>
        <v/>
      </c>
      <c r="T76" t="str">
        <f ca="1">IFERROR(OFFSET(貼り付け2!$A$1,$A76-1,OFFSET(貼り付け2!$A$1,ROW()-1,MATCH(T$1,貼り付け2!$1:$1,0)-1)-1),"")</f>
        <v/>
      </c>
      <c r="U76" t="e">
        <f ca="1">OFFSET(貼り付け1!$A$1,貼り付け1!$G75-1,3)</f>
        <v>#REF!</v>
      </c>
      <c r="V76" t="e">
        <f ca="1">OFFSET(貼り付け1!$A$1,貼り付け1!$F75-1,3)</f>
        <v>#REF!</v>
      </c>
      <c r="W76" t="str">
        <f ca="1">IFERROR(OFFSET(貼り付け2!$A$1,まとめ!$B76-1,OFFSET(貼り付け2!$A$1,ROW()-1,MATCH(W$1,貼り付け2!$1:$1,0)-1)-1),"")</f>
        <v/>
      </c>
    </row>
    <row r="77" spans="1:23" x14ac:dyDescent="0.45">
      <c r="A77" t="str">
        <f>貼り付け2!S77</f>
        <v/>
      </c>
      <c r="B77" t="str">
        <f>貼り付け2!R77</f>
        <v/>
      </c>
      <c r="E77" t="str">
        <f ca="1">IFERROR(OFFSET(貼り付け2!$A$1,$A77-1,OFFSET(貼り付け2!$A$1,ROW()-1,MATCH(E$1,貼り付け2!$1:$1,0)-1)-1),"")</f>
        <v/>
      </c>
      <c r="F77" t="e">
        <f ca="1">OFFSET(貼り付け1!$A$1,貼り付け1!$G76-1,0)</f>
        <v>#REF!</v>
      </c>
      <c r="G77" t="e">
        <f ca="1">OFFSET(貼り付け1!$A$1,貼り付け1!$F76-1,0)</f>
        <v>#REF!</v>
      </c>
      <c r="H77" t="str">
        <f ca="1">IFERROR(OFFSET(貼り付け2!$A$1,まとめ!$B77-1,OFFSET(貼り付け2!$A$1,ROW()-1,MATCH(H$1,貼り付け2!$1:$1,0)-1)-1),"")</f>
        <v/>
      </c>
      <c r="J77" t="str">
        <f ca="1">IFERROR(OFFSET(貼り付け2!$A$1,$A77-1,OFFSET(貼り付け2!$A$1,ROW()-1,MATCH(J$1,貼り付け2!$1:$1,0)-1)-1),"")</f>
        <v/>
      </c>
      <c r="K77" t="e">
        <f ca="1">OFFSET(貼り付け1!$A$1,貼り付け1!$G76-1,1)</f>
        <v>#REF!</v>
      </c>
      <c r="L77" t="e">
        <f ca="1">OFFSET(貼り付け1!$A$1,貼り付け1!$F76-1,1)</f>
        <v>#REF!</v>
      </c>
      <c r="M77" t="str">
        <f ca="1">IFERROR(OFFSET(貼り付け2!$A$1,まとめ!$B77-1,OFFSET(貼り付け2!$A$1,ROW()-1,MATCH(M$1,貼り付け2!$1:$1,0)-1)-1),"")</f>
        <v/>
      </c>
      <c r="O77" t="str">
        <f ca="1">IFERROR(OFFSET(貼り付け2!$A$1,$A77-1,OFFSET(貼り付け2!$A$1,ROW()-1,MATCH(O$1,貼り付け2!$1:$1,0)-1)-1),"")</f>
        <v/>
      </c>
      <c r="P77" t="e">
        <f ca="1">OFFSET(貼り付け1!$A$1,貼り付け1!$G76-1,2)</f>
        <v>#REF!</v>
      </c>
      <c r="Q77" t="e">
        <f ca="1">OFFSET(貼り付け1!$A$1,貼り付け1!$F76-1,2)</f>
        <v>#REF!</v>
      </c>
      <c r="R77" t="str">
        <f ca="1">IFERROR(OFFSET(貼り付け2!$A$1,まとめ!$B77-1,OFFSET(貼り付け2!$A$1,ROW()-1,MATCH(R$1,貼り付け2!$1:$1,0)-1)-1),"")</f>
        <v/>
      </c>
      <c r="T77" t="str">
        <f ca="1">IFERROR(OFFSET(貼り付け2!$A$1,$A77-1,OFFSET(貼り付け2!$A$1,ROW()-1,MATCH(T$1,貼り付け2!$1:$1,0)-1)-1),"")</f>
        <v/>
      </c>
      <c r="U77" t="e">
        <f ca="1">OFFSET(貼り付け1!$A$1,貼り付け1!$G76-1,3)</f>
        <v>#REF!</v>
      </c>
      <c r="V77" t="e">
        <f ca="1">OFFSET(貼り付け1!$A$1,貼り付け1!$F76-1,3)</f>
        <v>#REF!</v>
      </c>
      <c r="W77" t="str">
        <f ca="1">IFERROR(OFFSET(貼り付け2!$A$1,まとめ!$B77-1,OFFSET(貼り付け2!$A$1,ROW()-1,MATCH(W$1,貼り付け2!$1:$1,0)-1)-1),"")</f>
        <v/>
      </c>
    </row>
    <row r="78" spans="1:23" x14ac:dyDescent="0.45">
      <c r="A78" t="str">
        <f>貼り付け2!S78</f>
        <v/>
      </c>
      <c r="B78" t="str">
        <f>貼り付け2!R78</f>
        <v/>
      </c>
      <c r="E78" t="str">
        <f ca="1">IFERROR(OFFSET(貼り付け2!$A$1,$A78-1,OFFSET(貼り付け2!$A$1,ROW()-1,MATCH(E$1,貼り付け2!$1:$1,0)-1)-1),"")</f>
        <v/>
      </c>
      <c r="F78" t="e">
        <f ca="1">OFFSET(貼り付け1!$A$1,貼り付け1!$G77-1,0)</f>
        <v>#REF!</v>
      </c>
      <c r="G78" t="e">
        <f ca="1">OFFSET(貼り付け1!$A$1,貼り付け1!$F77-1,0)</f>
        <v>#REF!</v>
      </c>
      <c r="H78" t="str">
        <f ca="1">IFERROR(OFFSET(貼り付け2!$A$1,まとめ!$B78-1,OFFSET(貼り付け2!$A$1,ROW()-1,MATCH(H$1,貼り付け2!$1:$1,0)-1)-1),"")</f>
        <v/>
      </c>
      <c r="J78" t="str">
        <f ca="1">IFERROR(OFFSET(貼り付け2!$A$1,$A78-1,OFFSET(貼り付け2!$A$1,ROW()-1,MATCH(J$1,貼り付け2!$1:$1,0)-1)-1),"")</f>
        <v/>
      </c>
      <c r="K78" t="e">
        <f ca="1">OFFSET(貼り付け1!$A$1,貼り付け1!$G77-1,1)</f>
        <v>#REF!</v>
      </c>
      <c r="L78" t="e">
        <f ca="1">OFFSET(貼り付け1!$A$1,貼り付け1!$F77-1,1)</f>
        <v>#REF!</v>
      </c>
      <c r="M78" t="str">
        <f ca="1">IFERROR(OFFSET(貼り付け2!$A$1,まとめ!$B78-1,OFFSET(貼り付け2!$A$1,ROW()-1,MATCH(M$1,貼り付け2!$1:$1,0)-1)-1),"")</f>
        <v/>
      </c>
      <c r="O78" t="str">
        <f ca="1">IFERROR(OFFSET(貼り付け2!$A$1,$A78-1,OFFSET(貼り付け2!$A$1,ROW()-1,MATCH(O$1,貼り付け2!$1:$1,0)-1)-1),"")</f>
        <v/>
      </c>
      <c r="P78" t="e">
        <f ca="1">OFFSET(貼り付け1!$A$1,貼り付け1!$G77-1,2)</f>
        <v>#REF!</v>
      </c>
      <c r="Q78" t="e">
        <f ca="1">OFFSET(貼り付け1!$A$1,貼り付け1!$F77-1,2)</f>
        <v>#REF!</v>
      </c>
      <c r="R78" t="str">
        <f ca="1">IFERROR(OFFSET(貼り付け2!$A$1,まとめ!$B78-1,OFFSET(貼り付け2!$A$1,ROW()-1,MATCH(R$1,貼り付け2!$1:$1,0)-1)-1),"")</f>
        <v/>
      </c>
      <c r="T78" t="str">
        <f ca="1">IFERROR(OFFSET(貼り付け2!$A$1,$A78-1,OFFSET(貼り付け2!$A$1,ROW()-1,MATCH(T$1,貼り付け2!$1:$1,0)-1)-1),"")</f>
        <v/>
      </c>
      <c r="U78" t="e">
        <f ca="1">OFFSET(貼り付け1!$A$1,貼り付け1!$G77-1,3)</f>
        <v>#REF!</v>
      </c>
      <c r="V78" t="e">
        <f ca="1">OFFSET(貼り付け1!$A$1,貼り付け1!$F77-1,3)</f>
        <v>#REF!</v>
      </c>
      <c r="W78" t="str">
        <f ca="1">IFERROR(OFFSET(貼り付け2!$A$1,まとめ!$B78-1,OFFSET(貼り付け2!$A$1,ROW()-1,MATCH(W$1,貼り付け2!$1:$1,0)-1)-1),"")</f>
        <v/>
      </c>
    </row>
    <row r="79" spans="1:23" x14ac:dyDescent="0.45">
      <c r="A79" t="str">
        <f>貼り付け2!S79</f>
        <v/>
      </c>
      <c r="B79" t="str">
        <f>貼り付け2!R79</f>
        <v/>
      </c>
      <c r="E79" t="str">
        <f ca="1">IFERROR(OFFSET(貼り付け2!$A$1,$A79-1,OFFSET(貼り付け2!$A$1,ROW()-1,MATCH(E$1,貼り付け2!$1:$1,0)-1)-1),"")</f>
        <v/>
      </c>
      <c r="F79" t="e">
        <f ca="1">OFFSET(貼り付け1!$A$1,貼り付け1!$G78-1,0)</f>
        <v>#REF!</v>
      </c>
      <c r="G79" t="e">
        <f ca="1">OFFSET(貼り付け1!$A$1,貼り付け1!$F78-1,0)</f>
        <v>#REF!</v>
      </c>
      <c r="H79" t="str">
        <f ca="1">IFERROR(OFFSET(貼り付け2!$A$1,まとめ!$B79-1,OFFSET(貼り付け2!$A$1,ROW()-1,MATCH(H$1,貼り付け2!$1:$1,0)-1)-1),"")</f>
        <v/>
      </c>
      <c r="J79" t="str">
        <f ca="1">IFERROR(OFFSET(貼り付け2!$A$1,$A79-1,OFFSET(貼り付け2!$A$1,ROW()-1,MATCH(J$1,貼り付け2!$1:$1,0)-1)-1),"")</f>
        <v/>
      </c>
      <c r="K79" t="e">
        <f ca="1">OFFSET(貼り付け1!$A$1,貼り付け1!$G78-1,1)</f>
        <v>#REF!</v>
      </c>
      <c r="L79" t="e">
        <f ca="1">OFFSET(貼り付け1!$A$1,貼り付け1!$F78-1,1)</f>
        <v>#REF!</v>
      </c>
      <c r="M79" t="str">
        <f ca="1">IFERROR(OFFSET(貼り付け2!$A$1,まとめ!$B79-1,OFFSET(貼り付け2!$A$1,ROW()-1,MATCH(M$1,貼り付け2!$1:$1,0)-1)-1),"")</f>
        <v/>
      </c>
      <c r="O79" t="str">
        <f ca="1">IFERROR(OFFSET(貼り付け2!$A$1,$A79-1,OFFSET(貼り付け2!$A$1,ROW()-1,MATCH(O$1,貼り付け2!$1:$1,0)-1)-1),"")</f>
        <v/>
      </c>
      <c r="P79" t="e">
        <f ca="1">OFFSET(貼り付け1!$A$1,貼り付け1!$G78-1,2)</f>
        <v>#REF!</v>
      </c>
      <c r="Q79" t="e">
        <f ca="1">OFFSET(貼り付け1!$A$1,貼り付け1!$F78-1,2)</f>
        <v>#REF!</v>
      </c>
      <c r="R79" t="str">
        <f ca="1">IFERROR(OFFSET(貼り付け2!$A$1,まとめ!$B79-1,OFFSET(貼り付け2!$A$1,ROW()-1,MATCH(R$1,貼り付け2!$1:$1,0)-1)-1),"")</f>
        <v/>
      </c>
      <c r="T79" t="str">
        <f ca="1">IFERROR(OFFSET(貼り付け2!$A$1,$A79-1,OFFSET(貼り付け2!$A$1,ROW()-1,MATCH(T$1,貼り付け2!$1:$1,0)-1)-1),"")</f>
        <v/>
      </c>
      <c r="U79" t="e">
        <f ca="1">OFFSET(貼り付け1!$A$1,貼り付け1!$G78-1,3)</f>
        <v>#REF!</v>
      </c>
      <c r="V79" t="e">
        <f ca="1">OFFSET(貼り付け1!$A$1,貼り付け1!$F78-1,3)</f>
        <v>#REF!</v>
      </c>
      <c r="W79" t="str">
        <f ca="1">IFERROR(OFFSET(貼り付け2!$A$1,まとめ!$B79-1,OFFSET(貼り付け2!$A$1,ROW()-1,MATCH(W$1,貼り付け2!$1:$1,0)-1)-1),"")</f>
        <v/>
      </c>
    </row>
    <row r="80" spans="1:23" x14ac:dyDescent="0.45">
      <c r="A80" t="str">
        <f>貼り付け2!S80</f>
        <v/>
      </c>
      <c r="B80" t="str">
        <f>貼り付け2!R80</f>
        <v/>
      </c>
      <c r="E80" t="str">
        <f ca="1">IFERROR(OFFSET(貼り付け2!$A$1,$A80-1,OFFSET(貼り付け2!$A$1,ROW()-1,MATCH(E$1,貼り付け2!$1:$1,0)-1)-1),"")</f>
        <v/>
      </c>
      <c r="F80" t="e">
        <f ca="1">OFFSET(貼り付け1!$A$1,貼り付け1!$G79-1,0)</f>
        <v>#REF!</v>
      </c>
      <c r="G80" t="e">
        <f ca="1">OFFSET(貼り付け1!$A$1,貼り付け1!$F79-1,0)</f>
        <v>#REF!</v>
      </c>
      <c r="H80" t="str">
        <f ca="1">IFERROR(OFFSET(貼り付け2!$A$1,まとめ!$B80-1,OFFSET(貼り付け2!$A$1,ROW()-1,MATCH(H$1,貼り付け2!$1:$1,0)-1)-1),"")</f>
        <v/>
      </c>
      <c r="J80" t="str">
        <f ca="1">IFERROR(OFFSET(貼り付け2!$A$1,$A80-1,OFFSET(貼り付け2!$A$1,ROW()-1,MATCH(J$1,貼り付け2!$1:$1,0)-1)-1),"")</f>
        <v/>
      </c>
      <c r="K80" t="e">
        <f ca="1">OFFSET(貼り付け1!$A$1,貼り付け1!$G79-1,1)</f>
        <v>#REF!</v>
      </c>
      <c r="L80" t="e">
        <f ca="1">OFFSET(貼り付け1!$A$1,貼り付け1!$F79-1,1)</f>
        <v>#REF!</v>
      </c>
      <c r="M80" t="str">
        <f ca="1">IFERROR(OFFSET(貼り付け2!$A$1,まとめ!$B80-1,OFFSET(貼り付け2!$A$1,ROW()-1,MATCH(M$1,貼り付け2!$1:$1,0)-1)-1),"")</f>
        <v/>
      </c>
      <c r="O80" t="str">
        <f ca="1">IFERROR(OFFSET(貼り付け2!$A$1,$A80-1,OFFSET(貼り付け2!$A$1,ROW()-1,MATCH(O$1,貼り付け2!$1:$1,0)-1)-1),"")</f>
        <v/>
      </c>
      <c r="P80" t="e">
        <f ca="1">OFFSET(貼り付け1!$A$1,貼り付け1!$G79-1,2)</f>
        <v>#REF!</v>
      </c>
      <c r="Q80" t="e">
        <f ca="1">OFFSET(貼り付け1!$A$1,貼り付け1!$F79-1,2)</f>
        <v>#REF!</v>
      </c>
      <c r="R80" t="str">
        <f ca="1">IFERROR(OFFSET(貼り付け2!$A$1,まとめ!$B80-1,OFFSET(貼り付け2!$A$1,ROW()-1,MATCH(R$1,貼り付け2!$1:$1,0)-1)-1),"")</f>
        <v/>
      </c>
      <c r="T80" t="str">
        <f ca="1">IFERROR(OFFSET(貼り付け2!$A$1,$A80-1,OFFSET(貼り付け2!$A$1,ROW()-1,MATCH(T$1,貼り付け2!$1:$1,0)-1)-1),"")</f>
        <v/>
      </c>
      <c r="U80" t="e">
        <f ca="1">OFFSET(貼り付け1!$A$1,貼り付け1!$G79-1,3)</f>
        <v>#REF!</v>
      </c>
      <c r="V80" t="e">
        <f ca="1">OFFSET(貼り付け1!$A$1,貼り付け1!$F79-1,3)</f>
        <v>#REF!</v>
      </c>
      <c r="W80" t="str">
        <f ca="1">IFERROR(OFFSET(貼り付け2!$A$1,まとめ!$B80-1,OFFSET(貼り付け2!$A$1,ROW()-1,MATCH(W$1,貼り付け2!$1:$1,0)-1)-1),"")</f>
        <v/>
      </c>
    </row>
    <row r="81" spans="1:23" x14ac:dyDescent="0.45">
      <c r="A81" t="str">
        <f>貼り付け2!S81</f>
        <v/>
      </c>
      <c r="B81" t="str">
        <f>貼り付け2!R81</f>
        <v/>
      </c>
      <c r="E81" t="str">
        <f ca="1">IFERROR(OFFSET(貼り付け2!$A$1,$A81-1,OFFSET(貼り付け2!$A$1,ROW()-1,MATCH(E$1,貼り付け2!$1:$1,0)-1)-1),"")</f>
        <v/>
      </c>
      <c r="F81" t="e">
        <f ca="1">OFFSET(貼り付け1!$A$1,貼り付け1!$G80-1,0)</f>
        <v>#REF!</v>
      </c>
      <c r="G81" t="e">
        <f ca="1">OFFSET(貼り付け1!$A$1,貼り付け1!$F80-1,0)</f>
        <v>#REF!</v>
      </c>
      <c r="H81" t="str">
        <f ca="1">IFERROR(OFFSET(貼り付け2!$A$1,まとめ!$B81-1,OFFSET(貼り付け2!$A$1,ROW()-1,MATCH(H$1,貼り付け2!$1:$1,0)-1)-1),"")</f>
        <v/>
      </c>
      <c r="J81" t="str">
        <f ca="1">IFERROR(OFFSET(貼り付け2!$A$1,$A81-1,OFFSET(貼り付け2!$A$1,ROW()-1,MATCH(J$1,貼り付け2!$1:$1,0)-1)-1),"")</f>
        <v/>
      </c>
      <c r="K81" t="e">
        <f ca="1">OFFSET(貼り付け1!$A$1,貼り付け1!$G80-1,1)</f>
        <v>#REF!</v>
      </c>
      <c r="L81" t="e">
        <f ca="1">OFFSET(貼り付け1!$A$1,貼り付け1!$F80-1,1)</f>
        <v>#REF!</v>
      </c>
      <c r="M81" t="str">
        <f ca="1">IFERROR(OFFSET(貼り付け2!$A$1,まとめ!$B81-1,OFFSET(貼り付け2!$A$1,ROW()-1,MATCH(M$1,貼り付け2!$1:$1,0)-1)-1),"")</f>
        <v/>
      </c>
      <c r="O81" t="str">
        <f ca="1">IFERROR(OFFSET(貼り付け2!$A$1,$A81-1,OFFSET(貼り付け2!$A$1,ROW()-1,MATCH(O$1,貼り付け2!$1:$1,0)-1)-1),"")</f>
        <v/>
      </c>
      <c r="P81" t="e">
        <f ca="1">OFFSET(貼り付け1!$A$1,貼り付け1!$G80-1,2)</f>
        <v>#REF!</v>
      </c>
      <c r="Q81" t="e">
        <f ca="1">OFFSET(貼り付け1!$A$1,貼り付け1!$F80-1,2)</f>
        <v>#REF!</v>
      </c>
      <c r="R81" t="str">
        <f ca="1">IFERROR(OFFSET(貼り付け2!$A$1,まとめ!$B81-1,OFFSET(貼り付け2!$A$1,ROW()-1,MATCH(R$1,貼り付け2!$1:$1,0)-1)-1),"")</f>
        <v/>
      </c>
      <c r="T81" t="str">
        <f ca="1">IFERROR(OFFSET(貼り付け2!$A$1,$A81-1,OFFSET(貼り付け2!$A$1,ROW()-1,MATCH(T$1,貼り付け2!$1:$1,0)-1)-1),"")</f>
        <v/>
      </c>
      <c r="U81" t="e">
        <f ca="1">OFFSET(貼り付け1!$A$1,貼り付け1!$G80-1,3)</f>
        <v>#REF!</v>
      </c>
      <c r="V81" t="e">
        <f ca="1">OFFSET(貼り付け1!$A$1,貼り付け1!$F80-1,3)</f>
        <v>#REF!</v>
      </c>
      <c r="W81" t="str">
        <f ca="1">IFERROR(OFFSET(貼り付け2!$A$1,まとめ!$B81-1,OFFSET(貼り付け2!$A$1,ROW()-1,MATCH(W$1,貼り付け2!$1:$1,0)-1)-1),"")</f>
        <v/>
      </c>
    </row>
    <row r="82" spans="1:23" x14ac:dyDescent="0.45">
      <c r="A82" t="str">
        <f>貼り付け2!S82</f>
        <v/>
      </c>
      <c r="B82" t="str">
        <f>貼り付け2!R82</f>
        <v/>
      </c>
      <c r="E82" t="str">
        <f ca="1">IFERROR(OFFSET(貼り付け2!$A$1,$A82-1,OFFSET(貼り付け2!$A$1,ROW()-1,MATCH(E$1,貼り付け2!$1:$1,0)-1)-1),"")</f>
        <v/>
      </c>
      <c r="F82" t="e">
        <f ca="1">OFFSET(貼り付け1!$A$1,貼り付け1!$G81-1,0)</f>
        <v>#REF!</v>
      </c>
      <c r="G82" t="e">
        <f ca="1">OFFSET(貼り付け1!$A$1,貼り付け1!$F81-1,0)</f>
        <v>#REF!</v>
      </c>
      <c r="H82" t="str">
        <f ca="1">IFERROR(OFFSET(貼り付け2!$A$1,まとめ!$B82-1,OFFSET(貼り付け2!$A$1,ROW()-1,MATCH(H$1,貼り付け2!$1:$1,0)-1)-1),"")</f>
        <v/>
      </c>
      <c r="J82" t="str">
        <f ca="1">IFERROR(OFFSET(貼り付け2!$A$1,$A82-1,OFFSET(貼り付け2!$A$1,ROW()-1,MATCH(J$1,貼り付け2!$1:$1,0)-1)-1),"")</f>
        <v/>
      </c>
      <c r="K82" t="e">
        <f ca="1">OFFSET(貼り付け1!$A$1,貼り付け1!$G81-1,1)</f>
        <v>#REF!</v>
      </c>
      <c r="L82" t="e">
        <f ca="1">OFFSET(貼り付け1!$A$1,貼り付け1!$F81-1,1)</f>
        <v>#REF!</v>
      </c>
      <c r="M82" t="str">
        <f ca="1">IFERROR(OFFSET(貼り付け2!$A$1,まとめ!$B82-1,OFFSET(貼り付け2!$A$1,ROW()-1,MATCH(M$1,貼り付け2!$1:$1,0)-1)-1),"")</f>
        <v/>
      </c>
      <c r="O82" t="str">
        <f ca="1">IFERROR(OFFSET(貼り付け2!$A$1,$A82-1,OFFSET(貼り付け2!$A$1,ROW()-1,MATCH(O$1,貼り付け2!$1:$1,0)-1)-1),"")</f>
        <v/>
      </c>
      <c r="P82" t="e">
        <f ca="1">OFFSET(貼り付け1!$A$1,貼り付け1!$G81-1,2)</f>
        <v>#REF!</v>
      </c>
      <c r="Q82" t="e">
        <f ca="1">OFFSET(貼り付け1!$A$1,貼り付け1!$F81-1,2)</f>
        <v>#REF!</v>
      </c>
      <c r="R82" t="str">
        <f ca="1">IFERROR(OFFSET(貼り付け2!$A$1,まとめ!$B82-1,OFFSET(貼り付け2!$A$1,ROW()-1,MATCH(R$1,貼り付け2!$1:$1,0)-1)-1),"")</f>
        <v/>
      </c>
      <c r="T82" t="str">
        <f ca="1">IFERROR(OFFSET(貼り付け2!$A$1,$A82-1,OFFSET(貼り付け2!$A$1,ROW()-1,MATCH(T$1,貼り付け2!$1:$1,0)-1)-1),"")</f>
        <v/>
      </c>
      <c r="U82" t="e">
        <f ca="1">OFFSET(貼り付け1!$A$1,貼り付け1!$G81-1,3)</f>
        <v>#REF!</v>
      </c>
      <c r="V82" t="e">
        <f ca="1">OFFSET(貼り付け1!$A$1,貼り付け1!$F81-1,3)</f>
        <v>#REF!</v>
      </c>
      <c r="W82" t="str">
        <f ca="1">IFERROR(OFFSET(貼り付け2!$A$1,まとめ!$B82-1,OFFSET(貼り付け2!$A$1,ROW()-1,MATCH(W$1,貼り付け2!$1:$1,0)-1)-1),"")</f>
        <v/>
      </c>
    </row>
    <row r="83" spans="1:23" x14ac:dyDescent="0.45">
      <c r="A83" t="str">
        <f>貼り付け2!S83</f>
        <v/>
      </c>
      <c r="B83" t="str">
        <f>貼り付け2!R83</f>
        <v/>
      </c>
      <c r="E83" t="str">
        <f ca="1">IFERROR(OFFSET(貼り付け2!$A$1,$A83-1,OFFSET(貼り付け2!$A$1,ROW()-1,MATCH(E$1,貼り付け2!$1:$1,0)-1)-1),"")</f>
        <v/>
      </c>
      <c r="F83" t="e">
        <f ca="1">OFFSET(貼り付け1!$A$1,貼り付け1!$G82-1,0)</f>
        <v>#REF!</v>
      </c>
      <c r="G83" t="e">
        <f ca="1">OFFSET(貼り付け1!$A$1,貼り付け1!$F82-1,0)</f>
        <v>#REF!</v>
      </c>
      <c r="H83" t="str">
        <f ca="1">IFERROR(OFFSET(貼り付け2!$A$1,まとめ!$B83-1,OFFSET(貼り付け2!$A$1,ROW()-1,MATCH(H$1,貼り付け2!$1:$1,0)-1)-1),"")</f>
        <v/>
      </c>
      <c r="J83" t="str">
        <f ca="1">IFERROR(OFFSET(貼り付け2!$A$1,$A83-1,OFFSET(貼り付け2!$A$1,ROW()-1,MATCH(J$1,貼り付け2!$1:$1,0)-1)-1),"")</f>
        <v/>
      </c>
      <c r="K83" t="e">
        <f ca="1">OFFSET(貼り付け1!$A$1,貼り付け1!$G82-1,1)</f>
        <v>#REF!</v>
      </c>
      <c r="L83" t="e">
        <f ca="1">OFFSET(貼り付け1!$A$1,貼り付け1!$F82-1,1)</f>
        <v>#REF!</v>
      </c>
      <c r="M83" t="str">
        <f ca="1">IFERROR(OFFSET(貼り付け2!$A$1,まとめ!$B83-1,OFFSET(貼り付け2!$A$1,ROW()-1,MATCH(M$1,貼り付け2!$1:$1,0)-1)-1),"")</f>
        <v/>
      </c>
      <c r="O83" t="str">
        <f ca="1">IFERROR(OFFSET(貼り付け2!$A$1,$A83-1,OFFSET(貼り付け2!$A$1,ROW()-1,MATCH(O$1,貼り付け2!$1:$1,0)-1)-1),"")</f>
        <v/>
      </c>
      <c r="P83" t="e">
        <f ca="1">OFFSET(貼り付け1!$A$1,貼り付け1!$G82-1,2)</f>
        <v>#REF!</v>
      </c>
      <c r="Q83" t="e">
        <f ca="1">OFFSET(貼り付け1!$A$1,貼り付け1!$F82-1,2)</f>
        <v>#REF!</v>
      </c>
      <c r="R83" t="str">
        <f ca="1">IFERROR(OFFSET(貼り付け2!$A$1,まとめ!$B83-1,OFFSET(貼り付け2!$A$1,ROW()-1,MATCH(R$1,貼り付け2!$1:$1,0)-1)-1),"")</f>
        <v/>
      </c>
      <c r="T83" t="str">
        <f ca="1">IFERROR(OFFSET(貼り付け2!$A$1,$A83-1,OFFSET(貼り付け2!$A$1,ROW()-1,MATCH(T$1,貼り付け2!$1:$1,0)-1)-1),"")</f>
        <v/>
      </c>
      <c r="U83" t="e">
        <f ca="1">OFFSET(貼り付け1!$A$1,貼り付け1!$G82-1,3)</f>
        <v>#REF!</v>
      </c>
      <c r="V83" t="e">
        <f ca="1">OFFSET(貼り付け1!$A$1,貼り付け1!$F82-1,3)</f>
        <v>#REF!</v>
      </c>
      <c r="W83" t="str">
        <f ca="1">IFERROR(OFFSET(貼り付け2!$A$1,まとめ!$B83-1,OFFSET(貼り付け2!$A$1,ROW()-1,MATCH(W$1,貼り付け2!$1:$1,0)-1)-1),"")</f>
        <v/>
      </c>
    </row>
    <row r="84" spans="1:23" x14ac:dyDescent="0.45">
      <c r="A84" t="str">
        <f>貼り付け2!S84</f>
        <v/>
      </c>
      <c r="B84" t="str">
        <f>貼り付け2!R84</f>
        <v/>
      </c>
      <c r="E84" t="str">
        <f ca="1">IFERROR(OFFSET(貼り付け2!$A$1,$A84-1,OFFSET(貼り付け2!$A$1,ROW()-1,MATCH(E$1,貼り付け2!$1:$1,0)-1)-1),"")</f>
        <v/>
      </c>
      <c r="F84" t="e">
        <f ca="1">OFFSET(貼り付け1!$A$1,貼り付け1!$G83-1,0)</f>
        <v>#REF!</v>
      </c>
      <c r="G84" t="e">
        <f ca="1">OFFSET(貼り付け1!$A$1,貼り付け1!$F83-1,0)</f>
        <v>#REF!</v>
      </c>
      <c r="H84" t="str">
        <f ca="1">IFERROR(OFFSET(貼り付け2!$A$1,まとめ!$B84-1,OFFSET(貼り付け2!$A$1,ROW()-1,MATCH(H$1,貼り付け2!$1:$1,0)-1)-1),"")</f>
        <v/>
      </c>
      <c r="J84" t="str">
        <f ca="1">IFERROR(OFFSET(貼り付け2!$A$1,$A84-1,OFFSET(貼り付け2!$A$1,ROW()-1,MATCH(J$1,貼り付け2!$1:$1,0)-1)-1),"")</f>
        <v/>
      </c>
      <c r="K84" t="e">
        <f ca="1">OFFSET(貼り付け1!$A$1,貼り付け1!$G83-1,1)</f>
        <v>#REF!</v>
      </c>
      <c r="L84" t="e">
        <f ca="1">OFFSET(貼り付け1!$A$1,貼り付け1!$F83-1,1)</f>
        <v>#REF!</v>
      </c>
      <c r="M84" t="str">
        <f ca="1">IFERROR(OFFSET(貼り付け2!$A$1,まとめ!$B84-1,OFFSET(貼り付け2!$A$1,ROW()-1,MATCH(M$1,貼り付け2!$1:$1,0)-1)-1),"")</f>
        <v/>
      </c>
      <c r="O84" t="str">
        <f ca="1">IFERROR(OFFSET(貼り付け2!$A$1,$A84-1,OFFSET(貼り付け2!$A$1,ROW()-1,MATCH(O$1,貼り付け2!$1:$1,0)-1)-1),"")</f>
        <v/>
      </c>
      <c r="P84" t="e">
        <f ca="1">OFFSET(貼り付け1!$A$1,貼り付け1!$G83-1,2)</f>
        <v>#REF!</v>
      </c>
      <c r="Q84" t="e">
        <f ca="1">OFFSET(貼り付け1!$A$1,貼り付け1!$F83-1,2)</f>
        <v>#REF!</v>
      </c>
      <c r="R84" t="str">
        <f ca="1">IFERROR(OFFSET(貼り付け2!$A$1,まとめ!$B84-1,OFFSET(貼り付け2!$A$1,ROW()-1,MATCH(R$1,貼り付け2!$1:$1,0)-1)-1),"")</f>
        <v/>
      </c>
      <c r="T84" t="str">
        <f ca="1">IFERROR(OFFSET(貼り付け2!$A$1,$A84-1,OFFSET(貼り付け2!$A$1,ROW()-1,MATCH(T$1,貼り付け2!$1:$1,0)-1)-1),"")</f>
        <v/>
      </c>
      <c r="U84" t="e">
        <f ca="1">OFFSET(貼り付け1!$A$1,貼り付け1!$G83-1,3)</f>
        <v>#REF!</v>
      </c>
      <c r="V84" t="e">
        <f ca="1">OFFSET(貼り付け1!$A$1,貼り付け1!$F83-1,3)</f>
        <v>#REF!</v>
      </c>
      <c r="W84" t="str">
        <f ca="1">IFERROR(OFFSET(貼り付け2!$A$1,まとめ!$B84-1,OFFSET(貼り付け2!$A$1,ROW()-1,MATCH(W$1,貼り付け2!$1:$1,0)-1)-1),"")</f>
        <v/>
      </c>
    </row>
    <row r="85" spans="1:23" x14ac:dyDescent="0.45">
      <c r="A85" t="str">
        <f>貼り付け2!S85</f>
        <v/>
      </c>
      <c r="B85" t="str">
        <f>貼り付け2!R85</f>
        <v/>
      </c>
      <c r="E85" t="str">
        <f ca="1">IFERROR(OFFSET(貼り付け2!$A$1,$A85-1,OFFSET(貼り付け2!$A$1,ROW()-1,MATCH(E$1,貼り付け2!$1:$1,0)-1)-1),"")</f>
        <v/>
      </c>
      <c r="F85" t="e">
        <f ca="1">OFFSET(貼り付け1!$A$1,貼り付け1!$G84-1,0)</f>
        <v>#REF!</v>
      </c>
      <c r="G85" t="e">
        <f ca="1">OFFSET(貼り付け1!$A$1,貼り付け1!$F84-1,0)</f>
        <v>#REF!</v>
      </c>
      <c r="H85" t="str">
        <f ca="1">IFERROR(OFFSET(貼り付け2!$A$1,まとめ!$B85-1,OFFSET(貼り付け2!$A$1,ROW()-1,MATCH(H$1,貼り付け2!$1:$1,0)-1)-1),"")</f>
        <v/>
      </c>
      <c r="J85" t="str">
        <f ca="1">IFERROR(OFFSET(貼り付け2!$A$1,$A85-1,OFFSET(貼り付け2!$A$1,ROW()-1,MATCH(J$1,貼り付け2!$1:$1,0)-1)-1),"")</f>
        <v/>
      </c>
      <c r="K85" t="e">
        <f ca="1">OFFSET(貼り付け1!$A$1,貼り付け1!$G84-1,1)</f>
        <v>#REF!</v>
      </c>
      <c r="L85" t="e">
        <f ca="1">OFFSET(貼り付け1!$A$1,貼り付け1!$F84-1,1)</f>
        <v>#REF!</v>
      </c>
      <c r="M85" t="str">
        <f ca="1">IFERROR(OFFSET(貼り付け2!$A$1,まとめ!$B85-1,OFFSET(貼り付け2!$A$1,ROW()-1,MATCH(M$1,貼り付け2!$1:$1,0)-1)-1),"")</f>
        <v/>
      </c>
      <c r="O85" t="str">
        <f ca="1">IFERROR(OFFSET(貼り付け2!$A$1,$A85-1,OFFSET(貼り付け2!$A$1,ROW()-1,MATCH(O$1,貼り付け2!$1:$1,0)-1)-1),"")</f>
        <v/>
      </c>
      <c r="P85" t="e">
        <f ca="1">OFFSET(貼り付け1!$A$1,貼り付け1!$G84-1,2)</f>
        <v>#REF!</v>
      </c>
      <c r="Q85" t="e">
        <f ca="1">OFFSET(貼り付け1!$A$1,貼り付け1!$F84-1,2)</f>
        <v>#REF!</v>
      </c>
      <c r="R85" t="str">
        <f ca="1">IFERROR(OFFSET(貼り付け2!$A$1,まとめ!$B85-1,OFFSET(貼り付け2!$A$1,ROW()-1,MATCH(R$1,貼り付け2!$1:$1,0)-1)-1),"")</f>
        <v/>
      </c>
      <c r="T85" t="str">
        <f ca="1">IFERROR(OFFSET(貼り付け2!$A$1,$A85-1,OFFSET(貼り付け2!$A$1,ROW()-1,MATCH(T$1,貼り付け2!$1:$1,0)-1)-1),"")</f>
        <v/>
      </c>
      <c r="U85" t="e">
        <f ca="1">OFFSET(貼り付け1!$A$1,貼り付け1!$G84-1,3)</f>
        <v>#REF!</v>
      </c>
      <c r="V85" t="e">
        <f ca="1">OFFSET(貼り付け1!$A$1,貼り付け1!$F84-1,3)</f>
        <v>#REF!</v>
      </c>
      <c r="W85" t="str">
        <f ca="1">IFERROR(OFFSET(貼り付け2!$A$1,まとめ!$B85-1,OFFSET(貼り付け2!$A$1,ROW()-1,MATCH(W$1,貼り付け2!$1:$1,0)-1)-1),"")</f>
        <v/>
      </c>
    </row>
    <row r="86" spans="1:23" x14ac:dyDescent="0.45">
      <c r="A86" t="str">
        <f>貼り付け2!S86</f>
        <v/>
      </c>
      <c r="B86" t="str">
        <f>貼り付け2!R86</f>
        <v/>
      </c>
      <c r="E86" t="str">
        <f ca="1">IFERROR(OFFSET(貼り付け2!$A$1,$A86-1,OFFSET(貼り付け2!$A$1,ROW()-1,MATCH(E$1,貼り付け2!$1:$1,0)-1)-1),"")</f>
        <v/>
      </c>
      <c r="F86" t="e">
        <f ca="1">OFFSET(貼り付け1!$A$1,貼り付け1!$G85-1,0)</f>
        <v>#REF!</v>
      </c>
      <c r="G86" t="e">
        <f ca="1">OFFSET(貼り付け1!$A$1,貼り付け1!$F85-1,0)</f>
        <v>#REF!</v>
      </c>
      <c r="H86" t="str">
        <f ca="1">IFERROR(OFFSET(貼り付け2!$A$1,まとめ!$B86-1,OFFSET(貼り付け2!$A$1,ROW()-1,MATCH(H$1,貼り付け2!$1:$1,0)-1)-1),"")</f>
        <v/>
      </c>
      <c r="J86" t="str">
        <f ca="1">IFERROR(OFFSET(貼り付け2!$A$1,$A86-1,OFFSET(貼り付け2!$A$1,ROW()-1,MATCH(J$1,貼り付け2!$1:$1,0)-1)-1),"")</f>
        <v/>
      </c>
      <c r="K86" t="e">
        <f ca="1">OFFSET(貼り付け1!$A$1,貼り付け1!$G85-1,1)</f>
        <v>#REF!</v>
      </c>
      <c r="L86" t="e">
        <f ca="1">OFFSET(貼り付け1!$A$1,貼り付け1!$F85-1,1)</f>
        <v>#REF!</v>
      </c>
      <c r="M86" t="str">
        <f ca="1">IFERROR(OFFSET(貼り付け2!$A$1,まとめ!$B86-1,OFFSET(貼り付け2!$A$1,ROW()-1,MATCH(M$1,貼り付け2!$1:$1,0)-1)-1),"")</f>
        <v/>
      </c>
      <c r="O86" t="str">
        <f ca="1">IFERROR(OFFSET(貼り付け2!$A$1,$A86-1,OFFSET(貼り付け2!$A$1,ROW()-1,MATCH(O$1,貼り付け2!$1:$1,0)-1)-1),"")</f>
        <v/>
      </c>
      <c r="P86" t="e">
        <f ca="1">OFFSET(貼り付け1!$A$1,貼り付け1!$G85-1,2)</f>
        <v>#REF!</v>
      </c>
      <c r="Q86" t="e">
        <f ca="1">OFFSET(貼り付け1!$A$1,貼り付け1!$F85-1,2)</f>
        <v>#REF!</v>
      </c>
      <c r="R86" t="str">
        <f ca="1">IFERROR(OFFSET(貼り付け2!$A$1,まとめ!$B86-1,OFFSET(貼り付け2!$A$1,ROW()-1,MATCH(R$1,貼り付け2!$1:$1,0)-1)-1),"")</f>
        <v/>
      </c>
      <c r="T86" t="str">
        <f ca="1">IFERROR(OFFSET(貼り付け2!$A$1,$A86-1,OFFSET(貼り付け2!$A$1,ROW()-1,MATCH(T$1,貼り付け2!$1:$1,0)-1)-1),"")</f>
        <v/>
      </c>
      <c r="U86" t="e">
        <f ca="1">OFFSET(貼り付け1!$A$1,貼り付け1!$G85-1,3)</f>
        <v>#REF!</v>
      </c>
      <c r="V86" t="e">
        <f ca="1">OFFSET(貼り付け1!$A$1,貼り付け1!$F85-1,3)</f>
        <v>#REF!</v>
      </c>
      <c r="W86" t="str">
        <f ca="1">IFERROR(OFFSET(貼り付け2!$A$1,まとめ!$B86-1,OFFSET(貼り付け2!$A$1,ROW()-1,MATCH(W$1,貼り付け2!$1:$1,0)-1)-1),"")</f>
        <v/>
      </c>
    </row>
    <row r="87" spans="1:23" x14ac:dyDescent="0.45">
      <c r="A87" t="str">
        <f>貼り付け2!S87</f>
        <v/>
      </c>
      <c r="B87" t="str">
        <f>貼り付け2!R87</f>
        <v/>
      </c>
      <c r="E87" t="str">
        <f ca="1">IFERROR(OFFSET(貼り付け2!$A$1,$A87-1,OFFSET(貼り付け2!$A$1,ROW()-1,MATCH(E$1,貼り付け2!$1:$1,0)-1)-1),"")</f>
        <v/>
      </c>
      <c r="F87" t="e">
        <f ca="1">OFFSET(貼り付け1!$A$1,貼り付け1!$G86-1,0)</f>
        <v>#REF!</v>
      </c>
      <c r="G87" t="e">
        <f ca="1">OFFSET(貼り付け1!$A$1,貼り付け1!$F86-1,0)</f>
        <v>#REF!</v>
      </c>
      <c r="H87" t="str">
        <f ca="1">IFERROR(OFFSET(貼り付け2!$A$1,まとめ!$B87-1,OFFSET(貼り付け2!$A$1,ROW()-1,MATCH(H$1,貼り付け2!$1:$1,0)-1)-1),"")</f>
        <v/>
      </c>
      <c r="J87" t="str">
        <f ca="1">IFERROR(OFFSET(貼り付け2!$A$1,$A87-1,OFFSET(貼り付け2!$A$1,ROW()-1,MATCH(J$1,貼り付け2!$1:$1,0)-1)-1),"")</f>
        <v/>
      </c>
      <c r="K87" t="e">
        <f ca="1">OFFSET(貼り付け1!$A$1,貼り付け1!$G86-1,1)</f>
        <v>#REF!</v>
      </c>
      <c r="L87" t="e">
        <f ca="1">OFFSET(貼り付け1!$A$1,貼り付け1!$F86-1,1)</f>
        <v>#REF!</v>
      </c>
      <c r="M87" t="str">
        <f ca="1">IFERROR(OFFSET(貼り付け2!$A$1,まとめ!$B87-1,OFFSET(貼り付け2!$A$1,ROW()-1,MATCH(M$1,貼り付け2!$1:$1,0)-1)-1),"")</f>
        <v/>
      </c>
      <c r="O87" t="str">
        <f ca="1">IFERROR(OFFSET(貼り付け2!$A$1,$A87-1,OFFSET(貼り付け2!$A$1,ROW()-1,MATCH(O$1,貼り付け2!$1:$1,0)-1)-1),"")</f>
        <v/>
      </c>
      <c r="P87" t="e">
        <f ca="1">OFFSET(貼り付け1!$A$1,貼り付け1!$G86-1,2)</f>
        <v>#REF!</v>
      </c>
      <c r="Q87" t="e">
        <f ca="1">OFFSET(貼り付け1!$A$1,貼り付け1!$F86-1,2)</f>
        <v>#REF!</v>
      </c>
      <c r="R87" t="str">
        <f ca="1">IFERROR(OFFSET(貼り付け2!$A$1,まとめ!$B87-1,OFFSET(貼り付け2!$A$1,ROW()-1,MATCH(R$1,貼り付け2!$1:$1,0)-1)-1),"")</f>
        <v/>
      </c>
      <c r="T87" t="str">
        <f ca="1">IFERROR(OFFSET(貼り付け2!$A$1,$A87-1,OFFSET(貼り付け2!$A$1,ROW()-1,MATCH(T$1,貼り付け2!$1:$1,0)-1)-1),"")</f>
        <v/>
      </c>
      <c r="U87" t="e">
        <f ca="1">OFFSET(貼り付け1!$A$1,貼り付け1!$G86-1,3)</f>
        <v>#REF!</v>
      </c>
      <c r="V87" t="e">
        <f ca="1">OFFSET(貼り付け1!$A$1,貼り付け1!$F86-1,3)</f>
        <v>#REF!</v>
      </c>
      <c r="W87" t="str">
        <f ca="1">IFERROR(OFFSET(貼り付け2!$A$1,まとめ!$B87-1,OFFSET(貼り付け2!$A$1,ROW()-1,MATCH(W$1,貼り付け2!$1:$1,0)-1)-1),"")</f>
        <v/>
      </c>
    </row>
    <row r="88" spans="1:23" x14ac:dyDescent="0.45">
      <c r="A88" t="str">
        <f>貼り付け2!S88</f>
        <v/>
      </c>
      <c r="B88" t="str">
        <f>貼り付け2!R88</f>
        <v/>
      </c>
      <c r="E88" t="str">
        <f ca="1">IFERROR(OFFSET(貼り付け2!$A$1,$A88-1,OFFSET(貼り付け2!$A$1,ROW()-1,MATCH(E$1,貼り付け2!$1:$1,0)-1)-1),"")</f>
        <v/>
      </c>
      <c r="F88" t="e">
        <f ca="1">OFFSET(貼り付け1!$A$1,貼り付け1!$G87-1,0)</f>
        <v>#REF!</v>
      </c>
      <c r="G88" t="e">
        <f ca="1">OFFSET(貼り付け1!$A$1,貼り付け1!$F87-1,0)</f>
        <v>#REF!</v>
      </c>
      <c r="H88" t="str">
        <f ca="1">IFERROR(OFFSET(貼り付け2!$A$1,まとめ!$B88-1,OFFSET(貼り付け2!$A$1,ROW()-1,MATCH(H$1,貼り付け2!$1:$1,0)-1)-1),"")</f>
        <v/>
      </c>
      <c r="J88" t="str">
        <f ca="1">IFERROR(OFFSET(貼り付け2!$A$1,$A88-1,OFFSET(貼り付け2!$A$1,ROW()-1,MATCH(J$1,貼り付け2!$1:$1,0)-1)-1),"")</f>
        <v/>
      </c>
      <c r="K88" t="e">
        <f ca="1">OFFSET(貼り付け1!$A$1,貼り付け1!$G87-1,1)</f>
        <v>#REF!</v>
      </c>
      <c r="L88" t="e">
        <f ca="1">OFFSET(貼り付け1!$A$1,貼り付け1!$F87-1,1)</f>
        <v>#REF!</v>
      </c>
      <c r="M88" t="str">
        <f ca="1">IFERROR(OFFSET(貼り付け2!$A$1,まとめ!$B88-1,OFFSET(貼り付け2!$A$1,ROW()-1,MATCH(M$1,貼り付け2!$1:$1,0)-1)-1),"")</f>
        <v/>
      </c>
      <c r="O88" t="str">
        <f ca="1">IFERROR(OFFSET(貼り付け2!$A$1,$A88-1,OFFSET(貼り付け2!$A$1,ROW()-1,MATCH(O$1,貼り付け2!$1:$1,0)-1)-1),"")</f>
        <v/>
      </c>
      <c r="P88" t="e">
        <f ca="1">OFFSET(貼り付け1!$A$1,貼り付け1!$G87-1,2)</f>
        <v>#REF!</v>
      </c>
      <c r="Q88" t="e">
        <f ca="1">OFFSET(貼り付け1!$A$1,貼り付け1!$F87-1,2)</f>
        <v>#REF!</v>
      </c>
      <c r="R88" t="str">
        <f ca="1">IFERROR(OFFSET(貼り付け2!$A$1,まとめ!$B88-1,OFFSET(貼り付け2!$A$1,ROW()-1,MATCH(R$1,貼り付け2!$1:$1,0)-1)-1),"")</f>
        <v/>
      </c>
      <c r="T88" t="str">
        <f ca="1">IFERROR(OFFSET(貼り付け2!$A$1,$A88-1,OFFSET(貼り付け2!$A$1,ROW()-1,MATCH(T$1,貼り付け2!$1:$1,0)-1)-1),"")</f>
        <v/>
      </c>
      <c r="U88" t="e">
        <f ca="1">OFFSET(貼り付け1!$A$1,貼り付け1!$G87-1,3)</f>
        <v>#REF!</v>
      </c>
      <c r="V88" t="e">
        <f ca="1">OFFSET(貼り付け1!$A$1,貼り付け1!$F87-1,3)</f>
        <v>#REF!</v>
      </c>
      <c r="W88" t="str">
        <f ca="1">IFERROR(OFFSET(貼り付け2!$A$1,まとめ!$B88-1,OFFSET(貼り付け2!$A$1,ROW()-1,MATCH(W$1,貼り付け2!$1:$1,0)-1)-1),"")</f>
        <v/>
      </c>
    </row>
    <row r="89" spans="1:23" x14ac:dyDescent="0.45">
      <c r="A89" t="str">
        <f>貼り付け2!S89</f>
        <v/>
      </c>
      <c r="B89" t="str">
        <f>貼り付け2!R89</f>
        <v/>
      </c>
      <c r="E89" t="str">
        <f ca="1">IFERROR(OFFSET(貼り付け2!$A$1,$A89-1,OFFSET(貼り付け2!$A$1,ROW()-1,MATCH(E$1,貼り付け2!$1:$1,0)-1)-1),"")</f>
        <v/>
      </c>
      <c r="F89" t="e">
        <f ca="1">OFFSET(貼り付け1!$A$1,貼り付け1!$G88-1,0)</f>
        <v>#REF!</v>
      </c>
      <c r="G89" t="e">
        <f ca="1">OFFSET(貼り付け1!$A$1,貼り付け1!$F88-1,0)</f>
        <v>#REF!</v>
      </c>
      <c r="H89" t="str">
        <f ca="1">IFERROR(OFFSET(貼り付け2!$A$1,まとめ!$B89-1,OFFSET(貼り付け2!$A$1,ROW()-1,MATCH(H$1,貼り付け2!$1:$1,0)-1)-1),"")</f>
        <v/>
      </c>
      <c r="J89" t="str">
        <f ca="1">IFERROR(OFFSET(貼り付け2!$A$1,$A89-1,OFFSET(貼り付け2!$A$1,ROW()-1,MATCH(J$1,貼り付け2!$1:$1,0)-1)-1),"")</f>
        <v/>
      </c>
      <c r="K89" t="e">
        <f ca="1">OFFSET(貼り付け1!$A$1,貼り付け1!$G88-1,1)</f>
        <v>#REF!</v>
      </c>
      <c r="L89" t="e">
        <f ca="1">OFFSET(貼り付け1!$A$1,貼り付け1!$F88-1,1)</f>
        <v>#REF!</v>
      </c>
      <c r="M89" t="str">
        <f ca="1">IFERROR(OFFSET(貼り付け2!$A$1,まとめ!$B89-1,OFFSET(貼り付け2!$A$1,ROW()-1,MATCH(M$1,貼り付け2!$1:$1,0)-1)-1),"")</f>
        <v/>
      </c>
      <c r="O89" t="str">
        <f ca="1">IFERROR(OFFSET(貼り付け2!$A$1,$A89-1,OFFSET(貼り付け2!$A$1,ROW()-1,MATCH(O$1,貼り付け2!$1:$1,0)-1)-1),"")</f>
        <v/>
      </c>
      <c r="P89" t="e">
        <f ca="1">OFFSET(貼り付け1!$A$1,貼り付け1!$G88-1,2)</f>
        <v>#REF!</v>
      </c>
      <c r="Q89" t="e">
        <f ca="1">OFFSET(貼り付け1!$A$1,貼り付け1!$F88-1,2)</f>
        <v>#REF!</v>
      </c>
      <c r="R89" t="str">
        <f ca="1">IFERROR(OFFSET(貼り付け2!$A$1,まとめ!$B89-1,OFFSET(貼り付け2!$A$1,ROW()-1,MATCH(R$1,貼り付け2!$1:$1,0)-1)-1),"")</f>
        <v/>
      </c>
      <c r="T89" t="str">
        <f ca="1">IFERROR(OFFSET(貼り付け2!$A$1,$A89-1,OFFSET(貼り付け2!$A$1,ROW()-1,MATCH(T$1,貼り付け2!$1:$1,0)-1)-1),"")</f>
        <v/>
      </c>
      <c r="U89" t="e">
        <f ca="1">OFFSET(貼り付け1!$A$1,貼り付け1!$G88-1,3)</f>
        <v>#REF!</v>
      </c>
      <c r="V89" t="e">
        <f ca="1">OFFSET(貼り付け1!$A$1,貼り付け1!$F88-1,3)</f>
        <v>#REF!</v>
      </c>
      <c r="W89" t="str">
        <f ca="1">IFERROR(OFFSET(貼り付け2!$A$1,まとめ!$B89-1,OFFSET(貼り付け2!$A$1,ROW()-1,MATCH(W$1,貼り付け2!$1:$1,0)-1)-1),"")</f>
        <v/>
      </c>
    </row>
    <row r="90" spans="1:23" x14ac:dyDescent="0.45">
      <c r="A90" t="str">
        <f>貼り付け2!S90</f>
        <v/>
      </c>
      <c r="B90" t="str">
        <f>貼り付け2!R90</f>
        <v/>
      </c>
      <c r="E90" t="str">
        <f ca="1">IFERROR(OFFSET(貼り付け2!$A$1,$A90-1,OFFSET(貼り付け2!$A$1,ROW()-1,MATCH(E$1,貼り付け2!$1:$1,0)-1)-1),"")</f>
        <v/>
      </c>
      <c r="F90" t="e">
        <f ca="1">OFFSET(貼り付け1!$A$1,貼り付け1!$G89-1,0)</f>
        <v>#REF!</v>
      </c>
      <c r="G90" t="e">
        <f ca="1">OFFSET(貼り付け1!$A$1,貼り付け1!$F89-1,0)</f>
        <v>#REF!</v>
      </c>
      <c r="H90" t="str">
        <f ca="1">IFERROR(OFFSET(貼り付け2!$A$1,まとめ!$B90-1,OFFSET(貼り付け2!$A$1,ROW()-1,MATCH(H$1,貼り付け2!$1:$1,0)-1)-1),"")</f>
        <v/>
      </c>
      <c r="J90" t="str">
        <f ca="1">IFERROR(OFFSET(貼り付け2!$A$1,$A90-1,OFFSET(貼り付け2!$A$1,ROW()-1,MATCH(J$1,貼り付け2!$1:$1,0)-1)-1),"")</f>
        <v/>
      </c>
      <c r="K90" t="e">
        <f ca="1">OFFSET(貼り付け1!$A$1,貼り付け1!$G89-1,1)</f>
        <v>#REF!</v>
      </c>
      <c r="L90" t="e">
        <f ca="1">OFFSET(貼り付け1!$A$1,貼り付け1!$F89-1,1)</f>
        <v>#REF!</v>
      </c>
      <c r="M90" t="str">
        <f ca="1">IFERROR(OFFSET(貼り付け2!$A$1,まとめ!$B90-1,OFFSET(貼り付け2!$A$1,ROW()-1,MATCH(M$1,貼り付け2!$1:$1,0)-1)-1),"")</f>
        <v/>
      </c>
      <c r="O90" t="str">
        <f ca="1">IFERROR(OFFSET(貼り付け2!$A$1,$A90-1,OFFSET(貼り付け2!$A$1,ROW()-1,MATCH(O$1,貼り付け2!$1:$1,0)-1)-1),"")</f>
        <v/>
      </c>
      <c r="P90" t="e">
        <f ca="1">OFFSET(貼り付け1!$A$1,貼り付け1!$G89-1,2)</f>
        <v>#REF!</v>
      </c>
      <c r="Q90" t="e">
        <f ca="1">OFFSET(貼り付け1!$A$1,貼り付け1!$F89-1,2)</f>
        <v>#REF!</v>
      </c>
      <c r="R90" t="str">
        <f ca="1">IFERROR(OFFSET(貼り付け2!$A$1,まとめ!$B90-1,OFFSET(貼り付け2!$A$1,ROW()-1,MATCH(R$1,貼り付け2!$1:$1,0)-1)-1),"")</f>
        <v/>
      </c>
      <c r="T90" t="str">
        <f ca="1">IFERROR(OFFSET(貼り付け2!$A$1,$A90-1,OFFSET(貼り付け2!$A$1,ROW()-1,MATCH(T$1,貼り付け2!$1:$1,0)-1)-1),"")</f>
        <v/>
      </c>
      <c r="U90" t="e">
        <f ca="1">OFFSET(貼り付け1!$A$1,貼り付け1!$G89-1,3)</f>
        <v>#REF!</v>
      </c>
      <c r="V90" t="e">
        <f ca="1">OFFSET(貼り付け1!$A$1,貼り付け1!$F89-1,3)</f>
        <v>#REF!</v>
      </c>
      <c r="W90" t="str">
        <f ca="1">IFERROR(OFFSET(貼り付け2!$A$1,まとめ!$B90-1,OFFSET(貼り付け2!$A$1,ROW()-1,MATCH(W$1,貼り付け2!$1:$1,0)-1)-1),"")</f>
        <v/>
      </c>
    </row>
    <row r="91" spans="1:23" x14ac:dyDescent="0.45">
      <c r="A91" t="str">
        <f>貼り付け2!S91</f>
        <v/>
      </c>
      <c r="B91" t="str">
        <f>貼り付け2!R91</f>
        <v/>
      </c>
      <c r="E91" t="str">
        <f ca="1">IFERROR(OFFSET(貼り付け2!$A$1,$A91-1,OFFSET(貼り付け2!$A$1,ROW()-1,MATCH(E$1,貼り付け2!$1:$1,0)-1)-1),"")</f>
        <v/>
      </c>
      <c r="F91" t="e">
        <f ca="1">OFFSET(貼り付け1!$A$1,貼り付け1!$G90-1,0)</f>
        <v>#REF!</v>
      </c>
      <c r="G91" t="e">
        <f ca="1">OFFSET(貼り付け1!$A$1,貼り付け1!$F90-1,0)</f>
        <v>#REF!</v>
      </c>
      <c r="H91" t="str">
        <f ca="1">IFERROR(OFFSET(貼り付け2!$A$1,まとめ!$B91-1,OFFSET(貼り付け2!$A$1,ROW()-1,MATCH(H$1,貼り付け2!$1:$1,0)-1)-1),"")</f>
        <v/>
      </c>
      <c r="J91" t="str">
        <f ca="1">IFERROR(OFFSET(貼り付け2!$A$1,$A91-1,OFFSET(貼り付け2!$A$1,ROW()-1,MATCH(J$1,貼り付け2!$1:$1,0)-1)-1),"")</f>
        <v/>
      </c>
      <c r="K91" t="e">
        <f ca="1">OFFSET(貼り付け1!$A$1,貼り付け1!$G90-1,1)</f>
        <v>#REF!</v>
      </c>
      <c r="L91" t="e">
        <f ca="1">OFFSET(貼り付け1!$A$1,貼り付け1!$F90-1,1)</f>
        <v>#REF!</v>
      </c>
      <c r="M91" t="str">
        <f ca="1">IFERROR(OFFSET(貼り付け2!$A$1,まとめ!$B91-1,OFFSET(貼り付け2!$A$1,ROW()-1,MATCH(M$1,貼り付け2!$1:$1,0)-1)-1),"")</f>
        <v/>
      </c>
      <c r="O91" t="str">
        <f ca="1">IFERROR(OFFSET(貼り付け2!$A$1,$A91-1,OFFSET(貼り付け2!$A$1,ROW()-1,MATCH(O$1,貼り付け2!$1:$1,0)-1)-1),"")</f>
        <v/>
      </c>
      <c r="P91" t="e">
        <f ca="1">OFFSET(貼り付け1!$A$1,貼り付け1!$G90-1,2)</f>
        <v>#REF!</v>
      </c>
      <c r="Q91" t="e">
        <f ca="1">OFFSET(貼り付け1!$A$1,貼り付け1!$F90-1,2)</f>
        <v>#REF!</v>
      </c>
      <c r="R91" t="str">
        <f ca="1">IFERROR(OFFSET(貼り付け2!$A$1,まとめ!$B91-1,OFFSET(貼り付け2!$A$1,ROW()-1,MATCH(R$1,貼り付け2!$1:$1,0)-1)-1),"")</f>
        <v/>
      </c>
      <c r="T91" t="str">
        <f ca="1">IFERROR(OFFSET(貼り付け2!$A$1,$A91-1,OFFSET(貼り付け2!$A$1,ROW()-1,MATCH(T$1,貼り付け2!$1:$1,0)-1)-1),"")</f>
        <v/>
      </c>
      <c r="U91" t="e">
        <f ca="1">OFFSET(貼り付け1!$A$1,貼り付け1!$G90-1,3)</f>
        <v>#REF!</v>
      </c>
      <c r="V91" t="e">
        <f ca="1">OFFSET(貼り付け1!$A$1,貼り付け1!$F90-1,3)</f>
        <v>#REF!</v>
      </c>
      <c r="W91" t="str">
        <f ca="1">IFERROR(OFFSET(貼り付け2!$A$1,まとめ!$B91-1,OFFSET(貼り付け2!$A$1,ROW()-1,MATCH(W$1,貼り付け2!$1:$1,0)-1)-1),"")</f>
        <v/>
      </c>
    </row>
    <row r="92" spans="1:23" x14ac:dyDescent="0.45">
      <c r="A92" t="str">
        <f>貼り付け2!S92</f>
        <v/>
      </c>
      <c r="B92" t="str">
        <f>貼り付け2!R92</f>
        <v/>
      </c>
      <c r="E92" t="str">
        <f ca="1">IFERROR(OFFSET(貼り付け2!$A$1,$A92-1,OFFSET(貼り付け2!$A$1,ROW()-1,MATCH(E$1,貼り付け2!$1:$1,0)-1)-1),"")</f>
        <v/>
      </c>
      <c r="F92" t="e">
        <f ca="1">OFFSET(貼り付け1!$A$1,貼り付け1!$G91-1,0)</f>
        <v>#REF!</v>
      </c>
      <c r="G92" t="e">
        <f ca="1">OFFSET(貼り付け1!$A$1,貼り付け1!$F91-1,0)</f>
        <v>#REF!</v>
      </c>
      <c r="H92" t="str">
        <f ca="1">IFERROR(OFFSET(貼り付け2!$A$1,まとめ!$B92-1,OFFSET(貼り付け2!$A$1,ROW()-1,MATCH(H$1,貼り付け2!$1:$1,0)-1)-1),"")</f>
        <v/>
      </c>
      <c r="J92" t="str">
        <f ca="1">IFERROR(OFFSET(貼り付け2!$A$1,$A92-1,OFFSET(貼り付け2!$A$1,ROW()-1,MATCH(J$1,貼り付け2!$1:$1,0)-1)-1),"")</f>
        <v/>
      </c>
      <c r="K92" t="e">
        <f ca="1">OFFSET(貼り付け1!$A$1,貼り付け1!$G91-1,1)</f>
        <v>#REF!</v>
      </c>
      <c r="L92" t="e">
        <f ca="1">OFFSET(貼り付け1!$A$1,貼り付け1!$F91-1,1)</f>
        <v>#REF!</v>
      </c>
      <c r="M92" t="str">
        <f ca="1">IFERROR(OFFSET(貼り付け2!$A$1,まとめ!$B92-1,OFFSET(貼り付け2!$A$1,ROW()-1,MATCH(M$1,貼り付け2!$1:$1,0)-1)-1),"")</f>
        <v/>
      </c>
      <c r="O92" t="str">
        <f ca="1">IFERROR(OFFSET(貼り付け2!$A$1,$A92-1,OFFSET(貼り付け2!$A$1,ROW()-1,MATCH(O$1,貼り付け2!$1:$1,0)-1)-1),"")</f>
        <v/>
      </c>
      <c r="P92" t="e">
        <f ca="1">OFFSET(貼り付け1!$A$1,貼り付け1!$G91-1,2)</f>
        <v>#REF!</v>
      </c>
      <c r="Q92" t="e">
        <f ca="1">OFFSET(貼り付け1!$A$1,貼り付け1!$F91-1,2)</f>
        <v>#REF!</v>
      </c>
      <c r="R92" t="str">
        <f ca="1">IFERROR(OFFSET(貼り付け2!$A$1,まとめ!$B92-1,OFFSET(貼り付け2!$A$1,ROW()-1,MATCH(R$1,貼り付け2!$1:$1,0)-1)-1),"")</f>
        <v/>
      </c>
      <c r="T92" t="str">
        <f ca="1">IFERROR(OFFSET(貼り付け2!$A$1,$A92-1,OFFSET(貼り付け2!$A$1,ROW()-1,MATCH(T$1,貼り付け2!$1:$1,0)-1)-1),"")</f>
        <v/>
      </c>
      <c r="U92" t="e">
        <f ca="1">OFFSET(貼り付け1!$A$1,貼り付け1!$G91-1,3)</f>
        <v>#REF!</v>
      </c>
      <c r="V92" t="e">
        <f ca="1">OFFSET(貼り付け1!$A$1,貼り付け1!$F91-1,3)</f>
        <v>#REF!</v>
      </c>
      <c r="W92" t="str">
        <f ca="1">IFERROR(OFFSET(貼り付け2!$A$1,まとめ!$B92-1,OFFSET(貼り付け2!$A$1,ROW()-1,MATCH(W$1,貼り付け2!$1:$1,0)-1)-1),"")</f>
        <v/>
      </c>
    </row>
    <row r="93" spans="1:23" x14ac:dyDescent="0.45">
      <c r="A93" t="str">
        <f>貼り付け2!S93</f>
        <v/>
      </c>
      <c r="B93" t="str">
        <f>貼り付け2!R93</f>
        <v/>
      </c>
      <c r="E93" t="str">
        <f ca="1">IFERROR(OFFSET(貼り付け2!$A$1,$A93-1,OFFSET(貼り付け2!$A$1,ROW()-1,MATCH(E$1,貼り付け2!$1:$1,0)-1)-1),"")</f>
        <v/>
      </c>
      <c r="F93" t="e">
        <f ca="1">OFFSET(貼り付け1!$A$1,貼り付け1!$G92-1,0)</f>
        <v>#REF!</v>
      </c>
      <c r="G93" t="e">
        <f ca="1">OFFSET(貼り付け1!$A$1,貼り付け1!$F92-1,0)</f>
        <v>#REF!</v>
      </c>
      <c r="H93" t="str">
        <f ca="1">IFERROR(OFFSET(貼り付け2!$A$1,まとめ!$B93-1,OFFSET(貼り付け2!$A$1,ROW()-1,MATCH(H$1,貼り付け2!$1:$1,0)-1)-1),"")</f>
        <v/>
      </c>
      <c r="J93" t="str">
        <f ca="1">IFERROR(OFFSET(貼り付け2!$A$1,$A93-1,OFFSET(貼り付け2!$A$1,ROW()-1,MATCH(J$1,貼り付け2!$1:$1,0)-1)-1),"")</f>
        <v/>
      </c>
      <c r="K93" t="e">
        <f ca="1">OFFSET(貼り付け1!$A$1,貼り付け1!$G92-1,1)</f>
        <v>#REF!</v>
      </c>
      <c r="L93" t="e">
        <f ca="1">OFFSET(貼り付け1!$A$1,貼り付け1!$F92-1,1)</f>
        <v>#REF!</v>
      </c>
      <c r="M93" t="str">
        <f ca="1">IFERROR(OFFSET(貼り付け2!$A$1,まとめ!$B93-1,OFFSET(貼り付け2!$A$1,ROW()-1,MATCH(M$1,貼り付け2!$1:$1,0)-1)-1),"")</f>
        <v/>
      </c>
      <c r="O93" t="str">
        <f ca="1">IFERROR(OFFSET(貼り付け2!$A$1,$A93-1,OFFSET(貼り付け2!$A$1,ROW()-1,MATCH(O$1,貼り付け2!$1:$1,0)-1)-1),"")</f>
        <v/>
      </c>
      <c r="P93" t="e">
        <f ca="1">OFFSET(貼り付け1!$A$1,貼り付け1!$G92-1,2)</f>
        <v>#REF!</v>
      </c>
      <c r="Q93" t="e">
        <f ca="1">OFFSET(貼り付け1!$A$1,貼り付け1!$F92-1,2)</f>
        <v>#REF!</v>
      </c>
      <c r="R93" t="str">
        <f ca="1">IFERROR(OFFSET(貼り付け2!$A$1,まとめ!$B93-1,OFFSET(貼り付け2!$A$1,ROW()-1,MATCH(R$1,貼り付け2!$1:$1,0)-1)-1),"")</f>
        <v/>
      </c>
      <c r="T93" t="str">
        <f ca="1">IFERROR(OFFSET(貼り付け2!$A$1,$A93-1,OFFSET(貼り付け2!$A$1,ROW()-1,MATCH(T$1,貼り付け2!$1:$1,0)-1)-1),"")</f>
        <v/>
      </c>
      <c r="U93" t="e">
        <f ca="1">OFFSET(貼り付け1!$A$1,貼り付け1!$G92-1,3)</f>
        <v>#REF!</v>
      </c>
      <c r="V93" t="e">
        <f ca="1">OFFSET(貼り付け1!$A$1,貼り付け1!$F92-1,3)</f>
        <v>#REF!</v>
      </c>
      <c r="W93" t="str">
        <f ca="1">IFERROR(OFFSET(貼り付け2!$A$1,まとめ!$B93-1,OFFSET(貼り付け2!$A$1,ROW()-1,MATCH(W$1,貼り付け2!$1:$1,0)-1)-1),"")</f>
        <v/>
      </c>
    </row>
    <row r="94" spans="1:23" x14ac:dyDescent="0.45">
      <c r="A94" t="str">
        <f>貼り付け2!S94</f>
        <v/>
      </c>
      <c r="B94" t="str">
        <f>貼り付け2!R94</f>
        <v/>
      </c>
      <c r="E94" t="str">
        <f ca="1">IFERROR(OFFSET(貼り付け2!$A$1,$A94-1,OFFSET(貼り付け2!$A$1,ROW()-1,MATCH(E$1,貼り付け2!$1:$1,0)-1)-1),"")</f>
        <v/>
      </c>
      <c r="H94" t="str">
        <f ca="1">IFERROR(OFFSET(貼り付け2!$A$1,まとめ!$B94-1,OFFSET(貼り付け2!$A$1,ROW()-1,MATCH(H$1,貼り付け2!$1:$1,0)-1)-1),"")</f>
        <v/>
      </c>
      <c r="J94" t="str">
        <f ca="1">IFERROR(OFFSET(貼り付け2!$A$1,$A94-1,OFFSET(貼り付け2!$A$1,ROW()-1,MATCH(J$1,貼り付け2!$1:$1,0)-1)-1),"")</f>
        <v/>
      </c>
      <c r="K94" t="e">
        <f ca="1">OFFSET(貼り付け1!$A$1,貼り付け1!$G93-1,1)</f>
        <v>#REF!</v>
      </c>
      <c r="L94" t="e">
        <f ca="1">OFFSET(貼り付け1!$A$1,貼り付け1!$F93-1,1)</f>
        <v>#REF!</v>
      </c>
      <c r="M94" t="str">
        <f ca="1">IFERROR(OFFSET(貼り付け2!$A$1,まとめ!$B94-1,OFFSET(貼り付け2!$A$1,ROW()-1,MATCH(M$1,貼り付け2!$1:$1,0)-1)-1),"")</f>
        <v/>
      </c>
      <c r="O94" t="str">
        <f ca="1">IFERROR(OFFSET(貼り付け2!$A$1,$A94-1,OFFSET(貼り付け2!$A$1,ROW()-1,MATCH(O$1,貼り付け2!$1:$1,0)-1)-1),"")</f>
        <v/>
      </c>
      <c r="P94" t="e">
        <f ca="1">OFFSET(貼り付け1!$A$1,貼り付け1!$G93-1,2)</f>
        <v>#REF!</v>
      </c>
      <c r="Q94" t="e">
        <f ca="1">OFFSET(貼り付け1!$A$1,貼り付け1!$F93-1,2)</f>
        <v>#REF!</v>
      </c>
      <c r="R94" t="str">
        <f ca="1">IFERROR(OFFSET(貼り付け2!$A$1,まとめ!$B94-1,OFFSET(貼り付け2!$A$1,ROW()-1,MATCH(R$1,貼り付け2!$1:$1,0)-1)-1),"")</f>
        <v/>
      </c>
      <c r="T94" t="str">
        <f ca="1">IFERROR(OFFSET(貼り付け2!$A$1,$A94-1,OFFSET(貼り付け2!$A$1,ROW()-1,MATCH(T$1,貼り付け2!$1:$1,0)-1)-1),"")</f>
        <v/>
      </c>
      <c r="U94" t="e">
        <f ca="1">OFFSET(貼り付け1!$A$1,貼り付け1!$G93-1,3)</f>
        <v>#REF!</v>
      </c>
      <c r="V94" t="e">
        <f ca="1">OFFSET(貼り付け1!$A$1,貼り付け1!$F93-1,3)</f>
        <v>#REF!</v>
      </c>
      <c r="W94" t="str">
        <f ca="1">IFERROR(OFFSET(貼り付け2!$A$1,まとめ!$B94-1,OFFSET(貼り付け2!$A$1,ROW()-1,MATCH(W$1,貼り付け2!$1:$1,0)-1)-1),"")</f>
        <v/>
      </c>
    </row>
    <row r="95" spans="1:23" x14ac:dyDescent="0.45">
      <c r="A95" t="str">
        <f>貼り付け2!S95</f>
        <v/>
      </c>
      <c r="B95" t="str">
        <f>貼り付け2!R95</f>
        <v/>
      </c>
      <c r="E95" t="str">
        <f ca="1">IFERROR(OFFSET(貼り付け2!$A$1,$A95-1,OFFSET(貼り付け2!$A$1,ROW()-1,MATCH(E$1,貼り付け2!$1:$1,0)-1)-1),"")</f>
        <v/>
      </c>
      <c r="H95" t="str">
        <f ca="1">IFERROR(OFFSET(貼り付け2!$A$1,まとめ!$B95-1,OFFSET(貼り付け2!$A$1,ROW()-1,MATCH(H$1,貼り付け2!$1:$1,0)-1)-1),"")</f>
        <v/>
      </c>
      <c r="J95" t="str">
        <f ca="1">IFERROR(OFFSET(貼り付け2!$A$1,$A95-1,OFFSET(貼り付け2!$A$1,ROW()-1,MATCH(J$1,貼り付け2!$1:$1,0)-1)-1),"")</f>
        <v/>
      </c>
      <c r="M95" t="str">
        <f ca="1">IFERROR(OFFSET(貼り付け2!$A$1,まとめ!$B95-1,OFFSET(貼り付け2!$A$1,ROW()-1,MATCH(M$1,貼り付け2!$1:$1,0)-1)-1),"")</f>
        <v/>
      </c>
      <c r="O95" t="str">
        <f ca="1">IFERROR(OFFSET(貼り付け2!$A$1,$A95-1,OFFSET(貼り付け2!$A$1,ROW()-1,MATCH(O$1,貼り付け2!$1:$1,0)-1)-1),"")</f>
        <v/>
      </c>
      <c r="P95" t="e">
        <f ca="1">OFFSET(貼り付け1!$A$1,貼り付け1!$G94-1,2)</f>
        <v>#REF!</v>
      </c>
      <c r="Q95" t="e">
        <f ca="1">OFFSET(貼り付け1!$A$1,貼り付け1!$F94-1,2)</f>
        <v>#REF!</v>
      </c>
      <c r="R95" t="str">
        <f ca="1">IFERROR(OFFSET(貼り付け2!$A$1,まとめ!$B95-1,OFFSET(貼り付け2!$A$1,ROW()-1,MATCH(R$1,貼り付け2!$1:$1,0)-1)-1),"")</f>
        <v/>
      </c>
      <c r="T95" t="str">
        <f ca="1">IFERROR(OFFSET(貼り付け2!$A$1,$A95-1,OFFSET(貼り付け2!$A$1,ROW()-1,MATCH(T$1,貼り付け2!$1:$1,0)-1)-1),"")</f>
        <v/>
      </c>
      <c r="W95" t="str">
        <f ca="1">IFERROR(OFFSET(貼り付け2!$A$1,まとめ!$B95-1,OFFSET(貼り付け2!$A$1,ROW()-1,MATCH(W$1,貼り付け2!$1:$1,0)-1)-1),"")</f>
        <v/>
      </c>
    </row>
    <row r="96" spans="1:23" x14ac:dyDescent="0.45">
      <c r="A96" t="str">
        <f>貼り付け2!S96</f>
        <v/>
      </c>
      <c r="B96" t="str">
        <f>貼り付け2!R96</f>
        <v/>
      </c>
      <c r="E96" t="str">
        <f ca="1">IFERROR(OFFSET(貼り付け2!$A$1,$A96-1,OFFSET(貼り付け2!$A$1,ROW()-1,MATCH(E$1,貼り付け2!$1:$1,0)-1)-1),"")</f>
        <v/>
      </c>
      <c r="H96" t="str">
        <f ca="1">IFERROR(OFFSET(貼り付け2!$A$1,まとめ!$B96-1,OFFSET(貼り付け2!$A$1,ROW()-1,MATCH(H$1,貼り付け2!$1:$1,0)-1)-1),"")</f>
        <v/>
      </c>
      <c r="J96" t="str">
        <f ca="1">IFERROR(OFFSET(貼り付け2!$A$1,$A96-1,OFFSET(貼り付け2!$A$1,ROW()-1,MATCH(J$1,貼り付け2!$1:$1,0)-1)-1),"")</f>
        <v/>
      </c>
      <c r="M96" t="str">
        <f ca="1">IFERROR(OFFSET(貼り付け2!$A$1,まとめ!$B96-1,OFFSET(貼り付け2!$A$1,ROW()-1,MATCH(M$1,貼り付け2!$1:$1,0)-1)-1),"")</f>
        <v/>
      </c>
      <c r="O96" t="str">
        <f ca="1">IFERROR(OFFSET(貼り付け2!$A$1,$A96-1,OFFSET(貼り付け2!$A$1,ROW()-1,MATCH(O$1,貼り付け2!$1:$1,0)-1)-1),"")</f>
        <v/>
      </c>
      <c r="R96" t="str">
        <f ca="1">IFERROR(OFFSET(貼り付け2!$A$1,まとめ!$B96-1,OFFSET(貼り付け2!$A$1,ROW()-1,MATCH(R$1,貼り付け2!$1:$1,0)-1)-1),"")</f>
        <v/>
      </c>
      <c r="T96" t="str">
        <f ca="1">IFERROR(OFFSET(貼り付け2!$A$1,$A96-1,OFFSET(貼り付け2!$A$1,ROW()-1,MATCH(T$1,貼り付け2!$1:$1,0)-1)-1),"")</f>
        <v/>
      </c>
      <c r="W96" t="str">
        <f ca="1">IFERROR(OFFSET(貼り付け2!$A$1,まとめ!$B96-1,OFFSET(貼り付け2!$A$1,ROW()-1,MATCH(W$1,貼り付け2!$1:$1,0)-1)-1),"")</f>
        <v/>
      </c>
    </row>
    <row r="97" spans="1:23" x14ac:dyDescent="0.45">
      <c r="A97" t="str">
        <f>貼り付け2!S97</f>
        <v/>
      </c>
      <c r="B97" t="str">
        <f>貼り付け2!R97</f>
        <v/>
      </c>
      <c r="E97" t="str">
        <f ca="1">IFERROR(OFFSET(貼り付け2!$A$1,$A97-1,OFFSET(貼り付け2!$A$1,ROW()-1,MATCH(E$1,貼り付け2!$1:$1,0)-1)-1),"")</f>
        <v/>
      </c>
      <c r="H97" t="str">
        <f ca="1">IFERROR(OFFSET(貼り付け2!$A$1,まとめ!$B97-1,OFFSET(貼り付け2!$A$1,ROW()-1,MATCH(H$1,貼り付け2!$1:$1,0)-1)-1),"")</f>
        <v/>
      </c>
      <c r="J97" t="str">
        <f ca="1">IFERROR(OFFSET(貼り付け2!$A$1,$A97-1,OFFSET(貼り付け2!$A$1,ROW()-1,MATCH(J$1,貼り付け2!$1:$1,0)-1)-1),"")</f>
        <v/>
      </c>
      <c r="M97" t="str">
        <f ca="1">IFERROR(OFFSET(貼り付け2!$A$1,まとめ!$B97-1,OFFSET(貼り付け2!$A$1,ROW()-1,MATCH(M$1,貼り付け2!$1:$1,0)-1)-1),"")</f>
        <v/>
      </c>
      <c r="O97" t="str">
        <f ca="1">IFERROR(OFFSET(貼り付け2!$A$1,$A97-1,OFFSET(貼り付け2!$A$1,ROW()-1,MATCH(O$1,貼り付け2!$1:$1,0)-1)-1),"")</f>
        <v/>
      </c>
      <c r="R97" t="str">
        <f ca="1">IFERROR(OFFSET(貼り付け2!$A$1,まとめ!$B97-1,OFFSET(貼り付け2!$A$1,ROW()-1,MATCH(R$1,貼り付け2!$1:$1,0)-1)-1),"")</f>
        <v/>
      </c>
      <c r="T97" t="str">
        <f ca="1">IFERROR(OFFSET(貼り付け2!$A$1,$A97-1,OFFSET(貼り付け2!$A$1,ROW()-1,MATCH(T$1,貼り付け2!$1:$1,0)-1)-1),"")</f>
        <v/>
      </c>
      <c r="W97" t="str">
        <f ca="1">IFERROR(OFFSET(貼り付け2!$A$1,まとめ!$B97-1,OFFSET(貼り付け2!$A$1,ROW()-1,MATCH(W$1,貼り付け2!$1:$1,0)-1)-1),"")</f>
        <v/>
      </c>
    </row>
    <row r="98" spans="1:23" x14ac:dyDescent="0.45">
      <c r="A98" t="str">
        <f>貼り付け2!S98</f>
        <v/>
      </c>
      <c r="B98" t="str">
        <f>貼り付け2!R98</f>
        <v/>
      </c>
      <c r="E98" t="str">
        <f ca="1">IFERROR(OFFSET(貼り付け2!$A$1,$A98-1,OFFSET(貼り付け2!$A$1,ROW()-1,MATCH(E$1,貼り付け2!$1:$1,0)-1)-1),"")</f>
        <v/>
      </c>
      <c r="H98" t="str">
        <f ca="1">IFERROR(OFFSET(貼り付け2!$A$1,まとめ!$B98-1,OFFSET(貼り付け2!$A$1,ROW()-1,MATCH(H$1,貼り付け2!$1:$1,0)-1)-1),"")</f>
        <v/>
      </c>
      <c r="J98" t="str">
        <f ca="1">IFERROR(OFFSET(貼り付け2!$A$1,$A98-1,OFFSET(貼り付け2!$A$1,ROW()-1,MATCH(J$1,貼り付け2!$1:$1,0)-1)-1),"")</f>
        <v/>
      </c>
      <c r="M98" t="str">
        <f ca="1">IFERROR(OFFSET(貼り付け2!$A$1,まとめ!$B98-1,OFFSET(貼り付け2!$A$1,ROW()-1,MATCH(M$1,貼り付け2!$1:$1,0)-1)-1),"")</f>
        <v/>
      </c>
      <c r="O98" t="str">
        <f ca="1">IFERROR(OFFSET(貼り付け2!$A$1,$A98-1,OFFSET(貼り付け2!$A$1,ROW()-1,MATCH(O$1,貼り付け2!$1:$1,0)-1)-1),"")</f>
        <v/>
      </c>
      <c r="R98" t="str">
        <f ca="1">IFERROR(OFFSET(貼り付け2!$A$1,まとめ!$B98-1,OFFSET(貼り付け2!$A$1,ROW()-1,MATCH(R$1,貼り付け2!$1:$1,0)-1)-1),"")</f>
        <v/>
      </c>
      <c r="T98" t="str">
        <f ca="1">IFERROR(OFFSET(貼り付け2!$A$1,$A98-1,OFFSET(貼り付け2!$A$1,ROW()-1,MATCH(T$1,貼り付け2!$1:$1,0)-1)-1),"")</f>
        <v/>
      </c>
      <c r="W98" t="str">
        <f ca="1">IFERROR(OFFSET(貼り付け2!$A$1,まとめ!$B98-1,OFFSET(貼り付け2!$A$1,ROW()-1,MATCH(W$1,貼り付け2!$1:$1,0)-1)-1),"")</f>
        <v/>
      </c>
    </row>
    <row r="99" spans="1:23" x14ac:dyDescent="0.45">
      <c r="A99" t="str">
        <f>貼り付け2!S99</f>
        <v/>
      </c>
      <c r="B99" t="str">
        <f>貼り付け2!R99</f>
        <v/>
      </c>
      <c r="E99" t="str">
        <f ca="1">IFERROR(OFFSET(貼り付け2!$A$1,$A99-1,OFFSET(貼り付け2!$A$1,ROW()-1,MATCH(E$1,貼り付け2!$1:$1,0)-1)-1),"")</f>
        <v/>
      </c>
      <c r="H99" t="str">
        <f ca="1">IFERROR(OFFSET(貼り付け2!$A$1,まとめ!$B99-1,OFFSET(貼り付け2!$A$1,ROW()-1,MATCH(H$1,貼り付け2!$1:$1,0)-1)-1),"")</f>
        <v/>
      </c>
      <c r="J99" t="str">
        <f ca="1">IFERROR(OFFSET(貼り付け2!$A$1,$A99-1,OFFSET(貼り付け2!$A$1,ROW()-1,MATCH(J$1,貼り付け2!$1:$1,0)-1)-1),"")</f>
        <v/>
      </c>
      <c r="M99" t="str">
        <f ca="1">IFERROR(OFFSET(貼り付け2!$A$1,まとめ!$B99-1,OFFSET(貼り付け2!$A$1,ROW()-1,MATCH(M$1,貼り付け2!$1:$1,0)-1)-1),"")</f>
        <v/>
      </c>
      <c r="O99" t="str">
        <f ca="1">IFERROR(OFFSET(貼り付け2!$A$1,$A99-1,OFFSET(貼り付け2!$A$1,ROW()-1,MATCH(O$1,貼り付け2!$1:$1,0)-1)-1),"")</f>
        <v/>
      </c>
      <c r="R99" t="str">
        <f ca="1">IFERROR(OFFSET(貼り付け2!$A$1,まとめ!$B99-1,OFFSET(貼り付け2!$A$1,ROW()-1,MATCH(R$1,貼り付け2!$1:$1,0)-1)-1),"")</f>
        <v/>
      </c>
      <c r="T99" t="str">
        <f ca="1">IFERROR(OFFSET(貼り付け2!$A$1,$A99-1,OFFSET(貼り付け2!$A$1,ROW()-1,MATCH(T$1,貼り付け2!$1:$1,0)-1)-1),"")</f>
        <v/>
      </c>
      <c r="W99" t="str">
        <f ca="1">IFERROR(OFFSET(貼り付け2!$A$1,まとめ!$B99-1,OFFSET(貼り付け2!$A$1,ROW()-1,MATCH(W$1,貼り付け2!$1:$1,0)-1)-1),"")</f>
        <v/>
      </c>
    </row>
    <row r="100" spans="1:23" x14ac:dyDescent="0.45">
      <c r="A100" t="str">
        <f>貼り付け2!S100</f>
        <v/>
      </c>
      <c r="B100" t="str">
        <f>貼り付け2!R100</f>
        <v/>
      </c>
      <c r="E100" t="str">
        <f ca="1">IFERROR(OFFSET(貼り付け2!$A$1,$A100-1,OFFSET(貼り付け2!$A$1,ROW()-1,MATCH(E$1,貼り付け2!$1:$1,0)-1)-1),"")</f>
        <v/>
      </c>
      <c r="H100" t="str">
        <f ca="1">IFERROR(OFFSET(貼り付け2!$A$1,まとめ!$B100-1,OFFSET(貼り付け2!$A$1,ROW()-1,MATCH(H$1,貼り付け2!$1:$1,0)-1)-1),"")</f>
        <v/>
      </c>
      <c r="J100" t="str">
        <f ca="1">IFERROR(OFFSET(貼り付け2!$A$1,$A100-1,OFFSET(貼り付け2!$A$1,ROW()-1,MATCH(J$1,貼り付け2!$1:$1,0)-1)-1),"")</f>
        <v/>
      </c>
      <c r="M100" t="str">
        <f ca="1">IFERROR(OFFSET(貼り付け2!$A$1,まとめ!$B100-1,OFFSET(貼り付け2!$A$1,ROW()-1,MATCH(M$1,貼り付け2!$1:$1,0)-1)-1),"")</f>
        <v/>
      </c>
      <c r="O100" t="str">
        <f ca="1">IFERROR(OFFSET(貼り付け2!$A$1,$A100-1,OFFSET(貼り付け2!$A$1,ROW()-1,MATCH(O$1,貼り付け2!$1:$1,0)-1)-1),"")</f>
        <v/>
      </c>
      <c r="R100" t="str">
        <f ca="1">IFERROR(OFFSET(貼り付け2!$A$1,まとめ!$B100-1,OFFSET(貼り付け2!$A$1,ROW()-1,MATCH(R$1,貼り付け2!$1:$1,0)-1)-1),"")</f>
        <v/>
      </c>
      <c r="T100" t="str">
        <f ca="1">IFERROR(OFFSET(貼り付け2!$A$1,$A100-1,OFFSET(貼り付け2!$A$1,ROW()-1,MATCH(T$1,貼り付け2!$1:$1,0)-1)-1),"")</f>
        <v/>
      </c>
      <c r="W100" t="str">
        <f ca="1">IFERROR(OFFSET(貼り付け2!$A$1,まとめ!$B100-1,OFFSET(貼り付け2!$A$1,ROW()-1,MATCH(W$1,貼り付け2!$1:$1,0)-1)-1),"")</f>
        <v/>
      </c>
    </row>
    <row r="101" spans="1:23" x14ac:dyDescent="0.45">
      <c r="A101" t="str">
        <f>貼り付け2!S101</f>
        <v/>
      </c>
      <c r="B101" t="str">
        <f>貼り付け2!R101</f>
        <v/>
      </c>
      <c r="E101" t="str">
        <f ca="1">IFERROR(OFFSET(貼り付け2!$A$1,$A101-1,OFFSET(貼り付け2!$A$1,ROW()-1,MATCH(E$1,貼り付け2!$1:$1,0)-1)-1),"")</f>
        <v/>
      </c>
      <c r="H101" t="str">
        <f ca="1">IFERROR(OFFSET(貼り付け2!$A$1,まとめ!$B101-1,OFFSET(貼り付け2!$A$1,ROW()-1,MATCH(H$1,貼り付け2!$1:$1,0)-1)-1),"")</f>
        <v/>
      </c>
      <c r="J101" t="str">
        <f ca="1">IFERROR(OFFSET(貼り付け2!$A$1,$A101-1,OFFSET(貼り付け2!$A$1,ROW()-1,MATCH(J$1,貼り付け2!$1:$1,0)-1)-1),"")</f>
        <v/>
      </c>
      <c r="M101" t="str">
        <f ca="1">IFERROR(OFFSET(貼り付け2!$A$1,まとめ!$B101-1,OFFSET(貼り付け2!$A$1,ROW()-1,MATCH(M$1,貼り付け2!$1:$1,0)-1)-1),"")</f>
        <v/>
      </c>
      <c r="O101" t="str">
        <f ca="1">IFERROR(OFFSET(貼り付け2!$A$1,$A101-1,OFFSET(貼り付け2!$A$1,ROW()-1,MATCH(O$1,貼り付け2!$1:$1,0)-1)-1),"")</f>
        <v/>
      </c>
      <c r="R101" t="str">
        <f ca="1">IFERROR(OFFSET(貼り付け2!$A$1,まとめ!$B101-1,OFFSET(貼り付け2!$A$1,ROW()-1,MATCH(R$1,貼り付け2!$1:$1,0)-1)-1),"")</f>
        <v/>
      </c>
      <c r="T101" t="str">
        <f ca="1">IFERROR(OFFSET(貼り付け2!$A$1,$A101-1,OFFSET(貼り付け2!$A$1,ROW()-1,MATCH(T$1,貼り付け2!$1:$1,0)-1)-1),"")</f>
        <v/>
      </c>
      <c r="W101" t="str">
        <f ca="1">IFERROR(OFFSET(貼り付け2!$A$1,まとめ!$B101-1,OFFSET(貼り付け2!$A$1,ROW()-1,MATCH(W$1,貼り付け2!$1:$1,0)-1)-1),"")</f>
        <v/>
      </c>
    </row>
    <row r="102" spans="1:23" x14ac:dyDescent="0.45">
      <c r="A102" t="str">
        <f>貼り付け2!S102</f>
        <v/>
      </c>
      <c r="B102" t="str">
        <f>貼り付け2!R102</f>
        <v/>
      </c>
      <c r="E102" t="str">
        <f ca="1">IFERROR(OFFSET(貼り付け2!$A$1,$A102-1,OFFSET(貼り付け2!$A$1,ROW()-1,MATCH(E$1,貼り付け2!$1:$1,0)-1)-1),"")</f>
        <v/>
      </c>
      <c r="H102" t="str">
        <f ca="1">IFERROR(OFFSET(貼り付け2!$A$1,まとめ!$B102-1,OFFSET(貼り付け2!$A$1,ROW()-1,MATCH(H$1,貼り付け2!$1:$1,0)-1)-1),"")</f>
        <v/>
      </c>
      <c r="J102" t="str">
        <f ca="1">IFERROR(OFFSET(貼り付け2!$A$1,$A102-1,OFFSET(貼り付け2!$A$1,ROW()-1,MATCH(J$1,貼り付け2!$1:$1,0)-1)-1),"")</f>
        <v/>
      </c>
      <c r="M102" t="str">
        <f ca="1">IFERROR(OFFSET(貼り付け2!$A$1,まとめ!$B102-1,OFFSET(貼り付け2!$A$1,ROW()-1,MATCH(M$1,貼り付け2!$1:$1,0)-1)-1),"")</f>
        <v/>
      </c>
      <c r="O102" t="str">
        <f ca="1">IFERROR(OFFSET(貼り付け2!$A$1,$A102-1,OFFSET(貼り付け2!$A$1,ROW()-1,MATCH(O$1,貼り付け2!$1:$1,0)-1)-1),"")</f>
        <v/>
      </c>
      <c r="R102" t="str">
        <f ca="1">IFERROR(OFFSET(貼り付け2!$A$1,まとめ!$B102-1,OFFSET(貼り付け2!$A$1,ROW()-1,MATCH(R$1,貼り付け2!$1:$1,0)-1)-1),"")</f>
        <v/>
      </c>
      <c r="T102" t="str">
        <f ca="1">IFERROR(OFFSET(貼り付け2!$A$1,$A102-1,OFFSET(貼り付け2!$A$1,ROW()-1,MATCH(T$1,貼り付け2!$1:$1,0)-1)-1),"")</f>
        <v/>
      </c>
      <c r="W102" t="str">
        <f ca="1">IFERROR(OFFSET(貼り付け2!$A$1,まとめ!$B102-1,OFFSET(貼り付け2!$A$1,ROW()-1,MATCH(W$1,貼り付け2!$1:$1,0)-1)-1),"")</f>
        <v/>
      </c>
    </row>
    <row r="103" spans="1:23" x14ac:dyDescent="0.45">
      <c r="A103" t="str">
        <f>貼り付け2!S103</f>
        <v/>
      </c>
      <c r="B103" t="str">
        <f>貼り付け2!R103</f>
        <v/>
      </c>
      <c r="E103" t="str">
        <f ca="1">IFERROR(OFFSET(貼り付け2!$A$1,$A103-1,OFFSET(貼り付け2!$A$1,ROW()-1,MATCH(E$1,貼り付け2!$1:$1,0)-1)-1),"")</f>
        <v/>
      </c>
      <c r="H103" t="str">
        <f ca="1">IFERROR(OFFSET(貼り付け2!$A$1,まとめ!$B103-1,OFFSET(貼り付け2!$A$1,ROW()-1,MATCH(H$1,貼り付け2!$1:$1,0)-1)-1),"")</f>
        <v/>
      </c>
      <c r="J103" t="str">
        <f ca="1">IFERROR(OFFSET(貼り付け2!$A$1,$A103-1,OFFSET(貼り付け2!$A$1,ROW()-1,MATCH(J$1,貼り付け2!$1:$1,0)-1)-1),"")</f>
        <v/>
      </c>
      <c r="M103" t="str">
        <f ca="1">IFERROR(OFFSET(貼り付け2!$A$1,まとめ!$B103-1,OFFSET(貼り付け2!$A$1,ROW()-1,MATCH(M$1,貼り付け2!$1:$1,0)-1)-1),"")</f>
        <v/>
      </c>
      <c r="O103" t="str">
        <f ca="1">IFERROR(OFFSET(貼り付け2!$A$1,$A103-1,OFFSET(貼り付け2!$A$1,ROW()-1,MATCH(O$1,貼り付け2!$1:$1,0)-1)-1),"")</f>
        <v/>
      </c>
      <c r="R103" t="str">
        <f ca="1">IFERROR(OFFSET(貼り付け2!$A$1,まとめ!$B103-1,OFFSET(貼り付け2!$A$1,ROW()-1,MATCH(R$1,貼り付け2!$1:$1,0)-1)-1),"")</f>
        <v/>
      </c>
      <c r="T103" t="str">
        <f ca="1">IFERROR(OFFSET(貼り付け2!$A$1,$A103-1,OFFSET(貼り付け2!$A$1,ROW()-1,MATCH(T$1,貼り付け2!$1:$1,0)-1)-1),"")</f>
        <v/>
      </c>
      <c r="W103" t="str">
        <f ca="1">IFERROR(OFFSET(貼り付け2!$A$1,まとめ!$B103-1,OFFSET(貼り付け2!$A$1,ROW()-1,MATCH(W$1,貼り付け2!$1:$1,0)-1)-1),"")</f>
        <v/>
      </c>
    </row>
    <row r="104" spans="1:23" x14ac:dyDescent="0.45">
      <c r="A104" t="str">
        <f>貼り付け2!S104</f>
        <v/>
      </c>
      <c r="B104" t="str">
        <f>貼り付け2!R104</f>
        <v/>
      </c>
      <c r="E104" t="str">
        <f ca="1">IFERROR(OFFSET(貼り付け2!$A$1,$A104-1,OFFSET(貼り付け2!$A$1,ROW()-1,MATCH(E$1,貼り付け2!$1:$1,0)-1)-1),"")</f>
        <v/>
      </c>
      <c r="H104" t="str">
        <f ca="1">IFERROR(OFFSET(貼り付け2!$A$1,まとめ!$B104-1,OFFSET(貼り付け2!$A$1,ROW()-1,MATCH(H$1,貼り付け2!$1:$1,0)-1)-1),"")</f>
        <v/>
      </c>
      <c r="J104" t="str">
        <f ca="1">IFERROR(OFFSET(貼り付け2!$A$1,$A104-1,OFFSET(貼り付け2!$A$1,ROW()-1,MATCH(J$1,貼り付け2!$1:$1,0)-1)-1),"")</f>
        <v/>
      </c>
      <c r="M104" t="str">
        <f ca="1">IFERROR(OFFSET(貼り付け2!$A$1,まとめ!$B104-1,OFFSET(貼り付け2!$A$1,ROW()-1,MATCH(M$1,貼り付け2!$1:$1,0)-1)-1),"")</f>
        <v/>
      </c>
      <c r="O104" t="str">
        <f ca="1">IFERROR(OFFSET(貼り付け2!$A$1,$A104-1,OFFSET(貼り付け2!$A$1,ROW()-1,MATCH(O$1,貼り付け2!$1:$1,0)-1)-1),"")</f>
        <v/>
      </c>
      <c r="R104" t="str">
        <f ca="1">IFERROR(OFFSET(貼り付け2!$A$1,まとめ!$B104-1,OFFSET(貼り付け2!$A$1,ROW()-1,MATCH(R$1,貼り付け2!$1:$1,0)-1)-1),"")</f>
        <v/>
      </c>
      <c r="T104" t="str">
        <f ca="1">IFERROR(OFFSET(貼り付け2!$A$1,$A104-1,OFFSET(貼り付け2!$A$1,ROW()-1,MATCH(T$1,貼り付け2!$1:$1,0)-1)-1),"")</f>
        <v/>
      </c>
      <c r="W104" t="str">
        <f ca="1">IFERROR(OFFSET(貼り付け2!$A$1,まとめ!$B104-1,OFFSET(貼り付け2!$A$1,ROW()-1,MATCH(W$1,貼り付け2!$1:$1,0)-1)-1),"")</f>
        <v/>
      </c>
    </row>
    <row r="105" spans="1:23" x14ac:dyDescent="0.45">
      <c r="A105" t="str">
        <f>貼り付け2!S105</f>
        <v/>
      </c>
      <c r="B105" t="str">
        <f>貼り付け2!R105</f>
        <v/>
      </c>
      <c r="E105" t="str">
        <f ca="1">IFERROR(OFFSET(貼り付け2!$A$1,$A105-1,OFFSET(貼り付け2!$A$1,ROW()-1,MATCH(E$1,貼り付け2!$1:$1,0)-1)-1),"")</f>
        <v/>
      </c>
      <c r="H105" t="str">
        <f ca="1">IFERROR(OFFSET(貼り付け2!$A$1,まとめ!$B105-1,OFFSET(貼り付け2!$A$1,ROW()-1,MATCH(H$1,貼り付け2!$1:$1,0)-1)-1),"")</f>
        <v/>
      </c>
      <c r="J105" t="str">
        <f ca="1">IFERROR(OFFSET(貼り付け2!$A$1,$A105-1,OFFSET(貼り付け2!$A$1,ROW()-1,MATCH(J$1,貼り付け2!$1:$1,0)-1)-1),"")</f>
        <v/>
      </c>
      <c r="M105" t="str">
        <f ca="1">IFERROR(OFFSET(貼り付け2!$A$1,まとめ!$B105-1,OFFSET(貼り付け2!$A$1,ROW()-1,MATCH(M$1,貼り付け2!$1:$1,0)-1)-1),"")</f>
        <v/>
      </c>
      <c r="O105" t="str">
        <f ca="1">IFERROR(OFFSET(貼り付け2!$A$1,$A105-1,OFFSET(貼り付け2!$A$1,ROW()-1,MATCH(O$1,貼り付け2!$1:$1,0)-1)-1),"")</f>
        <v/>
      </c>
      <c r="R105" t="str">
        <f ca="1">IFERROR(OFFSET(貼り付け2!$A$1,まとめ!$B105-1,OFFSET(貼り付け2!$A$1,ROW()-1,MATCH(R$1,貼り付け2!$1:$1,0)-1)-1),"")</f>
        <v/>
      </c>
      <c r="T105" t="str">
        <f ca="1">IFERROR(OFFSET(貼り付け2!$A$1,$A105-1,OFFSET(貼り付け2!$A$1,ROW()-1,MATCH(T$1,貼り付け2!$1:$1,0)-1)-1),"")</f>
        <v/>
      </c>
      <c r="W105" t="str">
        <f ca="1">IFERROR(OFFSET(貼り付け2!$A$1,まとめ!$B105-1,OFFSET(貼り付け2!$A$1,ROW()-1,MATCH(W$1,貼り付け2!$1:$1,0)-1)-1),"")</f>
        <v/>
      </c>
    </row>
    <row r="106" spans="1:23" x14ac:dyDescent="0.45">
      <c r="A106" t="str">
        <f>貼り付け2!S106</f>
        <v/>
      </c>
      <c r="B106" t="str">
        <f>貼り付け2!R106</f>
        <v/>
      </c>
      <c r="E106" t="str">
        <f ca="1">IFERROR(OFFSET(貼り付け2!$A$1,$A106-1,OFFSET(貼り付け2!$A$1,ROW()-1,MATCH(E$1,貼り付け2!$1:$1,0)-1)-1),"")</f>
        <v/>
      </c>
      <c r="H106" t="str">
        <f ca="1">IFERROR(OFFSET(貼り付け2!$A$1,まとめ!$B106-1,OFFSET(貼り付け2!$A$1,ROW()-1,MATCH(H$1,貼り付け2!$1:$1,0)-1)-1),"")</f>
        <v/>
      </c>
      <c r="J106" t="str">
        <f ca="1">IFERROR(OFFSET(貼り付け2!$A$1,$A106-1,OFFSET(貼り付け2!$A$1,ROW()-1,MATCH(J$1,貼り付け2!$1:$1,0)-1)-1),"")</f>
        <v/>
      </c>
      <c r="M106" t="str">
        <f ca="1">IFERROR(OFFSET(貼り付け2!$A$1,まとめ!$B106-1,OFFSET(貼り付け2!$A$1,ROW()-1,MATCH(M$1,貼り付け2!$1:$1,0)-1)-1),"")</f>
        <v/>
      </c>
      <c r="O106" t="str">
        <f ca="1">IFERROR(OFFSET(貼り付け2!$A$1,$A106-1,OFFSET(貼り付け2!$A$1,ROW()-1,MATCH(O$1,貼り付け2!$1:$1,0)-1)-1),"")</f>
        <v/>
      </c>
      <c r="R106" t="str">
        <f ca="1">IFERROR(OFFSET(貼り付け2!$A$1,まとめ!$B106-1,OFFSET(貼り付け2!$A$1,ROW()-1,MATCH(R$1,貼り付け2!$1:$1,0)-1)-1),"")</f>
        <v/>
      </c>
      <c r="T106" t="str">
        <f ca="1">IFERROR(OFFSET(貼り付け2!$A$1,$A106-1,OFFSET(貼り付け2!$A$1,ROW()-1,MATCH(T$1,貼り付け2!$1:$1,0)-1)-1),"")</f>
        <v/>
      </c>
      <c r="W106" t="str">
        <f ca="1">IFERROR(OFFSET(貼り付け2!$A$1,まとめ!$B106-1,OFFSET(貼り付け2!$A$1,ROW()-1,MATCH(W$1,貼り付け2!$1:$1,0)-1)-1),"")</f>
        <v/>
      </c>
    </row>
    <row r="107" spans="1:23" x14ac:dyDescent="0.45">
      <c r="A107" t="str">
        <f>貼り付け2!S107</f>
        <v/>
      </c>
      <c r="B107" t="str">
        <f>貼り付け2!R107</f>
        <v/>
      </c>
      <c r="E107" t="str">
        <f ca="1">IFERROR(OFFSET(貼り付け2!$A$1,$A107-1,OFFSET(貼り付け2!$A$1,ROW()-1,MATCH(E$1,貼り付け2!$1:$1,0)-1)-1),"")</f>
        <v/>
      </c>
      <c r="H107" t="str">
        <f ca="1">IFERROR(OFFSET(貼り付け2!$A$1,まとめ!$B107-1,OFFSET(貼り付け2!$A$1,ROW()-1,MATCH(H$1,貼り付け2!$1:$1,0)-1)-1),"")</f>
        <v/>
      </c>
      <c r="J107" t="str">
        <f ca="1">IFERROR(OFFSET(貼り付け2!$A$1,$A107-1,OFFSET(貼り付け2!$A$1,ROW()-1,MATCH(J$1,貼り付け2!$1:$1,0)-1)-1),"")</f>
        <v/>
      </c>
      <c r="M107" t="str">
        <f ca="1">IFERROR(OFFSET(貼り付け2!$A$1,まとめ!$B107-1,OFFSET(貼り付け2!$A$1,ROW()-1,MATCH(M$1,貼り付け2!$1:$1,0)-1)-1),"")</f>
        <v/>
      </c>
      <c r="O107" t="str">
        <f ca="1">IFERROR(OFFSET(貼り付け2!$A$1,$A107-1,OFFSET(貼り付け2!$A$1,ROW()-1,MATCH(O$1,貼り付け2!$1:$1,0)-1)-1),"")</f>
        <v/>
      </c>
      <c r="R107" t="str">
        <f ca="1">IFERROR(OFFSET(貼り付け2!$A$1,まとめ!$B107-1,OFFSET(貼り付け2!$A$1,ROW()-1,MATCH(R$1,貼り付け2!$1:$1,0)-1)-1),"")</f>
        <v/>
      </c>
      <c r="T107" t="str">
        <f ca="1">IFERROR(OFFSET(貼り付け2!$A$1,$A107-1,OFFSET(貼り付け2!$A$1,ROW()-1,MATCH(T$1,貼り付け2!$1:$1,0)-1)-1),"")</f>
        <v/>
      </c>
      <c r="W107" t="str">
        <f ca="1">IFERROR(OFFSET(貼り付け2!$A$1,まとめ!$B107-1,OFFSET(貼り付け2!$A$1,ROW()-1,MATCH(W$1,貼り付け2!$1:$1,0)-1)-1),"")</f>
        <v/>
      </c>
    </row>
    <row r="108" spans="1:23" x14ac:dyDescent="0.45">
      <c r="A108" t="str">
        <f>貼り付け2!S108</f>
        <v/>
      </c>
      <c r="B108" t="str">
        <f>貼り付け2!R108</f>
        <v/>
      </c>
      <c r="E108" t="str">
        <f ca="1">IFERROR(OFFSET(貼り付け2!$A$1,$A108-1,OFFSET(貼り付け2!$A$1,ROW()-1,MATCH(E$1,貼り付け2!$1:$1,0)-1)-1),"")</f>
        <v/>
      </c>
      <c r="H108" t="str">
        <f ca="1">IFERROR(OFFSET(貼り付け2!$A$1,まとめ!$B108-1,OFFSET(貼り付け2!$A$1,ROW()-1,MATCH(H$1,貼り付け2!$1:$1,0)-1)-1),"")</f>
        <v/>
      </c>
      <c r="J108" t="str">
        <f ca="1">IFERROR(OFFSET(貼り付け2!$A$1,$A108-1,OFFSET(貼り付け2!$A$1,ROW()-1,MATCH(J$1,貼り付け2!$1:$1,0)-1)-1),"")</f>
        <v/>
      </c>
      <c r="M108" t="str">
        <f ca="1">IFERROR(OFFSET(貼り付け2!$A$1,まとめ!$B108-1,OFFSET(貼り付け2!$A$1,ROW()-1,MATCH(M$1,貼り付け2!$1:$1,0)-1)-1),"")</f>
        <v/>
      </c>
      <c r="O108" t="str">
        <f ca="1">IFERROR(OFFSET(貼り付け2!$A$1,$A108-1,OFFSET(貼り付け2!$A$1,ROW()-1,MATCH(O$1,貼り付け2!$1:$1,0)-1)-1),"")</f>
        <v/>
      </c>
      <c r="R108" t="str">
        <f ca="1">IFERROR(OFFSET(貼り付け2!$A$1,まとめ!$B108-1,OFFSET(貼り付け2!$A$1,ROW()-1,MATCH(R$1,貼り付け2!$1:$1,0)-1)-1),"")</f>
        <v/>
      </c>
      <c r="T108" t="str">
        <f ca="1">IFERROR(OFFSET(貼り付け2!$A$1,$A108-1,OFFSET(貼り付け2!$A$1,ROW()-1,MATCH(T$1,貼り付け2!$1:$1,0)-1)-1),"")</f>
        <v/>
      </c>
      <c r="W108" t="str">
        <f ca="1">IFERROR(OFFSET(貼り付け2!$A$1,まとめ!$B108-1,OFFSET(貼り付け2!$A$1,ROW()-1,MATCH(W$1,貼り付け2!$1:$1,0)-1)-1),"")</f>
        <v/>
      </c>
    </row>
    <row r="109" spans="1:23" x14ac:dyDescent="0.45">
      <c r="A109" t="str">
        <f>貼り付け2!S109</f>
        <v/>
      </c>
      <c r="B109" t="str">
        <f>貼り付け2!R109</f>
        <v/>
      </c>
      <c r="E109" t="str">
        <f ca="1">IFERROR(OFFSET(貼り付け2!$A$1,$A109-1,OFFSET(貼り付け2!$A$1,ROW()-1,MATCH(E$1,貼り付け2!$1:$1,0)-1)-1),"")</f>
        <v/>
      </c>
      <c r="H109" t="str">
        <f ca="1">IFERROR(OFFSET(貼り付け2!$A$1,まとめ!$B109-1,OFFSET(貼り付け2!$A$1,ROW()-1,MATCH(H$1,貼り付け2!$1:$1,0)-1)-1),"")</f>
        <v/>
      </c>
      <c r="J109" t="str">
        <f ca="1">IFERROR(OFFSET(貼り付け2!$A$1,$A109-1,OFFSET(貼り付け2!$A$1,ROW()-1,MATCH(J$1,貼り付け2!$1:$1,0)-1)-1),"")</f>
        <v/>
      </c>
      <c r="M109" t="str">
        <f ca="1">IFERROR(OFFSET(貼り付け2!$A$1,まとめ!$B109-1,OFFSET(貼り付け2!$A$1,ROW()-1,MATCH(M$1,貼り付け2!$1:$1,0)-1)-1),"")</f>
        <v/>
      </c>
      <c r="O109" t="str">
        <f ca="1">IFERROR(OFFSET(貼り付け2!$A$1,$A109-1,OFFSET(貼り付け2!$A$1,ROW()-1,MATCH(O$1,貼り付け2!$1:$1,0)-1)-1),"")</f>
        <v/>
      </c>
      <c r="R109" t="str">
        <f ca="1">IFERROR(OFFSET(貼り付け2!$A$1,まとめ!$B109-1,OFFSET(貼り付け2!$A$1,ROW()-1,MATCH(R$1,貼り付け2!$1:$1,0)-1)-1),"")</f>
        <v/>
      </c>
      <c r="T109" t="str">
        <f ca="1">IFERROR(OFFSET(貼り付け2!$A$1,$A109-1,OFFSET(貼り付け2!$A$1,ROW()-1,MATCH(T$1,貼り付け2!$1:$1,0)-1)-1),"")</f>
        <v/>
      </c>
      <c r="W109" t="str">
        <f ca="1">IFERROR(OFFSET(貼り付け2!$A$1,まとめ!$B109-1,OFFSET(貼り付け2!$A$1,ROW()-1,MATCH(W$1,貼り付け2!$1:$1,0)-1)-1),"")</f>
        <v/>
      </c>
    </row>
    <row r="110" spans="1:23" x14ac:dyDescent="0.45">
      <c r="A110" t="str">
        <f>貼り付け2!S110</f>
        <v/>
      </c>
      <c r="B110" t="str">
        <f>貼り付け2!R110</f>
        <v/>
      </c>
      <c r="E110" t="str">
        <f ca="1">IFERROR(OFFSET(貼り付け2!$A$1,$A110-1,OFFSET(貼り付け2!$A$1,ROW()-1,MATCH(E$1,貼り付け2!$1:$1,0)-1)-1),"")</f>
        <v/>
      </c>
      <c r="H110" t="str">
        <f ca="1">IFERROR(OFFSET(貼り付け2!$A$1,まとめ!$B110-1,OFFSET(貼り付け2!$A$1,ROW()-1,MATCH(H$1,貼り付け2!$1:$1,0)-1)-1),"")</f>
        <v/>
      </c>
      <c r="J110" t="str">
        <f ca="1">IFERROR(OFFSET(貼り付け2!$A$1,$A110-1,OFFSET(貼り付け2!$A$1,ROW()-1,MATCH(J$1,貼り付け2!$1:$1,0)-1)-1),"")</f>
        <v/>
      </c>
      <c r="M110" t="str">
        <f ca="1">IFERROR(OFFSET(貼り付け2!$A$1,まとめ!$B110-1,OFFSET(貼り付け2!$A$1,ROW()-1,MATCH(M$1,貼り付け2!$1:$1,0)-1)-1),"")</f>
        <v/>
      </c>
      <c r="O110" t="str">
        <f ca="1">IFERROR(OFFSET(貼り付け2!$A$1,$A110-1,OFFSET(貼り付け2!$A$1,ROW()-1,MATCH(O$1,貼り付け2!$1:$1,0)-1)-1),"")</f>
        <v/>
      </c>
      <c r="R110" t="str">
        <f ca="1">IFERROR(OFFSET(貼り付け2!$A$1,まとめ!$B110-1,OFFSET(貼り付け2!$A$1,ROW()-1,MATCH(R$1,貼り付け2!$1:$1,0)-1)-1),"")</f>
        <v/>
      </c>
      <c r="T110" t="str">
        <f ca="1">IFERROR(OFFSET(貼り付け2!$A$1,$A110-1,OFFSET(貼り付け2!$A$1,ROW()-1,MATCH(T$1,貼り付け2!$1:$1,0)-1)-1),"")</f>
        <v/>
      </c>
      <c r="W110" t="str">
        <f ca="1">IFERROR(OFFSET(貼り付け2!$A$1,まとめ!$B110-1,OFFSET(貼り付け2!$A$1,ROW()-1,MATCH(W$1,貼り付け2!$1:$1,0)-1)-1),"")</f>
        <v/>
      </c>
    </row>
    <row r="111" spans="1:23" x14ac:dyDescent="0.45">
      <c r="A111" t="str">
        <f>貼り付け2!S111</f>
        <v/>
      </c>
      <c r="B111" t="str">
        <f>貼り付け2!R111</f>
        <v/>
      </c>
      <c r="E111" t="str">
        <f ca="1">IFERROR(OFFSET(貼り付け2!$A$1,$A111-1,OFFSET(貼り付け2!$A$1,ROW()-1,MATCH(E$1,貼り付け2!$1:$1,0)-1)-1),"")</f>
        <v/>
      </c>
      <c r="H111" t="str">
        <f ca="1">IFERROR(OFFSET(貼り付け2!$A$1,まとめ!$B111-1,OFFSET(貼り付け2!$A$1,ROW()-1,MATCH(H$1,貼り付け2!$1:$1,0)-1)-1),"")</f>
        <v/>
      </c>
      <c r="J111" t="str">
        <f ca="1">IFERROR(OFFSET(貼り付け2!$A$1,$A111-1,OFFSET(貼り付け2!$A$1,ROW()-1,MATCH(J$1,貼り付け2!$1:$1,0)-1)-1),"")</f>
        <v/>
      </c>
      <c r="M111" t="str">
        <f ca="1">IFERROR(OFFSET(貼り付け2!$A$1,まとめ!$B111-1,OFFSET(貼り付け2!$A$1,ROW()-1,MATCH(M$1,貼り付け2!$1:$1,0)-1)-1),"")</f>
        <v/>
      </c>
      <c r="O111" t="str">
        <f ca="1">IFERROR(OFFSET(貼り付け2!$A$1,$A111-1,OFFSET(貼り付け2!$A$1,ROW()-1,MATCH(O$1,貼り付け2!$1:$1,0)-1)-1),"")</f>
        <v/>
      </c>
      <c r="R111" t="str">
        <f ca="1">IFERROR(OFFSET(貼り付け2!$A$1,まとめ!$B111-1,OFFSET(貼り付け2!$A$1,ROW()-1,MATCH(R$1,貼り付け2!$1:$1,0)-1)-1),"")</f>
        <v/>
      </c>
      <c r="T111" t="str">
        <f ca="1">IFERROR(OFFSET(貼り付け2!$A$1,$A111-1,OFFSET(貼り付け2!$A$1,ROW()-1,MATCH(T$1,貼り付け2!$1:$1,0)-1)-1),"")</f>
        <v/>
      </c>
      <c r="W111" t="str">
        <f ca="1">IFERROR(OFFSET(貼り付け2!$A$1,まとめ!$B111-1,OFFSET(貼り付け2!$A$1,ROW()-1,MATCH(W$1,貼り付け2!$1:$1,0)-1)-1),"")</f>
        <v/>
      </c>
    </row>
    <row r="112" spans="1:23" x14ac:dyDescent="0.45">
      <c r="A112" t="str">
        <f>貼り付け2!S112</f>
        <v/>
      </c>
      <c r="B112" t="str">
        <f>貼り付け2!R112</f>
        <v/>
      </c>
      <c r="E112" t="str">
        <f ca="1">IFERROR(OFFSET(貼り付け2!$A$1,$A112-1,OFFSET(貼り付け2!$A$1,ROW()-1,MATCH(E$1,貼り付け2!$1:$1,0)-1)-1),"")</f>
        <v/>
      </c>
      <c r="H112" t="str">
        <f ca="1">IFERROR(OFFSET(貼り付け2!$A$1,まとめ!$B112-1,OFFSET(貼り付け2!$A$1,ROW()-1,MATCH(H$1,貼り付け2!$1:$1,0)-1)-1),"")</f>
        <v/>
      </c>
      <c r="J112" t="str">
        <f ca="1">IFERROR(OFFSET(貼り付け2!$A$1,$A112-1,OFFSET(貼り付け2!$A$1,ROW()-1,MATCH(J$1,貼り付け2!$1:$1,0)-1)-1),"")</f>
        <v/>
      </c>
      <c r="M112" t="str">
        <f ca="1">IFERROR(OFFSET(貼り付け2!$A$1,まとめ!$B112-1,OFFSET(貼り付け2!$A$1,ROW()-1,MATCH(M$1,貼り付け2!$1:$1,0)-1)-1),"")</f>
        <v/>
      </c>
      <c r="O112" t="str">
        <f ca="1">IFERROR(OFFSET(貼り付け2!$A$1,$A112-1,OFFSET(貼り付け2!$A$1,ROW()-1,MATCH(O$1,貼り付け2!$1:$1,0)-1)-1),"")</f>
        <v/>
      </c>
      <c r="R112" t="str">
        <f ca="1">IFERROR(OFFSET(貼り付け2!$A$1,まとめ!$B112-1,OFFSET(貼り付け2!$A$1,ROW()-1,MATCH(R$1,貼り付け2!$1:$1,0)-1)-1),"")</f>
        <v/>
      </c>
      <c r="T112" t="str">
        <f ca="1">IFERROR(OFFSET(貼り付け2!$A$1,$A112-1,OFFSET(貼り付け2!$A$1,ROW()-1,MATCH(T$1,貼り付け2!$1:$1,0)-1)-1),"")</f>
        <v/>
      </c>
      <c r="W112" t="str">
        <f ca="1">IFERROR(OFFSET(貼り付け2!$A$1,まとめ!$B112-1,OFFSET(貼り付け2!$A$1,ROW()-1,MATCH(W$1,貼り付け2!$1:$1,0)-1)-1),"")</f>
        <v/>
      </c>
    </row>
    <row r="113" spans="1:23" x14ac:dyDescent="0.45">
      <c r="A113" t="str">
        <f>貼り付け2!S113</f>
        <v/>
      </c>
      <c r="B113" t="str">
        <f>貼り付け2!R113</f>
        <v/>
      </c>
      <c r="E113" t="str">
        <f ca="1">IFERROR(OFFSET(貼り付け2!$A$1,$A113-1,OFFSET(貼り付け2!$A$1,ROW()-1,MATCH(E$1,貼り付け2!$1:$1,0)-1)-1),"")</f>
        <v/>
      </c>
      <c r="H113" t="str">
        <f ca="1">IFERROR(OFFSET(貼り付け2!$A$1,まとめ!$B113-1,OFFSET(貼り付け2!$A$1,ROW()-1,MATCH(H$1,貼り付け2!$1:$1,0)-1)-1),"")</f>
        <v/>
      </c>
      <c r="J113" t="str">
        <f ca="1">IFERROR(OFFSET(貼り付け2!$A$1,$A113-1,OFFSET(貼り付け2!$A$1,ROW()-1,MATCH(J$1,貼り付け2!$1:$1,0)-1)-1),"")</f>
        <v/>
      </c>
      <c r="M113" t="str">
        <f ca="1">IFERROR(OFFSET(貼り付け2!$A$1,まとめ!$B113-1,OFFSET(貼り付け2!$A$1,ROW()-1,MATCH(M$1,貼り付け2!$1:$1,0)-1)-1),"")</f>
        <v/>
      </c>
      <c r="O113" t="str">
        <f ca="1">IFERROR(OFFSET(貼り付け2!$A$1,$A113-1,OFFSET(貼り付け2!$A$1,ROW()-1,MATCH(O$1,貼り付け2!$1:$1,0)-1)-1),"")</f>
        <v/>
      </c>
      <c r="R113" t="str">
        <f ca="1">IFERROR(OFFSET(貼り付け2!$A$1,まとめ!$B113-1,OFFSET(貼り付け2!$A$1,ROW()-1,MATCH(R$1,貼り付け2!$1:$1,0)-1)-1),"")</f>
        <v/>
      </c>
      <c r="T113" t="str">
        <f ca="1">IFERROR(OFFSET(貼り付け2!$A$1,$A113-1,OFFSET(貼り付け2!$A$1,ROW()-1,MATCH(T$1,貼り付け2!$1:$1,0)-1)-1),"")</f>
        <v/>
      </c>
      <c r="W113" t="str">
        <f ca="1">IFERROR(OFFSET(貼り付け2!$A$1,まとめ!$B113-1,OFFSET(貼り付け2!$A$1,ROW()-1,MATCH(W$1,貼り付け2!$1:$1,0)-1)-1),"")</f>
        <v/>
      </c>
    </row>
    <row r="114" spans="1:23" x14ac:dyDescent="0.45">
      <c r="A114" t="str">
        <f>貼り付け2!S114</f>
        <v/>
      </c>
      <c r="B114" t="str">
        <f>貼り付け2!R114</f>
        <v/>
      </c>
      <c r="E114" t="str">
        <f ca="1">IFERROR(OFFSET(貼り付け2!$A$1,$A114-1,OFFSET(貼り付け2!$A$1,ROW()-1,MATCH(E$1,貼り付け2!$1:$1,0)-1)-1),"")</f>
        <v/>
      </c>
      <c r="H114" t="str">
        <f ca="1">IFERROR(OFFSET(貼り付け2!$A$1,まとめ!$B114-1,OFFSET(貼り付け2!$A$1,ROW()-1,MATCH(H$1,貼り付け2!$1:$1,0)-1)-1),"")</f>
        <v/>
      </c>
      <c r="J114" t="str">
        <f ca="1">IFERROR(OFFSET(貼り付け2!$A$1,$A114-1,OFFSET(貼り付け2!$A$1,ROW()-1,MATCH(J$1,貼り付け2!$1:$1,0)-1)-1),"")</f>
        <v/>
      </c>
      <c r="M114" t="str">
        <f ca="1">IFERROR(OFFSET(貼り付け2!$A$1,まとめ!$B114-1,OFFSET(貼り付け2!$A$1,ROW()-1,MATCH(M$1,貼り付け2!$1:$1,0)-1)-1),"")</f>
        <v/>
      </c>
      <c r="O114" t="str">
        <f ca="1">IFERROR(OFFSET(貼り付け2!$A$1,$A114-1,OFFSET(貼り付け2!$A$1,ROW()-1,MATCH(O$1,貼り付け2!$1:$1,0)-1)-1),"")</f>
        <v/>
      </c>
      <c r="R114" t="str">
        <f ca="1">IFERROR(OFFSET(貼り付け2!$A$1,まとめ!$B114-1,OFFSET(貼り付け2!$A$1,ROW()-1,MATCH(R$1,貼り付け2!$1:$1,0)-1)-1),"")</f>
        <v/>
      </c>
      <c r="T114" t="str">
        <f ca="1">IFERROR(OFFSET(貼り付け2!$A$1,$A114-1,OFFSET(貼り付け2!$A$1,ROW()-1,MATCH(T$1,貼り付け2!$1:$1,0)-1)-1),"")</f>
        <v/>
      </c>
      <c r="W114" t="str">
        <f ca="1">IFERROR(OFFSET(貼り付け2!$A$1,まとめ!$B114-1,OFFSET(貼り付け2!$A$1,ROW()-1,MATCH(W$1,貼り付け2!$1:$1,0)-1)-1),"")</f>
        <v/>
      </c>
    </row>
    <row r="115" spans="1:23" x14ac:dyDescent="0.45">
      <c r="A115" t="str">
        <f>貼り付け2!S115</f>
        <v/>
      </c>
      <c r="B115" t="str">
        <f>貼り付け2!R115</f>
        <v/>
      </c>
      <c r="E115" t="str">
        <f ca="1">IFERROR(OFFSET(貼り付け2!$A$1,$A115-1,OFFSET(貼り付け2!$A$1,ROW()-1,MATCH(E$1,貼り付け2!$1:$1,0)-1)-1),"")</f>
        <v/>
      </c>
      <c r="H115" t="str">
        <f ca="1">IFERROR(OFFSET(貼り付け2!$A$1,まとめ!$B115-1,OFFSET(貼り付け2!$A$1,ROW()-1,MATCH(H$1,貼り付け2!$1:$1,0)-1)-1),"")</f>
        <v/>
      </c>
      <c r="J115" t="str">
        <f ca="1">IFERROR(OFFSET(貼り付け2!$A$1,$A115-1,OFFSET(貼り付け2!$A$1,ROW()-1,MATCH(J$1,貼り付け2!$1:$1,0)-1)-1),"")</f>
        <v/>
      </c>
      <c r="M115" t="str">
        <f ca="1">IFERROR(OFFSET(貼り付け2!$A$1,まとめ!$B115-1,OFFSET(貼り付け2!$A$1,ROW()-1,MATCH(M$1,貼り付け2!$1:$1,0)-1)-1),"")</f>
        <v/>
      </c>
      <c r="O115" t="str">
        <f ca="1">IFERROR(OFFSET(貼り付け2!$A$1,$A115-1,OFFSET(貼り付け2!$A$1,ROW()-1,MATCH(O$1,貼り付け2!$1:$1,0)-1)-1),"")</f>
        <v/>
      </c>
      <c r="R115" t="str">
        <f ca="1">IFERROR(OFFSET(貼り付け2!$A$1,まとめ!$B115-1,OFFSET(貼り付け2!$A$1,ROW()-1,MATCH(R$1,貼り付け2!$1:$1,0)-1)-1),"")</f>
        <v/>
      </c>
      <c r="T115" t="str">
        <f ca="1">IFERROR(OFFSET(貼り付け2!$A$1,$A115-1,OFFSET(貼り付け2!$A$1,ROW()-1,MATCH(T$1,貼り付け2!$1:$1,0)-1)-1),"")</f>
        <v/>
      </c>
      <c r="W115" t="str">
        <f ca="1">IFERROR(OFFSET(貼り付け2!$A$1,まとめ!$B115-1,OFFSET(貼り付け2!$A$1,ROW()-1,MATCH(W$1,貼り付け2!$1:$1,0)-1)-1),"")</f>
        <v/>
      </c>
    </row>
    <row r="116" spans="1:23" x14ac:dyDescent="0.45">
      <c r="A116" t="str">
        <f>貼り付け2!S116</f>
        <v/>
      </c>
      <c r="B116" t="str">
        <f>貼り付け2!R116</f>
        <v/>
      </c>
      <c r="E116" t="str">
        <f ca="1">IFERROR(OFFSET(貼り付け2!$A$1,$A116-1,OFFSET(貼り付け2!$A$1,ROW()-1,MATCH(E$1,貼り付け2!$1:$1,0)-1)-1),"")</f>
        <v/>
      </c>
      <c r="H116" t="str">
        <f ca="1">IFERROR(OFFSET(貼り付け2!$A$1,まとめ!$B116-1,OFFSET(貼り付け2!$A$1,ROW()-1,MATCH(H$1,貼り付け2!$1:$1,0)-1)-1),"")</f>
        <v/>
      </c>
      <c r="J116" t="str">
        <f ca="1">IFERROR(OFFSET(貼り付け2!$A$1,$A116-1,OFFSET(貼り付け2!$A$1,ROW()-1,MATCH(J$1,貼り付け2!$1:$1,0)-1)-1),"")</f>
        <v/>
      </c>
      <c r="M116" t="str">
        <f ca="1">IFERROR(OFFSET(貼り付け2!$A$1,まとめ!$B116-1,OFFSET(貼り付け2!$A$1,ROW()-1,MATCH(M$1,貼り付け2!$1:$1,0)-1)-1),"")</f>
        <v/>
      </c>
      <c r="O116" t="str">
        <f ca="1">IFERROR(OFFSET(貼り付け2!$A$1,$A116-1,OFFSET(貼り付け2!$A$1,ROW()-1,MATCH(O$1,貼り付け2!$1:$1,0)-1)-1),"")</f>
        <v/>
      </c>
      <c r="R116" t="str">
        <f ca="1">IFERROR(OFFSET(貼り付け2!$A$1,まとめ!$B116-1,OFFSET(貼り付け2!$A$1,ROW()-1,MATCH(R$1,貼り付け2!$1:$1,0)-1)-1),"")</f>
        <v/>
      </c>
      <c r="T116" t="str">
        <f ca="1">IFERROR(OFFSET(貼り付け2!$A$1,$A116-1,OFFSET(貼り付け2!$A$1,ROW()-1,MATCH(T$1,貼り付け2!$1:$1,0)-1)-1),"")</f>
        <v/>
      </c>
      <c r="W116" t="str">
        <f ca="1">IFERROR(OFFSET(貼り付け2!$A$1,まとめ!$B116-1,OFFSET(貼り付け2!$A$1,ROW()-1,MATCH(W$1,貼り付け2!$1:$1,0)-1)-1),"")</f>
        <v/>
      </c>
    </row>
    <row r="117" spans="1:23" x14ac:dyDescent="0.45">
      <c r="A117" t="str">
        <f>貼り付け2!S117</f>
        <v/>
      </c>
      <c r="B117" t="str">
        <f>貼り付け2!R117</f>
        <v/>
      </c>
      <c r="E117" t="str">
        <f ca="1">IFERROR(OFFSET(貼り付け2!$A$1,$A117-1,OFFSET(貼り付け2!$A$1,ROW()-1,MATCH(E$1,貼り付け2!$1:$1,0)-1)-1),"")</f>
        <v/>
      </c>
      <c r="H117" t="str">
        <f ca="1">IFERROR(OFFSET(貼り付け2!$A$1,まとめ!$B117-1,OFFSET(貼り付け2!$A$1,ROW()-1,MATCH(H$1,貼り付け2!$1:$1,0)-1)-1),"")</f>
        <v/>
      </c>
      <c r="J117" t="str">
        <f ca="1">IFERROR(OFFSET(貼り付け2!$A$1,$A117-1,OFFSET(貼り付け2!$A$1,ROW()-1,MATCH(J$1,貼り付け2!$1:$1,0)-1)-1),"")</f>
        <v/>
      </c>
      <c r="M117" t="str">
        <f ca="1">IFERROR(OFFSET(貼り付け2!$A$1,まとめ!$B117-1,OFFSET(貼り付け2!$A$1,ROW()-1,MATCH(M$1,貼り付け2!$1:$1,0)-1)-1),"")</f>
        <v/>
      </c>
      <c r="O117" t="str">
        <f ca="1">IFERROR(OFFSET(貼り付け2!$A$1,$A117-1,OFFSET(貼り付け2!$A$1,ROW()-1,MATCH(O$1,貼り付け2!$1:$1,0)-1)-1),"")</f>
        <v/>
      </c>
      <c r="R117" t="str">
        <f ca="1">IFERROR(OFFSET(貼り付け2!$A$1,まとめ!$B117-1,OFFSET(貼り付け2!$A$1,ROW()-1,MATCH(R$1,貼り付け2!$1:$1,0)-1)-1),"")</f>
        <v/>
      </c>
      <c r="T117" t="str">
        <f ca="1">IFERROR(OFFSET(貼り付け2!$A$1,$A117-1,OFFSET(貼り付け2!$A$1,ROW()-1,MATCH(T$1,貼り付け2!$1:$1,0)-1)-1),"")</f>
        <v/>
      </c>
      <c r="W117" t="str">
        <f ca="1">IFERROR(OFFSET(貼り付け2!$A$1,まとめ!$B117-1,OFFSET(貼り付け2!$A$1,ROW()-1,MATCH(W$1,貼り付け2!$1:$1,0)-1)-1),"")</f>
        <v/>
      </c>
    </row>
    <row r="118" spans="1:23" x14ac:dyDescent="0.45">
      <c r="A118" t="str">
        <f>貼り付け2!S118</f>
        <v/>
      </c>
      <c r="B118" t="str">
        <f>貼り付け2!R118</f>
        <v/>
      </c>
      <c r="E118" t="str">
        <f ca="1">IFERROR(OFFSET(貼り付け2!$A$1,$A118-1,OFFSET(貼り付け2!$A$1,ROW()-1,MATCH(E$1,貼り付け2!$1:$1,0)-1)-1),"")</f>
        <v/>
      </c>
      <c r="H118" t="str">
        <f ca="1">IFERROR(OFFSET(貼り付け2!$A$1,まとめ!$B118-1,OFFSET(貼り付け2!$A$1,ROW()-1,MATCH(H$1,貼り付け2!$1:$1,0)-1)-1),"")</f>
        <v/>
      </c>
      <c r="J118" t="str">
        <f ca="1">IFERROR(OFFSET(貼り付け2!$A$1,$A118-1,OFFSET(貼り付け2!$A$1,ROW()-1,MATCH(J$1,貼り付け2!$1:$1,0)-1)-1),"")</f>
        <v/>
      </c>
      <c r="M118" t="str">
        <f ca="1">IFERROR(OFFSET(貼り付け2!$A$1,まとめ!$B118-1,OFFSET(貼り付け2!$A$1,ROW()-1,MATCH(M$1,貼り付け2!$1:$1,0)-1)-1),"")</f>
        <v/>
      </c>
      <c r="O118" t="str">
        <f ca="1">IFERROR(OFFSET(貼り付け2!$A$1,$A118-1,OFFSET(貼り付け2!$A$1,ROW()-1,MATCH(O$1,貼り付け2!$1:$1,0)-1)-1),"")</f>
        <v/>
      </c>
      <c r="R118" t="str">
        <f ca="1">IFERROR(OFFSET(貼り付け2!$A$1,まとめ!$B118-1,OFFSET(貼り付け2!$A$1,ROW()-1,MATCH(R$1,貼り付け2!$1:$1,0)-1)-1),"")</f>
        <v/>
      </c>
      <c r="T118" t="str">
        <f ca="1">IFERROR(OFFSET(貼り付け2!$A$1,$A118-1,OFFSET(貼り付け2!$A$1,ROW()-1,MATCH(T$1,貼り付け2!$1:$1,0)-1)-1),"")</f>
        <v/>
      </c>
      <c r="W118" t="str">
        <f ca="1">IFERROR(OFFSET(貼り付け2!$A$1,まとめ!$B118-1,OFFSET(貼り付け2!$A$1,ROW()-1,MATCH(W$1,貼り付け2!$1:$1,0)-1)-1),"")</f>
        <v/>
      </c>
    </row>
    <row r="119" spans="1:23" x14ac:dyDescent="0.45">
      <c r="A119" t="str">
        <f>貼り付け2!S119</f>
        <v/>
      </c>
      <c r="B119" t="str">
        <f>貼り付け2!R119</f>
        <v/>
      </c>
      <c r="E119" t="str">
        <f ca="1">IFERROR(OFFSET(貼り付け2!$A$1,$A119-1,OFFSET(貼り付け2!$A$1,ROW()-1,MATCH(E$1,貼り付け2!$1:$1,0)-1)-1),"")</f>
        <v/>
      </c>
      <c r="H119" t="str">
        <f ca="1">IFERROR(OFFSET(貼り付け2!$A$1,まとめ!$B119-1,OFFSET(貼り付け2!$A$1,ROW()-1,MATCH(H$1,貼り付け2!$1:$1,0)-1)-1),"")</f>
        <v/>
      </c>
      <c r="J119" t="str">
        <f ca="1">IFERROR(OFFSET(貼り付け2!$A$1,$A119-1,OFFSET(貼り付け2!$A$1,ROW()-1,MATCH(J$1,貼り付け2!$1:$1,0)-1)-1),"")</f>
        <v/>
      </c>
      <c r="M119" t="str">
        <f ca="1">IFERROR(OFFSET(貼り付け2!$A$1,まとめ!$B119-1,OFFSET(貼り付け2!$A$1,ROW()-1,MATCH(M$1,貼り付け2!$1:$1,0)-1)-1),"")</f>
        <v/>
      </c>
      <c r="O119" t="str">
        <f ca="1">IFERROR(OFFSET(貼り付け2!$A$1,$A119-1,OFFSET(貼り付け2!$A$1,ROW()-1,MATCH(O$1,貼り付け2!$1:$1,0)-1)-1),"")</f>
        <v/>
      </c>
      <c r="R119" t="str">
        <f ca="1">IFERROR(OFFSET(貼り付け2!$A$1,まとめ!$B119-1,OFFSET(貼り付け2!$A$1,ROW()-1,MATCH(R$1,貼り付け2!$1:$1,0)-1)-1),"")</f>
        <v/>
      </c>
      <c r="T119" t="str">
        <f ca="1">IFERROR(OFFSET(貼り付け2!$A$1,$A119-1,OFFSET(貼り付け2!$A$1,ROW()-1,MATCH(T$1,貼り付け2!$1:$1,0)-1)-1),"")</f>
        <v/>
      </c>
      <c r="W119" t="str">
        <f ca="1">IFERROR(OFFSET(貼り付け2!$A$1,まとめ!$B119-1,OFFSET(貼り付け2!$A$1,ROW()-1,MATCH(W$1,貼り付け2!$1:$1,0)-1)-1),"")</f>
        <v/>
      </c>
    </row>
    <row r="120" spans="1:23" x14ac:dyDescent="0.45">
      <c r="A120" t="str">
        <f>貼り付け2!S120</f>
        <v/>
      </c>
      <c r="B120" t="str">
        <f>貼り付け2!R120</f>
        <v/>
      </c>
      <c r="E120" t="str">
        <f ca="1">IFERROR(OFFSET(貼り付け2!$A$1,$A120-1,OFFSET(貼り付け2!$A$1,ROW()-1,MATCH(E$1,貼り付け2!$1:$1,0)-1)-1),"")</f>
        <v/>
      </c>
      <c r="H120" t="str">
        <f ca="1">IFERROR(OFFSET(貼り付け2!$A$1,まとめ!$B120-1,OFFSET(貼り付け2!$A$1,ROW()-1,MATCH(H$1,貼り付け2!$1:$1,0)-1)-1),"")</f>
        <v/>
      </c>
      <c r="J120" t="str">
        <f ca="1">IFERROR(OFFSET(貼り付け2!$A$1,$A120-1,OFFSET(貼り付け2!$A$1,ROW()-1,MATCH(J$1,貼り付け2!$1:$1,0)-1)-1),"")</f>
        <v/>
      </c>
      <c r="M120" t="str">
        <f ca="1">IFERROR(OFFSET(貼り付け2!$A$1,まとめ!$B120-1,OFFSET(貼り付け2!$A$1,ROW()-1,MATCH(M$1,貼り付け2!$1:$1,0)-1)-1),"")</f>
        <v/>
      </c>
      <c r="O120" t="str">
        <f ca="1">IFERROR(OFFSET(貼り付け2!$A$1,$A120-1,OFFSET(貼り付け2!$A$1,ROW()-1,MATCH(O$1,貼り付け2!$1:$1,0)-1)-1),"")</f>
        <v/>
      </c>
      <c r="R120" t="str">
        <f ca="1">IFERROR(OFFSET(貼り付け2!$A$1,まとめ!$B120-1,OFFSET(貼り付け2!$A$1,ROW()-1,MATCH(R$1,貼り付け2!$1:$1,0)-1)-1),"")</f>
        <v/>
      </c>
      <c r="T120" t="str">
        <f ca="1">IFERROR(OFFSET(貼り付け2!$A$1,$A120-1,OFFSET(貼り付け2!$A$1,ROW()-1,MATCH(T$1,貼り付け2!$1:$1,0)-1)-1),"")</f>
        <v/>
      </c>
      <c r="W120" t="str">
        <f ca="1">IFERROR(OFFSET(貼り付け2!$A$1,まとめ!$B120-1,OFFSET(貼り付け2!$A$1,ROW()-1,MATCH(W$1,貼り付け2!$1:$1,0)-1)-1),"")</f>
        <v/>
      </c>
    </row>
    <row r="121" spans="1:23" x14ac:dyDescent="0.45">
      <c r="A121" t="str">
        <f>貼り付け2!S121</f>
        <v/>
      </c>
      <c r="B121" t="str">
        <f>貼り付け2!R121</f>
        <v/>
      </c>
      <c r="E121" t="str">
        <f ca="1">IFERROR(OFFSET(貼り付け2!$A$1,$A121-1,OFFSET(貼り付け2!$A$1,ROW()-1,MATCH(E$1,貼り付け2!$1:$1,0)-1)-1),"")</f>
        <v/>
      </c>
      <c r="H121" t="str">
        <f ca="1">IFERROR(OFFSET(貼り付け2!$A$1,まとめ!$B121-1,OFFSET(貼り付け2!$A$1,ROW()-1,MATCH(H$1,貼り付け2!$1:$1,0)-1)-1),"")</f>
        <v/>
      </c>
      <c r="J121" t="str">
        <f ca="1">IFERROR(OFFSET(貼り付け2!$A$1,$A121-1,OFFSET(貼り付け2!$A$1,ROW()-1,MATCH(J$1,貼り付け2!$1:$1,0)-1)-1),"")</f>
        <v/>
      </c>
      <c r="M121" t="str">
        <f ca="1">IFERROR(OFFSET(貼り付け2!$A$1,まとめ!$B121-1,OFFSET(貼り付け2!$A$1,ROW()-1,MATCH(M$1,貼り付け2!$1:$1,0)-1)-1),"")</f>
        <v/>
      </c>
      <c r="O121" t="str">
        <f ca="1">IFERROR(OFFSET(貼り付け2!$A$1,$A121-1,OFFSET(貼り付け2!$A$1,ROW()-1,MATCH(O$1,貼り付け2!$1:$1,0)-1)-1),"")</f>
        <v/>
      </c>
      <c r="R121" t="str">
        <f ca="1">IFERROR(OFFSET(貼り付け2!$A$1,まとめ!$B121-1,OFFSET(貼り付け2!$A$1,ROW()-1,MATCH(R$1,貼り付け2!$1:$1,0)-1)-1),"")</f>
        <v/>
      </c>
      <c r="T121" t="str">
        <f ca="1">IFERROR(OFFSET(貼り付け2!$A$1,$A121-1,OFFSET(貼り付け2!$A$1,ROW()-1,MATCH(T$1,貼り付け2!$1:$1,0)-1)-1),"")</f>
        <v/>
      </c>
      <c r="W121" t="str">
        <f ca="1">IFERROR(OFFSET(貼り付け2!$A$1,まとめ!$B121-1,OFFSET(貼り付け2!$A$1,ROW()-1,MATCH(W$1,貼り付け2!$1:$1,0)-1)-1),"")</f>
        <v/>
      </c>
    </row>
    <row r="122" spans="1:23" x14ac:dyDescent="0.45">
      <c r="A122" t="str">
        <f>貼り付け2!S122</f>
        <v/>
      </c>
      <c r="B122" t="str">
        <f>貼り付け2!R122</f>
        <v/>
      </c>
      <c r="E122" t="str">
        <f ca="1">IFERROR(OFFSET(貼り付け2!$A$1,$A122-1,OFFSET(貼り付け2!$A$1,ROW()-1,MATCH(E$1,貼り付け2!$1:$1,0)-1)-1),"")</f>
        <v/>
      </c>
      <c r="H122" t="str">
        <f ca="1">IFERROR(OFFSET(貼り付け2!$A$1,まとめ!$B122-1,OFFSET(貼り付け2!$A$1,ROW()-1,MATCH(H$1,貼り付け2!$1:$1,0)-1)-1),"")</f>
        <v/>
      </c>
      <c r="J122" t="str">
        <f ca="1">IFERROR(OFFSET(貼り付け2!$A$1,$A122-1,OFFSET(貼り付け2!$A$1,ROW()-1,MATCH(J$1,貼り付け2!$1:$1,0)-1)-1),"")</f>
        <v/>
      </c>
      <c r="M122" t="str">
        <f ca="1">IFERROR(OFFSET(貼り付け2!$A$1,まとめ!$B122-1,OFFSET(貼り付け2!$A$1,ROW()-1,MATCH(M$1,貼り付け2!$1:$1,0)-1)-1),"")</f>
        <v/>
      </c>
      <c r="O122" t="str">
        <f ca="1">IFERROR(OFFSET(貼り付け2!$A$1,$A122-1,OFFSET(貼り付け2!$A$1,ROW()-1,MATCH(O$1,貼り付け2!$1:$1,0)-1)-1),"")</f>
        <v/>
      </c>
      <c r="R122" t="str">
        <f ca="1">IFERROR(OFFSET(貼り付け2!$A$1,まとめ!$B122-1,OFFSET(貼り付け2!$A$1,ROW()-1,MATCH(R$1,貼り付け2!$1:$1,0)-1)-1),"")</f>
        <v/>
      </c>
      <c r="T122" t="str">
        <f ca="1">IFERROR(OFFSET(貼り付け2!$A$1,$A122-1,OFFSET(貼り付け2!$A$1,ROW()-1,MATCH(T$1,貼り付け2!$1:$1,0)-1)-1),"")</f>
        <v/>
      </c>
      <c r="W122" t="str">
        <f ca="1">IFERROR(OFFSET(貼り付け2!$A$1,まとめ!$B122-1,OFFSET(貼り付け2!$A$1,ROW()-1,MATCH(W$1,貼り付け2!$1:$1,0)-1)-1),"")</f>
        <v/>
      </c>
    </row>
    <row r="123" spans="1:23" x14ac:dyDescent="0.45">
      <c r="A123" t="str">
        <f>貼り付け2!S123</f>
        <v/>
      </c>
      <c r="B123" t="str">
        <f>貼り付け2!R123</f>
        <v/>
      </c>
      <c r="E123" t="str">
        <f ca="1">IFERROR(OFFSET(貼り付け2!$A$1,$A123-1,OFFSET(貼り付け2!$A$1,ROW()-1,MATCH(E$1,貼り付け2!$1:$1,0)-1)-1),"")</f>
        <v/>
      </c>
      <c r="H123" t="str">
        <f ca="1">IFERROR(OFFSET(貼り付け2!$A$1,まとめ!$B123-1,OFFSET(貼り付け2!$A$1,ROW()-1,MATCH(H$1,貼り付け2!$1:$1,0)-1)-1),"")</f>
        <v/>
      </c>
      <c r="J123" t="str">
        <f ca="1">IFERROR(OFFSET(貼り付け2!$A$1,$A123-1,OFFSET(貼り付け2!$A$1,ROW()-1,MATCH(J$1,貼り付け2!$1:$1,0)-1)-1),"")</f>
        <v/>
      </c>
      <c r="M123" t="str">
        <f ca="1">IFERROR(OFFSET(貼り付け2!$A$1,まとめ!$B123-1,OFFSET(貼り付け2!$A$1,ROW()-1,MATCH(M$1,貼り付け2!$1:$1,0)-1)-1),"")</f>
        <v/>
      </c>
      <c r="O123" t="str">
        <f ca="1">IFERROR(OFFSET(貼り付け2!$A$1,$A123-1,OFFSET(貼り付け2!$A$1,ROW()-1,MATCH(O$1,貼り付け2!$1:$1,0)-1)-1),"")</f>
        <v/>
      </c>
      <c r="R123" t="str">
        <f ca="1">IFERROR(OFFSET(貼り付け2!$A$1,まとめ!$B123-1,OFFSET(貼り付け2!$A$1,ROW()-1,MATCH(R$1,貼り付け2!$1:$1,0)-1)-1),"")</f>
        <v/>
      </c>
      <c r="T123" t="str">
        <f ca="1">IFERROR(OFFSET(貼り付け2!$A$1,$A123-1,OFFSET(貼り付け2!$A$1,ROW()-1,MATCH(T$1,貼り付け2!$1:$1,0)-1)-1),"")</f>
        <v/>
      </c>
      <c r="W123" t="str">
        <f ca="1">IFERROR(OFFSET(貼り付け2!$A$1,まとめ!$B123-1,OFFSET(貼り付け2!$A$1,ROW()-1,MATCH(W$1,貼り付け2!$1:$1,0)-1)-1),"")</f>
        <v/>
      </c>
    </row>
    <row r="124" spans="1:23" x14ac:dyDescent="0.45">
      <c r="A124" t="str">
        <f>貼り付け2!S124</f>
        <v/>
      </c>
      <c r="B124" t="str">
        <f>貼り付け2!R124</f>
        <v/>
      </c>
      <c r="E124" t="str">
        <f ca="1">IFERROR(OFFSET(貼り付け2!$A$1,$A124-1,OFFSET(貼り付け2!$A$1,ROW()-1,MATCH(E$1,貼り付け2!$1:$1,0)-1)-1),"")</f>
        <v/>
      </c>
      <c r="H124" t="str">
        <f ca="1">IFERROR(OFFSET(貼り付け2!$A$1,まとめ!$B124-1,OFFSET(貼り付け2!$A$1,ROW()-1,MATCH(H$1,貼り付け2!$1:$1,0)-1)-1),"")</f>
        <v/>
      </c>
      <c r="J124" t="str">
        <f ca="1">IFERROR(OFFSET(貼り付け2!$A$1,$A124-1,OFFSET(貼り付け2!$A$1,ROW()-1,MATCH(J$1,貼り付け2!$1:$1,0)-1)-1),"")</f>
        <v/>
      </c>
      <c r="M124" t="str">
        <f ca="1">IFERROR(OFFSET(貼り付け2!$A$1,まとめ!$B124-1,OFFSET(貼り付け2!$A$1,ROW()-1,MATCH(M$1,貼り付け2!$1:$1,0)-1)-1),"")</f>
        <v/>
      </c>
      <c r="O124" t="str">
        <f ca="1">IFERROR(OFFSET(貼り付け2!$A$1,$A124-1,OFFSET(貼り付け2!$A$1,ROW()-1,MATCH(O$1,貼り付け2!$1:$1,0)-1)-1),"")</f>
        <v/>
      </c>
      <c r="R124" t="str">
        <f ca="1">IFERROR(OFFSET(貼り付け2!$A$1,まとめ!$B124-1,OFFSET(貼り付け2!$A$1,ROW()-1,MATCH(R$1,貼り付け2!$1:$1,0)-1)-1),"")</f>
        <v/>
      </c>
      <c r="T124" t="str">
        <f ca="1">IFERROR(OFFSET(貼り付け2!$A$1,$A124-1,OFFSET(貼り付け2!$A$1,ROW()-1,MATCH(T$1,貼り付け2!$1:$1,0)-1)-1),"")</f>
        <v/>
      </c>
      <c r="W124" t="str">
        <f ca="1">IFERROR(OFFSET(貼り付け2!$A$1,まとめ!$B124-1,OFFSET(貼り付け2!$A$1,ROW()-1,MATCH(W$1,貼り付け2!$1:$1,0)-1)-1),"")</f>
        <v/>
      </c>
    </row>
    <row r="125" spans="1:23" x14ac:dyDescent="0.45">
      <c r="A125" t="str">
        <f>貼り付け2!S125</f>
        <v/>
      </c>
      <c r="B125" t="str">
        <f>貼り付け2!R125</f>
        <v/>
      </c>
      <c r="E125" t="str">
        <f ca="1">IFERROR(OFFSET(貼り付け2!$A$1,$A125-1,OFFSET(貼り付け2!$A$1,ROW()-1,MATCH(E$1,貼り付け2!$1:$1,0)-1)-1),"")</f>
        <v/>
      </c>
      <c r="H125" t="str">
        <f ca="1">IFERROR(OFFSET(貼り付け2!$A$1,まとめ!$B125-1,OFFSET(貼り付け2!$A$1,ROW()-1,MATCH(H$1,貼り付け2!$1:$1,0)-1)-1),"")</f>
        <v/>
      </c>
      <c r="J125" t="str">
        <f ca="1">IFERROR(OFFSET(貼り付け2!$A$1,$A125-1,OFFSET(貼り付け2!$A$1,ROW()-1,MATCH(J$1,貼り付け2!$1:$1,0)-1)-1),"")</f>
        <v/>
      </c>
      <c r="M125" t="str">
        <f ca="1">IFERROR(OFFSET(貼り付け2!$A$1,まとめ!$B125-1,OFFSET(貼り付け2!$A$1,ROW()-1,MATCH(M$1,貼り付け2!$1:$1,0)-1)-1),"")</f>
        <v/>
      </c>
      <c r="O125" t="str">
        <f ca="1">IFERROR(OFFSET(貼り付け2!$A$1,$A125-1,OFFSET(貼り付け2!$A$1,ROW()-1,MATCH(O$1,貼り付け2!$1:$1,0)-1)-1),"")</f>
        <v/>
      </c>
      <c r="R125" t="str">
        <f ca="1">IFERROR(OFFSET(貼り付け2!$A$1,まとめ!$B125-1,OFFSET(貼り付け2!$A$1,ROW()-1,MATCH(R$1,貼り付け2!$1:$1,0)-1)-1),"")</f>
        <v/>
      </c>
      <c r="T125" t="str">
        <f ca="1">IFERROR(OFFSET(貼り付け2!$A$1,$A125-1,OFFSET(貼り付け2!$A$1,ROW()-1,MATCH(T$1,貼り付け2!$1:$1,0)-1)-1),"")</f>
        <v/>
      </c>
      <c r="W125" t="str">
        <f ca="1">IFERROR(OFFSET(貼り付け2!$A$1,まとめ!$B125-1,OFFSET(貼り付け2!$A$1,ROW()-1,MATCH(W$1,貼り付け2!$1:$1,0)-1)-1),"")</f>
        <v/>
      </c>
    </row>
    <row r="126" spans="1:23" x14ac:dyDescent="0.45">
      <c r="A126" t="str">
        <f>貼り付け2!S126</f>
        <v/>
      </c>
      <c r="B126" t="str">
        <f>貼り付け2!R126</f>
        <v/>
      </c>
      <c r="E126" t="str">
        <f ca="1">IFERROR(OFFSET(貼り付け2!$A$1,$A126-1,OFFSET(貼り付け2!$A$1,ROW()-1,MATCH(E$1,貼り付け2!$1:$1,0)-1)-1),"")</f>
        <v/>
      </c>
      <c r="H126" t="str">
        <f ca="1">IFERROR(OFFSET(貼り付け2!$A$1,まとめ!$B126-1,OFFSET(貼り付け2!$A$1,ROW()-1,MATCH(H$1,貼り付け2!$1:$1,0)-1)-1),"")</f>
        <v/>
      </c>
      <c r="J126" t="str">
        <f ca="1">IFERROR(OFFSET(貼り付け2!$A$1,$A126-1,OFFSET(貼り付け2!$A$1,ROW()-1,MATCH(J$1,貼り付け2!$1:$1,0)-1)-1),"")</f>
        <v/>
      </c>
      <c r="M126" t="str">
        <f ca="1">IFERROR(OFFSET(貼り付け2!$A$1,まとめ!$B126-1,OFFSET(貼り付け2!$A$1,ROW()-1,MATCH(M$1,貼り付け2!$1:$1,0)-1)-1),"")</f>
        <v/>
      </c>
      <c r="O126" t="str">
        <f ca="1">IFERROR(OFFSET(貼り付け2!$A$1,$A126-1,OFFSET(貼り付け2!$A$1,ROW()-1,MATCH(O$1,貼り付け2!$1:$1,0)-1)-1),"")</f>
        <v/>
      </c>
      <c r="R126" t="str">
        <f ca="1">IFERROR(OFFSET(貼り付け2!$A$1,まとめ!$B126-1,OFFSET(貼り付け2!$A$1,ROW()-1,MATCH(R$1,貼り付け2!$1:$1,0)-1)-1),"")</f>
        <v/>
      </c>
      <c r="T126" t="str">
        <f ca="1">IFERROR(OFFSET(貼り付け2!$A$1,$A126-1,OFFSET(貼り付け2!$A$1,ROW()-1,MATCH(T$1,貼り付け2!$1:$1,0)-1)-1),"")</f>
        <v/>
      </c>
      <c r="W126" t="str">
        <f ca="1">IFERROR(OFFSET(貼り付け2!$A$1,まとめ!$B126-1,OFFSET(貼り付け2!$A$1,ROW()-1,MATCH(W$1,貼り付け2!$1:$1,0)-1)-1),"")</f>
        <v/>
      </c>
    </row>
    <row r="127" spans="1:23" x14ac:dyDescent="0.45">
      <c r="A127" t="str">
        <f>貼り付け2!S127</f>
        <v/>
      </c>
      <c r="B127" t="str">
        <f>貼り付け2!R127</f>
        <v/>
      </c>
      <c r="E127" t="str">
        <f ca="1">IFERROR(OFFSET(貼り付け2!$A$1,$A127-1,OFFSET(貼り付け2!$A$1,ROW()-1,MATCH(E$1,貼り付け2!$1:$1,0)-1)-1),"")</f>
        <v/>
      </c>
      <c r="H127" t="str">
        <f ca="1">IFERROR(OFFSET(貼り付け2!$A$1,まとめ!$B127-1,OFFSET(貼り付け2!$A$1,ROW()-1,MATCH(H$1,貼り付け2!$1:$1,0)-1)-1),"")</f>
        <v/>
      </c>
      <c r="J127" t="str">
        <f ca="1">IFERROR(OFFSET(貼り付け2!$A$1,$A127-1,OFFSET(貼り付け2!$A$1,ROW()-1,MATCH(J$1,貼り付け2!$1:$1,0)-1)-1),"")</f>
        <v/>
      </c>
      <c r="M127" t="str">
        <f ca="1">IFERROR(OFFSET(貼り付け2!$A$1,まとめ!$B127-1,OFFSET(貼り付け2!$A$1,ROW()-1,MATCH(M$1,貼り付け2!$1:$1,0)-1)-1),"")</f>
        <v/>
      </c>
      <c r="O127" t="str">
        <f ca="1">IFERROR(OFFSET(貼り付け2!$A$1,$A127-1,OFFSET(貼り付け2!$A$1,ROW()-1,MATCH(O$1,貼り付け2!$1:$1,0)-1)-1),"")</f>
        <v/>
      </c>
      <c r="R127" t="str">
        <f ca="1">IFERROR(OFFSET(貼り付け2!$A$1,まとめ!$B127-1,OFFSET(貼り付け2!$A$1,ROW()-1,MATCH(R$1,貼り付け2!$1:$1,0)-1)-1),"")</f>
        <v/>
      </c>
      <c r="T127" t="str">
        <f ca="1">IFERROR(OFFSET(貼り付け2!$A$1,$A127-1,OFFSET(貼り付け2!$A$1,ROW()-1,MATCH(T$1,貼り付け2!$1:$1,0)-1)-1),"")</f>
        <v/>
      </c>
      <c r="W127" t="str">
        <f ca="1">IFERROR(OFFSET(貼り付け2!$A$1,まとめ!$B127-1,OFFSET(貼り付け2!$A$1,ROW()-1,MATCH(W$1,貼り付け2!$1:$1,0)-1)-1),"")</f>
        <v/>
      </c>
    </row>
    <row r="128" spans="1:23" x14ac:dyDescent="0.45">
      <c r="A128" t="str">
        <f>貼り付け2!S128</f>
        <v/>
      </c>
      <c r="B128" t="str">
        <f>貼り付け2!R128</f>
        <v/>
      </c>
      <c r="E128" t="str">
        <f ca="1">IFERROR(OFFSET(貼り付け2!$A$1,$A128-1,OFFSET(貼り付け2!$A$1,ROW()-1,MATCH(E$1,貼り付け2!$1:$1,0)-1)-1),"")</f>
        <v/>
      </c>
      <c r="H128" t="str">
        <f ca="1">IFERROR(OFFSET(貼り付け2!$A$1,まとめ!$B128-1,OFFSET(貼り付け2!$A$1,ROW()-1,MATCH(H$1,貼り付け2!$1:$1,0)-1)-1),"")</f>
        <v/>
      </c>
      <c r="J128" t="str">
        <f ca="1">IFERROR(OFFSET(貼り付け2!$A$1,$A128-1,OFFSET(貼り付け2!$A$1,ROW()-1,MATCH(J$1,貼り付け2!$1:$1,0)-1)-1),"")</f>
        <v/>
      </c>
      <c r="M128" t="str">
        <f ca="1">IFERROR(OFFSET(貼り付け2!$A$1,まとめ!$B128-1,OFFSET(貼り付け2!$A$1,ROW()-1,MATCH(M$1,貼り付け2!$1:$1,0)-1)-1),"")</f>
        <v/>
      </c>
      <c r="O128" t="str">
        <f ca="1">IFERROR(OFFSET(貼り付け2!$A$1,$A128-1,OFFSET(貼り付け2!$A$1,ROW()-1,MATCH(O$1,貼り付け2!$1:$1,0)-1)-1),"")</f>
        <v/>
      </c>
      <c r="R128" t="str">
        <f ca="1">IFERROR(OFFSET(貼り付け2!$A$1,まとめ!$B128-1,OFFSET(貼り付け2!$A$1,ROW()-1,MATCH(R$1,貼り付け2!$1:$1,0)-1)-1),"")</f>
        <v/>
      </c>
      <c r="T128" t="str">
        <f ca="1">IFERROR(OFFSET(貼り付け2!$A$1,$A128-1,OFFSET(貼り付け2!$A$1,ROW()-1,MATCH(T$1,貼り付け2!$1:$1,0)-1)-1),"")</f>
        <v/>
      </c>
      <c r="W128" t="str">
        <f ca="1">IFERROR(OFFSET(貼り付け2!$A$1,まとめ!$B128-1,OFFSET(貼り付け2!$A$1,ROW()-1,MATCH(W$1,貼り付け2!$1:$1,0)-1)-1),"")</f>
        <v/>
      </c>
    </row>
    <row r="129" spans="1:23" x14ac:dyDescent="0.45">
      <c r="A129" t="str">
        <f>貼り付け2!S129</f>
        <v/>
      </c>
      <c r="B129" t="str">
        <f>貼り付け2!R129</f>
        <v/>
      </c>
      <c r="E129" t="str">
        <f ca="1">IFERROR(OFFSET(貼り付け2!$A$1,$A129-1,OFFSET(貼り付け2!$A$1,ROW()-1,MATCH(E$1,貼り付け2!$1:$1,0)-1)-1),"")</f>
        <v/>
      </c>
      <c r="H129" t="str">
        <f ca="1">IFERROR(OFFSET(貼り付け2!$A$1,まとめ!$B129-1,OFFSET(貼り付け2!$A$1,ROW()-1,MATCH(H$1,貼り付け2!$1:$1,0)-1)-1),"")</f>
        <v/>
      </c>
      <c r="J129" t="str">
        <f ca="1">IFERROR(OFFSET(貼り付け2!$A$1,$A129-1,OFFSET(貼り付け2!$A$1,ROW()-1,MATCH(J$1,貼り付け2!$1:$1,0)-1)-1),"")</f>
        <v/>
      </c>
      <c r="M129" t="str">
        <f ca="1">IFERROR(OFFSET(貼り付け2!$A$1,まとめ!$B129-1,OFFSET(貼り付け2!$A$1,ROW()-1,MATCH(M$1,貼り付け2!$1:$1,0)-1)-1),"")</f>
        <v/>
      </c>
      <c r="O129" t="str">
        <f ca="1">IFERROR(OFFSET(貼り付け2!$A$1,$A129-1,OFFSET(貼り付け2!$A$1,ROW()-1,MATCH(O$1,貼り付け2!$1:$1,0)-1)-1),"")</f>
        <v/>
      </c>
      <c r="R129" t="str">
        <f ca="1">IFERROR(OFFSET(貼り付け2!$A$1,まとめ!$B129-1,OFFSET(貼り付け2!$A$1,ROW()-1,MATCH(R$1,貼り付け2!$1:$1,0)-1)-1),"")</f>
        <v/>
      </c>
      <c r="T129" t="str">
        <f ca="1">IFERROR(OFFSET(貼り付け2!$A$1,$A129-1,OFFSET(貼り付け2!$A$1,ROW()-1,MATCH(T$1,貼り付け2!$1:$1,0)-1)-1),"")</f>
        <v/>
      </c>
      <c r="W129" t="str">
        <f ca="1">IFERROR(OFFSET(貼り付け2!$A$1,まとめ!$B129-1,OFFSET(貼り付け2!$A$1,ROW()-1,MATCH(W$1,貼り付け2!$1:$1,0)-1)-1),"")</f>
        <v/>
      </c>
    </row>
    <row r="130" spans="1:23" x14ac:dyDescent="0.45">
      <c r="A130" t="str">
        <f>貼り付け2!S130</f>
        <v/>
      </c>
      <c r="B130" t="str">
        <f>貼り付け2!R130</f>
        <v/>
      </c>
      <c r="E130" t="str">
        <f ca="1">IFERROR(OFFSET(貼り付け2!$A$1,$A130-1,OFFSET(貼り付け2!$A$1,ROW()-1,MATCH(E$1,貼り付け2!$1:$1,0)-1)-1),"")</f>
        <v/>
      </c>
      <c r="H130" t="str">
        <f ca="1">IFERROR(OFFSET(貼り付け2!$A$1,まとめ!$B130-1,OFFSET(貼り付け2!$A$1,ROW()-1,MATCH(H$1,貼り付け2!$1:$1,0)-1)-1),"")</f>
        <v/>
      </c>
      <c r="J130" t="str">
        <f ca="1">IFERROR(OFFSET(貼り付け2!$A$1,$A130-1,OFFSET(貼り付け2!$A$1,ROW()-1,MATCH(J$1,貼り付け2!$1:$1,0)-1)-1),"")</f>
        <v/>
      </c>
      <c r="M130" t="str">
        <f ca="1">IFERROR(OFFSET(貼り付け2!$A$1,まとめ!$B130-1,OFFSET(貼り付け2!$A$1,ROW()-1,MATCH(M$1,貼り付け2!$1:$1,0)-1)-1),"")</f>
        <v/>
      </c>
      <c r="O130" t="str">
        <f ca="1">IFERROR(OFFSET(貼り付け2!$A$1,$A130-1,OFFSET(貼り付け2!$A$1,ROW()-1,MATCH(O$1,貼り付け2!$1:$1,0)-1)-1),"")</f>
        <v/>
      </c>
      <c r="R130" t="str">
        <f ca="1">IFERROR(OFFSET(貼り付け2!$A$1,まとめ!$B130-1,OFFSET(貼り付け2!$A$1,ROW()-1,MATCH(R$1,貼り付け2!$1:$1,0)-1)-1),"")</f>
        <v/>
      </c>
      <c r="T130" t="str">
        <f ca="1">IFERROR(OFFSET(貼り付け2!$A$1,$A130-1,OFFSET(貼り付け2!$A$1,ROW()-1,MATCH(T$1,貼り付け2!$1:$1,0)-1)-1),"")</f>
        <v/>
      </c>
      <c r="W130" t="str">
        <f ca="1">IFERROR(OFFSET(貼り付け2!$A$1,まとめ!$B130-1,OFFSET(貼り付け2!$A$1,ROW()-1,MATCH(W$1,貼り付け2!$1:$1,0)-1)-1),"")</f>
        <v/>
      </c>
    </row>
    <row r="131" spans="1:23" x14ac:dyDescent="0.45">
      <c r="A131" t="str">
        <f>貼り付け2!S131</f>
        <v/>
      </c>
      <c r="B131" t="str">
        <f>貼り付け2!R131</f>
        <v/>
      </c>
      <c r="E131" t="str">
        <f ca="1">IFERROR(OFFSET(貼り付け2!$A$1,$A131-1,OFFSET(貼り付け2!$A$1,ROW()-1,MATCH(E$1,貼り付け2!$1:$1,0)-1)-1),"")</f>
        <v/>
      </c>
      <c r="H131" t="str">
        <f ca="1">IFERROR(OFFSET(貼り付け2!$A$1,まとめ!$B131-1,OFFSET(貼り付け2!$A$1,ROW()-1,MATCH(H$1,貼り付け2!$1:$1,0)-1)-1),"")</f>
        <v/>
      </c>
      <c r="J131" t="str">
        <f ca="1">IFERROR(OFFSET(貼り付け2!$A$1,$A131-1,OFFSET(貼り付け2!$A$1,ROW()-1,MATCH(J$1,貼り付け2!$1:$1,0)-1)-1),"")</f>
        <v/>
      </c>
      <c r="M131" t="str">
        <f ca="1">IFERROR(OFFSET(貼り付け2!$A$1,まとめ!$B131-1,OFFSET(貼り付け2!$A$1,ROW()-1,MATCH(M$1,貼り付け2!$1:$1,0)-1)-1),"")</f>
        <v/>
      </c>
      <c r="O131" t="str">
        <f ca="1">IFERROR(OFFSET(貼り付け2!$A$1,$A131-1,OFFSET(貼り付け2!$A$1,ROW()-1,MATCH(O$1,貼り付け2!$1:$1,0)-1)-1),"")</f>
        <v/>
      </c>
      <c r="R131" t="str">
        <f ca="1">IFERROR(OFFSET(貼り付け2!$A$1,まとめ!$B131-1,OFFSET(貼り付け2!$A$1,ROW()-1,MATCH(R$1,貼り付け2!$1:$1,0)-1)-1),"")</f>
        <v/>
      </c>
      <c r="T131" t="str">
        <f ca="1">IFERROR(OFFSET(貼り付け2!$A$1,$A131-1,OFFSET(貼り付け2!$A$1,ROW()-1,MATCH(T$1,貼り付け2!$1:$1,0)-1)-1),"")</f>
        <v/>
      </c>
      <c r="W131" t="str">
        <f ca="1">IFERROR(OFFSET(貼り付け2!$A$1,まとめ!$B131-1,OFFSET(貼り付け2!$A$1,ROW()-1,MATCH(W$1,貼り付け2!$1:$1,0)-1)-1),"")</f>
        <v/>
      </c>
    </row>
    <row r="132" spans="1:23" x14ac:dyDescent="0.45">
      <c r="A132" t="str">
        <f>貼り付け2!S132</f>
        <v/>
      </c>
      <c r="B132" t="str">
        <f>貼り付け2!R132</f>
        <v/>
      </c>
      <c r="E132" t="str">
        <f ca="1">IFERROR(OFFSET(貼り付け2!$A$1,$A132-1,OFFSET(貼り付け2!$A$1,ROW()-1,MATCH(E$1,貼り付け2!$1:$1,0)-1)-1),"")</f>
        <v/>
      </c>
      <c r="H132" t="str">
        <f ca="1">IFERROR(OFFSET(貼り付け2!$A$1,まとめ!$B132-1,OFFSET(貼り付け2!$A$1,ROW()-1,MATCH(H$1,貼り付け2!$1:$1,0)-1)-1),"")</f>
        <v/>
      </c>
      <c r="J132" t="str">
        <f ca="1">IFERROR(OFFSET(貼り付け2!$A$1,$A132-1,OFFSET(貼り付け2!$A$1,ROW()-1,MATCH(J$1,貼り付け2!$1:$1,0)-1)-1),"")</f>
        <v/>
      </c>
      <c r="M132" t="str">
        <f ca="1">IFERROR(OFFSET(貼り付け2!$A$1,まとめ!$B132-1,OFFSET(貼り付け2!$A$1,ROW()-1,MATCH(M$1,貼り付け2!$1:$1,0)-1)-1),"")</f>
        <v/>
      </c>
      <c r="O132" t="str">
        <f ca="1">IFERROR(OFFSET(貼り付け2!$A$1,$A132-1,OFFSET(貼り付け2!$A$1,ROW()-1,MATCH(O$1,貼り付け2!$1:$1,0)-1)-1),"")</f>
        <v/>
      </c>
      <c r="R132" t="str">
        <f ca="1">IFERROR(OFFSET(貼り付け2!$A$1,まとめ!$B132-1,OFFSET(貼り付け2!$A$1,ROW()-1,MATCH(R$1,貼り付け2!$1:$1,0)-1)-1),"")</f>
        <v/>
      </c>
      <c r="T132" t="str">
        <f ca="1">IFERROR(OFFSET(貼り付け2!$A$1,$A132-1,OFFSET(貼り付け2!$A$1,ROW()-1,MATCH(T$1,貼り付け2!$1:$1,0)-1)-1),"")</f>
        <v/>
      </c>
      <c r="W132" t="str">
        <f ca="1">IFERROR(OFFSET(貼り付け2!$A$1,まとめ!$B132-1,OFFSET(貼り付け2!$A$1,ROW()-1,MATCH(W$1,貼り付け2!$1:$1,0)-1)-1),"")</f>
        <v/>
      </c>
    </row>
    <row r="133" spans="1:23" x14ac:dyDescent="0.45">
      <c r="A133" t="str">
        <f>貼り付け2!S133</f>
        <v/>
      </c>
      <c r="B133" t="str">
        <f>貼り付け2!R133</f>
        <v/>
      </c>
      <c r="E133" t="str">
        <f ca="1">IFERROR(OFFSET(貼り付け2!$A$1,$A133-1,OFFSET(貼り付け2!$A$1,ROW()-1,MATCH(E$1,貼り付け2!$1:$1,0)-1)-1),"")</f>
        <v/>
      </c>
      <c r="H133" t="str">
        <f ca="1">IFERROR(OFFSET(貼り付け2!$A$1,まとめ!$B133-1,OFFSET(貼り付け2!$A$1,ROW()-1,MATCH(H$1,貼り付け2!$1:$1,0)-1)-1),"")</f>
        <v/>
      </c>
      <c r="J133" t="str">
        <f ca="1">IFERROR(OFFSET(貼り付け2!$A$1,$A133-1,OFFSET(貼り付け2!$A$1,ROW()-1,MATCH(J$1,貼り付け2!$1:$1,0)-1)-1),"")</f>
        <v/>
      </c>
      <c r="M133" t="str">
        <f ca="1">IFERROR(OFFSET(貼り付け2!$A$1,まとめ!$B133-1,OFFSET(貼り付け2!$A$1,ROW()-1,MATCH(M$1,貼り付け2!$1:$1,0)-1)-1),"")</f>
        <v/>
      </c>
      <c r="O133" t="str">
        <f ca="1">IFERROR(OFFSET(貼り付け2!$A$1,$A133-1,OFFSET(貼り付け2!$A$1,ROW()-1,MATCH(O$1,貼り付け2!$1:$1,0)-1)-1),"")</f>
        <v/>
      </c>
      <c r="R133" t="str">
        <f ca="1">IFERROR(OFFSET(貼り付け2!$A$1,まとめ!$B133-1,OFFSET(貼り付け2!$A$1,ROW()-1,MATCH(R$1,貼り付け2!$1:$1,0)-1)-1),"")</f>
        <v/>
      </c>
      <c r="T133" t="str">
        <f ca="1">IFERROR(OFFSET(貼り付け2!$A$1,$A133-1,OFFSET(貼り付け2!$A$1,ROW()-1,MATCH(T$1,貼り付け2!$1:$1,0)-1)-1),"")</f>
        <v/>
      </c>
      <c r="W133" t="str">
        <f ca="1">IFERROR(OFFSET(貼り付け2!$A$1,まとめ!$B133-1,OFFSET(貼り付け2!$A$1,ROW()-1,MATCH(W$1,貼り付け2!$1:$1,0)-1)-1),"")</f>
        <v/>
      </c>
    </row>
    <row r="134" spans="1:23" x14ac:dyDescent="0.45">
      <c r="A134" t="str">
        <f>貼り付け2!S134</f>
        <v/>
      </c>
      <c r="B134" t="str">
        <f>貼り付け2!R134</f>
        <v/>
      </c>
      <c r="E134" t="str">
        <f ca="1">IFERROR(OFFSET(貼り付け2!$A$1,$A134-1,OFFSET(貼り付け2!$A$1,ROW()-1,MATCH(E$1,貼り付け2!$1:$1,0)-1)-1),"")</f>
        <v/>
      </c>
      <c r="H134" t="str">
        <f ca="1">IFERROR(OFFSET(貼り付け2!$A$1,まとめ!$B134-1,OFFSET(貼り付け2!$A$1,ROW()-1,MATCH(H$1,貼り付け2!$1:$1,0)-1)-1),"")</f>
        <v/>
      </c>
      <c r="J134" t="str">
        <f ca="1">IFERROR(OFFSET(貼り付け2!$A$1,$A134-1,OFFSET(貼り付け2!$A$1,ROW()-1,MATCH(J$1,貼り付け2!$1:$1,0)-1)-1),"")</f>
        <v/>
      </c>
      <c r="M134" t="str">
        <f ca="1">IFERROR(OFFSET(貼り付け2!$A$1,まとめ!$B134-1,OFFSET(貼り付け2!$A$1,ROW()-1,MATCH(M$1,貼り付け2!$1:$1,0)-1)-1),"")</f>
        <v/>
      </c>
      <c r="O134" t="str">
        <f ca="1">IFERROR(OFFSET(貼り付け2!$A$1,$A134-1,OFFSET(貼り付け2!$A$1,ROW()-1,MATCH(O$1,貼り付け2!$1:$1,0)-1)-1),"")</f>
        <v/>
      </c>
      <c r="R134" t="str">
        <f ca="1">IFERROR(OFFSET(貼り付け2!$A$1,まとめ!$B134-1,OFFSET(貼り付け2!$A$1,ROW()-1,MATCH(R$1,貼り付け2!$1:$1,0)-1)-1),"")</f>
        <v/>
      </c>
      <c r="T134" t="str">
        <f ca="1">IFERROR(OFFSET(貼り付け2!$A$1,$A134-1,OFFSET(貼り付け2!$A$1,ROW()-1,MATCH(T$1,貼り付け2!$1:$1,0)-1)-1),"")</f>
        <v/>
      </c>
      <c r="W134" t="str">
        <f ca="1">IFERROR(OFFSET(貼り付け2!$A$1,まとめ!$B134-1,OFFSET(貼り付け2!$A$1,ROW()-1,MATCH(W$1,貼り付け2!$1:$1,0)-1)-1),"")</f>
        <v/>
      </c>
    </row>
    <row r="135" spans="1:23" x14ac:dyDescent="0.45">
      <c r="A135" t="str">
        <f>貼り付け2!S135</f>
        <v/>
      </c>
      <c r="B135" t="str">
        <f>貼り付け2!R135</f>
        <v/>
      </c>
      <c r="E135" t="str">
        <f ca="1">IFERROR(OFFSET(貼り付け2!$A$1,$A135-1,OFFSET(貼り付け2!$A$1,ROW()-1,MATCH(E$1,貼り付け2!$1:$1,0)-1)-1),"")</f>
        <v/>
      </c>
      <c r="H135" t="str">
        <f ca="1">IFERROR(OFFSET(貼り付け2!$A$1,まとめ!$B135-1,OFFSET(貼り付け2!$A$1,ROW()-1,MATCH(H$1,貼り付け2!$1:$1,0)-1)-1),"")</f>
        <v/>
      </c>
      <c r="J135" t="str">
        <f ca="1">IFERROR(OFFSET(貼り付け2!$A$1,$A135-1,OFFSET(貼り付け2!$A$1,ROW()-1,MATCH(J$1,貼り付け2!$1:$1,0)-1)-1),"")</f>
        <v/>
      </c>
      <c r="M135" t="str">
        <f ca="1">IFERROR(OFFSET(貼り付け2!$A$1,まとめ!$B135-1,OFFSET(貼り付け2!$A$1,ROW()-1,MATCH(M$1,貼り付け2!$1:$1,0)-1)-1),"")</f>
        <v/>
      </c>
      <c r="O135" t="str">
        <f ca="1">IFERROR(OFFSET(貼り付け2!$A$1,$A135-1,OFFSET(貼り付け2!$A$1,ROW()-1,MATCH(O$1,貼り付け2!$1:$1,0)-1)-1),"")</f>
        <v/>
      </c>
      <c r="R135" t="str">
        <f ca="1">IFERROR(OFFSET(貼り付け2!$A$1,まとめ!$B135-1,OFFSET(貼り付け2!$A$1,ROW()-1,MATCH(R$1,貼り付け2!$1:$1,0)-1)-1),"")</f>
        <v/>
      </c>
      <c r="T135" t="str">
        <f ca="1">IFERROR(OFFSET(貼り付け2!$A$1,$A135-1,OFFSET(貼り付け2!$A$1,ROW()-1,MATCH(T$1,貼り付け2!$1:$1,0)-1)-1),"")</f>
        <v/>
      </c>
      <c r="W135" t="str">
        <f ca="1">IFERROR(OFFSET(貼り付け2!$A$1,まとめ!$B135-1,OFFSET(貼り付け2!$A$1,ROW()-1,MATCH(W$1,貼り付け2!$1:$1,0)-1)-1),"")</f>
        <v/>
      </c>
    </row>
    <row r="136" spans="1:23" x14ac:dyDescent="0.45">
      <c r="A136" t="str">
        <f>貼り付け2!S136</f>
        <v/>
      </c>
      <c r="B136" t="str">
        <f>貼り付け2!R136</f>
        <v/>
      </c>
      <c r="E136" t="str">
        <f ca="1">IFERROR(OFFSET(貼り付け2!$A$1,$A136-1,OFFSET(貼り付け2!$A$1,ROW()-1,MATCH(E$1,貼り付け2!$1:$1,0)-1)-1),"")</f>
        <v/>
      </c>
      <c r="H136" t="str">
        <f ca="1">IFERROR(OFFSET(貼り付け2!$A$1,まとめ!$B136-1,OFFSET(貼り付け2!$A$1,ROW()-1,MATCH(H$1,貼り付け2!$1:$1,0)-1)-1),"")</f>
        <v/>
      </c>
      <c r="J136" t="str">
        <f ca="1">IFERROR(OFFSET(貼り付け2!$A$1,$A136-1,OFFSET(貼り付け2!$A$1,ROW()-1,MATCH(J$1,貼り付け2!$1:$1,0)-1)-1),"")</f>
        <v/>
      </c>
      <c r="M136" t="str">
        <f ca="1">IFERROR(OFFSET(貼り付け2!$A$1,まとめ!$B136-1,OFFSET(貼り付け2!$A$1,ROW()-1,MATCH(M$1,貼り付け2!$1:$1,0)-1)-1),"")</f>
        <v/>
      </c>
      <c r="O136" t="str">
        <f ca="1">IFERROR(OFFSET(貼り付け2!$A$1,$A136-1,OFFSET(貼り付け2!$A$1,ROW()-1,MATCH(O$1,貼り付け2!$1:$1,0)-1)-1),"")</f>
        <v/>
      </c>
      <c r="R136" t="str">
        <f ca="1">IFERROR(OFFSET(貼り付け2!$A$1,まとめ!$B136-1,OFFSET(貼り付け2!$A$1,ROW()-1,MATCH(R$1,貼り付け2!$1:$1,0)-1)-1),"")</f>
        <v/>
      </c>
      <c r="T136" t="str">
        <f ca="1">IFERROR(OFFSET(貼り付け2!$A$1,$A136-1,OFFSET(貼り付け2!$A$1,ROW()-1,MATCH(T$1,貼り付け2!$1:$1,0)-1)-1),"")</f>
        <v/>
      </c>
      <c r="W136" t="str">
        <f ca="1">IFERROR(OFFSET(貼り付け2!$A$1,まとめ!$B136-1,OFFSET(貼り付け2!$A$1,ROW()-1,MATCH(W$1,貼り付け2!$1:$1,0)-1)-1),"")</f>
        <v/>
      </c>
    </row>
    <row r="137" spans="1:23" x14ac:dyDescent="0.45">
      <c r="A137" t="str">
        <f>貼り付け2!S137</f>
        <v/>
      </c>
      <c r="B137" t="str">
        <f>貼り付け2!R137</f>
        <v/>
      </c>
      <c r="E137" t="str">
        <f ca="1">IFERROR(OFFSET(貼り付け2!$A$1,$A137-1,OFFSET(貼り付け2!$A$1,ROW()-1,MATCH(E$1,貼り付け2!$1:$1,0)-1)-1),"")</f>
        <v/>
      </c>
      <c r="H137" t="str">
        <f ca="1">IFERROR(OFFSET(貼り付け2!$A$1,まとめ!$B137-1,OFFSET(貼り付け2!$A$1,ROW()-1,MATCH(H$1,貼り付け2!$1:$1,0)-1)-1),"")</f>
        <v/>
      </c>
      <c r="J137" t="str">
        <f ca="1">IFERROR(OFFSET(貼り付け2!$A$1,$A137-1,OFFSET(貼り付け2!$A$1,ROW()-1,MATCH(J$1,貼り付け2!$1:$1,0)-1)-1),"")</f>
        <v/>
      </c>
      <c r="M137" t="str">
        <f ca="1">IFERROR(OFFSET(貼り付け2!$A$1,まとめ!$B137-1,OFFSET(貼り付け2!$A$1,ROW()-1,MATCH(M$1,貼り付け2!$1:$1,0)-1)-1),"")</f>
        <v/>
      </c>
      <c r="O137" t="str">
        <f ca="1">IFERROR(OFFSET(貼り付け2!$A$1,$A137-1,OFFSET(貼り付け2!$A$1,ROW()-1,MATCH(O$1,貼り付け2!$1:$1,0)-1)-1),"")</f>
        <v/>
      </c>
      <c r="R137" t="str">
        <f ca="1">IFERROR(OFFSET(貼り付け2!$A$1,まとめ!$B137-1,OFFSET(貼り付け2!$A$1,ROW()-1,MATCH(R$1,貼り付け2!$1:$1,0)-1)-1),"")</f>
        <v/>
      </c>
      <c r="T137" t="str">
        <f ca="1">IFERROR(OFFSET(貼り付け2!$A$1,$A137-1,OFFSET(貼り付け2!$A$1,ROW()-1,MATCH(T$1,貼り付け2!$1:$1,0)-1)-1),"")</f>
        <v/>
      </c>
      <c r="W137" t="str">
        <f ca="1">IFERROR(OFFSET(貼り付け2!$A$1,まとめ!$B137-1,OFFSET(貼り付け2!$A$1,ROW()-1,MATCH(W$1,貼り付け2!$1:$1,0)-1)-1),"")</f>
        <v/>
      </c>
    </row>
    <row r="138" spans="1:23" x14ac:dyDescent="0.45">
      <c r="A138" t="str">
        <f>貼り付け2!S138</f>
        <v/>
      </c>
      <c r="B138" t="str">
        <f>貼り付け2!R138</f>
        <v/>
      </c>
      <c r="E138" t="str">
        <f ca="1">IFERROR(OFFSET(貼り付け2!$A$1,$A138-1,OFFSET(貼り付け2!$A$1,ROW()-1,MATCH(E$1,貼り付け2!$1:$1,0)-1)-1),"")</f>
        <v/>
      </c>
      <c r="H138" t="str">
        <f ca="1">IFERROR(OFFSET(貼り付け2!$A$1,まとめ!$B138-1,OFFSET(貼り付け2!$A$1,ROW()-1,MATCH(H$1,貼り付け2!$1:$1,0)-1)-1),"")</f>
        <v/>
      </c>
      <c r="J138" t="str">
        <f ca="1">IFERROR(OFFSET(貼り付け2!$A$1,$A138-1,OFFSET(貼り付け2!$A$1,ROW()-1,MATCH(J$1,貼り付け2!$1:$1,0)-1)-1),"")</f>
        <v/>
      </c>
      <c r="M138" t="str">
        <f ca="1">IFERROR(OFFSET(貼り付け2!$A$1,まとめ!$B138-1,OFFSET(貼り付け2!$A$1,ROW()-1,MATCH(M$1,貼り付け2!$1:$1,0)-1)-1),"")</f>
        <v/>
      </c>
      <c r="O138" t="str">
        <f ca="1">IFERROR(OFFSET(貼り付け2!$A$1,$A138-1,OFFSET(貼り付け2!$A$1,ROW()-1,MATCH(O$1,貼り付け2!$1:$1,0)-1)-1),"")</f>
        <v/>
      </c>
      <c r="R138" t="str">
        <f ca="1">IFERROR(OFFSET(貼り付け2!$A$1,まとめ!$B138-1,OFFSET(貼り付け2!$A$1,ROW()-1,MATCH(R$1,貼り付け2!$1:$1,0)-1)-1),"")</f>
        <v/>
      </c>
      <c r="T138" t="str">
        <f ca="1">IFERROR(OFFSET(貼り付け2!$A$1,$A138-1,OFFSET(貼り付け2!$A$1,ROW()-1,MATCH(T$1,貼り付け2!$1:$1,0)-1)-1),"")</f>
        <v/>
      </c>
      <c r="W138" t="str">
        <f ca="1">IFERROR(OFFSET(貼り付け2!$A$1,まとめ!$B138-1,OFFSET(貼り付け2!$A$1,ROW()-1,MATCH(W$1,貼り付け2!$1:$1,0)-1)-1),"")</f>
        <v/>
      </c>
    </row>
    <row r="139" spans="1:23" x14ac:dyDescent="0.45">
      <c r="A139" t="str">
        <f>貼り付け2!S139</f>
        <v/>
      </c>
      <c r="B139" t="str">
        <f>貼り付け2!R139</f>
        <v/>
      </c>
      <c r="E139" t="str">
        <f ca="1">IFERROR(OFFSET(貼り付け2!$A$1,$A139-1,OFFSET(貼り付け2!$A$1,ROW()-1,MATCH(E$1,貼り付け2!$1:$1,0)-1)-1),"")</f>
        <v/>
      </c>
      <c r="H139" t="str">
        <f ca="1">IFERROR(OFFSET(貼り付け2!$A$1,まとめ!$B139-1,OFFSET(貼り付け2!$A$1,ROW()-1,MATCH(H$1,貼り付け2!$1:$1,0)-1)-1),"")</f>
        <v/>
      </c>
      <c r="J139" t="str">
        <f ca="1">IFERROR(OFFSET(貼り付け2!$A$1,$A139-1,OFFSET(貼り付け2!$A$1,ROW()-1,MATCH(J$1,貼り付け2!$1:$1,0)-1)-1),"")</f>
        <v/>
      </c>
      <c r="M139" t="str">
        <f ca="1">IFERROR(OFFSET(貼り付け2!$A$1,まとめ!$B139-1,OFFSET(貼り付け2!$A$1,ROW()-1,MATCH(M$1,貼り付け2!$1:$1,0)-1)-1),"")</f>
        <v/>
      </c>
      <c r="O139" t="str">
        <f ca="1">IFERROR(OFFSET(貼り付け2!$A$1,$A139-1,OFFSET(貼り付け2!$A$1,ROW()-1,MATCH(O$1,貼り付け2!$1:$1,0)-1)-1),"")</f>
        <v/>
      </c>
      <c r="R139" t="str">
        <f ca="1">IFERROR(OFFSET(貼り付け2!$A$1,まとめ!$B139-1,OFFSET(貼り付け2!$A$1,ROW()-1,MATCH(R$1,貼り付け2!$1:$1,0)-1)-1),"")</f>
        <v/>
      </c>
      <c r="T139" t="str">
        <f ca="1">IFERROR(OFFSET(貼り付け2!$A$1,$A139-1,OFFSET(貼り付け2!$A$1,ROW()-1,MATCH(T$1,貼り付け2!$1:$1,0)-1)-1),"")</f>
        <v/>
      </c>
      <c r="W139" t="str">
        <f ca="1">IFERROR(OFFSET(貼り付け2!$A$1,まとめ!$B139-1,OFFSET(貼り付け2!$A$1,ROW()-1,MATCH(W$1,貼り付け2!$1:$1,0)-1)-1),"")</f>
        <v/>
      </c>
    </row>
    <row r="140" spans="1:23" x14ac:dyDescent="0.45">
      <c r="A140" t="str">
        <f>貼り付け2!S140</f>
        <v/>
      </c>
      <c r="B140" t="str">
        <f>貼り付け2!R140</f>
        <v/>
      </c>
      <c r="E140" t="str">
        <f ca="1">IFERROR(OFFSET(貼り付け2!$A$1,$A140-1,OFFSET(貼り付け2!$A$1,ROW()-1,MATCH(E$1,貼り付け2!$1:$1,0)-1)-1),"")</f>
        <v/>
      </c>
      <c r="H140" t="str">
        <f ca="1">IFERROR(OFFSET(貼り付け2!$A$1,まとめ!$B140-1,OFFSET(貼り付け2!$A$1,ROW()-1,MATCH(H$1,貼り付け2!$1:$1,0)-1)-1),"")</f>
        <v/>
      </c>
      <c r="J140" t="str">
        <f ca="1">IFERROR(OFFSET(貼り付け2!$A$1,$A140-1,OFFSET(貼り付け2!$A$1,ROW()-1,MATCH(J$1,貼り付け2!$1:$1,0)-1)-1),"")</f>
        <v/>
      </c>
      <c r="M140" t="str">
        <f ca="1">IFERROR(OFFSET(貼り付け2!$A$1,まとめ!$B140-1,OFFSET(貼り付け2!$A$1,ROW()-1,MATCH(M$1,貼り付け2!$1:$1,0)-1)-1),"")</f>
        <v/>
      </c>
      <c r="O140" t="str">
        <f ca="1">IFERROR(OFFSET(貼り付け2!$A$1,$A140-1,OFFSET(貼り付け2!$A$1,ROW()-1,MATCH(O$1,貼り付け2!$1:$1,0)-1)-1),"")</f>
        <v/>
      </c>
      <c r="R140" t="str">
        <f ca="1">IFERROR(OFFSET(貼り付け2!$A$1,まとめ!$B140-1,OFFSET(貼り付け2!$A$1,ROW()-1,MATCH(R$1,貼り付け2!$1:$1,0)-1)-1),"")</f>
        <v/>
      </c>
      <c r="T140" t="str">
        <f ca="1">IFERROR(OFFSET(貼り付け2!$A$1,$A140-1,OFFSET(貼り付け2!$A$1,ROW()-1,MATCH(T$1,貼り付け2!$1:$1,0)-1)-1),"")</f>
        <v/>
      </c>
      <c r="W140" t="str">
        <f ca="1">IFERROR(OFFSET(貼り付け2!$A$1,まとめ!$B140-1,OFFSET(貼り付け2!$A$1,ROW()-1,MATCH(W$1,貼り付け2!$1:$1,0)-1)-1),"")</f>
        <v/>
      </c>
    </row>
    <row r="141" spans="1:23" x14ac:dyDescent="0.45">
      <c r="A141" t="str">
        <f>貼り付け2!S141</f>
        <v/>
      </c>
      <c r="B141" t="str">
        <f>貼り付け2!R141</f>
        <v/>
      </c>
      <c r="E141" t="str">
        <f ca="1">IFERROR(OFFSET(貼り付け2!$A$1,$A141-1,OFFSET(貼り付け2!$A$1,ROW()-1,MATCH(E$1,貼り付け2!$1:$1,0)-1)-1),"")</f>
        <v/>
      </c>
      <c r="H141" t="str">
        <f ca="1">IFERROR(OFFSET(貼り付け2!$A$1,まとめ!$B141-1,OFFSET(貼り付け2!$A$1,ROW()-1,MATCH(H$1,貼り付け2!$1:$1,0)-1)-1),"")</f>
        <v/>
      </c>
      <c r="J141" t="str">
        <f ca="1">IFERROR(OFFSET(貼り付け2!$A$1,$A141-1,OFFSET(貼り付け2!$A$1,ROW()-1,MATCH(J$1,貼り付け2!$1:$1,0)-1)-1),"")</f>
        <v/>
      </c>
      <c r="M141" t="str">
        <f ca="1">IFERROR(OFFSET(貼り付け2!$A$1,まとめ!$B141-1,OFFSET(貼り付け2!$A$1,ROW()-1,MATCH(M$1,貼り付け2!$1:$1,0)-1)-1),"")</f>
        <v/>
      </c>
      <c r="O141" t="str">
        <f ca="1">IFERROR(OFFSET(貼り付け2!$A$1,$A141-1,OFFSET(貼り付け2!$A$1,ROW()-1,MATCH(O$1,貼り付け2!$1:$1,0)-1)-1),"")</f>
        <v/>
      </c>
      <c r="R141" t="str">
        <f ca="1">IFERROR(OFFSET(貼り付け2!$A$1,まとめ!$B141-1,OFFSET(貼り付け2!$A$1,ROW()-1,MATCH(R$1,貼り付け2!$1:$1,0)-1)-1),"")</f>
        <v/>
      </c>
      <c r="T141" t="str">
        <f ca="1">IFERROR(OFFSET(貼り付け2!$A$1,$A141-1,OFFSET(貼り付け2!$A$1,ROW()-1,MATCH(T$1,貼り付け2!$1:$1,0)-1)-1),"")</f>
        <v/>
      </c>
      <c r="W141" t="str">
        <f ca="1">IFERROR(OFFSET(貼り付け2!$A$1,まとめ!$B141-1,OFFSET(貼り付け2!$A$1,ROW()-1,MATCH(W$1,貼り付け2!$1:$1,0)-1)-1),"")</f>
        <v/>
      </c>
    </row>
    <row r="142" spans="1:23" x14ac:dyDescent="0.45">
      <c r="A142" t="str">
        <f>貼り付け2!S142</f>
        <v/>
      </c>
      <c r="B142" t="str">
        <f>貼り付け2!R142</f>
        <v/>
      </c>
      <c r="E142" t="str">
        <f ca="1">IFERROR(OFFSET(貼り付け2!$A$1,$A142-1,OFFSET(貼り付け2!$A$1,ROW()-1,MATCH(E$1,貼り付け2!$1:$1,0)-1)-1),"")</f>
        <v/>
      </c>
      <c r="H142" t="str">
        <f ca="1">IFERROR(OFFSET(貼り付け2!$A$1,まとめ!$B142-1,OFFSET(貼り付け2!$A$1,ROW()-1,MATCH(H$1,貼り付け2!$1:$1,0)-1)-1),"")</f>
        <v/>
      </c>
      <c r="J142" t="str">
        <f ca="1">IFERROR(OFFSET(貼り付け2!$A$1,$A142-1,OFFSET(貼り付け2!$A$1,ROW()-1,MATCH(J$1,貼り付け2!$1:$1,0)-1)-1),"")</f>
        <v/>
      </c>
      <c r="M142" t="str">
        <f ca="1">IFERROR(OFFSET(貼り付け2!$A$1,まとめ!$B142-1,OFFSET(貼り付け2!$A$1,ROW()-1,MATCH(M$1,貼り付け2!$1:$1,0)-1)-1),"")</f>
        <v/>
      </c>
      <c r="O142" t="str">
        <f ca="1">IFERROR(OFFSET(貼り付け2!$A$1,$A142-1,OFFSET(貼り付け2!$A$1,ROW()-1,MATCH(O$1,貼り付け2!$1:$1,0)-1)-1),"")</f>
        <v/>
      </c>
      <c r="R142" t="str">
        <f ca="1">IFERROR(OFFSET(貼り付け2!$A$1,まとめ!$B142-1,OFFSET(貼り付け2!$A$1,ROW()-1,MATCH(R$1,貼り付け2!$1:$1,0)-1)-1),"")</f>
        <v/>
      </c>
      <c r="T142" t="str">
        <f ca="1">IFERROR(OFFSET(貼り付け2!$A$1,$A142-1,OFFSET(貼り付け2!$A$1,ROW()-1,MATCH(T$1,貼り付け2!$1:$1,0)-1)-1),"")</f>
        <v/>
      </c>
      <c r="W142" t="str">
        <f ca="1">IFERROR(OFFSET(貼り付け2!$A$1,まとめ!$B142-1,OFFSET(貼り付け2!$A$1,ROW()-1,MATCH(W$1,貼り付け2!$1:$1,0)-1)-1),"")</f>
        <v/>
      </c>
    </row>
    <row r="143" spans="1:23" x14ac:dyDescent="0.45">
      <c r="A143" t="str">
        <f>貼り付け2!S143</f>
        <v/>
      </c>
      <c r="B143" t="str">
        <f>貼り付け2!R143</f>
        <v/>
      </c>
      <c r="E143" t="str">
        <f ca="1">IFERROR(OFFSET(貼り付け2!$A$1,$A143-1,OFFSET(貼り付け2!$A$1,ROW()-1,MATCH(E$1,貼り付け2!$1:$1,0)-1)-1),"")</f>
        <v/>
      </c>
      <c r="H143" t="str">
        <f ca="1">IFERROR(OFFSET(貼り付け2!$A$1,まとめ!$B143-1,OFFSET(貼り付け2!$A$1,ROW()-1,MATCH(H$1,貼り付け2!$1:$1,0)-1)-1),"")</f>
        <v/>
      </c>
      <c r="J143" t="str">
        <f ca="1">IFERROR(OFFSET(貼り付け2!$A$1,$A143-1,OFFSET(貼り付け2!$A$1,ROW()-1,MATCH(J$1,貼り付け2!$1:$1,0)-1)-1),"")</f>
        <v/>
      </c>
      <c r="M143" t="str">
        <f ca="1">IFERROR(OFFSET(貼り付け2!$A$1,まとめ!$B143-1,OFFSET(貼り付け2!$A$1,ROW()-1,MATCH(M$1,貼り付け2!$1:$1,0)-1)-1),"")</f>
        <v/>
      </c>
      <c r="O143" t="str">
        <f ca="1">IFERROR(OFFSET(貼り付け2!$A$1,$A143-1,OFFSET(貼り付け2!$A$1,ROW()-1,MATCH(O$1,貼り付け2!$1:$1,0)-1)-1),"")</f>
        <v/>
      </c>
      <c r="R143" t="str">
        <f ca="1">IFERROR(OFFSET(貼り付け2!$A$1,まとめ!$B143-1,OFFSET(貼り付け2!$A$1,ROW()-1,MATCH(R$1,貼り付け2!$1:$1,0)-1)-1),"")</f>
        <v/>
      </c>
      <c r="T143" t="str">
        <f ca="1">IFERROR(OFFSET(貼り付け2!$A$1,$A143-1,OFFSET(貼り付け2!$A$1,ROW()-1,MATCH(T$1,貼り付け2!$1:$1,0)-1)-1),"")</f>
        <v/>
      </c>
      <c r="W143" t="str">
        <f ca="1">IFERROR(OFFSET(貼り付け2!$A$1,まとめ!$B143-1,OFFSET(貼り付け2!$A$1,ROW()-1,MATCH(W$1,貼り付け2!$1:$1,0)-1)-1),"")</f>
        <v/>
      </c>
    </row>
    <row r="144" spans="1:23" x14ac:dyDescent="0.45">
      <c r="A144" t="str">
        <f>貼り付け2!S144</f>
        <v/>
      </c>
      <c r="B144" t="str">
        <f>貼り付け2!R144</f>
        <v/>
      </c>
      <c r="E144" t="str">
        <f ca="1">IFERROR(OFFSET(貼り付け2!$A$1,$A144-1,OFFSET(貼り付け2!$A$1,ROW()-1,MATCH(E$1,貼り付け2!$1:$1,0)-1)-1),"")</f>
        <v/>
      </c>
      <c r="H144" t="str">
        <f ca="1">IFERROR(OFFSET(貼り付け2!$A$1,まとめ!$B144-1,OFFSET(貼り付け2!$A$1,ROW()-1,MATCH(H$1,貼り付け2!$1:$1,0)-1)-1),"")</f>
        <v/>
      </c>
      <c r="J144" t="str">
        <f ca="1">IFERROR(OFFSET(貼り付け2!$A$1,$A144-1,OFFSET(貼り付け2!$A$1,ROW()-1,MATCH(J$1,貼り付け2!$1:$1,0)-1)-1),"")</f>
        <v/>
      </c>
      <c r="M144" t="str">
        <f ca="1">IFERROR(OFFSET(貼り付け2!$A$1,まとめ!$B144-1,OFFSET(貼り付け2!$A$1,ROW()-1,MATCH(M$1,貼り付け2!$1:$1,0)-1)-1),"")</f>
        <v/>
      </c>
      <c r="O144" t="str">
        <f ca="1">IFERROR(OFFSET(貼り付け2!$A$1,$A144-1,OFFSET(貼り付け2!$A$1,ROW()-1,MATCH(O$1,貼り付け2!$1:$1,0)-1)-1),"")</f>
        <v/>
      </c>
      <c r="R144" t="str">
        <f ca="1">IFERROR(OFFSET(貼り付け2!$A$1,まとめ!$B144-1,OFFSET(貼り付け2!$A$1,ROW()-1,MATCH(R$1,貼り付け2!$1:$1,0)-1)-1),"")</f>
        <v/>
      </c>
      <c r="T144" t="str">
        <f ca="1">IFERROR(OFFSET(貼り付け2!$A$1,$A144-1,OFFSET(貼り付け2!$A$1,ROW()-1,MATCH(T$1,貼り付け2!$1:$1,0)-1)-1),"")</f>
        <v/>
      </c>
      <c r="W144" t="str">
        <f ca="1">IFERROR(OFFSET(貼り付け2!$A$1,まとめ!$B144-1,OFFSET(貼り付け2!$A$1,ROW()-1,MATCH(W$1,貼り付け2!$1:$1,0)-1)-1),"")</f>
        <v/>
      </c>
    </row>
    <row r="145" spans="1:23" x14ac:dyDescent="0.45">
      <c r="A145" t="str">
        <f>貼り付け2!S145</f>
        <v/>
      </c>
      <c r="B145" t="str">
        <f>貼り付け2!R145</f>
        <v/>
      </c>
      <c r="E145" t="str">
        <f ca="1">IFERROR(OFFSET(貼り付け2!$A$1,$A145-1,OFFSET(貼り付け2!$A$1,ROW()-1,MATCH(E$1,貼り付け2!$1:$1,0)-1)-1),"")</f>
        <v/>
      </c>
      <c r="H145" t="str">
        <f ca="1">IFERROR(OFFSET(貼り付け2!$A$1,まとめ!$B145-1,OFFSET(貼り付け2!$A$1,ROW()-1,MATCH(H$1,貼り付け2!$1:$1,0)-1)-1),"")</f>
        <v/>
      </c>
      <c r="J145" t="str">
        <f ca="1">IFERROR(OFFSET(貼り付け2!$A$1,$A145-1,OFFSET(貼り付け2!$A$1,ROW()-1,MATCH(J$1,貼り付け2!$1:$1,0)-1)-1),"")</f>
        <v/>
      </c>
      <c r="M145" t="str">
        <f ca="1">IFERROR(OFFSET(貼り付け2!$A$1,まとめ!$B145-1,OFFSET(貼り付け2!$A$1,ROW()-1,MATCH(M$1,貼り付け2!$1:$1,0)-1)-1),"")</f>
        <v/>
      </c>
      <c r="O145" t="str">
        <f ca="1">IFERROR(OFFSET(貼り付け2!$A$1,$A145-1,OFFSET(貼り付け2!$A$1,ROW()-1,MATCH(O$1,貼り付け2!$1:$1,0)-1)-1),"")</f>
        <v/>
      </c>
      <c r="R145" t="str">
        <f ca="1">IFERROR(OFFSET(貼り付け2!$A$1,まとめ!$B145-1,OFFSET(貼り付け2!$A$1,ROW()-1,MATCH(R$1,貼り付け2!$1:$1,0)-1)-1),"")</f>
        <v/>
      </c>
      <c r="T145" t="str">
        <f ca="1">IFERROR(OFFSET(貼り付け2!$A$1,$A145-1,OFFSET(貼り付け2!$A$1,ROW()-1,MATCH(T$1,貼り付け2!$1:$1,0)-1)-1),"")</f>
        <v/>
      </c>
      <c r="W145" t="str">
        <f ca="1">IFERROR(OFFSET(貼り付け2!$A$1,まとめ!$B145-1,OFFSET(貼り付け2!$A$1,ROW()-1,MATCH(W$1,貼り付け2!$1:$1,0)-1)-1),"")</f>
        <v/>
      </c>
    </row>
    <row r="146" spans="1:23" x14ac:dyDescent="0.45">
      <c r="A146" t="str">
        <f>貼り付け2!S146</f>
        <v/>
      </c>
      <c r="B146" t="str">
        <f>貼り付け2!R146</f>
        <v/>
      </c>
      <c r="E146" t="str">
        <f ca="1">IFERROR(OFFSET(貼り付け2!$A$1,$A146-1,OFFSET(貼り付け2!$A$1,ROW()-1,MATCH(E$1,貼り付け2!$1:$1,0)-1)-1),"")</f>
        <v/>
      </c>
      <c r="H146" t="str">
        <f ca="1">IFERROR(OFFSET(貼り付け2!$A$1,まとめ!$B146-1,OFFSET(貼り付け2!$A$1,ROW()-1,MATCH(H$1,貼り付け2!$1:$1,0)-1)-1),"")</f>
        <v/>
      </c>
      <c r="J146" t="str">
        <f ca="1">IFERROR(OFFSET(貼り付け2!$A$1,$A146-1,OFFSET(貼り付け2!$A$1,ROW()-1,MATCH(J$1,貼り付け2!$1:$1,0)-1)-1),"")</f>
        <v/>
      </c>
      <c r="M146" t="str">
        <f ca="1">IFERROR(OFFSET(貼り付け2!$A$1,まとめ!$B146-1,OFFSET(貼り付け2!$A$1,ROW()-1,MATCH(M$1,貼り付け2!$1:$1,0)-1)-1),"")</f>
        <v/>
      </c>
      <c r="O146" t="str">
        <f ca="1">IFERROR(OFFSET(貼り付け2!$A$1,$A146-1,OFFSET(貼り付け2!$A$1,ROW()-1,MATCH(O$1,貼り付け2!$1:$1,0)-1)-1),"")</f>
        <v/>
      </c>
      <c r="R146" t="str">
        <f ca="1">IFERROR(OFFSET(貼り付け2!$A$1,まとめ!$B146-1,OFFSET(貼り付け2!$A$1,ROW()-1,MATCH(R$1,貼り付け2!$1:$1,0)-1)-1),"")</f>
        <v/>
      </c>
      <c r="T146" t="str">
        <f ca="1">IFERROR(OFFSET(貼り付け2!$A$1,$A146-1,OFFSET(貼り付け2!$A$1,ROW()-1,MATCH(T$1,貼り付け2!$1:$1,0)-1)-1),"")</f>
        <v/>
      </c>
      <c r="W146" t="str">
        <f ca="1">IFERROR(OFFSET(貼り付け2!$A$1,まとめ!$B146-1,OFFSET(貼り付け2!$A$1,ROW()-1,MATCH(W$1,貼り付け2!$1:$1,0)-1)-1),"")</f>
        <v/>
      </c>
    </row>
    <row r="147" spans="1:23" x14ac:dyDescent="0.45">
      <c r="A147" t="str">
        <f>貼り付け2!S147</f>
        <v/>
      </c>
      <c r="B147" t="str">
        <f>貼り付け2!R147</f>
        <v/>
      </c>
      <c r="E147" t="str">
        <f ca="1">IFERROR(OFFSET(貼り付け2!$A$1,$A147-1,OFFSET(貼り付け2!$A$1,ROW()-1,MATCH(E$1,貼り付け2!$1:$1,0)-1)-1),"")</f>
        <v/>
      </c>
      <c r="H147" t="str">
        <f ca="1">IFERROR(OFFSET(貼り付け2!$A$1,まとめ!$B147-1,OFFSET(貼り付け2!$A$1,ROW()-1,MATCH(H$1,貼り付け2!$1:$1,0)-1)-1),"")</f>
        <v/>
      </c>
      <c r="J147" t="str">
        <f ca="1">IFERROR(OFFSET(貼り付け2!$A$1,$A147-1,OFFSET(貼り付け2!$A$1,ROW()-1,MATCH(J$1,貼り付け2!$1:$1,0)-1)-1),"")</f>
        <v/>
      </c>
      <c r="M147" t="str">
        <f ca="1">IFERROR(OFFSET(貼り付け2!$A$1,まとめ!$B147-1,OFFSET(貼り付け2!$A$1,ROW()-1,MATCH(M$1,貼り付け2!$1:$1,0)-1)-1),"")</f>
        <v/>
      </c>
      <c r="O147" t="str">
        <f ca="1">IFERROR(OFFSET(貼り付け2!$A$1,$A147-1,OFFSET(貼り付け2!$A$1,ROW()-1,MATCH(O$1,貼り付け2!$1:$1,0)-1)-1),"")</f>
        <v/>
      </c>
      <c r="R147" t="str">
        <f ca="1">IFERROR(OFFSET(貼り付け2!$A$1,まとめ!$B147-1,OFFSET(貼り付け2!$A$1,ROW()-1,MATCH(R$1,貼り付け2!$1:$1,0)-1)-1),"")</f>
        <v/>
      </c>
      <c r="T147" t="str">
        <f ca="1">IFERROR(OFFSET(貼り付け2!$A$1,$A147-1,OFFSET(貼り付け2!$A$1,ROW()-1,MATCH(T$1,貼り付け2!$1:$1,0)-1)-1),"")</f>
        <v/>
      </c>
      <c r="W147" t="str">
        <f ca="1">IFERROR(OFFSET(貼り付け2!$A$1,まとめ!$B147-1,OFFSET(貼り付け2!$A$1,ROW()-1,MATCH(W$1,貼り付け2!$1:$1,0)-1)-1),"")</f>
        <v/>
      </c>
    </row>
    <row r="148" spans="1:23" x14ac:dyDescent="0.45">
      <c r="A148" t="str">
        <f>貼り付け2!S148</f>
        <v/>
      </c>
      <c r="B148" t="str">
        <f>貼り付け2!R148</f>
        <v/>
      </c>
      <c r="E148" t="str">
        <f ca="1">IFERROR(OFFSET(貼り付け2!$A$1,$A148-1,OFFSET(貼り付け2!$A$1,ROW()-1,MATCH(E$1,貼り付け2!$1:$1,0)-1)-1),"")</f>
        <v/>
      </c>
      <c r="H148" t="str">
        <f ca="1">IFERROR(OFFSET(貼り付け2!$A$1,まとめ!$B148-1,OFFSET(貼り付け2!$A$1,ROW()-1,MATCH(H$1,貼り付け2!$1:$1,0)-1)-1),"")</f>
        <v/>
      </c>
      <c r="J148" t="str">
        <f ca="1">IFERROR(OFFSET(貼り付け2!$A$1,$A148-1,OFFSET(貼り付け2!$A$1,ROW()-1,MATCH(J$1,貼り付け2!$1:$1,0)-1)-1),"")</f>
        <v/>
      </c>
      <c r="M148" t="str">
        <f ca="1">IFERROR(OFFSET(貼り付け2!$A$1,まとめ!$B148-1,OFFSET(貼り付け2!$A$1,ROW()-1,MATCH(M$1,貼り付け2!$1:$1,0)-1)-1),"")</f>
        <v/>
      </c>
      <c r="O148" t="str">
        <f ca="1">IFERROR(OFFSET(貼り付け2!$A$1,$A148-1,OFFSET(貼り付け2!$A$1,ROW()-1,MATCH(O$1,貼り付け2!$1:$1,0)-1)-1),"")</f>
        <v/>
      </c>
      <c r="R148" t="str">
        <f ca="1">IFERROR(OFFSET(貼り付け2!$A$1,まとめ!$B148-1,OFFSET(貼り付け2!$A$1,ROW()-1,MATCH(R$1,貼り付け2!$1:$1,0)-1)-1),"")</f>
        <v/>
      </c>
      <c r="T148" t="str">
        <f ca="1">IFERROR(OFFSET(貼り付け2!$A$1,$A148-1,OFFSET(貼り付け2!$A$1,ROW()-1,MATCH(T$1,貼り付け2!$1:$1,0)-1)-1),"")</f>
        <v/>
      </c>
      <c r="W148" t="str">
        <f ca="1">IFERROR(OFFSET(貼り付け2!$A$1,まとめ!$B148-1,OFFSET(貼り付け2!$A$1,ROW()-1,MATCH(W$1,貼り付け2!$1:$1,0)-1)-1),"")</f>
        <v/>
      </c>
    </row>
    <row r="149" spans="1:23" x14ac:dyDescent="0.45">
      <c r="A149" t="str">
        <f>貼り付け2!S149</f>
        <v/>
      </c>
      <c r="B149" t="str">
        <f>貼り付け2!R149</f>
        <v/>
      </c>
      <c r="E149" t="str">
        <f ca="1">IFERROR(OFFSET(貼り付け2!$A$1,$A149-1,OFFSET(貼り付け2!$A$1,ROW()-1,MATCH(E$1,貼り付け2!$1:$1,0)-1)-1),"")</f>
        <v/>
      </c>
      <c r="H149" t="str">
        <f ca="1">IFERROR(OFFSET(貼り付け2!$A$1,まとめ!$B149-1,OFFSET(貼り付け2!$A$1,ROW()-1,MATCH(H$1,貼り付け2!$1:$1,0)-1)-1),"")</f>
        <v/>
      </c>
      <c r="J149" t="str">
        <f ca="1">IFERROR(OFFSET(貼り付け2!$A$1,$A149-1,OFFSET(貼り付け2!$A$1,ROW()-1,MATCH(J$1,貼り付け2!$1:$1,0)-1)-1),"")</f>
        <v/>
      </c>
      <c r="M149" t="str">
        <f ca="1">IFERROR(OFFSET(貼り付け2!$A$1,まとめ!$B149-1,OFFSET(貼り付け2!$A$1,ROW()-1,MATCH(M$1,貼り付け2!$1:$1,0)-1)-1),"")</f>
        <v/>
      </c>
      <c r="O149" t="str">
        <f ca="1">IFERROR(OFFSET(貼り付け2!$A$1,$A149-1,OFFSET(貼り付け2!$A$1,ROW()-1,MATCH(O$1,貼り付け2!$1:$1,0)-1)-1),"")</f>
        <v/>
      </c>
      <c r="R149" t="str">
        <f ca="1">IFERROR(OFFSET(貼り付け2!$A$1,まとめ!$B149-1,OFFSET(貼り付け2!$A$1,ROW()-1,MATCH(R$1,貼り付け2!$1:$1,0)-1)-1),"")</f>
        <v/>
      </c>
      <c r="T149" t="str">
        <f ca="1">IFERROR(OFFSET(貼り付け2!$A$1,$A149-1,OFFSET(貼り付け2!$A$1,ROW()-1,MATCH(T$1,貼り付け2!$1:$1,0)-1)-1),"")</f>
        <v/>
      </c>
      <c r="W149" t="str">
        <f ca="1">IFERROR(OFFSET(貼り付け2!$A$1,まとめ!$B149-1,OFFSET(貼り付け2!$A$1,ROW()-1,MATCH(W$1,貼り付け2!$1:$1,0)-1)-1),"")</f>
        <v/>
      </c>
    </row>
    <row r="150" spans="1:23" x14ac:dyDescent="0.45">
      <c r="A150" t="str">
        <f>貼り付け2!S150</f>
        <v/>
      </c>
      <c r="B150" t="str">
        <f>貼り付け2!R150</f>
        <v/>
      </c>
      <c r="E150" t="str">
        <f ca="1">IFERROR(OFFSET(貼り付け2!$A$1,$A150-1,OFFSET(貼り付け2!$A$1,ROW()-1,MATCH(E$1,貼り付け2!$1:$1,0)-1)-1),"")</f>
        <v/>
      </c>
      <c r="H150" t="str">
        <f ca="1">IFERROR(OFFSET(貼り付け2!$A$1,まとめ!$B150-1,OFFSET(貼り付け2!$A$1,ROW()-1,MATCH(H$1,貼り付け2!$1:$1,0)-1)-1),"")</f>
        <v/>
      </c>
      <c r="J150" t="str">
        <f ca="1">IFERROR(OFFSET(貼り付け2!$A$1,$A150-1,OFFSET(貼り付け2!$A$1,ROW()-1,MATCH(J$1,貼り付け2!$1:$1,0)-1)-1),"")</f>
        <v/>
      </c>
      <c r="M150" t="str">
        <f ca="1">IFERROR(OFFSET(貼り付け2!$A$1,まとめ!$B150-1,OFFSET(貼り付け2!$A$1,ROW()-1,MATCH(M$1,貼り付け2!$1:$1,0)-1)-1),"")</f>
        <v/>
      </c>
      <c r="O150" t="str">
        <f ca="1">IFERROR(OFFSET(貼り付け2!$A$1,$A150-1,OFFSET(貼り付け2!$A$1,ROW()-1,MATCH(O$1,貼り付け2!$1:$1,0)-1)-1),"")</f>
        <v/>
      </c>
      <c r="R150" t="str">
        <f ca="1">IFERROR(OFFSET(貼り付け2!$A$1,まとめ!$B150-1,OFFSET(貼り付け2!$A$1,ROW()-1,MATCH(R$1,貼り付け2!$1:$1,0)-1)-1),"")</f>
        <v/>
      </c>
      <c r="T150" t="str">
        <f ca="1">IFERROR(OFFSET(貼り付け2!$A$1,$A150-1,OFFSET(貼り付け2!$A$1,ROW()-1,MATCH(T$1,貼り付け2!$1:$1,0)-1)-1),"")</f>
        <v/>
      </c>
      <c r="W150" t="str">
        <f ca="1">IFERROR(OFFSET(貼り付け2!$A$1,まとめ!$B150-1,OFFSET(貼り付け2!$A$1,ROW()-1,MATCH(W$1,貼り付け2!$1:$1,0)-1)-1),"")</f>
        <v/>
      </c>
    </row>
    <row r="151" spans="1:23" x14ac:dyDescent="0.45">
      <c r="A151" t="str">
        <f>貼り付け2!S151</f>
        <v/>
      </c>
      <c r="B151" t="str">
        <f>貼り付け2!R151</f>
        <v/>
      </c>
      <c r="E151" t="str">
        <f ca="1">IFERROR(OFFSET(貼り付け2!$A$1,$A151-1,OFFSET(貼り付け2!$A$1,ROW()-1,MATCH(E$1,貼り付け2!$1:$1,0)-1)-1),"")</f>
        <v/>
      </c>
      <c r="H151" t="str">
        <f ca="1">IFERROR(OFFSET(貼り付け2!$A$1,まとめ!$B151-1,OFFSET(貼り付け2!$A$1,ROW()-1,MATCH(H$1,貼り付け2!$1:$1,0)-1)-1),"")</f>
        <v/>
      </c>
      <c r="J151" t="str">
        <f ca="1">IFERROR(OFFSET(貼り付け2!$A$1,$A151-1,OFFSET(貼り付け2!$A$1,ROW()-1,MATCH(J$1,貼り付け2!$1:$1,0)-1)-1),"")</f>
        <v/>
      </c>
      <c r="M151" t="str">
        <f ca="1">IFERROR(OFFSET(貼り付け2!$A$1,まとめ!$B151-1,OFFSET(貼り付け2!$A$1,ROW()-1,MATCH(M$1,貼り付け2!$1:$1,0)-1)-1),"")</f>
        <v/>
      </c>
      <c r="O151" t="str">
        <f ca="1">IFERROR(OFFSET(貼り付け2!$A$1,$A151-1,OFFSET(貼り付け2!$A$1,ROW()-1,MATCH(O$1,貼り付け2!$1:$1,0)-1)-1),"")</f>
        <v/>
      </c>
      <c r="R151" t="str">
        <f ca="1">IFERROR(OFFSET(貼り付け2!$A$1,まとめ!$B151-1,OFFSET(貼り付け2!$A$1,ROW()-1,MATCH(R$1,貼り付け2!$1:$1,0)-1)-1),"")</f>
        <v/>
      </c>
      <c r="T151" t="str">
        <f ca="1">IFERROR(OFFSET(貼り付け2!$A$1,$A151-1,OFFSET(貼り付け2!$A$1,ROW()-1,MATCH(T$1,貼り付け2!$1:$1,0)-1)-1),"")</f>
        <v/>
      </c>
      <c r="W151" t="str">
        <f ca="1">IFERROR(OFFSET(貼り付け2!$A$1,まとめ!$B151-1,OFFSET(貼り付け2!$A$1,ROW()-1,MATCH(W$1,貼り付け2!$1:$1,0)-1)-1),"")</f>
        <v/>
      </c>
    </row>
    <row r="152" spans="1:23" x14ac:dyDescent="0.45">
      <c r="A152" t="str">
        <f>貼り付け2!S152</f>
        <v/>
      </c>
      <c r="B152" t="str">
        <f>貼り付け2!R152</f>
        <v/>
      </c>
      <c r="E152" t="str">
        <f ca="1">IFERROR(OFFSET(貼り付け2!$A$1,$A152-1,OFFSET(貼り付け2!$A$1,ROW()-1,MATCH(E$1,貼り付け2!$1:$1,0)-1)-1),"")</f>
        <v/>
      </c>
      <c r="H152" t="str">
        <f ca="1">IFERROR(OFFSET(貼り付け2!$A$1,まとめ!$B152-1,OFFSET(貼り付け2!$A$1,ROW()-1,MATCH(H$1,貼り付け2!$1:$1,0)-1)-1),"")</f>
        <v/>
      </c>
      <c r="J152" t="str">
        <f ca="1">IFERROR(OFFSET(貼り付け2!$A$1,$A152-1,OFFSET(貼り付け2!$A$1,ROW()-1,MATCH(J$1,貼り付け2!$1:$1,0)-1)-1),"")</f>
        <v/>
      </c>
      <c r="M152" t="str">
        <f ca="1">IFERROR(OFFSET(貼り付け2!$A$1,まとめ!$B152-1,OFFSET(貼り付け2!$A$1,ROW()-1,MATCH(M$1,貼り付け2!$1:$1,0)-1)-1),"")</f>
        <v/>
      </c>
      <c r="O152" t="str">
        <f ca="1">IFERROR(OFFSET(貼り付け2!$A$1,$A152-1,OFFSET(貼り付け2!$A$1,ROW()-1,MATCH(O$1,貼り付け2!$1:$1,0)-1)-1),"")</f>
        <v/>
      </c>
      <c r="R152" t="str">
        <f ca="1">IFERROR(OFFSET(貼り付け2!$A$1,まとめ!$B152-1,OFFSET(貼り付け2!$A$1,ROW()-1,MATCH(R$1,貼り付け2!$1:$1,0)-1)-1),"")</f>
        <v/>
      </c>
      <c r="T152" t="str">
        <f ca="1">IFERROR(OFFSET(貼り付け2!$A$1,$A152-1,OFFSET(貼り付け2!$A$1,ROW()-1,MATCH(T$1,貼り付け2!$1:$1,0)-1)-1),"")</f>
        <v/>
      </c>
      <c r="W152" t="str">
        <f ca="1">IFERROR(OFFSET(貼り付け2!$A$1,まとめ!$B152-1,OFFSET(貼り付け2!$A$1,ROW()-1,MATCH(W$1,貼り付け2!$1:$1,0)-1)-1),"")</f>
        <v/>
      </c>
    </row>
    <row r="153" spans="1:23" x14ac:dyDescent="0.45">
      <c r="A153" t="str">
        <f>貼り付け2!S153</f>
        <v/>
      </c>
      <c r="B153" t="str">
        <f>貼り付け2!R153</f>
        <v/>
      </c>
      <c r="E153" t="str">
        <f ca="1">IFERROR(OFFSET(貼り付け2!$A$1,$A153-1,OFFSET(貼り付け2!$A$1,ROW()-1,MATCH(E$1,貼り付け2!$1:$1,0)-1)-1),"")</f>
        <v/>
      </c>
      <c r="H153" t="str">
        <f ca="1">IFERROR(OFFSET(貼り付け2!$A$1,まとめ!$B153-1,OFFSET(貼り付け2!$A$1,ROW()-1,MATCH(H$1,貼り付け2!$1:$1,0)-1)-1),"")</f>
        <v/>
      </c>
      <c r="J153" t="str">
        <f ca="1">IFERROR(OFFSET(貼り付け2!$A$1,$A153-1,OFFSET(貼り付け2!$A$1,ROW()-1,MATCH(J$1,貼り付け2!$1:$1,0)-1)-1),"")</f>
        <v/>
      </c>
      <c r="M153" t="str">
        <f ca="1">IFERROR(OFFSET(貼り付け2!$A$1,まとめ!$B153-1,OFFSET(貼り付け2!$A$1,ROW()-1,MATCH(M$1,貼り付け2!$1:$1,0)-1)-1),"")</f>
        <v/>
      </c>
      <c r="O153" t="str">
        <f ca="1">IFERROR(OFFSET(貼り付け2!$A$1,$A153-1,OFFSET(貼り付け2!$A$1,ROW()-1,MATCH(O$1,貼り付け2!$1:$1,0)-1)-1),"")</f>
        <v/>
      </c>
      <c r="R153" t="str">
        <f ca="1">IFERROR(OFFSET(貼り付け2!$A$1,まとめ!$B153-1,OFFSET(貼り付け2!$A$1,ROW()-1,MATCH(R$1,貼り付け2!$1:$1,0)-1)-1),"")</f>
        <v/>
      </c>
      <c r="T153" t="str">
        <f ca="1">IFERROR(OFFSET(貼り付け2!$A$1,$A153-1,OFFSET(貼り付け2!$A$1,ROW()-1,MATCH(T$1,貼り付け2!$1:$1,0)-1)-1),"")</f>
        <v/>
      </c>
      <c r="W153" t="str">
        <f ca="1">IFERROR(OFFSET(貼り付け2!$A$1,まとめ!$B153-1,OFFSET(貼り付け2!$A$1,ROW()-1,MATCH(W$1,貼り付け2!$1:$1,0)-1)-1),"")</f>
        <v/>
      </c>
    </row>
    <row r="154" spans="1:23" x14ac:dyDescent="0.45">
      <c r="A154" t="str">
        <f>貼り付け2!S154</f>
        <v/>
      </c>
      <c r="B154" t="str">
        <f>貼り付け2!R154</f>
        <v/>
      </c>
      <c r="E154" t="str">
        <f ca="1">IFERROR(OFFSET(貼り付け2!$A$1,$A154-1,OFFSET(貼り付け2!$A$1,ROW()-1,MATCH(E$1,貼り付け2!$1:$1,0)-1)-1),"")</f>
        <v/>
      </c>
      <c r="H154" t="str">
        <f ca="1">IFERROR(OFFSET(貼り付け2!$A$1,まとめ!$B154-1,OFFSET(貼り付け2!$A$1,ROW()-1,MATCH(H$1,貼り付け2!$1:$1,0)-1)-1),"")</f>
        <v/>
      </c>
      <c r="J154" t="str">
        <f ca="1">IFERROR(OFFSET(貼り付け2!$A$1,$A154-1,OFFSET(貼り付け2!$A$1,ROW()-1,MATCH(J$1,貼り付け2!$1:$1,0)-1)-1),"")</f>
        <v/>
      </c>
      <c r="M154" t="str">
        <f ca="1">IFERROR(OFFSET(貼り付け2!$A$1,まとめ!$B154-1,OFFSET(貼り付け2!$A$1,ROW()-1,MATCH(M$1,貼り付け2!$1:$1,0)-1)-1),"")</f>
        <v/>
      </c>
      <c r="O154" t="str">
        <f ca="1">IFERROR(OFFSET(貼り付け2!$A$1,$A154-1,OFFSET(貼り付け2!$A$1,ROW()-1,MATCH(O$1,貼り付け2!$1:$1,0)-1)-1),"")</f>
        <v/>
      </c>
      <c r="R154" t="str">
        <f ca="1">IFERROR(OFFSET(貼り付け2!$A$1,まとめ!$B154-1,OFFSET(貼り付け2!$A$1,ROW()-1,MATCH(R$1,貼り付け2!$1:$1,0)-1)-1),"")</f>
        <v/>
      </c>
      <c r="T154" t="str">
        <f ca="1">IFERROR(OFFSET(貼り付け2!$A$1,$A154-1,OFFSET(貼り付け2!$A$1,ROW()-1,MATCH(T$1,貼り付け2!$1:$1,0)-1)-1),"")</f>
        <v/>
      </c>
      <c r="W154" t="str">
        <f ca="1">IFERROR(OFFSET(貼り付け2!$A$1,まとめ!$B154-1,OFFSET(貼り付け2!$A$1,ROW()-1,MATCH(W$1,貼り付け2!$1:$1,0)-1)-1),"")</f>
        <v/>
      </c>
    </row>
    <row r="155" spans="1:23" x14ac:dyDescent="0.45">
      <c r="A155" t="str">
        <f>貼り付け2!S155</f>
        <v/>
      </c>
      <c r="B155" t="str">
        <f>貼り付け2!R155</f>
        <v/>
      </c>
      <c r="E155" t="str">
        <f ca="1">IFERROR(OFFSET(貼り付け2!$A$1,$A155-1,OFFSET(貼り付け2!$A$1,ROW()-1,MATCH(E$1,貼り付け2!$1:$1,0)-1)-1),"")</f>
        <v/>
      </c>
      <c r="H155" t="str">
        <f ca="1">IFERROR(OFFSET(貼り付け2!$A$1,まとめ!$B155-1,OFFSET(貼り付け2!$A$1,ROW()-1,MATCH(H$1,貼り付け2!$1:$1,0)-1)-1),"")</f>
        <v/>
      </c>
      <c r="J155" t="str">
        <f ca="1">IFERROR(OFFSET(貼り付け2!$A$1,$A155-1,OFFSET(貼り付け2!$A$1,ROW()-1,MATCH(J$1,貼り付け2!$1:$1,0)-1)-1),"")</f>
        <v/>
      </c>
      <c r="M155" t="str">
        <f ca="1">IFERROR(OFFSET(貼り付け2!$A$1,まとめ!$B155-1,OFFSET(貼り付け2!$A$1,ROW()-1,MATCH(M$1,貼り付け2!$1:$1,0)-1)-1),"")</f>
        <v/>
      </c>
      <c r="O155" t="str">
        <f ca="1">IFERROR(OFFSET(貼り付け2!$A$1,$A155-1,OFFSET(貼り付け2!$A$1,ROW()-1,MATCH(O$1,貼り付け2!$1:$1,0)-1)-1),"")</f>
        <v/>
      </c>
      <c r="R155" t="str">
        <f ca="1">IFERROR(OFFSET(貼り付け2!$A$1,まとめ!$B155-1,OFFSET(貼り付け2!$A$1,ROW()-1,MATCH(R$1,貼り付け2!$1:$1,0)-1)-1),"")</f>
        <v/>
      </c>
      <c r="T155" t="str">
        <f ca="1">IFERROR(OFFSET(貼り付け2!$A$1,$A155-1,OFFSET(貼り付け2!$A$1,ROW()-1,MATCH(T$1,貼り付け2!$1:$1,0)-1)-1),"")</f>
        <v/>
      </c>
      <c r="W155" t="str">
        <f ca="1">IFERROR(OFFSET(貼り付け2!$A$1,まとめ!$B155-1,OFFSET(貼り付け2!$A$1,ROW()-1,MATCH(W$1,貼り付け2!$1:$1,0)-1)-1),"")</f>
        <v/>
      </c>
    </row>
    <row r="156" spans="1:23" x14ac:dyDescent="0.45">
      <c r="A156" t="str">
        <f>貼り付け2!S156</f>
        <v/>
      </c>
      <c r="B156" t="str">
        <f>貼り付け2!R156</f>
        <v/>
      </c>
      <c r="E156" t="str">
        <f ca="1">IFERROR(OFFSET(貼り付け2!$A$1,$A156-1,OFFSET(貼り付け2!$A$1,ROW()-1,MATCH(E$1,貼り付け2!$1:$1,0)-1)-1),"")</f>
        <v/>
      </c>
      <c r="H156" t="str">
        <f ca="1">IFERROR(OFFSET(貼り付け2!$A$1,まとめ!$B156-1,OFFSET(貼り付け2!$A$1,ROW()-1,MATCH(H$1,貼り付け2!$1:$1,0)-1)-1),"")</f>
        <v/>
      </c>
      <c r="J156" t="str">
        <f ca="1">IFERROR(OFFSET(貼り付け2!$A$1,$A156-1,OFFSET(貼り付け2!$A$1,ROW()-1,MATCH(J$1,貼り付け2!$1:$1,0)-1)-1),"")</f>
        <v/>
      </c>
      <c r="M156" t="str">
        <f ca="1">IFERROR(OFFSET(貼り付け2!$A$1,まとめ!$B156-1,OFFSET(貼り付け2!$A$1,ROW()-1,MATCH(M$1,貼り付け2!$1:$1,0)-1)-1),"")</f>
        <v/>
      </c>
      <c r="O156" t="str">
        <f ca="1">IFERROR(OFFSET(貼り付け2!$A$1,$A156-1,OFFSET(貼り付け2!$A$1,ROW()-1,MATCH(O$1,貼り付け2!$1:$1,0)-1)-1),"")</f>
        <v/>
      </c>
      <c r="R156" t="str">
        <f ca="1">IFERROR(OFFSET(貼り付け2!$A$1,まとめ!$B156-1,OFFSET(貼り付け2!$A$1,ROW()-1,MATCH(R$1,貼り付け2!$1:$1,0)-1)-1),"")</f>
        <v/>
      </c>
      <c r="T156" t="str">
        <f ca="1">IFERROR(OFFSET(貼り付け2!$A$1,$A156-1,OFFSET(貼り付け2!$A$1,ROW()-1,MATCH(T$1,貼り付け2!$1:$1,0)-1)-1),"")</f>
        <v/>
      </c>
      <c r="W156" t="str">
        <f ca="1">IFERROR(OFFSET(貼り付け2!$A$1,まとめ!$B156-1,OFFSET(貼り付け2!$A$1,ROW()-1,MATCH(W$1,貼り付け2!$1:$1,0)-1)-1),"")</f>
        <v/>
      </c>
    </row>
    <row r="157" spans="1:23" x14ac:dyDescent="0.45">
      <c r="A157" t="str">
        <f>貼り付け2!S157</f>
        <v/>
      </c>
      <c r="B157" t="str">
        <f>貼り付け2!R157</f>
        <v/>
      </c>
      <c r="E157" t="str">
        <f ca="1">IFERROR(OFFSET(貼り付け2!$A$1,$A157-1,OFFSET(貼り付け2!$A$1,ROW()-1,MATCH(E$1,貼り付け2!$1:$1,0)-1)-1),"")</f>
        <v/>
      </c>
      <c r="H157" t="str">
        <f ca="1">IFERROR(OFFSET(貼り付け2!$A$1,まとめ!$B157-1,OFFSET(貼り付け2!$A$1,ROW()-1,MATCH(H$1,貼り付け2!$1:$1,0)-1)-1),"")</f>
        <v/>
      </c>
      <c r="J157" t="str">
        <f ca="1">IFERROR(OFFSET(貼り付け2!$A$1,$A157-1,OFFSET(貼り付け2!$A$1,ROW()-1,MATCH(J$1,貼り付け2!$1:$1,0)-1)-1),"")</f>
        <v/>
      </c>
      <c r="M157" t="str">
        <f ca="1">IFERROR(OFFSET(貼り付け2!$A$1,まとめ!$B157-1,OFFSET(貼り付け2!$A$1,ROW()-1,MATCH(M$1,貼り付け2!$1:$1,0)-1)-1),"")</f>
        <v/>
      </c>
      <c r="O157" t="str">
        <f ca="1">IFERROR(OFFSET(貼り付け2!$A$1,$A157-1,OFFSET(貼り付け2!$A$1,ROW()-1,MATCH(O$1,貼り付け2!$1:$1,0)-1)-1),"")</f>
        <v/>
      </c>
      <c r="R157" t="str">
        <f ca="1">IFERROR(OFFSET(貼り付け2!$A$1,まとめ!$B157-1,OFFSET(貼り付け2!$A$1,ROW()-1,MATCH(R$1,貼り付け2!$1:$1,0)-1)-1),"")</f>
        <v/>
      </c>
      <c r="T157" t="str">
        <f ca="1">IFERROR(OFFSET(貼り付け2!$A$1,$A157-1,OFFSET(貼り付け2!$A$1,ROW()-1,MATCH(T$1,貼り付け2!$1:$1,0)-1)-1),"")</f>
        <v/>
      </c>
      <c r="W157" t="str">
        <f ca="1">IFERROR(OFFSET(貼り付け2!$A$1,まとめ!$B157-1,OFFSET(貼り付け2!$A$1,ROW()-1,MATCH(W$1,貼り付け2!$1:$1,0)-1)-1),"")</f>
        <v/>
      </c>
    </row>
    <row r="158" spans="1:23" x14ac:dyDescent="0.45">
      <c r="A158" t="str">
        <f>貼り付け2!S158</f>
        <v/>
      </c>
      <c r="B158" t="str">
        <f>貼り付け2!R158</f>
        <v/>
      </c>
      <c r="E158" t="str">
        <f ca="1">IFERROR(OFFSET(貼り付け2!$A$1,$A158-1,OFFSET(貼り付け2!$A$1,ROW()-1,MATCH(E$1,貼り付け2!$1:$1,0)-1)-1),"")</f>
        <v/>
      </c>
      <c r="H158" t="str">
        <f ca="1">IFERROR(OFFSET(貼り付け2!$A$1,まとめ!$B158-1,OFFSET(貼り付け2!$A$1,ROW()-1,MATCH(H$1,貼り付け2!$1:$1,0)-1)-1),"")</f>
        <v/>
      </c>
      <c r="J158" t="str">
        <f ca="1">IFERROR(OFFSET(貼り付け2!$A$1,$A158-1,OFFSET(貼り付け2!$A$1,ROW()-1,MATCH(J$1,貼り付け2!$1:$1,0)-1)-1),"")</f>
        <v/>
      </c>
      <c r="M158" t="str">
        <f ca="1">IFERROR(OFFSET(貼り付け2!$A$1,まとめ!$B158-1,OFFSET(貼り付け2!$A$1,ROW()-1,MATCH(M$1,貼り付け2!$1:$1,0)-1)-1),"")</f>
        <v/>
      </c>
      <c r="O158" t="str">
        <f ca="1">IFERROR(OFFSET(貼り付け2!$A$1,$A158-1,OFFSET(貼り付け2!$A$1,ROW()-1,MATCH(O$1,貼り付け2!$1:$1,0)-1)-1),"")</f>
        <v/>
      </c>
      <c r="R158" t="str">
        <f ca="1">IFERROR(OFFSET(貼り付け2!$A$1,まとめ!$B158-1,OFFSET(貼り付け2!$A$1,ROW()-1,MATCH(R$1,貼り付け2!$1:$1,0)-1)-1),"")</f>
        <v/>
      </c>
      <c r="T158" t="str">
        <f ca="1">IFERROR(OFFSET(貼り付け2!$A$1,$A158-1,OFFSET(貼り付け2!$A$1,ROW()-1,MATCH(T$1,貼り付け2!$1:$1,0)-1)-1),"")</f>
        <v/>
      </c>
      <c r="W158" t="str">
        <f ca="1">IFERROR(OFFSET(貼り付け2!$A$1,まとめ!$B158-1,OFFSET(貼り付け2!$A$1,ROW()-1,MATCH(W$1,貼り付け2!$1:$1,0)-1)-1),"")</f>
        <v/>
      </c>
    </row>
    <row r="159" spans="1:23" x14ac:dyDescent="0.45">
      <c r="A159" t="str">
        <f>貼り付け2!S159</f>
        <v/>
      </c>
      <c r="B159" t="str">
        <f>貼り付け2!R159</f>
        <v/>
      </c>
      <c r="E159" t="str">
        <f ca="1">IFERROR(OFFSET(貼り付け2!$A$1,$A159-1,OFFSET(貼り付け2!$A$1,ROW()-1,MATCH(E$1,貼り付け2!$1:$1,0)-1)-1),"")</f>
        <v/>
      </c>
      <c r="H159" t="str">
        <f ca="1">IFERROR(OFFSET(貼り付け2!$A$1,まとめ!$B159-1,OFFSET(貼り付け2!$A$1,ROW()-1,MATCH(H$1,貼り付け2!$1:$1,0)-1)-1),"")</f>
        <v/>
      </c>
      <c r="J159" t="str">
        <f ca="1">IFERROR(OFFSET(貼り付け2!$A$1,$A159-1,OFFSET(貼り付け2!$A$1,ROW()-1,MATCH(J$1,貼り付け2!$1:$1,0)-1)-1),"")</f>
        <v/>
      </c>
      <c r="M159" t="str">
        <f ca="1">IFERROR(OFFSET(貼り付け2!$A$1,まとめ!$B159-1,OFFSET(貼り付け2!$A$1,ROW()-1,MATCH(M$1,貼り付け2!$1:$1,0)-1)-1),"")</f>
        <v/>
      </c>
      <c r="O159" t="str">
        <f ca="1">IFERROR(OFFSET(貼り付け2!$A$1,$A159-1,OFFSET(貼り付け2!$A$1,ROW()-1,MATCH(O$1,貼り付け2!$1:$1,0)-1)-1),"")</f>
        <v/>
      </c>
      <c r="R159" t="str">
        <f ca="1">IFERROR(OFFSET(貼り付け2!$A$1,まとめ!$B159-1,OFFSET(貼り付け2!$A$1,ROW()-1,MATCH(R$1,貼り付け2!$1:$1,0)-1)-1),"")</f>
        <v/>
      </c>
      <c r="T159" t="str">
        <f ca="1">IFERROR(OFFSET(貼り付け2!$A$1,$A159-1,OFFSET(貼り付け2!$A$1,ROW()-1,MATCH(T$1,貼り付け2!$1:$1,0)-1)-1),"")</f>
        <v/>
      </c>
      <c r="W159" t="str">
        <f ca="1">IFERROR(OFFSET(貼り付け2!$A$1,まとめ!$B159-1,OFFSET(貼り付け2!$A$1,ROW()-1,MATCH(W$1,貼り付け2!$1:$1,0)-1)-1),"")</f>
        <v/>
      </c>
    </row>
    <row r="160" spans="1:23" x14ac:dyDescent="0.45">
      <c r="A160" t="str">
        <f>貼り付け2!S160</f>
        <v/>
      </c>
      <c r="B160" t="str">
        <f>貼り付け2!R160</f>
        <v/>
      </c>
      <c r="E160" t="str">
        <f ca="1">IFERROR(OFFSET(貼り付け2!$A$1,$A160-1,OFFSET(貼り付け2!$A$1,ROW()-1,MATCH(E$1,貼り付け2!$1:$1,0)-1)-1),"")</f>
        <v/>
      </c>
      <c r="H160" t="str">
        <f ca="1">IFERROR(OFFSET(貼り付け2!$A$1,まとめ!$B160-1,OFFSET(貼り付け2!$A$1,ROW()-1,MATCH(H$1,貼り付け2!$1:$1,0)-1)-1),"")</f>
        <v/>
      </c>
      <c r="J160" t="str">
        <f ca="1">IFERROR(OFFSET(貼り付け2!$A$1,$A160-1,OFFSET(貼り付け2!$A$1,ROW()-1,MATCH(J$1,貼り付け2!$1:$1,0)-1)-1),"")</f>
        <v/>
      </c>
      <c r="M160" t="str">
        <f ca="1">IFERROR(OFFSET(貼り付け2!$A$1,まとめ!$B160-1,OFFSET(貼り付け2!$A$1,ROW()-1,MATCH(M$1,貼り付け2!$1:$1,0)-1)-1),"")</f>
        <v/>
      </c>
      <c r="O160" t="str">
        <f ca="1">IFERROR(OFFSET(貼り付け2!$A$1,$A160-1,OFFSET(貼り付け2!$A$1,ROW()-1,MATCH(O$1,貼り付け2!$1:$1,0)-1)-1),"")</f>
        <v/>
      </c>
      <c r="R160" t="str">
        <f ca="1">IFERROR(OFFSET(貼り付け2!$A$1,まとめ!$B160-1,OFFSET(貼り付け2!$A$1,ROW()-1,MATCH(R$1,貼り付け2!$1:$1,0)-1)-1),"")</f>
        <v/>
      </c>
      <c r="T160" t="str">
        <f ca="1">IFERROR(OFFSET(貼り付け2!$A$1,$A160-1,OFFSET(貼り付け2!$A$1,ROW()-1,MATCH(T$1,貼り付け2!$1:$1,0)-1)-1),"")</f>
        <v/>
      </c>
      <c r="W160" t="str">
        <f ca="1">IFERROR(OFFSET(貼り付け2!$A$1,まとめ!$B160-1,OFFSET(貼り付け2!$A$1,ROW()-1,MATCH(W$1,貼り付け2!$1:$1,0)-1)-1),"")</f>
        <v/>
      </c>
    </row>
    <row r="161" spans="1:23" x14ac:dyDescent="0.45">
      <c r="A161" t="str">
        <f>貼り付け2!S161</f>
        <v/>
      </c>
      <c r="B161" t="str">
        <f>貼り付け2!R161</f>
        <v/>
      </c>
      <c r="E161" t="str">
        <f ca="1">IFERROR(OFFSET(貼り付け2!$A$1,$A161-1,OFFSET(貼り付け2!$A$1,ROW()-1,MATCH(E$1,貼り付け2!$1:$1,0)-1)-1),"")</f>
        <v/>
      </c>
      <c r="H161" t="str">
        <f ca="1">IFERROR(OFFSET(貼り付け2!$A$1,まとめ!$B161-1,OFFSET(貼り付け2!$A$1,ROW()-1,MATCH(H$1,貼り付け2!$1:$1,0)-1)-1),"")</f>
        <v/>
      </c>
      <c r="J161" t="str">
        <f ca="1">IFERROR(OFFSET(貼り付け2!$A$1,$A161-1,OFFSET(貼り付け2!$A$1,ROW()-1,MATCH(J$1,貼り付け2!$1:$1,0)-1)-1),"")</f>
        <v/>
      </c>
      <c r="M161" t="str">
        <f ca="1">IFERROR(OFFSET(貼り付け2!$A$1,まとめ!$B161-1,OFFSET(貼り付け2!$A$1,ROW()-1,MATCH(M$1,貼り付け2!$1:$1,0)-1)-1),"")</f>
        <v/>
      </c>
      <c r="O161" t="str">
        <f ca="1">IFERROR(OFFSET(貼り付け2!$A$1,$A161-1,OFFSET(貼り付け2!$A$1,ROW()-1,MATCH(O$1,貼り付け2!$1:$1,0)-1)-1),"")</f>
        <v/>
      </c>
      <c r="R161" t="str">
        <f ca="1">IFERROR(OFFSET(貼り付け2!$A$1,まとめ!$B161-1,OFFSET(貼り付け2!$A$1,ROW()-1,MATCH(R$1,貼り付け2!$1:$1,0)-1)-1),"")</f>
        <v/>
      </c>
      <c r="T161" t="str">
        <f ca="1">IFERROR(OFFSET(貼り付け2!$A$1,$A161-1,OFFSET(貼り付け2!$A$1,ROW()-1,MATCH(T$1,貼り付け2!$1:$1,0)-1)-1),"")</f>
        <v/>
      </c>
      <c r="W161" t="str">
        <f ca="1">IFERROR(OFFSET(貼り付け2!$A$1,まとめ!$B161-1,OFFSET(貼り付け2!$A$1,ROW()-1,MATCH(W$1,貼り付け2!$1:$1,0)-1)-1),"")</f>
        <v/>
      </c>
    </row>
    <row r="162" spans="1:23" x14ac:dyDescent="0.45">
      <c r="A162" t="str">
        <f>貼り付け2!S162</f>
        <v/>
      </c>
      <c r="B162" t="str">
        <f>貼り付け2!R162</f>
        <v/>
      </c>
      <c r="E162" t="str">
        <f ca="1">IFERROR(OFFSET(貼り付け2!$A$1,$A162-1,OFFSET(貼り付け2!$A$1,ROW()-1,MATCH(E$1,貼り付け2!$1:$1,0)-1)-1),"")</f>
        <v/>
      </c>
      <c r="H162" t="str">
        <f ca="1">IFERROR(OFFSET(貼り付け2!$A$1,まとめ!$B162-1,OFFSET(貼り付け2!$A$1,ROW()-1,MATCH(H$1,貼り付け2!$1:$1,0)-1)-1),"")</f>
        <v/>
      </c>
      <c r="J162" t="str">
        <f ca="1">IFERROR(OFFSET(貼り付け2!$A$1,$A162-1,OFFSET(貼り付け2!$A$1,ROW()-1,MATCH(J$1,貼り付け2!$1:$1,0)-1)-1),"")</f>
        <v/>
      </c>
      <c r="M162" t="str">
        <f ca="1">IFERROR(OFFSET(貼り付け2!$A$1,まとめ!$B162-1,OFFSET(貼り付け2!$A$1,ROW()-1,MATCH(M$1,貼り付け2!$1:$1,0)-1)-1),"")</f>
        <v/>
      </c>
      <c r="O162" t="str">
        <f ca="1">IFERROR(OFFSET(貼り付け2!$A$1,$A162-1,OFFSET(貼り付け2!$A$1,ROW()-1,MATCH(O$1,貼り付け2!$1:$1,0)-1)-1),"")</f>
        <v/>
      </c>
      <c r="R162" t="str">
        <f ca="1">IFERROR(OFFSET(貼り付け2!$A$1,まとめ!$B162-1,OFFSET(貼り付け2!$A$1,ROW()-1,MATCH(R$1,貼り付け2!$1:$1,0)-1)-1),"")</f>
        <v/>
      </c>
      <c r="T162" t="str">
        <f ca="1">IFERROR(OFFSET(貼り付け2!$A$1,$A162-1,OFFSET(貼り付け2!$A$1,ROW()-1,MATCH(T$1,貼り付け2!$1:$1,0)-1)-1),"")</f>
        <v/>
      </c>
      <c r="W162" t="str">
        <f ca="1">IFERROR(OFFSET(貼り付け2!$A$1,まとめ!$B162-1,OFFSET(貼り付け2!$A$1,ROW()-1,MATCH(W$1,貼り付け2!$1:$1,0)-1)-1),"")</f>
        <v/>
      </c>
    </row>
    <row r="163" spans="1:23" x14ac:dyDescent="0.45">
      <c r="A163" t="str">
        <f>貼り付け2!S163</f>
        <v/>
      </c>
      <c r="B163" t="str">
        <f>貼り付け2!R163</f>
        <v/>
      </c>
      <c r="E163" t="str">
        <f ca="1">IFERROR(OFFSET(貼り付け2!$A$1,$A163-1,OFFSET(貼り付け2!$A$1,ROW()-1,MATCH(E$1,貼り付け2!$1:$1,0)-1)-1),"")</f>
        <v/>
      </c>
      <c r="H163" t="str">
        <f ca="1">IFERROR(OFFSET(貼り付け2!$A$1,まとめ!$B163-1,OFFSET(貼り付け2!$A$1,ROW()-1,MATCH(H$1,貼り付け2!$1:$1,0)-1)-1),"")</f>
        <v/>
      </c>
      <c r="J163" t="str">
        <f ca="1">IFERROR(OFFSET(貼り付け2!$A$1,$A163-1,OFFSET(貼り付け2!$A$1,ROW()-1,MATCH(J$1,貼り付け2!$1:$1,0)-1)-1),"")</f>
        <v/>
      </c>
      <c r="M163" t="str">
        <f ca="1">IFERROR(OFFSET(貼り付け2!$A$1,まとめ!$B163-1,OFFSET(貼り付け2!$A$1,ROW()-1,MATCH(M$1,貼り付け2!$1:$1,0)-1)-1),"")</f>
        <v/>
      </c>
      <c r="O163" t="str">
        <f ca="1">IFERROR(OFFSET(貼り付け2!$A$1,$A163-1,OFFSET(貼り付け2!$A$1,ROW()-1,MATCH(O$1,貼り付け2!$1:$1,0)-1)-1),"")</f>
        <v/>
      </c>
      <c r="R163" t="str">
        <f ca="1">IFERROR(OFFSET(貼り付け2!$A$1,まとめ!$B163-1,OFFSET(貼り付け2!$A$1,ROW()-1,MATCH(R$1,貼り付け2!$1:$1,0)-1)-1),"")</f>
        <v/>
      </c>
      <c r="T163" t="str">
        <f ca="1">IFERROR(OFFSET(貼り付け2!$A$1,$A163-1,OFFSET(貼り付け2!$A$1,ROW()-1,MATCH(T$1,貼り付け2!$1:$1,0)-1)-1),"")</f>
        <v/>
      </c>
      <c r="W163" t="str">
        <f ca="1">IFERROR(OFFSET(貼り付け2!$A$1,まとめ!$B163-1,OFFSET(貼り付け2!$A$1,ROW()-1,MATCH(W$1,貼り付け2!$1:$1,0)-1)-1),"")</f>
        <v/>
      </c>
    </row>
    <row r="164" spans="1:23" x14ac:dyDescent="0.45">
      <c r="A164" t="str">
        <f>貼り付け2!S164</f>
        <v/>
      </c>
      <c r="B164" t="str">
        <f>貼り付け2!R164</f>
        <v/>
      </c>
      <c r="E164" t="str">
        <f ca="1">IFERROR(OFFSET(貼り付け2!$A$1,$A164-1,OFFSET(貼り付け2!$A$1,ROW()-1,MATCH(E$1,貼り付け2!$1:$1,0)-1)-1),"")</f>
        <v/>
      </c>
      <c r="H164" t="str">
        <f ca="1">IFERROR(OFFSET(貼り付け2!$A$1,まとめ!$B164-1,OFFSET(貼り付け2!$A$1,ROW()-1,MATCH(H$1,貼り付け2!$1:$1,0)-1)-1),"")</f>
        <v/>
      </c>
      <c r="J164" t="str">
        <f ca="1">IFERROR(OFFSET(貼り付け2!$A$1,$A164-1,OFFSET(貼り付け2!$A$1,ROW()-1,MATCH(J$1,貼り付け2!$1:$1,0)-1)-1),"")</f>
        <v/>
      </c>
      <c r="M164" t="str">
        <f ca="1">IFERROR(OFFSET(貼り付け2!$A$1,まとめ!$B164-1,OFFSET(貼り付け2!$A$1,ROW()-1,MATCH(M$1,貼り付け2!$1:$1,0)-1)-1),"")</f>
        <v/>
      </c>
      <c r="O164" t="str">
        <f ca="1">IFERROR(OFFSET(貼り付け2!$A$1,$A164-1,OFFSET(貼り付け2!$A$1,ROW()-1,MATCH(O$1,貼り付け2!$1:$1,0)-1)-1),"")</f>
        <v/>
      </c>
      <c r="R164" t="str">
        <f ca="1">IFERROR(OFFSET(貼り付け2!$A$1,まとめ!$B164-1,OFFSET(貼り付け2!$A$1,ROW()-1,MATCH(R$1,貼り付け2!$1:$1,0)-1)-1),"")</f>
        <v/>
      </c>
      <c r="T164" t="str">
        <f ca="1">IFERROR(OFFSET(貼り付け2!$A$1,$A164-1,OFFSET(貼り付け2!$A$1,ROW()-1,MATCH(T$1,貼り付け2!$1:$1,0)-1)-1),"")</f>
        <v/>
      </c>
      <c r="W164" t="str">
        <f ca="1">IFERROR(OFFSET(貼り付け2!$A$1,まとめ!$B164-1,OFFSET(貼り付け2!$A$1,ROW()-1,MATCH(W$1,貼り付け2!$1:$1,0)-1)-1),"")</f>
        <v/>
      </c>
    </row>
    <row r="165" spans="1:23" x14ac:dyDescent="0.45">
      <c r="A165" t="str">
        <f>貼り付け2!S165</f>
        <v/>
      </c>
      <c r="B165" t="str">
        <f>貼り付け2!R165</f>
        <v/>
      </c>
      <c r="E165" t="str">
        <f ca="1">IFERROR(OFFSET(貼り付け2!$A$1,$A165-1,OFFSET(貼り付け2!$A$1,ROW()-1,MATCH(E$1,貼り付け2!$1:$1,0)-1)-1),"")</f>
        <v/>
      </c>
      <c r="H165" t="str">
        <f ca="1">IFERROR(OFFSET(貼り付け2!$A$1,まとめ!$B165-1,OFFSET(貼り付け2!$A$1,ROW()-1,MATCH(H$1,貼り付け2!$1:$1,0)-1)-1),"")</f>
        <v/>
      </c>
      <c r="J165" t="str">
        <f ca="1">IFERROR(OFFSET(貼り付け2!$A$1,$A165-1,OFFSET(貼り付け2!$A$1,ROW()-1,MATCH(J$1,貼り付け2!$1:$1,0)-1)-1),"")</f>
        <v/>
      </c>
      <c r="M165" t="str">
        <f ca="1">IFERROR(OFFSET(貼り付け2!$A$1,まとめ!$B165-1,OFFSET(貼り付け2!$A$1,ROW()-1,MATCH(M$1,貼り付け2!$1:$1,0)-1)-1),"")</f>
        <v/>
      </c>
      <c r="O165" t="str">
        <f ca="1">IFERROR(OFFSET(貼り付け2!$A$1,$A165-1,OFFSET(貼り付け2!$A$1,ROW()-1,MATCH(O$1,貼り付け2!$1:$1,0)-1)-1),"")</f>
        <v/>
      </c>
      <c r="R165" t="str">
        <f ca="1">IFERROR(OFFSET(貼り付け2!$A$1,まとめ!$B165-1,OFFSET(貼り付け2!$A$1,ROW()-1,MATCH(R$1,貼り付け2!$1:$1,0)-1)-1),"")</f>
        <v/>
      </c>
      <c r="T165" t="str">
        <f ca="1">IFERROR(OFFSET(貼り付け2!$A$1,$A165-1,OFFSET(貼り付け2!$A$1,ROW()-1,MATCH(T$1,貼り付け2!$1:$1,0)-1)-1),"")</f>
        <v/>
      </c>
      <c r="W165" t="str">
        <f ca="1">IFERROR(OFFSET(貼り付け2!$A$1,まとめ!$B165-1,OFFSET(貼り付け2!$A$1,ROW()-1,MATCH(W$1,貼り付け2!$1:$1,0)-1)-1),"")</f>
        <v/>
      </c>
    </row>
    <row r="166" spans="1:23" x14ac:dyDescent="0.45">
      <c r="A166" t="str">
        <f>貼り付け2!S166</f>
        <v/>
      </c>
      <c r="B166" t="str">
        <f>貼り付け2!R166</f>
        <v/>
      </c>
      <c r="E166" t="str">
        <f ca="1">IFERROR(OFFSET(貼り付け2!$A$1,$A166-1,OFFSET(貼り付け2!$A$1,ROW()-1,MATCH(E$1,貼り付け2!$1:$1,0)-1)-1),"")</f>
        <v/>
      </c>
      <c r="H166" t="str">
        <f ca="1">IFERROR(OFFSET(貼り付け2!$A$1,まとめ!$B166-1,OFFSET(貼り付け2!$A$1,ROW()-1,MATCH(H$1,貼り付け2!$1:$1,0)-1)-1),"")</f>
        <v/>
      </c>
      <c r="J166" t="str">
        <f ca="1">IFERROR(OFFSET(貼り付け2!$A$1,$A166-1,OFFSET(貼り付け2!$A$1,ROW()-1,MATCH(J$1,貼り付け2!$1:$1,0)-1)-1),"")</f>
        <v/>
      </c>
      <c r="M166" t="str">
        <f ca="1">IFERROR(OFFSET(貼り付け2!$A$1,まとめ!$B166-1,OFFSET(貼り付け2!$A$1,ROW()-1,MATCH(M$1,貼り付け2!$1:$1,0)-1)-1),"")</f>
        <v/>
      </c>
      <c r="O166" t="str">
        <f ca="1">IFERROR(OFFSET(貼り付け2!$A$1,$A166-1,OFFSET(貼り付け2!$A$1,ROW()-1,MATCH(O$1,貼り付け2!$1:$1,0)-1)-1),"")</f>
        <v/>
      </c>
      <c r="R166" t="str">
        <f ca="1">IFERROR(OFFSET(貼り付け2!$A$1,まとめ!$B166-1,OFFSET(貼り付け2!$A$1,ROW()-1,MATCH(R$1,貼り付け2!$1:$1,0)-1)-1),"")</f>
        <v/>
      </c>
      <c r="T166" t="str">
        <f ca="1">IFERROR(OFFSET(貼り付け2!$A$1,$A166-1,OFFSET(貼り付け2!$A$1,ROW()-1,MATCH(T$1,貼り付け2!$1:$1,0)-1)-1),"")</f>
        <v/>
      </c>
      <c r="W166" t="str">
        <f ca="1">IFERROR(OFFSET(貼り付け2!$A$1,まとめ!$B166-1,OFFSET(貼り付け2!$A$1,ROW()-1,MATCH(W$1,貼り付け2!$1:$1,0)-1)-1),"")</f>
        <v/>
      </c>
    </row>
    <row r="167" spans="1:23" x14ac:dyDescent="0.45">
      <c r="A167" t="str">
        <f>貼り付け2!S167</f>
        <v/>
      </c>
      <c r="B167" t="str">
        <f>貼り付け2!R167</f>
        <v/>
      </c>
      <c r="E167" t="str">
        <f ca="1">IFERROR(OFFSET(貼り付け2!$A$1,$A167-1,OFFSET(貼り付け2!$A$1,ROW()-1,MATCH(E$1,貼り付け2!$1:$1,0)-1)-1),"")</f>
        <v/>
      </c>
      <c r="H167" t="str">
        <f ca="1">IFERROR(OFFSET(貼り付け2!$A$1,まとめ!$B167-1,OFFSET(貼り付け2!$A$1,ROW()-1,MATCH(H$1,貼り付け2!$1:$1,0)-1)-1),"")</f>
        <v/>
      </c>
      <c r="J167" t="str">
        <f ca="1">IFERROR(OFFSET(貼り付け2!$A$1,$A167-1,OFFSET(貼り付け2!$A$1,ROW()-1,MATCH(J$1,貼り付け2!$1:$1,0)-1)-1),"")</f>
        <v/>
      </c>
      <c r="M167" t="str">
        <f ca="1">IFERROR(OFFSET(貼り付け2!$A$1,まとめ!$B167-1,OFFSET(貼り付け2!$A$1,ROW()-1,MATCH(M$1,貼り付け2!$1:$1,0)-1)-1),"")</f>
        <v/>
      </c>
      <c r="O167" t="str">
        <f ca="1">IFERROR(OFFSET(貼り付け2!$A$1,$A167-1,OFFSET(貼り付け2!$A$1,ROW()-1,MATCH(O$1,貼り付け2!$1:$1,0)-1)-1),"")</f>
        <v/>
      </c>
      <c r="R167" t="str">
        <f ca="1">IFERROR(OFFSET(貼り付け2!$A$1,まとめ!$B167-1,OFFSET(貼り付け2!$A$1,ROW()-1,MATCH(R$1,貼り付け2!$1:$1,0)-1)-1),"")</f>
        <v/>
      </c>
      <c r="T167" t="str">
        <f ca="1">IFERROR(OFFSET(貼り付け2!$A$1,$A167-1,OFFSET(貼り付け2!$A$1,ROW()-1,MATCH(T$1,貼り付け2!$1:$1,0)-1)-1),"")</f>
        <v/>
      </c>
      <c r="W167" t="str">
        <f ca="1">IFERROR(OFFSET(貼り付け2!$A$1,まとめ!$B167-1,OFFSET(貼り付け2!$A$1,ROW()-1,MATCH(W$1,貼り付け2!$1:$1,0)-1)-1),"")</f>
        <v/>
      </c>
    </row>
    <row r="168" spans="1:23" x14ac:dyDescent="0.45">
      <c r="A168" t="str">
        <f>貼り付け2!S168</f>
        <v/>
      </c>
      <c r="B168" t="str">
        <f>貼り付け2!R168</f>
        <v/>
      </c>
      <c r="E168" t="str">
        <f ca="1">IFERROR(OFFSET(貼り付け2!$A$1,$A168-1,OFFSET(貼り付け2!$A$1,ROW()-1,MATCH(E$1,貼り付け2!$1:$1,0)-1)-1),"")</f>
        <v/>
      </c>
      <c r="H168" t="str">
        <f ca="1">IFERROR(OFFSET(貼り付け2!$A$1,まとめ!$B168-1,OFFSET(貼り付け2!$A$1,ROW()-1,MATCH(H$1,貼り付け2!$1:$1,0)-1)-1),"")</f>
        <v/>
      </c>
      <c r="J168" t="str">
        <f ca="1">IFERROR(OFFSET(貼り付け2!$A$1,$A168-1,OFFSET(貼り付け2!$A$1,ROW()-1,MATCH(J$1,貼り付け2!$1:$1,0)-1)-1),"")</f>
        <v/>
      </c>
      <c r="M168" t="str">
        <f ca="1">IFERROR(OFFSET(貼り付け2!$A$1,まとめ!$B168-1,OFFSET(貼り付け2!$A$1,ROW()-1,MATCH(M$1,貼り付け2!$1:$1,0)-1)-1),"")</f>
        <v/>
      </c>
      <c r="O168" t="str">
        <f ca="1">IFERROR(OFFSET(貼り付け2!$A$1,$A168-1,OFFSET(貼り付け2!$A$1,ROW()-1,MATCH(O$1,貼り付け2!$1:$1,0)-1)-1),"")</f>
        <v/>
      </c>
      <c r="R168" t="str">
        <f ca="1">IFERROR(OFFSET(貼り付け2!$A$1,まとめ!$B168-1,OFFSET(貼り付け2!$A$1,ROW()-1,MATCH(R$1,貼り付け2!$1:$1,0)-1)-1),"")</f>
        <v/>
      </c>
      <c r="T168" t="str">
        <f ca="1">IFERROR(OFFSET(貼り付け2!$A$1,$A168-1,OFFSET(貼り付け2!$A$1,ROW()-1,MATCH(T$1,貼り付け2!$1:$1,0)-1)-1),"")</f>
        <v/>
      </c>
      <c r="W168" t="str">
        <f ca="1">IFERROR(OFFSET(貼り付け2!$A$1,まとめ!$B168-1,OFFSET(貼り付け2!$A$1,ROW()-1,MATCH(W$1,貼り付け2!$1:$1,0)-1)-1),"")</f>
        <v/>
      </c>
    </row>
    <row r="169" spans="1:23" x14ac:dyDescent="0.45">
      <c r="A169" t="str">
        <f>貼り付け2!S169</f>
        <v/>
      </c>
      <c r="B169" t="str">
        <f>貼り付け2!R169</f>
        <v/>
      </c>
      <c r="E169" t="str">
        <f ca="1">IFERROR(OFFSET(貼り付け2!$A$1,$A169-1,OFFSET(貼り付け2!$A$1,ROW()-1,MATCH(E$1,貼り付け2!$1:$1,0)-1)-1),"")</f>
        <v/>
      </c>
      <c r="H169" t="str">
        <f ca="1">IFERROR(OFFSET(貼り付け2!$A$1,まとめ!$B169-1,OFFSET(貼り付け2!$A$1,ROW()-1,MATCH(H$1,貼り付け2!$1:$1,0)-1)-1),"")</f>
        <v/>
      </c>
      <c r="J169" t="str">
        <f ca="1">IFERROR(OFFSET(貼り付け2!$A$1,$A169-1,OFFSET(貼り付け2!$A$1,ROW()-1,MATCH(J$1,貼り付け2!$1:$1,0)-1)-1),"")</f>
        <v/>
      </c>
      <c r="M169" t="str">
        <f ca="1">IFERROR(OFFSET(貼り付け2!$A$1,まとめ!$B169-1,OFFSET(貼り付け2!$A$1,ROW()-1,MATCH(M$1,貼り付け2!$1:$1,0)-1)-1),"")</f>
        <v/>
      </c>
      <c r="O169" t="str">
        <f ca="1">IFERROR(OFFSET(貼り付け2!$A$1,$A169-1,OFFSET(貼り付け2!$A$1,ROW()-1,MATCH(O$1,貼り付け2!$1:$1,0)-1)-1),"")</f>
        <v/>
      </c>
      <c r="R169" t="str">
        <f ca="1">IFERROR(OFFSET(貼り付け2!$A$1,まとめ!$B169-1,OFFSET(貼り付け2!$A$1,ROW()-1,MATCH(R$1,貼り付け2!$1:$1,0)-1)-1),"")</f>
        <v/>
      </c>
      <c r="T169" t="str">
        <f ca="1">IFERROR(OFFSET(貼り付け2!$A$1,$A169-1,OFFSET(貼り付け2!$A$1,ROW()-1,MATCH(T$1,貼り付け2!$1:$1,0)-1)-1),"")</f>
        <v/>
      </c>
      <c r="W169" t="str">
        <f ca="1">IFERROR(OFFSET(貼り付け2!$A$1,まとめ!$B169-1,OFFSET(貼り付け2!$A$1,ROW()-1,MATCH(W$1,貼り付け2!$1:$1,0)-1)-1),"")</f>
        <v/>
      </c>
    </row>
    <row r="170" spans="1:23" x14ac:dyDescent="0.45">
      <c r="A170" t="str">
        <f>貼り付け2!S170</f>
        <v/>
      </c>
      <c r="B170" t="str">
        <f>貼り付け2!R170</f>
        <v/>
      </c>
      <c r="E170" t="str">
        <f ca="1">IFERROR(OFFSET(貼り付け2!$A$1,$A170-1,OFFSET(貼り付け2!$A$1,ROW()-1,MATCH(E$1,貼り付け2!$1:$1,0)-1)-1),"")</f>
        <v/>
      </c>
      <c r="H170" t="str">
        <f ca="1">IFERROR(OFFSET(貼り付け2!$A$1,まとめ!$B170-1,OFFSET(貼り付け2!$A$1,ROW()-1,MATCH(H$1,貼り付け2!$1:$1,0)-1)-1),"")</f>
        <v/>
      </c>
      <c r="J170" t="str">
        <f ca="1">IFERROR(OFFSET(貼り付け2!$A$1,$A170-1,OFFSET(貼り付け2!$A$1,ROW()-1,MATCH(J$1,貼り付け2!$1:$1,0)-1)-1),"")</f>
        <v/>
      </c>
      <c r="M170" t="str">
        <f ca="1">IFERROR(OFFSET(貼り付け2!$A$1,まとめ!$B170-1,OFFSET(貼り付け2!$A$1,ROW()-1,MATCH(M$1,貼り付け2!$1:$1,0)-1)-1),"")</f>
        <v/>
      </c>
      <c r="O170" t="str">
        <f ca="1">IFERROR(OFFSET(貼り付け2!$A$1,$A170-1,OFFSET(貼り付け2!$A$1,ROW()-1,MATCH(O$1,貼り付け2!$1:$1,0)-1)-1),"")</f>
        <v/>
      </c>
      <c r="R170" t="str">
        <f ca="1">IFERROR(OFFSET(貼り付け2!$A$1,まとめ!$B170-1,OFFSET(貼り付け2!$A$1,ROW()-1,MATCH(R$1,貼り付け2!$1:$1,0)-1)-1),"")</f>
        <v/>
      </c>
      <c r="T170" t="str">
        <f ca="1">IFERROR(OFFSET(貼り付け2!$A$1,$A170-1,OFFSET(貼り付け2!$A$1,ROW()-1,MATCH(T$1,貼り付け2!$1:$1,0)-1)-1),"")</f>
        <v/>
      </c>
      <c r="W170" t="str">
        <f ca="1">IFERROR(OFFSET(貼り付け2!$A$1,まとめ!$B170-1,OFFSET(貼り付け2!$A$1,ROW()-1,MATCH(W$1,貼り付け2!$1:$1,0)-1)-1),"")</f>
        <v/>
      </c>
    </row>
    <row r="171" spans="1:23" x14ac:dyDescent="0.45">
      <c r="A171" t="str">
        <f>貼り付け2!S171</f>
        <v/>
      </c>
      <c r="B171" t="str">
        <f>貼り付け2!R171</f>
        <v/>
      </c>
      <c r="E171" t="str">
        <f ca="1">IFERROR(OFFSET(貼り付け2!$A$1,$A171-1,OFFSET(貼り付け2!$A$1,ROW()-1,MATCH(E$1,貼り付け2!$1:$1,0)-1)-1),"")</f>
        <v/>
      </c>
      <c r="H171" t="str">
        <f ca="1">IFERROR(OFFSET(貼り付け2!$A$1,まとめ!$B171-1,OFFSET(貼り付け2!$A$1,ROW()-1,MATCH(H$1,貼り付け2!$1:$1,0)-1)-1),"")</f>
        <v/>
      </c>
      <c r="J171" t="str">
        <f ca="1">IFERROR(OFFSET(貼り付け2!$A$1,$A171-1,OFFSET(貼り付け2!$A$1,ROW()-1,MATCH(J$1,貼り付け2!$1:$1,0)-1)-1),"")</f>
        <v/>
      </c>
      <c r="M171" t="str">
        <f ca="1">IFERROR(OFFSET(貼り付け2!$A$1,まとめ!$B171-1,OFFSET(貼り付け2!$A$1,ROW()-1,MATCH(M$1,貼り付け2!$1:$1,0)-1)-1),"")</f>
        <v/>
      </c>
      <c r="O171" t="str">
        <f ca="1">IFERROR(OFFSET(貼り付け2!$A$1,$A171-1,OFFSET(貼り付け2!$A$1,ROW()-1,MATCH(O$1,貼り付け2!$1:$1,0)-1)-1),"")</f>
        <v/>
      </c>
      <c r="R171" t="str">
        <f ca="1">IFERROR(OFFSET(貼り付け2!$A$1,まとめ!$B171-1,OFFSET(貼り付け2!$A$1,ROW()-1,MATCH(R$1,貼り付け2!$1:$1,0)-1)-1),"")</f>
        <v/>
      </c>
      <c r="T171" t="str">
        <f ca="1">IFERROR(OFFSET(貼り付け2!$A$1,$A171-1,OFFSET(貼り付け2!$A$1,ROW()-1,MATCH(T$1,貼り付け2!$1:$1,0)-1)-1),"")</f>
        <v/>
      </c>
      <c r="W171" t="str">
        <f ca="1">IFERROR(OFFSET(貼り付け2!$A$1,まとめ!$B171-1,OFFSET(貼り付け2!$A$1,ROW()-1,MATCH(W$1,貼り付け2!$1:$1,0)-1)-1),"")</f>
        <v/>
      </c>
    </row>
    <row r="172" spans="1:23" x14ac:dyDescent="0.45">
      <c r="A172" t="str">
        <f>貼り付け2!S172</f>
        <v/>
      </c>
      <c r="B172" t="str">
        <f>貼り付け2!R172</f>
        <v/>
      </c>
      <c r="E172" t="str">
        <f ca="1">IFERROR(OFFSET(貼り付け2!$A$1,$A172-1,OFFSET(貼り付け2!$A$1,ROW()-1,MATCH(E$1,貼り付け2!$1:$1,0)-1)-1),"")</f>
        <v/>
      </c>
      <c r="H172" t="str">
        <f ca="1">IFERROR(OFFSET(貼り付け2!$A$1,まとめ!$B172-1,OFFSET(貼り付け2!$A$1,ROW()-1,MATCH(H$1,貼り付け2!$1:$1,0)-1)-1),"")</f>
        <v/>
      </c>
      <c r="J172" t="str">
        <f ca="1">IFERROR(OFFSET(貼り付け2!$A$1,$A172-1,OFFSET(貼り付け2!$A$1,ROW()-1,MATCH(J$1,貼り付け2!$1:$1,0)-1)-1),"")</f>
        <v/>
      </c>
      <c r="M172" t="str">
        <f ca="1">IFERROR(OFFSET(貼り付け2!$A$1,まとめ!$B172-1,OFFSET(貼り付け2!$A$1,ROW()-1,MATCH(M$1,貼り付け2!$1:$1,0)-1)-1),"")</f>
        <v/>
      </c>
      <c r="O172" t="str">
        <f ca="1">IFERROR(OFFSET(貼り付け2!$A$1,$A172-1,OFFSET(貼り付け2!$A$1,ROW()-1,MATCH(O$1,貼り付け2!$1:$1,0)-1)-1),"")</f>
        <v/>
      </c>
      <c r="R172" t="str">
        <f ca="1">IFERROR(OFFSET(貼り付け2!$A$1,まとめ!$B172-1,OFFSET(貼り付け2!$A$1,ROW()-1,MATCH(R$1,貼り付け2!$1:$1,0)-1)-1),"")</f>
        <v/>
      </c>
      <c r="T172" t="str">
        <f ca="1">IFERROR(OFFSET(貼り付け2!$A$1,$A172-1,OFFSET(貼り付け2!$A$1,ROW()-1,MATCH(T$1,貼り付け2!$1:$1,0)-1)-1),"")</f>
        <v/>
      </c>
      <c r="W172" t="str">
        <f ca="1">IFERROR(OFFSET(貼り付け2!$A$1,まとめ!$B172-1,OFFSET(貼り付け2!$A$1,ROW()-1,MATCH(W$1,貼り付け2!$1:$1,0)-1)-1),"")</f>
        <v/>
      </c>
    </row>
    <row r="173" spans="1:23" x14ac:dyDescent="0.45">
      <c r="A173" t="str">
        <f>貼り付け2!S173</f>
        <v/>
      </c>
      <c r="B173" t="str">
        <f>貼り付け2!R173</f>
        <v/>
      </c>
      <c r="E173" t="str">
        <f ca="1">IFERROR(OFFSET(貼り付け2!$A$1,$A173-1,OFFSET(貼り付け2!$A$1,ROW()-1,MATCH(E$1,貼り付け2!$1:$1,0)-1)-1),"")</f>
        <v/>
      </c>
      <c r="H173" t="str">
        <f ca="1">IFERROR(OFFSET(貼り付け2!$A$1,まとめ!$B173-1,OFFSET(貼り付け2!$A$1,ROW()-1,MATCH(H$1,貼り付け2!$1:$1,0)-1)-1),"")</f>
        <v/>
      </c>
      <c r="J173" t="str">
        <f ca="1">IFERROR(OFFSET(貼り付け2!$A$1,$A173-1,OFFSET(貼り付け2!$A$1,ROW()-1,MATCH(J$1,貼り付け2!$1:$1,0)-1)-1),"")</f>
        <v/>
      </c>
      <c r="M173" t="str">
        <f ca="1">IFERROR(OFFSET(貼り付け2!$A$1,まとめ!$B173-1,OFFSET(貼り付け2!$A$1,ROW()-1,MATCH(M$1,貼り付け2!$1:$1,0)-1)-1),"")</f>
        <v/>
      </c>
      <c r="O173" t="str">
        <f ca="1">IFERROR(OFFSET(貼り付け2!$A$1,$A173-1,OFFSET(貼り付け2!$A$1,ROW()-1,MATCH(O$1,貼り付け2!$1:$1,0)-1)-1),"")</f>
        <v/>
      </c>
      <c r="R173" t="str">
        <f ca="1">IFERROR(OFFSET(貼り付け2!$A$1,まとめ!$B173-1,OFFSET(貼り付け2!$A$1,ROW()-1,MATCH(R$1,貼り付け2!$1:$1,0)-1)-1),"")</f>
        <v/>
      </c>
      <c r="T173" t="str">
        <f ca="1">IFERROR(OFFSET(貼り付け2!$A$1,$A173-1,OFFSET(貼り付け2!$A$1,ROW()-1,MATCH(T$1,貼り付け2!$1:$1,0)-1)-1),"")</f>
        <v/>
      </c>
      <c r="W173" t="str">
        <f ca="1">IFERROR(OFFSET(貼り付け2!$A$1,まとめ!$B173-1,OFFSET(貼り付け2!$A$1,ROW()-1,MATCH(W$1,貼り付け2!$1:$1,0)-1)-1),"")</f>
        <v/>
      </c>
    </row>
    <row r="174" spans="1:23" x14ac:dyDescent="0.45">
      <c r="A174" t="str">
        <f>貼り付け2!S174</f>
        <v/>
      </c>
      <c r="B174" t="str">
        <f>貼り付け2!R174</f>
        <v/>
      </c>
      <c r="E174" t="str">
        <f ca="1">IFERROR(OFFSET(貼り付け2!$A$1,$A174-1,OFFSET(貼り付け2!$A$1,ROW()-1,MATCH(E$1,貼り付け2!$1:$1,0)-1)-1),"")</f>
        <v/>
      </c>
      <c r="H174" t="str">
        <f ca="1">IFERROR(OFFSET(貼り付け2!$A$1,まとめ!$B174-1,OFFSET(貼り付け2!$A$1,ROW()-1,MATCH(H$1,貼り付け2!$1:$1,0)-1)-1),"")</f>
        <v/>
      </c>
      <c r="J174" t="str">
        <f ca="1">IFERROR(OFFSET(貼り付け2!$A$1,$A174-1,OFFSET(貼り付け2!$A$1,ROW()-1,MATCH(J$1,貼り付け2!$1:$1,0)-1)-1),"")</f>
        <v/>
      </c>
      <c r="M174" t="str">
        <f ca="1">IFERROR(OFFSET(貼り付け2!$A$1,まとめ!$B174-1,OFFSET(貼り付け2!$A$1,ROW()-1,MATCH(M$1,貼り付け2!$1:$1,0)-1)-1),"")</f>
        <v/>
      </c>
      <c r="O174" t="str">
        <f ca="1">IFERROR(OFFSET(貼り付け2!$A$1,$A174-1,OFFSET(貼り付け2!$A$1,ROW()-1,MATCH(O$1,貼り付け2!$1:$1,0)-1)-1),"")</f>
        <v/>
      </c>
      <c r="R174" t="str">
        <f ca="1">IFERROR(OFFSET(貼り付け2!$A$1,まとめ!$B174-1,OFFSET(貼り付け2!$A$1,ROW()-1,MATCH(R$1,貼り付け2!$1:$1,0)-1)-1),"")</f>
        <v/>
      </c>
      <c r="T174" t="str">
        <f ca="1">IFERROR(OFFSET(貼り付け2!$A$1,$A174-1,OFFSET(貼り付け2!$A$1,ROW()-1,MATCH(T$1,貼り付け2!$1:$1,0)-1)-1),"")</f>
        <v/>
      </c>
      <c r="W174" t="str">
        <f ca="1">IFERROR(OFFSET(貼り付け2!$A$1,まとめ!$B174-1,OFFSET(貼り付け2!$A$1,ROW()-1,MATCH(W$1,貼り付け2!$1:$1,0)-1)-1),"")</f>
        <v/>
      </c>
    </row>
    <row r="175" spans="1:23" x14ac:dyDescent="0.45">
      <c r="A175" t="str">
        <f>貼り付け2!S175</f>
        <v/>
      </c>
      <c r="B175" t="str">
        <f>貼り付け2!R175</f>
        <v/>
      </c>
      <c r="E175" t="str">
        <f ca="1">IFERROR(OFFSET(貼り付け2!$A$1,$A175-1,OFFSET(貼り付け2!$A$1,ROW()-1,MATCH(E$1,貼り付け2!$1:$1,0)-1)-1),"")</f>
        <v/>
      </c>
      <c r="H175" t="str">
        <f ca="1">IFERROR(OFFSET(貼り付け2!$A$1,まとめ!$B175-1,OFFSET(貼り付け2!$A$1,ROW()-1,MATCH(H$1,貼り付け2!$1:$1,0)-1)-1),"")</f>
        <v/>
      </c>
      <c r="J175" t="str">
        <f ca="1">IFERROR(OFFSET(貼り付け2!$A$1,$A175-1,OFFSET(貼り付け2!$A$1,ROW()-1,MATCH(J$1,貼り付け2!$1:$1,0)-1)-1),"")</f>
        <v/>
      </c>
      <c r="M175" t="str">
        <f ca="1">IFERROR(OFFSET(貼り付け2!$A$1,まとめ!$B175-1,OFFSET(貼り付け2!$A$1,ROW()-1,MATCH(M$1,貼り付け2!$1:$1,0)-1)-1),"")</f>
        <v/>
      </c>
      <c r="O175" t="str">
        <f ca="1">IFERROR(OFFSET(貼り付け2!$A$1,$A175-1,OFFSET(貼り付け2!$A$1,ROW()-1,MATCH(O$1,貼り付け2!$1:$1,0)-1)-1),"")</f>
        <v/>
      </c>
      <c r="R175" t="str">
        <f ca="1">IFERROR(OFFSET(貼り付け2!$A$1,まとめ!$B175-1,OFFSET(貼り付け2!$A$1,ROW()-1,MATCH(R$1,貼り付け2!$1:$1,0)-1)-1),"")</f>
        <v/>
      </c>
      <c r="T175" t="str">
        <f ca="1">IFERROR(OFFSET(貼り付け2!$A$1,$A175-1,OFFSET(貼り付け2!$A$1,ROW()-1,MATCH(T$1,貼り付け2!$1:$1,0)-1)-1),"")</f>
        <v/>
      </c>
      <c r="W175" t="str">
        <f ca="1">IFERROR(OFFSET(貼り付け2!$A$1,まとめ!$B175-1,OFFSET(貼り付け2!$A$1,ROW()-1,MATCH(W$1,貼り付け2!$1:$1,0)-1)-1),"")</f>
        <v/>
      </c>
    </row>
    <row r="176" spans="1:23" x14ac:dyDescent="0.45">
      <c r="A176" t="str">
        <f>貼り付け2!S176</f>
        <v/>
      </c>
      <c r="B176" t="str">
        <f>貼り付け2!R176</f>
        <v/>
      </c>
      <c r="E176" t="str">
        <f ca="1">IFERROR(OFFSET(貼り付け2!$A$1,$A176-1,OFFSET(貼り付け2!$A$1,ROW()-1,MATCH(E$1,貼り付け2!$1:$1,0)-1)-1),"")</f>
        <v/>
      </c>
      <c r="H176" t="str">
        <f ca="1">IFERROR(OFFSET(貼り付け2!$A$1,まとめ!$B176-1,OFFSET(貼り付け2!$A$1,ROW()-1,MATCH(H$1,貼り付け2!$1:$1,0)-1)-1),"")</f>
        <v/>
      </c>
      <c r="J176" t="str">
        <f ca="1">IFERROR(OFFSET(貼り付け2!$A$1,$A176-1,OFFSET(貼り付け2!$A$1,ROW()-1,MATCH(J$1,貼り付け2!$1:$1,0)-1)-1),"")</f>
        <v/>
      </c>
      <c r="M176" t="str">
        <f ca="1">IFERROR(OFFSET(貼り付け2!$A$1,まとめ!$B176-1,OFFSET(貼り付け2!$A$1,ROW()-1,MATCH(M$1,貼り付け2!$1:$1,0)-1)-1),"")</f>
        <v/>
      </c>
      <c r="O176" t="str">
        <f ca="1">IFERROR(OFFSET(貼り付け2!$A$1,$A176-1,OFFSET(貼り付け2!$A$1,ROW()-1,MATCH(O$1,貼り付け2!$1:$1,0)-1)-1),"")</f>
        <v/>
      </c>
      <c r="R176" t="str">
        <f ca="1">IFERROR(OFFSET(貼り付け2!$A$1,まとめ!$B176-1,OFFSET(貼り付け2!$A$1,ROW()-1,MATCH(R$1,貼り付け2!$1:$1,0)-1)-1),"")</f>
        <v/>
      </c>
      <c r="T176" t="str">
        <f ca="1">IFERROR(OFFSET(貼り付け2!$A$1,$A176-1,OFFSET(貼り付け2!$A$1,ROW()-1,MATCH(T$1,貼り付け2!$1:$1,0)-1)-1),"")</f>
        <v/>
      </c>
      <c r="W176" t="str">
        <f ca="1">IFERROR(OFFSET(貼り付け2!$A$1,まとめ!$B176-1,OFFSET(貼り付け2!$A$1,ROW()-1,MATCH(W$1,貼り付け2!$1:$1,0)-1)-1),"")</f>
        <v/>
      </c>
    </row>
    <row r="177" spans="1:23" x14ac:dyDescent="0.45">
      <c r="A177" t="str">
        <f>貼り付け2!S177</f>
        <v/>
      </c>
      <c r="B177" t="str">
        <f>貼り付け2!R177</f>
        <v/>
      </c>
      <c r="E177" t="str">
        <f ca="1">IFERROR(OFFSET(貼り付け2!$A$1,$A177-1,OFFSET(貼り付け2!$A$1,ROW()-1,MATCH(E$1,貼り付け2!$1:$1,0)-1)-1),"")</f>
        <v/>
      </c>
      <c r="H177" t="str">
        <f ca="1">IFERROR(OFFSET(貼り付け2!$A$1,まとめ!$B177-1,OFFSET(貼り付け2!$A$1,ROW()-1,MATCH(H$1,貼り付け2!$1:$1,0)-1)-1),"")</f>
        <v/>
      </c>
      <c r="J177" t="str">
        <f ca="1">IFERROR(OFFSET(貼り付け2!$A$1,$A177-1,OFFSET(貼り付け2!$A$1,ROW()-1,MATCH(J$1,貼り付け2!$1:$1,0)-1)-1),"")</f>
        <v/>
      </c>
      <c r="M177" t="str">
        <f ca="1">IFERROR(OFFSET(貼り付け2!$A$1,まとめ!$B177-1,OFFSET(貼り付け2!$A$1,ROW()-1,MATCH(M$1,貼り付け2!$1:$1,0)-1)-1),"")</f>
        <v/>
      </c>
      <c r="O177" t="str">
        <f ca="1">IFERROR(OFFSET(貼り付け2!$A$1,$A177-1,OFFSET(貼り付け2!$A$1,ROW()-1,MATCH(O$1,貼り付け2!$1:$1,0)-1)-1),"")</f>
        <v/>
      </c>
      <c r="R177" t="str">
        <f ca="1">IFERROR(OFFSET(貼り付け2!$A$1,まとめ!$B177-1,OFFSET(貼り付け2!$A$1,ROW()-1,MATCH(R$1,貼り付け2!$1:$1,0)-1)-1),"")</f>
        <v/>
      </c>
      <c r="T177" t="str">
        <f ca="1">IFERROR(OFFSET(貼り付け2!$A$1,$A177-1,OFFSET(貼り付け2!$A$1,ROW()-1,MATCH(T$1,貼り付け2!$1:$1,0)-1)-1),"")</f>
        <v/>
      </c>
      <c r="W177" t="str">
        <f ca="1">IFERROR(OFFSET(貼り付け2!$A$1,まとめ!$B177-1,OFFSET(貼り付け2!$A$1,ROW()-1,MATCH(W$1,貼り付け2!$1:$1,0)-1)-1),"")</f>
        <v/>
      </c>
    </row>
    <row r="178" spans="1:23" x14ac:dyDescent="0.45">
      <c r="A178" t="str">
        <f>貼り付け2!S178</f>
        <v/>
      </c>
      <c r="B178" t="str">
        <f>貼り付け2!R178</f>
        <v/>
      </c>
      <c r="E178" t="str">
        <f ca="1">IFERROR(OFFSET(貼り付け2!$A$1,$A178-1,OFFSET(貼り付け2!$A$1,ROW()-1,MATCH(E$1,貼り付け2!$1:$1,0)-1)-1),"")</f>
        <v/>
      </c>
      <c r="H178" t="str">
        <f ca="1">IFERROR(OFFSET(貼り付け2!$A$1,まとめ!$B178-1,OFFSET(貼り付け2!$A$1,ROW()-1,MATCH(H$1,貼り付け2!$1:$1,0)-1)-1),"")</f>
        <v/>
      </c>
      <c r="J178" t="str">
        <f ca="1">IFERROR(OFFSET(貼り付け2!$A$1,$A178-1,OFFSET(貼り付け2!$A$1,ROW()-1,MATCH(J$1,貼り付け2!$1:$1,0)-1)-1),"")</f>
        <v/>
      </c>
      <c r="M178" t="str">
        <f ca="1">IFERROR(OFFSET(貼り付け2!$A$1,まとめ!$B178-1,OFFSET(貼り付け2!$A$1,ROW()-1,MATCH(M$1,貼り付け2!$1:$1,0)-1)-1),"")</f>
        <v/>
      </c>
      <c r="O178" t="str">
        <f ca="1">IFERROR(OFFSET(貼り付け2!$A$1,$A178-1,OFFSET(貼り付け2!$A$1,ROW()-1,MATCH(O$1,貼り付け2!$1:$1,0)-1)-1),"")</f>
        <v/>
      </c>
      <c r="R178" t="str">
        <f ca="1">IFERROR(OFFSET(貼り付け2!$A$1,まとめ!$B178-1,OFFSET(貼り付け2!$A$1,ROW()-1,MATCH(R$1,貼り付け2!$1:$1,0)-1)-1),"")</f>
        <v/>
      </c>
      <c r="T178" t="str">
        <f ca="1">IFERROR(OFFSET(貼り付け2!$A$1,$A178-1,OFFSET(貼り付け2!$A$1,ROW()-1,MATCH(T$1,貼り付け2!$1:$1,0)-1)-1),"")</f>
        <v/>
      </c>
      <c r="W178" t="str">
        <f ca="1">IFERROR(OFFSET(貼り付け2!$A$1,まとめ!$B178-1,OFFSET(貼り付け2!$A$1,ROW()-1,MATCH(W$1,貼り付け2!$1:$1,0)-1)-1),"")</f>
        <v/>
      </c>
    </row>
    <row r="179" spans="1:23" x14ac:dyDescent="0.45">
      <c r="A179" t="str">
        <f>貼り付け2!S179</f>
        <v/>
      </c>
      <c r="B179" t="str">
        <f>貼り付け2!R179</f>
        <v/>
      </c>
      <c r="E179" t="str">
        <f ca="1">IFERROR(OFFSET(貼り付け2!$A$1,$A179-1,OFFSET(貼り付け2!$A$1,ROW()-1,MATCH(E$1,貼り付け2!$1:$1,0)-1)-1),"")</f>
        <v/>
      </c>
      <c r="H179" t="str">
        <f ca="1">IFERROR(OFFSET(貼り付け2!$A$1,まとめ!$B179-1,OFFSET(貼り付け2!$A$1,ROW()-1,MATCH(H$1,貼り付け2!$1:$1,0)-1)-1),"")</f>
        <v/>
      </c>
      <c r="J179" t="str">
        <f ca="1">IFERROR(OFFSET(貼り付け2!$A$1,$A179-1,OFFSET(貼り付け2!$A$1,ROW()-1,MATCH(J$1,貼り付け2!$1:$1,0)-1)-1),"")</f>
        <v/>
      </c>
      <c r="M179" t="str">
        <f ca="1">IFERROR(OFFSET(貼り付け2!$A$1,まとめ!$B179-1,OFFSET(貼り付け2!$A$1,ROW()-1,MATCH(M$1,貼り付け2!$1:$1,0)-1)-1),"")</f>
        <v/>
      </c>
      <c r="O179" t="str">
        <f ca="1">IFERROR(OFFSET(貼り付け2!$A$1,$A179-1,OFFSET(貼り付け2!$A$1,ROW()-1,MATCH(O$1,貼り付け2!$1:$1,0)-1)-1),"")</f>
        <v/>
      </c>
      <c r="R179" t="str">
        <f ca="1">IFERROR(OFFSET(貼り付け2!$A$1,まとめ!$B179-1,OFFSET(貼り付け2!$A$1,ROW()-1,MATCH(R$1,貼り付け2!$1:$1,0)-1)-1),"")</f>
        <v/>
      </c>
      <c r="T179" t="str">
        <f ca="1">IFERROR(OFFSET(貼り付け2!$A$1,$A179-1,OFFSET(貼り付け2!$A$1,ROW()-1,MATCH(T$1,貼り付け2!$1:$1,0)-1)-1),"")</f>
        <v/>
      </c>
      <c r="W179" t="str">
        <f ca="1">IFERROR(OFFSET(貼り付け2!$A$1,まとめ!$B179-1,OFFSET(貼り付け2!$A$1,ROW()-1,MATCH(W$1,貼り付け2!$1:$1,0)-1)-1),"")</f>
        <v/>
      </c>
    </row>
    <row r="180" spans="1:23" x14ac:dyDescent="0.45">
      <c r="A180" t="str">
        <f>貼り付け2!S180</f>
        <v/>
      </c>
      <c r="B180" t="str">
        <f>貼り付け2!R180</f>
        <v/>
      </c>
      <c r="E180" t="str">
        <f ca="1">IFERROR(OFFSET(貼り付け2!$A$1,$A180-1,OFFSET(貼り付け2!$A$1,ROW()-1,MATCH(E$1,貼り付け2!$1:$1,0)-1)-1),"")</f>
        <v/>
      </c>
      <c r="H180" t="str">
        <f ca="1">IFERROR(OFFSET(貼り付け2!$A$1,まとめ!$B180-1,OFFSET(貼り付け2!$A$1,ROW()-1,MATCH(H$1,貼り付け2!$1:$1,0)-1)-1),"")</f>
        <v/>
      </c>
      <c r="J180" t="str">
        <f ca="1">IFERROR(OFFSET(貼り付け2!$A$1,$A180-1,OFFSET(貼り付け2!$A$1,ROW()-1,MATCH(J$1,貼り付け2!$1:$1,0)-1)-1),"")</f>
        <v/>
      </c>
      <c r="M180" t="str">
        <f ca="1">IFERROR(OFFSET(貼り付け2!$A$1,まとめ!$B180-1,OFFSET(貼り付け2!$A$1,ROW()-1,MATCH(M$1,貼り付け2!$1:$1,0)-1)-1),"")</f>
        <v/>
      </c>
      <c r="O180" t="str">
        <f ca="1">IFERROR(OFFSET(貼り付け2!$A$1,$A180-1,OFFSET(貼り付け2!$A$1,ROW()-1,MATCH(O$1,貼り付け2!$1:$1,0)-1)-1),"")</f>
        <v/>
      </c>
      <c r="R180" t="str">
        <f ca="1">IFERROR(OFFSET(貼り付け2!$A$1,まとめ!$B180-1,OFFSET(貼り付け2!$A$1,ROW()-1,MATCH(R$1,貼り付け2!$1:$1,0)-1)-1),"")</f>
        <v/>
      </c>
      <c r="T180" t="str">
        <f ca="1">IFERROR(OFFSET(貼り付け2!$A$1,$A180-1,OFFSET(貼り付け2!$A$1,ROW()-1,MATCH(T$1,貼り付け2!$1:$1,0)-1)-1),"")</f>
        <v/>
      </c>
      <c r="W180" t="str">
        <f ca="1">IFERROR(OFFSET(貼り付け2!$A$1,まとめ!$B180-1,OFFSET(貼り付け2!$A$1,ROW()-1,MATCH(W$1,貼り付け2!$1:$1,0)-1)-1),"")</f>
        <v/>
      </c>
    </row>
    <row r="181" spans="1:23" x14ac:dyDescent="0.45">
      <c r="A181" t="str">
        <f>貼り付け2!S181</f>
        <v/>
      </c>
      <c r="B181" t="str">
        <f>貼り付け2!R181</f>
        <v/>
      </c>
      <c r="E181" t="str">
        <f ca="1">IFERROR(OFFSET(貼り付け2!$A$1,$A181-1,OFFSET(貼り付け2!$A$1,ROW()-1,MATCH(E$1,貼り付け2!$1:$1,0)-1)-1),"")</f>
        <v/>
      </c>
      <c r="H181" t="str">
        <f ca="1">IFERROR(OFFSET(貼り付け2!$A$1,まとめ!$B181-1,OFFSET(貼り付け2!$A$1,ROW()-1,MATCH(H$1,貼り付け2!$1:$1,0)-1)-1),"")</f>
        <v/>
      </c>
      <c r="J181" t="str">
        <f ca="1">IFERROR(OFFSET(貼り付け2!$A$1,$A181-1,OFFSET(貼り付け2!$A$1,ROW()-1,MATCH(J$1,貼り付け2!$1:$1,0)-1)-1),"")</f>
        <v/>
      </c>
      <c r="M181" t="str">
        <f ca="1">IFERROR(OFFSET(貼り付け2!$A$1,まとめ!$B181-1,OFFSET(貼り付け2!$A$1,ROW()-1,MATCH(M$1,貼り付け2!$1:$1,0)-1)-1),"")</f>
        <v/>
      </c>
      <c r="O181" t="str">
        <f ca="1">IFERROR(OFFSET(貼り付け2!$A$1,$A181-1,OFFSET(貼り付け2!$A$1,ROW()-1,MATCH(O$1,貼り付け2!$1:$1,0)-1)-1),"")</f>
        <v/>
      </c>
      <c r="R181" t="str">
        <f ca="1">IFERROR(OFFSET(貼り付け2!$A$1,まとめ!$B181-1,OFFSET(貼り付け2!$A$1,ROW()-1,MATCH(R$1,貼り付け2!$1:$1,0)-1)-1),"")</f>
        <v/>
      </c>
      <c r="T181" t="str">
        <f ca="1">IFERROR(OFFSET(貼り付け2!$A$1,$A181-1,OFFSET(貼り付け2!$A$1,ROW()-1,MATCH(T$1,貼り付け2!$1:$1,0)-1)-1),"")</f>
        <v/>
      </c>
      <c r="W181" t="str">
        <f ca="1">IFERROR(OFFSET(貼り付け2!$A$1,まとめ!$B181-1,OFFSET(貼り付け2!$A$1,ROW()-1,MATCH(W$1,貼り付け2!$1:$1,0)-1)-1),"")</f>
        <v/>
      </c>
    </row>
    <row r="182" spans="1:23" x14ac:dyDescent="0.45">
      <c r="A182" t="str">
        <f>貼り付け2!S182</f>
        <v/>
      </c>
      <c r="B182" t="str">
        <f>貼り付け2!R182</f>
        <v/>
      </c>
      <c r="E182" t="str">
        <f ca="1">IFERROR(OFFSET(貼り付け2!$A$1,$A182-1,OFFSET(貼り付け2!$A$1,ROW()-1,MATCH(E$1,貼り付け2!$1:$1,0)-1)-1),"")</f>
        <v/>
      </c>
      <c r="H182" t="str">
        <f ca="1">IFERROR(OFFSET(貼り付け2!$A$1,まとめ!$B182-1,OFFSET(貼り付け2!$A$1,ROW()-1,MATCH(H$1,貼り付け2!$1:$1,0)-1)-1),"")</f>
        <v/>
      </c>
      <c r="J182" t="str">
        <f ca="1">IFERROR(OFFSET(貼り付け2!$A$1,$A182-1,OFFSET(貼り付け2!$A$1,ROW()-1,MATCH(J$1,貼り付け2!$1:$1,0)-1)-1),"")</f>
        <v/>
      </c>
      <c r="M182" t="str">
        <f ca="1">IFERROR(OFFSET(貼り付け2!$A$1,まとめ!$B182-1,OFFSET(貼り付け2!$A$1,ROW()-1,MATCH(M$1,貼り付け2!$1:$1,0)-1)-1),"")</f>
        <v/>
      </c>
      <c r="O182" t="str">
        <f ca="1">IFERROR(OFFSET(貼り付け2!$A$1,$A182-1,OFFSET(貼り付け2!$A$1,ROW()-1,MATCH(O$1,貼り付け2!$1:$1,0)-1)-1),"")</f>
        <v/>
      </c>
      <c r="R182" t="str">
        <f ca="1">IFERROR(OFFSET(貼り付け2!$A$1,まとめ!$B182-1,OFFSET(貼り付け2!$A$1,ROW()-1,MATCH(R$1,貼り付け2!$1:$1,0)-1)-1),"")</f>
        <v/>
      </c>
      <c r="T182" t="str">
        <f ca="1">IFERROR(OFFSET(貼り付け2!$A$1,$A182-1,OFFSET(貼り付け2!$A$1,ROW()-1,MATCH(T$1,貼り付け2!$1:$1,0)-1)-1),"")</f>
        <v/>
      </c>
      <c r="W182" t="str">
        <f ca="1">IFERROR(OFFSET(貼り付け2!$A$1,まとめ!$B182-1,OFFSET(貼り付け2!$A$1,ROW()-1,MATCH(W$1,貼り付け2!$1:$1,0)-1)-1),"")</f>
        <v/>
      </c>
    </row>
    <row r="183" spans="1:23" x14ac:dyDescent="0.45">
      <c r="A183" t="str">
        <f>貼り付け2!S183</f>
        <v/>
      </c>
      <c r="B183" t="str">
        <f>貼り付け2!R183</f>
        <v/>
      </c>
      <c r="E183" t="str">
        <f ca="1">IFERROR(OFFSET(貼り付け2!$A$1,$A183-1,OFFSET(貼り付け2!$A$1,ROW()-1,MATCH(E$1,貼り付け2!$1:$1,0)-1)-1),"")</f>
        <v/>
      </c>
      <c r="H183" t="str">
        <f ca="1">IFERROR(OFFSET(貼り付け2!$A$1,まとめ!$B183-1,OFFSET(貼り付け2!$A$1,ROW()-1,MATCH(H$1,貼り付け2!$1:$1,0)-1)-1),"")</f>
        <v/>
      </c>
      <c r="J183" t="str">
        <f ca="1">IFERROR(OFFSET(貼り付け2!$A$1,$A183-1,OFFSET(貼り付け2!$A$1,ROW()-1,MATCH(J$1,貼り付け2!$1:$1,0)-1)-1),"")</f>
        <v/>
      </c>
      <c r="M183" t="str">
        <f ca="1">IFERROR(OFFSET(貼り付け2!$A$1,まとめ!$B183-1,OFFSET(貼り付け2!$A$1,ROW()-1,MATCH(M$1,貼り付け2!$1:$1,0)-1)-1),"")</f>
        <v/>
      </c>
      <c r="O183" t="str">
        <f ca="1">IFERROR(OFFSET(貼り付け2!$A$1,$A183-1,OFFSET(貼り付け2!$A$1,ROW()-1,MATCH(O$1,貼り付け2!$1:$1,0)-1)-1),"")</f>
        <v/>
      </c>
      <c r="R183" t="str">
        <f ca="1">IFERROR(OFFSET(貼り付け2!$A$1,まとめ!$B183-1,OFFSET(貼り付け2!$A$1,ROW()-1,MATCH(R$1,貼り付け2!$1:$1,0)-1)-1),"")</f>
        <v/>
      </c>
      <c r="T183" t="str">
        <f ca="1">IFERROR(OFFSET(貼り付け2!$A$1,$A183-1,OFFSET(貼り付け2!$A$1,ROW()-1,MATCH(T$1,貼り付け2!$1:$1,0)-1)-1),"")</f>
        <v/>
      </c>
      <c r="W183" t="str">
        <f ca="1">IFERROR(OFFSET(貼り付け2!$A$1,まとめ!$B183-1,OFFSET(貼り付け2!$A$1,ROW()-1,MATCH(W$1,貼り付け2!$1:$1,0)-1)-1),"")</f>
        <v/>
      </c>
    </row>
    <row r="184" spans="1:23" x14ac:dyDescent="0.45">
      <c r="A184" t="str">
        <f>貼り付け2!S184</f>
        <v/>
      </c>
      <c r="B184" t="str">
        <f>貼り付け2!R184</f>
        <v/>
      </c>
      <c r="E184" t="str">
        <f ca="1">IFERROR(OFFSET(貼り付け2!$A$1,$A184-1,OFFSET(貼り付け2!$A$1,ROW()-1,MATCH(E$1,貼り付け2!$1:$1,0)-1)-1),"")</f>
        <v/>
      </c>
      <c r="H184" t="str">
        <f ca="1">IFERROR(OFFSET(貼り付け2!$A$1,まとめ!$B184-1,OFFSET(貼り付け2!$A$1,ROW()-1,MATCH(H$1,貼り付け2!$1:$1,0)-1)-1),"")</f>
        <v/>
      </c>
      <c r="J184" t="str">
        <f ca="1">IFERROR(OFFSET(貼り付け2!$A$1,$A184-1,OFFSET(貼り付け2!$A$1,ROW()-1,MATCH(J$1,貼り付け2!$1:$1,0)-1)-1),"")</f>
        <v/>
      </c>
      <c r="M184" t="str">
        <f ca="1">IFERROR(OFFSET(貼り付け2!$A$1,まとめ!$B184-1,OFFSET(貼り付け2!$A$1,ROW()-1,MATCH(M$1,貼り付け2!$1:$1,0)-1)-1),"")</f>
        <v/>
      </c>
      <c r="O184" t="str">
        <f ca="1">IFERROR(OFFSET(貼り付け2!$A$1,$A184-1,OFFSET(貼り付け2!$A$1,ROW()-1,MATCH(O$1,貼り付け2!$1:$1,0)-1)-1),"")</f>
        <v/>
      </c>
      <c r="R184" t="str">
        <f ca="1">IFERROR(OFFSET(貼り付け2!$A$1,まとめ!$B184-1,OFFSET(貼り付け2!$A$1,ROW()-1,MATCH(R$1,貼り付け2!$1:$1,0)-1)-1),"")</f>
        <v/>
      </c>
      <c r="T184" t="str">
        <f ca="1">IFERROR(OFFSET(貼り付け2!$A$1,$A184-1,OFFSET(貼り付け2!$A$1,ROW()-1,MATCH(T$1,貼り付け2!$1:$1,0)-1)-1),"")</f>
        <v/>
      </c>
      <c r="W184" t="str">
        <f ca="1">IFERROR(OFFSET(貼り付け2!$A$1,まとめ!$B184-1,OFFSET(貼り付け2!$A$1,ROW()-1,MATCH(W$1,貼り付け2!$1:$1,0)-1)-1),"")</f>
        <v/>
      </c>
    </row>
    <row r="185" spans="1:23" x14ac:dyDescent="0.45">
      <c r="A185" t="str">
        <f>貼り付け2!S185</f>
        <v/>
      </c>
      <c r="B185" t="str">
        <f>貼り付け2!R185</f>
        <v/>
      </c>
      <c r="E185" t="str">
        <f ca="1">IFERROR(OFFSET(貼り付け2!$A$1,$A185-1,OFFSET(貼り付け2!$A$1,ROW()-1,MATCH(E$1,貼り付け2!$1:$1,0)-1)-1),"")</f>
        <v/>
      </c>
      <c r="H185" t="str">
        <f ca="1">IFERROR(OFFSET(貼り付け2!$A$1,まとめ!$B185-1,OFFSET(貼り付け2!$A$1,ROW()-1,MATCH(H$1,貼り付け2!$1:$1,0)-1)-1),"")</f>
        <v/>
      </c>
      <c r="J185" t="str">
        <f ca="1">IFERROR(OFFSET(貼り付け2!$A$1,$A185-1,OFFSET(貼り付け2!$A$1,ROW()-1,MATCH(J$1,貼り付け2!$1:$1,0)-1)-1),"")</f>
        <v/>
      </c>
      <c r="M185" t="str">
        <f ca="1">IFERROR(OFFSET(貼り付け2!$A$1,まとめ!$B185-1,OFFSET(貼り付け2!$A$1,ROW()-1,MATCH(M$1,貼り付け2!$1:$1,0)-1)-1),"")</f>
        <v/>
      </c>
      <c r="O185" t="str">
        <f ca="1">IFERROR(OFFSET(貼り付け2!$A$1,$A185-1,OFFSET(貼り付け2!$A$1,ROW()-1,MATCH(O$1,貼り付け2!$1:$1,0)-1)-1),"")</f>
        <v/>
      </c>
      <c r="R185" t="str">
        <f ca="1">IFERROR(OFFSET(貼り付け2!$A$1,まとめ!$B185-1,OFFSET(貼り付け2!$A$1,ROW()-1,MATCH(R$1,貼り付け2!$1:$1,0)-1)-1),"")</f>
        <v/>
      </c>
      <c r="T185" t="str">
        <f ca="1">IFERROR(OFFSET(貼り付け2!$A$1,$A185-1,OFFSET(貼り付け2!$A$1,ROW()-1,MATCH(T$1,貼り付け2!$1:$1,0)-1)-1),"")</f>
        <v/>
      </c>
      <c r="W185" t="str">
        <f ca="1">IFERROR(OFFSET(貼り付け2!$A$1,まとめ!$B185-1,OFFSET(貼り付け2!$A$1,ROW()-1,MATCH(W$1,貼り付け2!$1:$1,0)-1)-1),"")</f>
        <v/>
      </c>
    </row>
    <row r="186" spans="1:23" x14ac:dyDescent="0.45">
      <c r="A186" t="str">
        <f>貼り付け2!S186</f>
        <v/>
      </c>
      <c r="B186" t="str">
        <f>貼り付け2!R186</f>
        <v/>
      </c>
      <c r="E186" t="str">
        <f ca="1">IFERROR(OFFSET(貼り付け2!$A$1,$A186-1,OFFSET(貼り付け2!$A$1,ROW()-1,MATCH(E$1,貼り付け2!$1:$1,0)-1)-1),"")</f>
        <v/>
      </c>
      <c r="H186" t="str">
        <f ca="1">IFERROR(OFFSET(貼り付け2!$A$1,まとめ!$B186-1,OFFSET(貼り付け2!$A$1,ROW()-1,MATCH(H$1,貼り付け2!$1:$1,0)-1)-1),"")</f>
        <v/>
      </c>
      <c r="J186" t="str">
        <f ca="1">IFERROR(OFFSET(貼り付け2!$A$1,$A186-1,OFFSET(貼り付け2!$A$1,ROW()-1,MATCH(J$1,貼り付け2!$1:$1,0)-1)-1),"")</f>
        <v/>
      </c>
      <c r="M186" t="str">
        <f ca="1">IFERROR(OFFSET(貼り付け2!$A$1,まとめ!$B186-1,OFFSET(貼り付け2!$A$1,ROW()-1,MATCH(M$1,貼り付け2!$1:$1,0)-1)-1),"")</f>
        <v/>
      </c>
      <c r="O186" t="str">
        <f ca="1">IFERROR(OFFSET(貼り付け2!$A$1,$A186-1,OFFSET(貼り付け2!$A$1,ROW()-1,MATCH(O$1,貼り付け2!$1:$1,0)-1)-1),"")</f>
        <v/>
      </c>
      <c r="R186" t="str">
        <f ca="1">IFERROR(OFFSET(貼り付け2!$A$1,まとめ!$B186-1,OFFSET(貼り付け2!$A$1,ROW()-1,MATCH(R$1,貼り付け2!$1:$1,0)-1)-1),"")</f>
        <v/>
      </c>
      <c r="T186" t="str">
        <f ca="1">IFERROR(OFFSET(貼り付け2!$A$1,$A186-1,OFFSET(貼り付け2!$A$1,ROW()-1,MATCH(T$1,貼り付け2!$1:$1,0)-1)-1),"")</f>
        <v/>
      </c>
      <c r="W186" t="str">
        <f ca="1">IFERROR(OFFSET(貼り付け2!$A$1,まとめ!$B186-1,OFFSET(貼り付け2!$A$1,ROW()-1,MATCH(W$1,貼り付け2!$1:$1,0)-1)-1),"")</f>
        <v/>
      </c>
    </row>
    <row r="187" spans="1:23" x14ac:dyDescent="0.45">
      <c r="A187" t="str">
        <f>貼り付け2!S187</f>
        <v/>
      </c>
      <c r="B187" t="str">
        <f>貼り付け2!R187</f>
        <v/>
      </c>
      <c r="E187" t="str">
        <f ca="1">IFERROR(OFFSET(貼り付け2!$A$1,$A187-1,OFFSET(貼り付け2!$A$1,ROW()-1,MATCH(E$1,貼り付け2!$1:$1,0)-1)-1),"")</f>
        <v/>
      </c>
      <c r="H187" t="str">
        <f ca="1">IFERROR(OFFSET(貼り付け2!$A$1,まとめ!$B187-1,OFFSET(貼り付け2!$A$1,ROW()-1,MATCH(H$1,貼り付け2!$1:$1,0)-1)-1),"")</f>
        <v/>
      </c>
      <c r="J187" t="str">
        <f ca="1">IFERROR(OFFSET(貼り付け2!$A$1,$A187-1,OFFSET(貼り付け2!$A$1,ROW()-1,MATCH(J$1,貼り付け2!$1:$1,0)-1)-1),"")</f>
        <v/>
      </c>
      <c r="M187" t="str">
        <f ca="1">IFERROR(OFFSET(貼り付け2!$A$1,まとめ!$B187-1,OFFSET(貼り付け2!$A$1,ROW()-1,MATCH(M$1,貼り付け2!$1:$1,0)-1)-1),"")</f>
        <v/>
      </c>
      <c r="O187" t="str">
        <f ca="1">IFERROR(OFFSET(貼り付け2!$A$1,$A187-1,OFFSET(貼り付け2!$A$1,ROW()-1,MATCH(O$1,貼り付け2!$1:$1,0)-1)-1),"")</f>
        <v/>
      </c>
      <c r="R187" t="str">
        <f ca="1">IFERROR(OFFSET(貼り付け2!$A$1,まとめ!$B187-1,OFFSET(貼り付け2!$A$1,ROW()-1,MATCH(R$1,貼り付け2!$1:$1,0)-1)-1),"")</f>
        <v/>
      </c>
      <c r="T187" t="str">
        <f ca="1">IFERROR(OFFSET(貼り付け2!$A$1,$A187-1,OFFSET(貼り付け2!$A$1,ROW()-1,MATCH(T$1,貼り付け2!$1:$1,0)-1)-1),"")</f>
        <v/>
      </c>
      <c r="W187" t="str">
        <f ca="1">IFERROR(OFFSET(貼り付け2!$A$1,まとめ!$B187-1,OFFSET(貼り付け2!$A$1,ROW()-1,MATCH(W$1,貼り付け2!$1:$1,0)-1)-1),"")</f>
        <v/>
      </c>
    </row>
    <row r="188" spans="1:23" x14ac:dyDescent="0.45">
      <c r="A188" t="str">
        <f>貼り付け2!S188</f>
        <v/>
      </c>
      <c r="B188" t="str">
        <f>貼り付け2!R188</f>
        <v/>
      </c>
      <c r="E188" t="str">
        <f ca="1">IFERROR(OFFSET(貼り付け2!$A$1,$A188-1,OFFSET(貼り付け2!$A$1,ROW()-1,MATCH(E$1,貼り付け2!$1:$1,0)-1)-1),"")</f>
        <v/>
      </c>
      <c r="H188" t="str">
        <f ca="1">IFERROR(OFFSET(貼り付け2!$A$1,まとめ!$B188-1,OFFSET(貼り付け2!$A$1,ROW()-1,MATCH(H$1,貼り付け2!$1:$1,0)-1)-1),"")</f>
        <v/>
      </c>
      <c r="J188" t="str">
        <f ca="1">IFERROR(OFFSET(貼り付け2!$A$1,$A188-1,OFFSET(貼り付け2!$A$1,ROW()-1,MATCH(J$1,貼り付け2!$1:$1,0)-1)-1),"")</f>
        <v/>
      </c>
      <c r="M188" t="str">
        <f ca="1">IFERROR(OFFSET(貼り付け2!$A$1,まとめ!$B188-1,OFFSET(貼り付け2!$A$1,ROW()-1,MATCH(M$1,貼り付け2!$1:$1,0)-1)-1),"")</f>
        <v/>
      </c>
      <c r="O188" t="str">
        <f ca="1">IFERROR(OFFSET(貼り付け2!$A$1,$A188-1,OFFSET(貼り付け2!$A$1,ROW()-1,MATCH(O$1,貼り付け2!$1:$1,0)-1)-1),"")</f>
        <v/>
      </c>
      <c r="R188" t="str">
        <f ca="1">IFERROR(OFFSET(貼り付け2!$A$1,まとめ!$B188-1,OFFSET(貼り付け2!$A$1,ROW()-1,MATCH(R$1,貼り付け2!$1:$1,0)-1)-1),"")</f>
        <v/>
      </c>
      <c r="T188" t="str">
        <f ca="1">IFERROR(OFFSET(貼り付け2!$A$1,$A188-1,OFFSET(貼り付け2!$A$1,ROW()-1,MATCH(T$1,貼り付け2!$1:$1,0)-1)-1),"")</f>
        <v/>
      </c>
      <c r="W188" t="str">
        <f ca="1">IFERROR(OFFSET(貼り付け2!$A$1,まとめ!$B188-1,OFFSET(貼り付け2!$A$1,ROW()-1,MATCH(W$1,貼り付け2!$1:$1,0)-1)-1),"")</f>
        <v/>
      </c>
    </row>
    <row r="189" spans="1:23" x14ac:dyDescent="0.45">
      <c r="A189" t="str">
        <f>貼り付け2!S189</f>
        <v/>
      </c>
      <c r="B189" t="str">
        <f>貼り付け2!R189</f>
        <v/>
      </c>
      <c r="E189" t="str">
        <f ca="1">IFERROR(OFFSET(貼り付け2!$A$1,$A189-1,OFFSET(貼り付け2!$A$1,ROW()-1,MATCH(E$1,貼り付け2!$1:$1,0)-1)-1),"")</f>
        <v/>
      </c>
      <c r="H189" t="str">
        <f ca="1">IFERROR(OFFSET(貼り付け2!$A$1,まとめ!$B189-1,OFFSET(貼り付け2!$A$1,ROW()-1,MATCH(H$1,貼り付け2!$1:$1,0)-1)-1),"")</f>
        <v/>
      </c>
      <c r="J189" t="str">
        <f ca="1">IFERROR(OFFSET(貼り付け2!$A$1,$A189-1,OFFSET(貼り付け2!$A$1,ROW()-1,MATCH(J$1,貼り付け2!$1:$1,0)-1)-1),"")</f>
        <v/>
      </c>
      <c r="M189" t="str">
        <f ca="1">IFERROR(OFFSET(貼り付け2!$A$1,まとめ!$B189-1,OFFSET(貼り付け2!$A$1,ROW()-1,MATCH(M$1,貼り付け2!$1:$1,0)-1)-1),"")</f>
        <v/>
      </c>
      <c r="O189" t="str">
        <f ca="1">IFERROR(OFFSET(貼り付け2!$A$1,$A189-1,OFFSET(貼り付け2!$A$1,ROW()-1,MATCH(O$1,貼り付け2!$1:$1,0)-1)-1),"")</f>
        <v/>
      </c>
      <c r="R189" t="str">
        <f ca="1">IFERROR(OFFSET(貼り付け2!$A$1,まとめ!$B189-1,OFFSET(貼り付け2!$A$1,ROW()-1,MATCH(R$1,貼り付け2!$1:$1,0)-1)-1),"")</f>
        <v/>
      </c>
      <c r="T189" t="str">
        <f ca="1">IFERROR(OFFSET(貼り付け2!$A$1,$A189-1,OFFSET(貼り付け2!$A$1,ROW()-1,MATCH(T$1,貼り付け2!$1:$1,0)-1)-1),"")</f>
        <v/>
      </c>
      <c r="W189" t="str">
        <f ca="1">IFERROR(OFFSET(貼り付け2!$A$1,まとめ!$B189-1,OFFSET(貼り付け2!$A$1,ROW()-1,MATCH(W$1,貼り付け2!$1:$1,0)-1)-1),"")</f>
        <v/>
      </c>
    </row>
    <row r="190" spans="1:23" x14ac:dyDescent="0.45">
      <c r="A190" t="str">
        <f>貼り付け2!S190</f>
        <v/>
      </c>
      <c r="B190" t="str">
        <f>貼り付け2!R190</f>
        <v/>
      </c>
      <c r="E190" t="str">
        <f ca="1">IFERROR(OFFSET(貼り付け2!$A$1,$A190-1,OFFSET(貼り付け2!$A$1,ROW()-1,MATCH(E$1,貼り付け2!$1:$1,0)-1)-1),"")</f>
        <v/>
      </c>
      <c r="H190" t="str">
        <f ca="1">IFERROR(OFFSET(貼り付け2!$A$1,まとめ!$B190-1,OFFSET(貼り付け2!$A$1,ROW()-1,MATCH(H$1,貼り付け2!$1:$1,0)-1)-1),"")</f>
        <v/>
      </c>
      <c r="J190" t="str">
        <f ca="1">IFERROR(OFFSET(貼り付け2!$A$1,$A190-1,OFFSET(貼り付け2!$A$1,ROW()-1,MATCH(J$1,貼り付け2!$1:$1,0)-1)-1),"")</f>
        <v/>
      </c>
      <c r="M190" t="str">
        <f ca="1">IFERROR(OFFSET(貼り付け2!$A$1,まとめ!$B190-1,OFFSET(貼り付け2!$A$1,ROW()-1,MATCH(M$1,貼り付け2!$1:$1,0)-1)-1),"")</f>
        <v/>
      </c>
      <c r="O190" t="str">
        <f ca="1">IFERROR(OFFSET(貼り付け2!$A$1,$A190-1,OFFSET(貼り付け2!$A$1,ROW()-1,MATCH(O$1,貼り付け2!$1:$1,0)-1)-1),"")</f>
        <v/>
      </c>
      <c r="R190" t="str">
        <f ca="1">IFERROR(OFFSET(貼り付け2!$A$1,まとめ!$B190-1,OFFSET(貼り付け2!$A$1,ROW()-1,MATCH(R$1,貼り付け2!$1:$1,0)-1)-1),"")</f>
        <v/>
      </c>
      <c r="T190" t="str">
        <f ca="1">IFERROR(OFFSET(貼り付け2!$A$1,$A190-1,OFFSET(貼り付け2!$A$1,ROW()-1,MATCH(T$1,貼り付け2!$1:$1,0)-1)-1),"")</f>
        <v/>
      </c>
      <c r="W190" t="str">
        <f ca="1">IFERROR(OFFSET(貼り付け2!$A$1,まとめ!$B190-1,OFFSET(貼り付け2!$A$1,ROW()-1,MATCH(W$1,貼り付け2!$1:$1,0)-1)-1),"")</f>
        <v/>
      </c>
    </row>
    <row r="191" spans="1:23" x14ac:dyDescent="0.45">
      <c r="A191" t="str">
        <f>貼り付け2!S191</f>
        <v/>
      </c>
      <c r="B191" t="str">
        <f>貼り付け2!R191</f>
        <v/>
      </c>
      <c r="E191" t="str">
        <f ca="1">IFERROR(OFFSET(貼り付け2!$A$1,$A191-1,OFFSET(貼り付け2!$A$1,ROW()-1,MATCH(E$1,貼り付け2!$1:$1,0)-1)-1),"")</f>
        <v/>
      </c>
      <c r="H191" t="str">
        <f ca="1">IFERROR(OFFSET(貼り付け2!$A$1,まとめ!$B191-1,OFFSET(貼り付け2!$A$1,ROW()-1,MATCH(H$1,貼り付け2!$1:$1,0)-1)-1),"")</f>
        <v/>
      </c>
      <c r="J191" t="str">
        <f ca="1">IFERROR(OFFSET(貼り付け2!$A$1,$A191-1,OFFSET(貼り付け2!$A$1,ROW()-1,MATCH(J$1,貼り付け2!$1:$1,0)-1)-1),"")</f>
        <v/>
      </c>
      <c r="M191" t="str">
        <f ca="1">IFERROR(OFFSET(貼り付け2!$A$1,まとめ!$B191-1,OFFSET(貼り付け2!$A$1,ROW()-1,MATCH(M$1,貼り付け2!$1:$1,0)-1)-1),"")</f>
        <v/>
      </c>
      <c r="O191" t="str">
        <f ca="1">IFERROR(OFFSET(貼り付け2!$A$1,$A191-1,OFFSET(貼り付け2!$A$1,ROW()-1,MATCH(O$1,貼り付け2!$1:$1,0)-1)-1),"")</f>
        <v/>
      </c>
      <c r="R191" t="str">
        <f ca="1">IFERROR(OFFSET(貼り付け2!$A$1,まとめ!$B191-1,OFFSET(貼り付け2!$A$1,ROW()-1,MATCH(R$1,貼り付け2!$1:$1,0)-1)-1),"")</f>
        <v/>
      </c>
      <c r="T191" t="str">
        <f ca="1">IFERROR(OFFSET(貼り付け2!$A$1,$A191-1,OFFSET(貼り付け2!$A$1,ROW()-1,MATCH(T$1,貼り付け2!$1:$1,0)-1)-1),"")</f>
        <v/>
      </c>
      <c r="W191" t="str">
        <f ca="1">IFERROR(OFFSET(貼り付け2!$A$1,まとめ!$B191-1,OFFSET(貼り付け2!$A$1,ROW()-1,MATCH(W$1,貼り付け2!$1:$1,0)-1)-1),"")</f>
        <v/>
      </c>
    </row>
    <row r="192" spans="1:23" x14ac:dyDescent="0.45">
      <c r="A192" t="str">
        <f>貼り付け2!S192</f>
        <v/>
      </c>
      <c r="B192" t="str">
        <f>貼り付け2!R192</f>
        <v/>
      </c>
      <c r="E192" t="str">
        <f ca="1">IFERROR(OFFSET(貼り付け2!$A$1,$A192-1,OFFSET(貼り付け2!$A$1,ROW()-1,MATCH(E$1,貼り付け2!$1:$1,0)-1)-1),"")</f>
        <v/>
      </c>
      <c r="H192" t="str">
        <f ca="1">IFERROR(OFFSET(貼り付け2!$A$1,まとめ!$B192-1,OFFSET(貼り付け2!$A$1,ROW()-1,MATCH(H$1,貼り付け2!$1:$1,0)-1)-1),"")</f>
        <v/>
      </c>
      <c r="J192" t="str">
        <f ca="1">IFERROR(OFFSET(貼り付け2!$A$1,$A192-1,OFFSET(貼り付け2!$A$1,ROW()-1,MATCH(J$1,貼り付け2!$1:$1,0)-1)-1),"")</f>
        <v/>
      </c>
      <c r="M192" t="str">
        <f ca="1">IFERROR(OFFSET(貼り付け2!$A$1,まとめ!$B192-1,OFFSET(貼り付け2!$A$1,ROW()-1,MATCH(M$1,貼り付け2!$1:$1,0)-1)-1),"")</f>
        <v/>
      </c>
      <c r="O192" t="str">
        <f ca="1">IFERROR(OFFSET(貼り付け2!$A$1,$A192-1,OFFSET(貼り付け2!$A$1,ROW()-1,MATCH(O$1,貼り付け2!$1:$1,0)-1)-1),"")</f>
        <v/>
      </c>
      <c r="R192" t="str">
        <f ca="1">IFERROR(OFFSET(貼り付け2!$A$1,まとめ!$B192-1,OFFSET(貼り付け2!$A$1,ROW()-1,MATCH(R$1,貼り付け2!$1:$1,0)-1)-1),"")</f>
        <v/>
      </c>
      <c r="T192" t="str">
        <f ca="1">IFERROR(OFFSET(貼り付け2!$A$1,$A192-1,OFFSET(貼り付け2!$A$1,ROW()-1,MATCH(T$1,貼り付け2!$1:$1,0)-1)-1),"")</f>
        <v/>
      </c>
      <c r="W192" t="str">
        <f ca="1">IFERROR(OFFSET(貼り付け2!$A$1,まとめ!$B192-1,OFFSET(貼り付け2!$A$1,ROW()-1,MATCH(W$1,貼り付け2!$1:$1,0)-1)-1),"")</f>
        <v/>
      </c>
    </row>
    <row r="193" spans="1:23" x14ac:dyDescent="0.45">
      <c r="A193" t="str">
        <f>貼り付け2!S193</f>
        <v/>
      </c>
      <c r="B193" t="str">
        <f>貼り付け2!R193</f>
        <v/>
      </c>
      <c r="E193" t="str">
        <f ca="1">IFERROR(OFFSET(貼り付け2!$A$1,$A193-1,OFFSET(貼り付け2!$A$1,ROW()-1,MATCH(E$1,貼り付け2!$1:$1,0)-1)-1),"")</f>
        <v/>
      </c>
      <c r="H193" t="str">
        <f ca="1">IFERROR(OFFSET(貼り付け2!$A$1,まとめ!$B193-1,OFFSET(貼り付け2!$A$1,ROW()-1,MATCH(H$1,貼り付け2!$1:$1,0)-1)-1),"")</f>
        <v/>
      </c>
      <c r="J193" t="str">
        <f ca="1">IFERROR(OFFSET(貼り付け2!$A$1,$A193-1,OFFSET(貼り付け2!$A$1,ROW()-1,MATCH(J$1,貼り付け2!$1:$1,0)-1)-1),"")</f>
        <v/>
      </c>
      <c r="M193" t="str">
        <f ca="1">IFERROR(OFFSET(貼り付け2!$A$1,まとめ!$B193-1,OFFSET(貼り付け2!$A$1,ROW()-1,MATCH(M$1,貼り付け2!$1:$1,0)-1)-1),"")</f>
        <v/>
      </c>
      <c r="O193" t="str">
        <f ca="1">IFERROR(OFFSET(貼り付け2!$A$1,$A193-1,OFFSET(貼り付け2!$A$1,ROW()-1,MATCH(O$1,貼り付け2!$1:$1,0)-1)-1),"")</f>
        <v/>
      </c>
      <c r="R193" t="str">
        <f ca="1">IFERROR(OFFSET(貼り付け2!$A$1,まとめ!$B193-1,OFFSET(貼り付け2!$A$1,ROW()-1,MATCH(R$1,貼り付け2!$1:$1,0)-1)-1),"")</f>
        <v/>
      </c>
      <c r="T193" t="str">
        <f ca="1">IFERROR(OFFSET(貼り付け2!$A$1,$A193-1,OFFSET(貼り付け2!$A$1,ROW()-1,MATCH(T$1,貼り付け2!$1:$1,0)-1)-1),"")</f>
        <v/>
      </c>
      <c r="W193" t="str">
        <f ca="1">IFERROR(OFFSET(貼り付け2!$A$1,まとめ!$B193-1,OFFSET(貼り付け2!$A$1,ROW()-1,MATCH(W$1,貼り付け2!$1:$1,0)-1)-1),"")</f>
        <v/>
      </c>
    </row>
    <row r="194" spans="1:23" x14ac:dyDescent="0.45">
      <c r="A194" t="str">
        <f>貼り付け2!S194</f>
        <v/>
      </c>
      <c r="B194" t="str">
        <f>貼り付け2!R194</f>
        <v/>
      </c>
      <c r="E194" t="str">
        <f ca="1">IFERROR(OFFSET(貼り付け2!$A$1,$A194-1,OFFSET(貼り付け2!$A$1,ROW()-1,MATCH(E$1,貼り付け2!$1:$1,0)-1)-1),"")</f>
        <v/>
      </c>
      <c r="H194" t="str">
        <f ca="1">IFERROR(OFFSET(貼り付け2!$A$1,まとめ!$B194-1,OFFSET(貼り付け2!$A$1,ROW()-1,MATCH(H$1,貼り付け2!$1:$1,0)-1)-1),"")</f>
        <v/>
      </c>
      <c r="J194" t="str">
        <f ca="1">IFERROR(OFFSET(貼り付け2!$A$1,$A194-1,OFFSET(貼り付け2!$A$1,ROW()-1,MATCH(J$1,貼り付け2!$1:$1,0)-1)-1),"")</f>
        <v/>
      </c>
      <c r="M194" t="str">
        <f ca="1">IFERROR(OFFSET(貼り付け2!$A$1,まとめ!$B194-1,OFFSET(貼り付け2!$A$1,ROW()-1,MATCH(M$1,貼り付け2!$1:$1,0)-1)-1),"")</f>
        <v/>
      </c>
      <c r="O194" t="str">
        <f ca="1">IFERROR(OFFSET(貼り付け2!$A$1,$A194-1,OFFSET(貼り付け2!$A$1,ROW()-1,MATCH(O$1,貼り付け2!$1:$1,0)-1)-1),"")</f>
        <v/>
      </c>
      <c r="R194" t="str">
        <f ca="1">IFERROR(OFFSET(貼り付け2!$A$1,まとめ!$B194-1,OFFSET(貼り付け2!$A$1,ROW()-1,MATCH(R$1,貼り付け2!$1:$1,0)-1)-1),"")</f>
        <v/>
      </c>
      <c r="T194" t="str">
        <f ca="1">IFERROR(OFFSET(貼り付け2!$A$1,$A194-1,OFFSET(貼り付け2!$A$1,ROW()-1,MATCH(T$1,貼り付け2!$1:$1,0)-1)-1),"")</f>
        <v/>
      </c>
      <c r="W194" t="str">
        <f ca="1">IFERROR(OFFSET(貼り付け2!$A$1,まとめ!$B194-1,OFFSET(貼り付け2!$A$1,ROW()-1,MATCH(W$1,貼り付け2!$1:$1,0)-1)-1),"")</f>
        <v/>
      </c>
    </row>
    <row r="195" spans="1:23" x14ac:dyDescent="0.45">
      <c r="A195" t="str">
        <f>貼り付け2!S195</f>
        <v/>
      </c>
      <c r="B195" t="str">
        <f>貼り付け2!R195</f>
        <v/>
      </c>
      <c r="E195" t="str">
        <f ca="1">IFERROR(OFFSET(貼り付け2!$A$1,$A195-1,OFFSET(貼り付け2!$A$1,ROW()-1,MATCH(E$1,貼り付け2!$1:$1,0)-1)-1),"")</f>
        <v/>
      </c>
      <c r="H195" t="str">
        <f ca="1">IFERROR(OFFSET(貼り付け2!$A$1,まとめ!$B195-1,OFFSET(貼り付け2!$A$1,ROW()-1,MATCH(H$1,貼り付け2!$1:$1,0)-1)-1),"")</f>
        <v/>
      </c>
      <c r="J195" t="str">
        <f ca="1">IFERROR(OFFSET(貼り付け2!$A$1,$A195-1,OFFSET(貼り付け2!$A$1,ROW()-1,MATCH(J$1,貼り付け2!$1:$1,0)-1)-1),"")</f>
        <v/>
      </c>
      <c r="M195" t="str">
        <f ca="1">IFERROR(OFFSET(貼り付け2!$A$1,まとめ!$B195-1,OFFSET(貼り付け2!$A$1,ROW()-1,MATCH(M$1,貼り付け2!$1:$1,0)-1)-1),"")</f>
        <v/>
      </c>
      <c r="O195" t="str">
        <f ca="1">IFERROR(OFFSET(貼り付け2!$A$1,$A195-1,OFFSET(貼り付け2!$A$1,ROW()-1,MATCH(O$1,貼り付け2!$1:$1,0)-1)-1),"")</f>
        <v/>
      </c>
      <c r="R195" t="str">
        <f ca="1">IFERROR(OFFSET(貼り付け2!$A$1,まとめ!$B195-1,OFFSET(貼り付け2!$A$1,ROW()-1,MATCH(R$1,貼り付け2!$1:$1,0)-1)-1),"")</f>
        <v/>
      </c>
      <c r="T195" t="str">
        <f ca="1">IFERROR(OFFSET(貼り付け2!$A$1,$A195-1,OFFSET(貼り付け2!$A$1,ROW()-1,MATCH(T$1,貼り付け2!$1:$1,0)-1)-1),"")</f>
        <v/>
      </c>
      <c r="W195" t="str">
        <f ca="1">IFERROR(OFFSET(貼り付け2!$A$1,まとめ!$B195-1,OFFSET(貼り付け2!$A$1,ROW()-1,MATCH(W$1,貼り付け2!$1:$1,0)-1)-1),"")</f>
        <v/>
      </c>
    </row>
    <row r="196" spans="1:23" x14ac:dyDescent="0.45">
      <c r="A196" t="str">
        <f>貼り付け2!S196</f>
        <v/>
      </c>
      <c r="B196" t="str">
        <f>貼り付け2!R196</f>
        <v/>
      </c>
      <c r="E196" t="str">
        <f ca="1">IFERROR(OFFSET(貼り付け2!$A$1,$A196-1,OFFSET(貼り付け2!$A$1,ROW()-1,MATCH(E$1,貼り付け2!$1:$1,0)-1)-1),"")</f>
        <v/>
      </c>
      <c r="H196" t="str">
        <f ca="1">IFERROR(OFFSET(貼り付け2!$A$1,まとめ!$B196-1,OFFSET(貼り付け2!$A$1,ROW()-1,MATCH(H$1,貼り付け2!$1:$1,0)-1)-1),"")</f>
        <v/>
      </c>
      <c r="J196" t="str">
        <f ca="1">IFERROR(OFFSET(貼り付け2!$A$1,$A196-1,OFFSET(貼り付け2!$A$1,ROW()-1,MATCH(J$1,貼り付け2!$1:$1,0)-1)-1),"")</f>
        <v/>
      </c>
      <c r="M196" t="str">
        <f ca="1">IFERROR(OFFSET(貼り付け2!$A$1,まとめ!$B196-1,OFFSET(貼り付け2!$A$1,ROW()-1,MATCH(M$1,貼り付け2!$1:$1,0)-1)-1),"")</f>
        <v/>
      </c>
      <c r="O196" t="str">
        <f ca="1">IFERROR(OFFSET(貼り付け2!$A$1,$A196-1,OFFSET(貼り付け2!$A$1,ROW()-1,MATCH(O$1,貼り付け2!$1:$1,0)-1)-1),"")</f>
        <v/>
      </c>
      <c r="R196" t="str">
        <f ca="1">IFERROR(OFFSET(貼り付け2!$A$1,まとめ!$B196-1,OFFSET(貼り付け2!$A$1,ROW()-1,MATCH(R$1,貼り付け2!$1:$1,0)-1)-1),"")</f>
        <v/>
      </c>
      <c r="T196" t="str">
        <f ca="1">IFERROR(OFFSET(貼り付け2!$A$1,$A196-1,OFFSET(貼り付け2!$A$1,ROW()-1,MATCH(T$1,貼り付け2!$1:$1,0)-1)-1),"")</f>
        <v/>
      </c>
      <c r="W196" t="str">
        <f ca="1">IFERROR(OFFSET(貼り付け2!$A$1,まとめ!$B196-1,OFFSET(貼り付け2!$A$1,ROW()-1,MATCH(W$1,貼り付け2!$1:$1,0)-1)-1),"")</f>
        <v/>
      </c>
    </row>
    <row r="197" spans="1:23" x14ac:dyDescent="0.45">
      <c r="A197" t="str">
        <f>貼り付け2!S197</f>
        <v/>
      </c>
      <c r="B197" t="str">
        <f>貼り付け2!R197</f>
        <v/>
      </c>
      <c r="E197" t="str">
        <f ca="1">IFERROR(OFFSET(貼り付け2!$A$1,$A197-1,OFFSET(貼り付け2!$A$1,ROW()-1,MATCH(E$1,貼り付け2!$1:$1,0)-1)-1),"")</f>
        <v/>
      </c>
      <c r="H197" t="str">
        <f ca="1">IFERROR(OFFSET(貼り付け2!$A$1,まとめ!$B197-1,OFFSET(貼り付け2!$A$1,ROW()-1,MATCH(H$1,貼り付け2!$1:$1,0)-1)-1),"")</f>
        <v/>
      </c>
      <c r="J197" t="str">
        <f ca="1">IFERROR(OFFSET(貼り付け2!$A$1,$A197-1,OFFSET(貼り付け2!$A$1,ROW()-1,MATCH(J$1,貼り付け2!$1:$1,0)-1)-1),"")</f>
        <v/>
      </c>
      <c r="M197" t="str">
        <f ca="1">IFERROR(OFFSET(貼り付け2!$A$1,まとめ!$B197-1,OFFSET(貼り付け2!$A$1,ROW()-1,MATCH(M$1,貼り付け2!$1:$1,0)-1)-1),"")</f>
        <v/>
      </c>
      <c r="O197" t="str">
        <f ca="1">IFERROR(OFFSET(貼り付け2!$A$1,$A197-1,OFFSET(貼り付け2!$A$1,ROW()-1,MATCH(O$1,貼り付け2!$1:$1,0)-1)-1),"")</f>
        <v/>
      </c>
      <c r="R197" t="str">
        <f ca="1">IFERROR(OFFSET(貼り付け2!$A$1,まとめ!$B197-1,OFFSET(貼り付け2!$A$1,ROW()-1,MATCH(R$1,貼り付け2!$1:$1,0)-1)-1),"")</f>
        <v/>
      </c>
      <c r="T197" t="str">
        <f ca="1">IFERROR(OFFSET(貼り付け2!$A$1,$A197-1,OFFSET(貼り付け2!$A$1,ROW()-1,MATCH(T$1,貼り付け2!$1:$1,0)-1)-1),"")</f>
        <v/>
      </c>
      <c r="W197" t="str">
        <f ca="1">IFERROR(OFFSET(貼り付け2!$A$1,まとめ!$B197-1,OFFSET(貼り付け2!$A$1,ROW()-1,MATCH(W$1,貼り付け2!$1:$1,0)-1)-1),"")</f>
        <v/>
      </c>
    </row>
    <row r="198" spans="1:23" x14ac:dyDescent="0.45">
      <c r="A198" t="str">
        <f>貼り付け2!S198</f>
        <v/>
      </c>
      <c r="B198" t="str">
        <f>貼り付け2!R198</f>
        <v/>
      </c>
      <c r="E198" t="str">
        <f ca="1">IFERROR(OFFSET(貼り付け2!$A$1,$A198-1,OFFSET(貼り付け2!$A$1,ROW()-1,MATCH(E$1,貼り付け2!$1:$1,0)-1)-1),"")</f>
        <v/>
      </c>
      <c r="H198" t="str">
        <f ca="1">IFERROR(OFFSET(貼り付け2!$A$1,まとめ!$B198-1,OFFSET(貼り付け2!$A$1,ROW()-1,MATCH(H$1,貼り付け2!$1:$1,0)-1)-1),"")</f>
        <v/>
      </c>
      <c r="J198" t="str">
        <f ca="1">IFERROR(OFFSET(貼り付け2!$A$1,$A198-1,OFFSET(貼り付け2!$A$1,ROW()-1,MATCH(J$1,貼り付け2!$1:$1,0)-1)-1),"")</f>
        <v/>
      </c>
      <c r="M198" t="str">
        <f ca="1">IFERROR(OFFSET(貼り付け2!$A$1,まとめ!$B198-1,OFFSET(貼り付け2!$A$1,ROW()-1,MATCH(M$1,貼り付け2!$1:$1,0)-1)-1),"")</f>
        <v/>
      </c>
      <c r="O198" t="str">
        <f ca="1">IFERROR(OFFSET(貼り付け2!$A$1,$A198-1,OFFSET(貼り付け2!$A$1,ROW()-1,MATCH(O$1,貼り付け2!$1:$1,0)-1)-1),"")</f>
        <v/>
      </c>
      <c r="R198" t="str">
        <f ca="1">IFERROR(OFFSET(貼り付け2!$A$1,まとめ!$B198-1,OFFSET(貼り付け2!$A$1,ROW()-1,MATCH(R$1,貼り付け2!$1:$1,0)-1)-1),"")</f>
        <v/>
      </c>
      <c r="T198" t="str">
        <f ca="1">IFERROR(OFFSET(貼り付け2!$A$1,$A198-1,OFFSET(貼り付け2!$A$1,ROW()-1,MATCH(T$1,貼り付け2!$1:$1,0)-1)-1),"")</f>
        <v/>
      </c>
      <c r="W198" t="str">
        <f ca="1">IFERROR(OFFSET(貼り付け2!$A$1,まとめ!$B198-1,OFFSET(貼り付け2!$A$1,ROW()-1,MATCH(W$1,貼り付け2!$1:$1,0)-1)-1),"")</f>
        <v/>
      </c>
    </row>
    <row r="199" spans="1:23" x14ac:dyDescent="0.45">
      <c r="A199" t="str">
        <f>貼り付け2!S199</f>
        <v/>
      </c>
      <c r="B199" t="str">
        <f>貼り付け2!R199</f>
        <v/>
      </c>
      <c r="E199" t="str">
        <f ca="1">IFERROR(OFFSET(貼り付け2!$A$1,$A199-1,OFFSET(貼り付け2!$A$1,ROW()-1,MATCH(E$1,貼り付け2!$1:$1,0)-1)-1),"")</f>
        <v/>
      </c>
      <c r="H199" t="str">
        <f ca="1">IFERROR(OFFSET(貼り付け2!$A$1,まとめ!$B199-1,OFFSET(貼り付け2!$A$1,ROW()-1,MATCH(H$1,貼り付け2!$1:$1,0)-1)-1),"")</f>
        <v/>
      </c>
      <c r="J199" t="str">
        <f ca="1">IFERROR(OFFSET(貼り付け2!$A$1,$A199-1,OFFSET(貼り付け2!$A$1,ROW()-1,MATCH(J$1,貼り付け2!$1:$1,0)-1)-1),"")</f>
        <v/>
      </c>
      <c r="M199" t="str">
        <f ca="1">IFERROR(OFFSET(貼り付け2!$A$1,まとめ!$B199-1,OFFSET(貼り付け2!$A$1,ROW()-1,MATCH(M$1,貼り付け2!$1:$1,0)-1)-1),"")</f>
        <v/>
      </c>
      <c r="O199" t="str">
        <f ca="1">IFERROR(OFFSET(貼り付け2!$A$1,$A199-1,OFFSET(貼り付け2!$A$1,ROW()-1,MATCH(O$1,貼り付け2!$1:$1,0)-1)-1),"")</f>
        <v/>
      </c>
      <c r="R199" t="str">
        <f ca="1">IFERROR(OFFSET(貼り付け2!$A$1,まとめ!$B199-1,OFFSET(貼り付け2!$A$1,ROW()-1,MATCH(R$1,貼り付け2!$1:$1,0)-1)-1),"")</f>
        <v/>
      </c>
      <c r="T199" t="str">
        <f ca="1">IFERROR(OFFSET(貼り付け2!$A$1,$A199-1,OFFSET(貼り付け2!$A$1,ROW()-1,MATCH(T$1,貼り付け2!$1:$1,0)-1)-1),"")</f>
        <v/>
      </c>
      <c r="W199" t="str">
        <f ca="1">IFERROR(OFFSET(貼り付け2!$A$1,まとめ!$B199-1,OFFSET(貼り付け2!$A$1,ROW()-1,MATCH(W$1,貼り付け2!$1:$1,0)-1)-1),"")</f>
        <v/>
      </c>
    </row>
    <row r="200" spans="1:23" x14ac:dyDescent="0.45">
      <c r="A200" t="str">
        <f>貼り付け2!S200</f>
        <v/>
      </c>
      <c r="B200" t="str">
        <f>貼り付け2!R200</f>
        <v/>
      </c>
      <c r="E200" t="str">
        <f ca="1">IFERROR(OFFSET(貼り付け2!$A$1,$A200-1,OFFSET(貼り付け2!$A$1,ROW()-1,MATCH(E$1,貼り付け2!$1:$1,0)-1)-1),"")</f>
        <v/>
      </c>
      <c r="H200" t="str">
        <f ca="1">IFERROR(OFFSET(貼り付け2!$A$1,まとめ!$B200-1,OFFSET(貼り付け2!$A$1,ROW()-1,MATCH(H$1,貼り付け2!$1:$1,0)-1)-1),"")</f>
        <v/>
      </c>
      <c r="J200" t="str">
        <f ca="1">IFERROR(OFFSET(貼り付け2!$A$1,$A200-1,OFFSET(貼り付け2!$A$1,ROW()-1,MATCH(J$1,貼り付け2!$1:$1,0)-1)-1),"")</f>
        <v/>
      </c>
      <c r="M200" t="str">
        <f ca="1">IFERROR(OFFSET(貼り付け2!$A$1,まとめ!$B200-1,OFFSET(貼り付け2!$A$1,ROW()-1,MATCH(M$1,貼り付け2!$1:$1,0)-1)-1),"")</f>
        <v/>
      </c>
      <c r="O200" t="str">
        <f ca="1">IFERROR(OFFSET(貼り付け2!$A$1,$A200-1,OFFSET(貼り付け2!$A$1,ROW()-1,MATCH(O$1,貼り付け2!$1:$1,0)-1)-1),"")</f>
        <v/>
      </c>
      <c r="R200" t="str">
        <f ca="1">IFERROR(OFFSET(貼り付け2!$A$1,まとめ!$B200-1,OFFSET(貼り付け2!$A$1,ROW()-1,MATCH(R$1,貼り付け2!$1:$1,0)-1)-1),"")</f>
        <v/>
      </c>
      <c r="T200" t="str">
        <f ca="1">IFERROR(OFFSET(貼り付け2!$A$1,$A200-1,OFFSET(貼り付け2!$A$1,ROW()-1,MATCH(T$1,貼り付け2!$1:$1,0)-1)-1),"")</f>
        <v/>
      </c>
      <c r="W200" t="str">
        <f ca="1">IFERROR(OFFSET(貼り付け2!$A$1,まとめ!$B200-1,OFFSET(貼り付け2!$A$1,ROW()-1,MATCH(W$1,貼り付け2!$1:$1,0)-1)-1),"")</f>
        <v/>
      </c>
    </row>
    <row r="201" spans="1:23" x14ac:dyDescent="0.45">
      <c r="A201" t="str">
        <f>貼り付け2!S201</f>
        <v/>
      </c>
      <c r="B201" t="str">
        <f>貼り付け2!R201</f>
        <v/>
      </c>
      <c r="E201" t="str">
        <f ca="1">IFERROR(OFFSET(貼り付け2!$A$1,$A201-1,OFFSET(貼り付け2!$A$1,ROW()-1,MATCH(E$1,貼り付け2!$1:$1,0)-1)-1),"")</f>
        <v/>
      </c>
      <c r="H201" t="str">
        <f ca="1">IFERROR(OFFSET(貼り付け2!$A$1,まとめ!$B201-1,OFFSET(貼り付け2!$A$1,ROW()-1,MATCH(H$1,貼り付け2!$1:$1,0)-1)-1),"")</f>
        <v/>
      </c>
      <c r="J201" t="str">
        <f ca="1">IFERROR(OFFSET(貼り付け2!$A$1,$A201-1,OFFSET(貼り付け2!$A$1,ROW()-1,MATCH(J$1,貼り付け2!$1:$1,0)-1)-1),"")</f>
        <v/>
      </c>
      <c r="M201" t="str">
        <f ca="1">IFERROR(OFFSET(貼り付け2!$A$1,まとめ!$B201-1,OFFSET(貼り付け2!$A$1,ROW()-1,MATCH(M$1,貼り付け2!$1:$1,0)-1)-1),"")</f>
        <v/>
      </c>
      <c r="O201" t="str">
        <f ca="1">IFERROR(OFFSET(貼り付け2!$A$1,$A201-1,OFFSET(貼り付け2!$A$1,ROW()-1,MATCH(O$1,貼り付け2!$1:$1,0)-1)-1),"")</f>
        <v/>
      </c>
      <c r="R201" t="str">
        <f ca="1">IFERROR(OFFSET(貼り付け2!$A$1,まとめ!$B201-1,OFFSET(貼り付け2!$A$1,ROW()-1,MATCH(R$1,貼り付け2!$1:$1,0)-1)-1),"")</f>
        <v/>
      </c>
      <c r="T201" t="str">
        <f ca="1">IFERROR(OFFSET(貼り付け2!$A$1,$A201-1,OFFSET(貼り付け2!$A$1,ROW()-1,MATCH(T$1,貼り付け2!$1:$1,0)-1)-1),"")</f>
        <v/>
      </c>
      <c r="W201" t="str">
        <f ca="1">IFERROR(OFFSET(貼り付け2!$A$1,まとめ!$B201-1,OFFSET(貼り付け2!$A$1,ROW()-1,MATCH(W$1,貼り付け2!$1:$1,0)-1)-1),"")</f>
        <v/>
      </c>
    </row>
    <row r="202" spans="1:23" x14ac:dyDescent="0.45">
      <c r="A202" t="str">
        <f>貼り付け2!S202</f>
        <v/>
      </c>
      <c r="B202" t="str">
        <f>貼り付け2!R202</f>
        <v/>
      </c>
      <c r="E202" t="str">
        <f ca="1">IFERROR(OFFSET(貼り付け2!$A$1,$A202-1,OFFSET(貼り付け2!$A$1,ROW()-1,MATCH(E$1,貼り付け2!$1:$1,0)-1)-1),"")</f>
        <v/>
      </c>
      <c r="H202" t="str">
        <f ca="1">IFERROR(OFFSET(貼り付け2!$A$1,まとめ!$B202-1,OFFSET(貼り付け2!$A$1,ROW()-1,MATCH(H$1,貼り付け2!$1:$1,0)-1)-1),"")</f>
        <v/>
      </c>
      <c r="J202" t="str">
        <f ca="1">IFERROR(OFFSET(貼り付け2!$A$1,$A202-1,OFFSET(貼り付け2!$A$1,ROW()-1,MATCH(J$1,貼り付け2!$1:$1,0)-1)-1),"")</f>
        <v/>
      </c>
      <c r="M202" t="str">
        <f ca="1">IFERROR(OFFSET(貼り付け2!$A$1,まとめ!$B202-1,OFFSET(貼り付け2!$A$1,ROW()-1,MATCH(M$1,貼り付け2!$1:$1,0)-1)-1),"")</f>
        <v/>
      </c>
      <c r="O202" t="str">
        <f ca="1">IFERROR(OFFSET(貼り付け2!$A$1,$A202-1,OFFSET(貼り付け2!$A$1,ROW()-1,MATCH(O$1,貼り付け2!$1:$1,0)-1)-1),"")</f>
        <v/>
      </c>
      <c r="R202" t="str">
        <f ca="1">IFERROR(OFFSET(貼り付け2!$A$1,まとめ!$B202-1,OFFSET(貼り付け2!$A$1,ROW()-1,MATCH(R$1,貼り付け2!$1:$1,0)-1)-1),"")</f>
        <v/>
      </c>
      <c r="T202" t="str">
        <f ca="1">IFERROR(OFFSET(貼り付け2!$A$1,$A202-1,OFFSET(貼り付け2!$A$1,ROW()-1,MATCH(T$1,貼り付け2!$1:$1,0)-1)-1),"")</f>
        <v/>
      </c>
      <c r="W202" t="str">
        <f ca="1">IFERROR(OFFSET(貼り付け2!$A$1,まとめ!$B202-1,OFFSET(貼り付け2!$A$1,ROW()-1,MATCH(W$1,貼り付け2!$1:$1,0)-1)-1),"")</f>
        <v/>
      </c>
    </row>
    <row r="203" spans="1:23" x14ac:dyDescent="0.45">
      <c r="A203" t="str">
        <f>貼り付け2!S203</f>
        <v/>
      </c>
      <c r="B203" t="str">
        <f>貼り付け2!R203</f>
        <v/>
      </c>
      <c r="E203" t="str">
        <f ca="1">IFERROR(OFFSET(貼り付け2!$A$1,$A203-1,OFFSET(貼り付け2!$A$1,ROW()-1,MATCH(E$1,貼り付け2!$1:$1,0)-1)-1),"")</f>
        <v/>
      </c>
      <c r="H203" t="str">
        <f ca="1">IFERROR(OFFSET(貼り付け2!$A$1,まとめ!$B203-1,OFFSET(貼り付け2!$A$1,ROW()-1,MATCH(H$1,貼り付け2!$1:$1,0)-1)-1),"")</f>
        <v/>
      </c>
      <c r="J203" t="str">
        <f ca="1">IFERROR(OFFSET(貼り付け2!$A$1,$A203-1,OFFSET(貼り付け2!$A$1,ROW()-1,MATCH(J$1,貼り付け2!$1:$1,0)-1)-1),"")</f>
        <v/>
      </c>
      <c r="M203" t="str">
        <f ca="1">IFERROR(OFFSET(貼り付け2!$A$1,まとめ!$B203-1,OFFSET(貼り付け2!$A$1,ROW()-1,MATCH(M$1,貼り付け2!$1:$1,0)-1)-1),"")</f>
        <v/>
      </c>
      <c r="O203" t="str">
        <f ca="1">IFERROR(OFFSET(貼り付け2!$A$1,$A203-1,OFFSET(貼り付け2!$A$1,ROW()-1,MATCH(O$1,貼り付け2!$1:$1,0)-1)-1),"")</f>
        <v/>
      </c>
      <c r="R203" t="str">
        <f ca="1">IFERROR(OFFSET(貼り付け2!$A$1,まとめ!$B203-1,OFFSET(貼り付け2!$A$1,ROW()-1,MATCH(R$1,貼り付け2!$1:$1,0)-1)-1),"")</f>
        <v/>
      </c>
      <c r="T203" t="str">
        <f ca="1">IFERROR(OFFSET(貼り付け2!$A$1,$A203-1,OFFSET(貼り付け2!$A$1,ROW()-1,MATCH(T$1,貼り付け2!$1:$1,0)-1)-1),"")</f>
        <v/>
      </c>
      <c r="W203" t="str">
        <f ca="1">IFERROR(OFFSET(貼り付け2!$A$1,まとめ!$B203-1,OFFSET(貼り付け2!$A$1,ROW()-1,MATCH(W$1,貼り付け2!$1:$1,0)-1)-1),"")</f>
        <v/>
      </c>
    </row>
    <row r="204" spans="1:23" x14ac:dyDescent="0.45">
      <c r="A204" t="str">
        <f>貼り付け2!S204</f>
        <v/>
      </c>
      <c r="B204" t="str">
        <f>貼り付け2!R204</f>
        <v/>
      </c>
      <c r="E204" t="str">
        <f ca="1">IFERROR(OFFSET(貼り付け2!$A$1,$A204-1,OFFSET(貼り付け2!$A$1,ROW()-1,MATCH(E$1,貼り付け2!$1:$1,0)-1)-1),"")</f>
        <v/>
      </c>
      <c r="H204" t="str">
        <f ca="1">IFERROR(OFFSET(貼り付け2!$A$1,まとめ!$B204-1,OFFSET(貼り付け2!$A$1,ROW()-1,MATCH(H$1,貼り付け2!$1:$1,0)-1)-1),"")</f>
        <v/>
      </c>
      <c r="J204" t="str">
        <f ca="1">IFERROR(OFFSET(貼り付け2!$A$1,$A204-1,OFFSET(貼り付け2!$A$1,ROW()-1,MATCH(J$1,貼り付け2!$1:$1,0)-1)-1),"")</f>
        <v/>
      </c>
      <c r="M204" t="str">
        <f ca="1">IFERROR(OFFSET(貼り付け2!$A$1,まとめ!$B204-1,OFFSET(貼り付け2!$A$1,ROW()-1,MATCH(M$1,貼り付け2!$1:$1,0)-1)-1),"")</f>
        <v/>
      </c>
      <c r="O204" t="str">
        <f ca="1">IFERROR(OFFSET(貼り付け2!$A$1,$A204-1,OFFSET(貼り付け2!$A$1,ROW()-1,MATCH(O$1,貼り付け2!$1:$1,0)-1)-1),"")</f>
        <v/>
      </c>
      <c r="R204" t="str">
        <f ca="1">IFERROR(OFFSET(貼り付け2!$A$1,まとめ!$B204-1,OFFSET(貼り付け2!$A$1,ROW()-1,MATCH(R$1,貼り付け2!$1:$1,0)-1)-1),"")</f>
        <v/>
      </c>
      <c r="T204" t="str">
        <f ca="1">IFERROR(OFFSET(貼り付け2!$A$1,$A204-1,OFFSET(貼り付け2!$A$1,ROW()-1,MATCH(T$1,貼り付け2!$1:$1,0)-1)-1),"")</f>
        <v/>
      </c>
      <c r="W204" t="str">
        <f ca="1">IFERROR(OFFSET(貼り付け2!$A$1,まとめ!$B204-1,OFFSET(貼り付け2!$A$1,ROW()-1,MATCH(W$1,貼り付け2!$1:$1,0)-1)-1),"")</f>
        <v/>
      </c>
    </row>
    <row r="205" spans="1:23" x14ac:dyDescent="0.45">
      <c r="A205" t="str">
        <f>貼り付け2!S205</f>
        <v/>
      </c>
      <c r="B205" t="str">
        <f>貼り付け2!R205</f>
        <v/>
      </c>
      <c r="E205" t="str">
        <f ca="1">IFERROR(OFFSET(貼り付け2!$A$1,$A205-1,OFFSET(貼り付け2!$A$1,ROW()-1,MATCH(E$1,貼り付け2!$1:$1,0)-1)-1),"")</f>
        <v/>
      </c>
      <c r="H205" t="str">
        <f ca="1">IFERROR(OFFSET(貼り付け2!$A$1,まとめ!$B205-1,OFFSET(貼り付け2!$A$1,ROW()-1,MATCH(H$1,貼り付け2!$1:$1,0)-1)-1),"")</f>
        <v/>
      </c>
      <c r="J205" t="str">
        <f ca="1">IFERROR(OFFSET(貼り付け2!$A$1,$A205-1,OFFSET(貼り付け2!$A$1,ROW()-1,MATCH(J$1,貼り付け2!$1:$1,0)-1)-1),"")</f>
        <v/>
      </c>
      <c r="M205" t="str">
        <f ca="1">IFERROR(OFFSET(貼り付け2!$A$1,まとめ!$B205-1,OFFSET(貼り付け2!$A$1,ROW()-1,MATCH(M$1,貼り付け2!$1:$1,0)-1)-1),"")</f>
        <v/>
      </c>
      <c r="O205" t="str">
        <f ca="1">IFERROR(OFFSET(貼り付け2!$A$1,$A205-1,OFFSET(貼り付け2!$A$1,ROW()-1,MATCH(O$1,貼り付け2!$1:$1,0)-1)-1),"")</f>
        <v/>
      </c>
      <c r="R205" t="str">
        <f ca="1">IFERROR(OFFSET(貼り付け2!$A$1,まとめ!$B205-1,OFFSET(貼り付け2!$A$1,ROW()-1,MATCH(R$1,貼り付け2!$1:$1,0)-1)-1),"")</f>
        <v/>
      </c>
      <c r="T205" t="str">
        <f ca="1">IFERROR(OFFSET(貼り付け2!$A$1,$A205-1,OFFSET(貼り付け2!$A$1,ROW()-1,MATCH(T$1,貼り付け2!$1:$1,0)-1)-1),"")</f>
        <v/>
      </c>
      <c r="W205" t="str">
        <f ca="1">IFERROR(OFFSET(貼り付け2!$A$1,まとめ!$B205-1,OFFSET(貼り付け2!$A$1,ROW()-1,MATCH(W$1,貼り付け2!$1:$1,0)-1)-1),"")</f>
        <v/>
      </c>
    </row>
    <row r="206" spans="1:23" x14ac:dyDescent="0.45">
      <c r="A206" t="str">
        <f>貼り付け2!S206</f>
        <v/>
      </c>
      <c r="B206" t="str">
        <f>貼り付け2!R206</f>
        <v/>
      </c>
      <c r="E206" t="str">
        <f ca="1">IFERROR(OFFSET(貼り付け2!$A$1,$A206-1,OFFSET(貼り付け2!$A$1,ROW()-1,MATCH(E$1,貼り付け2!$1:$1,0)-1)-1),"")</f>
        <v/>
      </c>
      <c r="H206" t="str">
        <f ca="1">IFERROR(OFFSET(貼り付け2!$A$1,まとめ!$B206-1,OFFSET(貼り付け2!$A$1,ROW()-1,MATCH(H$1,貼り付け2!$1:$1,0)-1)-1),"")</f>
        <v/>
      </c>
      <c r="J206" t="str">
        <f ca="1">IFERROR(OFFSET(貼り付け2!$A$1,$A206-1,OFFSET(貼り付け2!$A$1,ROW()-1,MATCH(J$1,貼り付け2!$1:$1,0)-1)-1),"")</f>
        <v/>
      </c>
      <c r="M206" t="str">
        <f ca="1">IFERROR(OFFSET(貼り付け2!$A$1,まとめ!$B206-1,OFFSET(貼り付け2!$A$1,ROW()-1,MATCH(M$1,貼り付け2!$1:$1,0)-1)-1),"")</f>
        <v/>
      </c>
      <c r="O206" t="str">
        <f ca="1">IFERROR(OFFSET(貼り付け2!$A$1,$A206-1,OFFSET(貼り付け2!$A$1,ROW()-1,MATCH(O$1,貼り付け2!$1:$1,0)-1)-1),"")</f>
        <v/>
      </c>
      <c r="R206" t="str">
        <f ca="1">IFERROR(OFFSET(貼り付け2!$A$1,まとめ!$B206-1,OFFSET(貼り付け2!$A$1,ROW()-1,MATCH(R$1,貼り付け2!$1:$1,0)-1)-1),"")</f>
        <v/>
      </c>
      <c r="T206" t="str">
        <f ca="1">IFERROR(OFFSET(貼り付け2!$A$1,$A206-1,OFFSET(貼り付け2!$A$1,ROW()-1,MATCH(T$1,貼り付け2!$1:$1,0)-1)-1),"")</f>
        <v/>
      </c>
      <c r="W206" t="str">
        <f ca="1">IFERROR(OFFSET(貼り付け2!$A$1,まとめ!$B206-1,OFFSET(貼り付け2!$A$1,ROW()-1,MATCH(W$1,貼り付け2!$1:$1,0)-1)-1),"")</f>
        <v/>
      </c>
    </row>
    <row r="207" spans="1:23" x14ac:dyDescent="0.45">
      <c r="A207" t="str">
        <f>貼り付け2!S207</f>
        <v/>
      </c>
      <c r="B207" t="str">
        <f>貼り付け2!R207</f>
        <v/>
      </c>
      <c r="E207" t="str">
        <f ca="1">IFERROR(OFFSET(貼り付け2!$A$1,$A207-1,OFFSET(貼り付け2!$A$1,ROW()-1,MATCH(E$1,貼り付け2!$1:$1,0)-1)-1),"")</f>
        <v/>
      </c>
      <c r="H207" t="str">
        <f ca="1">IFERROR(OFFSET(貼り付け2!$A$1,まとめ!$B207-1,OFFSET(貼り付け2!$A$1,ROW()-1,MATCH(H$1,貼り付け2!$1:$1,0)-1)-1),"")</f>
        <v/>
      </c>
      <c r="J207" t="str">
        <f ca="1">IFERROR(OFFSET(貼り付け2!$A$1,$A207-1,OFFSET(貼り付け2!$A$1,ROW()-1,MATCH(J$1,貼り付け2!$1:$1,0)-1)-1),"")</f>
        <v/>
      </c>
      <c r="M207" t="str">
        <f ca="1">IFERROR(OFFSET(貼り付け2!$A$1,まとめ!$B207-1,OFFSET(貼り付け2!$A$1,ROW()-1,MATCH(M$1,貼り付け2!$1:$1,0)-1)-1),"")</f>
        <v/>
      </c>
      <c r="O207" t="str">
        <f ca="1">IFERROR(OFFSET(貼り付け2!$A$1,$A207-1,OFFSET(貼り付け2!$A$1,ROW()-1,MATCH(O$1,貼り付け2!$1:$1,0)-1)-1),"")</f>
        <v/>
      </c>
      <c r="R207" t="str">
        <f ca="1">IFERROR(OFFSET(貼り付け2!$A$1,まとめ!$B207-1,OFFSET(貼り付け2!$A$1,ROW()-1,MATCH(R$1,貼り付け2!$1:$1,0)-1)-1),"")</f>
        <v/>
      </c>
      <c r="T207" t="str">
        <f ca="1">IFERROR(OFFSET(貼り付け2!$A$1,$A207-1,OFFSET(貼り付け2!$A$1,ROW()-1,MATCH(T$1,貼り付け2!$1:$1,0)-1)-1),"")</f>
        <v/>
      </c>
      <c r="W207" t="str">
        <f ca="1">IFERROR(OFFSET(貼り付け2!$A$1,まとめ!$B207-1,OFFSET(貼り付け2!$A$1,ROW()-1,MATCH(W$1,貼り付け2!$1:$1,0)-1)-1),"")</f>
        <v/>
      </c>
    </row>
    <row r="208" spans="1:23" x14ac:dyDescent="0.45">
      <c r="A208" t="str">
        <f>貼り付け2!S208</f>
        <v/>
      </c>
      <c r="B208" t="str">
        <f>貼り付け2!R208</f>
        <v/>
      </c>
      <c r="E208" t="str">
        <f ca="1">IFERROR(OFFSET(貼り付け2!$A$1,$A208-1,OFFSET(貼り付け2!$A$1,ROW()-1,MATCH(E$1,貼り付け2!$1:$1,0)-1)-1),"")</f>
        <v/>
      </c>
      <c r="H208" t="str">
        <f ca="1">IFERROR(OFFSET(貼り付け2!$A$1,まとめ!$B208-1,OFFSET(貼り付け2!$A$1,ROW()-1,MATCH(H$1,貼り付け2!$1:$1,0)-1)-1),"")</f>
        <v/>
      </c>
      <c r="J208" t="str">
        <f ca="1">IFERROR(OFFSET(貼り付け2!$A$1,$A208-1,OFFSET(貼り付け2!$A$1,ROW()-1,MATCH(J$1,貼り付け2!$1:$1,0)-1)-1),"")</f>
        <v/>
      </c>
      <c r="M208" t="str">
        <f ca="1">IFERROR(OFFSET(貼り付け2!$A$1,まとめ!$B208-1,OFFSET(貼り付け2!$A$1,ROW()-1,MATCH(M$1,貼り付け2!$1:$1,0)-1)-1),"")</f>
        <v/>
      </c>
      <c r="O208" t="str">
        <f ca="1">IFERROR(OFFSET(貼り付け2!$A$1,$A208-1,OFFSET(貼り付け2!$A$1,ROW()-1,MATCH(O$1,貼り付け2!$1:$1,0)-1)-1),"")</f>
        <v/>
      </c>
      <c r="R208" t="str">
        <f ca="1">IFERROR(OFFSET(貼り付け2!$A$1,まとめ!$B208-1,OFFSET(貼り付け2!$A$1,ROW()-1,MATCH(R$1,貼り付け2!$1:$1,0)-1)-1),"")</f>
        <v/>
      </c>
      <c r="T208" t="str">
        <f ca="1">IFERROR(OFFSET(貼り付け2!$A$1,$A208-1,OFFSET(貼り付け2!$A$1,ROW()-1,MATCH(T$1,貼り付け2!$1:$1,0)-1)-1),"")</f>
        <v/>
      </c>
      <c r="W208" t="str">
        <f ca="1">IFERROR(OFFSET(貼り付け2!$A$1,まとめ!$B208-1,OFFSET(貼り付け2!$A$1,ROW()-1,MATCH(W$1,貼り付け2!$1:$1,0)-1)-1),"")</f>
        <v/>
      </c>
    </row>
    <row r="209" spans="1:23" x14ac:dyDescent="0.45">
      <c r="A209" t="str">
        <f>貼り付け2!S209</f>
        <v/>
      </c>
      <c r="B209" t="str">
        <f>貼り付け2!R209</f>
        <v/>
      </c>
      <c r="E209" t="str">
        <f ca="1">IFERROR(OFFSET(貼り付け2!$A$1,$A209-1,OFFSET(貼り付け2!$A$1,ROW()-1,MATCH(E$1,貼り付け2!$1:$1,0)-1)-1),"")</f>
        <v/>
      </c>
      <c r="H209" t="str">
        <f ca="1">IFERROR(OFFSET(貼り付け2!$A$1,まとめ!$B209-1,OFFSET(貼り付け2!$A$1,ROW()-1,MATCH(H$1,貼り付け2!$1:$1,0)-1)-1),"")</f>
        <v/>
      </c>
      <c r="J209" t="str">
        <f ca="1">IFERROR(OFFSET(貼り付け2!$A$1,$A209-1,OFFSET(貼り付け2!$A$1,ROW()-1,MATCH(J$1,貼り付け2!$1:$1,0)-1)-1),"")</f>
        <v/>
      </c>
      <c r="M209" t="str">
        <f ca="1">IFERROR(OFFSET(貼り付け2!$A$1,まとめ!$B209-1,OFFSET(貼り付け2!$A$1,ROW()-1,MATCH(M$1,貼り付け2!$1:$1,0)-1)-1),"")</f>
        <v/>
      </c>
      <c r="O209" t="str">
        <f ca="1">IFERROR(OFFSET(貼り付け2!$A$1,$A209-1,OFFSET(貼り付け2!$A$1,ROW()-1,MATCH(O$1,貼り付け2!$1:$1,0)-1)-1),"")</f>
        <v/>
      </c>
      <c r="R209" t="str">
        <f ca="1">IFERROR(OFFSET(貼り付け2!$A$1,まとめ!$B209-1,OFFSET(貼り付け2!$A$1,ROW()-1,MATCH(R$1,貼り付け2!$1:$1,0)-1)-1),"")</f>
        <v/>
      </c>
      <c r="T209" t="str">
        <f ca="1">IFERROR(OFFSET(貼り付け2!$A$1,$A209-1,OFFSET(貼り付け2!$A$1,ROW()-1,MATCH(T$1,貼り付け2!$1:$1,0)-1)-1),"")</f>
        <v/>
      </c>
      <c r="W209" t="str">
        <f ca="1">IFERROR(OFFSET(貼り付け2!$A$1,まとめ!$B209-1,OFFSET(貼り付け2!$A$1,ROW()-1,MATCH(W$1,貼り付け2!$1:$1,0)-1)-1),"")</f>
        <v/>
      </c>
    </row>
    <row r="210" spans="1:23" x14ac:dyDescent="0.45">
      <c r="A210" t="str">
        <f>貼り付け2!S210</f>
        <v/>
      </c>
      <c r="B210" t="str">
        <f>貼り付け2!R210</f>
        <v/>
      </c>
      <c r="E210" t="str">
        <f ca="1">IFERROR(OFFSET(貼り付け2!$A$1,$A210-1,OFFSET(貼り付け2!$A$1,ROW()-1,MATCH(E$1,貼り付け2!$1:$1,0)-1)-1),"")</f>
        <v/>
      </c>
      <c r="H210" t="str">
        <f ca="1">IFERROR(OFFSET(貼り付け2!$A$1,まとめ!$B210-1,OFFSET(貼り付け2!$A$1,ROW()-1,MATCH(H$1,貼り付け2!$1:$1,0)-1)-1),"")</f>
        <v/>
      </c>
      <c r="J210" t="str">
        <f ca="1">IFERROR(OFFSET(貼り付け2!$A$1,$A210-1,OFFSET(貼り付け2!$A$1,ROW()-1,MATCH(J$1,貼り付け2!$1:$1,0)-1)-1),"")</f>
        <v/>
      </c>
      <c r="M210" t="str">
        <f ca="1">IFERROR(OFFSET(貼り付け2!$A$1,まとめ!$B210-1,OFFSET(貼り付け2!$A$1,ROW()-1,MATCH(M$1,貼り付け2!$1:$1,0)-1)-1),"")</f>
        <v/>
      </c>
      <c r="O210" t="str">
        <f ca="1">IFERROR(OFFSET(貼り付け2!$A$1,$A210-1,OFFSET(貼り付け2!$A$1,ROW()-1,MATCH(O$1,貼り付け2!$1:$1,0)-1)-1),"")</f>
        <v/>
      </c>
      <c r="R210" t="str">
        <f ca="1">IFERROR(OFFSET(貼り付け2!$A$1,まとめ!$B210-1,OFFSET(貼り付け2!$A$1,ROW()-1,MATCH(R$1,貼り付け2!$1:$1,0)-1)-1),"")</f>
        <v/>
      </c>
      <c r="T210" t="str">
        <f ca="1">IFERROR(OFFSET(貼り付け2!$A$1,$A210-1,OFFSET(貼り付け2!$A$1,ROW()-1,MATCH(T$1,貼り付け2!$1:$1,0)-1)-1),"")</f>
        <v/>
      </c>
      <c r="W210" t="str">
        <f ca="1">IFERROR(OFFSET(貼り付け2!$A$1,まとめ!$B210-1,OFFSET(貼り付け2!$A$1,ROW()-1,MATCH(W$1,貼り付け2!$1:$1,0)-1)-1),"")</f>
        <v/>
      </c>
    </row>
    <row r="211" spans="1:23" x14ac:dyDescent="0.45">
      <c r="A211" t="str">
        <f>貼り付け2!S211</f>
        <v/>
      </c>
      <c r="B211" t="str">
        <f>貼り付け2!R211</f>
        <v/>
      </c>
      <c r="E211" t="str">
        <f ca="1">IFERROR(OFFSET(貼り付け2!$A$1,$A211-1,OFFSET(貼り付け2!$A$1,ROW()-1,MATCH(E$1,貼り付け2!$1:$1,0)-1)-1),"")</f>
        <v/>
      </c>
      <c r="H211" t="str">
        <f ca="1">IFERROR(OFFSET(貼り付け2!$A$1,まとめ!$B211-1,OFFSET(貼り付け2!$A$1,ROW()-1,MATCH(H$1,貼り付け2!$1:$1,0)-1)-1),"")</f>
        <v/>
      </c>
      <c r="J211" t="str">
        <f ca="1">IFERROR(OFFSET(貼り付け2!$A$1,$A211-1,OFFSET(貼り付け2!$A$1,ROW()-1,MATCH(J$1,貼り付け2!$1:$1,0)-1)-1),"")</f>
        <v/>
      </c>
      <c r="M211" t="str">
        <f ca="1">IFERROR(OFFSET(貼り付け2!$A$1,まとめ!$B211-1,OFFSET(貼り付け2!$A$1,ROW()-1,MATCH(M$1,貼り付け2!$1:$1,0)-1)-1),"")</f>
        <v/>
      </c>
      <c r="O211" t="str">
        <f ca="1">IFERROR(OFFSET(貼り付け2!$A$1,$A211-1,OFFSET(貼り付け2!$A$1,ROW()-1,MATCH(O$1,貼り付け2!$1:$1,0)-1)-1),"")</f>
        <v/>
      </c>
      <c r="R211" t="str">
        <f ca="1">IFERROR(OFFSET(貼り付け2!$A$1,まとめ!$B211-1,OFFSET(貼り付け2!$A$1,ROW()-1,MATCH(R$1,貼り付け2!$1:$1,0)-1)-1),"")</f>
        <v/>
      </c>
      <c r="T211" t="str">
        <f ca="1">IFERROR(OFFSET(貼り付け2!$A$1,$A211-1,OFFSET(貼り付け2!$A$1,ROW()-1,MATCH(T$1,貼り付け2!$1:$1,0)-1)-1),"")</f>
        <v/>
      </c>
      <c r="W211" t="str">
        <f ca="1">IFERROR(OFFSET(貼り付け2!$A$1,まとめ!$B211-1,OFFSET(貼り付け2!$A$1,ROW()-1,MATCH(W$1,貼り付け2!$1:$1,0)-1)-1),"")</f>
        <v/>
      </c>
    </row>
    <row r="212" spans="1:23" x14ac:dyDescent="0.45">
      <c r="A212" t="str">
        <f>貼り付け2!S212</f>
        <v/>
      </c>
      <c r="B212" t="str">
        <f>貼り付け2!R212</f>
        <v/>
      </c>
      <c r="E212" t="str">
        <f ca="1">IFERROR(OFFSET(貼り付け2!$A$1,$A212-1,OFFSET(貼り付け2!$A$1,ROW()-1,MATCH(E$1,貼り付け2!$1:$1,0)-1)-1),"")</f>
        <v/>
      </c>
      <c r="H212" t="str">
        <f ca="1">IFERROR(OFFSET(貼り付け2!$A$1,まとめ!$B212-1,OFFSET(貼り付け2!$A$1,ROW()-1,MATCH(H$1,貼り付け2!$1:$1,0)-1)-1),"")</f>
        <v/>
      </c>
      <c r="J212" t="str">
        <f ca="1">IFERROR(OFFSET(貼り付け2!$A$1,$A212-1,OFFSET(貼り付け2!$A$1,ROW()-1,MATCH(J$1,貼り付け2!$1:$1,0)-1)-1),"")</f>
        <v/>
      </c>
      <c r="M212" t="str">
        <f ca="1">IFERROR(OFFSET(貼り付け2!$A$1,まとめ!$B212-1,OFFSET(貼り付け2!$A$1,ROW()-1,MATCH(M$1,貼り付け2!$1:$1,0)-1)-1),"")</f>
        <v/>
      </c>
      <c r="O212" t="str">
        <f ca="1">IFERROR(OFFSET(貼り付け2!$A$1,$A212-1,OFFSET(貼り付け2!$A$1,ROW()-1,MATCH(O$1,貼り付け2!$1:$1,0)-1)-1),"")</f>
        <v/>
      </c>
      <c r="R212" t="str">
        <f ca="1">IFERROR(OFFSET(貼り付け2!$A$1,まとめ!$B212-1,OFFSET(貼り付け2!$A$1,ROW()-1,MATCH(R$1,貼り付け2!$1:$1,0)-1)-1),"")</f>
        <v/>
      </c>
      <c r="T212" t="str">
        <f ca="1">IFERROR(OFFSET(貼り付け2!$A$1,$A212-1,OFFSET(貼り付け2!$A$1,ROW()-1,MATCH(T$1,貼り付け2!$1:$1,0)-1)-1),"")</f>
        <v/>
      </c>
      <c r="W212" t="str">
        <f ca="1">IFERROR(OFFSET(貼り付け2!$A$1,まとめ!$B212-1,OFFSET(貼り付け2!$A$1,ROW()-1,MATCH(W$1,貼り付け2!$1:$1,0)-1)-1),"")</f>
        <v/>
      </c>
    </row>
    <row r="213" spans="1:23" x14ac:dyDescent="0.45">
      <c r="A213" t="str">
        <f>貼り付け2!S213</f>
        <v/>
      </c>
      <c r="B213" t="str">
        <f>貼り付け2!R213</f>
        <v/>
      </c>
      <c r="E213" t="str">
        <f ca="1">IFERROR(OFFSET(貼り付け2!$A$1,$A213-1,OFFSET(貼り付け2!$A$1,ROW()-1,MATCH(E$1,貼り付け2!$1:$1,0)-1)-1),"")</f>
        <v/>
      </c>
      <c r="H213" t="str">
        <f ca="1">IFERROR(OFFSET(貼り付け2!$A$1,まとめ!$B213-1,OFFSET(貼り付け2!$A$1,ROW()-1,MATCH(H$1,貼り付け2!$1:$1,0)-1)-1),"")</f>
        <v/>
      </c>
      <c r="J213" t="str">
        <f ca="1">IFERROR(OFFSET(貼り付け2!$A$1,$A213-1,OFFSET(貼り付け2!$A$1,ROW()-1,MATCH(J$1,貼り付け2!$1:$1,0)-1)-1),"")</f>
        <v/>
      </c>
      <c r="M213" t="str">
        <f ca="1">IFERROR(OFFSET(貼り付け2!$A$1,まとめ!$B213-1,OFFSET(貼り付け2!$A$1,ROW()-1,MATCH(M$1,貼り付け2!$1:$1,0)-1)-1),"")</f>
        <v/>
      </c>
      <c r="O213" t="str">
        <f ca="1">IFERROR(OFFSET(貼り付け2!$A$1,$A213-1,OFFSET(貼り付け2!$A$1,ROW()-1,MATCH(O$1,貼り付け2!$1:$1,0)-1)-1),"")</f>
        <v/>
      </c>
      <c r="R213" t="str">
        <f ca="1">IFERROR(OFFSET(貼り付け2!$A$1,まとめ!$B213-1,OFFSET(貼り付け2!$A$1,ROW()-1,MATCH(R$1,貼り付け2!$1:$1,0)-1)-1),"")</f>
        <v/>
      </c>
      <c r="T213" t="str">
        <f ca="1">IFERROR(OFFSET(貼り付け2!$A$1,$A213-1,OFFSET(貼り付け2!$A$1,ROW()-1,MATCH(T$1,貼り付け2!$1:$1,0)-1)-1),"")</f>
        <v/>
      </c>
      <c r="W213" t="str">
        <f ca="1">IFERROR(OFFSET(貼り付け2!$A$1,まとめ!$B213-1,OFFSET(貼り付け2!$A$1,ROW()-1,MATCH(W$1,貼り付け2!$1:$1,0)-1)-1),"")</f>
        <v/>
      </c>
    </row>
    <row r="214" spans="1:23" x14ac:dyDescent="0.45">
      <c r="A214" t="str">
        <f>貼り付け2!S214</f>
        <v/>
      </c>
      <c r="B214" t="str">
        <f>貼り付け2!R214</f>
        <v/>
      </c>
      <c r="E214" t="str">
        <f ca="1">IFERROR(OFFSET(貼り付け2!$A$1,$A214-1,OFFSET(貼り付け2!$A$1,ROW()-1,MATCH(E$1,貼り付け2!$1:$1,0)-1)-1),"")</f>
        <v/>
      </c>
      <c r="H214" t="str">
        <f ca="1">IFERROR(OFFSET(貼り付け2!$A$1,まとめ!$B214-1,OFFSET(貼り付け2!$A$1,ROW()-1,MATCH(H$1,貼り付け2!$1:$1,0)-1)-1),"")</f>
        <v/>
      </c>
      <c r="J214" t="str">
        <f ca="1">IFERROR(OFFSET(貼り付け2!$A$1,$A214-1,OFFSET(貼り付け2!$A$1,ROW()-1,MATCH(J$1,貼り付け2!$1:$1,0)-1)-1),"")</f>
        <v/>
      </c>
      <c r="M214" t="str">
        <f ca="1">IFERROR(OFFSET(貼り付け2!$A$1,まとめ!$B214-1,OFFSET(貼り付け2!$A$1,ROW()-1,MATCH(M$1,貼り付け2!$1:$1,0)-1)-1),"")</f>
        <v/>
      </c>
      <c r="O214" t="str">
        <f ca="1">IFERROR(OFFSET(貼り付け2!$A$1,$A214-1,OFFSET(貼り付け2!$A$1,ROW()-1,MATCH(O$1,貼り付け2!$1:$1,0)-1)-1),"")</f>
        <v/>
      </c>
      <c r="R214" t="str">
        <f ca="1">IFERROR(OFFSET(貼り付け2!$A$1,まとめ!$B214-1,OFFSET(貼り付け2!$A$1,ROW()-1,MATCH(R$1,貼り付け2!$1:$1,0)-1)-1),"")</f>
        <v/>
      </c>
      <c r="T214" t="str">
        <f ca="1">IFERROR(OFFSET(貼り付け2!$A$1,$A214-1,OFFSET(貼り付け2!$A$1,ROW()-1,MATCH(T$1,貼り付け2!$1:$1,0)-1)-1),"")</f>
        <v/>
      </c>
      <c r="W214" t="str">
        <f ca="1">IFERROR(OFFSET(貼り付け2!$A$1,まとめ!$B214-1,OFFSET(貼り付け2!$A$1,ROW()-1,MATCH(W$1,貼り付け2!$1:$1,0)-1)-1),"")</f>
        <v/>
      </c>
    </row>
    <row r="215" spans="1:23" x14ac:dyDescent="0.45">
      <c r="A215" t="str">
        <f>貼り付け2!S215</f>
        <v/>
      </c>
      <c r="B215" t="str">
        <f>貼り付け2!R215</f>
        <v/>
      </c>
      <c r="E215" t="str">
        <f ca="1">IFERROR(OFFSET(貼り付け2!$A$1,$A215-1,OFFSET(貼り付け2!$A$1,ROW()-1,MATCH(E$1,貼り付け2!$1:$1,0)-1)-1),"")</f>
        <v/>
      </c>
      <c r="H215" t="str">
        <f ca="1">IFERROR(OFFSET(貼り付け2!$A$1,まとめ!$B215-1,OFFSET(貼り付け2!$A$1,ROW()-1,MATCH(H$1,貼り付け2!$1:$1,0)-1)-1),"")</f>
        <v/>
      </c>
      <c r="J215" t="str">
        <f ca="1">IFERROR(OFFSET(貼り付け2!$A$1,$A215-1,OFFSET(貼り付け2!$A$1,ROW()-1,MATCH(J$1,貼り付け2!$1:$1,0)-1)-1),"")</f>
        <v/>
      </c>
      <c r="M215" t="str">
        <f ca="1">IFERROR(OFFSET(貼り付け2!$A$1,まとめ!$B215-1,OFFSET(貼り付け2!$A$1,ROW()-1,MATCH(M$1,貼り付け2!$1:$1,0)-1)-1),"")</f>
        <v/>
      </c>
      <c r="O215" t="str">
        <f ca="1">IFERROR(OFFSET(貼り付け2!$A$1,$A215-1,OFFSET(貼り付け2!$A$1,ROW()-1,MATCH(O$1,貼り付け2!$1:$1,0)-1)-1),"")</f>
        <v/>
      </c>
      <c r="R215" t="str">
        <f ca="1">IFERROR(OFFSET(貼り付け2!$A$1,まとめ!$B215-1,OFFSET(貼り付け2!$A$1,ROW()-1,MATCH(R$1,貼り付け2!$1:$1,0)-1)-1),"")</f>
        <v/>
      </c>
      <c r="T215" t="str">
        <f ca="1">IFERROR(OFFSET(貼り付け2!$A$1,$A215-1,OFFSET(貼り付け2!$A$1,ROW()-1,MATCH(T$1,貼り付け2!$1:$1,0)-1)-1),"")</f>
        <v/>
      </c>
      <c r="W215" t="str">
        <f ca="1">IFERROR(OFFSET(貼り付け2!$A$1,まとめ!$B215-1,OFFSET(貼り付け2!$A$1,ROW()-1,MATCH(W$1,貼り付け2!$1:$1,0)-1)-1),"")</f>
        <v/>
      </c>
    </row>
    <row r="216" spans="1:23" x14ac:dyDescent="0.45">
      <c r="A216" t="str">
        <f>貼り付け2!S216</f>
        <v/>
      </c>
      <c r="B216" t="str">
        <f>貼り付け2!R216</f>
        <v/>
      </c>
      <c r="E216" t="str">
        <f ca="1">IFERROR(OFFSET(貼り付け2!$A$1,$A216-1,OFFSET(貼り付け2!$A$1,ROW()-1,MATCH(E$1,貼り付け2!$1:$1,0)-1)-1),"")</f>
        <v/>
      </c>
      <c r="H216" t="str">
        <f ca="1">IFERROR(OFFSET(貼り付け2!$A$1,まとめ!$B216-1,OFFSET(貼り付け2!$A$1,ROW()-1,MATCH(H$1,貼り付け2!$1:$1,0)-1)-1),"")</f>
        <v/>
      </c>
      <c r="J216" t="str">
        <f ca="1">IFERROR(OFFSET(貼り付け2!$A$1,$A216-1,OFFSET(貼り付け2!$A$1,ROW()-1,MATCH(J$1,貼り付け2!$1:$1,0)-1)-1),"")</f>
        <v/>
      </c>
      <c r="M216" t="str">
        <f ca="1">IFERROR(OFFSET(貼り付け2!$A$1,まとめ!$B216-1,OFFSET(貼り付け2!$A$1,ROW()-1,MATCH(M$1,貼り付け2!$1:$1,0)-1)-1),"")</f>
        <v/>
      </c>
      <c r="O216" t="str">
        <f ca="1">IFERROR(OFFSET(貼り付け2!$A$1,$A216-1,OFFSET(貼り付け2!$A$1,ROW()-1,MATCH(O$1,貼り付け2!$1:$1,0)-1)-1),"")</f>
        <v/>
      </c>
      <c r="R216" t="str">
        <f ca="1">IFERROR(OFFSET(貼り付け2!$A$1,まとめ!$B216-1,OFFSET(貼り付け2!$A$1,ROW()-1,MATCH(R$1,貼り付け2!$1:$1,0)-1)-1),"")</f>
        <v/>
      </c>
      <c r="T216" t="str">
        <f ca="1">IFERROR(OFFSET(貼り付け2!$A$1,$A216-1,OFFSET(貼り付け2!$A$1,ROW()-1,MATCH(T$1,貼り付け2!$1:$1,0)-1)-1),"")</f>
        <v/>
      </c>
      <c r="W216" t="str">
        <f ca="1">IFERROR(OFFSET(貼り付け2!$A$1,まとめ!$B216-1,OFFSET(貼り付け2!$A$1,ROW()-1,MATCH(W$1,貼り付け2!$1:$1,0)-1)-1),"")</f>
        <v/>
      </c>
    </row>
    <row r="217" spans="1:23" x14ac:dyDescent="0.45">
      <c r="A217" t="str">
        <f>貼り付け2!S217</f>
        <v/>
      </c>
      <c r="B217" t="str">
        <f>貼り付け2!R217</f>
        <v/>
      </c>
      <c r="E217" t="str">
        <f ca="1">IFERROR(OFFSET(貼り付け2!$A$1,$A217-1,OFFSET(貼り付け2!$A$1,ROW()-1,MATCH(E$1,貼り付け2!$1:$1,0)-1)-1),"")</f>
        <v/>
      </c>
      <c r="H217" t="str">
        <f ca="1">IFERROR(OFFSET(貼り付け2!$A$1,まとめ!$B217-1,OFFSET(貼り付け2!$A$1,ROW()-1,MATCH(H$1,貼り付け2!$1:$1,0)-1)-1),"")</f>
        <v/>
      </c>
      <c r="J217" t="str">
        <f ca="1">IFERROR(OFFSET(貼り付け2!$A$1,$A217-1,OFFSET(貼り付け2!$A$1,ROW()-1,MATCH(J$1,貼り付け2!$1:$1,0)-1)-1),"")</f>
        <v/>
      </c>
      <c r="M217" t="str">
        <f ca="1">IFERROR(OFFSET(貼り付け2!$A$1,まとめ!$B217-1,OFFSET(貼り付け2!$A$1,ROW()-1,MATCH(M$1,貼り付け2!$1:$1,0)-1)-1),"")</f>
        <v/>
      </c>
      <c r="O217" t="str">
        <f ca="1">IFERROR(OFFSET(貼り付け2!$A$1,$A217-1,OFFSET(貼り付け2!$A$1,ROW()-1,MATCH(O$1,貼り付け2!$1:$1,0)-1)-1),"")</f>
        <v/>
      </c>
      <c r="R217" t="str">
        <f ca="1">IFERROR(OFFSET(貼り付け2!$A$1,まとめ!$B217-1,OFFSET(貼り付け2!$A$1,ROW()-1,MATCH(R$1,貼り付け2!$1:$1,0)-1)-1),"")</f>
        <v/>
      </c>
      <c r="T217" t="str">
        <f ca="1">IFERROR(OFFSET(貼り付け2!$A$1,$A217-1,OFFSET(貼り付け2!$A$1,ROW()-1,MATCH(T$1,貼り付け2!$1:$1,0)-1)-1),"")</f>
        <v/>
      </c>
      <c r="W217" t="str">
        <f ca="1">IFERROR(OFFSET(貼り付け2!$A$1,まとめ!$B217-1,OFFSET(貼り付け2!$A$1,ROW()-1,MATCH(W$1,貼り付け2!$1:$1,0)-1)-1),"")</f>
        <v/>
      </c>
    </row>
    <row r="218" spans="1:23" x14ac:dyDescent="0.45">
      <c r="A218" t="str">
        <f>貼り付け2!S218</f>
        <v/>
      </c>
      <c r="B218" t="str">
        <f>貼り付け2!R218</f>
        <v/>
      </c>
      <c r="E218" t="str">
        <f ca="1">IFERROR(OFFSET(貼り付け2!$A$1,$A218-1,OFFSET(貼り付け2!$A$1,ROW()-1,MATCH(E$1,貼り付け2!$1:$1,0)-1)-1),"")</f>
        <v/>
      </c>
      <c r="H218" t="str">
        <f ca="1">IFERROR(OFFSET(貼り付け2!$A$1,まとめ!$B218-1,OFFSET(貼り付け2!$A$1,ROW()-1,MATCH(H$1,貼り付け2!$1:$1,0)-1)-1),"")</f>
        <v/>
      </c>
      <c r="J218" t="str">
        <f ca="1">IFERROR(OFFSET(貼り付け2!$A$1,$A218-1,OFFSET(貼り付け2!$A$1,ROW()-1,MATCH(J$1,貼り付け2!$1:$1,0)-1)-1),"")</f>
        <v/>
      </c>
      <c r="M218" t="str">
        <f ca="1">IFERROR(OFFSET(貼り付け2!$A$1,まとめ!$B218-1,OFFSET(貼り付け2!$A$1,ROW()-1,MATCH(M$1,貼り付け2!$1:$1,0)-1)-1),"")</f>
        <v/>
      </c>
      <c r="O218" t="str">
        <f ca="1">IFERROR(OFFSET(貼り付け2!$A$1,$A218-1,OFFSET(貼り付け2!$A$1,ROW()-1,MATCH(O$1,貼り付け2!$1:$1,0)-1)-1),"")</f>
        <v/>
      </c>
      <c r="R218" t="str">
        <f ca="1">IFERROR(OFFSET(貼り付け2!$A$1,まとめ!$B218-1,OFFSET(貼り付け2!$A$1,ROW()-1,MATCH(R$1,貼り付け2!$1:$1,0)-1)-1),"")</f>
        <v/>
      </c>
      <c r="T218" t="str">
        <f ca="1">IFERROR(OFFSET(貼り付け2!$A$1,$A218-1,OFFSET(貼り付け2!$A$1,ROW()-1,MATCH(T$1,貼り付け2!$1:$1,0)-1)-1),"")</f>
        <v/>
      </c>
      <c r="W218" t="str">
        <f ca="1">IFERROR(OFFSET(貼り付け2!$A$1,まとめ!$B218-1,OFFSET(貼り付け2!$A$1,ROW()-1,MATCH(W$1,貼り付け2!$1:$1,0)-1)-1),"")</f>
        <v/>
      </c>
    </row>
    <row r="219" spans="1:23" x14ac:dyDescent="0.45">
      <c r="A219" t="str">
        <f>貼り付け2!S219</f>
        <v/>
      </c>
      <c r="B219" t="str">
        <f>貼り付け2!R219</f>
        <v/>
      </c>
      <c r="E219" t="str">
        <f ca="1">IFERROR(OFFSET(貼り付け2!$A$1,$A219-1,OFFSET(貼り付け2!$A$1,ROW()-1,MATCH(E$1,貼り付け2!$1:$1,0)-1)-1),"")</f>
        <v/>
      </c>
      <c r="H219" t="str">
        <f ca="1">IFERROR(OFFSET(貼り付け2!$A$1,まとめ!$B219-1,OFFSET(貼り付け2!$A$1,ROW()-1,MATCH(H$1,貼り付け2!$1:$1,0)-1)-1),"")</f>
        <v/>
      </c>
      <c r="J219" t="str">
        <f ca="1">IFERROR(OFFSET(貼り付け2!$A$1,$A219-1,OFFSET(貼り付け2!$A$1,ROW()-1,MATCH(J$1,貼り付け2!$1:$1,0)-1)-1),"")</f>
        <v/>
      </c>
      <c r="M219" t="str">
        <f ca="1">IFERROR(OFFSET(貼り付け2!$A$1,まとめ!$B219-1,OFFSET(貼り付け2!$A$1,ROW()-1,MATCH(M$1,貼り付け2!$1:$1,0)-1)-1),"")</f>
        <v/>
      </c>
      <c r="O219" t="str">
        <f ca="1">IFERROR(OFFSET(貼り付け2!$A$1,$A219-1,OFFSET(貼り付け2!$A$1,ROW()-1,MATCH(O$1,貼り付け2!$1:$1,0)-1)-1),"")</f>
        <v/>
      </c>
      <c r="R219" t="str">
        <f ca="1">IFERROR(OFFSET(貼り付け2!$A$1,まとめ!$B219-1,OFFSET(貼り付け2!$A$1,ROW()-1,MATCH(R$1,貼り付け2!$1:$1,0)-1)-1),"")</f>
        <v/>
      </c>
      <c r="T219" t="str">
        <f ca="1">IFERROR(OFFSET(貼り付け2!$A$1,$A219-1,OFFSET(貼り付け2!$A$1,ROW()-1,MATCH(T$1,貼り付け2!$1:$1,0)-1)-1),"")</f>
        <v/>
      </c>
      <c r="W219" t="str">
        <f ca="1">IFERROR(OFFSET(貼り付け2!$A$1,まとめ!$B219-1,OFFSET(貼り付け2!$A$1,ROW()-1,MATCH(W$1,貼り付け2!$1:$1,0)-1)-1),"")</f>
        <v/>
      </c>
    </row>
    <row r="220" spans="1:23" x14ac:dyDescent="0.45">
      <c r="A220" t="str">
        <f>貼り付け2!S220</f>
        <v/>
      </c>
      <c r="B220" t="str">
        <f>貼り付け2!R220</f>
        <v/>
      </c>
      <c r="E220" t="str">
        <f ca="1">IFERROR(OFFSET(貼り付け2!$A$1,$A220-1,OFFSET(貼り付け2!$A$1,ROW()-1,MATCH(E$1,貼り付け2!$1:$1,0)-1)-1),"")</f>
        <v/>
      </c>
      <c r="H220" t="str">
        <f ca="1">IFERROR(OFFSET(貼り付け2!$A$1,まとめ!$B220-1,OFFSET(貼り付け2!$A$1,ROW()-1,MATCH(H$1,貼り付け2!$1:$1,0)-1)-1),"")</f>
        <v/>
      </c>
      <c r="J220" t="str">
        <f ca="1">IFERROR(OFFSET(貼り付け2!$A$1,$A220-1,OFFSET(貼り付け2!$A$1,ROW()-1,MATCH(J$1,貼り付け2!$1:$1,0)-1)-1),"")</f>
        <v/>
      </c>
      <c r="M220" t="str">
        <f ca="1">IFERROR(OFFSET(貼り付け2!$A$1,まとめ!$B220-1,OFFSET(貼り付け2!$A$1,ROW()-1,MATCH(M$1,貼り付け2!$1:$1,0)-1)-1),"")</f>
        <v/>
      </c>
      <c r="O220" t="str">
        <f ca="1">IFERROR(OFFSET(貼り付け2!$A$1,$A220-1,OFFSET(貼り付け2!$A$1,ROW()-1,MATCH(O$1,貼り付け2!$1:$1,0)-1)-1),"")</f>
        <v/>
      </c>
      <c r="R220" t="str">
        <f ca="1">IFERROR(OFFSET(貼り付け2!$A$1,まとめ!$B220-1,OFFSET(貼り付け2!$A$1,ROW()-1,MATCH(R$1,貼り付け2!$1:$1,0)-1)-1),"")</f>
        <v/>
      </c>
      <c r="T220" t="str">
        <f ca="1">IFERROR(OFFSET(貼り付け2!$A$1,$A220-1,OFFSET(貼り付け2!$A$1,ROW()-1,MATCH(T$1,貼り付け2!$1:$1,0)-1)-1),"")</f>
        <v/>
      </c>
      <c r="W220" t="str">
        <f ca="1">IFERROR(OFFSET(貼り付け2!$A$1,まとめ!$B220-1,OFFSET(貼り付け2!$A$1,ROW()-1,MATCH(W$1,貼り付け2!$1:$1,0)-1)-1),"")</f>
        <v/>
      </c>
    </row>
    <row r="221" spans="1:23" x14ac:dyDescent="0.45">
      <c r="A221" t="str">
        <f>貼り付け2!S221</f>
        <v/>
      </c>
      <c r="B221" t="str">
        <f>貼り付け2!R221</f>
        <v/>
      </c>
      <c r="E221" t="str">
        <f ca="1">IFERROR(OFFSET(貼り付け2!$A$1,$A221-1,OFFSET(貼り付け2!$A$1,ROW()-1,MATCH(E$1,貼り付け2!$1:$1,0)-1)-1),"")</f>
        <v/>
      </c>
      <c r="H221" t="str">
        <f ca="1">IFERROR(OFFSET(貼り付け2!$A$1,まとめ!$B221-1,OFFSET(貼り付け2!$A$1,ROW()-1,MATCH(H$1,貼り付け2!$1:$1,0)-1)-1),"")</f>
        <v/>
      </c>
      <c r="J221" t="str">
        <f ca="1">IFERROR(OFFSET(貼り付け2!$A$1,$A221-1,OFFSET(貼り付け2!$A$1,ROW()-1,MATCH(J$1,貼り付け2!$1:$1,0)-1)-1),"")</f>
        <v/>
      </c>
      <c r="M221" t="str">
        <f ca="1">IFERROR(OFFSET(貼り付け2!$A$1,まとめ!$B221-1,OFFSET(貼り付け2!$A$1,ROW()-1,MATCH(M$1,貼り付け2!$1:$1,0)-1)-1),"")</f>
        <v/>
      </c>
      <c r="O221" t="str">
        <f ca="1">IFERROR(OFFSET(貼り付け2!$A$1,$A221-1,OFFSET(貼り付け2!$A$1,ROW()-1,MATCH(O$1,貼り付け2!$1:$1,0)-1)-1),"")</f>
        <v/>
      </c>
      <c r="R221" t="str">
        <f ca="1">IFERROR(OFFSET(貼り付け2!$A$1,まとめ!$B221-1,OFFSET(貼り付け2!$A$1,ROW()-1,MATCH(R$1,貼り付け2!$1:$1,0)-1)-1),"")</f>
        <v/>
      </c>
      <c r="T221" t="str">
        <f ca="1">IFERROR(OFFSET(貼り付け2!$A$1,$A221-1,OFFSET(貼り付け2!$A$1,ROW()-1,MATCH(T$1,貼り付け2!$1:$1,0)-1)-1),"")</f>
        <v/>
      </c>
      <c r="W221" t="str">
        <f ca="1">IFERROR(OFFSET(貼り付け2!$A$1,まとめ!$B221-1,OFFSET(貼り付け2!$A$1,ROW()-1,MATCH(W$1,貼り付け2!$1:$1,0)-1)-1),"")</f>
        <v/>
      </c>
    </row>
    <row r="222" spans="1:23" x14ac:dyDescent="0.45">
      <c r="A222" t="str">
        <f>貼り付け2!S222</f>
        <v/>
      </c>
      <c r="B222" t="str">
        <f>貼り付け2!R222</f>
        <v/>
      </c>
      <c r="E222" t="str">
        <f ca="1">IFERROR(OFFSET(貼り付け2!$A$1,$A222-1,OFFSET(貼り付け2!$A$1,ROW()-1,MATCH(E$1,貼り付け2!$1:$1,0)-1)-1),"")</f>
        <v/>
      </c>
      <c r="H222" t="str">
        <f ca="1">IFERROR(OFFSET(貼り付け2!$A$1,まとめ!$B222-1,OFFSET(貼り付け2!$A$1,ROW()-1,MATCH(H$1,貼り付け2!$1:$1,0)-1)-1),"")</f>
        <v/>
      </c>
      <c r="J222" t="str">
        <f ca="1">IFERROR(OFFSET(貼り付け2!$A$1,$A222-1,OFFSET(貼り付け2!$A$1,ROW()-1,MATCH(J$1,貼り付け2!$1:$1,0)-1)-1),"")</f>
        <v/>
      </c>
      <c r="M222" t="str">
        <f ca="1">IFERROR(OFFSET(貼り付け2!$A$1,まとめ!$B222-1,OFFSET(貼り付け2!$A$1,ROW()-1,MATCH(M$1,貼り付け2!$1:$1,0)-1)-1),"")</f>
        <v/>
      </c>
      <c r="O222" t="str">
        <f ca="1">IFERROR(OFFSET(貼り付け2!$A$1,$A222-1,OFFSET(貼り付け2!$A$1,ROW()-1,MATCH(O$1,貼り付け2!$1:$1,0)-1)-1),"")</f>
        <v/>
      </c>
      <c r="R222" t="str">
        <f ca="1">IFERROR(OFFSET(貼り付け2!$A$1,まとめ!$B222-1,OFFSET(貼り付け2!$A$1,ROW()-1,MATCH(R$1,貼り付け2!$1:$1,0)-1)-1),"")</f>
        <v/>
      </c>
      <c r="T222" t="str">
        <f ca="1">IFERROR(OFFSET(貼り付け2!$A$1,$A222-1,OFFSET(貼り付け2!$A$1,ROW()-1,MATCH(T$1,貼り付け2!$1:$1,0)-1)-1),"")</f>
        <v/>
      </c>
      <c r="W222" t="str">
        <f ca="1">IFERROR(OFFSET(貼り付け2!$A$1,まとめ!$B222-1,OFFSET(貼り付け2!$A$1,ROW()-1,MATCH(W$1,貼り付け2!$1:$1,0)-1)-1),"")</f>
        <v/>
      </c>
    </row>
    <row r="223" spans="1:23" x14ac:dyDescent="0.45">
      <c r="A223" t="str">
        <f>貼り付け2!S223</f>
        <v/>
      </c>
      <c r="B223" t="str">
        <f>貼り付け2!R223</f>
        <v/>
      </c>
      <c r="E223" t="str">
        <f ca="1">IFERROR(OFFSET(貼り付け2!$A$1,$A223-1,OFFSET(貼り付け2!$A$1,ROW()-1,MATCH(E$1,貼り付け2!$1:$1,0)-1)-1),"")</f>
        <v/>
      </c>
      <c r="H223" t="str">
        <f ca="1">IFERROR(OFFSET(貼り付け2!$A$1,まとめ!$B223-1,OFFSET(貼り付け2!$A$1,ROW()-1,MATCH(H$1,貼り付け2!$1:$1,0)-1)-1),"")</f>
        <v/>
      </c>
      <c r="J223" t="str">
        <f ca="1">IFERROR(OFFSET(貼り付け2!$A$1,$A223-1,OFFSET(貼り付け2!$A$1,ROW()-1,MATCH(J$1,貼り付け2!$1:$1,0)-1)-1),"")</f>
        <v/>
      </c>
      <c r="M223" t="str">
        <f ca="1">IFERROR(OFFSET(貼り付け2!$A$1,まとめ!$B223-1,OFFSET(貼り付け2!$A$1,ROW()-1,MATCH(M$1,貼り付け2!$1:$1,0)-1)-1),"")</f>
        <v/>
      </c>
      <c r="O223" t="str">
        <f ca="1">IFERROR(OFFSET(貼り付け2!$A$1,$A223-1,OFFSET(貼り付け2!$A$1,ROW()-1,MATCH(O$1,貼り付け2!$1:$1,0)-1)-1),"")</f>
        <v/>
      </c>
      <c r="R223" t="str">
        <f ca="1">IFERROR(OFFSET(貼り付け2!$A$1,まとめ!$B223-1,OFFSET(貼り付け2!$A$1,ROW()-1,MATCH(R$1,貼り付け2!$1:$1,0)-1)-1),"")</f>
        <v/>
      </c>
      <c r="T223" t="str">
        <f ca="1">IFERROR(OFFSET(貼り付け2!$A$1,$A223-1,OFFSET(貼り付け2!$A$1,ROW()-1,MATCH(T$1,貼り付け2!$1:$1,0)-1)-1),"")</f>
        <v/>
      </c>
      <c r="W223" t="str">
        <f ca="1">IFERROR(OFFSET(貼り付け2!$A$1,まとめ!$B223-1,OFFSET(貼り付け2!$A$1,ROW()-1,MATCH(W$1,貼り付け2!$1:$1,0)-1)-1),"")</f>
        <v/>
      </c>
    </row>
    <row r="224" spans="1:23" x14ac:dyDescent="0.45">
      <c r="A224" t="str">
        <f>貼り付け2!S224</f>
        <v/>
      </c>
      <c r="B224" t="str">
        <f>貼り付け2!R224</f>
        <v/>
      </c>
      <c r="E224" t="str">
        <f ca="1">IFERROR(OFFSET(貼り付け2!$A$1,$A224-1,OFFSET(貼り付け2!$A$1,ROW()-1,MATCH(E$1,貼り付け2!$1:$1,0)-1)-1),"")</f>
        <v/>
      </c>
      <c r="H224" t="str">
        <f ca="1">IFERROR(OFFSET(貼り付け2!$A$1,まとめ!$B224-1,OFFSET(貼り付け2!$A$1,ROW()-1,MATCH(H$1,貼り付け2!$1:$1,0)-1)-1),"")</f>
        <v/>
      </c>
      <c r="J224" t="str">
        <f ca="1">IFERROR(OFFSET(貼り付け2!$A$1,$A224-1,OFFSET(貼り付け2!$A$1,ROW()-1,MATCH(J$1,貼り付け2!$1:$1,0)-1)-1),"")</f>
        <v/>
      </c>
      <c r="M224" t="str">
        <f ca="1">IFERROR(OFFSET(貼り付け2!$A$1,まとめ!$B224-1,OFFSET(貼り付け2!$A$1,ROW()-1,MATCH(M$1,貼り付け2!$1:$1,0)-1)-1),"")</f>
        <v/>
      </c>
      <c r="O224" t="str">
        <f ca="1">IFERROR(OFFSET(貼り付け2!$A$1,$A224-1,OFFSET(貼り付け2!$A$1,ROW()-1,MATCH(O$1,貼り付け2!$1:$1,0)-1)-1),"")</f>
        <v/>
      </c>
      <c r="R224" t="str">
        <f ca="1">IFERROR(OFFSET(貼り付け2!$A$1,まとめ!$B224-1,OFFSET(貼り付け2!$A$1,ROW()-1,MATCH(R$1,貼り付け2!$1:$1,0)-1)-1),"")</f>
        <v/>
      </c>
      <c r="T224" t="str">
        <f ca="1">IFERROR(OFFSET(貼り付け2!$A$1,$A224-1,OFFSET(貼り付け2!$A$1,ROW()-1,MATCH(T$1,貼り付け2!$1:$1,0)-1)-1),"")</f>
        <v/>
      </c>
      <c r="W224" t="str">
        <f ca="1">IFERROR(OFFSET(貼り付け2!$A$1,まとめ!$B224-1,OFFSET(貼り付け2!$A$1,ROW()-1,MATCH(W$1,貼り付け2!$1:$1,0)-1)-1),"")</f>
        <v/>
      </c>
    </row>
    <row r="225" spans="1:23" x14ac:dyDescent="0.45">
      <c r="A225" t="str">
        <f>貼り付け2!S225</f>
        <v/>
      </c>
      <c r="B225" t="str">
        <f>貼り付け2!R225</f>
        <v/>
      </c>
      <c r="E225" t="str">
        <f ca="1">IFERROR(OFFSET(貼り付け2!$A$1,$A225-1,OFFSET(貼り付け2!$A$1,ROW()-1,MATCH(E$1,貼り付け2!$1:$1,0)-1)-1),"")</f>
        <v/>
      </c>
      <c r="H225" t="str">
        <f ca="1">IFERROR(OFFSET(貼り付け2!$A$1,まとめ!$B225-1,OFFSET(貼り付け2!$A$1,ROW()-1,MATCH(H$1,貼り付け2!$1:$1,0)-1)-1),"")</f>
        <v/>
      </c>
      <c r="J225" t="str">
        <f ca="1">IFERROR(OFFSET(貼り付け2!$A$1,$A225-1,OFFSET(貼り付け2!$A$1,ROW()-1,MATCH(J$1,貼り付け2!$1:$1,0)-1)-1),"")</f>
        <v/>
      </c>
      <c r="M225" t="str">
        <f ca="1">IFERROR(OFFSET(貼り付け2!$A$1,まとめ!$B225-1,OFFSET(貼り付け2!$A$1,ROW()-1,MATCH(M$1,貼り付け2!$1:$1,0)-1)-1),"")</f>
        <v/>
      </c>
      <c r="O225" t="str">
        <f ca="1">IFERROR(OFFSET(貼り付け2!$A$1,$A225-1,OFFSET(貼り付け2!$A$1,ROW()-1,MATCH(O$1,貼り付け2!$1:$1,0)-1)-1),"")</f>
        <v/>
      </c>
      <c r="R225" t="str">
        <f ca="1">IFERROR(OFFSET(貼り付け2!$A$1,まとめ!$B225-1,OFFSET(貼り付け2!$A$1,ROW()-1,MATCH(R$1,貼り付け2!$1:$1,0)-1)-1),"")</f>
        <v/>
      </c>
      <c r="T225" t="str">
        <f ca="1">IFERROR(OFFSET(貼り付け2!$A$1,$A225-1,OFFSET(貼り付け2!$A$1,ROW()-1,MATCH(T$1,貼り付け2!$1:$1,0)-1)-1),"")</f>
        <v/>
      </c>
      <c r="W225" t="str">
        <f ca="1">IFERROR(OFFSET(貼り付け2!$A$1,まとめ!$B225-1,OFFSET(貼り付け2!$A$1,ROW()-1,MATCH(W$1,貼り付け2!$1:$1,0)-1)-1),"")</f>
        <v/>
      </c>
    </row>
    <row r="226" spans="1:23" x14ac:dyDescent="0.45">
      <c r="A226" t="str">
        <f>貼り付け2!S226</f>
        <v/>
      </c>
      <c r="B226" t="str">
        <f>貼り付け2!R226</f>
        <v/>
      </c>
      <c r="E226" t="str">
        <f ca="1">IFERROR(OFFSET(貼り付け2!$A$1,$A226-1,OFFSET(貼り付け2!$A$1,ROW()-1,MATCH(E$1,貼り付け2!$1:$1,0)-1)-1),"")</f>
        <v/>
      </c>
      <c r="H226" t="str">
        <f ca="1">IFERROR(OFFSET(貼り付け2!$A$1,まとめ!$B226-1,OFFSET(貼り付け2!$A$1,ROW()-1,MATCH(H$1,貼り付け2!$1:$1,0)-1)-1),"")</f>
        <v/>
      </c>
      <c r="J226" t="str">
        <f ca="1">IFERROR(OFFSET(貼り付け2!$A$1,$A226-1,OFFSET(貼り付け2!$A$1,ROW()-1,MATCH(J$1,貼り付け2!$1:$1,0)-1)-1),"")</f>
        <v/>
      </c>
      <c r="M226" t="str">
        <f ca="1">IFERROR(OFFSET(貼り付け2!$A$1,まとめ!$B226-1,OFFSET(貼り付け2!$A$1,ROW()-1,MATCH(M$1,貼り付け2!$1:$1,0)-1)-1),"")</f>
        <v/>
      </c>
      <c r="O226" t="str">
        <f ca="1">IFERROR(OFFSET(貼り付け2!$A$1,$A226-1,OFFSET(貼り付け2!$A$1,ROW()-1,MATCH(O$1,貼り付け2!$1:$1,0)-1)-1),"")</f>
        <v/>
      </c>
      <c r="R226" t="str">
        <f ca="1">IFERROR(OFFSET(貼り付け2!$A$1,まとめ!$B226-1,OFFSET(貼り付け2!$A$1,ROW()-1,MATCH(R$1,貼り付け2!$1:$1,0)-1)-1),"")</f>
        <v/>
      </c>
      <c r="T226" t="str">
        <f ca="1">IFERROR(OFFSET(貼り付け2!$A$1,$A226-1,OFFSET(貼り付け2!$A$1,ROW()-1,MATCH(T$1,貼り付け2!$1:$1,0)-1)-1),"")</f>
        <v/>
      </c>
      <c r="W226" t="str">
        <f ca="1">IFERROR(OFFSET(貼り付け2!$A$1,まとめ!$B226-1,OFFSET(貼り付け2!$A$1,ROW()-1,MATCH(W$1,貼り付け2!$1:$1,0)-1)-1),"")</f>
        <v/>
      </c>
    </row>
    <row r="227" spans="1:23" x14ac:dyDescent="0.45">
      <c r="A227" t="str">
        <f>貼り付け2!S227</f>
        <v/>
      </c>
      <c r="B227" t="str">
        <f>貼り付け2!R227</f>
        <v/>
      </c>
      <c r="E227" t="str">
        <f ca="1">IFERROR(OFFSET(貼り付け2!$A$1,$A227-1,OFFSET(貼り付け2!$A$1,ROW()-1,MATCH(E$1,貼り付け2!$1:$1,0)-1)-1),"")</f>
        <v/>
      </c>
      <c r="H227" t="str">
        <f ca="1">IFERROR(OFFSET(貼り付け2!$A$1,まとめ!$B227-1,OFFSET(貼り付け2!$A$1,ROW()-1,MATCH(H$1,貼り付け2!$1:$1,0)-1)-1),"")</f>
        <v/>
      </c>
      <c r="J227" t="str">
        <f ca="1">IFERROR(OFFSET(貼り付け2!$A$1,$A227-1,OFFSET(貼り付け2!$A$1,ROW()-1,MATCH(J$1,貼り付け2!$1:$1,0)-1)-1),"")</f>
        <v/>
      </c>
      <c r="M227" t="str">
        <f ca="1">IFERROR(OFFSET(貼り付け2!$A$1,まとめ!$B227-1,OFFSET(貼り付け2!$A$1,ROW()-1,MATCH(M$1,貼り付け2!$1:$1,0)-1)-1),"")</f>
        <v/>
      </c>
      <c r="O227" t="str">
        <f ca="1">IFERROR(OFFSET(貼り付け2!$A$1,$A227-1,OFFSET(貼り付け2!$A$1,ROW()-1,MATCH(O$1,貼り付け2!$1:$1,0)-1)-1),"")</f>
        <v/>
      </c>
      <c r="R227" t="str">
        <f ca="1">IFERROR(OFFSET(貼り付け2!$A$1,まとめ!$B227-1,OFFSET(貼り付け2!$A$1,ROW()-1,MATCH(R$1,貼り付け2!$1:$1,0)-1)-1),"")</f>
        <v/>
      </c>
      <c r="T227" t="str">
        <f ca="1">IFERROR(OFFSET(貼り付け2!$A$1,$A227-1,OFFSET(貼り付け2!$A$1,ROW()-1,MATCH(T$1,貼り付け2!$1:$1,0)-1)-1),"")</f>
        <v/>
      </c>
      <c r="W227" t="str">
        <f ca="1">IFERROR(OFFSET(貼り付け2!$A$1,まとめ!$B227-1,OFFSET(貼り付け2!$A$1,ROW()-1,MATCH(W$1,貼り付け2!$1:$1,0)-1)-1),"")</f>
        <v/>
      </c>
    </row>
    <row r="228" spans="1:23" x14ac:dyDescent="0.45">
      <c r="A228" t="str">
        <f>貼り付け2!S228</f>
        <v/>
      </c>
      <c r="B228" t="str">
        <f>貼り付け2!R228</f>
        <v/>
      </c>
      <c r="E228" t="str">
        <f ca="1">IFERROR(OFFSET(貼り付け2!$A$1,$A228-1,OFFSET(貼り付け2!$A$1,ROW()-1,MATCH(E$1,貼り付け2!$1:$1,0)-1)-1),"")</f>
        <v/>
      </c>
      <c r="H228" t="str">
        <f ca="1">IFERROR(OFFSET(貼り付け2!$A$1,まとめ!$B228-1,OFFSET(貼り付け2!$A$1,ROW()-1,MATCH(H$1,貼り付け2!$1:$1,0)-1)-1),"")</f>
        <v/>
      </c>
      <c r="J228" t="str">
        <f ca="1">IFERROR(OFFSET(貼り付け2!$A$1,$A228-1,OFFSET(貼り付け2!$A$1,ROW()-1,MATCH(J$1,貼り付け2!$1:$1,0)-1)-1),"")</f>
        <v/>
      </c>
      <c r="M228" t="str">
        <f ca="1">IFERROR(OFFSET(貼り付け2!$A$1,まとめ!$B228-1,OFFSET(貼り付け2!$A$1,ROW()-1,MATCH(M$1,貼り付け2!$1:$1,0)-1)-1),"")</f>
        <v/>
      </c>
      <c r="O228" t="str">
        <f ca="1">IFERROR(OFFSET(貼り付け2!$A$1,$A228-1,OFFSET(貼り付け2!$A$1,ROW()-1,MATCH(O$1,貼り付け2!$1:$1,0)-1)-1),"")</f>
        <v/>
      </c>
      <c r="R228" t="str">
        <f ca="1">IFERROR(OFFSET(貼り付け2!$A$1,まとめ!$B228-1,OFFSET(貼り付け2!$A$1,ROW()-1,MATCH(R$1,貼り付け2!$1:$1,0)-1)-1),"")</f>
        <v/>
      </c>
      <c r="T228" t="str">
        <f ca="1">IFERROR(OFFSET(貼り付け2!$A$1,$A228-1,OFFSET(貼り付け2!$A$1,ROW()-1,MATCH(T$1,貼り付け2!$1:$1,0)-1)-1),"")</f>
        <v/>
      </c>
      <c r="W228" t="str">
        <f ca="1">IFERROR(OFFSET(貼り付け2!$A$1,まとめ!$B228-1,OFFSET(貼り付け2!$A$1,ROW()-1,MATCH(W$1,貼り付け2!$1:$1,0)-1)-1),"")</f>
        <v/>
      </c>
    </row>
    <row r="229" spans="1:23" x14ac:dyDescent="0.45">
      <c r="A229" t="str">
        <f>貼り付け2!S229</f>
        <v/>
      </c>
      <c r="B229" t="str">
        <f>貼り付け2!R229</f>
        <v/>
      </c>
      <c r="E229" t="str">
        <f ca="1">IFERROR(OFFSET(貼り付け2!$A$1,$A229-1,OFFSET(貼り付け2!$A$1,ROW()-1,MATCH(E$1,貼り付け2!$1:$1,0)-1)-1),"")</f>
        <v/>
      </c>
      <c r="H229" t="str">
        <f ca="1">IFERROR(OFFSET(貼り付け2!$A$1,まとめ!$B229-1,OFFSET(貼り付け2!$A$1,ROW()-1,MATCH(H$1,貼り付け2!$1:$1,0)-1)-1),"")</f>
        <v/>
      </c>
      <c r="J229" t="str">
        <f ca="1">IFERROR(OFFSET(貼り付け2!$A$1,$A229-1,OFFSET(貼り付け2!$A$1,ROW()-1,MATCH(J$1,貼り付け2!$1:$1,0)-1)-1),"")</f>
        <v/>
      </c>
      <c r="M229" t="str">
        <f ca="1">IFERROR(OFFSET(貼り付け2!$A$1,まとめ!$B229-1,OFFSET(貼り付け2!$A$1,ROW()-1,MATCH(M$1,貼り付け2!$1:$1,0)-1)-1),"")</f>
        <v/>
      </c>
      <c r="O229" t="str">
        <f ca="1">IFERROR(OFFSET(貼り付け2!$A$1,$A229-1,OFFSET(貼り付け2!$A$1,ROW()-1,MATCH(O$1,貼り付け2!$1:$1,0)-1)-1),"")</f>
        <v/>
      </c>
      <c r="R229" t="str">
        <f ca="1">IFERROR(OFFSET(貼り付け2!$A$1,まとめ!$B229-1,OFFSET(貼り付け2!$A$1,ROW()-1,MATCH(R$1,貼り付け2!$1:$1,0)-1)-1),"")</f>
        <v/>
      </c>
      <c r="T229" t="str">
        <f ca="1">IFERROR(OFFSET(貼り付け2!$A$1,$A229-1,OFFSET(貼り付け2!$A$1,ROW()-1,MATCH(T$1,貼り付け2!$1:$1,0)-1)-1),"")</f>
        <v/>
      </c>
      <c r="W229" t="str">
        <f ca="1">IFERROR(OFFSET(貼り付け2!$A$1,まとめ!$B229-1,OFFSET(貼り付け2!$A$1,ROW()-1,MATCH(W$1,貼り付け2!$1:$1,0)-1)-1),"")</f>
        <v/>
      </c>
    </row>
    <row r="230" spans="1:23" x14ac:dyDescent="0.45">
      <c r="A230" t="str">
        <f>貼り付け2!S230</f>
        <v/>
      </c>
      <c r="B230" t="str">
        <f>貼り付け2!R230</f>
        <v/>
      </c>
      <c r="E230" t="str">
        <f ca="1">IFERROR(OFFSET(貼り付け2!$A$1,$A230-1,OFFSET(貼り付け2!$A$1,ROW()-1,MATCH(E$1,貼り付け2!$1:$1,0)-1)-1),"")</f>
        <v/>
      </c>
      <c r="H230" t="str">
        <f ca="1">IFERROR(OFFSET(貼り付け2!$A$1,まとめ!$B230-1,OFFSET(貼り付け2!$A$1,ROW()-1,MATCH(H$1,貼り付け2!$1:$1,0)-1)-1),"")</f>
        <v/>
      </c>
      <c r="J230" t="str">
        <f ca="1">IFERROR(OFFSET(貼り付け2!$A$1,$A230-1,OFFSET(貼り付け2!$A$1,ROW()-1,MATCH(J$1,貼り付け2!$1:$1,0)-1)-1),"")</f>
        <v/>
      </c>
      <c r="M230" t="str">
        <f ca="1">IFERROR(OFFSET(貼り付け2!$A$1,まとめ!$B230-1,OFFSET(貼り付け2!$A$1,ROW()-1,MATCH(M$1,貼り付け2!$1:$1,0)-1)-1),"")</f>
        <v/>
      </c>
      <c r="O230" t="str">
        <f ca="1">IFERROR(OFFSET(貼り付け2!$A$1,$A230-1,OFFSET(貼り付け2!$A$1,ROW()-1,MATCH(O$1,貼り付け2!$1:$1,0)-1)-1),"")</f>
        <v/>
      </c>
      <c r="R230" t="str">
        <f ca="1">IFERROR(OFFSET(貼り付け2!$A$1,まとめ!$B230-1,OFFSET(貼り付け2!$A$1,ROW()-1,MATCH(R$1,貼り付け2!$1:$1,0)-1)-1),"")</f>
        <v/>
      </c>
      <c r="T230" t="str">
        <f ca="1">IFERROR(OFFSET(貼り付け2!$A$1,$A230-1,OFFSET(貼り付け2!$A$1,ROW()-1,MATCH(T$1,貼り付け2!$1:$1,0)-1)-1),"")</f>
        <v/>
      </c>
      <c r="W230" t="str">
        <f ca="1">IFERROR(OFFSET(貼り付け2!$A$1,まとめ!$B230-1,OFFSET(貼り付け2!$A$1,ROW()-1,MATCH(W$1,貼り付け2!$1:$1,0)-1)-1),"")</f>
        <v/>
      </c>
    </row>
    <row r="231" spans="1:23" x14ac:dyDescent="0.45">
      <c r="A231" t="str">
        <f>貼り付け2!S231</f>
        <v/>
      </c>
      <c r="B231" t="str">
        <f>貼り付け2!R231</f>
        <v/>
      </c>
      <c r="E231" t="str">
        <f ca="1">IFERROR(OFFSET(貼り付け2!$A$1,$A231-1,OFFSET(貼り付け2!$A$1,ROW()-1,MATCH(E$1,貼り付け2!$1:$1,0)-1)-1),"")</f>
        <v/>
      </c>
      <c r="H231" t="str">
        <f ca="1">IFERROR(OFFSET(貼り付け2!$A$1,まとめ!$B231-1,OFFSET(貼り付け2!$A$1,ROW()-1,MATCH(H$1,貼り付け2!$1:$1,0)-1)-1),"")</f>
        <v/>
      </c>
      <c r="J231" t="str">
        <f ca="1">IFERROR(OFFSET(貼り付け2!$A$1,$A231-1,OFFSET(貼り付け2!$A$1,ROW()-1,MATCH(J$1,貼り付け2!$1:$1,0)-1)-1),"")</f>
        <v/>
      </c>
      <c r="M231" t="str">
        <f ca="1">IFERROR(OFFSET(貼り付け2!$A$1,まとめ!$B231-1,OFFSET(貼り付け2!$A$1,ROW()-1,MATCH(M$1,貼り付け2!$1:$1,0)-1)-1),"")</f>
        <v/>
      </c>
      <c r="O231" t="str">
        <f ca="1">IFERROR(OFFSET(貼り付け2!$A$1,$A231-1,OFFSET(貼り付け2!$A$1,ROW()-1,MATCH(O$1,貼り付け2!$1:$1,0)-1)-1),"")</f>
        <v/>
      </c>
      <c r="R231" t="str">
        <f ca="1">IFERROR(OFFSET(貼り付け2!$A$1,まとめ!$B231-1,OFFSET(貼り付け2!$A$1,ROW()-1,MATCH(R$1,貼り付け2!$1:$1,0)-1)-1),"")</f>
        <v/>
      </c>
      <c r="T231" t="str">
        <f ca="1">IFERROR(OFFSET(貼り付け2!$A$1,$A231-1,OFFSET(貼り付け2!$A$1,ROW()-1,MATCH(T$1,貼り付け2!$1:$1,0)-1)-1),"")</f>
        <v/>
      </c>
      <c r="W231" t="str">
        <f ca="1">IFERROR(OFFSET(貼り付け2!$A$1,まとめ!$B231-1,OFFSET(貼り付け2!$A$1,ROW()-1,MATCH(W$1,貼り付け2!$1:$1,0)-1)-1),"")</f>
        <v/>
      </c>
    </row>
    <row r="232" spans="1:23" x14ac:dyDescent="0.45">
      <c r="A232" t="str">
        <f>貼り付け2!S232</f>
        <v/>
      </c>
      <c r="B232" t="str">
        <f>貼り付け2!R232</f>
        <v/>
      </c>
      <c r="E232" t="str">
        <f ca="1">IFERROR(OFFSET(貼り付け2!$A$1,$A232-1,OFFSET(貼り付け2!$A$1,ROW()-1,MATCH(E$1,貼り付け2!$1:$1,0)-1)-1),"")</f>
        <v/>
      </c>
      <c r="H232" t="str">
        <f ca="1">IFERROR(OFFSET(貼り付け2!$A$1,まとめ!$B232-1,OFFSET(貼り付け2!$A$1,ROW()-1,MATCH(H$1,貼り付け2!$1:$1,0)-1)-1),"")</f>
        <v/>
      </c>
      <c r="J232" t="str">
        <f ca="1">IFERROR(OFFSET(貼り付け2!$A$1,$A232-1,OFFSET(貼り付け2!$A$1,ROW()-1,MATCH(J$1,貼り付け2!$1:$1,0)-1)-1),"")</f>
        <v/>
      </c>
      <c r="M232" t="str">
        <f ca="1">IFERROR(OFFSET(貼り付け2!$A$1,まとめ!$B232-1,OFFSET(貼り付け2!$A$1,ROW()-1,MATCH(M$1,貼り付け2!$1:$1,0)-1)-1),"")</f>
        <v/>
      </c>
      <c r="O232" t="str">
        <f ca="1">IFERROR(OFFSET(貼り付け2!$A$1,$A232-1,OFFSET(貼り付け2!$A$1,ROW()-1,MATCH(O$1,貼り付け2!$1:$1,0)-1)-1),"")</f>
        <v/>
      </c>
      <c r="R232" t="str">
        <f ca="1">IFERROR(OFFSET(貼り付け2!$A$1,まとめ!$B232-1,OFFSET(貼り付け2!$A$1,ROW()-1,MATCH(R$1,貼り付け2!$1:$1,0)-1)-1),"")</f>
        <v/>
      </c>
      <c r="T232" t="str">
        <f ca="1">IFERROR(OFFSET(貼り付け2!$A$1,$A232-1,OFFSET(貼り付け2!$A$1,ROW()-1,MATCH(T$1,貼り付け2!$1:$1,0)-1)-1),"")</f>
        <v/>
      </c>
      <c r="W232" t="str">
        <f ca="1">IFERROR(OFFSET(貼り付け2!$A$1,まとめ!$B232-1,OFFSET(貼り付け2!$A$1,ROW()-1,MATCH(W$1,貼り付け2!$1:$1,0)-1)-1),"")</f>
        <v/>
      </c>
    </row>
    <row r="233" spans="1:23" x14ac:dyDescent="0.45">
      <c r="A233" t="str">
        <f>貼り付け2!S233</f>
        <v/>
      </c>
      <c r="B233" t="str">
        <f>貼り付け2!R233</f>
        <v/>
      </c>
      <c r="E233" t="str">
        <f ca="1">IFERROR(OFFSET(貼り付け2!$A$1,$A233-1,OFFSET(貼り付け2!$A$1,ROW()-1,MATCH(E$1,貼り付け2!$1:$1,0)-1)-1),"")</f>
        <v/>
      </c>
      <c r="H233" t="str">
        <f ca="1">IFERROR(OFFSET(貼り付け2!$A$1,まとめ!$B233-1,OFFSET(貼り付け2!$A$1,ROW()-1,MATCH(H$1,貼り付け2!$1:$1,0)-1)-1),"")</f>
        <v/>
      </c>
      <c r="J233" t="str">
        <f ca="1">IFERROR(OFFSET(貼り付け2!$A$1,$A233-1,OFFSET(貼り付け2!$A$1,ROW()-1,MATCH(J$1,貼り付け2!$1:$1,0)-1)-1),"")</f>
        <v/>
      </c>
      <c r="M233" t="str">
        <f ca="1">IFERROR(OFFSET(貼り付け2!$A$1,まとめ!$B233-1,OFFSET(貼り付け2!$A$1,ROW()-1,MATCH(M$1,貼り付け2!$1:$1,0)-1)-1),"")</f>
        <v/>
      </c>
      <c r="O233" t="str">
        <f ca="1">IFERROR(OFFSET(貼り付け2!$A$1,$A233-1,OFFSET(貼り付け2!$A$1,ROW()-1,MATCH(O$1,貼り付け2!$1:$1,0)-1)-1),"")</f>
        <v/>
      </c>
      <c r="R233" t="str">
        <f ca="1">IFERROR(OFFSET(貼り付け2!$A$1,まとめ!$B233-1,OFFSET(貼り付け2!$A$1,ROW()-1,MATCH(R$1,貼り付け2!$1:$1,0)-1)-1),"")</f>
        <v/>
      </c>
      <c r="T233" t="str">
        <f ca="1">IFERROR(OFFSET(貼り付け2!$A$1,$A233-1,OFFSET(貼り付け2!$A$1,ROW()-1,MATCH(T$1,貼り付け2!$1:$1,0)-1)-1),"")</f>
        <v/>
      </c>
      <c r="W233" t="str">
        <f ca="1">IFERROR(OFFSET(貼り付け2!$A$1,まとめ!$B233-1,OFFSET(貼り付け2!$A$1,ROW()-1,MATCH(W$1,貼り付け2!$1:$1,0)-1)-1),"")</f>
        <v/>
      </c>
    </row>
    <row r="234" spans="1:23" x14ac:dyDescent="0.45">
      <c r="A234" t="str">
        <f>貼り付け2!S234</f>
        <v/>
      </c>
      <c r="B234" t="str">
        <f>貼り付け2!R234</f>
        <v/>
      </c>
      <c r="E234" t="str">
        <f ca="1">IFERROR(OFFSET(貼り付け2!$A$1,$A234-1,OFFSET(貼り付け2!$A$1,ROW()-1,MATCH(E$1,貼り付け2!$1:$1,0)-1)-1),"")</f>
        <v/>
      </c>
      <c r="H234" t="str">
        <f ca="1">IFERROR(OFFSET(貼り付け2!$A$1,まとめ!$B234-1,OFFSET(貼り付け2!$A$1,ROW()-1,MATCH(H$1,貼り付け2!$1:$1,0)-1)-1),"")</f>
        <v/>
      </c>
      <c r="J234" t="str">
        <f ca="1">IFERROR(OFFSET(貼り付け2!$A$1,$A234-1,OFFSET(貼り付け2!$A$1,ROW()-1,MATCH(J$1,貼り付け2!$1:$1,0)-1)-1),"")</f>
        <v/>
      </c>
      <c r="M234" t="str">
        <f ca="1">IFERROR(OFFSET(貼り付け2!$A$1,まとめ!$B234-1,OFFSET(貼り付け2!$A$1,ROW()-1,MATCH(M$1,貼り付け2!$1:$1,0)-1)-1),"")</f>
        <v/>
      </c>
      <c r="O234" t="str">
        <f ca="1">IFERROR(OFFSET(貼り付け2!$A$1,$A234-1,OFFSET(貼り付け2!$A$1,ROW()-1,MATCH(O$1,貼り付け2!$1:$1,0)-1)-1),"")</f>
        <v/>
      </c>
      <c r="R234" t="str">
        <f ca="1">IFERROR(OFFSET(貼り付け2!$A$1,まとめ!$B234-1,OFFSET(貼り付け2!$A$1,ROW()-1,MATCH(R$1,貼り付け2!$1:$1,0)-1)-1),"")</f>
        <v/>
      </c>
      <c r="T234" t="str">
        <f ca="1">IFERROR(OFFSET(貼り付け2!$A$1,$A234-1,OFFSET(貼り付け2!$A$1,ROW()-1,MATCH(T$1,貼り付け2!$1:$1,0)-1)-1),"")</f>
        <v/>
      </c>
      <c r="W234" t="str">
        <f ca="1">IFERROR(OFFSET(貼り付け2!$A$1,まとめ!$B234-1,OFFSET(貼り付け2!$A$1,ROW()-1,MATCH(W$1,貼り付け2!$1:$1,0)-1)-1),"")</f>
        <v/>
      </c>
    </row>
    <row r="235" spans="1:23" x14ac:dyDescent="0.45">
      <c r="A235" t="str">
        <f>貼り付け2!S235</f>
        <v/>
      </c>
      <c r="B235" t="str">
        <f>貼り付け2!R235</f>
        <v/>
      </c>
      <c r="E235" t="str">
        <f ca="1">IFERROR(OFFSET(貼り付け2!$A$1,$A235-1,OFFSET(貼り付け2!$A$1,ROW()-1,MATCH(E$1,貼り付け2!$1:$1,0)-1)-1),"")</f>
        <v/>
      </c>
      <c r="H235" t="str">
        <f ca="1">IFERROR(OFFSET(貼り付け2!$A$1,まとめ!$B235-1,OFFSET(貼り付け2!$A$1,ROW()-1,MATCH(H$1,貼り付け2!$1:$1,0)-1)-1),"")</f>
        <v/>
      </c>
      <c r="J235" t="str">
        <f ca="1">IFERROR(OFFSET(貼り付け2!$A$1,$A235-1,OFFSET(貼り付け2!$A$1,ROW()-1,MATCH(J$1,貼り付け2!$1:$1,0)-1)-1),"")</f>
        <v/>
      </c>
      <c r="M235" t="str">
        <f ca="1">IFERROR(OFFSET(貼り付け2!$A$1,まとめ!$B235-1,OFFSET(貼り付け2!$A$1,ROW()-1,MATCH(M$1,貼り付け2!$1:$1,0)-1)-1),"")</f>
        <v/>
      </c>
      <c r="O235" t="str">
        <f ca="1">IFERROR(OFFSET(貼り付け2!$A$1,$A235-1,OFFSET(貼り付け2!$A$1,ROW()-1,MATCH(O$1,貼り付け2!$1:$1,0)-1)-1),"")</f>
        <v/>
      </c>
      <c r="R235" t="str">
        <f ca="1">IFERROR(OFFSET(貼り付け2!$A$1,まとめ!$B235-1,OFFSET(貼り付け2!$A$1,ROW()-1,MATCH(R$1,貼り付け2!$1:$1,0)-1)-1),"")</f>
        <v/>
      </c>
      <c r="T235" t="str">
        <f ca="1">IFERROR(OFFSET(貼り付け2!$A$1,$A235-1,OFFSET(貼り付け2!$A$1,ROW()-1,MATCH(T$1,貼り付け2!$1:$1,0)-1)-1),"")</f>
        <v/>
      </c>
      <c r="W235" t="str">
        <f ca="1">IFERROR(OFFSET(貼り付け2!$A$1,まとめ!$B235-1,OFFSET(貼り付け2!$A$1,ROW()-1,MATCH(W$1,貼り付け2!$1:$1,0)-1)-1),"")</f>
        <v/>
      </c>
    </row>
    <row r="236" spans="1:23" x14ac:dyDescent="0.45">
      <c r="A236" t="str">
        <f>貼り付け2!S236</f>
        <v/>
      </c>
      <c r="B236" t="str">
        <f>貼り付け2!R236</f>
        <v/>
      </c>
      <c r="E236" t="str">
        <f ca="1">IFERROR(OFFSET(貼り付け2!$A$1,$A236-1,OFFSET(貼り付け2!$A$1,ROW()-1,MATCH(E$1,貼り付け2!$1:$1,0)-1)-1),"")</f>
        <v/>
      </c>
      <c r="H236" t="str">
        <f ca="1">IFERROR(OFFSET(貼り付け2!$A$1,まとめ!$B236-1,OFFSET(貼り付け2!$A$1,ROW()-1,MATCH(H$1,貼り付け2!$1:$1,0)-1)-1),"")</f>
        <v/>
      </c>
      <c r="J236" t="str">
        <f ca="1">IFERROR(OFFSET(貼り付け2!$A$1,$A236-1,OFFSET(貼り付け2!$A$1,ROW()-1,MATCH(J$1,貼り付け2!$1:$1,0)-1)-1),"")</f>
        <v/>
      </c>
      <c r="M236" t="str">
        <f ca="1">IFERROR(OFFSET(貼り付け2!$A$1,まとめ!$B236-1,OFFSET(貼り付け2!$A$1,ROW()-1,MATCH(M$1,貼り付け2!$1:$1,0)-1)-1),"")</f>
        <v/>
      </c>
      <c r="O236" t="str">
        <f ca="1">IFERROR(OFFSET(貼り付け2!$A$1,$A236-1,OFFSET(貼り付け2!$A$1,ROW()-1,MATCH(O$1,貼り付け2!$1:$1,0)-1)-1),"")</f>
        <v/>
      </c>
      <c r="R236" t="str">
        <f ca="1">IFERROR(OFFSET(貼り付け2!$A$1,まとめ!$B236-1,OFFSET(貼り付け2!$A$1,ROW()-1,MATCH(R$1,貼り付け2!$1:$1,0)-1)-1),"")</f>
        <v/>
      </c>
      <c r="T236" t="str">
        <f ca="1">IFERROR(OFFSET(貼り付け2!$A$1,$A236-1,OFFSET(貼り付け2!$A$1,ROW()-1,MATCH(T$1,貼り付け2!$1:$1,0)-1)-1),"")</f>
        <v/>
      </c>
      <c r="W236" t="str">
        <f ca="1">IFERROR(OFFSET(貼り付け2!$A$1,まとめ!$B236-1,OFFSET(貼り付け2!$A$1,ROW()-1,MATCH(W$1,貼り付け2!$1:$1,0)-1)-1),"")</f>
        <v/>
      </c>
    </row>
    <row r="237" spans="1:23" x14ac:dyDescent="0.45">
      <c r="A237" t="str">
        <f>貼り付け2!S237</f>
        <v/>
      </c>
      <c r="B237" t="str">
        <f>貼り付け2!R237</f>
        <v/>
      </c>
      <c r="E237" t="str">
        <f ca="1">IFERROR(OFFSET(貼り付け2!$A$1,$A237-1,OFFSET(貼り付け2!$A$1,ROW()-1,MATCH(E$1,貼り付け2!$1:$1,0)-1)-1),"")</f>
        <v/>
      </c>
      <c r="H237" t="str">
        <f ca="1">IFERROR(OFFSET(貼り付け2!$A$1,まとめ!$B237-1,OFFSET(貼り付け2!$A$1,ROW()-1,MATCH(H$1,貼り付け2!$1:$1,0)-1)-1),"")</f>
        <v/>
      </c>
      <c r="J237" t="str">
        <f ca="1">IFERROR(OFFSET(貼り付け2!$A$1,$A237-1,OFFSET(貼り付け2!$A$1,ROW()-1,MATCH(J$1,貼り付け2!$1:$1,0)-1)-1),"")</f>
        <v/>
      </c>
      <c r="M237" t="str">
        <f ca="1">IFERROR(OFFSET(貼り付け2!$A$1,まとめ!$B237-1,OFFSET(貼り付け2!$A$1,ROW()-1,MATCH(M$1,貼り付け2!$1:$1,0)-1)-1),"")</f>
        <v/>
      </c>
      <c r="O237" t="str">
        <f ca="1">IFERROR(OFFSET(貼り付け2!$A$1,$A237-1,OFFSET(貼り付け2!$A$1,ROW()-1,MATCH(O$1,貼り付け2!$1:$1,0)-1)-1),"")</f>
        <v/>
      </c>
      <c r="R237" t="str">
        <f ca="1">IFERROR(OFFSET(貼り付け2!$A$1,まとめ!$B237-1,OFFSET(貼り付け2!$A$1,ROW()-1,MATCH(R$1,貼り付け2!$1:$1,0)-1)-1),"")</f>
        <v/>
      </c>
      <c r="T237" t="str">
        <f ca="1">IFERROR(OFFSET(貼り付け2!$A$1,$A237-1,OFFSET(貼り付け2!$A$1,ROW()-1,MATCH(T$1,貼り付け2!$1:$1,0)-1)-1),"")</f>
        <v/>
      </c>
      <c r="W237" t="str">
        <f ca="1">IFERROR(OFFSET(貼り付け2!$A$1,まとめ!$B237-1,OFFSET(貼り付け2!$A$1,ROW()-1,MATCH(W$1,貼り付け2!$1:$1,0)-1)-1),"")</f>
        <v/>
      </c>
    </row>
    <row r="238" spans="1:23" x14ac:dyDescent="0.45">
      <c r="A238" t="str">
        <f>貼り付け2!S238</f>
        <v/>
      </c>
      <c r="B238" t="str">
        <f>貼り付け2!R238</f>
        <v/>
      </c>
      <c r="E238" t="str">
        <f ca="1">IFERROR(OFFSET(貼り付け2!$A$1,$A238-1,OFFSET(貼り付け2!$A$1,ROW()-1,MATCH(E$1,貼り付け2!$1:$1,0)-1)-1),"")</f>
        <v/>
      </c>
      <c r="H238" t="str">
        <f ca="1">IFERROR(OFFSET(貼り付け2!$A$1,まとめ!$B238-1,OFFSET(貼り付け2!$A$1,ROW()-1,MATCH(H$1,貼り付け2!$1:$1,0)-1)-1),"")</f>
        <v/>
      </c>
      <c r="J238" t="str">
        <f ca="1">IFERROR(OFFSET(貼り付け2!$A$1,$A238-1,OFFSET(貼り付け2!$A$1,ROW()-1,MATCH(J$1,貼り付け2!$1:$1,0)-1)-1),"")</f>
        <v/>
      </c>
      <c r="M238" t="str">
        <f ca="1">IFERROR(OFFSET(貼り付け2!$A$1,まとめ!$B238-1,OFFSET(貼り付け2!$A$1,ROW()-1,MATCH(M$1,貼り付け2!$1:$1,0)-1)-1),"")</f>
        <v/>
      </c>
      <c r="O238" t="str">
        <f ca="1">IFERROR(OFFSET(貼り付け2!$A$1,$A238-1,OFFSET(貼り付け2!$A$1,ROW()-1,MATCH(O$1,貼り付け2!$1:$1,0)-1)-1),"")</f>
        <v/>
      </c>
      <c r="R238" t="str">
        <f ca="1">IFERROR(OFFSET(貼り付け2!$A$1,まとめ!$B238-1,OFFSET(貼り付け2!$A$1,ROW()-1,MATCH(R$1,貼り付け2!$1:$1,0)-1)-1),"")</f>
        <v/>
      </c>
      <c r="T238" t="str">
        <f ca="1">IFERROR(OFFSET(貼り付け2!$A$1,$A238-1,OFFSET(貼り付け2!$A$1,ROW()-1,MATCH(T$1,貼り付け2!$1:$1,0)-1)-1),"")</f>
        <v/>
      </c>
      <c r="W238" t="str">
        <f ca="1">IFERROR(OFFSET(貼り付け2!$A$1,まとめ!$B238-1,OFFSET(貼り付け2!$A$1,ROW()-1,MATCH(W$1,貼り付け2!$1:$1,0)-1)-1),"")</f>
        <v/>
      </c>
    </row>
    <row r="239" spans="1:23" x14ac:dyDescent="0.45">
      <c r="A239" t="str">
        <f>貼り付け2!S239</f>
        <v/>
      </c>
      <c r="B239" t="str">
        <f>貼り付け2!R239</f>
        <v/>
      </c>
      <c r="E239" t="str">
        <f ca="1">IFERROR(OFFSET(貼り付け2!$A$1,$A239-1,OFFSET(貼り付け2!$A$1,ROW()-1,MATCH(E$1,貼り付け2!$1:$1,0)-1)-1),"")</f>
        <v/>
      </c>
      <c r="H239" t="str">
        <f ca="1">IFERROR(OFFSET(貼り付け2!$A$1,まとめ!$B239-1,OFFSET(貼り付け2!$A$1,ROW()-1,MATCH(H$1,貼り付け2!$1:$1,0)-1)-1),"")</f>
        <v/>
      </c>
      <c r="J239" t="str">
        <f ca="1">IFERROR(OFFSET(貼り付け2!$A$1,$A239-1,OFFSET(貼り付け2!$A$1,ROW()-1,MATCH(J$1,貼り付け2!$1:$1,0)-1)-1),"")</f>
        <v/>
      </c>
      <c r="M239" t="str">
        <f ca="1">IFERROR(OFFSET(貼り付け2!$A$1,まとめ!$B239-1,OFFSET(貼り付け2!$A$1,ROW()-1,MATCH(M$1,貼り付け2!$1:$1,0)-1)-1),"")</f>
        <v/>
      </c>
      <c r="O239" t="str">
        <f ca="1">IFERROR(OFFSET(貼り付け2!$A$1,$A239-1,OFFSET(貼り付け2!$A$1,ROW()-1,MATCH(O$1,貼り付け2!$1:$1,0)-1)-1),"")</f>
        <v/>
      </c>
      <c r="R239" t="str">
        <f ca="1">IFERROR(OFFSET(貼り付け2!$A$1,まとめ!$B239-1,OFFSET(貼り付け2!$A$1,ROW()-1,MATCH(R$1,貼り付け2!$1:$1,0)-1)-1),"")</f>
        <v/>
      </c>
      <c r="T239" t="str">
        <f ca="1">IFERROR(OFFSET(貼り付け2!$A$1,$A239-1,OFFSET(貼り付け2!$A$1,ROW()-1,MATCH(T$1,貼り付け2!$1:$1,0)-1)-1),"")</f>
        <v/>
      </c>
      <c r="W239" t="str">
        <f ca="1">IFERROR(OFFSET(貼り付け2!$A$1,まとめ!$B239-1,OFFSET(貼り付け2!$A$1,ROW()-1,MATCH(W$1,貼り付け2!$1:$1,0)-1)-1),"")</f>
        <v/>
      </c>
    </row>
    <row r="240" spans="1:23" x14ac:dyDescent="0.45">
      <c r="A240" t="str">
        <f>貼り付け2!S240</f>
        <v/>
      </c>
      <c r="B240" t="str">
        <f>貼り付け2!R240</f>
        <v/>
      </c>
      <c r="E240" t="str">
        <f ca="1">IFERROR(OFFSET(貼り付け2!$A$1,$A240-1,OFFSET(貼り付け2!$A$1,ROW()-1,MATCH(E$1,貼り付け2!$1:$1,0)-1)-1),"")</f>
        <v/>
      </c>
      <c r="H240" t="str">
        <f ca="1">IFERROR(OFFSET(貼り付け2!$A$1,まとめ!$B240-1,OFFSET(貼り付け2!$A$1,ROW()-1,MATCH(H$1,貼り付け2!$1:$1,0)-1)-1),"")</f>
        <v/>
      </c>
      <c r="J240" t="str">
        <f ca="1">IFERROR(OFFSET(貼り付け2!$A$1,$A240-1,OFFSET(貼り付け2!$A$1,ROW()-1,MATCH(J$1,貼り付け2!$1:$1,0)-1)-1),"")</f>
        <v/>
      </c>
      <c r="M240" t="str">
        <f ca="1">IFERROR(OFFSET(貼り付け2!$A$1,まとめ!$B240-1,OFFSET(貼り付け2!$A$1,ROW()-1,MATCH(M$1,貼り付け2!$1:$1,0)-1)-1),"")</f>
        <v/>
      </c>
      <c r="O240" t="str">
        <f ca="1">IFERROR(OFFSET(貼り付け2!$A$1,$A240-1,OFFSET(貼り付け2!$A$1,ROW()-1,MATCH(O$1,貼り付け2!$1:$1,0)-1)-1),"")</f>
        <v/>
      </c>
      <c r="R240" t="str">
        <f ca="1">IFERROR(OFFSET(貼り付け2!$A$1,まとめ!$B240-1,OFFSET(貼り付け2!$A$1,ROW()-1,MATCH(R$1,貼り付け2!$1:$1,0)-1)-1),"")</f>
        <v/>
      </c>
      <c r="T240" t="str">
        <f ca="1">IFERROR(OFFSET(貼り付け2!$A$1,$A240-1,OFFSET(貼り付け2!$A$1,ROW()-1,MATCH(T$1,貼り付け2!$1:$1,0)-1)-1),"")</f>
        <v/>
      </c>
      <c r="W240" t="str">
        <f ca="1">IFERROR(OFFSET(貼り付け2!$A$1,まとめ!$B240-1,OFFSET(貼り付け2!$A$1,ROW()-1,MATCH(W$1,貼り付け2!$1:$1,0)-1)-1),"")</f>
        <v/>
      </c>
    </row>
    <row r="241" spans="1:23" x14ac:dyDescent="0.45">
      <c r="A241" t="str">
        <f>貼り付け2!S241</f>
        <v/>
      </c>
      <c r="B241" t="str">
        <f>貼り付け2!R241</f>
        <v/>
      </c>
      <c r="E241" t="str">
        <f ca="1">IFERROR(OFFSET(貼り付け2!$A$1,$A241-1,OFFSET(貼り付け2!$A$1,ROW()-1,MATCH(E$1,貼り付け2!$1:$1,0)-1)-1),"")</f>
        <v/>
      </c>
      <c r="H241" t="str">
        <f ca="1">IFERROR(OFFSET(貼り付け2!$A$1,まとめ!$B241-1,OFFSET(貼り付け2!$A$1,ROW()-1,MATCH(H$1,貼り付け2!$1:$1,0)-1)-1),"")</f>
        <v/>
      </c>
      <c r="J241" t="str">
        <f ca="1">IFERROR(OFFSET(貼り付け2!$A$1,$A241-1,OFFSET(貼り付け2!$A$1,ROW()-1,MATCH(J$1,貼り付け2!$1:$1,0)-1)-1),"")</f>
        <v/>
      </c>
      <c r="M241" t="str">
        <f ca="1">IFERROR(OFFSET(貼り付け2!$A$1,まとめ!$B241-1,OFFSET(貼り付け2!$A$1,ROW()-1,MATCH(M$1,貼り付け2!$1:$1,0)-1)-1),"")</f>
        <v/>
      </c>
      <c r="O241" t="str">
        <f ca="1">IFERROR(OFFSET(貼り付け2!$A$1,$A241-1,OFFSET(貼り付け2!$A$1,ROW()-1,MATCH(O$1,貼り付け2!$1:$1,0)-1)-1),"")</f>
        <v/>
      </c>
      <c r="R241" t="str">
        <f ca="1">IFERROR(OFFSET(貼り付け2!$A$1,まとめ!$B241-1,OFFSET(貼り付け2!$A$1,ROW()-1,MATCH(R$1,貼り付け2!$1:$1,0)-1)-1),"")</f>
        <v/>
      </c>
      <c r="T241" t="str">
        <f ca="1">IFERROR(OFFSET(貼り付け2!$A$1,$A241-1,OFFSET(貼り付け2!$A$1,ROW()-1,MATCH(T$1,貼り付け2!$1:$1,0)-1)-1),"")</f>
        <v/>
      </c>
      <c r="W241" t="str">
        <f ca="1">IFERROR(OFFSET(貼り付け2!$A$1,まとめ!$B241-1,OFFSET(貼り付け2!$A$1,ROW()-1,MATCH(W$1,貼り付け2!$1:$1,0)-1)-1),"")</f>
        <v/>
      </c>
    </row>
    <row r="242" spans="1:23" x14ac:dyDescent="0.45">
      <c r="A242" t="str">
        <f>貼り付け2!S242</f>
        <v/>
      </c>
      <c r="B242" t="str">
        <f>貼り付け2!R242</f>
        <v/>
      </c>
      <c r="E242" t="str">
        <f ca="1">IFERROR(OFFSET(貼り付け2!$A$1,$A242-1,OFFSET(貼り付け2!$A$1,ROW()-1,MATCH(E$1,貼り付け2!$1:$1,0)-1)-1),"")</f>
        <v/>
      </c>
      <c r="H242" t="str">
        <f ca="1">IFERROR(OFFSET(貼り付け2!$A$1,まとめ!$B242-1,OFFSET(貼り付け2!$A$1,ROW()-1,MATCH(H$1,貼り付け2!$1:$1,0)-1)-1),"")</f>
        <v/>
      </c>
      <c r="J242" t="str">
        <f ca="1">IFERROR(OFFSET(貼り付け2!$A$1,$A242-1,OFFSET(貼り付け2!$A$1,ROW()-1,MATCH(J$1,貼り付け2!$1:$1,0)-1)-1),"")</f>
        <v/>
      </c>
      <c r="M242" t="str">
        <f ca="1">IFERROR(OFFSET(貼り付け2!$A$1,まとめ!$B242-1,OFFSET(貼り付け2!$A$1,ROW()-1,MATCH(M$1,貼り付け2!$1:$1,0)-1)-1),"")</f>
        <v/>
      </c>
      <c r="O242" t="str">
        <f ca="1">IFERROR(OFFSET(貼り付け2!$A$1,$A242-1,OFFSET(貼り付け2!$A$1,ROW()-1,MATCH(O$1,貼り付け2!$1:$1,0)-1)-1),"")</f>
        <v/>
      </c>
      <c r="R242" t="str">
        <f ca="1">IFERROR(OFFSET(貼り付け2!$A$1,まとめ!$B242-1,OFFSET(貼り付け2!$A$1,ROW()-1,MATCH(R$1,貼り付け2!$1:$1,0)-1)-1),"")</f>
        <v/>
      </c>
      <c r="T242" t="str">
        <f ca="1">IFERROR(OFFSET(貼り付け2!$A$1,$A242-1,OFFSET(貼り付け2!$A$1,ROW()-1,MATCH(T$1,貼り付け2!$1:$1,0)-1)-1),"")</f>
        <v/>
      </c>
      <c r="W242" t="str">
        <f ca="1">IFERROR(OFFSET(貼り付け2!$A$1,まとめ!$B242-1,OFFSET(貼り付け2!$A$1,ROW()-1,MATCH(W$1,貼り付け2!$1:$1,0)-1)-1),"")</f>
        <v/>
      </c>
    </row>
    <row r="243" spans="1:23" x14ac:dyDescent="0.45">
      <c r="A243" t="str">
        <f>貼り付け2!S243</f>
        <v/>
      </c>
      <c r="B243" t="str">
        <f>貼り付け2!R243</f>
        <v/>
      </c>
      <c r="E243" t="str">
        <f ca="1">IFERROR(OFFSET(貼り付け2!$A$1,$A243-1,OFFSET(貼り付け2!$A$1,ROW()-1,MATCH(E$1,貼り付け2!$1:$1,0)-1)-1),"")</f>
        <v/>
      </c>
      <c r="H243" t="str">
        <f ca="1">IFERROR(OFFSET(貼り付け2!$A$1,まとめ!$B243-1,OFFSET(貼り付け2!$A$1,ROW()-1,MATCH(H$1,貼り付け2!$1:$1,0)-1)-1),"")</f>
        <v/>
      </c>
      <c r="J243" t="str">
        <f ca="1">IFERROR(OFFSET(貼り付け2!$A$1,$A243-1,OFFSET(貼り付け2!$A$1,ROW()-1,MATCH(J$1,貼り付け2!$1:$1,0)-1)-1),"")</f>
        <v/>
      </c>
      <c r="M243" t="str">
        <f ca="1">IFERROR(OFFSET(貼り付け2!$A$1,まとめ!$B243-1,OFFSET(貼り付け2!$A$1,ROW()-1,MATCH(M$1,貼り付け2!$1:$1,0)-1)-1),"")</f>
        <v/>
      </c>
      <c r="O243" t="str">
        <f ca="1">IFERROR(OFFSET(貼り付け2!$A$1,$A243-1,OFFSET(貼り付け2!$A$1,ROW()-1,MATCH(O$1,貼り付け2!$1:$1,0)-1)-1),"")</f>
        <v/>
      </c>
      <c r="R243" t="str">
        <f ca="1">IFERROR(OFFSET(貼り付け2!$A$1,まとめ!$B243-1,OFFSET(貼り付け2!$A$1,ROW()-1,MATCH(R$1,貼り付け2!$1:$1,0)-1)-1),"")</f>
        <v/>
      </c>
      <c r="T243" t="str">
        <f ca="1">IFERROR(OFFSET(貼り付け2!$A$1,$A243-1,OFFSET(貼り付け2!$A$1,ROW()-1,MATCH(T$1,貼り付け2!$1:$1,0)-1)-1),"")</f>
        <v/>
      </c>
      <c r="W243" t="str">
        <f ca="1">IFERROR(OFFSET(貼り付け2!$A$1,まとめ!$B243-1,OFFSET(貼り付け2!$A$1,ROW()-1,MATCH(W$1,貼り付け2!$1:$1,0)-1)-1),"")</f>
        <v/>
      </c>
    </row>
    <row r="244" spans="1:23" x14ac:dyDescent="0.45">
      <c r="A244" t="str">
        <f>貼り付け2!S244</f>
        <v/>
      </c>
      <c r="B244" t="str">
        <f>貼り付け2!R244</f>
        <v/>
      </c>
      <c r="E244" t="str">
        <f ca="1">IFERROR(OFFSET(貼り付け2!$A$1,$A244-1,OFFSET(貼り付け2!$A$1,ROW()-1,MATCH(E$1,貼り付け2!$1:$1,0)-1)-1),"")</f>
        <v/>
      </c>
      <c r="H244" t="str">
        <f ca="1">IFERROR(OFFSET(貼り付け2!$A$1,まとめ!$B244-1,OFFSET(貼り付け2!$A$1,ROW()-1,MATCH(H$1,貼り付け2!$1:$1,0)-1)-1),"")</f>
        <v/>
      </c>
      <c r="J244" t="str">
        <f ca="1">IFERROR(OFFSET(貼り付け2!$A$1,$A244-1,OFFSET(貼り付け2!$A$1,ROW()-1,MATCH(J$1,貼り付け2!$1:$1,0)-1)-1),"")</f>
        <v/>
      </c>
      <c r="M244" t="str">
        <f ca="1">IFERROR(OFFSET(貼り付け2!$A$1,まとめ!$B244-1,OFFSET(貼り付け2!$A$1,ROW()-1,MATCH(M$1,貼り付け2!$1:$1,0)-1)-1),"")</f>
        <v/>
      </c>
      <c r="O244" t="str">
        <f ca="1">IFERROR(OFFSET(貼り付け2!$A$1,$A244-1,OFFSET(貼り付け2!$A$1,ROW()-1,MATCH(O$1,貼り付け2!$1:$1,0)-1)-1),"")</f>
        <v/>
      </c>
      <c r="R244" t="str">
        <f ca="1">IFERROR(OFFSET(貼り付け2!$A$1,まとめ!$B244-1,OFFSET(貼り付け2!$A$1,ROW()-1,MATCH(R$1,貼り付け2!$1:$1,0)-1)-1),"")</f>
        <v/>
      </c>
      <c r="T244" t="str">
        <f ca="1">IFERROR(OFFSET(貼り付け2!$A$1,$A244-1,OFFSET(貼り付け2!$A$1,ROW()-1,MATCH(T$1,貼り付け2!$1:$1,0)-1)-1),"")</f>
        <v/>
      </c>
      <c r="W244" t="str">
        <f ca="1">IFERROR(OFFSET(貼り付け2!$A$1,まとめ!$B244-1,OFFSET(貼り付け2!$A$1,ROW()-1,MATCH(W$1,貼り付け2!$1:$1,0)-1)-1),"")</f>
        <v/>
      </c>
    </row>
    <row r="245" spans="1:23" x14ac:dyDescent="0.45">
      <c r="A245" t="str">
        <f>貼り付け2!S245</f>
        <v/>
      </c>
      <c r="B245" t="str">
        <f>貼り付け2!R245</f>
        <v/>
      </c>
      <c r="E245" t="str">
        <f ca="1">IFERROR(OFFSET(貼り付け2!$A$1,$A245-1,OFFSET(貼り付け2!$A$1,ROW()-1,MATCH(E$1,貼り付け2!$1:$1,0)-1)-1),"")</f>
        <v/>
      </c>
      <c r="H245" t="str">
        <f ca="1">IFERROR(OFFSET(貼り付け2!$A$1,まとめ!$B245-1,OFFSET(貼り付け2!$A$1,ROW()-1,MATCH(H$1,貼り付け2!$1:$1,0)-1)-1),"")</f>
        <v/>
      </c>
      <c r="J245" t="str">
        <f ca="1">IFERROR(OFFSET(貼り付け2!$A$1,$A245-1,OFFSET(貼り付け2!$A$1,ROW()-1,MATCH(J$1,貼り付け2!$1:$1,0)-1)-1),"")</f>
        <v/>
      </c>
      <c r="M245" t="str">
        <f ca="1">IFERROR(OFFSET(貼り付け2!$A$1,まとめ!$B245-1,OFFSET(貼り付け2!$A$1,ROW()-1,MATCH(M$1,貼り付け2!$1:$1,0)-1)-1),"")</f>
        <v/>
      </c>
      <c r="O245" t="str">
        <f ca="1">IFERROR(OFFSET(貼り付け2!$A$1,$A245-1,OFFSET(貼り付け2!$A$1,ROW()-1,MATCH(O$1,貼り付け2!$1:$1,0)-1)-1),"")</f>
        <v/>
      </c>
      <c r="R245" t="str">
        <f ca="1">IFERROR(OFFSET(貼り付け2!$A$1,まとめ!$B245-1,OFFSET(貼り付け2!$A$1,ROW()-1,MATCH(R$1,貼り付け2!$1:$1,0)-1)-1),"")</f>
        <v/>
      </c>
      <c r="T245" t="str">
        <f ca="1">IFERROR(OFFSET(貼り付け2!$A$1,$A245-1,OFFSET(貼り付け2!$A$1,ROW()-1,MATCH(T$1,貼り付け2!$1:$1,0)-1)-1),"")</f>
        <v/>
      </c>
      <c r="W245" t="str">
        <f ca="1">IFERROR(OFFSET(貼り付け2!$A$1,まとめ!$B245-1,OFFSET(貼り付け2!$A$1,ROW()-1,MATCH(W$1,貼り付け2!$1:$1,0)-1)-1),"")</f>
        <v/>
      </c>
    </row>
    <row r="246" spans="1:23" x14ac:dyDescent="0.45">
      <c r="A246" t="str">
        <f>貼り付け2!S246</f>
        <v/>
      </c>
      <c r="B246" t="str">
        <f>貼り付け2!R246</f>
        <v/>
      </c>
      <c r="E246" t="str">
        <f ca="1">IFERROR(OFFSET(貼り付け2!$A$1,$A246-1,OFFSET(貼り付け2!$A$1,ROW()-1,MATCH(E$1,貼り付け2!$1:$1,0)-1)-1),"")</f>
        <v/>
      </c>
      <c r="H246" t="str">
        <f ca="1">IFERROR(OFFSET(貼り付け2!$A$1,まとめ!$B246-1,OFFSET(貼り付け2!$A$1,ROW()-1,MATCH(H$1,貼り付け2!$1:$1,0)-1)-1),"")</f>
        <v/>
      </c>
      <c r="J246" t="str">
        <f ca="1">IFERROR(OFFSET(貼り付け2!$A$1,$A246-1,OFFSET(貼り付け2!$A$1,ROW()-1,MATCH(J$1,貼り付け2!$1:$1,0)-1)-1),"")</f>
        <v/>
      </c>
      <c r="M246" t="str">
        <f ca="1">IFERROR(OFFSET(貼り付け2!$A$1,まとめ!$B246-1,OFFSET(貼り付け2!$A$1,ROW()-1,MATCH(M$1,貼り付け2!$1:$1,0)-1)-1),"")</f>
        <v/>
      </c>
      <c r="O246" t="str">
        <f ca="1">IFERROR(OFFSET(貼り付け2!$A$1,$A246-1,OFFSET(貼り付け2!$A$1,ROW()-1,MATCH(O$1,貼り付け2!$1:$1,0)-1)-1),"")</f>
        <v/>
      </c>
      <c r="R246" t="str">
        <f ca="1">IFERROR(OFFSET(貼り付け2!$A$1,まとめ!$B246-1,OFFSET(貼り付け2!$A$1,ROW()-1,MATCH(R$1,貼り付け2!$1:$1,0)-1)-1),"")</f>
        <v/>
      </c>
      <c r="T246" t="str">
        <f ca="1">IFERROR(OFFSET(貼り付け2!$A$1,$A246-1,OFFSET(貼り付け2!$A$1,ROW()-1,MATCH(T$1,貼り付け2!$1:$1,0)-1)-1),"")</f>
        <v/>
      </c>
      <c r="W246" t="str">
        <f ca="1">IFERROR(OFFSET(貼り付け2!$A$1,まとめ!$B246-1,OFFSET(貼り付け2!$A$1,ROW()-1,MATCH(W$1,貼り付け2!$1:$1,0)-1)-1),"")</f>
        <v/>
      </c>
    </row>
    <row r="247" spans="1:23" x14ac:dyDescent="0.45">
      <c r="A247" t="str">
        <f>貼り付け2!S247</f>
        <v/>
      </c>
      <c r="B247" t="str">
        <f>貼り付け2!R247</f>
        <v/>
      </c>
      <c r="E247" t="str">
        <f ca="1">IFERROR(OFFSET(貼り付け2!$A$1,$A247-1,OFFSET(貼り付け2!$A$1,ROW()-1,MATCH(E$1,貼り付け2!$1:$1,0)-1)-1),"")</f>
        <v/>
      </c>
      <c r="H247" t="str">
        <f ca="1">IFERROR(OFFSET(貼り付け2!$A$1,まとめ!$B247-1,OFFSET(貼り付け2!$A$1,ROW()-1,MATCH(H$1,貼り付け2!$1:$1,0)-1)-1),"")</f>
        <v/>
      </c>
      <c r="J247" t="str">
        <f ca="1">IFERROR(OFFSET(貼り付け2!$A$1,$A247-1,OFFSET(貼り付け2!$A$1,ROW()-1,MATCH(J$1,貼り付け2!$1:$1,0)-1)-1),"")</f>
        <v/>
      </c>
      <c r="M247" t="str">
        <f ca="1">IFERROR(OFFSET(貼り付け2!$A$1,まとめ!$B247-1,OFFSET(貼り付け2!$A$1,ROW()-1,MATCH(M$1,貼り付け2!$1:$1,0)-1)-1),"")</f>
        <v/>
      </c>
      <c r="O247" t="str">
        <f ca="1">IFERROR(OFFSET(貼り付け2!$A$1,$A247-1,OFFSET(貼り付け2!$A$1,ROW()-1,MATCH(O$1,貼り付け2!$1:$1,0)-1)-1),"")</f>
        <v/>
      </c>
      <c r="R247" t="str">
        <f ca="1">IFERROR(OFFSET(貼り付け2!$A$1,まとめ!$B247-1,OFFSET(貼り付け2!$A$1,ROW()-1,MATCH(R$1,貼り付け2!$1:$1,0)-1)-1),"")</f>
        <v/>
      </c>
      <c r="T247" t="str">
        <f ca="1">IFERROR(OFFSET(貼り付け2!$A$1,$A247-1,OFFSET(貼り付け2!$A$1,ROW()-1,MATCH(T$1,貼り付け2!$1:$1,0)-1)-1),"")</f>
        <v/>
      </c>
      <c r="W247" t="str">
        <f ca="1">IFERROR(OFFSET(貼り付け2!$A$1,まとめ!$B247-1,OFFSET(貼り付け2!$A$1,ROW()-1,MATCH(W$1,貼り付け2!$1:$1,0)-1)-1),"")</f>
        <v/>
      </c>
    </row>
    <row r="248" spans="1:23" x14ac:dyDescent="0.45">
      <c r="A248" t="str">
        <f>貼り付け2!S248</f>
        <v/>
      </c>
      <c r="B248" t="str">
        <f>貼り付け2!R248</f>
        <v/>
      </c>
      <c r="E248" t="str">
        <f ca="1">IFERROR(OFFSET(貼り付け2!$A$1,$A248-1,OFFSET(貼り付け2!$A$1,ROW()-1,MATCH(E$1,貼り付け2!$1:$1,0)-1)-1),"")</f>
        <v/>
      </c>
      <c r="H248" t="str">
        <f ca="1">IFERROR(OFFSET(貼り付け2!$A$1,まとめ!$B248-1,OFFSET(貼り付け2!$A$1,ROW()-1,MATCH(H$1,貼り付け2!$1:$1,0)-1)-1),"")</f>
        <v/>
      </c>
      <c r="J248" t="str">
        <f ca="1">IFERROR(OFFSET(貼り付け2!$A$1,$A248-1,OFFSET(貼り付け2!$A$1,ROW()-1,MATCH(J$1,貼り付け2!$1:$1,0)-1)-1),"")</f>
        <v/>
      </c>
      <c r="M248" t="str">
        <f ca="1">IFERROR(OFFSET(貼り付け2!$A$1,まとめ!$B248-1,OFFSET(貼り付け2!$A$1,ROW()-1,MATCH(M$1,貼り付け2!$1:$1,0)-1)-1),"")</f>
        <v/>
      </c>
      <c r="O248" t="str">
        <f ca="1">IFERROR(OFFSET(貼り付け2!$A$1,$A248-1,OFFSET(貼り付け2!$A$1,ROW()-1,MATCH(O$1,貼り付け2!$1:$1,0)-1)-1),"")</f>
        <v/>
      </c>
      <c r="R248" t="str">
        <f ca="1">IFERROR(OFFSET(貼り付け2!$A$1,まとめ!$B248-1,OFFSET(貼り付け2!$A$1,ROW()-1,MATCH(R$1,貼り付け2!$1:$1,0)-1)-1),"")</f>
        <v/>
      </c>
      <c r="T248" t="str">
        <f ca="1">IFERROR(OFFSET(貼り付け2!$A$1,$A248-1,OFFSET(貼り付け2!$A$1,ROW()-1,MATCH(T$1,貼り付け2!$1:$1,0)-1)-1),"")</f>
        <v/>
      </c>
      <c r="W248" t="str">
        <f ca="1">IFERROR(OFFSET(貼り付け2!$A$1,まとめ!$B248-1,OFFSET(貼り付け2!$A$1,ROW()-1,MATCH(W$1,貼り付け2!$1:$1,0)-1)-1),"")</f>
        <v/>
      </c>
    </row>
    <row r="249" spans="1:23" x14ac:dyDescent="0.45">
      <c r="A249" t="str">
        <f>貼り付け2!S249</f>
        <v/>
      </c>
      <c r="B249" t="str">
        <f>貼り付け2!R249</f>
        <v/>
      </c>
      <c r="E249" t="str">
        <f ca="1">IFERROR(OFFSET(貼り付け2!$A$1,$A249-1,OFFSET(貼り付け2!$A$1,ROW()-1,MATCH(E$1,貼り付け2!$1:$1,0)-1)-1),"")</f>
        <v/>
      </c>
      <c r="H249" t="str">
        <f ca="1">IFERROR(OFFSET(貼り付け2!$A$1,まとめ!$B249-1,OFFSET(貼り付け2!$A$1,ROW()-1,MATCH(H$1,貼り付け2!$1:$1,0)-1)-1),"")</f>
        <v/>
      </c>
      <c r="J249" t="str">
        <f ca="1">IFERROR(OFFSET(貼り付け2!$A$1,$A249-1,OFFSET(貼り付け2!$A$1,ROW()-1,MATCH(J$1,貼り付け2!$1:$1,0)-1)-1),"")</f>
        <v/>
      </c>
      <c r="M249" t="str">
        <f ca="1">IFERROR(OFFSET(貼り付け2!$A$1,まとめ!$B249-1,OFFSET(貼り付け2!$A$1,ROW()-1,MATCH(M$1,貼り付け2!$1:$1,0)-1)-1),"")</f>
        <v/>
      </c>
      <c r="O249" t="str">
        <f ca="1">IFERROR(OFFSET(貼り付け2!$A$1,$A249-1,OFFSET(貼り付け2!$A$1,ROW()-1,MATCH(O$1,貼り付け2!$1:$1,0)-1)-1),"")</f>
        <v/>
      </c>
      <c r="R249" t="str">
        <f ca="1">IFERROR(OFFSET(貼り付け2!$A$1,まとめ!$B249-1,OFFSET(貼り付け2!$A$1,ROW()-1,MATCH(R$1,貼り付け2!$1:$1,0)-1)-1),"")</f>
        <v/>
      </c>
      <c r="T249" t="str">
        <f ca="1">IFERROR(OFFSET(貼り付け2!$A$1,$A249-1,OFFSET(貼り付け2!$A$1,ROW()-1,MATCH(T$1,貼り付け2!$1:$1,0)-1)-1),"")</f>
        <v/>
      </c>
      <c r="W249" t="str">
        <f ca="1">IFERROR(OFFSET(貼り付け2!$A$1,まとめ!$B249-1,OFFSET(貼り付け2!$A$1,ROW()-1,MATCH(W$1,貼り付け2!$1:$1,0)-1)-1),"")</f>
        <v/>
      </c>
    </row>
    <row r="250" spans="1:23" x14ac:dyDescent="0.45">
      <c r="A250" t="str">
        <f>貼り付け2!S250</f>
        <v/>
      </c>
      <c r="B250" t="str">
        <f>貼り付け2!R250</f>
        <v/>
      </c>
      <c r="E250" t="str">
        <f ca="1">IFERROR(OFFSET(貼り付け2!$A$1,$A250-1,OFFSET(貼り付け2!$A$1,ROW()-1,MATCH(E$1,貼り付け2!$1:$1,0)-1)-1),"")</f>
        <v/>
      </c>
      <c r="H250" t="str">
        <f ca="1">IFERROR(OFFSET(貼り付け2!$A$1,まとめ!$B250-1,OFFSET(貼り付け2!$A$1,ROW()-1,MATCH(H$1,貼り付け2!$1:$1,0)-1)-1),"")</f>
        <v/>
      </c>
      <c r="J250" t="str">
        <f ca="1">IFERROR(OFFSET(貼り付け2!$A$1,$A250-1,OFFSET(貼り付け2!$A$1,ROW()-1,MATCH(J$1,貼り付け2!$1:$1,0)-1)-1),"")</f>
        <v/>
      </c>
      <c r="M250" t="str">
        <f ca="1">IFERROR(OFFSET(貼り付け2!$A$1,まとめ!$B250-1,OFFSET(貼り付け2!$A$1,ROW()-1,MATCH(M$1,貼り付け2!$1:$1,0)-1)-1),"")</f>
        <v/>
      </c>
      <c r="O250" t="str">
        <f ca="1">IFERROR(OFFSET(貼り付け2!$A$1,$A250-1,OFFSET(貼り付け2!$A$1,ROW()-1,MATCH(O$1,貼り付け2!$1:$1,0)-1)-1),"")</f>
        <v/>
      </c>
      <c r="R250" t="str">
        <f ca="1">IFERROR(OFFSET(貼り付け2!$A$1,まとめ!$B250-1,OFFSET(貼り付け2!$A$1,ROW()-1,MATCH(R$1,貼り付け2!$1:$1,0)-1)-1),"")</f>
        <v/>
      </c>
      <c r="T250" t="str">
        <f ca="1">IFERROR(OFFSET(貼り付け2!$A$1,$A250-1,OFFSET(貼り付け2!$A$1,ROW()-1,MATCH(T$1,貼り付け2!$1:$1,0)-1)-1),"")</f>
        <v/>
      </c>
      <c r="W250" t="str">
        <f ca="1">IFERROR(OFFSET(貼り付け2!$A$1,まとめ!$B250-1,OFFSET(貼り付け2!$A$1,ROW()-1,MATCH(W$1,貼り付け2!$1:$1,0)-1)-1),"")</f>
        <v/>
      </c>
    </row>
    <row r="251" spans="1:23" x14ac:dyDescent="0.45">
      <c r="A251" t="str">
        <f>貼り付け2!S251</f>
        <v/>
      </c>
      <c r="B251" t="str">
        <f>貼り付け2!R251</f>
        <v/>
      </c>
      <c r="E251" t="str">
        <f ca="1">IFERROR(OFFSET(貼り付け2!$A$1,$A251-1,OFFSET(貼り付け2!$A$1,ROW()-1,MATCH(E$1,貼り付け2!$1:$1,0)-1)-1),"")</f>
        <v/>
      </c>
      <c r="H251" t="str">
        <f ca="1">IFERROR(OFFSET(貼り付け2!$A$1,まとめ!$B251-1,OFFSET(貼り付け2!$A$1,ROW()-1,MATCH(H$1,貼り付け2!$1:$1,0)-1)-1),"")</f>
        <v/>
      </c>
      <c r="J251" t="str">
        <f ca="1">IFERROR(OFFSET(貼り付け2!$A$1,$A251-1,OFFSET(貼り付け2!$A$1,ROW()-1,MATCH(J$1,貼り付け2!$1:$1,0)-1)-1),"")</f>
        <v/>
      </c>
      <c r="M251" t="str">
        <f ca="1">IFERROR(OFFSET(貼り付け2!$A$1,まとめ!$B251-1,OFFSET(貼り付け2!$A$1,ROW()-1,MATCH(M$1,貼り付け2!$1:$1,0)-1)-1),"")</f>
        <v/>
      </c>
      <c r="O251" t="str">
        <f ca="1">IFERROR(OFFSET(貼り付け2!$A$1,$A251-1,OFFSET(貼り付け2!$A$1,ROW()-1,MATCH(O$1,貼り付け2!$1:$1,0)-1)-1),"")</f>
        <v/>
      </c>
      <c r="R251" t="str">
        <f ca="1">IFERROR(OFFSET(貼り付け2!$A$1,まとめ!$B251-1,OFFSET(貼り付け2!$A$1,ROW()-1,MATCH(R$1,貼り付け2!$1:$1,0)-1)-1),"")</f>
        <v/>
      </c>
      <c r="T251" t="str">
        <f ca="1">IFERROR(OFFSET(貼り付け2!$A$1,$A251-1,OFFSET(貼り付け2!$A$1,ROW()-1,MATCH(T$1,貼り付け2!$1:$1,0)-1)-1),"")</f>
        <v/>
      </c>
      <c r="W251" t="str">
        <f ca="1">IFERROR(OFFSET(貼り付け2!$A$1,まとめ!$B251-1,OFFSET(貼り付け2!$A$1,ROW()-1,MATCH(W$1,貼り付け2!$1:$1,0)-1)-1),"")</f>
        <v/>
      </c>
    </row>
    <row r="252" spans="1:23" x14ac:dyDescent="0.45">
      <c r="A252" t="str">
        <f>貼り付け2!S252</f>
        <v/>
      </c>
      <c r="B252" t="str">
        <f>貼り付け2!R252</f>
        <v/>
      </c>
      <c r="E252" t="str">
        <f ca="1">IFERROR(OFFSET(貼り付け2!$A$1,$A252-1,OFFSET(貼り付け2!$A$1,ROW()-1,MATCH(E$1,貼り付け2!$1:$1,0)-1)-1),"")</f>
        <v/>
      </c>
      <c r="H252" t="str">
        <f ca="1">IFERROR(OFFSET(貼り付け2!$A$1,まとめ!$B252-1,OFFSET(貼り付け2!$A$1,ROW()-1,MATCH(H$1,貼り付け2!$1:$1,0)-1)-1),"")</f>
        <v/>
      </c>
      <c r="J252" t="str">
        <f ca="1">IFERROR(OFFSET(貼り付け2!$A$1,$A252-1,OFFSET(貼り付け2!$A$1,ROW()-1,MATCH(J$1,貼り付け2!$1:$1,0)-1)-1),"")</f>
        <v/>
      </c>
      <c r="M252" t="str">
        <f ca="1">IFERROR(OFFSET(貼り付け2!$A$1,まとめ!$B252-1,OFFSET(貼り付け2!$A$1,ROW()-1,MATCH(M$1,貼り付け2!$1:$1,0)-1)-1),"")</f>
        <v/>
      </c>
      <c r="O252" t="str">
        <f ca="1">IFERROR(OFFSET(貼り付け2!$A$1,$A252-1,OFFSET(貼り付け2!$A$1,ROW()-1,MATCH(O$1,貼り付け2!$1:$1,0)-1)-1),"")</f>
        <v/>
      </c>
      <c r="R252" t="str">
        <f ca="1">IFERROR(OFFSET(貼り付け2!$A$1,まとめ!$B252-1,OFFSET(貼り付け2!$A$1,ROW()-1,MATCH(R$1,貼り付け2!$1:$1,0)-1)-1),"")</f>
        <v/>
      </c>
      <c r="T252" t="str">
        <f ca="1">IFERROR(OFFSET(貼り付け2!$A$1,$A252-1,OFFSET(貼り付け2!$A$1,ROW()-1,MATCH(T$1,貼り付け2!$1:$1,0)-1)-1),"")</f>
        <v/>
      </c>
      <c r="W252" t="str">
        <f ca="1">IFERROR(OFFSET(貼り付け2!$A$1,まとめ!$B252-1,OFFSET(貼り付け2!$A$1,ROW()-1,MATCH(W$1,貼り付け2!$1:$1,0)-1)-1),"")</f>
        <v/>
      </c>
    </row>
    <row r="253" spans="1:23" x14ac:dyDescent="0.45">
      <c r="A253" t="str">
        <f>貼り付け2!S253</f>
        <v/>
      </c>
      <c r="B253" t="str">
        <f>貼り付け2!R253</f>
        <v/>
      </c>
      <c r="E253" t="str">
        <f ca="1">IFERROR(OFFSET(貼り付け2!$A$1,$A253-1,OFFSET(貼り付け2!$A$1,ROW()-1,MATCH(E$1,貼り付け2!$1:$1,0)-1)-1),"")</f>
        <v/>
      </c>
      <c r="H253" t="str">
        <f ca="1">IFERROR(OFFSET(貼り付け2!$A$1,まとめ!$B253-1,OFFSET(貼り付け2!$A$1,ROW()-1,MATCH(H$1,貼り付け2!$1:$1,0)-1)-1),"")</f>
        <v/>
      </c>
      <c r="J253" t="str">
        <f ca="1">IFERROR(OFFSET(貼り付け2!$A$1,$A253-1,OFFSET(貼り付け2!$A$1,ROW()-1,MATCH(J$1,貼り付け2!$1:$1,0)-1)-1),"")</f>
        <v/>
      </c>
      <c r="M253" t="str">
        <f ca="1">IFERROR(OFFSET(貼り付け2!$A$1,まとめ!$B253-1,OFFSET(貼り付け2!$A$1,ROW()-1,MATCH(M$1,貼り付け2!$1:$1,0)-1)-1),"")</f>
        <v/>
      </c>
      <c r="O253" t="str">
        <f ca="1">IFERROR(OFFSET(貼り付け2!$A$1,$A253-1,OFFSET(貼り付け2!$A$1,ROW()-1,MATCH(O$1,貼り付け2!$1:$1,0)-1)-1),"")</f>
        <v/>
      </c>
      <c r="R253" t="str">
        <f ca="1">IFERROR(OFFSET(貼り付け2!$A$1,まとめ!$B253-1,OFFSET(貼り付け2!$A$1,ROW()-1,MATCH(R$1,貼り付け2!$1:$1,0)-1)-1),"")</f>
        <v/>
      </c>
      <c r="T253" t="str">
        <f ca="1">IFERROR(OFFSET(貼り付け2!$A$1,$A253-1,OFFSET(貼り付け2!$A$1,ROW()-1,MATCH(T$1,貼り付け2!$1:$1,0)-1)-1),"")</f>
        <v/>
      </c>
      <c r="W253" t="str">
        <f ca="1">IFERROR(OFFSET(貼り付け2!$A$1,まとめ!$B253-1,OFFSET(貼り付け2!$A$1,ROW()-1,MATCH(W$1,貼り付け2!$1:$1,0)-1)-1),"")</f>
        <v/>
      </c>
    </row>
    <row r="254" spans="1:23" x14ac:dyDescent="0.45">
      <c r="A254" t="str">
        <f>貼り付け2!S254</f>
        <v/>
      </c>
      <c r="B254" t="str">
        <f>貼り付け2!R254</f>
        <v/>
      </c>
      <c r="E254" t="str">
        <f ca="1">IFERROR(OFFSET(貼り付け2!$A$1,$A254-1,OFFSET(貼り付け2!$A$1,ROW()-1,MATCH(E$1,貼り付け2!$1:$1,0)-1)-1),"")</f>
        <v/>
      </c>
      <c r="H254" t="str">
        <f ca="1">IFERROR(OFFSET(貼り付け2!$A$1,まとめ!$B254-1,OFFSET(貼り付け2!$A$1,ROW()-1,MATCH(H$1,貼り付け2!$1:$1,0)-1)-1),"")</f>
        <v/>
      </c>
      <c r="J254" t="str">
        <f ca="1">IFERROR(OFFSET(貼り付け2!$A$1,$A254-1,OFFSET(貼り付け2!$A$1,ROW()-1,MATCH(J$1,貼り付け2!$1:$1,0)-1)-1),"")</f>
        <v/>
      </c>
      <c r="M254" t="str">
        <f ca="1">IFERROR(OFFSET(貼り付け2!$A$1,まとめ!$B254-1,OFFSET(貼り付け2!$A$1,ROW()-1,MATCH(M$1,貼り付け2!$1:$1,0)-1)-1),"")</f>
        <v/>
      </c>
      <c r="O254" t="str">
        <f ca="1">IFERROR(OFFSET(貼り付け2!$A$1,$A254-1,OFFSET(貼り付け2!$A$1,ROW()-1,MATCH(O$1,貼り付け2!$1:$1,0)-1)-1),"")</f>
        <v/>
      </c>
      <c r="R254" t="str">
        <f ca="1">IFERROR(OFFSET(貼り付け2!$A$1,まとめ!$B254-1,OFFSET(貼り付け2!$A$1,ROW()-1,MATCH(R$1,貼り付け2!$1:$1,0)-1)-1),"")</f>
        <v/>
      </c>
      <c r="T254" t="str">
        <f ca="1">IFERROR(OFFSET(貼り付け2!$A$1,$A254-1,OFFSET(貼り付け2!$A$1,ROW()-1,MATCH(T$1,貼り付け2!$1:$1,0)-1)-1),"")</f>
        <v/>
      </c>
      <c r="W254" t="str">
        <f ca="1">IFERROR(OFFSET(貼り付け2!$A$1,まとめ!$B254-1,OFFSET(貼り付け2!$A$1,ROW()-1,MATCH(W$1,貼り付け2!$1:$1,0)-1)-1),"")</f>
        <v/>
      </c>
    </row>
    <row r="255" spans="1:23" x14ac:dyDescent="0.45">
      <c r="A255" t="str">
        <f>貼り付け2!S255</f>
        <v/>
      </c>
      <c r="B255" t="str">
        <f>貼り付け2!R255</f>
        <v/>
      </c>
      <c r="E255" t="str">
        <f ca="1">IFERROR(OFFSET(貼り付け2!$A$1,$A255-1,OFFSET(貼り付け2!$A$1,ROW()-1,MATCH(E$1,貼り付け2!$1:$1,0)-1)-1),"")</f>
        <v/>
      </c>
      <c r="H255" t="str">
        <f ca="1">IFERROR(OFFSET(貼り付け2!$A$1,まとめ!$B255-1,OFFSET(貼り付け2!$A$1,ROW()-1,MATCH(H$1,貼り付け2!$1:$1,0)-1)-1),"")</f>
        <v/>
      </c>
      <c r="J255" t="str">
        <f ca="1">IFERROR(OFFSET(貼り付け2!$A$1,$A255-1,OFFSET(貼り付け2!$A$1,ROW()-1,MATCH(J$1,貼り付け2!$1:$1,0)-1)-1),"")</f>
        <v/>
      </c>
      <c r="M255" t="str">
        <f ca="1">IFERROR(OFFSET(貼り付け2!$A$1,まとめ!$B255-1,OFFSET(貼り付け2!$A$1,ROW()-1,MATCH(M$1,貼り付け2!$1:$1,0)-1)-1),"")</f>
        <v/>
      </c>
      <c r="O255" t="str">
        <f ca="1">IFERROR(OFFSET(貼り付け2!$A$1,$A255-1,OFFSET(貼り付け2!$A$1,ROW()-1,MATCH(O$1,貼り付け2!$1:$1,0)-1)-1),"")</f>
        <v/>
      </c>
      <c r="R255" t="str">
        <f ca="1">IFERROR(OFFSET(貼り付け2!$A$1,まとめ!$B255-1,OFFSET(貼り付け2!$A$1,ROW()-1,MATCH(R$1,貼り付け2!$1:$1,0)-1)-1),"")</f>
        <v/>
      </c>
      <c r="T255" t="str">
        <f ca="1">IFERROR(OFFSET(貼り付け2!$A$1,$A255-1,OFFSET(貼り付け2!$A$1,ROW()-1,MATCH(T$1,貼り付け2!$1:$1,0)-1)-1),"")</f>
        <v/>
      </c>
      <c r="W255" t="str">
        <f ca="1">IFERROR(OFFSET(貼り付け2!$A$1,まとめ!$B255-1,OFFSET(貼り付け2!$A$1,ROW()-1,MATCH(W$1,貼り付け2!$1:$1,0)-1)-1),"")</f>
        <v/>
      </c>
    </row>
    <row r="256" spans="1:23" x14ac:dyDescent="0.45">
      <c r="A256" t="str">
        <f>貼り付け2!S256</f>
        <v/>
      </c>
      <c r="B256" t="str">
        <f>貼り付け2!R256</f>
        <v/>
      </c>
      <c r="E256" t="str">
        <f ca="1">IFERROR(OFFSET(貼り付け2!$A$1,$A256-1,OFFSET(貼り付け2!$A$1,ROW()-1,MATCH(E$1,貼り付け2!$1:$1,0)-1)-1),"")</f>
        <v/>
      </c>
      <c r="H256" t="str">
        <f ca="1">IFERROR(OFFSET(貼り付け2!$A$1,まとめ!$B256-1,OFFSET(貼り付け2!$A$1,ROW()-1,MATCH(H$1,貼り付け2!$1:$1,0)-1)-1),"")</f>
        <v/>
      </c>
      <c r="J256" t="str">
        <f ca="1">IFERROR(OFFSET(貼り付け2!$A$1,$A256-1,OFFSET(貼り付け2!$A$1,ROW()-1,MATCH(J$1,貼り付け2!$1:$1,0)-1)-1),"")</f>
        <v/>
      </c>
      <c r="M256" t="str">
        <f ca="1">IFERROR(OFFSET(貼り付け2!$A$1,まとめ!$B256-1,OFFSET(貼り付け2!$A$1,ROW()-1,MATCH(M$1,貼り付け2!$1:$1,0)-1)-1),"")</f>
        <v/>
      </c>
      <c r="O256" t="str">
        <f ca="1">IFERROR(OFFSET(貼り付け2!$A$1,$A256-1,OFFSET(貼り付け2!$A$1,ROW()-1,MATCH(O$1,貼り付け2!$1:$1,0)-1)-1),"")</f>
        <v/>
      </c>
      <c r="R256" t="str">
        <f ca="1">IFERROR(OFFSET(貼り付け2!$A$1,まとめ!$B256-1,OFFSET(貼り付け2!$A$1,ROW()-1,MATCH(R$1,貼り付け2!$1:$1,0)-1)-1),"")</f>
        <v/>
      </c>
      <c r="T256" t="str">
        <f ca="1">IFERROR(OFFSET(貼り付け2!$A$1,$A256-1,OFFSET(貼り付け2!$A$1,ROW()-1,MATCH(T$1,貼り付け2!$1:$1,0)-1)-1),"")</f>
        <v/>
      </c>
      <c r="W256" t="str">
        <f ca="1">IFERROR(OFFSET(貼り付け2!$A$1,まとめ!$B256-1,OFFSET(貼り付け2!$A$1,ROW()-1,MATCH(W$1,貼り付け2!$1:$1,0)-1)-1),"")</f>
        <v/>
      </c>
    </row>
    <row r="257" spans="1:23" x14ac:dyDescent="0.45">
      <c r="A257" t="str">
        <f>貼り付け2!S257</f>
        <v/>
      </c>
      <c r="B257" t="str">
        <f>貼り付け2!R257</f>
        <v/>
      </c>
      <c r="E257" t="str">
        <f ca="1">IFERROR(OFFSET(貼り付け2!$A$1,$A257-1,OFFSET(貼り付け2!$A$1,ROW()-1,MATCH(E$1,貼り付け2!$1:$1,0)-1)-1),"")</f>
        <v/>
      </c>
      <c r="H257" t="str">
        <f ca="1">IFERROR(OFFSET(貼り付け2!$A$1,まとめ!$B257-1,OFFSET(貼り付け2!$A$1,ROW()-1,MATCH(H$1,貼り付け2!$1:$1,0)-1)-1),"")</f>
        <v/>
      </c>
      <c r="J257" t="str">
        <f ca="1">IFERROR(OFFSET(貼り付け2!$A$1,$A257-1,OFFSET(貼り付け2!$A$1,ROW()-1,MATCH(J$1,貼り付け2!$1:$1,0)-1)-1),"")</f>
        <v/>
      </c>
      <c r="M257" t="str">
        <f ca="1">IFERROR(OFFSET(貼り付け2!$A$1,まとめ!$B257-1,OFFSET(貼り付け2!$A$1,ROW()-1,MATCH(M$1,貼り付け2!$1:$1,0)-1)-1),"")</f>
        <v/>
      </c>
      <c r="O257" t="str">
        <f ca="1">IFERROR(OFFSET(貼り付け2!$A$1,$A257-1,OFFSET(貼り付け2!$A$1,ROW()-1,MATCH(O$1,貼り付け2!$1:$1,0)-1)-1),"")</f>
        <v/>
      </c>
      <c r="R257" t="str">
        <f ca="1">IFERROR(OFFSET(貼り付け2!$A$1,まとめ!$B257-1,OFFSET(貼り付け2!$A$1,ROW()-1,MATCH(R$1,貼り付け2!$1:$1,0)-1)-1),"")</f>
        <v/>
      </c>
      <c r="T257" t="str">
        <f ca="1">IFERROR(OFFSET(貼り付け2!$A$1,$A257-1,OFFSET(貼り付け2!$A$1,ROW()-1,MATCH(T$1,貼り付け2!$1:$1,0)-1)-1),"")</f>
        <v/>
      </c>
      <c r="W257" t="str">
        <f ca="1">IFERROR(OFFSET(貼り付け2!$A$1,まとめ!$B257-1,OFFSET(貼り付け2!$A$1,ROW()-1,MATCH(W$1,貼り付け2!$1:$1,0)-1)-1),"")</f>
        <v/>
      </c>
    </row>
    <row r="258" spans="1:23" x14ac:dyDescent="0.45">
      <c r="A258" t="str">
        <f>貼り付け2!S258</f>
        <v/>
      </c>
      <c r="B258" t="str">
        <f>貼り付け2!R258</f>
        <v/>
      </c>
      <c r="E258" t="str">
        <f ca="1">IFERROR(OFFSET(貼り付け2!$A$1,$A258-1,OFFSET(貼り付け2!$A$1,ROW()-1,MATCH(E$1,貼り付け2!$1:$1,0)-1)-1),"")</f>
        <v/>
      </c>
      <c r="H258" t="str">
        <f ca="1">IFERROR(OFFSET(貼り付け2!$A$1,まとめ!$B258-1,OFFSET(貼り付け2!$A$1,ROW()-1,MATCH(H$1,貼り付け2!$1:$1,0)-1)-1),"")</f>
        <v/>
      </c>
      <c r="J258" t="str">
        <f ca="1">IFERROR(OFFSET(貼り付け2!$A$1,$A258-1,OFFSET(貼り付け2!$A$1,ROW()-1,MATCH(J$1,貼り付け2!$1:$1,0)-1)-1),"")</f>
        <v/>
      </c>
      <c r="M258" t="str">
        <f ca="1">IFERROR(OFFSET(貼り付け2!$A$1,まとめ!$B258-1,OFFSET(貼り付け2!$A$1,ROW()-1,MATCH(M$1,貼り付け2!$1:$1,0)-1)-1),"")</f>
        <v/>
      </c>
      <c r="O258" t="str">
        <f ca="1">IFERROR(OFFSET(貼り付け2!$A$1,$A258-1,OFFSET(貼り付け2!$A$1,ROW()-1,MATCH(O$1,貼り付け2!$1:$1,0)-1)-1),"")</f>
        <v/>
      </c>
      <c r="R258" t="str">
        <f ca="1">IFERROR(OFFSET(貼り付け2!$A$1,まとめ!$B258-1,OFFSET(貼り付け2!$A$1,ROW()-1,MATCH(R$1,貼り付け2!$1:$1,0)-1)-1),"")</f>
        <v/>
      </c>
      <c r="T258" t="str">
        <f ca="1">IFERROR(OFFSET(貼り付け2!$A$1,$A258-1,OFFSET(貼り付け2!$A$1,ROW()-1,MATCH(T$1,貼り付け2!$1:$1,0)-1)-1),"")</f>
        <v/>
      </c>
      <c r="W258" t="str">
        <f ca="1">IFERROR(OFFSET(貼り付け2!$A$1,まとめ!$B258-1,OFFSET(貼り付け2!$A$1,ROW()-1,MATCH(W$1,貼り付け2!$1:$1,0)-1)-1),"")</f>
        <v/>
      </c>
    </row>
    <row r="259" spans="1:23" x14ac:dyDescent="0.45">
      <c r="A259" t="str">
        <f>貼り付け2!S259</f>
        <v/>
      </c>
      <c r="B259" t="str">
        <f>貼り付け2!R259</f>
        <v/>
      </c>
      <c r="E259" t="str">
        <f ca="1">IFERROR(OFFSET(貼り付け2!$A$1,$A259-1,OFFSET(貼り付け2!$A$1,ROW()-1,MATCH(E$1,貼り付け2!$1:$1,0)-1)-1),"")</f>
        <v/>
      </c>
      <c r="H259" t="str">
        <f ca="1">IFERROR(OFFSET(貼り付け2!$A$1,まとめ!$B259-1,OFFSET(貼り付け2!$A$1,ROW()-1,MATCH(H$1,貼り付け2!$1:$1,0)-1)-1),"")</f>
        <v/>
      </c>
      <c r="J259" t="str">
        <f ca="1">IFERROR(OFFSET(貼り付け2!$A$1,$A259-1,OFFSET(貼り付け2!$A$1,ROW()-1,MATCH(J$1,貼り付け2!$1:$1,0)-1)-1),"")</f>
        <v/>
      </c>
      <c r="M259" t="str">
        <f ca="1">IFERROR(OFFSET(貼り付け2!$A$1,まとめ!$B259-1,OFFSET(貼り付け2!$A$1,ROW()-1,MATCH(M$1,貼り付け2!$1:$1,0)-1)-1),"")</f>
        <v/>
      </c>
      <c r="O259" t="str">
        <f ca="1">IFERROR(OFFSET(貼り付け2!$A$1,$A259-1,OFFSET(貼り付け2!$A$1,ROW()-1,MATCH(O$1,貼り付け2!$1:$1,0)-1)-1),"")</f>
        <v/>
      </c>
      <c r="R259" t="str">
        <f ca="1">IFERROR(OFFSET(貼り付け2!$A$1,まとめ!$B259-1,OFFSET(貼り付け2!$A$1,ROW()-1,MATCH(R$1,貼り付け2!$1:$1,0)-1)-1),"")</f>
        <v/>
      </c>
      <c r="T259" t="str">
        <f ca="1">IFERROR(OFFSET(貼り付け2!$A$1,$A259-1,OFFSET(貼り付け2!$A$1,ROW()-1,MATCH(T$1,貼り付け2!$1:$1,0)-1)-1),"")</f>
        <v/>
      </c>
      <c r="W259" t="str">
        <f ca="1">IFERROR(OFFSET(貼り付け2!$A$1,まとめ!$B259-1,OFFSET(貼り付け2!$A$1,ROW()-1,MATCH(W$1,貼り付け2!$1:$1,0)-1)-1),"")</f>
        <v/>
      </c>
    </row>
    <row r="260" spans="1:23" x14ac:dyDescent="0.45">
      <c r="A260" t="str">
        <f>貼り付け2!S260</f>
        <v/>
      </c>
      <c r="B260" t="str">
        <f>貼り付け2!R260</f>
        <v/>
      </c>
      <c r="E260" t="str">
        <f ca="1">IFERROR(OFFSET(貼り付け2!$A$1,$A260-1,OFFSET(貼り付け2!$A$1,ROW()-1,MATCH(E$1,貼り付け2!$1:$1,0)-1)-1),"")</f>
        <v/>
      </c>
      <c r="H260" t="str">
        <f ca="1">IFERROR(OFFSET(貼り付け2!$A$1,まとめ!$B260-1,OFFSET(貼り付け2!$A$1,ROW()-1,MATCH(H$1,貼り付け2!$1:$1,0)-1)-1),"")</f>
        <v/>
      </c>
      <c r="J260" t="str">
        <f ca="1">IFERROR(OFFSET(貼り付け2!$A$1,$A260-1,OFFSET(貼り付け2!$A$1,ROW()-1,MATCH(J$1,貼り付け2!$1:$1,0)-1)-1),"")</f>
        <v/>
      </c>
      <c r="M260" t="str">
        <f ca="1">IFERROR(OFFSET(貼り付け2!$A$1,まとめ!$B260-1,OFFSET(貼り付け2!$A$1,ROW()-1,MATCH(M$1,貼り付け2!$1:$1,0)-1)-1),"")</f>
        <v/>
      </c>
      <c r="O260" t="str">
        <f ca="1">IFERROR(OFFSET(貼り付け2!$A$1,$A260-1,OFFSET(貼り付け2!$A$1,ROW()-1,MATCH(O$1,貼り付け2!$1:$1,0)-1)-1),"")</f>
        <v/>
      </c>
      <c r="R260" t="str">
        <f ca="1">IFERROR(OFFSET(貼り付け2!$A$1,まとめ!$B260-1,OFFSET(貼り付け2!$A$1,ROW()-1,MATCH(R$1,貼り付け2!$1:$1,0)-1)-1),"")</f>
        <v/>
      </c>
      <c r="T260" t="str">
        <f ca="1">IFERROR(OFFSET(貼り付け2!$A$1,$A260-1,OFFSET(貼り付け2!$A$1,ROW()-1,MATCH(T$1,貼り付け2!$1:$1,0)-1)-1),"")</f>
        <v/>
      </c>
      <c r="W260" t="str">
        <f ca="1">IFERROR(OFFSET(貼り付け2!$A$1,まとめ!$B260-1,OFFSET(貼り付け2!$A$1,ROW()-1,MATCH(W$1,貼り付け2!$1:$1,0)-1)-1),"")</f>
        <v/>
      </c>
    </row>
    <row r="261" spans="1:23" x14ac:dyDescent="0.45">
      <c r="A261" t="str">
        <f>貼り付け2!S261</f>
        <v/>
      </c>
      <c r="B261" t="str">
        <f>貼り付け2!R261</f>
        <v/>
      </c>
      <c r="E261" t="str">
        <f ca="1">IFERROR(OFFSET(貼り付け2!$A$1,$A261-1,OFFSET(貼り付け2!$A$1,ROW()-1,MATCH(E$1,貼り付け2!$1:$1,0)-1)-1),"")</f>
        <v/>
      </c>
      <c r="H261" t="str">
        <f ca="1">IFERROR(OFFSET(貼り付け2!$A$1,まとめ!$B261-1,OFFSET(貼り付け2!$A$1,ROW()-1,MATCH(H$1,貼り付け2!$1:$1,0)-1)-1),"")</f>
        <v/>
      </c>
      <c r="J261" t="str">
        <f ca="1">IFERROR(OFFSET(貼り付け2!$A$1,$A261-1,OFFSET(貼り付け2!$A$1,ROW()-1,MATCH(J$1,貼り付け2!$1:$1,0)-1)-1),"")</f>
        <v/>
      </c>
      <c r="M261" t="str">
        <f ca="1">IFERROR(OFFSET(貼り付け2!$A$1,まとめ!$B261-1,OFFSET(貼り付け2!$A$1,ROW()-1,MATCH(M$1,貼り付け2!$1:$1,0)-1)-1),"")</f>
        <v/>
      </c>
      <c r="O261" t="str">
        <f ca="1">IFERROR(OFFSET(貼り付け2!$A$1,$A261-1,OFFSET(貼り付け2!$A$1,ROW()-1,MATCH(O$1,貼り付け2!$1:$1,0)-1)-1),"")</f>
        <v/>
      </c>
      <c r="R261" t="str">
        <f ca="1">IFERROR(OFFSET(貼り付け2!$A$1,まとめ!$B261-1,OFFSET(貼り付け2!$A$1,ROW()-1,MATCH(R$1,貼り付け2!$1:$1,0)-1)-1),"")</f>
        <v/>
      </c>
      <c r="T261" t="str">
        <f ca="1">IFERROR(OFFSET(貼り付け2!$A$1,$A261-1,OFFSET(貼り付け2!$A$1,ROW()-1,MATCH(T$1,貼り付け2!$1:$1,0)-1)-1),"")</f>
        <v/>
      </c>
      <c r="W261" t="str">
        <f ca="1">IFERROR(OFFSET(貼り付け2!$A$1,まとめ!$B261-1,OFFSET(貼り付け2!$A$1,ROW()-1,MATCH(W$1,貼り付け2!$1:$1,0)-1)-1),"")</f>
        <v/>
      </c>
    </row>
    <row r="262" spans="1:23" x14ac:dyDescent="0.45">
      <c r="A262" t="str">
        <f>貼り付け2!S262</f>
        <v/>
      </c>
      <c r="B262" t="str">
        <f>貼り付け2!R262</f>
        <v/>
      </c>
      <c r="E262" t="str">
        <f ca="1">IFERROR(OFFSET(貼り付け2!$A$1,$A262-1,OFFSET(貼り付け2!$A$1,ROW()-1,MATCH(E$1,貼り付け2!$1:$1,0)-1)-1),"")</f>
        <v/>
      </c>
      <c r="H262" t="str">
        <f ca="1">IFERROR(OFFSET(貼り付け2!$A$1,まとめ!$B262-1,OFFSET(貼り付け2!$A$1,ROW()-1,MATCH(H$1,貼り付け2!$1:$1,0)-1)-1),"")</f>
        <v/>
      </c>
      <c r="J262" t="str">
        <f ca="1">IFERROR(OFFSET(貼り付け2!$A$1,$A262-1,OFFSET(貼り付け2!$A$1,ROW()-1,MATCH(J$1,貼り付け2!$1:$1,0)-1)-1),"")</f>
        <v/>
      </c>
      <c r="M262" t="str">
        <f ca="1">IFERROR(OFFSET(貼り付け2!$A$1,まとめ!$B262-1,OFFSET(貼り付け2!$A$1,ROW()-1,MATCH(M$1,貼り付け2!$1:$1,0)-1)-1),"")</f>
        <v/>
      </c>
      <c r="O262" t="str">
        <f ca="1">IFERROR(OFFSET(貼り付け2!$A$1,$A262-1,OFFSET(貼り付け2!$A$1,ROW()-1,MATCH(O$1,貼り付け2!$1:$1,0)-1)-1),"")</f>
        <v/>
      </c>
      <c r="R262" t="str">
        <f ca="1">IFERROR(OFFSET(貼り付け2!$A$1,まとめ!$B262-1,OFFSET(貼り付け2!$A$1,ROW()-1,MATCH(R$1,貼り付け2!$1:$1,0)-1)-1),"")</f>
        <v/>
      </c>
      <c r="T262" t="str">
        <f ca="1">IFERROR(OFFSET(貼り付け2!$A$1,$A262-1,OFFSET(貼り付け2!$A$1,ROW()-1,MATCH(T$1,貼り付け2!$1:$1,0)-1)-1),"")</f>
        <v/>
      </c>
      <c r="W262" t="str">
        <f ca="1">IFERROR(OFFSET(貼り付け2!$A$1,まとめ!$B262-1,OFFSET(貼り付け2!$A$1,ROW()-1,MATCH(W$1,貼り付け2!$1:$1,0)-1)-1),"")</f>
        <v/>
      </c>
    </row>
    <row r="263" spans="1:23" x14ac:dyDescent="0.45">
      <c r="A263" t="str">
        <f>貼り付け2!S263</f>
        <v/>
      </c>
      <c r="B263" t="str">
        <f>貼り付け2!R263</f>
        <v/>
      </c>
      <c r="E263" t="str">
        <f ca="1">IFERROR(OFFSET(貼り付け2!$A$1,$A263-1,OFFSET(貼り付け2!$A$1,ROW()-1,MATCH(E$1,貼り付け2!$1:$1,0)-1)-1),"")</f>
        <v/>
      </c>
      <c r="H263" t="str">
        <f ca="1">IFERROR(OFFSET(貼り付け2!$A$1,まとめ!$B263-1,OFFSET(貼り付け2!$A$1,ROW()-1,MATCH(H$1,貼り付け2!$1:$1,0)-1)-1),"")</f>
        <v/>
      </c>
      <c r="J263" t="str">
        <f ca="1">IFERROR(OFFSET(貼り付け2!$A$1,$A263-1,OFFSET(貼り付け2!$A$1,ROW()-1,MATCH(J$1,貼り付け2!$1:$1,0)-1)-1),"")</f>
        <v/>
      </c>
      <c r="M263" t="str">
        <f ca="1">IFERROR(OFFSET(貼り付け2!$A$1,まとめ!$B263-1,OFFSET(貼り付け2!$A$1,ROW()-1,MATCH(M$1,貼り付け2!$1:$1,0)-1)-1),"")</f>
        <v/>
      </c>
      <c r="O263" t="str">
        <f ca="1">IFERROR(OFFSET(貼り付け2!$A$1,$A263-1,OFFSET(貼り付け2!$A$1,ROW()-1,MATCH(O$1,貼り付け2!$1:$1,0)-1)-1),"")</f>
        <v/>
      </c>
      <c r="R263" t="str">
        <f ca="1">IFERROR(OFFSET(貼り付け2!$A$1,まとめ!$B263-1,OFFSET(貼り付け2!$A$1,ROW()-1,MATCH(R$1,貼り付け2!$1:$1,0)-1)-1),"")</f>
        <v/>
      </c>
      <c r="T263" t="str">
        <f ca="1">IFERROR(OFFSET(貼り付け2!$A$1,$A263-1,OFFSET(貼り付け2!$A$1,ROW()-1,MATCH(T$1,貼り付け2!$1:$1,0)-1)-1),"")</f>
        <v/>
      </c>
      <c r="W263" t="str">
        <f ca="1">IFERROR(OFFSET(貼り付け2!$A$1,まとめ!$B263-1,OFFSET(貼り付け2!$A$1,ROW()-1,MATCH(W$1,貼り付け2!$1:$1,0)-1)-1),"")</f>
        <v/>
      </c>
    </row>
    <row r="264" spans="1:23" x14ac:dyDescent="0.45">
      <c r="A264" t="str">
        <f>貼り付け2!S264</f>
        <v/>
      </c>
      <c r="B264" t="str">
        <f>貼り付け2!R264</f>
        <v/>
      </c>
      <c r="E264" t="str">
        <f ca="1">IFERROR(OFFSET(貼り付け2!$A$1,$A264-1,OFFSET(貼り付け2!$A$1,ROW()-1,MATCH(E$1,貼り付け2!$1:$1,0)-1)-1),"")</f>
        <v/>
      </c>
      <c r="H264" t="str">
        <f ca="1">IFERROR(OFFSET(貼り付け2!$A$1,まとめ!$B264-1,OFFSET(貼り付け2!$A$1,ROW()-1,MATCH(H$1,貼り付け2!$1:$1,0)-1)-1),"")</f>
        <v/>
      </c>
      <c r="J264" t="str">
        <f ca="1">IFERROR(OFFSET(貼り付け2!$A$1,$A264-1,OFFSET(貼り付け2!$A$1,ROW()-1,MATCH(J$1,貼り付け2!$1:$1,0)-1)-1),"")</f>
        <v/>
      </c>
      <c r="M264" t="str">
        <f ca="1">IFERROR(OFFSET(貼り付け2!$A$1,まとめ!$B264-1,OFFSET(貼り付け2!$A$1,ROW()-1,MATCH(M$1,貼り付け2!$1:$1,0)-1)-1),"")</f>
        <v/>
      </c>
      <c r="O264" t="str">
        <f ca="1">IFERROR(OFFSET(貼り付け2!$A$1,$A264-1,OFFSET(貼り付け2!$A$1,ROW()-1,MATCH(O$1,貼り付け2!$1:$1,0)-1)-1),"")</f>
        <v/>
      </c>
      <c r="R264" t="str">
        <f ca="1">IFERROR(OFFSET(貼り付け2!$A$1,まとめ!$B264-1,OFFSET(貼り付け2!$A$1,ROW()-1,MATCH(R$1,貼り付け2!$1:$1,0)-1)-1),"")</f>
        <v/>
      </c>
      <c r="T264" t="str">
        <f ca="1">IFERROR(OFFSET(貼り付け2!$A$1,$A264-1,OFFSET(貼り付け2!$A$1,ROW()-1,MATCH(T$1,貼り付け2!$1:$1,0)-1)-1),"")</f>
        <v/>
      </c>
      <c r="W264" t="str">
        <f ca="1">IFERROR(OFFSET(貼り付け2!$A$1,まとめ!$B264-1,OFFSET(貼り付け2!$A$1,ROW()-1,MATCH(W$1,貼り付け2!$1:$1,0)-1)-1),"")</f>
        <v/>
      </c>
    </row>
    <row r="265" spans="1:23" x14ac:dyDescent="0.45">
      <c r="A265" t="str">
        <f>貼り付け2!S265</f>
        <v/>
      </c>
      <c r="B265" t="str">
        <f>貼り付け2!R265</f>
        <v/>
      </c>
      <c r="E265" t="str">
        <f ca="1">IFERROR(OFFSET(貼り付け2!$A$1,$A265-1,OFFSET(貼り付け2!$A$1,ROW()-1,MATCH(E$1,貼り付け2!$1:$1,0)-1)-1),"")</f>
        <v/>
      </c>
      <c r="H265" t="str">
        <f ca="1">IFERROR(OFFSET(貼り付け2!$A$1,まとめ!$B265-1,OFFSET(貼り付け2!$A$1,ROW()-1,MATCH(H$1,貼り付け2!$1:$1,0)-1)-1),"")</f>
        <v/>
      </c>
      <c r="J265" t="str">
        <f ca="1">IFERROR(OFFSET(貼り付け2!$A$1,$A265-1,OFFSET(貼り付け2!$A$1,ROW()-1,MATCH(J$1,貼り付け2!$1:$1,0)-1)-1),"")</f>
        <v/>
      </c>
      <c r="M265" t="str">
        <f ca="1">IFERROR(OFFSET(貼り付け2!$A$1,まとめ!$B265-1,OFFSET(貼り付け2!$A$1,ROW()-1,MATCH(M$1,貼り付け2!$1:$1,0)-1)-1),"")</f>
        <v/>
      </c>
      <c r="O265" t="str">
        <f ca="1">IFERROR(OFFSET(貼り付け2!$A$1,$A265-1,OFFSET(貼り付け2!$A$1,ROW()-1,MATCH(O$1,貼り付け2!$1:$1,0)-1)-1),"")</f>
        <v/>
      </c>
      <c r="R265" t="str">
        <f ca="1">IFERROR(OFFSET(貼り付け2!$A$1,まとめ!$B265-1,OFFSET(貼り付け2!$A$1,ROW()-1,MATCH(R$1,貼り付け2!$1:$1,0)-1)-1),"")</f>
        <v/>
      </c>
      <c r="T265" t="str">
        <f ca="1">IFERROR(OFFSET(貼り付け2!$A$1,$A265-1,OFFSET(貼り付け2!$A$1,ROW()-1,MATCH(T$1,貼り付け2!$1:$1,0)-1)-1),"")</f>
        <v/>
      </c>
      <c r="W265" t="str">
        <f ca="1">IFERROR(OFFSET(貼り付け2!$A$1,まとめ!$B265-1,OFFSET(貼り付け2!$A$1,ROW()-1,MATCH(W$1,貼り付け2!$1:$1,0)-1)-1),"")</f>
        <v/>
      </c>
    </row>
    <row r="266" spans="1:23" x14ac:dyDescent="0.45">
      <c r="A266" t="str">
        <f>貼り付け2!S266</f>
        <v/>
      </c>
      <c r="B266" t="str">
        <f>貼り付け2!R266</f>
        <v/>
      </c>
      <c r="E266" t="str">
        <f ca="1">IFERROR(OFFSET(貼り付け2!$A$1,$A266-1,OFFSET(貼り付け2!$A$1,ROW()-1,MATCH(E$1,貼り付け2!$1:$1,0)-1)-1),"")</f>
        <v/>
      </c>
      <c r="H266" t="str">
        <f ca="1">IFERROR(OFFSET(貼り付け2!$A$1,まとめ!$B266-1,OFFSET(貼り付け2!$A$1,ROW()-1,MATCH(H$1,貼り付け2!$1:$1,0)-1)-1),"")</f>
        <v/>
      </c>
      <c r="J266" t="str">
        <f ca="1">IFERROR(OFFSET(貼り付け2!$A$1,$A266-1,OFFSET(貼り付け2!$A$1,ROW()-1,MATCH(J$1,貼り付け2!$1:$1,0)-1)-1),"")</f>
        <v/>
      </c>
      <c r="M266" t="str">
        <f ca="1">IFERROR(OFFSET(貼り付け2!$A$1,まとめ!$B266-1,OFFSET(貼り付け2!$A$1,ROW()-1,MATCH(M$1,貼り付け2!$1:$1,0)-1)-1),"")</f>
        <v/>
      </c>
      <c r="O266" t="str">
        <f ca="1">IFERROR(OFFSET(貼り付け2!$A$1,$A266-1,OFFSET(貼り付け2!$A$1,ROW()-1,MATCH(O$1,貼り付け2!$1:$1,0)-1)-1),"")</f>
        <v/>
      </c>
      <c r="R266" t="str">
        <f ca="1">IFERROR(OFFSET(貼り付け2!$A$1,まとめ!$B266-1,OFFSET(貼り付け2!$A$1,ROW()-1,MATCH(R$1,貼り付け2!$1:$1,0)-1)-1),"")</f>
        <v/>
      </c>
      <c r="T266" t="str">
        <f ca="1">IFERROR(OFFSET(貼り付け2!$A$1,$A266-1,OFFSET(貼り付け2!$A$1,ROW()-1,MATCH(T$1,貼り付け2!$1:$1,0)-1)-1),"")</f>
        <v/>
      </c>
      <c r="W266" t="str">
        <f ca="1">IFERROR(OFFSET(貼り付け2!$A$1,まとめ!$B266-1,OFFSET(貼り付け2!$A$1,ROW()-1,MATCH(W$1,貼り付け2!$1:$1,0)-1)-1),"")</f>
        <v/>
      </c>
    </row>
    <row r="267" spans="1:23" x14ac:dyDescent="0.45">
      <c r="A267" t="str">
        <f>貼り付け2!S267</f>
        <v/>
      </c>
      <c r="B267" t="str">
        <f>貼り付け2!R267</f>
        <v/>
      </c>
      <c r="E267" t="str">
        <f ca="1">IFERROR(OFFSET(貼り付け2!$A$1,$A267-1,OFFSET(貼り付け2!$A$1,ROW()-1,MATCH(E$1,貼り付け2!$1:$1,0)-1)-1),"")</f>
        <v/>
      </c>
      <c r="H267" t="str">
        <f ca="1">IFERROR(OFFSET(貼り付け2!$A$1,まとめ!$B267-1,OFFSET(貼り付け2!$A$1,ROW()-1,MATCH(H$1,貼り付け2!$1:$1,0)-1)-1),"")</f>
        <v/>
      </c>
      <c r="J267" t="str">
        <f ca="1">IFERROR(OFFSET(貼り付け2!$A$1,$A267-1,OFFSET(貼り付け2!$A$1,ROW()-1,MATCH(J$1,貼り付け2!$1:$1,0)-1)-1),"")</f>
        <v/>
      </c>
      <c r="M267" t="str">
        <f ca="1">IFERROR(OFFSET(貼り付け2!$A$1,まとめ!$B267-1,OFFSET(貼り付け2!$A$1,ROW()-1,MATCH(M$1,貼り付け2!$1:$1,0)-1)-1),"")</f>
        <v/>
      </c>
      <c r="O267" t="str">
        <f ca="1">IFERROR(OFFSET(貼り付け2!$A$1,$A267-1,OFFSET(貼り付け2!$A$1,ROW()-1,MATCH(O$1,貼り付け2!$1:$1,0)-1)-1),"")</f>
        <v/>
      </c>
      <c r="R267" t="str">
        <f ca="1">IFERROR(OFFSET(貼り付け2!$A$1,まとめ!$B267-1,OFFSET(貼り付け2!$A$1,ROW()-1,MATCH(R$1,貼り付け2!$1:$1,0)-1)-1),"")</f>
        <v/>
      </c>
      <c r="T267" t="str">
        <f ca="1">IFERROR(OFFSET(貼り付け2!$A$1,$A267-1,OFFSET(貼り付け2!$A$1,ROW()-1,MATCH(T$1,貼り付け2!$1:$1,0)-1)-1),"")</f>
        <v/>
      </c>
      <c r="W267" t="str">
        <f ca="1">IFERROR(OFFSET(貼り付け2!$A$1,まとめ!$B267-1,OFFSET(貼り付け2!$A$1,ROW()-1,MATCH(W$1,貼り付け2!$1:$1,0)-1)-1),"")</f>
        <v/>
      </c>
    </row>
    <row r="268" spans="1:23" x14ac:dyDescent="0.45">
      <c r="A268" t="str">
        <f>貼り付け2!S268</f>
        <v/>
      </c>
      <c r="B268" t="str">
        <f>貼り付け2!R268</f>
        <v/>
      </c>
      <c r="E268" t="str">
        <f ca="1">IFERROR(OFFSET(貼り付け2!$A$1,$A268-1,OFFSET(貼り付け2!$A$1,ROW()-1,MATCH(E$1,貼り付け2!$1:$1,0)-1)-1),"")</f>
        <v/>
      </c>
      <c r="H268" t="str">
        <f ca="1">IFERROR(OFFSET(貼り付け2!$A$1,まとめ!$B268-1,OFFSET(貼り付け2!$A$1,ROW()-1,MATCH(H$1,貼り付け2!$1:$1,0)-1)-1),"")</f>
        <v/>
      </c>
      <c r="J268" t="str">
        <f ca="1">IFERROR(OFFSET(貼り付け2!$A$1,$A268-1,OFFSET(貼り付け2!$A$1,ROW()-1,MATCH(J$1,貼り付け2!$1:$1,0)-1)-1),"")</f>
        <v/>
      </c>
      <c r="M268" t="str">
        <f ca="1">IFERROR(OFFSET(貼り付け2!$A$1,まとめ!$B268-1,OFFSET(貼り付け2!$A$1,ROW()-1,MATCH(M$1,貼り付け2!$1:$1,0)-1)-1),"")</f>
        <v/>
      </c>
      <c r="O268" t="str">
        <f ca="1">IFERROR(OFFSET(貼り付け2!$A$1,$A268-1,OFFSET(貼り付け2!$A$1,ROW()-1,MATCH(O$1,貼り付け2!$1:$1,0)-1)-1),"")</f>
        <v/>
      </c>
      <c r="R268" t="str">
        <f ca="1">IFERROR(OFFSET(貼り付け2!$A$1,まとめ!$B268-1,OFFSET(貼り付け2!$A$1,ROW()-1,MATCH(R$1,貼り付け2!$1:$1,0)-1)-1),"")</f>
        <v/>
      </c>
      <c r="T268" t="str">
        <f ca="1">IFERROR(OFFSET(貼り付け2!$A$1,$A268-1,OFFSET(貼り付け2!$A$1,ROW()-1,MATCH(T$1,貼り付け2!$1:$1,0)-1)-1),"")</f>
        <v/>
      </c>
      <c r="W268" t="str">
        <f ca="1">IFERROR(OFFSET(貼り付け2!$A$1,まとめ!$B268-1,OFFSET(貼り付け2!$A$1,ROW()-1,MATCH(W$1,貼り付け2!$1:$1,0)-1)-1),"")</f>
        <v/>
      </c>
    </row>
    <row r="269" spans="1:23" x14ac:dyDescent="0.45">
      <c r="A269" t="str">
        <f>貼り付け2!S269</f>
        <v/>
      </c>
      <c r="B269" t="str">
        <f>貼り付け2!R269</f>
        <v/>
      </c>
      <c r="E269" t="str">
        <f ca="1">IFERROR(OFFSET(貼り付け2!$A$1,$A269-1,OFFSET(貼り付け2!$A$1,ROW()-1,MATCH(E$1,貼り付け2!$1:$1,0)-1)-1),"")</f>
        <v/>
      </c>
      <c r="H269" t="str">
        <f ca="1">IFERROR(OFFSET(貼り付け2!$A$1,まとめ!$B269-1,OFFSET(貼り付け2!$A$1,ROW()-1,MATCH(H$1,貼り付け2!$1:$1,0)-1)-1),"")</f>
        <v/>
      </c>
      <c r="J269" t="str">
        <f ca="1">IFERROR(OFFSET(貼り付け2!$A$1,$A269-1,OFFSET(貼り付け2!$A$1,ROW()-1,MATCH(J$1,貼り付け2!$1:$1,0)-1)-1),"")</f>
        <v/>
      </c>
      <c r="M269" t="str">
        <f ca="1">IFERROR(OFFSET(貼り付け2!$A$1,まとめ!$B269-1,OFFSET(貼り付け2!$A$1,ROW()-1,MATCH(M$1,貼り付け2!$1:$1,0)-1)-1),"")</f>
        <v/>
      </c>
      <c r="O269" t="str">
        <f ca="1">IFERROR(OFFSET(貼り付け2!$A$1,$A269-1,OFFSET(貼り付け2!$A$1,ROW()-1,MATCH(O$1,貼り付け2!$1:$1,0)-1)-1),"")</f>
        <v/>
      </c>
      <c r="R269" t="str">
        <f ca="1">IFERROR(OFFSET(貼り付け2!$A$1,まとめ!$B269-1,OFFSET(貼り付け2!$A$1,ROW()-1,MATCH(R$1,貼り付け2!$1:$1,0)-1)-1),"")</f>
        <v/>
      </c>
      <c r="T269" t="str">
        <f ca="1">IFERROR(OFFSET(貼り付け2!$A$1,$A269-1,OFFSET(貼り付け2!$A$1,ROW()-1,MATCH(T$1,貼り付け2!$1:$1,0)-1)-1),"")</f>
        <v/>
      </c>
      <c r="W269" t="str">
        <f ca="1">IFERROR(OFFSET(貼り付け2!$A$1,まとめ!$B269-1,OFFSET(貼り付け2!$A$1,ROW()-1,MATCH(W$1,貼り付け2!$1:$1,0)-1)-1),"")</f>
        <v/>
      </c>
    </row>
    <row r="270" spans="1:23" x14ac:dyDescent="0.45">
      <c r="A270" t="str">
        <f>貼り付け2!S270</f>
        <v/>
      </c>
      <c r="B270" t="str">
        <f>貼り付け2!R270</f>
        <v/>
      </c>
      <c r="E270" t="str">
        <f ca="1">IFERROR(OFFSET(貼り付け2!$A$1,$A270-1,OFFSET(貼り付け2!$A$1,ROW()-1,MATCH(E$1,貼り付け2!$1:$1,0)-1)-1),"")</f>
        <v/>
      </c>
      <c r="H270" t="str">
        <f ca="1">IFERROR(OFFSET(貼り付け2!$A$1,まとめ!$B270-1,OFFSET(貼り付け2!$A$1,ROW()-1,MATCH(H$1,貼り付け2!$1:$1,0)-1)-1),"")</f>
        <v/>
      </c>
      <c r="J270" t="str">
        <f ca="1">IFERROR(OFFSET(貼り付け2!$A$1,$A270-1,OFFSET(貼り付け2!$A$1,ROW()-1,MATCH(J$1,貼り付け2!$1:$1,0)-1)-1),"")</f>
        <v/>
      </c>
      <c r="M270" t="str">
        <f ca="1">IFERROR(OFFSET(貼り付け2!$A$1,まとめ!$B270-1,OFFSET(貼り付け2!$A$1,ROW()-1,MATCH(M$1,貼り付け2!$1:$1,0)-1)-1),"")</f>
        <v/>
      </c>
      <c r="O270" t="str">
        <f ca="1">IFERROR(OFFSET(貼り付け2!$A$1,$A270-1,OFFSET(貼り付け2!$A$1,ROW()-1,MATCH(O$1,貼り付け2!$1:$1,0)-1)-1),"")</f>
        <v/>
      </c>
      <c r="R270" t="str">
        <f ca="1">IFERROR(OFFSET(貼り付け2!$A$1,まとめ!$B270-1,OFFSET(貼り付け2!$A$1,ROW()-1,MATCH(R$1,貼り付け2!$1:$1,0)-1)-1),"")</f>
        <v/>
      </c>
      <c r="T270" t="str">
        <f ca="1">IFERROR(OFFSET(貼り付け2!$A$1,$A270-1,OFFSET(貼り付け2!$A$1,ROW()-1,MATCH(T$1,貼り付け2!$1:$1,0)-1)-1),"")</f>
        <v/>
      </c>
      <c r="W270" t="str">
        <f ca="1">IFERROR(OFFSET(貼り付け2!$A$1,まとめ!$B270-1,OFFSET(貼り付け2!$A$1,ROW()-1,MATCH(W$1,貼り付け2!$1:$1,0)-1)-1),"")</f>
        <v/>
      </c>
    </row>
    <row r="271" spans="1:23" x14ac:dyDescent="0.45">
      <c r="A271" t="str">
        <f>貼り付け2!S271</f>
        <v/>
      </c>
      <c r="B271" t="str">
        <f>貼り付け2!R271</f>
        <v/>
      </c>
      <c r="E271" t="str">
        <f ca="1">IFERROR(OFFSET(貼り付け2!$A$1,$A271-1,OFFSET(貼り付け2!$A$1,ROW()-1,MATCH(E$1,貼り付け2!$1:$1,0)-1)-1),"")</f>
        <v/>
      </c>
      <c r="H271" t="str">
        <f ca="1">IFERROR(OFFSET(貼り付け2!$A$1,まとめ!$B271-1,OFFSET(貼り付け2!$A$1,ROW()-1,MATCH(H$1,貼り付け2!$1:$1,0)-1)-1),"")</f>
        <v/>
      </c>
      <c r="J271" t="str">
        <f ca="1">IFERROR(OFFSET(貼り付け2!$A$1,$A271-1,OFFSET(貼り付け2!$A$1,ROW()-1,MATCH(J$1,貼り付け2!$1:$1,0)-1)-1),"")</f>
        <v/>
      </c>
      <c r="M271" t="str">
        <f ca="1">IFERROR(OFFSET(貼り付け2!$A$1,まとめ!$B271-1,OFFSET(貼り付け2!$A$1,ROW()-1,MATCH(M$1,貼り付け2!$1:$1,0)-1)-1),"")</f>
        <v/>
      </c>
      <c r="O271" t="str">
        <f ca="1">IFERROR(OFFSET(貼り付け2!$A$1,$A271-1,OFFSET(貼り付け2!$A$1,ROW()-1,MATCH(O$1,貼り付け2!$1:$1,0)-1)-1),"")</f>
        <v/>
      </c>
      <c r="R271" t="str">
        <f ca="1">IFERROR(OFFSET(貼り付け2!$A$1,まとめ!$B271-1,OFFSET(貼り付け2!$A$1,ROW()-1,MATCH(R$1,貼り付け2!$1:$1,0)-1)-1),"")</f>
        <v/>
      </c>
      <c r="T271" t="str">
        <f ca="1">IFERROR(OFFSET(貼り付け2!$A$1,$A271-1,OFFSET(貼り付け2!$A$1,ROW()-1,MATCH(T$1,貼り付け2!$1:$1,0)-1)-1),"")</f>
        <v/>
      </c>
      <c r="W271" t="str">
        <f ca="1">IFERROR(OFFSET(貼り付け2!$A$1,まとめ!$B271-1,OFFSET(貼り付け2!$A$1,ROW()-1,MATCH(W$1,貼り付け2!$1:$1,0)-1)-1),"")</f>
        <v/>
      </c>
    </row>
    <row r="272" spans="1:23" x14ac:dyDescent="0.45">
      <c r="A272" t="str">
        <f>貼り付け2!S272</f>
        <v/>
      </c>
      <c r="B272" t="str">
        <f>貼り付け2!R272</f>
        <v/>
      </c>
      <c r="E272" t="str">
        <f ca="1">IFERROR(OFFSET(貼り付け2!$A$1,$A272-1,OFFSET(貼り付け2!$A$1,ROW()-1,MATCH(E$1,貼り付け2!$1:$1,0)-1)-1),"")</f>
        <v/>
      </c>
      <c r="H272" t="str">
        <f ca="1">IFERROR(OFFSET(貼り付け2!$A$1,まとめ!$B272-1,OFFSET(貼り付け2!$A$1,ROW()-1,MATCH(H$1,貼り付け2!$1:$1,0)-1)-1),"")</f>
        <v/>
      </c>
      <c r="J272" t="str">
        <f ca="1">IFERROR(OFFSET(貼り付け2!$A$1,$A272-1,OFFSET(貼り付け2!$A$1,ROW()-1,MATCH(J$1,貼り付け2!$1:$1,0)-1)-1),"")</f>
        <v/>
      </c>
      <c r="M272" t="str">
        <f ca="1">IFERROR(OFFSET(貼り付け2!$A$1,まとめ!$B272-1,OFFSET(貼り付け2!$A$1,ROW()-1,MATCH(M$1,貼り付け2!$1:$1,0)-1)-1),"")</f>
        <v/>
      </c>
      <c r="O272" t="str">
        <f ca="1">IFERROR(OFFSET(貼り付け2!$A$1,$A272-1,OFFSET(貼り付け2!$A$1,ROW()-1,MATCH(O$1,貼り付け2!$1:$1,0)-1)-1),"")</f>
        <v/>
      </c>
      <c r="R272" t="str">
        <f ca="1">IFERROR(OFFSET(貼り付け2!$A$1,まとめ!$B272-1,OFFSET(貼り付け2!$A$1,ROW()-1,MATCH(R$1,貼り付け2!$1:$1,0)-1)-1),"")</f>
        <v/>
      </c>
      <c r="T272" t="str">
        <f ca="1">IFERROR(OFFSET(貼り付け2!$A$1,$A272-1,OFFSET(貼り付け2!$A$1,ROW()-1,MATCH(T$1,貼り付け2!$1:$1,0)-1)-1),"")</f>
        <v/>
      </c>
      <c r="W272" t="str">
        <f ca="1">IFERROR(OFFSET(貼り付け2!$A$1,まとめ!$B272-1,OFFSET(貼り付け2!$A$1,ROW()-1,MATCH(W$1,貼り付け2!$1:$1,0)-1)-1),"")</f>
        <v/>
      </c>
    </row>
    <row r="273" spans="1:23" x14ac:dyDescent="0.45">
      <c r="A273" t="str">
        <f>貼り付け2!S273</f>
        <v/>
      </c>
      <c r="B273" t="str">
        <f>貼り付け2!R273</f>
        <v/>
      </c>
      <c r="E273" t="str">
        <f ca="1">IFERROR(OFFSET(貼り付け2!$A$1,$A273-1,OFFSET(貼り付け2!$A$1,ROW()-1,MATCH(E$1,貼り付け2!$1:$1,0)-1)-1),"")</f>
        <v/>
      </c>
      <c r="H273" t="str">
        <f ca="1">IFERROR(OFFSET(貼り付け2!$A$1,まとめ!$B273-1,OFFSET(貼り付け2!$A$1,ROW()-1,MATCH(H$1,貼り付け2!$1:$1,0)-1)-1),"")</f>
        <v/>
      </c>
      <c r="J273" t="str">
        <f ca="1">IFERROR(OFFSET(貼り付け2!$A$1,$A273-1,OFFSET(貼り付け2!$A$1,ROW()-1,MATCH(J$1,貼り付け2!$1:$1,0)-1)-1),"")</f>
        <v/>
      </c>
      <c r="M273" t="str">
        <f ca="1">IFERROR(OFFSET(貼り付け2!$A$1,まとめ!$B273-1,OFFSET(貼り付け2!$A$1,ROW()-1,MATCH(M$1,貼り付け2!$1:$1,0)-1)-1),"")</f>
        <v/>
      </c>
      <c r="O273" t="str">
        <f ca="1">IFERROR(OFFSET(貼り付け2!$A$1,$A273-1,OFFSET(貼り付け2!$A$1,ROW()-1,MATCH(O$1,貼り付け2!$1:$1,0)-1)-1),"")</f>
        <v/>
      </c>
      <c r="R273" t="str">
        <f ca="1">IFERROR(OFFSET(貼り付け2!$A$1,まとめ!$B273-1,OFFSET(貼り付け2!$A$1,ROW()-1,MATCH(R$1,貼り付け2!$1:$1,0)-1)-1),"")</f>
        <v/>
      </c>
      <c r="T273" t="str">
        <f ca="1">IFERROR(OFFSET(貼り付け2!$A$1,$A273-1,OFFSET(貼り付け2!$A$1,ROW()-1,MATCH(T$1,貼り付け2!$1:$1,0)-1)-1),"")</f>
        <v/>
      </c>
      <c r="W273" t="str">
        <f ca="1">IFERROR(OFFSET(貼り付け2!$A$1,まとめ!$B273-1,OFFSET(貼り付け2!$A$1,ROW()-1,MATCH(W$1,貼り付け2!$1:$1,0)-1)-1),"")</f>
        <v/>
      </c>
    </row>
    <row r="274" spans="1:23" x14ac:dyDescent="0.45">
      <c r="A274" t="str">
        <f>貼り付け2!S274</f>
        <v/>
      </c>
      <c r="B274" t="str">
        <f>貼り付け2!R274</f>
        <v/>
      </c>
      <c r="E274" t="str">
        <f ca="1">IFERROR(OFFSET(貼り付け2!$A$1,$A274-1,OFFSET(貼り付け2!$A$1,ROW()-1,MATCH(E$1,貼り付け2!$1:$1,0)-1)-1),"")</f>
        <v/>
      </c>
      <c r="H274" t="str">
        <f ca="1">IFERROR(OFFSET(貼り付け2!$A$1,まとめ!$B274-1,OFFSET(貼り付け2!$A$1,ROW()-1,MATCH(H$1,貼り付け2!$1:$1,0)-1)-1),"")</f>
        <v/>
      </c>
      <c r="J274" t="str">
        <f ca="1">IFERROR(OFFSET(貼り付け2!$A$1,$A274-1,OFFSET(貼り付け2!$A$1,ROW()-1,MATCH(J$1,貼り付け2!$1:$1,0)-1)-1),"")</f>
        <v/>
      </c>
      <c r="M274" t="str">
        <f ca="1">IFERROR(OFFSET(貼り付け2!$A$1,まとめ!$B274-1,OFFSET(貼り付け2!$A$1,ROW()-1,MATCH(M$1,貼り付け2!$1:$1,0)-1)-1),"")</f>
        <v/>
      </c>
      <c r="O274" t="str">
        <f ca="1">IFERROR(OFFSET(貼り付け2!$A$1,$A274-1,OFFSET(貼り付け2!$A$1,ROW()-1,MATCH(O$1,貼り付け2!$1:$1,0)-1)-1),"")</f>
        <v/>
      </c>
      <c r="R274" t="str">
        <f ca="1">IFERROR(OFFSET(貼り付け2!$A$1,まとめ!$B274-1,OFFSET(貼り付け2!$A$1,ROW()-1,MATCH(R$1,貼り付け2!$1:$1,0)-1)-1),"")</f>
        <v/>
      </c>
      <c r="T274" t="str">
        <f ca="1">IFERROR(OFFSET(貼り付け2!$A$1,$A274-1,OFFSET(貼り付け2!$A$1,ROW()-1,MATCH(T$1,貼り付け2!$1:$1,0)-1)-1),"")</f>
        <v/>
      </c>
      <c r="W274" t="str">
        <f ca="1">IFERROR(OFFSET(貼り付け2!$A$1,まとめ!$B274-1,OFFSET(貼り付け2!$A$1,ROW()-1,MATCH(W$1,貼り付け2!$1:$1,0)-1)-1),"")</f>
        <v/>
      </c>
    </row>
    <row r="275" spans="1:23" x14ac:dyDescent="0.45">
      <c r="A275" t="str">
        <f>貼り付け2!S275</f>
        <v/>
      </c>
      <c r="B275" t="str">
        <f>貼り付け2!R275</f>
        <v/>
      </c>
      <c r="E275" t="str">
        <f ca="1">IFERROR(OFFSET(貼り付け2!$A$1,$A275-1,OFFSET(貼り付け2!$A$1,ROW()-1,MATCH(E$1,貼り付け2!$1:$1,0)-1)-1),"")</f>
        <v/>
      </c>
      <c r="H275" t="str">
        <f ca="1">IFERROR(OFFSET(貼り付け2!$A$1,まとめ!$B275-1,OFFSET(貼り付け2!$A$1,ROW()-1,MATCH(H$1,貼り付け2!$1:$1,0)-1)-1),"")</f>
        <v/>
      </c>
      <c r="J275" t="str">
        <f ca="1">IFERROR(OFFSET(貼り付け2!$A$1,$A275-1,OFFSET(貼り付け2!$A$1,ROW()-1,MATCH(J$1,貼り付け2!$1:$1,0)-1)-1),"")</f>
        <v/>
      </c>
      <c r="M275" t="str">
        <f ca="1">IFERROR(OFFSET(貼り付け2!$A$1,まとめ!$B275-1,OFFSET(貼り付け2!$A$1,ROW()-1,MATCH(M$1,貼り付け2!$1:$1,0)-1)-1),"")</f>
        <v/>
      </c>
      <c r="O275" t="str">
        <f ca="1">IFERROR(OFFSET(貼り付け2!$A$1,$A275-1,OFFSET(貼り付け2!$A$1,ROW()-1,MATCH(O$1,貼り付け2!$1:$1,0)-1)-1),"")</f>
        <v/>
      </c>
      <c r="R275" t="str">
        <f ca="1">IFERROR(OFFSET(貼り付け2!$A$1,まとめ!$B275-1,OFFSET(貼り付け2!$A$1,ROW()-1,MATCH(R$1,貼り付け2!$1:$1,0)-1)-1),"")</f>
        <v/>
      </c>
      <c r="T275" t="str">
        <f ca="1">IFERROR(OFFSET(貼り付け2!$A$1,$A275-1,OFFSET(貼り付け2!$A$1,ROW()-1,MATCH(T$1,貼り付け2!$1:$1,0)-1)-1),"")</f>
        <v/>
      </c>
      <c r="W275" t="str">
        <f ca="1">IFERROR(OFFSET(貼り付け2!$A$1,まとめ!$B275-1,OFFSET(貼り付け2!$A$1,ROW()-1,MATCH(W$1,貼り付け2!$1:$1,0)-1)-1),"")</f>
        <v/>
      </c>
    </row>
    <row r="276" spans="1:23" x14ac:dyDescent="0.45">
      <c r="A276" t="str">
        <f>貼り付け2!S276</f>
        <v/>
      </c>
      <c r="B276" t="str">
        <f>貼り付け2!R276</f>
        <v/>
      </c>
      <c r="E276" t="str">
        <f ca="1">IFERROR(OFFSET(貼り付け2!$A$1,$A276-1,OFFSET(貼り付け2!$A$1,ROW()-1,MATCH(E$1,貼り付け2!$1:$1,0)-1)-1),"")</f>
        <v/>
      </c>
      <c r="H276" t="str">
        <f ca="1">IFERROR(OFFSET(貼り付け2!$A$1,まとめ!$B276-1,OFFSET(貼り付け2!$A$1,ROW()-1,MATCH(H$1,貼り付け2!$1:$1,0)-1)-1),"")</f>
        <v/>
      </c>
      <c r="J276" t="str">
        <f ca="1">IFERROR(OFFSET(貼り付け2!$A$1,$A276-1,OFFSET(貼り付け2!$A$1,ROW()-1,MATCH(J$1,貼り付け2!$1:$1,0)-1)-1),"")</f>
        <v/>
      </c>
      <c r="M276" t="str">
        <f ca="1">IFERROR(OFFSET(貼り付け2!$A$1,まとめ!$B276-1,OFFSET(貼り付け2!$A$1,ROW()-1,MATCH(M$1,貼り付け2!$1:$1,0)-1)-1),"")</f>
        <v/>
      </c>
      <c r="O276" t="str">
        <f ca="1">IFERROR(OFFSET(貼り付け2!$A$1,$A276-1,OFFSET(貼り付け2!$A$1,ROW()-1,MATCH(O$1,貼り付け2!$1:$1,0)-1)-1),"")</f>
        <v/>
      </c>
      <c r="R276" t="str">
        <f ca="1">IFERROR(OFFSET(貼り付け2!$A$1,まとめ!$B276-1,OFFSET(貼り付け2!$A$1,ROW()-1,MATCH(R$1,貼り付け2!$1:$1,0)-1)-1),"")</f>
        <v/>
      </c>
      <c r="T276" t="str">
        <f ca="1">IFERROR(OFFSET(貼り付け2!$A$1,$A276-1,OFFSET(貼り付け2!$A$1,ROW()-1,MATCH(T$1,貼り付け2!$1:$1,0)-1)-1),"")</f>
        <v/>
      </c>
      <c r="W276" t="str">
        <f ca="1">IFERROR(OFFSET(貼り付け2!$A$1,まとめ!$B276-1,OFFSET(貼り付け2!$A$1,ROW()-1,MATCH(W$1,貼り付け2!$1:$1,0)-1)-1),"")</f>
        <v/>
      </c>
    </row>
    <row r="277" spans="1:23" x14ac:dyDescent="0.45">
      <c r="A277" t="str">
        <f>貼り付け2!S277</f>
        <v/>
      </c>
      <c r="B277" t="str">
        <f>貼り付け2!R277</f>
        <v/>
      </c>
      <c r="E277" t="str">
        <f ca="1">IFERROR(OFFSET(貼り付け2!$A$1,$A277-1,OFFSET(貼り付け2!$A$1,ROW()-1,MATCH(E$1,貼り付け2!$1:$1,0)-1)-1),"")</f>
        <v/>
      </c>
      <c r="H277" t="str">
        <f ca="1">IFERROR(OFFSET(貼り付け2!$A$1,まとめ!$B277-1,OFFSET(貼り付け2!$A$1,ROW()-1,MATCH(H$1,貼り付け2!$1:$1,0)-1)-1),"")</f>
        <v/>
      </c>
      <c r="J277" t="str">
        <f ca="1">IFERROR(OFFSET(貼り付け2!$A$1,$A277-1,OFFSET(貼り付け2!$A$1,ROW()-1,MATCH(J$1,貼り付け2!$1:$1,0)-1)-1),"")</f>
        <v/>
      </c>
      <c r="M277" t="str">
        <f ca="1">IFERROR(OFFSET(貼り付け2!$A$1,まとめ!$B277-1,OFFSET(貼り付け2!$A$1,ROW()-1,MATCH(M$1,貼り付け2!$1:$1,0)-1)-1),"")</f>
        <v/>
      </c>
      <c r="O277" t="str">
        <f ca="1">IFERROR(OFFSET(貼り付け2!$A$1,$A277-1,OFFSET(貼り付け2!$A$1,ROW()-1,MATCH(O$1,貼り付け2!$1:$1,0)-1)-1),"")</f>
        <v/>
      </c>
      <c r="R277" t="str">
        <f ca="1">IFERROR(OFFSET(貼り付け2!$A$1,まとめ!$B277-1,OFFSET(貼り付け2!$A$1,ROW()-1,MATCH(R$1,貼り付け2!$1:$1,0)-1)-1),"")</f>
        <v/>
      </c>
      <c r="T277" t="str">
        <f ca="1">IFERROR(OFFSET(貼り付け2!$A$1,$A277-1,OFFSET(貼り付け2!$A$1,ROW()-1,MATCH(T$1,貼り付け2!$1:$1,0)-1)-1),"")</f>
        <v/>
      </c>
      <c r="W277" t="str">
        <f ca="1">IFERROR(OFFSET(貼り付け2!$A$1,まとめ!$B277-1,OFFSET(貼り付け2!$A$1,ROW()-1,MATCH(W$1,貼り付け2!$1:$1,0)-1)-1),"")</f>
        <v/>
      </c>
    </row>
    <row r="278" spans="1:23" x14ac:dyDescent="0.45">
      <c r="A278" t="str">
        <f>貼り付け2!S278</f>
        <v/>
      </c>
      <c r="B278" t="str">
        <f>貼り付け2!R278</f>
        <v/>
      </c>
      <c r="E278" t="str">
        <f ca="1">IFERROR(OFFSET(貼り付け2!$A$1,$A278-1,OFFSET(貼り付け2!$A$1,ROW()-1,MATCH(E$1,貼り付け2!$1:$1,0)-1)-1),"")</f>
        <v/>
      </c>
      <c r="H278" t="str">
        <f ca="1">IFERROR(OFFSET(貼り付け2!$A$1,まとめ!$B278-1,OFFSET(貼り付け2!$A$1,ROW()-1,MATCH(H$1,貼り付け2!$1:$1,0)-1)-1),"")</f>
        <v/>
      </c>
      <c r="J278" t="str">
        <f ca="1">IFERROR(OFFSET(貼り付け2!$A$1,$A278-1,OFFSET(貼り付け2!$A$1,ROW()-1,MATCH(J$1,貼り付け2!$1:$1,0)-1)-1),"")</f>
        <v/>
      </c>
      <c r="M278" t="str">
        <f ca="1">IFERROR(OFFSET(貼り付け2!$A$1,まとめ!$B278-1,OFFSET(貼り付け2!$A$1,ROW()-1,MATCH(M$1,貼り付け2!$1:$1,0)-1)-1),"")</f>
        <v/>
      </c>
      <c r="O278" t="str">
        <f ca="1">IFERROR(OFFSET(貼り付け2!$A$1,$A278-1,OFFSET(貼り付け2!$A$1,ROW()-1,MATCH(O$1,貼り付け2!$1:$1,0)-1)-1),"")</f>
        <v/>
      </c>
      <c r="R278" t="str">
        <f ca="1">IFERROR(OFFSET(貼り付け2!$A$1,まとめ!$B278-1,OFFSET(貼り付け2!$A$1,ROW()-1,MATCH(R$1,貼り付け2!$1:$1,0)-1)-1),"")</f>
        <v/>
      </c>
      <c r="T278" t="str">
        <f ca="1">IFERROR(OFFSET(貼り付け2!$A$1,$A278-1,OFFSET(貼り付け2!$A$1,ROW()-1,MATCH(T$1,貼り付け2!$1:$1,0)-1)-1),"")</f>
        <v/>
      </c>
      <c r="W278" t="str">
        <f ca="1">IFERROR(OFFSET(貼り付け2!$A$1,まとめ!$B278-1,OFFSET(貼り付け2!$A$1,ROW()-1,MATCH(W$1,貼り付け2!$1:$1,0)-1)-1),"")</f>
        <v/>
      </c>
    </row>
    <row r="279" spans="1:23" x14ac:dyDescent="0.45">
      <c r="A279" t="str">
        <f>貼り付け2!S279</f>
        <v/>
      </c>
      <c r="B279" t="str">
        <f>貼り付け2!R279</f>
        <v/>
      </c>
      <c r="E279" t="str">
        <f ca="1">IFERROR(OFFSET(貼り付け2!$A$1,$A279-1,OFFSET(貼り付け2!$A$1,ROW()-1,MATCH(E$1,貼り付け2!$1:$1,0)-1)-1),"")</f>
        <v/>
      </c>
      <c r="H279" t="str">
        <f ca="1">IFERROR(OFFSET(貼り付け2!$A$1,まとめ!$B279-1,OFFSET(貼り付け2!$A$1,ROW()-1,MATCH(H$1,貼り付け2!$1:$1,0)-1)-1),"")</f>
        <v/>
      </c>
      <c r="J279" t="str">
        <f ca="1">IFERROR(OFFSET(貼り付け2!$A$1,$A279-1,OFFSET(貼り付け2!$A$1,ROW()-1,MATCH(J$1,貼り付け2!$1:$1,0)-1)-1),"")</f>
        <v/>
      </c>
      <c r="M279" t="str">
        <f ca="1">IFERROR(OFFSET(貼り付け2!$A$1,まとめ!$B279-1,OFFSET(貼り付け2!$A$1,ROW()-1,MATCH(M$1,貼り付け2!$1:$1,0)-1)-1),"")</f>
        <v/>
      </c>
      <c r="O279" t="str">
        <f ca="1">IFERROR(OFFSET(貼り付け2!$A$1,$A279-1,OFFSET(貼り付け2!$A$1,ROW()-1,MATCH(O$1,貼り付け2!$1:$1,0)-1)-1),"")</f>
        <v/>
      </c>
      <c r="R279" t="str">
        <f ca="1">IFERROR(OFFSET(貼り付け2!$A$1,まとめ!$B279-1,OFFSET(貼り付け2!$A$1,ROW()-1,MATCH(R$1,貼り付け2!$1:$1,0)-1)-1),"")</f>
        <v/>
      </c>
      <c r="T279" t="str">
        <f ca="1">IFERROR(OFFSET(貼り付け2!$A$1,$A279-1,OFFSET(貼り付け2!$A$1,ROW()-1,MATCH(T$1,貼り付け2!$1:$1,0)-1)-1),"")</f>
        <v/>
      </c>
      <c r="W279" t="str">
        <f ca="1">IFERROR(OFFSET(貼り付け2!$A$1,まとめ!$B279-1,OFFSET(貼り付け2!$A$1,ROW()-1,MATCH(W$1,貼り付け2!$1:$1,0)-1)-1),"")</f>
        <v/>
      </c>
    </row>
    <row r="280" spans="1:23" x14ac:dyDescent="0.45">
      <c r="A280" t="str">
        <f>貼り付け2!S280</f>
        <v/>
      </c>
      <c r="B280" t="str">
        <f>貼り付け2!R280</f>
        <v/>
      </c>
      <c r="E280" t="str">
        <f ca="1">IFERROR(OFFSET(貼り付け2!$A$1,$A280-1,OFFSET(貼り付け2!$A$1,ROW()-1,MATCH(E$1,貼り付け2!$1:$1,0)-1)-1),"")</f>
        <v/>
      </c>
      <c r="H280" t="str">
        <f ca="1">IFERROR(OFFSET(貼り付け2!$A$1,まとめ!$B280-1,OFFSET(貼り付け2!$A$1,ROW()-1,MATCH(H$1,貼り付け2!$1:$1,0)-1)-1),"")</f>
        <v/>
      </c>
      <c r="J280" t="str">
        <f ca="1">IFERROR(OFFSET(貼り付け2!$A$1,$A280-1,OFFSET(貼り付け2!$A$1,ROW()-1,MATCH(J$1,貼り付け2!$1:$1,0)-1)-1),"")</f>
        <v/>
      </c>
      <c r="M280" t="str">
        <f ca="1">IFERROR(OFFSET(貼り付け2!$A$1,まとめ!$B280-1,OFFSET(貼り付け2!$A$1,ROW()-1,MATCH(M$1,貼り付け2!$1:$1,0)-1)-1),"")</f>
        <v/>
      </c>
      <c r="O280" t="str">
        <f ca="1">IFERROR(OFFSET(貼り付け2!$A$1,$A280-1,OFFSET(貼り付け2!$A$1,ROW()-1,MATCH(O$1,貼り付け2!$1:$1,0)-1)-1),"")</f>
        <v/>
      </c>
      <c r="R280" t="str">
        <f ca="1">IFERROR(OFFSET(貼り付け2!$A$1,まとめ!$B280-1,OFFSET(貼り付け2!$A$1,ROW()-1,MATCH(R$1,貼り付け2!$1:$1,0)-1)-1),"")</f>
        <v/>
      </c>
      <c r="T280" t="str">
        <f ca="1">IFERROR(OFFSET(貼り付け2!$A$1,$A280-1,OFFSET(貼り付け2!$A$1,ROW()-1,MATCH(T$1,貼り付け2!$1:$1,0)-1)-1),"")</f>
        <v/>
      </c>
      <c r="W280" t="str">
        <f ca="1">IFERROR(OFFSET(貼り付け2!$A$1,まとめ!$B280-1,OFFSET(貼り付け2!$A$1,ROW()-1,MATCH(W$1,貼り付け2!$1:$1,0)-1)-1),"")</f>
        <v/>
      </c>
    </row>
    <row r="281" spans="1:23" x14ac:dyDescent="0.45">
      <c r="A281" t="str">
        <f>貼り付け2!S281</f>
        <v/>
      </c>
      <c r="B281" t="str">
        <f>貼り付け2!R281</f>
        <v/>
      </c>
      <c r="E281" t="str">
        <f ca="1">IFERROR(OFFSET(貼り付け2!$A$1,$A281-1,OFFSET(貼り付け2!$A$1,ROW()-1,MATCH(E$1,貼り付け2!$1:$1,0)-1)-1),"")</f>
        <v/>
      </c>
      <c r="H281" t="str">
        <f ca="1">IFERROR(OFFSET(貼り付け2!$A$1,まとめ!$B281-1,OFFSET(貼り付け2!$A$1,ROW()-1,MATCH(H$1,貼り付け2!$1:$1,0)-1)-1),"")</f>
        <v/>
      </c>
      <c r="J281" t="str">
        <f ca="1">IFERROR(OFFSET(貼り付け2!$A$1,$A281-1,OFFSET(貼り付け2!$A$1,ROW()-1,MATCH(J$1,貼り付け2!$1:$1,0)-1)-1),"")</f>
        <v/>
      </c>
      <c r="M281" t="str">
        <f ca="1">IFERROR(OFFSET(貼り付け2!$A$1,まとめ!$B281-1,OFFSET(貼り付け2!$A$1,ROW()-1,MATCH(M$1,貼り付け2!$1:$1,0)-1)-1),"")</f>
        <v/>
      </c>
      <c r="O281" t="str">
        <f ca="1">IFERROR(OFFSET(貼り付け2!$A$1,$A281-1,OFFSET(貼り付け2!$A$1,ROW()-1,MATCH(O$1,貼り付け2!$1:$1,0)-1)-1),"")</f>
        <v/>
      </c>
      <c r="R281" t="str">
        <f ca="1">IFERROR(OFFSET(貼り付け2!$A$1,まとめ!$B281-1,OFFSET(貼り付け2!$A$1,ROW()-1,MATCH(R$1,貼り付け2!$1:$1,0)-1)-1),"")</f>
        <v/>
      </c>
      <c r="T281" t="str">
        <f ca="1">IFERROR(OFFSET(貼り付け2!$A$1,$A281-1,OFFSET(貼り付け2!$A$1,ROW()-1,MATCH(T$1,貼り付け2!$1:$1,0)-1)-1),"")</f>
        <v/>
      </c>
      <c r="W281" t="str">
        <f ca="1">IFERROR(OFFSET(貼り付け2!$A$1,まとめ!$B281-1,OFFSET(貼り付け2!$A$1,ROW()-1,MATCH(W$1,貼り付け2!$1:$1,0)-1)-1),"")</f>
        <v/>
      </c>
    </row>
    <row r="282" spans="1:23" x14ac:dyDescent="0.45">
      <c r="A282" t="str">
        <f>貼り付け2!S282</f>
        <v/>
      </c>
      <c r="B282" t="str">
        <f>貼り付け2!R282</f>
        <v/>
      </c>
      <c r="E282" t="str">
        <f ca="1">IFERROR(OFFSET(貼り付け2!$A$1,$A282-1,OFFSET(貼り付け2!$A$1,ROW()-1,MATCH(E$1,貼り付け2!$1:$1,0)-1)-1),"")</f>
        <v/>
      </c>
      <c r="H282" t="str">
        <f ca="1">IFERROR(OFFSET(貼り付け2!$A$1,まとめ!$B282-1,OFFSET(貼り付け2!$A$1,ROW()-1,MATCH(H$1,貼り付け2!$1:$1,0)-1)-1),"")</f>
        <v/>
      </c>
      <c r="J282" t="str">
        <f ca="1">IFERROR(OFFSET(貼り付け2!$A$1,$A282-1,OFFSET(貼り付け2!$A$1,ROW()-1,MATCH(J$1,貼り付け2!$1:$1,0)-1)-1),"")</f>
        <v/>
      </c>
      <c r="M282" t="str">
        <f ca="1">IFERROR(OFFSET(貼り付け2!$A$1,まとめ!$B282-1,OFFSET(貼り付け2!$A$1,ROW()-1,MATCH(M$1,貼り付け2!$1:$1,0)-1)-1),"")</f>
        <v/>
      </c>
      <c r="O282" t="str">
        <f ca="1">IFERROR(OFFSET(貼り付け2!$A$1,$A282-1,OFFSET(貼り付け2!$A$1,ROW()-1,MATCH(O$1,貼り付け2!$1:$1,0)-1)-1),"")</f>
        <v/>
      </c>
      <c r="R282" t="str">
        <f ca="1">IFERROR(OFFSET(貼り付け2!$A$1,まとめ!$B282-1,OFFSET(貼り付け2!$A$1,ROW()-1,MATCH(R$1,貼り付け2!$1:$1,0)-1)-1),"")</f>
        <v/>
      </c>
      <c r="T282" t="str">
        <f ca="1">IFERROR(OFFSET(貼り付け2!$A$1,$A282-1,OFFSET(貼り付け2!$A$1,ROW()-1,MATCH(T$1,貼り付け2!$1:$1,0)-1)-1),"")</f>
        <v/>
      </c>
      <c r="W282" t="str">
        <f ca="1">IFERROR(OFFSET(貼り付け2!$A$1,まとめ!$B282-1,OFFSET(貼り付け2!$A$1,ROW()-1,MATCH(W$1,貼り付け2!$1:$1,0)-1)-1),"")</f>
        <v/>
      </c>
    </row>
    <row r="283" spans="1:23" x14ac:dyDescent="0.45">
      <c r="A283" t="str">
        <f>貼り付け2!S283</f>
        <v/>
      </c>
      <c r="B283" t="str">
        <f>貼り付け2!R283</f>
        <v/>
      </c>
      <c r="H283" t="str">
        <f ca="1">IFERROR(OFFSET(貼り付け2!$A$1,まとめ!$B283-1,OFFSET(貼り付け2!$A$1,ROW()-1,MATCH(H$1,貼り付け2!$1:$1,0)-1)-1),"")</f>
        <v/>
      </c>
      <c r="M283" t="str">
        <f ca="1">IFERROR(OFFSET(貼り付け2!$A$1,まとめ!$B283-1,OFFSET(貼り付け2!$A$1,ROW()-1,MATCH(M$1,貼り付け2!$1:$1,0)-1)-1),"")</f>
        <v/>
      </c>
      <c r="R283" t="str">
        <f ca="1">IFERROR(OFFSET(貼り付け2!$A$1,まとめ!$B283-1,OFFSET(貼り付け2!$A$1,ROW()-1,MATCH(R$1,貼り付け2!$1:$1,0)-1)-1),"")</f>
        <v/>
      </c>
      <c r="W283" t="str">
        <f ca="1">IFERROR(OFFSET(貼り付け2!$A$1,まとめ!$B283-1,OFFSET(貼り付け2!$A$1,ROW()-1,MATCH(W$1,貼り付け2!$1:$1,0)-1)-1),"")</f>
        <v/>
      </c>
    </row>
    <row r="284" spans="1:23" x14ac:dyDescent="0.45">
      <c r="A284" t="str">
        <f>貼り付け2!S284</f>
        <v/>
      </c>
      <c r="B284" t="str">
        <f>貼り付け2!R284</f>
        <v/>
      </c>
      <c r="H284" t="str">
        <f ca="1">IFERROR(OFFSET(貼り付け2!$A$1,まとめ!$B284-1,OFFSET(貼り付け2!$A$1,ROW()-1,MATCH(H$1,貼り付け2!$1:$1,0)-1)-1),"")</f>
        <v/>
      </c>
      <c r="M284" t="str">
        <f ca="1">IFERROR(OFFSET(貼り付け2!$A$1,まとめ!$B284-1,OFFSET(貼り付け2!$A$1,ROW()-1,MATCH(M$1,貼り付け2!$1:$1,0)-1)-1),"")</f>
        <v/>
      </c>
      <c r="R284" t="str">
        <f ca="1">IFERROR(OFFSET(貼り付け2!$A$1,まとめ!$B284-1,OFFSET(貼り付け2!$A$1,ROW()-1,MATCH(R$1,貼り付け2!$1:$1,0)-1)-1),"")</f>
        <v/>
      </c>
      <c r="W284" t="str">
        <f ca="1">IFERROR(OFFSET(貼り付け2!$A$1,まとめ!$B284-1,OFFSET(貼り付け2!$A$1,ROW()-1,MATCH(W$1,貼り付け2!$1:$1,0)-1)-1),"")</f>
        <v/>
      </c>
    </row>
    <row r="285" spans="1:23" x14ac:dyDescent="0.45">
      <c r="A285" t="str">
        <f>貼り付け2!S285</f>
        <v/>
      </c>
      <c r="B285" t="str">
        <f>貼り付け2!R285</f>
        <v/>
      </c>
      <c r="H285" t="str">
        <f ca="1">IFERROR(OFFSET(貼り付け2!$A$1,まとめ!$B285-1,OFFSET(貼り付け2!$A$1,ROW()-1,MATCH(H$1,貼り付け2!$1:$1,0)-1)-1),"")</f>
        <v/>
      </c>
      <c r="M285" t="str">
        <f ca="1">IFERROR(OFFSET(貼り付け2!$A$1,まとめ!$B285-1,OFFSET(貼り付け2!$A$1,ROW()-1,MATCH(M$1,貼り付け2!$1:$1,0)-1)-1),"")</f>
        <v/>
      </c>
      <c r="R285" t="str">
        <f ca="1">IFERROR(OFFSET(貼り付け2!$A$1,まとめ!$B285-1,OFFSET(貼り付け2!$A$1,ROW()-1,MATCH(R$1,貼り付け2!$1:$1,0)-1)-1),"")</f>
        <v/>
      </c>
      <c r="W285" t="str">
        <f ca="1">IFERROR(OFFSET(貼り付け2!$A$1,まとめ!$B285-1,OFFSET(貼り付け2!$A$1,ROW()-1,MATCH(W$1,貼り付け2!$1:$1,0)-1)-1),"")</f>
        <v/>
      </c>
    </row>
    <row r="286" spans="1:23" x14ac:dyDescent="0.45">
      <c r="A286" t="str">
        <f>貼り付け2!S286</f>
        <v/>
      </c>
      <c r="B286" t="str">
        <f>貼り付け2!R286</f>
        <v/>
      </c>
      <c r="H286" t="str">
        <f ca="1">IFERROR(OFFSET(貼り付け2!$A$1,まとめ!$B286-1,OFFSET(貼り付け2!$A$1,ROW()-1,MATCH(H$1,貼り付け2!$1:$1,0)-1)-1),"")</f>
        <v/>
      </c>
      <c r="M286" t="str">
        <f ca="1">IFERROR(OFFSET(貼り付け2!$A$1,まとめ!$B286-1,OFFSET(貼り付け2!$A$1,ROW()-1,MATCH(M$1,貼り付け2!$1:$1,0)-1)-1),"")</f>
        <v/>
      </c>
      <c r="R286" t="str">
        <f ca="1">IFERROR(OFFSET(貼り付け2!$A$1,まとめ!$B286-1,OFFSET(貼り付け2!$A$1,ROW()-1,MATCH(R$1,貼り付け2!$1:$1,0)-1)-1),"")</f>
        <v/>
      </c>
      <c r="W286" t="str">
        <f ca="1">IFERROR(OFFSET(貼り付け2!$A$1,まとめ!$B286-1,OFFSET(貼り付け2!$A$1,ROW()-1,MATCH(W$1,貼り付け2!$1:$1,0)-1)-1),"")</f>
        <v/>
      </c>
    </row>
    <row r="287" spans="1:23" x14ac:dyDescent="0.45">
      <c r="A287" t="str">
        <f>貼り付け2!S287</f>
        <v/>
      </c>
      <c r="B287" t="str">
        <f>貼り付け2!R287</f>
        <v/>
      </c>
      <c r="H287" t="str">
        <f ca="1">IFERROR(OFFSET(貼り付け2!$A$1,まとめ!$B287-1,OFFSET(貼り付け2!$A$1,ROW()-1,MATCH(H$1,貼り付け2!$1:$1,0)-1)-1),"")</f>
        <v/>
      </c>
      <c r="M287" t="str">
        <f ca="1">IFERROR(OFFSET(貼り付け2!$A$1,まとめ!$B287-1,OFFSET(貼り付け2!$A$1,ROW()-1,MATCH(M$1,貼り付け2!$1:$1,0)-1)-1),"")</f>
        <v/>
      </c>
      <c r="R287" t="str">
        <f ca="1">IFERROR(OFFSET(貼り付け2!$A$1,まとめ!$B287-1,OFFSET(貼り付け2!$A$1,ROW()-1,MATCH(R$1,貼り付け2!$1:$1,0)-1)-1),"")</f>
        <v/>
      </c>
      <c r="W287" t="str">
        <f ca="1">IFERROR(OFFSET(貼り付け2!$A$1,まとめ!$B287-1,OFFSET(貼り付け2!$A$1,ROW()-1,MATCH(W$1,貼り付け2!$1:$1,0)-1)-1),"")</f>
        <v/>
      </c>
    </row>
    <row r="288" spans="1:23" x14ac:dyDescent="0.45">
      <c r="A288" t="str">
        <f>貼り付け2!S288</f>
        <v/>
      </c>
      <c r="B288" t="str">
        <f>貼り付け2!R288</f>
        <v/>
      </c>
      <c r="H288" t="str">
        <f ca="1">IFERROR(OFFSET(貼り付け2!$A$1,まとめ!$B288-1,OFFSET(貼り付け2!$A$1,ROW()-1,MATCH(H$1,貼り付け2!$1:$1,0)-1)-1),"")</f>
        <v/>
      </c>
      <c r="M288" t="str">
        <f ca="1">IFERROR(OFFSET(貼り付け2!$A$1,まとめ!$B288-1,OFFSET(貼り付け2!$A$1,ROW()-1,MATCH(M$1,貼り付け2!$1:$1,0)-1)-1),"")</f>
        <v/>
      </c>
      <c r="R288" t="str">
        <f ca="1">IFERROR(OFFSET(貼り付け2!$A$1,まとめ!$B288-1,OFFSET(貼り付け2!$A$1,ROW()-1,MATCH(R$1,貼り付け2!$1:$1,0)-1)-1),"")</f>
        <v/>
      </c>
      <c r="W288" t="str">
        <f ca="1">IFERROR(OFFSET(貼り付け2!$A$1,まとめ!$B288-1,OFFSET(貼り付け2!$A$1,ROW()-1,MATCH(W$1,貼り付け2!$1:$1,0)-1)-1),"")</f>
        <v/>
      </c>
    </row>
    <row r="289" spans="1:23" x14ac:dyDescent="0.45">
      <c r="A289" t="str">
        <f>貼り付け2!S289</f>
        <v/>
      </c>
      <c r="B289" t="str">
        <f>貼り付け2!R289</f>
        <v/>
      </c>
      <c r="H289" t="str">
        <f ca="1">IFERROR(OFFSET(貼り付け2!$A$1,まとめ!$B289-1,OFFSET(貼り付け2!$A$1,ROW()-1,MATCH(H$1,貼り付け2!$1:$1,0)-1)-1),"")</f>
        <v/>
      </c>
      <c r="M289" t="str">
        <f ca="1">IFERROR(OFFSET(貼り付け2!$A$1,まとめ!$B289-1,OFFSET(貼り付け2!$A$1,ROW()-1,MATCH(M$1,貼り付け2!$1:$1,0)-1)-1),"")</f>
        <v/>
      </c>
      <c r="R289" t="str">
        <f ca="1">IFERROR(OFFSET(貼り付け2!$A$1,まとめ!$B289-1,OFFSET(貼り付け2!$A$1,ROW()-1,MATCH(R$1,貼り付け2!$1:$1,0)-1)-1),"")</f>
        <v/>
      </c>
      <c r="W289" t="str">
        <f ca="1">IFERROR(OFFSET(貼り付け2!$A$1,まとめ!$B289-1,OFFSET(貼り付け2!$A$1,ROW()-1,MATCH(W$1,貼り付け2!$1:$1,0)-1)-1),"")</f>
        <v/>
      </c>
    </row>
    <row r="290" spans="1:23" x14ac:dyDescent="0.45">
      <c r="A290" t="str">
        <f>貼り付け2!S290</f>
        <v/>
      </c>
      <c r="B290" t="str">
        <f>貼り付け2!R290</f>
        <v/>
      </c>
      <c r="H290" t="str">
        <f ca="1">IFERROR(OFFSET(貼り付け2!$A$1,まとめ!$B290-1,OFFSET(貼り付け2!$A$1,ROW()-1,MATCH(H$1,貼り付け2!$1:$1,0)-1)-1),"")</f>
        <v/>
      </c>
      <c r="M290" t="str">
        <f ca="1">IFERROR(OFFSET(貼り付け2!$A$1,まとめ!$B290-1,OFFSET(貼り付け2!$A$1,ROW()-1,MATCH(M$1,貼り付け2!$1:$1,0)-1)-1),"")</f>
        <v/>
      </c>
      <c r="R290" t="str">
        <f ca="1">IFERROR(OFFSET(貼り付け2!$A$1,まとめ!$B290-1,OFFSET(貼り付け2!$A$1,ROW()-1,MATCH(R$1,貼り付け2!$1:$1,0)-1)-1),"")</f>
        <v/>
      </c>
      <c r="W290" t="str">
        <f ca="1">IFERROR(OFFSET(貼り付け2!$A$1,まとめ!$B290-1,OFFSET(貼り付け2!$A$1,ROW()-1,MATCH(W$1,貼り付け2!$1:$1,0)-1)-1),"")</f>
        <v/>
      </c>
    </row>
    <row r="291" spans="1:23" x14ac:dyDescent="0.45">
      <c r="A291" t="str">
        <f>貼り付け2!S291</f>
        <v/>
      </c>
      <c r="B291" t="str">
        <f>貼り付け2!R291</f>
        <v/>
      </c>
      <c r="H291" t="str">
        <f ca="1">IFERROR(OFFSET(貼り付け2!$A$1,まとめ!$B291-1,OFFSET(貼り付け2!$A$1,ROW()-1,MATCH(H$1,貼り付け2!$1:$1,0)-1)-1),"")</f>
        <v/>
      </c>
      <c r="M291" t="str">
        <f ca="1">IFERROR(OFFSET(貼り付け2!$A$1,まとめ!$B291-1,OFFSET(貼り付け2!$A$1,ROW()-1,MATCH(M$1,貼り付け2!$1:$1,0)-1)-1),"")</f>
        <v/>
      </c>
      <c r="R291" t="str">
        <f ca="1">IFERROR(OFFSET(貼り付け2!$A$1,まとめ!$B291-1,OFFSET(貼り付け2!$A$1,ROW()-1,MATCH(R$1,貼り付け2!$1:$1,0)-1)-1),"")</f>
        <v/>
      </c>
      <c r="W291" t="str">
        <f ca="1">IFERROR(OFFSET(貼り付け2!$A$1,まとめ!$B291-1,OFFSET(貼り付け2!$A$1,ROW()-1,MATCH(W$1,貼り付け2!$1:$1,0)-1)-1),"")</f>
        <v/>
      </c>
    </row>
    <row r="292" spans="1:23" x14ac:dyDescent="0.45">
      <c r="A292" t="str">
        <f>貼り付け2!S292</f>
        <v/>
      </c>
      <c r="B292" t="str">
        <f>貼り付け2!R292</f>
        <v/>
      </c>
      <c r="H292" t="str">
        <f ca="1">IFERROR(OFFSET(貼り付け2!$A$1,まとめ!$B292-1,OFFSET(貼り付け2!$A$1,ROW()-1,MATCH(H$1,貼り付け2!$1:$1,0)-1)-1),"")</f>
        <v/>
      </c>
      <c r="M292" t="str">
        <f ca="1">IFERROR(OFFSET(貼り付け2!$A$1,まとめ!$B292-1,OFFSET(貼り付け2!$A$1,ROW()-1,MATCH(M$1,貼り付け2!$1:$1,0)-1)-1),"")</f>
        <v/>
      </c>
      <c r="R292" t="str">
        <f ca="1">IFERROR(OFFSET(貼り付け2!$A$1,まとめ!$B292-1,OFFSET(貼り付け2!$A$1,ROW()-1,MATCH(R$1,貼り付け2!$1:$1,0)-1)-1),"")</f>
        <v/>
      </c>
      <c r="W292" t="str">
        <f ca="1">IFERROR(OFFSET(貼り付け2!$A$1,まとめ!$B292-1,OFFSET(貼り付け2!$A$1,ROW()-1,MATCH(W$1,貼り付け2!$1:$1,0)-1)-1),"")</f>
        <v/>
      </c>
    </row>
    <row r="293" spans="1:23" x14ac:dyDescent="0.45">
      <c r="A293" t="str">
        <f>貼り付け2!S293</f>
        <v/>
      </c>
      <c r="B293" t="str">
        <f>貼り付け2!R293</f>
        <v/>
      </c>
      <c r="H293" t="str">
        <f ca="1">IFERROR(OFFSET(貼り付け2!$A$1,まとめ!$B293-1,OFFSET(貼り付け2!$A$1,ROW()-1,MATCH(H$1,貼り付け2!$1:$1,0)-1)-1),"")</f>
        <v/>
      </c>
      <c r="M293" t="str">
        <f ca="1">IFERROR(OFFSET(貼り付け2!$A$1,まとめ!$B293-1,OFFSET(貼り付け2!$A$1,ROW()-1,MATCH(M$1,貼り付け2!$1:$1,0)-1)-1),"")</f>
        <v/>
      </c>
      <c r="R293" t="str">
        <f ca="1">IFERROR(OFFSET(貼り付け2!$A$1,まとめ!$B293-1,OFFSET(貼り付け2!$A$1,ROW()-1,MATCH(R$1,貼り付け2!$1:$1,0)-1)-1),"")</f>
        <v/>
      </c>
      <c r="W293" t="str">
        <f ca="1">IFERROR(OFFSET(貼り付け2!$A$1,まとめ!$B293-1,OFFSET(貼り付け2!$A$1,ROW()-1,MATCH(W$1,貼り付け2!$1:$1,0)-1)-1),"")</f>
        <v/>
      </c>
    </row>
    <row r="294" spans="1:23" x14ac:dyDescent="0.45">
      <c r="A294" t="str">
        <f>貼り付け2!S294</f>
        <v/>
      </c>
      <c r="B294" t="str">
        <f>貼り付け2!R294</f>
        <v/>
      </c>
      <c r="H294" t="str">
        <f ca="1">IFERROR(OFFSET(貼り付け2!$A$1,まとめ!$B294-1,OFFSET(貼り付け2!$A$1,ROW()-1,MATCH(H$1,貼り付け2!$1:$1,0)-1)-1),"")</f>
        <v/>
      </c>
      <c r="M294" t="str">
        <f ca="1">IFERROR(OFFSET(貼り付け2!$A$1,まとめ!$B294-1,OFFSET(貼り付け2!$A$1,ROW()-1,MATCH(M$1,貼り付け2!$1:$1,0)-1)-1),"")</f>
        <v/>
      </c>
      <c r="R294" t="str">
        <f ca="1">IFERROR(OFFSET(貼り付け2!$A$1,まとめ!$B294-1,OFFSET(貼り付け2!$A$1,ROW()-1,MATCH(R$1,貼り付け2!$1:$1,0)-1)-1),"")</f>
        <v/>
      </c>
      <c r="W294" t="str">
        <f ca="1">IFERROR(OFFSET(貼り付け2!$A$1,まとめ!$B294-1,OFFSET(貼り付け2!$A$1,ROW()-1,MATCH(W$1,貼り付け2!$1:$1,0)-1)-1),"")</f>
        <v/>
      </c>
    </row>
    <row r="295" spans="1:23" x14ac:dyDescent="0.45">
      <c r="A295" t="str">
        <f>貼り付け2!S295</f>
        <v/>
      </c>
      <c r="B295" t="str">
        <f>貼り付け2!R295</f>
        <v/>
      </c>
      <c r="H295" t="str">
        <f ca="1">IFERROR(OFFSET(貼り付け2!$A$1,まとめ!$B295-1,OFFSET(貼り付け2!$A$1,ROW()-1,MATCH(H$1,貼り付け2!$1:$1,0)-1)-1),"")</f>
        <v/>
      </c>
      <c r="M295" t="str">
        <f ca="1">IFERROR(OFFSET(貼り付け2!$A$1,まとめ!$B295-1,OFFSET(貼り付け2!$A$1,ROW()-1,MATCH(M$1,貼り付け2!$1:$1,0)-1)-1),"")</f>
        <v/>
      </c>
      <c r="R295" t="str">
        <f ca="1">IFERROR(OFFSET(貼り付け2!$A$1,まとめ!$B295-1,OFFSET(貼り付け2!$A$1,ROW()-1,MATCH(R$1,貼り付け2!$1:$1,0)-1)-1),"")</f>
        <v/>
      </c>
      <c r="W295" t="str">
        <f ca="1">IFERROR(OFFSET(貼り付け2!$A$1,まとめ!$B295-1,OFFSET(貼り付け2!$A$1,ROW()-1,MATCH(W$1,貼り付け2!$1:$1,0)-1)-1),"")</f>
        <v/>
      </c>
    </row>
    <row r="296" spans="1:23" x14ac:dyDescent="0.45">
      <c r="A296" t="str">
        <f>貼り付け2!S296</f>
        <v/>
      </c>
      <c r="B296" t="str">
        <f>貼り付け2!R296</f>
        <v/>
      </c>
      <c r="H296" t="str">
        <f ca="1">IFERROR(OFFSET(貼り付け2!$A$1,まとめ!$B296-1,OFFSET(貼り付け2!$A$1,ROW()-1,MATCH(H$1,貼り付け2!$1:$1,0)-1)-1),"")</f>
        <v/>
      </c>
      <c r="M296" t="str">
        <f ca="1">IFERROR(OFFSET(貼り付け2!$A$1,まとめ!$B296-1,OFFSET(貼り付け2!$A$1,ROW()-1,MATCH(M$1,貼り付け2!$1:$1,0)-1)-1),"")</f>
        <v/>
      </c>
      <c r="R296" t="str">
        <f ca="1">IFERROR(OFFSET(貼り付け2!$A$1,まとめ!$B296-1,OFFSET(貼り付け2!$A$1,ROW()-1,MATCH(R$1,貼り付け2!$1:$1,0)-1)-1),"")</f>
        <v/>
      </c>
      <c r="W296" t="str">
        <f ca="1">IFERROR(OFFSET(貼り付け2!$A$1,まとめ!$B296-1,OFFSET(貼り付け2!$A$1,ROW()-1,MATCH(W$1,貼り付け2!$1:$1,0)-1)-1),"")</f>
        <v/>
      </c>
    </row>
    <row r="297" spans="1:23" x14ac:dyDescent="0.45">
      <c r="A297" t="str">
        <f>貼り付け2!S297</f>
        <v/>
      </c>
      <c r="B297" t="str">
        <f>貼り付け2!R297</f>
        <v/>
      </c>
      <c r="H297" t="str">
        <f ca="1">IFERROR(OFFSET(貼り付け2!$A$1,まとめ!$B297-1,OFFSET(貼り付け2!$A$1,ROW()-1,MATCH(H$1,貼り付け2!$1:$1,0)-1)-1),"")</f>
        <v/>
      </c>
      <c r="M297" t="str">
        <f ca="1">IFERROR(OFFSET(貼り付け2!$A$1,まとめ!$B297-1,OFFSET(貼り付け2!$A$1,ROW()-1,MATCH(M$1,貼り付け2!$1:$1,0)-1)-1),"")</f>
        <v/>
      </c>
      <c r="R297" t="str">
        <f ca="1">IFERROR(OFFSET(貼り付け2!$A$1,まとめ!$B297-1,OFFSET(貼り付け2!$A$1,ROW()-1,MATCH(R$1,貼り付け2!$1:$1,0)-1)-1),"")</f>
        <v/>
      </c>
      <c r="W297" t="str">
        <f ca="1">IFERROR(OFFSET(貼り付け2!$A$1,まとめ!$B297-1,OFFSET(貼り付け2!$A$1,ROW()-1,MATCH(W$1,貼り付け2!$1:$1,0)-1)-1),"")</f>
        <v/>
      </c>
    </row>
    <row r="298" spans="1:23" x14ac:dyDescent="0.45">
      <c r="A298" t="str">
        <f>貼り付け2!S298</f>
        <v/>
      </c>
      <c r="B298" t="str">
        <f>貼り付け2!R298</f>
        <v/>
      </c>
      <c r="H298" t="str">
        <f ca="1">IFERROR(OFFSET(貼り付け2!$A$1,まとめ!$B298-1,OFFSET(貼り付け2!$A$1,ROW()-1,MATCH(H$1,貼り付け2!$1:$1,0)-1)-1),"")</f>
        <v/>
      </c>
      <c r="M298" t="str">
        <f ca="1">IFERROR(OFFSET(貼り付け2!$A$1,まとめ!$B298-1,OFFSET(貼り付け2!$A$1,ROW()-1,MATCH(M$1,貼り付け2!$1:$1,0)-1)-1),"")</f>
        <v/>
      </c>
      <c r="R298" t="str">
        <f ca="1">IFERROR(OFFSET(貼り付け2!$A$1,まとめ!$B298-1,OFFSET(貼り付け2!$A$1,ROW()-1,MATCH(R$1,貼り付け2!$1:$1,0)-1)-1),"")</f>
        <v/>
      </c>
      <c r="W298" t="str">
        <f ca="1">IFERROR(OFFSET(貼り付け2!$A$1,まとめ!$B298-1,OFFSET(貼り付け2!$A$1,ROW()-1,MATCH(W$1,貼り付け2!$1:$1,0)-1)-1),"")</f>
        <v/>
      </c>
    </row>
    <row r="299" spans="1:23" x14ac:dyDescent="0.45">
      <c r="A299" t="str">
        <f>貼り付け2!S299</f>
        <v/>
      </c>
      <c r="B299" t="str">
        <f>貼り付け2!R299</f>
        <v/>
      </c>
      <c r="H299" t="str">
        <f ca="1">IFERROR(OFFSET(貼り付け2!$A$1,まとめ!$B299-1,OFFSET(貼り付け2!$A$1,ROW()-1,MATCH(H$1,貼り付け2!$1:$1,0)-1)-1),"")</f>
        <v/>
      </c>
      <c r="M299" t="str">
        <f ca="1">IFERROR(OFFSET(貼り付け2!$A$1,まとめ!$B299-1,OFFSET(貼り付け2!$A$1,ROW()-1,MATCH(M$1,貼り付け2!$1:$1,0)-1)-1),"")</f>
        <v/>
      </c>
      <c r="R299" t="str">
        <f ca="1">IFERROR(OFFSET(貼り付け2!$A$1,まとめ!$B299-1,OFFSET(貼り付け2!$A$1,ROW()-1,MATCH(R$1,貼り付け2!$1:$1,0)-1)-1),"")</f>
        <v/>
      </c>
      <c r="W299" t="str">
        <f ca="1">IFERROR(OFFSET(貼り付け2!$A$1,まとめ!$B299-1,OFFSET(貼り付け2!$A$1,ROW()-1,MATCH(W$1,貼り付け2!$1:$1,0)-1)-1),"")</f>
        <v/>
      </c>
    </row>
    <row r="300" spans="1:23" x14ac:dyDescent="0.45">
      <c r="A300" t="str">
        <f>貼り付け2!S300</f>
        <v/>
      </c>
      <c r="B300" t="str">
        <f>貼り付け2!R300</f>
        <v/>
      </c>
      <c r="H300" t="str">
        <f ca="1">IFERROR(OFFSET(貼り付け2!$A$1,まとめ!$B300-1,OFFSET(貼り付け2!$A$1,ROW()-1,MATCH(H$1,貼り付け2!$1:$1,0)-1)-1),"")</f>
        <v/>
      </c>
      <c r="M300" t="str">
        <f ca="1">IFERROR(OFFSET(貼り付け2!$A$1,まとめ!$B300-1,OFFSET(貼り付け2!$A$1,ROW()-1,MATCH(M$1,貼り付け2!$1:$1,0)-1)-1),"")</f>
        <v/>
      </c>
      <c r="R300" t="str">
        <f ca="1">IFERROR(OFFSET(貼り付け2!$A$1,まとめ!$B300-1,OFFSET(貼り付け2!$A$1,ROW()-1,MATCH(R$1,貼り付け2!$1:$1,0)-1)-1),"")</f>
        <v/>
      </c>
      <c r="W300" t="str">
        <f ca="1">IFERROR(OFFSET(貼り付け2!$A$1,まとめ!$B300-1,OFFSET(貼り付け2!$A$1,ROW()-1,MATCH(W$1,貼り付け2!$1:$1,0)-1)-1),"")</f>
        <v/>
      </c>
    </row>
    <row r="301" spans="1:23" x14ac:dyDescent="0.45">
      <c r="A301" t="str">
        <f>貼り付け2!S301</f>
        <v/>
      </c>
      <c r="B301" t="str">
        <f>貼り付け2!R301</f>
        <v/>
      </c>
      <c r="H301" t="str">
        <f ca="1">IFERROR(OFFSET(貼り付け2!$A$1,まとめ!$B301-1,OFFSET(貼り付け2!$A$1,ROW()-1,MATCH(H$1,貼り付け2!$1:$1,0)-1)-1),"")</f>
        <v/>
      </c>
      <c r="M301" t="str">
        <f ca="1">IFERROR(OFFSET(貼り付け2!$A$1,まとめ!$B301-1,OFFSET(貼り付け2!$A$1,ROW()-1,MATCH(M$1,貼り付け2!$1:$1,0)-1)-1),"")</f>
        <v/>
      </c>
      <c r="R301" t="str">
        <f ca="1">IFERROR(OFFSET(貼り付け2!$A$1,まとめ!$B301-1,OFFSET(貼り付け2!$A$1,ROW()-1,MATCH(R$1,貼り付け2!$1:$1,0)-1)-1),"")</f>
        <v/>
      </c>
      <c r="W301" t="str">
        <f ca="1">IFERROR(OFFSET(貼り付け2!$A$1,まとめ!$B301-1,OFFSET(貼り付け2!$A$1,ROW()-1,MATCH(W$1,貼り付け2!$1:$1,0)-1)-1),"")</f>
        <v/>
      </c>
    </row>
    <row r="302" spans="1:23" x14ac:dyDescent="0.45">
      <c r="A302" t="str">
        <f>貼り付け2!S302</f>
        <v/>
      </c>
      <c r="B302" t="str">
        <f>貼り付け2!R302</f>
        <v/>
      </c>
      <c r="H302" t="str">
        <f ca="1">IFERROR(OFFSET(貼り付け2!$A$1,まとめ!$B302-1,OFFSET(貼り付け2!$A$1,ROW()-1,MATCH(H$1,貼り付け2!$1:$1,0)-1)-1),"")</f>
        <v/>
      </c>
      <c r="M302" t="str">
        <f ca="1">IFERROR(OFFSET(貼り付け2!$A$1,まとめ!$B302-1,OFFSET(貼り付け2!$A$1,ROW()-1,MATCH(M$1,貼り付け2!$1:$1,0)-1)-1),"")</f>
        <v/>
      </c>
      <c r="R302" t="str">
        <f ca="1">IFERROR(OFFSET(貼り付け2!$A$1,まとめ!$B302-1,OFFSET(貼り付け2!$A$1,ROW()-1,MATCH(R$1,貼り付け2!$1:$1,0)-1)-1),"")</f>
        <v/>
      </c>
      <c r="W302" t="str">
        <f ca="1">IFERROR(OFFSET(貼り付け2!$A$1,まとめ!$B302-1,OFFSET(貼り付け2!$A$1,ROW()-1,MATCH(W$1,貼り付け2!$1:$1,0)-1)-1),"")</f>
        <v/>
      </c>
    </row>
    <row r="303" spans="1:23" x14ac:dyDescent="0.45">
      <c r="A303" t="str">
        <f>貼り付け2!S303</f>
        <v/>
      </c>
      <c r="B303" t="str">
        <f>貼り付け2!R303</f>
        <v/>
      </c>
      <c r="H303" t="str">
        <f ca="1">IFERROR(OFFSET(貼り付け2!$A$1,まとめ!$B303-1,OFFSET(貼り付け2!$A$1,ROW()-1,MATCH(H$1,貼り付け2!$1:$1,0)-1)-1),"")</f>
        <v/>
      </c>
      <c r="M303" t="str">
        <f ca="1">IFERROR(OFFSET(貼り付け2!$A$1,まとめ!$B303-1,OFFSET(貼り付け2!$A$1,ROW()-1,MATCH(M$1,貼り付け2!$1:$1,0)-1)-1),"")</f>
        <v/>
      </c>
      <c r="R303" t="str">
        <f ca="1">IFERROR(OFFSET(貼り付け2!$A$1,まとめ!$B303-1,OFFSET(貼り付け2!$A$1,ROW()-1,MATCH(R$1,貼り付け2!$1:$1,0)-1)-1),"")</f>
        <v/>
      </c>
      <c r="W303" t="str">
        <f ca="1">IFERROR(OFFSET(貼り付け2!$A$1,まとめ!$B303-1,OFFSET(貼り付け2!$A$1,ROW()-1,MATCH(W$1,貼り付け2!$1:$1,0)-1)-1),"")</f>
        <v/>
      </c>
    </row>
    <row r="304" spans="1:23" x14ac:dyDescent="0.45">
      <c r="A304" t="str">
        <f>貼り付け2!S304</f>
        <v/>
      </c>
      <c r="B304" t="str">
        <f>貼り付け2!R304</f>
        <v/>
      </c>
      <c r="H304" t="str">
        <f ca="1">IFERROR(OFFSET(貼り付け2!$A$1,まとめ!$B304-1,OFFSET(貼り付け2!$A$1,ROW()-1,MATCH(H$1,貼り付け2!$1:$1,0)-1)-1),"")</f>
        <v/>
      </c>
      <c r="M304" t="str">
        <f ca="1">IFERROR(OFFSET(貼り付け2!$A$1,まとめ!$B304-1,OFFSET(貼り付け2!$A$1,ROW()-1,MATCH(M$1,貼り付け2!$1:$1,0)-1)-1),"")</f>
        <v/>
      </c>
      <c r="R304" t="str">
        <f ca="1">IFERROR(OFFSET(貼り付け2!$A$1,まとめ!$B304-1,OFFSET(貼り付け2!$A$1,ROW()-1,MATCH(R$1,貼り付け2!$1:$1,0)-1)-1),"")</f>
        <v/>
      </c>
      <c r="W304" t="str">
        <f ca="1">IFERROR(OFFSET(貼り付け2!$A$1,まとめ!$B304-1,OFFSET(貼り付け2!$A$1,ROW()-1,MATCH(W$1,貼り付け2!$1:$1,0)-1)-1),"")</f>
        <v/>
      </c>
    </row>
    <row r="305" spans="1:23" x14ac:dyDescent="0.45">
      <c r="A305" t="str">
        <f>貼り付け2!S305</f>
        <v/>
      </c>
      <c r="B305" t="str">
        <f>貼り付け2!R305</f>
        <v/>
      </c>
      <c r="H305" t="str">
        <f ca="1">IFERROR(OFFSET(貼り付け2!$A$1,まとめ!$B305-1,OFFSET(貼り付け2!$A$1,ROW()-1,MATCH(H$1,貼り付け2!$1:$1,0)-1)-1),"")</f>
        <v/>
      </c>
      <c r="M305" t="str">
        <f ca="1">IFERROR(OFFSET(貼り付け2!$A$1,まとめ!$B305-1,OFFSET(貼り付け2!$A$1,ROW()-1,MATCH(M$1,貼り付け2!$1:$1,0)-1)-1),"")</f>
        <v/>
      </c>
      <c r="R305" t="str">
        <f ca="1">IFERROR(OFFSET(貼り付け2!$A$1,まとめ!$B305-1,OFFSET(貼り付け2!$A$1,ROW()-1,MATCH(R$1,貼り付け2!$1:$1,0)-1)-1),"")</f>
        <v/>
      </c>
      <c r="W305" t="str">
        <f ca="1">IFERROR(OFFSET(貼り付け2!$A$1,まとめ!$B305-1,OFFSET(貼り付け2!$A$1,ROW()-1,MATCH(W$1,貼り付け2!$1:$1,0)-1)-1),"")</f>
        <v/>
      </c>
    </row>
    <row r="306" spans="1:23" x14ac:dyDescent="0.45">
      <c r="A306" t="str">
        <f>貼り付け2!S306</f>
        <v/>
      </c>
      <c r="B306" t="str">
        <f>貼り付け2!R306</f>
        <v/>
      </c>
      <c r="H306" t="str">
        <f ca="1">IFERROR(OFFSET(貼り付け2!$A$1,まとめ!$B306-1,OFFSET(貼り付け2!$A$1,ROW()-1,MATCH(H$1,貼り付け2!$1:$1,0)-1)-1),"")</f>
        <v/>
      </c>
      <c r="M306" t="str">
        <f ca="1">IFERROR(OFFSET(貼り付け2!$A$1,まとめ!$B306-1,OFFSET(貼り付け2!$A$1,ROW()-1,MATCH(M$1,貼り付け2!$1:$1,0)-1)-1),"")</f>
        <v/>
      </c>
      <c r="R306" t="str">
        <f ca="1">IFERROR(OFFSET(貼り付け2!$A$1,まとめ!$B306-1,OFFSET(貼り付け2!$A$1,ROW()-1,MATCH(R$1,貼り付け2!$1:$1,0)-1)-1),"")</f>
        <v/>
      </c>
      <c r="W306" t="str">
        <f ca="1">IFERROR(OFFSET(貼り付け2!$A$1,まとめ!$B306-1,OFFSET(貼り付け2!$A$1,ROW()-1,MATCH(W$1,貼り付け2!$1:$1,0)-1)-1),"")</f>
        <v/>
      </c>
    </row>
    <row r="307" spans="1:23" x14ac:dyDescent="0.45">
      <c r="A307" t="str">
        <f>貼り付け2!S307</f>
        <v/>
      </c>
      <c r="B307" t="str">
        <f>貼り付け2!R307</f>
        <v/>
      </c>
      <c r="H307" t="str">
        <f ca="1">IFERROR(OFFSET(貼り付け2!$A$1,まとめ!$B307-1,OFFSET(貼り付け2!$A$1,ROW()-1,MATCH(H$1,貼り付け2!$1:$1,0)-1)-1),"")</f>
        <v/>
      </c>
      <c r="M307" t="str">
        <f ca="1">IFERROR(OFFSET(貼り付け2!$A$1,まとめ!$B307-1,OFFSET(貼り付け2!$A$1,ROW()-1,MATCH(M$1,貼り付け2!$1:$1,0)-1)-1),"")</f>
        <v/>
      </c>
      <c r="R307" t="str">
        <f ca="1">IFERROR(OFFSET(貼り付け2!$A$1,まとめ!$B307-1,OFFSET(貼り付け2!$A$1,ROW()-1,MATCH(R$1,貼り付け2!$1:$1,0)-1)-1),"")</f>
        <v/>
      </c>
      <c r="W307" t="str">
        <f ca="1">IFERROR(OFFSET(貼り付け2!$A$1,まとめ!$B307-1,OFFSET(貼り付け2!$A$1,ROW()-1,MATCH(W$1,貼り付け2!$1:$1,0)-1)-1),"")</f>
        <v/>
      </c>
    </row>
    <row r="308" spans="1:23" x14ac:dyDescent="0.45">
      <c r="A308" t="str">
        <f>貼り付け2!S308</f>
        <v/>
      </c>
      <c r="B308" t="str">
        <f>貼り付け2!R308</f>
        <v/>
      </c>
      <c r="H308" t="str">
        <f ca="1">IFERROR(OFFSET(貼り付け2!$A$1,まとめ!$B308-1,OFFSET(貼り付け2!$A$1,ROW()-1,MATCH(H$1,貼り付け2!$1:$1,0)-1)-1),"")</f>
        <v/>
      </c>
      <c r="M308" t="str">
        <f ca="1">IFERROR(OFFSET(貼り付け2!$A$1,まとめ!$B308-1,OFFSET(貼り付け2!$A$1,ROW()-1,MATCH(M$1,貼り付け2!$1:$1,0)-1)-1),"")</f>
        <v/>
      </c>
      <c r="R308" t="str">
        <f ca="1">IFERROR(OFFSET(貼り付け2!$A$1,まとめ!$B308-1,OFFSET(貼り付け2!$A$1,ROW()-1,MATCH(R$1,貼り付け2!$1:$1,0)-1)-1),"")</f>
        <v/>
      </c>
      <c r="W308" t="str">
        <f ca="1">IFERROR(OFFSET(貼り付け2!$A$1,まとめ!$B308-1,OFFSET(貼り付け2!$A$1,ROW()-1,MATCH(W$1,貼り付け2!$1:$1,0)-1)-1),"")</f>
        <v/>
      </c>
    </row>
    <row r="309" spans="1:23" x14ac:dyDescent="0.45">
      <c r="A309" t="str">
        <f>貼り付け2!S309</f>
        <v/>
      </c>
      <c r="B309" t="str">
        <f>貼り付け2!R309</f>
        <v/>
      </c>
      <c r="H309" t="str">
        <f ca="1">IFERROR(OFFSET(貼り付け2!$A$1,まとめ!$B309-1,OFFSET(貼り付け2!$A$1,ROW()-1,MATCH(H$1,貼り付け2!$1:$1,0)-1)-1),"")</f>
        <v/>
      </c>
      <c r="M309" t="str">
        <f ca="1">IFERROR(OFFSET(貼り付け2!$A$1,まとめ!$B309-1,OFFSET(貼り付け2!$A$1,ROW()-1,MATCH(M$1,貼り付け2!$1:$1,0)-1)-1),"")</f>
        <v/>
      </c>
      <c r="R309" t="str">
        <f ca="1">IFERROR(OFFSET(貼り付け2!$A$1,まとめ!$B309-1,OFFSET(貼り付け2!$A$1,ROW()-1,MATCH(R$1,貼り付け2!$1:$1,0)-1)-1),"")</f>
        <v/>
      </c>
      <c r="W309" t="str">
        <f ca="1">IFERROR(OFFSET(貼り付け2!$A$1,まとめ!$B309-1,OFFSET(貼り付け2!$A$1,ROW()-1,MATCH(W$1,貼り付け2!$1:$1,0)-1)-1),"")</f>
        <v/>
      </c>
    </row>
    <row r="310" spans="1:23" x14ac:dyDescent="0.45">
      <c r="A310" t="str">
        <f>貼り付け2!S310</f>
        <v/>
      </c>
      <c r="B310" t="str">
        <f>貼り付け2!R310</f>
        <v/>
      </c>
      <c r="H310" t="str">
        <f ca="1">IFERROR(OFFSET(貼り付け2!$A$1,まとめ!$B310-1,OFFSET(貼り付け2!$A$1,ROW()-1,MATCH(H$1,貼り付け2!$1:$1,0)-1)-1),"")</f>
        <v/>
      </c>
      <c r="M310" t="str">
        <f ca="1">IFERROR(OFFSET(貼り付け2!$A$1,まとめ!$B310-1,OFFSET(貼り付け2!$A$1,ROW()-1,MATCH(M$1,貼り付け2!$1:$1,0)-1)-1),"")</f>
        <v/>
      </c>
      <c r="R310" t="str">
        <f ca="1">IFERROR(OFFSET(貼り付け2!$A$1,まとめ!$B310-1,OFFSET(貼り付け2!$A$1,ROW()-1,MATCH(R$1,貼り付け2!$1:$1,0)-1)-1),"")</f>
        <v/>
      </c>
      <c r="W310" t="str">
        <f ca="1">IFERROR(OFFSET(貼り付け2!$A$1,まとめ!$B310-1,OFFSET(貼り付け2!$A$1,ROW()-1,MATCH(W$1,貼り付け2!$1:$1,0)-1)-1),"")</f>
        <v/>
      </c>
    </row>
    <row r="311" spans="1:23" x14ac:dyDescent="0.45">
      <c r="A311" t="str">
        <f>貼り付け2!S311</f>
        <v/>
      </c>
      <c r="B311" t="str">
        <f>貼り付け2!R311</f>
        <v/>
      </c>
      <c r="H311" t="str">
        <f ca="1">IFERROR(OFFSET(貼り付け2!$A$1,まとめ!$B311-1,OFFSET(貼り付け2!$A$1,ROW()-1,MATCH(H$1,貼り付け2!$1:$1,0)-1)-1),"")</f>
        <v/>
      </c>
      <c r="M311" t="str">
        <f ca="1">IFERROR(OFFSET(貼り付け2!$A$1,まとめ!$B311-1,OFFSET(貼り付け2!$A$1,ROW()-1,MATCH(M$1,貼り付け2!$1:$1,0)-1)-1),"")</f>
        <v/>
      </c>
      <c r="R311" t="str">
        <f ca="1">IFERROR(OFFSET(貼り付け2!$A$1,まとめ!$B311-1,OFFSET(貼り付け2!$A$1,ROW()-1,MATCH(R$1,貼り付け2!$1:$1,0)-1)-1),"")</f>
        <v/>
      </c>
      <c r="W311" t="str">
        <f ca="1">IFERROR(OFFSET(貼り付け2!$A$1,まとめ!$B311-1,OFFSET(貼り付け2!$A$1,ROW()-1,MATCH(W$1,貼り付け2!$1:$1,0)-1)-1),"")</f>
        <v/>
      </c>
    </row>
    <row r="312" spans="1:23" x14ac:dyDescent="0.45">
      <c r="A312" t="str">
        <f>貼り付け2!S312</f>
        <v/>
      </c>
      <c r="B312" t="str">
        <f>貼り付け2!R312</f>
        <v/>
      </c>
      <c r="H312" t="str">
        <f ca="1">IFERROR(OFFSET(貼り付け2!$A$1,まとめ!$B312-1,OFFSET(貼り付け2!$A$1,ROW()-1,MATCH(H$1,貼り付け2!$1:$1,0)-1)-1),"")</f>
        <v/>
      </c>
      <c r="M312" t="str">
        <f ca="1">IFERROR(OFFSET(貼り付け2!$A$1,まとめ!$B312-1,OFFSET(貼り付け2!$A$1,ROW()-1,MATCH(M$1,貼り付け2!$1:$1,0)-1)-1),"")</f>
        <v/>
      </c>
      <c r="R312" t="str">
        <f ca="1">IFERROR(OFFSET(貼り付け2!$A$1,まとめ!$B312-1,OFFSET(貼り付け2!$A$1,ROW()-1,MATCH(R$1,貼り付け2!$1:$1,0)-1)-1),"")</f>
        <v/>
      </c>
      <c r="W312" t="str">
        <f ca="1">IFERROR(OFFSET(貼り付け2!$A$1,まとめ!$B312-1,OFFSET(貼り付け2!$A$1,ROW()-1,MATCH(W$1,貼り付け2!$1:$1,0)-1)-1),"")</f>
        <v/>
      </c>
    </row>
    <row r="313" spans="1:23" x14ac:dyDescent="0.45">
      <c r="A313" t="str">
        <f>貼り付け2!S313</f>
        <v/>
      </c>
      <c r="B313" t="str">
        <f>貼り付け2!R313</f>
        <v/>
      </c>
      <c r="H313" t="str">
        <f ca="1">IFERROR(OFFSET(貼り付け2!$A$1,まとめ!$B313-1,OFFSET(貼り付け2!$A$1,ROW()-1,MATCH(H$1,貼り付け2!$1:$1,0)-1)-1),"")</f>
        <v/>
      </c>
      <c r="M313" t="str">
        <f ca="1">IFERROR(OFFSET(貼り付け2!$A$1,まとめ!$B313-1,OFFSET(貼り付け2!$A$1,ROW()-1,MATCH(M$1,貼り付け2!$1:$1,0)-1)-1),"")</f>
        <v/>
      </c>
      <c r="R313" t="str">
        <f ca="1">IFERROR(OFFSET(貼り付け2!$A$1,まとめ!$B313-1,OFFSET(貼り付け2!$A$1,ROW()-1,MATCH(R$1,貼り付け2!$1:$1,0)-1)-1),"")</f>
        <v/>
      </c>
      <c r="W313" t="str">
        <f ca="1">IFERROR(OFFSET(貼り付け2!$A$1,まとめ!$B313-1,OFFSET(貼り付け2!$A$1,ROW()-1,MATCH(W$1,貼り付け2!$1:$1,0)-1)-1),"")</f>
        <v/>
      </c>
    </row>
    <row r="314" spans="1:23" x14ac:dyDescent="0.45">
      <c r="A314" t="str">
        <f>貼り付け2!S314</f>
        <v/>
      </c>
      <c r="B314" t="str">
        <f>貼り付け2!R314</f>
        <v/>
      </c>
      <c r="H314" t="str">
        <f ca="1">IFERROR(OFFSET(貼り付け2!$A$1,まとめ!$B314-1,OFFSET(貼り付け2!$A$1,ROW()-1,MATCH(H$1,貼り付け2!$1:$1,0)-1)-1),"")</f>
        <v/>
      </c>
      <c r="M314" t="str">
        <f ca="1">IFERROR(OFFSET(貼り付け2!$A$1,まとめ!$B314-1,OFFSET(貼り付け2!$A$1,ROW()-1,MATCH(M$1,貼り付け2!$1:$1,0)-1)-1),"")</f>
        <v/>
      </c>
      <c r="R314" t="str">
        <f ca="1">IFERROR(OFFSET(貼り付け2!$A$1,まとめ!$B314-1,OFFSET(貼り付け2!$A$1,ROW()-1,MATCH(R$1,貼り付け2!$1:$1,0)-1)-1),"")</f>
        <v/>
      </c>
      <c r="W314" t="str">
        <f ca="1">IFERROR(OFFSET(貼り付け2!$A$1,まとめ!$B314-1,OFFSET(貼り付け2!$A$1,ROW()-1,MATCH(W$1,貼り付け2!$1:$1,0)-1)-1),"")</f>
        <v/>
      </c>
    </row>
    <row r="315" spans="1:23" x14ac:dyDescent="0.45">
      <c r="A315" t="str">
        <f>貼り付け2!S315</f>
        <v/>
      </c>
      <c r="B315" t="str">
        <f>貼り付け2!R315</f>
        <v/>
      </c>
      <c r="H315" t="str">
        <f ca="1">IFERROR(OFFSET(貼り付け2!$A$1,まとめ!$B315-1,OFFSET(貼り付け2!$A$1,ROW()-1,MATCH(H$1,貼り付け2!$1:$1,0)-1)-1),"")</f>
        <v/>
      </c>
      <c r="M315" t="str">
        <f ca="1">IFERROR(OFFSET(貼り付け2!$A$1,まとめ!$B315-1,OFFSET(貼り付け2!$A$1,ROW()-1,MATCH(M$1,貼り付け2!$1:$1,0)-1)-1),"")</f>
        <v/>
      </c>
      <c r="R315" t="str">
        <f ca="1">IFERROR(OFFSET(貼り付け2!$A$1,まとめ!$B315-1,OFFSET(貼り付け2!$A$1,ROW()-1,MATCH(R$1,貼り付け2!$1:$1,0)-1)-1),"")</f>
        <v/>
      </c>
      <c r="W315" t="str">
        <f ca="1">IFERROR(OFFSET(貼り付け2!$A$1,まとめ!$B315-1,OFFSET(貼り付け2!$A$1,ROW()-1,MATCH(W$1,貼り付け2!$1:$1,0)-1)-1),"")</f>
        <v/>
      </c>
    </row>
    <row r="316" spans="1:23" x14ac:dyDescent="0.45">
      <c r="A316" t="str">
        <f>貼り付け2!S316</f>
        <v/>
      </c>
      <c r="B316" t="str">
        <f>貼り付け2!R316</f>
        <v/>
      </c>
      <c r="H316" t="str">
        <f ca="1">IFERROR(OFFSET(貼り付け2!$A$1,まとめ!$B316-1,OFFSET(貼り付け2!$A$1,ROW()-1,MATCH(H$1,貼り付け2!$1:$1,0)-1)-1),"")</f>
        <v/>
      </c>
      <c r="M316" t="str">
        <f ca="1">IFERROR(OFFSET(貼り付け2!$A$1,まとめ!$B316-1,OFFSET(貼り付け2!$A$1,ROW()-1,MATCH(M$1,貼り付け2!$1:$1,0)-1)-1),"")</f>
        <v/>
      </c>
      <c r="R316" t="str">
        <f ca="1">IFERROR(OFFSET(貼り付け2!$A$1,まとめ!$B316-1,OFFSET(貼り付け2!$A$1,ROW()-1,MATCH(R$1,貼り付け2!$1:$1,0)-1)-1),"")</f>
        <v/>
      </c>
      <c r="W316" t="str">
        <f ca="1">IFERROR(OFFSET(貼り付け2!$A$1,まとめ!$B316-1,OFFSET(貼り付け2!$A$1,ROW()-1,MATCH(W$1,貼り付け2!$1:$1,0)-1)-1),"")</f>
        <v/>
      </c>
    </row>
    <row r="317" spans="1:23" x14ac:dyDescent="0.45">
      <c r="A317" t="str">
        <f>貼り付け2!S317</f>
        <v/>
      </c>
      <c r="B317" t="str">
        <f>貼り付け2!R317</f>
        <v/>
      </c>
      <c r="H317" t="str">
        <f ca="1">IFERROR(OFFSET(貼り付け2!$A$1,まとめ!$B317-1,OFFSET(貼り付け2!$A$1,ROW()-1,MATCH(H$1,貼り付け2!$1:$1,0)-1)-1),"")</f>
        <v/>
      </c>
      <c r="M317" t="str">
        <f ca="1">IFERROR(OFFSET(貼り付け2!$A$1,まとめ!$B317-1,OFFSET(貼り付け2!$A$1,ROW()-1,MATCH(M$1,貼り付け2!$1:$1,0)-1)-1),"")</f>
        <v/>
      </c>
      <c r="R317" t="str">
        <f ca="1">IFERROR(OFFSET(貼り付け2!$A$1,まとめ!$B317-1,OFFSET(貼り付け2!$A$1,ROW()-1,MATCH(R$1,貼り付け2!$1:$1,0)-1)-1),"")</f>
        <v/>
      </c>
      <c r="W317" t="str">
        <f ca="1">IFERROR(OFFSET(貼り付け2!$A$1,まとめ!$B317-1,OFFSET(貼り付け2!$A$1,ROW()-1,MATCH(W$1,貼り付け2!$1:$1,0)-1)-1),"")</f>
        <v/>
      </c>
    </row>
    <row r="318" spans="1:23" x14ac:dyDescent="0.45">
      <c r="A318" t="str">
        <f>貼り付け2!S318</f>
        <v/>
      </c>
      <c r="B318" t="str">
        <f>貼り付け2!R318</f>
        <v/>
      </c>
      <c r="H318" t="str">
        <f ca="1">IFERROR(OFFSET(貼り付け2!$A$1,まとめ!$B318-1,OFFSET(貼り付け2!$A$1,ROW()-1,MATCH(H$1,貼り付け2!$1:$1,0)-1)-1),"")</f>
        <v/>
      </c>
      <c r="M318" t="str">
        <f ca="1">IFERROR(OFFSET(貼り付け2!$A$1,まとめ!$B318-1,OFFSET(貼り付け2!$A$1,ROW()-1,MATCH(M$1,貼り付け2!$1:$1,0)-1)-1),"")</f>
        <v/>
      </c>
      <c r="R318" t="str">
        <f ca="1">IFERROR(OFFSET(貼り付け2!$A$1,まとめ!$B318-1,OFFSET(貼り付け2!$A$1,ROW()-1,MATCH(R$1,貼り付け2!$1:$1,0)-1)-1),"")</f>
        <v/>
      </c>
      <c r="W318" t="str">
        <f ca="1">IFERROR(OFFSET(貼り付け2!$A$1,まとめ!$B318-1,OFFSET(貼り付け2!$A$1,ROW()-1,MATCH(W$1,貼り付け2!$1:$1,0)-1)-1),"")</f>
        <v/>
      </c>
    </row>
    <row r="319" spans="1:23" x14ac:dyDescent="0.45">
      <c r="A319" t="str">
        <f>貼り付け2!S319</f>
        <v/>
      </c>
      <c r="B319" t="str">
        <f>貼り付け2!R319</f>
        <v/>
      </c>
      <c r="H319" t="str">
        <f ca="1">IFERROR(OFFSET(貼り付け2!$A$1,まとめ!$B319-1,OFFSET(貼り付け2!$A$1,ROW()-1,MATCH(H$1,貼り付け2!$1:$1,0)-1)-1),"")</f>
        <v/>
      </c>
      <c r="M319" t="str">
        <f ca="1">IFERROR(OFFSET(貼り付け2!$A$1,まとめ!$B319-1,OFFSET(貼り付け2!$A$1,ROW()-1,MATCH(M$1,貼り付け2!$1:$1,0)-1)-1),"")</f>
        <v/>
      </c>
      <c r="R319" t="str">
        <f ca="1">IFERROR(OFFSET(貼り付け2!$A$1,まとめ!$B319-1,OFFSET(貼り付け2!$A$1,ROW()-1,MATCH(R$1,貼り付け2!$1:$1,0)-1)-1),"")</f>
        <v/>
      </c>
      <c r="W319" t="str">
        <f ca="1">IFERROR(OFFSET(貼り付け2!$A$1,まとめ!$B319-1,OFFSET(貼り付け2!$A$1,ROW()-1,MATCH(W$1,貼り付け2!$1:$1,0)-1)-1),"")</f>
        <v/>
      </c>
    </row>
    <row r="320" spans="1:23" x14ac:dyDescent="0.45">
      <c r="A320" t="str">
        <f>貼り付け2!S320</f>
        <v/>
      </c>
      <c r="B320" t="str">
        <f>貼り付け2!R320</f>
        <v/>
      </c>
      <c r="H320" t="str">
        <f ca="1">IFERROR(OFFSET(貼り付け2!$A$1,まとめ!$B320-1,OFFSET(貼り付け2!$A$1,ROW()-1,MATCH(H$1,貼り付け2!$1:$1,0)-1)-1),"")</f>
        <v/>
      </c>
      <c r="M320" t="str">
        <f ca="1">IFERROR(OFFSET(貼り付け2!$A$1,まとめ!$B320-1,OFFSET(貼り付け2!$A$1,ROW()-1,MATCH(M$1,貼り付け2!$1:$1,0)-1)-1),"")</f>
        <v/>
      </c>
      <c r="R320" t="str">
        <f ca="1">IFERROR(OFFSET(貼り付け2!$A$1,まとめ!$B320-1,OFFSET(貼り付け2!$A$1,ROW()-1,MATCH(R$1,貼り付け2!$1:$1,0)-1)-1),"")</f>
        <v/>
      </c>
      <c r="W320" t="str">
        <f ca="1">IFERROR(OFFSET(貼り付け2!$A$1,まとめ!$B320-1,OFFSET(貼り付け2!$A$1,ROW()-1,MATCH(W$1,貼り付け2!$1:$1,0)-1)-1),"")</f>
        <v/>
      </c>
    </row>
    <row r="321" spans="1:23" x14ac:dyDescent="0.45">
      <c r="A321" t="str">
        <f>貼り付け2!S321</f>
        <v/>
      </c>
      <c r="B321" t="str">
        <f>貼り付け2!R321</f>
        <v/>
      </c>
      <c r="H321" t="str">
        <f ca="1">IFERROR(OFFSET(貼り付け2!$A$1,まとめ!$B321-1,OFFSET(貼り付け2!$A$1,ROW()-1,MATCH(H$1,貼り付け2!$1:$1,0)-1)-1),"")</f>
        <v/>
      </c>
      <c r="M321" t="str">
        <f ca="1">IFERROR(OFFSET(貼り付け2!$A$1,まとめ!$B321-1,OFFSET(貼り付け2!$A$1,ROW()-1,MATCH(M$1,貼り付け2!$1:$1,0)-1)-1),"")</f>
        <v/>
      </c>
      <c r="R321" t="str">
        <f ca="1">IFERROR(OFFSET(貼り付け2!$A$1,まとめ!$B321-1,OFFSET(貼り付け2!$A$1,ROW()-1,MATCH(R$1,貼り付け2!$1:$1,0)-1)-1),"")</f>
        <v/>
      </c>
      <c r="W321" t="str">
        <f ca="1">IFERROR(OFFSET(貼り付け2!$A$1,まとめ!$B321-1,OFFSET(貼り付け2!$A$1,ROW()-1,MATCH(W$1,貼り付け2!$1:$1,0)-1)-1),"")</f>
        <v/>
      </c>
    </row>
    <row r="322" spans="1:23" x14ac:dyDescent="0.45">
      <c r="A322" t="str">
        <f>貼り付け2!S322</f>
        <v/>
      </c>
      <c r="B322" t="str">
        <f>貼り付け2!R322</f>
        <v/>
      </c>
      <c r="H322" t="str">
        <f ca="1">IFERROR(OFFSET(貼り付け2!$A$1,まとめ!$B322-1,OFFSET(貼り付け2!$A$1,ROW()-1,MATCH(H$1,貼り付け2!$1:$1,0)-1)-1),"")</f>
        <v/>
      </c>
      <c r="M322" t="str">
        <f ca="1">IFERROR(OFFSET(貼り付け2!$A$1,まとめ!$B322-1,OFFSET(貼り付け2!$A$1,ROW()-1,MATCH(M$1,貼り付け2!$1:$1,0)-1)-1),"")</f>
        <v/>
      </c>
      <c r="R322" t="str">
        <f ca="1">IFERROR(OFFSET(貼り付け2!$A$1,まとめ!$B322-1,OFFSET(貼り付け2!$A$1,ROW()-1,MATCH(R$1,貼り付け2!$1:$1,0)-1)-1),"")</f>
        <v/>
      </c>
      <c r="W322" t="str">
        <f ca="1">IFERROR(OFFSET(貼り付け2!$A$1,まとめ!$B322-1,OFFSET(貼り付け2!$A$1,ROW()-1,MATCH(W$1,貼り付け2!$1:$1,0)-1)-1),"")</f>
        <v/>
      </c>
    </row>
    <row r="323" spans="1:23" x14ac:dyDescent="0.45">
      <c r="A323" t="str">
        <f>貼り付け2!S323</f>
        <v/>
      </c>
      <c r="B323" t="str">
        <f>貼り付け2!R323</f>
        <v/>
      </c>
      <c r="H323" t="str">
        <f ca="1">IFERROR(OFFSET(貼り付け2!$A$1,まとめ!$B323-1,OFFSET(貼り付け2!$A$1,ROW()-1,MATCH(H$1,貼り付け2!$1:$1,0)-1)-1),"")</f>
        <v/>
      </c>
      <c r="M323" t="str">
        <f ca="1">IFERROR(OFFSET(貼り付け2!$A$1,まとめ!$B323-1,OFFSET(貼り付け2!$A$1,ROW()-1,MATCH(M$1,貼り付け2!$1:$1,0)-1)-1),"")</f>
        <v/>
      </c>
      <c r="R323" t="str">
        <f ca="1">IFERROR(OFFSET(貼り付け2!$A$1,まとめ!$B323-1,OFFSET(貼り付け2!$A$1,ROW()-1,MATCH(R$1,貼り付け2!$1:$1,0)-1)-1),"")</f>
        <v/>
      </c>
      <c r="W323" t="str">
        <f ca="1">IFERROR(OFFSET(貼り付け2!$A$1,まとめ!$B323-1,OFFSET(貼り付け2!$A$1,ROW()-1,MATCH(W$1,貼り付け2!$1:$1,0)-1)-1),"")</f>
        <v/>
      </c>
    </row>
    <row r="324" spans="1:23" x14ac:dyDescent="0.45">
      <c r="A324" t="str">
        <f>貼り付け2!S324</f>
        <v/>
      </c>
      <c r="B324" t="str">
        <f>貼り付け2!R324</f>
        <v/>
      </c>
      <c r="H324" t="str">
        <f ca="1">IFERROR(OFFSET(貼り付け2!$A$1,まとめ!$B324-1,OFFSET(貼り付け2!$A$1,ROW()-1,MATCH(H$1,貼り付け2!$1:$1,0)-1)-1),"")</f>
        <v/>
      </c>
      <c r="M324" t="str">
        <f ca="1">IFERROR(OFFSET(貼り付け2!$A$1,まとめ!$B324-1,OFFSET(貼り付け2!$A$1,ROW()-1,MATCH(M$1,貼り付け2!$1:$1,0)-1)-1),"")</f>
        <v/>
      </c>
      <c r="R324" t="str">
        <f ca="1">IFERROR(OFFSET(貼り付け2!$A$1,まとめ!$B324-1,OFFSET(貼り付け2!$A$1,ROW()-1,MATCH(R$1,貼り付け2!$1:$1,0)-1)-1),"")</f>
        <v/>
      </c>
      <c r="W324" t="str">
        <f ca="1">IFERROR(OFFSET(貼り付け2!$A$1,まとめ!$B324-1,OFFSET(貼り付け2!$A$1,ROW()-1,MATCH(W$1,貼り付け2!$1:$1,0)-1)-1),"")</f>
        <v/>
      </c>
    </row>
    <row r="325" spans="1:23" x14ac:dyDescent="0.45">
      <c r="A325" t="str">
        <f>貼り付け2!S325</f>
        <v/>
      </c>
      <c r="B325" t="str">
        <f>貼り付け2!R325</f>
        <v/>
      </c>
      <c r="H325" t="str">
        <f ca="1">IFERROR(OFFSET(貼り付け2!$A$1,まとめ!$B325-1,OFFSET(貼り付け2!$A$1,ROW()-1,MATCH(H$1,貼り付け2!$1:$1,0)-1)-1),"")</f>
        <v/>
      </c>
      <c r="M325" t="str">
        <f ca="1">IFERROR(OFFSET(貼り付け2!$A$1,まとめ!$B325-1,OFFSET(貼り付け2!$A$1,ROW()-1,MATCH(M$1,貼り付け2!$1:$1,0)-1)-1),"")</f>
        <v/>
      </c>
      <c r="R325" t="str">
        <f ca="1">IFERROR(OFFSET(貼り付け2!$A$1,まとめ!$B325-1,OFFSET(貼り付け2!$A$1,ROW()-1,MATCH(R$1,貼り付け2!$1:$1,0)-1)-1),"")</f>
        <v/>
      </c>
      <c r="W325" t="str">
        <f ca="1">IFERROR(OFFSET(貼り付け2!$A$1,まとめ!$B325-1,OFFSET(貼り付け2!$A$1,ROW()-1,MATCH(W$1,貼り付け2!$1:$1,0)-1)-1),"")</f>
        <v/>
      </c>
    </row>
    <row r="326" spans="1:23" x14ac:dyDescent="0.45">
      <c r="A326" t="str">
        <f>貼り付け2!S326</f>
        <v/>
      </c>
      <c r="B326" t="str">
        <f>貼り付け2!R326</f>
        <v/>
      </c>
      <c r="H326" t="str">
        <f ca="1">IFERROR(OFFSET(貼り付け2!$A$1,まとめ!$B326-1,OFFSET(貼り付け2!$A$1,ROW()-1,MATCH(H$1,貼り付け2!$1:$1,0)-1)-1),"")</f>
        <v/>
      </c>
      <c r="M326" t="str">
        <f ca="1">IFERROR(OFFSET(貼り付け2!$A$1,まとめ!$B326-1,OFFSET(貼り付け2!$A$1,ROW()-1,MATCH(M$1,貼り付け2!$1:$1,0)-1)-1),"")</f>
        <v/>
      </c>
      <c r="R326" t="str">
        <f ca="1">IFERROR(OFFSET(貼り付け2!$A$1,まとめ!$B326-1,OFFSET(貼り付け2!$A$1,ROW()-1,MATCH(R$1,貼り付け2!$1:$1,0)-1)-1),"")</f>
        <v/>
      </c>
      <c r="W326" t="str">
        <f ca="1">IFERROR(OFFSET(貼り付け2!$A$1,まとめ!$B326-1,OFFSET(貼り付け2!$A$1,ROW()-1,MATCH(W$1,貼り付け2!$1:$1,0)-1)-1),"")</f>
        <v/>
      </c>
    </row>
    <row r="327" spans="1:23" x14ac:dyDescent="0.45">
      <c r="A327" t="str">
        <f>貼り付け2!S327</f>
        <v/>
      </c>
      <c r="B327" t="str">
        <f>貼り付け2!R327</f>
        <v/>
      </c>
      <c r="H327" t="str">
        <f ca="1">IFERROR(OFFSET(貼り付け2!$A$1,まとめ!$B327-1,OFFSET(貼り付け2!$A$1,ROW()-1,MATCH(H$1,貼り付け2!$1:$1,0)-1)-1),"")</f>
        <v/>
      </c>
      <c r="M327" t="str">
        <f ca="1">IFERROR(OFFSET(貼り付け2!$A$1,まとめ!$B327-1,OFFSET(貼り付け2!$A$1,ROW()-1,MATCH(M$1,貼り付け2!$1:$1,0)-1)-1),"")</f>
        <v/>
      </c>
      <c r="R327" t="str">
        <f ca="1">IFERROR(OFFSET(貼り付け2!$A$1,まとめ!$B327-1,OFFSET(貼り付け2!$A$1,ROW()-1,MATCH(R$1,貼り付け2!$1:$1,0)-1)-1),"")</f>
        <v/>
      </c>
      <c r="W327" t="str">
        <f ca="1">IFERROR(OFFSET(貼り付け2!$A$1,まとめ!$B327-1,OFFSET(貼り付け2!$A$1,ROW()-1,MATCH(W$1,貼り付け2!$1:$1,0)-1)-1),"")</f>
        <v/>
      </c>
    </row>
    <row r="328" spans="1:23" x14ac:dyDescent="0.45">
      <c r="A328" t="str">
        <f>貼り付け2!S328</f>
        <v/>
      </c>
      <c r="B328" t="str">
        <f>貼り付け2!R328</f>
        <v/>
      </c>
      <c r="H328" t="str">
        <f ca="1">IFERROR(OFFSET(貼り付け2!$A$1,まとめ!$B328-1,OFFSET(貼り付け2!$A$1,ROW()-1,MATCH(H$1,貼り付け2!$1:$1,0)-1)-1),"")</f>
        <v/>
      </c>
      <c r="M328" t="str">
        <f ca="1">IFERROR(OFFSET(貼り付け2!$A$1,まとめ!$B328-1,OFFSET(貼り付け2!$A$1,ROW()-1,MATCH(M$1,貼り付け2!$1:$1,0)-1)-1),"")</f>
        <v/>
      </c>
      <c r="R328" t="str">
        <f ca="1">IFERROR(OFFSET(貼り付け2!$A$1,まとめ!$B328-1,OFFSET(貼り付け2!$A$1,ROW()-1,MATCH(R$1,貼り付け2!$1:$1,0)-1)-1),"")</f>
        <v/>
      </c>
      <c r="W328" t="str">
        <f ca="1">IFERROR(OFFSET(貼り付け2!$A$1,まとめ!$B328-1,OFFSET(貼り付け2!$A$1,ROW()-1,MATCH(W$1,貼り付け2!$1:$1,0)-1)-1),"")</f>
        <v/>
      </c>
    </row>
    <row r="329" spans="1:23" x14ac:dyDescent="0.45">
      <c r="A329" t="str">
        <f>貼り付け2!S329</f>
        <v/>
      </c>
      <c r="B329" t="str">
        <f>貼り付け2!R329</f>
        <v/>
      </c>
      <c r="H329" t="str">
        <f ca="1">IFERROR(OFFSET(貼り付け2!$A$1,まとめ!$B329-1,OFFSET(貼り付け2!$A$1,ROW()-1,MATCH(H$1,貼り付け2!$1:$1,0)-1)-1),"")</f>
        <v/>
      </c>
      <c r="M329" t="str">
        <f ca="1">IFERROR(OFFSET(貼り付け2!$A$1,まとめ!$B329-1,OFFSET(貼り付け2!$A$1,ROW()-1,MATCH(M$1,貼り付け2!$1:$1,0)-1)-1),"")</f>
        <v/>
      </c>
      <c r="R329" t="str">
        <f ca="1">IFERROR(OFFSET(貼り付け2!$A$1,まとめ!$B329-1,OFFSET(貼り付け2!$A$1,ROW()-1,MATCH(R$1,貼り付け2!$1:$1,0)-1)-1),"")</f>
        <v/>
      </c>
      <c r="W329" t="str">
        <f ca="1">IFERROR(OFFSET(貼り付け2!$A$1,まとめ!$B329-1,OFFSET(貼り付け2!$A$1,ROW()-1,MATCH(W$1,貼り付け2!$1:$1,0)-1)-1),"")</f>
        <v/>
      </c>
    </row>
    <row r="330" spans="1:23" x14ac:dyDescent="0.45">
      <c r="A330" t="str">
        <f>貼り付け2!S330</f>
        <v/>
      </c>
      <c r="B330" t="str">
        <f>貼り付け2!R330</f>
        <v/>
      </c>
      <c r="H330" t="str">
        <f ca="1">IFERROR(OFFSET(貼り付け2!$A$1,まとめ!$B330-1,OFFSET(貼り付け2!$A$1,ROW()-1,MATCH(H$1,貼り付け2!$1:$1,0)-1)-1),"")</f>
        <v/>
      </c>
      <c r="M330" t="str">
        <f ca="1">IFERROR(OFFSET(貼り付け2!$A$1,まとめ!$B330-1,OFFSET(貼り付け2!$A$1,ROW()-1,MATCH(M$1,貼り付け2!$1:$1,0)-1)-1),"")</f>
        <v/>
      </c>
      <c r="R330" t="str">
        <f ca="1">IFERROR(OFFSET(貼り付け2!$A$1,まとめ!$B330-1,OFFSET(貼り付け2!$A$1,ROW()-1,MATCH(R$1,貼り付け2!$1:$1,0)-1)-1),"")</f>
        <v/>
      </c>
      <c r="W330" t="str">
        <f ca="1">IFERROR(OFFSET(貼り付け2!$A$1,まとめ!$B330-1,OFFSET(貼り付け2!$A$1,ROW()-1,MATCH(W$1,貼り付け2!$1:$1,0)-1)-1),"")</f>
        <v/>
      </c>
    </row>
    <row r="331" spans="1:23" x14ac:dyDescent="0.45">
      <c r="A331" t="str">
        <f>貼り付け2!S331</f>
        <v/>
      </c>
      <c r="B331" t="str">
        <f>貼り付け2!R331</f>
        <v/>
      </c>
      <c r="H331" t="str">
        <f ca="1">IFERROR(OFFSET(貼り付け2!$A$1,まとめ!$B331-1,OFFSET(貼り付け2!$A$1,ROW()-1,MATCH(H$1,貼り付け2!$1:$1,0)-1)-1),"")</f>
        <v/>
      </c>
      <c r="M331" t="str">
        <f ca="1">IFERROR(OFFSET(貼り付け2!$A$1,まとめ!$B331-1,OFFSET(貼り付け2!$A$1,ROW()-1,MATCH(M$1,貼り付け2!$1:$1,0)-1)-1),"")</f>
        <v/>
      </c>
      <c r="R331" t="str">
        <f ca="1">IFERROR(OFFSET(貼り付け2!$A$1,まとめ!$B331-1,OFFSET(貼り付け2!$A$1,ROW()-1,MATCH(R$1,貼り付け2!$1:$1,0)-1)-1),"")</f>
        <v/>
      </c>
      <c r="W331" t="str">
        <f ca="1">IFERROR(OFFSET(貼り付け2!$A$1,まとめ!$B331-1,OFFSET(貼り付け2!$A$1,ROW()-1,MATCH(W$1,貼り付け2!$1:$1,0)-1)-1),"")</f>
        <v/>
      </c>
    </row>
    <row r="332" spans="1:23" x14ac:dyDescent="0.45">
      <c r="A332" t="str">
        <f>貼り付け2!S332</f>
        <v/>
      </c>
      <c r="B332" t="str">
        <f>貼り付け2!R332</f>
        <v/>
      </c>
      <c r="H332" t="str">
        <f ca="1">IFERROR(OFFSET(貼り付け2!$A$1,まとめ!$B332-1,OFFSET(貼り付け2!$A$1,ROW()-1,MATCH(H$1,貼り付け2!$1:$1,0)-1)-1),"")</f>
        <v/>
      </c>
      <c r="M332" t="str">
        <f ca="1">IFERROR(OFFSET(貼り付け2!$A$1,まとめ!$B332-1,OFFSET(貼り付け2!$A$1,ROW()-1,MATCH(M$1,貼り付け2!$1:$1,0)-1)-1),"")</f>
        <v/>
      </c>
      <c r="R332" t="str">
        <f ca="1">IFERROR(OFFSET(貼り付け2!$A$1,まとめ!$B332-1,OFFSET(貼り付け2!$A$1,ROW()-1,MATCH(R$1,貼り付け2!$1:$1,0)-1)-1),"")</f>
        <v/>
      </c>
      <c r="W332" t="str">
        <f ca="1">IFERROR(OFFSET(貼り付け2!$A$1,まとめ!$B332-1,OFFSET(貼り付け2!$A$1,ROW()-1,MATCH(W$1,貼り付け2!$1:$1,0)-1)-1),"")</f>
        <v/>
      </c>
    </row>
    <row r="333" spans="1:23" x14ac:dyDescent="0.45">
      <c r="A333" t="str">
        <f>貼り付け2!S333</f>
        <v/>
      </c>
      <c r="B333" t="str">
        <f>貼り付け2!R333</f>
        <v/>
      </c>
      <c r="H333" t="str">
        <f ca="1">IFERROR(OFFSET(貼り付け2!$A$1,まとめ!$B333-1,OFFSET(貼り付け2!$A$1,ROW()-1,MATCH(H$1,貼り付け2!$1:$1,0)-1)-1),"")</f>
        <v/>
      </c>
      <c r="M333" t="str">
        <f ca="1">IFERROR(OFFSET(貼り付け2!$A$1,まとめ!$B333-1,OFFSET(貼り付け2!$A$1,ROW()-1,MATCH(M$1,貼り付け2!$1:$1,0)-1)-1),"")</f>
        <v/>
      </c>
      <c r="R333" t="str">
        <f ca="1">IFERROR(OFFSET(貼り付け2!$A$1,まとめ!$B333-1,OFFSET(貼り付け2!$A$1,ROW()-1,MATCH(R$1,貼り付け2!$1:$1,0)-1)-1),"")</f>
        <v/>
      </c>
      <c r="W333" t="str">
        <f ca="1">IFERROR(OFFSET(貼り付け2!$A$1,まとめ!$B333-1,OFFSET(貼り付け2!$A$1,ROW()-1,MATCH(W$1,貼り付け2!$1:$1,0)-1)-1),"")</f>
        <v/>
      </c>
    </row>
    <row r="334" spans="1:23" x14ac:dyDescent="0.45">
      <c r="A334" t="str">
        <f>貼り付け2!S334</f>
        <v/>
      </c>
      <c r="B334" t="str">
        <f>貼り付け2!R334</f>
        <v/>
      </c>
      <c r="H334" t="str">
        <f ca="1">IFERROR(OFFSET(貼り付け2!$A$1,まとめ!$B334-1,OFFSET(貼り付け2!$A$1,ROW()-1,MATCH(H$1,貼り付け2!$1:$1,0)-1)-1),"")</f>
        <v/>
      </c>
      <c r="M334" t="str">
        <f ca="1">IFERROR(OFFSET(貼り付け2!$A$1,まとめ!$B334-1,OFFSET(貼り付け2!$A$1,ROW()-1,MATCH(M$1,貼り付け2!$1:$1,0)-1)-1),"")</f>
        <v/>
      </c>
      <c r="R334" t="str">
        <f ca="1">IFERROR(OFFSET(貼り付け2!$A$1,まとめ!$B334-1,OFFSET(貼り付け2!$A$1,ROW()-1,MATCH(R$1,貼り付け2!$1:$1,0)-1)-1),"")</f>
        <v/>
      </c>
      <c r="W334" t="str">
        <f ca="1">IFERROR(OFFSET(貼り付け2!$A$1,まとめ!$B334-1,OFFSET(貼り付け2!$A$1,ROW()-1,MATCH(W$1,貼り付け2!$1:$1,0)-1)-1),"")</f>
        <v/>
      </c>
    </row>
    <row r="335" spans="1:23" x14ac:dyDescent="0.45">
      <c r="A335" t="str">
        <f>貼り付け2!S335</f>
        <v/>
      </c>
      <c r="B335" t="str">
        <f>貼り付け2!R335</f>
        <v/>
      </c>
      <c r="H335" t="str">
        <f ca="1">IFERROR(OFFSET(貼り付け2!$A$1,まとめ!$B335-1,OFFSET(貼り付け2!$A$1,ROW()-1,MATCH(H$1,貼り付け2!$1:$1,0)-1)-1),"")</f>
        <v/>
      </c>
      <c r="M335" t="str">
        <f ca="1">IFERROR(OFFSET(貼り付け2!$A$1,まとめ!$B335-1,OFFSET(貼り付け2!$A$1,ROW()-1,MATCH(M$1,貼り付け2!$1:$1,0)-1)-1),"")</f>
        <v/>
      </c>
      <c r="R335" t="str">
        <f ca="1">IFERROR(OFFSET(貼り付け2!$A$1,まとめ!$B335-1,OFFSET(貼り付け2!$A$1,ROW()-1,MATCH(R$1,貼り付け2!$1:$1,0)-1)-1),"")</f>
        <v/>
      </c>
      <c r="W335" t="str">
        <f ca="1">IFERROR(OFFSET(貼り付け2!$A$1,まとめ!$B335-1,OFFSET(貼り付け2!$A$1,ROW()-1,MATCH(W$1,貼り付け2!$1:$1,0)-1)-1),"")</f>
        <v/>
      </c>
    </row>
    <row r="336" spans="1:23" x14ac:dyDescent="0.45">
      <c r="A336" t="str">
        <f>貼り付け2!S336</f>
        <v/>
      </c>
      <c r="B336" t="str">
        <f>貼り付け2!R336</f>
        <v/>
      </c>
      <c r="H336" t="str">
        <f ca="1">IFERROR(OFFSET(貼り付け2!$A$1,まとめ!$B336-1,OFFSET(貼り付け2!$A$1,ROW()-1,MATCH(H$1,貼り付け2!$1:$1,0)-1)-1),"")</f>
        <v/>
      </c>
      <c r="M336" t="str">
        <f ca="1">IFERROR(OFFSET(貼り付け2!$A$1,まとめ!$B336-1,OFFSET(貼り付け2!$A$1,ROW()-1,MATCH(M$1,貼り付け2!$1:$1,0)-1)-1),"")</f>
        <v/>
      </c>
      <c r="R336" t="str">
        <f ca="1">IFERROR(OFFSET(貼り付け2!$A$1,まとめ!$B336-1,OFFSET(貼り付け2!$A$1,ROW()-1,MATCH(R$1,貼り付け2!$1:$1,0)-1)-1),"")</f>
        <v/>
      </c>
      <c r="W336" t="str">
        <f ca="1">IFERROR(OFFSET(貼り付け2!$A$1,まとめ!$B336-1,OFFSET(貼り付け2!$A$1,ROW()-1,MATCH(W$1,貼り付け2!$1:$1,0)-1)-1),"")</f>
        <v/>
      </c>
    </row>
    <row r="337" spans="1:23" x14ac:dyDescent="0.45">
      <c r="A337" t="str">
        <f>貼り付け2!S337</f>
        <v/>
      </c>
      <c r="B337" t="str">
        <f>貼り付け2!R337</f>
        <v/>
      </c>
      <c r="H337" t="str">
        <f ca="1">IFERROR(OFFSET(貼り付け2!$A$1,まとめ!$B337-1,OFFSET(貼り付け2!$A$1,ROW()-1,MATCH(H$1,貼り付け2!$1:$1,0)-1)-1),"")</f>
        <v/>
      </c>
      <c r="M337" t="str">
        <f ca="1">IFERROR(OFFSET(貼り付け2!$A$1,まとめ!$B337-1,OFFSET(貼り付け2!$A$1,ROW()-1,MATCH(M$1,貼り付け2!$1:$1,0)-1)-1),"")</f>
        <v/>
      </c>
      <c r="R337" t="str">
        <f ca="1">IFERROR(OFFSET(貼り付け2!$A$1,まとめ!$B337-1,OFFSET(貼り付け2!$A$1,ROW()-1,MATCH(R$1,貼り付け2!$1:$1,0)-1)-1),"")</f>
        <v/>
      </c>
      <c r="W337" t="str">
        <f ca="1">IFERROR(OFFSET(貼り付け2!$A$1,まとめ!$B337-1,OFFSET(貼り付け2!$A$1,ROW()-1,MATCH(W$1,貼り付け2!$1:$1,0)-1)-1),"")</f>
        <v/>
      </c>
    </row>
    <row r="338" spans="1:23" x14ac:dyDescent="0.45">
      <c r="A338" t="str">
        <f>貼り付け2!S338</f>
        <v/>
      </c>
      <c r="B338" t="str">
        <f>貼り付け2!R338</f>
        <v/>
      </c>
      <c r="H338" t="str">
        <f ca="1">IFERROR(OFFSET(貼り付け2!$A$1,まとめ!$B338-1,OFFSET(貼り付け2!$A$1,ROW()-1,MATCH(H$1,貼り付け2!$1:$1,0)-1)-1),"")</f>
        <v/>
      </c>
      <c r="M338" t="str">
        <f ca="1">IFERROR(OFFSET(貼り付け2!$A$1,まとめ!$B338-1,OFFSET(貼り付け2!$A$1,ROW()-1,MATCH(M$1,貼り付け2!$1:$1,0)-1)-1),"")</f>
        <v/>
      </c>
      <c r="R338" t="str">
        <f ca="1">IFERROR(OFFSET(貼り付け2!$A$1,まとめ!$B338-1,OFFSET(貼り付け2!$A$1,ROW()-1,MATCH(R$1,貼り付け2!$1:$1,0)-1)-1),"")</f>
        <v/>
      </c>
      <c r="W338" t="str">
        <f ca="1">IFERROR(OFFSET(貼り付け2!$A$1,まとめ!$B338-1,OFFSET(貼り付け2!$A$1,ROW()-1,MATCH(W$1,貼り付け2!$1:$1,0)-1)-1),"")</f>
        <v/>
      </c>
    </row>
    <row r="339" spans="1:23" x14ac:dyDescent="0.45">
      <c r="A339" t="str">
        <f>貼り付け2!S339</f>
        <v/>
      </c>
      <c r="B339" t="str">
        <f>貼り付け2!R339</f>
        <v/>
      </c>
      <c r="H339" t="str">
        <f ca="1">IFERROR(OFFSET(貼り付け2!$A$1,まとめ!$B339-1,OFFSET(貼り付け2!$A$1,ROW()-1,MATCH(H$1,貼り付け2!$1:$1,0)-1)-1),"")</f>
        <v/>
      </c>
      <c r="M339" t="str">
        <f ca="1">IFERROR(OFFSET(貼り付け2!$A$1,まとめ!$B339-1,OFFSET(貼り付け2!$A$1,ROW()-1,MATCH(M$1,貼り付け2!$1:$1,0)-1)-1),"")</f>
        <v/>
      </c>
      <c r="R339" t="str">
        <f ca="1">IFERROR(OFFSET(貼り付け2!$A$1,まとめ!$B339-1,OFFSET(貼り付け2!$A$1,ROW()-1,MATCH(R$1,貼り付け2!$1:$1,0)-1)-1),"")</f>
        <v/>
      </c>
      <c r="W339" t="str">
        <f ca="1">IFERROR(OFFSET(貼り付け2!$A$1,まとめ!$B339-1,OFFSET(貼り付け2!$A$1,ROW()-1,MATCH(W$1,貼り付け2!$1:$1,0)-1)-1),"")</f>
        <v/>
      </c>
    </row>
    <row r="340" spans="1:23" x14ac:dyDescent="0.45">
      <c r="A340" t="str">
        <f>貼り付け2!S340</f>
        <v/>
      </c>
      <c r="B340" t="str">
        <f>貼り付け2!R340</f>
        <v/>
      </c>
      <c r="H340" t="str">
        <f ca="1">IFERROR(OFFSET(貼り付け2!$A$1,まとめ!$B340-1,OFFSET(貼り付け2!$A$1,ROW()-1,MATCH(H$1,貼り付け2!$1:$1,0)-1)-1),"")</f>
        <v/>
      </c>
      <c r="M340" t="str">
        <f ca="1">IFERROR(OFFSET(貼り付け2!$A$1,まとめ!$B340-1,OFFSET(貼り付け2!$A$1,ROW()-1,MATCH(M$1,貼り付け2!$1:$1,0)-1)-1),"")</f>
        <v/>
      </c>
      <c r="R340" t="str">
        <f ca="1">IFERROR(OFFSET(貼り付け2!$A$1,まとめ!$B340-1,OFFSET(貼り付け2!$A$1,ROW()-1,MATCH(R$1,貼り付け2!$1:$1,0)-1)-1),"")</f>
        <v/>
      </c>
      <c r="W340" t="str">
        <f ca="1">IFERROR(OFFSET(貼り付け2!$A$1,まとめ!$B340-1,OFFSET(貼り付け2!$A$1,ROW()-1,MATCH(W$1,貼り付け2!$1:$1,0)-1)-1),"")</f>
        <v/>
      </c>
    </row>
    <row r="341" spans="1:23" x14ac:dyDescent="0.45">
      <c r="A341" t="str">
        <f>貼り付け2!S341</f>
        <v/>
      </c>
      <c r="B341" t="str">
        <f>貼り付け2!R341</f>
        <v/>
      </c>
      <c r="H341" t="str">
        <f ca="1">IFERROR(OFFSET(貼り付け2!$A$1,まとめ!$B341-1,OFFSET(貼り付け2!$A$1,ROW()-1,MATCH(H$1,貼り付け2!$1:$1,0)-1)-1),"")</f>
        <v/>
      </c>
      <c r="M341" t="str">
        <f ca="1">IFERROR(OFFSET(貼り付け2!$A$1,まとめ!$B341-1,OFFSET(貼り付け2!$A$1,ROW()-1,MATCH(M$1,貼り付け2!$1:$1,0)-1)-1),"")</f>
        <v/>
      </c>
      <c r="R341" t="str">
        <f ca="1">IFERROR(OFFSET(貼り付け2!$A$1,まとめ!$B341-1,OFFSET(貼り付け2!$A$1,ROW()-1,MATCH(R$1,貼り付け2!$1:$1,0)-1)-1),"")</f>
        <v/>
      </c>
      <c r="W341" t="str">
        <f ca="1">IFERROR(OFFSET(貼り付け2!$A$1,まとめ!$B341-1,OFFSET(貼り付け2!$A$1,ROW()-1,MATCH(W$1,貼り付け2!$1:$1,0)-1)-1),"")</f>
        <v/>
      </c>
    </row>
    <row r="342" spans="1:23" x14ac:dyDescent="0.45">
      <c r="A342" t="str">
        <f>貼り付け2!S342</f>
        <v/>
      </c>
      <c r="B342" t="str">
        <f>貼り付け2!R342</f>
        <v/>
      </c>
      <c r="H342" t="str">
        <f ca="1">IFERROR(OFFSET(貼り付け2!$A$1,まとめ!$B342-1,OFFSET(貼り付け2!$A$1,ROW()-1,MATCH(H$1,貼り付け2!$1:$1,0)-1)-1),"")</f>
        <v/>
      </c>
      <c r="M342" t="str">
        <f ca="1">IFERROR(OFFSET(貼り付け2!$A$1,まとめ!$B342-1,OFFSET(貼り付け2!$A$1,ROW()-1,MATCH(M$1,貼り付け2!$1:$1,0)-1)-1),"")</f>
        <v/>
      </c>
      <c r="R342" t="str">
        <f ca="1">IFERROR(OFFSET(貼り付け2!$A$1,まとめ!$B342-1,OFFSET(貼り付け2!$A$1,ROW()-1,MATCH(R$1,貼り付け2!$1:$1,0)-1)-1),"")</f>
        <v/>
      </c>
      <c r="W342" t="str">
        <f ca="1">IFERROR(OFFSET(貼り付け2!$A$1,まとめ!$B342-1,OFFSET(貼り付け2!$A$1,ROW()-1,MATCH(W$1,貼り付け2!$1:$1,0)-1)-1),"")</f>
        <v/>
      </c>
    </row>
    <row r="343" spans="1:23" x14ac:dyDescent="0.45">
      <c r="A343" t="str">
        <f>貼り付け2!S343</f>
        <v/>
      </c>
      <c r="B343" t="str">
        <f>貼り付け2!R343</f>
        <v/>
      </c>
      <c r="H343" t="str">
        <f ca="1">IFERROR(OFFSET(貼り付け2!$A$1,まとめ!$B343-1,OFFSET(貼り付け2!$A$1,ROW()-1,MATCH(H$1,貼り付け2!$1:$1,0)-1)-1),"")</f>
        <v/>
      </c>
      <c r="M343" t="str">
        <f ca="1">IFERROR(OFFSET(貼り付け2!$A$1,まとめ!$B343-1,OFFSET(貼り付け2!$A$1,ROW()-1,MATCH(M$1,貼り付け2!$1:$1,0)-1)-1),"")</f>
        <v/>
      </c>
      <c r="R343" t="str">
        <f ca="1">IFERROR(OFFSET(貼り付け2!$A$1,まとめ!$B343-1,OFFSET(貼り付け2!$A$1,ROW()-1,MATCH(R$1,貼り付け2!$1:$1,0)-1)-1),"")</f>
        <v/>
      </c>
      <c r="W343" t="str">
        <f ca="1">IFERROR(OFFSET(貼り付け2!$A$1,まとめ!$B343-1,OFFSET(貼り付け2!$A$1,ROW()-1,MATCH(W$1,貼り付け2!$1:$1,0)-1)-1),"")</f>
        <v/>
      </c>
    </row>
    <row r="344" spans="1:23" x14ac:dyDescent="0.45">
      <c r="A344" t="str">
        <f>貼り付け2!S344</f>
        <v/>
      </c>
      <c r="B344" t="str">
        <f>貼り付け2!R344</f>
        <v/>
      </c>
      <c r="H344" t="str">
        <f ca="1">IFERROR(OFFSET(貼り付け2!$A$1,まとめ!$B344-1,OFFSET(貼り付け2!$A$1,ROW()-1,MATCH(H$1,貼り付け2!$1:$1,0)-1)-1),"")</f>
        <v/>
      </c>
      <c r="M344" t="str">
        <f ca="1">IFERROR(OFFSET(貼り付け2!$A$1,まとめ!$B344-1,OFFSET(貼り付け2!$A$1,ROW()-1,MATCH(M$1,貼り付け2!$1:$1,0)-1)-1),"")</f>
        <v/>
      </c>
      <c r="R344" t="str">
        <f ca="1">IFERROR(OFFSET(貼り付け2!$A$1,まとめ!$B344-1,OFFSET(貼り付け2!$A$1,ROW()-1,MATCH(R$1,貼り付け2!$1:$1,0)-1)-1),"")</f>
        <v/>
      </c>
      <c r="W344" t="str">
        <f ca="1">IFERROR(OFFSET(貼り付け2!$A$1,まとめ!$B344-1,OFFSET(貼り付け2!$A$1,ROW()-1,MATCH(W$1,貼り付け2!$1:$1,0)-1)-1),"")</f>
        <v/>
      </c>
    </row>
    <row r="345" spans="1:23" x14ac:dyDescent="0.45">
      <c r="A345" t="str">
        <f>貼り付け2!S345</f>
        <v/>
      </c>
      <c r="B345" t="str">
        <f>貼り付け2!R345</f>
        <v/>
      </c>
      <c r="H345" t="str">
        <f ca="1">IFERROR(OFFSET(貼り付け2!$A$1,まとめ!$B345-1,OFFSET(貼り付け2!$A$1,ROW()-1,MATCH(H$1,貼り付け2!$1:$1,0)-1)-1),"")</f>
        <v/>
      </c>
      <c r="M345" t="str">
        <f ca="1">IFERROR(OFFSET(貼り付け2!$A$1,まとめ!$B345-1,OFFSET(貼り付け2!$A$1,ROW()-1,MATCH(M$1,貼り付け2!$1:$1,0)-1)-1),"")</f>
        <v/>
      </c>
      <c r="R345" t="str">
        <f ca="1">IFERROR(OFFSET(貼り付け2!$A$1,まとめ!$B345-1,OFFSET(貼り付け2!$A$1,ROW()-1,MATCH(R$1,貼り付け2!$1:$1,0)-1)-1),"")</f>
        <v/>
      </c>
      <c r="W345" t="str">
        <f ca="1">IFERROR(OFFSET(貼り付け2!$A$1,まとめ!$B345-1,OFFSET(貼り付け2!$A$1,ROW()-1,MATCH(W$1,貼り付け2!$1:$1,0)-1)-1),"")</f>
        <v/>
      </c>
    </row>
    <row r="346" spans="1:23" x14ac:dyDescent="0.45">
      <c r="A346" t="str">
        <f>貼り付け2!S346</f>
        <v/>
      </c>
      <c r="B346" t="str">
        <f>貼り付け2!R346</f>
        <v/>
      </c>
      <c r="H346" t="str">
        <f ca="1">IFERROR(OFFSET(貼り付け2!$A$1,まとめ!$B346-1,OFFSET(貼り付け2!$A$1,ROW()-1,MATCH(H$1,貼り付け2!$1:$1,0)-1)-1),"")</f>
        <v/>
      </c>
      <c r="M346" t="str">
        <f ca="1">IFERROR(OFFSET(貼り付け2!$A$1,まとめ!$B346-1,OFFSET(貼り付け2!$A$1,ROW()-1,MATCH(M$1,貼り付け2!$1:$1,0)-1)-1),"")</f>
        <v/>
      </c>
      <c r="R346" t="str">
        <f ca="1">IFERROR(OFFSET(貼り付け2!$A$1,まとめ!$B346-1,OFFSET(貼り付け2!$A$1,ROW()-1,MATCH(R$1,貼り付け2!$1:$1,0)-1)-1),"")</f>
        <v/>
      </c>
      <c r="W346" t="str">
        <f ca="1">IFERROR(OFFSET(貼り付け2!$A$1,まとめ!$B346-1,OFFSET(貼り付け2!$A$1,ROW()-1,MATCH(W$1,貼り付け2!$1:$1,0)-1)-1),"")</f>
        <v/>
      </c>
    </row>
    <row r="347" spans="1:23" x14ac:dyDescent="0.45">
      <c r="A347" t="str">
        <f>貼り付け2!S347</f>
        <v/>
      </c>
      <c r="B347" t="str">
        <f>貼り付け2!R347</f>
        <v/>
      </c>
      <c r="H347" t="str">
        <f ca="1">IFERROR(OFFSET(貼り付け2!$A$1,まとめ!$B347-1,OFFSET(貼り付け2!$A$1,ROW()-1,MATCH(H$1,貼り付け2!$1:$1,0)-1)-1),"")</f>
        <v/>
      </c>
      <c r="M347" t="str">
        <f ca="1">IFERROR(OFFSET(貼り付け2!$A$1,まとめ!$B347-1,OFFSET(貼り付け2!$A$1,ROW()-1,MATCH(M$1,貼り付け2!$1:$1,0)-1)-1),"")</f>
        <v/>
      </c>
      <c r="R347" t="str">
        <f ca="1">IFERROR(OFFSET(貼り付け2!$A$1,まとめ!$B347-1,OFFSET(貼り付け2!$A$1,ROW()-1,MATCH(R$1,貼り付け2!$1:$1,0)-1)-1),"")</f>
        <v/>
      </c>
      <c r="W347" t="str">
        <f ca="1">IFERROR(OFFSET(貼り付け2!$A$1,まとめ!$B347-1,OFFSET(貼り付け2!$A$1,ROW()-1,MATCH(W$1,貼り付け2!$1:$1,0)-1)-1),"")</f>
        <v/>
      </c>
    </row>
    <row r="348" spans="1:23" x14ac:dyDescent="0.45">
      <c r="A348" t="str">
        <f>貼り付け2!S348</f>
        <v/>
      </c>
      <c r="B348" t="str">
        <f>貼り付け2!R348</f>
        <v/>
      </c>
      <c r="H348" t="str">
        <f ca="1">IFERROR(OFFSET(貼り付け2!$A$1,まとめ!$B348-1,OFFSET(貼り付け2!$A$1,ROW()-1,MATCH(H$1,貼り付け2!$1:$1,0)-1)-1),"")</f>
        <v/>
      </c>
      <c r="M348" t="str">
        <f ca="1">IFERROR(OFFSET(貼り付け2!$A$1,まとめ!$B348-1,OFFSET(貼り付け2!$A$1,ROW()-1,MATCH(M$1,貼り付け2!$1:$1,0)-1)-1),"")</f>
        <v/>
      </c>
      <c r="R348" t="str">
        <f ca="1">IFERROR(OFFSET(貼り付け2!$A$1,まとめ!$B348-1,OFFSET(貼り付け2!$A$1,ROW()-1,MATCH(R$1,貼り付け2!$1:$1,0)-1)-1),"")</f>
        <v/>
      </c>
      <c r="W348" t="str">
        <f ca="1">IFERROR(OFFSET(貼り付け2!$A$1,まとめ!$B348-1,OFFSET(貼り付け2!$A$1,ROW()-1,MATCH(W$1,貼り付け2!$1:$1,0)-1)-1),"")</f>
        <v/>
      </c>
    </row>
    <row r="349" spans="1:23" x14ac:dyDescent="0.45">
      <c r="A349" t="str">
        <f>貼り付け2!S349</f>
        <v/>
      </c>
      <c r="B349" t="str">
        <f>貼り付け2!R349</f>
        <v/>
      </c>
      <c r="H349" t="str">
        <f ca="1">IFERROR(OFFSET(貼り付け2!$A$1,まとめ!$B349-1,OFFSET(貼り付け2!$A$1,ROW()-1,MATCH(H$1,貼り付け2!$1:$1,0)-1)-1),"")</f>
        <v/>
      </c>
      <c r="M349" t="str">
        <f ca="1">IFERROR(OFFSET(貼り付け2!$A$1,まとめ!$B349-1,OFFSET(貼り付け2!$A$1,ROW()-1,MATCH(M$1,貼り付け2!$1:$1,0)-1)-1),"")</f>
        <v/>
      </c>
      <c r="R349" t="str">
        <f ca="1">IFERROR(OFFSET(貼り付け2!$A$1,まとめ!$B349-1,OFFSET(貼り付け2!$A$1,ROW()-1,MATCH(R$1,貼り付け2!$1:$1,0)-1)-1),"")</f>
        <v/>
      </c>
      <c r="W349" t="str">
        <f ca="1">IFERROR(OFFSET(貼り付け2!$A$1,まとめ!$B349-1,OFFSET(貼り付け2!$A$1,ROW()-1,MATCH(W$1,貼り付け2!$1:$1,0)-1)-1),"")</f>
        <v/>
      </c>
    </row>
    <row r="350" spans="1:23" x14ac:dyDescent="0.45">
      <c r="A350" t="str">
        <f>貼り付け2!S350</f>
        <v/>
      </c>
      <c r="B350" t="str">
        <f>貼り付け2!R350</f>
        <v/>
      </c>
      <c r="H350" t="str">
        <f ca="1">IFERROR(OFFSET(貼り付け2!$A$1,まとめ!$B350-1,OFFSET(貼り付け2!$A$1,ROW()-1,MATCH(H$1,貼り付け2!$1:$1,0)-1)-1),"")</f>
        <v/>
      </c>
      <c r="M350" t="str">
        <f ca="1">IFERROR(OFFSET(貼り付け2!$A$1,まとめ!$B350-1,OFFSET(貼り付け2!$A$1,ROW()-1,MATCH(M$1,貼り付け2!$1:$1,0)-1)-1),"")</f>
        <v/>
      </c>
      <c r="R350" t="str">
        <f ca="1">IFERROR(OFFSET(貼り付け2!$A$1,まとめ!$B350-1,OFFSET(貼り付け2!$A$1,ROW()-1,MATCH(R$1,貼り付け2!$1:$1,0)-1)-1),"")</f>
        <v/>
      </c>
      <c r="W350" t="str">
        <f ca="1">IFERROR(OFFSET(貼り付け2!$A$1,まとめ!$B350-1,OFFSET(貼り付け2!$A$1,ROW()-1,MATCH(W$1,貼り付け2!$1:$1,0)-1)-1),"")</f>
        <v/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44093-B985-468A-A227-D595F0E09F57}">
  <sheetPr>
    <pageSetUpPr fitToPage="1"/>
  </sheetPr>
  <dimension ref="A1:P49"/>
  <sheetViews>
    <sheetView tabSelected="1" zoomScale="52" zoomScaleNormal="52" workbookViewId="0">
      <selection activeCell="N3" sqref="N3"/>
    </sheetView>
  </sheetViews>
  <sheetFormatPr defaultRowHeight="18" customHeight="1" x14ac:dyDescent="0.45"/>
  <cols>
    <col min="1" max="1" width="2.09765625" style="5" customWidth="1"/>
    <col min="5" max="5" width="2.09765625" style="5" customWidth="1"/>
    <col min="9" max="9" width="2.09765625" style="5" customWidth="1"/>
    <col min="13" max="13" width="2.09765625" style="5" customWidth="1"/>
  </cols>
  <sheetData>
    <row r="1" spans="1:16" ht="18" customHeight="1" x14ac:dyDescent="0.45">
      <c r="A1" s="5">
        <v>1</v>
      </c>
      <c r="B1" s="4" t="e">
        <f ca="1">OFFSET(まとめ!$A$1,A9,MATCH(A2,まとめ!$1:$1,0)-1)</f>
        <v>#VALUE!</v>
      </c>
      <c r="C1" s="4"/>
      <c r="D1" s="4"/>
      <c r="E1" s="5">
        <f>A1+1</f>
        <v>2</v>
      </c>
      <c r="F1" s="4" t="e">
        <f ca="1">OFFSET(まとめ!$A$1,E9,MATCH(E2,まとめ!$1:$1,0)-1)</f>
        <v>#VALUE!</v>
      </c>
      <c r="G1" s="4"/>
      <c r="H1" s="4"/>
      <c r="I1" s="5">
        <f>E1+1</f>
        <v>3</v>
      </c>
      <c r="J1" s="4" t="e">
        <f ca="1">OFFSET(まとめ!$A$1,I9,MATCH(I2,まとめ!$1:$1,0)-1)</f>
        <v>#VALUE!</v>
      </c>
      <c r="K1" s="4"/>
      <c r="L1" s="4"/>
      <c r="M1" s="5">
        <f>I1+1</f>
        <v>4</v>
      </c>
      <c r="N1" s="4" t="e">
        <f ca="1">OFFSET(まとめ!$A$1,M9,MATCH(M2,まとめ!$1:$1,0)-1)</f>
        <v>#VALUE!</v>
      </c>
      <c r="O1" s="4"/>
      <c r="P1" s="4"/>
    </row>
    <row r="2" spans="1:16" ht="18" customHeight="1" x14ac:dyDescent="0.45">
      <c r="A2" s="5" t="str">
        <f>"クライアント名"&amp;A$1</f>
        <v>クライアント名1</v>
      </c>
      <c r="B2" t="e">
        <f ca="1">LEFT(OFFSET(まとめ!$A$1,A9,MATCH(A3,まとめ!$1:$1,0)-1), FIND("・", OFFSET(まとめ!$A$1,A9,MATCH(A3,まとめ!$1:$1,0)-1))-1)</f>
        <v>#VALUE!</v>
      </c>
      <c r="D2" t="e">
        <f ca="1">MID(OFFSET(まとめ!$A$1,A9,MATCH(A3,まとめ!$1:$1,0)-1), FIND("・",OFFSET(まとめ!$A$1,A9,MATCH(A3,まとめ!$1:$1,0)-1))+1, LEN(OFFSET(まとめ!$A$1,A9,MATCH(A3,まとめ!$1:$1,0)-1)))</f>
        <v>#VALUE!</v>
      </c>
      <c r="E2" s="5" t="str">
        <f>"クライアント名"&amp;E$1</f>
        <v>クライアント名2</v>
      </c>
      <c r="F2" t="e">
        <f ca="1">LEFT(OFFSET(まとめ!$A$1,E9,MATCH(E3,まとめ!$1:$1,0)-1), FIND("・", OFFSET(まとめ!$A$1,E9,MATCH(E3,まとめ!$1:$1,0)-1))-1)</f>
        <v>#VALUE!</v>
      </c>
      <c r="H2" t="e">
        <f ca="1">MID(OFFSET(まとめ!$A$1,E9,MATCH(E3,まとめ!$1:$1,0)-1), FIND("・",OFFSET(まとめ!$A$1,E9,MATCH(E3,まとめ!$1:$1,0)-1))+1, LEN(OFFSET(まとめ!$A$1,E9,MATCH(E3,まとめ!$1:$1,0)-1)))</f>
        <v>#VALUE!</v>
      </c>
      <c r="I2" s="5" t="str">
        <f>"クライアント名"&amp;I$1</f>
        <v>クライアント名3</v>
      </c>
      <c r="J2" t="e">
        <f ca="1">LEFT(OFFSET(まとめ!$A$1,I9,MATCH(I3,まとめ!$1:$1,0)-1), FIND("・", OFFSET(まとめ!$A$1,I9,MATCH(I3,まとめ!$1:$1,0)-1))-1)</f>
        <v>#VALUE!</v>
      </c>
      <c r="L2" t="e">
        <f ca="1">MID(OFFSET(まとめ!$A$1,I9,MATCH(I3,まとめ!$1:$1,0)-1), FIND("・",OFFSET(まとめ!$A$1,I9,MATCH(I3,まとめ!$1:$1,0)-1))+1, LEN(OFFSET(まとめ!$A$1,I9,MATCH(I3,まとめ!$1:$1,0)-1)))</f>
        <v>#VALUE!</v>
      </c>
      <c r="M2" s="5" t="str">
        <f>"クライアント名"&amp;M$1</f>
        <v>クライアント名4</v>
      </c>
      <c r="N2" t="e">
        <f ca="1">LEFT(OFFSET(まとめ!$A$1,M9,MATCH(M3,まとめ!$1:$1,0)-1), FIND("・", OFFSET(まとめ!$A$1,M9,MATCH(M3,まとめ!$1:$1,0)-1))-1)</f>
        <v>#VALUE!</v>
      </c>
      <c r="P2" t="e">
        <f ca="1">MID(OFFSET(まとめ!$A$1,M9,MATCH(M3,まとめ!$1:$1,0)-1), FIND("・",OFFSET(まとめ!$A$1,M9,MATCH(M3,まとめ!$1:$1,0)-1))+1, LEN(OFFSET(まとめ!$A$1,M9,MATCH(M3,まとめ!$1:$1,0)-1)))</f>
        <v>#VALUE!</v>
      </c>
    </row>
    <row r="3" spans="1:16" ht="18" customHeight="1" x14ac:dyDescent="0.45">
      <c r="A3" s="5" t="str">
        <f>"種類"&amp;A$1</f>
        <v>種類1</v>
      </c>
      <c r="E3" s="5" t="str">
        <f>"種類"&amp;E$1</f>
        <v>種類2</v>
      </c>
      <c r="I3" s="5" t="str">
        <f>"種類"&amp;I$1</f>
        <v>種類3</v>
      </c>
      <c r="M3" s="5" t="str">
        <f>"種類"&amp;M$1</f>
        <v>種類4</v>
      </c>
    </row>
    <row r="4" spans="1:16" ht="18" customHeight="1" x14ac:dyDescent="0.45">
      <c r="A4" s="5" t="str">
        <f>"学年"&amp;A$1</f>
        <v>学年1</v>
      </c>
      <c r="B4" s="3" t="e">
        <f ca="1">OFFSET(まとめ!$A$1,A9,MATCH(A7,まとめ!$1:$1,0)-1)</f>
        <v>#REF!</v>
      </c>
      <c r="C4" s="3"/>
      <c r="D4" s="3"/>
      <c r="E4" s="5" t="str">
        <f>"学年"&amp;E$1</f>
        <v>学年2</v>
      </c>
      <c r="F4" s="3" t="e">
        <f ca="1">OFFSET(まとめ!$A$1,E9,MATCH(E7,まとめ!$1:$1,0)-1)</f>
        <v>#REF!</v>
      </c>
      <c r="G4" s="3"/>
      <c r="H4" s="3"/>
      <c r="I4" s="5" t="str">
        <f>"学年"&amp;I$1</f>
        <v>学年3</v>
      </c>
      <c r="J4" s="3" t="e">
        <f ca="1">OFFSET(まとめ!$A$1,I9,MATCH(I7,まとめ!$1:$1,0)-1)</f>
        <v>#REF!</v>
      </c>
      <c r="K4" s="3"/>
      <c r="L4" s="3"/>
      <c r="M4" s="5" t="str">
        <f>"学年"&amp;M$1</f>
        <v>学年4</v>
      </c>
      <c r="N4" s="3" t="e">
        <f ca="1">OFFSET(まとめ!$A$1,M9,MATCH(M7,まとめ!$1:$1,0)-1)</f>
        <v>#REF!</v>
      </c>
      <c r="O4" s="3"/>
      <c r="P4" s="3"/>
    </row>
    <row r="5" spans="1:16" ht="18" customHeight="1" x14ac:dyDescent="0.45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</row>
    <row r="6" spans="1:16" ht="18" customHeight="1" x14ac:dyDescent="0.45">
      <c r="B6" s="3" t="e">
        <f ca="1">OFFSET(まとめ!$A$1,A9,MATCH(A8,まとめ!$1:$1,0)-1)</f>
        <v>#REF!</v>
      </c>
      <c r="C6" s="3"/>
      <c r="D6" s="3"/>
      <c r="F6" s="3" t="e">
        <f ca="1">OFFSET(まとめ!$A$1,E9,MATCH(E8,まとめ!$1:$1,0)-1)</f>
        <v>#REF!</v>
      </c>
      <c r="G6" s="3"/>
      <c r="H6" s="3"/>
      <c r="J6" s="3" t="e">
        <f ca="1">OFFSET(まとめ!$A$1,I9,MATCH(I8,まとめ!$1:$1,0)-1)</f>
        <v>#REF!</v>
      </c>
      <c r="K6" s="3"/>
      <c r="L6" s="3"/>
      <c r="N6" s="3" t="e">
        <f ca="1">OFFSET(まとめ!$A$1,M9,MATCH(M8,まとめ!$1:$1,0)-1)</f>
        <v>#REF!</v>
      </c>
      <c r="O6" s="3"/>
      <c r="P6" s="3"/>
    </row>
    <row r="7" spans="1:16" ht="18" customHeight="1" x14ac:dyDescent="0.45">
      <c r="A7" s="5" t="str">
        <f>"クラス"&amp;A$1</f>
        <v>クラス1</v>
      </c>
      <c r="B7" s="3"/>
      <c r="C7" s="3"/>
      <c r="D7" s="3"/>
      <c r="E7" s="5" t="str">
        <f>"クラス"&amp;E$1</f>
        <v>クラス2</v>
      </c>
      <c r="F7" s="3"/>
      <c r="G7" s="3"/>
      <c r="H7" s="3"/>
      <c r="I7" s="5" t="str">
        <f>"クラス"&amp;I$1</f>
        <v>クラス3</v>
      </c>
      <c r="J7" s="3"/>
      <c r="K7" s="3"/>
      <c r="L7" s="3"/>
      <c r="M7" s="5" t="str">
        <f>"クラス"&amp;M$1</f>
        <v>クラス4</v>
      </c>
      <c r="N7" s="3"/>
      <c r="O7" s="3"/>
      <c r="P7" s="3"/>
    </row>
    <row r="8" spans="1:16" ht="18" customHeight="1" x14ac:dyDescent="0.45">
      <c r="A8" s="5" t="str">
        <f>"個数"&amp;A$1</f>
        <v>個数1</v>
      </c>
      <c r="B8" s="2"/>
      <c r="C8" s="2"/>
      <c r="D8" s="2"/>
      <c r="E8" s="5" t="str">
        <f>"個数"&amp;E$1</f>
        <v>個数2</v>
      </c>
      <c r="F8" s="2"/>
      <c r="G8" s="2"/>
      <c r="H8" s="2"/>
      <c r="I8" s="5" t="str">
        <f>"個数"&amp;I$1</f>
        <v>個数3</v>
      </c>
      <c r="J8" s="2"/>
      <c r="K8" s="2"/>
      <c r="L8" s="2"/>
      <c r="M8" s="5" t="str">
        <f>"個数"&amp;M$1</f>
        <v>個数4</v>
      </c>
      <c r="N8" s="2"/>
      <c r="O8" s="2"/>
      <c r="P8" s="2"/>
    </row>
    <row r="9" spans="1:16" ht="18" customHeight="1" x14ac:dyDescent="0.45">
      <c r="A9" s="5">
        <v>1</v>
      </c>
      <c r="B9">
        <f>まとめ!$C$1</f>
        <v>0</v>
      </c>
      <c r="D9" t="str">
        <f ca="1">OFFSET(まとめ!$A$1,A9,MATCH(A4,まとめ!$1:$1,0)-1)</f>
        <v/>
      </c>
      <c r="E9" s="5">
        <f>A9</f>
        <v>1</v>
      </c>
      <c r="F9">
        <f>まとめ!$C$1</f>
        <v>0</v>
      </c>
      <c r="H9" t="str">
        <f ca="1">OFFSET(まとめ!$A$1,E9,MATCH(E4,まとめ!$1:$1,0)-1)</f>
        <v/>
      </c>
      <c r="I9" s="5">
        <f>A9</f>
        <v>1</v>
      </c>
      <c r="J9">
        <f>まとめ!$C$1</f>
        <v>0</v>
      </c>
      <c r="L9" t="str">
        <f ca="1">OFFSET(まとめ!$A$1,I9,MATCH(I4,まとめ!$1:$1,0)-1)</f>
        <v/>
      </c>
      <c r="M9" s="5">
        <f>A9</f>
        <v>1</v>
      </c>
      <c r="N9">
        <f>まとめ!$C$1</f>
        <v>0</v>
      </c>
      <c r="P9" t="str">
        <f ca="1">OFFSET(まとめ!$A$1,M9,MATCH(M4,まとめ!$1:$1,0)-1)</f>
        <v/>
      </c>
    </row>
    <row r="11" spans="1:16" ht="18" customHeight="1" x14ac:dyDescent="0.45">
      <c r="B11" s="4" t="e">
        <f ca="1">OFFSET(まとめ!$A$1,A19,MATCH(A12,まとめ!$1:$1,0)-1)</f>
        <v>#VALUE!</v>
      </c>
      <c r="C11" s="4"/>
      <c r="D11" s="4"/>
      <c r="F11" s="4" t="e">
        <f ca="1">OFFSET(まとめ!$A$1,E19,MATCH(E12,まとめ!$1:$1,0)-1)</f>
        <v>#VALUE!</v>
      </c>
      <c r="G11" s="4"/>
      <c r="H11" s="4"/>
      <c r="J11" s="4" t="e">
        <f ca="1">OFFSET(まとめ!$A$1,I19,MATCH(I12,まとめ!$1:$1,0)-1)</f>
        <v>#VALUE!</v>
      </c>
      <c r="K11" s="4"/>
      <c r="L11" s="4"/>
      <c r="N11" s="4" t="e">
        <f ca="1">OFFSET(まとめ!$A$1,M19,MATCH(M12,まとめ!$1:$1,0)-1)</f>
        <v>#VALUE!</v>
      </c>
      <c r="O11" s="4"/>
      <c r="P11" s="4"/>
    </row>
    <row r="12" spans="1:16" ht="18" customHeight="1" x14ac:dyDescent="0.45">
      <c r="A12" s="5" t="str">
        <f>"クライアント名"&amp;A$1</f>
        <v>クライアント名1</v>
      </c>
      <c r="B12" t="e">
        <f ca="1">LEFT(OFFSET(まとめ!$A$1,A19,MATCH(A13,まとめ!$1:$1,0)-1), FIND("・", OFFSET(まとめ!$A$1,A19,MATCH(A13,まとめ!$1:$1,0)-1))-1)</f>
        <v>#VALUE!</v>
      </c>
      <c r="D12" t="e">
        <f ca="1">MID(OFFSET(まとめ!$A$1,A19,MATCH(A13,まとめ!$1:$1,0)-1), FIND("・",OFFSET(まとめ!$A$1,A19,MATCH(A13,まとめ!$1:$1,0)-1))+1, LEN(OFFSET(まとめ!$A$1,A19,MATCH(A13,まとめ!$1:$1,0)-1)))</f>
        <v>#VALUE!</v>
      </c>
      <c r="E12" s="5" t="str">
        <f>"クライアント名"&amp;E$1</f>
        <v>クライアント名2</v>
      </c>
      <c r="F12" t="e">
        <f ca="1">LEFT(OFFSET(まとめ!$A$1,E19,MATCH(E13,まとめ!$1:$1,0)-1), FIND("・", OFFSET(まとめ!$A$1,E19,MATCH(E13,まとめ!$1:$1,0)-1))-1)</f>
        <v>#VALUE!</v>
      </c>
      <c r="H12" t="e">
        <f ca="1">MID(OFFSET(まとめ!$A$1,E19,MATCH(E13,まとめ!$1:$1,0)-1), FIND("・",OFFSET(まとめ!$A$1,E19,MATCH(E13,まとめ!$1:$1,0)-1))+1, LEN(OFFSET(まとめ!$A$1,E19,MATCH(E13,まとめ!$1:$1,0)-1)))</f>
        <v>#VALUE!</v>
      </c>
      <c r="I12" s="5" t="str">
        <f>"クライアント名"&amp;I$1</f>
        <v>クライアント名3</v>
      </c>
      <c r="J12" t="e">
        <f ca="1">LEFT(OFFSET(まとめ!$A$1,I19,MATCH(I13,まとめ!$1:$1,0)-1), FIND("・", OFFSET(まとめ!$A$1,I19,MATCH(I13,まとめ!$1:$1,0)-1))-1)</f>
        <v>#VALUE!</v>
      </c>
      <c r="L12" t="e">
        <f ca="1">MID(OFFSET(まとめ!$A$1,I19,MATCH(I13,まとめ!$1:$1,0)-1), FIND("・",OFFSET(まとめ!$A$1,I19,MATCH(I13,まとめ!$1:$1,0)-1))+1, LEN(OFFSET(まとめ!$A$1,I19,MATCH(I13,まとめ!$1:$1,0)-1)))</f>
        <v>#VALUE!</v>
      </c>
      <c r="M12" s="5" t="str">
        <f>"クライアント名"&amp;M$1</f>
        <v>クライアント名4</v>
      </c>
      <c r="N12" t="e">
        <f ca="1">LEFT(OFFSET(まとめ!$A$1,M19,MATCH(M13,まとめ!$1:$1,0)-1), FIND("・", OFFSET(まとめ!$A$1,M19,MATCH(M13,まとめ!$1:$1,0)-1))-1)</f>
        <v>#VALUE!</v>
      </c>
      <c r="P12" t="e">
        <f ca="1">MID(OFFSET(まとめ!$A$1,M19,MATCH(M13,まとめ!$1:$1,0)-1), FIND("・",OFFSET(まとめ!$A$1,M19,MATCH(M13,まとめ!$1:$1,0)-1))+1, LEN(OFFSET(まとめ!$A$1,M19,MATCH(M13,まとめ!$1:$1,0)-1)))</f>
        <v>#VALUE!</v>
      </c>
    </row>
    <row r="13" spans="1:16" ht="18" customHeight="1" x14ac:dyDescent="0.45">
      <c r="A13" s="5" t="str">
        <f>"種類"&amp;A$1</f>
        <v>種類1</v>
      </c>
      <c r="E13" s="5" t="str">
        <f>"種類"&amp;E$1</f>
        <v>種類2</v>
      </c>
      <c r="I13" s="5" t="str">
        <f>"種類"&amp;I$1</f>
        <v>種類3</v>
      </c>
      <c r="M13" s="5" t="str">
        <f>"種類"&amp;M$1</f>
        <v>種類4</v>
      </c>
    </row>
    <row r="14" spans="1:16" ht="18" customHeight="1" x14ac:dyDescent="0.45">
      <c r="A14" s="5" t="str">
        <f>"学年"&amp;A$1</f>
        <v>学年1</v>
      </c>
      <c r="B14" s="3" t="e">
        <f ca="1">OFFSET(まとめ!$A$1,A19,MATCH(A17,まとめ!$1:$1,0)-1)</f>
        <v>#REF!</v>
      </c>
      <c r="C14" s="3"/>
      <c r="D14" s="3"/>
      <c r="E14" s="5" t="str">
        <f>"学年"&amp;E$1</f>
        <v>学年2</v>
      </c>
      <c r="F14" s="3" t="e">
        <f ca="1">OFFSET(まとめ!$A$1,E19,MATCH(E17,まとめ!$1:$1,0)-1)</f>
        <v>#REF!</v>
      </c>
      <c r="G14" s="3"/>
      <c r="H14" s="3"/>
      <c r="I14" s="5" t="str">
        <f>"学年"&amp;I$1</f>
        <v>学年3</v>
      </c>
      <c r="J14" s="3" t="e">
        <f ca="1">OFFSET(まとめ!$A$1,I19,MATCH(I17,まとめ!$1:$1,0)-1)</f>
        <v>#REF!</v>
      </c>
      <c r="K14" s="3"/>
      <c r="L14" s="3"/>
      <c r="M14" s="5" t="str">
        <f>"学年"&amp;M$1</f>
        <v>学年4</v>
      </c>
      <c r="N14" s="3" t="e">
        <f ca="1">OFFSET(まとめ!$A$1,M19,MATCH(M17,まとめ!$1:$1,0)-1)</f>
        <v>#REF!</v>
      </c>
      <c r="O14" s="3"/>
      <c r="P14" s="3"/>
    </row>
    <row r="15" spans="1:16" ht="18" customHeight="1" x14ac:dyDescent="0.45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</row>
    <row r="16" spans="1:16" ht="18" customHeight="1" x14ac:dyDescent="0.45">
      <c r="B16" s="3" t="e">
        <f ca="1">OFFSET(まとめ!$A$1,A19,MATCH(A18,まとめ!$1:$1,0)-1)</f>
        <v>#REF!</v>
      </c>
      <c r="C16" s="3"/>
      <c r="D16" s="3"/>
      <c r="F16" s="3" t="e">
        <f ca="1">OFFSET(まとめ!$A$1,E19,MATCH(E18,まとめ!$1:$1,0)-1)</f>
        <v>#REF!</v>
      </c>
      <c r="G16" s="3"/>
      <c r="H16" s="3"/>
      <c r="J16" s="3" t="e">
        <f ca="1">OFFSET(まとめ!$A$1,I19,MATCH(I18,まとめ!$1:$1,0)-1)</f>
        <v>#REF!</v>
      </c>
      <c r="K16" s="3"/>
      <c r="L16" s="3"/>
      <c r="N16" s="3" t="e">
        <f ca="1">OFFSET(まとめ!$A$1,M19,MATCH(M18,まとめ!$1:$1,0)-1)</f>
        <v>#REF!</v>
      </c>
      <c r="O16" s="3"/>
      <c r="P16" s="3"/>
    </row>
    <row r="17" spans="1:16" ht="18" customHeight="1" x14ac:dyDescent="0.45">
      <c r="A17" s="5" t="str">
        <f>"クラス"&amp;A$1</f>
        <v>クラス1</v>
      </c>
      <c r="B17" s="3"/>
      <c r="C17" s="3"/>
      <c r="D17" s="3"/>
      <c r="E17" s="5" t="str">
        <f>"クラス"&amp;E$1</f>
        <v>クラス2</v>
      </c>
      <c r="F17" s="3"/>
      <c r="G17" s="3"/>
      <c r="H17" s="3"/>
      <c r="I17" s="5" t="str">
        <f>"クラス"&amp;I$1</f>
        <v>クラス3</v>
      </c>
      <c r="J17" s="3"/>
      <c r="K17" s="3"/>
      <c r="L17" s="3"/>
      <c r="M17" s="5" t="str">
        <f>"クラス"&amp;M$1</f>
        <v>クラス4</v>
      </c>
      <c r="N17" s="3"/>
      <c r="O17" s="3"/>
      <c r="P17" s="3"/>
    </row>
    <row r="18" spans="1:16" ht="18" customHeight="1" x14ac:dyDescent="0.45">
      <c r="A18" s="5" t="str">
        <f>"個数"&amp;A$1</f>
        <v>個数1</v>
      </c>
      <c r="B18" s="2"/>
      <c r="C18" s="2"/>
      <c r="D18" s="2"/>
      <c r="E18" s="5" t="str">
        <f>"個数"&amp;E$1</f>
        <v>個数2</v>
      </c>
      <c r="F18" s="2"/>
      <c r="G18" s="2"/>
      <c r="H18" s="2"/>
      <c r="I18" s="5" t="str">
        <f>"個数"&amp;I$1</f>
        <v>個数3</v>
      </c>
      <c r="J18" s="2"/>
      <c r="K18" s="2"/>
      <c r="L18" s="2"/>
      <c r="M18" s="5" t="str">
        <f>"個数"&amp;M$1</f>
        <v>個数4</v>
      </c>
      <c r="N18" s="2"/>
      <c r="O18" s="2"/>
      <c r="P18" s="2"/>
    </row>
    <row r="19" spans="1:16" ht="18" customHeight="1" x14ac:dyDescent="0.45">
      <c r="A19" s="5">
        <v>1</v>
      </c>
      <c r="B19">
        <f>まとめ!$C$1</f>
        <v>0</v>
      </c>
      <c r="D19" t="str">
        <f ca="1">OFFSET(まとめ!$A$1,A19,MATCH(A14,まとめ!$1:$1,0)-1)</f>
        <v/>
      </c>
      <c r="E19" s="5">
        <v>1</v>
      </c>
      <c r="F19">
        <f>まとめ!$C$1</f>
        <v>0</v>
      </c>
      <c r="H19" t="str">
        <f ca="1">OFFSET(まとめ!$A$1,E19,MATCH(E14,まとめ!$1:$1,0)-1)</f>
        <v/>
      </c>
      <c r="I19" s="5">
        <v>1</v>
      </c>
      <c r="J19">
        <f>まとめ!$C$1</f>
        <v>0</v>
      </c>
      <c r="L19" t="str">
        <f ca="1">OFFSET(まとめ!$A$1,I19,MATCH(I14,まとめ!$1:$1,0)-1)</f>
        <v/>
      </c>
      <c r="M19" s="5">
        <v>1</v>
      </c>
      <c r="N19">
        <f>まとめ!$C$1</f>
        <v>0</v>
      </c>
      <c r="P19" t="str">
        <f ca="1">OFFSET(まとめ!$A$1,M19,MATCH(M14,まとめ!$1:$1,0)-1)</f>
        <v/>
      </c>
    </row>
    <row r="21" spans="1:16" ht="18" customHeight="1" x14ac:dyDescent="0.45">
      <c r="B21" s="4" t="e">
        <f ca="1">OFFSET(まとめ!$A$1,A29,MATCH(A22,まとめ!$1:$1,0)-1)</f>
        <v>#VALUE!</v>
      </c>
      <c r="C21" s="4"/>
      <c r="D21" s="4"/>
      <c r="F21" s="4" t="e">
        <f ca="1">OFFSET(まとめ!$A$1,E29,MATCH(E22,まとめ!$1:$1,0)-1)</f>
        <v>#VALUE!</v>
      </c>
      <c r="G21" s="4"/>
      <c r="H21" s="4"/>
      <c r="J21" s="4" t="e">
        <f ca="1">OFFSET(まとめ!$A$1,I29,MATCH(I22,まとめ!$1:$1,0)-1)</f>
        <v>#VALUE!</v>
      </c>
      <c r="K21" s="4"/>
      <c r="L21" s="4"/>
      <c r="N21" s="4" t="e">
        <f ca="1">OFFSET(まとめ!$A$1,M29,MATCH(M22,まとめ!$1:$1,0)-1)</f>
        <v>#VALUE!</v>
      </c>
      <c r="O21" s="4"/>
      <c r="P21" s="4"/>
    </row>
    <row r="22" spans="1:16" ht="18" customHeight="1" x14ac:dyDescent="0.45">
      <c r="A22" s="5" t="str">
        <f>"クライアント名"&amp;A$1</f>
        <v>クライアント名1</v>
      </c>
      <c r="B22" t="e">
        <f ca="1">LEFT(OFFSET(まとめ!$A$1,A29,MATCH(A23,まとめ!$1:$1,0)-1), FIND("・", OFFSET(まとめ!$A$1,A29,MATCH(A23,まとめ!$1:$1,0)-1))-1)</f>
        <v>#VALUE!</v>
      </c>
      <c r="D22" t="e">
        <f ca="1">MID(OFFSET(まとめ!$A$1,A29,MATCH(A23,まとめ!$1:$1,0)-1), FIND("・",OFFSET(まとめ!$A$1,A29,MATCH(A23,まとめ!$1:$1,0)-1))+1, LEN(OFFSET(まとめ!$A$1,A29,MATCH(A23,まとめ!$1:$1,0)-1)))</f>
        <v>#VALUE!</v>
      </c>
      <c r="E22" s="5" t="str">
        <f>"クライアント名"&amp;E$1</f>
        <v>クライアント名2</v>
      </c>
      <c r="F22" t="e">
        <f ca="1">LEFT(OFFSET(まとめ!$A$1,E29,MATCH(E23,まとめ!$1:$1,0)-1), FIND("・", OFFSET(まとめ!$A$1,E29,MATCH(E23,まとめ!$1:$1,0)-1))-1)</f>
        <v>#VALUE!</v>
      </c>
      <c r="H22" t="e">
        <f ca="1">MID(OFFSET(まとめ!$A$1,E29,MATCH(E23,まとめ!$1:$1,0)-1), FIND("・",OFFSET(まとめ!$A$1,E29,MATCH(E23,まとめ!$1:$1,0)-1))+1, LEN(OFFSET(まとめ!$A$1,E29,MATCH(E23,まとめ!$1:$1,0)-1)))</f>
        <v>#VALUE!</v>
      </c>
      <c r="I22" s="5" t="str">
        <f>"クライアント名"&amp;I$1</f>
        <v>クライアント名3</v>
      </c>
      <c r="J22" t="e">
        <f ca="1">LEFT(OFFSET(まとめ!$A$1,I29,MATCH(I23,まとめ!$1:$1,0)-1), FIND("・", OFFSET(まとめ!$A$1,I29,MATCH(I23,まとめ!$1:$1,0)-1))-1)</f>
        <v>#VALUE!</v>
      </c>
      <c r="L22" t="e">
        <f ca="1">MID(OFFSET(まとめ!$A$1,I29,MATCH(I23,まとめ!$1:$1,0)-1), FIND("・",OFFSET(まとめ!$A$1,I29,MATCH(I23,まとめ!$1:$1,0)-1))+1, LEN(OFFSET(まとめ!$A$1,I29,MATCH(I23,まとめ!$1:$1,0)-1)))</f>
        <v>#VALUE!</v>
      </c>
      <c r="M22" s="5" t="str">
        <f>"クライアント名"&amp;M$1</f>
        <v>クライアント名4</v>
      </c>
      <c r="N22" t="e">
        <f ca="1">LEFT(OFFSET(まとめ!$A$1,M29,MATCH(M23,まとめ!$1:$1,0)-1), FIND("・", OFFSET(まとめ!$A$1,M29,MATCH(M23,まとめ!$1:$1,0)-1))-1)</f>
        <v>#VALUE!</v>
      </c>
      <c r="P22" t="e">
        <f ca="1">MID(OFFSET(まとめ!$A$1,M29,MATCH(M23,まとめ!$1:$1,0)-1), FIND("・",OFFSET(まとめ!$A$1,M29,MATCH(M23,まとめ!$1:$1,0)-1))+1, LEN(OFFSET(まとめ!$A$1,M29,MATCH(M23,まとめ!$1:$1,0)-1)))</f>
        <v>#VALUE!</v>
      </c>
    </row>
    <row r="23" spans="1:16" ht="18" customHeight="1" x14ac:dyDescent="0.45">
      <c r="A23" s="5" t="str">
        <f>"種類"&amp;A$1</f>
        <v>種類1</v>
      </c>
      <c r="E23" s="5" t="str">
        <f>"種類"&amp;E$1</f>
        <v>種類2</v>
      </c>
      <c r="I23" s="5" t="str">
        <f>"種類"&amp;I$1</f>
        <v>種類3</v>
      </c>
      <c r="M23" s="5" t="str">
        <f>"種類"&amp;M$1</f>
        <v>種類4</v>
      </c>
    </row>
    <row r="24" spans="1:16" ht="18" customHeight="1" x14ac:dyDescent="0.45">
      <c r="A24" s="5" t="str">
        <f>"学年"&amp;A$1</f>
        <v>学年1</v>
      </c>
      <c r="B24" s="3" t="e">
        <f ca="1">OFFSET(まとめ!$A$1,A29,MATCH(A27,まとめ!$1:$1,0)-1)</f>
        <v>#REF!</v>
      </c>
      <c r="C24" s="3"/>
      <c r="D24" s="3"/>
      <c r="E24" s="5" t="str">
        <f>"学年"&amp;E$1</f>
        <v>学年2</v>
      </c>
      <c r="F24" s="3" t="e">
        <f ca="1">OFFSET(まとめ!$A$1,E29,MATCH(E27,まとめ!$1:$1,0)-1)</f>
        <v>#REF!</v>
      </c>
      <c r="G24" s="3"/>
      <c r="H24" s="3"/>
      <c r="I24" s="5" t="str">
        <f>"学年"&amp;I$1</f>
        <v>学年3</v>
      </c>
      <c r="J24" s="3" t="e">
        <f ca="1">OFFSET(まとめ!$A$1,I29,MATCH(I27,まとめ!$1:$1,0)-1)</f>
        <v>#REF!</v>
      </c>
      <c r="K24" s="3"/>
      <c r="L24" s="3"/>
      <c r="M24" s="5" t="str">
        <f>"学年"&amp;M$1</f>
        <v>学年4</v>
      </c>
      <c r="N24" s="3" t="e">
        <f ca="1">OFFSET(まとめ!$A$1,M29,MATCH(M27,まとめ!$1:$1,0)-1)</f>
        <v>#REF!</v>
      </c>
      <c r="O24" s="3"/>
      <c r="P24" s="3"/>
    </row>
    <row r="25" spans="1:16" ht="18" customHeight="1" x14ac:dyDescent="0.45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</row>
    <row r="26" spans="1:16" ht="18" customHeight="1" x14ac:dyDescent="0.45">
      <c r="B26" s="3" t="e">
        <f ca="1">OFFSET(まとめ!$A$1,A29,MATCH(A28,まとめ!$1:$1,0)-1)</f>
        <v>#REF!</v>
      </c>
      <c r="C26" s="3"/>
      <c r="D26" s="3"/>
      <c r="F26" s="3" t="e">
        <f ca="1">OFFSET(まとめ!$A$1,E29,MATCH(E28,まとめ!$1:$1,0)-1)</f>
        <v>#REF!</v>
      </c>
      <c r="G26" s="3"/>
      <c r="H26" s="3"/>
      <c r="J26" s="3" t="e">
        <f ca="1">OFFSET(まとめ!$A$1,I29,MATCH(I28,まとめ!$1:$1,0)-1)</f>
        <v>#REF!</v>
      </c>
      <c r="K26" s="3"/>
      <c r="L26" s="3"/>
      <c r="N26" s="3" t="e">
        <f ca="1">OFFSET(まとめ!$A$1,M29,MATCH(M28,まとめ!$1:$1,0)-1)</f>
        <v>#REF!</v>
      </c>
      <c r="O26" s="3"/>
      <c r="P26" s="3"/>
    </row>
    <row r="27" spans="1:16" ht="18" customHeight="1" x14ac:dyDescent="0.45">
      <c r="A27" s="5" t="str">
        <f>"クラス"&amp;A$1</f>
        <v>クラス1</v>
      </c>
      <c r="B27" s="3"/>
      <c r="C27" s="3"/>
      <c r="D27" s="3"/>
      <c r="E27" s="5" t="str">
        <f>"クラス"&amp;E$1</f>
        <v>クラス2</v>
      </c>
      <c r="F27" s="3"/>
      <c r="G27" s="3"/>
      <c r="H27" s="3"/>
      <c r="I27" s="5" t="str">
        <f>"クラス"&amp;I$1</f>
        <v>クラス3</v>
      </c>
      <c r="J27" s="3"/>
      <c r="K27" s="3"/>
      <c r="L27" s="3"/>
      <c r="M27" s="5" t="str">
        <f>"クラス"&amp;M$1</f>
        <v>クラス4</v>
      </c>
      <c r="N27" s="3"/>
      <c r="O27" s="3"/>
      <c r="P27" s="3"/>
    </row>
    <row r="28" spans="1:16" ht="18" customHeight="1" x14ac:dyDescent="0.45">
      <c r="A28" s="5" t="str">
        <f>"個数"&amp;A$1</f>
        <v>個数1</v>
      </c>
      <c r="B28" s="2"/>
      <c r="C28" s="2"/>
      <c r="D28" s="2"/>
      <c r="E28" s="5" t="str">
        <f>"個数"&amp;E$1</f>
        <v>個数2</v>
      </c>
      <c r="F28" s="2"/>
      <c r="G28" s="2"/>
      <c r="H28" s="2"/>
      <c r="I28" s="5" t="str">
        <f>"個数"&amp;I$1</f>
        <v>個数3</v>
      </c>
      <c r="J28" s="2"/>
      <c r="K28" s="2"/>
      <c r="L28" s="2"/>
      <c r="M28" s="5" t="str">
        <f>"個数"&amp;M$1</f>
        <v>個数4</v>
      </c>
      <c r="N28" s="2"/>
      <c r="O28" s="2"/>
      <c r="P28" s="2"/>
    </row>
    <row r="29" spans="1:16" ht="18" customHeight="1" x14ac:dyDescent="0.45">
      <c r="A29" s="5">
        <v>1</v>
      </c>
      <c r="B29">
        <f>まとめ!$C$1</f>
        <v>0</v>
      </c>
      <c r="D29" t="str">
        <f ca="1">OFFSET(まとめ!$A$1,A29,MATCH(A24,まとめ!$1:$1,0)-1)</f>
        <v/>
      </c>
      <c r="E29" s="5">
        <v>1</v>
      </c>
      <c r="F29">
        <f>まとめ!$C$1</f>
        <v>0</v>
      </c>
      <c r="H29" t="str">
        <f ca="1">OFFSET(まとめ!$A$1,E29,MATCH(E24,まとめ!$1:$1,0)-1)</f>
        <v/>
      </c>
      <c r="I29" s="5">
        <v>1</v>
      </c>
      <c r="J29">
        <f>まとめ!$C$1</f>
        <v>0</v>
      </c>
      <c r="L29" t="str">
        <f ca="1">OFFSET(まとめ!$A$1,I29,MATCH(I24,まとめ!$1:$1,0)-1)</f>
        <v/>
      </c>
      <c r="M29" s="5">
        <v>1</v>
      </c>
      <c r="N29">
        <f>まとめ!$C$1</f>
        <v>0</v>
      </c>
      <c r="P29" t="str">
        <f ca="1">OFFSET(まとめ!$A$1,M29,MATCH(M24,まとめ!$1:$1,0)-1)</f>
        <v/>
      </c>
    </row>
    <row r="31" spans="1:16" ht="18" customHeight="1" x14ac:dyDescent="0.45">
      <c r="B31" s="4" t="e">
        <f ca="1">OFFSET(まとめ!$A$1,A39,MATCH(A32,まとめ!$1:$1,0)-1)</f>
        <v>#VALUE!</v>
      </c>
      <c r="C31" s="4"/>
      <c r="D31" s="4"/>
      <c r="F31" s="4" t="e">
        <f ca="1">OFFSET(まとめ!$A$1,E39,MATCH(E32,まとめ!$1:$1,0)-1)</f>
        <v>#VALUE!</v>
      </c>
      <c r="G31" s="4"/>
      <c r="H31" s="4"/>
      <c r="J31" s="4" t="e">
        <f ca="1">OFFSET(まとめ!$A$1,I39,MATCH(I32,まとめ!$1:$1,0)-1)</f>
        <v>#VALUE!</v>
      </c>
      <c r="K31" s="4"/>
      <c r="L31" s="4"/>
      <c r="N31" s="4" t="e">
        <f ca="1">OFFSET(まとめ!$A$1,M39,MATCH(M32,まとめ!$1:$1,0)-1)</f>
        <v>#VALUE!</v>
      </c>
      <c r="O31" s="4"/>
      <c r="P31" s="4"/>
    </row>
    <row r="32" spans="1:16" ht="18" customHeight="1" x14ac:dyDescent="0.45">
      <c r="A32" s="5" t="str">
        <f>"クライアント名"&amp;A$1</f>
        <v>クライアント名1</v>
      </c>
      <c r="B32" t="e">
        <f ca="1">LEFT(OFFSET(まとめ!$A$1,A39,MATCH(A33,まとめ!$1:$1,0)-1), FIND("・", OFFSET(まとめ!$A$1,A39,MATCH(A33,まとめ!$1:$1,0)-1))-1)</f>
        <v>#VALUE!</v>
      </c>
      <c r="D32" t="e">
        <f ca="1">MID(OFFSET(まとめ!$A$1,A39,MATCH(A33,まとめ!$1:$1,0)-1), FIND("・",OFFSET(まとめ!$A$1,A39,MATCH(A33,まとめ!$1:$1,0)-1))+1, LEN(OFFSET(まとめ!$A$1,A39,MATCH(A33,まとめ!$1:$1,0)-1)))</f>
        <v>#VALUE!</v>
      </c>
      <c r="E32" s="5" t="str">
        <f>"クライアント名"&amp;E$1</f>
        <v>クライアント名2</v>
      </c>
      <c r="F32" t="e">
        <f ca="1">LEFT(OFFSET(まとめ!$A$1,E39,MATCH(E33,まとめ!$1:$1,0)-1), FIND("・", OFFSET(まとめ!$A$1,E39,MATCH(E33,まとめ!$1:$1,0)-1))-1)</f>
        <v>#VALUE!</v>
      </c>
      <c r="H32" t="e">
        <f ca="1">MID(OFFSET(まとめ!$A$1,E39,MATCH(E33,まとめ!$1:$1,0)-1), FIND("・",OFFSET(まとめ!$A$1,E39,MATCH(E33,まとめ!$1:$1,0)-1))+1, LEN(OFFSET(まとめ!$A$1,E39,MATCH(E33,まとめ!$1:$1,0)-1)))</f>
        <v>#VALUE!</v>
      </c>
      <c r="I32" s="5" t="str">
        <f>"クライアント名"&amp;I$1</f>
        <v>クライアント名3</v>
      </c>
      <c r="J32" t="e">
        <f ca="1">LEFT(OFFSET(まとめ!$A$1,I39,MATCH(I33,まとめ!$1:$1,0)-1), FIND("・", OFFSET(まとめ!$A$1,I39,MATCH(I33,まとめ!$1:$1,0)-1))-1)</f>
        <v>#VALUE!</v>
      </c>
      <c r="L32" t="e">
        <f ca="1">MID(OFFSET(まとめ!$A$1,I39,MATCH(I33,まとめ!$1:$1,0)-1), FIND("・",OFFSET(まとめ!$A$1,I39,MATCH(I33,まとめ!$1:$1,0)-1))+1, LEN(OFFSET(まとめ!$A$1,I39,MATCH(I33,まとめ!$1:$1,0)-1)))</f>
        <v>#VALUE!</v>
      </c>
      <c r="M32" s="5" t="str">
        <f>"クライアント名"&amp;M$1</f>
        <v>クライアント名4</v>
      </c>
      <c r="N32" t="e">
        <f ca="1">LEFT(OFFSET(まとめ!$A$1,M39,MATCH(M33,まとめ!$1:$1,0)-1), FIND("・", OFFSET(まとめ!$A$1,M39,MATCH(M33,まとめ!$1:$1,0)-1))-1)</f>
        <v>#VALUE!</v>
      </c>
      <c r="P32" t="e">
        <f ca="1">MID(OFFSET(まとめ!$A$1,M39,MATCH(M33,まとめ!$1:$1,0)-1), FIND("・",OFFSET(まとめ!$A$1,M39,MATCH(M33,まとめ!$1:$1,0)-1))+1, LEN(OFFSET(まとめ!$A$1,M39,MATCH(M33,まとめ!$1:$1,0)-1)))</f>
        <v>#VALUE!</v>
      </c>
    </row>
    <row r="33" spans="1:16" ht="18" customHeight="1" x14ac:dyDescent="0.45">
      <c r="A33" s="5" t="str">
        <f>"種類"&amp;A$1</f>
        <v>種類1</v>
      </c>
      <c r="E33" s="5" t="str">
        <f>"種類"&amp;E$1</f>
        <v>種類2</v>
      </c>
      <c r="I33" s="5" t="str">
        <f>"種類"&amp;I$1</f>
        <v>種類3</v>
      </c>
      <c r="M33" s="5" t="str">
        <f>"種類"&amp;M$1</f>
        <v>種類4</v>
      </c>
    </row>
    <row r="34" spans="1:16" ht="18" customHeight="1" x14ac:dyDescent="0.45">
      <c r="A34" s="5" t="str">
        <f>"学年"&amp;A$1</f>
        <v>学年1</v>
      </c>
      <c r="B34" s="3" t="e">
        <f ca="1">OFFSET(まとめ!$A$1,A39,MATCH(A37,まとめ!$1:$1,0)-1)</f>
        <v>#REF!</v>
      </c>
      <c r="C34" s="3"/>
      <c r="D34" s="3"/>
      <c r="E34" s="5" t="str">
        <f>"学年"&amp;E$1</f>
        <v>学年2</v>
      </c>
      <c r="F34" s="3" t="e">
        <f ca="1">OFFSET(まとめ!$A$1,E39,MATCH(E37,まとめ!$1:$1,0)-1)</f>
        <v>#REF!</v>
      </c>
      <c r="G34" s="3"/>
      <c r="H34" s="3"/>
      <c r="I34" s="5" t="str">
        <f>"学年"&amp;I$1</f>
        <v>学年3</v>
      </c>
      <c r="J34" s="3" t="e">
        <f ca="1">OFFSET(まとめ!$A$1,I39,MATCH(I37,まとめ!$1:$1,0)-1)</f>
        <v>#REF!</v>
      </c>
      <c r="K34" s="3"/>
      <c r="L34" s="3"/>
      <c r="M34" s="5" t="str">
        <f>"学年"&amp;M$1</f>
        <v>学年4</v>
      </c>
      <c r="N34" s="3" t="e">
        <f ca="1">OFFSET(まとめ!$A$1,M39,MATCH(M37,まとめ!$1:$1,0)-1)</f>
        <v>#REF!</v>
      </c>
      <c r="O34" s="3"/>
      <c r="P34" s="3"/>
    </row>
    <row r="35" spans="1:16" ht="18" customHeight="1" x14ac:dyDescent="0.45">
      <c r="B35" s="3"/>
      <c r="C35" s="3"/>
      <c r="D35" s="3"/>
      <c r="F35" s="3"/>
      <c r="G35" s="3"/>
      <c r="H35" s="3"/>
      <c r="J35" s="3"/>
      <c r="K35" s="3"/>
      <c r="L35" s="3"/>
      <c r="N35" s="3"/>
      <c r="O35" s="3"/>
      <c r="P35" s="3"/>
    </row>
    <row r="36" spans="1:16" ht="18" customHeight="1" x14ac:dyDescent="0.45">
      <c r="B36" s="3" t="e">
        <f ca="1">OFFSET(まとめ!$A$1,A39,MATCH(A38,まとめ!$1:$1,0)-1)</f>
        <v>#REF!</v>
      </c>
      <c r="C36" s="3"/>
      <c r="D36" s="3"/>
      <c r="F36" s="3" t="e">
        <f ca="1">OFFSET(まとめ!$A$1,E39,MATCH(E38,まとめ!$1:$1,0)-1)</f>
        <v>#REF!</v>
      </c>
      <c r="G36" s="3"/>
      <c r="H36" s="3"/>
      <c r="J36" s="3" t="e">
        <f ca="1">OFFSET(まとめ!$A$1,I39,MATCH(I38,まとめ!$1:$1,0)-1)</f>
        <v>#REF!</v>
      </c>
      <c r="K36" s="3"/>
      <c r="L36" s="3"/>
      <c r="N36" s="3" t="e">
        <f ca="1">OFFSET(まとめ!$A$1,M39,MATCH(M38,まとめ!$1:$1,0)-1)</f>
        <v>#REF!</v>
      </c>
      <c r="O36" s="3"/>
      <c r="P36" s="3"/>
    </row>
    <row r="37" spans="1:16" ht="18" customHeight="1" x14ac:dyDescent="0.45">
      <c r="A37" s="5" t="str">
        <f>"クラス"&amp;A$1</f>
        <v>クラス1</v>
      </c>
      <c r="B37" s="3"/>
      <c r="C37" s="3"/>
      <c r="D37" s="3"/>
      <c r="E37" s="5" t="str">
        <f>"クラス"&amp;E$1</f>
        <v>クラス2</v>
      </c>
      <c r="F37" s="3"/>
      <c r="G37" s="3"/>
      <c r="H37" s="3"/>
      <c r="I37" s="5" t="str">
        <f>"クラス"&amp;I$1</f>
        <v>クラス3</v>
      </c>
      <c r="J37" s="3"/>
      <c r="K37" s="3"/>
      <c r="L37" s="3"/>
      <c r="M37" s="5" t="str">
        <f>"クラス"&amp;M$1</f>
        <v>クラス4</v>
      </c>
      <c r="N37" s="3"/>
      <c r="O37" s="3"/>
      <c r="P37" s="3"/>
    </row>
    <row r="38" spans="1:16" ht="18" customHeight="1" x14ac:dyDescent="0.45">
      <c r="A38" s="5" t="str">
        <f>"個数"&amp;A$1</f>
        <v>個数1</v>
      </c>
      <c r="B38" s="2"/>
      <c r="C38" s="2"/>
      <c r="D38" s="2"/>
      <c r="E38" s="5" t="str">
        <f>"個数"&amp;E$1</f>
        <v>個数2</v>
      </c>
      <c r="F38" s="2"/>
      <c r="G38" s="2"/>
      <c r="H38" s="2"/>
      <c r="I38" s="5" t="str">
        <f>"個数"&amp;I$1</f>
        <v>個数3</v>
      </c>
      <c r="J38" s="2"/>
      <c r="K38" s="2"/>
      <c r="L38" s="2"/>
      <c r="M38" s="5" t="str">
        <f>"個数"&amp;M$1</f>
        <v>個数4</v>
      </c>
      <c r="N38" s="2"/>
      <c r="O38" s="2"/>
      <c r="P38" s="2"/>
    </row>
    <row r="39" spans="1:16" ht="18" customHeight="1" x14ac:dyDescent="0.45">
      <c r="A39" s="5">
        <v>1</v>
      </c>
      <c r="B39">
        <f>まとめ!$C$1</f>
        <v>0</v>
      </c>
      <c r="D39" t="str">
        <f ca="1">OFFSET(まとめ!$A$1,A39,MATCH(A34,まとめ!$1:$1,0)-1)</f>
        <v/>
      </c>
      <c r="E39" s="5">
        <v>1</v>
      </c>
      <c r="F39">
        <f>まとめ!$C$1</f>
        <v>0</v>
      </c>
      <c r="H39" t="str">
        <f ca="1">OFFSET(まとめ!$A$1,E39,MATCH(E34,まとめ!$1:$1,0)-1)</f>
        <v/>
      </c>
      <c r="I39" s="5">
        <v>1</v>
      </c>
      <c r="J39">
        <f>まとめ!$C$1</f>
        <v>0</v>
      </c>
      <c r="L39" t="str">
        <f ca="1">OFFSET(まとめ!$A$1,I39,MATCH(I34,まとめ!$1:$1,0)-1)</f>
        <v/>
      </c>
      <c r="M39" s="5">
        <v>1</v>
      </c>
      <c r="N39">
        <f>まとめ!$C$1</f>
        <v>0</v>
      </c>
      <c r="P39" t="str">
        <f ca="1">OFFSET(まとめ!$A$1,M39,MATCH(M34,まとめ!$1:$1,0)-1)</f>
        <v/>
      </c>
    </row>
    <row r="41" spans="1:16" ht="18" customHeight="1" x14ac:dyDescent="0.45">
      <c r="B41" s="4" t="e">
        <f ca="1">OFFSET(まとめ!$A$1,A49,MATCH(A42,まとめ!$1:$1,0)-1)</f>
        <v>#VALUE!</v>
      </c>
      <c r="C41" s="4"/>
      <c r="D41" s="4"/>
      <c r="F41" s="4" t="e">
        <f ca="1">OFFSET(まとめ!$A$1,E49,MATCH(E42,まとめ!$1:$1,0)-1)</f>
        <v>#VALUE!</v>
      </c>
      <c r="G41" s="4"/>
      <c r="H41" s="4"/>
      <c r="J41" s="4" t="e">
        <f ca="1">OFFSET(まとめ!$A$1,I49,MATCH(I42,まとめ!$1:$1,0)-1)</f>
        <v>#VALUE!</v>
      </c>
      <c r="K41" s="4"/>
      <c r="L41" s="4"/>
      <c r="N41" s="4" t="e">
        <f ca="1">OFFSET(まとめ!$A$1,M49,MATCH(M42,まとめ!$1:$1,0)-1)</f>
        <v>#VALUE!</v>
      </c>
      <c r="O41" s="4"/>
      <c r="P41" s="4"/>
    </row>
    <row r="42" spans="1:16" ht="18" customHeight="1" x14ac:dyDescent="0.45">
      <c r="A42" s="5" t="str">
        <f>"クライアント名"&amp;A$1</f>
        <v>クライアント名1</v>
      </c>
      <c r="B42" t="e">
        <f ca="1">LEFT(OFFSET(まとめ!$A$1,A49,MATCH(A43,まとめ!$1:$1,0)-1), FIND("・", OFFSET(まとめ!$A$1,A49,MATCH(A43,まとめ!$1:$1,0)-1))-1)</f>
        <v>#VALUE!</v>
      </c>
      <c r="D42" t="e">
        <f ca="1">MID(OFFSET(まとめ!$A$1,A49,MATCH(A43,まとめ!$1:$1,0)-1), FIND("・",OFFSET(まとめ!$A$1,A49,MATCH(A43,まとめ!$1:$1,0)-1))+1, LEN(OFFSET(まとめ!$A$1,A49,MATCH(A43,まとめ!$1:$1,0)-1)))</f>
        <v>#VALUE!</v>
      </c>
      <c r="E42" s="5" t="str">
        <f>"クライアント名"&amp;E$1</f>
        <v>クライアント名2</v>
      </c>
      <c r="F42" t="e">
        <f ca="1">LEFT(OFFSET(まとめ!$A$1,E49,MATCH(E43,まとめ!$1:$1,0)-1), FIND("・", OFFSET(まとめ!$A$1,E49,MATCH(E43,まとめ!$1:$1,0)-1))-1)</f>
        <v>#VALUE!</v>
      </c>
      <c r="H42" t="e">
        <f ca="1">MID(OFFSET(まとめ!$A$1,E49,MATCH(E43,まとめ!$1:$1,0)-1), FIND("・",OFFSET(まとめ!$A$1,E49,MATCH(E43,まとめ!$1:$1,0)-1))+1, LEN(OFFSET(まとめ!$A$1,E49,MATCH(E43,まとめ!$1:$1,0)-1)))</f>
        <v>#VALUE!</v>
      </c>
      <c r="I42" s="5" t="str">
        <f>"クライアント名"&amp;I$1</f>
        <v>クライアント名3</v>
      </c>
      <c r="J42" t="e">
        <f ca="1">LEFT(OFFSET(まとめ!$A$1,I49,MATCH(I43,まとめ!$1:$1,0)-1), FIND("・", OFFSET(まとめ!$A$1,I49,MATCH(I43,まとめ!$1:$1,0)-1))-1)</f>
        <v>#VALUE!</v>
      </c>
      <c r="L42" t="e">
        <f ca="1">MID(OFFSET(まとめ!$A$1,I49,MATCH(I43,まとめ!$1:$1,0)-1), FIND("・",OFFSET(まとめ!$A$1,I49,MATCH(I43,まとめ!$1:$1,0)-1))+1, LEN(OFFSET(まとめ!$A$1,I49,MATCH(I43,まとめ!$1:$1,0)-1)))</f>
        <v>#VALUE!</v>
      </c>
      <c r="M42" s="5" t="str">
        <f>"クライアント名"&amp;M$1</f>
        <v>クライアント名4</v>
      </c>
      <c r="N42" t="e">
        <f ca="1">LEFT(OFFSET(まとめ!$A$1,M49,MATCH(M43,まとめ!$1:$1,0)-1), FIND("・", OFFSET(まとめ!$A$1,M49,MATCH(M43,まとめ!$1:$1,0)-1))-1)</f>
        <v>#VALUE!</v>
      </c>
      <c r="P42" t="e">
        <f ca="1">MID(OFFSET(まとめ!$A$1,M49,MATCH(M43,まとめ!$1:$1,0)-1), FIND("・",OFFSET(まとめ!$A$1,M49,MATCH(M43,まとめ!$1:$1,0)-1))+1, LEN(OFFSET(まとめ!$A$1,M49,MATCH(M43,まとめ!$1:$1,0)-1)))</f>
        <v>#VALUE!</v>
      </c>
    </row>
    <row r="43" spans="1:16" ht="18" customHeight="1" x14ac:dyDescent="0.45">
      <c r="A43" s="5" t="str">
        <f>"種類"&amp;A$1</f>
        <v>種類1</v>
      </c>
      <c r="E43" s="5" t="str">
        <f>"種類"&amp;E$1</f>
        <v>種類2</v>
      </c>
      <c r="I43" s="5" t="str">
        <f>"種類"&amp;I$1</f>
        <v>種類3</v>
      </c>
      <c r="M43" s="5" t="str">
        <f>"種類"&amp;M$1</f>
        <v>種類4</v>
      </c>
    </row>
    <row r="44" spans="1:16" ht="18" customHeight="1" x14ac:dyDescent="0.45">
      <c r="A44" s="5" t="str">
        <f>"学年"&amp;A$1</f>
        <v>学年1</v>
      </c>
      <c r="B44" s="3" t="e">
        <f ca="1">OFFSET(まとめ!$A$1,A49,MATCH(A47,まとめ!$1:$1,0)-1)</f>
        <v>#REF!</v>
      </c>
      <c r="C44" s="3"/>
      <c r="D44" s="3"/>
      <c r="E44" s="5" t="str">
        <f>"学年"&amp;E$1</f>
        <v>学年2</v>
      </c>
      <c r="F44" s="3" t="e">
        <f ca="1">OFFSET(まとめ!$A$1,E49,MATCH(E47,まとめ!$1:$1,0)-1)</f>
        <v>#REF!</v>
      </c>
      <c r="G44" s="3"/>
      <c r="H44" s="3"/>
      <c r="I44" s="5" t="str">
        <f>"学年"&amp;I$1</f>
        <v>学年3</v>
      </c>
      <c r="J44" s="3" t="e">
        <f ca="1">OFFSET(まとめ!$A$1,I49,MATCH(I47,まとめ!$1:$1,0)-1)</f>
        <v>#REF!</v>
      </c>
      <c r="K44" s="3"/>
      <c r="L44" s="3"/>
      <c r="M44" s="5" t="str">
        <f>"学年"&amp;M$1</f>
        <v>学年4</v>
      </c>
      <c r="N44" s="3" t="e">
        <f ca="1">OFFSET(まとめ!$A$1,M49,MATCH(M47,まとめ!$1:$1,0)-1)</f>
        <v>#REF!</v>
      </c>
      <c r="O44" s="3"/>
      <c r="P44" s="3"/>
    </row>
    <row r="45" spans="1:16" ht="18" customHeight="1" x14ac:dyDescent="0.45">
      <c r="B45" s="3"/>
      <c r="C45" s="3"/>
      <c r="D45" s="3"/>
      <c r="F45" s="3"/>
      <c r="G45" s="3"/>
      <c r="H45" s="3"/>
      <c r="J45" s="3"/>
      <c r="K45" s="3"/>
      <c r="L45" s="3"/>
      <c r="N45" s="3"/>
      <c r="O45" s="3"/>
      <c r="P45" s="3"/>
    </row>
    <row r="46" spans="1:16" ht="18" customHeight="1" x14ac:dyDescent="0.45">
      <c r="B46" s="3" t="e">
        <f ca="1">OFFSET(まとめ!$A$1,A49,MATCH(A48,まとめ!$1:$1,0)-1)</f>
        <v>#REF!</v>
      </c>
      <c r="C46" s="3"/>
      <c r="D46" s="3"/>
      <c r="F46" s="3" t="e">
        <f ca="1">OFFSET(まとめ!$A$1,E49,MATCH(E48,まとめ!$1:$1,0)-1)</f>
        <v>#REF!</v>
      </c>
      <c r="G46" s="3"/>
      <c r="H46" s="3"/>
      <c r="J46" s="3" t="e">
        <f ca="1">OFFSET(まとめ!$A$1,I49,MATCH(I48,まとめ!$1:$1,0)-1)</f>
        <v>#REF!</v>
      </c>
      <c r="K46" s="3"/>
      <c r="L46" s="3"/>
      <c r="N46" s="3" t="e">
        <f ca="1">OFFSET(まとめ!$A$1,M49,MATCH(M48,まとめ!$1:$1,0)-1)</f>
        <v>#REF!</v>
      </c>
      <c r="O46" s="3"/>
      <c r="P46" s="3"/>
    </row>
    <row r="47" spans="1:16" ht="18" customHeight="1" x14ac:dyDescent="0.45">
      <c r="A47" s="5" t="str">
        <f>"クラス"&amp;A$1</f>
        <v>クラス1</v>
      </c>
      <c r="B47" s="3"/>
      <c r="C47" s="3"/>
      <c r="D47" s="3"/>
      <c r="E47" s="5" t="str">
        <f>"クラス"&amp;E$1</f>
        <v>クラス2</v>
      </c>
      <c r="F47" s="3"/>
      <c r="G47" s="3"/>
      <c r="H47" s="3"/>
      <c r="I47" s="5" t="str">
        <f>"クラス"&amp;I$1</f>
        <v>クラス3</v>
      </c>
      <c r="J47" s="3"/>
      <c r="K47" s="3"/>
      <c r="L47" s="3"/>
      <c r="M47" s="5" t="str">
        <f>"クラス"&amp;M$1</f>
        <v>クラス4</v>
      </c>
      <c r="N47" s="3"/>
      <c r="O47" s="3"/>
      <c r="P47" s="3"/>
    </row>
    <row r="48" spans="1:16" ht="18" customHeight="1" x14ac:dyDescent="0.45">
      <c r="A48" s="5" t="str">
        <f>"個数"&amp;A$1</f>
        <v>個数1</v>
      </c>
      <c r="B48" s="2"/>
      <c r="C48" s="2"/>
      <c r="D48" s="2"/>
      <c r="E48" s="5" t="str">
        <f>"個数"&amp;E$1</f>
        <v>個数2</v>
      </c>
      <c r="F48" s="2"/>
      <c r="G48" s="2"/>
      <c r="H48" s="2"/>
      <c r="I48" s="5" t="str">
        <f>"個数"&amp;I$1</f>
        <v>個数3</v>
      </c>
      <c r="J48" s="2"/>
      <c r="K48" s="2"/>
      <c r="L48" s="2"/>
      <c r="M48" s="5" t="str">
        <f>"個数"&amp;M$1</f>
        <v>個数4</v>
      </c>
      <c r="N48" s="2"/>
      <c r="O48" s="2"/>
      <c r="P48" s="2"/>
    </row>
    <row r="49" spans="1:16" ht="18" customHeight="1" x14ac:dyDescent="0.45">
      <c r="A49" s="5">
        <v>1</v>
      </c>
      <c r="B49">
        <f>まとめ!$C$1</f>
        <v>0</v>
      </c>
      <c r="D49" t="str">
        <f ca="1">OFFSET(まとめ!$A$1,A49,MATCH(A44,まとめ!$1:$1,0)-1)</f>
        <v/>
      </c>
      <c r="E49" s="5">
        <v>1</v>
      </c>
      <c r="F49">
        <f>まとめ!$C$1</f>
        <v>0</v>
      </c>
      <c r="H49" t="str">
        <f ca="1">OFFSET(まとめ!$A$1,E49,MATCH(E44,まとめ!$1:$1,0)-1)</f>
        <v/>
      </c>
      <c r="I49" s="5">
        <v>1</v>
      </c>
      <c r="J49">
        <f>まとめ!$C$1</f>
        <v>0</v>
      </c>
      <c r="L49" t="str">
        <f ca="1">OFFSET(まとめ!$A$1,I49,MATCH(I44,まとめ!$1:$1,0)-1)</f>
        <v/>
      </c>
      <c r="M49" s="5">
        <v>1</v>
      </c>
      <c r="N49">
        <f>まとめ!$C$1</f>
        <v>0</v>
      </c>
      <c r="P49" t="str">
        <f ca="1">OFFSET(まとめ!$A$1,M49,MATCH(M44,まとめ!$1:$1,0)-1)</f>
        <v/>
      </c>
    </row>
  </sheetData>
  <mergeCells count="60">
    <mergeCell ref="B46:D47"/>
    <mergeCell ref="F46:H47"/>
    <mergeCell ref="J46:L47"/>
    <mergeCell ref="N46:P47"/>
    <mergeCell ref="B44:D45"/>
    <mergeCell ref="F44:H45"/>
    <mergeCell ref="J44:L45"/>
    <mergeCell ref="N44:P45"/>
    <mergeCell ref="B41:D41"/>
    <mergeCell ref="F41:H41"/>
    <mergeCell ref="J41:L41"/>
    <mergeCell ref="N41:P41"/>
    <mergeCell ref="B36:D37"/>
    <mergeCell ref="F36:H37"/>
    <mergeCell ref="J36:L37"/>
    <mergeCell ref="N36:P37"/>
    <mergeCell ref="J26:L27"/>
    <mergeCell ref="N26:P27"/>
    <mergeCell ref="B34:D35"/>
    <mergeCell ref="F34:H35"/>
    <mergeCell ref="J34:L35"/>
    <mergeCell ref="N34:P35"/>
    <mergeCell ref="B21:D21"/>
    <mergeCell ref="F21:H21"/>
    <mergeCell ref="J21:L21"/>
    <mergeCell ref="N21:P21"/>
    <mergeCell ref="B24:D25"/>
    <mergeCell ref="F24:H25"/>
    <mergeCell ref="J24:L25"/>
    <mergeCell ref="N24:P25"/>
    <mergeCell ref="B16:D17"/>
    <mergeCell ref="F16:H17"/>
    <mergeCell ref="J16:L17"/>
    <mergeCell ref="N16:P17"/>
    <mergeCell ref="B31:D31"/>
    <mergeCell ref="F31:H31"/>
    <mergeCell ref="J31:L31"/>
    <mergeCell ref="N31:P31"/>
    <mergeCell ref="B26:D27"/>
    <mergeCell ref="F26:H27"/>
    <mergeCell ref="B14:D15"/>
    <mergeCell ref="F14:H15"/>
    <mergeCell ref="B11:D11"/>
    <mergeCell ref="F11:H11"/>
    <mergeCell ref="J11:L11"/>
    <mergeCell ref="N11:P11"/>
    <mergeCell ref="J14:L15"/>
    <mergeCell ref="N14:P15"/>
    <mergeCell ref="J1:L1"/>
    <mergeCell ref="N1:P1"/>
    <mergeCell ref="J4:L5"/>
    <mergeCell ref="J6:L7"/>
    <mergeCell ref="N4:P5"/>
    <mergeCell ref="N6:P7"/>
    <mergeCell ref="B1:D1"/>
    <mergeCell ref="F1:H1"/>
    <mergeCell ref="F4:H5"/>
    <mergeCell ref="B4:D5"/>
    <mergeCell ref="B6:D7"/>
    <mergeCell ref="F6:H7"/>
  </mergeCells>
  <phoneticPr fontId="1"/>
  <pageMargins left="0.25" right="0.25" top="0.75" bottom="0.75" header="0.3" footer="0.3"/>
  <pageSetup paperSize="9" scale="79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貼り付け1</vt:lpstr>
      <vt:lpstr>貼り付け2</vt:lpstr>
      <vt:lpstr>まとめ</vt:lpstr>
      <vt:lpstr>シール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井﨑 優</dc:creator>
  <cp:lastModifiedBy>井﨑 優</cp:lastModifiedBy>
  <cp:lastPrinted>2025-11-19T15:15:41Z</cp:lastPrinted>
  <dcterms:created xsi:type="dcterms:W3CDTF">2025-11-16T18:14:11Z</dcterms:created>
  <dcterms:modified xsi:type="dcterms:W3CDTF">2025-11-19T15:29:12Z</dcterms:modified>
</cp:coreProperties>
</file>