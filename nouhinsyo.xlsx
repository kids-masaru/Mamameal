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00289\Downloads\"/>
    </mc:Choice>
  </mc:AlternateContent>
  <xr:revisionPtr revIDLastSave="0" documentId="13_ncr:1_{463D1B2A-DF39-48D1-95CC-6CEF7C364E80}" xr6:coauthVersionLast="47" xr6:coauthVersionMax="47" xr10:uidLastSave="{00000000-0000-0000-0000-000000000000}"/>
  <bookViews>
    <workbookView xWindow="-48" yWindow="0" windowWidth="18252" windowHeight="13776" firstSheet="1" activeTab="7" xr2:uid="{00000000-000D-0000-FFFF-FFFF00000000}"/>
  </bookViews>
  <sheets>
    <sheet name="注文弁当の抽出" sheetId="1" r:id="rId1"/>
    <sheet name="クライアント抽出" sheetId="2" r:id="rId2"/>
    <sheet name="貼り付け用" sheetId="3" r:id="rId3"/>
    <sheet name="得意先マスタ" sheetId="4" state="hidden" r:id="rId4"/>
    <sheet name="商品マスタ" sheetId="5" state="hidden" r:id="rId5"/>
    <sheet name="数出表_Excel" sheetId="6" r:id="rId6"/>
    <sheet name="納品書まとめ" sheetId="7" r:id="rId7"/>
    <sheet name="納品書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5" i="6" l="1"/>
  <c r="A144" i="6"/>
  <c r="A143" i="6"/>
  <c r="A142" i="6"/>
  <c r="A141" i="6"/>
  <c r="A140" i="6"/>
  <c r="A139" i="6"/>
  <c r="Q139" i="6" s="1"/>
  <c r="A138" i="6"/>
  <c r="A137" i="6"/>
  <c r="A136" i="6"/>
  <c r="A135" i="6"/>
  <c r="A134" i="6"/>
  <c r="Q134" i="6" s="1"/>
  <c r="A133" i="6"/>
  <c r="A132" i="6"/>
  <c r="A131" i="6"/>
  <c r="Q131" i="6" s="1"/>
  <c r="A130" i="6"/>
  <c r="A129" i="6"/>
  <c r="A128" i="6"/>
  <c r="A127" i="6"/>
  <c r="A126" i="6"/>
  <c r="Q126" i="6" s="1"/>
  <c r="A125" i="6"/>
  <c r="A124" i="6"/>
  <c r="A123" i="6"/>
  <c r="Q123" i="6" s="1"/>
  <c r="A122" i="6"/>
  <c r="A121" i="6"/>
  <c r="A120" i="6"/>
  <c r="A119" i="6"/>
  <c r="A118" i="6"/>
  <c r="A117" i="6"/>
  <c r="A116" i="6"/>
  <c r="A115" i="6"/>
  <c r="Q115" i="6" s="1"/>
  <c r="A114" i="6"/>
  <c r="A113" i="6"/>
  <c r="A112" i="6"/>
  <c r="A111" i="6"/>
  <c r="A110" i="6"/>
  <c r="A109" i="6"/>
  <c r="A108" i="6"/>
  <c r="A107" i="6"/>
  <c r="Q107" i="6" s="1"/>
  <c r="A106" i="6"/>
  <c r="A105" i="6"/>
  <c r="A104" i="6"/>
  <c r="A103" i="6"/>
  <c r="A102" i="6"/>
  <c r="A101" i="6"/>
  <c r="A100" i="6"/>
  <c r="A99" i="6"/>
  <c r="O99" i="6" s="1"/>
  <c r="A98" i="6"/>
  <c r="A97" i="6"/>
  <c r="A96" i="6"/>
  <c r="A95" i="6"/>
  <c r="A94" i="6"/>
  <c r="A93" i="6"/>
  <c r="A92" i="6"/>
  <c r="A91" i="6"/>
  <c r="A90" i="6"/>
  <c r="A89" i="6"/>
  <c r="O89" i="6" s="1"/>
  <c r="A88" i="6"/>
  <c r="A87" i="6"/>
  <c r="A86" i="6"/>
  <c r="A85" i="6"/>
  <c r="A84" i="6"/>
  <c r="A83" i="6"/>
  <c r="A82" i="6"/>
  <c r="A81" i="6"/>
  <c r="O81" i="6" s="1"/>
  <c r="A80" i="6"/>
  <c r="A79" i="6"/>
  <c r="A78" i="6"/>
  <c r="A77" i="6"/>
  <c r="A76" i="6"/>
  <c r="A75" i="6"/>
  <c r="A74" i="6"/>
  <c r="A73" i="6"/>
  <c r="A72" i="6"/>
  <c r="A71" i="6"/>
  <c r="A70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O52" i="6" s="1"/>
  <c r="A51" i="6"/>
  <c r="A50" i="6"/>
  <c r="A49" i="6"/>
  <c r="A48" i="6"/>
  <c r="A47" i="6"/>
  <c r="A46" i="6"/>
  <c r="A45" i="6"/>
  <c r="A44" i="6"/>
  <c r="S44" i="6" s="1"/>
  <c r="A43" i="6"/>
  <c r="N43" i="6" s="1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69" i="6"/>
  <c r="A68" i="6"/>
  <c r="W67" i="6"/>
  <c r="N59" i="6"/>
  <c r="W51" i="6"/>
  <c r="F31" i="8"/>
  <c r="F30" i="8"/>
  <c r="F29" i="8"/>
  <c r="F28" i="8"/>
  <c r="ADI26" i="8"/>
  <c r="ADJ26" i="8" s="1"/>
  <c r="ACX26" i="8"/>
  <c r="ACY26" i="8" s="1"/>
  <c r="ACM26" i="8"/>
  <c r="ACN26" i="8" s="1"/>
  <c r="ACB26" i="8"/>
  <c r="ACC26" i="8" s="1"/>
  <c r="ABQ26" i="8"/>
  <c r="ABR26" i="8" s="1"/>
  <c r="ABF26" i="8"/>
  <c r="ABG26" i="8" s="1"/>
  <c r="AAU26" i="8"/>
  <c r="AAV26" i="8" s="1"/>
  <c r="AAJ26" i="8"/>
  <c r="AAK26" i="8" s="1"/>
  <c r="ZY26" i="8"/>
  <c r="ZZ26" i="8" s="1"/>
  <c r="ZN26" i="8"/>
  <c r="ZO26" i="8" s="1"/>
  <c r="ZC26" i="8"/>
  <c r="ZD26" i="8" s="1"/>
  <c r="YR26" i="8"/>
  <c r="YS26" i="8" s="1"/>
  <c r="YG26" i="8"/>
  <c r="YH26" i="8" s="1"/>
  <c r="XV26" i="8"/>
  <c r="XW26" i="8" s="1"/>
  <c r="XK26" i="8"/>
  <c r="XL26" i="8" s="1"/>
  <c r="WZ26" i="8"/>
  <c r="XA26" i="8" s="1"/>
  <c r="WO26" i="8"/>
  <c r="WP26" i="8" s="1"/>
  <c r="WD26" i="8"/>
  <c r="WE26" i="8" s="1"/>
  <c r="VS26" i="8"/>
  <c r="VT26" i="8" s="1"/>
  <c r="VH26" i="8"/>
  <c r="VI26" i="8" s="1"/>
  <c r="UW26" i="8"/>
  <c r="UX26" i="8" s="1"/>
  <c r="UL26" i="8"/>
  <c r="UM26" i="8" s="1"/>
  <c r="UA26" i="8"/>
  <c r="UB26" i="8" s="1"/>
  <c r="TP26" i="8"/>
  <c r="TQ26" i="8" s="1"/>
  <c r="TE26" i="8"/>
  <c r="TF26" i="8" s="1"/>
  <c r="ST26" i="8"/>
  <c r="SU26" i="8" s="1"/>
  <c r="SI26" i="8"/>
  <c r="SJ26" i="8" s="1"/>
  <c r="RX26" i="8"/>
  <c r="RY26" i="8" s="1"/>
  <c r="RM26" i="8"/>
  <c r="RN26" i="8" s="1"/>
  <c r="RB26" i="8"/>
  <c r="RC26" i="8" s="1"/>
  <c r="QQ26" i="8"/>
  <c r="QR26" i="8" s="1"/>
  <c r="QF26" i="8"/>
  <c r="QG26" i="8" s="1"/>
  <c r="PU26" i="8"/>
  <c r="PV26" i="8" s="1"/>
  <c r="PJ26" i="8"/>
  <c r="PK26" i="8" s="1"/>
  <c r="OY26" i="8"/>
  <c r="OZ26" i="8" s="1"/>
  <c r="ON26" i="8"/>
  <c r="OO26" i="8" s="1"/>
  <c r="OC26" i="8"/>
  <c r="OD26" i="8" s="1"/>
  <c r="NR26" i="8"/>
  <c r="NS26" i="8" s="1"/>
  <c r="NG26" i="8"/>
  <c r="NH26" i="8" s="1"/>
  <c r="MV26" i="8"/>
  <c r="MW26" i="8" s="1"/>
  <c r="MK26" i="8"/>
  <c r="ML26" i="8" s="1"/>
  <c r="LZ26" i="8"/>
  <c r="MA26" i="8" s="1"/>
  <c r="LO26" i="8"/>
  <c r="LP26" i="8" s="1"/>
  <c r="LD26" i="8"/>
  <c r="LE26" i="8" s="1"/>
  <c r="KS26" i="8"/>
  <c r="KT26" i="8" s="1"/>
  <c r="KH26" i="8"/>
  <c r="KI26" i="8" s="1"/>
  <c r="JW26" i="8"/>
  <c r="JX26" i="8" s="1"/>
  <c r="JL26" i="8"/>
  <c r="JM26" i="8" s="1"/>
  <c r="JA26" i="8"/>
  <c r="JB26" i="8" s="1"/>
  <c r="IP26" i="8"/>
  <c r="IQ26" i="8" s="1"/>
  <c r="IE26" i="8"/>
  <c r="IF26" i="8" s="1"/>
  <c r="HT26" i="8"/>
  <c r="HU26" i="8" s="1"/>
  <c r="HI26" i="8"/>
  <c r="HJ26" i="8" s="1"/>
  <c r="GX26" i="8"/>
  <c r="GY26" i="8" s="1"/>
  <c r="GM26" i="8"/>
  <c r="GN26" i="8" s="1"/>
  <c r="GB26" i="8"/>
  <c r="GC26" i="8" s="1"/>
  <c r="FQ26" i="8"/>
  <c r="FR26" i="8" s="1"/>
  <c r="FF26" i="8"/>
  <c r="FG26" i="8" s="1"/>
  <c r="EU26" i="8"/>
  <c r="EV26" i="8" s="1"/>
  <c r="EJ26" i="8"/>
  <c r="EK26" i="8" s="1"/>
  <c r="DY26" i="8"/>
  <c r="DZ26" i="8" s="1"/>
  <c r="DN26" i="8"/>
  <c r="DO26" i="8" s="1"/>
  <c r="DC26" i="8"/>
  <c r="DD26" i="8" s="1"/>
  <c r="CR26" i="8"/>
  <c r="CS26" i="8" s="1"/>
  <c r="CG26" i="8"/>
  <c r="CH26" i="8" s="1"/>
  <c r="BV26" i="8"/>
  <c r="BW26" i="8" s="1"/>
  <c r="BK26" i="8"/>
  <c r="BL26" i="8" s="1"/>
  <c r="AZ26" i="8"/>
  <c r="BA26" i="8" s="1"/>
  <c r="AO26" i="8"/>
  <c r="AP26" i="8" s="1"/>
  <c r="AD26" i="8"/>
  <c r="AE26" i="8" s="1"/>
  <c r="S26" i="8"/>
  <c r="T26" i="8" s="1"/>
  <c r="H26" i="8"/>
  <c r="I26" i="8" s="1"/>
  <c r="E2" i="8"/>
  <c r="E27" i="8" s="1"/>
  <c r="C1" i="7" a="1"/>
  <c r="C1" i="7"/>
  <c r="A1" i="7" a="1"/>
  <c r="A1" i="7" s="1"/>
  <c r="W147" i="6"/>
  <c r="V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A147" i="6"/>
  <c r="W146" i="6" a="1"/>
  <c r="W146" i="6" s="1"/>
  <c r="V146" i="6" a="1"/>
  <c r="V146" i="6" s="1"/>
  <c r="T146" i="6" a="1"/>
  <c r="T146" i="6" s="1"/>
  <c r="S146" i="6" a="1"/>
  <c r="S146" i="6"/>
  <c r="R146" i="6" a="1"/>
  <c r="R146" i="6" s="1"/>
  <c r="Q146" i="6" a="1"/>
  <c r="Q146" i="6" s="1"/>
  <c r="P146" i="6" a="1"/>
  <c r="P146" i="6" s="1"/>
  <c r="O146" i="6" a="1"/>
  <c r="O146" i="6"/>
  <c r="N146" i="6" a="1"/>
  <c r="N146" i="6" s="1"/>
  <c r="M146" i="6" a="1"/>
  <c r="M146" i="6" s="1"/>
  <c r="L146" i="6" a="1"/>
  <c r="L146" i="6" s="1"/>
  <c r="K146" i="6" a="1"/>
  <c r="K146" i="6"/>
  <c r="J146" i="6" a="1"/>
  <c r="J146" i="6" s="1"/>
  <c r="I146" i="6" a="1"/>
  <c r="I146" i="6" s="1"/>
  <c r="H146" i="6" a="1"/>
  <c r="H146" i="6" s="1"/>
  <c r="G146" i="6" a="1"/>
  <c r="G146" i="6"/>
  <c r="F146" i="6" a="1"/>
  <c r="F146" i="6" s="1"/>
  <c r="E146" i="6" a="1"/>
  <c r="E146" i="6" s="1"/>
  <c r="D146" i="6" a="1"/>
  <c r="D146" i="6" s="1"/>
  <c r="C146" i="6" a="1"/>
  <c r="C146" i="6"/>
  <c r="B146" i="6" a="1"/>
  <c r="B146" i="6" s="1"/>
  <c r="A146" i="6" a="1"/>
  <c r="A146" i="6" s="1"/>
  <c r="Q145" i="6"/>
  <c r="Q143" i="6"/>
  <c r="Q142" i="6"/>
  <c r="Q141" i="6"/>
  <c r="H140" i="6"/>
  <c r="Q138" i="6"/>
  <c r="Q137" i="6"/>
  <c r="H136" i="6"/>
  <c r="Q135" i="6"/>
  <c r="Q133" i="6"/>
  <c r="P132" i="6"/>
  <c r="Q130" i="6"/>
  <c r="Q129" i="6"/>
  <c r="Q128" i="6"/>
  <c r="Q127" i="6"/>
  <c r="Q125" i="6"/>
  <c r="H124" i="6"/>
  <c r="Q122" i="6"/>
  <c r="Q121" i="6"/>
  <c r="S119" i="6"/>
  <c r="S118" i="6"/>
  <c r="Q117" i="6"/>
  <c r="Q116" i="6"/>
  <c r="S114" i="6"/>
  <c r="Q113" i="6"/>
  <c r="I112" i="6"/>
  <c r="S111" i="6"/>
  <c r="S110" i="6"/>
  <c r="Q109" i="6"/>
  <c r="Q105" i="6"/>
  <c r="Q104" i="6"/>
  <c r="V103" i="6"/>
  <c r="S102" i="6"/>
  <c r="J101" i="6"/>
  <c r="Q100" i="6"/>
  <c r="E98" i="6"/>
  <c r="Q97" i="6"/>
  <c r="H96" i="6"/>
  <c r="M95" i="6"/>
  <c r="D94" i="6"/>
  <c r="R93" i="6"/>
  <c r="P92" i="6"/>
  <c r="L91" i="6"/>
  <c r="M90" i="6"/>
  <c r="P88" i="6"/>
  <c r="M87" i="6"/>
  <c r="M86" i="6"/>
  <c r="P84" i="6"/>
  <c r="O83" i="6"/>
  <c r="L82" i="6"/>
  <c r="M80" i="6"/>
  <c r="M79" i="6"/>
  <c r="D78" i="6"/>
  <c r="M75" i="6"/>
  <c r="O74" i="6"/>
  <c r="M72" i="6"/>
  <c r="M71" i="6"/>
  <c r="C70" i="6"/>
  <c r="Q69" i="6"/>
  <c r="S68" i="6"/>
  <c r="M66" i="6"/>
  <c r="K65" i="6"/>
  <c r="M64" i="6"/>
  <c r="C63" i="6"/>
  <c r="L62" i="6"/>
  <c r="K61" i="6"/>
  <c r="K60" i="6"/>
  <c r="O58" i="6"/>
  <c r="R57" i="6"/>
  <c r="C56" i="6"/>
  <c r="M55" i="6"/>
  <c r="L54" i="6"/>
  <c r="K53" i="6"/>
  <c r="S50" i="6"/>
  <c r="O49" i="6"/>
  <c r="M48" i="6"/>
  <c r="M47" i="6"/>
  <c r="L46" i="6"/>
  <c r="V45" i="6"/>
  <c r="W42" i="6"/>
  <c r="R41" i="6"/>
  <c r="V40" i="6"/>
  <c r="R40" i="6"/>
  <c r="Q40" i="6"/>
  <c r="P40" i="6"/>
  <c r="K40" i="6"/>
  <c r="I40" i="6"/>
  <c r="H40" i="6"/>
  <c r="G40" i="6"/>
  <c r="B40" i="6"/>
  <c r="Q3" i="6"/>
  <c r="R3" i="6" s="1"/>
  <c r="S3" i="6" s="1"/>
  <c r="P3" i="6"/>
  <c r="L3" i="6"/>
  <c r="M3" i="6" s="1"/>
  <c r="N3" i="6" s="1"/>
  <c r="O3" i="6" s="1"/>
  <c r="V2" i="6"/>
  <c r="A2" i="6"/>
  <c r="S1" i="6" a="1"/>
  <c r="S1" i="6"/>
  <c r="R1" i="6" a="1"/>
  <c r="R1" i="6"/>
  <c r="I3" i="2"/>
  <c r="I2" i="2"/>
  <c r="I14" i="1"/>
  <c r="G14" i="1"/>
  <c r="F13" i="1"/>
  <c r="I13" i="1" s="1"/>
  <c r="I12" i="1"/>
  <c r="G12" i="1"/>
  <c r="F12" i="1"/>
  <c r="I11" i="1"/>
  <c r="G11" i="1"/>
  <c r="F11" i="1"/>
  <c r="G10" i="1"/>
  <c r="F10" i="1"/>
  <c r="I10" i="1" s="1"/>
  <c r="I9" i="1"/>
  <c r="F9" i="1"/>
  <c r="G9" i="1" s="1"/>
  <c r="I8" i="1"/>
  <c r="G8" i="1"/>
  <c r="F8" i="1"/>
  <c r="G7" i="1"/>
  <c r="F7" i="1"/>
  <c r="I7" i="1" s="1"/>
  <c r="I6" i="1"/>
  <c r="G6" i="1"/>
  <c r="F6" i="1"/>
  <c r="I5" i="1"/>
  <c r="G5" i="1"/>
  <c r="F5" i="1"/>
  <c r="I4" i="1"/>
  <c r="G4" i="1"/>
  <c r="F4" i="1"/>
  <c r="I3" i="1"/>
  <c r="G3" i="1"/>
  <c r="F3" i="1"/>
  <c r="A6" i="6" a="1"/>
  <c r="A7" i="6" a="1"/>
  <c r="H84" i="6" l="1"/>
  <c r="L113" i="6"/>
  <c r="F51" i="6"/>
  <c r="O51" i="6"/>
  <c r="C89" i="6"/>
  <c r="G89" i="6"/>
  <c r="P96" i="6"/>
  <c r="F111" i="6"/>
  <c r="I51" i="6"/>
  <c r="L135" i="6"/>
  <c r="E142" i="6"/>
  <c r="Q46" i="6"/>
  <c r="K51" i="6"/>
  <c r="S89" i="6"/>
  <c r="P107" i="6"/>
  <c r="D113" i="6"/>
  <c r="R118" i="6"/>
  <c r="F129" i="6"/>
  <c r="C142" i="6"/>
  <c r="C58" i="6"/>
  <c r="N87" i="6"/>
  <c r="Q90" i="6"/>
  <c r="F125" i="6"/>
  <c r="O87" i="6"/>
  <c r="C105" i="6"/>
  <c r="S125" i="6"/>
  <c r="E44" i="6"/>
  <c r="S67" i="6"/>
  <c r="D105" i="6"/>
  <c r="C115" i="6"/>
  <c r="D121" i="6"/>
  <c r="K139" i="6"/>
  <c r="I54" i="6"/>
  <c r="S105" i="6"/>
  <c r="D46" i="6"/>
  <c r="D123" i="6"/>
  <c r="V44" i="6"/>
  <c r="E57" i="6"/>
  <c r="S58" i="6"/>
  <c r="K82" i="6"/>
  <c r="O84" i="6"/>
  <c r="C103" i="6"/>
  <c r="W107" i="6"/>
  <c r="B114" i="6"/>
  <c r="E115" i="6"/>
  <c r="G123" i="6"/>
  <c r="M139" i="6"/>
  <c r="H142" i="6"/>
  <c r="G57" i="6"/>
  <c r="S82" i="6"/>
  <c r="G91" i="6"/>
  <c r="F103" i="6"/>
  <c r="D114" i="6"/>
  <c r="M115" i="6"/>
  <c r="R123" i="6"/>
  <c r="F138" i="6"/>
  <c r="W139" i="6"/>
  <c r="M41" i="6"/>
  <c r="J45" i="6"/>
  <c r="L50" i="6"/>
  <c r="S53" i="6"/>
  <c r="I57" i="6"/>
  <c r="G79" i="6"/>
  <c r="K91" i="6"/>
  <c r="E95" i="6"/>
  <c r="H99" i="6"/>
  <c r="B107" i="6"/>
  <c r="C113" i="6"/>
  <c r="E114" i="6"/>
  <c r="O115" i="6"/>
  <c r="W123" i="6"/>
  <c r="R138" i="6"/>
  <c r="N143" i="6"/>
  <c r="J57" i="6"/>
  <c r="G60" i="6"/>
  <c r="K67" i="6"/>
  <c r="I79" i="6"/>
  <c r="M83" i="6"/>
  <c r="K86" i="6"/>
  <c r="S91" i="6"/>
  <c r="S95" i="6"/>
  <c r="K99" i="6"/>
  <c r="C107" i="6"/>
  <c r="L114" i="6"/>
  <c r="O57" i="6"/>
  <c r="G107" i="6"/>
  <c r="J110" i="6"/>
  <c r="J113" i="6"/>
  <c r="M114" i="6"/>
  <c r="R121" i="6"/>
  <c r="S129" i="6"/>
  <c r="V135" i="6"/>
  <c r="D139" i="6"/>
  <c r="D141" i="6"/>
  <c r="Q43" i="6"/>
  <c r="S57" i="6"/>
  <c r="K80" i="6"/>
  <c r="E84" i="6"/>
  <c r="F87" i="6"/>
  <c r="H92" i="6"/>
  <c r="L107" i="6"/>
  <c r="T110" i="6"/>
  <c r="R114" i="6"/>
  <c r="E139" i="6"/>
  <c r="G84" i="6"/>
  <c r="O92" i="6"/>
  <c r="N107" i="6"/>
  <c r="S113" i="6"/>
  <c r="F118" i="6"/>
  <c r="H139" i="6"/>
  <c r="T50" i="6"/>
  <c r="Q80" i="6"/>
  <c r="T109" i="6"/>
  <c r="H131" i="6"/>
  <c r="D133" i="6"/>
  <c r="P134" i="6"/>
  <c r="E43" i="6"/>
  <c r="G44" i="6"/>
  <c r="E46" i="6"/>
  <c r="K47" i="6"/>
  <c r="E49" i="6"/>
  <c r="C50" i="6"/>
  <c r="V50" i="6"/>
  <c r="T91" i="6"/>
  <c r="J97" i="6"/>
  <c r="E102" i="6"/>
  <c r="W102" i="6"/>
  <c r="D109" i="6"/>
  <c r="F115" i="6"/>
  <c r="P115" i="6"/>
  <c r="D117" i="6"/>
  <c r="T118" i="6"/>
  <c r="H123" i="6"/>
  <c r="F126" i="6"/>
  <c r="M127" i="6"/>
  <c r="B130" i="6"/>
  <c r="M131" i="6"/>
  <c r="J133" i="6"/>
  <c r="W138" i="6"/>
  <c r="N139" i="6"/>
  <c r="H141" i="6"/>
  <c r="M142" i="6"/>
  <c r="C145" i="6"/>
  <c r="C97" i="6"/>
  <c r="D102" i="6"/>
  <c r="V102" i="6"/>
  <c r="C109" i="6"/>
  <c r="S69" i="6"/>
  <c r="F43" i="6"/>
  <c r="H44" i="6"/>
  <c r="G46" i="6"/>
  <c r="V47" i="6"/>
  <c r="G49" i="6"/>
  <c r="E50" i="6"/>
  <c r="Q53" i="6"/>
  <c r="V57" i="6"/>
  <c r="I60" i="6"/>
  <c r="E67" i="6"/>
  <c r="V79" i="6"/>
  <c r="C81" i="6"/>
  <c r="G83" i="6"/>
  <c r="D91" i="6"/>
  <c r="V91" i="6"/>
  <c r="I96" i="6"/>
  <c r="K97" i="6"/>
  <c r="L99" i="6"/>
  <c r="F102" i="6"/>
  <c r="H105" i="6"/>
  <c r="D107" i="6"/>
  <c r="T107" i="6"/>
  <c r="H109" i="6"/>
  <c r="B110" i="6"/>
  <c r="T113" i="6"/>
  <c r="T114" i="6"/>
  <c r="G115" i="6"/>
  <c r="R115" i="6"/>
  <c r="L117" i="6"/>
  <c r="E122" i="6"/>
  <c r="L123" i="6"/>
  <c r="L126" i="6"/>
  <c r="R127" i="6"/>
  <c r="F130" i="6"/>
  <c r="R131" i="6"/>
  <c r="K133" i="6"/>
  <c r="C135" i="6"/>
  <c r="F137" i="6"/>
  <c r="R139" i="6"/>
  <c r="N141" i="6"/>
  <c r="P142" i="6"/>
  <c r="F145" i="6"/>
  <c r="R102" i="6"/>
  <c r="I47" i="6"/>
  <c r="C49" i="6"/>
  <c r="I74" i="6"/>
  <c r="C126" i="6"/>
  <c r="H127" i="6"/>
  <c r="O56" i="6"/>
  <c r="H60" i="6"/>
  <c r="K74" i="6"/>
  <c r="G43" i="6"/>
  <c r="R44" i="6"/>
  <c r="K46" i="6"/>
  <c r="W47" i="6"/>
  <c r="J49" i="6"/>
  <c r="G50" i="6"/>
  <c r="C51" i="6"/>
  <c r="R53" i="6"/>
  <c r="B57" i="6"/>
  <c r="I67" i="6"/>
  <c r="W79" i="6"/>
  <c r="V81" i="6"/>
  <c r="K83" i="6"/>
  <c r="E91" i="6"/>
  <c r="W91" i="6"/>
  <c r="O96" i="6"/>
  <c r="R97" i="6"/>
  <c r="J102" i="6"/>
  <c r="L105" i="6"/>
  <c r="E107" i="6"/>
  <c r="V107" i="6"/>
  <c r="J109" i="6"/>
  <c r="D110" i="6"/>
  <c r="V114" i="6"/>
  <c r="H115" i="6"/>
  <c r="T115" i="6"/>
  <c r="T117" i="6"/>
  <c r="J119" i="6"/>
  <c r="P122" i="6"/>
  <c r="M123" i="6"/>
  <c r="M126" i="6"/>
  <c r="W127" i="6"/>
  <c r="L130" i="6"/>
  <c r="W131" i="6"/>
  <c r="N133" i="6"/>
  <c r="G135" i="6"/>
  <c r="S137" i="6"/>
  <c r="B139" i="6"/>
  <c r="T139" i="6"/>
  <c r="R141" i="6"/>
  <c r="S142" i="6"/>
  <c r="P145" i="6"/>
  <c r="R109" i="6"/>
  <c r="O43" i="6"/>
  <c r="S97" i="6"/>
  <c r="L102" i="6"/>
  <c r="K109" i="6"/>
  <c r="K115" i="6"/>
  <c r="V115" i="6"/>
  <c r="O123" i="6"/>
  <c r="R126" i="6"/>
  <c r="R130" i="6"/>
  <c r="R133" i="6"/>
  <c r="T141" i="6"/>
  <c r="S145" i="6"/>
  <c r="S49" i="6"/>
  <c r="Q49" i="6"/>
  <c r="I50" i="6"/>
  <c r="P43" i="6"/>
  <c r="T46" i="6"/>
  <c r="K48" i="6"/>
  <c r="R49" i="6"/>
  <c r="K50" i="6"/>
  <c r="M67" i="6"/>
  <c r="E80" i="6"/>
  <c r="E82" i="6"/>
  <c r="H91" i="6"/>
  <c r="G92" i="6"/>
  <c r="C95" i="6"/>
  <c r="Q96" i="6"/>
  <c r="M102" i="6"/>
  <c r="T105" i="6"/>
  <c r="K107" i="6"/>
  <c r="L109" i="6"/>
  <c r="R110" i="6"/>
  <c r="B115" i="6"/>
  <c r="L115" i="6"/>
  <c r="W115" i="6"/>
  <c r="E118" i="6"/>
  <c r="C123" i="6"/>
  <c r="P123" i="6"/>
  <c r="W126" i="6"/>
  <c r="W130" i="6"/>
  <c r="Q132" i="6"/>
  <c r="W133" i="6"/>
  <c r="P135" i="6"/>
  <c r="B138" i="6"/>
  <c r="E143" i="6"/>
  <c r="G47" i="6"/>
  <c r="B49" i="6"/>
  <c r="V49" i="6"/>
  <c r="O50" i="6"/>
  <c r="G74" i="6"/>
  <c r="O82" i="6"/>
  <c r="N91" i="6"/>
  <c r="M92" i="6"/>
  <c r="P95" i="6"/>
  <c r="B97" i="6"/>
  <c r="B102" i="6"/>
  <c r="T102" i="6"/>
  <c r="M107" i="6"/>
  <c r="B109" i="6"/>
  <c r="S109" i="6"/>
  <c r="K113" i="6"/>
  <c r="D115" i="6"/>
  <c r="N115" i="6"/>
  <c r="L118" i="6"/>
  <c r="K121" i="6"/>
  <c r="F123" i="6"/>
  <c r="V123" i="6"/>
  <c r="B126" i="6"/>
  <c r="D127" i="6"/>
  <c r="D131" i="6"/>
  <c r="B133" i="6"/>
  <c r="E134" i="6"/>
  <c r="L138" i="6"/>
  <c r="B141" i="6"/>
  <c r="O41" i="6"/>
  <c r="M45" i="6"/>
  <c r="M52" i="6"/>
  <c r="K55" i="6"/>
  <c r="V58" i="6"/>
  <c r="G61" i="6"/>
  <c r="O63" i="6"/>
  <c r="B65" i="6"/>
  <c r="L66" i="6"/>
  <c r="C68" i="6"/>
  <c r="V68" i="6"/>
  <c r="H72" i="6"/>
  <c r="C75" i="6"/>
  <c r="W75" i="6"/>
  <c r="L78" i="6"/>
  <c r="K78" i="6"/>
  <c r="B81" i="6"/>
  <c r="R81" i="6"/>
  <c r="I86" i="6"/>
  <c r="R94" i="6"/>
  <c r="K94" i="6"/>
  <c r="V94" i="6"/>
  <c r="C94" i="6"/>
  <c r="S98" i="6"/>
  <c r="M98" i="6"/>
  <c r="L98" i="6"/>
  <c r="D98" i="6"/>
  <c r="Q101" i="6"/>
  <c r="S101" i="6"/>
  <c r="C101" i="6"/>
  <c r="B101" i="6"/>
  <c r="R103" i="6"/>
  <c r="N103" i="6"/>
  <c r="D103" i="6"/>
  <c r="T103" i="6"/>
  <c r="H103" i="6"/>
  <c r="S103" i="6"/>
  <c r="G103" i="6"/>
  <c r="O103" i="6"/>
  <c r="E103" i="6"/>
  <c r="W103" i="6"/>
  <c r="E111" i="6"/>
  <c r="E119" i="6"/>
  <c r="M76" i="6"/>
  <c r="I76" i="6"/>
  <c r="C41" i="6"/>
  <c r="V41" i="6"/>
  <c r="H43" i="6"/>
  <c r="S43" i="6"/>
  <c r="J44" i="6"/>
  <c r="B45" i="6"/>
  <c r="Q45" i="6"/>
  <c r="E58" i="6"/>
  <c r="M59" i="6"/>
  <c r="M60" i="6"/>
  <c r="S61" i="6"/>
  <c r="E64" i="6"/>
  <c r="I65" i="6"/>
  <c r="O67" i="6"/>
  <c r="H68" i="6"/>
  <c r="C69" i="6"/>
  <c r="E71" i="6"/>
  <c r="V72" i="6"/>
  <c r="L74" i="6"/>
  <c r="G75" i="6"/>
  <c r="C76" i="6"/>
  <c r="E78" i="6"/>
  <c r="G81" i="6"/>
  <c r="T82" i="6"/>
  <c r="N83" i="6"/>
  <c r="I84" i="6"/>
  <c r="T87" i="6"/>
  <c r="V87" i="6"/>
  <c r="E87" i="6"/>
  <c r="S87" i="6"/>
  <c r="E94" i="6"/>
  <c r="F95" i="6"/>
  <c r="T95" i="6"/>
  <c r="T98" i="6"/>
  <c r="M99" i="6"/>
  <c r="K101" i="6"/>
  <c r="S106" i="6"/>
  <c r="R106" i="6"/>
  <c r="B106" i="6"/>
  <c r="L106" i="6"/>
  <c r="J106" i="6"/>
  <c r="W106" i="6"/>
  <c r="F106" i="6"/>
  <c r="T106" i="6"/>
  <c r="D106" i="6"/>
  <c r="J111" i="6"/>
  <c r="N119" i="6"/>
  <c r="I61" i="6"/>
  <c r="I104" i="6"/>
  <c r="P104" i="6"/>
  <c r="D41" i="6"/>
  <c r="I43" i="6"/>
  <c r="W43" i="6"/>
  <c r="M44" i="6"/>
  <c r="C45" i="6"/>
  <c r="R45" i="6"/>
  <c r="S46" i="6"/>
  <c r="I49" i="6"/>
  <c r="M51" i="6"/>
  <c r="C53" i="6"/>
  <c r="G54" i="6"/>
  <c r="K57" i="6"/>
  <c r="I58" i="6"/>
  <c r="P60" i="6"/>
  <c r="V61" i="6"/>
  <c r="G64" i="6"/>
  <c r="J65" i="6"/>
  <c r="C67" i="6"/>
  <c r="Q67" i="6"/>
  <c r="I68" i="6"/>
  <c r="G69" i="6"/>
  <c r="F71" i="6"/>
  <c r="I75" i="6"/>
  <c r="G76" i="6"/>
  <c r="Q78" i="6"/>
  <c r="I81" i="6"/>
  <c r="C82" i="6"/>
  <c r="V82" i="6"/>
  <c r="M84" i="6"/>
  <c r="C87" i="6"/>
  <c r="W87" i="6"/>
  <c r="L94" i="6"/>
  <c r="G95" i="6"/>
  <c r="W95" i="6"/>
  <c r="V98" i="6"/>
  <c r="R101" i="6"/>
  <c r="K103" i="6"/>
  <c r="E106" i="6"/>
  <c r="N111" i="6"/>
  <c r="E65" i="6"/>
  <c r="G68" i="6"/>
  <c r="E41" i="6"/>
  <c r="Q60" i="6"/>
  <c r="K64" i="6"/>
  <c r="O65" i="6"/>
  <c r="K68" i="6"/>
  <c r="J69" i="6"/>
  <c r="K71" i="6"/>
  <c r="T74" i="6"/>
  <c r="E74" i="6"/>
  <c r="Q74" i="6"/>
  <c r="K75" i="6"/>
  <c r="K76" i="6"/>
  <c r="S78" i="6"/>
  <c r="J81" i="6"/>
  <c r="T83" i="6"/>
  <c r="W83" i="6"/>
  <c r="F83" i="6"/>
  <c r="S83" i="6"/>
  <c r="M94" i="6"/>
  <c r="H95" i="6"/>
  <c r="R99" i="6"/>
  <c r="S99" i="6"/>
  <c r="G99" i="6"/>
  <c r="P99" i="6"/>
  <c r="F99" i="6"/>
  <c r="N99" i="6"/>
  <c r="D99" i="6"/>
  <c r="T99" i="6"/>
  <c r="L103" i="6"/>
  <c r="M106" i="6"/>
  <c r="O111" i="6"/>
  <c r="Q41" i="6"/>
  <c r="O45" i="6"/>
  <c r="I72" i="6"/>
  <c r="F75" i="6"/>
  <c r="L43" i="6"/>
  <c r="K58" i="6"/>
  <c r="H41" i="6"/>
  <c r="C43" i="6"/>
  <c r="M43" i="6"/>
  <c r="B44" i="6"/>
  <c r="P44" i="6"/>
  <c r="E45" i="6"/>
  <c r="K49" i="6"/>
  <c r="S51" i="6"/>
  <c r="G53" i="6"/>
  <c r="T54" i="6"/>
  <c r="L58" i="6"/>
  <c r="C60" i="6"/>
  <c r="S60" i="6"/>
  <c r="K62" i="6"/>
  <c r="Q64" i="6"/>
  <c r="R65" i="6"/>
  <c r="F67" i="6"/>
  <c r="V67" i="6"/>
  <c r="M68" i="6"/>
  <c r="K69" i="6"/>
  <c r="Q71" i="6"/>
  <c r="C74" i="6"/>
  <c r="S74" i="6"/>
  <c r="O75" i="6"/>
  <c r="P76" i="6"/>
  <c r="K81" i="6"/>
  <c r="G82" i="6"/>
  <c r="C83" i="6"/>
  <c r="V83" i="6"/>
  <c r="V84" i="6"/>
  <c r="G87" i="6"/>
  <c r="I88" i="6"/>
  <c r="R91" i="6"/>
  <c r="P91" i="6"/>
  <c r="F91" i="6"/>
  <c r="M91" i="6"/>
  <c r="C91" i="6"/>
  <c r="O91" i="6"/>
  <c r="S94" i="6"/>
  <c r="L95" i="6"/>
  <c r="C99" i="6"/>
  <c r="V99" i="6"/>
  <c r="M103" i="6"/>
  <c r="N106" i="6"/>
  <c r="O44" i="6"/>
  <c r="D45" i="6"/>
  <c r="S45" i="6"/>
  <c r="E53" i="6"/>
  <c r="L41" i="6"/>
  <c r="D43" i="6"/>
  <c r="C44" i="6"/>
  <c r="Q44" i="6"/>
  <c r="G45" i="6"/>
  <c r="J53" i="6"/>
  <c r="V54" i="6"/>
  <c r="E60" i="6"/>
  <c r="V60" i="6"/>
  <c r="S64" i="6"/>
  <c r="V65" i="6"/>
  <c r="G67" i="6"/>
  <c r="P68" i="6"/>
  <c r="S71" i="6"/>
  <c r="D74" i="6"/>
  <c r="V74" i="6"/>
  <c r="S75" i="6"/>
  <c r="S76" i="6"/>
  <c r="I82" i="6"/>
  <c r="E83" i="6"/>
  <c r="K87" i="6"/>
  <c r="M88" i="6"/>
  <c r="T94" i="6"/>
  <c r="E99" i="6"/>
  <c r="W99" i="6"/>
  <c r="P103" i="6"/>
  <c r="V106" i="6"/>
  <c r="V75" i="6"/>
  <c r="S81" i="6"/>
  <c r="E81" i="6"/>
  <c r="Q81" i="6"/>
  <c r="R95" i="6"/>
  <c r="N95" i="6"/>
  <c r="D95" i="6"/>
  <c r="V95" i="6"/>
  <c r="K95" i="6"/>
  <c r="O95" i="6"/>
  <c r="Q111" i="6"/>
  <c r="P111" i="6"/>
  <c r="G111" i="6"/>
  <c r="W111" i="6"/>
  <c r="M111" i="6"/>
  <c r="D111" i="6"/>
  <c r="V111" i="6"/>
  <c r="L111" i="6"/>
  <c r="C111" i="6"/>
  <c r="T111" i="6"/>
  <c r="K111" i="6"/>
  <c r="B111" i="6"/>
  <c r="R111" i="6"/>
  <c r="H111" i="6"/>
  <c r="Q119" i="6"/>
  <c r="P119" i="6"/>
  <c r="G119" i="6"/>
  <c r="O119" i="6"/>
  <c r="F119" i="6"/>
  <c r="W119" i="6"/>
  <c r="M119" i="6"/>
  <c r="D119" i="6"/>
  <c r="V119" i="6"/>
  <c r="L119" i="6"/>
  <c r="C119" i="6"/>
  <c r="T119" i="6"/>
  <c r="K119" i="6"/>
  <c r="B119" i="6"/>
  <c r="R119" i="6"/>
  <c r="H119" i="6"/>
  <c r="Q144" i="6"/>
  <c r="I144" i="6"/>
  <c r="H144" i="6"/>
  <c r="N102" i="6"/>
  <c r="K105" i="6"/>
  <c r="F107" i="6"/>
  <c r="O107" i="6"/>
  <c r="P109" i="6"/>
  <c r="F110" i="6"/>
  <c r="W110" i="6"/>
  <c r="B113" i="6"/>
  <c r="R113" i="6"/>
  <c r="J114" i="6"/>
  <c r="J115" i="6"/>
  <c r="S115" i="6"/>
  <c r="C117" i="6"/>
  <c r="S117" i="6"/>
  <c r="J118" i="6"/>
  <c r="W118" i="6"/>
  <c r="C121" i="6"/>
  <c r="P121" i="6"/>
  <c r="D122" i="6"/>
  <c r="N122" i="6"/>
  <c r="B123" i="6"/>
  <c r="K123" i="6"/>
  <c r="T123" i="6"/>
  <c r="D125" i="6"/>
  <c r="R125" i="6"/>
  <c r="E126" i="6"/>
  <c r="P126" i="6"/>
  <c r="C127" i="6"/>
  <c r="L127" i="6"/>
  <c r="V127" i="6"/>
  <c r="D129" i="6"/>
  <c r="R129" i="6"/>
  <c r="E130" i="6"/>
  <c r="P130" i="6"/>
  <c r="C131" i="6"/>
  <c r="L131" i="6"/>
  <c r="V131" i="6"/>
  <c r="C133" i="6"/>
  <c r="P133" i="6"/>
  <c r="D134" i="6"/>
  <c r="N134" i="6"/>
  <c r="B135" i="6"/>
  <c r="K135" i="6"/>
  <c r="T135" i="6"/>
  <c r="D137" i="6"/>
  <c r="R137" i="6"/>
  <c r="E138" i="6"/>
  <c r="P138" i="6"/>
  <c r="C139" i="6"/>
  <c r="L139" i="6"/>
  <c r="V139" i="6"/>
  <c r="F141" i="6"/>
  <c r="S141" i="6"/>
  <c r="F142" i="6"/>
  <c r="R142" i="6"/>
  <c r="D143" i="6"/>
  <c r="M143" i="6"/>
  <c r="W143" i="6"/>
  <c r="D145" i="6"/>
  <c r="R145" i="6"/>
  <c r="P105" i="6"/>
  <c r="H107" i="6"/>
  <c r="R107" i="6"/>
  <c r="L110" i="6"/>
  <c r="H117" i="6"/>
  <c r="M118" i="6"/>
  <c r="F121" i="6"/>
  <c r="S121" i="6"/>
  <c r="F122" i="6"/>
  <c r="R122" i="6"/>
  <c r="H125" i="6"/>
  <c r="T125" i="6"/>
  <c r="H126" i="6"/>
  <c r="S126" i="6"/>
  <c r="E127" i="6"/>
  <c r="N127" i="6"/>
  <c r="H129" i="6"/>
  <c r="T129" i="6"/>
  <c r="H130" i="6"/>
  <c r="S130" i="6"/>
  <c r="E131" i="6"/>
  <c r="N131" i="6"/>
  <c r="F133" i="6"/>
  <c r="S133" i="6"/>
  <c r="F134" i="6"/>
  <c r="R134" i="6"/>
  <c r="D135" i="6"/>
  <c r="M135" i="6"/>
  <c r="W135" i="6"/>
  <c r="H137" i="6"/>
  <c r="T137" i="6"/>
  <c r="H138" i="6"/>
  <c r="S138" i="6"/>
  <c r="J141" i="6"/>
  <c r="W141" i="6"/>
  <c r="J142" i="6"/>
  <c r="T142" i="6"/>
  <c r="F143" i="6"/>
  <c r="O143" i="6"/>
  <c r="H145" i="6"/>
  <c r="T145" i="6"/>
  <c r="K89" i="6"/>
  <c r="I92" i="6"/>
  <c r="B105" i="6"/>
  <c r="R105" i="6"/>
  <c r="J107" i="6"/>
  <c r="S107" i="6"/>
  <c r="M110" i="6"/>
  <c r="H113" i="6"/>
  <c r="N114" i="6"/>
  <c r="J117" i="6"/>
  <c r="B118" i="6"/>
  <c r="N118" i="6"/>
  <c r="H121" i="6"/>
  <c r="T121" i="6"/>
  <c r="H122" i="6"/>
  <c r="S122" i="6"/>
  <c r="E123" i="6"/>
  <c r="N123" i="6"/>
  <c r="J125" i="6"/>
  <c r="W125" i="6"/>
  <c r="J126" i="6"/>
  <c r="T126" i="6"/>
  <c r="F127" i="6"/>
  <c r="O127" i="6"/>
  <c r="I128" i="6"/>
  <c r="J129" i="6"/>
  <c r="W129" i="6"/>
  <c r="J130" i="6"/>
  <c r="T130" i="6"/>
  <c r="F131" i="6"/>
  <c r="O131" i="6"/>
  <c r="I132" i="6"/>
  <c r="H133" i="6"/>
  <c r="T133" i="6"/>
  <c r="H134" i="6"/>
  <c r="S134" i="6"/>
  <c r="E135" i="6"/>
  <c r="N135" i="6"/>
  <c r="J137" i="6"/>
  <c r="W137" i="6"/>
  <c r="J138" i="6"/>
  <c r="T138" i="6"/>
  <c r="F139" i="6"/>
  <c r="O139" i="6"/>
  <c r="K141" i="6"/>
  <c r="K142" i="6"/>
  <c r="V142" i="6"/>
  <c r="G143" i="6"/>
  <c r="P143" i="6"/>
  <c r="J145" i="6"/>
  <c r="W145" i="6"/>
  <c r="N110" i="6"/>
  <c r="K117" i="6"/>
  <c r="D118" i="6"/>
  <c r="P118" i="6"/>
  <c r="J121" i="6"/>
  <c r="W121" i="6"/>
  <c r="J122" i="6"/>
  <c r="T122" i="6"/>
  <c r="K125" i="6"/>
  <c r="K126" i="6"/>
  <c r="V126" i="6"/>
  <c r="G127" i="6"/>
  <c r="P127" i="6"/>
  <c r="K129" i="6"/>
  <c r="K130" i="6"/>
  <c r="V130" i="6"/>
  <c r="G131" i="6"/>
  <c r="P131" i="6"/>
  <c r="J134" i="6"/>
  <c r="T134" i="6"/>
  <c r="F135" i="6"/>
  <c r="O135" i="6"/>
  <c r="K137" i="6"/>
  <c r="K138" i="6"/>
  <c r="V138" i="6"/>
  <c r="G139" i="6"/>
  <c r="P139" i="6"/>
  <c r="L141" i="6"/>
  <c r="B142" i="6"/>
  <c r="L142" i="6"/>
  <c r="W142" i="6"/>
  <c r="H143" i="6"/>
  <c r="R143" i="6"/>
  <c r="K145" i="6"/>
  <c r="K122" i="6"/>
  <c r="V122" i="6"/>
  <c r="L125" i="6"/>
  <c r="L129" i="6"/>
  <c r="K134" i="6"/>
  <c r="V134" i="6"/>
  <c r="L137" i="6"/>
  <c r="J143" i="6"/>
  <c r="S143" i="6"/>
  <c r="L145" i="6"/>
  <c r="P117" i="6"/>
  <c r="L121" i="6"/>
  <c r="B122" i="6"/>
  <c r="L122" i="6"/>
  <c r="W122" i="6"/>
  <c r="B125" i="6"/>
  <c r="N125" i="6"/>
  <c r="J127" i="6"/>
  <c r="S127" i="6"/>
  <c r="B129" i="6"/>
  <c r="N129" i="6"/>
  <c r="C130" i="6"/>
  <c r="M130" i="6"/>
  <c r="J131" i="6"/>
  <c r="S131" i="6"/>
  <c r="L133" i="6"/>
  <c r="B134" i="6"/>
  <c r="L134" i="6"/>
  <c r="W134" i="6"/>
  <c r="H135" i="6"/>
  <c r="R135" i="6"/>
  <c r="B137" i="6"/>
  <c r="N137" i="6"/>
  <c r="C138" i="6"/>
  <c r="M138" i="6"/>
  <c r="J139" i="6"/>
  <c r="S139" i="6"/>
  <c r="C141" i="6"/>
  <c r="P141" i="6"/>
  <c r="D142" i="6"/>
  <c r="N142" i="6"/>
  <c r="B143" i="6"/>
  <c r="K143" i="6"/>
  <c r="T143" i="6"/>
  <c r="B145" i="6"/>
  <c r="N145" i="6"/>
  <c r="J105" i="6"/>
  <c r="E110" i="6"/>
  <c r="V110" i="6"/>
  <c r="P113" i="6"/>
  <c r="F114" i="6"/>
  <c r="W114" i="6"/>
  <c r="B117" i="6"/>
  <c r="R117" i="6"/>
  <c r="H118" i="6"/>
  <c r="V118" i="6"/>
  <c r="B121" i="6"/>
  <c r="N121" i="6"/>
  <c r="C122" i="6"/>
  <c r="M122" i="6"/>
  <c r="J123" i="6"/>
  <c r="S123" i="6"/>
  <c r="C125" i="6"/>
  <c r="P125" i="6"/>
  <c r="D126" i="6"/>
  <c r="N126" i="6"/>
  <c r="B127" i="6"/>
  <c r="K127" i="6"/>
  <c r="T127" i="6"/>
  <c r="C129" i="6"/>
  <c r="P129" i="6"/>
  <c r="D130" i="6"/>
  <c r="N130" i="6"/>
  <c r="B131" i="6"/>
  <c r="K131" i="6"/>
  <c r="T131" i="6"/>
  <c r="C134" i="6"/>
  <c r="M134" i="6"/>
  <c r="J135" i="6"/>
  <c r="S135" i="6"/>
  <c r="C137" i="6"/>
  <c r="P137" i="6"/>
  <c r="D138" i="6"/>
  <c r="N138" i="6"/>
  <c r="C143" i="6"/>
  <c r="L143" i="6"/>
  <c r="V143" i="6"/>
  <c r="A7" i="6"/>
  <c r="A6" i="6"/>
  <c r="I42" i="6"/>
  <c r="R42" i="6"/>
  <c r="G13" i="1"/>
  <c r="S42" i="6"/>
  <c r="R70" i="6"/>
  <c r="J70" i="6"/>
  <c r="B70" i="6"/>
  <c r="P70" i="6"/>
  <c r="H70" i="6"/>
  <c r="W70" i="6"/>
  <c r="N70" i="6"/>
  <c r="F70" i="6"/>
  <c r="L70" i="6"/>
  <c r="K70" i="6"/>
  <c r="V70" i="6"/>
  <c r="I70" i="6"/>
  <c r="T70" i="6"/>
  <c r="G70" i="6"/>
  <c r="S70" i="6"/>
  <c r="E70" i="6"/>
  <c r="Q70" i="6"/>
  <c r="D70" i="6"/>
  <c r="O70" i="6"/>
  <c r="M70" i="6"/>
  <c r="I4" i="2"/>
  <c r="P73" i="6"/>
  <c r="H73" i="6"/>
  <c r="W73" i="6"/>
  <c r="N73" i="6"/>
  <c r="F73" i="6"/>
  <c r="T73" i="6"/>
  <c r="L73" i="6"/>
  <c r="D73" i="6"/>
  <c r="J73" i="6"/>
  <c r="V73" i="6"/>
  <c r="I73" i="6"/>
  <c r="S73" i="6"/>
  <c r="G73" i="6"/>
  <c r="R73" i="6"/>
  <c r="E73" i="6"/>
  <c r="Q73" i="6"/>
  <c r="C73" i="6"/>
  <c r="O73" i="6"/>
  <c r="B73" i="6"/>
  <c r="K73" i="6"/>
  <c r="P85" i="6"/>
  <c r="H85" i="6"/>
  <c r="W85" i="6"/>
  <c r="N85" i="6"/>
  <c r="F85" i="6"/>
  <c r="V85" i="6"/>
  <c r="M85" i="6"/>
  <c r="E85" i="6"/>
  <c r="T85" i="6"/>
  <c r="L85" i="6"/>
  <c r="D85" i="6"/>
  <c r="K85" i="6"/>
  <c r="J85" i="6"/>
  <c r="I85" i="6"/>
  <c r="G85" i="6"/>
  <c r="S85" i="6"/>
  <c r="C85" i="6"/>
  <c r="R85" i="6"/>
  <c r="B85" i="6"/>
  <c r="Q85" i="6"/>
  <c r="O85" i="6"/>
  <c r="P42" i="6"/>
  <c r="H42" i="6"/>
  <c r="Q42" i="6"/>
  <c r="G42" i="6"/>
  <c r="O42" i="6"/>
  <c r="F42" i="6"/>
  <c r="N42" i="6"/>
  <c r="E42" i="6"/>
  <c r="V42" i="6"/>
  <c r="L42" i="6"/>
  <c r="C42" i="6"/>
  <c r="K42" i="6"/>
  <c r="J42" i="6"/>
  <c r="T42" i="6"/>
  <c r="B42" i="6"/>
  <c r="M42" i="6"/>
  <c r="M73" i="6"/>
  <c r="P77" i="6"/>
  <c r="H77" i="6"/>
  <c r="W77" i="6"/>
  <c r="N77" i="6"/>
  <c r="F77" i="6"/>
  <c r="T77" i="6"/>
  <c r="L77" i="6"/>
  <c r="D77" i="6"/>
  <c r="K77" i="6"/>
  <c r="J77" i="6"/>
  <c r="V77" i="6"/>
  <c r="I77" i="6"/>
  <c r="S77" i="6"/>
  <c r="G77" i="6"/>
  <c r="R77" i="6"/>
  <c r="E77" i="6"/>
  <c r="Q77" i="6"/>
  <c r="C77" i="6"/>
  <c r="O77" i="6"/>
  <c r="M77" i="6"/>
  <c r="P93" i="6"/>
  <c r="H93" i="6"/>
  <c r="W93" i="6"/>
  <c r="N93" i="6"/>
  <c r="F93" i="6"/>
  <c r="V93" i="6"/>
  <c r="M93" i="6"/>
  <c r="E93" i="6"/>
  <c r="T93" i="6"/>
  <c r="L93" i="6"/>
  <c r="D93" i="6"/>
  <c r="O93" i="6"/>
  <c r="K93" i="6"/>
  <c r="J93" i="6"/>
  <c r="I93" i="6"/>
  <c r="G93" i="6"/>
  <c r="S93" i="6"/>
  <c r="C93" i="6"/>
  <c r="Q93" i="6"/>
  <c r="D42" i="6"/>
  <c r="T63" i="6"/>
  <c r="L63" i="6"/>
  <c r="D63" i="6"/>
  <c r="R63" i="6"/>
  <c r="J63" i="6"/>
  <c r="B63" i="6"/>
  <c r="P63" i="6"/>
  <c r="H63" i="6"/>
  <c r="M63" i="6"/>
  <c r="K63" i="6"/>
  <c r="W63" i="6"/>
  <c r="I63" i="6"/>
  <c r="V63" i="6"/>
  <c r="G63" i="6"/>
  <c r="S63" i="6"/>
  <c r="F63" i="6"/>
  <c r="Q63" i="6"/>
  <c r="E63" i="6"/>
  <c r="N63" i="6"/>
  <c r="B77" i="6"/>
  <c r="B93" i="6"/>
  <c r="W52" i="6"/>
  <c r="N52" i="6"/>
  <c r="F52" i="6"/>
  <c r="T52" i="6"/>
  <c r="L52" i="6"/>
  <c r="D52" i="6"/>
  <c r="R52" i="6"/>
  <c r="J52" i="6"/>
  <c r="B52" i="6"/>
  <c r="K52" i="6"/>
  <c r="I52" i="6"/>
  <c r="V52" i="6"/>
  <c r="H52" i="6"/>
  <c r="S52" i="6"/>
  <c r="G52" i="6"/>
  <c r="Q52" i="6"/>
  <c r="E52" i="6"/>
  <c r="P52" i="6"/>
  <c r="C52" i="6"/>
  <c r="W56" i="6"/>
  <c r="N56" i="6"/>
  <c r="F56" i="6"/>
  <c r="T56" i="6"/>
  <c r="L56" i="6"/>
  <c r="D56" i="6"/>
  <c r="R56" i="6"/>
  <c r="J56" i="6"/>
  <c r="B56" i="6"/>
  <c r="M56" i="6"/>
  <c r="K56" i="6"/>
  <c r="I56" i="6"/>
  <c r="V56" i="6"/>
  <c r="H56" i="6"/>
  <c r="S56" i="6"/>
  <c r="G56" i="6"/>
  <c r="Q56" i="6"/>
  <c r="E56" i="6"/>
  <c r="T59" i="6"/>
  <c r="L59" i="6"/>
  <c r="D59" i="6"/>
  <c r="R59" i="6"/>
  <c r="J59" i="6"/>
  <c r="B59" i="6"/>
  <c r="P59" i="6"/>
  <c r="H59" i="6"/>
  <c r="K59" i="6"/>
  <c r="W59" i="6"/>
  <c r="I59" i="6"/>
  <c r="V59" i="6"/>
  <c r="G59" i="6"/>
  <c r="S59" i="6"/>
  <c r="F59" i="6"/>
  <c r="Q59" i="6"/>
  <c r="E59" i="6"/>
  <c r="O59" i="6"/>
  <c r="C59" i="6"/>
  <c r="R66" i="6"/>
  <c r="J66" i="6"/>
  <c r="B66" i="6"/>
  <c r="P66" i="6"/>
  <c r="H66" i="6"/>
  <c r="W66" i="6"/>
  <c r="N66" i="6"/>
  <c r="F66" i="6"/>
  <c r="K66" i="6"/>
  <c r="V66" i="6"/>
  <c r="I66" i="6"/>
  <c r="T66" i="6"/>
  <c r="G66" i="6"/>
  <c r="S66" i="6"/>
  <c r="E66" i="6"/>
  <c r="Q66" i="6"/>
  <c r="D66" i="6"/>
  <c r="O66" i="6"/>
  <c r="C66" i="6"/>
  <c r="O120" i="6"/>
  <c r="G120" i="6"/>
  <c r="W120" i="6"/>
  <c r="N120" i="6"/>
  <c r="F120" i="6"/>
  <c r="V120" i="6"/>
  <c r="M120" i="6"/>
  <c r="E120" i="6"/>
  <c r="T120" i="6"/>
  <c r="L120" i="6"/>
  <c r="D120" i="6"/>
  <c r="S120" i="6"/>
  <c r="K120" i="6"/>
  <c r="C120" i="6"/>
  <c r="R120" i="6"/>
  <c r="J120" i="6"/>
  <c r="B120" i="6"/>
  <c r="Q120" i="6"/>
  <c r="P120" i="6"/>
  <c r="I120" i="6"/>
  <c r="O108" i="6"/>
  <c r="G108" i="6"/>
  <c r="W108" i="6"/>
  <c r="N108" i="6"/>
  <c r="F108" i="6"/>
  <c r="V108" i="6"/>
  <c r="M108" i="6"/>
  <c r="E108" i="6"/>
  <c r="T108" i="6"/>
  <c r="L108" i="6"/>
  <c r="D108" i="6"/>
  <c r="S108" i="6"/>
  <c r="K108" i="6"/>
  <c r="C108" i="6"/>
  <c r="R108" i="6"/>
  <c r="J108" i="6"/>
  <c r="B108" i="6"/>
  <c r="Q108" i="6"/>
  <c r="P108" i="6"/>
  <c r="I108" i="6"/>
  <c r="H120" i="6"/>
  <c r="A2" i="7" a="1"/>
  <c r="A2" i="7" s="1"/>
  <c r="B1" i="7"/>
  <c r="P56" i="6"/>
  <c r="H108" i="6"/>
  <c r="R90" i="6"/>
  <c r="J90" i="6"/>
  <c r="B90" i="6"/>
  <c r="P90" i="6"/>
  <c r="H90" i="6"/>
  <c r="O90" i="6"/>
  <c r="G90" i="6"/>
  <c r="W90" i="6"/>
  <c r="N90" i="6"/>
  <c r="F90" i="6"/>
  <c r="L90" i="6"/>
  <c r="K90" i="6"/>
  <c r="I90" i="6"/>
  <c r="V90" i="6"/>
  <c r="E90" i="6"/>
  <c r="T90" i="6"/>
  <c r="D90" i="6"/>
  <c r="S90" i="6"/>
  <c r="C90" i="6"/>
  <c r="O136" i="6"/>
  <c r="G136" i="6"/>
  <c r="W136" i="6"/>
  <c r="N136" i="6"/>
  <c r="F136" i="6"/>
  <c r="V136" i="6"/>
  <c r="M136" i="6"/>
  <c r="E136" i="6"/>
  <c r="T136" i="6"/>
  <c r="L136" i="6"/>
  <c r="D136" i="6"/>
  <c r="S136" i="6"/>
  <c r="K136" i="6"/>
  <c r="C136" i="6"/>
  <c r="R136" i="6"/>
  <c r="J136" i="6"/>
  <c r="B136" i="6"/>
  <c r="W48" i="6"/>
  <c r="N48" i="6"/>
  <c r="F48" i="6"/>
  <c r="T48" i="6"/>
  <c r="L48" i="6"/>
  <c r="D48" i="6"/>
  <c r="R48" i="6"/>
  <c r="J48" i="6"/>
  <c r="B48" i="6"/>
  <c r="O48" i="6"/>
  <c r="K54" i="6"/>
  <c r="T55" i="6"/>
  <c r="L55" i="6"/>
  <c r="D55" i="6"/>
  <c r="R55" i="6"/>
  <c r="J55" i="6"/>
  <c r="B55" i="6"/>
  <c r="P55" i="6"/>
  <c r="H55" i="6"/>
  <c r="N55" i="6"/>
  <c r="J61" i="6"/>
  <c r="R62" i="6"/>
  <c r="J62" i="6"/>
  <c r="B62" i="6"/>
  <c r="P62" i="6"/>
  <c r="H62" i="6"/>
  <c r="W62" i="6"/>
  <c r="N62" i="6"/>
  <c r="F62" i="6"/>
  <c r="M62" i="6"/>
  <c r="H64" i="6"/>
  <c r="V64" i="6"/>
  <c r="P69" i="6"/>
  <c r="H69" i="6"/>
  <c r="W69" i="6"/>
  <c r="N69" i="6"/>
  <c r="F69" i="6"/>
  <c r="T69" i="6"/>
  <c r="L69" i="6"/>
  <c r="D69" i="6"/>
  <c r="M69" i="6"/>
  <c r="G71" i="6"/>
  <c r="V71" i="6"/>
  <c r="K72" i="6"/>
  <c r="G78" i="6"/>
  <c r="T78" i="6"/>
  <c r="K79" i="6"/>
  <c r="W80" i="6"/>
  <c r="N80" i="6"/>
  <c r="F80" i="6"/>
  <c r="T80" i="6"/>
  <c r="L80" i="6"/>
  <c r="D80" i="6"/>
  <c r="R80" i="6"/>
  <c r="J80" i="6"/>
  <c r="B80" i="6"/>
  <c r="O80" i="6"/>
  <c r="L86" i="6"/>
  <c r="O88" i="6"/>
  <c r="I89" i="6"/>
  <c r="O112" i="6"/>
  <c r="G112" i="6"/>
  <c r="W112" i="6"/>
  <c r="N112" i="6"/>
  <c r="F112" i="6"/>
  <c r="V112" i="6"/>
  <c r="M112" i="6"/>
  <c r="E112" i="6"/>
  <c r="T112" i="6"/>
  <c r="L112" i="6"/>
  <c r="D112" i="6"/>
  <c r="S112" i="6"/>
  <c r="K112" i="6"/>
  <c r="C112" i="6"/>
  <c r="R112" i="6"/>
  <c r="J112" i="6"/>
  <c r="B112" i="6"/>
  <c r="O124" i="6"/>
  <c r="G124" i="6"/>
  <c r="W124" i="6"/>
  <c r="N124" i="6"/>
  <c r="F124" i="6"/>
  <c r="V124" i="6"/>
  <c r="M124" i="6"/>
  <c r="E124" i="6"/>
  <c r="T124" i="6"/>
  <c r="L124" i="6"/>
  <c r="D124" i="6"/>
  <c r="S124" i="6"/>
  <c r="K124" i="6"/>
  <c r="C124" i="6"/>
  <c r="R124" i="6"/>
  <c r="J124" i="6"/>
  <c r="B124" i="6"/>
  <c r="I136" i="6"/>
  <c r="O140" i="6"/>
  <c r="G140" i="6"/>
  <c r="W140" i="6"/>
  <c r="N140" i="6"/>
  <c r="F140" i="6"/>
  <c r="V140" i="6"/>
  <c r="M140" i="6"/>
  <c r="E140" i="6"/>
  <c r="T140" i="6"/>
  <c r="L140" i="6"/>
  <c r="D140" i="6"/>
  <c r="S140" i="6"/>
  <c r="K140" i="6"/>
  <c r="C140" i="6"/>
  <c r="R140" i="6"/>
  <c r="J140" i="6"/>
  <c r="B140" i="6"/>
  <c r="T40" i="6"/>
  <c r="L40" i="6"/>
  <c r="D40" i="6"/>
  <c r="J40" i="6"/>
  <c r="S40" i="6"/>
  <c r="G41" i="6"/>
  <c r="P41" i="6"/>
  <c r="I46" i="6"/>
  <c r="V46" i="6"/>
  <c r="C48" i="6"/>
  <c r="P48" i="6"/>
  <c r="T51" i="6"/>
  <c r="L51" i="6"/>
  <c r="D51" i="6"/>
  <c r="R51" i="6"/>
  <c r="J51" i="6"/>
  <c r="B51" i="6"/>
  <c r="P51" i="6"/>
  <c r="H51" i="6"/>
  <c r="N51" i="6"/>
  <c r="I53" i="6"/>
  <c r="V53" i="6"/>
  <c r="C55" i="6"/>
  <c r="O55" i="6"/>
  <c r="R58" i="6"/>
  <c r="J58" i="6"/>
  <c r="B58" i="6"/>
  <c r="P58" i="6"/>
  <c r="H58" i="6"/>
  <c r="W58" i="6"/>
  <c r="N58" i="6"/>
  <c r="F58" i="6"/>
  <c r="M58" i="6"/>
  <c r="C62" i="6"/>
  <c r="O62" i="6"/>
  <c r="I64" i="6"/>
  <c r="P65" i="6"/>
  <c r="H65" i="6"/>
  <c r="W65" i="6"/>
  <c r="N65" i="6"/>
  <c r="F65" i="6"/>
  <c r="T65" i="6"/>
  <c r="L65" i="6"/>
  <c r="D65" i="6"/>
  <c r="M65" i="6"/>
  <c r="B69" i="6"/>
  <c r="O69" i="6"/>
  <c r="I71" i="6"/>
  <c r="W71" i="6"/>
  <c r="W76" i="6"/>
  <c r="N76" i="6"/>
  <c r="F76" i="6"/>
  <c r="T76" i="6"/>
  <c r="L76" i="6"/>
  <c r="D76" i="6"/>
  <c r="R76" i="6"/>
  <c r="J76" i="6"/>
  <c r="B76" i="6"/>
  <c r="O76" i="6"/>
  <c r="I78" i="6"/>
  <c r="V78" i="6"/>
  <c r="C80" i="6"/>
  <c r="P80" i="6"/>
  <c r="J89" i="6"/>
  <c r="H112" i="6"/>
  <c r="P136" i="6"/>
  <c r="R54" i="6"/>
  <c r="J54" i="6"/>
  <c r="B54" i="6"/>
  <c r="P54" i="6"/>
  <c r="H54" i="6"/>
  <c r="W54" i="6"/>
  <c r="N54" i="6"/>
  <c r="F54" i="6"/>
  <c r="M54" i="6"/>
  <c r="E55" i="6"/>
  <c r="Q55" i="6"/>
  <c r="W72" i="6"/>
  <c r="N72" i="6"/>
  <c r="F72" i="6"/>
  <c r="T72" i="6"/>
  <c r="L72" i="6"/>
  <c r="D72" i="6"/>
  <c r="R72" i="6"/>
  <c r="J72" i="6"/>
  <c r="B72" i="6"/>
  <c r="O72" i="6"/>
  <c r="R86" i="6"/>
  <c r="J86" i="6"/>
  <c r="B86" i="6"/>
  <c r="P86" i="6"/>
  <c r="H86" i="6"/>
  <c r="O86" i="6"/>
  <c r="G86" i="6"/>
  <c r="W86" i="6"/>
  <c r="N86" i="6"/>
  <c r="F86" i="6"/>
  <c r="Q86" i="6"/>
  <c r="W88" i="6"/>
  <c r="N88" i="6"/>
  <c r="F88" i="6"/>
  <c r="T88" i="6"/>
  <c r="L88" i="6"/>
  <c r="D88" i="6"/>
  <c r="S88" i="6"/>
  <c r="K88" i="6"/>
  <c r="C88" i="6"/>
  <c r="R88" i="6"/>
  <c r="J88" i="6"/>
  <c r="B88" i="6"/>
  <c r="Q88" i="6"/>
  <c r="O100" i="6"/>
  <c r="G100" i="6"/>
  <c r="W100" i="6"/>
  <c r="N100" i="6"/>
  <c r="F100" i="6"/>
  <c r="V100" i="6"/>
  <c r="M100" i="6"/>
  <c r="E100" i="6"/>
  <c r="T100" i="6"/>
  <c r="L100" i="6"/>
  <c r="D100" i="6"/>
  <c r="S100" i="6"/>
  <c r="K100" i="6"/>
  <c r="C100" i="6"/>
  <c r="R100" i="6"/>
  <c r="J100" i="6"/>
  <c r="B100" i="6"/>
  <c r="O116" i="6"/>
  <c r="G116" i="6"/>
  <c r="W116" i="6"/>
  <c r="N116" i="6"/>
  <c r="F116" i="6"/>
  <c r="V116" i="6"/>
  <c r="M116" i="6"/>
  <c r="E116" i="6"/>
  <c r="T116" i="6"/>
  <c r="L116" i="6"/>
  <c r="D116" i="6"/>
  <c r="S116" i="6"/>
  <c r="K116" i="6"/>
  <c r="C116" i="6"/>
  <c r="R116" i="6"/>
  <c r="J116" i="6"/>
  <c r="B116" i="6"/>
  <c r="I124" i="6"/>
  <c r="O128" i="6"/>
  <c r="G128" i="6"/>
  <c r="W128" i="6"/>
  <c r="N128" i="6"/>
  <c r="F128" i="6"/>
  <c r="V128" i="6"/>
  <c r="M128" i="6"/>
  <c r="E128" i="6"/>
  <c r="T128" i="6"/>
  <c r="L128" i="6"/>
  <c r="D128" i="6"/>
  <c r="S128" i="6"/>
  <c r="K128" i="6"/>
  <c r="C128" i="6"/>
  <c r="R128" i="6"/>
  <c r="J128" i="6"/>
  <c r="B128" i="6"/>
  <c r="Q136" i="6"/>
  <c r="I140" i="6"/>
  <c r="O144" i="6"/>
  <c r="G144" i="6"/>
  <c r="W144" i="6"/>
  <c r="N144" i="6"/>
  <c r="F144" i="6"/>
  <c r="V144" i="6"/>
  <c r="M144" i="6"/>
  <c r="E144" i="6"/>
  <c r="T144" i="6"/>
  <c r="L144" i="6"/>
  <c r="D144" i="6"/>
  <c r="S144" i="6"/>
  <c r="K144" i="6"/>
  <c r="C144" i="6"/>
  <c r="R144" i="6"/>
  <c r="J144" i="6"/>
  <c r="B144" i="6"/>
  <c r="T47" i="6"/>
  <c r="L47" i="6"/>
  <c r="D47" i="6"/>
  <c r="R47" i="6"/>
  <c r="J47" i="6"/>
  <c r="B47" i="6"/>
  <c r="P47" i="6"/>
  <c r="H47" i="6"/>
  <c r="N47" i="6"/>
  <c r="E48" i="6"/>
  <c r="Q48" i="6"/>
  <c r="P61" i="6"/>
  <c r="H61" i="6"/>
  <c r="W61" i="6"/>
  <c r="N61" i="6"/>
  <c r="F61" i="6"/>
  <c r="T61" i="6"/>
  <c r="L61" i="6"/>
  <c r="D61" i="6"/>
  <c r="M61" i="6"/>
  <c r="D62" i="6"/>
  <c r="Q62" i="6"/>
  <c r="T79" i="6"/>
  <c r="L79" i="6"/>
  <c r="D79" i="6"/>
  <c r="R79" i="6"/>
  <c r="J79" i="6"/>
  <c r="B79" i="6"/>
  <c r="P79" i="6"/>
  <c r="H79" i="6"/>
  <c r="N79" i="6"/>
  <c r="C40" i="6"/>
  <c r="M40" i="6"/>
  <c r="W40" i="6"/>
  <c r="I41" i="6"/>
  <c r="T43" i="6"/>
  <c r="R43" i="6"/>
  <c r="J43" i="6"/>
  <c r="B43" i="6"/>
  <c r="K43" i="6"/>
  <c r="V43" i="6"/>
  <c r="I44" i="6"/>
  <c r="I45" i="6"/>
  <c r="C47" i="6"/>
  <c r="O47" i="6"/>
  <c r="G48" i="6"/>
  <c r="S48" i="6"/>
  <c r="R50" i="6"/>
  <c r="J50" i="6"/>
  <c r="B50" i="6"/>
  <c r="P50" i="6"/>
  <c r="H50" i="6"/>
  <c r="W50" i="6"/>
  <c r="N50" i="6"/>
  <c r="F50" i="6"/>
  <c r="M50" i="6"/>
  <c r="E51" i="6"/>
  <c r="Q51" i="6"/>
  <c r="C54" i="6"/>
  <c r="O54" i="6"/>
  <c r="F55" i="6"/>
  <c r="S55" i="6"/>
  <c r="P57" i="6"/>
  <c r="H57" i="6"/>
  <c r="W57" i="6"/>
  <c r="N57" i="6"/>
  <c r="F57" i="6"/>
  <c r="T57" i="6"/>
  <c r="L57" i="6"/>
  <c r="D57" i="6"/>
  <c r="M57" i="6"/>
  <c r="D58" i="6"/>
  <c r="Q58" i="6"/>
  <c r="B61" i="6"/>
  <c r="O61" i="6"/>
  <c r="E62" i="6"/>
  <c r="S62" i="6"/>
  <c r="C65" i="6"/>
  <c r="Q65" i="6"/>
  <c r="W68" i="6"/>
  <c r="N68" i="6"/>
  <c r="F68" i="6"/>
  <c r="T68" i="6"/>
  <c r="L68" i="6"/>
  <c r="D68" i="6"/>
  <c r="R68" i="6"/>
  <c r="J68" i="6"/>
  <c r="B68" i="6"/>
  <c r="O68" i="6"/>
  <c r="E69" i="6"/>
  <c r="R69" i="6"/>
  <c r="C72" i="6"/>
  <c r="P72" i="6"/>
  <c r="T75" i="6"/>
  <c r="L75" i="6"/>
  <c r="D75" i="6"/>
  <c r="R75" i="6"/>
  <c r="J75" i="6"/>
  <c r="B75" i="6"/>
  <c r="P75" i="6"/>
  <c r="H75" i="6"/>
  <c r="N75" i="6"/>
  <c r="E76" i="6"/>
  <c r="Q76" i="6"/>
  <c r="C79" i="6"/>
  <c r="O79" i="6"/>
  <c r="G80" i="6"/>
  <c r="S80" i="6"/>
  <c r="R82" i="6"/>
  <c r="J82" i="6"/>
  <c r="B82" i="6"/>
  <c r="P82" i="6"/>
  <c r="H82" i="6"/>
  <c r="W82" i="6"/>
  <c r="N82" i="6"/>
  <c r="F82" i="6"/>
  <c r="M82" i="6"/>
  <c r="C86" i="6"/>
  <c r="S86" i="6"/>
  <c r="E88" i="6"/>
  <c r="V88" i="6"/>
  <c r="H100" i="6"/>
  <c r="P112" i="6"/>
  <c r="H116" i="6"/>
  <c r="P124" i="6"/>
  <c r="H128" i="6"/>
  <c r="P140" i="6"/>
  <c r="E40" i="6"/>
  <c r="N40" i="6"/>
  <c r="R46" i="6"/>
  <c r="J46" i="6"/>
  <c r="B46" i="6"/>
  <c r="P46" i="6"/>
  <c r="H46" i="6"/>
  <c r="W46" i="6"/>
  <c r="N46" i="6"/>
  <c r="F46" i="6"/>
  <c r="M46" i="6"/>
  <c r="E47" i="6"/>
  <c r="Q47" i="6"/>
  <c r="H48" i="6"/>
  <c r="V48" i="6"/>
  <c r="P53" i="6"/>
  <c r="H53" i="6"/>
  <c r="W53" i="6"/>
  <c r="N53" i="6"/>
  <c r="F53" i="6"/>
  <c r="T53" i="6"/>
  <c r="L53" i="6"/>
  <c r="D53" i="6"/>
  <c r="M53" i="6"/>
  <c r="D54" i="6"/>
  <c r="Q54" i="6"/>
  <c r="G55" i="6"/>
  <c r="V55" i="6"/>
  <c r="C61" i="6"/>
  <c r="Q61" i="6"/>
  <c r="G62" i="6"/>
  <c r="T62" i="6"/>
  <c r="W64" i="6"/>
  <c r="N64" i="6"/>
  <c r="F64" i="6"/>
  <c r="T64" i="6"/>
  <c r="L64" i="6"/>
  <c r="D64" i="6"/>
  <c r="R64" i="6"/>
  <c r="J64" i="6"/>
  <c r="B64" i="6"/>
  <c r="O64" i="6"/>
  <c r="T71" i="6"/>
  <c r="L71" i="6"/>
  <c r="D71" i="6"/>
  <c r="R71" i="6"/>
  <c r="J71" i="6"/>
  <c r="B71" i="6"/>
  <c r="P71" i="6"/>
  <c r="H71" i="6"/>
  <c r="N71" i="6"/>
  <c r="E72" i="6"/>
  <c r="Q72" i="6"/>
  <c r="R78" i="6"/>
  <c r="J78" i="6"/>
  <c r="B78" i="6"/>
  <c r="P78" i="6"/>
  <c r="H78" i="6"/>
  <c r="W78" i="6"/>
  <c r="N78" i="6"/>
  <c r="F78" i="6"/>
  <c r="M78" i="6"/>
  <c r="E79" i="6"/>
  <c r="Q79" i="6"/>
  <c r="H80" i="6"/>
  <c r="V80" i="6"/>
  <c r="D86" i="6"/>
  <c r="T86" i="6"/>
  <c r="G88" i="6"/>
  <c r="P89" i="6"/>
  <c r="H89" i="6"/>
  <c r="W89" i="6"/>
  <c r="N89" i="6"/>
  <c r="F89" i="6"/>
  <c r="V89" i="6"/>
  <c r="M89" i="6"/>
  <c r="E89" i="6"/>
  <c r="T89" i="6"/>
  <c r="L89" i="6"/>
  <c r="D89" i="6"/>
  <c r="Q89" i="6"/>
  <c r="W92" i="6"/>
  <c r="N92" i="6"/>
  <c r="F92" i="6"/>
  <c r="T92" i="6"/>
  <c r="L92" i="6"/>
  <c r="D92" i="6"/>
  <c r="S92" i="6"/>
  <c r="K92" i="6"/>
  <c r="C92" i="6"/>
  <c r="R92" i="6"/>
  <c r="J92" i="6"/>
  <c r="B92" i="6"/>
  <c r="Q92" i="6"/>
  <c r="W96" i="6"/>
  <c r="N96" i="6"/>
  <c r="F96" i="6"/>
  <c r="V96" i="6"/>
  <c r="M96" i="6"/>
  <c r="E96" i="6"/>
  <c r="T96" i="6"/>
  <c r="L96" i="6"/>
  <c r="D96" i="6"/>
  <c r="S96" i="6"/>
  <c r="K96" i="6"/>
  <c r="C96" i="6"/>
  <c r="R96" i="6"/>
  <c r="J96" i="6"/>
  <c r="B96" i="6"/>
  <c r="I100" i="6"/>
  <c r="O104" i="6"/>
  <c r="G104" i="6"/>
  <c r="W104" i="6"/>
  <c r="N104" i="6"/>
  <c r="F104" i="6"/>
  <c r="V104" i="6"/>
  <c r="M104" i="6"/>
  <c r="E104" i="6"/>
  <c r="T104" i="6"/>
  <c r="L104" i="6"/>
  <c r="D104" i="6"/>
  <c r="S104" i="6"/>
  <c r="K104" i="6"/>
  <c r="C104" i="6"/>
  <c r="R104" i="6"/>
  <c r="J104" i="6"/>
  <c r="B104" i="6"/>
  <c r="Q112" i="6"/>
  <c r="I116" i="6"/>
  <c r="Q124" i="6"/>
  <c r="O132" i="6"/>
  <c r="G132" i="6"/>
  <c r="W132" i="6"/>
  <c r="N132" i="6"/>
  <c r="F132" i="6"/>
  <c r="V132" i="6"/>
  <c r="M132" i="6"/>
  <c r="E132" i="6"/>
  <c r="T132" i="6"/>
  <c r="L132" i="6"/>
  <c r="D132" i="6"/>
  <c r="S132" i="6"/>
  <c r="K132" i="6"/>
  <c r="C132" i="6"/>
  <c r="R132" i="6"/>
  <c r="J132" i="6"/>
  <c r="B132" i="6"/>
  <c r="Q140" i="6"/>
  <c r="W41" i="6"/>
  <c r="N41" i="6"/>
  <c r="F41" i="6"/>
  <c r="J41" i="6"/>
  <c r="S41" i="6"/>
  <c r="F40" i="6"/>
  <c r="O40" i="6"/>
  <c r="B41" i="6"/>
  <c r="K41" i="6"/>
  <c r="T41" i="6"/>
  <c r="W44" i="6"/>
  <c r="N44" i="6"/>
  <c r="F44" i="6"/>
  <c r="T44" i="6"/>
  <c r="L44" i="6"/>
  <c r="D44" i="6"/>
  <c r="K44" i="6"/>
  <c r="P45" i="6"/>
  <c r="H45" i="6"/>
  <c r="W45" i="6"/>
  <c r="N45" i="6"/>
  <c r="F45" i="6"/>
  <c r="T45" i="6"/>
  <c r="L45" i="6"/>
  <c r="K45" i="6"/>
  <c r="C46" i="6"/>
  <c r="O46" i="6"/>
  <c r="F47" i="6"/>
  <c r="S47" i="6"/>
  <c r="I48" i="6"/>
  <c r="P49" i="6"/>
  <c r="H49" i="6"/>
  <c r="W49" i="6"/>
  <c r="N49" i="6"/>
  <c r="F49" i="6"/>
  <c r="T49" i="6"/>
  <c r="L49" i="6"/>
  <c r="D49" i="6"/>
  <c r="M49" i="6"/>
  <c r="D50" i="6"/>
  <c r="Q50" i="6"/>
  <c r="G51" i="6"/>
  <c r="V51" i="6"/>
  <c r="B53" i="6"/>
  <c r="O53" i="6"/>
  <c r="E54" i="6"/>
  <c r="S54" i="6"/>
  <c r="I55" i="6"/>
  <c r="W55" i="6"/>
  <c r="C57" i="6"/>
  <c r="Q57" i="6"/>
  <c r="G58" i="6"/>
  <c r="T58" i="6"/>
  <c r="W60" i="6"/>
  <c r="N60" i="6"/>
  <c r="F60" i="6"/>
  <c r="T60" i="6"/>
  <c r="L60" i="6"/>
  <c r="D60" i="6"/>
  <c r="R60" i="6"/>
  <c r="J60" i="6"/>
  <c r="B60" i="6"/>
  <c r="O60" i="6"/>
  <c r="E61" i="6"/>
  <c r="R61" i="6"/>
  <c r="I62" i="6"/>
  <c r="V62" i="6"/>
  <c r="C64" i="6"/>
  <c r="P64" i="6"/>
  <c r="G65" i="6"/>
  <c r="S65" i="6"/>
  <c r="T67" i="6"/>
  <c r="L67" i="6"/>
  <c r="D67" i="6"/>
  <c r="R67" i="6"/>
  <c r="J67" i="6"/>
  <c r="B67" i="6"/>
  <c r="P67" i="6"/>
  <c r="H67" i="6"/>
  <c r="N67" i="6"/>
  <c r="E68" i="6"/>
  <c r="Q68" i="6"/>
  <c r="I69" i="6"/>
  <c r="V69" i="6"/>
  <c r="C71" i="6"/>
  <c r="O71" i="6"/>
  <c r="G72" i="6"/>
  <c r="S72" i="6"/>
  <c r="R74" i="6"/>
  <c r="J74" i="6"/>
  <c r="B74" i="6"/>
  <c r="P74" i="6"/>
  <c r="H74" i="6"/>
  <c r="W74" i="6"/>
  <c r="N74" i="6"/>
  <c r="F74" i="6"/>
  <c r="M74" i="6"/>
  <c r="E75" i="6"/>
  <c r="Q75" i="6"/>
  <c r="H76" i="6"/>
  <c r="V76" i="6"/>
  <c r="C78" i="6"/>
  <c r="O78" i="6"/>
  <c r="F79" i="6"/>
  <c r="S79" i="6"/>
  <c r="I80" i="6"/>
  <c r="P81" i="6"/>
  <c r="H81" i="6"/>
  <c r="W81" i="6"/>
  <c r="N81" i="6"/>
  <c r="F81" i="6"/>
  <c r="T81" i="6"/>
  <c r="L81" i="6"/>
  <c r="D81" i="6"/>
  <c r="M81" i="6"/>
  <c r="D82" i="6"/>
  <c r="Q82" i="6"/>
  <c r="W84" i="6"/>
  <c r="N84" i="6"/>
  <c r="F84" i="6"/>
  <c r="T84" i="6"/>
  <c r="L84" i="6"/>
  <c r="D84" i="6"/>
  <c r="S84" i="6"/>
  <c r="K84" i="6"/>
  <c r="C84" i="6"/>
  <c r="R84" i="6"/>
  <c r="J84" i="6"/>
  <c r="B84" i="6"/>
  <c r="Q84" i="6"/>
  <c r="E86" i="6"/>
  <c r="V86" i="6"/>
  <c r="H88" i="6"/>
  <c r="B89" i="6"/>
  <c r="R89" i="6"/>
  <c r="E92" i="6"/>
  <c r="V92" i="6"/>
  <c r="G96" i="6"/>
  <c r="P100" i="6"/>
  <c r="H104" i="6"/>
  <c r="P116" i="6"/>
  <c r="P128" i="6"/>
  <c r="H132" i="6"/>
  <c r="P144" i="6"/>
  <c r="H83" i="6"/>
  <c r="P83" i="6"/>
  <c r="H87" i="6"/>
  <c r="P87" i="6"/>
  <c r="F94" i="6"/>
  <c r="N94" i="6"/>
  <c r="W94" i="6"/>
  <c r="D97" i="6"/>
  <c r="L97" i="6"/>
  <c r="T97" i="6"/>
  <c r="F98" i="6"/>
  <c r="N98" i="6"/>
  <c r="W98" i="6"/>
  <c r="D101" i="6"/>
  <c r="L101" i="6"/>
  <c r="T101" i="6"/>
  <c r="I83" i="6"/>
  <c r="Q83" i="6"/>
  <c r="I87" i="6"/>
  <c r="Q87" i="6"/>
  <c r="I91" i="6"/>
  <c r="Q91" i="6"/>
  <c r="G94" i="6"/>
  <c r="O94" i="6"/>
  <c r="I95" i="6"/>
  <c r="Q95" i="6"/>
  <c r="E97" i="6"/>
  <c r="M97" i="6"/>
  <c r="V97" i="6"/>
  <c r="G98" i="6"/>
  <c r="O98" i="6"/>
  <c r="I99" i="6"/>
  <c r="Q99" i="6"/>
  <c r="E101" i="6"/>
  <c r="M101" i="6"/>
  <c r="V101" i="6"/>
  <c r="G102" i="6"/>
  <c r="O102" i="6"/>
  <c r="I103" i="6"/>
  <c r="Q103" i="6"/>
  <c r="E105" i="6"/>
  <c r="M105" i="6"/>
  <c r="V105" i="6"/>
  <c r="G106" i="6"/>
  <c r="O106" i="6"/>
  <c r="I107" i="6"/>
  <c r="E109" i="6"/>
  <c r="M109" i="6"/>
  <c r="V109" i="6"/>
  <c r="G110" i="6"/>
  <c r="O110" i="6"/>
  <c r="I111" i="6"/>
  <c r="E113" i="6"/>
  <c r="M113" i="6"/>
  <c r="V113" i="6"/>
  <c r="G114" i="6"/>
  <c r="O114" i="6"/>
  <c r="I115" i="6"/>
  <c r="E117" i="6"/>
  <c r="M117" i="6"/>
  <c r="V117" i="6"/>
  <c r="G118" i="6"/>
  <c r="O118" i="6"/>
  <c r="I119" i="6"/>
  <c r="E121" i="6"/>
  <c r="M121" i="6"/>
  <c r="V121" i="6"/>
  <c r="G122" i="6"/>
  <c r="O122" i="6"/>
  <c r="I123" i="6"/>
  <c r="E125" i="6"/>
  <c r="M125" i="6"/>
  <c r="V125" i="6"/>
  <c r="G126" i="6"/>
  <c r="O126" i="6"/>
  <c r="I127" i="6"/>
  <c r="E129" i="6"/>
  <c r="M129" i="6"/>
  <c r="V129" i="6"/>
  <c r="G130" i="6"/>
  <c r="O130" i="6"/>
  <c r="I131" i="6"/>
  <c r="E133" i="6"/>
  <c r="M133" i="6"/>
  <c r="V133" i="6"/>
  <c r="G134" i="6"/>
  <c r="O134" i="6"/>
  <c r="I135" i="6"/>
  <c r="E137" i="6"/>
  <c r="M137" i="6"/>
  <c r="V137" i="6"/>
  <c r="G138" i="6"/>
  <c r="O138" i="6"/>
  <c r="I139" i="6"/>
  <c r="E141" i="6"/>
  <c r="M141" i="6"/>
  <c r="V141" i="6"/>
  <c r="G142" i="6"/>
  <c r="O142" i="6"/>
  <c r="I143" i="6"/>
  <c r="E145" i="6"/>
  <c r="M145" i="6"/>
  <c r="V145" i="6"/>
  <c r="B83" i="6"/>
  <c r="J83" i="6"/>
  <c r="R83" i="6"/>
  <c r="B87" i="6"/>
  <c r="J87" i="6"/>
  <c r="R87" i="6"/>
  <c r="B91" i="6"/>
  <c r="J91" i="6"/>
  <c r="H94" i="6"/>
  <c r="P94" i="6"/>
  <c r="B95" i="6"/>
  <c r="J95" i="6"/>
  <c r="F97" i="6"/>
  <c r="N97" i="6"/>
  <c r="W97" i="6"/>
  <c r="H98" i="6"/>
  <c r="P98" i="6"/>
  <c r="B99" i="6"/>
  <c r="J99" i="6"/>
  <c r="F101" i="6"/>
  <c r="N101" i="6"/>
  <c r="W101" i="6"/>
  <c r="H102" i="6"/>
  <c r="P102" i="6"/>
  <c r="B103" i="6"/>
  <c r="J103" i="6"/>
  <c r="F105" i="6"/>
  <c r="N105" i="6"/>
  <c r="W105" i="6"/>
  <c r="H106" i="6"/>
  <c r="P106" i="6"/>
  <c r="F109" i="6"/>
  <c r="N109" i="6"/>
  <c r="W109" i="6"/>
  <c r="H110" i="6"/>
  <c r="P110" i="6"/>
  <c r="F113" i="6"/>
  <c r="N113" i="6"/>
  <c r="W113" i="6"/>
  <c r="H114" i="6"/>
  <c r="P114" i="6"/>
  <c r="F117" i="6"/>
  <c r="N117" i="6"/>
  <c r="W117" i="6"/>
  <c r="I94" i="6"/>
  <c r="Q94" i="6"/>
  <c r="G97" i="6"/>
  <c r="O97" i="6"/>
  <c r="I98" i="6"/>
  <c r="Q98" i="6"/>
  <c r="G101" i="6"/>
  <c r="O101" i="6"/>
  <c r="I102" i="6"/>
  <c r="Q102" i="6"/>
  <c r="G105" i="6"/>
  <c r="O105" i="6"/>
  <c r="I106" i="6"/>
  <c r="Q106" i="6"/>
  <c r="G109" i="6"/>
  <c r="O109" i="6"/>
  <c r="I110" i="6"/>
  <c r="Q110" i="6"/>
  <c r="G113" i="6"/>
  <c r="O113" i="6"/>
  <c r="I114" i="6"/>
  <c r="Q114" i="6"/>
  <c r="G117" i="6"/>
  <c r="O117" i="6"/>
  <c r="I118" i="6"/>
  <c r="Q118" i="6"/>
  <c r="G121" i="6"/>
  <c r="O121" i="6"/>
  <c r="I122" i="6"/>
  <c r="G125" i="6"/>
  <c r="O125" i="6"/>
  <c r="I126" i="6"/>
  <c r="G129" i="6"/>
  <c r="O129" i="6"/>
  <c r="I130" i="6"/>
  <c r="G133" i="6"/>
  <c r="O133" i="6"/>
  <c r="I134" i="6"/>
  <c r="G137" i="6"/>
  <c r="O137" i="6"/>
  <c r="I138" i="6"/>
  <c r="G141" i="6"/>
  <c r="O141" i="6"/>
  <c r="I142" i="6"/>
  <c r="G145" i="6"/>
  <c r="O145" i="6"/>
  <c r="D83" i="6"/>
  <c r="L83" i="6"/>
  <c r="D87" i="6"/>
  <c r="L87" i="6"/>
  <c r="B94" i="6"/>
  <c r="J94" i="6"/>
  <c r="H97" i="6"/>
  <c r="P97" i="6"/>
  <c r="B98" i="6"/>
  <c r="J98" i="6"/>
  <c r="R98" i="6"/>
  <c r="H101" i="6"/>
  <c r="P101" i="6"/>
  <c r="I97" i="6"/>
  <c r="C98" i="6"/>
  <c r="K98" i="6"/>
  <c r="I101" i="6"/>
  <c r="C102" i="6"/>
  <c r="K102" i="6"/>
  <c r="I105" i="6"/>
  <c r="C106" i="6"/>
  <c r="K106" i="6"/>
  <c r="I109" i="6"/>
  <c r="C110" i="6"/>
  <c r="K110" i="6"/>
  <c r="I113" i="6"/>
  <c r="C114" i="6"/>
  <c r="K114" i="6"/>
  <c r="I117" i="6"/>
  <c r="C118" i="6"/>
  <c r="K118" i="6"/>
  <c r="I121" i="6"/>
  <c r="I125" i="6"/>
  <c r="I129" i="6"/>
  <c r="I133" i="6"/>
  <c r="I137" i="6"/>
  <c r="I141" i="6"/>
  <c r="I145" i="6"/>
  <c r="P2" i="8"/>
  <c r="I5" i="2" l="1"/>
  <c r="P27" i="8"/>
  <c r="AA2" i="8"/>
  <c r="B2" i="7"/>
  <c r="A3" i="7" a="1"/>
  <c r="A3" i="7" s="1"/>
  <c r="C2" i="7" a="1"/>
  <c r="C2" i="7" s="1"/>
  <c r="S6" i="6"/>
  <c r="K6" i="6"/>
  <c r="C6" i="6"/>
  <c r="L6" i="6"/>
  <c r="B6" i="6"/>
  <c r="T6" i="6"/>
  <c r="J6" i="6"/>
  <c r="U6" i="6" s="1"/>
  <c r="R6" i="6"/>
  <c r="I6" i="6"/>
  <c r="P6" i="6"/>
  <c r="G6" i="6"/>
  <c r="V6" i="6"/>
  <c r="D6" i="6"/>
  <c r="M6" i="6"/>
  <c r="W6" i="6"/>
  <c r="E6" i="6"/>
  <c r="Q6" i="6"/>
  <c r="O6" i="6"/>
  <c r="N6" i="6"/>
  <c r="H6" i="6"/>
  <c r="F6" i="6"/>
  <c r="S7" i="6"/>
  <c r="K7" i="6"/>
  <c r="C7" i="6"/>
  <c r="O7" i="6"/>
  <c r="F7" i="6"/>
  <c r="N7" i="6"/>
  <c r="W7" i="6"/>
  <c r="E7" i="6"/>
  <c r="V7" i="6"/>
  <c r="M7" i="6"/>
  <c r="D7" i="6"/>
  <c r="T7" i="6"/>
  <c r="J7" i="6"/>
  <c r="U7" i="6" s="1"/>
  <c r="P7" i="6"/>
  <c r="G7" i="6"/>
  <c r="Q7" i="6"/>
  <c r="L7" i="6"/>
  <c r="I7" i="6"/>
  <c r="H7" i="6"/>
  <c r="B7" i="6"/>
  <c r="R7" i="6"/>
  <c r="S1" i="2"/>
  <c r="U1" i="2"/>
  <c r="T1" i="2"/>
  <c r="P1" i="2"/>
  <c r="R1" i="2"/>
  <c r="Q1" i="2"/>
  <c r="V1" i="2" l="1"/>
  <c r="V1" i="7"/>
  <c r="AA27" i="8"/>
  <c r="AL2" i="8"/>
  <c r="H2" i="8"/>
  <c r="I6" i="2"/>
  <c r="T9" i="6"/>
  <c r="L9" i="6"/>
  <c r="D9" i="6"/>
  <c r="N9" i="6"/>
  <c r="E9" i="6"/>
  <c r="W9" i="6"/>
  <c r="C9" i="6"/>
  <c r="M9" i="6"/>
  <c r="V9" i="6"/>
  <c r="K9" i="6"/>
  <c r="B9" i="6"/>
  <c r="R9" i="6"/>
  <c r="I9" i="6"/>
  <c r="F9" i="6"/>
  <c r="O9" i="6"/>
  <c r="G9" i="6"/>
  <c r="S9" i="6"/>
  <c r="Q9" i="6"/>
  <c r="P9" i="6"/>
  <c r="J9" i="6"/>
  <c r="H9" i="6"/>
  <c r="C3" i="7" a="1"/>
  <c r="C3" i="7" s="1"/>
  <c r="A4" i="7" a="1"/>
  <c r="A4" i="7" s="1"/>
  <c r="B3" i="7"/>
  <c r="S8" i="6"/>
  <c r="K8" i="6"/>
  <c r="C8" i="6"/>
  <c r="R8" i="6"/>
  <c r="I8" i="6"/>
  <c r="H8" i="6"/>
  <c r="Q8" i="6"/>
  <c r="P8" i="6"/>
  <c r="G8" i="6"/>
  <c r="N8" i="6"/>
  <c r="E8" i="6"/>
  <c r="J8" i="6"/>
  <c r="F8" i="6"/>
  <c r="T8" i="6"/>
  <c r="L8" i="6"/>
  <c r="W8" i="6"/>
  <c r="V8" i="6"/>
  <c r="O8" i="6"/>
  <c r="M8" i="6"/>
  <c r="D8" i="6"/>
  <c r="B8" i="6"/>
  <c r="K1" i="2" a="1"/>
  <c r="L1" i="2" a="1"/>
  <c r="J1" i="2" a="1"/>
  <c r="N1" i="2" a="1"/>
  <c r="O1" i="2" a="1"/>
  <c r="M1" i="2" a="1"/>
  <c r="U2" i="2"/>
  <c r="S2" i="2"/>
  <c r="T2" i="2"/>
  <c r="Q2" i="2"/>
  <c r="R2" i="2"/>
  <c r="P2" i="2"/>
  <c r="V2" i="2" l="1"/>
  <c r="M1" i="2"/>
  <c r="M1" i="7" s="1"/>
  <c r="N1" i="7" s="1"/>
  <c r="O1" i="7" s="1"/>
  <c r="O1" i="2"/>
  <c r="S1" i="7" s="1"/>
  <c r="T1" i="7" s="1"/>
  <c r="U1" i="7" s="1"/>
  <c r="N1" i="2"/>
  <c r="P1" i="7" s="1"/>
  <c r="Q1" i="7" s="1"/>
  <c r="R1" i="7" s="1"/>
  <c r="J1" i="2"/>
  <c r="D1" i="7" s="1"/>
  <c r="L1" i="2"/>
  <c r="J1" i="7" s="1"/>
  <c r="K1" i="7" s="1"/>
  <c r="L1" i="7" s="1"/>
  <c r="K1" i="2"/>
  <c r="G1" i="7" s="1"/>
  <c r="H1" i="7" s="1"/>
  <c r="W1" i="7"/>
  <c r="X1" i="7"/>
  <c r="V2" i="7"/>
  <c r="I7" i="2"/>
  <c r="W11" i="6"/>
  <c r="N11" i="6"/>
  <c r="F11" i="6"/>
  <c r="M11" i="6"/>
  <c r="D11" i="6"/>
  <c r="V11" i="6"/>
  <c r="C11" i="6"/>
  <c r="L11" i="6"/>
  <c r="T11" i="6"/>
  <c r="K11" i="6"/>
  <c r="B11" i="6"/>
  <c r="R11" i="6"/>
  <c r="I11" i="6"/>
  <c r="O11" i="6"/>
  <c r="E11" i="6"/>
  <c r="P11" i="6"/>
  <c r="J11" i="6"/>
  <c r="S11" i="6"/>
  <c r="Q11" i="6"/>
  <c r="H11" i="6"/>
  <c r="G11" i="6"/>
  <c r="V10" i="6"/>
  <c r="M10" i="6"/>
  <c r="E10" i="6"/>
  <c r="R10" i="6"/>
  <c r="I10" i="6"/>
  <c r="Q10" i="6"/>
  <c r="H10" i="6"/>
  <c r="P10" i="6"/>
  <c r="G10" i="6"/>
  <c r="N10" i="6"/>
  <c r="D10" i="6"/>
  <c r="S10" i="6"/>
  <c r="J10" i="6"/>
  <c r="T10" i="6"/>
  <c r="B10" i="6"/>
  <c r="O10" i="6"/>
  <c r="L10" i="6"/>
  <c r="K10" i="6"/>
  <c r="F10" i="6"/>
  <c r="C10" i="6"/>
  <c r="W10" i="6"/>
  <c r="B4" i="7"/>
  <c r="C4" i="7" a="1"/>
  <c r="C4" i="7" s="1"/>
  <c r="A5" i="7" a="1"/>
  <c r="A5" i="7" s="1"/>
  <c r="A21" i="8"/>
  <c r="A3" i="8"/>
  <c r="A28" i="8" s="1"/>
  <c r="S3" i="8"/>
  <c r="S1" i="8" s="1"/>
  <c r="S2" i="8" s="1"/>
  <c r="B1" i="8"/>
  <c r="B26" i="8" s="1"/>
  <c r="AL27" i="8"/>
  <c r="AW2" i="8"/>
  <c r="J2" i="2" a="1"/>
  <c r="S3" i="2"/>
  <c r="T3" i="2"/>
  <c r="U3" i="2"/>
  <c r="L2" i="2" a="1"/>
  <c r="K2" i="2" a="1"/>
  <c r="N2" i="2" a="1"/>
  <c r="M2" i="2" a="1"/>
  <c r="P3" i="2"/>
  <c r="Q3" i="2"/>
  <c r="R3" i="2"/>
  <c r="O2" i="2" a="1"/>
  <c r="O2" i="2" l="1"/>
  <c r="S2" i="7" s="1"/>
  <c r="T2" i="7" s="1"/>
  <c r="U2" i="7" s="1"/>
  <c r="V3" i="2"/>
  <c r="M2" i="2"/>
  <c r="M2" i="7" s="1"/>
  <c r="N2" i="7" s="1"/>
  <c r="O2" i="7" s="1"/>
  <c r="N2" i="2"/>
  <c r="P2" i="7" s="1"/>
  <c r="Q2" i="7" s="1"/>
  <c r="R2" i="7" s="1"/>
  <c r="K2" i="2"/>
  <c r="G2" i="7" s="1"/>
  <c r="H2" i="7" s="1"/>
  <c r="I2" i="7" s="1"/>
  <c r="L2" i="2"/>
  <c r="J2" i="7" s="1"/>
  <c r="K2" i="7" s="1"/>
  <c r="L2" i="7" s="1"/>
  <c r="J2" i="2"/>
  <c r="D2" i="7" s="1"/>
  <c r="C5" i="7" a="1"/>
  <c r="C5" i="7" s="1"/>
  <c r="B5" i="7"/>
  <c r="A6" i="7" a="1"/>
  <c r="A6" i="7" s="1"/>
  <c r="AA1" i="7"/>
  <c r="Z1" i="7"/>
  <c r="I1" i="7" s="1"/>
  <c r="Y1" i="7"/>
  <c r="P13" i="6"/>
  <c r="H13" i="6"/>
  <c r="W13" i="6"/>
  <c r="M13" i="6"/>
  <c r="D13" i="6"/>
  <c r="V13" i="6"/>
  <c r="L13" i="6"/>
  <c r="C13" i="6"/>
  <c r="T13" i="6"/>
  <c r="K13" i="6"/>
  <c r="B13" i="6"/>
  <c r="R13" i="6"/>
  <c r="I13" i="6"/>
  <c r="E13" i="6"/>
  <c r="N13" i="6"/>
  <c r="F13" i="6"/>
  <c r="S13" i="6"/>
  <c r="Q13" i="6"/>
  <c r="O13" i="6"/>
  <c r="J13" i="6"/>
  <c r="G13" i="6"/>
  <c r="AW27" i="8"/>
  <c r="BH2" i="8"/>
  <c r="O12" i="6"/>
  <c r="G12" i="6"/>
  <c r="R12" i="6"/>
  <c r="I12" i="6"/>
  <c r="Q12" i="6"/>
  <c r="H12" i="6"/>
  <c r="P12" i="6"/>
  <c r="F12" i="6"/>
  <c r="W12" i="6"/>
  <c r="M12" i="6"/>
  <c r="D12" i="6"/>
  <c r="J12" i="6"/>
  <c r="S12" i="6"/>
  <c r="K12" i="6"/>
  <c r="E12" i="6"/>
  <c r="N12" i="6"/>
  <c r="C12" i="6"/>
  <c r="B12" i="6"/>
  <c r="V12" i="6"/>
  <c r="T12" i="6"/>
  <c r="L12" i="6"/>
  <c r="E1" i="7"/>
  <c r="L3" i="8"/>
  <c r="L28" i="8" s="1"/>
  <c r="T2" i="8"/>
  <c r="I8" i="2"/>
  <c r="X2" i="7"/>
  <c r="W2" i="7"/>
  <c r="V3" i="7"/>
  <c r="L3" i="2" a="1"/>
  <c r="O3" i="2" a="1"/>
  <c r="K3" i="2" a="1"/>
  <c r="N3" i="2" a="1"/>
  <c r="J3" i="2" a="1"/>
  <c r="M3" i="2" a="1"/>
  <c r="R4" i="2"/>
  <c r="Q4" i="2"/>
  <c r="P4" i="2"/>
  <c r="T4" i="2"/>
  <c r="S4" i="2"/>
  <c r="U4" i="2"/>
  <c r="V4" i="2" l="1"/>
  <c r="M3" i="2"/>
  <c r="M3" i="7" s="1"/>
  <c r="N3" i="7" s="1"/>
  <c r="O3" i="7" s="1"/>
  <c r="J3" i="2"/>
  <c r="D3" i="7" s="1"/>
  <c r="N3" i="2"/>
  <c r="P3" i="7" s="1"/>
  <c r="Q3" i="7" s="1"/>
  <c r="R3" i="7" s="1"/>
  <c r="K3" i="2"/>
  <c r="G3" i="7" s="1"/>
  <c r="H3" i="7" s="1"/>
  <c r="I3" i="7" s="1"/>
  <c r="O3" i="2"/>
  <c r="S3" i="7" s="1"/>
  <c r="T3" i="7" s="1"/>
  <c r="U3" i="7" s="1"/>
  <c r="L3" i="2"/>
  <c r="J3" i="7" s="1"/>
  <c r="K3" i="7" s="1"/>
  <c r="L3" i="7" s="1"/>
  <c r="I9" i="2"/>
  <c r="X3" i="7"/>
  <c r="W3" i="7"/>
  <c r="V4" i="7"/>
  <c r="BH27" i="8"/>
  <c r="BS2" i="8"/>
  <c r="F1" i="7"/>
  <c r="AQ1" i="7" s="1" a="1"/>
  <c r="AQ1" i="7" s="1"/>
  <c r="AB1" i="7"/>
  <c r="AS1" i="7" s="1"/>
  <c r="AU1" i="7" s="1"/>
  <c r="AV1" i="7" s="1"/>
  <c r="R15" i="6"/>
  <c r="J15" i="6"/>
  <c r="B15" i="6"/>
  <c r="W15" i="6"/>
  <c r="M15" i="6"/>
  <c r="D15" i="6"/>
  <c r="V15" i="6"/>
  <c r="L15" i="6"/>
  <c r="C15" i="6"/>
  <c r="T15" i="6"/>
  <c r="K15" i="6"/>
  <c r="Q15" i="6"/>
  <c r="H15" i="6"/>
  <c r="N15" i="6"/>
  <c r="E15" i="6"/>
  <c r="O15" i="6"/>
  <c r="I15" i="6"/>
  <c r="S15" i="6"/>
  <c r="G15" i="6"/>
  <c r="F15" i="6"/>
  <c r="P15" i="6"/>
  <c r="E2" i="7"/>
  <c r="Y2" i="7"/>
  <c r="AA2" i="7"/>
  <c r="Z2" i="7"/>
  <c r="L21" i="8"/>
  <c r="AD1" i="8"/>
  <c r="AD2" i="8" s="1"/>
  <c r="M1" i="8"/>
  <c r="C6" i="7" a="1"/>
  <c r="C6" i="7" s="1"/>
  <c r="B6" i="7"/>
  <c r="A7" i="7" a="1"/>
  <c r="A7" i="7" s="1"/>
  <c r="Q14" i="6"/>
  <c r="I14" i="6"/>
  <c r="R14" i="6"/>
  <c r="H14" i="6"/>
  <c r="P14" i="6"/>
  <c r="G14" i="6"/>
  <c r="O14" i="6"/>
  <c r="F14" i="6"/>
  <c r="W14" i="6"/>
  <c r="M14" i="6"/>
  <c r="D14" i="6"/>
  <c r="S14" i="6"/>
  <c r="N14" i="6"/>
  <c r="J14" i="6"/>
  <c r="T14" i="6"/>
  <c r="B14" i="6"/>
  <c r="E14" i="6"/>
  <c r="V14" i="6"/>
  <c r="L14" i="6"/>
  <c r="K14" i="6"/>
  <c r="C14" i="6"/>
  <c r="AT1" i="7"/>
  <c r="O4" i="2" a="1"/>
  <c r="M4" i="2" a="1"/>
  <c r="N4" i="2" a="1"/>
  <c r="J4" i="2" a="1"/>
  <c r="S5" i="2"/>
  <c r="T5" i="2"/>
  <c r="U5" i="2"/>
  <c r="K4" i="2" a="1"/>
  <c r="L4" i="2" a="1"/>
  <c r="Q5" i="2"/>
  <c r="R5" i="2"/>
  <c r="P5" i="2"/>
  <c r="AO1" i="7" l="1" a="1"/>
  <c r="AO1" i="7" s="1"/>
  <c r="V5" i="2"/>
  <c r="L4" i="2"/>
  <c r="J4" i="7" s="1"/>
  <c r="K4" i="7" s="1"/>
  <c r="L4" i="7" s="1"/>
  <c r="K4" i="2"/>
  <c r="G4" i="7" s="1"/>
  <c r="H4" i="7" s="1"/>
  <c r="I4" i="7" s="1"/>
  <c r="J4" i="2"/>
  <c r="D4" i="7" s="1"/>
  <c r="N4" i="2"/>
  <c r="P4" i="7" s="1"/>
  <c r="Q4" i="7" s="1"/>
  <c r="R4" i="7" s="1"/>
  <c r="M4" i="2"/>
  <c r="M4" i="7" s="1"/>
  <c r="N4" i="7" s="1"/>
  <c r="O4" i="7" s="1"/>
  <c r="O4" i="2"/>
  <c r="S4" i="7" s="1"/>
  <c r="T4" i="7" s="1"/>
  <c r="U4" i="7" s="1"/>
  <c r="F2" i="7"/>
  <c r="AN2" i="7" s="1" a="1"/>
  <c r="AN2" i="7" s="1"/>
  <c r="AB2" i="7"/>
  <c r="AS2" i="7"/>
  <c r="AU2" i="7" s="1"/>
  <c r="AV2" i="7" s="1"/>
  <c r="AC1" i="7" a="1"/>
  <c r="AC1" i="7" s="1"/>
  <c r="AK1" i="7" a="1"/>
  <c r="AK1" i="7" s="1"/>
  <c r="AM1" i="7" a="1"/>
  <c r="AM1" i="7" s="1"/>
  <c r="AE1" i="7" a="1"/>
  <c r="AE1" i="7" s="1"/>
  <c r="AG1" i="7" a="1"/>
  <c r="AG1" i="7" s="1"/>
  <c r="AI1" i="7" a="1"/>
  <c r="AI1" i="7" s="1"/>
  <c r="AL1" i="7" a="1"/>
  <c r="AL1" i="7" s="1"/>
  <c r="AN1" i="7" a="1"/>
  <c r="AN1" i="7" s="1"/>
  <c r="AH1" i="7" a="1"/>
  <c r="AH1" i="7" s="1"/>
  <c r="AP1" i="7" a="1"/>
  <c r="AP1" i="7" s="1"/>
  <c r="AD1" i="7" a="1"/>
  <c r="AD1" i="7" s="1"/>
  <c r="C7" i="7" a="1"/>
  <c r="C7" i="7" s="1"/>
  <c r="B7" i="7"/>
  <c r="A8" i="7" a="1"/>
  <c r="A8" i="7" s="1"/>
  <c r="AX1" i="7"/>
  <c r="AF1" i="7" a="1"/>
  <c r="AF1" i="7" s="1"/>
  <c r="AJ1" i="7" a="1"/>
  <c r="AJ1" i="7" s="1"/>
  <c r="Q6" i="8"/>
  <c r="Q31" i="8" s="1"/>
  <c r="M26" i="8"/>
  <c r="Q5" i="8"/>
  <c r="Q30" i="8" s="1"/>
  <c r="Q4" i="8"/>
  <c r="Q29" i="8" s="1"/>
  <c r="Q3" i="8"/>
  <c r="Q28" i="8" s="1"/>
  <c r="AQ2" i="7" a="1"/>
  <c r="AQ2" i="7" s="1"/>
  <c r="AW1" i="7"/>
  <c r="BS27" i="8"/>
  <c r="CD2" i="8"/>
  <c r="AD4" i="8"/>
  <c r="AE2" i="8" s="1"/>
  <c r="I10" i="2"/>
  <c r="S16" i="6"/>
  <c r="K16" i="6"/>
  <c r="C16" i="6"/>
  <c r="Q16" i="6"/>
  <c r="H16" i="6"/>
  <c r="P16" i="6"/>
  <c r="G16" i="6"/>
  <c r="O16" i="6"/>
  <c r="F16" i="6"/>
  <c r="W16" i="6"/>
  <c r="M16" i="6"/>
  <c r="D16" i="6"/>
  <c r="I16" i="6"/>
  <c r="E16" i="6"/>
  <c r="R16" i="6"/>
  <c r="J16" i="6"/>
  <c r="V16" i="6"/>
  <c r="T16" i="6"/>
  <c r="N16" i="6"/>
  <c r="L16" i="6"/>
  <c r="B16" i="6"/>
  <c r="T17" i="6"/>
  <c r="L17" i="6"/>
  <c r="D17" i="6"/>
  <c r="W17" i="6"/>
  <c r="M17" i="6"/>
  <c r="C17" i="6"/>
  <c r="V17" i="6"/>
  <c r="K17" i="6"/>
  <c r="B17" i="6"/>
  <c r="S17" i="6"/>
  <c r="J17" i="6"/>
  <c r="Q17" i="6"/>
  <c r="H17" i="6"/>
  <c r="E17" i="6"/>
  <c r="R17" i="6"/>
  <c r="N17" i="6"/>
  <c r="F17" i="6"/>
  <c r="I17" i="6"/>
  <c r="P17" i="6"/>
  <c r="O17" i="6"/>
  <c r="G17" i="6"/>
  <c r="X4" i="7"/>
  <c r="W4" i="7"/>
  <c r="V5" i="7"/>
  <c r="AA3" i="7"/>
  <c r="Z3" i="7"/>
  <c r="Y3" i="7"/>
  <c r="E3" i="7"/>
  <c r="J5" i="2" a="1"/>
  <c r="M5" i="2" a="1"/>
  <c r="L5" i="2" a="1"/>
  <c r="P6" i="2"/>
  <c r="Q6" i="2"/>
  <c r="R6" i="2"/>
  <c r="K5" i="2" a="1"/>
  <c r="T6" i="2"/>
  <c r="U6" i="2"/>
  <c r="S6" i="2"/>
  <c r="O5" i="2" a="1"/>
  <c r="N5" i="2" a="1"/>
  <c r="AD2" i="7" l="1" a="1"/>
  <c r="AD2" i="7" s="1"/>
  <c r="AK2" i="7" a="1"/>
  <c r="AK2" i="7" s="1"/>
  <c r="AG2" i="7" a="1"/>
  <c r="AG2" i="7" s="1"/>
  <c r="AI2" i="7" a="1"/>
  <c r="AI2" i="7" s="1"/>
  <c r="AO2" i="7" a="1"/>
  <c r="AO2" i="7" s="1"/>
  <c r="AH2" i="7" a="1"/>
  <c r="AH2" i="7" s="1"/>
  <c r="AT2" i="7"/>
  <c r="AF2" i="7" a="1"/>
  <c r="AF2" i="7" s="1"/>
  <c r="AC2" i="7" a="1"/>
  <c r="AC2" i="7" s="1"/>
  <c r="AE2" i="7" a="1"/>
  <c r="AE2" i="7" s="1"/>
  <c r="AW2" i="7"/>
  <c r="AX2" i="7" s="1"/>
  <c r="AP2" i="7" a="1"/>
  <c r="AP2" i="7" s="1"/>
  <c r="AM2" i="7" a="1"/>
  <c r="AM2" i="7" s="1"/>
  <c r="N5" i="2"/>
  <c r="P5" i="7" s="1"/>
  <c r="O5" i="2"/>
  <c r="S5" i="7" s="1"/>
  <c r="T5" i="7" s="1"/>
  <c r="U5" i="7" s="1"/>
  <c r="K5" i="2"/>
  <c r="G5" i="7" s="1"/>
  <c r="H5" i="7" s="1"/>
  <c r="V6" i="2"/>
  <c r="L5" i="2"/>
  <c r="J5" i="7" s="1"/>
  <c r="K5" i="7" s="1"/>
  <c r="L5" i="7" s="1"/>
  <c r="M5" i="2"/>
  <c r="M5" i="7" s="1"/>
  <c r="N5" i="7" s="1"/>
  <c r="O5" i="7" s="1"/>
  <c r="J5" i="2"/>
  <c r="D5" i="7" s="1"/>
  <c r="W21" i="8"/>
  <c r="AO1" i="8"/>
  <c r="AO2" i="8" s="1"/>
  <c r="W3" i="8"/>
  <c r="W28" i="8" s="1"/>
  <c r="X1" i="8"/>
  <c r="E4" i="7"/>
  <c r="AB3" i="7"/>
  <c r="F3" i="7"/>
  <c r="AG3" i="7" s="1" a="1"/>
  <c r="AG3" i="7" s="1"/>
  <c r="W19" i="6"/>
  <c r="N19" i="6"/>
  <c r="F19" i="6"/>
  <c r="V19" i="6"/>
  <c r="L19" i="6"/>
  <c r="C19" i="6"/>
  <c r="K19" i="6"/>
  <c r="B19" i="6"/>
  <c r="T19" i="6"/>
  <c r="S19" i="6"/>
  <c r="J19" i="6"/>
  <c r="Q19" i="6"/>
  <c r="H19" i="6"/>
  <c r="M19" i="6"/>
  <c r="I19" i="6"/>
  <c r="D19" i="6"/>
  <c r="O19" i="6"/>
  <c r="R19" i="6"/>
  <c r="P19" i="6"/>
  <c r="G19" i="6"/>
  <c r="E19" i="6"/>
  <c r="AJ2" i="7" a="1"/>
  <c r="AJ2" i="7" s="1"/>
  <c r="AL2" i="7" a="1"/>
  <c r="AL2" i="7" s="1"/>
  <c r="W5" i="7"/>
  <c r="X5" i="7"/>
  <c r="V6" i="7"/>
  <c r="V18" i="6"/>
  <c r="M18" i="6"/>
  <c r="E18" i="6"/>
  <c r="Q18" i="6"/>
  <c r="H18" i="6"/>
  <c r="P18" i="6"/>
  <c r="G18" i="6"/>
  <c r="O18" i="6"/>
  <c r="F18" i="6"/>
  <c r="W18" i="6"/>
  <c r="L18" i="6"/>
  <c r="C18" i="6"/>
  <c r="R18" i="6"/>
  <c r="I18" i="6"/>
  <c r="S18" i="6"/>
  <c r="N18" i="6"/>
  <c r="T18" i="6"/>
  <c r="K18" i="6"/>
  <c r="J18" i="6"/>
  <c r="D18" i="6"/>
  <c r="B18" i="6"/>
  <c r="Y4" i="7"/>
  <c r="AA4" i="7"/>
  <c r="Z4" i="7"/>
  <c r="BB1" i="7" a="1"/>
  <c r="BB1" i="7" s="1"/>
  <c r="BE1" i="7" a="1"/>
  <c r="BE1" i="7" s="1"/>
  <c r="BA1" i="7" a="1"/>
  <c r="BA1" i="7" s="1"/>
  <c r="BD1" i="7" a="1"/>
  <c r="BD1" i="7" s="1"/>
  <c r="AZ1" i="7" a="1"/>
  <c r="AZ1" i="7" s="1"/>
  <c r="BC1" i="7" a="1"/>
  <c r="BC1" i="7" s="1"/>
  <c r="BH1" i="7" a="1"/>
  <c r="BH1" i="7" s="1"/>
  <c r="BO1" i="7" a="1"/>
  <c r="BO1" i="7" s="1"/>
  <c r="BN1" i="7" a="1"/>
  <c r="BN1" i="7" s="1"/>
  <c r="BF1" i="7" a="1"/>
  <c r="BF1" i="7" s="1"/>
  <c r="BJ1" i="7" a="1"/>
  <c r="BJ1" i="7" s="1"/>
  <c r="BM1" i="7" a="1"/>
  <c r="BM1" i="7" s="1"/>
  <c r="BK1" i="7" a="1"/>
  <c r="BK1" i="7" s="1"/>
  <c r="BQ1" i="7" a="1"/>
  <c r="BQ1" i="7" s="1"/>
  <c r="BL1" i="7" a="1"/>
  <c r="BL1" i="7" s="1"/>
  <c r="BP1" i="7" a="1"/>
  <c r="BP1" i="7" s="1"/>
  <c r="BG1" i="7" a="1"/>
  <c r="BG1" i="7" s="1"/>
  <c r="BI1" i="7" a="1"/>
  <c r="BI1" i="7" s="1"/>
  <c r="AS3" i="7"/>
  <c r="AD3" i="7" a="1"/>
  <c r="AD3" i="7" s="1"/>
  <c r="I11" i="2"/>
  <c r="CD27" i="8"/>
  <c r="CO2" i="8"/>
  <c r="B8" i="7"/>
  <c r="C8" i="7" a="1"/>
  <c r="C8" i="7" s="1"/>
  <c r="A9" i="7" a="1"/>
  <c r="A9" i="7" s="1"/>
  <c r="J6" i="2" a="1"/>
  <c r="P7" i="2"/>
  <c r="R7" i="2"/>
  <c r="Q7" i="2"/>
  <c r="M6" i="2" a="1"/>
  <c r="O6" i="2" a="1"/>
  <c r="N6" i="2" a="1"/>
  <c r="L6" i="2" a="1"/>
  <c r="K6" i="2" a="1"/>
  <c r="S7" i="2"/>
  <c r="U7" i="2"/>
  <c r="T7" i="2"/>
  <c r="BF2" i="7" l="1" a="1"/>
  <c r="BF2" i="7" s="1"/>
  <c r="BO2" i="7" a="1"/>
  <c r="BO2" i="7" s="1"/>
  <c r="A15" i="8" s="1"/>
  <c r="A40" i="8" s="1"/>
  <c r="BG2" i="7" a="1"/>
  <c r="BG2" i="7" s="1"/>
  <c r="A12" i="8" s="1"/>
  <c r="A37" i="8" s="1"/>
  <c r="BC2" i="7" a="1"/>
  <c r="BC2" i="7" s="1"/>
  <c r="H4" i="8" s="1"/>
  <c r="BL2" i="7" a="1"/>
  <c r="BL2" i="7" s="1"/>
  <c r="BJ2" i="7" a="1"/>
  <c r="BJ2" i="7" s="1"/>
  <c r="AI3" i="7" a="1"/>
  <c r="AI3" i="7" s="1"/>
  <c r="BB2" i="7" a="1"/>
  <c r="BB2" i="7" s="1"/>
  <c r="F10" i="8" s="1"/>
  <c r="F35" i="8" s="1"/>
  <c r="Q5" i="7"/>
  <c r="R5" i="7" s="1"/>
  <c r="K6" i="2"/>
  <c r="G6" i="7" s="1"/>
  <c r="H6" i="7" s="1"/>
  <c r="L6" i="2"/>
  <c r="J6" i="7" s="1"/>
  <c r="K6" i="7" s="1"/>
  <c r="L6" i="7" s="1"/>
  <c r="N6" i="2"/>
  <c r="P6" i="7" s="1"/>
  <c r="Q6" i="7" s="1"/>
  <c r="R6" i="7" s="1"/>
  <c r="O6" i="2"/>
  <c r="S6" i="7" s="1"/>
  <c r="T6" i="7" s="1"/>
  <c r="U6" i="7" s="1"/>
  <c r="M6" i="2"/>
  <c r="M6" i="7" s="1"/>
  <c r="N6" i="7" s="1"/>
  <c r="O6" i="7" s="1"/>
  <c r="V7" i="2"/>
  <c r="J6" i="2"/>
  <c r="D6" i="7" s="1"/>
  <c r="AE3" i="7" a="1"/>
  <c r="AE3" i="7" s="1"/>
  <c r="AC3" i="7" a="1"/>
  <c r="AC3" i="7" s="1"/>
  <c r="BQ2" i="7" a="1"/>
  <c r="BQ2" i="7" s="1"/>
  <c r="BD2" i="7" a="1"/>
  <c r="BD2" i="7" s="1"/>
  <c r="A11" i="8" s="1"/>
  <c r="A36" i="8" s="1"/>
  <c r="AJ3" i="7" a="1"/>
  <c r="AJ3" i="7" s="1"/>
  <c r="AN3" i="7" a="1"/>
  <c r="AN3" i="7" s="1"/>
  <c r="BH2" i="7" a="1"/>
  <c r="BH2" i="7" s="1"/>
  <c r="F12" i="8" s="1"/>
  <c r="F37" i="8" s="1"/>
  <c r="BP2" i="7" a="1"/>
  <c r="BP2" i="7" s="1"/>
  <c r="F15" i="8" s="1"/>
  <c r="F40" i="8" s="1"/>
  <c r="BE2" i="7" a="1"/>
  <c r="BE2" i="7" s="1"/>
  <c r="F11" i="8" s="1"/>
  <c r="F36" i="8" s="1"/>
  <c r="AQ3" i="7" a="1"/>
  <c r="AQ3" i="7" s="1"/>
  <c r="O20" i="6"/>
  <c r="G20" i="6"/>
  <c r="Q20" i="6"/>
  <c r="H20" i="6"/>
  <c r="P20" i="6"/>
  <c r="F20" i="6"/>
  <c r="N20" i="6"/>
  <c r="E20" i="6"/>
  <c r="V20" i="6"/>
  <c r="L20" i="6"/>
  <c r="C20" i="6"/>
  <c r="I20" i="6"/>
  <c r="W20" i="6"/>
  <c r="R20" i="6"/>
  <c r="J20" i="6"/>
  <c r="D20" i="6"/>
  <c r="M20" i="6"/>
  <c r="B20" i="6"/>
  <c r="T20" i="6"/>
  <c r="S20" i="6"/>
  <c r="K20" i="6"/>
  <c r="AF3" i="7" a="1"/>
  <c r="AF3" i="7" s="1"/>
  <c r="C9" i="7" a="1"/>
  <c r="C9" i="7" s="1"/>
  <c r="B9" i="7"/>
  <c r="A10" i="7" a="1"/>
  <c r="A10" i="7" s="1"/>
  <c r="AZ2" i="7" a="1"/>
  <c r="AZ2" i="7" s="1"/>
  <c r="AL3" i="7" a="1"/>
  <c r="AL3" i="7" s="1"/>
  <c r="AB4" i="7"/>
  <c r="F4" i="7"/>
  <c r="AL4" i="7" s="1" a="1"/>
  <c r="AL4" i="7" s="1"/>
  <c r="AO4" i="8"/>
  <c r="AP2" i="8" s="1"/>
  <c r="BM2" i="7" a="1"/>
  <c r="BM2" i="7" s="1"/>
  <c r="F14" i="8" s="1"/>
  <c r="F39" i="8" s="1"/>
  <c r="BK2" i="7" a="1"/>
  <c r="BK2" i="7" s="1"/>
  <c r="F13" i="8" s="1"/>
  <c r="F38" i="8" s="1"/>
  <c r="AO3" i="7" a="1"/>
  <c r="AO3" i="7" s="1"/>
  <c r="AU3" i="7"/>
  <c r="AV3" i="7" s="1"/>
  <c r="AP3" i="7" a="1"/>
  <c r="AP3" i="7" s="1"/>
  <c r="E5" i="7"/>
  <c r="AK3" i="7" a="1"/>
  <c r="AK3" i="7" s="1"/>
  <c r="X6" i="7"/>
  <c r="W6" i="7"/>
  <c r="V7" i="7"/>
  <c r="BN2" i="7" a="1"/>
  <c r="BN2" i="7" s="1"/>
  <c r="BA2" i="7" a="1"/>
  <c r="BA2" i="7" s="1"/>
  <c r="A10" i="8" s="1"/>
  <c r="A35" i="8" s="1"/>
  <c r="AH3" i="7" a="1"/>
  <c r="AH3" i="7" s="1"/>
  <c r="AS4" i="7"/>
  <c r="AT4" i="7" s="1"/>
  <c r="AM3" i="7" a="1"/>
  <c r="AM3" i="7" s="1"/>
  <c r="AA5" i="7"/>
  <c r="Y5" i="7"/>
  <c r="I5" i="7" s="1"/>
  <c r="Z5" i="7"/>
  <c r="P21" i="6"/>
  <c r="H21" i="6"/>
  <c r="V21" i="6"/>
  <c r="L21" i="6"/>
  <c r="C21" i="6"/>
  <c r="K21" i="6"/>
  <c r="T21" i="6"/>
  <c r="B21" i="6"/>
  <c r="S21" i="6"/>
  <c r="J21" i="6"/>
  <c r="Q21" i="6"/>
  <c r="G21" i="6"/>
  <c r="W21" i="6"/>
  <c r="D21" i="6"/>
  <c r="M21" i="6"/>
  <c r="E21" i="6"/>
  <c r="R21" i="6"/>
  <c r="O21" i="6"/>
  <c r="N21" i="6"/>
  <c r="I21" i="6"/>
  <c r="F21" i="6"/>
  <c r="X26" i="8"/>
  <c r="AB5" i="8"/>
  <c r="AB30" i="8" s="1"/>
  <c r="AB4" i="8"/>
  <c r="AB29" i="8" s="1"/>
  <c r="AB6" i="8"/>
  <c r="AB31" i="8" s="1"/>
  <c r="AB3" i="8"/>
  <c r="AB28" i="8" s="1"/>
  <c r="CO27" i="8"/>
  <c r="CZ2" i="8"/>
  <c r="I12" i="2"/>
  <c r="BI2" i="7" a="1"/>
  <c r="BI2" i="7" s="1"/>
  <c r="AT3" i="7"/>
  <c r="N7" i="2" a="1"/>
  <c r="K7" i="2" a="1"/>
  <c r="U8" i="2"/>
  <c r="T8" i="2"/>
  <c r="S8" i="2"/>
  <c r="O7" i="2" a="1"/>
  <c r="L7" i="2" a="1"/>
  <c r="P8" i="2"/>
  <c r="Q8" i="2"/>
  <c r="R8" i="2"/>
  <c r="M7" i="2" a="1"/>
  <c r="J7" i="2" a="1"/>
  <c r="A14" i="8" l="1"/>
  <c r="A39" i="8" s="1"/>
  <c r="A13" i="8"/>
  <c r="A38" i="8" s="1"/>
  <c r="AI4" i="7" a="1"/>
  <c r="AI4" i="7" s="1"/>
  <c r="AN4" i="7" a="1"/>
  <c r="AN4" i="7" s="1"/>
  <c r="AH4" i="7" a="1"/>
  <c r="AH4" i="7" s="1"/>
  <c r="AG4" i="7" a="1"/>
  <c r="AG4" i="7" s="1"/>
  <c r="AF4" i="7" a="1"/>
  <c r="AF4" i="7" s="1"/>
  <c r="AK4" i="7" a="1"/>
  <c r="AK4" i="7" s="1"/>
  <c r="AE4" i="7" a="1"/>
  <c r="AE4" i="7" s="1"/>
  <c r="AJ4" i="7" a="1"/>
  <c r="AJ4" i="7" s="1"/>
  <c r="AQ4" i="7" a="1"/>
  <c r="AQ4" i="7" s="1"/>
  <c r="J7" i="2"/>
  <c r="D7" i="7" s="1"/>
  <c r="M7" i="2"/>
  <c r="M7" i="7" s="1"/>
  <c r="N7" i="7" s="1"/>
  <c r="O7" i="7" s="1"/>
  <c r="V8" i="2"/>
  <c r="L7" i="2"/>
  <c r="J7" i="7" s="1"/>
  <c r="K7" i="7" s="1"/>
  <c r="L7" i="7" s="1"/>
  <c r="O7" i="2"/>
  <c r="S7" i="7" s="1"/>
  <c r="T7" i="7" s="1"/>
  <c r="U7" i="7" s="1"/>
  <c r="K7" i="2"/>
  <c r="G7" i="7" s="1"/>
  <c r="H7" i="7" s="1"/>
  <c r="I7" i="7" s="1"/>
  <c r="N7" i="2"/>
  <c r="P7" i="7" s="1"/>
  <c r="Q7" i="7" s="1"/>
  <c r="R7" i="7" s="1"/>
  <c r="CZ27" i="8"/>
  <c r="DK2" i="8"/>
  <c r="Q22" i="6"/>
  <c r="I22" i="6"/>
  <c r="P22" i="6"/>
  <c r="G22" i="6"/>
  <c r="O22" i="6"/>
  <c r="F22" i="6"/>
  <c r="N22" i="6"/>
  <c r="E22" i="6"/>
  <c r="V22" i="6"/>
  <c r="L22" i="6"/>
  <c r="C22" i="6"/>
  <c r="R22" i="6"/>
  <c r="H22" i="6"/>
  <c r="S22" i="6"/>
  <c r="M22" i="6"/>
  <c r="D22" i="6"/>
  <c r="B22" i="6"/>
  <c r="W22" i="6"/>
  <c r="T22" i="6"/>
  <c r="K22" i="6"/>
  <c r="J22" i="6"/>
  <c r="AW3" i="7"/>
  <c r="AX3" i="7" s="1"/>
  <c r="BM3" i="7" s="1" a="1"/>
  <c r="BM3" i="7" s="1"/>
  <c r="Q14" i="8" s="1"/>
  <c r="Q39" i="8" s="1"/>
  <c r="AS5" i="7"/>
  <c r="AT5" i="7" s="1"/>
  <c r="AA6" i="7"/>
  <c r="Y6" i="7"/>
  <c r="I6" i="7" s="1"/>
  <c r="Z6" i="7"/>
  <c r="AB5" i="7"/>
  <c r="AU5" i="7" s="1"/>
  <c r="F5" i="7"/>
  <c r="AQ5" i="7" s="1" a="1"/>
  <c r="AQ5" i="7" s="1"/>
  <c r="AP4" i="7" a="1"/>
  <c r="AP4" i="7" s="1"/>
  <c r="AU4" i="7"/>
  <c r="AV4" i="7" s="1"/>
  <c r="R23" i="6"/>
  <c r="J23" i="6"/>
  <c r="B23" i="6"/>
  <c r="V23" i="6"/>
  <c r="L23" i="6"/>
  <c r="C23" i="6"/>
  <c r="K23" i="6"/>
  <c r="T23" i="6"/>
  <c r="S23" i="6"/>
  <c r="I23" i="6"/>
  <c r="P23" i="6"/>
  <c r="G23" i="6"/>
  <c r="M23" i="6"/>
  <c r="H23" i="6"/>
  <c r="W23" i="6"/>
  <c r="D23" i="6"/>
  <c r="N23" i="6"/>
  <c r="Q23" i="6"/>
  <c r="F23" i="6"/>
  <c r="E23" i="6"/>
  <c r="O23" i="6"/>
  <c r="BP3" i="7" a="1"/>
  <c r="BP3" i="7" s="1"/>
  <c r="Q15" i="8" s="1"/>
  <c r="Q40" i="8" s="1"/>
  <c r="E6" i="7"/>
  <c r="AH21" i="8"/>
  <c r="AI1" i="8"/>
  <c r="AH3" i="8"/>
  <c r="AH28" i="8" s="1"/>
  <c r="AZ1" i="8"/>
  <c r="AZ2" i="8" s="1"/>
  <c r="C10" i="7" a="1"/>
  <c r="C10" i="7" s="1"/>
  <c r="B10" i="7"/>
  <c r="A11" i="7" a="1"/>
  <c r="A11" i="7" s="1"/>
  <c r="AC4" i="7" a="1"/>
  <c r="AC4" i="7" s="1"/>
  <c r="I13" i="2"/>
  <c r="X7" i="7"/>
  <c r="W7" i="7"/>
  <c r="V8" i="7"/>
  <c r="AO4" i="7" a="1"/>
  <c r="AO4" i="7" s="1"/>
  <c r="AD4" i="7" a="1"/>
  <c r="AD4" i="7" s="1"/>
  <c r="AM4" i="7" a="1"/>
  <c r="AM4" i="7" s="1"/>
  <c r="M8" i="2" a="1"/>
  <c r="Q9" i="2"/>
  <c r="R9" i="2"/>
  <c r="P9" i="2"/>
  <c r="N8" i="2" a="1"/>
  <c r="L8" i="2" a="1"/>
  <c r="O8" i="2" a="1"/>
  <c r="K8" i="2" a="1"/>
  <c r="J8" i="2" a="1"/>
  <c r="T9" i="2"/>
  <c r="S9" i="2"/>
  <c r="U9" i="2"/>
  <c r="BH3" i="7" l="1" a="1"/>
  <c r="BH3" i="7" s="1"/>
  <c r="Q12" i="8" s="1"/>
  <c r="Q37" i="8" s="1"/>
  <c r="BN3" i="7" a="1"/>
  <c r="BN3" i="7" s="1"/>
  <c r="BF3" i="7" a="1"/>
  <c r="BF3" i="7" s="1"/>
  <c r="BQ3" i="7" a="1"/>
  <c r="BQ3" i="7" s="1"/>
  <c r="BK3" i="7" a="1"/>
  <c r="BK3" i="7" s="1"/>
  <c r="BE3" i="7" a="1"/>
  <c r="BE3" i="7" s="1"/>
  <c r="Q11" i="8" s="1"/>
  <c r="Q36" i="8" s="1"/>
  <c r="BL3" i="7" a="1"/>
  <c r="BL3" i="7" s="1"/>
  <c r="BG3" i="7" a="1"/>
  <c r="BG3" i="7" s="1"/>
  <c r="L12" i="8" s="1"/>
  <c r="L37" i="8" s="1"/>
  <c r="BO3" i="7" a="1"/>
  <c r="BO3" i="7" s="1"/>
  <c r="L15" i="8" s="1"/>
  <c r="L40" i="8" s="1"/>
  <c r="BI3" i="7" a="1"/>
  <c r="BI3" i="7" s="1"/>
  <c r="BA3" i="7" a="1"/>
  <c r="BA3" i="7" s="1"/>
  <c r="L10" i="8" s="1"/>
  <c r="L35" i="8" s="1"/>
  <c r="AW4" i="7"/>
  <c r="AX4" i="7" s="1"/>
  <c r="BA4" i="7" s="1" a="1"/>
  <c r="BA4" i="7" s="1"/>
  <c r="W10" i="8" s="1"/>
  <c r="W35" i="8" s="1"/>
  <c r="BB3" i="7" a="1"/>
  <c r="BB3" i="7" s="1"/>
  <c r="Q10" i="8" s="1"/>
  <c r="Q35" i="8" s="1"/>
  <c r="BC3" i="7" a="1"/>
  <c r="BC3" i="7" s="1"/>
  <c r="S4" i="8" s="1"/>
  <c r="BJ3" i="7" a="1"/>
  <c r="BJ3" i="7" s="1"/>
  <c r="BD3" i="7" a="1"/>
  <c r="BD3" i="7" s="1"/>
  <c r="L11" i="8" s="1"/>
  <c r="L36" i="8" s="1"/>
  <c r="J8" i="2"/>
  <c r="D8" i="7" s="1"/>
  <c r="K8" i="2"/>
  <c r="G8" i="7" s="1"/>
  <c r="H8" i="7" s="1"/>
  <c r="I8" i="7" s="1"/>
  <c r="O8" i="2"/>
  <c r="S8" i="7" s="1"/>
  <c r="T8" i="7" s="1"/>
  <c r="U8" i="7" s="1"/>
  <c r="L8" i="2"/>
  <c r="J8" i="7" s="1"/>
  <c r="K8" i="7" s="1"/>
  <c r="L8" i="7" s="1"/>
  <c r="N8" i="2"/>
  <c r="P8" i="7" s="1"/>
  <c r="Q8" i="7" s="1"/>
  <c r="R8" i="7" s="1"/>
  <c r="V9" i="2"/>
  <c r="M8" i="2"/>
  <c r="M8" i="7" s="1"/>
  <c r="N8" i="7" s="1"/>
  <c r="O8" i="7" s="1"/>
  <c r="AV5" i="7"/>
  <c r="AW5" i="7"/>
  <c r="AX5" i="7" s="1"/>
  <c r="AI5" i="7" a="1"/>
  <c r="AI5" i="7" s="1"/>
  <c r="DK27" i="8"/>
  <c r="DV2" i="8"/>
  <c r="BC4" i="7" a="1"/>
  <c r="BC4" i="7" s="1"/>
  <c r="AE4" i="8" s="1"/>
  <c r="BH4" i="7" a="1"/>
  <c r="BH4" i="7" s="1"/>
  <c r="AB12" i="8" s="1"/>
  <c r="AB37" i="8" s="1"/>
  <c r="BM4" i="7" a="1"/>
  <c r="BM4" i="7" s="1"/>
  <c r="AB14" i="8" s="1"/>
  <c r="AB39" i="8" s="1"/>
  <c r="BI4" i="7" a="1"/>
  <c r="BI4" i="7" s="1"/>
  <c r="BG4" i="7" a="1"/>
  <c r="BG4" i="7" s="1"/>
  <c r="W12" i="8" s="1"/>
  <c r="W37" i="8" s="1"/>
  <c r="BO4" i="7" a="1"/>
  <c r="BO4" i="7" s="1"/>
  <c r="W15" i="8" s="1"/>
  <c r="W40" i="8" s="1"/>
  <c r="BF4" i="7" a="1"/>
  <c r="BF4" i="7" s="1"/>
  <c r="BL4" i="7" a="1"/>
  <c r="BL4" i="7" s="1"/>
  <c r="BQ4" i="7" a="1"/>
  <c r="BQ4" i="7" s="1"/>
  <c r="BK4" i="7" a="1"/>
  <c r="BK4" i="7" s="1"/>
  <c r="W8" i="7"/>
  <c r="X8" i="7"/>
  <c r="V9" i="7"/>
  <c r="C11" i="7" a="1"/>
  <c r="C11" i="7" s="1"/>
  <c r="B11" i="7"/>
  <c r="A12" i="7" a="1"/>
  <c r="A12" i="7" s="1"/>
  <c r="AM5" i="8"/>
  <c r="AM30" i="8" s="1"/>
  <c r="AI26" i="8"/>
  <c r="AM6" i="8"/>
  <c r="AM31" i="8" s="1"/>
  <c r="AM3" i="8"/>
  <c r="AM28" i="8" s="1"/>
  <c r="AM4" i="8"/>
  <c r="AM29" i="8" s="1"/>
  <c r="AG5" i="7" a="1"/>
  <c r="AG5" i="7" s="1"/>
  <c r="AN5" i="7" a="1"/>
  <c r="AN5" i="7" s="1"/>
  <c r="AE5" i="7" a="1"/>
  <c r="AE5" i="7" s="1"/>
  <c r="AC5" i="7" a="1"/>
  <c r="AC5" i="7" s="1"/>
  <c r="AL5" i="7" a="1"/>
  <c r="AL5" i="7" s="1"/>
  <c r="AF5" i="7" a="1"/>
  <c r="AF5" i="7" s="1"/>
  <c r="AD5" i="7" a="1"/>
  <c r="AD5" i="7" s="1"/>
  <c r="AP5" i="7" a="1"/>
  <c r="AP5" i="7" s="1"/>
  <c r="AO5" i="7" a="1"/>
  <c r="AO5" i="7" s="1"/>
  <c r="AA7" i="7"/>
  <c r="Z7" i="7"/>
  <c r="Y7" i="7"/>
  <c r="F6" i="7"/>
  <c r="AF6" i="7" s="1" a="1"/>
  <c r="AF6" i="7" s="1"/>
  <c r="AB6" i="7"/>
  <c r="AU6" i="7" s="1"/>
  <c r="AH5" i="7" a="1"/>
  <c r="AH5" i="7" s="1"/>
  <c r="AZ3" i="7" a="1"/>
  <c r="AZ3" i="7" s="1"/>
  <c r="S24" i="6"/>
  <c r="K24" i="6"/>
  <c r="C24" i="6"/>
  <c r="P24" i="6"/>
  <c r="G24" i="6"/>
  <c r="O24" i="6"/>
  <c r="F24" i="6"/>
  <c r="N24" i="6"/>
  <c r="E24" i="6"/>
  <c r="V24" i="6"/>
  <c r="L24" i="6"/>
  <c r="B24" i="6"/>
  <c r="H24" i="6"/>
  <c r="W24" i="6"/>
  <c r="Q24" i="6"/>
  <c r="I24" i="6"/>
  <c r="D24" i="6"/>
  <c r="T24" i="6"/>
  <c r="R24" i="6"/>
  <c r="M24" i="6"/>
  <c r="J24" i="6"/>
  <c r="AK5" i="7" a="1"/>
  <c r="AK5" i="7" s="1"/>
  <c r="AT6" i="7"/>
  <c r="AZ4" i="8"/>
  <c r="BA2" i="8" s="1"/>
  <c r="I14" i="2"/>
  <c r="AJ5" i="7" a="1"/>
  <c r="AJ5" i="7" s="1"/>
  <c r="T25" i="6"/>
  <c r="L25" i="6"/>
  <c r="D25" i="6"/>
  <c r="V25" i="6"/>
  <c r="K25" i="6"/>
  <c r="B25" i="6"/>
  <c r="S25" i="6"/>
  <c r="J25" i="6"/>
  <c r="R25" i="6"/>
  <c r="I25" i="6"/>
  <c r="P25" i="6"/>
  <c r="G25" i="6"/>
  <c r="W25" i="6"/>
  <c r="C25" i="6"/>
  <c r="Q25" i="6"/>
  <c r="M25" i="6"/>
  <c r="E25" i="6"/>
  <c r="H25" i="6"/>
  <c r="F25" i="6"/>
  <c r="O25" i="6"/>
  <c r="N25" i="6"/>
  <c r="AM5" i="7" a="1"/>
  <c r="AM5" i="7" s="1"/>
  <c r="E7" i="7"/>
  <c r="O9" i="2" a="1"/>
  <c r="M9" i="2" a="1"/>
  <c r="J9" i="2" a="1"/>
  <c r="N9" i="2" a="1"/>
  <c r="L9" i="2" a="1"/>
  <c r="K9" i="2" a="1"/>
  <c r="S10" i="2"/>
  <c r="U10" i="2"/>
  <c r="T10" i="2"/>
  <c r="Q10" i="2"/>
  <c r="R10" i="2"/>
  <c r="P10" i="2"/>
  <c r="BE4" i="7" l="1" a="1"/>
  <c r="BE4" i="7" s="1"/>
  <c r="AB11" i="8" s="1"/>
  <c r="AB36" i="8" s="1"/>
  <c r="AZ4" i="7" a="1"/>
  <c r="AZ4" i="7" s="1"/>
  <c r="BP4" i="7" a="1"/>
  <c r="BP4" i="7" s="1"/>
  <c r="AB15" i="8" s="1"/>
  <c r="AB40" i="8" s="1"/>
  <c r="BN4" i="7" a="1"/>
  <c r="BN4" i="7" s="1"/>
  <c r="BD4" i="7" a="1"/>
  <c r="BD4" i="7" s="1"/>
  <c r="W11" i="8" s="1"/>
  <c r="W36" i="8" s="1"/>
  <c r="BJ4" i="7" a="1"/>
  <c r="BJ4" i="7" s="1"/>
  <c r="BB4" i="7" a="1"/>
  <c r="BB4" i="7" s="1"/>
  <c r="AB10" i="8" s="1"/>
  <c r="AB35" i="8" s="1"/>
  <c r="L14" i="8"/>
  <c r="L39" i="8" s="1"/>
  <c r="AC6" i="7" a="1"/>
  <c r="AC6" i="7" s="1"/>
  <c r="L13" i="8"/>
  <c r="L38" i="8" s="1"/>
  <c r="Q13" i="8"/>
  <c r="Q38" i="8" s="1"/>
  <c r="AV6" i="7"/>
  <c r="AS6" i="7"/>
  <c r="AW6" i="7" s="1"/>
  <c r="AX6" i="7" s="1"/>
  <c r="AD6" i="7" a="1"/>
  <c r="AD6" i="7" s="1"/>
  <c r="AK6" i="7" a="1"/>
  <c r="AK6" i="7" s="1"/>
  <c r="V10" i="2"/>
  <c r="K9" i="2"/>
  <c r="G9" i="7" s="1"/>
  <c r="H9" i="7" s="1"/>
  <c r="I9" i="7" s="1"/>
  <c r="L9" i="2"/>
  <c r="J9" i="7" s="1"/>
  <c r="K9" i="7" s="1"/>
  <c r="L9" i="7" s="1"/>
  <c r="N9" i="2"/>
  <c r="P9" i="7" s="1"/>
  <c r="Q9" i="7" s="1"/>
  <c r="R9" i="7" s="1"/>
  <c r="J9" i="2"/>
  <c r="D9" i="7" s="1"/>
  <c r="M9" i="2"/>
  <c r="M9" i="7" s="1"/>
  <c r="N9" i="7" s="1"/>
  <c r="O9" i="7" s="1"/>
  <c r="O9" i="2"/>
  <c r="S9" i="7" s="1"/>
  <c r="T9" i="7" s="1"/>
  <c r="U9" i="7" s="1"/>
  <c r="DV27" i="8"/>
  <c r="EG2" i="8"/>
  <c r="F7" i="7"/>
  <c r="AJ7" i="7" s="1" a="1"/>
  <c r="AJ7" i="7" s="1"/>
  <c r="AB7" i="7"/>
  <c r="AU7" i="7" s="1"/>
  <c r="W9" i="7"/>
  <c r="X9" i="7"/>
  <c r="V10" i="7"/>
  <c r="W27" i="6"/>
  <c r="N27" i="6"/>
  <c r="F27" i="6"/>
  <c r="T27" i="6"/>
  <c r="K27" i="6"/>
  <c r="B27" i="6"/>
  <c r="S27" i="6"/>
  <c r="J27" i="6"/>
  <c r="R27" i="6"/>
  <c r="I27" i="6"/>
  <c r="P27" i="6"/>
  <c r="G27" i="6"/>
  <c r="L27" i="6"/>
  <c r="H27" i="6"/>
  <c r="V27" i="6"/>
  <c r="C27" i="6"/>
  <c r="M27" i="6"/>
  <c r="Q27" i="6"/>
  <c r="O27" i="6"/>
  <c r="E27" i="6"/>
  <c r="D27" i="6"/>
  <c r="Y8" i="7"/>
  <c r="AA8" i="7"/>
  <c r="Z8" i="7"/>
  <c r="W14" i="8"/>
  <c r="W39" i="8" s="1"/>
  <c r="W13" i="8"/>
  <c r="W38" i="8" s="1"/>
  <c r="AB13" i="8"/>
  <c r="AB38" i="8" s="1"/>
  <c r="AS21" i="8"/>
  <c r="AS3" i="8"/>
  <c r="AS28" i="8" s="1"/>
  <c r="BK1" i="8"/>
  <c r="BK2" i="8" s="1"/>
  <c r="AT1" i="8"/>
  <c r="AS7" i="7"/>
  <c r="AT7" i="7" s="1"/>
  <c r="BA5" i="7" a="1"/>
  <c r="BA5" i="7" s="1"/>
  <c r="AH10" i="8" s="1"/>
  <c r="AH35" i="8" s="1"/>
  <c r="AZ5" i="7" a="1"/>
  <c r="AZ5" i="7" s="1"/>
  <c r="BE5" i="7" a="1"/>
  <c r="BE5" i="7" s="1"/>
  <c r="AM11" i="8" s="1"/>
  <c r="AM36" i="8" s="1"/>
  <c r="BD5" i="7" a="1"/>
  <c r="BD5" i="7" s="1"/>
  <c r="AH11" i="8" s="1"/>
  <c r="AH36" i="8" s="1"/>
  <c r="BC5" i="7" a="1"/>
  <c r="BC5" i="7" s="1"/>
  <c r="BB5" i="7" a="1"/>
  <c r="BB5" i="7" s="1"/>
  <c r="AM10" i="8" s="1"/>
  <c r="AM35" i="8" s="1"/>
  <c r="BI5" i="7" a="1"/>
  <c r="BI5" i="7" s="1"/>
  <c r="BG5" i="7" a="1"/>
  <c r="BG5" i="7" s="1"/>
  <c r="AH12" i="8" s="1"/>
  <c r="AH37" i="8" s="1"/>
  <c r="BM5" i="7" a="1"/>
  <c r="BM5" i="7" s="1"/>
  <c r="AM14" i="8" s="1"/>
  <c r="AM39" i="8" s="1"/>
  <c r="BO5" i="7" a="1"/>
  <c r="BO5" i="7" s="1"/>
  <c r="AH15" i="8" s="1"/>
  <c r="AH40" i="8" s="1"/>
  <c r="BF5" i="7" a="1"/>
  <c r="BF5" i="7" s="1"/>
  <c r="BL5" i="7" a="1"/>
  <c r="BL5" i="7" s="1"/>
  <c r="BK5" i="7" a="1"/>
  <c r="BK5" i="7" s="1"/>
  <c r="BH5" i="7" a="1"/>
  <c r="BH5" i="7" s="1"/>
  <c r="AM12" i="8" s="1"/>
  <c r="AM37" i="8" s="1"/>
  <c r="BP5" i="7" a="1"/>
  <c r="BP5" i="7" s="1"/>
  <c r="AM15" i="8" s="1"/>
  <c r="AM40" i="8" s="1"/>
  <c r="BJ5" i="7" a="1"/>
  <c r="BJ5" i="7" s="1"/>
  <c r="BQ5" i="7" a="1"/>
  <c r="BQ5" i="7" s="1"/>
  <c r="BN5" i="7" a="1"/>
  <c r="BN5" i="7" s="1"/>
  <c r="E8" i="7"/>
  <c r="AO6" i="7" a="1"/>
  <c r="AO6" i="7" s="1"/>
  <c r="AQ6" i="7" a="1"/>
  <c r="AQ6" i="7" s="1"/>
  <c r="AH6" i="7" a="1"/>
  <c r="AH6" i="7" s="1"/>
  <c r="AM6" i="7" a="1"/>
  <c r="AM6" i="7" s="1"/>
  <c r="AG6" i="7" a="1"/>
  <c r="AG6" i="7" s="1"/>
  <c r="AJ6" i="7" a="1"/>
  <c r="AJ6" i="7" s="1"/>
  <c r="AL6" i="7" a="1"/>
  <c r="AL6" i="7" s="1"/>
  <c r="AE6" i="7" a="1"/>
  <c r="AE6" i="7" s="1"/>
  <c r="AP6" i="7" a="1"/>
  <c r="AP6" i="7" s="1"/>
  <c r="I15" i="2"/>
  <c r="V26" i="6"/>
  <c r="M26" i="6"/>
  <c r="E26" i="6"/>
  <c r="P26" i="6"/>
  <c r="G26" i="6"/>
  <c r="O26" i="6"/>
  <c r="F26" i="6"/>
  <c r="N26" i="6"/>
  <c r="D26" i="6"/>
  <c r="T26" i="6"/>
  <c r="K26" i="6"/>
  <c r="B26" i="6"/>
  <c r="Q26" i="6"/>
  <c r="L26" i="6"/>
  <c r="H26" i="6"/>
  <c r="R26" i="6"/>
  <c r="W26" i="6"/>
  <c r="J26" i="6"/>
  <c r="I26" i="6"/>
  <c r="C26" i="6"/>
  <c r="S26" i="6"/>
  <c r="AN6" i="7" a="1"/>
  <c r="AN6" i="7" s="1"/>
  <c r="B12" i="7"/>
  <c r="C12" i="7" a="1"/>
  <c r="C12" i="7" s="1"/>
  <c r="A13" i="7" a="1"/>
  <c r="A13" i="7" s="1"/>
  <c r="AI6" i="7" a="1"/>
  <c r="AI6" i="7" s="1"/>
  <c r="J10" i="2" a="1"/>
  <c r="S11" i="2"/>
  <c r="U11" i="2"/>
  <c r="T11" i="2"/>
  <c r="L10" i="2" a="1"/>
  <c r="M10" i="2" a="1"/>
  <c r="K10" i="2" a="1"/>
  <c r="R11" i="2"/>
  <c r="P11" i="2"/>
  <c r="Q11" i="2"/>
  <c r="N10" i="2" a="1"/>
  <c r="O10" i="2" a="1"/>
  <c r="AO7" i="7" l="1" a="1"/>
  <c r="AO7" i="7" s="1"/>
  <c r="AZ6" i="7" a="1"/>
  <c r="AZ6" i="7" s="1"/>
  <c r="BK6" i="7" a="1"/>
  <c r="BK6" i="7" s="1"/>
  <c r="AM7" i="7" a="1"/>
  <c r="AM7" i="7" s="1"/>
  <c r="BH6" i="7" a="1"/>
  <c r="BH6" i="7" s="1"/>
  <c r="AX12" i="8" s="1"/>
  <c r="AX37" i="8" s="1"/>
  <c r="AV7" i="7"/>
  <c r="AP4" i="8"/>
  <c r="AM13" i="8" s="1"/>
  <c r="AM38" i="8" s="1"/>
  <c r="O10" i="2"/>
  <c r="S10" i="7" s="1"/>
  <c r="T10" i="7" s="1"/>
  <c r="U10" i="7" s="1"/>
  <c r="N10" i="2"/>
  <c r="P10" i="7" s="1"/>
  <c r="Q10" i="7" s="1"/>
  <c r="R10" i="7" s="1"/>
  <c r="V11" i="2"/>
  <c r="K10" i="2"/>
  <c r="G10" i="7" s="1"/>
  <c r="H10" i="7" s="1"/>
  <c r="I10" i="7" s="1"/>
  <c r="M10" i="2"/>
  <c r="M10" i="7" s="1"/>
  <c r="N10" i="7" s="1"/>
  <c r="O10" i="7" s="1"/>
  <c r="L10" i="2"/>
  <c r="J10" i="7" s="1"/>
  <c r="K10" i="7" s="1"/>
  <c r="L10" i="7" s="1"/>
  <c r="J10" i="2"/>
  <c r="D10" i="7" s="1"/>
  <c r="AW7" i="7"/>
  <c r="AX7" i="7" s="1"/>
  <c r="BO6" i="7" a="1"/>
  <c r="BO6" i="7" s="1"/>
  <c r="AS15" i="8" s="1"/>
  <c r="AS40" i="8" s="1"/>
  <c r="BI6" i="7" a="1"/>
  <c r="BI6" i="7" s="1"/>
  <c r="BA6" i="7" a="1"/>
  <c r="BA6" i="7" s="1"/>
  <c r="AS10" i="8" s="1"/>
  <c r="AS35" i="8" s="1"/>
  <c r="BQ6" i="7" a="1"/>
  <c r="BQ6" i="7" s="1"/>
  <c r="F8" i="7"/>
  <c r="AJ8" i="7" s="1" a="1"/>
  <c r="AJ8" i="7" s="1"/>
  <c r="AB8" i="7"/>
  <c r="BM6" i="7" a="1"/>
  <c r="BM6" i="7" s="1"/>
  <c r="AX14" i="8" s="1"/>
  <c r="AX39" i="8" s="1"/>
  <c r="I16" i="2"/>
  <c r="BB6" i="7" a="1"/>
  <c r="BB6" i="7" s="1"/>
  <c r="AX10" i="8" s="1"/>
  <c r="AX35" i="8" s="1"/>
  <c r="C13" i="7" a="1"/>
  <c r="C13" i="7" s="1"/>
  <c r="B13" i="7"/>
  <c r="A14" i="7" a="1"/>
  <c r="A14" i="7" s="1"/>
  <c r="AK8" i="7" a="1"/>
  <c r="AK8" i="7" s="1"/>
  <c r="BF6" i="7" a="1"/>
  <c r="BF6" i="7" s="1"/>
  <c r="BL6" i="7" a="1"/>
  <c r="BL6" i="7" s="1"/>
  <c r="AI7" i="7" a="1"/>
  <c r="AI7" i="7" s="1"/>
  <c r="AQ7" i="7" a="1"/>
  <c r="AQ7" i="7" s="1"/>
  <c r="AG7" i="7" a="1"/>
  <c r="AG7" i="7" s="1"/>
  <c r="AP7" i="7" a="1"/>
  <c r="AP7" i="7" s="1"/>
  <c r="AC7" i="7" a="1"/>
  <c r="AC7" i="7" s="1"/>
  <c r="AL7" i="7" a="1"/>
  <c r="AL7" i="7" s="1"/>
  <c r="AE7" i="7" a="1"/>
  <c r="AE7" i="7" s="1"/>
  <c r="AF7" i="7" a="1"/>
  <c r="AF7" i="7" s="1"/>
  <c r="AN7" i="7" a="1"/>
  <c r="AN7" i="7" s="1"/>
  <c r="AK7" i="7" a="1"/>
  <c r="AK7" i="7" s="1"/>
  <c r="AD7" i="7" a="1"/>
  <c r="AD7" i="7" s="1"/>
  <c r="AH7" i="7" a="1"/>
  <c r="AH7" i="7" s="1"/>
  <c r="BJ6" i="7" a="1"/>
  <c r="BJ6" i="7" s="1"/>
  <c r="BC6" i="7" a="1"/>
  <c r="BC6" i="7" s="1"/>
  <c r="AT26" i="8"/>
  <c r="AX3" i="8"/>
  <c r="AX28" i="8" s="1"/>
  <c r="AX6" i="8"/>
  <c r="AX31" i="8" s="1"/>
  <c r="AX4" i="8"/>
  <c r="AX29" i="8" s="1"/>
  <c r="AX5" i="8"/>
  <c r="AX30" i="8" s="1"/>
  <c r="AU8" i="7"/>
  <c r="AE8" i="7" a="1"/>
  <c r="AE8" i="7" s="1"/>
  <c r="BG6" i="7" a="1"/>
  <c r="BG6" i="7" s="1"/>
  <c r="AS12" i="8" s="1"/>
  <c r="AS37" i="8" s="1"/>
  <c r="BD6" i="7" a="1"/>
  <c r="BD6" i="7" s="1"/>
  <c r="AS11" i="8" s="1"/>
  <c r="AS36" i="8" s="1"/>
  <c r="W10" i="7"/>
  <c r="X10" i="7"/>
  <c r="V11" i="7"/>
  <c r="E9" i="7"/>
  <c r="AP8" i="7" a="1"/>
  <c r="AP8" i="7" s="1"/>
  <c r="BP6" i="7" a="1"/>
  <c r="BP6" i="7" s="1"/>
  <c r="AX15" i="8" s="1"/>
  <c r="AX40" i="8" s="1"/>
  <c r="BE6" i="7" a="1"/>
  <c r="BE6" i="7" s="1"/>
  <c r="AX11" i="8" s="1"/>
  <c r="AX36" i="8" s="1"/>
  <c r="BK4" i="8"/>
  <c r="BL2" i="8" s="1"/>
  <c r="AS8" i="7"/>
  <c r="P29" i="6"/>
  <c r="H29" i="6"/>
  <c r="T29" i="6"/>
  <c r="K29" i="6"/>
  <c r="B29" i="6"/>
  <c r="S29" i="6"/>
  <c r="J29" i="6"/>
  <c r="R29" i="6"/>
  <c r="I29" i="6"/>
  <c r="O29" i="6"/>
  <c r="F29" i="6"/>
  <c r="V29" i="6"/>
  <c r="C29" i="6"/>
  <c r="Q29" i="6"/>
  <c r="L29" i="6"/>
  <c r="W29" i="6"/>
  <c r="D29" i="6"/>
  <c r="N29" i="6"/>
  <c r="M29" i="6"/>
  <c r="G29" i="6"/>
  <c r="E29" i="6"/>
  <c r="AA9" i="7"/>
  <c r="Y9" i="7"/>
  <c r="Z9" i="7"/>
  <c r="O28" i="6"/>
  <c r="G28" i="6"/>
  <c r="P28" i="6"/>
  <c r="F28" i="6"/>
  <c r="N28" i="6"/>
  <c r="E28" i="6"/>
  <c r="W28" i="6"/>
  <c r="M28" i="6"/>
  <c r="D28" i="6"/>
  <c r="T28" i="6"/>
  <c r="K28" i="6"/>
  <c r="B28" i="6"/>
  <c r="H28" i="6"/>
  <c r="V28" i="6"/>
  <c r="C28" i="6"/>
  <c r="Q28" i="6"/>
  <c r="I28" i="6"/>
  <c r="L28" i="6"/>
  <c r="J28" i="6"/>
  <c r="S28" i="6"/>
  <c r="R28" i="6"/>
  <c r="AM8" i="7" a="1"/>
  <c r="AM8" i="7" s="1"/>
  <c r="AD8" i="7" a="1"/>
  <c r="AD8" i="7" s="1"/>
  <c r="BN6" i="7" a="1"/>
  <c r="BN6" i="7" s="1"/>
  <c r="EG27" i="8"/>
  <c r="ER2" i="8"/>
  <c r="N11" i="2" a="1"/>
  <c r="S12" i="2"/>
  <c r="U12" i="2"/>
  <c r="T12" i="2"/>
  <c r="R12" i="2"/>
  <c r="Q12" i="2"/>
  <c r="P12" i="2"/>
  <c r="K11" i="2" a="1"/>
  <c r="O11" i="2" a="1"/>
  <c r="J11" i="2" a="1"/>
  <c r="M11" i="2" a="1"/>
  <c r="L11" i="2" a="1"/>
  <c r="AF8" i="7" l="1" a="1"/>
  <c r="AF8" i="7" s="1"/>
  <c r="AN8" i="7" a="1"/>
  <c r="AN8" i="7" s="1"/>
  <c r="AW8" i="7"/>
  <c r="AX8" i="7" s="1"/>
  <c r="AH14" i="8"/>
  <c r="AH39" i="8" s="1"/>
  <c r="AC8" i="7" a="1"/>
  <c r="AC8" i="7" s="1"/>
  <c r="AL8" i="7" a="1"/>
  <c r="AL8" i="7" s="1"/>
  <c r="AH13" i="8"/>
  <c r="AH38" i="8" s="1"/>
  <c r="AV8" i="7"/>
  <c r="AO8" i="7" a="1"/>
  <c r="AO8" i="7" s="1"/>
  <c r="AI8" i="7" a="1"/>
  <c r="AI8" i="7" s="1"/>
  <c r="L11" i="2"/>
  <c r="J11" i="7" s="1"/>
  <c r="K11" i="7" s="1"/>
  <c r="L11" i="7" s="1"/>
  <c r="M11" i="2"/>
  <c r="M11" i="7" s="1"/>
  <c r="N11" i="7" s="1"/>
  <c r="O11" i="7" s="1"/>
  <c r="J11" i="2"/>
  <c r="D11" i="7" s="1"/>
  <c r="O11" i="2"/>
  <c r="S11" i="7" s="1"/>
  <c r="T11" i="7" s="1"/>
  <c r="U11" i="7" s="1"/>
  <c r="K11" i="2"/>
  <c r="G11" i="7" s="1"/>
  <c r="H11" i="7" s="1"/>
  <c r="I11" i="7" s="1"/>
  <c r="V12" i="2"/>
  <c r="N11" i="2"/>
  <c r="P11" i="7" s="1"/>
  <c r="Q11" i="7" s="1"/>
  <c r="R11" i="7" s="1"/>
  <c r="BD21" i="8"/>
  <c r="BV1" i="8"/>
  <c r="BV2" i="8" s="1"/>
  <c r="BE1" i="8"/>
  <c r="BD3" i="8"/>
  <c r="BD28" i="8" s="1"/>
  <c r="R31" i="6"/>
  <c r="J31" i="6"/>
  <c r="B31" i="6"/>
  <c r="T31" i="6"/>
  <c r="K31" i="6"/>
  <c r="S31" i="6"/>
  <c r="I31" i="6"/>
  <c r="Q31" i="6"/>
  <c r="H31" i="6"/>
  <c r="O31" i="6"/>
  <c r="F31" i="6"/>
  <c r="L31" i="6"/>
  <c r="G31" i="6"/>
  <c r="V31" i="6"/>
  <c r="C31" i="6"/>
  <c r="M31" i="6"/>
  <c r="P31" i="6"/>
  <c r="N31" i="6"/>
  <c r="E31" i="6"/>
  <c r="D31" i="6"/>
  <c r="W31" i="6"/>
  <c r="Q30" i="6"/>
  <c r="I30" i="6"/>
  <c r="O30" i="6"/>
  <c r="F30" i="6"/>
  <c r="N30" i="6"/>
  <c r="E30" i="6"/>
  <c r="W30" i="6"/>
  <c r="M30" i="6"/>
  <c r="D30" i="6"/>
  <c r="T30" i="6"/>
  <c r="K30" i="6"/>
  <c r="B30" i="6"/>
  <c r="P30" i="6"/>
  <c r="L30" i="6"/>
  <c r="G30" i="6"/>
  <c r="R30" i="6"/>
  <c r="C30" i="6"/>
  <c r="V30" i="6"/>
  <c r="S30" i="6"/>
  <c r="J30" i="6"/>
  <c r="H30" i="6"/>
  <c r="AH8" i="7" a="1"/>
  <c r="AH8" i="7" s="1"/>
  <c r="AQ8" i="7" a="1"/>
  <c r="AQ8" i="7" s="1"/>
  <c r="X11" i="7"/>
  <c r="W11" i="7"/>
  <c r="V12" i="7"/>
  <c r="A15" i="7" a="1"/>
  <c r="A15" i="7" s="1"/>
  <c r="C14" i="7" a="1"/>
  <c r="C14" i="7" s="1"/>
  <c r="B14" i="7"/>
  <c r="E10" i="7"/>
  <c r="AT9" i="7"/>
  <c r="AA10" i="7"/>
  <c r="Y10" i="7"/>
  <c r="Z10" i="7"/>
  <c r="BB7" i="7" a="1"/>
  <c r="BB7" i="7" s="1"/>
  <c r="BA7" i="7" a="1"/>
  <c r="BA7" i="7" s="1"/>
  <c r="AZ7" i="7" a="1"/>
  <c r="AZ7" i="7" s="1"/>
  <c r="BE7" i="7" a="1"/>
  <c r="BE7" i="7" s="1"/>
  <c r="BD7" i="7" a="1"/>
  <c r="BD7" i="7" s="1"/>
  <c r="BC7" i="7" a="1"/>
  <c r="BC7" i="7" s="1"/>
  <c r="BK7" i="7" a="1"/>
  <c r="BK7" i="7" s="1"/>
  <c r="BI7" i="7" a="1"/>
  <c r="BI7" i="7" s="1"/>
  <c r="BG7" i="7" a="1"/>
  <c r="BG7" i="7" s="1"/>
  <c r="BH7" i="7" a="1"/>
  <c r="BH7" i="7" s="1"/>
  <c r="BN7" i="7" a="1"/>
  <c r="BN7" i="7" s="1"/>
  <c r="BP7" i="7" a="1"/>
  <c r="BP7" i="7" s="1"/>
  <c r="BJ7" i="7" a="1"/>
  <c r="BJ7" i="7" s="1"/>
  <c r="BL7" i="7" a="1"/>
  <c r="BL7" i="7" s="1"/>
  <c r="BQ7" i="7" a="1"/>
  <c r="BQ7" i="7" s="1"/>
  <c r="BF7" i="7" a="1"/>
  <c r="BF7" i="7" s="1"/>
  <c r="BO7" i="7" a="1"/>
  <c r="BO7" i="7" s="1"/>
  <c r="BM7" i="7" a="1"/>
  <c r="BM7" i="7" s="1"/>
  <c r="AT8" i="7"/>
  <c r="F9" i="7"/>
  <c r="AO9" i="7" s="1" a="1"/>
  <c r="AO9" i="7" s="1"/>
  <c r="AB9" i="7"/>
  <c r="AU9" i="7" s="1"/>
  <c r="I17" i="2"/>
  <c r="BA4" i="8"/>
  <c r="ER27" i="8"/>
  <c r="FC2" i="8"/>
  <c r="AG8" i="7" a="1"/>
  <c r="AG8" i="7" s="1"/>
  <c r="L12" i="2" a="1"/>
  <c r="P13" i="2"/>
  <c r="Q13" i="2"/>
  <c r="R13" i="2"/>
  <c r="N12" i="2" a="1"/>
  <c r="O12" i="2" a="1"/>
  <c r="M12" i="2" a="1"/>
  <c r="J12" i="2" a="1"/>
  <c r="K12" i="2" a="1"/>
  <c r="U13" i="2"/>
  <c r="S13" i="2"/>
  <c r="T13" i="2"/>
  <c r="AM9" i="7" l="1" a="1"/>
  <c r="AM9" i="7" s="1"/>
  <c r="BD8" i="7" a="1"/>
  <c r="BD8" i="7" s="1"/>
  <c r="BD11" i="8" s="1"/>
  <c r="BD36" i="8" s="1"/>
  <c r="AJ9" i="7" a="1"/>
  <c r="AJ9" i="7" s="1"/>
  <c r="K12" i="2"/>
  <c r="G12" i="7" s="1"/>
  <c r="H12" i="7" s="1"/>
  <c r="I12" i="7" s="1"/>
  <c r="J12" i="2"/>
  <c r="D12" i="7" s="1"/>
  <c r="M12" i="2"/>
  <c r="M12" i="7" s="1"/>
  <c r="N12" i="7" s="1"/>
  <c r="O12" i="7" s="1"/>
  <c r="O12" i="2"/>
  <c r="S12" i="7" s="1"/>
  <c r="T12" i="7" s="1"/>
  <c r="U12" i="7" s="1"/>
  <c r="N12" i="2"/>
  <c r="P12" i="7" s="1"/>
  <c r="Q12" i="7" s="1"/>
  <c r="R12" i="7" s="1"/>
  <c r="V13" i="2"/>
  <c r="L12" i="2"/>
  <c r="J12" i="7" s="1"/>
  <c r="K12" i="7" s="1"/>
  <c r="L12" i="7" s="1"/>
  <c r="BN8" i="7" a="1"/>
  <c r="BN8" i="7" s="1"/>
  <c r="AX13" i="8"/>
  <c r="AX38" i="8" s="1"/>
  <c r="AS14" i="8"/>
  <c r="AS39" i="8" s="1"/>
  <c r="AS13" i="8"/>
  <c r="AS38" i="8" s="1"/>
  <c r="BI8" i="7" a="1"/>
  <c r="BI8" i="7" s="1"/>
  <c r="BE8" i="7" a="1"/>
  <c r="BE8" i="7" s="1"/>
  <c r="BI11" i="8" s="1"/>
  <c r="BI36" i="8" s="1"/>
  <c r="T33" i="6"/>
  <c r="L33" i="6"/>
  <c r="D33" i="6"/>
  <c r="S33" i="6"/>
  <c r="J33" i="6"/>
  <c r="R33" i="6"/>
  <c r="I33" i="6"/>
  <c r="Q33" i="6"/>
  <c r="H33" i="6"/>
  <c r="O33" i="6"/>
  <c r="F33" i="6"/>
  <c r="V33" i="6"/>
  <c r="B33" i="6"/>
  <c r="P33" i="6"/>
  <c r="K33" i="6"/>
  <c r="W33" i="6"/>
  <c r="C33" i="6"/>
  <c r="G33" i="6"/>
  <c r="N33" i="6"/>
  <c r="M33" i="6"/>
  <c r="E33" i="6"/>
  <c r="S32" i="6"/>
  <c r="K32" i="6"/>
  <c r="C32" i="6"/>
  <c r="O32" i="6"/>
  <c r="F32" i="6"/>
  <c r="N32" i="6"/>
  <c r="E32" i="6"/>
  <c r="W32" i="6"/>
  <c r="M32" i="6"/>
  <c r="D32" i="6"/>
  <c r="T32" i="6"/>
  <c r="J32" i="6"/>
  <c r="G32" i="6"/>
  <c r="V32" i="6"/>
  <c r="B32" i="6"/>
  <c r="P32" i="6"/>
  <c r="H32" i="6"/>
  <c r="R32" i="6"/>
  <c r="Q32" i="6"/>
  <c r="L32" i="6"/>
  <c r="I32" i="6"/>
  <c r="BV4" i="8"/>
  <c r="BW2" i="8" s="1"/>
  <c r="BK8" i="7" a="1"/>
  <c r="BK8" i="7" s="1"/>
  <c r="BP8" i="7" a="1"/>
  <c r="BP8" i="7" s="1"/>
  <c r="BI15" i="8" s="1"/>
  <c r="BI40" i="8" s="1"/>
  <c r="BQ8" i="7" a="1"/>
  <c r="BQ8" i="7" s="1"/>
  <c r="BB8" i="7" a="1"/>
  <c r="BB8" i="7" s="1"/>
  <c r="BI10" i="8" s="1"/>
  <c r="BI35" i="8" s="1"/>
  <c r="AS10" i="7"/>
  <c r="AT10" i="7" s="1"/>
  <c r="BA8" i="7" a="1"/>
  <c r="BA8" i="7" s="1"/>
  <c r="BD10" i="8" s="1"/>
  <c r="BD35" i="8" s="1"/>
  <c r="I18" i="2"/>
  <c r="AF9" i="7" a="1"/>
  <c r="AF9" i="7" s="1"/>
  <c r="A16" i="7" a="1"/>
  <c r="A16" i="7" s="1"/>
  <c r="C15" i="7" a="1"/>
  <c r="C15" i="7" s="1"/>
  <c r="B15" i="7"/>
  <c r="BM8" i="7" a="1"/>
  <c r="BM8" i="7" s="1"/>
  <c r="BI14" i="8" s="1"/>
  <c r="BI39" i="8" s="1"/>
  <c r="BL8" i="7" a="1"/>
  <c r="BL8" i="7" s="1"/>
  <c r="AQ9" i="7" a="1"/>
  <c r="AQ9" i="7" s="1"/>
  <c r="AD9" i="7" a="1"/>
  <c r="AD9" i="7" s="1"/>
  <c r="BG8" i="7" a="1"/>
  <c r="BG8" i="7" s="1"/>
  <c r="BD12" i="8" s="1"/>
  <c r="BD37" i="8" s="1"/>
  <c r="AC9" i="7" a="1"/>
  <c r="AC9" i="7" s="1"/>
  <c r="AE9" i="7" a="1"/>
  <c r="AE9" i="7" s="1"/>
  <c r="AL9" i="7" a="1"/>
  <c r="AL9" i="7" s="1"/>
  <c r="AI9" i="7" a="1"/>
  <c r="AI9" i="7" s="1"/>
  <c r="AK9" i="7" a="1"/>
  <c r="AK9" i="7" s="1"/>
  <c r="AG9" i="7" a="1"/>
  <c r="AG9" i="7" s="1"/>
  <c r="AP9" i="7" a="1"/>
  <c r="AP9" i="7" s="1"/>
  <c r="FC27" i="8"/>
  <c r="FN2" i="8"/>
  <c r="W12" i="7"/>
  <c r="X12" i="7"/>
  <c r="V13" i="7"/>
  <c r="BO8" i="7" a="1"/>
  <c r="BO8" i="7" s="1"/>
  <c r="BD15" i="8" s="1"/>
  <c r="BD40" i="8" s="1"/>
  <c r="BF8" i="7" a="1"/>
  <c r="BF8" i="7" s="1"/>
  <c r="AH9" i="7" a="1"/>
  <c r="AH9" i="7" s="1"/>
  <c r="AN9" i="7" a="1"/>
  <c r="AN9" i="7" s="1"/>
  <c r="E11" i="7"/>
  <c r="AS9" i="7"/>
  <c r="AW9" i="7" s="1"/>
  <c r="AX9" i="7" s="1"/>
  <c r="F10" i="7"/>
  <c r="AQ10" i="7" s="1" a="1"/>
  <c r="AQ10" i="7" s="1"/>
  <c r="AB10" i="7"/>
  <c r="AU10" i="7" s="1"/>
  <c r="BJ8" i="7" a="1"/>
  <c r="BJ8" i="7" s="1"/>
  <c r="BC8" i="7" a="1"/>
  <c r="BC8" i="7" s="1"/>
  <c r="BI4" i="8"/>
  <c r="BI29" i="8" s="1"/>
  <c r="BE26" i="8"/>
  <c r="BI6" i="8"/>
  <c r="BI31" i="8" s="1"/>
  <c r="BI5" i="8"/>
  <c r="BI30" i="8" s="1"/>
  <c r="BI3" i="8"/>
  <c r="BI28" i="8" s="1"/>
  <c r="AZ8" i="7" a="1"/>
  <c r="AZ8" i="7" s="1"/>
  <c r="AA11" i="7"/>
  <c r="Z11" i="7"/>
  <c r="Y11" i="7"/>
  <c r="BH8" i="7" a="1"/>
  <c r="BH8" i="7" s="1"/>
  <c r="BI12" i="8" s="1"/>
  <c r="BI37" i="8" s="1"/>
  <c r="M13" i="2" a="1"/>
  <c r="K13" i="2" a="1"/>
  <c r="Q14" i="2"/>
  <c r="R14" i="2"/>
  <c r="P14" i="2"/>
  <c r="L13" i="2" a="1"/>
  <c r="O13" i="2" a="1"/>
  <c r="J13" i="2" a="1"/>
  <c r="N13" i="2" a="1"/>
  <c r="U14" i="2"/>
  <c r="T14" i="2"/>
  <c r="S14" i="2"/>
  <c r="BL4" i="8" l="1"/>
  <c r="BI13" i="8" s="1"/>
  <c r="BI38" i="8" s="1"/>
  <c r="AD10" i="7" a="1"/>
  <c r="AD10" i="7" s="1"/>
  <c r="AC10" i="7" a="1"/>
  <c r="AC10" i="7" s="1"/>
  <c r="AI10" i="7" a="1"/>
  <c r="AI10" i="7" s="1"/>
  <c r="AN10" i="7" a="1"/>
  <c r="AN10" i="7" s="1"/>
  <c r="AV9" i="7"/>
  <c r="BC9" i="7" s="1" a="1"/>
  <c r="BC9" i="7" s="1"/>
  <c r="BW4" i="8" s="1"/>
  <c r="N13" i="2"/>
  <c r="P13" i="7" s="1"/>
  <c r="Q13" i="7" s="1"/>
  <c r="R13" i="7" s="1"/>
  <c r="J13" i="2"/>
  <c r="D13" i="7" s="1"/>
  <c r="O13" i="2"/>
  <c r="S13" i="7" s="1"/>
  <c r="T13" i="7" s="1"/>
  <c r="U13" i="7" s="1"/>
  <c r="L13" i="2"/>
  <c r="J13" i="7" s="1"/>
  <c r="K13" i="7" s="1"/>
  <c r="L13" i="7" s="1"/>
  <c r="V14" i="2"/>
  <c r="K13" i="2"/>
  <c r="G13" i="7" s="1"/>
  <c r="H13" i="7" s="1"/>
  <c r="I13" i="7" s="1"/>
  <c r="M13" i="2"/>
  <c r="M13" i="7" s="1"/>
  <c r="N13" i="7" s="1"/>
  <c r="O13" i="7" s="1"/>
  <c r="AW10" i="7"/>
  <c r="AX10" i="7" s="1"/>
  <c r="AV10" i="7"/>
  <c r="AM10" i="7" a="1"/>
  <c r="AM10" i="7" s="1"/>
  <c r="AL10" i="7" a="1"/>
  <c r="AL10" i="7" s="1"/>
  <c r="FN27" i="8"/>
  <c r="FY2" i="8"/>
  <c r="W13" i="7"/>
  <c r="X13" i="7"/>
  <c r="V14" i="7"/>
  <c r="A17" i="7" a="1"/>
  <c r="A17" i="7" s="1"/>
  <c r="C16" i="7" a="1"/>
  <c r="C16" i="7" s="1"/>
  <c r="B16" i="7"/>
  <c r="W35" i="6"/>
  <c r="N35" i="6"/>
  <c r="F35" i="6"/>
  <c r="S35" i="6"/>
  <c r="J35" i="6"/>
  <c r="R35" i="6"/>
  <c r="I35" i="6"/>
  <c r="Q35" i="6"/>
  <c r="H35" i="6"/>
  <c r="O35" i="6"/>
  <c r="E35" i="6"/>
  <c r="K35" i="6"/>
  <c r="G35" i="6"/>
  <c r="T35" i="6"/>
  <c r="B35" i="6"/>
  <c r="L35" i="6"/>
  <c r="V35" i="6"/>
  <c r="P35" i="6"/>
  <c r="M35" i="6"/>
  <c r="D35" i="6"/>
  <c r="C35" i="6"/>
  <c r="AS11" i="7"/>
  <c r="AT11" i="7" s="1"/>
  <c r="AJ10" i="7" a="1"/>
  <c r="AJ10" i="7" s="1"/>
  <c r="AO10" i="7" a="1"/>
  <c r="AO10" i="7" s="1"/>
  <c r="AE10" i="7" a="1"/>
  <c r="AE10" i="7" s="1"/>
  <c r="AP10" i="7" a="1"/>
  <c r="AP10" i="7" s="1"/>
  <c r="AG10" i="7" a="1"/>
  <c r="AG10" i="7" s="1"/>
  <c r="Y12" i="7"/>
  <c r="AA12" i="7"/>
  <c r="Z12" i="7"/>
  <c r="AK10" i="7" a="1"/>
  <c r="AK10" i="7" s="1"/>
  <c r="V34" i="6"/>
  <c r="M34" i="6"/>
  <c r="E34" i="6"/>
  <c r="O34" i="6"/>
  <c r="F34" i="6"/>
  <c r="N34" i="6"/>
  <c r="D34" i="6"/>
  <c r="W34" i="6"/>
  <c r="L34" i="6"/>
  <c r="C34" i="6"/>
  <c r="S34" i="6"/>
  <c r="J34" i="6"/>
  <c r="P34" i="6"/>
  <c r="K34" i="6"/>
  <c r="G34" i="6"/>
  <c r="Q34" i="6"/>
  <c r="T34" i="6"/>
  <c r="R34" i="6"/>
  <c r="I34" i="6"/>
  <c r="H34" i="6"/>
  <c r="B34" i="6"/>
  <c r="E12" i="7"/>
  <c r="BD14" i="8"/>
  <c r="BD39" i="8" s="1"/>
  <c r="BD13" i="8"/>
  <c r="BD38" i="8" s="1"/>
  <c r="I19" i="2"/>
  <c r="BO21" i="8"/>
  <c r="CG1" i="8"/>
  <c r="CG2" i="8" s="1"/>
  <c r="BO3" i="8"/>
  <c r="BO28" i="8" s="1"/>
  <c r="BP1" i="8"/>
  <c r="F11" i="7"/>
  <c r="AO11" i="7" s="1" a="1"/>
  <c r="AO11" i="7" s="1"/>
  <c r="AB11" i="7"/>
  <c r="AU11" i="7" s="1"/>
  <c r="AH10" i="7" a="1"/>
  <c r="AH10" i="7" s="1"/>
  <c r="AF10" i="7" a="1"/>
  <c r="AF10" i="7" s="1"/>
  <c r="M14" i="2" a="1"/>
  <c r="J14" i="2" a="1"/>
  <c r="R18" i="2"/>
  <c r="N14" i="2" a="1"/>
  <c r="L14" i="2" a="1"/>
  <c r="S15" i="2"/>
  <c r="U15" i="2"/>
  <c r="T15" i="2"/>
  <c r="O14" i="2" a="1"/>
  <c r="K14" i="2" a="1"/>
  <c r="U18" i="2"/>
  <c r="Q18" i="2"/>
  <c r="R15" i="2"/>
  <c r="Q15" i="2"/>
  <c r="P15" i="2"/>
  <c r="P18" i="2"/>
  <c r="T18" i="2"/>
  <c r="S18" i="2"/>
  <c r="BJ9" i="7" l="1" a="1"/>
  <c r="BJ9" i="7" s="1"/>
  <c r="BQ9" i="7" a="1"/>
  <c r="BQ9" i="7" s="1"/>
  <c r="BP9" i="7" a="1"/>
  <c r="BP9" i="7" s="1"/>
  <c r="BT15" i="8" s="1"/>
  <c r="BT40" i="8" s="1"/>
  <c r="BE9" i="7" a="1"/>
  <c r="BE9" i="7" s="1"/>
  <c r="BT11" i="8" s="1"/>
  <c r="BT36" i="8" s="1"/>
  <c r="AZ9" i="7" a="1"/>
  <c r="AZ9" i="7" s="1"/>
  <c r="BO9" i="7" a="1"/>
  <c r="BO9" i="7" s="1"/>
  <c r="BO15" i="8" s="1"/>
  <c r="BO40" i="8" s="1"/>
  <c r="BF9" i="7" a="1"/>
  <c r="BF9" i="7" s="1"/>
  <c r="BD9" i="7" a="1"/>
  <c r="BD9" i="7" s="1"/>
  <c r="BO11" i="8" s="1"/>
  <c r="BO36" i="8" s="1"/>
  <c r="BL9" i="7" a="1"/>
  <c r="BL9" i="7" s="1"/>
  <c r="BO14" i="8" s="1"/>
  <c r="BO39" i="8" s="1"/>
  <c r="BM9" i="7" a="1"/>
  <c r="BM9" i="7" s="1"/>
  <c r="BT14" i="8" s="1"/>
  <c r="BT39" i="8" s="1"/>
  <c r="BA9" i="7" a="1"/>
  <c r="BA9" i="7" s="1"/>
  <c r="BO10" i="8" s="1"/>
  <c r="BO35" i="8" s="1"/>
  <c r="BN9" i="7" a="1"/>
  <c r="BN9" i="7" s="1"/>
  <c r="BG9" i="7" a="1"/>
  <c r="BG9" i="7" s="1"/>
  <c r="BO12" i="8" s="1"/>
  <c r="BO37" i="8" s="1"/>
  <c r="BB9" i="7" a="1"/>
  <c r="BB9" i="7" s="1"/>
  <c r="BT10" i="8" s="1"/>
  <c r="BT35" i="8" s="1"/>
  <c r="AC11" i="7" a="1"/>
  <c r="AC11" i="7" s="1"/>
  <c r="BK9" i="7" a="1"/>
  <c r="BK9" i="7" s="1"/>
  <c r="BT13" i="8" s="1"/>
  <c r="BT38" i="8" s="1"/>
  <c r="BI9" i="7" a="1"/>
  <c r="BI9" i="7" s="1"/>
  <c r="BH9" i="7" a="1"/>
  <c r="BH9" i="7" s="1"/>
  <c r="BT12" i="8" s="1"/>
  <c r="BT37" i="8" s="1"/>
  <c r="AL11" i="7" a="1"/>
  <c r="AL11" i="7" s="1"/>
  <c r="BA10" i="7" a="1"/>
  <c r="BA10" i="7" s="1"/>
  <c r="BM10" i="7" a="1"/>
  <c r="BM10" i="7" s="1"/>
  <c r="BF10" i="7" a="1"/>
  <c r="BF10" i="7" s="1"/>
  <c r="BP10" i="7" a="1"/>
  <c r="BP10" i="7" s="1"/>
  <c r="BK10" i="7" a="1"/>
  <c r="BK10" i="7" s="1"/>
  <c r="BI10" i="7" a="1"/>
  <c r="BI10" i="7" s="1"/>
  <c r="BL10" i="7" a="1"/>
  <c r="BL10" i="7" s="1"/>
  <c r="BC10" i="7" a="1"/>
  <c r="BC10" i="7" s="1"/>
  <c r="BG10" i="7" a="1"/>
  <c r="BG10" i="7" s="1"/>
  <c r="BJ10" i="7" a="1"/>
  <c r="BJ10" i="7" s="1"/>
  <c r="BO10" i="7" a="1"/>
  <c r="BO10" i="7" s="1"/>
  <c r="V18" i="2"/>
  <c r="V15" i="2"/>
  <c r="K14" i="2"/>
  <c r="G14" i="7" s="1"/>
  <c r="H14" i="7" s="1"/>
  <c r="I14" i="7" s="1"/>
  <c r="O14" i="2"/>
  <c r="S14" i="7" s="1"/>
  <c r="T14" i="7" s="1"/>
  <c r="U14" i="7" s="1"/>
  <c r="L14" i="2"/>
  <c r="J14" i="7" s="1"/>
  <c r="K14" i="7" s="1"/>
  <c r="L14" i="7" s="1"/>
  <c r="N14" i="2"/>
  <c r="P14" i="7" s="1"/>
  <c r="Q14" i="7" s="1"/>
  <c r="R14" i="7" s="1"/>
  <c r="J14" i="2"/>
  <c r="D14" i="7" s="1"/>
  <c r="M14" i="2"/>
  <c r="M14" i="7" s="1"/>
  <c r="N14" i="7" s="1"/>
  <c r="O14" i="7" s="1"/>
  <c r="AV11" i="7"/>
  <c r="AW11" i="7"/>
  <c r="AX11" i="7" s="1"/>
  <c r="F12" i="7"/>
  <c r="AH12" i="7" s="1" a="1"/>
  <c r="AH12" i="7" s="1"/>
  <c r="AB12" i="7"/>
  <c r="AS12" i="7" s="1"/>
  <c r="AM11" i="7" a="1"/>
  <c r="AM11" i="7" s="1"/>
  <c r="FY27" i="8"/>
  <c r="GJ2" i="8"/>
  <c r="BO13" i="8"/>
  <c r="BO38" i="8" s="1"/>
  <c r="BH10" i="7" a="1"/>
  <c r="BH10" i="7" s="1"/>
  <c r="BD10" i="7" a="1"/>
  <c r="BD10" i="7" s="1"/>
  <c r="BQ10" i="7" a="1"/>
  <c r="BQ10" i="7" s="1"/>
  <c r="BE10" i="7" a="1"/>
  <c r="BE10" i="7" s="1"/>
  <c r="P37" i="6"/>
  <c r="H37" i="6"/>
  <c r="S37" i="6"/>
  <c r="J37" i="6"/>
  <c r="R37" i="6"/>
  <c r="I37" i="6"/>
  <c r="Q37" i="6"/>
  <c r="G37" i="6"/>
  <c r="N37" i="6"/>
  <c r="E37" i="6"/>
  <c r="T37" i="6"/>
  <c r="B37" i="6"/>
  <c r="O37" i="6"/>
  <c r="K37" i="6"/>
  <c r="V37" i="6"/>
  <c r="C37" i="6"/>
  <c r="W37" i="6"/>
  <c r="M37" i="6"/>
  <c r="L37" i="6"/>
  <c r="F37" i="6"/>
  <c r="D37" i="6"/>
  <c r="AE11" i="7" a="1"/>
  <c r="AE11" i="7" s="1"/>
  <c r="AF11" i="7" a="1"/>
  <c r="AF11" i="7" s="1"/>
  <c r="AP11" i="7" a="1"/>
  <c r="AP11" i="7" s="1"/>
  <c r="AQ11" i="7" a="1"/>
  <c r="AQ11" i="7" s="1"/>
  <c r="AN11" i="7" a="1"/>
  <c r="AN11" i="7" s="1"/>
  <c r="AI11" i="7" a="1"/>
  <c r="AI11" i="7" s="1"/>
  <c r="AZ10" i="7" a="1"/>
  <c r="AZ10" i="7" s="1"/>
  <c r="AT12" i="7"/>
  <c r="B17" i="7"/>
  <c r="C17" i="7" a="1"/>
  <c r="C17" i="7" s="1"/>
  <c r="A18" i="7" a="1"/>
  <c r="A18" i="7" s="1"/>
  <c r="E13" i="7"/>
  <c r="AH11" i="7" a="1"/>
  <c r="AH11" i="7" s="1"/>
  <c r="BB10" i="7" a="1"/>
  <c r="BB10" i="7" s="1"/>
  <c r="O36" i="6"/>
  <c r="G36" i="6"/>
  <c r="N36" i="6"/>
  <c r="E36" i="6"/>
  <c r="W36" i="6"/>
  <c r="M36" i="6"/>
  <c r="D36" i="6"/>
  <c r="V36" i="6"/>
  <c r="L36" i="6"/>
  <c r="C36" i="6"/>
  <c r="S36" i="6"/>
  <c r="J36" i="6"/>
  <c r="F36" i="6"/>
  <c r="T36" i="6"/>
  <c r="B36" i="6"/>
  <c r="P36" i="6"/>
  <c r="H36" i="6"/>
  <c r="K36" i="6"/>
  <c r="I36" i="6"/>
  <c r="R36" i="6"/>
  <c r="Q36" i="6"/>
  <c r="X14" i="7"/>
  <c r="W14" i="7"/>
  <c r="V15" i="7"/>
  <c r="AD11" i="7" a="1"/>
  <c r="AD11" i="7" s="1"/>
  <c r="BN10" i="7" a="1"/>
  <c r="BN10" i="7" s="1"/>
  <c r="BP26" i="8"/>
  <c r="BT3" i="8"/>
  <c r="BT28" i="8" s="1"/>
  <c r="BT5" i="8"/>
  <c r="BT30" i="8" s="1"/>
  <c r="BT4" i="8"/>
  <c r="BT29" i="8" s="1"/>
  <c r="BT6" i="8"/>
  <c r="BT31" i="8" s="1"/>
  <c r="CG4" i="8"/>
  <c r="CH2" i="8" s="1"/>
  <c r="I20" i="2"/>
  <c r="AA13" i="7"/>
  <c r="Z13" i="7"/>
  <c r="Y13" i="7"/>
  <c r="AG11" i="7" a="1"/>
  <c r="AG11" i="7" s="1"/>
  <c r="AJ11" i="7" a="1"/>
  <c r="AJ11" i="7" s="1"/>
  <c r="AK11" i="7" a="1"/>
  <c r="AK11" i="7" s="1"/>
  <c r="J18" i="2" a="1"/>
  <c r="M18" i="2" a="1"/>
  <c r="K18" i="2" a="1"/>
  <c r="N18" i="2" a="1"/>
  <c r="O18" i="2" a="1"/>
  <c r="L18" i="2" a="1"/>
  <c r="R16" i="2"/>
  <c r="P16" i="2"/>
  <c r="Q16" i="2"/>
  <c r="U19" i="2"/>
  <c r="S16" i="2"/>
  <c r="T16" i="2"/>
  <c r="U16" i="2"/>
  <c r="S19" i="2"/>
  <c r="Q19" i="2"/>
  <c r="J15" i="2" a="1"/>
  <c r="N15" i="2" a="1"/>
  <c r="T19" i="2"/>
  <c r="K15" i="2" a="1"/>
  <c r="M15" i="2" a="1"/>
  <c r="O15" i="2" a="1"/>
  <c r="R19" i="2"/>
  <c r="L15" i="2" a="1"/>
  <c r="P19" i="2"/>
  <c r="BG11" i="7" l="1" a="1"/>
  <c r="BG11" i="7" s="1"/>
  <c r="BZ12" i="8" s="1"/>
  <c r="BZ37" i="8" s="1"/>
  <c r="J18" i="2"/>
  <c r="AU12" i="7"/>
  <c r="AV12" i="7" s="1"/>
  <c r="BJ11" i="7" a="1"/>
  <c r="BJ11" i="7" s="1"/>
  <c r="BQ11" i="7" a="1"/>
  <c r="BQ11" i="7" s="1"/>
  <c r="BD11" i="7" a="1"/>
  <c r="BD11" i="7" s="1"/>
  <c r="BZ11" i="8" s="1"/>
  <c r="BZ36" i="8" s="1"/>
  <c r="V19" i="2"/>
  <c r="L15" i="2"/>
  <c r="J15" i="7" s="1"/>
  <c r="K15" i="7" s="1"/>
  <c r="L15" i="7" s="1"/>
  <c r="O15" i="2"/>
  <c r="S15" i="7" s="1"/>
  <c r="T15" i="7" s="1"/>
  <c r="U15" i="7" s="1"/>
  <c r="M15" i="2"/>
  <c r="M15" i="7" s="1"/>
  <c r="N15" i="7" s="1"/>
  <c r="O15" i="7" s="1"/>
  <c r="K15" i="2"/>
  <c r="G15" i="7" s="1"/>
  <c r="H15" i="7" s="1"/>
  <c r="I15" i="7" s="1"/>
  <c r="N15" i="2"/>
  <c r="P15" i="7" s="1"/>
  <c r="Q15" i="7" s="1"/>
  <c r="R15" i="7" s="1"/>
  <c r="J15" i="2"/>
  <c r="D15" i="7" s="1"/>
  <c r="V16" i="2"/>
  <c r="L18" i="2"/>
  <c r="O18" i="2"/>
  <c r="N18" i="2"/>
  <c r="K18" i="2"/>
  <c r="M18" i="2"/>
  <c r="BZ21" i="8"/>
  <c r="CA1" i="8"/>
  <c r="BZ3" i="8"/>
  <c r="BZ28" i="8" s="1"/>
  <c r="CR1" i="8"/>
  <c r="CR2" i="8" s="1"/>
  <c r="AI12" i="7" a="1"/>
  <c r="AI12" i="7" s="1"/>
  <c r="BO11" i="7" a="1"/>
  <c r="BO11" i="7" s="1"/>
  <c r="BZ15" i="8" s="1"/>
  <c r="BZ40" i="8" s="1"/>
  <c r="BK11" i="7" a="1"/>
  <c r="BK11" i="7" s="1"/>
  <c r="BP11" i="7" a="1"/>
  <c r="BP11" i="7" s="1"/>
  <c r="CE15" i="8" s="1"/>
  <c r="CE40" i="8" s="1"/>
  <c r="BH11" i="7" a="1"/>
  <c r="BH11" i="7" s="1"/>
  <c r="CE12" i="8" s="1"/>
  <c r="CE37" i="8" s="1"/>
  <c r="AS13" i="7"/>
  <c r="AT13" i="7" s="1"/>
  <c r="F13" i="7"/>
  <c r="AQ13" i="7" s="1" a="1"/>
  <c r="AQ13" i="7" s="1"/>
  <c r="AB13" i="7"/>
  <c r="AU13" i="7" s="1"/>
  <c r="BM11" i="7" a="1"/>
  <c r="BM11" i="7" s="1"/>
  <c r="CE14" i="8" s="1"/>
  <c r="CE39" i="8" s="1"/>
  <c r="AL12" i="7" a="1"/>
  <c r="AL12" i="7" s="1"/>
  <c r="BE11" i="7" a="1"/>
  <c r="BE11" i="7" s="1"/>
  <c r="CE11" i="8" s="1"/>
  <c r="CE36" i="8" s="1"/>
  <c r="AJ12" i="7" a="1"/>
  <c r="AJ12" i="7" s="1"/>
  <c r="AK12" i="7" a="1"/>
  <c r="AK12" i="7" s="1"/>
  <c r="BL11" i="7" a="1"/>
  <c r="BL11" i="7" s="1"/>
  <c r="AZ11" i="7" a="1"/>
  <c r="AZ11" i="7" s="1"/>
  <c r="AE12" i="7" a="1"/>
  <c r="AE12" i="7" s="1"/>
  <c r="AG12" i="7" a="1"/>
  <c r="AG12" i="7" s="1"/>
  <c r="R39" i="6"/>
  <c r="J39" i="6"/>
  <c r="B39" i="6"/>
  <c r="S39" i="6"/>
  <c r="I39" i="6"/>
  <c r="Q39" i="6"/>
  <c r="H39" i="6"/>
  <c r="P39" i="6"/>
  <c r="G39" i="6"/>
  <c r="N39" i="6"/>
  <c r="E39" i="6"/>
  <c r="K39" i="6"/>
  <c r="F39" i="6"/>
  <c r="T39" i="6"/>
  <c r="L39" i="6"/>
  <c r="O39" i="6"/>
  <c r="M39" i="6"/>
  <c r="D39" i="6"/>
  <c r="C39" i="6"/>
  <c r="W39" i="6"/>
  <c r="V39" i="6"/>
  <c r="AP12" i="7" a="1"/>
  <c r="AP12" i="7" s="1"/>
  <c r="C18" i="7" a="1"/>
  <c r="C18" i="7" s="1"/>
  <c r="B18" i="7"/>
  <c r="A19" i="7" a="1"/>
  <c r="A19" i="7" s="1"/>
  <c r="AD12" i="7" a="1"/>
  <c r="AD12" i="7" s="1"/>
  <c r="AF12" i="7" a="1"/>
  <c r="AF12" i="7" s="1"/>
  <c r="GJ27" i="8"/>
  <c r="GU2" i="8"/>
  <c r="BA11" i="7" a="1"/>
  <c r="BA11" i="7" s="1"/>
  <c r="BZ10" i="8" s="1"/>
  <c r="BZ35" i="8" s="1"/>
  <c r="BN11" i="7" a="1"/>
  <c r="BN11" i="7" s="1"/>
  <c r="BI11" i="7" a="1"/>
  <c r="BI11" i="7" s="1"/>
  <c r="BB11" i="7" a="1"/>
  <c r="BB11" i="7" s="1"/>
  <c r="CE10" i="8" s="1"/>
  <c r="CE35" i="8" s="1"/>
  <c r="X15" i="7"/>
  <c r="W15" i="7"/>
  <c r="V16" i="7"/>
  <c r="Q38" i="6"/>
  <c r="I38" i="6"/>
  <c r="N38" i="6"/>
  <c r="E38" i="6"/>
  <c r="W38" i="6"/>
  <c r="M38" i="6"/>
  <c r="D38" i="6"/>
  <c r="V38" i="6"/>
  <c r="L38" i="6"/>
  <c r="C38" i="6"/>
  <c r="S38" i="6"/>
  <c r="J38" i="6"/>
  <c r="O38" i="6"/>
  <c r="K38" i="6"/>
  <c r="F38" i="6"/>
  <c r="P38" i="6"/>
  <c r="T38" i="6"/>
  <c r="R38" i="6"/>
  <c r="H38" i="6"/>
  <c r="G38" i="6"/>
  <c r="B38" i="6"/>
  <c r="AM12" i="7" a="1"/>
  <c r="AM12" i="7" s="1"/>
  <c r="AO12" i="7" a="1"/>
  <c r="AO12" i="7" s="1"/>
  <c r="E14" i="7"/>
  <c r="AC12" i="7" a="1"/>
  <c r="AC12" i="7" s="1"/>
  <c r="AN12" i="7" a="1"/>
  <c r="AN12" i="7" s="1"/>
  <c r="BF11" i="7" a="1"/>
  <c r="BF11" i="7" s="1"/>
  <c r="BC11" i="7" a="1"/>
  <c r="BC11" i="7" s="1"/>
  <c r="AQ12" i="7" a="1"/>
  <c r="AQ12" i="7" s="1"/>
  <c r="I21" i="2"/>
  <c r="AA14" i="7"/>
  <c r="Y14" i="7"/>
  <c r="Z14" i="7"/>
  <c r="J19" i="2" a="1"/>
  <c r="O19" i="2" a="1"/>
  <c r="P20" i="2"/>
  <c r="Q20" i="2"/>
  <c r="U20" i="2"/>
  <c r="K16" i="2" a="1"/>
  <c r="S20" i="2"/>
  <c r="K19" i="2" a="1"/>
  <c r="J16" i="2" a="1"/>
  <c r="L19" i="2" a="1"/>
  <c r="M19" i="2" a="1"/>
  <c r="O16" i="2" a="1"/>
  <c r="L16" i="2" a="1"/>
  <c r="S17" i="2"/>
  <c r="U17" i="2"/>
  <c r="T17" i="2"/>
  <c r="R17" i="2"/>
  <c r="Q17" i="2"/>
  <c r="P17" i="2"/>
  <c r="T20" i="2"/>
  <c r="M16" i="2" a="1"/>
  <c r="N16" i="2" a="1"/>
  <c r="R20" i="2"/>
  <c r="N19" i="2" a="1"/>
  <c r="AN13" i="7" l="1" a="1"/>
  <c r="AN13" i="7" s="1"/>
  <c r="AW12" i="7"/>
  <c r="AX12" i="7" s="1"/>
  <c r="BA12" i="7" s="1" a="1"/>
  <c r="BA12" i="7" s="1"/>
  <c r="AW13" i="7"/>
  <c r="AX13" i="7" s="1"/>
  <c r="CH4" i="8"/>
  <c r="BZ13" i="8" s="1"/>
  <c r="BZ38" i="8" s="1"/>
  <c r="N19" i="2"/>
  <c r="N16" i="2"/>
  <c r="P16" i="7" s="1"/>
  <c r="Q16" i="7" s="1"/>
  <c r="R16" i="7" s="1"/>
  <c r="M16" i="2"/>
  <c r="M16" i="7" s="1"/>
  <c r="N16" i="7" s="1"/>
  <c r="O16" i="7" s="1"/>
  <c r="V17" i="2"/>
  <c r="L16" i="2"/>
  <c r="J16" i="7" s="1"/>
  <c r="K16" i="7" s="1"/>
  <c r="L16" i="7" s="1"/>
  <c r="O16" i="2"/>
  <c r="S16" i="7" s="1"/>
  <c r="T16" i="7" s="1"/>
  <c r="U16" i="7" s="1"/>
  <c r="M19" i="2"/>
  <c r="L19" i="2"/>
  <c r="J16" i="2"/>
  <c r="D16" i="7" s="1"/>
  <c r="K19" i="2"/>
  <c r="K16" i="2"/>
  <c r="G16" i="7" s="1"/>
  <c r="H16" i="7" s="1"/>
  <c r="I16" i="7" s="1"/>
  <c r="V20" i="2"/>
  <c r="O19" i="2"/>
  <c r="J19" i="2"/>
  <c r="W16" i="7"/>
  <c r="X16" i="7"/>
  <c r="V17" i="7"/>
  <c r="CR4" i="8"/>
  <c r="CS2" i="8" s="1"/>
  <c r="F14" i="7"/>
  <c r="AJ14" i="7" s="1" a="1"/>
  <c r="AJ14" i="7" s="1"/>
  <c r="AB14" i="7"/>
  <c r="AA15" i="7"/>
  <c r="Z15" i="7"/>
  <c r="Y15" i="7"/>
  <c r="C19" i="7" a="1"/>
  <c r="C19" i="7" s="1"/>
  <c r="B19" i="7"/>
  <c r="A20" i="7" a="1"/>
  <c r="A20" i="7" s="1"/>
  <c r="BC12" i="7" a="1"/>
  <c r="BC12" i="7" s="1"/>
  <c r="AZ12" i="7" a="1"/>
  <c r="AZ12" i="7" s="1"/>
  <c r="BP12" i="7" a="1"/>
  <c r="BP12" i="7" s="1"/>
  <c r="BL12" i="7" a="1"/>
  <c r="BL12" i="7" s="1"/>
  <c r="BI12" i="7" a="1"/>
  <c r="BI12" i="7" s="1"/>
  <c r="BJ12" i="7" a="1"/>
  <c r="BJ12" i="7" s="1"/>
  <c r="BM12" i="7" a="1"/>
  <c r="BM12" i="7" s="1"/>
  <c r="BG12" i="7" a="1"/>
  <c r="BG12" i="7" s="1"/>
  <c r="BF12" i="7" a="1"/>
  <c r="BF12" i="7" s="1"/>
  <c r="CA26" i="8"/>
  <c r="CE3" i="8"/>
  <c r="CE28" i="8" s="1"/>
  <c r="CE5" i="8"/>
  <c r="CE30" i="8" s="1"/>
  <c r="CE4" i="8"/>
  <c r="CE29" i="8" s="1"/>
  <c r="CE6" i="8"/>
  <c r="CE31" i="8" s="1"/>
  <c r="I22" i="2"/>
  <c r="AV13" i="7"/>
  <c r="S18" i="7"/>
  <c r="T18" i="7" s="1"/>
  <c r="U18" i="7" s="1"/>
  <c r="G18" i="7"/>
  <c r="H18" i="7" s="1"/>
  <c r="I18" i="7" s="1"/>
  <c r="P18" i="7"/>
  <c r="Q18" i="7" s="1"/>
  <c r="R18" i="7" s="1"/>
  <c r="M18" i="7"/>
  <c r="J18" i="7"/>
  <c r="K18" i="7" s="1"/>
  <c r="L18" i="7" s="1"/>
  <c r="D18" i="7"/>
  <c r="E15" i="7"/>
  <c r="AS14" i="7"/>
  <c r="GU27" i="8"/>
  <c r="HF2" i="8"/>
  <c r="AM13" i="7" a="1"/>
  <c r="AM13" i="7" s="1"/>
  <c r="AC13" i="7" a="1"/>
  <c r="AC13" i="7" s="1"/>
  <c r="AD13" i="7" a="1"/>
  <c r="AD13" i="7" s="1"/>
  <c r="AI13" i="7" a="1"/>
  <c r="AI13" i="7" s="1"/>
  <c r="AL13" i="7" a="1"/>
  <c r="AL13" i="7" s="1"/>
  <c r="AE13" i="7" a="1"/>
  <c r="AE13" i="7" s="1"/>
  <c r="AK13" i="7" a="1"/>
  <c r="AK13" i="7" s="1"/>
  <c r="AG13" i="7" a="1"/>
  <c r="AG13" i="7" s="1"/>
  <c r="AH13" i="7" a="1"/>
  <c r="AH13" i="7" s="1"/>
  <c r="AP13" i="7" a="1"/>
  <c r="AP13" i="7" s="1"/>
  <c r="AO13" i="7" a="1"/>
  <c r="AO13" i="7" s="1"/>
  <c r="AF13" i="7" a="1"/>
  <c r="AF13" i="7" s="1"/>
  <c r="AJ13" i="7" a="1"/>
  <c r="AJ13" i="7" s="1"/>
  <c r="L17" i="2" a="1"/>
  <c r="L20" i="2" a="1"/>
  <c r="N17" i="2" a="1"/>
  <c r="S21" i="2"/>
  <c r="O17" i="2" a="1"/>
  <c r="M20" i="2" a="1"/>
  <c r="U21" i="2"/>
  <c r="M17" i="2" a="1"/>
  <c r="R21" i="2"/>
  <c r="P21" i="2"/>
  <c r="N20" i="2" a="1"/>
  <c r="O20" i="2" a="1"/>
  <c r="Q21" i="2"/>
  <c r="K20" i="2" a="1"/>
  <c r="J17" i="2" a="1"/>
  <c r="J20" i="2" a="1"/>
  <c r="K17" i="2" a="1"/>
  <c r="T21" i="2"/>
  <c r="BK12" i="7" l="1" a="1"/>
  <c r="BK12" i="7" s="1"/>
  <c r="BN12" i="7" a="1"/>
  <c r="BN12" i="7" s="1"/>
  <c r="BQ12" i="7" a="1"/>
  <c r="BQ12" i="7" s="1"/>
  <c r="BO12" i="7" a="1"/>
  <c r="BO12" i="7" s="1"/>
  <c r="BD12" i="7" a="1"/>
  <c r="BD12" i="7" s="1"/>
  <c r="CK11" i="8" s="1"/>
  <c r="CK36" i="8" s="1"/>
  <c r="BH12" i="7" a="1"/>
  <c r="BH12" i="7" s="1"/>
  <c r="CP12" i="8" s="1"/>
  <c r="CP37" i="8" s="1"/>
  <c r="N18" i="7"/>
  <c r="O18" i="7" s="1"/>
  <c r="BE12" i="7" a="1"/>
  <c r="BE12" i="7" s="1"/>
  <c r="CP11" i="8" s="1"/>
  <c r="CP36" i="8" s="1"/>
  <c r="BZ14" i="8"/>
  <c r="BZ39" i="8" s="1"/>
  <c r="BB12" i="7" a="1"/>
  <c r="BB12" i="7" s="1"/>
  <c r="CE13" i="8"/>
  <c r="CE38" i="8" s="1"/>
  <c r="AC14" i="7" a="1"/>
  <c r="AC14" i="7" s="1"/>
  <c r="AF14" i="7" a="1"/>
  <c r="AF14" i="7" s="1"/>
  <c r="AL14" i="7" a="1"/>
  <c r="AL14" i="7" s="1"/>
  <c r="AP14" i="7" a="1"/>
  <c r="AP14" i="7" s="1"/>
  <c r="AK14" i="7" a="1"/>
  <c r="AK14" i="7" s="1"/>
  <c r="AH14" i="7" a="1"/>
  <c r="AH14" i="7" s="1"/>
  <c r="K17" i="2"/>
  <c r="G17" i="7" s="1"/>
  <c r="H17" i="7" s="1"/>
  <c r="I17" i="7" s="1"/>
  <c r="J20" i="2"/>
  <c r="J17" i="2"/>
  <c r="D17" i="7" s="1"/>
  <c r="K20" i="2"/>
  <c r="O20" i="2"/>
  <c r="N20" i="2"/>
  <c r="V21" i="2"/>
  <c r="M17" i="2"/>
  <c r="M17" i="7" s="1"/>
  <c r="N17" i="7" s="1"/>
  <c r="O17" i="7" s="1"/>
  <c r="M20" i="2"/>
  <c r="O17" i="2"/>
  <c r="S17" i="7" s="1"/>
  <c r="T17" i="7" s="1"/>
  <c r="U17" i="7" s="1"/>
  <c r="N17" i="2"/>
  <c r="P17" i="7" s="1"/>
  <c r="Q17" i="7" s="1"/>
  <c r="R17" i="7" s="1"/>
  <c r="L20" i="2"/>
  <c r="L17" i="2"/>
  <c r="J17" i="7" s="1"/>
  <c r="K17" i="7" s="1"/>
  <c r="L17" i="7" s="1"/>
  <c r="CP14" i="8"/>
  <c r="CP39" i="8" s="1"/>
  <c r="CP10" i="8"/>
  <c r="CP35" i="8" s="1"/>
  <c r="CK15" i="8"/>
  <c r="CK40" i="8" s="1"/>
  <c r="CK21" i="8"/>
  <c r="CK12" i="8"/>
  <c r="CK37" i="8" s="1"/>
  <c r="CS4" i="8"/>
  <c r="CK3" i="8"/>
  <c r="CK28" i="8" s="1"/>
  <c r="DC1" i="8"/>
  <c r="DC2" i="8" s="1"/>
  <c r="CP15" i="8"/>
  <c r="CP40" i="8" s="1"/>
  <c r="CK10" i="8"/>
  <c r="CK35" i="8" s="1"/>
  <c r="CL1" i="8"/>
  <c r="HF27" i="8"/>
  <c r="HQ2" i="8"/>
  <c r="E18" i="7"/>
  <c r="C20" i="7" a="1"/>
  <c r="C20" i="7" s="1"/>
  <c r="B20" i="7"/>
  <c r="A21" i="7" a="1"/>
  <c r="A21" i="7" s="1"/>
  <c r="AS15" i="7"/>
  <c r="AT15" i="7" s="1"/>
  <c r="X17" i="7"/>
  <c r="W17" i="7"/>
  <c r="V18" i="7"/>
  <c r="M19" i="7"/>
  <c r="N19" i="7" s="1"/>
  <c r="O19" i="7" s="1"/>
  <c r="S19" i="7"/>
  <c r="T19" i="7" s="1"/>
  <c r="U19" i="7" s="1"/>
  <c r="J19" i="7"/>
  <c r="K19" i="7" s="1"/>
  <c r="L19" i="7" s="1"/>
  <c r="G19" i="7"/>
  <c r="H19" i="7" s="1"/>
  <c r="I19" i="7" s="1"/>
  <c r="D19" i="7"/>
  <c r="P19" i="7"/>
  <c r="Q19" i="7" s="1"/>
  <c r="R19" i="7" s="1"/>
  <c r="AU15" i="7"/>
  <c r="AW15" i="7" s="1"/>
  <c r="AX15" i="7" s="1"/>
  <c r="AA16" i="7"/>
  <c r="Y16" i="7"/>
  <c r="Z16" i="7"/>
  <c r="BE13" i="7" a="1"/>
  <c r="BE13" i="7" s="1"/>
  <c r="BA13" i="7" a="1"/>
  <c r="BA13" i="7" s="1"/>
  <c r="BD13" i="7" a="1"/>
  <c r="BD13" i="7" s="1"/>
  <c r="AZ13" i="7" a="1"/>
  <c r="AZ13" i="7" s="1"/>
  <c r="BC13" i="7" a="1"/>
  <c r="BC13" i="7" s="1"/>
  <c r="BB13" i="7" a="1"/>
  <c r="BB13" i="7" s="1"/>
  <c r="BG13" i="7" a="1"/>
  <c r="BG13" i="7" s="1"/>
  <c r="BH13" i="7" a="1"/>
  <c r="BH13" i="7" s="1"/>
  <c r="BL13" i="7" a="1"/>
  <c r="BL13" i="7" s="1"/>
  <c r="BJ13" i="7" a="1"/>
  <c r="BJ13" i="7" s="1"/>
  <c r="BF13" i="7" a="1"/>
  <c r="BF13" i="7" s="1"/>
  <c r="BQ13" i="7" a="1"/>
  <c r="BQ13" i="7" s="1"/>
  <c r="BP13" i="7" a="1"/>
  <c r="BP13" i="7" s="1"/>
  <c r="BK13" i="7" a="1"/>
  <c r="BK13" i="7" s="1"/>
  <c r="BN13" i="7" a="1"/>
  <c r="BN13" i="7" s="1"/>
  <c r="BM13" i="7" a="1"/>
  <c r="BM13" i="7" s="1"/>
  <c r="BO13" i="7" a="1"/>
  <c r="BO13" i="7" s="1"/>
  <c r="BI13" i="7" a="1"/>
  <c r="BI13" i="7" s="1"/>
  <c r="AM14" i="7" a="1"/>
  <c r="AM14" i="7" s="1"/>
  <c r="AU14" i="7"/>
  <c r="AV14" i="7" s="1"/>
  <c r="AO14" i="7" a="1"/>
  <c r="AO14" i="7" s="1"/>
  <c r="AI14" i="7" a="1"/>
  <c r="AI14" i="7" s="1"/>
  <c r="AG14" i="7" a="1"/>
  <c r="AG14" i="7" s="1"/>
  <c r="AN14" i="7" a="1"/>
  <c r="AN14" i="7" s="1"/>
  <c r="AD14" i="7" a="1"/>
  <c r="AD14" i="7" s="1"/>
  <c r="AQ14" i="7" a="1"/>
  <c r="AQ14" i="7" s="1"/>
  <c r="F15" i="7"/>
  <c r="AQ15" i="7" s="1" a="1"/>
  <c r="AQ15" i="7" s="1"/>
  <c r="AB15" i="7"/>
  <c r="I23" i="2"/>
  <c r="AE14" i="7" a="1"/>
  <c r="AE14" i="7" s="1"/>
  <c r="E16" i="7"/>
  <c r="N21" i="2" a="1"/>
  <c r="J21" i="2" a="1"/>
  <c r="U22" i="2"/>
  <c r="P22" i="2"/>
  <c r="T22" i="2"/>
  <c r="L21" i="2" a="1"/>
  <c r="R22" i="2"/>
  <c r="S22" i="2"/>
  <c r="O21" i="2" a="1"/>
  <c r="Q22" i="2"/>
  <c r="M21" i="2" a="1"/>
  <c r="K21" i="2" a="1"/>
  <c r="AV15" i="7" l="1"/>
  <c r="K21" i="2"/>
  <c r="M21" i="2"/>
  <c r="O21" i="2"/>
  <c r="L21" i="2"/>
  <c r="V22" i="2"/>
  <c r="J21" i="2"/>
  <c r="N21" i="2"/>
  <c r="AT14" i="7"/>
  <c r="DC4" i="8"/>
  <c r="DD2" i="8" s="1"/>
  <c r="I24" i="2"/>
  <c r="G20" i="7"/>
  <c r="H20" i="7" s="1"/>
  <c r="I20" i="7" s="1"/>
  <c r="M20" i="7"/>
  <c r="N20" i="7" s="1"/>
  <c r="O20" i="7" s="1"/>
  <c r="S20" i="7"/>
  <c r="T20" i="7" s="1"/>
  <c r="U20" i="7" s="1"/>
  <c r="P20" i="7"/>
  <c r="Q20" i="7" s="1"/>
  <c r="R20" i="7" s="1"/>
  <c r="J20" i="7"/>
  <c r="K20" i="7" s="1"/>
  <c r="L20" i="7" s="1"/>
  <c r="D20" i="7"/>
  <c r="AE15" i="7" a="1"/>
  <c r="AE15" i="7" s="1"/>
  <c r="AL15" i="7" a="1"/>
  <c r="AL15" i="7" s="1"/>
  <c r="AN15" i="7" a="1"/>
  <c r="AN15" i="7" s="1"/>
  <c r="AH15" i="7" a="1"/>
  <c r="AH15" i="7" s="1"/>
  <c r="AI15" i="7" a="1"/>
  <c r="AI15" i="7" s="1"/>
  <c r="AG15" i="7" a="1"/>
  <c r="AG15" i="7" s="1"/>
  <c r="AM15" i="7" a="1"/>
  <c r="AM15" i="7" s="1"/>
  <c r="AF15" i="7" a="1"/>
  <c r="AF15" i="7" s="1"/>
  <c r="AK15" i="7" a="1"/>
  <c r="AK15" i="7" s="1"/>
  <c r="AP15" i="7" a="1"/>
  <c r="AP15" i="7" s="1"/>
  <c r="AC15" i="7" a="1"/>
  <c r="AC15" i="7" s="1"/>
  <c r="AO15" i="7" a="1"/>
  <c r="AO15" i="7" s="1"/>
  <c r="AJ15" i="7" a="1"/>
  <c r="AJ15" i="7" s="1"/>
  <c r="AD15" i="7" a="1"/>
  <c r="AD15" i="7" s="1"/>
  <c r="W18" i="7"/>
  <c r="AB18" i="7" s="1"/>
  <c r="X18" i="7"/>
  <c r="V19" i="7"/>
  <c r="HQ27" i="8"/>
  <c r="IB2" i="8"/>
  <c r="E19" i="7"/>
  <c r="CP13" i="8"/>
  <c r="CP38" i="8" s="1"/>
  <c r="CK13" i="8"/>
  <c r="CK38" i="8" s="1"/>
  <c r="CK14" i="8"/>
  <c r="CK39" i="8" s="1"/>
  <c r="E17" i="7"/>
  <c r="Y17" i="7"/>
  <c r="Z17" i="7"/>
  <c r="AA17" i="7"/>
  <c r="AW14" i="7"/>
  <c r="AX14" i="7" s="1"/>
  <c r="BN14" i="7" a="1"/>
  <c r="BN14" i="7" s="1"/>
  <c r="B21" i="7"/>
  <c r="C21" i="7" a="1"/>
  <c r="C21" i="7" s="1"/>
  <c r="A22" i="7" a="1"/>
  <c r="A22" i="7" s="1"/>
  <c r="CP5" i="8"/>
  <c r="CP30" i="8" s="1"/>
  <c r="CL26" i="8"/>
  <c r="CP3" i="8"/>
  <c r="CP28" i="8" s="1"/>
  <c r="CP4" i="8"/>
  <c r="CP29" i="8" s="1"/>
  <c r="CP6" i="8"/>
  <c r="CP31" i="8" s="1"/>
  <c r="AB16" i="7"/>
  <c r="F16" i="7"/>
  <c r="AM16" i="7" s="1" a="1"/>
  <c r="AM16" i="7" s="1"/>
  <c r="AS16" i="7"/>
  <c r="J22" i="2" a="1"/>
  <c r="T23" i="2"/>
  <c r="K22" i="2" a="1"/>
  <c r="O22" i="2" a="1"/>
  <c r="U23" i="2"/>
  <c r="P23" i="2"/>
  <c r="Q23" i="2"/>
  <c r="S23" i="2"/>
  <c r="M22" i="2" a="1"/>
  <c r="R23" i="2"/>
  <c r="L22" i="2" a="1"/>
  <c r="N22" i="2" a="1"/>
  <c r="AU16" i="7" l="1"/>
  <c r="AV16" i="7" s="1"/>
  <c r="N22" i="2"/>
  <c r="L22" i="2"/>
  <c r="M22" i="2"/>
  <c r="V23" i="2"/>
  <c r="O22" i="2"/>
  <c r="K22" i="2"/>
  <c r="J22" i="2"/>
  <c r="CV21" i="8"/>
  <c r="DN1" i="8"/>
  <c r="DN2" i="8" s="1"/>
  <c r="CW1" i="8"/>
  <c r="CV3" i="8"/>
  <c r="CV28" i="8" s="1"/>
  <c r="BI14" i="7" a="1"/>
  <c r="BI14" i="7" s="1"/>
  <c r="BJ14" i="7" a="1"/>
  <c r="BJ14" i="7" s="1"/>
  <c r="BH14" i="7" a="1"/>
  <c r="BH14" i="7" s="1"/>
  <c r="DA12" i="8" s="1"/>
  <c r="DA37" i="8" s="1"/>
  <c r="BB14" i="7" a="1"/>
  <c r="BB14" i="7" s="1"/>
  <c r="DA10" i="8" s="1"/>
  <c r="DA35" i="8" s="1"/>
  <c r="BQ14" i="7" a="1"/>
  <c r="BQ14" i="7" s="1"/>
  <c r="I25" i="2"/>
  <c r="BM14" i="7" a="1"/>
  <c r="BM14" i="7" s="1"/>
  <c r="DA14" i="8" s="1"/>
  <c r="DA39" i="8" s="1"/>
  <c r="BF14" i="7" a="1"/>
  <c r="BF14" i="7" s="1"/>
  <c r="G21" i="7"/>
  <c r="H21" i="7" s="1"/>
  <c r="I21" i="7" s="1"/>
  <c r="M21" i="7"/>
  <c r="P21" i="7"/>
  <c r="Q21" i="7" s="1"/>
  <c r="R21" i="7" s="1"/>
  <c r="S21" i="7"/>
  <c r="T21" i="7" s="1"/>
  <c r="U21" i="7" s="1"/>
  <c r="D21" i="7"/>
  <c r="J21" i="7"/>
  <c r="K21" i="7" s="1"/>
  <c r="L21" i="7" s="1"/>
  <c r="W19" i="7"/>
  <c r="AB19" i="7" s="1"/>
  <c r="X19" i="7"/>
  <c r="V20" i="7"/>
  <c r="BB15" i="7" a="1"/>
  <c r="BB15" i="7" s="1"/>
  <c r="BA15" i="7" a="1"/>
  <c r="BA15" i="7" s="1"/>
  <c r="AZ15" i="7" a="1"/>
  <c r="AZ15" i="7" s="1"/>
  <c r="BE15" i="7" a="1"/>
  <c r="BE15" i="7" s="1"/>
  <c r="BC15" i="7" a="1"/>
  <c r="BC15" i="7" s="1"/>
  <c r="BD15" i="7" a="1"/>
  <c r="BD15" i="7" s="1"/>
  <c r="BG15" i="7" a="1"/>
  <c r="BG15" i="7" s="1"/>
  <c r="BO15" i="7" a="1"/>
  <c r="BO15" i="7" s="1"/>
  <c r="BQ15" i="7" a="1"/>
  <c r="BQ15" i="7" s="1"/>
  <c r="BM15" i="7" a="1"/>
  <c r="BM15" i="7" s="1"/>
  <c r="BP15" i="7" a="1"/>
  <c r="BP15" i="7" s="1"/>
  <c r="BJ15" i="7" a="1"/>
  <c r="BJ15" i="7" s="1"/>
  <c r="BF15" i="7" a="1"/>
  <c r="BF15" i="7" s="1"/>
  <c r="BI15" i="7" a="1"/>
  <c r="BI15" i="7" s="1"/>
  <c r="BL15" i="7" a="1"/>
  <c r="BL15" i="7" s="1"/>
  <c r="BN15" i="7" a="1"/>
  <c r="BN15" i="7" s="1"/>
  <c r="BK15" i="7" a="1"/>
  <c r="BK15" i="7" s="1"/>
  <c r="BH15" i="7" a="1"/>
  <c r="BH15" i="7" s="1"/>
  <c r="BA14" i="7" a="1"/>
  <c r="BA14" i="7" s="1"/>
  <c r="CV10" i="8" s="1"/>
  <c r="CV35" i="8" s="1"/>
  <c r="AA18" i="7"/>
  <c r="Y18" i="7"/>
  <c r="F18" i="7" s="1"/>
  <c r="AN18" i="7" s="1" a="1"/>
  <c r="AN18" i="7" s="1"/>
  <c r="Z18" i="7"/>
  <c r="AK16" i="7" a="1"/>
  <c r="AK16" i="7" s="1"/>
  <c r="AP16" i="7" a="1"/>
  <c r="AP16" i="7" s="1"/>
  <c r="AG16" i="7" a="1"/>
  <c r="AG16" i="7" s="1"/>
  <c r="AN16" i="7" a="1"/>
  <c r="AN16" i="7" s="1"/>
  <c r="AI16" i="7" a="1"/>
  <c r="AI16" i="7" s="1"/>
  <c r="AJ16" i="7" a="1"/>
  <c r="AJ16" i="7" s="1"/>
  <c r="AD16" i="7" a="1"/>
  <c r="AD16" i="7" s="1"/>
  <c r="AE16" i="7" a="1"/>
  <c r="AE16" i="7" s="1"/>
  <c r="AT16" i="7" s="1"/>
  <c r="AC16" i="7" a="1"/>
  <c r="AC16" i="7" s="1"/>
  <c r="AO16" i="7" a="1"/>
  <c r="AO16" i="7" s="1"/>
  <c r="AH16" i="7" a="1"/>
  <c r="AH16" i="7" s="1"/>
  <c r="AF16" i="7" a="1"/>
  <c r="AF16" i="7" s="1"/>
  <c r="AQ16" i="7" a="1"/>
  <c r="AQ16" i="7" s="1"/>
  <c r="C22" i="7" a="1"/>
  <c r="C22" i="7" s="1"/>
  <c r="B22" i="7"/>
  <c r="A23" i="7" a="1"/>
  <c r="A23" i="7" s="1"/>
  <c r="AS17" i="7"/>
  <c r="AT17" i="7" s="1"/>
  <c r="BL14" i="7" a="1"/>
  <c r="BL14" i="7" s="1"/>
  <c r="BP14" i="7" a="1"/>
  <c r="BP14" i="7" s="1"/>
  <c r="DA15" i="8" s="1"/>
  <c r="DA40" i="8" s="1"/>
  <c r="BG14" i="7" a="1"/>
  <c r="BG14" i="7" s="1"/>
  <c r="CV12" i="8" s="1"/>
  <c r="CV37" i="8" s="1"/>
  <c r="AB17" i="7"/>
  <c r="F17" i="7"/>
  <c r="AO17" i="7" s="1" a="1"/>
  <c r="AO17" i="7" s="1"/>
  <c r="BE14" i="7" a="1"/>
  <c r="BE14" i="7" s="1"/>
  <c r="DA11" i="8" s="1"/>
  <c r="DA36" i="8" s="1"/>
  <c r="IB27" i="8"/>
  <c r="IM2" i="8"/>
  <c r="BC14" i="7" a="1"/>
  <c r="BC14" i="7" s="1"/>
  <c r="DD4" i="8" s="1"/>
  <c r="AZ14" i="7" a="1"/>
  <c r="AZ14" i="7" s="1"/>
  <c r="BD14" i="7" a="1"/>
  <c r="BD14" i="7" s="1"/>
  <c r="CV11" i="8" s="1"/>
  <c r="CV36" i="8" s="1"/>
  <c r="BK14" i="7" a="1"/>
  <c r="BK14" i="7" s="1"/>
  <c r="E20" i="7"/>
  <c r="BO14" i="7" a="1"/>
  <c r="BO14" i="7" s="1"/>
  <c r="CV15" i="8" s="1"/>
  <c r="CV40" i="8" s="1"/>
  <c r="AL16" i="7" a="1"/>
  <c r="AL16" i="7" s="1"/>
  <c r="O23" i="2" a="1"/>
  <c r="T24" i="2"/>
  <c r="L23" i="2" a="1"/>
  <c r="U24" i="2"/>
  <c r="N23" i="2" a="1"/>
  <c r="M23" i="2" a="1"/>
  <c r="P24" i="2"/>
  <c r="J23" i="2" a="1"/>
  <c r="K23" i="2" a="1"/>
  <c r="S24" i="2"/>
  <c r="Q24" i="2"/>
  <c r="R24" i="2"/>
  <c r="N21" i="7" l="1"/>
  <c r="O21" i="7" s="1"/>
  <c r="AH18" i="7" a="1"/>
  <c r="AH18" i="7" s="1"/>
  <c r="AC18" i="7" a="1"/>
  <c r="AC18" i="7" s="1"/>
  <c r="AE18" i="7" a="1"/>
  <c r="AE18" i="7" s="1"/>
  <c r="AM17" i="7" a="1"/>
  <c r="AM17" i="7" s="1"/>
  <c r="AO18" i="7" a="1"/>
  <c r="AO18" i="7" s="1"/>
  <c r="AG18" i="7" a="1"/>
  <c r="AG18" i="7" s="1"/>
  <c r="AJ18" i="7" a="1"/>
  <c r="AJ18" i="7" s="1"/>
  <c r="AD18" i="7" a="1"/>
  <c r="AD18" i="7" s="1"/>
  <c r="AK18" i="7" a="1"/>
  <c r="AK18" i="7" s="1"/>
  <c r="AP18" i="7" a="1"/>
  <c r="AP18" i="7" s="1"/>
  <c r="AF18" i="7" a="1"/>
  <c r="AF18" i="7" s="1"/>
  <c r="AL18" i="7" a="1"/>
  <c r="AL18" i="7" s="1"/>
  <c r="AI18" i="7" a="1"/>
  <c r="AI18" i="7" s="1"/>
  <c r="AM18" i="7" a="1"/>
  <c r="AM18" i="7" s="1"/>
  <c r="AQ18" i="7" a="1"/>
  <c r="AQ18" i="7" s="1"/>
  <c r="AW16" i="7"/>
  <c r="AX16" i="7" s="1"/>
  <c r="AZ16" i="7" s="1" a="1"/>
  <c r="AZ16" i="7" s="1"/>
  <c r="AF17" i="7" a="1"/>
  <c r="AF17" i="7" s="1"/>
  <c r="AU17" i="7"/>
  <c r="AV17" i="7" s="1"/>
  <c r="K23" i="2"/>
  <c r="J23" i="2"/>
  <c r="V24" i="2"/>
  <c r="M23" i="2"/>
  <c r="N23" i="2"/>
  <c r="L23" i="2"/>
  <c r="O23" i="2"/>
  <c r="CV14" i="8"/>
  <c r="CV39" i="8" s="1"/>
  <c r="DA13" i="8"/>
  <c r="DA38" i="8" s="1"/>
  <c r="CV13" i="8"/>
  <c r="CV38" i="8" s="1"/>
  <c r="AS18" i="7"/>
  <c r="AJ17" i="7" a="1"/>
  <c r="AJ17" i="7" s="1"/>
  <c r="AK17" i="7" a="1"/>
  <c r="AK17" i="7" s="1"/>
  <c r="AP17" i="7" a="1"/>
  <c r="AP17" i="7" s="1"/>
  <c r="S22" i="7"/>
  <c r="T22" i="7" s="1"/>
  <c r="U22" i="7" s="1"/>
  <c r="G22" i="7"/>
  <c r="H22" i="7" s="1"/>
  <c r="I22" i="7" s="1"/>
  <c r="P22" i="7"/>
  <c r="Q22" i="7" s="1"/>
  <c r="R22" i="7" s="1"/>
  <c r="D22" i="7"/>
  <c r="M22" i="7"/>
  <c r="N22" i="7" s="1"/>
  <c r="O22" i="7" s="1"/>
  <c r="J22" i="7"/>
  <c r="K22" i="7" s="1"/>
  <c r="L22" i="7" s="1"/>
  <c r="AL17" i="7" a="1"/>
  <c r="AL17" i="7" s="1"/>
  <c r="DN4" i="8"/>
  <c r="DO2" i="8" s="1"/>
  <c r="AU18" i="7"/>
  <c r="AG17" i="7" a="1"/>
  <c r="AG17" i="7" s="1"/>
  <c r="AQ17" i="7" a="1"/>
  <c r="AQ17" i="7" s="1"/>
  <c r="X20" i="7"/>
  <c r="W20" i="7"/>
  <c r="AB20" i="7" s="1"/>
  <c r="V21" i="7"/>
  <c r="AH17" i="7" a="1"/>
  <c r="AH17" i="7" s="1"/>
  <c r="AA19" i="7"/>
  <c r="Y19" i="7"/>
  <c r="F19" i="7" s="1"/>
  <c r="AH19" i="7" s="1" a="1"/>
  <c r="AH19" i="7" s="1"/>
  <c r="Z19" i="7"/>
  <c r="DA6" i="8"/>
  <c r="DA31" i="8" s="1"/>
  <c r="CW26" i="8"/>
  <c r="DA5" i="8"/>
  <c r="DA30" i="8" s="1"/>
  <c r="DA3" i="8"/>
  <c r="DA28" i="8" s="1"/>
  <c r="DA4" i="8"/>
  <c r="DA29" i="8" s="1"/>
  <c r="IM27" i="8"/>
  <c r="IX2" i="8"/>
  <c r="AE17" i="7" a="1"/>
  <c r="AE17" i="7" s="1"/>
  <c r="AC17" i="7" a="1"/>
  <c r="AC17" i="7" s="1"/>
  <c r="E21" i="7"/>
  <c r="F20" i="7"/>
  <c r="AK20" i="7" s="1" a="1"/>
  <c r="AK20" i="7" s="1"/>
  <c r="AD17" i="7" a="1"/>
  <c r="AD17" i="7" s="1"/>
  <c r="AI17" i="7" a="1"/>
  <c r="AI17" i="7" s="1"/>
  <c r="C23" i="7" a="1"/>
  <c r="C23" i="7" s="1"/>
  <c r="B23" i="7"/>
  <c r="A24" i="7" a="1"/>
  <c r="A24" i="7" s="1"/>
  <c r="BQ16" i="7" a="1"/>
  <c r="BQ16" i="7" s="1"/>
  <c r="BP16" i="7" a="1"/>
  <c r="BP16" i="7" s="1"/>
  <c r="BH16" i="7" a="1"/>
  <c r="BH16" i="7" s="1"/>
  <c r="AN17" i="7" a="1"/>
  <c r="AN17" i="7" s="1"/>
  <c r="I26" i="2"/>
  <c r="L24" i="2" a="1"/>
  <c r="T25" i="2"/>
  <c r="Q25" i="2"/>
  <c r="K24" i="2" a="1"/>
  <c r="O24" i="2" a="1"/>
  <c r="M24" i="2" a="1"/>
  <c r="P25" i="2"/>
  <c r="N24" i="2" a="1"/>
  <c r="R25" i="2"/>
  <c r="U25" i="2"/>
  <c r="S25" i="2"/>
  <c r="J24" i="2" a="1"/>
  <c r="AO19" i="7" l="1" a="1"/>
  <c r="AO19" i="7" s="1"/>
  <c r="AJ19" i="7" a="1"/>
  <c r="AJ19" i="7" s="1"/>
  <c r="AK19" i="7" a="1"/>
  <c r="AK19" i="7" s="1"/>
  <c r="AD19" i="7" a="1"/>
  <c r="AD19" i="7" s="1"/>
  <c r="AQ19" i="7" a="1"/>
  <c r="AQ19" i="7" s="1"/>
  <c r="AL19" i="7" a="1"/>
  <c r="AL19" i="7" s="1"/>
  <c r="AN19" i="7" a="1"/>
  <c r="AN19" i="7" s="1"/>
  <c r="AI19" i="7" a="1"/>
  <c r="AI19" i="7" s="1"/>
  <c r="AE19" i="7" a="1"/>
  <c r="AE19" i="7" s="1"/>
  <c r="AG19" i="7" a="1"/>
  <c r="AG19" i="7" s="1"/>
  <c r="AC19" i="7" a="1"/>
  <c r="AC19" i="7" s="1"/>
  <c r="AM19" i="7" a="1"/>
  <c r="AM19" i="7" s="1"/>
  <c r="AP19" i="7" a="1"/>
  <c r="AP19" i="7" s="1"/>
  <c r="AF19" i="7" a="1"/>
  <c r="AF19" i="7" s="1"/>
  <c r="BF16" i="7" a="1"/>
  <c r="BF16" i="7" s="1"/>
  <c r="BN16" i="7" a="1"/>
  <c r="BN16" i="7" s="1"/>
  <c r="BL16" i="7" a="1"/>
  <c r="BL16" i="7" s="1"/>
  <c r="BA16" i="7" a="1"/>
  <c r="BA16" i="7" s="1"/>
  <c r="BG16" i="7" a="1"/>
  <c r="BG16" i="7" s="1"/>
  <c r="BB16" i="7" a="1"/>
  <c r="BB16" i="7" s="1"/>
  <c r="BE16" i="7" a="1"/>
  <c r="BE16" i="7" s="1"/>
  <c r="BM16" i="7" a="1"/>
  <c r="BM16" i="7" s="1"/>
  <c r="BC16" i="7" a="1"/>
  <c r="BC16" i="7" s="1"/>
  <c r="BK16" i="7" a="1"/>
  <c r="BK16" i="7" s="1"/>
  <c r="BO16" i="7" a="1"/>
  <c r="BO16" i="7" s="1"/>
  <c r="AW18" i="7"/>
  <c r="AX18" i="7" s="1"/>
  <c r="BJ16" i="7" a="1"/>
  <c r="BJ16" i="7" s="1"/>
  <c r="BI16" i="7" a="1"/>
  <c r="BI16" i="7" s="1"/>
  <c r="BD16" i="7" a="1"/>
  <c r="BD16" i="7" s="1"/>
  <c r="AO20" i="7" a="1"/>
  <c r="AO20" i="7" s="1"/>
  <c r="AV18" i="7"/>
  <c r="AJ20" i="7" a="1"/>
  <c r="AJ20" i="7" s="1"/>
  <c r="AD20" i="7" a="1"/>
  <c r="AD20" i="7" s="1"/>
  <c r="AG20" i="7" a="1"/>
  <c r="AG20" i="7" s="1"/>
  <c r="AT18" i="7"/>
  <c r="AP20" i="7" a="1"/>
  <c r="AP20" i="7" s="1"/>
  <c r="AW17" i="7"/>
  <c r="AX17" i="7" s="1"/>
  <c r="BJ17" i="7" s="1" a="1"/>
  <c r="BJ17" i="7" s="1"/>
  <c r="J24" i="2"/>
  <c r="N24" i="2"/>
  <c r="V25" i="2"/>
  <c r="M24" i="2"/>
  <c r="O24" i="2"/>
  <c r="K24" i="2"/>
  <c r="L24" i="2"/>
  <c r="AI20" i="7" a="1"/>
  <c r="AI20" i="7" s="1"/>
  <c r="IX27" i="8"/>
  <c r="JI2" i="8"/>
  <c r="AM20" i="7" a="1"/>
  <c r="AM20" i="7" s="1"/>
  <c r="AN20" i="7" a="1"/>
  <c r="AN20" i="7" s="1"/>
  <c r="AA20" i="7"/>
  <c r="Z20" i="7"/>
  <c r="Y20" i="7"/>
  <c r="I27" i="2"/>
  <c r="AU19" i="7"/>
  <c r="AL20" i="7" a="1"/>
  <c r="AL20" i="7" s="1"/>
  <c r="AC20" i="7" a="1"/>
  <c r="AC20" i="7" s="1"/>
  <c r="AF20" i="7" a="1"/>
  <c r="AF20" i="7" s="1"/>
  <c r="AS19" i="7"/>
  <c r="AT19" i="7"/>
  <c r="AE20" i="7" a="1"/>
  <c r="AE20" i="7" s="1"/>
  <c r="C24" i="7" a="1"/>
  <c r="C24" i="7" s="1"/>
  <c r="B24" i="7"/>
  <c r="A25" i="7" a="1"/>
  <c r="A25" i="7" s="1"/>
  <c r="AH20" i="7" a="1"/>
  <c r="AH20" i="7" s="1"/>
  <c r="AQ20" i="7" a="1"/>
  <c r="AQ20" i="7" s="1"/>
  <c r="W21" i="7"/>
  <c r="AB21" i="7" s="1"/>
  <c r="X21" i="7"/>
  <c r="V22" i="7"/>
  <c r="DG15" i="8"/>
  <c r="DG40" i="8" s="1"/>
  <c r="DG21" i="8"/>
  <c r="DL14" i="8"/>
  <c r="DL39" i="8" s="1"/>
  <c r="DL15" i="8"/>
  <c r="DL40" i="8" s="1"/>
  <c r="DG12" i="8"/>
  <c r="DG37" i="8" s="1"/>
  <c r="DG11" i="8"/>
  <c r="DG36" i="8" s="1"/>
  <c r="DY1" i="8"/>
  <c r="DY2" i="8" s="1"/>
  <c r="DL10" i="8"/>
  <c r="DL35" i="8" s="1"/>
  <c r="DO4" i="8"/>
  <c r="DG10" i="8"/>
  <c r="DG35" i="8" s="1"/>
  <c r="DG3" i="8"/>
  <c r="DG28" i="8" s="1"/>
  <c r="DL12" i="8"/>
  <c r="DL37" i="8" s="1"/>
  <c r="DH1" i="8"/>
  <c r="DL11" i="8"/>
  <c r="DL36" i="8" s="1"/>
  <c r="E22" i="7"/>
  <c r="M23" i="7"/>
  <c r="N23" i="7" s="1"/>
  <c r="O23" i="7" s="1"/>
  <c r="S23" i="7"/>
  <c r="T23" i="7" s="1"/>
  <c r="U23" i="7" s="1"/>
  <c r="P23" i="7"/>
  <c r="Q23" i="7" s="1"/>
  <c r="R23" i="7" s="1"/>
  <c r="D23" i="7"/>
  <c r="G23" i="7"/>
  <c r="H23" i="7" s="1"/>
  <c r="I23" i="7" s="1"/>
  <c r="J23" i="7"/>
  <c r="K23" i="7" s="1"/>
  <c r="L23" i="7" s="1"/>
  <c r="S26" i="2"/>
  <c r="M25" i="2" a="1"/>
  <c r="O25" i="2" a="1"/>
  <c r="K25" i="2" a="1"/>
  <c r="P26" i="2"/>
  <c r="J25" i="2" a="1"/>
  <c r="L25" i="2" a="1"/>
  <c r="N25" i="2" a="1"/>
  <c r="T26" i="2"/>
  <c r="Q26" i="2"/>
  <c r="R26" i="2"/>
  <c r="U26" i="2"/>
  <c r="AZ18" i="7" l="1" a="1"/>
  <c r="AZ18" i="7" s="1"/>
  <c r="BA18" i="7" a="1"/>
  <c r="BA18" i="7" s="1"/>
  <c r="BO18" i="7" a="1"/>
  <c r="BO18" i="7" s="1"/>
  <c r="BE18" i="7" a="1"/>
  <c r="BE18" i="7" s="1"/>
  <c r="BP18" i="7" a="1"/>
  <c r="BP18" i="7" s="1"/>
  <c r="BK18" i="7" a="1"/>
  <c r="BK18" i="7" s="1"/>
  <c r="BB18" i="7" a="1"/>
  <c r="BB18" i="7" s="1"/>
  <c r="BH18" i="7" a="1"/>
  <c r="BH18" i="7" s="1"/>
  <c r="BC18" i="7" a="1"/>
  <c r="BC18" i="7" s="1"/>
  <c r="BJ18" i="7" a="1"/>
  <c r="BJ18" i="7" s="1"/>
  <c r="BL18" i="7" a="1"/>
  <c r="BL18" i="7" s="1"/>
  <c r="BG18" i="7" a="1"/>
  <c r="BG18" i="7" s="1"/>
  <c r="AV19" i="7"/>
  <c r="BQ18" i="7" a="1"/>
  <c r="BQ18" i="7" s="1"/>
  <c r="BO17" i="7" a="1"/>
  <c r="BO17" i="7" s="1"/>
  <c r="BN18" i="7" a="1"/>
  <c r="BN18" i="7" s="1"/>
  <c r="BF18" i="7" a="1"/>
  <c r="BF18" i="7" s="1"/>
  <c r="BI18" i="7" a="1"/>
  <c r="BI18" i="7" s="1"/>
  <c r="BM18" i="7" a="1"/>
  <c r="BM18" i="7" s="1"/>
  <c r="BF17" i="7" a="1"/>
  <c r="BF17" i="7" s="1"/>
  <c r="BD18" i="7" a="1"/>
  <c r="BD18" i="7" s="1"/>
  <c r="BH17" i="7" a="1"/>
  <c r="BH17" i="7" s="1"/>
  <c r="BE17" i="7" a="1"/>
  <c r="BE17" i="7" s="1"/>
  <c r="BQ17" i="7" a="1"/>
  <c r="BQ17" i="7" s="1"/>
  <c r="BK17" i="7" a="1"/>
  <c r="BK17" i="7" s="1"/>
  <c r="BN17" i="7" a="1"/>
  <c r="BN17" i="7" s="1"/>
  <c r="BI17" i="7" a="1"/>
  <c r="BI17" i="7" s="1"/>
  <c r="BA17" i="7" a="1"/>
  <c r="BA17" i="7" s="1"/>
  <c r="BP17" i="7" a="1"/>
  <c r="BP17" i="7" s="1"/>
  <c r="BD17" i="7" a="1"/>
  <c r="BD17" i="7" s="1"/>
  <c r="BL17" i="7" a="1"/>
  <c r="BL17" i="7" s="1"/>
  <c r="BB17" i="7" a="1"/>
  <c r="BB17" i="7" s="1"/>
  <c r="BG17" i="7" a="1"/>
  <c r="BG17" i="7" s="1"/>
  <c r="BC17" i="7" a="1"/>
  <c r="BC17" i="7" s="1"/>
  <c r="BM17" i="7" a="1"/>
  <c r="BM17" i="7" s="1"/>
  <c r="AZ17" i="7" a="1"/>
  <c r="AZ17" i="7" s="1"/>
  <c r="N25" i="2"/>
  <c r="L25" i="2"/>
  <c r="J25" i="2"/>
  <c r="V26" i="2"/>
  <c r="K25" i="2"/>
  <c r="O25" i="2"/>
  <c r="M25" i="2"/>
  <c r="W22" i="7"/>
  <c r="AB22" i="7" s="1"/>
  <c r="X22" i="7"/>
  <c r="V23" i="7"/>
  <c r="DY4" i="8"/>
  <c r="DZ2" i="8" s="1"/>
  <c r="Y21" i="7"/>
  <c r="F21" i="7" s="1"/>
  <c r="AJ21" i="7" s="1" a="1"/>
  <c r="AJ21" i="7" s="1"/>
  <c r="AA21" i="7"/>
  <c r="Z21" i="7"/>
  <c r="AW19" i="7"/>
  <c r="AX19" i="7" s="1"/>
  <c r="G24" i="7"/>
  <c r="H24" i="7" s="1"/>
  <c r="I24" i="7" s="1"/>
  <c r="M24" i="7"/>
  <c r="N24" i="7" s="1"/>
  <c r="O24" i="7" s="1"/>
  <c r="S24" i="7"/>
  <c r="T24" i="7" s="1"/>
  <c r="U24" i="7" s="1"/>
  <c r="D24" i="7"/>
  <c r="P24" i="7"/>
  <c r="Q24" i="7" s="1"/>
  <c r="R24" i="7" s="1"/>
  <c r="J24" i="7"/>
  <c r="K24" i="7" s="1"/>
  <c r="L24" i="7" s="1"/>
  <c r="DG14" i="8"/>
  <c r="DG39" i="8" s="1"/>
  <c r="DG13" i="8"/>
  <c r="DG38" i="8" s="1"/>
  <c r="DL13" i="8"/>
  <c r="DL38" i="8" s="1"/>
  <c r="I28" i="2"/>
  <c r="JI27" i="8"/>
  <c r="JT2" i="8"/>
  <c r="DH26" i="8"/>
  <c r="DL5" i="8"/>
  <c r="DL30" i="8" s="1"/>
  <c r="DL6" i="8"/>
  <c r="DL31" i="8" s="1"/>
  <c r="DL4" i="8"/>
  <c r="DL29" i="8" s="1"/>
  <c r="DL3" i="8"/>
  <c r="DL28" i="8" s="1"/>
  <c r="E23" i="7"/>
  <c r="AS20" i="7"/>
  <c r="AT20" i="7" s="1"/>
  <c r="B25" i="7"/>
  <c r="C25" i="7" a="1"/>
  <c r="C25" i="7" s="1"/>
  <c r="A26" i="7" a="1"/>
  <c r="A26" i="7" s="1"/>
  <c r="AU20" i="7"/>
  <c r="O26" i="2" a="1"/>
  <c r="L26" i="2" a="1"/>
  <c r="T27" i="2"/>
  <c r="Q27" i="2"/>
  <c r="K26" i="2" a="1"/>
  <c r="N26" i="2" a="1"/>
  <c r="U27" i="2"/>
  <c r="M26" i="2" a="1"/>
  <c r="R27" i="2"/>
  <c r="P27" i="2"/>
  <c r="J26" i="2" a="1"/>
  <c r="S27" i="2"/>
  <c r="AM21" i="7" l="1" a="1"/>
  <c r="AM21" i="7" s="1"/>
  <c r="AL21" i="7" a="1"/>
  <c r="AL21" i="7" s="1"/>
  <c r="AD21" i="7" a="1"/>
  <c r="AD21" i="7" s="1"/>
  <c r="AN21" i="7" a="1"/>
  <c r="AN21" i="7" s="1"/>
  <c r="AK21" i="7" a="1"/>
  <c r="AK21" i="7" s="1"/>
  <c r="BJ19" i="7" a="1"/>
  <c r="BJ19" i="7" s="1"/>
  <c r="AQ21" i="7" a="1"/>
  <c r="AQ21" i="7" s="1"/>
  <c r="AH21" i="7" a="1"/>
  <c r="AH21" i="7" s="1"/>
  <c r="AI21" i="7" a="1"/>
  <c r="AI21" i="7" s="1"/>
  <c r="AE21" i="7" a="1"/>
  <c r="AE21" i="7" s="1"/>
  <c r="AG21" i="7" a="1"/>
  <c r="AG21" i="7" s="1"/>
  <c r="AC21" i="7" a="1"/>
  <c r="AC21" i="7" s="1"/>
  <c r="AF21" i="7" a="1"/>
  <c r="AF21" i="7" s="1"/>
  <c r="AO21" i="7" a="1"/>
  <c r="AO21" i="7" s="1"/>
  <c r="AP21" i="7" a="1"/>
  <c r="AP21" i="7" s="1"/>
  <c r="AV20" i="7"/>
  <c r="AZ19" i="7" a="1"/>
  <c r="AZ19" i="7" s="1"/>
  <c r="BH19" i="7" a="1"/>
  <c r="BH19" i="7" s="1"/>
  <c r="BQ19" i="7" a="1"/>
  <c r="BQ19" i="7" s="1"/>
  <c r="BP19" i="7" a="1"/>
  <c r="BP19" i="7" s="1"/>
  <c r="AW20" i="7"/>
  <c r="AX20" i="7" s="1"/>
  <c r="J26" i="2"/>
  <c r="V27" i="2"/>
  <c r="M26" i="2"/>
  <c r="N26" i="2"/>
  <c r="K26" i="2"/>
  <c r="L26" i="2"/>
  <c r="O26" i="2"/>
  <c r="F23" i="7"/>
  <c r="AN23" i="7" s="1" a="1"/>
  <c r="AN23" i="7" s="1"/>
  <c r="BB19" i="7" a="1"/>
  <c r="BB19" i="7" s="1"/>
  <c r="AA22" i="7"/>
  <c r="Y22" i="7"/>
  <c r="F22" i="7" s="1"/>
  <c r="AN22" i="7" s="1" a="1"/>
  <c r="AN22" i="7" s="1"/>
  <c r="Z22" i="7"/>
  <c r="BI19" i="7" a="1"/>
  <c r="BI19" i="7" s="1"/>
  <c r="BC19" i="7" a="1"/>
  <c r="BC19" i="7" s="1"/>
  <c r="E24" i="7"/>
  <c r="BM19" i="7" a="1"/>
  <c r="BM19" i="7" s="1"/>
  <c r="BO19" i="7" a="1"/>
  <c r="BO19" i="7" s="1"/>
  <c r="G25" i="7"/>
  <c r="H25" i="7" s="1"/>
  <c r="I25" i="7" s="1"/>
  <c r="M25" i="7"/>
  <c r="D25" i="7"/>
  <c r="P25" i="7"/>
  <c r="Q25" i="7" s="1"/>
  <c r="R25" i="7" s="1"/>
  <c r="J25" i="7"/>
  <c r="K25" i="7" s="1"/>
  <c r="L25" i="7" s="1"/>
  <c r="S25" i="7"/>
  <c r="T25" i="7" s="1"/>
  <c r="U25" i="7" s="1"/>
  <c r="JT27" i="8"/>
  <c r="KE2" i="8"/>
  <c r="AS21" i="7"/>
  <c r="BN19" i="7" a="1"/>
  <c r="BN19" i="7" s="1"/>
  <c r="BD19" i="7" a="1"/>
  <c r="BD19" i="7" s="1"/>
  <c r="C26" i="7" a="1"/>
  <c r="C26" i="7" s="1"/>
  <c r="B26" i="7"/>
  <c r="A27" i="7" a="1"/>
  <c r="A27" i="7" s="1"/>
  <c r="I29" i="2"/>
  <c r="DW15" i="8"/>
  <c r="DW40" i="8" s="1"/>
  <c r="DW12" i="8"/>
  <c r="DW37" i="8" s="1"/>
  <c r="DW11" i="8"/>
  <c r="DW36" i="8" s="1"/>
  <c r="DR21" i="8"/>
  <c r="DZ4" i="8"/>
  <c r="DW10" i="8"/>
  <c r="DW35" i="8" s="1"/>
  <c r="DR10" i="8"/>
  <c r="DR35" i="8" s="1"/>
  <c r="DS1" i="8"/>
  <c r="DR3" i="8"/>
  <c r="DR28" i="8" s="1"/>
  <c r="DR15" i="8"/>
  <c r="DR40" i="8" s="1"/>
  <c r="DW14" i="8"/>
  <c r="DW39" i="8" s="1"/>
  <c r="DR12" i="8"/>
  <c r="DR37" i="8" s="1"/>
  <c r="DR11" i="8"/>
  <c r="DR36" i="8" s="1"/>
  <c r="EJ1" i="8"/>
  <c r="EJ2" i="8" s="1"/>
  <c r="BF19" i="7" a="1"/>
  <c r="BF19" i="7" s="1"/>
  <c r="BG19" i="7" a="1"/>
  <c r="BG19" i="7" s="1"/>
  <c r="AU21" i="7"/>
  <c r="BA19" i="7" a="1"/>
  <c r="BA19" i="7" s="1"/>
  <c r="BL19" i="7" a="1"/>
  <c r="BL19" i="7" s="1"/>
  <c r="BE19" i="7" a="1"/>
  <c r="BE19" i="7" s="1"/>
  <c r="X23" i="7"/>
  <c r="W23" i="7"/>
  <c r="AB23" i="7" s="1"/>
  <c r="V24" i="7"/>
  <c r="BK19" i="7" a="1"/>
  <c r="BK19" i="7" s="1"/>
  <c r="M27" i="2" a="1"/>
  <c r="K27" i="2" a="1"/>
  <c r="R28" i="2"/>
  <c r="J27" i="2" a="1"/>
  <c r="N27" i="2" a="1"/>
  <c r="P28" i="2"/>
  <c r="L27" i="2" a="1"/>
  <c r="U28" i="2"/>
  <c r="Q28" i="2"/>
  <c r="T28" i="2"/>
  <c r="O27" i="2" a="1"/>
  <c r="S28" i="2"/>
  <c r="BM20" i="7" l="1" a="1"/>
  <c r="BM20" i="7" s="1"/>
  <c r="AV21" i="7"/>
  <c r="BQ20" i="7" a="1"/>
  <c r="BQ20" i="7" s="1"/>
  <c r="BI20" i="7" a="1"/>
  <c r="BI20" i="7" s="1"/>
  <c r="BJ20" i="7" a="1"/>
  <c r="BJ20" i="7" s="1"/>
  <c r="AQ22" i="7" a="1"/>
  <c r="AQ22" i="7" s="1"/>
  <c r="BF20" i="7" a="1"/>
  <c r="BF20" i="7" s="1"/>
  <c r="AL22" i="7" a="1"/>
  <c r="AL22" i="7" s="1"/>
  <c r="BK20" i="7" a="1"/>
  <c r="BK20" i="7" s="1"/>
  <c r="BC20" i="7" a="1"/>
  <c r="BC20" i="7" s="1"/>
  <c r="AZ20" i="7" a="1"/>
  <c r="AZ20" i="7" s="1"/>
  <c r="AG22" i="7" a="1"/>
  <c r="AG22" i="7" s="1"/>
  <c r="N25" i="7"/>
  <c r="O25" i="7" s="1"/>
  <c r="AC22" i="7" a="1"/>
  <c r="AC22" i="7" s="1"/>
  <c r="BE20" i="7" a="1"/>
  <c r="BE20" i="7" s="1"/>
  <c r="AE22" i="7" a="1"/>
  <c r="AE22" i="7" s="1"/>
  <c r="AF22" i="7" a="1"/>
  <c r="AF22" i="7" s="1"/>
  <c r="AM22" i="7" a="1"/>
  <c r="AM22" i="7" s="1"/>
  <c r="AO22" i="7" a="1"/>
  <c r="AO22" i="7" s="1"/>
  <c r="AD22" i="7" a="1"/>
  <c r="AD22" i="7" s="1"/>
  <c r="AI22" i="7" a="1"/>
  <c r="AI22" i="7" s="1"/>
  <c r="AP22" i="7" a="1"/>
  <c r="AP22" i="7" s="1"/>
  <c r="AK22" i="7" a="1"/>
  <c r="AK22" i="7" s="1"/>
  <c r="AH22" i="7" a="1"/>
  <c r="AH22" i="7" s="1"/>
  <c r="AJ22" i="7" a="1"/>
  <c r="AJ22" i="7" s="1"/>
  <c r="BO20" i="7" a="1"/>
  <c r="BO20" i="7" s="1"/>
  <c r="BD20" i="7" a="1"/>
  <c r="BD20" i="7" s="1"/>
  <c r="BG20" i="7" a="1"/>
  <c r="BG20" i="7" s="1"/>
  <c r="BP20" i="7" a="1"/>
  <c r="BP20" i="7" s="1"/>
  <c r="BA20" i="7" a="1"/>
  <c r="BA20" i="7" s="1"/>
  <c r="AL23" i="7" a="1"/>
  <c r="AL23" i="7" s="1"/>
  <c r="BL20" i="7" a="1"/>
  <c r="BL20" i="7" s="1"/>
  <c r="AH23" i="7" a="1"/>
  <c r="AH23" i="7" s="1"/>
  <c r="AP23" i="7" a="1"/>
  <c r="AP23" i="7" s="1"/>
  <c r="AO23" i="7" a="1"/>
  <c r="AO23" i="7" s="1"/>
  <c r="AC23" i="7" a="1"/>
  <c r="AC23" i="7" s="1"/>
  <c r="AD23" i="7" a="1"/>
  <c r="AD23" i="7" s="1"/>
  <c r="AK23" i="7" a="1"/>
  <c r="AK23" i="7" s="1"/>
  <c r="BB20" i="7" a="1"/>
  <c r="BB20" i="7" s="1"/>
  <c r="BH20" i="7" a="1"/>
  <c r="BH20" i="7" s="1"/>
  <c r="BN20" i="7" a="1"/>
  <c r="BN20" i="7" s="1"/>
  <c r="O27" i="2"/>
  <c r="L27" i="2"/>
  <c r="V28" i="2"/>
  <c r="N27" i="2"/>
  <c r="J27" i="2"/>
  <c r="K27" i="2"/>
  <c r="M27" i="2"/>
  <c r="E25" i="7"/>
  <c r="S26" i="7"/>
  <c r="T26" i="7" s="1"/>
  <c r="U26" i="7" s="1"/>
  <c r="G26" i="7"/>
  <c r="H26" i="7" s="1"/>
  <c r="I26" i="7" s="1"/>
  <c r="P26" i="7"/>
  <c r="Q26" i="7" s="1"/>
  <c r="R26" i="7" s="1"/>
  <c r="D26" i="7"/>
  <c r="M26" i="7"/>
  <c r="N26" i="7" s="1"/>
  <c r="O26" i="7" s="1"/>
  <c r="J26" i="7"/>
  <c r="K26" i="7" s="1"/>
  <c r="L26" i="7" s="1"/>
  <c r="KE27" i="8"/>
  <c r="KP2" i="8"/>
  <c r="X24" i="7"/>
  <c r="W24" i="7"/>
  <c r="AB24" i="7" s="1"/>
  <c r="V25" i="7"/>
  <c r="AA23" i="7"/>
  <c r="Y23" i="7"/>
  <c r="Z23" i="7"/>
  <c r="AU22" i="7"/>
  <c r="AI23" i="7" a="1"/>
  <c r="AI23" i="7" s="1"/>
  <c r="AQ23" i="7" a="1"/>
  <c r="AQ23" i="7" s="1"/>
  <c r="AM23" i="7" a="1"/>
  <c r="AM23" i="7" s="1"/>
  <c r="AJ23" i="7" a="1"/>
  <c r="AJ23" i="7" s="1"/>
  <c r="AG23" i="7" a="1"/>
  <c r="AG23" i="7" s="1"/>
  <c r="AF23" i="7" a="1"/>
  <c r="AF23" i="7" s="1"/>
  <c r="AE23" i="7" a="1"/>
  <c r="AE23" i="7" s="1"/>
  <c r="AS22" i="7"/>
  <c r="AT22" i="7"/>
  <c r="DS26" i="8"/>
  <c r="DW5" i="8"/>
  <c r="DW30" i="8" s="1"/>
  <c r="DW4" i="8"/>
  <c r="DW29" i="8" s="1"/>
  <c r="DW3" i="8"/>
  <c r="DW28" i="8" s="1"/>
  <c r="DW6" i="8"/>
  <c r="DW31" i="8" s="1"/>
  <c r="AT21" i="7"/>
  <c r="AW21" i="7"/>
  <c r="AX21" i="7" s="1"/>
  <c r="EJ4" i="8"/>
  <c r="EK2" i="8" s="1"/>
  <c r="A28" i="7" a="1"/>
  <c r="A28" i="7" s="1"/>
  <c r="C27" i="7" a="1"/>
  <c r="C27" i="7" s="1"/>
  <c r="B27" i="7"/>
  <c r="DW13" i="8"/>
  <c r="DW38" i="8" s="1"/>
  <c r="DR14" i="8"/>
  <c r="DR39" i="8" s="1"/>
  <c r="DR13" i="8"/>
  <c r="DR38" i="8" s="1"/>
  <c r="I30" i="2"/>
  <c r="M28" i="2" a="1"/>
  <c r="U29" i="2"/>
  <c r="N28" i="2" a="1"/>
  <c r="L28" i="2" a="1"/>
  <c r="K28" i="2" a="1"/>
  <c r="T29" i="2"/>
  <c r="O28" i="2" a="1"/>
  <c r="S29" i="2"/>
  <c r="R29" i="2"/>
  <c r="Q29" i="2"/>
  <c r="J28" i="2" a="1"/>
  <c r="P29" i="2"/>
  <c r="V29" i="2" l="1"/>
  <c r="J28" i="2"/>
  <c r="O28" i="2"/>
  <c r="K28" i="2"/>
  <c r="L28" i="2"/>
  <c r="N28" i="2"/>
  <c r="M28" i="2"/>
  <c r="B28" i="7"/>
  <c r="C28" i="7" a="1"/>
  <c r="C28" i="7" s="1"/>
  <c r="A29" i="7" a="1"/>
  <c r="A29" i="7" s="1"/>
  <c r="I31" i="2"/>
  <c r="AZ21" i="7" a="1"/>
  <c r="AZ21" i="7" s="1"/>
  <c r="BQ21" i="7" a="1"/>
  <c r="BQ21" i="7" s="1"/>
  <c r="BO21" i="7" a="1"/>
  <c r="BO21" i="7" s="1"/>
  <c r="BJ21" i="7" a="1"/>
  <c r="BJ21" i="7" s="1"/>
  <c r="BI21" i="7" a="1"/>
  <c r="BI21" i="7" s="1"/>
  <c r="BK21" i="7" a="1"/>
  <c r="BK21" i="7" s="1"/>
  <c r="BH21" i="7" a="1"/>
  <c r="BH21" i="7" s="1"/>
  <c r="BF21" i="7" a="1"/>
  <c r="BF21" i="7" s="1"/>
  <c r="BA21" i="7" a="1"/>
  <c r="BA21" i="7" s="1"/>
  <c r="BP21" i="7" a="1"/>
  <c r="BP21" i="7" s="1"/>
  <c r="BE21" i="7" a="1"/>
  <c r="BE21" i="7" s="1"/>
  <c r="BD21" i="7" a="1"/>
  <c r="BD21" i="7" s="1"/>
  <c r="BG21" i="7" a="1"/>
  <c r="BG21" i="7" s="1"/>
  <c r="BM21" i="7" a="1"/>
  <c r="BM21" i="7" s="1"/>
  <c r="AS23" i="7"/>
  <c r="AT23" i="7" s="1"/>
  <c r="BN21" i="7" a="1"/>
  <c r="BN21" i="7" s="1"/>
  <c r="E26" i="7"/>
  <c r="BB21" i="7" a="1"/>
  <c r="BB21" i="7" s="1"/>
  <c r="EC21" i="8"/>
  <c r="EH15" i="8"/>
  <c r="EH40" i="8" s="1"/>
  <c r="EH12" i="8"/>
  <c r="EH37" i="8" s="1"/>
  <c r="EH11" i="8"/>
  <c r="EH36" i="8" s="1"/>
  <c r="EH10" i="8"/>
  <c r="EH35" i="8" s="1"/>
  <c r="EH14" i="8"/>
  <c r="EH39" i="8" s="1"/>
  <c r="EC10" i="8"/>
  <c r="EC35" i="8" s="1"/>
  <c r="EC3" i="8"/>
  <c r="EC28" i="8" s="1"/>
  <c r="EC15" i="8"/>
  <c r="EC40" i="8" s="1"/>
  <c r="EC12" i="8"/>
  <c r="EC37" i="8" s="1"/>
  <c r="EC11" i="8"/>
  <c r="EC36" i="8" s="1"/>
  <c r="EK4" i="8"/>
  <c r="EU1" i="8"/>
  <c r="EU2" i="8" s="1"/>
  <c r="ED1" i="8"/>
  <c r="AW22" i="7"/>
  <c r="AX22" i="7" s="1"/>
  <c r="AV22" i="7"/>
  <c r="BL21" i="7" a="1"/>
  <c r="BL21" i="7" s="1"/>
  <c r="BC21" i="7" a="1"/>
  <c r="BC21" i="7" s="1"/>
  <c r="W25" i="7"/>
  <c r="AB25" i="7" s="1"/>
  <c r="X25" i="7"/>
  <c r="V26" i="7"/>
  <c r="KP27" i="8"/>
  <c r="LA2" i="8"/>
  <c r="M27" i="7"/>
  <c r="N27" i="7" s="1"/>
  <c r="O27" i="7" s="1"/>
  <c r="S27" i="7"/>
  <c r="T27" i="7" s="1"/>
  <c r="U27" i="7" s="1"/>
  <c r="P27" i="7"/>
  <c r="Q27" i="7" s="1"/>
  <c r="R27" i="7" s="1"/>
  <c r="D27" i="7"/>
  <c r="J27" i="7"/>
  <c r="K27" i="7" s="1"/>
  <c r="L27" i="7" s="1"/>
  <c r="G27" i="7"/>
  <c r="H27" i="7" s="1"/>
  <c r="I27" i="7" s="1"/>
  <c r="AU23" i="7"/>
  <c r="AA24" i="7"/>
  <c r="Z24" i="7"/>
  <c r="Y24" i="7"/>
  <c r="F24" i="7" s="1"/>
  <c r="AD24" i="7" s="1" a="1"/>
  <c r="AD24" i="7" s="1"/>
  <c r="J29" i="2" a="1"/>
  <c r="P30" i="2"/>
  <c r="R30" i="2"/>
  <c r="K29" i="2" a="1"/>
  <c r="O29" i="2" a="1"/>
  <c r="Q30" i="2"/>
  <c r="L29" i="2" a="1"/>
  <c r="M29" i="2" a="1"/>
  <c r="U30" i="2"/>
  <c r="T30" i="2"/>
  <c r="N29" i="2" a="1"/>
  <c r="S30" i="2"/>
  <c r="AM24" i="7" l="1" a="1"/>
  <c r="AM24" i="7" s="1"/>
  <c r="AP24" i="7" a="1"/>
  <c r="AP24" i="7" s="1"/>
  <c r="AJ24" i="7" a="1"/>
  <c r="AJ24" i="7" s="1"/>
  <c r="AN24" i="7" a="1"/>
  <c r="AN24" i="7" s="1"/>
  <c r="AQ24" i="7" a="1"/>
  <c r="AQ24" i="7" s="1"/>
  <c r="AF24" i="7" a="1"/>
  <c r="AF24" i="7" s="1"/>
  <c r="AC24" i="7" a="1"/>
  <c r="AC24" i="7" s="1"/>
  <c r="AL24" i="7" a="1"/>
  <c r="AL24" i="7" s="1"/>
  <c r="AE24" i="7" a="1"/>
  <c r="AE24" i="7" s="1"/>
  <c r="AH24" i="7" a="1"/>
  <c r="AH24" i="7" s="1"/>
  <c r="AI24" i="7" a="1"/>
  <c r="AI24" i="7" s="1"/>
  <c r="AK24" i="7" a="1"/>
  <c r="AK24" i="7" s="1"/>
  <c r="AG24" i="7" a="1"/>
  <c r="AG24" i="7" s="1"/>
  <c r="AO24" i="7" a="1"/>
  <c r="AO24" i="7" s="1"/>
  <c r="BN22" i="7" a="1"/>
  <c r="BN22" i="7" s="1"/>
  <c r="BO22" i="7" a="1"/>
  <c r="BO22" i="7" s="1"/>
  <c r="BI22" i="7" a="1"/>
  <c r="BI22" i="7" s="1"/>
  <c r="BM22" i="7" a="1"/>
  <c r="BM22" i="7" s="1"/>
  <c r="BD22" i="7" a="1"/>
  <c r="BD22" i="7" s="1"/>
  <c r="BB22" i="7" a="1"/>
  <c r="BB22" i="7" s="1"/>
  <c r="BQ22" i="7" a="1"/>
  <c r="BQ22" i="7" s="1"/>
  <c r="BH22" i="7" a="1"/>
  <c r="BH22" i="7" s="1"/>
  <c r="BK22" i="7" a="1"/>
  <c r="BK22" i="7" s="1"/>
  <c r="BJ22" i="7" a="1"/>
  <c r="BJ22" i="7" s="1"/>
  <c r="N29" i="2"/>
  <c r="M29" i="2"/>
  <c r="L29" i="2"/>
  <c r="O29" i="2"/>
  <c r="K29" i="2"/>
  <c r="V30" i="2"/>
  <c r="J29" i="2"/>
  <c r="LA27" i="8"/>
  <c r="LL2" i="8"/>
  <c r="AV23" i="7"/>
  <c r="BL22" i="7" a="1"/>
  <c r="BL22" i="7" s="1"/>
  <c r="BA22" i="7" a="1"/>
  <c r="BA22" i="7" s="1"/>
  <c r="AZ22" i="7" a="1"/>
  <c r="AZ22" i="7" s="1"/>
  <c r="C29" i="7" a="1"/>
  <c r="C29" i="7" s="1"/>
  <c r="B29" i="7"/>
  <c r="A30" i="7" a="1"/>
  <c r="A30" i="7" s="1"/>
  <c r="AS24" i="7"/>
  <c r="AT24" i="7" s="1"/>
  <c r="BP22" i="7" a="1"/>
  <c r="BP22" i="7" s="1"/>
  <c r="BF22" i="7" a="1"/>
  <c r="BF22" i="7" s="1"/>
  <c r="BC22" i="7" a="1"/>
  <c r="BC22" i="7" s="1"/>
  <c r="W26" i="7"/>
  <c r="AB26" i="7" s="1"/>
  <c r="X26" i="7"/>
  <c r="V27" i="7"/>
  <c r="BG22" i="7" a="1"/>
  <c r="BG22" i="7" s="1"/>
  <c r="G28" i="7"/>
  <c r="H28" i="7" s="1"/>
  <c r="I28" i="7" s="1"/>
  <c r="M28" i="7"/>
  <c r="N28" i="7" s="1"/>
  <c r="O28" i="7" s="1"/>
  <c r="S28" i="7"/>
  <c r="T28" i="7" s="1"/>
  <c r="U28" i="7" s="1"/>
  <c r="D28" i="7"/>
  <c r="P28" i="7"/>
  <c r="Q28" i="7" s="1"/>
  <c r="R28" i="7" s="1"/>
  <c r="J28" i="7"/>
  <c r="K28" i="7" s="1"/>
  <c r="L28" i="7" s="1"/>
  <c r="Y25" i="7"/>
  <c r="F25" i="7" s="1"/>
  <c r="AP25" i="7" s="1" a="1"/>
  <c r="AP25" i="7" s="1"/>
  <c r="AA25" i="7"/>
  <c r="Z25" i="7"/>
  <c r="AW23" i="7"/>
  <c r="AX23" i="7" s="1"/>
  <c r="BE22" i="7" a="1"/>
  <c r="BE22" i="7" s="1"/>
  <c r="I32" i="2"/>
  <c r="ED26" i="8"/>
  <c r="EH5" i="8"/>
  <c r="EH30" i="8" s="1"/>
  <c r="EH3" i="8"/>
  <c r="EH28" i="8" s="1"/>
  <c r="EH6" i="8"/>
  <c r="EH31" i="8" s="1"/>
  <c r="EH4" i="8"/>
  <c r="EH29" i="8" s="1"/>
  <c r="EU4" i="8"/>
  <c r="EV2" i="8" s="1"/>
  <c r="AU24" i="7"/>
  <c r="AW24" i="7" s="1"/>
  <c r="AX24" i="7" s="1"/>
  <c r="E27" i="7"/>
  <c r="EH13" i="8"/>
  <c r="EH38" i="8" s="1"/>
  <c r="EC14" i="8"/>
  <c r="EC39" i="8" s="1"/>
  <c r="EC13" i="8"/>
  <c r="EC38" i="8" s="1"/>
  <c r="M30" i="2" a="1"/>
  <c r="L30" i="2" a="1"/>
  <c r="U31" i="2"/>
  <c r="N30" i="2" a="1"/>
  <c r="O30" i="2" a="1"/>
  <c r="J30" i="2" a="1"/>
  <c r="R31" i="2"/>
  <c r="Q31" i="2"/>
  <c r="K30" i="2" a="1"/>
  <c r="T31" i="2"/>
  <c r="P31" i="2"/>
  <c r="S31" i="2"/>
  <c r="AK25" i="7" l="1" a="1"/>
  <c r="AK25" i="7" s="1"/>
  <c r="AG25" i="7" a="1"/>
  <c r="AG25" i="7" s="1"/>
  <c r="AD25" i="7" a="1"/>
  <c r="AD25" i="7" s="1"/>
  <c r="AJ25" i="7" a="1"/>
  <c r="AJ25" i="7" s="1"/>
  <c r="AL25" i="7" a="1"/>
  <c r="AL25" i="7" s="1"/>
  <c r="AH25" i="7" a="1"/>
  <c r="AH25" i="7" s="1"/>
  <c r="AF25" i="7" a="1"/>
  <c r="AF25" i="7" s="1"/>
  <c r="AM25" i="7" a="1"/>
  <c r="AM25" i="7" s="1"/>
  <c r="AI25" i="7" a="1"/>
  <c r="AI25" i="7" s="1"/>
  <c r="AQ25" i="7" a="1"/>
  <c r="AQ25" i="7" s="1"/>
  <c r="AE25" i="7" a="1"/>
  <c r="AE25" i="7" s="1"/>
  <c r="AN25" i="7" a="1"/>
  <c r="AN25" i="7" s="1"/>
  <c r="AC25" i="7" a="1"/>
  <c r="AC25" i="7" s="1"/>
  <c r="BH23" i="7" a="1"/>
  <c r="BH23" i="7" s="1"/>
  <c r="AO25" i="7" a="1"/>
  <c r="AO25" i="7" s="1"/>
  <c r="BM23" i="7" a="1"/>
  <c r="BM23" i="7" s="1"/>
  <c r="BP23" i="7" a="1"/>
  <c r="BP23" i="7" s="1"/>
  <c r="BN23" i="7" a="1"/>
  <c r="BN23" i="7" s="1"/>
  <c r="BB23" i="7" a="1"/>
  <c r="BB23" i="7" s="1"/>
  <c r="BO23" i="7" a="1"/>
  <c r="BO23" i="7" s="1"/>
  <c r="BQ23" i="7" a="1"/>
  <c r="BQ23" i="7" s="1"/>
  <c r="BG23" i="7" a="1"/>
  <c r="BG23" i="7" s="1"/>
  <c r="BC23" i="7" a="1"/>
  <c r="BC23" i="7" s="1"/>
  <c r="BK23" i="7" a="1"/>
  <c r="BK23" i="7" s="1"/>
  <c r="AV24" i="7"/>
  <c r="BA24" i="7" s="1" a="1"/>
  <c r="BA24" i="7" s="1"/>
  <c r="AZ23" i="7" a="1"/>
  <c r="AZ23" i="7" s="1"/>
  <c r="V31" i="2"/>
  <c r="K30" i="2"/>
  <c r="J30" i="2"/>
  <c r="O30" i="2"/>
  <c r="N30" i="2"/>
  <c r="L30" i="2"/>
  <c r="M30" i="2"/>
  <c r="EN15" i="8"/>
  <c r="EN40" i="8" s="1"/>
  <c r="ES12" i="8"/>
  <c r="ES37" i="8" s="1"/>
  <c r="ES11" i="8"/>
  <c r="ES36" i="8" s="1"/>
  <c r="ES15" i="8"/>
  <c r="ES40" i="8" s="1"/>
  <c r="EN12" i="8"/>
  <c r="EN37" i="8" s="1"/>
  <c r="EV4" i="8"/>
  <c r="FF1" i="8"/>
  <c r="FF2" i="8" s="1"/>
  <c r="ES14" i="8"/>
  <c r="ES39" i="8" s="1"/>
  <c r="EN11" i="8"/>
  <c r="EN36" i="8" s="1"/>
  <c r="ES10" i="8"/>
  <c r="ES35" i="8" s="1"/>
  <c r="EO1" i="8"/>
  <c r="EN3" i="8"/>
  <c r="EN28" i="8" s="1"/>
  <c r="EN10" i="8"/>
  <c r="EN35" i="8" s="1"/>
  <c r="EN21" i="8"/>
  <c r="BL24" i="7" a="1"/>
  <c r="BL24" i="7" s="1"/>
  <c r="BN24" i="7" a="1"/>
  <c r="BN24" i="7" s="1"/>
  <c r="BA23" i="7" a="1"/>
  <c r="BA23" i="7" s="1"/>
  <c r="BJ23" i="7" a="1"/>
  <c r="BJ23" i="7" s="1"/>
  <c r="I33" i="2"/>
  <c r="W27" i="7"/>
  <c r="AB27" i="7" s="1"/>
  <c r="X27" i="7"/>
  <c r="V28" i="7"/>
  <c r="AS25" i="7"/>
  <c r="C30" i="7" a="1"/>
  <c r="C30" i="7" s="1"/>
  <c r="B30" i="7"/>
  <c r="A31" i="7" a="1"/>
  <c r="A31" i="7" s="1"/>
  <c r="BL23" i="7" a="1"/>
  <c r="BL23" i="7" s="1"/>
  <c r="BF23" i="7" a="1"/>
  <c r="BF23" i="7" s="1"/>
  <c r="BD23" i="7" a="1"/>
  <c r="BD23" i="7" s="1"/>
  <c r="LL27" i="8"/>
  <c r="LW2" i="8"/>
  <c r="AA26" i="7"/>
  <c r="Y26" i="7"/>
  <c r="F26" i="7" s="1"/>
  <c r="AH26" i="7" s="1" a="1"/>
  <c r="AH26" i="7" s="1"/>
  <c r="Z26" i="7"/>
  <c r="S29" i="7"/>
  <c r="T29" i="7" s="1"/>
  <c r="U29" i="7" s="1"/>
  <c r="G29" i="7"/>
  <c r="H29" i="7" s="1"/>
  <c r="I29" i="7" s="1"/>
  <c r="M29" i="7"/>
  <c r="N29" i="7" s="1"/>
  <c r="O29" i="7" s="1"/>
  <c r="D29" i="7"/>
  <c r="P29" i="7"/>
  <c r="Q29" i="7" s="1"/>
  <c r="R29" i="7" s="1"/>
  <c r="J29" i="7"/>
  <c r="K29" i="7" s="1"/>
  <c r="L29" i="7" s="1"/>
  <c r="E28" i="7"/>
  <c r="BE23" i="7" a="1"/>
  <c r="BE23" i="7" s="1"/>
  <c r="BI23" i="7" a="1"/>
  <c r="BI23" i="7" s="1"/>
  <c r="M31" i="2" a="1"/>
  <c r="J31" i="2" a="1"/>
  <c r="U32" i="2"/>
  <c r="O31" i="2" a="1"/>
  <c r="S32" i="2"/>
  <c r="N31" i="2" a="1"/>
  <c r="T32" i="2"/>
  <c r="R32" i="2"/>
  <c r="K31" i="2" a="1"/>
  <c r="Q32" i="2"/>
  <c r="L31" i="2" a="1"/>
  <c r="P32" i="2"/>
  <c r="BE24" i="7" l="1" a="1"/>
  <c r="BE24" i="7" s="1"/>
  <c r="BM24" i="7" a="1"/>
  <c r="BM24" i="7" s="1"/>
  <c r="AN26" i="7" a="1"/>
  <c r="AN26" i="7" s="1"/>
  <c r="AD26" i="7" a="1"/>
  <c r="AD26" i="7" s="1"/>
  <c r="AF26" i="7" a="1"/>
  <c r="AF26" i="7" s="1"/>
  <c r="BK24" i="7" a="1"/>
  <c r="BK24" i="7" s="1"/>
  <c r="BF24" i="7" a="1"/>
  <c r="BF24" i="7" s="1"/>
  <c r="AC26" i="7" a="1"/>
  <c r="AC26" i="7" s="1"/>
  <c r="BD24" i="7" a="1"/>
  <c r="BD24" i="7" s="1"/>
  <c r="BB24" i="7" a="1"/>
  <c r="BB24" i="7" s="1"/>
  <c r="AZ24" i="7" a="1"/>
  <c r="AZ24" i="7" s="1"/>
  <c r="AQ26" i="7" a="1"/>
  <c r="AQ26" i="7" s="1"/>
  <c r="AJ26" i="7" a="1"/>
  <c r="AJ26" i="7" s="1"/>
  <c r="AI26" i="7" a="1"/>
  <c r="AI26" i="7" s="1"/>
  <c r="AG26" i="7" a="1"/>
  <c r="AG26" i="7" s="1"/>
  <c r="AE26" i="7" a="1"/>
  <c r="AE26" i="7" s="1"/>
  <c r="AP26" i="7" a="1"/>
  <c r="AP26" i="7" s="1"/>
  <c r="BP24" i="7" a="1"/>
  <c r="BP24" i="7" s="1"/>
  <c r="AM26" i="7" a="1"/>
  <c r="AM26" i="7" s="1"/>
  <c r="AL26" i="7" a="1"/>
  <c r="AL26" i="7" s="1"/>
  <c r="AO26" i="7" a="1"/>
  <c r="AO26" i="7" s="1"/>
  <c r="AK26" i="7" a="1"/>
  <c r="AK26" i="7" s="1"/>
  <c r="BO24" i="7" a="1"/>
  <c r="BO24" i="7" s="1"/>
  <c r="BG24" i="7" a="1"/>
  <c r="BG24" i="7" s="1"/>
  <c r="BH24" i="7" a="1"/>
  <c r="BH24" i="7" s="1"/>
  <c r="BQ24" i="7" a="1"/>
  <c r="BQ24" i="7" s="1"/>
  <c r="BI24" i="7" a="1"/>
  <c r="BI24" i="7" s="1"/>
  <c r="BC24" i="7" a="1"/>
  <c r="BC24" i="7" s="1"/>
  <c r="BJ24" i="7" a="1"/>
  <c r="BJ24" i="7" s="1"/>
  <c r="V32" i="2"/>
  <c r="L31" i="2"/>
  <c r="K31" i="2"/>
  <c r="N31" i="2"/>
  <c r="O31" i="2"/>
  <c r="J31" i="2"/>
  <c r="M31" i="2"/>
  <c r="LW27" i="8"/>
  <c r="MH2" i="8"/>
  <c r="W28" i="7"/>
  <c r="AB28" i="7" s="1"/>
  <c r="X28" i="7"/>
  <c r="V29" i="7"/>
  <c r="AA27" i="7"/>
  <c r="Y27" i="7"/>
  <c r="F27" i="7" s="1"/>
  <c r="AL27" i="7" s="1" a="1"/>
  <c r="AL27" i="7" s="1"/>
  <c r="Z27" i="7"/>
  <c r="FF4" i="8"/>
  <c r="FG2" i="8" s="1"/>
  <c r="E29" i="7"/>
  <c r="EN14" i="8"/>
  <c r="EN39" i="8" s="1"/>
  <c r="ES13" i="8"/>
  <c r="ES38" i="8" s="1"/>
  <c r="EN13" i="8"/>
  <c r="EN38" i="8" s="1"/>
  <c r="M30" i="7"/>
  <c r="N30" i="7" s="1"/>
  <c r="O30" i="7" s="1"/>
  <c r="S30" i="7"/>
  <c r="T30" i="7" s="1"/>
  <c r="U30" i="7" s="1"/>
  <c r="G30" i="7"/>
  <c r="H30" i="7" s="1"/>
  <c r="I30" i="7" s="1"/>
  <c r="D30" i="7"/>
  <c r="P30" i="7"/>
  <c r="Q30" i="7" s="1"/>
  <c r="R30" i="7" s="1"/>
  <c r="J30" i="7"/>
  <c r="K30" i="7" s="1"/>
  <c r="L30" i="7" s="1"/>
  <c r="AT25" i="7"/>
  <c r="AE27" i="7" a="1"/>
  <c r="AE27" i="7" s="1"/>
  <c r="AK27" i="7" a="1"/>
  <c r="AK27" i="7" s="1"/>
  <c r="AN27" i="7" a="1"/>
  <c r="AN27" i="7" s="1"/>
  <c r="A32" i="7" a="1"/>
  <c r="A32" i="7" s="1"/>
  <c r="C31" i="7" a="1"/>
  <c r="C31" i="7" s="1"/>
  <c r="B31" i="7"/>
  <c r="AS26" i="7"/>
  <c r="EO26" i="8"/>
  <c r="ES4" i="8"/>
  <c r="ES29" i="8" s="1"/>
  <c r="ES6" i="8"/>
  <c r="ES31" i="8" s="1"/>
  <c r="ES3" i="8"/>
  <c r="ES28" i="8" s="1"/>
  <c r="ES5" i="8"/>
  <c r="ES30" i="8" s="1"/>
  <c r="I34" i="2"/>
  <c r="AU25" i="7"/>
  <c r="J32" i="2" a="1"/>
  <c r="M32" i="2" a="1"/>
  <c r="Q33" i="2"/>
  <c r="O32" i="2" a="1"/>
  <c r="P33" i="2"/>
  <c r="K32" i="2" a="1"/>
  <c r="T33" i="2"/>
  <c r="L32" i="2" a="1"/>
  <c r="N32" i="2" a="1"/>
  <c r="U33" i="2"/>
  <c r="S33" i="2"/>
  <c r="R33" i="2"/>
  <c r="AP27" i="7" l="1" a="1"/>
  <c r="AP27" i="7" s="1"/>
  <c r="AO27" i="7" a="1"/>
  <c r="AO27" i="7" s="1"/>
  <c r="AJ27" i="7" a="1"/>
  <c r="AJ27" i="7" s="1"/>
  <c r="AD27" i="7" a="1"/>
  <c r="AD27" i="7" s="1"/>
  <c r="AM27" i="7" a="1"/>
  <c r="AM27" i="7" s="1"/>
  <c r="AC27" i="7" a="1"/>
  <c r="AC27" i="7" s="1"/>
  <c r="AG27" i="7" a="1"/>
  <c r="AG27" i="7" s="1"/>
  <c r="AH27" i="7" a="1"/>
  <c r="AH27" i="7" s="1"/>
  <c r="AI27" i="7" a="1"/>
  <c r="AI27" i="7" s="1"/>
  <c r="AF27" i="7" a="1"/>
  <c r="AF27" i="7" s="1"/>
  <c r="AQ27" i="7" a="1"/>
  <c r="AQ27" i="7" s="1"/>
  <c r="AU26" i="7"/>
  <c r="AV26" i="7" s="1"/>
  <c r="AT26" i="7"/>
  <c r="N32" i="2"/>
  <c r="L32" i="2"/>
  <c r="K32" i="2"/>
  <c r="V33" i="2"/>
  <c r="O32" i="2"/>
  <c r="M32" i="2"/>
  <c r="J32" i="2"/>
  <c r="MH27" i="8"/>
  <c r="MS2" i="8"/>
  <c r="W29" i="7"/>
  <c r="AB29" i="7" s="1"/>
  <c r="X29" i="7"/>
  <c r="V30" i="7"/>
  <c r="G31" i="7"/>
  <c r="H31" i="7" s="1"/>
  <c r="I31" i="7" s="1"/>
  <c r="M31" i="7"/>
  <c r="N31" i="7" s="1"/>
  <c r="O31" i="7" s="1"/>
  <c r="D31" i="7"/>
  <c r="S31" i="7"/>
  <c r="T31" i="7" s="1"/>
  <c r="U31" i="7" s="1"/>
  <c r="J31" i="7"/>
  <c r="K31" i="7" s="1"/>
  <c r="L31" i="7" s="1"/>
  <c r="P31" i="7"/>
  <c r="Q31" i="7" s="1"/>
  <c r="R31" i="7" s="1"/>
  <c r="E30" i="7"/>
  <c r="Y28" i="7"/>
  <c r="F28" i="7" s="1"/>
  <c r="AJ28" i="7" s="1" a="1"/>
  <c r="AJ28" i="7" s="1"/>
  <c r="AA28" i="7"/>
  <c r="Z28" i="7"/>
  <c r="B32" i="7"/>
  <c r="C32" i="7" a="1"/>
  <c r="C32" i="7" s="1"/>
  <c r="A33" i="7" a="1"/>
  <c r="A33" i="7" s="1"/>
  <c r="AV25" i="7"/>
  <c r="AW25" i="7"/>
  <c r="AX25" i="7" s="1"/>
  <c r="I35" i="2"/>
  <c r="EY15" i="8"/>
  <c r="EY40" i="8" s="1"/>
  <c r="FD14" i="8"/>
  <c r="FD39" i="8" s="1"/>
  <c r="EY21" i="8"/>
  <c r="EY12" i="8"/>
  <c r="EY37" i="8" s="1"/>
  <c r="FG4" i="8"/>
  <c r="FQ1" i="8"/>
  <c r="FQ2" i="8" s="1"/>
  <c r="FD12" i="8"/>
  <c r="FD37" i="8" s="1"/>
  <c r="FD11" i="8"/>
  <c r="FD36" i="8" s="1"/>
  <c r="FD15" i="8"/>
  <c r="FD40" i="8" s="1"/>
  <c r="EY11" i="8"/>
  <c r="EY36" i="8" s="1"/>
  <c r="FD10" i="8"/>
  <c r="FD35" i="8" s="1"/>
  <c r="EY10" i="8"/>
  <c r="EY35" i="8" s="1"/>
  <c r="EY3" i="8"/>
  <c r="EY28" i="8" s="1"/>
  <c r="EZ1" i="8"/>
  <c r="AS27" i="7"/>
  <c r="L33" i="2" a="1"/>
  <c r="J33" i="2" a="1"/>
  <c r="P34" i="2"/>
  <c r="M33" i="2" a="1"/>
  <c r="T34" i="2"/>
  <c r="S34" i="2"/>
  <c r="O33" i="2" a="1"/>
  <c r="K33" i="2" a="1"/>
  <c r="R34" i="2"/>
  <c r="Q34" i="2"/>
  <c r="N33" i="2" a="1"/>
  <c r="U34" i="2"/>
  <c r="AP28" i="7" l="1" a="1"/>
  <c r="AP28" i="7" s="1"/>
  <c r="AN28" i="7" a="1"/>
  <c r="AN28" i="7" s="1"/>
  <c r="AE28" i="7" a="1"/>
  <c r="AE28" i="7" s="1"/>
  <c r="AO28" i="7" a="1"/>
  <c r="AO28" i="7" s="1"/>
  <c r="AI28" i="7" a="1"/>
  <c r="AI28" i="7" s="1"/>
  <c r="AD28" i="7" a="1"/>
  <c r="AD28" i="7" s="1"/>
  <c r="AL28" i="7" a="1"/>
  <c r="AL28" i="7" s="1"/>
  <c r="AF28" i="7" a="1"/>
  <c r="AF28" i="7" s="1"/>
  <c r="AK28" i="7" a="1"/>
  <c r="AK28" i="7" s="1"/>
  <c r="AG28" i="7" a="1"/>
  <c r="AG28" i="7" s="1"/>
  <c r="AQ28" i="7" a="1"/>
  <c r="AQ28" i="7" s="1"/>
  <c r="AM28" i="7" a="1"/>
  <c r="AM28" i="7" s="1"/>
  <c r="AC28" i="7" a="1"/>
  <c r="AC28" i="7" s="1"/>
  <c r="AH28" i="7" a="1"/>
  <c r="AH28" i="7" s="1"/>
  <c r="BQ25" i="7" a="1"/>
  <c r="BQ25" i="7" s="1"/>
  <c r="BM25" i="7" a="1"/>
  <c r="BM25" i="7" s="1"/>
  <c r="BD25" i="7" a="1"/>
  <c r="BD25" i="7" s="1"/>
  <c r="BI25" i="7" a="1"/>
  <c r="BI25" i="7" s="1"/>
  <c r="BH25" i="7" a="1"/>
  <c r="BH25" i="7" s="1"/>
  <c r="AW26" i="7"/>
  <c r="AX26" i="7" s="1"/>
  <c r="N33" i="2"/>
  <c r="K33" i="2"/>
  <c r="O33" i="2"/>
  <c r="M33" i="2"/>
  <c r="V34" i="2"/>
  <c r="J33" i="2"/>
  <c r="L33" i="2"/>
  <c r="C33" i="7" a="1"/>
  <c r="C33" i="7" s="1"/>
  <c r="B33" i="7"/>
  <c r="A34" i="7" a="1"/>
  <c r="A34" i="7" s="1"/>
  <c r="BA25" i="7" a="1"/>
  <c r="BA25" i="7" s="1"/>
  <c r="FQ4" i="8"/>
  <c r="FR2" i="8" s="1"/>
  <c r="I36" i="2"/>
  <c r="G32" i="7"/>
  <c r="H32" i="7" s="1"/>
  <c r="I32" i="7" s="1"/>
  <c r="S32" i="7"/>
  <c r="T32" i="7" s="1"/>
  <c r="U32" i="7" s="1"/>
  <c r="P32" i="7"/>
  <c r="Q32" i="7" s="1"/>
  <c r="R32" i="7" s="1"/>
  <c r="D32" i="7"/>
  <c r="M32" i="7"/>
  <c r="N32" i="7" s="1"/>
  <c r="O32" i="7" s="1"/>
  <c r="J32" i="7"/>
  <c r="K32" i="7" s="1"/>
  <c r="L32" i="7" s="1"/>
  <c r="AZ25" i="7" a="1"/>
  <c r="AZ25" i="7" s="1"/>
  <c r="BC25" i="7" a="1"/>
  <c r="BC25" i="7" s="1"/>
  <c r="BK25" i="7" a="1"/>
  <c r="BK25" i="7" s="1"/>
  <c r="BO25" i="7" a="1"/>
  <c r="BO25" i="7" s="1"/>
  <c r="EZ26" i="8"/>
  <c r="FD6" i="8"/>
  <c r="FD31" i="8" s="1"/>
  <c r="FD4" i="8"/>
  <c r="FD29" i="8" s="1"/>
  <c r="FD3" i="8"/>
  <c r="FD28" i="8" s="1"/>
  <c r="FD5" i="8"/>
  <c r="FD30" i="8" s="1"/>
  <c r="AU27" i="7"/>
  <c r="BJ25" i="7" a="1"/>
  <c r="BJ25" i="7" s="1"/>
  <c r="EY14" i="8"/>
  <c r="EY39" i="8" s="1"/>
  <c r="EY13" i="8"/>
  <c r="EY38" i="8" s="1"/>
  <c r="FD13" i="8"/>
  <c r="FD38" i="8" s="1"/>
  <c r="BL25" i="7" a="1"/>
  <c r="BL25" i="7" s="1"/>
  <c r="AT28" i="7"/>
  <c r="AS28" i="7"/>
  <c r="X30" i="7"/>
  <c r="W30" i="7"/>
  <c r="AB30" i="7" s="1"/>
  <c r="V31" i="7"/>
  <c r="BN25" i="7" a="1"/>
  <c r="BN25" i="7" s="1"/>
  <c r="AA29" i="7"/>
  <c r="Y29" i="7"/>
  <c r="F29" i="7" s="1"/>
  <c r="AJ29" i="7" s="1" a="1"/>
  <c r="AJ29" i="7" s="1"/>
  <c r="Z29" i="7"/>
  <c r="BP25" i="7" a="1"/>
  <c r="BP25" i="7" s="1"/>
  <c r="BG25" i="7" a="1"/>
  <c r="BG25" i="7" s="1"/>
  <c r="AG29" i="7" a="1"/>
  <c r="AG29" i="7" s="1"/>
  <c r="AI29" i="7" a="1"/>
  <c r="AI29" i="7" s="1"/>
  <c r="MS27" i="8"/>
  <c r="ND2" i="8"/>
  <c r="BE25" i="7" a="1"/>
  <c r="BE25" i="7" s="1"/>
  <c r="AT27" i="7"/>
  <c r="BF25" i="7" a="1"/>
  <c r="BF25" i="7" s="1"/>
  <c r="BB25" i="7" a="1"/>
  <c r="BB25" i="7" s="1"/>
  <c r="E31" i="7"/>
  <c r="O34" i="2" a="1"/>
  <c r="T35" i="2"/>
  <c r="R35" i="2"/>
  <c r="K34" i="2" a="1"/>
  <c r="J34" i="2" a="1"/>
  <c r="Q35" i="2"/>
  <c r="L34" i="2" a="1"/>
  <c r="P35" i="2"/>
  <c r="S35" i="2"/>
  <c r="M34" i="2" a="1"/>
  <c r="U35" i="2"/>
  <c r="N34" i="2" a="1"/>
  <c r="AC29" i="7" l="1" a="1"/>
  <c r="AC29" i="7" s="1"/>
  <c r="AK29" i="7" a="1"/>
  <c r="AK29" i="7" s="1"/>
  <c r="AP29" i="7" a="1"/>
  <c r="AP29" i="7" s="1"/>
  <c r="AQ29" i="7" a="1"/>
  <c r="AQ29" i="7" s="1"/>
  <c r="AF29" i="7" a="1"/>
  <c r="AF29" i="7" s="1"/>
  <c r="AM29" i="7" a="1"/>
  <c r="AM29" i="7" s="1"/>
  <c r="AE29" i="7" a="1"/>
  <c r="AE29" i="7" s="1"/>
  <c r="AL29" i="7" a="1"/>
  <c r="AL29" i="7" s="1"/>
  <c r="AD29" i="7" a="1"/>
  <c r="AD29" i="7" s="1"/>
  <c r="AO29" i="7" a="1"/>
  <c r="AO29" i="7" s="1"/>
  <c r="AH29" i="7" a="1"/>
  <c r="AH29" i="7" s="1"/>
  <c r="AN29" i="7" a="1"/>
  <c r="AN29" i="7" s="1"/>
  <c r="BQ26" i="7" a="1"/>
  <c r="BQ26" i="7" s="1"/>
  <c r="BG26" i="7" a="1"/>
  <c r="BG26" i="7" s="1"/>
  <c r="BH26" i="7" a="1"/>
  <c r="BH26" i="7" s="1"/>
  <c r="BI26" i="7" a="1"/>
  <c r="BI26" i="7" s="1"/>
  <c r="BO26" i="7" a="1"/>
  <c r="BO26" i="7" s="1"/>
  <c r="BJ26" i="7" a="1"/>
  <c r="BJ26" i="7" s="1"/>
  <c r="BM26" i="7" a="1"/>
  <c r="BM26" i="7" s="1"/>
  <c r="BB26" i="7" a="1"/>
  <c r="BB26" i="7" s="1"/>
  <c r="BN26" i="7" a="1"/>
  <c r="BN26" i="7" s="1"/>
  <c r="BE26" i="7" a="1"/>
  <c r="BE26" i="7" s="1"/>
  <c r="BF26" i="7" a="1"/>
  <c r="BF26" i="7" s="1"/>
  <c r="BC26" i="7" a="1"/>
  <c r="BC26" i="7" s="1"/>
  <c r="BK26" i="7" a="1"/>
  <c r="BK26" i="7" s="1"/>
  <c r="AZ26" i="7" a="1"/>
  <c r="AZ26" i="7" s="1"/>
  <c r="BD26" i="7" a="1"/>
  <c r="BD26" i="7" s="1"/>
  <c r="BP26" i="7" a="1"/>
  <c r="BP26" i="7" s="1"/>
  <c r="BL26" i="7" a="1"/>
  <c r="BL26" i="7" s="1"/>
  <c r="BA26" i="7" a="1"/>
  <c r="BA26" i="7" s="1"/>
  <c r="N34" i="2"/>
  <c r="M34" i="2"/>
  <c r="V35" i="2"/>
  <c r="L34" i="2"/>
  <c r="J34" i="2"/>
  <c r="K34" i="2"/>
  <c r="O34" i="2"/>
  <c r="AV27" i="7"/>
  <c r="AW27" i="7"/>
  <c r="AX27" i="7" s="1"/>
  <c r="FO14" i="8"/>
  <c r="FO39" i="8" s="1"/>
  <c r="FR4" i="8"/>
  <c r="FJ21" i="8"/>
  <c r="FO15" i="8"/>
  <c r="FO40" i="8" s="1"/>
  <c r="FO12" i="8"/>
  <c r="FO37" i="8" s="1"/>
  <c r="FO11" i="8"/>
  <c r="FO36" i="8" s="1"/>
  <c r="FJ15" i="8"/>
  <c r="FJ40" i="8" s="1"/>
  <c r="FJ12" i="8"/>
  <c r="FJ37" i="8" s="1"/>
  <c r="FJ11" i="8"/>
  <c r="FJ36" i="8" s="1"/>
  <c r="FO10" i="8"/>
  <c r="FO35" i="8" s="1"/>
  <c r="FK1" i="8"/>
  <c r="FJ10" i="8"/>
  <c r="FJ35" i="8" s="1"/>
  <c r="FJ3" i="8"/>
  <c r="FJ28" i="8" s="1"/>
  <c r="GB1" i="8"/>
  <c r="GB2" i="8" s="1"/>
  <c r="C34" i="7" a="1"/>
  <c r="C34" i="7" s="1"/>
  <c r="A35" i="7" a="1"/>
  <c r="A35" i="7" s="1"/>
  <c r="B34" i="7"/>
  <c r="ND27" i="8"/>
  <c r="NO2" i="8"/>
  <c r="AS29" i="7"/>
  <c r="AU28" i="7"/>
  <c r="I37" i="2"/>
  <c r="X31" i="7"/>
  <c r="W31" i="7"/>
  <c r="AB31" i="7" s="1"/>
  <c r="V32" i="7"/>
  <c r="E32" i="7"/>
  <c r="AA30" i="7"/>
  <c r="Z30" i="7"/>
  <c r="Y30" i="7"/>
  <c r="F30" i="7" s="1"/>
  <c r="AP30" i="7" s="1" a="1"/>
  <c r="AP30" i="7" s="1"/>
  <c r="S33" i="7"/>
  <c r="T33" i="7" s="1"/>
  <c r="U33" i="7" s="1"/>
  <c r="M33" i="7"/>
  <c r="N33" i="7" s="1"/>
  <c r="O33" i="7" s="1"/>
  <c r="J33" i="7"/>
  <c r="K33" i="7" s="1"/>
  <c r="L33" i="7" s="1"/>
  <c r="G33" i="7"/>
  <c r="H33" i="7" s="1"/>
  <c r="I33" i="7" s="1"/>
  <c r="D33" i="7"/>
  <c r="P33" i="7"/>
  <c r="Q33" i="7" s="1"/>
  <c r="R33" i="7" s="1"/>
  <c r="S36" i="2"/>
  <c r="U36" i="2"/>
  <c r="O35" i="2" a="1"/>
  <c r="L35" i="2" a="1"/>
  <c r="P36" i="2"/>
  <c r="M35" i="2" a="1"/>
  <c r="N35" i="2" a="1"/>
  <c r="Q36" i="2"/>
  <c r="J35" i="2" a="1"/>
  <c r="R36" i="2"/>
  <c r="K35" i="2" a="1"/>
  <c r="T36" i="2"/>
  <c r="AN30" i="7" l="1" a="1"/>
  <c r="AN30" i="7" s="1"/>
  <c r="AE30" i="7" a="1"/>
  <c r="AE30" i="7" s="1"/>
  <c r="AF30" i="7" a="1"/>
  <c r="AF30" i="7" s="1"/>
  <c r="AI30" i="7" a="1"/>
  <c r="AI30" i="7" s="1"/>
  <c r="AO30" i="7" a="1"/>
  <c r="AO30" i="7" s="1"/>
  <c r="AK30" i="7" a="1"/>
  <c r="AK30" i="7" s="1"/>
  <c r="AL30" i="7" a="1"/>
  <c r="AL30" i="7" s="1"/>
  <c r="AH30" i="7" a="1"/>
  <c r="AH30" i="7" s="1"/>
  <c r="AG30" i="7" a="1"/>
  <c r="AG30" i="7" s="1"/>
  <c r="AC30" i="7" a="1"/>
  <c r="AC30" i="7" s="1"/>
  <c r="AJ30" i="7" a="1"/>
  <c r="AJ30" i="7" s="1"/>
  <c r="AD30" i="7" a="1"/>
  <c r="AD30" i="7" s="1"/>
  <c r="AQ30" i="7" a="1"/>
  <c r="AQ30" i="7" s="1"/>
  <c r="AM30" i="7" a="1"/>
  <c r="AM30" i="7" s="1"/>
  <c r="BP27" i="7" a="1"/>
  <c r="BP27" i="7" s="1"/>
  <c r="BB27" i="7" a="1"/>
  <c r="BB27" i="7" s="1"/>
  <c r="BN27" i="7" a="1"/>
  <c r="BN27" i="7" s="1"/>
  <c r="AZ27" i="7" a="1"/>
  <c r="AZ27" i="7" s="1"/>
  <c r="BF27" i="7" a="1"/>
  <c r="BF27" i="7" s="1"/>
  <c r="K35" i="2"/>
  <c r="J35" i="2"/>
  <c r="N35" i="2"/>
  <c r="M35" i="2"/>
  <c r="V36" i="2"/>
  <c r="L35" i="2"/>
  <c r="O35" i="2"/>
  <c r="E33" i="7"/>
  <c r="BD27" i="7" a="1"/>
  <c r="BD27" i="7" s="1"/>
  <c r="FO13" i="8"/>
  <c r="FO38" i="8" s="1"/>
  <c r="FJ13" i="8"/>
  <c r="FJ38" i="8" s="1"/>
  <c r="FJ14" i="8"/>
  <c r="FJ39" i="8" s="1"/>
  <c r="BC27" i="7" a="1"/>
  <c r="BC27" i="7" s="1"/>
  <c r="BO27" i="7" a="1"/>
  <c r="BO27" i="7" s="1"/>
  <c r="C35" i="7" a="1"/>
  <c r="C35" i="7" s="1"/>
  <c r="B35" i="7"/>
  <c r="A36" i="7" a="1"/>
  <c r="A36" i="7" s="1"/>
  <c r="BG27" i="7" a="1"/>
  <c r="BG27" i="7" s="1"/>
  <c r="BI27" i="7" a="1"/>
  <c r="BI27" i="7" s="1"/>
  <c r="W32" i="7"/>
  <c r="AB32" i="7" s="1"/>
  <c r="X32" i="7"/>
  <c r="V33" i="7"/>
  <c r="I38" i="2"/>
  <c r="AT29" i="7"/>
  <c r="M34" i="7"/>
  <c r="N34" i="7" s="1"/>
  <c r="O34" i="7" s="1"/>
  <c r="S34" i="7"/>
  <c r="T34" i="7" s="1"/>
  <c r="U34" i="7" s="1"/>
  <c r="G34" i="7"/>
  <c r="H34" i="7" s="1"/>
  <c r="I34" i="7" s="1"/>
  <c r="D34" i="7"/>
  <c r="P34" i="7"/>
  <c r="Q34" i="7" s="1"/>
  <c r="R34" i="7" s="1"/>
  <c r="J34" i="7"/>
  <c r="K34" i="7" s="1"/>
  <c r="L34" i="7" s="1"/>
  <c r="BL27" i="7" a="1"/>
  <c r="BL27" i="7" s="1"/>
  <c r="BH27" i="7" a="1"/>
  <c r="BH27" i="7" s="1"/>
  <c r="AW28" i="7"/>
  <c r="AX28" i="7" s="1"/>
  <c r="GB4" i="8"/>
  <c r="GC2" i="8" s="1"/>
  <c r="BA27" i="7" a="1"/>
  <c r="BA27" i="7" s="1"/>
  <c r="AS30" i="7"/>
  <c r="AT30" i="7" s="1"/>
  <c r="AA31" i="7"/>
  <c r="Y31" i="7"/>
  <c r="F31" i="7" s="1"/>
  <c r="AI31" i="7" s="1" a="1"/>
  <c r="AI31" i="7" s="1"/>
  <c r="Z31" i="7"/>
  <c r="BK27" i="7" a="1"/>
  <c r="BK27" i="7" s="1"/>
  <c r="BE27" i="7" a="1"/>
  <c r="BE27" i="7" s="1"/>
  <c r="NO27" i="8"/>
  <c r="NZ2" i="8"/>
  <c r="AU29" i="7"/>
  <c r="BM27" i="7" a="1"/>
  <c r="BM27" i="7" s="1"/>
  <c r="BJ27" i="7" a="1"/>
  <c r="BJ27" i="7" s="1"/>
  <c r="BQ27" i="7" a="1"/>
  <c r="BQ27" i="7" s="1"/>
  <c r="AV28" i="7"/>
  <c r="BB28" i="7" s="1" a="1"/>
  <c r="BB28" i="7" s="1"/>
  <c r="FK26" i="8"/>
  <c r="FO3" i="8"/>
  <c r="FO28" i="8" s="1"/>
  <c r="FO5" i="8"/>
  <c r="FO30" i="8" s="1"/>
  <c r="FO6" i="8"/>
  <c r="FO31" i="8" s="1"/>
  <c r="FO4" i="8"/>
  <c r="FO29" i="8" s="1"/>
  <c r="N36" i="2" a="1"/>
  <c r="P37" i="2"/>
  <c r="L36" i="2" a="1"/>
  <c r="U37" i="2"/>
  <c r="O36" i="2" a="1"/>
  <c r="R37" i="2"/>
  <c r="K36" i="2" a="1"/>
  <c r="M36" i="2" a="1"/>
  <c r="Q37" i="2"/>
  <c r="T37" i="2"/>
  <c r="J36" i="2" a="1"/>
  <c r="S37" i="2"/>
  <c r="AF31" i="7" l="1" a="1"/>
  <c r="AF31" i="7" s="1"/>
  <c r="AH31" i="7" a="1"/>
  <c r="AH31" i="7" s="1"/>
  <c r="AP31" i="7" a="1"/>
  <c r="AP31" i="7" s="1"/>
  <c r="AC31" i="7" a="1"/>
  <c r="AC31" i="7" s="1"/>
  <c r="AL31" i="7" a="1"/>
  <c r="AL31" i="7" s="1"/>
  <c r="AK31" i="7" a="1"/>
  <c r="AK31" i="7" s="1"/>
  <c r="AE31" i="7" a="1"/>
  <c r="AE31" i="7" s="1"/>
  <c r="AN31" i="7" a="1"/>
  <c r="AN31" i="7" s="1"/>
  <c r="AD31" i="7" a="1"/>
  <c r="AD31" i="7" s="1"/>
  <c r="AO31" i="7" a="1"/>
  <c r="AO31" i="7" s="1"/>
  <c r="AG31" i="7" a="1"/>
  <c r="AG31" i="7" s="1"/>
  <c r="AM31" i="7" a="1"/>
  <c r="AM31" i="7" s="1"/>
  <c r="AJ31" i="7" a="1"/>
  <c r="AJ31" i="7" s="1"/>
  <c r="AQ31" i="7" a="1"/>
  <c r="AQ31" i="7" s="1"/>
  <c r="BI28" i="7" a="1"/>
  <c r="BI28" i="7" s="1"/>
  <c r="BJ28" i="7" a="1"/>
  <c r="BJ28" i="7" s="1"/>
  <c r="BG28" i="7" a="1"/>
  <c r="BG28" i="7" s="1"/>
  <c r="BC28" i="7" a="1"/>
  <c r="BC28" i="7" s="1"/>
  <c r="BK28" i="7" a="1"/>
  <c r="BK28" i="7" s="1"/>
  <c r="J36" i="2"/>
  <c r="M36" i="2"/>
  <c r="K36" i="2"/>
  <c r="O36" i="2"/>
  <c r="L36" i="2"/>
  <c r="V37" i="2"/>
  <c r="N36" i="2"/>
  <c r="FZ15" i="8"/>
  <c r="FZ40" i="8" s="1"/>
  <c r="FZ12" i="8"/>
  <c r="FZ37" i="8" s="1"/>
  <c r="FZ11" i="8"/>
  <c r="FZ36" i="8" s="1"/>
  <c r="FZ10" i="8"/>
  <c r="FZ35" i="8" s="1"/>
  <c r="FU12" i="8"/>
  <c r="FU37" i="8" s="1"/>
  <c r="FU11" i="8"/>
  <c r="FU36" i="8" s="1"/>
  <c r="FU10" i="8"/>
  <c r="FU35" i="8" s="1"/>
  <c r="FU3" i="8"/>
  <c r="FU28" i="8" s="1"/>
  <c r="FU15" i="8"/>
  <c r="FU40" i="8" s="1"/>
  <c r="FZ14" i="8"/>
  <c r="FZ39" i="8" s="1"/>
  <c r="GC4" i="8"/>
  <c r="GM1" i="8"/>
  <c r="GM2" i="8" s="1"/>
  <c r="FU21" i="8"/>
  <c r="FV1" i="8"/>
  <c r="AZ28" i="7" a="1"/>
  <c r="AZ28" i="7" s="1"/>
  <c r="I39" i="2"/>
  <c r="BE28" i="7" a="1"/>
  <c r="BE28" i="7" s="1"/>
  <c r="B36" i="7"/>
  <c r="A37" i="7" a="1"/>
  <c r="A37" i="7" s="1"/>
  <c r="C36" i="7" a="1"/>
  <c r="C36" i="7" s="1"/>
  <c r="BN28" i="7" a="1"/>
  <c r="BN28" i="7" s="1"/>
  <c r="NZ27" i="8"/>
  <c r="OK2" i="8"/>
  <c r="AS31" i="7"/>
  <c r="AU31" i="7" s="1"/>
  <c r="E34" i="7"/>
  <c r="W33" i="7"/>
  <c r="AB33" i="7" s="1"/>
  <c r="X33" i="7"/>
  <c r="V34" i="7"/>
  <c r="BO28" i="7" a="1"/>
  <c r="BO28" i="7" s="1"/>
  <c r="BQ28" i="7" a="1"/>
  <c r="BQ28" i="7" s="1"/>
  <c r="Y32" i="7"/>
  <c r="F32" i="7" s="1"/>
  <c r="AF32" i="7" s="1" a="1"/>
  <c r="AF32" i="7" s="1"/>
  <c r="AA32" i="7"/>
  <c r="Z32" i="7"/>
  <c r="G35" i="7"/>
  <c r="H35" i="7" s="1"/>
  <c r="M35" i="7"/>
  <c r="N35" i="7" s="1"/>
  <c r="O35" i="7" s="1"/>
  <c r="P35" i="7"/>
  <c r="Q35" i="7" s="1"/>
  <c r="R35" i="7" s="1"/>
  <c r="D35" i="7"/>
  <c r="J35" i="7"/>
  <c r="K35" i="7" s="1"/>
  <c r="L35" i="7" s="1"/>
  <c r="S35" i="7"/>
  <c r="T35" i="7" s="1"/>
  <c r="U35" i="7" s="1"/>
  <c r="AU30" i="7"/>
  <c r="AV30" i="7" s="1"/>
  <c r="AV29" i="7"/>
  <c r="AW29" i="7"/>
  <c r="AX29" i="7" s="1"/>
  <c r="BA28" i="7" a="1"/>
  <c r="BA28" i="7" s="1"/>
  <c r="BP28" i="7" a="1"/>
  <c r="BP28" i="7" s="1"/>
  <c r="BH28" i="7" a="1"/>
  <c r="BH28" i="7" s="1"/>
  <c r="BD28" i="7" a="1"/>
  <c r="BD28" i="7" s="1"/>
  <c r="BM28" i="7" a="1"/>
  <c r="BM28" i="7" s="1"/>
  <c r="BL28" i="7" a="1"/>
  <c r="BL28" i="7" s="1"/>
  <c r="BF28" i="7" a="1"/>
  <c r="BF28" i="7" s="1"/>
  <c r="M37" i="2" a="1"/>
  <c r="O37" i="2" a="1"/>
  <c r="S38" i="2"/>
  <c r="Q38" i="2"/>
  <c r="N37" i="2" a="1"/>
  <c r="J37" i="2" a="1"/>
  <c r="K37" i="2" a="1"/>
  <c r="P38" i="2"/>
  <c r="U38" i="2"/>
  <c r="T38" i="2"/>
  <c r="L37" i="2" a="1"/>
  <c r="R38" i="2"/>
  <c r="AM32" i="7" l="1" a="1"/>
  <c r="AM32" i="7" s="1"/>
  <c r="AJ32" i="7" a="1"/>
  <c r="AJ32" i="7" s="1"/>
  <c r="AO32" i="7" a="1"/>
  <c r="AO32" i="7" s="1"/>
  <c r="AG32" i="7" a="1"/>
  <c r="AG32" i="7" s="1"/>
  <c r="AK32" i="7" a="1"/>
  <c r="AK32" i="7" s="1"/>
  <c r="AL32" i="7" a="1"/>
  <c r="AL32" i="7" s="1"/>
  <c r="AI32" i="7" a="1"/>
  <c r="AI32" i="7" s="1"/>
  <c r="AH32" i="7" a="1"/>
  <c r="AH32" i="7" s="1"/>
  <c r="AD32" i="7" a="1"/>
  <c r="AD32" i="7" s="1"/>
  <c r="AE32" i="7" a="1"/>
  <c r="AE32" i="7" s="1"/>
  <c r="AC32" i="7" a="1"/>
  <c r="AC32" i="7" s="1"/>
  <c r="AP32" i="7" a="1"/>
  <c r="AP32" i="7" s="1"/>
  <c r="AQ32" i="7" a="1"/>
  <c r="AQ32" i="7" s="1"/>
  <c r="AN32" i="7" a="1"/>
  <c r="AN32" i="7" s="1"/>
  <c r="BB29" i="7" a="1"/>
  <c r="BB29" i="7" s="1"/>
  <c r="AT31" i="7"/>
  <c r="BM29" i="7" a="1"/>
  <c r="BM29" i="7" s="1"/>
  <c r="L37" i="2"/>
  <c r="V38" i="2"/>
  <c r="K37" i="2"/>
  <c r="J37" i="2"/>
  <c r="N37" i="2"/>
  <c r="O37" i="2"/>
  <c r="M37" i="2"/>
  <c r="BE29" i="7" a="1"/>
  <c r="BE29" i="7" s="1"/>
  <c r="AZ29" i="7" a="1"/>
  <c r="AZ29" i="7" s="1"/>
  <c r="BO29" i="7" a="1"/>
  <c r="BO29" i="7" s="1"/>
  <c r="C37" i="7" a="1"/>
  <c r="C37" i="7" s="1"/>
  <c r="B37" i="7"/>
  <c r="A38" i="7" a="1"/>
  <c r="A38" i="7" s="1"/>
  <c r="AV31" i="7"/>
  <c r="I40" i="2"/>
  <c r="FZ5" i="8"/>
  <c r="FZ30" i="8" s="1"/>
  <c r="FZ3" i="8"/>
  <c r="FZ28" i="8" s="1"/>
  <c r="FV26" i="8"/>
  <c r="FZ4" i="8"/>
  <c r="FZ29" i="8" s="1"/>
  <c r="FZ6" i="8"/>
  <c r="FZ31" i="8" s="1"/>
  <c r="BL29" i="7" a="1"/>
  <c r="BL29" i="7" s="1"/>
  <c r="BG29" i="7" a="1"/>
  <c r="BG29" i="7" s="1"/>
  <c r="AO33" i="7" a="1"/>
  <c r="AO33" i="7" s="1"/>
  <c r="AA33" i="7"/>
  <c r="Y33" i="7"/>
  <c r="F33" i="7" s="1"/>
  <c r="AG33" i="7" s="1" a="1"/>
  <c r="AG33" i="7" s="1"/>
  <c r="Z33" i="7"/>
  <c r="GM4" i="8"/>
  <c r="GN2" i="8" s="1"/>
  <c r="BI29" i="7" a="1"/>
  <c r="BI29" i="7" s="1"/>
  <c r="FZ13" i="8"/>
  <c r="FZ38" i="8" s="1"/>
  <c r="FU14" i="8"/>
  <c r="FU39" i="8" s="1"/>
  <c r="FU13" i="8"/>
  <c r="FU38" i="8" s="1"/>
  <c r="AS32" i="7"/>
  <c r="AT32" i="7" s="1"/>
  <c r="BK29" i="7" a="1"/>
  <c r="BK29" i="7" s="1"/>
  <c r="BA29" i="7" a="1"/>
  <c r="BA29" i="7" s="1"/>
  <c r="BP29" i="7" a="1"/>
  <c r="BP29" i="7" s="1"/>
  <c r="BN29" i="7" a="1"/>
  <c r="BN29" i="7" s="1"/>
  <c r="BF29" i="7" a="1"/>
  <c r="BF29" i="7" s="1"/>
  <c r="AW31" i="7"/>
  <c r="AX31" i="7" s="1"/>
  <c r="AP33" i="7" a="1"/>
  <c r="AP33" i="7" s="1"/>
  <c r="BQ29" i="7" a="1"/>
  <c r="BQ29" i="7" s="1"/>
  <c r="E35" i="7"/>
  <c r="AN33" i="7" a="1"/>
  <c r="AN33" i="7" s="1"/>
  <c r="OK27" i="8"/>
  <c r="OV2" i="8"/>
  <c r="G36" i="7"/>
  <c r="H36" i="7" s="1"/>
  <c r="J36" i="7"/>
  <c r="K36" i="7" s="1"/>
  <c r="L36" i="7" s="1"/>
  <c r="S36" i="7"/>
  <c r="T36" i="7" s="1"/>
  <c r="U36" i="7" s="1"/>
  <c r="P36" i="7"/>
  <c r="Q36" i="7" s="1"/>
  <c r="R36" i="7" s="1"/>
  <c r="D36" i="7"/>
  <c r="M36" i="7"/>
  <c r="N36" i="7" s="1"/>
  <c r="O36" i="7" s="1"/>
  <c r="BH29" i="7" a="1"/>
  <c r="BH29" i="7" s="1"/>
  <c r="AW30" i="7"/>
  <c r="X34" i="7"/>
  <c r="W34" i="7"/>
  <c r="AB34" i="7" s="1"/>
  <c r="V35" i="7"/>
  <c r="BJ29" i="7" a="1"/>
  <c r="BJ29" i="7" s="1"/>
  <c r="BC29" i="7" a="1"/>
  <c r="BC29" i="7" s="1"/>
  <c r="AU32" i="7"/>
  <c r="BD29" i="7" a="1"/>
  <c r="BD29" i="7" s="1"/>
  <c r="L38" i="2" a="1"/>
  <c r="P39" i="2"/>
  <c r="K38" i="2" a="1"/>
  <c r="Q39" i="2"/>
  <c r="N38" i="2" a="1"/>
  <c r="M38" i="2" a="1"/>
  <c r="O38" i="2" a="1"/>
  <c r="S39" i="2"/>
  <c r="T39" i="2"/>
  <c r="J38" i="2" a="1"/>
  <c r="U39" i="2"/>
  <c r="R39" i="2"/>
  <c r="AQ33" i="7" l="1" a="1"/>
  <c r="AQ33" i="7" s="1"/>
  <c r="AC33" i="7" a="1"/>
  <c r="AC33" i="7" s="1"/>
  <c r="AE33" i="7" a="1"/>
  <c r="AE33" i="7" s="1"/>
  <c r="AF33" i="7" a="1"/>
  <c r="AF33" i="7" s="1"/>
  <c r="BC31" i="7" a="1"/>
  <c r="BC31" i="7" s="1"/>
  <c r="AL33" i="7" a="1"/>
  <c r="AL33" i="7" s="1"/>
  <c r="AH33" i="7" a="1"/>
  <c r="AH33" i="7" s="1"/>
  <c r="AI33" i="7" a="1"/>
  <c r="AI33" i="7" s="1"/>
  <c r="AD33" i="7" a="1"/>
  <c r="AD33" i="7" s="1"/>
  <c r="AJ33" i="7" a="1"/>
  <c r="AJ33" i="7" s="1"/>
  <c r="AM33" i="7" a="1"/>
  <c r="AM33" i="7" s="1"/>
  <c r="AK33" i="7" a="1"/>
  <c r="AK33" i="7" s="1"/>
  <c r="BK31" i="7" a="1"/>
  <c r="BK31" i="7" s="1"/>
  <c r="BE31" i="7" a="1"/>
  <c r="BE31" i="7" s="1"/>
  <c r="BJ31" i="7" a="1"/>
  <c r="BJ31" i="7" s="1"/>
  <c r="BO31" i="7" a="1"/>
  <c r="BO31" i="7" s="1"/>
  <c r="AZ31" i="7" a="1"/>
  <c r="AZ31" i="7" s="1"/>
  <c r="BL31" i="7" a="1"/>
  <c r="BL31" i="7" s="1"/>
  <c r="BM31" i="7" a="1"/>
  <c r="BM31" i="7" s="1"/>
  <c r="J38" i="2"/>
  <c r="O38" i="2"/>
  <c r="M38" i="2"/>
  <c r="N38" i="2"/>
  <c r="K38" i="2"/>
  <c r="V39" i="2"/>
  <c r="L38" i="2"/>
  <c r="GF15" i="8"/>
  <c r="GF40" i="8" s="1"/>
  <c r="GK12" i="8"/>
  <c r="GK37" i="8" s="1"/>
  <c r="GK11" i="8"/>
  <c r="GK36" i="8" s="1"/>
  <c r="GK10" i="8"/>
  <c r="GK35" i="8" s="1"/>
  <c r="GF21" i="8"/>
  <c r="GK14" i="8"/>
  <c r="GK39" i="8" s="1"/>
  <c r="GF10" i="8"/>
  <c r="GF35" i="8" s="1"/>
  <c r="GN4" i="8"/>
  <c r="GK15" i="8"/>
  <c r="GK40" i="8" s="1"/>
  <c r="GX1" i="8"/>
  <c r="GX2" i="8" s="1"/>
  <c r="GG1" i="8"/>
  <c r="GF12" i="8"/>
  <c r="GF37" i="8" s="1"/>
  <c r="GF11" i="8"/>
  <c r="GF36" i="8" s="1"/>
  <c r="GF3" i="8"/>
  <c r="GF28" i="8" s="1"/>
  <c r="E36" i="7"/>
  <c r="BN31" i="7" a="1"/>
  <c r="BN31" i="7" s="1"/>
  <c r="AS33" i="7"/>
  <c r="AT33" i="7" s="1"/>
  <c r="AW32" i="7"/>
  <c r="AX32" i="7" s="1"/>
  <c r="S37" i="7"/>
  <c r="T37" i="7" s="1"/>
  <c r="U37" i="7" s="1"/>
  <c r="D37" i="7"/>
  <c r="M37" i="7"/>
  <c r="N37" i="7" s="1"/>
  <c r="O37" i="7" s="1"/>
  <c r="J37" i="7"/>
  <c r="K37" i="7" s="1"/>
  <c r="L37" i="7" s="1"/>
  <c r="G37" i="7"/>
  <c r="H37" i="7" s="1"/>
  <c r="P37" i="7"/>
  <c r="Q37" i="7" s="1"/>
  <c r="R37" i="7" s="1"/>
  <c r="BF31" i="7" a="1"/>
  <c r="BF31" i="7" s="1"/>
  <c r="BH31" i="7" a="1"/>
  <c r="BH31" i="7" s="1"/>
  <c r="BB31" i="7" a="1"/>
  <c r="BB31" i="7" s="1"/>
  <c r="BD31" i="7" a="1"/>
  <c r="BD31" i="7" s="1"/>
  <c r="BP31" i="7" a="1"/>
  <c r="BP31" i="7" s="1"/>
  <c r="BI31" i="7" a="1"/>
  <c r="BI31" i="7" s="1"/>
  <c r="W35" i="7"/>
  <c r="AB35" i="7" s="1"/>
  <c r="X35" i="7"/>
  <c r="V36" i="7"/>
  <c r="AA34" i="7"/>
  <c r="Y34" i="7"/>
  <c r="F34" i="7" s="1"/>
  <c r="AN34" i="7" s="1" a="1"/>
  <c r="AN34" i="7" s="1"/>
  <c r="Z34" i="7"/>
  <c r="BG31" i="7" a="1"/>
  <c r="BG31" i="7" s="1"/>
  <c r="I41" i="2"/>
  <c r="C38" i="7" a="1"/>
  <c r="C38" i="7" s="1"/>
  <c r="A39" i="7" a="1"/>
  <c r="A39" i="7" s="1"/>
  <c r="B38" i="7"/>
  <c r="AV32" i="7"/>
  <c r="AX30" i="7"/>
  <c r="BM30" i="7" s="1" a="1"/>
  <c r="BM30" i="7" s="1"/>
  <c r="OV27" i="8"/>
  <c r="PG2" i="8"/>
  <c r="BQ31" i="7" a="1"/>
  <c r="BQ31" i="7" s="1"/>
  <c r="AU33" i="7"/>
  <c r="BA31" i="7" a="1"/>
  <c r="BA31" i="7" s="1"/>
  <c r="L39" i="2" a="1"/>
  <c r="K39" i="2" a="1"/>
  <c r="S40" i="2"/>
  <c r="O39" i="2" a="1"/>
  <c r="R40" i="2"/>
  <c r="J39" i="2" a="1"/>
  <c r="Q40" i="2"/>
  <c r="N39" i="2" a="1"/>
  <c r="M39" i="2" a="1"/>
  <c r="T40" i="2"/>
  <c r="U40" i="2"/>
  <c r="P40" i="2"/>
  <c r="AI34" i="7" l="1" a="1"/>
  <c r="AI34" i="7" s="1"/>
  <c r="AD34" i="7" a="1"/>
  <c r="AD34" i="7" s="1"/>
  <c r="AJ34" i="7" a="1"/>
  <c r="AJ34" i="7" s="1"/>
  <c r="AE34" i="7" a="1"/>
  <c r="AE34" i="7" s="1"/>
  <c r="AF34" i="7" a="1"/>
  <c r="AF34" i="7" s="1"/>
  <c r="AK34" i="7" a="1"/>
  <c r="AK34" i="7" s="1"/>
  <c r="AG34" i="7" a="1"/>
  <c r="AG34" i="7" s="1"/>
  <c r="AH34" i="7" a="1"/>
  <c r="AH34" i="7" s="1"/>
  <c r="AC34" i="7" a="1"/>
  <c r="AC34" i="7" s="1"/>
  <c r="AQ34" i="7" a="1"/>
  <c r="AQ34" i="7" s="1"/>
  <c r="AP34" i="7" a="1"/>
  <c r="AP34" i="7" s="1"/>
  <c r="AL34" i="7" a="1"/>
  <c r="AL34" i="7" s="1"/>
  <c r="AO34" i="7" a="1"/>
  <c r="AO34" i="7" s="1"/>
  <c r="AM34" i="7" a="1"/>
  <c r="AM34" i="7" s="1"/>
  <c r="BP30" i="7" a="1"/>
  <c r="BP30" i="7" s="1"/>
  <c r="BF32" i="7" a="1"/>
  <c r="BF32" i="7" s="1"/>
  <c r="BC32" i="7" a="1"/>
  <c r="BC32" i="7" s="1"/>
  <c r="BL32" i="7" a="1"/>
  <c r="BL32" i="7" s="1"/>
  <c r="BK32" i="7" a="1"/>
  <c r="BK32" i="7" s="1"/>
  <c r="BE32" i="7" a="1"/>
  <c r="BE32" i="7" s="1"/>
  <c r="BG32" i="7" a="1"/>
  <c r="BG32" i="7" s="1"/>
  <c r="BP32" i="7" a="1"/>
  <c r="BP32" i="7" s="1"/>
  <c r="BD30" i="7" a="1"/>
  <c r="BD30" i="7" s="1"/>
  <c r="BA32" i="7" a="1"/>
  <c r="BA32" i="7" s="1"/>
  <c r="V40" i="2"/>
  <c r="M39" i="2"/>
  <c r="N39" i="2"/>
  <c r="J39" i="2"/>
  <c r="O39" i="2"/>
  <c r="K39" i="2"/>
  <c r="L39" i="2"/>
  <c r="AW33" i="7"/>
  <c r="AX33" i="7" s="1"/>
  <c r="BI32" i="7" a="1"/>
  <c r="BI32" i="7" s="1"/>
  <c r="BH32" i="7" a="1"/>
  <c r="BH32" i="7" s="1"/>
  <c r="BO32" i="7" a="1"/>
  <c r="BO32" i="7" s="1"/>
  <c r="GF14" i="8"/>
  <c r="GF39" i="8" s="1"/>
  <c r="GK13" i="8"/>
  <c r="GK38" i="8" s="1"/>
  <c r="GF13" i="8"/>
  <c r="GF38" i="8" s="1"/>
  <c r="AV33" i="7"/>
  <c r="BI30" i="7" a="1"/>
  <c r="BI30" i="7" s="1"/>
  <c r="BJ32" i="7" a="1"/>
  <c r="BJ32" i="7" s="1"/>
  <c r="BD32" i="7" a="1"/>
  <c r="BD32" i="7" s="1"/>
  <c r="BB32" i="7" a="1"/>
  <c r="BB32" i="7" s="1"/>
  <c r="BQ32" i="7" a="1"/>
  <c r="BQ32" i="7" s="1"/>
  <c r="BK30" i="7" a="1"/>
  <c r="BK30" i="7" s="1"/>
  <c r="AZ32" i="7" a="1"/>
  <c r="AZ32" i="7" s="1"/>
  <c r="BN32" i="7" a="1"/>
  <c r="BN32" i="7" s="1"/>
  <c r="BM32" i="7" a="1"/>
  <c r="BM32" i="7" s="1"/>
  <c r="B39" i="7"/>
  <c r="A40" i="7" a="1"/>
  <c r="A40" i="7" s="1"/>
  <c r="C39" i="7" a="1"/>
  <c r="C39" i="7" s="1"/>
  <c r="M38" i="7"/>
  <c r="N38" i="7" s="1"/>
  <c r="O38" i="7" s="1"/>
  <c r="S38" i="7"/>
  <c r="T38" i="7" s="1"/>
  <c r="U38" i="7" s="1"/>
  <c r="G38" i="7"/>
  <c r="H38" i="7" s="1"/>
  <c r="I38" i="7" s="1"/>
  <c r="P38" i="7"/>
  <c r="Q38" i="7" s="1"/>
  <c r="R38" i="7" s="1"/>
  <c r="D38" i="7"/>
  <c r="J38" i="7"/>
  <c r="K38" i="7" s="1"/>
  <c r="L38" i="7" s="1"/>
  <c r="I42" i="2"/>
  <c r="Z35" i="7"/>
  <c r="I35" i="7" s="1"/>
  <c r="Y35" i="7"/>
  <c r="F35" i="7" s="1"/>
  <c r="AK35" i="7" s="1" a="1"/>
  <c r="AK35" i="7" s="1"/>
  <c r="AA35" i="7"/>
  <c r="BE30" i="7" a="1"/>
  <c r="BE30" i="7" s="1"/>
  <c r="BJ30" i="7" a="1"/>
  <c r="BJ30" i="7" s="1"/>
  <c r="BA30" i="7" a="1"/>
  <c r="BA30" i="7" s="1"/>
  <c r="BG30" i="7" a="1"/>
  <c r="BG30" i="7" s="1"/>
  <c r="AZ30" i="7" a="1"/>
  <c r="AZ30" i="7" s="1"/>
  <c r="BO30" i="7" a="1"/>
  <c r="BO30" i="7" s="1"/>
  <c r="BL30" i="7" a="1"/>
  <c r="BL30" i="7" s="1"/>
  <c r="AS34" i="7"/>
  <c r="AU34" i="7" s="1"/>
  <c r="AF35" i="7" a="1"/>
  <c r="AF35" i="7" s="1"/>
  <c r="PG27" i="8"/>
  <c r="PR2" i="8"/>
  <c r="BF30" i="7" a="1"/>
  <c r="BF30" i="7" s="1"/>
  <c r="BN30" i="7" a="1"/>
  <c r="BN30" i="7" s="1"/>
  <c r="E37" i="7"/>
  <c r="BQ30" i="7" a="1"/>
  <c r="BQ30" i="7" s="1"/>
  <c r="GK6" i="8"/>
  <c r="GK31" i="8" s="1"/>
  <c r="GG26" i="8"/>
  <c r="GK4" i="8"/>
  <c r="GK29" i="8" s="1"/>
  <c r="GK5" i="8"/>
  <c r="GK30" i="8" s="1"/>
  <c r="GK3" i="8"/>
  <c r="GK28" i="8" s="1"/>
  <c r="X36" i="7"/>
  <c r="W36" i="7"/>
  <c r="AB36" i="7" s="1"/>
  <c r="V37" i="7"/>
  <c r="BB30" i="7" a="1"/>
  <c r="BB30" i="7" s="1"/>
  <c r="BC30" i="7" a="1"/>
  <c r="BC30" i="7" s="1"/>
  <c r="BH30" i="7" a="1"/>
  <c r="BH30" i="7" s="1"/>
  <c r="GX4" i="8"/>
  <c r="GY2" i="8" s="1"/>
  <c r="J40" i="2" a="1"/>
  <c r="L40" i="2" a="1"/>
  <c r="U41" i="2"/>
  <c r="S41" i="2"/>
  <c r="O40" i="2" a="1"/>
  <c r="M40" i="2" a="1"/>
  <c r="R41" i="2"/>
  <c r="P41" i="2"/>
  <c r="N40" i="2" a="1"/>
  <c r="K40" i="2" a="1"/>
  <c r="T41" i="2"/>
  <c r="Q41" i="2"/>
  <c r="AI35" i="7" l="1" a="1"/>
  <c r="AI35" i="7" s="1"/>
  <c r="AE35" i="7" a="1"/>
  <c r="AE35" i="7" s="1"/>
  <c r="AG35" i="7" a="1"/>
  <c r="AG35" i="7" s="1"/>
  <c r="AD35" i="7" a="1"/>
  <c r="AD35" i="7" s="1"/>
  <c r="AP35" i="7" a="1"/>
  <c r="AP35" i="7" s="1"/>
  <c r="AL35" i="7" a="1"/>
  <c r="AL35" i="7" s="1"/>
  <c r="AM35" i="7" a="1"/>
  <c r="AM35" i="7" s="1"/>
  <c r="AO35" i="7" a="1"/>
  <c r="AO35" i="7" s="1"/>
  <c r="AN35" i="7" a="1"/>
  <c r="AN35" i="7" s="1"/>
  <c r="AJ35" i="7" a="1"/>
  <c r="AJ35" i="7" s="1"/>
  <c r="AQ35" i="7" a="1"/>
  <c r="AQ35" i="7" s="1"/>
  <c r="AC35" i="7" a="1"/>
  <c r="AC35" i="7" s="1"/>
  <c r="AH35" i="7" a="1"/>
  <c r="AH35" i="7" s="1"/>
  <c r="BA33" i="7" a="1"/>
  <c r="BA33" i="7" s="1"/>
  <c r="BF33" i="7" a="1"/>
  <c r="BF33" i="7" s="1"/>
  <c r="BE33" i="7" a="1"/>
  <c r="BE33" i="7" s="1"/>
  <c r="BK33" i="7" a="1"/>
  <c r="BK33" i="7" s="1"/>
  <c r="BG33" i="7" a="1"/>
  <c r="BG33" i="7" s="1"/>
  <c r="AZ33" i="7" a="1"/>
  <c r="AZ33" i="7" s="1"/>
  <c r="AW34" i="7"/>
  <c r="AX34" i="7" s="1"/>
  <c r="AV34" i="7"/>
  <c r="K40" i="2"/>
  <c r="N40" i="2"/>
  <c r="V41" i="2"/>
  <c r="M40" i="2"/>
  <c r="O40" i="2"/>
  <c r="L40" i="2"/>
  <c r="J40" i="2"/>
  <c r="I43" i="2"/>
  <c r="BL33" i="7" a="1"/>
  <c r="BL33" i="7" s="1"/>
  <c r="BI33" i="7" a="1"/>
  <c r="BI33" i="7" s="1"/>
  <c r="BC33" i="7" a="1"/>
  <c r="BC33" i="7" s="1"/>
  <c r="BP33" i="7" a="1"/>
  <c r="BP33" i="7" s="1"/>
  <c r="PR27" i="8"/>
  <c r="QC2" i="8"/>
  <c r="AT34" i="7"/>
  <c r="BQ33" i="7" a="1"/>
  <c r="BQ33" i="7" s="1"/>
  <c r="BD33" i="7" a="1"/>
  <c r="BD33" i="7" s="1"/>
  <c r="BO33" i="7" a="1"/>
  <c r="BO33" i="7" s="1"/>
  <c r="G39" i="7"/>
  <c r="H39" i="7" s="1"/>
  <c r="M39" i="7"/>
  <c r="N39" i="7" s="1"/>
  <c r="O39" i="7" s="1"/>
  <c r="J39" i="7"/>
  <c r="K39" i="7" s="1"/>
  <c r="L39" i="7" s="1"/>
  <c r="S39" i="7"/>
  <c r="T39" i="7" s="1"/>
  <c r="U39" i="7" s="1"/>
  <c r="D39" i="7"/>
  <c r="P39" i="7"/>
  <c r="Q39" i="7" s="1"/>
  <c r="R39" i="7" s="1"/>
  <c r="BH33" i="7" a="1"/>
  <c r="BH33" i="7" s="1"/>
  <c r="W37" i="7"/>
  <c r="AB37" i="7" s="1"/>
  <c r="X37" i="7"/>
  <c r="V38" i="7"/>
  <c r="BJ33" i="7" a="1"/>
  <c r="BJ33" i="7" s="1"/>
  <c r="AS35" i="7"/>
  <c r="AU35" i="7" s="1"/>
  <c r="AV35" i="7" s="1"/>
  <c r="B40" i="7"/>
  <c r="A41" i="7" a="1"/>
  <c r="A41" i="7" s="1"/>
  <c r="C40" i="7" a="1"/>
  <c r="C40" i="7" s="1"/>
  <c r="BM33" i="7" a="1"/>
  <c r="BM33" i="7" s="1"/>
  <c r="BB33" i="7" a="1"/>
  <c r="BB33" i="7" s="1"/>
  <c r="GQ15" i="8"/>
  <c r="GQ40" i="8" s="1"/>
  <c r="GQ21" i="8"/>
  <c r="GV15" i="8"/>
  <c r="GV40" i="8" s="1"/>
  <c r="GV14" i="8"/>
  <c r="GV39" i="8" s="1"/>
  <c r="GQ12" i="8"/>
  <c r="GQ37" i="8" s="1"/>
  <c r="GQ11" i="8"/>
  <c r="GQ36" i="8" s="1"/>
  <c r="HI1" i="8"/>
  <c r="HI2" i="8" s="1"/>
  <c r="GQ3" i="8"/>
  <c r="GQ28" i="8" s="1"/>
  <c r="GV12" i="8"/>
  <c r="GV37" i="8" s="1"/>
  <c r="GV11" i="8"/>
  <c r="GV36" i="8" s="1"/>
  <c r="GV10" i="8"/>
  <c r="GV35" i="8" s="1"/>
  <c r="GY4" i="8"/>
  <c r="GQ10" i="8"/>
  <c r="GQ35" i="8" s="1"/>
  <c r="GR1" i="8"/>
  <c r="E38" i="7"/>
  <c r="Y36" i="7"/>
  <c r="F36" i="7" s="1"/>
  <c r="AA36" i="7"/>
  <c r="Z36" i="7"/>
  <c r="I36" i="7" s="1"/>
  <c r="BN33" i="7" a="1"/>
  <c r="BN33" i="7" s="1"/>
  <c r="K41" i="2" a="1"/>
  <c r="N41" i="2" a="1"/>
  <c r="M41" i="2" a="1"/>
  <c r="P42" i="2"/>
  <c r="O41" i="2" a="1"/>
  <c r="J41" i="2" a="1"/>
  <c r="T42" i="2"/>
  <c r="U42" i="2"/>
  <c r="S42" i="2"/>
  <c r="L41" i="2" a="1"/>
  <c r="Q42" i="2"/>
  <c r="R42" i="2"/>
  <c r="AD36" i="7" l="1" a="1"/>
  <c r="AD36" i="7" s="1"/>
  <c r="AJ36" i="7" a="1"/>
  <c r="AJ36" i="7" s="1"/>
  <c r="AP36" i="7" a="1"/>
  <c r="AP36" i="7" s="1"/>
  <c r="AM36" i="7" a="1"/>
  <c r="AM36" i="7" s="1"/>
  <c r="AQ36" i="7" a="1"/>
  <c r="AQ36" i="7" s="1"/>
  <c r="AC36" i="7" a="1"/>
  <c r="AC36" i="7" s="1"/>
  <c r="AG36" i="7" a="1"/>
  <c r="AG36" i="7" s="1"/>
  <c r="AF36" i="7" a="1"/>
  <c r="AF36" i="7" s="1"/>
  <c r="AI36" i="7" a="1"/>
  <c r="AI36" i="7" s="1"/>
  <c r="AN36" i="7" a="1"/>
  <c r="AN36" i="7" s="1"/>
  <c r="AH36" i="7" a="1"/>
  <c r="AH36" i="7" s="1"/>
  <c r="AK36" i="7" a="1"/>
  <c r="AK36" i="7" s="1"/>
  <c r="AE36" i="7" a="1"/>
  <c r="AE36" i="7" s="1"/>
  <c r="AL36" i="7" a="1"/>
  <c r="AL36" i="7" s="1"/>
  <c r="AO36" i="7" a="1"/>
  <c r="AO36" i="7" s="1"/>
  <c r="BE34" i="7" a="1"/>
  <c r="BE34" i="7" s="1"/>
  <c r="BM34" i="7" a="1"/>
  <c r="BM34" i="7" s="1"/>
  <c r="BI34" i="7" a="1"/>
  <c r="BI34" i="7" s="1"/>
  <c r="BA34" i="7" a="1"/>
  <c r="BA34" i="7" s="1"/>
  <c r="BP34" i="7" a="1"/>
  <c r="BP34" i="7" s="1"/>
  <c r="L41" i="2"/>
  <c r="J41" i="2"/>
  <c r="O41" i="2"/>
  <c r="V42" i="2"/>
  <c r="M41" i="2"/>
  <c r="N41" i="2"/>
  <c r="K41" i="2"/>
  <c r="G40" i="7"/>
  <c r="H40" i="7" s="1"/>
  <c r="I40" i="7" s="1"/>
  <c r="P40" i="7"/>
  <c r="Q40" i="7" s="1"/>
  <c r="R40" i="7" s="1"/>
  <c r="D40" i="7"/>
  <c r="M40" i="7"/>
  <c r="N40" i="7" s="1"/>
  <c r="O40" i="7" s="1"/>
  <c r="J40" i="7"/>
  <c r="K40" i="7" s="1"/>
  <c r="L40" i="7" s="1"/>
  <c r="S40" i="7"/>
  <c r="T40" i="7" s="1"/>
  <c r="U40" i="7" s="1"/>
  <c r="HI4" i="8"/>
  <c r="HJ2" i="8" s="1"/>
  <c r="AT35" i="7"/>
  <c r="AZ34" i="7" a="1"/>
  <c r="AZ34" i="7" s="1"/>
  <c r="GR26" i="8"/>
  <c r="GV5" i="8"/>
  <c r="GV30" i="8" s="1"/>
  <c r="GV3" i="8"/>
  <c r="GV28" i="8" s="1"/>
  <c r="GV6" i="8"/>
  <c r="GV31" i="8" s="1"/>
  <c r="GV4" i="8"/>
  <c r="GV29" i="8" s="1"/>
  <c r="E39" i="7"/>
  <c r="AW35" i="7"/>
  <c r="AX35" i="7" s="1"/>
  <c r="BI35" i="7" s="1" a="1"/>
  <c r="BI35" i="7" s="1"/>
  <c r="BJ34" i="7" a="1"/>
  <c r="BJ34" i="7" s="1"/>
  <c r="GQ14" i="8"/>
  <c r="GQ39" i="8" s="1"/>
  <c r="GQ13" i="8"/>
  <c r="GQ38" i="8" s="1"/>
  <c r="GV13" i="8"/>
  <c r="GV38" i="8" s="1"/>
  <c r="X38" i="7"/>
  <c r="W38" i="7"/>
  <c r="AB38" i="7" s="1"/>
  <c r="V39" i="7"/>
  <c r="BF34" i="7" a="1"/>
  <c r="BF34" i="7" s="1"/>
  <c r="BC34" i="7" a="1"/>
  <c r="BC34" i="7" s="1"/>
  <c r="BQ34" i="7" a="1"/>
  <c r="BQ34" i="7" s="1"/>
  <c r="BN34" i="7" a="1"/>
  <c r="BN34" i="7" s="1"/>
  <c r="BO34" i="7" a="1"/>
  <c r="BO34" i="7" s="1"/>
  <c r="BG34" i="7" a="1"/>
  <c r="BG34" i="7" s="1"/>
  <c r="BK34" i="7" a="1"/>
  <c r="BK34" i="7" s="1"/>
  <c r="AS36" i="7"/>
  <c r="AT36" i="7" s="1"/>
  <c r="C41" i="7" a="1"/>
  <c r="C41" i="7" s="1"/>
  <c r="B41" i="7"/>
  <c r="A42" i="7" a="1"/>
  <c r="A42" i="7" s="1"/>
  <c r="AA37" i="7"/>
  <c r="Y37" i="7"/>
  <c r="F37" i="7" s="1"/>
  <c r="Z37" i="7"/>
  <c r="I37" i="7" s="1"/>
  <c r="BL34" i="7" a="1"/>
  <c r="BL34" i="7" s="1"/>
  <c r="QC27" i="8"/>
  <c r="QN2" i="8"/>
  <c r="I44" i="2"/>
  <c r="BD34" i="7" a="1"/>
  <c r="BD34" i="7" s="1"/>
  <c r="BH34" i="7" a="1"/>
  <c r="BH34" i="7" s="1"/>
  <c r="BB34" i="7" a="1"/>
  <c r="BB34" i="7" s="1"/>
  <c r="L42" i="2" a="1"/>
  <c r="J42" i="2" a="1"/>
  <c r="S43" i="2"/>
  <c r="K42" i="2" a="1"/>
  <c r="Q43" i="2"/>
  <c r="P43" i="2"/>
  <c r="M42" i="2" a="1"/>
  <c r="O42" i="2" a="1"/>
  <c r="T43" i="2"/>
  <c r="U43" i="2"/>
  <c r="N42" i="2" a="1"/>
  <c r="R43" i="2"/>
  <c r="AL37" i="7" l="1" a="1"/>
  <c r="AL37" i="7" s="1"/>
  <c r="AN37" i="7" a="1"/>
  <c r="AN37" i="7" s="1"/>
  <c r="AF37" i="7" a="1"/>
  <c r="AF37" i="7" s="1"/>
  <c r="AQ37" i="7" a="1"/>
  <c r="AQ37" i="7" s="1"/>
  <c r="AD37" i="7" a="1"/>
  <c r="AD37" i="7" s="1"/>
  <c r="AH37" i="7" a="1"/>
  <c r="AH37" i="7" s="1"/>
  <c r="AP37" i="7" a="1"/>
  <c r="AP37" i="7" s="1"/>
  <c r="AG37" i="7" a="1"/>
  <c r="AG37" i="7" s="1"/>
  <c r="AK37" i="7" a="1"/>
  <c r="AK37" i="7" s="1"/>
  <c r="AC37" i="7" a="1"/>
  <c r="AC37" i="7" s="1"/>
  <c r="AM37" i="7" a="1"/>
  <c r="AM37" i="7" s="1"/>
  <c r="AI37" i="7" a="1"/>
  <c r="AI37" i="7" s="1"/>
  <c r="AE37" i="7" a="1"/>
  <c r="AE37" i="7" s="1"/>
  <c r="AJ37" i="7" a="1"/>
  <c r="AJ37" i="7" s="1"/>
  <c r="AO37" i="7" a="1"/>
  <c r="AO37" i="7" s="1"/>
  <c r="BE35" i="7" a="1"/>
  <c r="BE35" i="7" s="1"/>
  <c r="BM35" i="7" a="1"/>
  <c r="BM35" i="7" s="1"/>
  <c r="AU36" i="7"/>
  <c r="AW36" i="7" s="1"/>
  <c r="AX36" i="7" s="1"/>
  <c r="BJ35" i="7" a="1"/>
  <c r="BJ35" i="7" s="1"/>
  <c r="BN35" i="7" a="1"/>
  <c r="BN35" i="7" s="1"/>
  <c r="BA35" i="7" a="1"/>
  <c r="BA35" i="7" s="1"/>
  <c r="BH35" i="7" a="1"/>
  <c r="BH35" i="7" s="1"/>
  <c r="BL35" i="7" a="1"/>
  <c r="BL35" i="7" s="1"/>
  <c r="AZ35" i="7" a="1"/>
  <c r="AZ35" i="7" s="1"/>
  <c r="BQ35" i="7" a="1"/>
  <c r="BQ35" i="7" s="1"/>
  <c r="N42" i="2"/>
  <c r="O42" i="2"/>
  <c r="M42" i="2"/>
  <c r="V43" i="2"/>
  <c r="K42" i="2"/>
  <c r="J42" i="2"/>
  <c r="L42" i="2"/>
  <c r="AV37" i="7"/>
  <c r="AU37" i="7"/>
  <c r="AS37" i="7"/>
  <c r="AT37" i="7"/>
  <c r="BB35" i="7" a="1"/>
  <c r="BB35" i="7" s="1"/>
  <c r="I45" i="2"/>
  <c r="BP35" i="7" a="1"/>
  <c r="BP35" i="7" s="1"/>
  <c r="S41" i="7"/>
  <c r="T41" i="7" s="1"/>
  <c r="U41" i="7" s="1"/>
  <c r="M41" i="7"/>
  <c r="N41" i="7" s="1"/>
  <c r="O41" i="7" s="1"/>
  <c r="J41" i="7"/>
  <c r="K41" i="7" s="1"/>
  <c r="L41" i="7" s="1"/>
  <c r="G41" i="7"/>
  <c r="H41" i="7" s="1"/>
  <c r="I41" i="7" s="1"/>
  <c r="P41" i="7"/>
  <c r="Q41" i="7" s="1"/>
  <c r="R41" i="7" s="1"/>
  <c r="D41" i="7"/>
  <c r="BF35" i="7" a="1"/>
  <c r="BF35" i="7" s="1"/>
  <c r="W39" i="7"/>
  <c r="AB39" i="7" s="1"/>
  <c r="X39" i="7"/>
  <c r="V40" i="7"/>
  <c r="BC35" i="7" a="1"/>
  <c r="BC35" i="7" s="1"/>
  <c r="C42" i="7" a="1"/>
  <c r="C42" i="7" s="1"/>
  <c r="B42" i="7"/>
  <c r="A43" i="7" a="1"/>
  <c r="A43" i="7" s="1"/>
  <c r="QN27" i="8"/>
  <c r="QY2" i="8"/>
  <c r="BG35" i="7" a="1"/>
  <c r="BG35" i="7" s="1"/>
  <c r="AA38" i="7"/>
  <c r="Z38" i="7"/>
  <c r="Y38" i="7"/>
  <c r="F38" i="7" s="1"/>
  <c r="AQ38" i="7" s="1" a="1"/>
  <c r="AQ38" i="7" s="1"/>
  <c r="BO35" i="7" a="1"/>
  <c r="BO35" i="7" s="1"/>
  <c r="BD35" i="7" a="1"/>
  <c r="BD35" i="7" s="1"/>
  <c r="BK35" i="7" a="1"/>
  <c r="BK35" i="7" s="1"/>
  <c r="HG14" i="8"/>
  <c r="HG39" i="8" s="1"/>
  <c r="HG12" i="8"/>
  <c r="HG37" i="8" s="1"/>
  <c r="HG11" i="8"/>
  <c r="HG36" i="8" s="1"/>
  <c r="HB15" i="8"/>
  <c r="HB40" i="8" s="1"/>
  <c r="HG15" i="8"/>
  <c r="HG40" i="8" s="1"/>
  <c r="HC1" i="8"/>
  <c r="HJ4" i="8"/>
  <c r="HB3" i="8"/>
  <c r="HB28" i="8" s="1"/>
  <c r="HG10" i="8"/>
  <c r="HG35" i="8" s="1"/>
  <c r="HB21" i="8"/>
  <c r="HB12" i="8"/>
  <c r="HB37" i="8" s="1"/>
  <c r="HB11" i="8"/>
  <c r="HB36" i="8" s="1"/>
  <c r="HB10" i="8"/>
  <c r="HB35" i="8" s="1"/>
  <c r="HT1" i="8"/>
  <c r="HT2" i="8" s="1"/>
  <c r="E40" i="7"/>
  <c r="L43" i="2" a="1"/>
  <c r="K43" i="2" a="1"/>
  <c r="R44" i="2"/>
  <c r="O43" i="2" a="1"/>
  <c r="M43" i="2" a="1"/>
  <c r="N43" i="2" a="1"/>
  <c r="P44" i="2"/>
  <c r="U44" i="2"/>
  <c r="J43" i="2" a="1"/>
  <c r="T44" i="2"/>
  <c r="S44" i="2"/>
  <c r="Q44" i="2"/>
  <c r="AE38" i="7" l="1" a="1"/>
  <c r="AE38" i="7" s="1"/>
  <c r="AD38" i="7" a="1"/>
  <c r="AD38" i="7" s="1"/>
  <c r="AO38" i="7" a="1"/>
  <c r="AO38" i="7" s="1"/>
  <c r="AL38" i="7" a="1"/>
  <c r="AL38" i="7" s="1"/>
  <c r="AF38" i="7" a="1"/>
  <c r="AF38" i="7" s="1"/>
  <c r="AH38" i="7" a="1"/>
  <c r="AH38" i="7" s="1"/>
  <c r="AN38" i="7" a="1"/>
  <c r="AN38" i="7" s="1"/>
  <c r="AC38" i="7" a="1"/>
  <c r="AC38" i="7" s="1"/>
  <c r="AJ38" i="7" a="1"/>
  <c r="AJ38" i="7" s="1"/>
  <c r="AM38" i="7" a="1"/>
  <c r="AM38" i="7" s="1"/>
  <c r="AI38" i="7" a="1"/>
  <c r="AI38" i="7" s="1"/>
  <c r="AK38" i="7" a="1"/>
  <c r="AK38" i="7" s="1"/>
  <c r="AP38" i="7" a="1"/>
  <c r="AP38" i="7" s="1"/>
  <c r="AG38" i="7" a="1"/>
  <c r="AG38" i="7" s="1"/>
  <c r="AV36" i="7"/>
  <c r="BM36" i="7" s="1" a="1"/>
  <c r="BM36" i="7" s="1"/>
  <c r="AW37" i="7"/>
  <c r="AX37" i="7" s="1"/>
  <c r="J43" i="2"/>
  <c r="V44" i="2"/>
  <c r="N43" i="2"/>
  <c r="M43" i="2"/>
  <c r="O43" i="2"/>
  <c r="K43" i="2"/>
  <c r="L43" i="2"/>
  <c r="W40" i="7"/>
  <c r="AB40" i="7" s="1"/>
  <c r="X40" i="7"/>
  <c r="V41" i="7"/>
  <c r="AA39" i="7"/>
  <c r="Z39" i="7"/>
  <c r="I39" i="7" s="1"/>
  <c r="Y39" i="7"/>
  <c r="F39" i="7" s="1"/>
  <c r="AK39" i="7" s="1" a="1"/>
  <c r="AK39" i="7" s="1"/>
  <c r="AU38" i="7"/>
  <c r="AV38" i="7"/>
  <c r="A44" i="7" a="1"/>
  <c r="A44" i="7" s="1"/>
  <c r="B43" i="7"/>
  <c r="C43" i="7" a="1"/>
  <c r="C43" i="7" s="1"/>
  <c r="AS38" i="7"/>
  <c r="AT38" i="7"/>
  <c r="HG13" i="8"/>
  <c r="HG38" i="8" s="1"/>
  <c r="HB13" i="8"/>
  <c r="HB38" i="8" s="1"/>
  <c r="HB14" i="8"/>
  <c r="HB39" i="8" s="1"/>
  <c r="E41" i="7"/>
  <c r="HT4" i="8"/>
  <c r="HU2" i="8" s="1"/>
  <c r="M42" i="7"/>
  <c r="N42" i="7" s="1"/>
  <c r="O42" i="7" s="1"/>
  <c r="S42" i="7"/>
  <c r="T42" i="7" s="1"/>
  <c r="U42" i="7" s="1"/>
  <c r="G42" i="7"/>
  <c r="H42" i="7" s="1"/>
  <c r="I42" i="7" s="1"/>
  <c r="P42" i="7"/>
  <c r="Q42" i="7" s="1"/>
  <c r="R42" i="7" s="1"/>
  <c r="J42" i="7"/>
  <c r="K42" i="7" s="1"/>
  <c r="L42" i="7" s="1"/>
  <c r="D42" i="7"/>
  <c r="AO39" i="7" a="1"/>
  <c r="AO39" i="7" s="1"/>
  <c r="I46" i="2"/>
  <c r="AC39" i="7" a="1"/>
  <c r="AC39" i="7" s="1"/>
  <c r="AP39" i="7" a="1"/>
  <c r="AP39" i="7" s="1"/>
  <c r="HG5" i="8"/>
  <c r="HG30" i="8" s="1"/>
  <c r="HG3" i="8"/>
  <c r="HG28" i="8" s="1"/>
  <c r="HG6" i="8"/>
  <c r="HG31" i="8" s="1"/>
  <c r="HG4" i="8"/>
  <c r="HG29" i="8" s="1"/>
  <c r="HC26" i="8"/>
  <c r="QY27" i="8"/>
  <c r="RJ2" i="8"/>
  <c r="K44" i="2" a="1"/>
  <c r="T45" i="2"/>
  <c r="U45" i="2"/>
  <c r="M44" i="2" a="1"/>
  <c r="S45" i="2"/>
  <c r="P45" i="2"/>
  <c r="J44" i="2" a="1"/>
  <c r="N44" i="2" a="1"/>
  <c r="L44" i="2" a="1"/>
  <c r="R45" i="2"/>
  <c r="Q45" i="2"/>
  <c r="O44" i="2" a="1"/>
  <c r="AL39" i="7" l="1" a="1"/>
  <c r="AL39" i="7" s="1"/>
  <c r="AI39" i="7" a="1"/>
  <c r="AI39" i="7" s="1"/>
  <c r="AE39" i="7" a="1"/>
  <c r="AE39" i="7" s="1"/>
  <c r="AQ39" i="7" a="1"/>
  <c r="AQ39" i="7" s="1"/>
  <c r="AF39" i="7" a="1"/>
  <c r="AF39" i="7" s="1"/>
  <c r="AM39" i="7" a="1"/>
  <c r="AM39" i="7" s="1"/>
  <c r="AN39" i="7" a="1"/>
  <c r="AN39" i="7" s="1"/>
  <c r="AH39" i="7" a="1"/>
  <c r="AH39" i="7" s="1"/>
  <c r="AJ39" i="7" a="1"/>
  <c r="AJ39" i="7" s="1"/>
  <c r="AD39" i="7" a="1"/>
  <c r="AD39" i="7" s="1"/>
  <c r="AG39" i="7" a="1"/>
  <c r="AG39" i="7" s="1"/>
  <c r="BD37" i="7" a="1"/>
  <c r="BD37" i="7" s="1"/>
  <c r="BO37" i="7" a="1"/>
  <c r="BO37" i="7" s="1"/>
  <c r="BA37" i="7" a="1"/>
  <c r="BA37" i="7" s="1"/>
  <c r="BN37" i="7" a="1"/>
  <c r="BN37" i="7" s="1"/>
  <c r="BB37" i="7" a="1"/>
  <c r="BB37" i="7" s="1"/>
  <c r="AZ37" i="7" a="1"/>
  <c r="AZ37" i="7" s="1"/>
  <c r="BI36" i="7" a="1"/>
  <c r="BI36" i="7" s="1"/>
  <c r="BH36" i="7" a="1"/>
  <c r="BH36" i="7" s="1"/>
  <c r="BJ36" i="7" a="1"/>
  <c r="BJ36" i="7" s="1"/>
  <c r="BC36" i="7" a="1"/>
  <c r="BC36" i="7" s="1"/>
  <c r="BO36" i="7" a="1"/>
  <c r="BO36" i="7" s="1"/>
  <c r="BD36" i="7" a="1"/>
  <c r="BD36" i="7" s="1"/>
  <c r="BL36" i="7" a="1"/>
  <c r="BL36" i="7" s="1"/>
  <c r="BE36" i="7" a="1"/>
  <c r="BE36" i="7" s="1"/>
  <c r="BG36" i="7" a="1"/>
  <c r="BG36" i="7" s="1"/>
  <c r="BN36" i="7" a="1"/>
  <c r="BN36" i="7" s="1"/>
  <c r="BK36" i="7" a="1"/>
  <c r="BK36" i="7" s="1"/>
  <c r="BM37" i="7" a="1"/>
  <c r="BM37" i="7" s="1"/>
  <c r="BA36" i="7" a="1"/>
  <c r="BA36" i="7" s="1"/>
  <c r="BB36" i="7" a="1"/>
  <c r="BB36" i="7" s="1"/>
  <c r="BQ36" i="7" a="1"/>
  <c r="BQ36" i="7" s="1"/>
  <c r="BP36" i="7" a="1"/>
  <c r="BP36" i="7" s="1"/>
  <c r="BF36" i="7" a="1"/>
  <c r="BF36" i="7" s="1"/>
  <c r="AZ36" i="7" a="1"/>
  <c r="AZ36" i="7" s="1"/>
  <c r="BF37" i="7" a="1"/>
  <c r="BF37" i="7" s="1"/>
  <c r="AW38" i="7"/>
  <c r="AX38" i="7" s="1"/>
  <c r="BE38" i="7" s="1" a="1"/>
  <c r="BE38" i="7" s="1"/>
  <c r="BQ37" i="7" a="1"/>
  <c r="BQ37" i="7" s="1"/>
  <c r="BC37" i="7" a="1"/>
  <c r="BC37" i="7" s="1"/>
  <c r="BI37" i="7" a="1"/>
  <c r="BI37" i="7" s="1"/>
  <c r="BJ37" i="7" a="1"/>
  <c r="BJ37" i="7" s="1"/>
  <c r="BK37" i="7" a="1"/>
  <c r="BK37" i="7" s="1"/>
  <c r="BG37" i="7" a="1"/>
  <c r="BG37" i="7" s="1"/>
  <c r="BL37" i="7" a="1"/>
  <c r="BL37" i="7" s="1"/>
  <c r="BH37" i="7" a="1"/>
  <c r="BH37" i="7" s="1"/>
  <c r="BP37" i="7" a="1"/>
  <c r="BP37" i="7" s="1"/>
  <c r="BE37" i="7" a="1"/>
  <c r="BE37" i="7" s="1"/>
  <c r="O44" i="2"/>
  <c r="L44" i="2"/>
  <c r="N44" i="2"/>
  <c r="J44" i="2"/>
  <c r="V45" i="2"/>
  <c r="M44" i="2"/>
  <c r="K44" i="2"/>
  <c r="HM21" i="8"/>
  <c r="HR14" i="8"/>
  <c r="HR39" i="8" s="1"/>
  <c r="HR12" i="8"/>
  <c r="HR37" i="8" s="1"/>
  <c r="HR11" i="8"/>
  <c r="HR36" i="8" s="1"/>
  <c r="HR10" i="8"/>
  <c r="HR35" i="8" s="1"/>
  <c r="HR15" i="8"/>
  <c r="HR40" i="8" s="1"/>
  <c r="HM15" i="8"/>
  <c r="HM40" i="8" s="1"/>
  <c r="HU4" i="8"/>
  <c r="HM3" i="8"/>
  <c r="HM28" i="8" s="1"/>
  <c r="HM10" i="8"/>
  <c r="HM35" i="8" s="1"/>
  <c r="HM12" i="8"/>
  <c r="HM37" i="8" s="1"/>
  <c r="HM11" i="8"/>
  <c r="HM36" i="8" s="1"/>
  <c r="IE1" i="8"/>
  <c r="IE2" i="8" s="1"/>
  <c r="HN1" i="8"/>
  <c r="G43" i="7"/>
  <c r="H43" i="7" s="1"/>
  <c r="I43" i="7" s="1"/>
  <c r="M43" i="7"/>
  <c r="N43" i="7" s="1"/>
  <c r="O43" i="7" s="1"/>
  <c r="J43" i="7"/>
  <c r="K43" i="7" s="1"/>
  <c r="L43" i="7" s="1"/>
  <c r="D43" i="7"/>
  <c r="S43" i="7"/>
  <c r="T43" i="7" s="1"/>
  <c r="U43" i="7" s="1"/>
  <c r="P43" i="7"/>
  <c r="Q43" i="7" s="1"/>
  <c r="R43" i="7" s="1"/>
  <c r="AU39" i="7"/>
  <c r="AV39" i="7"/>
  <c r="AT39" i="7"/>
  <c r="AS39" i="7"/>
  <c r="B44" i="7"/>
  <c r="A45" i="7" a="1"/>
  <c r="A45" i="7" s="1"/>
  <c r="C44" i="7" a="1"/>
  <c r="C44" i="7" s="1"/>
  <c r="I47" i="2"/>
  <c r="RJ27" i="8"/>
  <c r="RU2" i="8"/>
  <c r="X41" i="7"/>
  <c r="W41" i="7"/>
  <c r="AB41" i="7" s="1"/>
  <c r="V42" i="7"/>
  <c r="E42" i="7"/>
  <c r="Y40" i="7"/>
  <c r="F40" i="7" s="1"/>
  <c r="AQ40" i="7" s="1" a="1"/>
  <c r="AQ40" i="7" s="1"/>
  <c r="AA40" i="7"/>
  <c r="Z40" i="7"/>
  <c r="M45" i="2" a="1"/>
  <c r="K45" i="2" a="1"/>
  <c r="P46" i="2"/>
  <c r="L45" i="2" a="1"/>
  <c r="O45" i="2" a="1"/>
  <c r="R46" i="2"/>
  <c r="N45" i="2" a="1"/>
  <c r="Q46" i="2"/>
  <c r="S46" i="2"/>
  <c r="J45" i="2" a="1"/>
  <c r="U46" i="2"/>
  <c r="T46" i="2"/>
  <c r="AI40" i="7" l="1" a="1"/>
  <c r="AI40" i="7" s="1"/>
  <c r="AF40" i="7" a="1"/>
  <c r="AF40" i="7" s="1"/>
  <c r="AD40" i="7" a="1"/>
  <c r="AD40" i="7" s="1"/>
  <c r="AL40" i="7" a="1"/>
  <c r="AL40" i="7" s="1"/>
  <c r="AN40" i="7" a="1"/>
  <c r="AN40" i="7" s="1"/>
  <c r="AE40" i="7" a="1"/>
  <c r="AE40" i="7" s="1"/>
  <c r="AC40" i="7" a="1"/>
  <c r="AC40" i="7" s="1"/>
  <c r="AJ40" i="7" a="1"/>
  <c r="AJ40" i="7" s="1"/>
  <c r="AO40" i="7" a="1"/>
  <c r="AO40" i="7" s="1"/>
  <c r="AP40" i="7" a="1"/>
  <c r="AP40" i="7" s="1"/>
  <c r="AK40" i="7" a="1"/>
  <c r="AK40" i="7" s="1"/>
  <c r="AG40" i="7" a="1"/>
  <c r="AG40" i="7" s="1"/>
  <c r="AH40" i="7" a="1"/>
  <c r="AH40" i="7" s="1"/>
  <c r="AM40" i="7" a="1"/>
  <c r="AM40" i="7" s="1"/>
  <c r="BQ38" i="7" a="1"/>
  <c r="BQ38" i="7" s="1"/>
  <c r="BJ38" i="7" a="1"/>
  <c r="BJ38" i="7" s="1"/>
  <c r="AW39" i="7"/>
  <c r="AX39" i="7" s="1"/>
  <c r="BP39" i="7" s="1" a="1"/>
  <c r="BP39" i="7" s="1"/>
  <c r="BK38" i="7" a="1"/>
  <c r="BK38" i="7" s="1"/>
  <c r="BA38" i="7" a="1"/>
  <c r="BA38" i="7" s="1"/>
  <c r="BI38" i="7" a="1"/>
  <c r="BI38" i="7" s="1"/>
  <c r="BO38" i="7" a="1"/>
  <c r="BO38" i="7" s="1"/>
  <c r="J45" i="2"/>
  <c r="N45" i="2"/>
  <c r="O45" i="2"/>
  <c r="L45" i="2"/>
  <c r="V46" i="2"/>
  <c r="K45" i="2"/>
  <c r="M45" i="2"/>
  <c r="AT40" i="7"/>
  <c r="AS40" i="7"/>
  <c r="AU40" i="7" s="1"/>
  <c r="AV40" i="7" s="1"/>
  <c r="C45" i="7" a="1"/>
  <c r="C45" i="7" s="1"/>
  <c r="B45" i="7"/>
  <c r="A46" i="7" a="1"/>
  <c r="A46" i="7" s="1"/>
  <c r="BB38" i="7" a="1"/>
  <c r="BB38" i="7" s="1"/>
  <c r="AZ38" i="7" a="1"/>
  <c r="AZ38" i="7" s="1"/>
  <c r="I48" i="2"/>
  <c r="E43" i="7"/>
  <c r="BF38" i="7" a="1"/>
  <c r="BF38" i="7" s="1"/>
  <c r="BC38" i="7" a="1"/>
  <c r="BC38" i="7" s="1"/>
  <c r="HR13" i="8"/>
  <c r="HR38" i="8" s="1"/>
  <c r="HM14" i="8"/>
  <c r="HM39" i="8" s="1"/>
  <c r="HM13" i="8"/>
  <c r="HM38" i="8" s="1"/>
  <c r="W42" i="7"/>
  <c r="AB42" i="7" s="1"/>
  <c r="X42" i="7"/>
  <c r="V43" i="7"/>
  <c r="RU27" i="8"/>
  <c r="SF2" i="8"/>
  <c r="BD38" i="7" a="1"/>
  <c r="BD38" i="7" s="1"/>
  <c r="BH38" i="7" a="1"/>
  <c r="BH38" i="7" s="1"/>
  <c r="BG38" i="7" a="1"/>
  <c r="BG38" i="7" s="1"/>
  <c r="P44" i="7"/>
  <c r="Q44" i="7" s="1"/>
  <c r="R44" i="7" s="1"/>
  <c r="G44" i="7"/>
  <c r="H44" i="7" s="1"/>
  <c r="I44" i="7" s="1"/>
  <c r="D44" i="7"/>
  <c r="S44" i="7"/>
  <c r="T44" i="7" s="1"/>
  <c r="U44" i="7" s="1"/>
  <c r="M44" i="7"/>
  <c r="N44" i="7" s="1"/>
  <c r="O44" i="7" s="1"/>
  <c r="J44" i="7"/>
  <c r="K44" i="7" s="1"/>
  <c r="L44" i="7" s="1"/>
  <c r="BF39" i="7" a="1"/>
  <c r="BF39" i="7" s="1"/>
  <c r="HN26" i="8"/>
  <c r="HR3" i="8"/>
  <c r="HR28" i="8" s="1"/>
  <c r="HR5" i="8"/>
  <c r="HR30" i="8" s="1"/>
  <c r="HR4" i="8"/>
  <c r="HR29" i="8" s="1"/>
  <c r="HR6" i="8"/>
  <c r="HR31" i="8" s="1"/>
  <c r="AA41" i="7"/>
  <c r="Y41" i="7"/>
  <c r="F41" i="7" s="1"/>
  <c r="AC41" i="7" s="1" a="1"/>
  <c r="AC41" i="7" s="1"/>
  <c r="Z41" i="7"/>
  <c r="IE4" i="8"/>
  <c r="IF2" i="8" s="1"/>
  <c r="BL38" i="7" a="1"/>
  <c r="BL38" i="7" s="1"/>
  <c r="BN38" i="7" a="1"/>
  <c r="BN38" i="7" s="1"/>
  <c r="BP38" i="7" a="1"/>
  <c r="BP38" i="7" s="1"/>
  <c r="BL39" i="7" a="1"/>
  <c r="BL39" i="7" s="1"/>
  <c r="BM38" i="7" a="1"/>
  <c r="BM38" i="7" s="1"/>
  <c r="N46" i="2" a="1"/>
  <c r="O46" i="2" a="1"/>
  <c r="T47" i="2"/>
  <c r="J46" i="2" a="1"/>
  <c r="P47" i="2"/>
  <c r="Q47" i="2"/>
  <c r="M46" i="2" a="1"/>
  <c r="K46" i="2" a="1"/>
  <c r="U47" i="2"/>
  <c r="S47" i="2"/>
  <c r="L46" i="2" a="1"/>
  <c r="R47" i="2"/>
  <c r="BN39" i="7" l="1" a="1"/>
  <c r="BN39" i="7" s="1"/>
  <c r="BG39" i="7" a="1"/>
  <c r="BG39" i="7" s="1"/>
  <c r="BD39" i="7" a="1"/>
  <c r="BD39" i="7" s="1"/>
  <c r="BI39" i="7" a="1"/>
  <c r="BI39" i="7" s="1"/>
  <c r="AD41" i="7" a="1"/>
  <c r="AD41" i="7" s="1"/>
  <c r="AM41" i="7" a="1"/>
  <c r="AM41" i="7" s="1"/>
  <c r="AJ41" i="7" a="1"/>
  <c r="AJ41" i="7" s="1"/>
  <c r="BE39" i="7" a="1"/>
  <c r="BE39" i="7" s="1"/>
  <c r="AQ41" i="7" a="1"/>
  <c r="AQ41" i="7" s="1"/>
  <c r="BK39" i="7" a="1"/>
  <c r="BK39" i="7" s="1"/>
  <c r="AK41" i="7" a="1"/>
  <c r="AK41" i="7" s="1"/>
  <c r="AP41" i="7" a="1"/>
  <c r="AP41" i="7" s="1"/>
  <c r="BH39" i="7" a="1"/>
  <c r="BH39" i="7" s="1"/>
  <c r="AF41" i="7" a="1"/>
  <c r="AF41" i="7" s="1"/>
  <c r="BQ39" i="7" a="1"/>
  <c r="BQ39" i="7" s="1"/>
  <c r="BO39" i="7" a="1"/>
  <c r="BO39" i="7" s="1"/>
  <c r="AH41" i="7" a="1"/>
  <c r="AH41" i="7" s="1"/>
  <c r="AG41" i="7" a="1"/>
  <c r="AG41" i="7" s="1"/>
  <c r="AI41" i="7" a="1"/>
  <c r="AI41" i="7" s="1"/>
  <c r="AZ39" i="7" a="1"/>
  <c r="AZ39" i="7" s="1"/>
  <c r="AO41" i="7" a="1"/>
  <c r="AO41" i="7" s="1"/>
  <c r="AL41" i="7" a="1"/>
  <c r="AL41" i="7" s="1"/>
  <c r="AE41" i="7" a="1"/>
  <c r="AE41" i="7" s="1"/>
  <c r="AN41" i="7" a="1"/>
  <c r="AN41" i="7" s="1"/>
  <c r="BB39" i="7" a="1"/>
  <c r="BB39" i="7" s="1"/>
  <c r="BC39" i="7" a="1"/>
  <c r="BC39" i="7" s="1"/>
  <c r="BJ39" i="7" a="1"/>
  <c r="BJ39" i="7" s="1"/>
  <c r="BM39" i="7" a="1"/>
  <c r="BM39" i="7" s="1"/>
  <c r="BA39" i="7" a="1"/>
  <c r="BA39" i="7" s="1"/>
  <c r="L46" i="2"/>
  <c r="K46" i="2"/>
  <c r="M46" i="2"/>
  <c r="V47" i="2"/>
  <c r="J46" i="2"/>
  <c r="O46" i="2"/>
  <c r="N46" i="2"/>
  <c r="HX15" i="8"/>
  <c r="HX40" i="8" s="1"/>
  <c r="HX21" i="8"/>
  <c r="IC12" i="8"/>
  <c r="IC37" i="8" s="1"/>
  <c r="IC11" i="8"/>
  <c r="IC36" i="8" s="1"/>
  <c r="IC10" i="8"/>
  <c r="IC35" i="8" s="1"/>
  <c r="IC14" i="8"/>
  <c r="IC39" i="8" s="1"/>
  <c r="HX10" i="8"/>
  <c r="HX35" i="8" s="1"/>
  <c r="HX12" i="8"/>
  <c r="HX37" i="8" s="1"/>
  <c r="HX11" i="8"/>
  <c r="HX36" i="8" s="1"/>
  <c r="IP1" i="8"/>
  <c r="IP2" i="8" s="1"/>
  <c r="IF4" i="8"/>
  <c r="HY1" i="8"/>
  <c r="HX3" i="8"/>
  <c r="HX28" i="8" s="1"/>
  <c r="IC15" i="8"/>
  <c r="IC40" i="8" s="1"/>
  <c r="AS41" i="7"/>
  <c r="AU41" i="7" s="1"/>
  <c r="S45" i="7"/>
  <c r="T45" i="7" s="1"/>
  <c r="U45" i="7" s="1"/>
  <c r="J45" i="7"/>
  <c r="K45" i="7" s="1"/>
  <c r="L45" i="7" s="1"/>
  <c r="P45" i="7"/>
  <c r="Q45" i="7" s="1"/>
  <c r="R45" i="7" s="1"/>
  <c r="M45" i="7"/>
  <c r="N45" i="7" s="1"/>
  <c r="O45" i="7" s="1"/>
  <c r="G45" i="7"/>
  <c r="H45" i="7" s="1"/>
  <c r="I45" i="7" s="1"/>
  <c r="D45" i="7"/>
  <c r="AW40" i="7"/>
  <c r="AX40" i="7" s="1"/>
  <c r="BB40" i="7" s="1" a="1"/>
  <c r="BB40" i="7" s="1"/>
  <c r="W43" i="7"/>
  <c r="AB43" i="7" s="1"/>
  <c r="X43" i="7"/>
  <c r="V44" i="7"/>
  <c r="I49" i="2"/>
  <c r="E44" i="7"/>
  <c r="SF27" i="8"/>
  <c r="SQ2" i="8"/>
  <c r="AA42" i="7"/>
  <c r="Z42" i="7"/>
  <c r="Y42" i="7"/>
  <c r="F42" i="7" s="1"/>
  <c r="AF42" i="7" s="1" a="1"/>
  <c r="AF42" i="7" s="1"/>
  <c r="C46" i="7" a="1"/>
  <c r="C46" i="7" s="1"/>
  <c r="A47" i="7" a="1"/>
  <c r="A47" i="7" s="1"/>
  <c r="B46" i="7"/>
  <c r="L47" i="2" a="1"/>
  <c r="Q48" i="2"/>
  <c r="M47" i="2" a="1"/>
  <c r="N47" i="2" a="1"/>
  <c r="O47" i="2" a="1"/>
  <c r="P48" i="2"/>
  <c r="K47" i="2" a="1"/>
  <c r="R48" i="2"/>
  <c r="U48" i="2"/>
  <c r="S48" i="2"/>
  <c r="J47" i="2" a="1"/>
  <c r="T48" i="2"/>
  <c r="AQ42" i="7" l="1" a="1"/>
  <c r="AQ42" i="7" s="1"/>
  <c r="AP42" i="7" a="1"/>
  <c r="AP42" i="7" s="1"/>
  <c r="AH42" i="7" a="1"/>
  <c r="AH42" i="7" s="1"/>
  <c r="AN42" i="7" a="1"/>
  <c r="AN42" i="7" s="1"/>
  <c r="AO42" i="7" a="1"/>
  <c r="AO42" i="7" s="1"/>
  <c r="AJ42" i="7" a="1"/>
  <c r="AJ42" i="7" s="1"/>
  <c r="AE42" i="7" a="1"/>
  <c r="AE42" i="7" s="1"/>
  <c r="AD42" i="7" a="1"/>
  <c r="AD42" i="7" s="1"/>
  <c r="AM42" i="7" a="1"/>
  <c r="AM42" i="7" s="1"/>
  <c r="AK42" i="7" a="1"/>
  <c r="AK42" i="7" s="1"/>
  <c r="AL42" i="7" a="1"/>
  <c r="AL42" i="7" s="1"/>
  <c r="AI42" i="7" a="1"/>
  <c r="AI42" i="7" s="1"/>
  <c r="AC42" i="7" a="1"/>
  <c r="AC42" i="7" s="1"/>
  <c r="AG42" i="7" a="1"/>
  <c r="AG42" i="7" s="1"/>
  <c r="AT41" i="7"/>
  <c r="BI40" i="7" a="1"/>
  <c r="BI40" i="7" s="1"/>
  <c r="J47" i="2"/>
  <c r="K47" i="2"/>
  <c r="V48" i="2"/>
  <c r="O47" i="2"/>
  <c r="N47" i="2"/>
  <c r="M47" i="2"/>
  <c r="L47" i="2"/>
  <c r="AW41" i="7"/>
  <c r="AX41" i="7" s="1"/>
  <c r="AV41" i="7"/>
  <c r="BM40" i="7" a="1"/>
  <c r="BM40" i="7" s="1"/>
  <c r="Z43" i="7"/>
  <c r="Y43" i="7"/>
  <c r="F43" i="7" s="1"/>
  <c r="AL43" i="7" s="1" a="1"/>
  <c r="AL43" i="7" s="1"/>
  <c r="AA43" i="7"/>
  <c r="BQ40" i="7" a="1"/>
  <c r="BQ40" i="7" s="1"/>
  <c r="BN40" i="7" a="1"/>
  <c r="BN40" i="7" s="1"/>
  <c r="E45" i="7"/>
  <c r="AZ40" i="7" a="1"/>
  <c r="AZ40" i="7" s="1"/>
  <c r="A48" i="7" a="1"/>
  <c r="A48" i="7" s="1"/>
  <c r="B47" i="7"/>
  <c r="C47" i="7" a="1"/>
  <c r="C47" i="7" s="1"/>
  <c r="AD43" i="7" a="1"/>
  <c r="AD43" i="7" s="1"/>
  <c r="BP40" i="7" a="1"/>
  <c r="BP40" i="7" s="1"/>
  <c r="BD40" i="7" a="1"/>
  <c r="BD40" i="7" s="1"/>
  <c r="BC40" i="7" a="1"/>
  <c r="BC40" i="7" s="1"/>
  <c r="SQ27" i="8"/>
  <c r="TB2" i="8"/>
  <c r="BH40" i="7" a="1"/>
  <c r="BH40" i="7" s="1"/>
  <c r="AS42" i="7"/>
  <c r="AU42" i="7" s="1"/>
  <c r="I50" i="2"/>
  <c r="AJ43" i="7" a="1"/>
  <c r="AJ43" i="7" s="1"/>
  <c r="BO40" i="7" a="1"/>
  <c r="BO40" i="7" s="1"/>
  <c r="BJ40" i="7" a="1"/>
  <c r="BJ40" i="7" s="1"/>
  <c r="BK40" i="7" a="1"/>
  <c r="BK40" i="7" s="1"/>
  <c r="BL40" i="7" a="1"/>
  <c r="BL40" i="7" s="1"/>
  <c r="BE40" i="7" a="1"/>
  <c r="BE40" i="7" s="1"/>
  <c r="M46" i="7"/>
  <c r="N46" i="7" s="1"/>
  <c r="O46" i="7" s="1"/>
  <c r="D46" i="7"/>
  <c r="S46" i="7"/>
  <c r="T46" i="7" s="1"/>
  <c r="U46" i="7" s="1"/>
  <c r="J46" i="7"/>
  <c r="K46" i="7" s="1"/>
  <c r="L46" i="7" s="1"/>
  <c r="P46" i="7"/>
  <c r="Q46" i="7" s="1"/>
  <c r="R46" i="7" s="1"/>
  <c r="G46" i="7"/>
  <c r="H46" i="7" s="1"/>
  <c r="I46" i="7" s="1"/>
  <c r="BF40" i="7" a="1"/>
  <c r="BF40" i="7" s="1"/>
  <c r="IC4" i="8"/>
  <c r="IC29" i="8" s="1"/>
  <c r="HY26" i="8"/>
  <c r="IC5" i="8"/>
  <c r="IC30" i="8" s="1"/>
  <c r="IC6" i="8"/>
  <c r="IC31" i="8" s="1"/>
  <c r="IC3" i="8"/>
  <c r="IC28" i="8" s="1"/>
  <c r="X44" i="7"/>
  <c r="W44" i="7"/>
  <c r="AB44" i="7" s="1"/>
  <c r="V45" i="7"/>
  <c r="BA40" i="7" a="1"/>
  <c r="BA40" i="7" s="1"/>
  <c r="HX14" i="8"/>
  <c r="HX39" i="8" s="1"/>
  <c r="IC13" i="8"/>
  <c r="IC38" i="8" s="1"/>
  <c r="HX13" i="8"/>
  <c r="HX38" i="8" s="1"/>
  <c r="AG43" i="7" a="1"/>
  <c r="AG43" i="7" s="1"/>
  <c r="AQ43" i="7" a="1"/>
  <c r="AQ43" i="7" s="1"/>
  <c r="AN43" i="7" a="1"/>
  <c r="AN43" i="7" s="1"/>
  <c r="AH43" i="7" a="1"/>
  <c r="AH43" i="7" s="1"/>
  <c r="AP43" i="7" a="1"/>
  <c r="AP43" i="7" s="1"/>
  <c r="AC43" i="7" a="1"/>
  <c r="AC43" i="7" s="1"/>
  <c r="AK43" i="7" a="1"/>
  <c r="AK43" i="7" s="1"/>
  <c r="BG40" i="7" a="1"/>
  <c r="BG40" i="7" s="1"/>
  <c r="IP4" i="8"/>
  <c r="IQ2" i="8" s="1"/>
  <c r="N48" i="2" a="1"/>
  <c r="Q49" i="2"/>
  <c r="R49" i="2"/>
  <c r="M48" i="2" a="1"/>
  <c r="O48" i="2" a="1"/>
  <c r="K48" i="2" a="1"/>
  <c r="P49" i="2"/>
  <c r="U49" i="2"/>
  <c r="L48" i="2" a="1"/>
  <c r="J48" i="2" a="1"/>
  <c r="T49" i="2"/>
  <c r="S49" i="2"/>
  <c r="AF43" i="7" l="1" a="1"/>
  <c r="AF43" i="7" s="1"/>
  <c r="AI43" i="7" a="1"/>
  <c r="AI43" i="7" s="1"/>
  <c r="AE43" i="7" a="1"/>
  <c r="AE43" i="7" s="1"/>
  <c r="AO43" i="7" a="1"/>
  <c r="AO43" i="7" s="1"/>
  <c r="AM43" i="7" a="1"/>
  <c r="AM43" i="7" s="1"/>
  <c r="BG41" i="7" a="1"/>
  <c r="BG41" i="7" s="1"/>
  <c r="AT42" i="7"/>
  <c r="AW42" i="7"/>
  <c r="AX42" i="7" s="1"/>
  <c r="AV42" i="7"/>
  <c r="BK41" i="7" a="1"/>
  <c r="BK41" i="7" s="1"/>
  <c r="J48" i="2"/>
  <c r="L48" i="2"/>
  <c r="V49" i="2"/>
  <c r="K48" i="2"/>
  <c r="O48" i="2"/>
  <c r="M48" i="2"/>
  <c r="N48" i="2"/>
  <c r="II15" i="8"/>
  <c r="II40" i="8" s="1"/>
  <c r="IN15" i="8"/>
  <c r="IN40" i="8" s="1"/>
  <c r="II21" i="8"/>
  <c r="II12" i="8"/>
  <c r="II37" i="8" s="1"/>
  <c r="II11" i="8"/>
  <c r="II36" i="8" s="1"/>
  <c r="IN10" i="8"/>
  <c r="IN35" i="8" s="1"/>
  <c r="II10" i="8"/>
  <c r="II35" i="8" s="1"/>
  <c r="JA1" i="8"/>
  <c r="JA2" i="8" s="1"/>
  <c r="IN12" i="8"/>
  <c r="IN37" i="8" s="1"/>
  <c r="IN11" i="8"/>
  <c r="IN36" i="8" s="1"/>
  <c r="IQ4" i="8"/>
  <c r="II3" i="8"/>
  <c r="II28" i="8" s="1"/>
  <c r="IJ1" i="8"/>
  <c r="IN14" i="8"/>
  <c r="IN39" i="8" s="1"/>
  <c r="AN44" i="7" a="1"/>
  <c r="AN44" i="7" s="1"/>
  <c r="AS43" i="7"/>
  <c r="AT43" i="7" s="1"/>
  <c r="E46" i="7"/>
  <c r="BB41" i="7" a="1"/>
  <c r="BB41" i="7" s="1"/>
  <c r="BP41" i="7" a="1"/>
  <c r="BP41" i="7" s="1"/>
  <c r="BA41" i="7" a="1"/>
  <c r="BA41" i="7" s="1"/>
  <c r="BH41" i="7" a="1"/>
  <c r="BH41" i="7" s="1"/>
  <c r="W45" i="7"/>
  <c r="AB45" i="7" s="1"/>
  <c r="X45" i="7"/>
  <c r="V46" i="7"/>
  <c r="BI41" i="7" a="1"/>
  <c r="BI41" i="7" s="1"/>
  <c r="BM41" i="7" a="1"/>
  <c r="BM41" i="7" s="1"/>
  <c r="BF41" i="7" a="1"/>
  <c r="BF41" i="7" s="1"/>
  <c r="G47" i="7"/>
  <c r="H47" i="7" s="1"/>
  <c r="I47" i="7" s="1"/>
  <c r="M47" i="7"/>
  <c r="N47" i="7" s="1"/>
  <c r="O47" i="7" s="1"/>
  <c r="D47" i="7"/>
  <c r="J47" i="7"/>
  <c r="K47" i="7" s="1"/>
  <c r="L47" i="7" s="1"/>
  <c r="S47" i="7"/>
  <c r="T47" i="7" s="1"/>
  <c r="U47" i="7" s="1"/>
  <c r="P47" i="7"/>
  <c r="Q47" i="7" s="1"/>
  <c r="R47" i="7" s="1"/>
  <c r="AZ41" i="7" a="1"/>
  <c r="AZ41" i="7" s="1"/>
  <c r="Y44" i="7"/>
  <c r="F44" i="7" s="1"/>
  <c r="AD44" i="7" s="1" a="1"/>
  <c r="AD44" i="7" s="1"/>
  <c r="AA44" i="7"/>
  <c r="Z44" i="7"/>
  <c r="BQ41" i="7" a="1"/>
  <c r="BQ41" i="7" s="1"/>
  <c r="BE41" i="7" a="1"/>
  <c r="BE41" i="7" s="1"/>
  <c r="I51" i="2"/>
  <c r="BN41" i="7" a="1"/>
  <c r="BN41" i="7" s="1"/>
  <c r="BC41" i="7" a="1"/>
  <c r="BC41" i="7" s="1"/>
  <c r="TB27" i="8"/>
  <c r="TM2" i="8"/>
  <c r="BD41" i="7" a="1"/>
  <c r="BD41" i="7" s="1"/>
  <c r="B48" i="7"/>
  <c r="A49" i="7" a="1"/>
  <c r="A49" i="7" s="1"/>
  <c r="C48" i="7" a="1"/>
  <c r="C48" i="7" s="1"/>
  <c r="BO41" i="7" a="1"/>
  <c r="BO41" i="7" s="1"/>
  <c r="BJ41" i="7" a="1"/>
  <c r="BJ41" i="7" s="1"/>
  <c r="BL41" i="7" a="1"/>
  <c r="BL41" i="7" s="1"/>
  <c r="M49" i="2" a="1"/>
  <c r="P50" i="2"/>
  <c r="N49" i="2" a="1"/>
  <c r="T50" i="2"/>
  <c r="J49" i="2" a="1"/>
  <c r="U50" i="2"/>
  <c r="L49" i="2" a="1"/>
  <c r="S50" i="2"/>
  <c r="Q50" i="2"/>
  <c r="K49" i="2" a="1"/>
  <c r="R50" i="2"/>
  <c r="O49" i="2" a="1"/>
  <c r="AK44" i="7" l="1" a="1"/>
  <c r="AK44" i="7" s="1"/>
  <c r="AH44" i="7" a="1"/>
  <c r="AH44" i="7" s="1"/>
  <c r="AG44" i="7" a="1"/>
  <c r="AG44" i="7" s="1"/>
  <c r="AM44" i="7" a="1"/>
  <c r="AM44" i="7" s="1"/>
  <c r="AC44" i="7" a="1"/>
  <c r="AC44" i="7" s="1"/>
  <c r="AQ44" i="7" a="1"/>
  <c r="AQ44" i="7" s="1"/>
  <c r="AJ44" i="7" a="1"/>
  <c r="AJ44" i="7" s="1"/>
  <c r="AF44" i="7" a="1"/>
  <c r="AF44" i="7" s="1"/>
  <c r="AP44" i="7" a="1"/>
  <c r="AP44" i="7" s="1"/>
  <c r="AL44" i="7" a="1"/>
  <c r="AL44" i="7" s="1"/>
  <c r="AO44" i="7" a="1"/>
  <c r="AO44" i="7" s="1"/>
  <c r="AE44" i="7" a="1"/>
  <c r="AE44" i="7" s="1"/>
  <c r="AI44" i="7" a="1"/>
  <c r="AI44" i="7" s="1"/>
  <c r="BJ42" i="7" a="1"/>
  <c r="BJ42" i="7" s="1"/>
  <c r="BF42" i="7" a="1"/>
  <c r="BF42" i="7" s="1"/>
  <c r="BP42" i="7" a="1"/>
  <c r="BP42" i="7" s="1"/>
  <c r="BG42" i="7" a="1"/>
  <c r="BG42" i="7" s="1"/>
  <c r="AZ42" i="7" a="1"/>
  <c r="AZ42" i="7" s="1"/>
  <c r="BC42" i="7" a="1"/>
  <c r="BC42" i="7" s="1"/>
  <c r="BH42" i="7" a="1"/>
  <c r="BH42" i="7" s="1"/>
  <c r="AU43" i="7"/>
  <c r="AV43" i="7" s="1"/>
  <c r="BB42" i="7" a="1"/>
  <c r="BB42" i="7" s="1"/>
  <c r="BI42" i="7" a="1"/>
  <c r="BI42" i="7" s="1"/>
  <c r="BO42" i="7" a="1"/>
  <c r="BO42" i="7" s="1"/>
  <c r="BN42" i="7" a="1"/>
  <c r="BN42" i="7" s="1"/>
  <c r="BD42" i="7" a="1"/>
  <c r="BD42" i="7" s="1"/>
  <c r="BK42" i="7" a="1"/>
  <c r="BK42" i="7" s="1"/>
  <c r="BL42" i="7" a="1"/>
  <c r="BL42" i="7" s="1"/>
  <c r="BQ42" i="7" a="1"/>
  <c r="BQ42" i="7" s="1"/>
  <c r="BM42" i="7" a="1"/>
  <c r="BM42" i="7" s="1"/>
  <c r="BA42" i="7" a="1"/>
  <c r="BA42" i="7" s="1"/>
  <c r="BE42" i="7" a="1"/>
  <c r="BE42" i="7" s="1"/>
  <c r="O49" i="2"/>
  <c r="K49" i="2"/>
  <c r="L49" i="2"/>
  <c r="J49" i="2"/>
  <c r="N49" i="2"/>
  <c r="V50" i="2"/>
  <c r="M49" i="2"/>
  <c r="X46" i="7"/>
  <c r="W46" i="7"/>
  <c r="AB46" i="7" s="1"/>
  <c r="V47" i="7"/>
  <c r="M48" i="7"/>
  <c r="N48" i="7" s="1"/>
  <c r="O48" i="7" s="1"/>
  <c r="G48" i="7"/>
  <c r="H48" i="7" s="1"/>
  <c r="I48" i="7" s="1"/>
  <c r="P48" i="7"/>
  <c r="Q48" i="7" s="1"/>
  <c r="R48" i="7" s="1"/>
  <c r="D48" i="7"/>
  <c r="J48" i="7"/>
  <c r="K48" i="7" s="1"/>
  <c r="L48" i="7" s="1"/>
  <c r="S48" i="7"/>
  <c r="T48" i="7" s="1"/>
  <c r="U48" i="7" s="1"/>
  <c r="JA4" i="8"/>
  <c r="JB2" i="8" s="1"/>
  <c r="AD45" i="7" a="1"/>
  <c r="AD45" i="7" s="1"/>
  <c r="I52" i="2"/>
  <c r="C49" i="7" a="1"/>
  <c r="C49" i="7" s="1"/>
  <c r="B49" i="7"/>
  <c r="A50" i="7" a="1"/>
  <c r="A50" i="7" s="1"/>
  <c r="AO45" i="7" a="1"/>
  <c r="AO45" i="7" s="1"/>
  <c r="AI45" i="7" a="1"/>
  <c r="AI45" i="7" s="1"/>
  <c r="AA45" i="7"/>
  <c r="Z45" i="7"/>
  <c r="Y45" i="7"/>
  <c r="F45" i="7" s="1"/>
  <c r="AG45" i="7" s="1" a="1"/>
  <c r="AG45" i="7" s="1"/>
  <c r="AT44" i="7"/>
  <c r="AS44" i="7"/>
  <c r="IJ26" i="8"/>
  <c r="IN6" i="8"/>
  <c r="IN31" i="8" s="1"/>
  <c r="IN3" i="8"/>
  <c r="IN28" i="8" s="1"/>
  <c r="IN4" i="8"/>
  <c r="IN29" i="8" s="1"/>
  <c r="IN5" i="8"/>
  <c r="IN30" i="8" s="1"/>
  <c r="E47" i="7"/>
  <c r="TM27" i="8"/>
  <c r="TX2" i="8"/>
  <c r="II14" i="8"/>
  <c r="II39" i="8" s="1"/>
  <c r="II13" i="8"/>
  <c r="II38" i="8" s="1"/>
  <c r="IN13" i="8"/>
  <c r="IN38" i="8" s="1"/>
  <c r="N50" i="2" a="1"/>
  <c r="S51" i="2"/>
  <c r="L50" i="2" a="1"/>
  <c r="U51" i="2"/>
  <c r="J50" i="2" a="1"/>
  <c r="T51" i="2"/>
  <c r="K50" i="2" a="1"/>
  <c r="R51" i="2"/>
  <c r="M50" i="2" a="1"/>
  <c r="Q51" i="2"/>
  <c r="P51" i="2"/>
  <c r="O50" i="2" a="1"/>
  <c r="AQ45" i="7" l="1" a="1"/>
  <c r="AQ45" i="7" s="1"/>
  <c r="AL45" i="7" a="1"/>
  <c r="AL45" i="7" s="1"/>
  <c r="AH45" i="7" a="1"/>
  <c r="AH45" i="7" s="1"/>
  <c r="AP45" i="7" a="1"/>
  <c r="AP45" i="7" s="1"/>
  <c r="AE45" i="7" a="1"/>
  <c r="AE45" i="7" s="1"/>
  <c r="AM45" i="7" a="1"/>
  <c r="AM45" i="7" s="1"/>
  <c r="AF45" i="7" a="1"/>
  <c r="AF45" i="7" s="1"/>
  <c r="AK45" i="7" a="1"/>
  <c r="AK45" i="7" s="1"/>
  <c r="AN45" i="7" a="1"/>
  <c r="AN45" i="7" s="1"/>
  <c r="AC45" i="7" a="1"/>
  <c r="AC45" i="7" s="1"/>
  <c r="AJ45" i="7" a="1"/>
  <c r="AJ45" i="7" s="1"/>
  <c r="AW43" i="7"/>
  <c r="AX43" i="7" s="1"/>
  <c r="BP43" i="7" s="1" a="1"/>
  <c r="BP43" i="7" s="1"/>
  <c r="O50" i="2"/>
  <c r="V51" i="2"/>
  <c r="M50" i="2"/>
  <c r="K50" i="2"/>
  <c r="J50" i="2"/>
  <c r="L50" i="2"/>
  <c r="N50" i="2"/>
  <c r="IY15" i="8"/>
  <c r="IY40" i="8" s="1"/>
  <c r="JB4" i="8"/>
  <c r="IY14" i="8"/>
  <c r="IY39" i="8" s="1"/>
  <c r="IY12" i="8"/>
  <c r="IY37" i="8" s="1"/>
  <c r="IY11" i="8"/>
  <c r="IY36" i="8" s="1"/>
  <c r="IT12" i="8"/>
  <c r="IT37" i="8" s="1"/>
  <c r="IT11" i="8"/>
  <c r="IT36" i="8" s="1"/>
  <c r="IU1" i="8"/>
  <c r="IT3" i="8"/>
  <c r="IT28" i="8" s="1"/>
  <c r="IT21" i="8"/>
  <c r="IT15" i="8"/>
  <c r="IT40" i="8" s="1"/>
  <c r="IY10" i="8"/>
  <c r="IY35" i="8" s="1"/>
  <c r="JL1" i="8"/>
  <c r="JL2" i="8" s="1"/>
  <c r="IT10" i="8"/>
  <c r="IT35" i="8" s="1"/>
  <c r="I53" i="2"/>
  <c r="B50" i="7"/>
  <c r="A51" i="7" a="1"/>
  <c r="A51" i="7" s="1"/>
  <c r="C50" i="7" a="1"/>
  <c r="C50" i="7" s="1"/>
  <c r="AH46" i="7" a="1"/>
  <c r="AH46" i="7" s="1"/>
  <c r="AL46" i="7" a="1"/>
  <c r="AL46" i="7" s="1"/>
  <c r="TX27" i="8"/>
  <c r="UI2" i="8"/>
  <c r="AU44" i="7"/>
  <c r="AW44" i="7" s="1"/>
  <c r="AX44" i="7" s="1"/>
  <c r="W47" i="7"/>
  <c r="AB47" i="7" s="1"/>
  <c r="X47" i="7"/>
  <c r="V48" i="7"/>
  <c r="S49" i="7"/>
  <c r="T49" i="7" s="1"/>
  <c r="U49" i="7" s="1"/>
  <c r="G49" i="7"/>
  <c r="H49" i="7" s="1"/>
  <c r="I49" i="7" s="1"/>
  <c r="J49" i="7"/>
  <c r="K49" i="7" s="1"/>
  <c r="L49" i="7" s="1"/>
  <c r="P49" i="7"/>
  <c r="Q49" i="7" s="1"/>
  <c r="R49" i="7" s="1"/>
  <c r="D49" i="7"/>
  <c r="M49" i="7"/>
  <c r="N49" i="7" s="1"/>
  <c r="O49" i="7" s="1"/>
  <c r="AS45" i="7"/>
  <c r="AT45" i="7" s="1"/>
  <c r="E48" i="7"/>
  <c r="AA46" i="7"/>
  <c r="Z46" i="7"/>
  <c r="Y46" i="7"/>
  <c r="F46" i="7" s="1"/>
  <c r="AD46" i="7" s="1" a="1"/>
  <c r="AD46" i="7" s="1"/>
  <c r="T52" i="2"/>
  <c r="J51" i="2" a="1"/>
  <c r="O51" i="2" a="1"/>
  <c r="S52" i="2"/>
  <c r="R52" i="2"/>
  <c r="P52" i="2"/>
  <c r="M51" i="2" a="1"/>
  <c r="L51" i="2" a="1"/>
  <c r="Q52" i="2"/>
  <c r="K51" i="2" a="1"/>
  <c r="N51" i="2" a="1"/>
  <c r="U52" i="2"/>
  <c r="AM46" i="7" l="1" a="1"/>
  <c r="AM46" i="7" s="1"/>
  <c r="AP46" i="7" a="1"/>
  <c r="AP46" i="7" s="1"/>
  <c r="AC46" i="7" a="1"/>
  <c r="AC46" i="7" s="1"/>
  <c r="AJ46" i="7" a="1"/>
  <c r="AJ46" i="7" s="1"/>
  <c r="AQ46" i="7" a="1"/>
  <c r="AQ46" i="7" s="1"/>
  <c r="AE46" i="7" a="1"/>
  <c r="AE46" i="7" s="1"/>
  <c r="AI46" i="7" a="1"/>
  <c r="AI46" i="7" s="1"/>
  <c r="AG46" i="7" a="1"/>
  <c r="AG46" i="7" s="1"/>
  <c r="AF46" i="7" a="1"/>
  <c r="AF46" i="7" s="1"/>
  <c r="AK46" i="7" a="1"/>
  <c r="AK46" i="7" s="1"/>
  <c r="AN46" i="7" a="1"/>
  <c r="AN46" i="7" s="1"/>
  <c r="AO46" i="7" a="1"/>
  <c r="AO46" i="7" s="1"/>
  <c r="BD43" i="7" a="1"/>
  <c r="BD43" i="7" s="1"/>
  <c r="BO43" i="7" a="1"/>
  <c r="BO43" i="7" s="1"/>
  <c r="BL43" i="7" a="1"/>
  <c r="BL43" i="7" s="1"/>
  <c r="BJ43" i="7" a="1"/>
  <c r="BJ43" i="7" s="1"/>
  <c r="BQ43" i="7" a="1"/>
  <c r="BQ43" i="7" s="1"/>
  <c r="BN43" i="7" a="1"/>
  <c r="BN43" i="7" s="1"/>
  <c r="BI43" i="7" a="1"/>
  <c r="BI43" i="7" s="1"/>
  <c r="BH43" i="7" a="1"/>
  <c r="BH43" i="7" s="1"/>
  <c r="BF43" i="7" a="1"/>
  <c r="BF43" i="7" s="1"/>
  <c r="AZ43" i="7" a="1"/>
  <c r="AZ43" i="7" s="1"/>
  <c r="BM43" i="7" a="1"/>
  <c r="BM43" i="7" s="1"/>
  <c r="BG43" i="7" a="1"/>
  <c r="BG43" i="7" s="1"/>
  <c r="BA43" i="7" a="1"/>
  <c r="BA43" i="7" s="1"/>
  <c r="BK43" i="7" a="1"/>
  <c r="BK43" i="7" s="1"/>
  <c r="BC43" i="7" a="1"/>
  <c r="BC43" i="7" s="1"/>
  <c r="BE43" i="7" a="1"/>
  <c r="BE43" i="7" s="1"/>
  <c r="BB43" i="7" a="1"/>
  <c r="BB43" i="7" s="1"/>
  <c r="N51" i="2"/>
  <c r="K51" i="2"/>
  <c r="L51" i="2"/>
  <c r="M51" i="2"/>
  <c r="V52" i="2"/>
  <c r="O51" i="2"/>
  <c r="J51" i="2"/>
  <c r="UI27" i="8"/>
  <c r="UT2" i="8"/>
  <c r="I54" i="2"/>
  <c r="IU26" i="8"/>
  <c r="IY6" i="8"/>
  <c r="IY31" i="8" s="1"/>
  <c r="IY4" i="8"/>
  <c r="IY29" i="8" s="1"/>
  <c r="IY3" i="8"/>
  <c r="IY28" i="8" s="1"/>
  <c r="IY5" i="8"/>
  <c r="IY30" i="8" s="1"/>
  <c r="AV44" i="7"/>
  <c r="BB44" i="7" s="1" a="1"/>
  <c r="BB44" i="7" s="1"/>
  <c r="AS46" i="7"/>
  <c r="AT46" i="7" s="1"/>
  <c r="M50" i="7"/>
  <c r="N50" i="7" s="1"/>
  <c r="O50" i="7" s="1"/>
  <c r="P50" i="7"/>
  <c r="Q50" i="7" s="1"/>
  <c r="R50" i="7" s="1"/>
  <c r="D50" i="7"/>
  <c r="J50" i="7"/>
  <c r="K50" i="7" s="1"/>
  <c r="L50" i="7" s="1"/>
  <c r="S50" i="7"/>
  <c r="T50" i="7" s="1"/>
  <c r="U50" i="7" s="1"/>
  <c r="G50" i="7"/>
  <c r="H50" i="7" s="1"/>
  <c r="I50" i="7" s="1"/>
  <c r="X48" i="7"/>
  <c r="W48" i="7"/>
  <c r="AB48" i="7" s="1"/>
  <c r="V49" i="7"/>
  <c r="AA47" i="7"/>
  <c r="Z47" i="7"/>
  <c r="Y47" i="7"/>
  <c r="F47" i="7" s="1"/>
  <c r="AG47" i="7" s="1" a="1"/>
  <c r="AG47" i="7" s="1"/>
  <c r="JL4" i="8"/>
  <c r="JM2" i="8" s="1"/>
  <c r="E49" i="7"/>
  <c r="A52" i="7" a="1"/>
  <c r="A52" i="7" s="1"/>
  <c r="C51" i="7" a="1"/>
  <c r="C51" i="7" s="1"/>
  <c r="B51" i="7"/>
  <c r="AU45" i="7"/>
  <c r="IY13" i="8"/>
  <c r="IY38" i="8" s="1"/>
  <c r="IT14" i="8"/>
  <c r="IT39" i="8" s="1"/>
  <c r="IT13" i="8"/>
  <c r="IT38" i="8" s="1"/>
  <c r="O52" i="2" a="1"/>
  <c r="L52" i="2" a="1"/>
  <c r="U53" i="2"/>
  <c r="M52" i="2" a="1"/>
  <c r="R53" i="2"/>
  <c r="Q53" i="2"/>
  <c r="K52" i="2" a="1"/>
  <c r="P53" i="2"/>
  <c r="N52" i="2" a="1"/>
  <c r="J52" i="2" a="1"/>
  <c r="T53" i="2"/>
  <c r="S53" i="2"/>
  <c r="AD47" i="7" l="1" a="1"/>
  <c r="AD47" i="7" s="1"/>
  <c r="AE47" i="7" a="1"/>
  <c r="AE47" i="7" s="1"/>
  <c r="AK47" i="7" a="1"/>
  <c r="AK47" i="7" s="1"/>
  <c r="AN47" i="7" a="1"/>
  <c r="AN47" i="7" s="1"/>
  <c r="AI47" i="7" a="1"/>
  <c r="AI47" i="7" s="1"/>
  <c r="AL47" i="7" a="1"/>
  <c r="AL47" i="7" s="1"/>
  <c r="AC47" i="7" a="1"/>
  <c r="AC47" i="7" s="1"/>
  <c r="AM47" i="7" a="1"/>
  <c r="AM47" i="7" s="1"/>
  <c r="AP47" i="7" a="1"/>
  <c r="AP47" i="7" s="1"/>
  <c r="AQ47" i="7" a="1"/>
  <c r="AQ47" i="7" s="1"/>
  <c r="AF47" i="7" a="1"/>
  <c r="AF47" i="7" s="1"/>
  <c r="AO47" i="7" a="1"/>
  <c r="AO47" i="7" s="1"/>
  <c r="AJ47" i="7" a="1"/>
  <c r="AJ47" i="7" s="1"/>
  <c r="AH47" i="7" a="1"/>
  <c r="AH47" i="7" s="1"/>
  <c r="J52" i="2"/>
  <c r="N52" i="2"/>
  <c r="V53" i="2"/>
  <c r="K52" i="2"/>
  <c r="M52" i="2"/>
  <c r="L52" i="2"/>
  <c r="O52" i="2"/>
  <c r="W49" i="7"/>
  <c r="AB49" i="7" s="1"/>
  <c r="X49" i="7"/>
  <c r="V50" i="7"/>
  <c r="BF44" i="7" a="1"/>
  <c r="BF44" i="7" s="1"/>
  <c r="E50" i="7"/>
  <c r="Y48" i="7"/>
  <c r="F48" i="7" s="1"/>
  <c r="AG48" i="7" s="1" a="1"/>
  <c r="AG48" i="7" s="1"/>
  <c r="AA48" i="7"/>
  <c r="Z48" i="7"/>
  <c r="BE44" i="7" a="1"/>
  <c r="BE44" i="7" s="1"/>
  <c r="BO44" i="7" a="1"/>
  <c r="BO44" i="7" s="1"/>
  <c r="BG44" i="7" a="1"/>
  <c r="BG44" i="7" s="1"/>
  <c r="UT27" i="8"/>
  <c r="VE2" i="8"/>
  <c r="AS47" i="7"/>
  <c r="BP44" i="7" a="1"/>
  <c r="BP44" i="7" s="1"/>
  <c r="AW45" i="7"/>
  <c r="AX45" i="7" s="1"/>
  <c r="I55" i="2"/>
  <c r="BL44" i="7" a="1"/>
  <c r="BL44" i="7" s="1"/>
  <c r="AU46" i="7"/>
  <c r="G51" i="7"/>
  <c r="H51" i="7" s="1"/>
  <c r="I51" i="7" s="1"/>
  <c r="S51" i="7"/>
  <c r="T51" i="7" s="1"/>
  <c r="U51" i="7" s="1"/>
  <c r="J51" i="7"/>
  <c r="K51" i="7" s="1"/>
  <c r="L51" i="7" s="1"/>
  <c r="D51" i="7"/>
  <c r="M51" i="7"/>
  <c r="N51" i="7" s="1"/>
  <c r="O51" i="7" s="1"/>
  <c r="P51" i="7"/>
  <c r="Q51" i="7" s="1"/>
  <c r="R51" i="7" s="1"/>
  <c r="AD48" i="7" a="1"/>
  <c r="AD48" i="7" s="1"/>
  <c r="AO48" i="7" a="1"/>
  <c r="AO48" i="7" s="1"/>
  <c r="AL48" i="7" a="1"/>
  <c r="AL48" i="7" s="1"/>
  <c r="AN48" i="7" a="1"/>
  <c r="AN48" i="7" s="1"/>
  <c r="AQ48" i="7" a="1"/>
  <c r="AQ48" i="7" s="1"/>
  <c r="AJ48" i="7" a="1"/>
  <c r="AJ48" i="7" s="1"/>
  <c r="AK48" i="7" a="1"/>
  <c r="AK48" i="7" s="1"/>
  <c r="AH48" i="7" a="1"/>
  <c r="AH48" i="7" s="1"/>
  <c r="AM48" i="7" a="1"/>
  <c r="AM48" i="7" s="1"/>
  <c r="AC48" i="7" a="1"/>
  <c r="AC48" i="7" s="1"/>
  <c r="AF48" i="7" a="1"/>
  <c r="AF48" i="7" s="1"/>
  <c r="AP48" i="7" a="1"/>
  <c r="AP48" i="7" s="1"/>
  <c r="AE48" i="7" a="1"/>
  <c r="AE48" i="7" s="1"/>
  <c r="BM44" i="7" a="1"/>
  <c r="BM44" i="7" s="1"/>
  <c r="BD44" i="7" a="1"/>
  <c r="BD44" i="7" s="1"/>
  <c r="JJ14" i="8"/>
  <c r="JJ39" i="8" s="1"/>
  <c r="JJ12" i="8"/>
  <c r="JJ37" i="8" s="1"/>
  <c r="JJ11" i="8"/>
  <c r="JJ36" i="8" s="1"/>
  <c r="JJ10" i="8"/>
  <c r="JJ35" i="8" s="1"/>
  <c r="JE21" i="8"/>
  <c r="JE15" i="8"/>
  <c r="JE40" i="8" s="1"/>
  <c r="JE12" i="8"/>
  <c r="JE37" i="8" s="1"/>
  <c r="JE11" i="8"/>
  <c r="JE36" i="8" s="1"/>
  <c r="JE3" i="8"/>
  <c r="JE28" i="8" s="1"/>
  <c r="JJ15" i="8"/>
  <c r="JJ40" i="8" s="1"/>
  <c r="JE10" i="8"/>
  <c r="JE35" i="8" s="1"/>
  <c r="JW1" i="8"/>
  <c r="JW2" i="8" s="1"/>
  <c r="JM4" i="8"/>
  <c r="JF1" i="8"/>
  <c r="B52" i="7"/>
  <c r="A53" i="7" a="1"/>
  <c r="A53" i="7" s="1"/>
  <c r="C52" i="7" a="1"/>
  <c r="C52" i="7" s="1"/>
  <c r="AV45" i="7"/>
  <c r="BJ44" i="7" a="1"/>
  <c r="BJ44" i="7" s="1"/>
  <c r="BA44" i="7" a="1"/>
  <c r="BA44" i="7" s="1"/>
  <c r="BK44" i="7" a="1"/>
  <c r="BK44" i="7" s="1"/>
  <c r="AZ44" i="7" a="1"/>
  <c r="AZ44" i="7" s="1"/>
  <c r="BQ44" i="7" a="1"/>
  <c r="BQ44" i="7" s="1"/>
  <c r="BH44" i="7" a="1"/>
  <c r="BH44" i="7" s="1"/>
  <c r="BC44" i="7" a="1"/>
  <c r="BC44" i="7" s="1"/>
  <c r="BN44" i="7" a="1"/>
  <c r="BN44" i="7" s="1"/>
  <c r="BI44" i="7" a="1"/>
  <c r="BI44" i="7" s="1"/>
  <c r="M53" i="2" a="1"/>
  <c r="L53" i="2" a="1"/>
  <c r="N53" i="2" a="1"/>
  <c r="Q54" i="2"/>
  <c r="S54" i="2"/>
  <c r="O53" i="2" a="1"/>
  <c r="J53" i="2" a="1"/>
  <c r="P54" i="2"/>
  <c r="U54" i="2"/>
  <c r="T54" i="2"/>
  <c r="K53" i="2" a="1"/>
  <c r="R54" i="2"/>
  <c r="AI48" i="7" l="1" a="1"/>
  <c r="AI48" i="7" s="1"/>
  <c r="BC45" i="7" a="1"/>
  <c r="BC45" i="7" s="1"/>
  <c r="K53" i="2"/>
  <c r="V54" i="2"/>
  <c r="J53" i="2"/>
  <c r="O53" i="2"/>
  <c r="N53" i="2"/>
  <c r="L53" i="2"/>
  <c r="M53" i="2"/>
  <c r="BM45" i="7" a="1"/>
  <c r="BM45" i="7" s="1"/>
  <c r="BH45" i="7" a="1"/>
  <c r="BH45" i="7" s="1"/>
  <c r="E51" i="7"/>
  <c r="AW46" i="7"/>
  <c r="AX46" i="7" s="1"/>
  <c r="VE27" i="8"/>
  <c r="VP2" i="8"/>
  <c r="BO45" i="7" a="1"/>
  <c r="BO45" i="7" s="1"/>
  <c r="AU47" i="7"/>
  <c r="AV47" i="7" s="1"/>
  <c r="BG45" i="7" a="1"/>
  <c r="BG45" i="7" s="1"/>
  <c r="BN45" i="7" a="1"/>
  <c r="BN45" i="7" s="1"/>
  <c r="C53" i="7" a="1"/>
  <c r="C53" i="7" s="1"/>
  <c r="B53" i="7"/>
  <c r="A54" i="7" a="1"/>
  <c r="A54" i="7" s="1"/>
  <c r="BE45" i="7" a="1"/>
  <c r="BE45" i="7" s="1"/>
  <c r="BK45" i="7" a="1"/>
  <c r="BK45" i="7" s="1"/>
  <c r="BL45" i="7" a="1"/>
  <c r="BL45" i="7" s="1"/>
  <c r="JJ5" i="8"/>
  <c r="JJ30" i="8" s="1"/>
  <c r="JF26" i="8"/>
  <c r="JJ4" i="8"/>
  <c r="JJ29" i="8" s="1"/>
  <c r="JJ3" i="8"/>
  <c r="JJ28" i="8" s="1"/>
  <c r="JJ6" i="8"/>
  <c r="JJ31" i="8" s="1"/>
  <c r="AV46" i="7"/>
  <c r="AZ45" i="7" a="1"/>
  <c r="AZ45" i="7" s="1"/>
  <c r="BB45" i="7" a="1"/>
  <c r="BB45" i="7" s="1"/>
  <c r="JJ13" i="8"/>
  <c r="JJ38" i="8" s="1"/>
  <c r="JE13" i="8"/>
  <c r="JE38" i="8" s="1"/>
  <c r="JE14" i="8"/>
  <c r="JE39" i="8" s="1"/>
  <c r="BD45" i="7" a="1"/>
  <c r="BD45" i="7" s="1"/>
  <c r="BI45" i="7" a="1"/>
  <c r="BI45" i="7" s="1"/>
  <c r="AS48" i="7"/>
  <c r="AU48" i="7" s="1"/>
  <c r="AV48" i="7" s="1"/>
  <c r="BP45" i="7" a="1"/>
  <c r="BP45" i="7" s="1"/>
  <c r="J52" i="7"/>
  <c r="K52" i="7" s="1"/>
  <c r="L52" i="7" s="1"/>
  <c r="P52" i="7"/>
  <c r="Q52" i="7" s="1"/>
  <c r="R52" i="7" s="1"/>
  <c r="M52" i="7"/>
  <c r="N52" i="7" s="1"/>
  <c r="O52" i="7" s="1"/>
  <c r="D52" i="7"/>
  <c r="S52" i="7"/>
  <c r="T52" i="7" s="1"/>
  <c r="U52" i="7" s="1"/>
  <c r="G52" i="7"/>
  <c r="H52" i="7" s="1"/>
  <c r="I52" i="7" s="1"/>
  <c r="JW4" i="8"/>
  <c r="JX2" i="8" s="1"/>
  <c r="I56" i="2"/>
  <c r="BQ45" i="7" a="1"/>
  <c r="BQ45" i="7" s="1"/>
  <c r="BF45" i="7" a="1"/>
  <c r="BF45" i="7" s="1"/>
  <c r="X50" i="7"/>
  <c r="W50" i="7"/>
  <c r="AB50" i="7" s="1"/>
  <c r="V51" i="7"/>
  <c r="BA45" i="7" a="1"/>
  <c r="BA45" i="7" s="1"/>
  <c r="AT47" i="7"/>
  <c r="BJ45" i="7" a="1"/>
  <c r="BJ45" i="7" s="1"/>
  <c r="AA49" i="7"/>
  <c r="Z49" i="7"/>
  <c r="Y49" i="7"/>
  <c r="F49" i="7" s="1"/>
  <c r="AD49" i="7" s="1" a="1"/>
  <c r="AD49" i="7" s="1"/>
  <c r="L54" i="2" a="1"/>
  <c r="M54" i="2" a="1"/>
  <c r="U55" i="2"/>
  <c r="K54" i="2" a="1"/>
  <c r="S55" i="2"/>
  <c r="R55" i="2"/>
  <c r="N54" i="2" a="1"/>
  <c r="O54" i="2" a="1"/>
  <c r="P55" i="2"/>
  <c r="Q55" i="2"/>
  <c r="J54" i="2" a="1"/>
  <c r="T55" i="2"/>
  <c r="AF49" i="7" l="1" a="1"/>
  <c r="AF49" i="7" s="1"/>
  <c r="AL49" i="7" a="1"/>
  <c r="AL49" i="7" s="1"/>
  <c r="AM49" i="7" a="1"/>
  <c r="AM49" i="7" s="1"/>
  <c r="AQ49" i="7" a="1"/>
  <c r="AQ49" i="7" s="1"/>
  <c r="AP49" i="7" a="1"/>
  <c r="AP49" i="7" s="1"/>
  <c r="AE49" i="7" a="1"/>
  <c r="AE49" i="7" s="1"/>
  <c r="AK49" i="7" a="1"/>
  <c r="AK49" i="7" s="1"/>
  <c r="AJ49" i="7" a="1"/>
  <c r="AJ49" i="7" s="1"/>
  <c r="AO49" i="7" a="1"/>
  <c r="AO49" i="7" s="1"/>
  <c r="AN49" i="7" a="1"/>
  <c r="AN49" i="7" s="1"/>
  <c r="AH49" i="7" a="1"/>
  <c r="AH49" i="7" s="1"/>
  <c r="AC49" i="7" a="1"/>
  <c r="AC49" i="7" s="1"/>
  <c r="AG49" i="7" a="1"/>
  <c r="AG49" i="7" s="1"/>
  <c r="AI49" i="7" a="1"/>
  <c r="AI49" i="7" s="1"/>
  <c r="BC46" i="7" a="1"/>
  <c r="BC46" i="7" s="1"/>
  <c r="BJ46" i="7" a="1"/>
  <c r="BJ46" i="7" s="1"/>
  <c r="BG46" i="7" a="1"/>
  <c r="BG46" i="7" s="1"/>
  <c r="AW48" i="7"/>
  <c r="AX48" i="7" s="1"/>
  <c r="J54" i="2"/>
  <c r="V55" i="2"/>
  <c r="O54" i="2"/>
  <c r="N54" i="2"/>
  <c r="K54" i="2"/>
  <c r="M54" i="2"/>
  <c r="L54" i="2"/>
  <c r="C54" i="7" a="1"/>
  <c r="C54" i="7" s="1"/>
  <c r="B54" i="7"/>
  <c r="A55" i="7" a="1"/>
  <c r="A55" i="7" s="1"/>
  <c r="E52" i="7"/>
  <c r="BD46" i="7" a="1"/>
  <c r="BD46" i="7" s="1"/>
  <c r="BA46" i="7" a="1"/>
  <c r="BA46" i="7" s="1"/>
  <c r="BB46" i="7" a="1"/>
  <c r="BB46" i="7" s="1"/>
  <c r="BO46" i="7" a="1"/>
  <c r="BO46" i="7" s="1"/>
  <c r="BQ46" i="7" a="1"/>
  <c r="BQ46" i="7" s="1"/>
  <c r="BI46" i="7" a="1"/>
  <c r="BI46" i="7" s="1"/>
  <c r="BP46" i="7" a="1"/>
  <c r="BP46" i="7" s="1"/>
  <c r="BF46" i="7" a="1"/>
  <c r="BF46" i="7" s="1"/>
  <c r="BE46" i="7" a="1"/>
  <c r="BE46" i="7" s="1"/>
  <c r="BL46" i="7" a="1"/>
  <c r="BL46" i="7" s="1"/>
  <c r="BN46" i="7" a="1"/>
  <c r="BN46" i="7" s="1"/>
  <c r="S53" i="7"/>
  <c r="T53" i="7" s="1"/>
  <c r="U53" i="7" s="1"/>
  <c r="G53" i="7"/>
  <c r="H53" i="7" s="1"/>
  <c r="I53" i="7" s="1"/>
  <c r="P53" i="7"/>
  <c r="Q53" i="7" s="1"/>
  <c r="R53" i="7" s="1"/>
  <c r="D53" i="7"/>
  <c r="M53" i="7"/>
  <c r="N53" i="7" s="1"/>
  <c r="O53" i="7" s="1"/>
  <c r="J53" i="7"/>
  <c r="K53" i="7" s="1"/>
  <c r="L53" i="7" s="1"/>
  <c r="AS49" i="7"/>
  <c r="AT49" i="7" s="1"/>
  <c r="AW47" i="7"/>
  <c r="AI50" i="7" a="1"/>
  <c r="AI50" i="7" s="1"/>
  <c r="AQ50" i="7" a="1"/>
  <c r="AQ50" i="7" s="1"/>
  <c r="Y50" i="7"/>
  <c r="F50" i="7" s="1"/>
  <c r="AM50" i="7" s="1" a="1"/>
  <c r="AM50" i="7" s="1"/>
  <c r="AA50" i="7"/>
  <c r="Z50" i="7"/>
  <c r="AT48" i="7"/>
  <c r="BC48" i="7" s="1" a="1"/>
  <c r="BC48" i="7" s="1"/>
  <c r="BM46" i="7" a="1"/>
  <c r="BM46" i="7" s="1"/>
  <c r="BH46" i="7" a="1"/>
  <c r="BH46" i="7" s="1"/>
  <c r="W51" i="7"/>
  <c r="AB51" i="7" s="1"/>
  <c r="X51" i="7"/>
  <c r="V52" i="7"/>
  <c r="I57" i="2"/>
  <c r="JP15" i="8"/>
  <c r="JP40" i="8" s="1"/>
  <c r="JU12" i="8"/>
  <c r="JU37" i="8" s="1"/>
  <c r="JU11" i="8"/>
  <c r="JU36" i="8" s="1"/>
  <c r="JU10" i="8"/>
  <c r="JU35" i="8" s="1"/>
  <c r="JP21" i="8"/>
  <c r="JU15" i="8"/>
  <c r="JU40" i="8" s="1"/>
  <c r="JX4" i="8"/>
  <c r="KH1" i="8"/>
  <c r="KH2" i="8" s="1"/>
  <c r="JP10" i="8"/>
  <c r="JP35" i="8" s="1"/>
  <c r="JU14" i="8"/>
  <c r="JU39" i="8" s="1"/>
  <c r="JQ1" i="8"/>
  <c r="JP12" i="8"/>
  <c r="JP37" i="8" s="1"/>
  <c r="JP11" i="8"/>
  <c r="JP36" i="8" s="1"/>
  <c r="JP3" i="8"/>
  <c r="JP28" i="8" s="1"/>
  <c r="AZ46" i="7" a="1"/>
  <c r="AZ46" i="7" s="1"/>
  <c r="BK46" i="7" a="1"/>
  <c r="BK46" i="7" s="1"/>
  <c r="VP27" i="8"/>
  <c r="WA2" i="8"/>
  <c r="N55" i="2" a="1"/>
  <c r="M55" i="2" a="1"/>
  <c r="Q56" i="2"/>
  <c r="U56" i="2"/>
  <c r="K55" i="2" a="1"/>
  <c r="O55" i="2" a="1"/>
  <c r="T56" i="2"/>
  <c r="J55" i="2" a="1"/>
  <c r="P56" i="2"/>
  <c r="S56" i="2"/>
  <c r="L55" i="2" a="1"/>
  <c r="R56" i="2"/>
  <c r="AH50" i="7" l="1" a="1"/>
  <c r="AH50" i="7" s="1"/>
  <c r="AJ50" i="7" a="1"/>
  <c r="AJ50" i="7" s="1"/>
  <c r="AD50" i="7" a="1"/>
  <c r="AD50" i="7" s="1"/>
  <c r="AO50" i="7" a="1"/>
  <c r="AO50" i="7" s="1"/>
  <c r="AG50" i="7" a="1"/>
  <c r="AG50" i="7" s="1"/>
  <c r="AK50" i="7" a="1"/>
  <c r="AK50" i="7" s="1"/>
  <c r="AP50" i="7" a="1"/>
  <c r="AP50" i="7" s="1"/>
  <c r="AL50" i="7" a="1"/>
  <c r="AL50" i="7" s="1"/>
  <c r="AN50" i="7" a="1"/>
  <c r="AN50" i="7" s="1"/>
  <c r="AC50" i="7" a="1"/>
  <c r="AC50" i="7" s="1"/>
  <c r="AE50" i="7" a="1"/>
  <c r="AE50" i="7" s="1"/>
  <c r="AF50" i="7" a="1"/>
  <c r="AF50" i="7" s="1"/>
  <c r="AU49" i="7"/>
  <c r="AV49" i="7" s="1"/>
  <c r="BH48" i="7" a="1"/>
  <c r="BH48" i="7" s="1"/>
  <c r="BF48" i="7" a="1"/>
  <c r="BF48" i="7" s="1"/>
  <c r="L55" i="2"/>
  <c r="V56" i="2"/>
  <c r="J55" i="2"/>
  <c r="O55" i="2"/>
  <c r="K55" i="2"/>
  <c r="M55" i="2"/>
  <c r="N55" i="2"/>
  <c r="AA51" i="7"/>
  <c r="Y51" i="7"/>
  <c r="F51" i="7" s="1"/>
  <c r="AK51" i="7" s="1" a="1"/>
  <c r="AK51" i="7" s="1"/>
  <c r="Z51" i="7"/>
  <c r="WA27" i="8"/>
  <c r="WL2" i="8"/>
  <c r="BA48" i="7" a="1"/>
  <c r="BA48" i="7" s="1"/>
  <c r="BG48" i="7" a="1"/>
  <c r="BG48" i="7" s="1"/>
  <c r="BJ48" i="7" a="1"/>
  <c r="BJ48" i="7" s="1"/>
  <c r="BK48" i="7" a="1"/>
  <c r="BK48" i="7" s="1"/>
  <c r="BI48" i="7" a="1"/>
  <c r="BI48" i="7" s="1"/>
  <c r="BO48" i="7" a="1"/>
  <c r="BO48" i="7" s="1"/>
  <c r="AZ48" i="7" a="1"/>
  <c r="AZ48" i="7" s="1"/>
  <c r="BN48" i="7" a="1"/>
  <c r="BN48" i="7" s="1"/>
  <c r="BQ48" i="7" a="1"/>
  <c r="BQ48" i="7" s="1"/>
  <c r="BM48" i="7" a="1"/>
  <c r="BM48" i="7" s="1"/>
  <c r="BE48" i="7" a="1"/>
  <c r="BE48" i="7" s="1"/>
  <c r="BL48" i="7" a="1"/>
  <c r="BL48" i="7" s="1"/>
  <c r="BP48" i="7" a="1"/>
  <c r="BP48" i="7" s="1"/>
  <c r="BB48" i="7" a="1"/>
  <c r="BB48" i="7" s="1"/>
  <c r="KH4" i="8"/>
  <c r="KI2" i="8" s="1"/>
  <c r="C55" i="7" a="1"/>
  <c r="C55" i="7" s="1"/>
  <c r="B55" i="7"/>
  <c r="A56" i="7" a="1"/>
  <c r="A56" i="7" s="1"/>
  <c r="JP14" i="8"/>
  <c r="JP39" i="8" s="1"/>
  <c r="JU13" i="8"/>
  <c r="JU38" i="8" s="1"/>
  <c r="JP13" i="8"/>
  <c r="JP38" i="8" s="1"/>
  <c r="W52" i="7"/>
  <c r="AB52" i="7" s="1"/>
  <c r="X52" i="7"/>
  <c r="V53" i="7"/>
  <c r="AX47" i="7"/>
  <c r="BH47" i="7" s="1" a="1"/>
  <c r="BH47" i="7" s="1"/>
  <c r="E53" i="7"/>
  <c r="AN51" i="7" a="1"/>
  <c r="AN51" i="7" s="1"/>
  <c r="AE51" i="7" a="1"/>
  <c r="AE51" i="7" s="1"/>
  <c r="AD51" i="7" a="1"/>
  <c r="AD51" i="7" s="1"/>
  <c r="AQ51" i="7" a="1"/>
  <c r="AQ51" i="7" s="1"/>
  <c r="AH51" i="7" a="1"/>
  <c r="AH51" i="7" s="1"/>
  <c r="I58" i="2"/>
  <c r="AM51" i="7" a="1"/>
  <c r="AM51" i="7" s="1"/>
  <c r="AL51" i="7" a="1"/>
  <c r="AL51" i="7" s="1"/>
  <c r="JU6" i="8"/>
  <c r="JU31" i="8" s="1"/>
  <c r="JQ26" i="8"/>
  <c r="JU5" i="8"/>
  <c r="JU30" i="8" s="1"/>
  <c r="JU4" i="8"/>
  <c r="JU29" i="8" s="1"/>
  <c r="JU3" i="8"/>
  <c r="JU28" i="8" s="1"/>
  <c r="BD48" i="7" a="1"/>
  <c r="BD48" i="7" s="1"/>
  <c r="AS50" i="7"/>
  <c r="AU50" i="7" s="1"/>
  <c r="L56" i="2" a="1"/>
  <c r="P57" i="2"/>
  <c r="O56" i="2" a="1"/>
  <c r="M56" i="2" a="1"/>
  <c r="K56" i="2" a="1"/>
  <c r="R57" i="2"/>
  <c r="S57" i="2"/>
  <c r="J56" i="2" a="1"/>
  <c r="U57" i="2"/>
  <c r="N56" i="2" a="1"/>
  <c r="T57" i="2"/>
  <c r="Q57" i="2"/>
  <c r="AJ51" i="7" l="1" a="1"/>
  <c r="AJ51" i="7" s="1"/>
  <c r="AP51" i="7" a="1"/>
  <c r="AP51" i="7" s="1"/>
  <c r="AO51" i="7" a="1"/>
  <c r="AO51" i="7" s="1"/>
  <c r="AC51" i="7" a="1"/>
  <c r="AC51" i="7" s="1"/>
  <c r="AF51" i="7" a="1"/>
  <c r="AF51" i="7" s="1"/>
  <c r="AG51" i="7" a="1"/>
  <c r="AG51" i="7" s="1"/>
  <c r="AI51" i="7" a="1"/>
  <c r="AI51" i="7" s="1"/>
  <c r="AW49" i="7"/>
  <c r="AX49" i="7" s="1"/>
  <c r="BB49" i="7" s="1" a="1"/>
  <c r="BB49" i="7" s="1"/>
  <c r="AT50" i="7"/>
  <c r="BF47" i="7" a="1"/>
  <c r="BF47" i="7" s="1"/>
  <c r="BE47" i="7" a="1"/>
  <c r="BE47" i="7" s="1"/>
  <c r="BJ47" i="7" a="1"/>
  <c r="BJ47" i="7" s="1"/>
  <c r="N56" i="2"/>
  <c r="P54" i="7" s="1"/>
  <c r="Q54" i="7" s="1"/>
  <c r="R54" i="7" s="1"/>
  <c r="J56" i="2"/>
  <c r="D54" i="7" s="1"/>
  <c r="K56" i="2"/>
  <c r="G54" i="7" s="1"/>
  <c r="H54" i="7" s="1"/>
  <c r="I54" i="7" s="1"/>
  <c r="M56" i="2"/>
  <c r="M54" i="7" s="1"/>
  <c r="N54" i="7" s="1"/>
  <c r="O54" i="7" s="1"/>
  <c r="O56" i="2"/>
  <c r="S54" i="7" s="1"/>
  <c r="T54" i="7" s="1"/>
  <c r="U54" i="7" s="1"/>
  <c r="V57" i="2"/>
  <c r="L56" i="2"/>
  <c r="J54" i="7" s="1"/>
  <c r="K54" i="7" s="1"/>
  <c r="L54" i="7" s="1"/>
  <c r="AV50" i="7"/>
  <c r="BD47" i="7" a="1"/>
  <c r="BD47" i="7" s="1"/>
  <c r="BA47" i="7" a="1"/>
  <c r="BA47" i="7" s="1"/>
  <c r="BL47" i="7" a="1"/>
  <c r="BL47" i="7" s="1"/>
  <c r="AW50" i="7"/>
  <c r="AX50" i="7" s="1"/>
  <c r="F53" i="7"/>
  <c r="AK53" i="7" s="1" a="1"/>
  <c r="AK53" i="7" s="1"/>
  <c r="KA15" i="8"/>
  <c r="KA40" i="8" s="1"/>
  <c r="KA21" i="8"/>
  <c r="KF14" i="8"/>
  <c r="KF39" i="8" s="1"/>
  <c r="KF15" i="8"/>
  <c r="KF40" i="8" s="1"/>
  <c r="KA12" i="8"/>
  <c r="KA37" i="8" s="1"/>
  <c r="KA11" i="8"/>
  <c r="KA36" i="8" s="1"/>
  <c r="KI4" i="8"/>
  <c r="KS1" i="8"/>
  <c r="KS2" i="8" s="1"/>
  <c r="KF10" i="8"/>
  <c r="KF35" i="8" s="1"/>
  <c r="KA10" i="8"/>
  <c r="KA35" i="8" s="1"/>
  <c r="KA3" i="8"/>
  <c r="KA28" i="8" s="1"/>
  <c r="KF12" i="8"/>
  <c r="KF37" i="8" s="1"/>
  <c r="KF11" i="8"/>
  <c r="KF36" i="8" s="1"/>
  <c r="KB1" i="8"/>
  <c r="WL27" i="8"/>
  <c r="WW2" i="8"/>
  <c r="BK49" i="7" a="1"/>
  <c r="BK49" i="7" s="1"/>
  <c r="BO49" i="7" a="1"/>
  <c r="BO49" i="7" s="1"/>
  <c r="BK47" i="7" a="1"/>
  <c r="BK47" i="7" s="1"/>
  <c r="BB47" i="7" a="1"/>
  <c r="BB47" i="7" s="1"/>
  <c r="BQ47" i="7" a="1"/>
  <c r="BQ47" i="7" s="1"/>
  <c r="BC47" i="7" a="1"/>
  <c r="BC47" i="7" s="1"/>
  <c r="BO47" i="7" a="1"/>
  <c r="BO47" i="7" s="1"/>
  <c r="BP47" i="7" a="1"/>
  <c r="BP47" i="7" s="1"/>
  <c r="BN47" i="7" a="1"/>
  <c r="BN47" i="7" s="1"/>
  <c r="B56" i="7"/>
  <c r="C56" i="7" a="1"/>
  <c r="C56" i="7" s="1"/>
  <c r="A57" i="7" a="1"/>
  <c r="A57" i="7" s="1"/>
  <c r="BI47" i="7" a="1"/>
  <c r="BI47" i="7" s="1"/>
  <c r="BN49" i="7" a="1"/>
  <c r="BN49" i="7" s="1"/>
  <c r="BP49" i="7" a="1"/>
  <c r="BP49" i="7" s="1"/>
  <c r="BM47" i="7" a="1"/>
  <c r="BM47" i="7" s="1"/>
  <c r="AZ47" i="7" a="1"/>
  <c r="AZ47" i="7" s="1"/>
  <c r="X53" i="7"/>
  <c r="W53" i="7"/>
  <c r="AB53" i="7" s="1"/>
  <c r="V54" i="7"/>
  <c r="BL49" i="7" a="1"/>
  <c r="BL49" i="7" s="1"/>
  <c r="AL52" i="7" a="1"/>
  <c r="AL52" i="7" s="1"/>
  <c r="AJ52" i="7" a="1"/>
  <c r="AJ52" i="7" s="1"/>
  <c r="AD52" i="7" a="1"/>
  <c r="AD52" i="7" s="1"/>
  <c r="AF52" i="7" a="1"/>
  <c r="AF52" i="7" s="1"/>
  <c r="AD53" i="7" a="1"/>
  <c r="AD53" i="7" s="1"/>
  <c r="Z52" i="7"/>
  <c r="Y52" i="7"/>
  <c r="F52" i="7" s="1"/>
  <c r="AM52" i="7" s="1" a="1"/>
  <c r="AM52" i="7" s="1"/>
  <c r="AA52" i="7"/>
  <c r="AO52" i="7" a="1"/>
  <c r="AO52" i="7" s="1"/>
  <c r="AS51" i="7"/>
  <c r="AT51" i="7" s="1"/>
  <c r="BH49" i="7" a="1"/>
  <c r="BH49" i="7" s="1"/>
  <c r="BQ49" i="7" a="1"/>
  <c r="BQ49" i="7" s="1"/>
  <c r="I59" i="2"/>
  <c r="BA49" i="7" a="1"/>
  <c r="BA49" i="7" s="1"/>
  <c r="BD49" i="7" a="1"/>
  <c r="BD49" i="7" s="1"/>
  <c r="BI49" i="7" a="1"/>
  <c r="BI49" i="7" s="1"/>
  <c r="BL50" i="7" a="1"/>
  <c r="BL50" i="7" s="1"/>
  <c r="BG47" i="7" a="1"/>
  <c r="BG47" i="7" s="1"/>
  <c r="BF49" i="7" a="1"/>
  <c r="BF49" i="7" s="1"/>
  <c r="AZ49" i="7" a="1"/>
  <c r="AZ49" i="7" s="1"/>
  <c r="K57" i="2" a="1"/>
  <c r="T58" i="2"/>
  <c r="N57" i="2" a="1"/>
  <c r="U58" i="2"/>
  <c r="P58" i="2"/>
  <c r="O57" i="2" a="1"/>
  <c r="J57" i="2" a="1"/>
  <c r="S58" i="2"/>
  <c r="R58" i="2"/>
  <c r="M57" i="2" a="1"/>
  <c r="L57" i="2" a="1"/>
  <c r="Q58" i="2"/>
  <c r="AC52" i="7" l="1" a="1"/>
  <c r="AC52" i="7" s="1"/>
  <c r="BJ49" i="7" a="1"/>
  <c r="BJ49" i="7" s="1"/>
  <c r="AE52" i="7" a="1"/>
  <c r="AE52" i="7" s="1"/>
  <c r="BG49" i="7" a="1"/>
  <c r="BG49" i="7" s="1"/>
  <c r="BC49" i="7" a="1"/>
  <c r="BC49" i="7" s="1"/>
  <c r="BE49" i="7" a="1"/>
  <c r="BE49" i="7" s="1"/>
  <c r="AN52" i="7" a="1"/>
  <c r="AN52" i="7" s="1"/>
  <c r="AI52" i="7" a="1"/>
  <c r="AI52" i="7" s="1"/>
  <c r="AG52" i="7" a="1"/>
  <c r="AG52" i="7" s="1"/>
  <c r="AP52" i="7" a="1"/>
  <c r="AP52" i="7" s="1"/>
  <c r="AK52" i="7" a="1"/>
  <c r="AK52" i="7" s="1"/>
  <c r="BM49" i="7" a="1"/>
  <c r="BM49" i="7" s="1"/>
  <c r="AQ52" i="7" a="1"/>
  <c r="AQ52" i="7" s="1"/>
  <c r="AH52" i="7" a="1"/>
  <c r="AH52" i="7" s="1"/>
  <c r="BG50" i="7" a="1"/>
  <c r="BG50" i="7" s="1"/>
  <c r="BH50" i="7" a="1"/>
  <c r="BH50" i="7" s="1"/>
  <c r="BQ50" i="7" a="1"/>
  <c r="BQ50" i="7" s="1"/>
  <c r="BA50" i="7" a="1"/>
  <c r="BA50" i="7" s="1"/>
  <c r="BJ50" i="7" a="1"/>
  <c r="BJ50" i="7" s="1"/>
  <c r="AZ50" i="7" a="1"/>
  <c r="AZ50" i="7" s="1"/>
  <c r="BI50" i="7" a="1"/>
  <c r="BI50" i="7" s="1"/>
  <c r="BK50" i="7" a="1"/>
  <c r="BK50" i="7" s="1"/>
  <c r="BE50" i="7" a="1"/>
  <c r="BE50" i="7" s="1"/>
  <c r="BN50" i="7" a="1"/>
  <c r="BN50" i="7" s="1"/>
  <c r="BC50" i="7" a="1"/>
  <c r="BC50" i="7" s="1"/>
  <c r="BP50" i="7" a="1"/>
  <c r="BP50" i="7" s="1"/>
  <c r="BM50" i="7" a="1"/>
  <c r="BM50" i="7" s="1"/>
  <c r="AU51" i="7"/>
  <c r="AV51" i="7" s="1"/>
  <c r="L57" i="2"/>
  <c r="J55" i="7" s="1"/>
  <c r="K55" i="7" s="1"/>
  <c r="L55" i="7" s="1"/>
  <c r="M57" i="2"/>
  <c r="M55" i="7" s="1"/>
  <c r="N55" i="7" s="1"/>
  <c r="O55" i="7" s="1"/>
  <c r="J57" i="2"/>
  <c r="D55" i="7" s="1"/>
  <c r="O57" i="2"/>
  <c r="S55" i="7" s="1"/>
  <c r="T55" i="7" s="1"/>
  <c r="U55" i="7" s="1"/>
  <c r="V58" i="2"/>
  <c r="N57" i="2"/>
  <c r="P55" i="7" s="1"/>
  <c r="Q55" i="7" s="1"/>
  <c r="R55" i="7" s="1"/>
  <c r="K57" i="2"/>
  <c r="G55" i="7" s="1"/>
  <c r="H55" i="7" s="1"/>
  <c r="I55" i="7" s="1"/>
  <c r="I60" i="2"/>
  <c r="KB26" i="8"/>
  <c r="KF4" i="8"/>
  <c r="KF29" i="8" s="1"/>
  <c r="KF5" i="8"/>
  <c r="KF30" i="8" s="1"/>
  <c r="KF3" i="8"/>
  <c r="KF28" i="8" s="1"/>
  <c r="KF6" i="8"/>
  <c r="KF31" i="8" s="1"/>
  <c r="BF50" i="7" a="1"/>
  <c r="BF50" i="7" s="1"/>
  <c r="X54" i="7"/>
  <c r="W54" i="7"/>
  <c r="V55" i="7"/>
  <c r="AO53" i="7" a="1"/>
  <c r="AO53" i="7" s="1"/>
  <c r="BO50" i="7" a="1"/>
  <c r="BO50" i="7" s="1"/>
  <c r="BB50" i="7" a="1"/>
  <c r="BB50" i="7" s="1"/>
  <c r="AA53" i="7"/>
  <c r="Y53" i="7"/>
  <c r="Z53" i="7"/>
  <c r="C57" i="7" a="1"/>
  <c r="C57" i="7" s="1"/>
  <c r="B57" i="7"/>
  <c r="A58" i="7" a="1"/>
  <c r="A58" i="7" s="1"/>
  <c r="E54" i="7"/>
  <c r="AS52" i="7"/>
  <c r="AU52" i="7" s="1"/>
  <c r="WW27" i="8"/>
  <c r="XH2" i="8"/>
  <c r="KS4" i="8"/>
  <c r="KT2" i="8" s="1"/>
  <c r="KA14" i="8"/>
  <c r="KA39" i="8" s="1"/>
  <c r="KA13" i="8"/>
  <c r="KA38" i="8" s="1"/>
  <c r="KF13" i="8"/>
  <c r="KF38" i="8" s="1"/>
  <c r="AE53" i="7" a="1"/>
  <c r="AE53" i="7" s="1"/>
  <c r="AI53" i="7" a="1"/>
  <c r="AI53" i="7" s="1"/>
  <c r="AQ53" i="7" a="1"/>
  <c r="AQ53" i="7" s="1"/>
  <c r="AH53" i="7" a="1"/>
  <c r="AH53" i="7" s="1"/>
  <c r="AN53" i="7" a="1"/>
  <c r="AN53" i="7" s="1"/>
  <c r="AP53" i="7" a="1"/>
  <c r="AP53" i="7" s="1"/>
  <c r="AG53" i="7" a="1"/>
  <c r="AG53" i="7" s="1"/>
  <c r="AJ53" i="7" a="1"/>
  <c r="AJ53" i="7" s="1"/>
  <c r="AF53" i="7" a="1"/>
  <c r="AF53" i="7" s="1"/>
  <c r="AC53" i="7" a="1"/>
  <c r="AC53" i="7" s="1"/>
  <c r="AM53" i="7" a="1"/>
  <c r="AM53" i="7" s="1"/>
  <c r="AL53" i="7" a="1"/>
  <c r="AL53" i="7" s="1"/>
  <c r="BD50" i="7" a="1"/>
  <c r="BD50" i="7" s="1"/>
  <c r="K58" i="2" a="1"/>
  <c r="U59" i="2"/>
  <c r="O58" i="2" a="1"/>
  <c r="R59" i="2"/>
  <c r="S59" i="2"/>
  <c r="L58" i="2" a="1"/>
  <c r="N58" i="2" a="1"/>
  <c r="Q59" i="2"/>
  <c r="M58" i="2" a="1"/>
  <c r="P59" i="2"/>
  <c r="T59" i="2"/>
  <c r="J58" i="2" a="1"/>
  <c r="AW51" i="7" l="1"/>
  <c r="AV52" i="7"/>
  <c r="AW52" i="7"/>
  <c r="AX52" i="7" s="1"/>
  <c r="J58" i="2"/>
  <c r="D56" i="7" s="1"/>
  <c r="V59" i="2"/>
  <c r="M58" i="2"/>
  <c r="M56" i="7" s="1"/>
  <c r="N56" i="7" s="1"/>
  <c r="O56" i="7" s="1"/>
  <c r="N58" i="2"/>
  <c r="P56" i="7" s="1"/>
  <c r="Q56" i="7" s="1"/>
  <c r="R56" i="7" s="1"/>
  <c r="L58" i="2"/>
  <c r="J56" i="7" s="1"/>
  <c r="K56" i="7" s="1"/>
  <c r="L56" i="7" s="1"/>
  <c r="O58" i="2"/>
  <c r="S56" i="7" s="1"/>
  <c r="T56" i="7" s="1"/>
  <c r="U56" i="7" s="1"/>
  <c r="K58" i="2"/>
  <c r="G56" i="7" s="1"/>
  <c r="H56" i="7" s="1"/>
  <c r="I56" i="7" s="1"/>
  <c r="KQ15" i="8"/>
  <c r="KQ40" i="8" s="1"/>
  <c r="KQ12" i="8"/>
  <c r="KQ37" i="8" s="1"/>
  <c r="KQ11" i="8"/>
  <c r="KQ36" i="8" s="1"/>
  <c r="KQ10" i="8"/>
  <c r="KQ35" i="8" s="1"/>
  <c r="KL10" i="8"/>
  <c r="KL35" i="8" s="1"/>
  <c r="KM1" i="8"/>
  <c r="KL21" i="8"/>
  <c r="KL3" i="8"/>
  <c r="KL28" i="8" s="1"/>
  <c r="KL15" i="8"/>
  <c r="KL40" i="8" s="1"/>
  <c r="KQ14" i="8"/>
  <c r="KQ39" i="8" s="1"/>
  <c r="KL12" i="8"/>
  <c r="KL37" i="8" s="1"/>
  <c r="KL11" i="8"/>
  <c r="KL36" i="8" s="1"/>
  <c r="KT4" i="8"/>
  <c r="LD1" i="8"/>
  <c r="LD2" i="8" s="1"/>
  <c r="I61" i="2"/>
  <c r="E55" i="7"/>
  <c r="AT52" i="7"/>
  <c r="F54" i="7"/>
  <c r="AD54" i="7" s="1" a="1"/>
  <c r="AD54" i="7" s="1"/>
  <c r="AB54" i="7"/>
  <c r="AS53" i="7"/>
  <c r="AU53" i="7" s="1"/>
  <c r="AV53" i="7" s="1"/>
  <c r="W55" i="7"/>
  <c r="X55" i="7"/>
  <c r="V56" i="7"/>
  <c r="C58" i="7" a="1"/>
  <c r="C58" i="7" s="1"/>
  <c r="B58" i="7"/>
  <c r="A59" i="7" a="1"/>
  <c r="A59" i="7" s="1"/>
  <c r="AA54" i="7"/>
  <c r="Y54" i="7"/>
  <c r="Z54" i="7"/>
  <c r="XH27" i="8"/>
  <c r="XS2" i="8"/>
  <c r="M59" i="2" a="1"/>
  <c r="N59" i="2" a="1"/>
  <c r="L59" i="2" a="1"/>
  <c r="J59" i="2" a="1"/>
  <c r="P60" i="2"/>
  <c r="O59" i="2" a="1"/>
  <c r="U60" i="2"/>
  <c r="T60" i="2"/>
  <c r="K59" i="2" a="1"/>
  <c r="S60" i="2"/>
  <c r="Q60" i="2"/>
  <c r="R60" i="2"/>
  <c r="BJ52" i="7" l="1" a="1"/>
  <c r="BJ52" i="7" s="1"/>
  <c r="BD52" i="7" a="1"/>
  <c r="BD52" i="7" s="1"/>
  <c r="AX51" i="7"/>
  <c r="BB51" i="7" s="1" a="1"/>
  <c r="BB51" i="7" s="1"/>
  <c r="BQ52" i="7" a="1"/>
  <c r="BQ52" i="7" s="1"/>
  <c r="BE52" i="7" a="1"/>
  <c r="BE52" i="7" s="1"/>
  <c r="AW53" i="7"/>
  <c r="AX53" i="7" s="1"/>
  <c r="K59" i="2"/>
  <c r="G57" i="7" s="1"/>
  <c r="H57" i="7" s="1"/>
  <c r="I57" i="7" s="1"/>
  <c r="O59" i="2"/>
  <c r="S57" i="7" s="1"/>
  <c r="T57" i="7" s="1"/>
  <c r="U57" i="7" s="1"/>
  <c r="V60" i="2"/>
  <c r="J59" i="2"/>
  <c r="D57" i="7" s="1"/>
  <c r="L59" i="2"/>
  <c r="J57" i="7" s="1"/>
  <c r="K57" i="7" s="1"/>
  <c r="L57" i="7" s="1"/>
  <c r="N59" i="2"/>
  <c r="P57" i="7" s="1"/>
  <c r="Q57" i="7" s="1"/>
  <c r="R57" i="7" s="1"/>
  <c r="M59" i="2"/>
  <c r="M57" i="7" s="1"/>
  <c r="N57" i="7" s="1"/>
  <c r="O57" i="7" s="1"/>
  <c r="C59" i="7" a="1"/>
  <c r="C59" i="7" s="1"/>
  <c r="B59" i="7"/>
  <c r="A60" i="7" a="1"/>
  <c r="A60" i="7" s="1"/>
  <c r="XS27" i="8"/>
  <c r="YD2" i="8"/>
  <c r="BB52" i="7" a="1"/>
  <c r="BB52" i="7" s="1"/>
  <c r="BI52" i="7" a="1"/>
  <c r="BI52" i="7" s="1"/>
  <c r="BO52" i="7" a="1"/>
  <c r="BO52" i="7" s="1"/>
  <c r="AZ52" i="7" a="1"/>
  <c r="AZ52" i="7" s="1"/>
  <c r="BL52" i="7" a="1"/>
  <c r="BL52" i="7" s="1"/>
  <c r="BN52" i="7" a="1"/>
  <c r="BN52" i="7" s="1"/>
  <c r="BH52" i="7" a="1"/>
  <c r="BH52" i="7" s="1"/>
  <c r="BK52" i="7" a="1"/>
  <c r="BK52" i="7" s="1"/>
  <c r="BF52" i="7" a="1"/>
  <c r="BF52" i="7" s="1"/>
  <c r="BM52" i="7" a="1"/>
  <c r="BM52" i="7" s="1"/>
  <c r="BP52" i="7" a="1"/>
  <c r="BP52" i="7" s="1"/>
  <c r="BG52" i="7" a="1"/>
  <c r="BG52" i="7" s="1"/>
  <c r="W56" i="7"/>
  <c r="X56" i="7"/>
  <c r="V57" i="7"/>
  <c r="AP54" i="7" a="1"/>
  <c r="AP54" i="7" s="1"/>
  <c r="AM54" i="7" a="1"/>
  <c r="AM54" i="7" s="1"/>
  <c r="AG54" i="7" a="1"/>
  <c r="AG54" i="7" s="1"/>
  <c r="AJ54" i="7" a="1"/>
  <c r="AJ54" i="7" s="1"/>
  <c r="AL54" i="7" a="1"/>
  <c r="AL54" i="7" s="1"/>
  <c r="AI54" i="7" a="1"/>
  <c r="AI54" i="7" s="1"/>
  <c r="AC54" i="7" a="1"/>
  <c r="AC54" i="7" s="1"/>
  <c r="AQ54" i="7" a="1"/>
  <c r="AQ54" i="7" s="1"/>
  <c r="AN54" i="7" a="1"/>
  <c r="AN54" i="7" s="1"/>
  <c r="AE54" i="7" a="1"/>
  <c r="AE54" i="7" s="1"/>
  <c r="AO54" i="7" a="1"/>
  <c r="AO54" i="7" s="1"/>
  <c r="AH54" i="7" a="1"/>
  <c r="AH54" i="7" s="1"/>
  <c r="AK54" i="7" a="1"/>
  <c r="AK54" i="7" s="1"/>
  <c r="AF54" i="7" a="1"/>
  <c r="AF54" i="7" s="1"/>
  <c r="F55" i="7"/>
  <c r="AJ55" i="7" s="1" a="1"/>
  <c r="AJ55" i="7" s="1"/>
  <c r="AB55" i="7"/>
  <c r="LD4" i="8"/>
  <c r="LE2" i="8" s="1"/>
  <c r="KM26" i="8"/>
  <c r="KQ4" i="8"/>
  <c r="KQ29" i="8" s="1"/>
  <c r="KQ3" i="8"/>
  <c r="KQ28" i="8" s="1"/>
  <c r="KQ5" i="8"/>
  <c r="KQ30" i="8" s="1"/>
  <c r="KQ6" i="8"/>
  <c r="KQ31" i="8" s="1"/>
  <c r="BA52" i="7" a="1"/>
  <c r="BA52" i="7" s="1"/>
  <c r="AA55" i="7"/>
  <c r="Z55" i="7"/>
  <c r="Y55" i="7"/>
  <c r="KQ13" i="8"/>
  <c r="KQ38" i="8" s="1"/>
  <c r="KL13" i="8"/>
  <c r="KL38" i="8" s="1"/>
  <c r="KL14" i="8"/>
  <c r="KL39" i="8" s="1"/>
  <c r="AS54" i="7"/>
  <c r="AT54" i="7" s="1"/>
  <c r="AT53" i="7"/>
  <c r="BB53" i="7" s="1" a="1"/>
  <c r="BB53" i="7" s="1"/>
  <c r="BG53" i="7" a="1"/>
  <c r="BG53" i="7" s="1"/>
  <c r="I62" i="2"/>
  <c r="BC52" i="7" a="1"/>
  <c r="BC52" i="7" s="1"/>
  <c r="E56" i="7"/>
  <c r="L60" i="2" a="1"/>
  <c r="K60" i="2" a="1"/>
  <c r="R61" i="2"/>
  <c r="M60" i="2" a="1"/>
  <c r="Q61" i="2"/>
  <c r="N60" i="2" a="1"/>
  <c r="P61" i="2"/>
  <c r="U61" i="2"/>
  <c r="O60" i="2" a="1"/>
  <c r="J60" i="2" a="1"/>
  <c r="T61" i="2"/>
  <c r="S61" i="2"/>
  <c r="BK51" i="7" l="1" a="1"/>
  <c r="BK51" i="7" s="1"/>
  <c r="BP51" i="7" a="1"/>
  <c r="BP51" i="7" s="1"/>
  <c r="BF51" i="7" a="1"/>
  <c r="BF51" i="7" s="1"/>
  <c r="BH51" i="7" a="1"/>
  <c r="BH51" i="7" s="1"/>
  <c r="BL51" i="7" a="1"/>
  <c r="BL51" i="7" s="1"/>
  <c r="BJ51" i="7" a="1"/>
  <c r="BJ51" i="7" s="1"/>
  <c r="BD51" i="7" a="1"/>
  <c r="BD51" i="7" s="1"/>
  <c r="BA51" i="7" a="1"/>
  <c r="BA51" i="7" s="1"/>
  <c r="BQ51" i="7" a="1"/>
  <c r="BQ51" i="7" s="1"/>
  <c r="BN51" i="7" a="1"/>
  <c r="BN51" i="7" s="1"/>
  <c r="BG51" i="7" a="1"/>
  <c r="BG51" i="7" s="1"/>
  <c r="BO51" i="7" a="1"/>
  <c r="BO51" i="7" s="1"/>
  <c r="BM51" i="7" a="1"/>
  <c r="BM51" i="7" s="1"/>
  <c r="BI51" i="7" a="1"/>
  <c r="BI51" i="7" s="1"/>
  <c r="BC51" i="7" a="1"/>
  <c r="BC51" i="7" s="1"/>
  <c r="AZ51" i="7" a="1"/>
  <c r="AZ51" i="7" s="1"/>
  <c r="BE51" i="7" a="1"/>
  <c r="BE51" i="7" s="1"/>
  <c r="AF55" i="7" a="1"/>
  <c r="AF55" i="7" s="1"/>
  <c r="AK55" i="7" a="1"/>
  <c r="AK55" i="7" s="1"/>
  <c r="AH55" i="7" a="1"/>
  <c r="AH55" i="7" s="1"/>
  <c r="AQ55" i="7" a="1"/>
  <c r="AQ55" i="7" s="1"/>
  <c r="AN55" i="7" a="1"/>
  <c r="AN55" i="7" s="1"/>
  <c r="J60" i="2"/>
  <c r="D58" i="7" s="1"/>
  <c r="O60" i="2"/>
  <c r="S58" i="7" s="1"/>
  <c r="T58" i="7" s="1"/>
  <c r="U58" i="7" s="1"/>
  <c r="V61" i="2"/>
  <c r="N60" i="2"/>
  <c r="P58" i="7" s="1"/>
  <c r="Q58" i="7" s="1"/>
  <c r="R58" i="7" s="1"/>
  <c r="M60" i="2"/>
  <c r="M58" i="7" s="1"/>
  <c r="N58" i="7" s="1"/>
  <c r="O58" i="7" s="1"/>
  <c r="K60" i="2"/>
  <c r="G58" i="7" s="1"/>
  <c r="H58" i="7" s="1"/>
  <c r="I58" i="7" s="1"/>
  <c r="L60" i="2"/>
  <c r="J58" i="7" s="1"/>
  <c r="K58" i="7" s="1"/>
  <c r="L58" i="7" s="1"/>
  <c r="AB56" i="7"/>
  <c r="AS55" i="7"/>
  <c r="AU55" i="7" s="1"/>
  <c r="AV55" i="7" s="1"/>
  <c r="YD27" i="8"/>
  <c r="YO2" i="8"/>
  <c r="AZ53" i="7" a="1"/>
  <c r="AZ53" i="7" s="1"/>
  <c r="AU54" i="7"/>
  <c r="KW21" i="8"/>
  <c r="LB15" i="8"/>
  <c r="LB40" i="8" s="1"/>
  <c r="LB12" i="8"/>
  <c r="LB37" i="8" s="1"/>
  <c r="LB11" i="8"/>
  <c r="LB36" i="8" s="1"/>
  <c r="LB10" i="8"/>
  <c r="LB35" i="8" s="1"/>
  <c r="LB14" i="8"/>
  <c r="LB39" i="8" s="1"/>
  <c r="KW3" i="8"/>
  <c r="KW28" i="8" s="1"/>
  <c r="KW15" i="8"/>
  <c r="KW40" i="8" s="1"/>
  <c r="LE4" i="8"/>
  <c r="KW12" i="8"/>
  <c r="KW37" i="8" s="1"/>
  <c r="KW11" i="8"/>
  <c r="KW36" i="8" s="1"/>
  <c r="LO1" i="8"/>
  <c r="LO2" i="8" s="1"/>
  <c r="KW10" i="8"/>
  <c r="KW35" i="8" s="1"/>
  <c r="KX1" i="8"/>
  <c r="B60" i="7"/>
  <c r="C60" i="7" a="1"/>
  <c r="C60" i="7" s="1"/>
  <c r="A61" i="7" a="1"/>
  <c r="A61" i="7" s="1"/>
  <c r="AE55" i="7" a="1"/>
  <c r="AE55" i="7" s="1"/>
  <c r="I63" i="2"/>
  <c r="BF53" i="7" a="1"/>
  <c r="BF53" i="7" s="1"/>
  <c r="BP53" i="7" a="1"/>
  <c r="BP53" i="7" s="1"/>
  <c r="BI53" i="7" a="1"/>
  <c r="BI53" i="7" s="1"/>
  <c r="BQ53" i="7" a="1"/>
  <c r="BQ53" i="7" s="1"/>
  <c r="BL53" i="7" a="1"/>
  <c r="BL53" i="7" s="1"/>
  <c r="BN53" i="7" a="1"/>
  <c r="BN53" i="7" s="1"/>
  <c r="BJ53" i="7" a="1"/>
  <c r="BJ53" i="7" s="1"/>
  <c r="BK53" i="7" a="1"/>
  <c r="BK53" i="7" s="1"/>
  <c r="BO53" i="7" a="1"/>
  <c r="BO53" i="7" s="1"/>
  <c r="BE53" i="7" a="1"/>
  <c r="BE53" i="7" s="1"/>
  <c r="BD53" i="7" a="1"/>
  <c r="BD53" i="7" s="1"/>
  <c r="AD55" i="7" a="1"/>
  <c r="AD55" i="7" s="1"/>
  <c r="AM55" i="7" a="1"/>
  <c r="AM55" i="7" s="1"/>
  <c r="AP55" i="7" a="1"/>
  <c r="AP55" i="7" s="1"/>
  <c r="AG55" i="7" a="1"/>
  <c r="AG55" i="7" s="1"/>
  <c r="AI55" i="7" a="1"/>
  <c r="AI55" i="7" s="1"/>
  <c r="AL55" i="7" a="1"/>
  <c r="AL55" i="7" s="1"/>
  <c r="AC55" i="7" a="1"/>
  <c r="AC55" i="7" s="1"/>
  <c r="X57" i="7"/>
  <c r="W57" i="7"/>
  <c r="V58" i="7"/>
  <c r="AO55" i="7" a="1"/>
  <c r="AO55" i="7" s="1"/>
  <c r="BM53" i="7" a="1"/>
  <c r="BM53" i="7" s="1"/>
  <c r="BC53" i="7" a="1"/>
  <c r="BC53" i="7" s="1"/>
  <c r="Y56" i="7"/>
  <c r="F56" i="7" s="1"/>
  <c r="AA56" i="7"/>
  <c r="Z56" i="7"/>
  <c r="BA53" i="7" a="1"/>
  <c r="BA53" i="7" s="1"/>
  <c r="E57" i="7"/>
  <c r="BH53" i="7" a="1"/>
  <c r="BH53" i="7" s="1"/>
  <c r="M61" i="2" a="1"/>
  <c r="K61" i="2" a="1"/>
  <c r="S62" i="2"/>
  <c r="N61" i="2" a="1"/>
  <c r="L61" i="2" a="1"/>
  <c r="P62" i="2"/>
  <c r="R62" i="2"/>
  <c r="O61" i="2" a="1"/>
  <c r="Q62" i="2"/>
  <c r="J61" i="2" a="1"/>
  <c r="U62" i="2"/>
  <c r="T62" i="2"/>
  <c r="AT55" i="7" l="1"/>
  <c r="J61" i="2"/>
  <c r="D59" i="7" s="1"/>
  <c r="O61" i="2"/>
  <c r="S59" i="7" s="1"/>
  <c r="T59" i="7" s="1"/>
  <c r="U59" i="7" s="1"/>
  <c r="V62" i="2"/>
  <c r="L61" i="2"/>
  <c r="J59" i="7" s="1"/>
  <c r="K59" i="7" s="1"/>
  <c r="L59" i="7" s="1"/>
  <c r="N61" i="2"/>
  <c r="P59" i="7" s="1"/>
  <c r="Q59" i="7" s="1"/>
  <c r="R59" i="7" s="1"/>
  <c r="K61" i="2"/>
  <c r="G59" i="7" s="1"/>
  <c r="H59" i="7" s="1"/>
  <c r="I59" i="7" s="1"/>
  <c r="M61" i="2"/>
  <c r="M59" i="7" s="1"/>
  <c r="N59" i="7" s="1"/>
  <c r="O59" i="7" s="1"/>
  <c r="AW55" i="7"/>
  <c r="AX55" i="7" s="1"/>
  <c r="AZ55" i="7" s="1" a="1"/>
  <c r="AZ55" i="7" s="1"/>
  <c r="F57" i="7"/>
  <c r="AF57" i="7" s="1" a="1"/>
  <c r="AF57" i="7" s="1"/>
  <c r="AB57" i="7"/>
  <c r="KX26" i="8"/>
  <c r="LB3" i="8"/>
  <c r="LB28" i="8" s="1"/>
  <c r="LB5" i="8"/>
  <c r="LB30" i="8" s="1"/>
  <c r="LB6" i="8"/>
  <c r="LB31" i="8" s="1"/>
  <c r="LB4" i="8"/>
  <c r="LB29" i="8" s="1"/>
  <c r="AW54" i="7"/>
  <c r="AX54" i="7" s="1"/>
  <c r="BH54" i="7" s="1" a="1"/>
  <c r="BH54" i="7" s="1"/>
  <c r="AV54" i="7"/>
  <c r="W58" i="7"/>
  <c r="X58" i="7"/>
  <c r="V59" i="7"/>
  <c r="I64" i="2"/>
  <c r="AL56" i="7" a="1"/>
  <c r="AL56" i="7" s="1"/>
  <c r="AK56" i="7" a="1"/>
  <c r="AK56" i="7" s="1"/>
  <c r="AI56" i="7" a="1"/>
  <c r="AI56" i="7" s="1"/>
  <c r="AE56" i="7" a="1"/>
  <c r="AE56" i="7" s="1"/>
  <c r="AN56" i="7" a="1"/>
  <c r="AN56" i="7" s="1"/>
  <c r="AO56" i="7" a="1"/>
  <c r="AO56" i="7" s="1"/>
  <c r="AQ56" i="7" a="1"/>
  <c r="AQ56" i="7" s="1"/>
  <c r="AH56" i="7" a="1"/>
  <c r="AH56" i="7" s="1"/>
  <c r="AJ56" i="7" a="1"/>
  <c r="AJ56" i="7" s="1"/>
  <c r="AF56" i="7" a="1"/>
  <c r="AF56" i="7" s="1"/>
  <c r="AD56" i="7" a="1"/>
  <c r="AD56" i="7" s="1"/>
  <c r="AM56" i="7" a="1"/>
  <c r="AM56" i="7" s="1"/>
  <c r="AP56" i="7" a="1"/>
  <c r="AP56" i="7" s="1"/>
  <c r="AG56" i="7" a="1"/>
  <c r="AG56" i="7" s="1"/>
  <c r="AC56" i="7" a="1"/>
  <c r="AC56" i="7" s="1"/>
  <c r="C61" i="7" a="1"/>
  <c r="C61" i="7" s="1"/>
  <c r="B61" i="7"/>
  <c r="A62" i="7" a="1"/>
  <c r="A62" i="7" s="1"/>
  <c r="LO4" i="8"/>
  <c r="LP2" i="8" s="1"/>
  <c r="AP57" i="7" a="1"/>
  <c r="AP57" i="7" s="1"/>
  <c r="AA57" i="7"/>
  <c r="Y57" i="7"/>
  <c r="Z57" i="7"/>
  <c r="AM57" i="7" a="1"/>
  <c r="AM57" i="7" s="1"/>
  <c r="AT56" i="7"/>
  <c r="AS56" i="7"/>
  <c r="AU56" i="7" s="1"/>
  <c r="AN57" i="7" a="1"/>
  <c r="AN57" i="7" s="1"/>
  <c r="AD57" i="7" a="1"/>
  <c r="AD57" i="7" s="1"/>
  <c r="BC55" i="7" a="1"/>
  <c r="BC55" i="7" s="1"/>
  <c r="BB55" i="7" a="1"/>
  <c r="BB55" i="7" s="1"/>
  <c r="BE55" i="7" a="1"/>
  <c r="BE55" i="7" s="1"/>
  <c r="BD55" i="7" a="1"/>
  <c r="BD55" i="7" s="1"/>
  <c r="BJ55" i="7" a="1"/>
  <c r="BJ55" i="7" s="1"/>
  <c r="BF55" i="7" a="1"/>
  <c r="BF55" i="7" s="1"/>
  <c r="BI55" i="7" a="1"/>
  <c r="BI55" i="7" s="1"/>
  <c r="BK55" i="7" a="1"/>
  <c r="BK55" i="7" s="1"/>
  <c r="BQ55" i="7" a="1"/>
  <c r="BQ55" i="7" s="1"/>
  <c r="BG55" i="7" a="1"/>
  <c r="BG55" i="7" s="1"/>
  <c r="BH55" i="7" a="1"/>
  <c r="BH55" i="7" s="1"/>
  <c r="BM55" i="7" a="1"/>
  <c r="BM55" i="7" s="1"/>
  <c r="BN55" i="7" a="1"/>
  <c r="BN55" i="7" s="1"/>
  <c r="BP55" i="7" a="1"/>
  <c r="BP55" i="7" s="1"/>
  <c r="BL55" i="7" a="1"/>
  <c r="BL55" i="7" s="1"/>
  <c r="YO27" i="8"/>
  <c r="YZ2" i="8"/>
  <c r="E58" i="7"/>
  <c r="AH57" i="7" a="1"/>
  <c r="AH57" i="7" s="1"/>
  <c r="AQ57" i="7" a="1"/>
  <c r="AQ57" i="7" s="1"/>
  <c r="LB13" i="8"/>
  <c r="LB38" i="8" s="1"/>
  <c r="KW14" i="8"/>
  <c r="KW39" i="8" s="1"/>
  <c r="KW13" i="8"/>
  <c r="KW38" i="8" s="1"/>
  <c r="AI57" i="7" a="1"/>
  <c r="AI57" i="7" s="1"/>
  <c r="BG54" i="7" a="1"/>
  <c r="BG54" i="7" s="1"/>
  <c r="N62" i="2" a="1"/>
  <c r="U63" i="2"/>
  <c r="O62" i="2" a="1"/>
  <c r="S63" i="2"/>
  <c r="M62" i="2" a="1"/>
  <c r="Q63" i="2"/>
  <c r="K62" i="2" a="1"/>
  <c r="R63" i="2"/>
  <c r="L62" i="2" a="1"/>
  <c r="T63" i="2"/>
  <c r="P63" i="2"/>
  <c r="J62" i="2" a="1"/>
  <c r="BF54" i="7" l="1" a="1"/>
  <c r="BF54" i="7" s="1"/>
  <c r="BB54" i="7" a="1"/>
  <c r="BB54" i="7" s="1"/>
  <c r="BI54" i="7" a="1"/>
  <c r="BI54" i="7" s="1"/>
  <c r="AE57" i="7" a="1"/>
  <c r="AE57" i="7" s="1"/>
  <c r="AG57" i="7" a="1"/>
  <c r="AG57" i="7" s="1"/>
  <c r="BE54" i="7" a="1"/>
  <c r="BE54" i="7" s="1"/>
  <c r="BL54" i="7" a="1"/>
  <c r="BL54" i="7" s="1"/>
  <c r="AV56" i="7"/>
  <c r="AW56" i="7"/>
  <c r="AX56" i="7" s="1"/>
  <c r="AZ54" i="7" a="1"/>
  <c r="AZ54" i="7" s="1"/>
  <c r="J62" i="2"/>
  <c r="D60" i="7" s="1"/>
  <c r="V63" i="2"/>
  <c r="L62" i="2"/>
  <c r="J60" i="7" s="1"/>
  <c r="K60" i="7" s="1"/>
  <c r="L60" i="7" s="1"/>
  <c r="K62" i="2"/>
  <c r="G60" i="7" s="1"/>
  <c r="H60" i="7" s="1"/>
  <c r="I60" i="7" s="1"/>
  <c r="M62" i="2"/>
  <c r="M60" i="7" s="1"/>
  <c r="N60" i="7" s="1"/>
  <c r="O60" i="7" s="1"/>
  <c r="O62" i="2"/>
  <c r="S60" i="7" s="1"/>
  <c r="T60" i="7" s="1"/>
  <c r="U60" i="7" s="1"/>
  <c r="N62" i="2"/>
  <c r="P60" i="7" s="1"/>
  <c r="Q60" i="7" s="1"/>
  <c r="R60" i="7" s="1"/>
  <c r="BO55" i="7" a="1"/>
  <c r="BO55" i="7" s="1"/>
  <c r="BA55" i="7" a="1"/>
  <c r="BA55" i="7" s="1"/>
  <c r="I65" i="2"/>
  <c r="AS57" i="7"/>
  <c r="AU57" i="7" s="1"/>
  <c r="AJ57" i="7" a="1"/>
  <c r="AJ57" i="7" s="1"/>
  <c r="AL57" i="7" a="1"/>
  <c r="AL57" i="7" s="1"/>
  <c r="W59" i="7"/>
  <c r="X59" i="7"/>
  <c r="V60" i="7"/>
  <c r="AC57" i="7" a="1"/>
  <c r="AC57" i="7" s="1"/>
  <c r="AA58" i="7"/>
  <c r="Y58" i="7"/>
  <c r="Z58" i="7"/>
  <c r="BC54" i="7" a="1"/>
  <c r="BC54" i="7" s="1"/>
  <c r="BM54" i="7" a="1"/>
  <c r="BM54" i="7" s="1"/>
  <c r="BK54" i="7" a="1"/>
  <c r="BK54" i="7" s="1"/>
  <c r="BA54" i="7" a="1"/>
  <c r="BA54" i="7" s="1"/>
  <c r="BP54" i="7" a="1"/>
  <c r="BP54" i="7" s="1"/>
  <c r="BD54" i="7" a="1"/>
  <c r="BD54" i="7" s="1"/>
  <c r="BO54" i="7" a="1"/>
  <c r="BO54" i="7" s="1"/>
  <c r="BN54" i="7" a="1"/>
  <c r="BN54" i="7" s="1"/>
  <c r="BQ54" i="7" a="1"/>
  <c r="BQ54" i="7" s="1"/>
  <c r="AK57" i="7" a="1"/>
  <c r="AK57" i="7" s="1"/>
  <c r="AO57" i="7" a="1"/>
  <c r="AO57" i="7" s="1"/>
  <c r="E59" i="7"/>
  <c r="LH15" i="8"/>
  <c r="LH40" i="8" s="1"/>
  <c r="LM12" i="8"/>
  <c r="LM37" i="8" s="1"/>
  <c r="LM11" i="8"/>
  <c r="LM36" i="8" s="1"/>
  <c r="LM10" i="8"/>
  <c r="LM35" i="8" s="1"/>
  <c r="LH21" i="8"/>
  <c r="LM15" i="8"/>
  <c r="LM40" i="8" s="1"/>
  <c r="LP4" i="8"/>
  <c r="LM14" i="8"/>
  <c r="LM39" i="8" s="1"/>
  <c r="LH12" i="8"/>
  <c r="LH37" i="8" s="1"/>
  <c r="LH11" i="8"/>
  <c r="LH36" i="8" s="1"/>
  <c r="LZ1" i="8"/>
  <c r="LZ2" i="8" s="1"/>
  <c r="LH10" i="8"/>
  <c r="LH35" i="8" s="1"/>
  <c r="LI1" i="8"/>
  <c r="LH3" i="8"/>
  <c r="LH28" i="8" s="1"/>
  <c r="F58" i="7"/>
  <c r="AC58" i="7" s="1" a="1"/>
  <c r="AC58" i="7" s="1"/>
  <c r="AB58" i="7"/>
  <c r="YZ27" i="8"/>
  <c r="ZK2" i="8"/>
  <c r="C62" i="7" a="1"/>
  <c r="C62" i="7" s="1"/>
  <c r="B62" i="7"/>
  <c r="A63" i="7" a="1"/>
  <c r="A63" i="7" s="1"/>
  <c r="BJ54" i="7" a="1"/>
  <c r="BJ54" i="7" s="1"/>
  <c r="T64" i="2"/>
  <c r="J63" i="2" a="1"/>
  <c r="M63" i="2" a="1"/>
  <c r="R64" i="2"/>
  <c r="Q64" i="2"/>
  <c r="N63" i="2" a="1"/>
  <c r="O63" i="2" a="1"/>
  <c r="P64" i="2"/>
  <c r="L63" i="2" a="1"/>
  <c r="U64" i="2"/>
  <c r="K63" i="2" a="1"/>
  <c r="S64" i="2"/>
  <c r="BI56" i="7" l="1" a="1"/>
  <c r="BI56" i="7" s="1"/>
  <c r="BL56" i="7" a="1"/>
  <c r="BL56" i="7" s="1"/>
  <c r="BO56" i="7" a="1"/>
  <c r="BO56" i="7" s="1"/>
  <c r="BH56" i="7" a="1"/>
  <c r="BH56" i="7" s="1"/>
  <c r="BP56" i="7" a="1"/>
  <c r="BP56" i="7" s="1"/>
  <c r="BF56" i="7" a="1"/>
  <c r="BF56" i="7" s="1"/>
  <c r="BJ56" i="7" a="1"/>
  <c r="BJ56" i="7" s="1"/>
  <c r="BN56" i="7" a="1"/>
  <c r="BN56" i="7" s="1"/>
  <c r="BD56" i="7" a="1"/>
  <c r="BD56" i="7" s="1"/>
  <c r="BG56" i="7" a="1"/>
  <c r="BG56" i="7" s="1"/>
  <c r="BA56" i="7" a="1"/>
  <c r="BA56" i="7" s="1"/>
  <c r="BM56" i="7" a="1"/>
  <c r="BM56" i="7" s="1"/>
  <c r="BQ56" i="7" a="1"/>
  <c r="BQ56" i="7" s="1"/>
  <c r="BE56" i="7" a="1"/>
  <c r="BE56" i="7" s="1"/>
  <c r="AZ56" i="7" a="1"/>
  <c r="AZ56" i="7" s="1"/>
  <c r="BK56" i="7" a="1"/>
  <c r="BK56" i="7" s="1"/>
  <c r="BB56" i="7" a="1"/>
  <c r="BB56" i="7" s="1"/>
  <c r="BC56" i="7" a="1"/>
  <c r="BC56" i="7" s="1"/>
  <c r="AT57" i="7"/>
  <c r="K63" i="2"/>
  <c r="G61" i="7" s="1"/>
  <c r="H61" i="7" s="1"/>
  <c r="I61" i="7" s="1"/>
  <c r="L63" i="2"/>
  <c r="J61" i="7" s="1"/>
  <c r="K61" i="7" s="1"/>
  <c r="L61" i="7" s="1"/>
  <c r="V64" i="2"/>
  <c r="O63" i="2"/>
  <c r="S61" i="7" s="1"/>
  <c r="T61" i="7" s="1"/>
  <c r="U61" i="7" s="1"/>
  <c r="N63" i="2"/>
  <c r="P61" i="7" s="1"/>
  <c r="Q61" i="7" s="1"/>
  <c r="R61" i="7" s="1"/>
  <c r="M63" i="2"/>
  <c r="M61" i="7" s="1"/>
  <c r="N61" i="7" s="1"/>
  <c r="O61" i="7" s="1"/>
  <c r="J63" i="2"/>
  <c r="D61" i="7" s="1"/>
  <c r="AW57" i="7"/>
  <c r="AX57" i="7" s="1"/>
  <c r="AV57" i="7"/>
  <c r="AA59" i="7"/>
  <c r="Z59" i="7"/>
  <c r="Y59" i="7"/>
  <c r="AF58" i="7" a="1"/>
  <c r="AF58" i="7" s="1"/>
  <c r="AO58" i="7" a="1"/>
  <c r="AO58" i="7" s="1"/>
  <c r="AD58" i="7" a="1"/>
  <c r="AD58" i="7" s="1"/>
  <c r="AJ58" i="7" a="1"/>
  <c r="AJ58" i="7" s="1"/>
  <c r="AL58" i="7" a="1"/>
  <c r="AL58" i="7" s="1"/>
  <c r="AQ58" i="7" a="1"/>
  <c r="AQ58" i="7" s="1"/>
  <c r="AH58" i="7" a="1"/>
  <c r="AH58" i="7" s="1"/>
  <c r="AI58" i="7" a="1"/>
  <c r="AI58" i="7" s="1"/>
  <c r="ZK27" i="8"/>
  <c r="ZV2" i="8"/>
  <c r="LZ4" i="8"/>
  <c r="MA2" i="8" s="1"/>
  <c r="I66" i="2"/>
  <c r="AP58" i="7" a="1"/>
  <c r="AP58" i="7" s="1"/>
  <c r="C63" i="7" a="1"/>
  <c r="C63" i="7" s="1"/>
  <c r="A64" i="7" a="1"/>
  <c r="A64" i="7" s="1"/>
  <c r="B63" i="7"/>
  <c r="AN58" i="7" a="1"/>
  <c r="AN58" i="7" s="1"/>
  <c r="AM58" i="7" a="1"/>
  <c r="AM58" i="7" s="1"/>
  <c r="AS58" i="7"/>
  <c r="AU58" i="7" s="1"/>
  <c r="AV58" i="7" s="1"/>
  <c r="AT58" i="7"/>
  <c r="LI26" i="8"/>
  <c r="LM4" i="8"/>
  <c r="LM29" i="8" s="1"/>
  <c r="LM5" i="8"/>
  <c r="LM30" i="8" s="1"/>
  <c r="LM6" i="8"/>
  <c r="LM31" i="8" s="1"/>
  <c r="LM3" i="8"/>
  <c r="LM28" i="8" s="1"/>
  <c r="F59" i="7"/>
  <c r="AC59" i="7" s="1" a="1"/>
  <c r="AC59" i="7" s="1"/>
  <c r="AB59" i="7"/>
  <c r="LH14" i="8"/>
  <c r="LH39" i="8" s="1"/>
  <c r="LM13" i="8"/>
  <c r="LM38" i="8" s="1"/>
  <c r="LH13" i="8"/>
  <c r="LH38" i="8" s="1"/>
  <c r="AK58" i="7" a="1"/>
  <c r="AK58" i="7" s="1"/>
  <c r="W60" i="7"/>
  <c r="X60" i="7"/>
  <c r="V61" i="7"/>
  <c r="AE58" i="7" a="1"/>
  <c r="AE58" i="7" s="1"/>
  <c r="AG58" i="7" a="1"/>
  <c r="AG58" i="7" s="1"/>
  <c r="E60" i="7"/>
  <c r="M64" i="2" a="1"/>
  <c r="K64" i="2" a="1"/>
  <c r="T65" i="2"/>
  <c r="L64" i="2" a="1"/>
  <c r="U65" i="2"/>
  <c r="O64" i="2" a="1"/>
  <c r="S65" i="2"/>
  <c r="Q65" i="2"/>
  <c r="P65" i="2"/>
  <c r="J64" i="2" a="1"/>
  <c r="N64" i="2" a="1"/>
  <c r="R65" i="2"/>
  <c r="BI57" i="7" l="1" a="1"/>
  <c r="BI57" i="7" s="1"/>
  <c r="BC57" i="7" a="1"/>
  <c r="BC57" i="7" s="1"/>
  <c r="BP57" i="7" a="1"/>
  <c r="BP57" i="7" s="1"/>
  <c r="BN57" i="7" a="1"/>
  <c r="BN57" i="7" s="1"/>
  <c r="BB57" i="7" a="1"/>
  <c r="BB57" i="7" s="1"/>
  <c r="BH57" i="7" a="1"/>
  <c r="BH57" i="7" s="1"/>
  <c r="BE57" i="7" a="1"/>
  <c r="BE57" i="7" s="1"/>
  <c r="BJ57" i="7" a="1"/>
  <c r="BJ57" i="7" s="1"/>
  <c r="BK57" i="7" a="1"/>
  <c r="BK57" i="7" s="1"/>
  <c r="AJ59" i="7" a="1"/>
  <c r="AJ59" i="7" s="1"/>
  <c r="AW58" i="7"/>
  <c r="AX58" i="7" s="1"/>
  <c r="BD58" i="7" s="1" a="1"/>
  <c r="BD58" i="7" s="1"/>
  <c r="AI59" i="7" a="1"/>
  <c r="AI59" i="7" s="1"/>
  <c r="AM59" i="7" a="1"/>
  <c r="AM59" i="7" s="1"/>
  <c r="BM57" i="7" a="1"/>
  <c r="BM57" i="7" s="1"/>
  <c r="N64" i="2"/>
  <c r="P62" i="7" s="1"/>
  <c r="Q62" i="7" s="1"/>
  <c r="R62" i="7" s="1"/>
  <c r="J64" i="2"/>
  <c r="D62" i="7" s="1"/>
  <c r="V65" i="2"/>
  <c r="O64" i="2"/>
  <c r="S62" i="7" s="1"/>
  <c r="T62" i="7" s="1"/>
  <c r="U62" i="7" s="1"/>
  <c r="L64" i="2"/>
  <c r="J62" i="7" s="1"/>
  <c r="K62" i="7" s="1"/>
  <c r="L62" i="7" s="1"/>
  <c r="K64" i="2"/>
  <c r="G62" i="7" s="1"/>
  <c r="H62" i="7" s="1"/>
  <c r="I62" i="7" s="1"/>
  <c r="M64" i="2"/>
  <c r="M62" i="7" s="1"/>
  <c r="Y60" i="7"/>
  <c r="AA60" i="7"/>
  <c r="Z60" i="7"/>
  <c r="BF57" i="7" a="1"/>
  <c r="BF57" i="7" s="1"/>
  <c r="BA57" i="7" a="1"/>
  <c r="BA57" i="7" s="1"/>
  <c r="BK58" i="7" a="1"/>
  <c r="BK58" i="7" s="1"/>
  <c r="I67" i="2"/>
  <c r="F60" i="7"/>
  <c r="AH60" i="7" s="1" a="1"/>
  <c r="AH60" i="7" s="1"/>
  <c r="AB60" i="7"/>
  <c r="BQ57" i="7" a="1"/>
  <c r="BQ57" i="7" s="1"/>
  <c r="BO57" i="7" a="1"/>
  <c r="BO57" i="7" s="1"/>
  <c r="BD57" i="7" a="1"/>
  <c r="BD57" i="7" s="1"/>
  <c r="AK59" i="7" a="1"/>
  <c r="AK59" i="7" s="1"/>
  <c r="AN59" i="7" a="1"/>
  <c r="AN59" i="7" s="1"/>
  <c r="AD59" i="7" a="1"/>
  <c r="AD59" i="7" s="1"/>
  <c r="AP59" i="7" a="1"/>
  <c r="AP59" i="7" s="1"/>
  <c r="AQ59" i="7" a="1"/>
  <c r="AQ59" i="7" s="1"/>
  <c r="AO59" i="7" a="1"/>
  <c r="AO59" i="7" s="1"/>
  <c r="AG59" i="7" a="1"/>
  <c r="AG59" i="7" s="1"/>
  <c r="AE59" i="7" a="1"/>
  <c r="AE59" i="7" s="1"/>
  <c r="AH59" i="7" a="1"/>
  <c r="AH59" i="7" s="1"/>
  <c r="BQ58" i="7" a="1"/>
  <c r="BQ58" i="7" s="1"/>
  <c r="AS59" i="7"/>
  <c r="AU59" i="7" s="1"/>
  <c r="BG57" i="7" a="1"/>
  <c r="BG57" i="7" s="1"/>
  <c r="BL57" i="7" a="1"/>
  <c r="BL57" i="7" s="1"/>
  <c r="E61" i="7"/>
  <c r="B64" i="7"/>
  <c r="A65" i="7" a="1"/>
  <c r="A65" i="7" s="1"/>
  <c r="C64" i="7" a="1"/>
  <c r="C64" i="7" s="1"/>
  <c r="LS15" i="8"/>
  <c r="LS40" i="8" s="1"/>
  <c r="LX14" i="8"/>
  <c r="LX39" i="8" s="1"/>
  <c r="LS3" i="8"/>
  <c r="LS28" i="8" s="1"/>
  <c r="LS12" i="8"/>
  <c r="LS37" i="8" s="1"/>
  <c r="LS11" i="8"/>
  <c r="LS36" i="8" s="1"/>
  <c r="MK1" i="8"/>
  <c r="MK2" i="8" s="1"/>
  <c r="LS21" i="8"/>
  <c r="LX15" i="8"/>
  <c r="LX40" i="8" s="1"/>
  <c r="LX12" i="8"/>
  <c r="LX37" i="8" s="1"/>
  <c r="LX11" i="8"/>
  <c r="LX36" i="8" s="1"/>
  <c r="LX10" i="8"/>
  <c r="LX35" i="8" s="1"/>
  <c r="LS10" i="8"/>
  <c r="LS35" i="8" s="1"/>
  <c r="MA4" i="8"/>
  <c r="LT1" i="8"/>
  <c r="AF59" i="7" a="1"/>
  <c r="AF59" i="7" s="1"/>
  <c r="ZV27" i="8"/>
  <c r="AAG2" i="8"/>
  <c r="BH58" i="7" a="1"/>
  <c r="BH58" i="7" s="1"/>
  <c r="BB58" i="7" a="1"/>
  <c r="BB58" i="7" s="1"/>
  <c r="W61" i="7"/>
  <c r="X61" i="7"/>
  <c r="V62" i="7"/>
  <c r="AZ57" i="7" a="1"/>
  <c r="AZ57" i="7" s="1"/>
  <c r="AL59" i="7" a="1"/>
  <c r="AL59" i="7" s="1"/>
  <c r="BI58" i="7" a="1"/>
  <c r="BI58" i="7" s="1"/>
  <c r="L65" i="2" a="1"/>
  <c r="O65" i="2" a="1"/>
  <c r="P66" i="2"/>
  <c r="N65" i="2" a="1"/>
  <c r="T66" i="2"/>
  <c r="S66" i="2"/>
  <c r="J65" i="2" a="1"/>
  <c r="R66" i="2"/>
  <c r="K65" i="2" a="1"/>
  <c r="Q66" i="2"/>
  <c r="M65" i="2" a="1"/>
  <c r="U66" i="2"/>
  <c r="N62" i="7" l="1"/>
  <c r="O62" i="7" s="1"/>
  <c r="AZ58" i="7" a="1"/>
  <c r="AZ58" i="7" s="1"/>
  <c r="BJ58" i="7" a="1"/>
  <c r="BJ58" i="7" s="1"/>
  <c r="BG58" i="7" a="1"/>
  <c r="BG58" i="7" s="1"/>
  <c r="BA58" i="7" a="1"/>
  <c r="BA58" i="7" s="1"/>
  <c r="BN58" i="7" a="1"/>
  <c r="BN58" i="7" s="1"/>
  <c r="BE58" i="7" a="1"/>
  <c r="BE58" i="7" s="1"/>
  <c r="BP58" i="7" a="1"/>
  <c r="BP58" i="7" s="1"/>
  <c r="BM58" i="7" a="1"/>
  <c r="BM58" i="7" s="1"/>
  <c r="BL58" i="7" a="1"/>
  <c r="BL58" i="7" s="1"/>
  <c r="AT59" i="7"/>
  <c r="BO58" i="7" a="1"/>
  <c r="BO58" i="7" s="1"/>
  <c r="BF58" i="7" a="1"/>
  <c r="BF58" i="7" s="1"/>
  <c r="BC58" i="7" a="1"/>
  <c r="BC58" i="7" s="1"/>
  <c r="M65" i="2"/>
  <c r="M63" i="7" s="1"/>
  <c r="N63" i="7" s="1"/>
  <c r="O63" i="7" s="1"/>
  <c r="K65" i="2"/>
  <c r="G63" i="7" s="1"/>
  <c r="H63" i="7" s="1"/>
  <c r="I63" i="7" s="1"/>
  <c r="J65" i="2"/>
  <c r="D63" i="7" s="1"/>
  <c r="N65" i="2"/>
  <c r="P63" i="7" s="1"/>
  <c r="Q63" i="7" s="1"/>
  <c r="R63" i="7" s="1"/>
  <c r="V66" i="2"/>
  <c r="O65" i="2"/>
  <c r="S63" i="7" s="1"/>
  <c r="T63" i="7" s="1"/>
  <c r="U63" i="7" s="1"/>
  <c r="L65" i="2"/>
  <c r="J63" i="7" s="1"/>
  <c r="K63" i="7" s="1"/>
  <c r="L63" i="7" s="1"/>
  <c r="AW59" i="7"/>
  <c r="AX59" i="7" s="1"/>
  <c r="AV59" i="7"/>
  <c r="C65" i="7" a="1"/>
  <c r="C65" i="7" s="1"/>
  <c r="B65" i="7"/>
  <c r="A66" i="7" a="1"/>
  <c r="A66" i="7" s="1"/>
  <c r="I68" i="2"/>
  <c r="AAG27" i="8"/>
  <c r="AAR2" i="8"/>
  <c r="AS60" i="7"/>
  <c r="AT60" i="7" s="1"/>
  <c r="AL60" i="7" a="1"/>
  <c r="AL60" i="7" s="1"/>
  <c r="AJ60" i="7" a="1"/>
  <c r="AJ60" i="7" s="1"/>
  <c r="AO60" i="7" a="1"/>
  <c r="AO60" i="7" s="1"/>
  <c r="X62" i="7"/>
  <c r="W62" i="7"/>
  <c r="V63" i="7"/>
  <c r="AI60" i="7" a="1"/>
  <c r="AI60" i="7" s="1"/>
  <c r="AE60" i="7" a="1"/>
  <c r="AE60" i="7" s="1"/>
  <c r="AQ60" i="7" a="1"/>
  <c r="AQ60" i="7" s="1"/>
  <c r="AC60" i="7" a="1"/>
  <c r="AC60" i="7" s="1"/>
  <c r="AN60" i="7" a="1"/>
  <c r="AN60" i="7" s="1"/>
  <c r="AF60" i="7" a="1"/>
  <c r="AF60" i="7" s="1"/>
  <c r="AP60" i="7" a="1"/>
  <c r="AP60" i="7" s="1"/>
  <c r="AD60" i="7" a="1"/>
  <c r="AD60" i="7" s="1"/>
  <c r="AM60" i="7" a="1"/>
  <c r="AM60" i="7" s="1"/>
  <c r="AK60" i="7" a="1"/>
  <c r="AK60" i="7" s="1"/>
  <c r="AG60" i="7" a="1"/>
  <c r="AG60" i="7" s="1"/>
  <c r="AA61" i="7"/>
  <c r="Y61" i="7"/>
  <c r="Z61" i="7"/>
  <c r="LT26" i="8"/>
  <c r="LX5" i="8"/>
  <c r="LX30" i="8" s="1"/>
  <c r="LX4" i="8"/>
  <c r="LX29" i="8" s="1"/>
  <c r="LX6" i="8"/>
  <c r="LX31" i="8" s="1"/>
  <c r="LX3" i="8"/>
  <c r="LX28" i="8" s="1"/>
  <c r="MK4" i="8"/>
  <c r="ML2" i="8" s="1"/>
  <c r="E62" i="7"/>
  <c r="LS14" i="8"/>
  <c r="LS39" i="8" s="1"/>
  <c r="LS13" i="8"/>
  <c r="LS38" i="8" s="1"/>
  <c r="LX13" i="8"/>
  <c r="LX38" i="8" s="1"/>
  <c r="F61" i="7"/>
  <c r="AC61" i="7" s="1" a="1"/>
  <c r="AC61" i="7" s="1"/>
  <c r="AB61" i="7"/>
  <c r="O66" i="2" a="1"/>
  <c r="R67" i="2"/>
  <c r="K66" i="2" a="1"/>
  <c r="J66" i="2" a="1"/>
  <c r="P67" i="2"/>
  <c r="L66" i="2" a="1"/>
  <c r="S67" i="2"/>
  <c r="U67" i="2"/>
  <c r="M66" i="2" a="1"/>
  <c r="Q67" i="2"/>
  <c r="N66" i="2" a="1"/>
  <c r="T67" i="2"/>
  <c r="AU60" i="7" l="1"/>
  <c r="AW60" i="7" s="1"/>
  <c r="AX60" i="7" s="1"/>
  <c r="BC59" i="7" a="1"/>
  <c r="BC59" i="7" s="1"/>
  <c r="BB59" i="7" a="1"/>
  <c r="BB59" i="7" s="1"/>
  <c r="BA59" i="7" a="1"/>
  <c r="BA59" i="7" s="1"/>
  <c r="AZ59" i="7" a="1"/>
  <c r="AZ59" i="7" s="1"/>
  <c r="AF61" i="7" a="1"/>
  <c r="AF61" i="7" s="1"/>
  <c r="BE59" i="7" a="1"/>
  <c r="BE59" i="7" s="1"/>
  <c r="AN61" i="7" a="1"/>
  <c r="AN61" i="7" s="1"/>
  <c r="BD59" i="7" a="1"/>
  <c r="BD59" i="7" s="1"/>
  <c r="N66" i="2"/>
  <c r="P64" i="7" s="1"/>
  <c r="Q64" i="7" s="1"/>
  <c r="R64" i="7" s="1"/>
  <c r="M66" i="2"/>
  <c r="M64" i="7" s="1"/>
  <c r="N64" i="7" s="1"/>
  <c r="O64" i="7" s="1"/>
  <c r="L66" i="2"/>
  <c r="J64" i="7" s="1"/>
  <c r="K64" i="7" s="1"/>
  <c r="L64" i="7" s="1"/>
  <c r="V67" i="2"/>
  <c r="J66" i="2"/>
  <c r="D64" i="7" s="1"/>
  <c r="K66" i="2"/>
  <c r="G64" i="7" s="1"/>
  <c r="H64" i="7" s="1"/>
  <c r="I64" i="7" s="1"/>
  <c r="O66" i="2"/>
  <c r="S64" i="7" s="1"/>
  <c r="T64" i="7" s="1"/>
  <c r="U64" i="7" s="1"/>
  <c r="MD21" i="8"/>
  <c r="MI14" i="8"/>
  <c r="MI39" i="8" s="1"/>
  <c r="ML4" i="8"/>
  <c r="MI15" i="8"/>
  <c r="MI40" i="8" s="1"/>
  <c r="MI12" i="8"/>
  <c r="MI37" i="8" s="1"/>
  <c r="MI11" i="8"/>
  <c r="MI36" i="8" s="1"/>
  <c r="MD15" i="8"/>
  <c r="MD40" i="8" s="1"/>
  <c r="MD12" i="8"/>
  <c r="MD37" i="8" s="1"/>
  <c r="MD11" i="8"/>
  <c r="MD36" i="8" s="1"/>
  <c r="MI10" i="8"/>
  <c r="MI35" i="8" s="1"/>
  <c r="ME1" i="8"/>
  <c r="MD10" i="8"/>
  <c r="MD35" i="8" s="1"/>
  <c r="MD3" i="8"/>
  <c r="MD28" i="8" s="1"/>
  <c r="MV1" i="8"/>
  <c r="MV2" i="8" s="1"/>
  <c r="F62" i="7"/>
  <c r="AM62" i="7" s="1" a="1"/>
  <c r="AM62" i="7" s="1"/>
  <c r="AB62" i="7"/>
  <c r="W63" i="7"/>
  <c r="X63" i="7"/>
  <c r="V64" i="7"/>
  <c r="AD61" i="7" a="1"/>
  <c r="AD61" i="7" s="1"/>
  <c r="E63" i="7"/>
  <c r="AS61" i="7"/>
  <c r="AT61" i="7" s="1"/>
  <c r="AA62" i="7"/>
  <c r="Y62" i="7"/>
  <c r="Z62" i="7"/>
  <c r="AL61" i="7" a="1"/>
  <c r="AL61" i="7" s="1"/>
  <c r="C66" i="7" a="1"/>
  <c r="C66" i="7" s="1"/>
  <c r="B66" i="7"/>
  <c r="A67" i="7" a="1"/>
  <c r="A67" i="7" s="1"/>
  <c r="AM61" i="7" a="1"/>
  <c r="AM61" i="7" s="1"/>
  <c r="I69" i="2"/>
  <c r="AK61" i="7" a="1"/>
  <c r="AK61" i="7" s="1"/>
  <c r="AO61" i="7" a="1"/>
  <c r="AO61" i="7" s="1"/>
  <c r="AG61" i="7" a="1"/>
  <c r="AG61" i="7" s="1"/>
  <c r="AE61" i="7" a="1"/>
  <c r="AE61" i="7" s="1"/>
  <c r="AI61" i="7" a="1"/>
  <c r="AI61" i="7" s="1"/>
  <c r="AP61" i="7" a="1"/>
  <c r="AP61" i="7" s="1"/>
  <c r="AH61" i="7" a="1"/>
  <c r="AH61" i="7" s="1"/>
  <c r="AJ61" i="7" a="1"/>
  <c r="AJ61" i="7" s="1"/>
  <c r="AQ61" i="7" a="1"/>
  <c r="AQ61" i="7" s="1"/>
  <c r="AAR27" i="8"/>
  <c r="ABC2" i="8"/>
  <c r="N67" i="2" a="1"/>
  <c r="S68" i="2"/>
  <c r="K67" i="2" a="1"/>
  <c r="P68" i="2"/>
  <c r="L67" i="2" a="1"/>
  <c r="Q68" i="2"/>
  <c r="O67" i="2" a="1"/>
  <c r="M67" i="2" a="1"/>
  <c r="U68" i="2"/>
  <c r="R68" i="2"/>
  <c r="J67" i="2" a="1"/>
  <c r="T68" i="2"/>
  <c r="AJ62" i="7" l="1" a="1"/>
  <c r="AJ62" i="7" s="1"/>
  <c r="AV60" i="7"/>
  <c r="AU61" i="7"/>
  <c r="AV61" i="7" s="1"/>
  <c r="J67" i="2"/>
  <c r="D65" i="7" s="1"/>
  <c r="M67" i="2"/>
  <c r="M65" i="7" s="1"/>
  <c r="N65" i="7" s="1"/>
  <c r="O65" i="7" s="1"/>
  <c r="O67" i="2"/>
  <c r="S65" i="7" s="1"/>
  <c r="T65" i="7" s="1"/>
  <c r="U65" i="7" s="1"/>
  <c r="L67" i="2"/>
  <c r="J65" i="7" s="1"/>
  <c r="K65" i="7" s="1"/>
  <c r="L65" i="7" s="1"/>
  <c r="V68" i="2"/>
  <c r="K67" i="2"/>
  <c r="G65" i="7" s="1"/>
  <c r="H65" i="7" s="1"/>
  <c r="I65" i="7" s="1"/>
  <c r="N67" i="2"/>
  <c r="P65" i="7" s="1"/>
  <c r="Q65" i="7" s="1"/>
  <c r="R65" i="7" s="1"/>
  <c r="AG62" i="7" a="1"/>
  <c r="AG62" i="7" s="1"/>
  <c r="AK62" i="7" a="1"/>
  <c r="AK62" i="7" s="1"/>
  <c r="ABC27" i="8"/>
  <c r="ABN2" i="8"/>
  <c r="AE62" i="7" a="1"/>
  <c r="AE62" i="7" s="1"/>
  <c r="AH62" i="7" a="1"/>
  <c r="AH62" i="7" s="1"/>
  <c r="AS62" i="7"/>
  <c r="AP62" i="7" a="1"/>
  <c r="AP62" i="7" s="1"/>
  <c r="I70" i="2"/>
  <c r="W64" i="7"/>
  <c r="X64" i="7"/>
  <c r="V65" i="7"/>
  <c r="MV4" i="8"/>
  <c r="MW2" i="8" s="1"/>
  <c r="AA63" i="7"/>
  <c r="Y63" i="7"/>
  <c r="Z63" i="7"/>
  <c r="C67" i="7" a="1"/>
  <c r="C67" i="7" s="1"/>
  <c r="B67" i="7"/>
  <c r="A68" i="7" a="1"/>
  <c r="A68" i="7" s="1"/>
  <c r="F63" i="7"/>
  <c r="AD63" i="7" s="1" a="1"/>
  <c r="AD63" i="7" s="1"/>
  <c r="AB63" i="7"/>
  <c r="ME26" i="8"/>
  <c r="MI6" i="8"/>
  <c r="MI31" i="8" s="1"/>
  <c r="MI3" i="8"/>
  <c r="MI28" i="8" s="1"/>
  <c r="MI4" i="8"/>
  <c r="MI29" i="8" s="1"/>
  <c r="MI5" i="8"/>
  <c r="MI30" i="8" s="1"/>
  <c r="MI13" i="8"/>
  <c r="MI38" i="8" s="1"/>
  <c r="MD13" i="8"/>
  <c r="MD38" i="8" s="1"/>
  <c r="MD14" i="8"/>
  <c r="MD39" i="8" s="1"/>
  <c r="E64" i="7"/>
  <c r="AF62" i="7" a="1"/>
  <c r="AF62" i="7" s="1"/>
  <c r="AC62" i="7" a="1"/>
  <c r="AC62" i="7" s="1"/>
  <c r="AO62" i="7" a="1"/>
  <c r="AO62" i="7" s="1"/>
  <c r="AQ62" i="7" a="1"/>
  <c r="AQ62" i="7" s="1"/>
  <c r="AN62" i="7" a="1"/>
  <c r="AN62" i="7" s="1"/>
  <c r="AI62" i="7" a="1"/>
  <c r="AI62" i="7" s="1"/>
  <c r="AL62" i="7" a="1"/>
  <c r="AL62" i="7" s="1"/>
  <c r="AD62" i="7" a="1"/>
  <c r="AD62" i="7" s="1"/>
  <c r="N68" i="2" a="1"/>
  <c r="J68" i="2" a="1"/>
  <c r="L68" i="2" a="1"/>
  <c r="O68" i="2" a="1"/>
  <c r="M68" i="2" a="1"/>
  <c r="S69" i="2"/>
  <c r="U69" i="2"/>
  <c r="P69" i="2"/>
  <c r="K68" i="2" a="1"/>
  <c r="R69" i="2"/>
  <c r="T69" i="2"/>
  <c r="Q69" i="2"/>
  <c r="AW61" i="7" l="1"/>
  <c r="AX61" i="7" s="1"/>
  <c r="BA61" i="7" s="1" a="1"/>
  <c r="BA61" i="7" s="1"/>
  <c r="BL59" i="7" a="1"/>
  <c r="BL59" i="7" s="1"/>
  <c r="BN59" i="7" a="1"/>
  <c r="BN59" i="7" s="1"/>
  <c r="BO60" i="7" a="1"/>
  <c r="BO60" i="7" s="1"/>
  <c r="BD60" i="7" a="1"/>
  <c r="BD60" i="7" s="1"/>
  <c r="BO59" i="7" a="1"/>
  <c r="BO59" i="7" s="1"/>
  <c r="BC60" i="7" a="1"/>
  <c r="BC60" i="7" s="1"/>
  <c r="BQ59" i="7" a="1"/>
  <c r="BQ59" i="7" s="1"/>
  <c r="BK60" i="7" a="1"/>
  <c r="BK60" i="7" s="1"/>
  <c r="BF60" i="7" a="1"/>
  <c r="BF60" i="7" s="1"/>
  <c r="BP59" i="7" a="1"/>
  <c r="BP59" i="7" s="1"/>
  <c r="BB60" i="7" a="1"/>
  <c r="BB60" i="7" s="1"/>
  <c r="BM59" i="7" a="1"/>
  <c r="BM59" i="7" s="1"/>
  <c r="BG60" i="7" a="1"/>
  <c r="BG60" i="7" s="1"/>
  <c r="BJ60" i="7" a="1"/>
  <c r="BJ60" i="7" s="1"/>
  <c r="BL60" i="7" a="1"/>
  <c r="BL60" i="7" s="1"/>
  <c r="BA60" i="7" a="1"/>
  <c r="BA60" i="7" s="1"/>
  <c r="BK59" i="7" a="1"/>
  <c r="BK59" i="7" s="1"/>
  <c r="BI59" i="7" a="1"/>
  <c r="BI59" i="7" s="1"/>
  <c r="BN60" i="7" a="1"/>
  <c r="BN60" i="7" s="1"/>
  <c r="BP60" i="7" a="1"/>
  <c r="BP60" i="7" s="1"/>
  <c r="BJ59" i="7" a="1"/>
  <c r="BJ59" i="7" s="1"/>
  <c r="BE60" i="7" a="1"/>
  <c r="BE60" i="7" s="1"/>
  <c r="BG59" i="7" a="1"/>
  <c r="BG59" i="7" s="1"/>
  <c r="BM60" i="7" a="1"/>
  <c r="BM60" i="7" s="1"/>
  <c r="BH59" i="7" a="1"/>
  <c r="BH59" i="7" s="1"/>
  <c r="AZ60" i="7" a="1"/>
  <c r="AZ60" i="7" s="1"/>
  <c r="BF59" i="7" a="1"/>
  <c r="BF59" i="7" s="1"/>
  <c r="BI60" i="7" a="1"/>
  <c r="BI60" i="7" s="1"/>
  <c r="BQ60" i="7" a="1"/>
  <c r="BQ60" i="7" s="1"/>
  <c r="BH60" i="7" a="1"/>
  <c r="BH60" i="7" s="1"/>
  <c r="K68" i="2"/>
  <c r="G66" i="7" s="1"/>
  <c r="H66" i="7" s="1"/>
  <c r="I66" i="7" s="1"/>
  <c r="V69" i="2"/>
  <c r="M68" i="2"/>
  <c r="M66" i="7" s="1"/>
  <c r="N66" i="7" s="1"/>
  <c r="O66" i="7" s="1"/>
  <c r="O68" i="2"/>
  <c r="S66" i="7" s="1"/>
  <c r="T66" i="7" s="1"/>
  <c r="U66" i="7" s="1"/>
  <c r="L68" i="2"/>
  <c r="J66" i="7" s="1"/>
  <c r="K66" i="7" s="1"/>
  <c r="L66" i="7" s="1"/>
  <c r="J68" i="2"/>
  <c r="D66" i="7" s="1"/>
  <c r="N68" i="2"/>
  <c r="P66" i="7" s="1"/>
  <c r="Q66" i="7" s="1"/>
  <c r="R66" i="7" s="1"/>
  <c r="BM61" i="7" a="1"/>
  <c r="BM61" i="7" s="1"/>
  <c r="BQ61" i="7" a="1"/>
  <c r="BQ61" i="7" s="1"/>
  <c r="BD61" i="7" a="1"/>
  <c r="BD61" i="7" s="1"/>
  <c r="BB61" i="7" a="1"/>
  <c r="BB61" i="7" s="1"/>
  <c r="BF61" i="7" a="1"/>
  <c r="BF61" i="7" s="1"/>
  <c r="AB64" i="7"/>
  <c r="BL61" i="7" a="1"/>
  <c r="BL61" i="7" s="1"/>
  <c r="BK61" i="7" a="1"/>
  <c r="BK61" i="7" s="1"/>
  <c r="BP61" i="7" a="1"/>
  <c r="BP61" i="7" s="1"/>
  <c r="BO61" i="7" a="1"/>
  <c r="BO61" i="7" s="1"/>
  <c r="BC61" i="7" a="1"/>
  <c r="BC61" i="7" s="1"/>
  <c r="AZ61" i="7" a="1"/>
  <c r="AZ61" i="7" s="1"/>
  <c r="AO63" i="7" a="1"/>
  <c r="AO63" i="7" s="1"/>
  <c r="AK63" i="7" a="1"/>
  <c r="AK63" i="7" s="1"/>
  <c r="AN63" i="7" a="1"/>
  <c r="AN63" i="7" s="1"/>
  <c r="AJ63" i="7" a="1"/>
  <c r="AJ63" i="7" s="1"/>
  <c r="AG63" i="7" a="1"/>
  <c r="AG63" i="7" s="1"/>
  <c r="AP63" i="7" a="1"/>
  <c r="AP63" i="7" s="1"/>
  <c r="AL63" i="7" a="1"/>
  <c r="AL63" i="7" s="1"/>
  <c r="AC63" i="7" a="1"/>
  <c r="AC63" i="7" s="1"/>
  <c r="AQ63" i="7" a="1"/>
  <c r="AQ63" i="7" s="1"/>
  <c r="BJ61" i="7" a="1"/>
  <c r="BJ61" i="7" s="1"/>
  <c r="BH61" i="7" a="1"/>
  <c r="BH61" i="7" s="1"/>
  <c r="BN61" i="7" a="1"/>
  <c r="BN61" i="7" s="1"/>
  <c r="BG61" i="7" a="1"/>
  <c r="BG61" i="7" s="1"/>
  <c r="BI61" i="7" a="1"/>
  <c r="BI61" i="7" s="1"/>
  <c r="W65" i="7"/>
  <c r="X65" i="7"/>
  <c r="V66" i="7"/>
  <c r="AF63" i="7" a="1"/>
  <c r="AF63" i="7" s="1"/>
  <c r="AS63" i="7"/>
  <c r="AU63" i="7" s="1"/>
  <c r="Y64" i="7"/>
  <c r="F64" i="7" s="1"/>
  <c r="AG64" i="7" s="1" a="1"/>
  <c r="AG64" i="7" s="1"/>
  <c r="Z64" i="7"/>
  <c r="AA64" i="7"/>
  <c r="AI63" i="7" a="1"/>
  <c r="AI63" i="7" s="1"/>
  <c r="AE63" i="7" a="1"/>
  <c r="AE63" i="7" s="1"/>
  <c r="B68" i="7"/>
  <c r="A69" i="7" a="1"/>
  <c r="A69" i="7" s="1"/>
  <c r="C68" i="7" a="1"/>
  <c r="C68" i="7" s="1"/>
  <c r="AT62" i="7"/>
  <c r="AU62" i="7"/>
  <c r="AV62" i="7" s="1"/>
  <c r="AH63" i="7" a="1"/>
  <c r="AH63" i="7" s="1"/>
  <c r="E65" i="7"/>
  <c r="MT15" i="8"/>
  <c r="MT40" i="8" s="1"/>
  <c r="MT12" i="8"/>
  <c r="MT37" i="8" s="1"/>
  <c r="MT11" i="8"/>
  <c r="MT36" i="8" s="1"/>
  <c r="MT10" i="8"/>
  <c r="MT35" i="8" s="1"/>
  <c r="MO21" i="8"/>
  <c r="MO12" i="8"/>
  <c r="MO37" i="8" s="1"/>
  <c r="MO11" i="8"/>
  <c r="MO36" i="8" s="1"/>
  <c r="MO15" i="8"/>
  <c r="MO40" i="8" s="1"/>
  <c r="MT14" i="8"/>
  <c r="MT39" i="8" s="1"/>
  <c r="MO10" i="8"/>
  <c r="MO35" i="8" s="1"/>
  <c r="MW4" i="8"/>
  <c r="MO3" i="8"/>
  <c r="MO28" i="8" s="1"/>
  <c r="NG1" i="8"/>
  <c r="NG2" i="8" s="1"/>
  <c r="MP1" i="8"/>
  <c r="BE61" i="7" a="1"/>
  <c r="BE61" i="7" s="1"/>
  <c r="ABN27" i="8"/>
  <c r="ABY2" i="8"/>
  <c r="AM63" i="7" a="1"/>
  <c r="AM63" i="7" s="1"/>
  <c r="K69" i="2" a="1"/>
  <c r="N69" i="2" a="1"/>
  <c r="L69" i="2" a="1"/>
  <c r="P70" i="2"/>
  <c r="U70" i="2"/>
  <c r="J69" i="2" a="1"/>
  <c r="T70" i="2"/>
  <c r="R70" i="2"/>
  <c r="O69" i="2" a="1"/>
  <c r="S70" i="2"/>
  <c r="M69" i="2" a="1"/>
  <c r="Q70" i="2"/>
  <c r="AT63" i="7" l="1"/>
  <c r="M69" i="2"/>
  <c r="M67" i="7" s="1"/>
  <c r="N67" i="7" s="1"/>
  <c r="O67" i="7" s="1"/>
  <c r="O69" i="2"/>
  <c r="S67" i="7" s="1"/>
  <c r="T67" i="7" s="1"/>
  <c r="U67" i="7" s="1"/>
  <c r="J69" i="2"/>
  <c r="D67" i="7" s="1"/>
  <c r="V70" i="2"/>
  <c r="L69" i="2"/>
  <c r="J67" i="7" s="1"/>
  <c r="K67" i="7" s="1"/>
  <c r="L67" i="7" s="1"/>
  <c r="N69" i="2"/>
  <c r="P67" i="7" s="1"/>
  <c r="Q67" i="7" s="1"/>
  <c r="R67" i="7" s="1"/>
  <c r="K69" i="2"/>
  <c r="G67" i="7" s="1"/>
  <c r="H67" i="7" s="1"/>
  <c r="I67" i="7" s="1"/>
  <c r="AW63" i="7"/>
  <c r="AX63" i="7" s="1"/>
  <c r="AV63" i="7"/>
  <c r="ABY27" i="8"/>
  <c r="ACJ2" i="8"/>
  <c r="G68" i="7"/>
  <c r="H68" i="7" s="1"/>
  <c r="I68" i="7" s="1"/>
  <c r="M68" i="7"/>
  <c r="N68" i="7" s="1"/>
  <c r="O68" i="7" s="1"/>
  <c r="J68" i="7"/>
  <c r="K68" i="7" s="1"/>
  <c r="L68" i="7" s="1"/>
  <c r="S68" i="7"/>
  <c r="T68" i="7" s="1"/>
  <c r="U68" i="7" s="1"/>
  <c r="D68" i="7"/>
  <c r="P68" i="7"/>
  <c r="Q68" i="7" s="1"/>
  <c r="R68" i="7" s="1"/>
  <c r="X66" i="7"/>
  <c r="W66" i="7"/>
  <c r="V67" i="7"/>
  <c r="AW62" i="7"/>
  <c r="AX62" i="7" s="1"/>
  <c r="BI62" i="7" s="1" a="1"/>
  <c r="BI62" i="7" s="1"/>
  <c r="MP26" i="8"/>
  <c r="MT5" i="8"/>
  <c r="MT30" i="8" s="1"/>
  <c r="MT6" i="8"/>
  <c r="MT31" i="8" s="1"/>
  <c r="MT3" i="8"/>
  <c r="MT28" i="8" s="1"/>
  <c r="MT4" i="8"/>
  <c r="MT29" i="8" s="1"/>
  <c r="AA65" i="7"/>
  <c r="Y65" i="7"/>
  <c r="F65" i="7" s="1"/>
  <c r="AD65" i="7" s="1" a="1"/>
  <c r="AD65" i="7" s="1"/>
  <c r="Z65" i="7"/>
  <c r="NG4" i="8"/>
  <c r="NH2" i="8" s="1"/>
  <c r="C69" i="7" a="1"/>
  <c r="C69" i="7" s="1"/>
  <c r="B69" i="7"/>
  <c r="A70" i="7" a="1"/>
  <c r="A70" i="7" s="1"/>
  <c r="AS64" i="7"/>
  <c r="AB65" i="7"/>
  <c r="BK62" i="7" a="1"/>
  <c r="BK62" i="7" s="1"/>
  <c r="E66" i="7"/>
  <c r="MT13" i="8"/>
  <c r="MT38" i="8" s="1"/>
  <c r="MO14" i="8"/>
  <c r="MO39" i="8" s="1"/>
  <c r="MO13" i="8"/>
  <c r="MO38" i="8" s="1"/>
  <c r="AM64" i="7" a="1"/>
  <c r="AM64" i="7" s="1"/>
  <c r="AP64" i="7" a="1"/>
  <c r="AP64" i="7" s="1"/>
  <c r="AC64" i="7" a="1"/>
  <c r="AC64" i="7" s="1"/>
  <c r="AK64" i="7" a="1"/>
  <c r="AK64" i="7" s="1"/>
  <c r="AO64" i="7" a="1"/>
  <c r="AO64" i="7" s="1"/>
  <c r="AE64" i="7" a="1"/>
  <c r="AE64" i="7" s="1"/>
  <c r="AI64" i="7" a="1"/>
  <c r="AI64" i="7" s="1"/>
  <c r="AN64" i="7" a="1"/>
  <c r="AN64" i="7" s="1"/>
  <c r="AQ64" i="7" a="1"/>
  <c r="AQ64" i="7" s="1"/>
  <c r="AJ64" i="7" a="1"/>
  <c r="AJ64" i="7" s="1"/>
  <c r="AL64" i="7" a="1"/>
  <c r="AL64" i="7" s="1"/>
  <c r="AD64" i="7" a="1"/>
  <c r="AD64" i="7" s="1"/>
  <c r="AF64" i="7" a="1"/>
  <c r="AF64" i="7" s="1"/>
  <c r="AH64" i="7" a="1"/>
  <c r="AH64" i="7" s="1"/>
  <c r="BL62" i="7" a="1"/>
  <c r="BL62" i="7" s="1"/>
  <c r="K70" i="2" a="1"/>
  <c r="J70" i="2" a="1"/>
  <c r="M70" i="2" a="1"/>
  <c r="L70" i="2" a="1"/>
  <c r="N70" i="2" a="1"/>
  <c r="O70" i="2" a="1"/>
  <c r="BD62" i="7" l="1" a="1"/>
  <c r="BD62" i="7" s="1"/>
  <c r="AL65" i="7" a="1"/>
  <c r="AL65" i="7" s="1"/>
  <c r="AF65" i="7" a="1"/>
  <c r="AF65" i="7" s="1"/>
  <c r="BC62" i="7" a="1"/>
  <c r="BC62" i="7" s="1"/>
  <c r="BM62" i="7" a="1"/>
  <c r="BM62" i="7" s="1"/>
  <c r="BG62" i="7" a="1"/>
  <c r="BG62" i="7" s="1"/>
  <c r="BL63" i="7" a="1"/>
  <c r="BL63" i="7" s="1"/>
  <c r="BB63" i="7" a="1"/>
  <c r="BB63" i="7" s="1"/>
  <c r="BN63" i="7" a="1"/>
  <c r="BN63" i="7" s="1"/>
  <c r="BK63" i="7" a="1"/>
  <c r="BK63" i="7" s="1"/>
  <c r="BO63" i="7" a="1"/>
  <c r="BO63" i="7" s="1"/>
  <c r="BD63" i="7" a="1"/>
  <c r="BD63" i="7" s="1"/>
  <c r="BP63" i="7" a="1"/>
  <c r="BP63" i="7" s="1"/>
  <c r="BE63" i="7" a="1"/>
  <c r="BE63" i="7" s="1"/>
  <c r="BF63" i="7" a="1"/>
  <c r="BF63" i="7" s="1"/>
  <c r="BM63" i="7" a="1"/>
  <c r="BM63" i="7" s="1"/>
  <c r="BA63" i="7" a="1"/>
  <c r="BA63" i="7" s="1"/>
  <c r="BH63" i="7" a="1"/>
  <c r="BH63" i="7" s="1"/>
  <c r="BQ63" i="7" a="1"/>
  <c r="BQ63" i="7" s="1"/>
  <c r="BJ63" i="7" a="1"/>
  <c r="BJ63" i="7" s="1"/>
  <c r="BC63" i="7" a="1"/>
  <c r="BC63" i="7" s="1"/>
  <c r="BI63" i="7" a="1"/>
  <c r="BI63" i="7" s="1"/>
  <c r="BG63" i="7" a="1"/>
  <c r="BG63" i="7" s="1"/>
  <c r="AZ63" i="7" a="1"/>
  <c r="AZ63" i="7" s="1"/>
  <c r="BJ62" i="7" a="1"/>
  <c r="BJ62" i="7" s="1"/>
  <c r="BO62" i="7" a="1"/>
  <c r="BO62" i="7" s="1"/>
  <c r="BH62" i="7" a="1"/>
  <c r="BH62" i="7" s="1"/>
  <c r="BA62" i="7" a="1"/>
  <c r="BA62" i="7" s="1"/>
  <c r="BQ62" i="7" a="1"/>
  <c r="BQ62" i="7" s="1"/>
  <c r="BB62" i="7" a="1"/>
  <c r="BB62" i="7" s="1"/>
  <c r="AC65" i="7" a="1"/>
  <c r="AC65" i="7" s="1"/>
  <c r="BE62" i="7" a="1"/>
  <c r="BE62" i="7" s="1"/>
  <c r="AZ62" i="7" a="1"/>
  <c r="AZ62" i="7" s="1"/>
  <c r="O70" i="2"/>
  <c r="N70" i="2"/>
  <c r="L70" i="2"/>
  <c r="M70" i="2"/>
  <c r="J70" i="2"/>
  <c r="K70" i="2"/>
  <c r="MZ15" i="8"/>
  <c r="MZ40" i="8" s="1"/>
  <c r="NE12" i="8"/>
  <c r="NE37" i="8" s="1"/>
  <c r="NE11" i="8"/>
  <c r="NE36" i="8" s="1"/>
  <c r="NE10" i="8"/>
  <c r="NE35" i="8" s="1"/>
  <c r="NE14" i="8"/>
  <c r="NE39" i="8" s="1"/>
  <c r="NE15" i="8"/>
  <c r="NE40" i="8" s="1"/>
  <c r="MZ10" i="8"/>
  <c r="MZ35" i="8" s="1"/>
  <c r="MZ3" i="8"/>
  <c r="MZ28" i="8" s="1"/>
  <c r="MZ21" i="8"/>
  <c r="NR1" i="8"/>
  <c r="NR2" i="8" s="1"/>
  <c r="NH4" i="8"/>
  <c r="NA1" i="8"/>
  <c r="MZ12" i="8"/>
  <c r="MZ37" i="8" s="1"/>
  <c r="MZ11" i="8"/>
  <c r="MZ36" i="8" s="1"/>
  <c r="E67" i="7"/>
  <c r="AN65" i="7" a="1"/>
  <c r="AN65" i="7" s="1"/>
  <c r="BP62" i="7" a="1"/>
  <c r="BP62" i="7" s="1"/>
  <c r="F66" i="7"/>
  <c r="AK66" i="7" s="1" a="1"/>
  <c r="AK66" i="7" s="1"/>
  <c r="AB66" i="7"/>
  <c r="AU64" i="7"/>
  <c r="AV64" i="7" s="1"/>
  <c r="AT64" i="7"/>
  <c r="X67" i="7"/>
  <c r="W67" i="7"/>
  <c r="V68" i="7"/>
  <c r="C70" i="7" a="1"/>
  <c r="C70" i="7" s="1"/>
  <c r="B70" i="7"/>
  <c r="A71" i="7" a="1"/>
  <c r="A71" i="7" s="1"/>
  <c r="AA66" i="7"/>
  <c r="Y66" i="7"/>
  <c r="Z66" i="7"/>
  <c r="AG65" i="7" a="1"/>
  <c r="AG65" i="7" s="1"/>
  <c r="AP65" i="7" a="1"/>
  <c r="AP65" i="7" s="1"/>
  <c r="AM65" i="7" a="1"/>
  <c r="AM65" i="7" s="1"/>
  <c r="AJ65" i="7" a="1"/>
  <c r="AJ65" i="7" s="1"/>
  <c r="AO65" i="7" a="1"/>
  <c r="AO65" i="7" s="1"/>
  <c r="AK65" i="7" a="1"/>
  <c r="AK65" i="7" s="1"/>
  <c r="AE65" i="7" a="1"/>
  <c r="AE65" i="7" s="1"/>
  <c r="AH65" i="7" a="1"/>
  <c r="AH65" i="7" s="1"/>
  <c r="AQ65" i="7" a="1"/>
  <c r="AQ65" i="7" s="1"/>
  <c r="AI65" i="7" a="1"/>
  <c r="AI65" i="7" s="1"/>
  <c r="AS65" i="7"/>
  <c r="AU65" i="7" s="1"/>
  <c r="AV65" i="7" s="1"/>
  <c r="S69" i="7"/>
  <c r="T69" i="7" s="1"/>
  <c r="U69" i="7" s="1"/>
  <c r="G69" i="7"/>
  <c r="H69" i="7" s="1"/>
  <c r="I69" i="7" s="1"/>
  <c r="M69" i="7"/>
  <c r="N69" i="7" s="1"/>
  <c r="O69" i="7" s="1"/>
  <c r="J69" i="7"/>
  <c r="K69" i="7" s="1"/>
  <c r="L69" i="7" s="1"/>
  <c r="D69" i="7"/>
  <c r="P69" i="7"/>
  <c r="Q69" i="7" s="1"/>
  <c r="R69" i="7" s="1"/>
  <c r="BF62" i="7" a="1"/>
  <c r="BF62" i="7" s="1"/>
  <c r="BN62" i="7" a="1"/>
  <c r="BN62" i="7" s="1"/>
  <c r="ACJ27" i="8"/>
  <c r="ACU2" i="8"/>
  <c r="E68" i="7"/>
  <c r="AN68" i="7" a="1"/>
  <c r="AN68" i="7" s="1"/>
  <c r="AH68" i="7" a="1"/>
  <c r="AH68" i="7" s="1"/>
  <c r="AG68" i="7" a="1"/>
  <c r="AG68" i="7" s="1"/>
  <c r="AM68" i="7" a="1"/>
  <c r="AM68" i="7" s="1"/>
  <c r="AF68" i="7" a="1"/>
  <c r="AF68" i="7" s="1"/>
  <c r="AL68" i="7" a="1"/>
  <c r="AL68" i="7" s="1"/>
  <c r="AK68" i="7" a="1"/>
  <c r="AK68" i="7" s="1"/>
  <c r="AE68" i="7" a="1"/>
  <c r="AE68" i="7" s="1"/>
  <c r="AQ68" i="7" a="1"/>
  <c r="AQ68" i="7" s="1"/>
  <c r="AJ68" i="7" a="1"/>
  <c r="AJ68" i="7" s="1"/>
  <c r="AD68" i="7" a="1"/>
  <c r="AD68" i="7" s="1"/>
  <c r="AI68" i="7" a="1"/>
  <c r="AI68" i="7" s="1"/>
  <c r="AC68" i="7" a="1"/>
  <c r="AC68" i="7" s="1"/>
  <c r="AP68" i="7" a="1"/>
  <c r="AP68" i="7" s="1"/>
  <c r="AO68" i="7" a="1"/>
  <c r="AO68" i="7" s="1"/>
  <c r="AH66" i="7" l="1" a="1"/>
  <c r="AH66" i="7" s="1"/>
  <c r="AP66" i="7" a="1"/>
  <c r="AP66" i="7" s="1"/>
  <c r="AD66" i="7" a="1"/>
  <c r="AD66" i="7" s="1"/>
  <c r="AO66" i="7" a="1"/>
  <c r="AO66" i="7" s="1"/>
  <c r="AM66" i="7" a="1"/>
  <c r="AM66" i="7" s="1"/>
  <c r="AG66" i="7" a="1"/>
  <c r="AG66" i="7" s="1"/>
  <c r="AN66" i="7" a="1"/>
  <c r="AN66" i="7" s="1"/>
  <c r="AJ66" i="7" a="1"/>
  <c r="AJ66" i="7" s="1"/>
  <c r="AI66" i="7" a="1"/>
  <c r="AI66" i="7" s="1"/>
  <c r="AL66" i="7" a="1"/>
  <c r="AL66" i="7" s="1"/>
  <c r="AC66" i="7" a="1"/>
  <c r="AC66" i="7" s="1"/>
  <c r="AE66" i="7" a="1"/>
  <c r="AE66" i="7" s="1"/>
  <c r="AF66" i="7" a="1"/>
  <c r="AF66" i="7" s="1"/>
  <c r="AQ66" i="7" a="1"/>
  <c r="AQ66" i="7" s="1"/>
  <c r="AW64" i="7"/>
  <c r="AX64" i="7" s="1"/>
  <c r="BI64" i="7" s="1" a="1"/>
  <c r="BI64" i="7" s="1"/>
  <c r="F68" i="7"/>
  <c r="AB67" i="7"/>
  <c r="M70" i="7"/>
  <c r="N70" i="7" s="1"/>
  <c r="O70" i="7" s="1"/>
  <c r="D70" i="7"/>
  <c r="S70" i="7"/>
  <c r="T70" i="7" s="1"/>
  <c r="U70" i="7" s="1"/>
  <c r="G70" i="7"/>
  <c r="H70" i="7" s="1"/>
  <c r="I70" i="7" s="1"/>
  <c r="P70" i="7"/>
  <c r="Q70" i="7" s="1"/>
  <c r="R70" i="7" s="1"/>
  <c r="J70" i="7"/>
  <c r="K70" i="7" s="1"/>
  <c r="L70" i="7" s="1"/>
  <c r="AS66" i="7"/>
  <c r="AU66" i="7" s="1"/>
  <c r="W68" i="7"/>
  <c r="AB68" i="7" s="1"/>
  <c r="X68" i="7"/>
  <c r="V69" i="7"/>
  <c r="AT65" i="7"/>
  <c r="AW65" i="7"/>
  <c r="AX65" i="7" s="1"/>
  <c r="NA26" i="8"/>
  <c r="NE6" i="8"/>
  <c r="NE31" i="8" s="1"/>
  <c r="NE4" i="8"/>
  <c r="NE29" i="8" s="1"/>
  <c r="NE5" i="8"/>
  <c r="NE30" i="8" s="1"/>
  <c r="NE3" i="8"/>
  <c r="NE28" i="8" s="1"/>
  <c r="AH69" i="7" a="1"/>
  <c r="AH69" i="7" s="1"/>
  <c r="AN69" i="7" a="1"/>
  <c r="AN69" i="7" s="1"/>
  <c r="AG69" i="7" a="1"/>
  <c r="AG69" i="7" s="1"/>
  <c r="AM69" i="7" a="1"/>
  <c r="AM69" i="7" s="1"/>
  <c r="AL69" i="7" a="1"/>
  <c r="AL69" i="7" s="1"/>
  <c r="AF69" i="7" a="1"/>
  <c r="AF69" i="7" s="1"/>
  <c r="AK69" i="7" a="1"/>
  <c r="AK69" i="7" s="1"/>
  <c r="AE69" i="7" a="1"/>
  <c r="AE69" i="7" s="1"/>
  <c r="AQ69" i="7" a="1"/>
  <c r="AQ69" i="7" s="1"/>
  <c r="AD69" i="7" a="1"/>
  <c r="AD69" i="7" s="1"/>
  <c r="AI69" i="7" a="1"/>
  <c r="AI69" i="7" s="1"/>
  <c r="AC69" i="7" a="1"/>
  <c r="AC69" i="7" s="1"/>
  <c r="AP69" i="7" a="1"/>
  <c r="AP69" i="7" s="1"/>
  <c r="E69" i="7"/>
  <c r="AO69" i="7" a="1"/>
  <c r="AO69" i="7" s="1"/>
  <c r="AJ69" i="7" a="1"/>
  <c r="AJ69" i="7" s="1"/>
  <c r="ACU27" i="8"/>
  <c r="ADF2" i="8"/>
  <c r="ADF27" i="8" s="1"/>
  <c r="AA67" i="7"/>
  <c r="Z67" i="7"/>
  <c r="Y67" i="7"/>
  <c r="F67" i="7" s="1"/>
  <c r="AE67" i="7" s="1" a="1"/>
  <c r="AE67" i="7" s="1"/>
  <c r="MZ14" i="8"/>
  <c r="MZ39" i="8" s="1"/>
  <c r="NE13" i="8"/>
  <c r="NE38" i="8" s="1"/>
  <c r="MZ13" i="8"/>
  <c r="MZ38" i="8" s="1"/>
  <c r="A72" i="7" a="1"/>
  <c r="A72" i="7" s="1"/>
  <c r="V71" i="7"/>
  <c r="X71" i="7" s="1"/>
  <c r="C71" i="7" a="1"/>
  <c r="C71" i="7" s="1"/>
  <c r="B71" i="7"/>
  <c r="NR4" i="8"/>
  <c r="NS2" i="8" s="1"/>
  <c r="BE64" i="7" l="1" a="1"/>
  <c r="BE64" i="7" s="1"/>
  <c r="BF64" i="7" a="1"/>
  <c r="BF64" i="7" s="1"/>
  <c r="BN64" i="7" a="1"/>
  <c r="BN64" i="7" s="1"/>
  <c r="BG64" i="7" a="1"/>
  <c r="BG64" i="7" s="1"/>
  <c r="BH64" i="7" a="1"/>
  <c r="BH64" i="7" s="1"/>
  <c r="BJ64" i="7" a="1"/>
  <c r="BJ64" i="7" s="1"/>
  <c r="BO64" i="7" a="1"/>
  <c r="BO64" i="7" s="1"/>
  <c r="BD64" i="7" a="1"/>
  <c r="BD64" i="7" s="1"/>
  <c r="BK64" i="7" a="1"/>
  <c r="BK64" i="7" s="1"/>
  <c r="AT66" i="7"/>
  <c r="BB64" i="7" a="1"/>
  <c r="BB64" i="7" s="1"/>
  <c r="BL64" i="7" a="1"/>
  <c r="BL64" i="7" s="1"/>
  <c r="BL65" i="7" a="1"/>
  <c r="BL65" i="7" s="1"/>
  <c r="BP64" i="7" a="1"/>
  <c r="BP64" i="7" s="1"/>
  <c r="BI65" i="7" a="1"/>
  <c r="BI65" i="7" s="1"/>
  <c r="BC64" i="7" a="1"/>
  <c r="BC64" i="7" s="1"/>
  <c r="BA64" i="7" a="1"/>
  <c r="BA64" i="7" s="1"/>
  <c r="BE65" i="7" a="1"/>
  <c r="BE65" i="7" s="1"/>
  <c r="BM64" i="7" a="1"/>
  <c r="BM64" i="7" s="1"/>
  <c r="AZ64" i="7" a="1"/>
  <c r="AZ64" i="7" s="1"/>
  <c r="BC65" i="7" a="1"/>
  <c r="BC65" i="7" s="1"/>
  <c r="BQ64" i="7" a="1"/>
  <c r="BQ64" i="7" s="1"/>
  <c r="AA71" i="7"/>
  <c r="Z71" i="7"/>
  <c r="Y71" i="7"/>
  <c r="AV66" i="7"/>
  <c r="AW66" i="7"/>
  <c r="AX66" i="7" s="1"/>
  <c r="NK15" i="8"/>
  <c r="NK40" i="8" s="1"/>
  <c r="NK21" i="8"/>
  <c r="NP15" i="8"/>
  <c r="NP40" i="8" s="1"/>
  <c r="NK3" i="8"/>
  <c r="NK28" i="8" s="1"/>
  <c r="NP14" i="8"/>
  <c r="NP39" i="8" s="1"/>
  <c r="NK12" i="8"/>
  <c r="NK37" i="8" s="1"/>
  <c r="NK11" i="8"/>
  <c r="NK36" i="8" s="1"/>
  <c r="OC1" i="8"/>
  <c r="OC2" i="8" s="1"/>
  <c r="NS4" i="8"/>
  <c r="NP12" i="8"/>
  <c r="NP37" i="8" s="1"/>
  <c r="NP11" i="8"/>
  <c r="NP36" i="8" s="1"/>
  <c r="NP10" i="8"/>
  <c r="NP35" i="8" s="1"/>
  <c r="NL1" i="8"/>
  <c r="NK10" i="8"/>
  <c r="NK35" i="8" s="1"/>
  <c r="G71" i="7"/>
  <c r="H71" i="7" s="1"/>
  <c r="I71" i="7" s="1"/>
  <c r="M71" i="7"/>
  <c r="N71" i="7" s="1"/>
  <c r="O71" i="7" s="1"/>
  <c r="D71" i="7"/>
  <c r="S71" i="7"/>
  <c r="T71" i="7" s="1"/>
  <c r="U71" i="7" s="1"/>
  <c r="J71" i="7"/>
  <c r="K71" i="7" s="1"/>
  <c r="L71" i="7" s="1"/>
  <c r="P71" i="7"/>
  <c r="Q71" i="7" s="1"/>
  <c r="R71" i="7" s="1"/>
  <c r="BA65" i="7" a="1"/>
  <c r="BA65" i="7" s="1"/>
  <c r="BF65" i="7" a="1"/>
  <c r="BF65" i="7" s="1"/>
  <c r="B72" i="7"/>
  <c r="A73" i="7" a="1"/>
  <c r="A73" i="7" s="1"/>
  <c r="V72" i="7"/>
  <c r="X72" i="7" s="1"/>
  <c r="C72" i="7" a="1"/>
  <c r="C72" i="7" s="1"/>
  <c r="BD65" i="7" a="1"/>
  <c r="BD65" i="7" s="1"/>
  <c r="BN65" i="7" a="1"/>
  <c r="BN65" i="7" s="1"/>
  <c r="AM67" i="7" a="1"/>
  <c r="AM67" i="7" s="1"/>
  <c r="AD67" i="7" a="1"/>
  <c r="AD67" i="7" s="1"/>
  <c r="AG67" i="7" a="1"/>
  <c r="AG67" i="7" s="1"/>
  <c r="AC67" i="7" a="1"/>
  <c r="AC67" i="7" s="1"/>
  <c r="AF67" i="7" a="1"/>
  <c r="AF67" i="7" s="1"/>
  <c r="AP67" i="7" a="1"/>
  <c r="AP67" i="7" s="1"/>
  <c r="AL67" i="7" a="1"/>
  <c r="AL67" i="7" s="1"/>
  <c r="AO67" i="7" a="1"/>
  <c r="AO67" i="7" s="1"/>
  <c r="AI67" i="7" a="1"/>
  <c r="AI67" i="7" s="1"/>
  <c r="AQ67" i="7" a="1"/>
  <c r="AQ67" i="7" s="1"/>
  <c r="AH67" i="7" a="1"/>
  <c r="AH67" i="7" s="1"/>
  <c r="AJ67" i="7" a="1"/>
  <c r="AJ67" i="7" s="1"/>
  <c r="AN67" i="7" a="1"/>
  <c r="AN67" i="7" s="1"/>
  <c r="AK67" i="7" a="1"/>
  <c r="AK67" i="7" s="1"/>
  <c r="AZ65" i="7" a="1"/>
  <c r="AZ65" i="7" s="1"/>
  <c r="W71" i="7"/>
  <c r="AS67" i="7"/>
  <c r="AT67" i="7" s="1"/>
  <c r="BK65" i="7" a="1"/>
  <c r="BK65" i="7" s="1"/>
  <c r="BJ65" i="7" a="1"/>
  <c r="BJ65" i="7" s="1"/>
  <c r="BH65" i="7" a="1"/>
  <c r="BH65" i="7" s="1"/>
  <c r="BP65" i="7" a="1"/>
  <c r="BP65" i="7" s="1"/>
  <c r="W69" i="7"/>
  <c r="AB69" i="7" s="1"/>
  <c r="X69" i="7"/>
  <c r="V70" i="7"/>
  <c r="BG65" i="7" a="1"/>
  <c r="BG65" i="7" s="1"/>
  <c r="Y68" i="7"/>
  <c r="AA68" i="7"/>
  <c r="Z68" i="7"/>
  <c r="BB65" i="7" a="1"/>
  <c r="BB65" i="7" s="1"/>
  <c r="BO65" i="7" a="1"/>
  <c r="BO65" i="7" s="1"/>
  <c r="BQ65" i="7" a="1"/>
  <c r="BQ65" i="7" s="1"/>
  <c r="BM65" i="7" a="1"/>
  <c r="BM65" i="7" s="1"/>
  <c r="F69" i="7"/>
  <c r="E70" i="7"/>
  <c r="AN70" i="7" a="1"/>
  <c r="AN70" i="7" s="1"/>
  <c r="AJ70" i="7" a="1"/>
  <c r="AJ70" i="7" s="1"/>
  <c r="AF70" i="7" a="1"/>
  <c r="AF70" i="7" s="1"/>
  <c r="AP70" i="7" a="1"/>
  <c r="AP70" i="7" s="1"/>
  <c r="AL70" i="7" a="1"/>
  <c r="AL70" i="7" s="1"/>
  <c r="AH70" i="7" a="1"/>
  <c r="AH70" i="7" s="1"/>
  <c r="AQ70" i="7" a="1"/>
  <c r="AQ70" i="7" s="1"/>
  <c r="AG70" i="7" a="1"/>
  <c r="AG70" i="7" s="1"/>
  <c r="AE70" i="7" a="1"/>
  <c r="AE70" i="7" s="1"/>
  <c r="AO70" i="7" a="1"/>
  <c r="AO70" i="7" s="1"/>
  <c r="AD70" i="7" a="1"/>
  <c r="AD70" i="7" s="1"/>
  <c r="AM70" i="7" a="1"/>
  <c r="AM70" i="7" s="1"/>
  <c r="AC70" i="7" a="1"/>
  <c r="AC70" i="7" s="1"/>
  <c r="AK70" i="7" a="1"/>
  <c r="AK70" i="7" s="1"/>
  <c r="AI70" i="7" a="1"/>
  <c r="AI70" i="7" s="1"/>
  <c r="BH66" i="7" l="1" a="1"/>
  <c r="BH66" i="7" s="1"/>
  <c r="BP66" i="7" a="1"/>
  <c r="BP66" i="7" s="1"/>
  <c r="BB66" i="7" a="1"/>
  <c r="BB66" i="7" s="1"/>
  <c r="BK66" i="7" a="1"/>
  <c r="BK66" i="7" s="1"/>
  <c r="BQ66" i="7" a="1"/>
  <c r="BQ66" i="7" s="1"/>
  <c r="BF66" i="7" a="1"/>
  <c r="BF66" i="7" s="1"/>
  <c r="BM66" i="7" a="1"/>
  <c r="BM66" i="7" s="1"/>
  <c r="BL66" i="7" a="1"/>
  <c r="BL66" i="7" s="1"/>
  <c r="BO66" i="7" a="1"/>
  <c r="BO66" i="7" s="1"/>
  <c r="Y72" i="7"/>
  <c r="AA72" i="7"/>
  <c r="Z72" i="7"/>
  <c r="W72" i="7"/>
  <c r="NL26" i="8"/>
  <c r="NP5" i="8"/>
  <c r="NP30" i="8" s="1"/>
  <c r="NP4" i="8"/>
  <c r="NP29" i="8" s="1"/>
  <c r="NP3" i="8"/>
  <c r="NP28" i="8" s="1"/>
  <c r="NP6" i="8"/>
  <c r="NP31" i="8" s="1"/>
  <c r="BE66" i="7" a="1"/>
  <c r="BE66" i="7" s="1"/>
  <c r="BG66" i="7" a="1"/>
  <c r="BG66" i="7" s="1"/>
  <c r="A74" i="7" a="1"/>
  <c r="A74" i="7" s="1"/>
  <c r="C73" i="7" a="1"/>
  <c r="C73" i="7" s="1"/>
  <c r="B73" i="7"/>
  <c r="V73" i="7"/>
  <c r="X73" i="7" s="1"/>
  <c r="BJ66" i="7" a="1"/>
  <c r="BJ66" i="7" s="1"/>
  <c r="BC66" i="7" a="1"/>
  <c r="BC66" i="7" s="1"/>
  <c r="AS68" i="7"/>
  <c r="AO71" i="7" a="1"/>
  <c r="AO71" i="7" s="1"/>
  <c r="AK71" i="7" a="1"/>
  <c r="AK71" i="7" s="1"/>
  <c r="AG71" i="7" a="1"/>
  <c r="AG71" i="7" s="1"/>
  <c r="AC71" i="7" a="1"/>
  <c r="AC71" i="7" s="1"/>
  <c r="E71" i="7"/>
  <c r="AN71" i="7" a="1"/>
  <c r="AN71" i="7" s="1"/>
  <c r="AJ71" i="7" a="1"/>
  <c r="AJ71" i="7" s="1"/>
  <c r="AF71" i="7" a="1"/>
  <c r="AF71" i="7" s="1"/>
  <c r="AQ71" i="7" a="1"/>
  <c r="AQ71" i="7" s="1"/>
  <c r="AM71" i="7" a="1"/>
  <c r="AM71" i="7" s="1"/>
  <c r="AI71" i="7" a="1"/>
  <c r="AI71" i="7" s="1"/>
  <c r="AE71" i="7" a="1"/>
  <c r="AE71" i="7" s="1"/>
  <c r="AL71" i="7" a="1"/>
  <c r="AL71" i="7" s="1"/>
  <c r="AH71" i="7" a="1"/>
  <c r="AH71" i="7" s="1"/>
  <c r="AD71" i="7" a="1"/>
  <c r="AD71" i="7" s="1"/>
  <c r="AP71" i="7" a="1"/>
  <c r="AP71" i="7" s="1"/>
  <c r="F70" i="7"/>
  <c r="AU67" i="7"/>
  <c r="AV67" i="7" s="1"/>
  <c r="BD66" i="7" a="1"/>
  <c r="BD66" i="7" s="1"/>
  <c r="AZ66" i="7" a="1"/>
  <c r="AZ66" i="7" s="1"/>
  <c r="BN66" i="7" a="1"/>
  <c r="BN66" i="7" s="1"/>
  <c r="AT71" i="7"/>
  <c r="AS71" i="7"/>
  <c r="NK14" i="8"/>
  <c r="NK39" i="8" s="1"/>
  <c r="NK13" i="8"/>
  <c r="NK38" i="8" s="1"/>
  <c r="NP13" i="8"/>
  <c r="NP38" i="8" s="1"/>
  <c r="BI66" i="7" a="1"/>
  <c r="BI66" i="7" s="1"/>
  <c r="AV71" i="7"/>
  <c r="AU71" i="7"/>
  <c r="AU68" i="7"/>
  <c r="AV68" i="7" s="1"/>
  <c r="P72" i="7"/>
  <c r="Q72" i="7" s="1"/>
  <c r="R72" i="7" s="1"/>
  <c r="G72" i="7"/>
  <c r="H72" i="7" s="1"/>
  <c r="I72" i="7" s="1"/>
  <c r="M72" i="7"/>
  <c r="N72" i="7" s="1"/>
  <c r="O72" i="7" s="1"/>
  <c r="D72" i="7"/>
  <c r="J72" i="7"/>
  <c r="K72" i="7" s="1"/>
  <c r="L72" i="7" s="1"/>
  <c r="S72" i="7"/>
  <c r="T72" i="7" s="1"/>
  <c r="U72" i="7" s="1"/>
  <c r="OC4" i="8"/>
  <c r="OD2" i="8" s="1"/>
  <c r="BA66" i="7" a="1"/>
  <c r="BA66" i="7" s="1"/>
  <c r="AW71" i="7"/>
  <c r="AX71" i="7"/>
  <c r="AA69" i="7"/>
  <c r="Y69" i="7"/>
  <c r="Z69" i="7"/>
  <c r="X70" i="7"/>
  <c r="W70" i="7"/>
  <c r="AB70" i="7" s="1"/>
  <c r="W73" i="7" l="1"/>
  <c r="BN71" i="7" a="1"/>
  <c r="BN71" i="7" s="1"/>
  <c r="AW68" i="7"/>
  <c r="AX68" i="7" s="1"/>
  <c r="BM71" i="7" a="1"/>
  <c r="BM71" i="7" s="1"/>
  <c r="AA73" i="7"/>
  <c r="Z73" i="7"/>
  <c r="Y73" i="7"/>
  <c r="AA70" i="7"/>
  <c r="Y70" i="7"/>
  <c r="Z70" i="7"/>
  <c r="F71" i="7"/>
  <c r="AB71" i="7"/>
  <c r="C74" i="7" a="1"/>
  <c r="C74" i="7" s="1"/>
  <c r="A75" i="7" a="1"/>
  <c r="A75" i="7" s="1"/>
  <c r="B74" i="7"/>
  <c r="V74" i="7"/>
  <c r="W74" i="7" s="1"/>
  <c r="AW67" i="7"/>
  <c r="BB71" i="7" a="1"/>
  <c r="BB71" i="7" s="1"/>
  <c r="BE71" i="7" a="1"/>
  <c r="BE71" i="7" s="1"/>
  <c r="BA71" i="7" a="1"/>
  <c r="BA71" i="7" s="1"/>
  <c r="BD71" i="7" a="1"/>
  <c r="BD71" i="7" s="1"/>
  <c r="AZ71" i="7" a="1"/>
  <c r="AZ71" i="7" s="1"/>
  <c r="BC71" i="7" a="1"/>
  <c r="BC71" i="7" s="1"/>
  <c r="BJ71" i="7" a="1"/>
  <c r="BJ71" i="7" s="1"/>
  <c r="BG71" i="7" a="1"/>
  <c r="BG71" i="7" s="1"/>
  <c r="BF71" i="7" a="1"/>
  <c r="BF71" i="7" s="1"/>
  <c r="BO71" i="7" a="1"/>
  <c r="BO71" i="7" s="1"/>
  <c r="BQ71" i="7" a="1"/>
  <c r="BQ71" i="7" s="1"/>
  <c r="BK71" i="7" a="1"/>
  <c r="BK71" i="7" s="1"/>
  <c r="BL71" i="7" a="1"/>
  <c r="BL71" i="7" s="1"/>
  <c r="OA14" i="8"/>
  <c r="OA39" i="8" s="1"/>
  <c r="OA12" i="8"/>
  <c r="OA37" i="8" s="1"/>
  <c r="OA11" i="8"/>
  <c r="OA36" i="8" s="1"/>
  <c r="NV21" i="8"/>
  <c r="NV15" i="8"/>
  <c r="NV40" i="8" s="1"/>
  <c r="OD4" i="8"/>
  <c r="NW1" i="8"/>
  <c r="OA10" i="8"/>
  <c r="OA35" i="8" s="1"/>
  <c r="NV12" i="8"/>
  <c r="NV37" i="8" s="1"/>
  <c r="NV11" i="8"/>
  <c r="NV36" i="8" s="1"/>
  <c r="NV10" i="8"/>
  <c r="NV35" i="8" s="1"/>
  <c r="NV3" i="8"/>
  <c r="NV28" i="8" s="1"/>
  <c r="ON1" i="8"/>
  <c r="ON2" i="8" s="1"/>
  <c r="OA15" i="8"/>
  <c r="OA40" i="8" s="1"/>
  <c r="AV69" i="7"/>
  <c r="AU69" i="7"/>
  <c r="BI71" i="7" a="1"/>
  <c r="BI71" i="7" s="1"/>
  <c r="AV72" i="7"/>
  <c r="AU72" i="7"/>
  <c r="BP71" i="7" a="1"/>
  <c r="BP71" i="7" s="1"/>
  <c r="BH71" i="7" a="1"/>
  <c r="BH71" i="7" s="1"/>
  <c r="AW69" i="7"/>
  <c r="AX69" i="7"/>
  <c r="AP72" i="7" a="1"/>
  <c r="AP72" i="7" s="1"/>
  <c r="AL72" i="7" a="1"/>
  <c r="AL72" i="7" s="1"/>
  <c r="AH72" i="7" a="1"/>
  <c r="AH72" i="7" s="1"/>
  <c r="AD72" i="7" a="1"/>
  <c r="AD72" i="7" s="1"/>
  <c r="AO72" i="7" a="1"/>
  <c r="AO72" i="7" s="1"/>
  <c r="AK72" i="7" a="1"/>
  <c r="AK72" i="7" s="1"/>
  <c r="AG72" i="7" a="1"/>
  <c r="AG72" i="7" s="1"/>
  <c r="AC72" i="7" a="1"/>
  <c r="AC72" i="7" s="1"/>
  <c r="E72" i="7"/>
  <c r="AN72" i="7" a="1"/>
  <c r="AN72" i="7" s="1"/>
  <c r="AJ72" i="7" a="1"/>
  <c r="AJ72" i="7" s="1"/>
  <c r="AF72" i="7" a="1"/>
  <c r="AF72" i="7" s="1"/>
  <c r="AI72" i="7" a="1"/>
  <c r="AI72" i="7" s="1"/>
  <c r="AE72" i="7" a="1"/>
  <c r="AE72" i="7" s="1"/>
  <c r="AQ72" i="7" a="1"/>
  <c r="AQ72" i="7" s="1"/>
  <c r="AM72" i="7" a="1"/>
  <c r="AM72" i="7" s="1"/>
  <c r="AX72" i="7"/>
  <c r="AW72" i="7"/>
  <c r="AT72" i="7"/>
  <c r="AS72" i="7"/>
  <c r="AS69" i="7"/>
  <c r="AT69" i="7"/>
  <c r="AT68" i="7"/>
  <c r="BB68" i="7" s="1" a="1"/>
  <c r="BB68" i="7" s="1"/>
  <c r="S73" i="7"/>
  <c r="T73" i="7" s="1"/>
  <c r="U73" i="7" s="1"/>
  <c r="J73" i="7"/>
  <c r="K73" i="7" s="1"/>
  <c r="L73" i="7" s="1"/>
  <c r="P73" i="7"/>
  <c r="Q73" i="7" s="1"/>
  <c r="R73" i="7" s="1"/>
  <c r="G73" i="7"/>
  <c r="H73" i="7" s="1"/>
  <c r="I73" i="7" s="1"/>
  <c r="D73" i="7"/>
  <c r="M73" i="7"/>
  <c r="N73" i="7" s="1"/>
  <c r="O73" i="7" s="1"/>
  <c r="BI72" i="7" l="1" a="1"/>
  <c r="BI72" i="7" s="1"/>
  <c r="BL68" i="7" a="1"/>
  <c r="BL68" i="7" s="1"/>
  <c r="AZ68" i="7" a="1"/>
  <c r="AZ68" i="7" s="1"/>
  <c r="BC68" i="7" a="1"/>
  <c r="BC68" i="7" s="1"/>
  <c r="AU70" i="7"/>
  <c r="AV70" i="7"/>
  <c r="AQ73" i="7" a="1"/>
  <c r="AQ73" i="7" s="1"/>
  <c r="AM73" i="7" a="1"/>
  <c r="AM73" i="7" s="1"/>
  <c r="AI73" i="7" a="1"/>
  <c r="AI73" i="7" s="1"/>
  <c r="AE73" i="7" a="1"/>
  <c r="AE73" i="7" s="1"/>
  <c r="AP73" i="7" a="1"/>
  <c r="AP73" i="7" s="1"/>
  <c r="AL73" i="7" a="1"/>
  <c r="AL73" i="7" s="1"/>
  <c r="AH73" i="7" a="1"/>
  <c r="AH73" i="7" s="1"/>
  <c r="AD73" i="7" a="1"/>
  <c r="AD73" i="7" s="1"/>
  <c r="AO73" i="7" a="1"/>
  <c r="AO73" i="7" s="1"/>
  <c r="AK73" i="7" a="1"/>
  <c r="AK73" i="7" s="1"/>
  <c r="AG73" i="7" a="1"/>
  <c r="AG73" i="7" s="1"/>
  <c r="AC73" i="7" a="1"/>
  <c r="AC73" i="7" s="1"/>
  <c r="AF73" i="7" a="1"/>
  <c r="AF73" i="7" s="1"/>
  <c r="AN73" i="7" a="1"/>
  <c r="AN73" i="7" s="1"/>
  <c r="E73" i="7"/>
  <c r="AJ73" i="7" a="1"/>
  <c r="AJ73" i="7" s="1"/>
  <c r="BI68" i="7" a="1"/>
  <c r="BI68" i="7" s="1"/>
  <c r="BF68" i="7" a="1"/>
  <c r="BF68" i="7" s="1"/>
  <c r="NW26" i="8"/>
  <c r="OA4" i="8"/>
  <c r="OA29" i="8" s="1"/>
  <c r="OA5" i="8"/>
  <c r="OA30" i="8" s="1"/>
  <c r="OA3" i="8"/>
  <c r="OA28" i="8" s="1"/>
  <c r="OA6" i="8"/>
  <c r="OA31" i="8" s="1"/>
  <c r="X74" i="7"/>
  <c r="AT70" i="7"/>
  <c r="AS70" i="7"/>
  <c r="BC72" i="7" a="1"/>
  <c r="BC72" i="7" s="1"/>
  <c r="BB72" i="7" a="1"/>
  <c r="BB72" i="7" s="1"/>
  <c r="BE72" i="7" a="1"/>
  <c r="BE72" i="7" s="1"/>
  <c r="BA72" i="7" a="1"/>
  <c r="BA72" i="7" s="1"/>
  <c r="BD72" i="7" a="1"/>
  <c r="BD72" i="7" s="1"/>
  <c r="AZ72" i="7" a="1"/>
  <c r="AZ72" i="7" s="1"/>
  <c r="BP72" i="7" a="1"/>
  <c r="BP72" i="7" s="1"/>
  <c r="BK72" i="7" a="1"/>
  <c r="BK72" i="7" s="1"/>
  <c r="BN72" i="7" a="1"/>
  <c r="BN72" i="7" s="1"/>
  <c r="BH72" i="7" a="1"/>
  <c r="BH72" i="7" s="1"/>
  <c r="BQ72" i="7" a="1"/>
  <c r="BQ72" i="7" s="1"/>
  <c r="BM72" i="7" a="1"/>
  <c r="BM72" i="7" s="1"/>
  <c r="BP68" i="7" a="1"/>
  <c r="BP68" i="7" s="1"/>
  <c r="BQ68" i="7" a="1"/>
  <c r="BQ68" i="7" s="1"/>
  <c r="OA13" i="8"/>
  <c r="OA38" i="8" s="1"/>
  <c r="NV13" i="8"/>
  <c r="NV38" i="8" s="1"/>
  <c r="NV14" i="8"/>
  <c r="NV39" i="8" s="1"/>
  <c r="AX70" i="7"/>
  <c r="AW70" i="7"/>
  <c r="BN68" i="7" a="1"/>
  <c r="BN68" i="7" s="1"/>
  <c r="BD68" i="7" a="1"/>
  <c r="BD68" i="7" s="1"/>
  <c r="ON4" i="8"/>
  <c r="OO2" i="8" s="1"/>
  <c r="B75" i="7"/>
  <c r="A76" i="7" a="1"/>
  <c r="A76" i="7" s="1"/>
  <c r="C75" i="7" a="1"/>
  <c r="C75" i="7" s="1"/>
  <c r="V75" i="7"/>
  <c r="W75" i="7" s="1"/>
  <c r="BG72" i="7" a="1"/>
  <c r="BG72" i="7" s="1"/>
  <c r="BN69" i="7" a="1"/>
  <c r="BN69" i="7" s="1"/>
  <c r="BB69" i="7" a="1"/>
  <c r="BB69" i="7" s="1"/>
  <c r="BH69" i="7" a="1"/>
  <c r="BH69" i="7" s="1"/>
  <c r="BA69" i="7" a="1"/>
  <c r="BA69" i="7" s="1"/>
  <c r="BG69" i="7" a="1"/>
  <c r="BG69" i="7" s="1"/>
  <c r="BP69" i="7" a="1"/>
  <c r="BP69" i="7" s="1"/>
  <c r="BL69" i="7" a="1"/>
  <c r="BL69" i="7" s="1"/>
  <c r="BO69" i="7" a="1"/>
  <c r="BO69" i="7" s="1"/>
  <c r="BF69" i="7" a="1"/>
  <c r="BF69" i="7" s="1"/>
  <c r="BI69" i="7" a="1"/>
  <c r="BI69" i="7" s="1"/>
  <c r="BM69" i="7" a="1"/>
  <c r="BM69" i="7" s="1"/>
  <c r="AZ69" i="7" a="1"/>
  <c r="AZ69" i="7" s="1"/>
  <c r="BK69" i="7" a="1"/>
  <c r="BK69" i="7" s="1"/>
  <c r="BC69" i="7" a="1"/>
  <c r="BC69" i="7" s="1"/>
  <c r="BE69" i="7" a="1"/>
  <c r="BE69" i="7" s="1"/>
  <c r="BJ69" i="7" a="1"/>
  <c r="BJ69" i="7" s="1"/>
  <c r="BQ69" i="7" a="1"/>
  <c r="BQ69" i="7" s="1"/>
  <c r="BD69" i="7" a="1"/>
  <c r="BD69" i="7" s="1"/>
  <c r="BE68" i="7" a="1"/>
  <c r="BE68" i="7" s="1"/>
  <c r="BO68" i="7" a="1"/>
  <c r="BO68" i="7" s="1"/>
  <c r="BA68" i="7" a="1"/>
  <c r="BA68" i="7" s="1"/>
  <c r="BH68" i="7" a="1"/>
  <c r="BH68" i="7" s="1"/>
  <c r="BM68" i="7" a="1"/>
  <c r="BM68" i="7" s="1"/>
  <c r="AX67" i="7"/>
  <c r="BC67" i="7" s="1" a="1"/>
  <c r="BC67" i="7" s="1"/>
  <c r="S74" i="7"/>
  <c r="T74" i="7" s="1"/>
  <c r="U74" i="7" s="1"/>
  <c r="G74" i="7"/>
  <c r="H74" i="7" s="1"/>
  <c r="I74" i="7" s="1"/>
  <c r="J74" i="7"/>
  <c r="K74" i="7" s="1"/>
  <c r="L74" i="7" s="1"/>
  <c r="P74" i="7"/>
  <c r="Q74" i="7" s="1"/>
  <c r="R74" i="7" s="1"/>
  <c r="D74" i="7"/>
  <c r="M74" i="7"/>
  <c r="N74" i="7" s="1"/>
  <c r="O74" i="7" s="1"/>
  <c r="AS73" i="7"/>
  <c r="AT73" i="7"/>
  <c r="BJ68" i="7" a="1"/>
  <c r="BJ68" i="7" s="1"/>
  <c r="BF72" i="7" a="1"/>
  <c r="BF72" i="7" s="1"/>
  <c r="AU73" i="7"/>
  <c r="AV73" i="7"/>
  <c r="BK68" i="7" a="1"/>
  <c r="BK68" i="7" s="1"/>
  <c r="BO72" i="7" a="1"/>
  <c r="BO72" i="7" s="1"/>
  <c r="BG68" i="7" a="1"/>
  <c r="BG68" i="7" s="1"/>
  <c r="BL72" i="7" a="1"/>
  <c r="BL72" i="7" s="1"/>
  <c r="F72" i="7"/>
  <c r="AB72" i="7"/>
  <c r="BJ72" i="7" a="1"/>
  <c r="BJ72" i="7" s="1"/>
  <c r="AX73" i="7"/>
  <c r="AW73" i="7"/>
  <c r="X75" i="7" l="1"/>
  <c r="BO67" i="7" a="1"/>
  <c r="BO67" i="7" s="1"/>
  <c r="BP67" i="7" a="1"/>
  <c r="BP67" i="7" s="1"/>
  <c r="BQ67" i="7" a="1"/>
  <c r="BQ67" i="7" s="1"/>
  <c r="BL67" i="7" a="1"/>
  <c r="BL67" i="7" s="1"/>
  <c r="BE67" i="7" a="1"/>
  <c r="BE67" i="7" s="1"/>
  <c r="BG67" i="7" a="1"/>
  <c r="BG67" i="7" s="1"/>
  <c r="BA67" i="7" a="1"/>
  <c r="BA67" i="7" s="1"/>
  <c r="BF67" i="7" a="1"/>
  <c r="BF67" i="7" s="1"/>
  <c r="BD67" i="7" a="1"/>
  <c r="BD67" i="7" s="1"/>
  <c r="BN67" i="7" a="1"/>
  <c r="BN67" i="7" s="1"/>
  <c r="BM67" i="7" a="1"/>
  <c r="BM67" i="7" s="1"/>
  <c r="BI67" i="7" a="1"/>
  <c r="BI67" i="7" s="1"/>
  <c r="BK67" i="7" a="1"/>
  <c r="BK67" i="7" s="1"/>
  <c r="BJ67" i="7" a="1"/>
  <c r="BJ67" i="7" s="1"/>
  <c r="OG21" i="8"/>
  <c r="OL14" i="8"/>
  <c r="OL39" i="8" s="1"/>
  <c r="OL12" i="8"/>
  <c r="OL37" i="8" s="1"/>
  <c r="OL11" i="8"/>
  <c r="OL36" i="8" s="1"/>
  <c r="OL10" i="8"/>
  <c r="OL35" i="8" s="1"/>
  <c r="OL15" i="8"/>
  <c r="OL40" i="8" s="1"/>
  <c r="OG15" i="8"/>
  <c r="OG40" i="8" s="1"/>
  <c r="OG10" i="8"/>
  <c r="OG35" i="8" s="1"/>
  <c r="OG3" i="8"/>
  <c r="OG28" i="8" s="1"/>
  <c r="OG12" i="8"/>
  <c r="OG37" i="8" s="1"/>
  <c r="OG11" i="8"/>
  <c r="OG36" i="8" s="1"/>
  <c r="OY1" i="8"/>
  <c r="OY2" i="8" s="1"/>
  <c r="OO4" i="8"/>
  <c r="OH1" i="8"/>
  <c r="BH67" i="7" a="1"/>
  <c r="BH67" i="7" s="1"/>
  <c r="AZ67" i="7" a="1"/>
  <c r="AZ67" i="7" s="1"/>
  <c r="BB67" i="7" a="1"/>
  <c r="BB67" i="7" s="1"/>
  <c r="BB73" i="7" a="1"/>
  <c r="BB73" i="7" s="1"/>
  <c r="BA73" i="7" a="1"/>
  <c r="BA73" i="7" s="1"/>
  <c r="BE73" i="7" a="1"/>
  <c r="BE73" i="7" s="1"/>
  <c r="AZ73" i="7" a="1"/>
  <c r="AZ73" i="7" s="1"/>
  <c r="BD73" i="7" a="1"/>
  <c r="BD73" i="7" s="1"/>
  <c r="BC73" i="7" a="1"/>
  <c r="BC73" i="7" s="1"/>
  <c r="BK73" i="7" a="1"/>
  <c r="BK73" i="7" s="1"/>
  <c r="BH73" i="7" a="1"/>
  <c r="BH73" i="7" s="1"/>
  <c r="BF73" i="7" a="1"/>
  <c r="BF73" i="7" s="1"/>
  <c r="BL73" i="7" a="1"/>
  <c r="BL73" i="7" s="1"/>
  <c r="BJ73" i="7" a="1"/>
  <c r="BJ73" i="7" s="1"/>
  <c r="BP73" i="7" a="1"/>
  <c r="BP73" i="7" s="1"/>
  <c r="BO73" i="7" a="1"/>
  <c r="BO73" i="7" s="1"/>
  <c r="BM73" i="7" a="1"/>
  <c r="BM73" i="7" s="1"/>
  <c r="BG73" i="7" a="1"/>
  <c r="BG73" i="7" s="1"/>
  <c r="BI73" i="7" a="1"/>
  <c r="BI73" i="7" s="1"/>
  <c r="BQ73" i="7" a="1"/>
  <c r="BQ73" i="7" s="1"/>
  <c r="BN73" i="7" a="1"/>
  <c r="BN73" i="7" s="1"/>
  <c r="BO70" i="7" a="1"/>
  <c r="BO70" i="7" s="1"/>
  <c r="BP70" i="7" a="1"/>
  <c r="BP70" i="7" s="1"/>
  <c r="BD70" i="7" a="1"/>
  <c r="BD70" i="7" s="1"/>
  <c r="BJ70" i="7" a="1"/>
  <c r="BJ70" i="7" s="1"/>
  <c r="BC70" i="7" a="1"/>
  <c r="BC70" i="7" s="1"/>
  <c r="BB70" i="7" a="1"/>
  <c r="BB70" i="7" s="1"/>
  <c r="BN70" i="7" a="1"/>
  <c r="BN70" i="7" s="1"/>
  <c r="BH70" i="7" a="1"/>
  <c r="BH70" i="7" s="1"/>
  <c r="BK70" i="7" a="1"/>
  <c r="BK70" i="7" s="1"/>
  <c r="AZ70" i="7" a="1"/>
  <c r="AZ70" i="7" s="1"/>
  <c r="BQ70" i="7" a="1"/>
  <c r="BQ70" i="7" s="1"/>
  <c r="BM70" i="7" a="1"/>
  <c r="BM70" i="7" s="1"/>
  <c r="BG70" i="7" a="1"/>
  <c r="BG70" i="7" s="1"/>
  <c r="BI70" i="7" a="1"/>
  <c r="BI70" i="7" s="1"/>
  <c r="BE70" i="7" a="1"/>
  <c r="BE70" i="7" s="1"/>
  <c r="BA70" i="7" a="1"/>
  <c r="BA70" i="7" s="1"/>
  <c r="BF70" i="7" a="1"/>
  <c r="BF70" i="7" s="1"/>
  <c r="BL70" i="7" a="1"/>
  <c r="BL70" i="7" s="1"/>
  <c r="M75" i="7"/>
  <c r="N75" i="7" s="1"/>
  <c r="O75" i="7" s="1"/>
  <c r="D75" i="7"/>
  <c r="J75" i="7"/>
  <c r="K75" i="7" s="1"/>
  <c r="L75" i="7" s="1"/>
  <c r="S75" i="7"/>
  <c r="T75" i="7" s="1"/>
  <c r="U75" i="7" s="1"/>
  <c r="P75" i="7"/>
  <c r="Q75" i="7" s="1"/>
  <c r="R75" i="7" s="1"/>
  <c r="G75" i="7"/>
  <c r="H75" i="7" s="1"/>
  <c r="I75" i="7" s="1"/>
  <c r="AA75" i="7"/>
  <c r="Y75" i="7"/>
  <c r="Z75" i="7"/>
  <c r="AA74" i="7"/>
  <c r="Z74" i="7"/>
  <c r="Y74" i="7"/>
  <c r="AI74" i="7" a="1"/>
  <c r="AI74" i="7" s="1"/>
  <c r="AD74" i="7" a="1"/>
  <c r="AD74" i="7" s="1"/>
  <c r="AN74" i="7" a="1"/>
  <c r="AN74" i="7" s="1"/>
  <c r="AC74" i="7" a="1"/>
  <c r="AC74" i="7" s="1"/>
  <c r="AM74" i="7" a="1"/>
  <c r="AM74" i="7" s="1"/>
  <c r="AH74" i="7" a="1"/>
  <c r="AH74" i="7" s="1"/>
  <c r="AG74" i="7" a="1"/>
  <c r="AG74" i="7" s="1"/>
  <c r="AQ74" i="7" a="1"/>
  <c r="AQ74" i="7" s="1"/>
  <c r="AL74" i="7" a="1"/>
  <c r="AL74" i="7" s="1"/>
  <c r="E74" i="7"/>
  <c r="AK74" i="7" a="1"/>
  <c r="AK74" i="7" s="1"/>
  <c r="AF74" i="7" a="1"/>
  <c r="AF74" i="7" s="1"/>
  <c r="AO74" i="7" a="1"/>
  <c r="AO74" i="7" s="1"/>
  <c r="AJ74" i="7" a="1"/>
  <c r="AJ74" i="7" s="1"/>
  <c r="AE74" i="7" a="1"/>
  <c r="AE74" i="7" s="1"/>
  <c r="AP74" i="7" a="1"/>
  <c r="AP74" i="7" s="1"/>
  <c r="C76" i="7" a="1"/>
  <c r="C76" i="7" s="1"/>
  <c r="B76" i="7"/>
  <c r="A77" i="7" a="1"/>
  <c r="A77" i="7" s="1"/>
  <c r="V76" i="7"/>
  <c r="W76" i="7" s="1"/>
  <c r="F73" i="7"/>
  <c r="AB73" i="7"/>
  <c r="X76" i="7" l="1"/>
  <c r="Y76" i="7" s="1"/>
  <c r="AV74" i="7"/>
  <c r="AU74" i="7"/>
  <c r="AW74" i="7"/>
  <c r="AX74" i="7"/>
  <c r="E75" i="7"/>
  <c r="AN75" i="7" a="1"/>
  <c r="AN75" i="7" s="1"/>
  <c r="AM75" i="7" a="1"/>
  <c r="AM75" i="7" s="1"/>
  <c r="AG75" i="7" a="1"/>
  <c r="AG75" i="7" s="1"/>
  <c r="AL75" i="7" a="1"/>
  <c r="AL75" i="7" s="1"/>
  <c r="AF75" i="7" a="1"/>
  <c r="AF75" i="7" s="1"/>
  <c r="AE75" i="7" a="1"/>
  <c r="AE75" i="7" s="1"/>
  <c r="AQ75" i="7" a="1"/>
  <c r="AQ75" i="7" s="1"/>
  <c r="AK75" i="7" a="1"/>
  <c r="AK75" i="7" s="1"/>
  <c r="AD75" i="7" a="1"/>
  <c r="AD75" i="7" s="1"/>
  <c r="AP75" i="7" a="1"/>
  <c r="AP75" i="7" s="1"/>
  <c r="AJ75" i="7" a="1"/>
  <c r="AJ75" i="7" s="1"/>
  <c r="AH75" i="7" a="1"/>
  <c r="AH75" i="7" s="1"/>
  <c r="AC75" i="7" a="1"/>
  <c r="AC75" i="7" s="1"/>
  <c r="AO75" i="7" a="1"/>
  <c r="AO75" i="7" s="1"/>
  <c r="AI75" i="7" a="1"/>
  <c r="AI75" i="7" s="1"/>
  <c r="B77" i="7"/>
  <c r="A78" i="7" a="1"/>
  <c r="A78" i="7" s="1"/>
  <c r="V77" i="7"/>
  <c r="W77" i="7" s="1"/>
  <c r="C77" i="7" a="1"/>
  <c r="C77" i="7" s="1"/>
  <c r="AS75" i="7"/>
  <c r="AT75" i="7"/>
  <c r="OH26" i="8"/>
  <c r="OL4" i="8"/>
  <c r="OL29" i="8" s="1"/>
  <c r="OL3" i="8"/>
  <c r="OL28" i="8" s="1"/>
  <c r="OL5" i="8"/>
  <c r="OL30" i="8" s="1"/>
  <c r="OL6" i="8"/>
  <c r="OL31" i="8" s="1"/>
  <c r="AU75" i="7"/>
  <c r="AV75" i="7"/>
  <c r="OL13" i="8"/>
  <c r="OL38" i="8" s="1"/>
  <c r="OG13" i="8"/>
  <c r="OG38" i="8" s="1"/>
  <c r="OG14" i="8"/>
  <c r="OG39" i="8" s="1"/>
  <c r="G76" i="7"/>
  <c r="H76" i="7" s="1"/>
  <c r="I76" i="7" s="1"/>
  <c r="M76" i="7"/>
  <c r="N76" i="7" s="1"/>
  <c r="O76" i="7" s="1"/>
  <c r="S76" i="7"/>
  <c r="T76" i="7" s="1"/>
  <c r="U76" i="7" s="1"/>
  <c r="J76" i="7"/>
  <c r="K76" i="7" s="1"/>
  <c r="L76" i="7" s="1"/>
  <c r="P76" i="7"/>
  <c r="Q76" i="7" s="1"/>
  <c r="R76" i="7" s="1"/>
  <c r="D76" i="7"/>
  <c r="AB74" i="7"/>
  <c r="F74" i="7"/>
  <c r="OY4" i="8"/>
  <c r="OZ2" i="8" s="1"/>
  <c r="AS74" i="7"/>
  <c r="BH74" i="7" s="1" a="1"/>
  <c r="BH74" i="7" s="1"/>
  <c r="AT74" i="7"/>
  <c r="AX75" i="7"/>
  <c r="AW75" i="7"/>
  <c r="Z76" i="7" l="1"/>
  <c r="AV76" i="7" s="1"/>
  <c r="AA76" i="7"/>
  <c r="BN75" i="7" a="1"/>
  <c r="BN75" i="7" s="1"/>
  <c r="BK75" i="7" a="1"/>
  <c r="BK75" i="7" s="1"/>
  <c r="BM75" i="7" a="1"/>
  <c r="BM75" i="7" s="1"/>
  <c r="BG75" i="7" a="1"/>
  <c r="BG75" i="7" s="1"/>
  <c r="BQ75" i="7" a="1"/>
  <c r="BQ75" i="7" s="1"/>
  <c r="BO75" i="7" a="1"/>
  <c r="BO75" i="7" s="1"/>
  <c r="BH75" i="7" a="1"/>
  <c r="BH75" i="7" s="1"/>
  <c r="BJ75" i="7" a="1"/>
  <c r="BJ75" i="7" s="1"/>
  <c r="BF75" i="7" a="1"/>
  <c r="BF75" i="7" s="1"/>
  <c r="BG74" i="7" a="1"/>
  <c r="BG74" i="7" s="1"/>
  <c r="OR15" i="8"/>
  <c r="OR40" i="8" s="1"/>
  <c r="OW12" i="8"/>
  <c r="OW37" i="8" s="1"/>
  <c r="OW11" i="8"/>
  <c r="OW36" i="8" s="1"/>
  <c r="OW10" i="8"/>
  <c r="OW35" i="8" s="1"/>
  <c r="OR21" i="8"/>
  <c r="OW14" i="8"/>
  <c r="OW39" i="8" s="1"/>
  <c r="OR3" i="8"/>
  <c r="OR28" i="8" s="1"/>
  <c r="OR10" i="8"/>
  <c r="OR35" i="8" s="1"/>
  <c r="OR12" i="8"/>
  <c r="OR37" i="8" s="1"/>
  <c r="OR11" i="8"/>
  <c r="OR36" i="8" s="1"/>
  <c r="PJ1" i="8"/>
  <c r="PJ2" i="8" s="1"/>
  <c r="OZ4" i="8"/>
  <c r="OW15" i="8"/>
  <c r="OW40" i="8" s="1"/>
  <c r="OS1" i="8"/>
  <c r="BM74" i="7" a="1"/>
  <c r="BM74" i="7" s="1"/>
  <c r="BP75" i="7" a="1"/>
  <c r="BP75" i="7" s="1"/>
  <c r="BI74" i="7" a="1"/>
  <c r="BI74" i="7" s="1"/>
  <c r="AS76" i="7"/>
  <c r="AT76" i="7"/>
  <c r="BI75" i="7" a="1"/>
  <c r="BI75" i="7" s="1"/>
  <c r="AZ74" i="7" a="1"/>
  <c r="AZ74" i="7" s="1"/>
  <c r="X77" i="7"/>
  <c r="BJ74" i="7" a="1"/>
  <c r="BJ74" i="7" s="1"/>
  <c r="BE74" i="7" a="1"/>
  <c r="BE74" i="7" s="1"/>
  <c r="C78" i="7" a="1"/>
  <c r="C78" i="7" s="1"/>
  <c r="B78" i="7"/>
  <c r="A79" i="7" a="1"/>
  <c r="A79" i="7" s="1"/>
  <c r="V78" i="7"/>
  <c r="W78" i="7" s="1"/>
  <c r="AW76" i="7"/>
  <c r="AX76" i="7"/>
  <c r="BA74" i="7" a="1"/>
  <c r="BA74" i="7" s="1"/>
  <c r="BE75" i="7" a="1"/>
  <c r="BE75" i="7" s="1"/>
  <c r="BD75" i="7" a="1"/>
  <c r="BD75" i="7" s="1"/>
  <c r="BC75" i="7" a="1"/>
  <c r="BC75" i="7" s="1"/>
  <c r="BB75" i="7" a="1"/>
  <c r="BB75" i="7" s="1"/>
  <c r="BA75" i="7" a="1"/>
  <c r="BA75" i="7" s="1"/>
  <c r="AZ75" i="7" a="1"/>
  <c r="AZ75" i="7" s="1"/>
  <c r="BO74" i="7" a="1"/>
  <c r="BO74" i="7" s="1"/>
  <c r="BQ74" i="7" a="1"/>
  <c r="BQ74" i="7" s="1"/>
  <c r="BN74" i="7" a="1"/>
  <c r="BN74" i="7" s="1"/>
  <c r="BB74" i="7" a="1"/>
  <c r="BB74" i="7" s="1"/>
  <c r="E76" i="7"/>
  <c r="AN76" i="7" a="1"/>
  <c r="AN76" i="7" s="1"/>
  <c r="AH76" i="7" a="1"/>
  <c r="AH76" i="7" s="1"/>
  <c r="AM76" i="7" a="1"/>
  <c r="AM76" i="7" s="1"/>
  <c r="AG76" i="7" a="1"/>
  <c r="AG76" i="7" s="1"/>
  <c r="AF76" i="7" a="1"/>
  <c r="AF76" i="7" s="1"/>
  <c r="AL76" i="7" a="1"/>
  <c r="AL76" i="7" s="1"/>
  <c r="AE76" i="7" a="1"/>
  <c r="AE76" i="7" s="1"/>
  <c r="AQ76" i="7" a="1"/>
  <c r="AQ76" i="7" s="1"/>
  <c r="AK76" i="7" a="1"/>
  <c r="AK76" i="7" s="1"/>
  <c r="AJ76" i="7" a="1"/>
  <c r="AJ76" i="7" s="1"/>
  <c r="AD76" i="7" a="1"/>
  <c r="AD76" i="7" s="1"/>
  <c r="AC76" i="7" a="1"/>
  <c r="AC76" i="7" s="1"/>
  <c r="AP76" i="7" a="1"/>
  <c r="AP76" i="7" s="1"/>
  <c r="AI76" i="7" a="1"/>
  <c r="AI76" i="7" s="1"/>
  <c r="AO76" i="7" a="1"/>
  <c r="AO76" i="7" s="1"/>
  <c r="BK74" i="7" a="1"/>
  <c r="BK74" i="7" s="1"/>
  <c r="BC74" i="7" a="1"/>
  <c r="BC74" i="7" s="1"/>
  <c r="BL75" i="7" a="1"/>
  <c r="BL75" i="7" s="1"/>
  <c r="BP74" i="7" a="1"/>
  <c r="BP74" i="7" s="1"/>
  <c r="BD74" i="7" a="1"/>
  <c r="BD74" i="7" s="1"/>
  <c r="BL74" i="7" a="1"/>
  <c r="BL74" i="7" s="1"/>
  <c r="G77" i="7"/>
  <c r="H77" i="7" s="1"/>
  <c r="I77" i="7" s="1"/>
  <c r="M77" i="7"/>
  <c r="N77" i="7" s="1"/>
  <c r="O77" i="7" s="1"/>
  <c r="J77" i="7"/>
  <c r="K77" i="7" s="1"/>
  <c r="L77" i="7" s="1"/>
  <c r="S77" i="7"/>
  <c r="T77" i="7" s="1"/>
  <c r="U77" i="7" s="1"/>
  <c r="P77" i="7"/>
  <c r="Q77" i="7" s="1"/>
  <c r="R77" i="7" s="1"/>
  <c r="D77" i="7"/>
  <c r="BF74" i="7" a="1"/>
  <c r="BF74" i="7" s="1"/>
  <c r="AB75" i="7"/>
  <c r="F75" i="7"/>
  <c r="AU76" i="7" l="1"/>
  <c r="X78" i="7"/>
  <c r="AA78" i="7" s="1"/>
  <c r="BE76" i="7" a="1"/>
  <c r="BE76" i="7" s="1"/>
  <c r="BD76" i="7" a="1"/>
  <c r="BD76" i="7" s="1"/>
  <c r="BC76" i="7" a="1"/>
  <c r="BC76" i="7" s="1"/>
  <c r="BB76" i="7" a="1"/>
  <c r="BB76" i="7" s="1"/>
  <c r="BA76" i="7" a="1"/>
  <c r="BA76" i="7" s="1"/>
  <c r="AZ76" i="7" a="1"/>
  <c r="AZ76" i="7" s="1"/>
  <c r="BF76" i="7" a="1"/>
  <c r="BF76" i="7" s="1"/>
  <c r="BM76" i="7" a="1"/>
  <c r="BM76" i="7" s="1"/>
  <c r="BQ76" i="7" a="1"/>
  <c r="BQ76" i="7" s="1"/>
  <c r="BG76" i="7" a="1"/>
  <c r="BG76" i="7" s="1"/>
  <c r="BI76" i="7" a="1"/>
  <c r="BI76" i="7" s="1"/>
  <c r="BK76" i="7" a="1"/>
  <c r="BK76" i="7" s="1"/>
  <c r="BN76" i="7" a="1"/>
  <c r="BN76" i="7" s="1"/>
  <c r="BP76" i="7" a="1"/>
  <c r="BP76" i="7" s="1"/>
  <c r="BO76" i="7" a="1"/>
  <c r="BO76" i="7" s="1"/>
  <c r="BH76" i="7" a="1"/>
  <c r="BH76" i="7" s="1"/>
  <c r="BJ76" i="7" a="1"/>
  <c r="BJ76" i="7" s="1"/>
  <c r="BL76" i="7" a="1"/>
  <c r="BL76" i="7" s="1"/>
  <c r="Y77" i="7"/>
  <c r="AA77" i="7"/>
  <c r="Z77" i="7"/>
  <c r="OW4" i="8"/>
  <c r="OW29" i="8" s="1"/>
  <c r="OS26" i="8"/>
  <c r="OW3" i="8"/>
  <c r="OW28" i="8" s="1"/>
  <c r="OW5" i="8"/>
  <c r="OW30" i="8" s="1"/>
  <c r="OW6" i="8"/>
  <c r="OW31" i="8" s="1"/>
  <c r="E77" i="7"/>
  <c r="AN77" i="7" a="1"/>
  <c r="AN77" i="7" s="1"/>
  <c r="AH77" i="7" a="1"/>
  <c r="AH77" i="7" s="1"/>
  <c r="AG77" i="7" a="1"/>
  <c r="AG77" i="7" s="1"/>
  <c r="AM77" i="7" a="1"/>
  <c r="AM77" i="7" s="1"/>
  <c r="AF77" i="7" a="1"/>
  <c r="AF77" i="7" s="1"/>
  <c r="AL77" i="7" a="1"/>
  <c r="AL77" i="7" s="1"/>
  <c r="AK77" i="7" a="1"/>
  <c r="AK77" i="7" s="1"/>
  <c r="AE77" i="7" a="1"/>
  <c r="AE77" i="7" s="1"/>
  <c r="AQ77" i="7" a="1"/>
  <c r="AQ77" i="7" s="1"/>
  <c r="AJ77" i="7" a="1"/>
  <c r="AJ77" i="7" s="1"/>
  <c r="AD77" i="7" a="1"/>
  <c r="AD77" i="7" s="1"/>
  <c r="AI77" i="7" a="1"/>
  <c r="AI77" i="7" s="1"/>
  <c r="AC77" i="7" a="1"/>
  <c r="AC77" i="7" s="1"/>
  <c r="AP77" i="7" a="1"/>
  <c r="AP77" i="7" s="1"/>
  <c r="AO77" i="7" a="1"/>
  <c r="AO77" i="7" s="1"/>
  <c r="C79" i="7" a="1"/>
  <c r="C79" i="7" s="1"/>
  <c r="B79" i="7"/>
  <c r="A80" i="7" a="1"/>
  <c r="A80" i="7" s="1"/>
  <c r="V79" i="7"/>
  <c r="X79" i="7" s="1"/>
  <c r="OR14" i="8"/>
  <c r="OR39" i="8" s="1"/>
  <c r="OW13" i="8"/>
  <c r="OW38" i="8" s="1"/>
  <c r="OR13" i="8"/>
  <c r="OR38" i="8" s="1"/>
  <c r="PJ4" i="8"/>
  <c r="PK2" i="8" s="1"/>
  <c r="F76" i="7"/>
  <c r="AB76" i="7"/>
  <c r="S78" i="7"/>
  <c r="T78" i="7" s="1"/>
  <c r="U78" i="7" s="1"/>
  <c r="G78" i="7"/>
  <c r="H78" i="7" s="1"/>
  <c r="I78" i="7" s="1"/>
  <c r="M78" i="7"/>
  <c r="N78" i="7" s="1"/>
  <c r="O78" i="7" s="1"/>
  <c r="J78" i="7"/>
  <c r="K78" i="7" s="1"/>
  <c r="L78" i="7" s="1"/>
  <c r="P78" i="7"/>
  <c r="Q78" i="7" s="1"/>
  <c r="R78" i="7" s="1"/>
  <c r="D78" i="7"/>
  <c r="Y78" i="7" l="1"/>
  <c r="AS78" i="7" s="1"/>
  <c r="Z78" i="7"/>
  <c r="AV78" i="7" s="1"/>
  <c r="W79" i="7"/>
  <c r="PC15" i="8"/>
  <c r="PC40" i="8" s="1"/>
  <c r="PH15" i="8"/>
  <c r="PH40" i="8" s="1"/>
  <c r="PC3" i="8"/>
  <c r="PC28" i="8" s="1"/>
  <c r="PC12" i="8"/>
  <c r="PC37" i="8" s="1"/>
  <c r="PC11" i="8"/>
  <c r="PC36" i="8" s="1"/>
  <c r="PC21" i="8"/>
  <c r="PH10" i="8"/>
  <c r="PH35" i="8" s="1"/>
  <c r="PC10" i="8"/>
  <c r="PC35" i="8" s="1"/>
  <c r="PK4" i="8"/>
  <c r="PU1" i="8"/>
  <c r="PU2" i="8" s="1"/>
  <c r="PH12" i="8"/>
  <c r="PH37" i="8" s="1"/>
  <c r="PH11" i="8"/>
  <c r="PH36" i="8" s="1"/>
  <c r="PD1" i="8"/>
  <c r="PH14" i="8"/>
  <c r="PH39" i="8" s="1"/>
  <c r="AH78" i="7" a="1"/>
  <c r="AH78" i="7" s="1"/>
  <c r="AN78" i="7" a="1"/>
  <c r="AN78" i="7" s="1"/>
  <c r="AG78" i="7" a="1"/>
  <c r="AG78" i="7" s="1"/>
  <c r="AM78" i="7" a="1"/>
  <c r="AM78" i="7" s="1"/>
  <c r="AL78" i="7" a="1"/>
  <c r="AL78" i="7" s="1"/>
  <c r="AF78" i="7" a="1"/>
  <c r="AF78" i="7" s="1"/>
  <c r="AK78" i="7" a="1"/>
  <c r="AK78" i="7" s="1"/>
  <c r="AE78" i="7" a="1"/>
  <c r="AE78" i="7" s="1"/>
  <c r="AQ78" i="7" a="1"/>
  <c r="AQ78" i="7" s="1"/>
  <c r="AD78" i="7" a="1"/>
  <c r="AD78" i="7" s="1"/>
  <c r="AI78" i="7" a="1"/>
  <c r="AI78" i="7" s="1"/>
  <c r="AC78" i="7" a="1"/>
  <c r="AC78" i="7" s="1"/>
  <c r="AP78" i="7" a="1"/>
  <c r="AP78" i="7" s="1"/>
  <c r="E78" i="7"/>
  <c r="AJ78" i="7" a="1"/>
  <c r="AJ78" i="7" s="1"/>
  <c r="AO78" i="7" a="1"/>
  <c r="AO78" i="7" s="1"/>
  <c r="AW78" i="7"/>
  <c r="AX78" i="7"/>
  <c r="F77" i="7"/>
  <c r="AB77" i="7"/>
  <c r="AT77" i="7"/>
  <c r="AS77" i="7"/>
  <c r="BM77" i="7" s="1" a="1"/>
  <c r="BM77" i="7" s="1"/>
  <c r="AA79" i="7"/>
  <c r="Z79" i="7"/>
  <c r="Y79" i="7"/>
  <c r="V80" i="7"/>
  <c r="X80" i="7" s="1"/>
  <c r="C80" i="7" a="1"/>
  <c r="C80" i="7" s="1"/>
  <c r="A81" i="7" a="1"/>
  <c r="A81" i="7" s="1"/>
  <c r="B80" i="7"/>
  <c r="BA77" i="7" a="1"/>
  <c r="BA77" i="7" s="1"/>
  <c r="M79" i="7"/>
  <c r="N79" i="7" s="1"/>
  <c r="O79" i="7" s="1"/>
  <c r="S79" i="7"/>
  <c r="T79" i="7" s="1"/>
  <c r="U79" i="7" s="1"/>
  <c r="J79" i="7"/>
  <c r="K79" i="7" s="1"/>
  <c r="L79" i="7" s="1"/>
  <c r="G79" i="7"/>
  <c r="H79" i="7" s="1"/>
  <c r="I79" i="7" s="1"/>
  <c r="P79" i="7"/>
  <c r="Q79" i="7" s="1"/>
  <c r="R79" i="7" s="1"/>
  <c r="D79" i="7"/>
  <c r="AU78" i="7"/>
  <c r="AU77" i="7"/>
  <c r="AV77" i="7"/>
  <c r="AT78" i="7"/>
  <c r="AW77" i="7"/>
  <c r="AX77" i="7"/>
  <c r="BQ77" i="7" l="1" a="1"/>
  <c r="BQ77" i="7" s="1"/>
  <c r="BO77" i="7" a="1"/>
  <c r="BO77" i="7" s="1"/>
  <c r="BN77" i="7" a="1"/>
  <c r="BN77" i="7" s="1"/>
  <c r="BH77" i="7" a="1"/>
  <c r="BH77" i="7" s="1"/>
  <c r="BK77" i="7" a="1"/>
  <c r="BK77" i="7" s="1"/>
  <c r="BP77" i="7" a="1"/>
  <c r="BP77" i="7" s="1"/>
  <c r="BB77" i="7" a="1"/>
  <c r="BB77" i="7" s="1"/>
  <c r="BE77" i="7" a="1"/>
  <c r="BE77" i="7" s="1"/>
  <c r="BF77" i="7" a="1"/>
  <c r="BF77" i="7" s="1"/>
  <c r="BL77" i="7" a="1"/>
  <c r="BL77" i="7" s="1"/>
  <c r="AZ77" i="7" a="1"/>
  <c r="AZ77" i="7" s="1"/>
  <c r="BI77" i="7" a="1"/>
  <c r="BI77" i="7" s="1"/>
  <c r="BG77" i="7" a="1"/>
  <c r="BG77" i="7" s="1"/>
  <c r="BJ77" i="7" a="1"/>
  <c r="BJ77" i="7" s="1"/>
  <c r="W80" i="7"/>
  <c r="BI78" i="7" a="1"/>
  <c r="BI78" i="7" s="1"/>
  <c r="BM78" i="7" a="1"/>
  <c r="BM78" i="7" s="1"/>
  <c r="E79" i="7"/>
  <c r="AQ79" i="7" a="1"/>
  <c r="AQ79" i="7" s="1"/>
  <c r="AM79" i="7" a="1"/>
  <c r="AM79" i="7" s="1"/>
  <c r="AI79" i="7" a="1"/>
  <c r="AI79" i="7" s="1"/>
  <c r="AE79" i="7" a="1"/>
  <c r="AE79" i="7" s="1"/>
  <c r="AP79" i="7" a="1"/>
  <c r="AP79" i="7" s="1"/>
  <c r="AL79" i="7" a="1"/>
  <c r="AL79" i="7" s="1"/>
  <c r="AK79" i="7" a="1"/>
  <c r="AK79" i="7" s="1"/>
  <c r="AC79" i="7" a="1"/>
  <c r="AC79" i="7" s="1"/>
  <c r="AJ79" i="7" a="1"/>
  <c r="AJ79" i="7" s="1"/>
  <c r="AH79" i="7" a="1"/>
  <c r="AH79" i="7" s="1"/>
  <c r="AG79" i="7" a="1"/>
  <c r="AG79" i="7" s="1"/>
  <c r="AN79" i="7" a="1"/>
  <c r="AN79" i="7" s="1"/>
  <c r="AF79" i="7" a="1"/>
  <c r="AF79" i="7" s="1"/>
  <c r="AD79" i="7" a="1"/>
  <c r="AD79" i="7" s="1"/>
  <c r="AO79" i="7" a="1"/>
  <c r="AO79" i="7" s="1"/>
  <c r="AA80" i="7"/>
  <c r="Z80" i="7"/>
  <c r="Y80" i="7"/>
  <c r="G80" i="7"/>
  <c r="H80" i="7" s="1"/>
  <c r="I80" i="7" s="1"/>
  <c r="M80" i="7"/>
  <c r="N80" i="7" s="1"/>
  <c r="O80" i="7" s="1"/>
  <c r="D80" i="7"/>
  <c r="S80" i="7"/>
  <c r="T80" i="7" s="1"/>
  <c r="U80" i="7" s="1"/>
  <c r="J80" i="7"/>
  <c r="K80" i="7" s="1"/>
  <c r="L80" i="7" s="1"/>
  <c r="P80" i="7"/>
  <c r="Q80" i="7" s="1"/>
  <c r="R80" i="7" s="1"/>
  <c r="PD26" i="8"/>
  <c r="PH5" i="8"/>
  <c r="PH30" i="8" s="1"/>
  <c r="PH6" i="8"/>
  <c r="PH31" i="8" s="1"/>
  <c r="PH4" i="8"/>
  <c r="PH29" i="8" s="1"/>
  <c r="PH3" i="8"/>
  <c r="PH28" i="8" s="1"/>
  <c r="BC77" i="7" a="1"/>
  <c r="BC77" i="7" s="1"/>
  <c r="AZ78" i="7" a="1"/>
  <c r="AZ78" i="7" s="1"/>
  <c r="BE78" i="7" a="1"/>
  <c r="BE78" i="7" s="1"/>
  <c r="BD78" i="7" a="1"/>
  <c r="BD78" i="7" s="1"/>
  <c r="BC78" i="7" a="1"/>
  <c r="BC78" i="7" s="1"/>
  <c r="BB78" i="7" a="1"/>
  <c r="BB78" i="7" s="1"/>
  <c r="BA78" i="7" a="1"/>
  <c r="BA78" i="7" s="1"/>
  <c r="BH78" i="7" a="1"/>
  <c r="BH78" i="7" s="1"/>
  <c r="BN78" i="7" a="1"/>
  <c r="BN78" i="7" s="1"/>
  <c r="BO78" i="7" a="1"/>
  <c r="BO78" i="7" s="1"/>
  <c r="BL78" i="7" a="1"/>
  <c r="BL78" i="7" s="1"/>
  <c r="BK78" i="7" a="1"/>
  <c r="BK78" i="7" s="1"/>
  <c r="BQ78" i="7" a="1"/>
  <c r="BQ78" i="7" s="1"/>
  <c r="BJ78" i="7" a="1"/>
  <c r="BJ78" i="7" s="1"/>
  <c r="BP78" i="7" a="1"/>
  <c r="BP78" i="7" s="1"/>
  <c r="BF78" i="7" a="1"/>
  <c r="BF78" i="7" s="1"/>
  <c r="BG78" i="7" a="1"/>
  <c r="BG78" i="7" s="1"/>
  <c r="C81" i="7" a="1"/>
  <c r="C81" i="7" s="1"/>
  <c r="A82" i="7" a="1"/>
  <c r="A82" i="7" s="1"/>
  <c r="V81" i="7"/>
  <c r="X81" i="7" s="1"/>
  <c r="B81" i="7"/>
  <c r="AB78" i="7"/>
  <c r="F78" i="7"/>
  <c r="BD77" i="7" a="1"/>
  <c r="BD77" i="7" s="1"/>
  <c r="AS79" i="7"/>
  <c r="AT79" i="7"/>
  <c r="PU4" i="8"/>
  <c r="PV2" i="8" s="1"/>
  <c r="AU79" i="7"/>
  <c r="AV79" i="7"/>
  <c r="PC14" i="8"/>
  <c r="PC39" i="8" s="1"/>
  <c r="PC13" i="8"/>
  <c r="PC38" i="8" s="1"/>
  <c r="PH13" i="8"/>
  <c r="PH38" i="8" s="1"/>
  <c r="AX79" i="7"/>
  <c r="AW79" i="7"/>
  <c r="W81" i="7" l="1"/>
  <c r="BO79" i="7" a="1"/>
  <c r="BO79" i="7" s="1"/>
  <c r="PS15" i="8"/>
  <c r="PS40" i="8" s="1"/>
  <c r="PN21" i="8"/>
  <c r="PV4" i="8"/>
  <c r="PS14" i="8"/>
  <c r="PS39" i="8" s="1"/>
  <c r="PS12" i="8"/>
  <c r="PS37" i="8" s="1"/>
  <c r="PS11" i="8"/>
  <c r="PS36" i="8" s="1"/>
  <c r="PN12" i="8"/>
  <c r="PN37" i="8" s="1"/>
  <c r="PN11" i="8"/>
  <c r="PN36" i="8" s="1"/>
  <c r="PO1" i="8"/>
  <c r="PN15" i="8"/>
  <c r="PN40" i="8" s="1"/>
  <c r="PS10" i="8"/>
  <c r="PS35" i="8" s="1"/>
  <c r="PN3" i="8"/>
  <c r="PN28" i="8" s="1"/>
  <c r="PN10" i="8"/>
  <c r="PN35" i="8" s="1"/>
  <c r="QF1" i="8"/>
  <c r="QF2" i="8" s="1"/>
  <c r="AP80" i="7" a="1"/>
  <c r="AP80" i="7" s="1"/>
  <c r="AK80" i="7" a="1"/>
  <c r="AK80" i="7" s="1"/>
  <c r="AG80" i="7" a="1"/>
  <c r="AG80" i="7" s="1"/>
  <c r="AC80" i="7" a="1"/>
  <c r="AC80" i="7" s="1"/>
  <c r="AO80" i="7" a="1"/>
  <c r="AO80" i="7" s="1"/>
  <c r="E80" i="7"/>
  <c r="AN80" i="7" a="1"/>
  <c r="AN80" i="7" s="1"/>
  <c r="AJ80" i="7" a="1"/>
  <c r="AJ80" i="7" s="1"/>
  <c r="AF80" i="7" a="1"/>
  <c r="AF80" i="7" s="1"/>
  <c r="AM80" i="7" a="1"/>
  <c r="AM80" i="7" s="1"/>
  <c r="AI80" i="7" a="1"/>
  <c r="AI80" i="7" s="1"/>
  <c r="AE80" i="7" a="1"/>
  <c r="AE80" i="7" s="1"/>
  <c r="AD80" i="7" a="1"/>
  <c r="AD80" i="7" s="1"/>
  <c r="AQ80" i="7" a="1"/>
  <c r="AQ80" i="7" s="1"/>
  <c r="AL80" i="7" a="1"/>
  <c r="AL80" i="7" s="1"/>
  <c r="AH80" i="7" a="1"/>
  <c r="AH80" i="7" s="1"/>
  <c r="AA81" i="7"/>
  <c r="Z81" i="7"/>
  <c r="Y81" i="7"/>
  <c r="AT80" i="7"/>
  <c r="AS80" i="7"/>
  <c r="B82" i="7"/>
  <c r="V82" i="7"/>
  <c r="W82" i="7" s="1"/>
  <c r="A83" i="7" a="1"/>
  <c r="A83" i="7" s="1"/>
  <c r="C82" i="7" a="1"/>
  <c r="C82" i="7" s="1"/>
  <c r="AU80" i="7"/>
  <c r="AV80" i="7"/>
  <c r="G81" i="7"/>
  <c r="H81" i="7" s="1"/>
  <c r="I81" i="7" s="1"/>
  <c r="S81" i="7"/>
  <c r="T81" i="7" s="1"/>
  <c r="U81" i="7" s="1"/>
  <c r="P81" i="7"/>
  <c r="Q81" i="7" s="1"/>
  <c r="R81" i="7" s="1"/>
  <c r="D81" i="7"/>
  <c r="M81" i="7"/>
  <c r="N81" i="7" s="1"/>
  <c r="O81" i="7" s="1"/>
  <c r="J81" i="7"/>
  <c r="K81" i="7" s="1"/>
  <c r="L81" i="7" s="1"/>
  <c r="AX80" i="7"/>
  <c r="AW80" i="7"/>
  <c r="BE79" i="7" a="1"/>
  <c r="BE79" i="7" s="1"/>
  <c r="BD79" i="7" a="1"/>
  <c r="BD79" i="7" s="1"/>
  <c r="AZ79" i="7" a="1"/>
  <c r="AZ79" i="7" s="1"/>
  <c r="BC79" i="7" a="1"/>
  <c r="BC79" i="7" s="1"/>
  <c r="BB79" i="7" a="1"/>
  <c r="BB79" i="7" s="1"/>
  <c r="BA79" i="7" a="1"/>
  <c r="BA79" i="7" s="1"/>
  <c r="BI79" i="7" a="1"/>
  <c r="BI79" i="7" s="1"/>
  <c r="BL79" i="7" a="1"/>
  <c r="BL79" i="7" s="1"/>
  <c r="BH79" i="7" a="1"/>
  <c r="BH79" i="7" s="1"/>
  <c r="BG79" i="7" a="1"/>
  <c r="BG79" i="7" s="1"/>
  <c r="BF79" i="7" a="1"/>
  <c r="BF79" i="7" s="1"/>
  <c r="BK79" i="7" a="1"/>
  <c r="BK79" i="7" s="1"/>
  <c r="BQ79" i="7" a="1"/>
  <c r="BQ79" i="7" s="1"/>
  <c r="BP79" i="7" a="1"/>
  <c r="BP79" i="7" s="1"/>
  <c r="BM79" i="7" a="1"/>
  <c r="BM79" i="7" s="1"/>
  <c r="BN79" i="7" a="1"/>
  <c r="BN79" i="7" s="1"/>
  <c r="BJ79" i="7" a="1"/>
  <c r="BJ79" i="7" s="1"/>
  <c r="AB79" i="7"/>
  <c r="F79" i="7"/>
  <c r="X82" i="7" l="1"/>
  <c r="Y82" i="7" s="1"/>
  <c r="QF4" i="8"/>
  <c r="QG2" i="8" s="1"/>
  <c r="M82" i="7"/>
  <c r="N82" i="7" s="1"/>
  <c r="O82" i="7" s="1"/>
  <c r="J82" i="7"/>
  <c r="K82" i="7" s="1"/>
  <c r="L82" i="7" s="1"/>
  <c r="S82" i="7"/>
  <c r="T82" i="7" s="1"/>
  <c r="U82" i="7" s="1"/>
  <c r="G82" i="7"/>
  <c r="H82" i="7" s="1"/>
  <c r="I82" i="7" s="1"/>
  <c r="P82" i="7"/>
  <c r="Q82" i="7" s="1"/>
  <c r="R82" i="7" s="1"/>
  <c r="D82" i="7"/>
  <c r="AS81" i="7"/>
  <c r="AT81" i="7"/>
  <c r="AU81" i="7"/>
  <c r="AV81" i="7"/>
  <c r="F80" i="7"/>
  <c r="AB80" i="7"/>
  <c r="AM81" i="7" a="1"/>
  <c r="AM81" i="7" s="1"/>
  <c r="AH81" i="7" a="1"/>
  <c r="AH81" i="7" s="1"/>
  <c r="AG81" i="7" a="1"/>
  <c r="AG81" i="7" s="1"/>
  <c r="AQ81" i="7" a="1"/>
  <c r="AQ81" i="7" s="1"/>
  <c r="AL81" i="7" a="1"/>
  <c r="AL81" i="7" s="1"/>
  <c r="E81" i="7"/>
  <c r="AK81" i="7" a="1"/>
  <c r="AK81" i="7" s="1"/>
  <c r="AF81" i="7" a="1"/>
  <c r="AF81" i="7" s="1"/>
  <c r="AP81" i="7" a="1"/>
  <c r="AP81" i="7" s="1"/>
  <c r="AE81" i="7" a="1"/>
  <c r="AE81" i="7" s="1"/>
  <c r="AO81" i="7" a="1"/>
  <c r="AO81" i="7" s="1"/>
  <c r="AJ81" i="7" a="1"/>
  <c r="AJ81" i="7" s="1"/>
  <c r="AN81" i="7" a="1"/>
  <c r="AN81" i="7" s="1"/>
  <c r="AI81" i="7" a="1"/>
  <c r="AI81" i="7" s="1"/>
  <c r="AD81" i="7" a="1"/>
  <c r="AD81" i="7" s="1"/>
  <c r="AC81" i="7" a="1"/>
  <c r="AC81" i="7" s="1"/>
  <c r="C83" i="7" a="1"/>
  <c r="C83" i="7" s="1"/>
  <c r="A84" i="7" a="1"/>
  <c r="A84" i="7" s="1"/>
  <c r="V83" i="7"/>
  <c r="X83" i="7" s="1"/>
  <c r="B83" i="7"/>
  <c r="AW81" i="7"/>
  <c r="AX81" i="7"/>
  <c r="PS13" i="8"/>
  <c r="PS38" i="8" s="1"/>
  <c r="PN14" i="8"/>
  <c r="PN39" i="8" s="1"/>
  <c r="PN13" i="8"/>
  <c r="PN38" i="8" s="1"/>
  <c r="BE80" i="7" a="1"/>
  <c r="BE80" i="7" s="1"/>
  <c r="AZ80" i="7" a="1"/>
  <c r="AZ80" i="7" s="1"/>
  <c r="BD80" i="7" a="1"/>
  <c r="BD80" i="7" s="1"/>
  <c r="BC80" i="7" a="1"/>
  <c r="BC80" i="7" s="1"/>
  <c r="BA80" i="7" a="1"/>
  <c r="BA80" i="7" s="1"/>
  <c r="BB80" i="7" a="1"/>
  <c r="BB80" i="7" s="1"/>
  <c r="BN80" i="7" a="1"/>
  <c r="BN80" i="7" s="1"/>
  <c r="BM80" i="7" a="1"/>
  <c r="BM80" i="7" s="1"/>
  <c r="BK80" i="7" a="1"/>
  <c r="BK80" i="7" s="1"/>
  <c r="BQ80" i="7" a="1"/>
  <c r="BQ80" i="7" s="1"/>
  <c r="BP80" i="7" a="1"/>
  <c r="BP80" i="7" s="1"/>
  <c r="BL80" i="7" a="1"/>
  <c r="BL80" i="7" s="1"/>
  <c r="BJ80" i="7" a="1"/>
  <c r="BJ80" i="7" s="1"/>
  <c r="BO80" i="7" a="1"/>
  <c r="BO80" i="7" s="1"/>
  <c r="BG80" i="7" a="1"/>
  <c r="BG80" i="7" s="1"/>
  <c r="BH80" i="7" a="1"/>
  <c r="BH80" i="7" s="1"/>
  <c r="BI80" i="7" a="1"/>
  <c r="BI80" i="7" s="1"/>
  <c r="BF80" i="7" a="1"/>
  <c r="BF80" i="7" s="1"/>
  <c r="PO26" i="8"/>
  <c r="PS5" i="8"/>
  <c r="PS30" i="8" s="1"/>
  <c r="PS4" i="8"/>
  <c r="PS29" i="8" s="1"/>
  <c r="PS6" i="8"/>
  <c r="PS31" i="8" s="1"/>
  <c r="PS3" i="8"/>
  <c r="PS28" i="8" s="1"/>
  <c r="W83" i="7" l="1"/>
  <c r="Z82" i="7"/>
  <c r="AA82" i="7"/>
  <c r="BP81" i="7" a="1"/>
  <c r="BP81" i="7" s="1"/>
  <c r="QD14" i="8"/>
  <c r="QD39" i="8" s="1"/>
  <c r="QD12" i="8"/>
  <c r="QD37" i="8" s="1"/>
  <c r="QD11" i="8"/>
  <c r="QD36" i="8" s="1"/>
  <c r="QD10" i="8"/>
  <c r="QD35" i="8" s="1"/>
  <c r="PY15" i="8"/>
  <c r="PY40" i="8" s="1"/>
  <c r="PY12" i="8"/>
  <c r="PY37" i="8" s="1"/>
  <c r="PY11" i="8"/>
  <c r="PY36" i="8" s="1"/>
  <c r="QD15" i="8"/>
  <c r="QD40" i="8" s="1"/>
  <c r="QG4" i="8"/>
  <c r="PY3" i="8"/>
  <c r="PY28" i="8" s="1"/>
  <c r="PY10" i="8"/>
  <c r="PY35" i="8" s="1"/>
  <c r="QQ1" i="8"/>
  <c r="QQ2" i="8" s="1"/>
  <c r="PY21" i="8"/>
  <c r="PZ1" i="8"/>
  <c r="BC81" i="7" a="1"/>
  <c r="BC81" i="7" s="1"/>
  <c r="BB81" i="7" a="1"/>
  <c r="BB81" i="7" s="1"/>
  <c r="BA81" i="7" a="1"/>
  <c r="BA81" i="7" s="1"/>
  <c r="AZ81" i="7" a="1"/>
  <c r="AZ81" i="7" s="1"/>
  <c r="BE81" i="7" a="1"/>
  <c r="BE81" i="7" s="1"/>
  <c r="BD81" i="7" a="1"/>
  <c r="BD81" i="7" s="1"/>
  <c r="BL81" i="7" a="1"/>
  <c r="BL81" i="7" s="1"/>
  <c r="BI81" i="7" a="1"/>
  <c r="BI81" i="7" s="1"/>
  <c r="BO81" i="7" a="1"/>
  <c r="BO81" i="7" s="1"/>
  <c r="BG81" i="7" a="1"/>
  <c r="BG81" i="7" s="1"/>
  <c r="BQ81" i="7" a="1"/>
  <c r="BQ81" i="7" s="1"/>
  <c r="BF81" i="7" a="1"/>
  <c r="BF81" i="7" s="1"/>
  <c r="BJ81" i="7" a="1"/>
  <c r="BJ81" i="7" s="1"/>
  <c r="BK81" i="7" a="1"/>
  <c r="BK81" i="7" s="1"/>
  <c r="BH81" i="7" a="1"/>
  <c r="BH81" i="7" s="1"/>
  <c r="AB81" i="7"/>
  <c r="F81" i="7"/>
  <c r="E82" i="7"/>
  <c r="AJ82" i="7" a="1"/>
  <c r="AJ82" i="7" s="1"/>
  <c r="AE82" i="7" a="1"/>
  <c r="AE82" i="7" s="1"/>
  <c r="AO82" i="7" a="1"/>
  <c r="AO82" i="7" s="1"/>
  <c r="AD82" i="7" a="1"/>
  <c r="AD82" i="7" s="1"/>
  <c r="AN82" i="7" a="1"/>
  <c r="AN82" i="7" s="1"/>
  <c r="AI82" i="7" a="1"/>
  <c r="AI82" i="7" s="1"/>
  <c r="AH82" i="7" a="1"/>
  <c r="AH82" i="7" s="1"/>
  <c r="AC82" i="7" a="1"/>
  <c r="AC82" i="7" s="1"/>
  <c r="AM82" i="7" a="1"/>
  <c r="AM82" i="7" s="1"/>
  <c r="AL82" i="7" a="1"/>
  <c r="AL82" i="7" s="1"/>
  <c r="AG82" i="7" a="1"/>
  <c r="AG82" i="7" s="1"/>
  <c r="AQ82" i="7" a="1"/>
  <c r="AQ82" i="7" s="1"/>
  <c r="AP82" i="7" a="1"/>
  <c r="AP82" i="7" s="1"/>
  <c r="AF82" i="7" a="1"/>
  <c r="AF82" i="7" s="1"/>
  <c r="AK82" i="7" a="1"/>
  <c r="AK82" i="7" s="1"/>
  <c r="BM81" i="7" a="1"/>
  <c r="BM81" i="7" s="1"/>
  <c r="BN81" i="7" a="1"/>
  <c r="BN81" i="7" s="1"/>
  <c r="AA83" i="7"/>
  <c r="Z83" i="7"/>
  <c r="Y83" i="7"/>
  <c r="AU82" i="7"/>
  <c r="AV82" i="7"/>
  <c r="B84" i="7"/>
  <c r="V84" i="7"/>
  <c r="W84" i="7" s="1"/>
  <c r="A85" i="7" a="1"/>
  <c r="A85" i="7" s="1"/>
  <c r="C84" i="7" a="1"/>
  <c r="C84" i="7" s="1"/>
  <c r="AX82" i="7"/>
  <c r="AW82" i="7"/>
  <c r="AT82" i="7"/>
  <c r="AS82" i="7"/>
  <c r="S83" i="7"/>
  <c r="T83" i="7" s="1"/>
  <c r="U83" i="7" s="1"/>
  <c r="G83" i="7"/>
  <c r="H83" i="7" s="1"/>
  <c r="I83" i="7" s="1"/>
  <c r="P83" i="7"/>
  <c r="Q83" i="7" s="1"/>
  <c r="R83" i="7" s="1"/>
  <c r="D83" i="7"/>
  <c r="M83" i="7"/>
  <c r="N83" i="7" s="1"/>
  <c r="O83" i="7" s="1"/>
  <c r="J83" i="7"/>
  <c r="K83" i="7" s="1"/>
  <c r="L83" i="7" s="1"/>
  <c r="BP82" i="7" l="1" a="1"/>
  <c r="BP82" i="7" s="1"/>
  <c r="X84" i="7"/>
  <c r="Y84" i="7" s="1"/>
  <c r="BG82" i="7" a="1"/>
  <c r="BG82" i="7" s="1"/>
  <c r="AW83" i="7"/>
  <c r="AX83" i="7"/>
  <c r="BF82" i="7" a="1"/>
  <c r="BF82" i="7" s="1"/>
  <c r="C85" i="7" a="1"/>
  <c r="C85" i="7" s="1"/>
  <c r="V85" i="7"/>
  <c r="X85" i="7" s="1"/>
  <c r="B85" i="7"/>
  <c r="A86" i="7" a="1"/>
  <c r="A86" i="7" s="1"/>
  <c r="BN82" i="7" a="1"/>
  <c r="BN82" i="7" s="1"/>
  <c r="BJ82" i="7" a="1"/>
  <c r="BJ82" i="7" s="1"/>
  <c r="BL82" i="7" a="1"/>
  <c r="BL82" i="7" s="1"/>
  <c r="BM82" i="7" a="1"/>
  <c r="BM82" i="7" s="1"/>
  <c r="PZ26" i="8"/>
  <c r="QD5" i="8"/>
  <c r="QD30" i="8" s="1"/>
  <c r="QD6" i="8"/>
  <c r="QD31" i="8" s="1"/>
  <c r="QD3" i="8"/>
  <c r="QD28" i="8" s="1"/>
  <c r="QD4" i="8"/>
  <c r="QD29" i="8" s="1"/>
  <c r="AG83" i="7" a="1"/>
  <c r="AG83" i="7" s="1"/>
  <c r="AQ83" i="7" a="1"/>
  <c r="AQ83" i="7" s="1"/>
  <c r="AL83" i="7" a="1"/>
  <c r="AL83" i="7" s="1"/>
  <c r="E83" i="7"/>
  <c r="AK83" i="7" a="1"/>
  <c r="AK83" i="7" s="1"/>
  <c r="AF83" i="7" a="1"/>
  <c r="AF83" i="7" s="1"/>
  <c r="AP83" i="7" a="1"/>
  <c r="AP83" i="7" s="1"/>
  <c r="AE83" i="7" a="1"/>
  <c r="AE83" i="7" s="1"/>
  <c r="AO83" i="7" a="1"/>
  <c r="AO83" i="7" s="1"/>
  <c r="AJ83" i="7" a="1"/>
  <c r="AJ83" i="7" s="1"/>
  <c r="AI83" i="7" a="1"/>
  <c r="AI83" i="7" s="1"/>
  <c r="AD83" i="7" a="1"/>
  <c r="AD83" i="7" s="1"/>
  <c r="AN83" i="7" a="1"/>
  <c r="AN83" i="7" s="1"/>
  <c r="AM83" i="7" a="1"/>
  <c r="AM83" i="7" s="1"/>
  <c r="AH83" i="7" a="1"/>
  <c r="AH83" i="7" s="1"/>
  <c r="AC83" i="7" a="1"/>
  <c r="AC83" i="7" s="1"/>
  <c r="BE82" i="7" a="1"/>
  <c r="BE82" i="7" s="1"/>
  <c r="AZ82" i="7" a="1"/>
  <c r="AZ82" i="7" s="1"/>
  <c r="BD82" i="7" a="1"/>
  <c r="BD82" i="7" s="1"/>
  <c r="BC82" i="7" a="1"/>
  <c r="BC82" i="7" s="1"/>
  <c r="BB82" i="7" a="1"/>
  <c r="BB82" i="7" s="1"/>
  <c r="BA82" i="7" a="1"/>
  <c r="BA82" i="7" s="1"/>
  <c r="BO82" i="7" a="1"/>
  <c r="BO82" i="7" s="1"/>
  <c r="BQ82" i="7" a="1"/>
  <c r="BQ82" i="7" s="1"/>
  <c r="BI82" i="7" a="1"/>
  <c r="BI82" i="7" s="1"/>
  <c r="BK82" i="7" a="1"/>
  <c r="BK82" i="7" s="1"/>
  <c r="BH82" i="7" a="1"/>
  <c r="BH82" i="7" s="1"/>
  <c r="AB82" i="7"/>
  <c r="F82" i="7"/>
  <c r="QQ4" i="8"/>
  <c r="QR2" i="8" s="1"/>
  <c r="M84" i="7"/>
  <c r="N84" i="7" s="1"/>
  <c r="O84" i="7" s="1"/>
  <c r="J84" i="7"/>
  <c r="K84" i="7" s="1"/>
  <c r="L84" i="7" s="1"/>
  <c r="S84" i="7"/>
  <c r="T84" i="7" s="1"/>
  <c r="U84" i="7" s="1"/>
  <c r="G84" i="7"/>
  <c r="H84" i="7" s="1"/>
  <c r="I84" i="7" s="1"/>
  <c r="P84" i="7"/>
  <c r="Q84" i="7" s="1"/>
  <c r="R84" i="7" s="1"/>
  <c r="D84" i="7"/>
  <c r="AS83" i="7"/>
  <c r="AT83" i="7"/>
  <c r="AU83" i="7"/>
  <c r="AV83" i="7"/>
  <c r="QD13" i="8"/>
  <c r="QD38" i="8" s="1"/>
  <c r="PY14" i="8"/>
  <c r="PY39" i="8" s="1"/>
  <c r="PY13" i="8"/>
  <c r="PY38" i="8" s="1"/>
  <c r="Z84" i="7" l="1"/>
  <c r="AU84" i="7" s="1"/>
  <c r="AA84" i="7"/>
  <c r="BK83" i="7" a="1"/>
  <c r="BK83" i="7" s="1"/>
  <c r="BN83" i="7" a="1"/>
  <c r="BN83" i="7" s="1"/>
  <c r="BJ83" i="7" a="1"/>
  <c r="BJ83" i="7" s="1"/>
  <c r="AA85" i="7"/>
  <c r="Z85" i="7"/>
  <c r="Y85" i="7"/>
  <c r="QJ15" i="8"/>
  <c r="QJ40" i="8" s="1"/>
  <c r="QJ21" i="8"/>
  <c r="QO12" i="8"/>
  <c r="QO37" i="8" s="1"/>
  <c r="QO11" i="8"/>
  <c r="QO36" i="8" s="1"/>
  <c r="QO10" i="8"/>
  <c r="QO35" i="8" s="1"/>
  <c r="QO15" i="8"/>
  <c r="QO40" i="8" s="1"/>
  <c r="QR4" i="8"/>
  <c r="QJ3" i="8"/>
  <c r="QJ28" i="8" s="1"/>
  <c r="RB1" i="8"/>
  <c r="RB2" i="8" s="1"/>
  <c r="QO14" i="8"/>
  <c r="QO39" i="8" s="1"/>
  <c r="QJ10" i="8"/>
  <c r="QJ35" i="8" s="1"/>
  <c r="QK1" i="8"/>
  <c r="QJ12" i="8"/>
  <c r="QJ37" i="8" s="1"/>
  <c r="QJ11" i="8"/>
  <c r="QJ36" i="8" s="1"/>
  <c r="E84" i="7"/>
  <c r="AO84" i="7" a="1"/>
  <c r="AO84" i="7" s="1"/>
  <c r="AD84" i="7" a="1"/>
  <c r="AD84" i="7" s="1"/>
  <c r="AN84" i="7" a="1"/>
  <c r="AN84" i="7" s="1"/>
  <c r="AI84" i="7" a="1"/>
  <c r="AI84" i="7" s="1"/>
  <c r="AH84" i="7" a="1"/>
  <c r="AH84" i="7" s="1"/>
  <c r="AC84" i="7" a="1"/>
  <c r="AC84" i="7" s="1"/>
  <c r="AM84" i="7" a="1"/>
  <c r="AM84" i="7" s="1"/>
  <c r="AL84" i="7" a="1"/>
  <c r="AL84" i="7" s="1"/>
  <c r="AG84" i="7" a="1"/>
  <c r="AG84" i="7" s="1"/>
  <c r="AQ84" i="7" a="1"/>
  <c r="AQ84" i="7" s="1"/>
  <c r="AF84" i="7" a="1"/>
  <c r="AF84" i="7" s="1"/>
  <c r="AJ84" i="7" a="1"/>
  <c r="AJ84" i="7" s="1"/>
  <c r="AE84" i="7" a="1"/>
  <c r="AE84" i="7" s="1"/>
  <c r="AP84" i="7" a="1"/>
  <c r="AP84" i="7" s="1"/>
  <c r="AK84" i="7" a="1"/>
  <c r="AK84" i="7" s="1"/>
  <c r="AB83" i="7"/>
  <c r="F83" i="7"/>
  <c r="W85" i="7"/>
  <c r="B86" i="7"/>
  <c r="A87" i="7" a="1"/>
  <c r="A87" i="7" s="1"/>
  <c r="C86" i="7" a="1"/>
  <c r="C86" i="7" s="1"/>
  <c r="V86" i="7"/>
  <c r="X86" i="7" s="1"/>
  <c r="BB83" i="7" a="1"/>
  <c r="BB83" i="7" s="1"/>
  <c r="BA83" i="7" a="1"/>
  <c r="BA83" i="7" s="1"/>
  <c r="AZ83" i="7" a="1"/>
  <c r="AZ83" i="7" s="1"/>
  <c r="BE83" i="7" a="1"/>
  <c r="BE83" i="7" s="1"/>
  <c r="BD83" i="7" a="1"/>
  <c r="BD83" i="7" s="1"/>
  <c r="BC83" i="7" a="1"/>
  <c r="BC83" i="7" s="1"/>
  <c r="BG83" i="7" a="1"/>
  <c r="BG83" i="7" s="1"/>
  <c r="BQ83" i="7" a="1"/>
  <c r="BQ83" i="7" s="1"/>
  <c r="BH83" i="7" a="1"/>
  <c r="BH83" i="7" s="1"/>
  <c r="BF83" i="7" a="1"/>
  <c r="BF83" i="7" s="1"/>
  <c r="BP83" i="7" a="1"/>
  <c r="BP83" i="7" s="1"/>
  <c r="BM83" i="7" a="1"/>
  <c r="BM83" i="7" s="1"/>
  <c r="BO83" i="7" a="1"/>
  <c r="BO83" i="7" s="1"/>
  <c r="BI83" i="7" a="1"/>
  <c r="BI83" i="7" s="1"/>
  <c r="AV84" i="7"/>
  <c r="AX84" i="7"/>
  <c r="AW84" i="7"/>
  <c r="AT84" i="7"/>
  <c r="AS84" i="7"/>
  <c r="G85" i="7"/>
  <c r="H85" i="7" s="1"/>
  <c r="I85" i="7" s="1"/>
  <c r="S85" i="7"/>
  <c r="T85" i="7" s="1"/>
  <c r="U85" i="7" s="1"/>
  <c r="P85" i="7"/>
  <c r="Q85" i="7" s="1"/>
  <c r="R85" i="7" s="1"/>
  <c r="D85" i="7"/>
  <c r="M85" i="7"/>
  <c r="N85" i="7" s="1"/>
  <c r="O85" i="7" s="1"/>
  <c r="J85" i="7"/>
  <c r="K85" i="7" s="1"/>
  <c r="L85" i="7" s="1"/>
  <c r="BL83" i="7" a="1"/>
  <c r="BL83" i="7" s="1"/>
  <c r="W86" i="7" l="1"/>
  <c r="BN84" i="7" a="1"/>
  <c r="BN84" i="7" s="1"/>
  <c r="BK84" i="7" a="1"/>
  <c r="BK84" i="7" s="1"/>
  <c r="QK26" i="8"/>
  <c r="QO6" i="8"/>
  <c r="QO31" i="8" s="1"/>
  <c r="QO3" i="8"/>
  <c r="QO28" i="8" s="1"/>
  <c r="QO4" i="8"/>
  <c r="QO29" i="8" s="1"/>
  <c r="QO5" i="8"/>
  <c r="QO30" i="8" s="1"/>
  <c r="BM84" i="7" a="1"/>
  <c r="BM84" i="7" s="1"/>
  <c r="RB4" i="8"/>
  <c r="RC2" i="8" s="1"/>
  <c r="M86" i="7"/>
  <c r="N86" i="7" s="1"/>
  <c r="O86" i="7" s="1"/>
  <c r="J86" i="7"/>
  <c r="K86" i="7" s="1"/>
  <c r="L86" i="7" s="1"/>
  <c r="S86" i="7"/>
  <c r="T86" i="7" s="1"/>
  <c r="U86" i="7" s="1"/>
  <c r="G86" i="7"/>
  <c r="H86" i="7" s="1"/>
  <c r="I86" i="7" s="1"/>
  <c r="P86" i="7"/>
  <c r="Q86" i="7" s="1"/>
  <c r="R86" i="7" s="1"/>
  <c r="D86" i="7"/>
  <c r="AB84" i="7"/>
  <c r="F84" i="7"/>
  <c r="AS85" i="7"/>
  <c r="AT85" i="7"/>
  <c r="Y86" i="7"/>
  <c r="AA86" i="7"/>
  <c r="Z86" i="7"/>
  <c r="QJ14" i="8"/>
  <c r="QJ39" i="8" s="1"/>
  <c r="QO13" i="8"/>
  <c r="QO38" i="8" s="1"/>
  <c r="QJ13" i="8"/>
  <c r="QJ38" i="8" s="1"/>
  <c r="AV85" i="7"/>
  <c r="AU85" i="7"/>
  <c r="AQ85" i="7" a="1"/>
  <c r="AQ85" i="7" s="1"/>
  <c r="AL85" i="7" a="1"/>
  <c r="AL85" i="7" s="1"/>
  <c r="E85" i="7"/>
  <c r="AK85" i="7" a="1"/>
  <c r="AK85" i="7" s="1"/>
  <c r="AF85" i="7" a="1"/>
  <c r="AF85" i="7" s="1"/>
  <c r="AP85" i="7" a="1"/>
  <c r="AP85" i="7" s="1"/>
  <c r="AE85" i="7" a="1"/>
  <c r="AE85" i="7" s="1"/>
  <c r="AO85" i="7" a="1"/>
  <c r="AO85" i="7" s="1"/>
  <c r="AJ85" i="7" a="1"/>
  <c r="AJ85" i="7" s="1"/>
  <c r="AI85" i="7" a="1"/>
  <c r="AI85" i="7" s="1"/>
  <c r="AD85" i="7" a="1"/>
  <c r="AD85" i="7" s="1"/>
  <c r="AN85" i="7" a="1"/>
  <c r="AN85" i="7" s="1"/>
  <c r="AC85" i="7" a="1"/>
  <c r="AC85" i="7" s="1"/>
  <c r="AM85" i="7" a="1"/>
  <c r="AM85" i="7" s="1"/>
  <c r="AH85" i="7" a="1"/>
  <c r="AH85" i="7" s="1"/>
  <c r="AG85" i="7" a="1"/>
  <c r="AG85" i="7" s="1"/>
  <c r="C87" i="7" a="1"/>
  <c r="C87" i="7" s="1"/>
  <c r="B87" i="7"/>
  <c r="A88" i="7" a="1"/>
  <c r="A88" i="7" s="1"/>
  <c r="V87" i="7"/>
  <c r="W87" i="7" s="1"/>
  <c r="BD84" i="7" a="1"/>
  <c r="BD84" i="7" s="1"/>
  <c r="BC84" i="7" a="1"/>
  <c r="BC84" i="7" s="1"/>
  <c r="BB84" i="7" a="1"/>
  <c r="BB84" i="7" s="1"/>
  <c r="BA84" i="7" a="1"/>
  <c r="BA84" i="7" s="1"/>
  <c r="BE84" i="7" a="1"/>
  <c r="BE84" i="7" s="1"/>
  <c r="AZ84" i="7" a="1"/>
  <c r="AZ84" i="7" s="1"/>
  <c r="BO84" i="7" a="1"/>
  <c r="BO84" i="7" s="1"/>
  <c r="BL84" i="7" a="1"/>
  <c r="BL84" i="7" s="1"/>
  <c r="BJ84" i="7" a="1"/>
  <c r="BJ84" i="7" s="1"/>
  <c r="BF84" i="7" a="1"/>
  <c r="BF84" i="7" s="1"/>
  <c r="BI84" i="7" a="1"/>
  <c r="BI84" i="7" s="1"/>
  <c r="BP84" i="7" a="1"/>
  <c r="BP84" i="7" s="1"/>
  <c r="BH84" i="7" a="1"/>
  <c r="BH84" i="7" s="1"/>
  <c r="BG84" i="7" a="1"/>
  <c r="BG84" i="7" s="1"/>
  <c r="BQ84" i="7" a="1"/>
  <c r="BQ84" i="7" s="1"/>
  <c r="AW85" i="7"/>
  <c r="AX85" i="7"/>
  <c r="X87" i="7" l="1"/>
  <c r="AA87" i="7" s="1"/>
  <c r="BO85" i="7" a="1"/>
  <c r="BO85" i="7" s="1"/>
  <c r="BH85" i="7" a="1"/>
  <c r="BH85" i="7" s="1"/>
  <c r="BK85" i="7" a="1"/>
  <c r="BK85" i="7" s="1"/>
  <c r="QU15" i="8"/>
  <c r="QU40" i="8" s="1"/>
  <c r="QU21" i="8"/>
  <c r="QZ14" i="8"/>
  <c r="QZ39" i="8" s="1"/>
  <c r="QU3" i="8"/>
  <c r="QU28" i="8" s="1"/>
  <c r="QZ15" i="8"/>
  <c r="QZ40" i="8" s="1"/>
  <c r="QU12" i="8"/>
  <c r="QU37" i="8" s="1"/>
  <c r="QU11" i="8"/>
  <c r="QU36" i="8" s="1"/>
  <c r="RM1" i="8"/>
  <c r="RM2" i="8" s="1"/>
  <c r="QZ10" i="8"/>
  <c r="QZ35" i="8" s="1"/>
  <c r="QU10" i="8"/>
  <c r="QU35" i="8" s="1"/>
  <c r="QV1" i="8"/>
  <c r="QZ12" i="8"/>
  <c r="QZ37" i="8" s="1"/>
  <c r="QZ11" i="8"/>
  <c r="QZ36" i="8" s="1"/>
  <c r="RC4" i="8"/>
  <c r="D87" i="7"/>
  <c r="S87" i="7"/>
  <c r="T87" i="7" s="1"/>
  <c r="U87" i="7" s="1"/>
  <c r="G87" i="7"/>
  <c r="H87" i="7" s="1"/>
  <c r="I87" i="7" s="1"/>
  <c r="P87" i="7"/>
  <c r="Q87" i="7" s="1"/>
  <c r="R87" i="7" s="1"/>
  <c r="M87" i="7"/>
  <c r="N87" i="7" s="1"/>
  <c r="O87" i="7" s="1"/>
  <c r="J87" i="7"/>
  <c r="K87" i="7" s="1"/>
  <c r="L87" i="7" s="1"/>
  <c r="AW86" i="7"/>
  <c r="AX86" i="7"/>
  <c r="BI85" i="7" a="1"/>
  <c r="BI85" i="7" s="1"/>
  <c r="Y87" i="7"/>
  <c r="AT86" i="7"/>
  <c r="AS86" i="7"/>
  <c r="V88" i="7"/>
  <c r="W88" i="7" s="1"/>
  <c r="A89" i="7" a="1"/>
  <c r="A89" i="7" s="1"/>
  <c r="B88" i="7"/>
  <c r="C88" i="7" a="1"/>
  <c r="C88" i="7" s="1"/>
  <c r="BA85" i="7" a="1"/>
  <c r="BA85" i="7" s="1"/>
  <c r="AZ85" i="7" a="1"/>
  <c r="AZ85" i="7" s="1"/>
  <c r="BE85" i="7" a="1"/>
  <c r="BE85" i="7" s="1"/>
  <c r="BD85" i="7" a="1"/>
  <c r="BD85" i="7" s="1"/>
  <c r="BB85" i="7" a="1"/>
  <c r="BB85" i="7" s="1"/>
  <c r="BC85" i="7" a="1"/>
  <c r="BC85" i="7" s="1"/>
  <c r="BJ85" i="7" a="1"/>
  <c r="BJ85" i="7" s="1"/>
  <c r="BN85" i="7" a="1"/>
  <c r="BN85" i="7" s="1"/>
  <c r="BL85" i="7" a="1"/>
  <c r="BL85" i="7" s="1"/>
  <c r="BP85" i="7" a="1"/>
  <c r="BP85" i="7" s="1"/>
  <c r="E86" i="7"/>
  <c r="AN86" i="7" a="1"/>
  <c r="AN86" i="7" s="1"/>
  <c r="AI86" i="7" a="1"/>
  <c r="AI86" i="7" s="1"/>
  <c r="AH86" i="7" a="1"/>
  <c r="AH86" i="7" s="1"/>
  <c r="AC86" i="7" a="1"/>
  <c r="AC86" i="7" s="1"/>
  <c r="AM86" i="7" a="1"/>
  <c r="AM86" i="7" s="1"/>
  <c r="AL86" i="7" a="1"/>
  <c r="AL86" i="7" s="1"/>
  <c r="AG86" i="7" a="1"/>
  <c r="AG86" i="7" s="1"/>
  <c r="AQ86" i="7" a="1"/>
  <c r="AQ86" i="7" s="1"/>
  <c r="AF86" i="7" a="1"/>
  <c r="AF86" i="7" s="1"/>
  <c r="AP86" i="7" a="1"/>
  <c r="AP86" i="7" s="1"/>
  <c r="AK86" i="7" a="1"/>
  <c r="AK86" i="7" s="1"/>
  <c r="AO86" i="7" a="1"/>
  <c r="AO86" i="7" s="1"/>
  <c r="AJ86" i="7" a="1"/>
  <c r="AJ86" i="7" s="1"/>
  <c r="AE86" i="7" a="1"/>
  <c r="AE86" i="7" s="1"/>
  <c r="AD86" i="7" a="1"/>
  <c r="AD86" i="7" s="1"/>
  <c r="BF85" i="7" a="1"/>
  <c r="BF85" i="7" s="1"/>
  <c r="AB85" i="7"/>
  <c r="F85" i="7"/>
  <c r="AU86" i="7"/>
  <c r="AV86" i="7"/>
  <c r="BG85" i="7" a="1"/>
  <c r="BG85" i="7" s="1"/>
  <c r="BM85" i="7" a="1"/>
  <c r="BM85" i="7" s="1"/>
  <c r="BQ85" i="7" a="1"/>
  <c r="BQ85" i="7" s="1"/>
  <c r="Z87" i="7" l="1"/>
  <c r="AU87" i="7" s="1"/>
  <c r="X88" i="7"/>
  <c r="Z88" i="7" s="1"/>
  <c r="BL86" i="7" a="1"/>
  <c r="BL86" i="7" s="1"/>
  <c r="AT87" i="7"/>
  <c r="AS87" i="7"/>
  <c r="AN87" i="7" a="1"/>
  <c r="AN87" i="7" s="1"/>
  <c r="AJ87" i="7" a="1"/>
  <c r="AJ87" i="7" s="1"/>
  <c r="AF87" i="7" a="1"/>
  <c r="AF87" i="7" s="1"/>
  <c r="AQ87" i="7" a="1"/>
  <c r="AQ87" i="7" s="1"/>
  <c r="AM87" i="7" a="1"/>
  <c r="AM87" i="7" s="1"/>
  <c r="AI87" i="7" a="1"/>
  <c r="AI87" i="7" s="1"/>
  <c r="AE87" i="7" a="1"/>
  <c r="AE87" i="7" s="1"/>
  <c r="AP87" i="7" a="1"/>
  <c r="AP87" i="7" s="1"/>
  <c r="AL87" i="7" a="1"/>
  <c r="AL87" i="7" s="1"/>
  <c r="AH87" i="7" a="1"/>
  <c r="AH87" i="7" s="1"/>
  <c r="AD87" i="7" a="1"/>
  <c r="AD87" i="7" s="1"/>
  <c r="AC87" i="7" a="1"/>
  <c r="AC87" i="7" s="1"/>
  <c r="E87" i="7"/>
  <c r="AK87" i="7" a="1"/>
  <c r="AK87" i="7" s="1"/>
  <c r="AG87" i="7" a="1"/>
  <c r="AG87" i="7" s="1"/>
  <c r="AO87" i="7" a="1"/>
  <c r="AO87" i="7" s="1"/>
  <c r="RM4" i="8"/>
  <c r="RN2" i="8" s="1"/>
  <c r="BD86" i="7" a="1"/>
  <c r="BD86" i="7" s="1"/>
  <c r="BC86" i="7" a="1"/>
  <c r="BC86" i="7" s="1"/>
  <c r="BB86" i="7" a="1"/>
  <c r="BB86" i="7" s="1"/>
  <c r="BA86" i="7" a="1"/>
  <c r="BA86" i="7" s="1"/>
  <c r="BE86" i="7" a="1"/>
  <c r="BE86" i="7" s="1"/>
  <c r="AZ86" i="7" a="1"/>
  <c r="AZ86" i="7" s="1"/>
  <c r="BH86" i="7" a="1"/>
  <c r="BH86" i="7" s="1"/>
  <c r="C89" i="7" a="1"/>
  <c r="C89" i="7" s="1"/>
  <c r="B89" i="7"/>
  <c r="A90" i="7" a="1"/>
  <c r="A90" i="7" s="1"/>
  <c r="V89" i="7"/>
  <c r="X89" i="7" s="1"/>
  <c r="AX87" i="7"/>
  <c r="AW87" i="7"/>
  <c r="QU14" i="8"/>
  <c r="QU39" i="8" s="1"/>
  <c r="QU13" i="8"/>
  <c r="QU38" i="8" s="1"/>
  <c r="QZ13" i="8"/>
  <c r="QZ38" i="8" s="1"/>
  <c r="BK86" i="7" a="1"/>
  <c r="BK86" i="7" s="1"/>
  <c r="BN86" i="7" a="1"/>
  <c r="BN86" i="7" s="1"/>
  <c r="BP86" i="7" a="1"/>
  <c r="BP86" i="7" s="1"/>
  <c r="BO86" i="7" a="1"/>
  <c r="BO86" i="7" s="1"/>
  <c r="BM86" i="7" a="1"/>
  <c r="BM86" i="7" s="1"/>
  <c r="QV26" i="8"/>
  <c r="QZ6" i="8"/>
  <c r="QZ31" i="8" s="1"/>
  <c r="QZ4" i="8"/>
  <c r="QZ29" i="8" s="1"/>
  <c r="QZ3" i="8"/>
  <c r="QZ28" i="8" s="1"/>
  <c r="QZ5" i="8"/>
  <c r="QZ30" i="8" s="1"/>
  <c r="BQ86" i="7" a="1"/>
  <c r="BQ86" i="7" s="1"/>
  <c r="AB86" i="7"/>
  <c r="F86" i="7"/>
  <c r="BI86" i="7" a="1"/>
  <c r="BI86" i="7" s="1"/>
  <c r="BJ86" i="7" a="1"/>
  <c r="BJ86" i="7" s="1"/>
  <c r="M88" i="7"/>
  <c r="N88" i="7" s="1"/>
  <c r="O88" i="7" s="1"/>
  <c r="D88" i="7"/>
  <c r="J88" i="7"/>
  <c r="K88" i="7" s="1"/>
  <c r="L88" i="7" s="1"/>
  <c r="G88" i="7"/>
  <c r="H88" i="7" s="1"/>
  <c r="I88" i="7" s="1"/>
  <c r="S88" i="7"/>
  <c r="T88" i="7" s="1"/>
  <c r="U88" i="7" s="1"/>
  <c r="P88" i="7"/>
  <c r="Q88" i="7" s="1"/>
  <c r="R88" i="7" s="1"/>
  <c r="BF86" i="7" a="1"/>
  <c r="BF86" i="7" s="1"/>
  <c r="BG86" i="7" a="1"/>
  <c r="BG86" i="7" s="1"/>
  <c r="W89" i="7" l="1"/>
  <c r="AV87" i="7"/>
  <c r="AA88" i="7"/>
  <c r="Y88" i="7"/>
  <c r="BK87" i="7" a="1"/>
  <c r="BK87" i="7" s="1"/>
  <c r="AO88" i="7" a="1"/>
  <c r="AO88" i="7" s="1"/>
  <c r="AK88" i="7" a="1"/>
  <c r="AK88" i="7" s="1"/>
  <c r="AG88" i="7" a="1"/>
  <c r="AG88" i="7" s="1"/>
  <c r="AC88" i="7" a="1"/>
  <c r="AC88" i="7" s="1"/>
  <c r="E88" i="7"/>
  <c r="AN88" i="7" a="1"/>
  <c r="AN88" i="7" s="1"/>
  <c r="AJ88" i="7" a="1"/>
  <c r="AJ88" i="7" s="1"/>
  <c r="AF88" i="7" a="1"/>
  <c r="AF88" i="7" s="1"/>
  <c r="AQ88" i="7" a="1"/>
  <c r="AQ88" i="7" s="1"/>
  <c r="AM88" i="7" a="1"/>
  <c r="AM88" i="7" s="1"/>
  <c r="AI88" i="7" a="1"/>
  <c r="AI88" i="7" s="1"/>
  <c r="AE88" i="7" a="1"/>
  <c r="AE88" i="7" s="1"/>
  <c r="AP88" i="7" a="1"/>
  <c r="AP88" i="7" s="1"/>
  <c r="AD88" i="7" a="1"/>
  <c r="AD88" i="7" s="1"/>
  <c r="AL88" i="7" a="1"/>
  <c r="AL88" i="7" s="1"/>
  <c r="AH88" i="7" a="1"/>
  <c r="AH88" i="7" s="1"/>
  <c r="BH87" i="7" a="1"/>
  <c r="BH87" i="7" s="1"/>
  <c r="AA89" i="7"/>
  <c r="Y89" i="7"/>
  <c r="Z89" i="7"/>
  <c r="BP87" i="7" a="1"/>
  <c r="BP87" i="7" s="1"/>
  <c r="BO87" i="7" a="1"/>
  <c r="BO87" i="7" s="1"/>
  <c r="G89" i="7"/>
  <c r="H89" i="7" s="1"/>
  <c r="I89" i="7" s="1"/>
  <c r="M89" i="7"/>
  <c r="N89" i="7" s="1"/>
  <c r="O89" i="7" s="1"/>
  <c r="S89" i="7"/>
  <c r="T89" i="7" s="1"/>
  <c r="U89" i="7" s="1"/>
  <c r="D89" i="7"/>
  <c r="P89" i="7"/>
  <c r="Q89" i="7" s="1"/>
  <c r="R89" i="7" s="1"/>
  <c r="J89" i="7"/>
  <c r="K89" i="7" s="1"/>
  <c r="L89" i="7" s="1"/>
  <c r="BF87" i="7" a="1"/>
  <c r="BF87" i="7" s="1"/>
  <c r="RK15" i="8"/>
  <c r="RK40" i="8" s="1"/>
  <c r="RK12" i="8"/>
  <c r="RK37" i="8" s="1"/>
  <c r="RK11" i="8"/>
  <c r="RK36" i="8" s="1"/>
  <c r="RF21" i="8"/>
  <c r="RK10" i="8"/>
  <c r="RK35" i="8" s="1"/>
  <c r="RF10" i="8"/>
  <c r="RF35" i="8" s="1"/>
  <c r="RG1" i="8"/>
  <c r="RF15" i="8"/>
  <c r="RF40" i="8" s="1"/>
  <c r="RK14" i="8"/>
  <c r="RK39" i="8" s="1"/>
  <c r="RN4" i="8"/>
  <c r="RF12" i="8"/>
  <c r="RF37" i="8" s="1"/>
  <c r="RF11" i="8"/>
  <c r="RF36" i="8" s="1"/>
  <c r="RF3" i="8"/>
  <c r="RF28" i="8" s="1"/>
  <c r="RX1" i="8"/>
  <c r="RX2" i="8" s="1"/>
  <c r="BQ87" i="7" a="1"/>
  <c r="BQ87" i="7" s="1"/>
  <c r="BG87" i="7" a="1"/>
  <c r="BG87" i="7" s="1"/>
  <c r="AX88" i="7"/>
  <c r="AW88" i="7"/>
  <c r="BL87" i="7" a="1"/>
  <c r="BL87" i="7" s="1"/>
  <c r="AB87" i="7"/>
  <c r="F87" i="7"/>
  <c r="AT88" i="7"/>
  <c r="AS88" i="7"/>
  <c r="B90" i="7"/>
  <c r="C90" i="7" a="1"/>
  <c r="C90" i="7" s="1"/>
  <c r="A91" i="7" a="1"/>
  <c r="A91" i="7" s="1"/>
  <c r="V90" i="7"/>
  <c r="W90" i="7" s="1"/>
  <c r="BE87" i="7" a="1"/>
  <c r="BE87" i="7" s="1"/>
  <c r="BA87" i="7" a="1"/>
  <c r="BA87" i="7" s="1"/>
  <c r="BD87" i="7" a="1"/>
  <c r="BD87" i="7" s="1"/>
  <c r="AZ87" i="7" a="1"/>
  <c r="AZ87" i="7" s="1"/>
  <c r="BC87" i="7" a="1"/>
  <c r="BC87" i="7" s="1"/>
  <c r="BB87" i="7" a="1"/>
  <c r="BB87" i="7" s="1"/>
  <c r="BN87" i="7" a="1"/>
  <c r="BN87" i="7" s="1"/>
  <c r="BM87" i="7" a="1"/>
  <c r="BM87" i="7" s="1"/>
  <c r="BI87" i="7" a="1"/>
  <c r="BI87" i="7" s="1"/>
  <c r="BJ87" i="7" a="1"/>
  <c r="BJ87" i="7" s="1"/>
  <c r="AV88" i="7"/>
  <c r="AU88" i="7"/>
  <c r="BQ88" i="7" l="1" a="1"/>
  <c r="BQ88" i="7" s="1"/>
  <c r="BG88" i="7" a="1"/>
  <c r="BG88" i="7" s="1"/>
  <c r="BO88" i="7" a="1"/>
  <c r="BO88" i="7" s="1"/>
  <c r="BF88" i="7" a="1"/>
  <c r="BF88" i="7" s="1"/>
  <c r="BN88" i="7" a="1"/>
  <c r="BN88" i="7" s="1"/>
  <c r="BL88" i="7" a="1"/>
  <c r="BL88" i="7" s="1"/>
  <c r="C91" i="7" a="1"/>
  <c r="C91" i="7" s="1"/>
  <c r="B91" i="7"/>
  <c r="A92" i="7" a="1"/>
  <c r="A92" i="7" s="1"/>
  <c r="V91" i="7"/>
  <c r="W91" i="7" s="1"/>
  <c r="BK88" i="7" a="1"/>
  <c r="BK88" i="7" s="1"/>
  <c r="F88" i="7"/>
  <c r="AB88" i="7"/>
  <c r="X90" i="7"/>
  <c r="BJ88" i="7" a="1"/>
  <c r="BJ88" i="7" s="1"/>
  <c r="BM88" i="7" a="1"/>
  <c r="BM88" i="7" s="1"/>
  <c r="E89" i="7"/>
  <c r="AP89" i="7" a="1"/>
  <c r="AP89" i="7" s="1"/>
  <c r="AH89" i="7" a="1"/>
  <c r="AH89" i="7" s="1"/>
  <c r="AO89" i="7" a="1"/>
  <c r="AO89" i="7" s="1"/>
  <c r="AG89" i="7" a="1"/>
  <c r="AG89" i="7" s="1"/>
  <c r="AN89" i="7" a="1"/>
  <c r="AN89" i="7" s="1"/>
  <c r="AF89" i="7" a="1"/>
  <c r="AF89" i="7" s="1"/>
  <c r="AL89" i="7" a="1"/>
  <c r="AL89" i="7" s="1"/>
  <c r="AD89" i="7" a="1"/>
  <c r="AD89" i="7" s="1"/>
  <c r="AK89" i="7" a="1"/>
  <c r="AK89" i="7" s="1"/>
  <c r="AC89" i="7" a="1"/>
  <c r="AC89" i="7" s="1"/>
  <c r="AQ89" i="7" a="1"/>
  <c r="AQ89" i="7" s="1"/>
  <c r="AI89" i="7" a="1"/>
  <c r="AI89" i="7" s="1"/>
  <c r="AM89" i="7" a="1"/>
  <c r="AM89" i="7" s="1"/>
  <c r="AJ89" i="7" a="1"/>
  <c r="AJ89" i="7" s="1"/>
  <c r="AE89" i="7" a="1"/>
  <c r="AE89" i="7" s="1"/>
  <c r="AU89" i="7"/>
  <c r="AV89" i="7"/>
  <c r="BB88" i="7" a="1"/>
  <c r="BB88" i="7" s="1"/>
  <c r="BE88" i="7" a="1"/>
  <c r="BE88" i="7" s="1"/>
  <c r="BA88" i="7" a="1"/>
  <c r="BA88" i="7" s="1"/>
  <c r="BD88" i="7" a="1"/>
  <c r="BD88" i="7" s="1"/>
  <c r="AZ88" i="7" a="1"/>
  <c r="AZ88" i="7" s="1"/>
  <c r="BC88" i="7" a="1"/>
  <c r="BC88" i="7" s="1"/>
  <c r="BP88" i="7" a="1"/>
  <c r="BP88" i="7" s="1"/>
  <c r="RK13" i="8"/>
  <c r="RK38" i="8" s="1"/>
  <c r="RF13" i="8"/>
  <c r="RF38" i="8" s="1"/>
  <c r="RF14" i="8"/>
  <c r="RF39" i="8" s="1"/>
  <c r="G90" i="7"/>
  <c r="H90" i="7" s="1"/>
  <c r="I90" i="7" s="1"/>
  <c r="M90" i="7"/>
  <c r="N90" i="7" s="1"/>
  <c r="O90" i="7" s="1"/>
  <c r="S90" i="7"/>
  <c r="T90" i="7" s="1"/>
  <c r="U90" i="7" s="1"/>
  <c r="P90" i="7"/>
  <c r="Q90" i="7" s="1"/>
  <c r="R90" i="7" s="1"/>
  <c r="J90" i="7"/>
  <c r="K90" i="7" s="1"/>
  <c r="L90" i="7" s="1"/>
  <c r="D90" i="7"/>
  <c r="BI88" i="7" a="1"/>
  <c r="BI88" i="7" s="1"/>
  <c r="RG26" i="8"/>
  <c r="RK5" i="8"/>
  <c r="RK30" i="8" s="1"/>
  <c r="RK4" i="8"/>
  <c r="RK29" i="8" s="1"/>
  <c r="RK3" i="8"/>
  <c r="RK28" i="8" s="1"/>
  <c r="RK6" i="8"/>
  <c r="RK31" i="8" s="1"/>
  <c r="AS89" i="7"/>
  <c r="AT89" i="7"/>
  <c r="RX4" i="8"/>
  <c r="RY2" i="8" s="1"/>
  <c r="AW89" i="7"/>
  <c r="AX89" i="7"/>
  <c r="BH88" i="7" a="1"/>
  <c r="BH88" i="7" s="1"/>
  <c r="X91" i="7" l="1"/>
  <c r="BQ89" i="7" a="1"/>
  <c r="BQ89" i="7" s="1"/>
  <c r="BL89" i="7" a="1"/>
  <c r="BL89" i="7" s="1"/>
  <c r="BH89" i="7" a="1"/>
  <c r="BH89" i="7" s="1"/>
  <c r="BK89" i="7" a="1"/>
  <c r="BK89" i="7" s="1"/>
  <c r="BP89" i="7" a="1"/>
  <c r="BP89" i="7" s="1"/>
  <c r="RQ21" i="8"/>
  <c r="RV15" i="8"/>
  <c r="RV40" i="8" s="1"/>
  <c r="RV12" i="8"/>
  <c r="RV37" i="8" s="1"/>
  <c r="RV11" i="8"/>
  <c r="RV36" i="8" s="1"/>
  <c r="RV10" i="8"/>
  <c r="RV35" i="8" s="1"/>
  <c r="RV14" i="8"/>
  <c r="RV39" i="8" s="1"/>
  <c r="RY4" i="8"/>
  <c r="RQ15" i="8"/>
  <c r="RQ40" i="8" s="1"/>
  <c r="RQ12" i="8"/>
  <c r="RQ37" i="8" s="1"/>
  <c r="RQ11" i="8"/>
  <c r="RQ36" i="8" s="1"/>
  <c r="RQ3" i="8"/>
  <c r="RQ28" i="8" s="1"/>
  <c r="SI1" i="8"/>
  <c r="SI2" i="8" s="1"/>
  <c r="RQ10" i="8"/>
  <c r="RQ35" i="8" s="1"/>
  <c r="RR1" i="8"/>
  <c r="C92" i="7" a="1"/>
  <c r="C92" i="7" s="1"/>
  <c r="B92" i="7"/>
  <c r="A93" i="7" a="1"/>
  <c r="A93" i="7" s="1"/>
  <c r="V92" i="7"/>
  <c r="W92" i="7" s="1"/>
  <c r="AA91" i="7"/>
  <c r="Y91" i="7"/>
  <c r="Z91" i="7"/>
  <c r="Y90" i="7"/>
  <c r="AA90" i="7"/>
  <c r="Z90" i="7"/>
  <c r="BC89" i="7" a="1"/>
  <c r="BC89" i="7" s="1"/>
  <c r="BB89" i="7" a="1"/>
  <c r="BB89" i="7" s="1"/>
  <c r="BA89" i="7" a="1"/>
  <c r="BA89" i="7" s="1"/>
  <c r="BD89" i="7" a="1"/>
  <c r="BD89" i="7" s="1"/>
  <c r="BE89" i="7" a="1"/>
  <c r="BE89" i="7" s="1"/>
  <c r="AZ89" i="7" a="1"/>
  <c r="AZ89" i="7" s="1"/>
  <c r="BF89" i="7" a="1"/>
  <c r="BF89" i="7" s="1"/>
  <c r="BG89" i="7" a="1"/>
  <c r="BG89" i="7" s="1"/>
  <c r="BN89" i="7" a="1"/>
  <c r="BN89" i="7" s="1"/>
  <c r="E90" i="7"/>
  <c r="AM90" i="7" a="1"/>
  <c r="AM90" i="7" s="1"/>
  <c r="AE90" i="7" a="1"/>
  <c r="AE90" i="7" s="1"/>
  <c r="AL90" i="7" a="1"/>
  <c r="AL90" i="7" s="1"/>
  <c r="AD90" i="7" a="1"/>
  <c r="AD90" i="7" s="1"/>
  <c r="AK90" i="7" a="1"/>
  <c r="AK90" i="7" s="1"/>
  <c r="AC90" i="7" a="1"/>
  <c r="AC90" i="7" s="1"/>
  <c r="AQ90" i="7" a="1"/>
  <c r="AQ90" i="7" s="1"/>
  <c r="AI90" i="7" a="1"/>
  <c r="AI90" i="7" s="1"/>
  <c r="AP90" i="7" a="1"/>
  <c r="AP90" i="7" s="1"/>
  <c r="AH90" i="7" a="1"/>
  <c r="AH90" i="7" s="1"/>
  <c r="AN90" i="7" a="1"/>
  <c r="AN90" i="7" s="1"/>
  <c r="AF90" i="7" a="1"/>
  <c r="AF90" i="7" s="1"/>
  <c r="AJ90" i="7" a="1"/>
  <c r="AJ90" i="7" s="1"/>
  <c r="AG90" i="7" a="1"/>
  <c r="AG90" i="7" s="1"/>
  <c r="AO90" i="7" a="1"/>
  <c r="AO90" i="7" s="1"/>
  <c r="S91" i="7"/>
  <c r="T91" i="7" s="1"/>
  <c r="U91" i="7" s="1"/>
  <c r="G91" i="7"/>
  <c r="H91" i="7" s="1"/>
  <c r="I91" i="7" s="1"/>
  <c r="M91" i="7"/>
  <c r="N91" i="7" s="1"/>
  <c r="O91" i="7" s="1"/>
  <c r="J91" i="7"/>
  <c r="K91" i="7" s="1"/>
  <c r="L91" i="7" s="1"/>
  <c r="D91" i="7"/>
  <c r="P91" i="7"/>
  <c r="Q91" i="7" s="1"/>
  <c r="R91" i="7" s="1"/>
  <c r="BM89" i="7" a="1"/>
  <c r="BM89" i="7" s="1"/>
  <c r="F89" i="7"/>
  <c r="AB89" i="7"/>
  <c r="BI89" i="7" a="1"/>
  <c r="BI89" i="7" s="1"/>
  <c r="BO89" i="7" a="1"/>
  <c r="BO89" i="7" s="1"/>
  <c r="BJ89" i="7" a="1"/>
  <c r="BJ89" i="7" s="1"/>
  <c r="X92" i="7" l="1"/>
  <c r="AA92" i="7" s="1"/>
  <c r="E91" i="7"/>
  <c r="AJ91" i="7" a="1"/>
  <c r="AJ91" i="7" s="1"/>
  <c r="AQ91" i="7" a="1"/>
  <c r="AQ91" i="7" s="1"/>
  <c r="AI91" i="7" a="1"/>
  <c r="AI91" i="7" s="1"/>
  <c r="AP91" i="7" a="1"/>
  <c r="AP91" i="7" s="1"/>
  <c r="AH91" i="7" a="1"/>
  <c r="AH91" i="7" s="1"/>
  <c r="AO91" i="7" a="1"/>
  <c r="AO91" i="7" s="1"/>
  <c r="AG91" i="7" a="1"/>
  <c r="AG91" i="7" s="1"/>
  <c r="AN91" i="7" a="1"/>
  <c r="AN91" i="7" s="1"/>
  <c r="AF91" i="7" a="1"/>
  <c r="AF91" i="7" s="1"/>
  <c r="AM91" i="7" a="1"/>
  <c r="AM91" i="7" s="1"/>
  <c r="AE91" i="7" a="1"/>
  <c r="AE91" i="7" s="1"/>
  <c r="AK91" i="7" a="1"/>
  <c r="AK91" i="7" s="1"/>
  <c r="AC91" i="7" a="1"/>
  <c r="AC91" i="7" s="1"/>
  <c r="AD91" i="7" a="1"/>
  <c r="AD91" i="7" s="1"/>
  <c r="AL91" i="7" a="1"/>
  <c r="AL91" i="7" s="1"/>
  <c r="AB90" i="7"/>
  <c r="F90" i="7"/>
  <c r="AS90" i="7"/>
  <c r="BD90" i="7" s="1" a="1"/>
  <c r="BD90" i="7" s="1"/>
  <c r="AT90" i="7"/>
  <c r="RV13" i="8"/>
  <c r="RV38" i="8" s="1"/>
  <c r="RQ14" i="8"/>
  <c r="RQ39" i="8" s="1"/>
  <c r="RQ13" i="8"/>
  <c r="RQ38" i="8" s="1"/>
  <c r="AS91" i="7"/>
  <c r="AT91" i="7"/>
  <c r="RR26" i="8"/>
  <c r="RV4" i="8"/>
  <c r="RV29" i="8" s="1"/>
  <c r="RV5" i="8"/>
  <c r="RV30" i="8" s="1"/>
  <c r="RV3" i="8"/>
  <c r="RV28" i="8" s="1"/>
  <c r="RV6" i="8"/>
  <c r="RV31" i="8" s="1"/>
  <c r="AU91" i="7"/>
  <c r="AV91" i="7"/>
  <c r="M92" i="7"/>
  <c r="N92" i="7" s="1"/>
  <c r="O92" i="7" s="1"/>
  <c r="S92" i="7"/>
  <c r="T92" i="7" s="1"/>
  <c r="U92" i="7" s="1"/>
  <c r="G92" i="7"/>
  <c r="H92" i="7" s="1"/>
  <c r="I92" i="7" s="1"/>
  <c r="D92" i="7"/>
  <c r="P92" i="7"/>
  <c r="Q92" i="7" s="1"/>
  <c r="R92" i="7" s="1"/>
  <c r="J92" i="7"/>
  <c r="K92" i="7" s="1"/>
  <c r="L92" i="7" s="1"/>
  <c r="AW91" i="7"/>
  <c r="AX91" i="7"/>
  <c r="SI4" i="8"/>
  <c r="SJ2" i="8" s="1"/>
  <c r="AU90" i="7"/>
  <c r="AV90" i="7"/>
  <c r="C93" i="7" a="1"/>
  <c r="C93" i="7" s="1"/>
  <c r="B93" i="7"/>
  <c r="A94" i="7" a="1"/>
  <c r="A94" i="7" s="1"/>
  <c r="V93" i="7"/>
  <c r="X93" i="7" s="1"/>
  <c r="AW90" i="7"/>
  <c r="AX90" i="7"/>
  <c r="BH90" i="7" l="1" a="1"/>
  <c r="BH90" i="7" s="1"/>
  <c r="BI90" i="7" a="1"/>
  <c r="BI90" i="7" s="1"/>
  <c r="BJ90" i="7" a="1"/>
  <c r="BJ90" i="7" s="1"/>
  <c r="BO90" i="7" a="1"/>
  <c r="BO90" i="7" s="1"/>
  <c r="BQ90" i="7" a="1"/>
  <c r="BQ90" i="7" s="1"/>
  <c r="BG90" i="7" a="1"/>
  <c r="BG90" i="7" s="1"/>
  <c r="BP90" i="7" a="1"/>
  <c r="BP90" i="7" s="1"/>
  <c r="BN90" i="7" a="1"/>
  <c r="BN90" i="7" s="1"/>
  <c r="BM90" i="7" a="1"/>
  <c r="BM90" i="7" s="1"/>
  <c r="BK90" i="7" a="1"/>
  <c r="BK90" i="7" s="1"/>
  <c r="BL90" i="7" a="1"/>
  <c r="BL90" i="7" s="1"/>
  <c r="BF90" i="7" a="1"/>
  <c r="BF90" i="7" s="1"/>
  <c r="Z92" i="7"/>
  <c r="Y92" i="7"/>
  <c r="AS92" i="7" s="1"/>
  <c r="BB90" i="7" a="1"/>
  <c r="BB90" i="7" s="1"/>
  <c r="AZ90" i="7" a="1"/>
  <c r="AZ90" i="7" s="1"/>
  <c r="BE90" i="7" a="1"/>
  <c r="BE90" i="7" s="1"/>
  <c r="BA90" i="7" a="1"/>
  <c r="BA90" i="7" s="1"/>
  <c r="BC90" i="7" a="1"/>
  <c r="BC90" i="7" s="1"/>
  <c r="SB15" i="8"/>
  <c r="SB40" i="8" s="1"/>
  <c r="SG12" i="8"/>
  <c r="SG37" i="8" s="1"/>
  <c r="SG11" i="8"/>
  <c r="SG36" i="8" s="1"/>
  <c r="SG10" i="8"/>
  <c r="SG35" i="8" s="1"/>
  <c r="SG15" i="8"/>
  <c r="SG40" i="8" s="1"/>
  <c r="SG14" i="8"/>
  <c r="SG39" i="8" s="1"/>
  <c r="SB12" i="8"/>
  <c r="SB37" i="8" s="1"/>
  <c r="SB11" i="8"/>
  <c r="SB36" i="8" s="1"/>
  <c r="SB3" i="8"/>
  <c r="SB28" i="8" s="1"/>
  <c r="ST1" i="8"/>
  <c r="ST2" i="8" s="1"/>
  <c r="SB21" i="8"/>
  <c r="SB10" i="8"/>
  <c r="SB35" i="8" s="1"/>
  <c r="SC1" i="8"/>
  <c r="SJ4" i="8"/>
  <c r="AA93" i="7"/>
  <c r="Y93" i="7"/>
  <c r="Z93" i="7"/>
  <c r="G93" i="7"/>
  <c r="H93" i="7" s="1"/>
  <c r="I93" i="7" s="1"/>
  <c r="M93" i="7"/>
  <c r="N93" i="7" s="1"/>
  <c r="O93" i="7" s="1"/>
  <c r="S93" i="7"/>
  <c r="T93" i="7" s="1"/>
  <c r="U93" i="7" s="1"/>
  <c r="P93" i="7"/>
  <c r="Q93" i="7" s="1"/>
  <c r="R93" i="7" s="1"/>
  <c r="J93" i="7"/>
  <c r="K93" i="7" s="1"/>
  <c r="L93" i="7" s="1"/>
  <c r="D93" i="7"/>
  <c r="AW92" i="7"/>
  <c r="AX92" i="7"/>
  <c r="AT92" i="7"/>
  <c r="W93" i="7"/>
  <c r="BE91" i="7" a="1"/>
  <c r="BE91" i="7" s="1"/>
  <c r="BD91" i="7" a="1"/>
  <c r="BD91" i="7" s="1"/>
  <c r="BC91" i="7" a="1"/>
  <c r="BC91" i="7" s="1"/>
  <c r="BB91" i="7" a="1"/>
  <c r="BB91" i="7" s="1"/>
  <c r="BA91" i="7" a="1"/>
  <c r="BA91" i="7" s="1"/>
  <c r="AZ91" i="7" a="1"/>
  <c r="AZ91" i="7" s="1"/>
  <c r="BI91" i="7" a="1"/>
  <c r="BI91" i="7" s="1"/>
  <c r="BP91" i="7" a="1"/>
  <c r="BP91" i="7" s="1"/>
  <c r="BG91" i="7" a="1"/>
  <c r="BG91" i="7" s="1"/>
  <c r="BH91" i="7" a="1"/>
  <c r="BH91" i="7" s="1"/>
  <c r="BM91" i="7" a="1"/>
  <c r="BM91" i="7" s="1"/>
  <c r="BN91" i="7" a="1"/>
  <c r="BN91" i="7" s="1"/>
  <c r="BL91" i="7" a="1"/>
  <c r="BL91" i="7" s="1"/>
  <c r="BF91" i="7" a="1"/>
  <c r="BF91" i="7" s="1"/>
  <c r="BK91" i="7" a="1"/>
  <c r="BK91" i="7" s="1"/>
  <c r="BO91" i="7" a="1"/>
  <c r="BO91" i="7" s="1"/>
  <c r="BQ91" i="7" a="1"/>
  <c r="BQ91" i="7" s="1"/>
  <c r="BJ91" i="7" a="1"/>
  <c r="BJ91" i="7" s="1"/>
  <c r="B94" i="7"/>
  <c r="C94" i="7" a="1"/>
  <c r="C94" i="7" s="1"/>
  <c r="A95" i="7" a="1"/>
  <c r="A95" i="7" s="1"/>
  <c r="V94" i="7"/>
  <c r="X94" i="7" s="1"/>
  <c r="E92" i="7"/>
  <c r="AO92" i="7" a="1"/>
  <c r="AO92" i="7" s="1"/>
  <c r="AG92" i="7" a="1"/>
  <c r="AG92" i="7" s="1"/>
  <c r="AN92" i="7" a="1"/>
  <c r="AN92" i="7" s="1"/>
  <c r="AF92" i="7" a="1"/>
  <c r="AF92" i="7" s="1"/>
  <c r="AM92" i="7" a="1"/>
  <c r="AM92" i="7" s="1"/>
  <c r="AE92" i="7" a="1"/>
  <c r="AE92" i="7" s="1"/>
  <c r="AL92" i="7" a="1"/>
  <c r="AL92" i="7" s="1"/>
  <c r="AD92" i="7" a="1"/>
  <c r="AD92" i="7" s="1"/>
  <c r="AK92" i="7" a="1"/>
  <c r="AK92" i="7" s="1"/>
  <c r="AC92" i="7" a="1"/>
  <c r="AC92" i="7" s="1"/>
  <c r="AJ92" i="7" a="1"/>
  <c r="AJ92" i="7" s="1"/>
  <c r="AP92" i="7" a="1"/>
  <c r="AP92" i="7" s="1"/>
  <c r="AH92" i="7" a="1"/>
  <c r="AH92" i="7" s="1"/>
  <c r="AQ92" i="7" a="1"/>
  <c r="AQ92" i="7" s="1"/>
  <c r="AI92" i="7" a="1"/>
  <c r="AI92" i="7" s="1"/>
  <c r="AU92" i="7"/>
  <c r="AV92" i="7"/>
  <c r="AB91" i="7"/>
  <c r="F91" i="7"/>
  <c r="BF92" i="7" l="1" a="1"/>
  <c r="BF92" i="7" s="1"/>
  <c r="W94" i="7"/>
  <c r="BH92" i="7" a="1"/>
  <c r="BH92" i="7" s="1"/>
  <c r="F92" i="7"/>
  <c r="AB92" i="7"/>
  <c r="C95" i="7" a="1"/>
  <c r="C95" i="7" s="1"/>
  <c r="B95" i="7"/>
  <c r="A96" i="7" a="1"/>
  <c r="A96" i="7" s="1"/>
  <c r="V95" i="7"/>
  <c r="X95" i="7" s="1"/>
  <c r="BJ92" i="7" a="1"/>
  <c r="BJ92" i="7" s="1"/>
  <c r="BL92" i="7" a="1"/>
  <c r="BL92" i="7" s="1"/>
  <c r="AS93" i="7"/>
  <c r="AT93" i="7"/>
  <c r="Y94" i="7"/>
  <c r="AA94" i="7"/>
  <c r="Z94" i="7"/>
  <c r="E93" i="7"/>
  <c r="AL93" i="7" a="1"/>
  <c r="AL93" i="7" s="1"/>
  <c r="AD93" i="7" a="1"/>
  <c r="AD93" i="7" s="1"/>
  <c r="AK93" i="7" a="1"/>
  <c r="AK93" i="7" s="1"/>
  <c r="AC93" i="7" a="1"/>
  <c r="AC93" i="7" s="1"/>
  <c r="AJ93" i="7" a="1"/>
  <c r="AJ93" i="7" s="1"/>
  <c r="AQ93" i="7" a="1"/>
  <c r="AQ93" i="7" s="1"/>
  <c r="AI93" i="7" a="1"/>
  <c r="AI93" i="7" s="1"/>
  <c r="AP93" i="7" a="1"/>
  <c r="AP93" i="7" s="1"/>
  <c r="AH93" i="7" a="1"/>
  <c r="AH93" i="7" s="1"/>
  <c r="AO93" i="7" a="1"/>
  <c r="AO93" i="7" s="1"/>
  <c r="AG93" i="7" a="1"/>
  <c r="AG93" i="7" s="1"/>
  <c r="AM93" i="7" a="1"/>
  <c r="AM93" i="7" s="1"/>
  <c r="AE93" i="7" a="1"/>
  <c r="AE93" i="7" s="1"/>
  <c r="AN93" i="7" a="1"/>
  <c r="AN93" i="7" s="1"/>
  <c r="AF93" i="7" a="1"/>
  <c r="AF93" i="7" s="1"/>
  <c r="AW93" i="7"/>
  <c r="AX93" i="7"/>
  <c r="SB14" i="8"/>
  <c r="SB39" i="8" s="1"/>
  <c r="SG13" i="8"/>
  <c r="SG38" i="8" s="1"/>
  <c r="SB13" i="8"/>
  <c r="SB38" i="8" s="1"/>
  <c r="BB92" i="7" a="1"/>
  <c r="BB92" i="7" s="1"/>
  <c r="BA92" i="7" a="1"/>
  <c r="BA92" i="7" s="1"/>
  <c r="AZ92" i="7" a="1"/>
  <c r="AZ92" i="7" s="1"/>
  <c r="BE92" i="7" a="1"/>
  <c r="BE92" i="7" s="1"/>
  <c r="BC92" i="7" a="1"/>
  <c r="BC92" i="7" s="1"/>
  <c r="BD92" i="7" a="1"/>
  <c r="BD92" i="7" s="1"/>
  <c r="BK92" i="7" a="1"/>
  <c r="BK92" i="7" s="1"/>
  <c r="BI92" i="7" a="1"/>
  <c r="BI92" i="7" s="1"/>
  <c r="G94" i="7"/>
  <c r="H94" i="7" s="1"/>
  <c r="I94" i="7" s="1"/>
  <c r="M94" i="7"/>
  <c r="N94" i="7" s="1"/>
  <c r="O94" i="7" s="1"/>
  <c r="S94" i="7"/>
  <c r="T94" i="7" s="1"/>
  <c r="U94" i="7" s="1"/>
  <c r="J94" i="7"/>
  <c r="K94" i="7" s="1"/>
  <c r="L94" i="7" s="1"/>
  <c r="D94" i="7"/>
  <c r="P94" i="7"/>
  <c r="Q94" i="7" s="1"/>
  <c r="R94" i="7" s="1"/>
  <c r="SG4" i="8"/>
  <c r="SG29" i="8" s="1"/>
  <c r="SG3" i="8"/>
  <c r="SG28" i="8" s="1"/>
  <c r="SG5" i="8"/>
  <c r="SG30" i="8" s="1"/>
  <c r="SG6" i="8"/>
  <c r="SG31" i="8" s="1"/>
  <c r="SC26" i="8"/>
  <c r="BQ92" i="7" a="1"/>
  <c r="BQ92" i="7" s="1"/>
  <c r="BO92" i="7" a="1"/>
  <c r="BO92" i="7" s="1"/>
  <c r="BM92" i="7" a="1"/>
  <c r="BM92" i="7" s="1"/>
  <c r="BG92" i="7" a="1"/>
  <c r="BG92" i="7" s="1"/>
  <c r="ST4" i="8"/>
  <c r="SU2" i="8" s="1"/>
  <c r="BN92" i="7" a="1"/>
  <c r="BN92" i="7" s="1"/>
  <c r="BP92" i="7" a="1"/>
  <c r="BP92" i="7" s="1"/>
  <c r="AU93" i="7"/>
  <c r="AV93" i="7"/>
  <c r="BQ93" i="7" l="1" a="1"/>
  <c r="BQ93" i="7" s="1"/>
  <c r="W95" i="7"/>
  <c r="BP93" i="7" a="1"/>
  <c r="BP93" i="7" s="1"/>
  <c r="BK93" i="7" a="1"/>
  <c r="BK93" i="7" s="1"/>
  <c r="SM15" i="8"/>
  <c r="SM40" i="8" s="1"/>
  <c r="SR14" i="8"/>
  <c r="SR39" i="8" s="1"/>
  <c r="SM3" i="8"/>
  <c r="SM28" i="8" s="1"/>
  <c r="SM21" i="8"/>
  <c r="SM12" i="8"/>
  <c r="SM37" i="8" s="1"/>
  <c r="SM11" i="8"/>
  <c r="SM36" i="8" s="1"/>
  <c r="SR15" i="8"/>
  <c r="SR40" i="8" s="1"/>
  <c r="TE1" i="8"/>
  <c r="TE2" i="8" s="1"/>
  <c r="SR12" i="8"/>
  <c r="SR37" i="8" s="1"/>
  <c r="SR11" i="8"/>
  <c r="SR36" i="8" s="1"/>
  <c r="SR10" i="8"/>
  <c r="SR35" i="8" s="1"/>
  <c r="SU4" i="8"/>
  <c r="SN1" i="8"/>
  <c r="SM10" i="8"/>
  <c r="SM35" i="8" s="1"/>
  <c r="BF93" i="7" a="1"/>
  <c r="BF93" i="7" s="1"/>
  <c r="AW94" i="7"/>
  <c r="AX94" i="7"/>
  <c r="C96" i="7" a="1"/>
  <c r="C96" i="7" s="1"/>
  <c r="B96" i="7"/>
  <c r="A97" i="7" a="1"/>
  <c r="A97" i="7" s="1"/>
  <c r="V96" i="7"/>
  <c r="X96" i="7" s="1"/>
  <c r="BN93" i="7" a="1"/>
  <c r="BN93" i="7" s="1"/>
  <c r="E94" i="7"/>
  <c r="AQ94" i="7" a="1"/>
  <c r="AQ94" i="7" s="1"/>
  <c r="AI94" i="7" a="1"/>
  <c r="AI94" i="7" s="1"/>
  <c r="AP94" i="7" a="1"/>
  <c r="AP94" i="7" s="1"/>
  <c r="AH94" i="7" a="1"/>
  <c r="AH94" i="7" s="1"/>
  <c r="AO94" i="7" a="1"/>
  <c r="AO94" i="7" s="1"/>
  <c r="AG94" i="7" a="1"/>
  <c r="AG94" i="7" s="1"/>
  <c r="AN94" i="7" a="1"/>
  <c r="AN94" i="7" s="1"/>
  <c r="AF94" i="7" a="1"/>
  <c r="AF94" i="7" s="1"/>
  <c r="AM94" i="7" a="1"/>
  <c r="AM94" i="7" s="1"/>
  <c r="AE94" i="7" a="1"/>
  <c r="AE94" i="7" s="1"/>
  <c r="AL94" i="7" a="1"/>
  <c r="AL94" i="7" s="1"/>
  <c r="AD94" i="7" a="1"/>
  <c r="AD94" i="7" s="1"/>
  <c r="AJ94" i="7" a="1"/>
  <c r="AJ94" i="7" s="1"/>
  <c r="AK94" i="7" a="1"/>
  <c r="AK94" i="7" s="1"/>
  <c r="AC94" i="7" a="1"/>
  <c r="AC94" i="7" s="1"/>
  <c r="BM93" i="7" a="1"/>
  <c r="BM93" i="7" s="1"/>
  <c r="S95" i="7"/>
  <c r="T95" i="7" s="1"/>
  <c r="U95" i="7" s="1"/>
  <c r="G95" i="7"/>
  <c r="H95" i="7" s="1"/>
  <c r="I95" i="7" s="1"/>
  <c r="M95" i="7"/>
  <c r="N95" i="7" s="1"/>
  <c r="O95" i="7" s="1"/>
  <c r="D95" i="7"/>
  <c r="P95" i="7"/>
  <c r="Q95" i="7" s="1"/>
  <c r="R95" i="7" s="1"/>
  <c r="J95" i="7"/>
  <c r="K95" i="7" s="1"/>
  <c r="L95" i="7" s="1"/>
  <c r="BE93" i="7" a="1"/>
  <c r="BE93" i="7" s="1"/>
  <c r="BD93" i="7" a="1"/>
  <c r="BD93" i="7" s="1"/>
  <c r="BC93" i="7" a="1"/>
  <c r="BC93" i="7" s="1"/>
  <c r="BB93" i="7" a="1"/>
  <c r="BB93" i="7" s="1"/>
  <c r="AZ93" i="7" a="1"/>
  <c r="AZ93" i="7" s="1"/>
  <c r="BA93" i="7" a="1"/>
  <c r="BA93" i="7" s="1"/>
  <c r="BI93" i="7" a="1"/>
  <c r="BI93" i="7" s="1"/>
  <c r="BJ93" i="7" a="1"/>
  <c r="BJ93" i="7" s="1"/>
  <c r="AB93" i="7"/>
  <c r="F93" i="7"/>
  <c r="AS94" i="7"/>
  <c r="AT94" i="7"/>
  <c r="BL93" i="7" a="1"/>
  <c r="BL93" i="7" s="1"/>
  <c r="BO93" i="7" a="1"/>
  <c r="BO93" i="7" s="1"/>
  <c r="BH93" i="7" a="1"/>
  <c r="BH93" i="7" s="1"/>
  <c r="AU94" i="7"/>
  <c r="AV94" i="7"/>
  <c r="AA95" i="7"/>
  <c r="Y95" i="7"/>
  <c r="Z95" i="7"/>
  <c r="BG93" i="7" a="1"/>
  <c r="BG93" i="7" s="1"/>
  <c r="W96" i="7" l="1"/>
  <c r="AA96" i="7"/>
  <c r="Y96" i="7"/>
  <c r="Z96" i="7"/>
  <c r="TE4" i="8"/>
  <c r="TF2" i="8" s="1"/>
  <c r="AU95" i="7"/>
  <c r="AV95" i="7"/>
  <c r="AS95" i="7"/>
  <c r="AT95" i="7"/>
  <c r="A98" i="7" a="1"/>
  <c r="A98" i="7" s="1"/>
  <c r="C97" i="7" a="1"/>
  <c r="C97" i="7" s="1"/>
  <c r="B97" i="7"/>
  <c r="V97" i="7"/>
  <c r="W97" i="7" s="1"/>
  <c r="BD94" i="7" a="1"/>
  <c r="BD94" i="7" s="1"/>
  <c r="BC94" i="7" a="1"/>
  <c r="BC94" i="7" s="1"/>
  <c r="BB94" i="7" a="1"/>
  <c r="BB94" i="7" s="1"/>
  <c r="BA94" i="7" a="1"/>
  <c r="BA94" i="7" s="1"/>
  <c r="AZ94" i="7" a="1"/>
  <c r="AZ94" i="7" s="1"/>
  <c r="BE94" i="7" a="1"/>
  <c r="BE94" i="7" s="1"/>
  <c r="BO94" i="7" a="1"/>
  <c r="BO94" i="7" s="1"/>
  <c r="BL94" i="7" a="1"/>
  <c r="BL94" i="7" s="1"/>
  <c r="BG94" i="7" a="1"/>
  <c r="BG94" i="7" s="1"/>
  <c r="BK94" i="7" a="1"/>
  <c r="BK94" i="7" s="1"/>
  <c r="BM94" i="7" a="1"/>
  <c r="BM94" i="7" s="1"/>
  <c r="BJ94" i="7" a="1"/>
  <c r="BJ94" i="7" s="1"/>
  <c r="BN94" i="7" a="1"/>
  <c r="BN94" i="7" s="1"/>
  <c r="BP94" i="7" a="1"/>
  <c r="BP94" i="7" s="1"/>
  <c r="BQ94" i="7" a="1"/>
  <c r="BQ94" i="7" s="1"/>
  <c r="BF94" i="7" a="1"/>
  <c r="BF94" i="7" s="1"/>
  <c r="BI94" i="7" a="1"/>
  <c r="BI94" i="7" s="1"/>
  <c r="BH94" i="7" a="1"/>
  <c r="BH94" i="7" s="1"/>
  <c r="AW95" i="7"/>
  <c r="AX95" i="7"/>
  <c r="SN26" i="8"/>
  <c r="SR3" i="8"/>
  <c r="SR28" i="8" s="1"/>
  <c r="SR5" i="8"/>
  <c r="SR30" i="8" s="1"/>
  <c r="SR6" i="8"/>
  <c r="SR31" i="8" s="1"/>
  <c r="SR4" i="8"/>
  <c r="SR29" i="8" s="1"/>
  <c r="SM14" i="8"/>
  <c r="SM39" i="8" s="1"/>
  <c r="SM13" i="8"/>
  <c r="SM38" i="8" s="1"/>
  <c r="SR13" i="8"/>
  <c r="SR38" i="8" s="1"/>
  <c r="M96" i="7"/>
  <c r="N96" i="7" s="1"/>
  <c r="O96" i="7" s="1"/>
  <c r="S96" i="7"/>
  <c r="T96" i="7" s="1"/>
  <c r="U96" i="7" s="1"/>
  <c r="G96" i="7"/>
  <c r="H96" i="7" s="1"/>
  <c r="I96" i="7" s="1"/>
  <c r="J96" i="7"/>
  <c r="K96" i="7" s="1"/>
  <c r="L96" i="7" s="1"/>
  <c r="D96" i="7"/>
  <c r="P96" i="7"/>
  <c r="Q96" i="7" s="1"/>
  <c r="R96" i="7" s="1"/>
  <c r="E95" i="7"/>
  <c r="AN95" i="7" a="1"/>
  <c r="AN95" i="7" s="1"/>
  <c r="AF95" i="7" a="1"/>
  <c r="AF95" i="7" s="1"/>
  <c r="AM95" i="7" a="1"/>
  <c r="AM95" i="7" s="1"/>
  <c r="AE95" i="7" a="1"/>
  <c r="AE95" i="7" s="1"/>
  <c r="AL95" i="7" a="1"/>
  <c r="AL95" i="7" s="1"/>
  <c r="AD95" i="7" a="1"/>
  <c r="AD95" i="7" s="1"/>
  <c r="AK95" i="7" a="1"/>
  <c r="AK95" i="7" s="1"/>
  <c r="AC95" i="7" a="1"/>
  <c r="AC95" i="7" s="1"/>
  <c r="AJ95" i="7" a="1"/>
  <c r="AJ95" i="7" s="1"/>
  <c r="AQ95" i="7" a="1"/>
  <c r="AQ95" i="7" s="1"/>
  <c r="AI95" i="7" a="1"/>
  <c r="AI95" i="7" s="1"/>
  <c r="AO95" i="7" a="1"/>
  <c r="AO95" i="7" s="1"/>
  <c r="AG95" i="7" a="1"/>
  <c r="AG95" i="7" s="1"/>
  <c r="AP95" i="7" a="1"/>
  <c r="AP95" i="7" s="1"/>
  <c r="AH95" i="7" a="1"/>
  <c r="AH95" i="7" s="1"/>
  <c r="F94" i="7"/>
  <c r="AB94" i="7"/>
  <c r="TC14" i="8" l="1"/>
  <c r="TC39" i="8" s="1"/>
  <c r="TF4" i="8"/>
  <c r="SX21" i="8"/>
  <c r="TC15" i="8"/>
  <c r="TC40" i="8" s="1"/>
  <c r="TC12" i="8"/>
  <c r="TC37" i="8" s="1"/>
  <c r="TC11" i="8"/>
  <c r="TC36" i="8" s="1"/>
  <c r="TC10" i="8"/>
  <c r="TC35" i="8" s="1"/>
  <c r="SX15" i="8"/>
  <c r="SX40" i="8" s="1"/>
  <c r="SX3" i="8"/>
  <c r="SX28" i="8" s="1"/>
  <c r="SX12" i="8"/>
  <c r="SX37" i="8" s="1"/>
  <c r="SX11" i="8"/>
  <c r="SX36" i="8" s="1"/>
  <c r="SY1" i="8"/>
  <c r="SX10" i="8"/>
  <c r="SX35" i="8" s="1"/>
  <c r="TP1" i="8"/>
  <c r="TP2" i="8" s="1"/>
  <c r="BA95" i="7" a="1"/>
  <c r="BA95" i="7" s="1"/>
  <c r="AZ95" i="7" a="1"/>
  <c r="AZ95" i="7" s="1"/>
  <c r="BE95" i="7" a="1"/>
  <c r="BE95" i="7" s="1"/>
  <c r="BD95" i="7" a="1"/>
  <c r="BD95" i="7" s="1"/>
  <c r="BB95" i="7" a="1"/>
  <c r="BB95" i="7" s="1"/>
  <c r="BC95" i="7" a="1"/>
  <c r="BC95" i="7" s="1"/>
  <c r="BF95" i="7" a="1"/>
  <c r="BF95" i="7" s="1"/>
  <c r="BQ95" i="7" a="1"/>
  <c r="BQ95" i="7" s="1"/>
  <c r="BM95" i="7" a="1"/>
  <c r="BM95" i="7" s="1"/>
  <c r="BI95" i="7" a="1"/>
  <c r="BI95" i="7" s="1"/>
  <c r="BL95" i="7" a="1"/>
  <c r="BL95" i="7" s="1"/>
  <c r="BJ95" i="7" a="1"/>
  <c r="BJ95" i="7" s="1"/>
  <c r="BP95" i="7" a="1"/>
  <c r="BP95" i="7" s="1"/>
  <c r="BH95" i="7" a="1"/>
  <c r="BH95" i="7" s="1"/>
  <c r="BK95" i="7" a="1"/>
  <c r="BK95" i="7" s="1"/>
  <c r="BO95" i="7" a="1"/>
  <c r="BO95" i="7" s="1"/>
  <c r="BN95" i="7" a="1"/>
  <c r="BN95" i="7" s="1"/>
  <c r="BG95" i="7" a="1"/>
  <c r="BG95" i="7" s="1"/>
  <c r="AB95" i="7"/>
  <c r="F95" i="7"/>
  <c r="X97" i="7"/>
  <c r="G97" i="7"/>
  <c r="H97" i="7" s="1"/>
  <c r="I97" i="7" s="1"/>
  <c r="M97" i="7"/>
  <c r="N97" i="7" s="1"/>
  <c r="O97" i="7" s="1"/>
  <c r="S97" i="7"/>
  <c r="T97" i="7" s="1"/>
  <c r="U97" i="7" s="1"/>
  <c r="D97" i="7"/>
  <c r="P97" i="7"/>
  <c r="Q97" i="7" s="1"/>
  <c r="R97" i="7" s="1"/>
  <c r="J97" i="7"/>
  <c r="K97" i="7" s="1"/>
  <c r="L97" i="7" s="1"/>
  <c r="E96" i="7"/>
  <c r="AK96" i="7" a="1"/>
  <c r="AK96" i="7" s="1"/>
  <c r="AC96" i="7" a="1"/>
  <c r="AC96" i="7" s="1"/>
  <c r="AJ96" i="7" a="1"/>
  <c r="AJ96" i="7" s="1"/>
  <c r="AQ96" i="7" a="1"/>
  <c r="AQ96" i="7" s="1"/>
  <c r="AI96" i="7" a="1"/>
  <c r="AI96" i="7" s="1"/>
  <c r="AP96" i="7" a="1"/>
  <c r="AP96" i="7" s="1"/>
  <c r="AH96" i="7" a="1"/>
  <c r="AH96" i="7" s="1"/>
  <c r="AO96" i="7" a="1"/>
  <c r="AO96" i="7" s="1"/>
  <c r="AG96" i="7" a="1"/>
  <c r="AG96" i="7" s="1"/>
  <c r="AN96" i="7" a="1"/>
  <c r="AN96" i="7" s="1"/>
  <c r="AF96" i="7" a="1"/>
  <c r="AF96" i="7" s="1"/>
  <c r="AL96" i="7" a="1"/>
  <c r="AL96" i="7" s="1"/>
  <c r="AD96" i="7" a="1"/>
  <c r="AD96" i="7" s="1"/>
  <c r="AE96" i="7" a="1"/>
  <c r="AE96" i="7" s="1"/>
  <c r="AM96" i="7" a="1"/>
  <c r="AM96" i="7" s="1"/>
  <c r="B98" i="7"/>
  <c r="A99" i="7" a="1"/>
  <c r="A99" i="7" s="1"/>
  <c r="V98" i="7"/>
  <c r="W98" i="7" s="1"/>
  <c r="C98" i="7" a="1"/>
  <c r="C98" i="7" s="1"/>
  <c r="AU96" i="7"/>
  <c r="AV96" i="7"/>
  <c r="AS96" i="7"/>
  <c r="AT96" i="7"/>
  <c r="AW96" i="7"/>
  <c r="AX96" i="7"/>
  <c r="X98" i="7" l="1"/>
  <c r="Y98" i="7" s="1"/>
  <c r="BE96" i="7" a="1"/>
  <c r="BE96" i="7" s="1"/>
  <c r="BD96" i="7" a="1"/>
  <c r="BD96" i="7" s="1"/>
  <c r="BC96" i="7" a="1"/>
  <c r="BC96" i="7" s="1"/>
  <c r="BB96" i="7" a="1"/>
  <c r="BB96" i="7" s="1"/>
  <c r="BA96" i="7" a="1"/>
  <c r="BA96" i="7" s="1"/>
  <c r="AZ96" i="7" a="1"/>
  <c r="AZ96" i="7" s="1"/>
  <c r="BJ96" i="7" a="1"/>
  <c r="BJ96" i="7" s="1"/>
  <c r="BQ96" i="7" a="1"/>
  <c r="BQ96" i="7" s="1"/>
  <c r="BH96" i="7" a="1"/>
  <c r="BH96" i="7" s="1"/>
  <c r="BI96" i="7" a="1"/>
  <c r="BI96" i="7" s="1"/>
  <c r="BN96" i="7" a="1"/>
  <c r="BN96" i="7" s="1"/>
  <c r="BO96" i="7" a="1"/>
  <c r="BO96" i="7" s="1"/>
  <c r="BL96" i="7" a="1"/>
  <c r="BL96" i="7" s="1"/>
  <c r="BF96" i="7" a="1"/>
  <c r="BF96" i="7" s="1"/>
  <c r="BG96" i="7" a="1"/>
  <c r="BG96" i="7" s="1"/>
  <c r="BM96" i="7" a="1"/>
  <c r="BM96" i="7" s="1"/>
  <c r="BP96" i="7" a="1"/>
  <c r="BP96" i="7" s="1"/>
  <c r="BK96" i="7" a="1"/>
  <c r="BK96" i="7" s="1"/>
  <c r="AB96" i="7"/>
  <c r="F96" i="7"/>
  <c r="TP4" i="8"/>
  <c r="TQ2" i="8" s="1"/>
  <c r="SY26" i="8"/>
  <c r="TC5" i="8"/>
  <c r="TC30" i="8" s="1"/>
  <c r="TC6" i="8"/>
  <c r="TC31" i="8" s="1"/>
  <c r="TC4" i="8"/>
  <c r="TC29" i="8" s="1"/>
  <c r="TC3" i="8"/>
  <c r="TC28" i="8" s="1"/>
  <c r="P98" i="7"/>
  <c r="Q98" i="7" s="1"/>
  <c r="R98" i="7" s="1"/>
  <c r="G98" i="7"/>
  <c r="H98" i="7" s="1"/>
  <c r="I98" i="7" s="1"/>
  <c r="M98" i="7"/>
  <c r="N98" i="7" s="1"/>
  <c r="O98" i="7" s="1"/>
  <c r="D98" i="7"/>
  <c r="S98" i="7"/>
  <c r="T98" i="7" s="1"/>
  <c r="U98" i="7" s="1"/>
  <c r="J98" i="7"/>
  <c r="K98" i="7" s="1"/>
  <c r="L98" i="7" s="1"/>
  <c r="AO97" i="7" a="1"/>
  <c r="AO97" i="7" s="1"/>
  <c r="E97" i="7"/>
  <c r="AQ97" i="7" a="1"/>
  <c r="AQ97" i="7" s="1"/>
  <c r="AH97" i="7" a="1"/>
  <c r="AH97" i="7" s="1"/>
  <c r="AP97" i="7" a="1"/>
  <c r="AP97" i="7" s="1"/>
  <c r="AG97" i="7" a="1"/>
  <c r="AG97" i="7" s="1"/>
  <c r="AN97" i="7" a="1"/>
  <c r="AN97" i="7" s="1"/>
  <c r="AF97" i="7" a="1"/>
  <c r="AF97" i="7" s="1"/>
  <c r="AM97" i="7" a="1"/>
  <c r="AM97" i="7" s="1"/>
  <c r="AE97" i="7" a="1"/>
  <c r="AE97" i="7" s="1"/>
  <c r="AL97" i="7" a="1"/>
  <c r="AL97" i="7" s="1"/>
  <c r="AD97" i="7" a="1"/>
  <c r="AD97" i="7" s="1"/>
  <c r="AK97" i="7" a="1"/>
  <c r="AK97" i="7" s="1"/>
  <c r="AC97" i="7" a="1"/>
  <c r="AC97" i="7" s="1"/>
  <c r="AI97" i="7" a="1"/>
  <c r="AI97" i="7" s="1"/>
  <c r="AJ97" i="7" a="1"/>
  <c r="AJ97" i="7" s="1"/>
  <c r="AA97" i="7"/>
  <c r="Y97" i="7"/>
  <c r="Z97" i="7"/>
  <c r="TC13" i="8"/>
  <c r="TC38" i="8" s="1"/>
  <c r="SX13" i="8"/>
  <c r="SX38" i="8" s="1"/>
  <c r="SX14" i="8"/>
  <c r="SX39" i="8" s="1"/>
  <c r="A100" i="7" a="1"/>
  <c r="A100" i="7" s="1"/>
  <c r="C99" i="7" a="1"/>
  <c r="C99" i="7" s="1"/>
  <c r="B99" i="7"/>
  <c r="V99" i="7"/>
  <c r="X99" i="7" s="1"/>
  <c r="AA98" i="7" l="1"/>
  <c r="AW98" i="7" s="1"/>
  <c r="Z98" i="7"/>
  <c r="W99" i="7"/>
  <c r="S99" i="7"/>
  <c r="T99" i="7" s="1"/>
  <c r="U99" i="7" s="1"/>
  <c r="J99" i="7"/>
  <c r="K99" i="7" s="1"/>
  <c r="L99" i="7" s="1"/>
  <c r="P99" i="7"/>
  <c r="Q99" i="7" s="1"/>
  <c r="R99" i="7" s="1"/>
  <c r="G99" i="7"/>
  <c r="H99" i="7" s="1"/>
  <c r="I99" i="7" s="1"/>
  <c r="M99" i="7"/>
  <c r="N99" i="7" s="1"/>
  <c r="O99" i="7" s="1"/>
  <c r="D99" i="7"/>
  <c r="AW97" i="7"/>
  <c r="AX97" i="7"/>
  <c r="F97" i="7"/>
  <c r="AB97" i="7"/>
  <c r="TN15" i="8"/>
  <c r="TN40" i="8" s="1"/>
  <c r="TN12" i="8"/>
  <c r="TN37" i="8" s="1"/>
  <c r="TN11" i="8"/>
  <c r="TN36" i="8" s="1"/>
  <c r="TN10" i="8"/>
  <c r="TN35" i="8" s="1"/>
  <c r="TI15" i="8"/>
  <c r="TI40" i="8" s="1"/>
  <c r="TN14" i="8"/>
  <c r="TN39" i="8" s="1"/>
  <c r="TI12" i="8"/>
  <c r="TI37" i="8" s="1"/>
  <c r="TI11" i="8"/>
  <c r="TI36" i="8" s="1"/>
  <c r="TI10" i="8"/>
  <c r="TI35" i="8" s="1"/>
  <c r="TI21" i="8"/>
  <c r="UA1" i="8"/>
  <c r="UA2" i="8" s="1"/>
  <c r="TI3" i="8"/>
  <c r="TI28" i="8" s="1"/>
  <c r="TQ4" i="8"/>
  <c r="TJ1" i="8"/>
  <c r="AV98" i="7"/>
  <c r="AU98" i="7"/>
  <c r="C100" i="7" a="1"/>
  <c r="C100" i="7" s="1"/>
  <c r="B100" i="7"/>
  <c r="V100" i="7"/>
  <c r="W100" i="7" s="1"/>
  <c r="AX98" i="7"/>
  <c r="AP98" i="7" a="1"/>
  <c r="AP98" i="7" s="1"/>
  <c r="AL98" i="7" a="1"/>
  <c r="AL98" i="7" s="1"/>
  <c r="AH98" i="7" a="1"/>
  <c r="AH98" i="7" s="1"/>
  <c r="AD98" i="7" a="1"/>
  <c r="AD98" i="7" s="1"/>
  <c r="AO98" i="7" a="1"/>
  <c r="AO98" i="7" s="1"/>
  <c r="AK98" i="7" a="1"/>
  <c r="AK98" i="7" s="1"/>
  <c r="AG98" i="7" a="1"/>
  <c r="AG98" i="7" s="1"/>
  <c r="AC98" i="7" a="1"/>
  <c r="AC98" i="7" s="1"/>
  <c r="E98" i="7"/>
  <c r="AN98" i="7" a="1"/>
  <c r="AN98" i="7" s="1"/>
  <c r="AJ98" i="7" a="1"/>
  <c r="AJ98" i="7" s="1"/>
  <c r="AF98" i="7" a="1"/>
  <c r="AF98" i="7" s="1"/>
  <c r="AI98" i="7" a="1"/>
  <c r="AI98" i="7" s="1"/>
  <c r="AE98" i="7" a="1"/>
  <c r="AE98" i="7" s="1"/>
  <c r="AM98" i="7" a="1"/>
  <c r="AM98" i="7" s="1"/>
  <c r="AQ98" i="7" a="1"/>
  <c r="AQ98" i="7" s="1"/>
  <c r="AT98" i="7"/>
  <c r="AS98" i="7"/>
  <c r="AA99" i="7"/>
  <c r="Z99" i="7"/>
  <c r="Y99" i="7"/>
  <c r="AV97" i="7"/>
  <c r="AU97" i="7"/>
  <c r="AS97" i="7"/>
  <c r="BK97" i="7" s="1" a="1"/>
  <c r="BK97" i="7" s="1"/>
  <c r="AT97" i="7"/>
  <c r="BF98" i="7" l="1" a="1"/>
  <c r="BF98" i="7" s="1"/>
  <c r="BP97" i="7" a="1"/>
  <c r="BP97" i="7" s="1"/>
  <c r="BE97" i="7" a="1"/>
  <c r="BE97" i="7" s="1"/>
  <c r="BL98" i="7" a="1"/>
  <c r="BL98" i="7" s="1"/>
  <c r="BP98" i="7" a="1"/>
  <c r="BP98" i="7" s="1"/>
  <c r="BG98" i="7" a="1"/>
  <c r="BG98" i="7" s="1"/>
  <c r="BF97" i="7" a="1"/>
  <c r="BF97" i="7" s="1"/>
  <c r="BN97" i="7" a="1"/>
  <c r="BN97" i="7" s="1"/>
  <c r="BC97" i="7" a="1"/>
  <c r="BC97" i="7" s="1"/>
  <c r="BL97" i="7" a="1"/>
  <c r="BL97" i="7" s="1"/>
  <c r="BM98" i="7" a="1"/>
  <c r="BM98" i="7" s="1"/>
  <c r="BK98" i="7" a="1"/>
  <c r="BK98" i="7" s="1"/>
  <c r="TN13" i="8"/>
  <c r="TN38" i="8" s="1"/>
  <c r="TI14" i="8"/>
  <c r="TI39" i="8" s="1"/>
  <c r="TI13" i="8"/>
  <c r="TI38" i="8" s="1"/>
  <c r="BJ97" i="7" a="1"/>
  <c r="BJ97" i="7" s="1"/>
  <c r="AZ97" i="7" a="1"/>
  <c r="AZ97" i="7" s="1"/>
  <c r="X100" i="7"/>
  <c r="AS99" i="7"/>
  <c r="AT99" i="7"/>
  <c r="F98" i="7"/>
  <c r="AB98" i="7"/>
  <c r="BD97" i="7" a="1"/>
  <c r="BD97" i="7" s="1"/>
  <c r="BC98" i="7" a="1"/>
  <c r="BC98" i="7" s="1"/>
  <c r="BB98" i="7" a="1"/>
  <c r="BB98" i="7" s="1"/>
  <c r="BE98" i="7" a="1"/>
  <c r="BE98" i="7" s="1"/>
  <c r="BA98" i="7" a="1"/>
  <c r="BA98" i="7" s="1"/>
  <c r="BD98" i="7" a="1"/>
  <c r="BD98" i="7" s="1"/>
  <c r="AZ98" i="7" a="1"/>
  <c r="AZ98" i="7" s="1"/>
  <c r="BI98" i="7" a="1"/>
  <c r="BI98" i="7" s="1"/>
  <c r="BO98" i="7" a="1"/>
  <c r="BO98" i="7" s="1"/>
  <c r="BO97" i="7" a="1"/>
  <c r="BO97" i="7" s="1"/>
  <c r="BB97" i="7" a="1"/>
  <c r="BB97" i="7" s="1"/>
  <c r="UA4" i="8"/>
  <c r="UB2" i="8" s="1"/>
  <c r="TJ26" i="8"/>
  <c r="TN5" i="8"/>
  <c r="TN30" i="8" s="1"/>
  <c r="TN4" i="8"/>
  <c r="TN29" i="8" s="1"/>
  <c r="TN6" i="8"/>
  <c r="TN31" i="8" s="1"/>
  <c r="TN3" i="8"/>
  <c r="TN28" i="8" s="1"/>
  <c r="AW99" i="7"/>
  <c r="AX99" i="7"/>
  <c r="BM97" i="7" a="1"/>
  <c r="BM97" i="7" s="1"/>
  <c r="S100" i="7"/>
  <c r="T100" i="7" s="1"/>
  <c r="U100" i="7" s="1"/>
  <c r="G100" i="7"/>
  <c r="H100" i="7" s="1"/>
  <c r="I100" i="7" s="1"/>
  <c r="M100" i="7"/>
  <c r="N100" i="7" s="1"/>
  <c r="O100" i="7" s="1"/>
  <c r="J100" i="7"/>
  <c r="K100" i="7" s="1"/>
  <c r="L100" i="7" s="1"/>
  <c r="P100" i="7"/>
  <c r="Q100" i="7" s="1"/>
  <c r="R100" i="7" s="1"/>
  <c r="D100" i="7"/>
  <c r="BG97" i="7" a="1"/>
  <c r="BG97" i="7" s="1"/>
  <c r="AV99" i="7"/>
  <c r="AU99" i="7"/>
  <c r="BH98" i="7" a="1"/>
  <c r="BH98" i="7" s="1"/>
  <c r="BQ97" i="7" a="1"/>
  <c r="BQ97" i="7" s="1"/>
  <c r="BN98" i="7" a="1"/>
  <c r="BN98" i="7" s="1"/>
  <c r="BJ98" i="7" a="1"/>
  <c r="BJ98" i="7" s="1"/>
  <c r="BA97" i="7" a="1"/>
  <c r="BA97" i="7" s="1"/>
  <c r="BQ98" i="7" a="1"/>
  <c r="BQ98" i="7" s="1"/>
  <c r="BH97" i="7" a="1"/>
  <c r="BH97" i="7" s="1"/>
  <c r="AQ99" i="7" a="1"/>
  <c r="AQ99" i="7" s="1"/>
  <c r="AM99" i="7" a="1"/>
  <c r="AM99" i="7" s="1"/>
  <c r="AI99" i="7" a="1"/>
  <c r="AI99" i="7" s="1"/>
  <c r="AE99" i="7" a="1"/>
  <c r="AE99" i="7" s="1"/>
  <c r="AP99" i="7" a="1"/>
  <c r="AP99" i="7" s="1"/>
  <c r="AL99" i="7" a="1"/>
  <c r="AL99" i="7" s="1"/>
  <c r="AH99" i="7" a="1"/>
  <c r="AH99" i="7" s="1"/>
  <c r="AD99" i="7" a="1"/>
  <c r="AD99" i="7" s="1"/>
  <c r="AO99" i="7" a="1"/>
  <c r="AO99" i="7" s="1"/>
  <c r="AK99" i="7" a="1"/>
  <c r="AK99" i="7" s="1"/>
  <c r="AG99" i="7" a="1"/>
  <c r="AG99" i="7" s="1"/>
  <c r="AC99" i="7" a="1"/>
  <c r="AC99" i="7" s="1"/>
  <c r="E99" i="7"/>
  <c r="AN99" i="7" a="1"/>
  <c r="AN99" i="7" s="1"/>
  <c r="AJ99" i="7" a="1"/>
  <c r="AJ99" i="7" s="1"/>
  <c r="AF99" i="7" a="1"/>
  <c r="AF99" i="7" s="1"/>
  <c r="BI97" i="7" a="1"/>
  <c r="BI97" i="7" s="1"/>
  <c r="AN100" i="7" l="1" a="1"/>
  <c r="AN100" i="7" s="1"/>
  <c r="AG100" i="7" a="1"/>
  <c r="AG100" i="7" s="1"/>
  <c r="AM100" i="7" a="1"/>
  <c r="AM100" i="7" s="1"/>
  <c r="AL100" i="7" a="1"/>
  <c r="AL100" i="7" s="1"/>
  <c r="AF100" i="7" a="1"/>
  <c r="AF100" i="7" s="1"/>
  <c r="AK100" i="7" a="1"/>
  <c r="AK100" i="7" s="1"/>
  <c r="AE100" i="7" a="1"/>
  <c r="AE100" i="7" s="1"/>
  <c r="AQ100" i="7" a="1"/>
  <c r="AQ100" i="7" s="1"/>
  <c r="AD100" i="7" a="1"/>
  <c r="AD100" i="7" s="1"/>
  <c r="AP100" i="7" a="1"/>
  <c r="AP100" i="7" s="1"/>
  <c r="AJ100" i="7" a="1"/>
  <c r="AJ100" i="7" s="1"/>
  <c r="AC100" i="7" a="1"/>
  <c r="AC100" i="7" s="1"/>
  <c r="E100" i="7"/>
  <c r="AO100" i="7" a="1"/>
  <c r="AO100" i="7" s="1"/>
  <c r="AI100" i="7" a="1"/>
  <c r="AI100" i="7" s="1"/>
  <c r="AH100" i="7" a="1"/>
  <c r="AH100" i="7" s="1"/>
  <c r="F99" i="7"/>
  <c r="AB99" i="7"/>
  <c r="BA99" i="7" a="1"/>
  <c r="BA99" i="7" s="1"/>
  <c r="BE99" i="7" a="1"/>
  <c r="BE99" i="7" s="1"/>
  <c r="AZ99" i="7" a="1"/>
  <c r="AZ99" i="7" s="1"/>
  <c r="BD99" i="7" a="1"/>
  <c r="BD99" i="7" s="1"/>
  <c r="BC99" i="7" a="1"/>
  <c r="BC99" i="7" s="1"/>
  <c r="BB99" i="7" a="1"/>
  <c r="BB99" i="7" s="1"/>
  <c r="BF99" i="7" a="1"/>
  <c r="BF99" i="7" s="1"/>
  <c r="BM99" i="7" a="1"/>
  <c r="BM99" i="7" s="1"/>
  <c r="BQ99" i="7" a="1"/>
  <c r="BQ99" i="7" s="1"/>
  <c r="BH99" i="7" a="1"/>
  <c r="BH99" i="7" s="1"/>
  <c r="BI99" i="7" a="1"/>
  <c r="BI99" i="7" s="1"/>
  <c r="BK99" i="7" a="1"/>
  <c r="BK99" i="7" s="1"/>
  <c r="BG99" i="7" a="1"/>
  <c r="BG99" i="7" s="1"/>
  <c r="BJ99" i="7" a="1"/>
  <c r="BJ99" i="7" s="1"/>
  <c r="BP99" i="7" a="1"/>
  <c r="BP99" i="7" s="1"/>
  <c r="BO99" i="7" a="1"/>
  <c r="BO99" i="7" s="1"/>
  <c r="BL99" i="7" a="1"/>
  <c r="BL99" i="7" s="1"/>
  <c r="BN99" i="7" a="1"/>
  <c r="BN99" i="7" s="1"/>
  <c r="TT15" i="8"/>
  <c r="TT40" i="8" s="1"/>
  <c r="TY12" i="8"/>
  <c r="TY37" i="8" s="1"/>
  <c r="TY11" i="8"/>
  <c r="TY36" i="8" s="1"/>
  <c r="TY10" i="8"/>
  <c r="TY35" i="8" s="1"/>
  <c r="TT21" i="8"/>
  <c r="TY14" i="8"/>
  <c r="TY39" i="8" s="1"/>
  <c r="TT10" i="8"/>
  <c r="TT35" i="8" s="1"/>
  <c r="UL1" i="8"/>
  <c r="UL2" i="8" s="1"/>
  <c r="UB4" i="8"/>
  <c r="TT3" i="8"/>
  <c r="TT28" i="8" s="1"/>
  <c r="TU1" i="8"/>
  <c r="TT11" i="8"/>
  <c r="TT36" i="8" s="1"/>
  <c r="TY15" i="8"/>
  <c r="TY40" i="8" s="1"/>
  <c r="TT12" i="8"/>
  <c r="TT37" i="8" s="1"/>
  <c r="AA100" i="7"/>
  <c r="Y100" i="7"/>
  <c r="Z100" i="7"/>
  <c r="AV100" i="7" l="1"/>
  <c r="AU100" i="7"/>
  <c r="TU26" i="8"/>
  <c r="TY6" i="8"/>
  <c r="TY31" i="8" s="1"/>
  <c r="TY5" i="8"/>
  <c r="TY30" i="8" s="1"/>
  <c r="TY3" i="8"/>
  <c r="TY28" i="8" s="1"/>
  <c r="TY4" i="8"/>
  <c r="TY29" i="8" s="1"/>
  <c r="TT14" i="8"/>
  <c r="TT39" i="8" s="1"/>
  <c r="TT13" i="8"/>
  <c r="TT38" i="8" s="1"/>
  <c r="TY13" i="8"/>
  <c r="TY38" i="8" s="1"/>
  <c r="F100" i="7"/>
  <c r="AB100" i="7"/>
  <c r="UL4" i="8"/>
  <c r="UM2" i="8" s="1"/>
  <c r="AW100" i="7"/>
  <c r="AX100" i="7"/>
  <c r="AS100" i="7"/>
  <c r="BC100" i="7" s="1" a="1"/>
  <c r="BC100" i="7" s="1"/>
  <c r="AT100" i="7"/>
  <c r="BQ100" i="7" l="1" a="1"/>
  <c r="BQ100" i="7" s="1"/>
  <c r="BJ100" i="7" a="1"/>
  <c r="BJ100" i="7" s="1"/>
  <c r="BH100" i="7" a="1"/>
  <c r="BH100" i="7" s="1"/>
  <c r="BK100" i="7" a="1"/>
  <c r="BK100" i="7" s="1"/>
  <c r="BD100" i="7" a="1"/>
  <c r="BD100" i="7" s="1"/>
  <c r="BM100" i="7" a="1"/>
  <c r="BM100" i="7" s="1"/>
  <c r="UE15" i="8"/>
  <c r="UE40" i="8" s="1"/>
  <c r="UE21" i="8"/>
  <c r="UJ15" i="8"/>
  <c r="UJ40" i="8" s="1"/>
  <c r="UE3" i="8"/>
  <c r="UE28" i="8" s="1"/>
  <c r="UJ14" i="8"/>
  <c r="UJ39" i="8" s="1"/>
  <c r="UE12" i="8"/>
  <c r="UE37" i="8" s="1"/>
  <c r="UE11" i="8"/>
  <c r="UE36" i="8" s="1"/>
  <c r="UE10" i="8"/>
  <c r="UE35" i="8" s="1"/>
  <c r="UW1" i="8"/>
  <c r="UW2" i="8" s="1"/>
  <c r="UM4" i="8"/>
  <c r="UF1" i="8"/>
  <c r="UJ12" i="8"/>
  <c r="UJ37" i="8" s="1"/>
  <c r="UJ11" i="8"/>
  <c r="UJ36" i="8" s="1"/>
  <c r="UJ10" i="8"/>
  <c r="UJ35" i="8" s="1"/>
  <c r="BP100" i="7" a="1"/>
  <c r="BP100" i="7" s="1"/>
  <c r="BE100" i="7" a="1"/>
  <c r="BE100" i="7" s="1"/>
  <c r="BO100" i="7" a="1"/>
  <c r="BO100" i="7" s="1"/>
  <c r="BI100" i="7" a="1"/>
  <c r="BI100" i="7" s="1"/>
  <c r="BF100" i="7" a="1"/>
  <c r="BF100" i="7" s="1"/>
  <c r="AZ100" i="7" a="1"/>
  <c r="AZ100" i="7" s="1"/>
  <c r="BL100" i="7" a="1"/>
  <c r="BL100" i="7" s="1"/>
  <c r="BA100" i="7" a="1"/>
  <c r="BA100" i="7" s="1"/>
  <c r="BG100" i="7" a="1"/>
  <c r="BG100" i="7" s="1"/>
  <c r="BB100" i="7" a="1"/>
  <c r="BB100" i="7" s="1"/>
  <c r="BN100" i="7" a="1"/>
  <c r="BN100" i="7" s="1"/>
  <c r="UF26" i="8" l="1"/>
  <c r="UJ6" i="8"/>
  <c r="UJ31" i="8" s="1"/>
  <c r="UJ3" i="8"/>
  <c r="UJ28" i="8" s="1"/>
  <c r="UJ4" i="8"/>
  <c r="UJ29" i="8" s="1"/>
  <c r="UJ5" i="8"/>
  <c r="UJ30" i="8" s="1"/>
  <c r="UE14" i="8"/>
  <c r="UE39" i="8" s="1"/>
  <c r="UE13" i="8"/>
  <c r="UE38" i="8" s="1"/>
  <c r="UJ13" i="8"/>
  <c r="UJ38" i="8" s="1"/>
  <c r="UW4" i="8"/>
  <c r="UX2" i="8" s="1"/>
  <c r="UU14" i="8" l="1"/>
  <c r="UU39" i="8" s="1"/>
  <c r="UU12" i="8"/>
  <c r="UU37" i="8" s="1"/>
  <c r="UU11" i="8"/>
  <c r="UU36" i="8" s="1"/>
  <c r="UU10" i="8"/>
  <c r="UU35" i="8" s="1"/>
  <c r="UP15" i="8"/>
  <c r="UP40" i="8" s="1"/>
  <c r="UP3" i="8"/>
  <c r="UP28" i="8" s="1"/>
  <c r="UQ1" i="8"/>
  <c r="UP21" i="8"/>
  <c r="UP12" i="8"/>
  <c r="UP37" i="8" s="1"/>
  <c r="UP11" i="8"/>
  <c r="UP36" i="8" s="1"/>
  <c r="UU15" i="8"/>
  <c r="UU40" i="8" s="1"/>
  <c r="UP10" i="8"/>
  <c r="UP35" i="8" s="1"/>
  <c r="VH1" i="8"/>
  <c r="VH2" i="8" s="1"/>
  <c r="UX4" i="8"/>
  <c r="UQ26" i="8" l="1"/>
  <c r="UU6" i="8"/>
  <c r="UU31" i="8" s="1"/>
  <c r="UU3" i="8"/>
  <c r="UU28" i="8" s="1"/>
  <c r="UU4" i="8"/>
  <c r="UU29" i="8" s="1"/>
  <c r="UU5" i="8"/>
  <c r="UU30" i="8" s="1"/>
  <c r="VH4" i="8"/>
  <c r="VI2" i="8" s="1"/>
  <c r="UP13" i="8"/>
  <c r="UP38" i="8" s="1"/>
  <c r="UP14" i="8"/>
  <c r="UP39" i="8" s="1"/>
  <c r="UU13" i="8"/>
  <c r="UU38" i="8" s="1"/>
  <c r="VA21" i="8" l="1"/>
  <c r="VF14" i="8"/>
  <c r="VF39" i="8" s="1"/>
  <c r="VF12" i="8"/>
  <c r="VF37" i="8" s="1"/>
  <c r="VF11" i="8"/>
  <c r="VF36" i="8" s="1"/>
  <c r="VF10" i="8"/>
  <c r="VF35" i="8" s="1"/>
  <c r="VF15" i="8"/>
  <c r="VF40" i="8" s="1"/>
  <c r="VA15" i="8"/>
  <c r="VA40" i="8" s="1"/>
  <c r="VA12" i="8"/>
  <c r="VA37" i="8" s="1"/>
  <c r="VA11" i="8"/>
  <c r="VA36" i="8" s="1"/>
  <c r="VI4" i="8"/>
  <c r="VA10" i="8"/>
  <c r="VA35" i="8" s="1"/>
  <c r="VS1" i="8"/>
  <c r="VS2" i="8" s="1"/>
  <c r="VB1" i="8"/>
  <c r="VA3" i="8"/>
  <c r="VA28" i="8" s="1"/>
  <c r="VS4" i="8" l="1"/>
  <c r="VT2" i="8" s="1"/>
  <c r="VB26" i="8"/>
  <c r="VF5" i="8"/>
  <c r="VF30" i="8" s="1"/>
  <c r="VF4" i="8"/>
  <c r="VF29" i="8" s="1"/>
  <c r="VF3" i="8"/>
  <c r="VF28" i="8" s="1"/>
  <c r="VF6" i="8"/>
  <c r="VF31" i="8" s="1"/>
  <c r="VF13" i="8"/>
  <c r="VF38" i="8" s="1"/>
  <c r="VA13" i="8"/>
  <c r="VA38" i="8" s="1"/>
  <c r="VA14" i="8"/>
  <c r="VA39" i="8" s="1"/>
  <c r="VL15" i="8" l="1"/>
  <c r="VL40" i="8" s="1"/>
  <c r="VL21" i="8"/>
  <c r="VQ12" i="8"/>
  <c r="VQ37" i="8" s="1"/>
  <c r="VQ11" i="8"/>
  <c r="VQ36" i="8" s="1"/>
  <c r="VQ10" i="8"/>
  <c r="VQ35" i="8" s="1"/>
  <c r="VQ14" i="8"/>
  <c r="VQ39" i="8" s="1"/>
  <c r="VT4" i="8"/>
  <c r="VL12" i="8"/>
  <c r="VL37" i="8" s="1"/>
  <c r="VL11" i="8"/>
  <c r="VL36" i="8" s="1"/>
  <c r="WD1" i="8"/>
  <c r="WD2" i="8" s="1"/>
  <c r="VL10" i="8"/>
  <c r="VL35" i="8" s="1"/>
  <c r="VQ15" i="8"/>
  <c r="VQ40" i="8" s="1"/>
  <c r="VL3" i="8"/>
  <c r="VL28" i="8" s="1"/>
  <c r="VM1" i="8"/>
  <c r="VL14" i="8" l="1"/>
  <c r="VL39" i="8" s="1"/>
  <c r="VL13" i="8"/>
  <c r="VL38" i="8" s="1"/>
  <c r="VQ13" i="8"/>
  <c r="VQ38" i="8" s="1"/>
  <c r="WD4" i="8"/>
  <c r="WE2" i="8" s="1"/>
  <c r="VQ4" i="8"/>
  <c r="VQ29" i="8" s="1"/>
  <c r="VM26" i="8"/>
  <c r="VQ5" i="8"/>
  <c r="VQ30" i="8" s="1"/>
  <c r="VQ3" i="8"/>
  <c r="VQ28" i="8" s="1"/>
  <c r="VQ6" i="8"/>
  <c r="VQ31" i="8" s="1"/>
  <c r="VW15" i="8" l="1"/>
  <c r="VW40" i="8" s="1"/>
  <c r="WB15" i="8"/>
  <c r="WB40" i="8" s="1"/>
  <c r="VW3" i="8"/>
  <c r="VW28" i="8" s="1"/>
  <c r="VW21" i="8"/>
  <c r="VW12" i="8"/>
  <c r="VW37" i="8" s="1"/>
  <c r="VW11" i="8"/>
  <c r="VW36" i="8" s="1"/>
  <c r="WO1" i="8"/>
  <c r="WO2" i="8" s="1"/>
  <c r="WB12" i="8"/>
  <c r="WB37" i="8" s="1"/>
  <c r="WB11" i="8"/>
  <c r="WB36" i="8" s="1"/>
  <c r="WB10" i="8"/>
  <c r="WB35" i="8" s="1"/>
  <c r="VW10" i="8"/>
  <c r="VW35" i="8" s="1"/>
  <c r="VX1" i="8"/>
  <c r="WB14" i="8"/>
  <c r="WB39" i="8" s="1"/>
  <c r="WE4" i="8"/>
  <c r="VX26" i="8" l="1"/>
  <c r="WB4" i="8"/>
  <c r="WB29" i="8" s="1"/>
  <c r="WB5" i="8"/>
  <c r="WB30" i="8" s="1"/>
  <c r="WB3" i="8"/>
  <c r="WB28" i="8" s="1"/>
  <c r="WB6" i="8"/>
  <c r="WB31" i="8" s="1"/>
  <c r="WO4" i="8"/>
  <c r="WP2" i="8" s="1"/>
  <c r="VW14" i="8"/>
  <c r="VW39" i="8" s="1"/>
  <c r="VW13" i="8"/>
  <c r="VW38" i="8" s="1"/>
  <c r="WB13" i="8"/>
  <c r="WB38" i="8" s="1"/>
  <c r="WM15" i="8" l="1"/>
  <c r="WM40" i="8" s="1"/>
  <c r="WP4" i="8"/>
  <c r="WM14" i="8"/>
  <c r="WM39" i="8" s="1"/>
  <c r="WM12" i="8"/>
  <c r="WM37" i="8" s="1"/>
  <c r="WM11" i="8"/>
  <c r="WM36" i="8" s="1"/>
  <c r="WM10" i="8"/>
  <c r="WM35" i="8" s="1"/>
  <c r="WH12" i="8"/>
  <c r="WH37" i="8" s="1"/>
  <c r="WH11" i="8"/>
  <c r="WH36" i="8" s="1"/>
  <c r="WH10" i="8"/>
  <c r="WH35" i="8" s="1"/>
  <c r="WH3" i="8"/>
  <c r="WH28" i="8" s="1"/>
  <c r="WI1" i="8"/>
  <c r="WH21" i="8"/>
  <c r="WH15" i="8"/>
  <c r="WH40" i="8" s="1"/>
  <c r="WZ1" i="8"/>
  <c r="WZ2" i="8" s="1"/>
  <c r="WZ4" i="8" l="1"/>
  <c r="XA2" i="8" s="1"/>
  <c r="WI26" i="8"/>
  <c r="WM3" i="8"/>
  <c r="WM28" i="8" s="1"/>
  <c r="WM5" i="8"/>
  <c r="WM30" i="8" s="1"/>
  <c r="WM6" i="8"/>
  <c r="WM31" i="8" s="1"/>
  <c r="WM4" i="8"/>
  <c r="WM29" i="8" s="1"/>
  <c r="WM13" i="8"/>
  <c r="WM38" i="8" s="1"/>
  <c r="WH14" i="8"/>
  <c r="WH39" i="8" s="1"/>
  <c r="WH13" i="8"/>
  <c r="WH38" i="8" s="1"/>
  <c r="WX14" i="8" l="1"/>
  <c r="WX39" i="8" s="1"/>
  <c r="WX12" i="8"/>
  <c r="WX37" i="8" s="1"/>
  <c r="WX11" i="8"/>
  <c r="WX36" i="8" s="1"/>
  <c r="WX10" i="8"/>
  <c r="WX35" i="8" s="1"/>
  <c r="WS21" i="8"/>
  <c r="WS15" i="8"/>
  <c r="WS40" i="8" s="1"/>
  <c r="WS12" i="8"/>
  <c r="WS37" i="8" s="1"/>
  <c r="WS11" i="8"/>
  <c r="WS36" i="8" s="1"/>
  <c r="WS10" i="8"/>
  <c r="WS35" i="8" s="1"/>
  <c r="WS3" i="8"/>
  <c r="WS28" i="8" s="1"/>
  <c r="XA4" i="8"/>
  <c r="WX15" i="8"/>
  <c r="WX40" i="8" s="1"/>
  <c r="XK1" i="8"/>
  <c r="XK2" i="8" s="1"/>
  <c r="WT1" i="8"/>
  <c r="XK4" i="8" l="1"/>
  <c r="XL2" i="8" s="1"/>
  <c r="WS13" i="8"/>
  <c r="WS38" i="8" s="1"/>
  <c r="WS14" i="8"/>
  <c r="WS39" i="8" s="1"/>
  <c r="WX13" i="8"/>
  <c r="WX38" i="8" s="1"/>
  <c r="WT26" i="8"/>
  <c r="WX5" i="8"/>
  <c r="WX30" i="8" s="1"/>
  <c r="WX6" i="8"/>
  <c r="WX31" i="8" s="1"/>
  <c r="WX4" i="8"/>
  <c r="WX29" i="8" s="1"/>
  <c r="WX3" i="8"/>
  <c r="WX28" i="8" s="1"/>
  <c r="XD15" i="8" l="1"/>
  <c r="XD40" i="8" s="1"/>
  <c r="XI12" i="8"/>
  <c r="XI37" i="8" s="1"/>
  <c r="XI11" i="8"/>
  <c r="XI36" i="8" s="1"/>
  <c r="XI10" i="8"/>
  <c r="XI35" i="8" s="1"/>
  <c r="XD21" i="8"/>
  <c r="XI15" i="8"/>
  <c r="XI40" i="8" s="1"/>
  <c r="XI14" i="8"/>
  <c r="XI39" i="8" s="1"/>
  <c r="XV1" i="8"/>
  <c r="XV2" i="8" s="1"/>
  <c r="XD3" i="8"/>
  <c r="XD28" i="8" s="1"/>
  <c r="XE1" i="8"/>
  <c r="XL4" i="8"/>
  <c r="XD10" i="8"/>
  <c r="XD35" i="8" s="1"/>
  <c r="XD12" i="8"/>
  <c r="XD37" i="8" s="1"/>
  <c r="XD11" i="8"/>
  <c r="XD36" i="8" s="1"/>
  <c r="XV4" i="8" l="1"/>
  <c r="XW2" i="8" s="1"/>
  <c r="XD14" i="8"/>
  <c r="XD39" i="8" s="1"/>
  <c r="XD13" i="8"/>
  <c r="XD38" i="8" s="1"/>
  <c r="XI13" i="8"/>
  <c r="XI38" i="8" s="1"/>
  <c r="XE26" i="8"/>
  <c r="XI6" i="8"/>
  <c r="XI31" i="8" s="1"/>
  <c r="XI5" i="8"/>
  <c r="XI30" i="8" s="1"/>
  <c r="XI4" i="8"/>
  <c r="XI29" i="8" s="1"/>
  <c r="XI3" i="8"/>
  <c r="XI28" i="8" s="1"/>
  <c r="XO15" i="8" l="1"/>
  <c r="XO40" i="8" s="1"/>
  <c r="XO21" i="8"/>
  <c r="XT14" i="8"/>
  <c r="XT39" i="8" s="1"/>
  <c r="XO3" i="8"/>
  <c r="XO28" i="8" s="1"/>
  <c r="XT15" i="8"/>
  <c r="XT40" i="8" s="1"/>
  <c r="XO12" i="8"/>
  <c r="XO37" i="8" s="1"/>
  <c r="XO11" i="8"/>
  <c r="XO36" i="8" s="1"/>
  <c r="YG1" i="8"/>
  <c r="YG2" i="8" s="1"/>
  <c r="XP1" i="8"/>
  <c r="XT10" i="8"/>
  <c r="XT35" i="8" s="1"/>
  <c r="XW4" i="8"/>
  <c r="XT12" i="8"/>
  <c r="XT37" i="8" s="1"/>
  <c r="XT11" i="8"/>
  <c r="XT36" i="8" s="1"/>
  <c r="XO10" i="8"/>
  <c r="XO35" i="8" s="1"/>
  <c r="YG4" i="8" l="1"/>
  <c r="YH2" i="8" s="1"/>
  <c r="XO14" i="8"/>
  <c r="XO39" i="8" s="1"/>
  <c r="XO13" i="8"/>
  <c r="XO38" i="8" s="1"/>
  <c r="XT13" i="8"/>
  <c r="XT38" i="8" s="1"/>
  <c r="XP26" i="8"/>
  <c r="XT5" i="8"/>
  <c r="XT30" i="8" s="1"/>
  <c r="XT6" i="8"/>
  <c r="XT31" i="8" s="1"/>
  <c r="XT3" i="8"/>
  <c r="XT28" i="8" s="1"/>
  <c r="XT4" i="8"/>
  <c r="XT29" i="8" s="1"/>
  <c r="YE15" i="8" l="1"/>
  <c r="YE40" i="8" s="1"/>
  <c r="YE12" i="8"/>
  <c r="YE37" i="8" s="1"/>
  <c r="YE11" i="8"/>
  <c r="YE36" i="8" s="1"/>
  <c r="YE10" i="8"/>
  <c r="YE35" i="8" s="1"/>
  <c r="XZ21" i="8"/>
  <c r="XZ15" i="8"/>
  <c r="XZ40" i="8" s="1"/>
  <c r="YE14" i="8"/>
  <c r="YE39" i="8" s="1"/>
  <c r="YH4" i="8"/>
  <c r="YA1" i="8"/>
  <c r="XZ3" i="8"/>
  <c r="XZ28" i="8" s="1"/>
  <c r="XZ10" i="8"/>
  <c r="XZ35" i="8" s="1"/>
  <c r="XZ12" i="8"/>
  <c r="XZ37" i="8" s="1"/>
  <c r="XZ11" i="8"/>
  <c r="XZ36" i="8" s="1"/>
  <c r="YR1" i="8"/>
  <c r="YR2" i="8" s="1"/>
  <c r="YE13" i="8" l="1"/>
  <c r="YE38" i="8" s="1"/>
  <c r="XZ14" i="8"/>
  <c r="XZ39" i="8" s="1"/>
  <c r="XZ13" i="8"/>
  <c r="XZ38" i="8" s="1"/>
  <c r="YR4" i="8"/>
  <c r="YS2" i="8" s="1"/>
  <c r="YA26" i="8"/>
  <c r="YE6" i="8"/>
  <c r="YE31" i="8" s="1"/>
  <c r="YE3" i="8"/>
  <c r="YE28" i="8" s="1"/>
  <c r="YE4" i="8"/>
  <c r="YE29" i="8" s="1"/>
  <c r="YE5" i="8"/>
  <c r="YE30" i="8" s="1"/>
  <c r="YK21" i="8" l="1"/>
  <c r="YP15" i="8"/>
  <c r="YP40" i="8" s="1"/>
  <c r="YP12" i="8"/>
  <c r="YP37" i="8" s="1"/>
  <c r="YP11" i="8"/>
  <c r="YP36" i="8" s="1"/>
  <c r="YP10" i="8"/>
  <c r="YP35" i="8" s="1"/>
  <c r="YP14" i="8"/>
  <c r="YP39" i="8" s="1"/>
  <c r="YK15" i="8"/>
  <c r="YK40" i="8" s="1"/>
  <c r="YK3" i="8"/>
  <c r="YK28" i="8" s="1"/>
  <c r="YK10" i="8"/>
  <c r="YK35" i="8" s="1"/>
  <c r="YK12" i="8"/>
  <c r="YK37" i="8" s="1"/>
  <c r="YK11" i="8"/>
  <c r="YK36" i="8" s="1"/>
  <c r="ZC1" i="8"/>
  <c r="ZC2" i="8" s="1"/>
  <c r="YL1" i="8"/>
  <c r="YS4" i="8"/>
  <c r="YP13" i="8" l="1"/>
  <c r="YP38" i="8" s="1"/>
  <c r="YK14" i="8"/>
  <c r="YK39" i="8" s="1"/>
  <c r="YK13" i="8"/>
  <c r="YK38" i="8" s="1"/>
  <c r="YL26" i="8"/>
  <c r="YP6" i="8"/>
  <c r="YP31" i="8" s="1"/>
  <c r="YP3" i="8"/>
  <c r="YP28" i="8" s="1"/>
  <c r="YP4" i="8"/>
  <c r="YP29" i="8" s="1"/>
  <c r="YP5" i="8"/>
  <c r="YP30" i="8" s="1"/>
  <c r="ZC4" i="8"/>
  <c r="ZD2" i="8" s="1"/>
  <c r="YV15" i="8" l="1"/>
  <c r="YV40" i="8" s="1"/>
  <c r="ZA12" i="8"/>
  <c r="ZA37" i="8" s="1"/>
  <c r="ZA11" i="8"/>
  <c r="ZA36" i="8" s="1"/>
  <c r="ZA10" i="8"/>
  <c r="ZA35" i="8" s="1"/>
  <c r="YV21" i="8"/>
  <c r="ZA15" i="8"/>
  <c r="ZA40" i="8" s="1"/>
  <c r="ZA14" i="8"/>
  <c r="ZA39" i="8" s="1"/>
  <c r="YV10" i="8"/>
  <c r="YV35" i="8" s="1"/>
  <c r="YV12" i="8"/>
  <c r="YV37" i="8" s="1"/>
  <c r="YV11" i="8"/>
  <c r="YV36" i="8" s="1"/>
  <c r="ZN1" i="8"/>
  <c r="ZN2" i="8" s="1"/>
  <c r="ZD4" i="8"/>
  <c r="YW1" i="8"/>
  <c r="YV3" i="8"/>
  <c r="YV28" i="8" s="1"/>
  <c r="YV14" i="8" l="1"/>
  <c r="YV39" i="8" s="1"/>
  <c r="YV13" i="8"/>
  <c r="YV38" i="8" s="1"/>
  <c r="ZA13" i="8"/>
  <c r="ZA38" i="8" s="1"/>
  <c r="ZN4" i="8"/>
  <c r="ZO2" i="8" s="1"/>
  <c r="YW26" i="8"/>
  <c r="ZA4" i="8"/>
  <c r="ZA29" i="8" s="1"/>
  <c r="ZA5" i="8"/>
  <c r="ZA30" i="8" s="1"/>
  <c r="ZA3" i="8"/>
  <c r="ZA28" i="8" s="1"/>
  <c r="ZA6" i="8"/>
  <c r="ZA31" i="8" s="1"/>
  <c r="ZG15" i="8" l="1"/>
  <c r="ZG40" i="8" s="1"/>
  <c r="ZL14" i="8"/>
  <c r="ZL39" i="8" s="1"/>
  <c r="ZG3" i="8"/>
  <c r="ZG28" i="8" s="1"/>
  <c r="ZG12" i="8"/>
  <c r="ZG37" i="8" s="1"/>
  <c r="ZG11" i="8"/>
  <c r="ZG36" i="8" s="1"/>
  <c r="ZL15" i="8"/>
  <c r="ZL40" i="8" s="1"/>
  <c r="ZL10" i="8"/>
  <c r="ZL35" i="8" s="1"/>
  <c r="ZG21" i="8"/>
  <c r="ZG10" i="8"/>
  <c r="ZG35" i="8" s="1"/>
  <c r="ZY1" i="8"/>
  <c r="ZY2" i="8" s="1"/>
  <c r="ZL12" i="8"/>
  <c r="ZL37" i="8" s="1"/>
  <c r="ZL11" i="8"/>
  <c r="ZL36" i="8" s="1"/>
  <c r="ZO4" i="8"/>
  <c r="ZH1" i="8"/>
  <c r="ZH26" i="8" l="1"/>
  <c r="ZL5" i="8"/>
  <c r="ZL30" i="8" s="1"/>
  <c r="ZL4" i="8"/>
  <c r="ZL29" i="8" s="1"/>
  <c r="ZL3" i="8"/>
  <c r="ZL28" i="8" s="1"/>
  <c r="ZL6" i="8"/>
  <c r="ZL31" i="8" s="1"/>
  <c r="ZG14" i="8"/>
  <c r="ZG39" i="8" s="1"/>
  <c r="ZG13" i="8"/>
  <c r="ZG38" i="8" s="1"/>
  <c r="ZL13" i="8"/>
  <c r="ZL38" i="8" s="1"/>
  <c r="ZY4" i="8"/>
  <c r="ZZ2" i="8" s="1"/>
  <c r="ZR21" i="8" l="1"/>
  <c r="ZW14" i="8"/>
  <c r="ZW39" i="8" s="1"/>
  <c r="ZZ4" i="8"/>
  <c r="ZW15" i="8"/>
  <c r="ZW40" i="8" s="1"/>
  <c r="ZW12" i="8"/>
  <c r="ZW37" i="8" s="1"/>
  <c r="ZW11" i="8"/>
  <c r="ZW36" i="8" s="1"/>
  <c r="ZW10" i="8"/>
  <c r="ZW35" i="8" s="1"/>
  <c r="ZR15" i="8"/>
  <c r="ZR40" i="8" s="1"/>
  <c r="ZR12" i="8"/>
  <c r="ZR37" i="8" s="1"/>
  <c r="ZR11" i="8"/>
  <c r="ZR36" i="8" s="1"/>
  <c r="ZS1" i="8"/>
  <c r="ZR3" i="8"/>
  <c r="ZR28" i="8" s="1"/>
  <c r="ZR10" i="8"/>
  <c r="ZR35" i="8" s="1"/>
  <c r="AAJ1" i="8"/>
  <c r="AAJ2" i="8" s="1"/>
  <c r="AAJ4" i="8" l="1"/>
  <c r="AAK2" i="8" s="1"/>
  <c r="ZS26" i="8"/>
  <c r="ZW4" i="8"/>
  <c r="ZW29" i="8" s="1"/>
  <c r="ZW5" i="8"/>
  <c r="ZW30" i="8" s="1"/>
  <c r="ZW3" i="8"/>
  <c r="ZW28" i="8" s="1"/>
  <c r="ZW6" i="8"/>
  <c r="ZW31" i="8" s="1"/>
  <c r="ZW13" i="8"/>
  <c r="ZW38" i="8" s="1"/>
  <c r="ZR13" i="8"/>
  <c r="ZR38" i="8" s="1"/>
  <c r="ZR14" i="8"/>
  <c r="ZR39" i="8" s="1"/>
  <c r="AAH15" i="8" l="1"/>
  <c r="AAH40" i="8" s="1"/>
  <c r="AAH12" i="8"/>
  <c r="AAH37" i="8" s="1"/>
  <c r="AAH11" i="8"/>
  <c r="AAH36" i="8" s="1"/>
  <c r="AAH10" i="8"/>
  <c r="AAH35" i="8" s="1"/>
  <c r="AAC21" i="8"/>
  <c r="AAC12" i="8"/>
  <c r="AAC37" i="8" s="1"/>
  <c r="AAC11" i="8"/>
  <c r="AAC36" i="8" s="1"/>
  <c r="AAC3" i="8"/>
  <c r="AAC28" i="8" s="1"/>
  <c r="AAK4" i="8"/>
  <c r="AAU1" i="8"/>
  <c r="AAU2" i="8" s="1"/>
  <c r="AAC10" i="8"/>
  <c r="AAC35" i="8" s="1"/>
  <c r="AAH14" i="8"/>
  <c r="AAH39" i="8" s="1"/>
  <c r="AAD1" i="8"/>
  <c r="AAC15" i="8"/>
  <c r="AAC40" i="8" s="1"/>
  <c r="AAD26" i="8" l="1"/>
  <c r="AAH5" i="8"/>
  <c r="AAH30" i="8" s="1"/>
  <c r="AAH3" i="8"/>
  <c r="AAH28" i="8" s="1"/>
  <c r="AAH6" i="8"/>
  <c r="AAH31" i="8" s="1"/>
  <c r="AAH4" i="8"/>
  <c r="AAH29" i="8" s="1"/>
  <c r="AAU4" i="8"/>
  <c r="AAV2" i="8" s="1"/>
  <c r="AAH13" i="8"/>
  <c r="AAH38" i="8" s="1"/>
  <c r="AAC14" i="8"/>
  <c r="AAC39" i="8" s="1"/>
  <c r="AAC13" i="8"/>
  <c r="AAC38" i="8" s="1"/>
  <c r="AAN15" i="8" l="1"/>
  <c r="AAN40" i="8" s="1"/>
  <c r="AAS12" i="8"/>
  <c r="AAS37" i="8" s="1"/>
  <c r="AAS11" i="8"/>
  <c r="AAS36" i="8" s="1"/>
  <c r="AAS10" i="8"/>
  <c r="AAS35" i="8" s="1"/>
  <c r="AAS14" i="8"/>
  <c r="AAS39" i="8" s="1"/>
  <c r="AAN21" i="8"/>
  <c r="AAN3" i="8"/>
  <c r="AAN28" i="8" s="1"/>
  <c r="AAV4" i="8"/>
  <c r="ABF1" i="8"/>
  <c r="ABF2" i="8" s="1"/>
  <c r="AAN10" i="8"/>
  <c r="AAN35" i="8" s="1"/>
  <c r="AAS15" i="8"/>
  <c r="AAS40" i="8" s="1"/>
  <c r="AAO1" i="8"/>
  <c r="AAN12" i="8"/>
  <c r="AAN37" i="8" s="1"/>
  <c r="AAN11" i="8"/>
  <c r="AAN36" i="8" s="1"/>
  <c r="AAN14" i="8" l="1"/>
  <c r="AAN39" i="8" s="1"/>
  <c r="AAN13" i="8"/>
  <c r="AAN38" i="8" s="1"/>
  <c r="AAS13" i="8"/>
  <c r="AAS38" i="8" s="1"/>
  <c r="AAO26" i="8"/>
  <c r="AAS6" i="8"/>
  <c r="AAS31" i="8" s="1"/>
  <c r="AAS5" i="8"/>
  <c r="AAS30" i="8" s="1"/>
  <c r="AAS4" i="8"/>
  <c r="AAS29" i="8" s="1"/>
  <c r="AAS3" i="8"/>
  <c r="AAS28" i="8" s="1"/>
  <c r="ABF4" i="8"/>
  <c r="ABG2" i="8" s="1"/>
  <c r="AAY15" i="8" l="1"/>
  <c r="AAY40" i="8" s="1"/>
  <c r="AAY21" i="8"/>
  <c r="ABD15" i="8"/>
  <c r="ABD40" i="8" s="1"/>
  <c r="AAY3" i="8"/>
  <c r="AAY28" i="8" s="1"/>
  <c r="ABD14" i="8"/>
  <c r="ABD39" i="8" s="1"/>
  <c r="AAY12" i="8"/>
  <c r="AAY37" i="8" s="1"/>
  <c r="AAY11" i="8"/>
  <c r="AAY36" i="8" s="1"/>
  <c r="ABG4" i="8"/>
  <c r="ABQ1" i="8"/>
  <c r="ABQ2" i="8" s="1"/>
  <c r="ABD10" i="8"/>
  <c r="ABD35" i="8" s="1"/>
  <c r="AAY10" i="8"/>
  <c r="AAY35" i="8" s="1"/>
  <c r="AAZ1" i="8"/>
  <c r="ABD12" i="8"/>
  <c r="ABD37" i="8" s="1"/>
  <c r="ABD11" i="8"/>
  <c r="ABD36" i="8" s="1"/>
  <c r="AAY14" i="8" l="1"/>
  <c r="AAY39" i="8" s="1"/>
  <c r="AAY13" i="8"/>
  <c r="AAY38" i="8" s="1"/>
  <c r="ABD13" i="8"/>
  <c r="ABD38" i="8" s="1"/>
  <c r="AAZ26" i="8"/>
  <c r="ABD5" i="8"/>
  <c r="ABD30" i="8" s="1"/>
  <c r="ABD4" i="8"/>
  <c r="ABD29" i="8" s="1"/>
  <c r="ABD6" i="8"/>
  <c r="ABD31" i="8" s="1"/>
  <c r="ABD3" i="8"/>
  <c r="ABD28" i="8" s="1"/>
  <c r="ABQ4" i="8"/>
  <c r="ABR2" i="8" s="1"/>
  <c r="ABO14" i="8" l="1"/>
  <c r="ABO39" i="8" s="1"/>
  <c r="ABO12" i="8"/>
  <c r="ABO37" i="8" s="1"/>
  <c r="ABO11" i="8"/>
  <c r="ABO36" i="8" s="1"/>
  <c r="ABO10" i="8"/>
  <c r="ABO35" i="8" s="1"/>
  <c r="ABJ21" i="8"/>
  <c r="ABJ15" i="8"/>
  <c r="ABJ40" i="8" s="1"/>
  <c r="ABJ10" i="8"/>
  <c r="ABJ35" i="8" s="1"/>
  <c r="ABK1" i="8"/>
  <c r="ABO15" i="8"/>
  <c r="ABO40" i="8" s="1"/>
  <c r="ABJ12" i="8"/>
  <c r="ABJ37" i="8" s="1"/>
  <c r="ABJ11" i="8"/>
  <c r="ABJ36" i="8" s="1"/>
  <c r="ABR4" i="8"/>
  <c r="ABJ3" i="8"/>
  <c r="ABJ28" i="8" s="1"/>
  <c r="ACB1" i="8"/>
  <c r="ACB2" i="8" s="1"/>
  <c r="ABK26" i="8" l="1"/>
  <c r="ABO5" i="8"/>
  <c r="ABO30" i="8" s="1"/>
  <c r="ABO6" i="8"/>
  <c r="ABO31" i="8" s="1"/>
  <c r="ABO3" i="8"/>
  <c r="ABO28" i="8" s="1"/>
  <c r="ABO4" i="8"/>
  <c r="ABO29" i="8" s="1"/>
  <c r="ACB4" i="8"/>
  <c r="ACC2" i="8" s="1"/>
  <c r="ABJ13" i="8"/>
  <c r="ABJ38" i="8" s="1"/>
  <c r="ABJ14" i="8"/>
  <c r="ABJ39" i="8" s="1"/>
  <c r="ABO13" i="8"/>
  <c r="ABO38" i="8" s="1"/>
  <c r="ABU21" i="8" l="1"/>
  <c r="ABZ14" i="8"/>
  <c r="ABZ39" i="8" s="1"/>
  <c r="ABZ12" i="8"/>
  <c r="ABZ37" i="8" s="1"/>
  <c r="ABZ11" i="8"/>
  <c r="ABZ36" i="8" s="1"/>
  <c r="ABZ10" i="8"/>
  <c r="ABZ35" i="8" s="1"/>
  <c r="ABZ15" i="8"/>
  <c r="ABZ40" i="8" s="1"/>
  <c r="ABU15" i="8"/>
  <c r="ABU40" i="8" s="1"/>
  <c r="ABU10" i="8"/>
  <c r="ABU35" i="8" s="1"/>
  <c r="ACC4" i="8"/>
  <c r="ABU3" i="8"/>
  <c r="ABU28" i="8" s="1"/>
  <c r="ABU12" i="8"/>
  <c r="ABU37" i="8" s="1"/>
  <c r="ABU11" i="8"/>
  <c r="ABU36" i="8" s="1"/>
  <c r="ACM1" i="8"/>
  <c r="ACM2" i="8" s="1"/>
  <c r="ABV1" i="8"/>
  <c r="ABV26" i="8" l="1"/>
  <c r="ABZ6" i="8"/>
  <c r="ABZ31" i="8" s="1"/>
  <c r="ABZ3" i="8"/>
  <c r="ABZ28" i="8" s="1"/>
  <c r="ABZ4" i="8"/>
  <c r="ABZ29" i="8" s="1"/>
  <c r="ABZ5" i="8"/>
  <c r="ABZ30" i="8" s="1"/>
  <c r="ACM4" i="8"/>
  <c r="ACN2" i="8" s="1"/>
  <c r="ABZ13" i="8"/>
  <c r="ABZ38" i="8" s="1"/>
  <c r="ABU13" i="8"/>
  <c r="ABU38" i="8" s="1"/>
  <c r="ABU14" i="8"/>
  <c r="ABU39" i="8" s="1"/>
  <c r="ACF15" i="8" l="1"/>
  <c r="ACF40" i="8" s="1"/>
  <c r="ACK12" i="8"/>
  <c r="ACK37" i="8" s="1"/>
  <c r="ACK11" i="8"/>
  <c r="ACK36" i="8" s="1"/>
  <c r="ACK10" i="8"/>
  <c r="ACK35" i="8" s="1"/>
  <c r="ACF21" i="8"/>
  <c r="ACK14" i="8"/>
  <c r="ACK39" i="8" s="1"/>
  <c r="ACF10" i="8"/>
  <c r="ACF35" i="8" s="1"/>
  <c r="ACN4" i="8"/>
  <c r="ACF3" i="8"/>
  <c r="ACF28" i="8" s="1"/>
  <c r="ACF12" i="8"/>
  <c r="ACF37" i="8" s="1"/>
  <c r="ACF11" i="8"/>
  <c r="ACF36" i="8" s="1"/>
  <c r="ACX1" i="8"/>
  <c r="ACX2" i="8" s="1"/>
  <c r="ACK15" i="8"/>
  <c r="ACK40" i="8" s="1"/>
  <c r="ACG1" i="8"/>
  <c r="ACF14" i="8" l="1"/>
  <c r="ACF39" i="8" s="1"/>
  <c r="ACF13" i="8"/>
  <c r="ACF38" i="8" s="1"/>
  <c r="ACK13" i="8"/>
  <c r="ACK38" i="8" s="1"/>
  <c r="ACG26" i="8"/>
  <c r="ACK4" i="8"/>
  <c r="ACK29" i="8" s="1"/>
  <c r="ACK6" i="8"/>
  <c r="ACK31" i="8" s="1"/>
  <c r="ACK3" i="8"/>
  <c r="ACK28" i="8" s="1"/>
  <c r="ACK5" i="8"/>
  <c r="ACK30" i="8" s="1"/>
  <c r="ACX4" i="8"/>
  <c r="ACY2" i="8" s="1"/>
  <c r="ACQ15" i="8" l="1"/>
  <c r="ACQ40" i="8" s="1"/>
  <c r="ACV15" i="8"/>
  <c r="ACV40" i="8" s="1"/>
  <c r="ACQ3" i="8"/>
  <c r="ACQ28" i="8" s="1"/>
  <c r="ACQ12" i="8"/>
  <c r="ACQ37" i="8" s="1"/>
  <c r="ACQ11" i="8"/>
  <c r="ACQ36" i="8" s="1"/>
  <c r="ADI1" i="8"/>
  <c r="ADI2" i="8" s="1"/>
  <c r="ACV12" i="8"/>
  <c r="ACV37" i="8" s="1"/>
  <c r="ACV11" i="8"/>
  <c r="ACV36" i="8" s="1"/>
  <c r="ACV14" i="8"/>
  <c r="ACV39" i="8" s="1"/>
  <c r="ACR1" i="8"/>
  <c r="ACY4" i="8"/>
  <c r="ACV10" i="8"/>
  <c r="ACV35" i="8" s="1"/>
  <c r="ACQ21" i="8"/>
  <c r="ACQ10" i="8"/>
  <c r="ACQ35" i="8" s="1"/>
  <c r="ADI4" i="8" l="1"/>
  <c r="ADJ2" i="8" s="1"/>
  <c r="ACQ14" i="8"/>
  <c r="ACQ39" i="8" s="1"/>
  <c r="ACQ13" i="8"/>
  <c r="ACQ38" i="8" s="1"/>
  <c r="ACV13" i="8"/>
  <c r="ACV38" i="8" s="1"/>
  <c r="ACR26" i="8"/>
  <c r="ACV5" i="8"/>
  <c r="ACV30" i="8" s="1"/>
  <c r="ACV3" i="8"/>
  <c r="ACV28" i="8" s="1"/>
  <c r="ACV6" i="8"/>
  <c r="ACV31" i="8" s="1"/>
  <c r="ACV4" i="8"/>
  <c r="ACV29" i="8" s="1"/>
  <c r="ADG15" i="8" l="1"/>
  <c r="ADG40" i="8" s="1"/>
  <c r="ADB21" i="8"/>
  <c r="ADJ4" i="8"/>
  <c r="ADG14" i="8"/>
  <c r="ADG39" i="8" s="1"/>
  <c r="ADG12" i="8"/>
  <c r="ADG37" i="8" s="1"/>
  <c r="ADG11" i="8"/>
  <c r="ADG36" i="8" s="1"/>
  <c r="ADG10" i="8"/>
  <c r="ADG35" i="8" s="1"/>
  <c r="ADB12" i="8"/>
  <c r="ADB37" i="8" s="1"/>
  <c r="ADB11" i="8"/>
  <c r="ADB36" i="8" s="1"/>
  <c r="ADC1" i="8"/>
  <c r="ADB15" i="8"/>
  <c r="ADB40" i="8" s="1"/>
  <c r="ADB10" i="8"/>
  <c r="ADB35" i="8" s="1"/>
  <c r="ADB3" i="8"/>
  <c r="ADB28" i="8" s="1"/>
  <c r="ADG13" i="8" l="1"/>
  <c r="ADG38" i="8" s="1"/>
  <c r="ADB14" i="8"/>
  <c r="ADB39" i="8" s="1"/>
  <c r="ADB13" i="8"/>
  <c r="ADB38" i="8" s="1"/>
  <c r="ADC26" i="8"/>
  <c r="ADG5" i="8"/>
  <c r="ADG30" i="8" s="1"/>
  <c r="ADG4" i="8"/>
  <c r="ADG29" i="8" s="1"/>
  <c r="ADG3" i="8"/>
  <c r="ADG28" i="8" s="1"/>
  <c r="ADG6" i="8"/>
  <c r="ADG31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<sst xmlns="http://schemas.openxmlformats.org/spreadsheetml/2006/main" count="18368" uniqueCount="4021">
  <si>
    <t>赤</t>
  </si>
  <si>
    <t>24</t>
  </si>
  <si>
    <t>弁当　園児</t>
  </si>
  <si>
    <t>キャラ弁（学食）</t>
  </si>
  <si>
    <t>パンカップ　</t>
  </si>
  <si>
    <t>69</t>
  </si>
  <si>
    <t>パン　園児</t>
  </si>
  <si>
    <t>キャラ弁当</t>
  </si>
  <si>
    <t>ピクニック</t>
  </si>
  <si>
    <t>20</t>
  </si>
  <si>
    <t>ピクニック　園児</t>
  </si>
  <si>
    <t>配膳スマ</t>
  </si>
  <si>
    <t>0</t>
  </si>
  <si>
    <t>配膳給食　園児</t>
  </si>
  <si>
    <t>どんぶり給</t>
  </si>
  <si>
    <t>雙葉小学校 web</t>
  </si>
  <si>
    <t>雙葉小学校 先生</t>
  </si>
  <si>
    <t>シンキングキッズ</t>
  </si>
  <si>
    <t>なないろキッズ</t>
  </si>
  <si>
    <t>博多南 週3ｺｰｽ</t>
  </si>
  <si>
    <t>博多南 週5ｺｰｽ</t>
  </si>
  <si>
    <t>博多南（補助教員） web</t>
  </si>
  <si>
    <t>博多中央 週3ｺｰｽ</t>
  </si>
  <si>
    <t>博多中央 週5ｺｰｽ</t>
  </si>
  <si>
    <t>博多中央（補助教員） web</t>
  </si>
  <si>
    <t>博多 週3ｺｰｽ</t>
  </si>
  <si>
    <t>博多 週5ｺｰｽ</t>
  </si>
  <si>
    <t>博多（補助教員） web</t>
  </si>
  <si>
    <t>奈良屋幼稚園</t>
  </si>
  <si>
    <t>奈良屋幼稚園 奥田先生</t>
  </si>
  <si>
    <t>奈良屋幼稚園 先生</t>
  </si>
  <si>
    <t>スマイルキッズ</t>
  </si>
  <si>
    <t>博多第一 週3ｺｰｽ</t>
  </si>
  <si>
    <t>博多第一 週5ｺｰｽ</t>
  </si>
  <si>
    <t>博多第一（補助教員） web</t>
  </si>
  <si>
    <t>博多第二 週3ｺｰｽ</t>
  </si>
  <si>
    <t>博多第二 週5ｺｰｽ</t>
  </si>
  <si>
    <t>博多第二（補助教員） web</t>
  </si>
  <si>
    <t>志免幼稚園</t>
  </si>
  <si>
    <t>志免中央幼稚園</t>
  </si>
  <si>
    <t>シャインスターキッズ</t>
  </si>
  <si>
    <t>ことばの森プリスクール</t>
  </si>
  <si>
    <t>かしはら幼稚園</t>
  </si>
  <si>
    <t>さらやま保育園</t>
  </si>
  <si>
    <t>ひよこ保育園</t>
  </si>
  <si>
    <t>リリィ保育園</t>
  </si>
  <si>
    <t>バディ博多南校 web</t>
  </si>
  <si>
    <t>バディ博多南校 2号</t>
  </si>
  <si>
    <t>つるた保育園</t>
  </si>
  <si>
    <t>宝幼稚園</t>
  </si>
  <si>
    <t>須玖幼稚園</t>
  </si>
  <si>
    <t>南ヶ丘幼稚園</t>
  </si>
  <si>
    <t>南ヶ丘第二幼稚園</t>
  </si>
  <si>
    <t>月の浦幼稚園</t>
  </si>
  <si>
    <t>大野南幼稚園</t>
  </si>
  <si>
    <t>児童発達支援 いろは そうり</t>
  </si>
  <si>
    <t>児童発達支援 いろは</t>
  </si>
  <si>
    <t>イーズィピーズィーイングリッシ</t>
  </si>
  <si>
    <t>香蘭幼稚園</t>
  </si>
  <si>
    <t>香蘭 つぼみ</t>
  </si>
  <si>
    <t>大濠キンダーガーテン web</t>
  </si>
  <si>
    <t>イングリッシュスク―ル</t>
  </si>
  <si>
    <t>アメリカンチャターボックス</t>
  </si>
  <si>
    <t>コーナーズインターナショナル</t>
  </si>
  <si>
    <t>バディ筑紫野校 web</t>
  </si>
  <si>
    <t>バディ筑紫野校 2号</t>
  </si>
  <si>
    <t>BUDDY GSA InternationalSch web</t>
  </si>
  <si>
    <t>アンクラス</t>
  </si>
  <si>
    <t>はたなか</t>
  </si>
  <si>
    <t>社食</t>
  </si>
  <si>
    <t>セントラル やよい</t>
  </si>
  <si>
    <t>セントラル 筑紫野</t>
  </si>
  <si>
    <t>吉塚ゆりの樹 スマぶろ web</t>
  </si>
  <si>
    <t>吉塚ゆりの樹幼稚園（別）</t>
  </si>
  <si>
    <t>吉塚ゆりの樹 ママミール web</t>
  </si>
  <si>
    <t>泉ヶ丘幼稚園</t>
  </si>
  <si>
    <t>泉ヶ丘幼稚園ぺんぎん組</t>
  </si>
  <si>
    <t>春日小鳩幼稚園</t>
  </si>
  <si>
    <t>かなやま幼稚園</t>
  </si>
  <si>
    <t>山王幼稚園</t>
  </si>
  <si>
    <t>アイスクール幼稚園</t>
  </si>
  <si>
    <t>オハナ保育園 長住</t>
  </si>
  <si>
    <t>オハナ保育園 春日</t>
  </si>
  <si>
    <t>オハナ保育園 一の谷</t>
  </si>
  <si>
    <t>【合計】 5,069</t>
  </si>
  <si>
    <t>＊＊＊</t>
  </si>
  <si>
    <t>数出表</t>
  </si>
  <si>
    <t>日付 令和07年11月19日</t>
  </si>
  <si>
    <t>水曜日</t>
  </si>
  <si>
    <t>上段：園児、下段：先生</t>
  </si>
  <si>
    <t>作成日</t>
  </si>
  <si>
    <t>2025年11月18日 PAGE</t>
  </si>
  <si>
    <t>1</t>
  </si>
  <si>
    <t>パンカップピクニック配膳スマ</t>
  </si>
  <si>
    <t>おやつ</t>
  </si>
  <si>
    <t>園名</t>
  </si>
  <si>
    <t>飯あり</t>
  </si>
  <si>
    <t>おにぎり</t>
  </si>
  <si>
    <t>飯なし</t>
  </si>
  <si>
    <t>100</t>
  </si>
  <si>
    <t>150</t>
  </si>
  <si>
    <t>120</t>
  </si>
  <si>
    <t>三角</t>
  </si>
  <si>
    <t>半俵</t>
  </si>
  <si>
    <t>5100</t>
  </si>
  <si>
    <t>92</t>
  </si>
  <si>
    <t>48</t>
  </si>
  <si>
    <t>ｱﾚ小3/大0</t>
  </si>
  <si>
    <t>5102</t>
  </si>
  <si>
    <t>8</t>
  </si>
  <si>
    <t>現金集金あり（個数未定）</t>
  </si>
  <si>
    <t>18600</t>
  </si>
  <si>
    <t>4</t>
  </si>
  <si>
    <t>19700</t>
  </si>
  <si>
    <t>9</t>
  </si>
  <si>
    <t>200</t>
  </si>
  <si>
    <t>52</t>
  </si>
  <si>
    <t>ﾋﾟｸｱﾚ0 10：00まで納品</t>
  </si>
  <si>
    <t>12</t>
  </si>
  <si>
    <t>2</t>
  </si>
  <si>
    <t>206</t>
  </si>
  <si>
    <t>154</t>
  </si>
  <si>
    <t>36</t>
  </si>
  <si>
    <t>207</t>
  </si>
  <si>
    <t>400</t>
  </si>
  <si>
    <t>139</t>
  </si>
  <si>
    <t>別注（味王）あり</t>
  </si>
  <si>
    <t>406</t>
  </si>
  <si>
    <t>179</t>
  </si>
  <si>
    <t>407</t>
  </si>
  <si>
    <t>5</t>
  </si>
  <si>
    <t>500</t>
  </si>
  <si>
    <t>22</t>
  </si>
  <si>
    <t>506</t>
  </si>
  <si>
    <t>360</t>
  </si>
  <si>
    <t>507</t>
  </si>
  <si>
    <t>13</t>
  </si>
  <si>
    <t>13000</t>
  </si>
  <si>
    <t>61</t>
  </si>
  <si>
    <t>牛乳1Ｌ×7本 カップ</t>
  </si>
  <si>
    <t>13002</t>
  </si>
  <si>
    <t>13004</t>
  </si>
  <si>
    <t>16300</t>
  </si>
  <si>
    <t>7</t>
  </si>
  <si>
    <t>600</t>
  </si>
  <si>
    <t>108</t>
  </si>
  <si>
    <t>スープ付き</t>
  </si>
  <si>
    <t>17</t>
  </si>
  <si>
    <t>606</t>
  </si>
  <si>
    <t>236</t>
  </si>
  <si>
    <t>607</t>
  </si>
  <si>
    <t>700</t>
  </si>
  <si>
    <t>90</t>
  </si>
  <si>
    <t>通常時間納品</t>
  </si>
  <si>
    <t>15</t>
  </si>
  <si>
    <t>706</t>
  </si>
  <si>
    <t>141</t>
  </si>
  <si>
    <t>707</t>
  </si>
  <si>
    <t>2100</t>
  </si>
  <si>
    <t>122</t>
  </si>
  <si>
    <t>16</t>
  </si>
  <si>
    <t>2200</t>
  </si>
  <si>
    <t>219</t>
  </si>
  <si>
    <t>先生+2</t>
  </si>
  <si>
    <t>29</t>
  </si>
  <si>
    <t>17600</t>
  </si>
  <si>
    <t>6</t>
  </si>
  <si>
    <t>ｱﾚ0</t>
  </si>
  <si>
    <t>18500</t>
  </si>
  <si>
    <t>3</t>
  </si>
  <si>
    <t>8000</t>
  </si>
  <si>
    <t>26</t>
  </si>
  <si>
    <t>20200</t>
  </si>
  <si>
    <t>7200</t>
  </si>
  <si>
    <t>5900</t>
  </si>
  <si>
    <t>7100</t>
  </si>
  <si>
    <t>7103</t>
  </si>
  <si>
    <t>25</t>
  </si>
  <si>
    <t>おかわり用保温箱2K×1</t>
  </si>
  <si>
    <t>20700</t>
  </si>
  <si>
    <t>14</t>
  </si>
  <si>
    <t>16800</t>
  </si>
  <si>
    <t>99</t>
  </si>
  <si>
    <t>11600</t>
  </si>
  <si>
    <t>87</t>
  </si>
  <si>
    <t>1600</t>
  </si>
  <si>
    <t>118</t>
  </si>
  <si>
    <t>おかわり用保温箱2K×1 先生+1</t>
  </si>
  <si>
    <t>1700</t>
  </si>
  <si>
    <t>209</t>
  </si>
  <si>
    <t>おかわり用保温箱2K×1 先生+4</t>
  </si>
  <si>
    <t>1800</t>
  </si>
  <si>
    <t>89</t>
  </si>
  <si>
    <t>11</t>
  </si>
  <si>
    <t>7800</t>
  </si>
  <si>
    <t>148</t>
  </si>
  <si>
    <t>12900</t>
  </si>
  <si>
    <t>12910</t>
  </si>
  <si>
    <t>19900</t>
  </si>
  <si>
    <t>8100</t>
  </si>
  <si>
    <t>278</t>
  </si>
  <si>
    <t>おかわり用保温箱1.5Ｋ×1</t>
  </si>
  <si>
    <t>27</t>
  </si>
  <si>
    <t>8107</t>
  </si>
  <si>
    <t>13900</t>
  </si>
  <si>
    <t>10</t>
  </si>
  <si>
    <t>18900</t>
  </si>
  <si>
    <t>14700</t>
  </si>
  <si>
    <t>ｱﾚ1</t>
  </si>
  <si>
    <t>19100</t>
  </si>
  <si>
    <t>7000</t>
  </si>
  <si>
    <t>7003</t>
  </si>
  <si>
    <t>73</t>
  </si>
  <si>
    <t>7010</t>
  </si>
  <si>
    <t>ｱﾚ2</t>
  </si>
  <si>
    <t>20400</t>
  </si>
  <si>
    <t>19</t>
  </si>
  <si>
    <t>4700</t>
  </si>
  <si>
    <t>新日本15/ニシム電子5</t>
  </si>
  <si>
    <t>4800</t>
  </si>
  <si>
    <t>30003</t>
  </si>
  <si>
    <t>マリービスケット12箱 源氏パイ4袋</t>
  </si>
  <si>
    <t>マンナウエハース5箱</t>
  </si>
  <si>
    <t>ムーンライト4箱</t>
  </si>
  <si>
    <t>30004</t>
  </si>
  <si>
    <t>マンナウエハース3箱 ミニサラダ3袋</t>
  </si>
  <si>
    <t>おにぎり煎餅1袋</t>
  </si>
  <si>
    <t>800</t>
  </si>
  <si>
    <t>149</t>
  </si>
  <si>
    <t>ｱﾚ6</t>
  </si>
  <si>
    <t>802</t>
  </si>
  <si>
    <t>805</t>
  </si>
  <si>
    <t>117</t>
  </si>
  <si>
    <t>ｱﾚ4</t>
  </si>
  <si>
    <t>40100</t>
  </si>
  <si>
    <t>134</t>
  </si>
  <si>
    <t>18</t>
  </si>
  <si>
    <t>40102</t>
  </si>
  <si>
    <t>40200</t>
  </si>
  <si>
    <t>126</t>
  </si>
  <si>
    <t>40250</t>
  </si>
  <si>
    <t>153</t>
  </si>
  <si>
    <t>きく組学級閉鎖</t>
  </si>
  <si>
    <t>40350</t>
  </si>
  <si>
    <t>127</t>
  </si>
  <si>
    <t>40400</t>
  </si>
  <si>
    <t>174</t>
  </si>
  <si>
    <t>40700</t>
  </si>
  <si>
    <t>40750</t>
  </si>
  <si>
    <t>40800</t>
  </si>
  <si>
    <t>47</t>
  </si>
  <si>
    <t>3歳児春日納品/4.5歳児長住納品</t>
  </si>
  <si>
    <t>10002</t>
  </si>
  <si>
    <t>56</t>
  </si>
  <si>
    <t>147</t>
  </si>
  <si>
    <t>953</t>
  </si>
  <si>
    <t>1,360</t>
  </si>
  <si>
    <t>39</t>
  </si>
  <si>
    <t>386</t>
  </si>
  <si>
    <t>67</t>
  </si>
  <si>
    <t>268</t>
  </si>
  <si>
    <t>902</t>
  </si>
  <si>
    <t>344</t>
  </si>
  <si>
    <t>54</t>
  </si>
  <si>
    <t>172</t>
  </si>
  <si>
    <t>62</t>
  </si>
  <si>
    <t>94</t>
  </si>
  <si>
    <t>幼稚園別注</t>
  </si>
  <si>
    <t>ﾖｳﾁｴﾝﾍﾞｯﾁｭｳ</t>
  </si>
  <si>
    <t>2025/08/27 16:54:39</t>
  </si>
  <si>
    <t>太宰府小学校　第一学童保育所</t>
  </si>
  <si>
    <t>ﾀﾞｻﾞｲﾌｼｮｳｶﾞｯｺｳﾀﾞｲｲﾁｶﾞｸﾄﾞｳﾎｲｸｼｮ</t>
  </si>
  <si>
    <t>太宰府小　学童第一</t>
  </si>
  <si>
    <t>818-0119</t>
  </si>
  <si>
    <t>太宰府市連歌屋1-2-2</t>
  </si>
  <si>
    <t>092-925-3525</t>
  </si>
  <si>
    <t>2021/05/21 11:50:55</t>
  </si>
  <si>
    <t>太宰府小学校　第二学童保育所</t>
  </si>
  <si>
    <t>ﾀﾞｻﾞｲﾌｼｮｳｶﾞｯｺｳ ﾀﾞｲﾆｶﾞｸﾄﾞｳﾎｲｸｼｮ</t>
  </si>
  <si>
    <t>太宰府小　学童第二</t>
  </si>
  <si>
    <t>太宰府市連歌屋1-2-1</t>
  </si>
  <si>
    <t>092-928-5031</t>
  </si>
  <si>
    <t>2021/05/21 13:54:29</t>
  </si>
  <si>
    <t>太宰府東小学校　第一学童保育所</t>
  </si>
  <si>
    <t>ﾀﾞｻﾞｲﾌﾋｶﾞｼｼｮｳｶﾞｯｺｳ ﾀﾞｲｲﾁｶﾞｸﾄﾞｳ</t>
  </si>
  <si>
    <t>太宰府東小　学童第一</t>
  </si>
  <si>
    <t>818-0121</t>
  </si>
  <si>
    <t>太宰府市青山3-4-1</t>
  </si>
  <si>
    <t>092-925-5299</t>
  </si>
  <si>
    <t>2021/05/21 11:53:48</t>
  </si>
  <si>
    <t>太宰府東小学校　第二学童保育所</t>
  </si>
  <si>
    <t>ﾀﾞｻﾞｲﾌﾋｶﾞｼｼｮｳｶﾞｯｺｳ ﾀﾞｲﾆｶﾞｸﾄﾞｳﾎ</t>
  </si>
  <si>
    <t>太宰府東小　学童第二</t>
  </si>
  <si>
    <t>092-929-3038</t>
  </si>
  <si>
    <t>2021/05/21 11:55:03</t>
  </si>
  <si>
    <t>太宰府南小学校　第一学童保育所</t>
  </si>
  <si>
    <t>ﾀﾞｻﾞｲﾌﾐﾅﾐｼｮｳｶﾞｯｺｳ ﾀﾞｲｲﾁｶﾞｸﾄﾞｳﾎ</t>
  </si>
  <si>
    <t>太宰府南小　学童第一</t>
  </si>
  <si>
    <t>818-0122</t>
  </si>
  <si>
    <t>太宰府市高雄2-3855</t>
  </si>
  <si>
    <t>092-925-6031</t>
  </si>
  <si>
    <t>2021/05/21 12:00:41</t>
  </si>
  <si>
    <t>太宰府南小学校　第二学童保育所</t>
  </si>
  <si>
    <t>ﾀﾞｻﾞｲﾌﾐﾅﾐｼｮｳｶﾞｯｺｳ ﾀﾞｲﾆｶﾞｸﾄﾞｳﾎ</t>
  </si>
  <si>
    <t>太宰府南小　学童第二</t>
  </si>
  <si>
    <t>092-925-6936</t>
  </si>
  <si>
    <t>2021/05/21 11:59:10</t>
  </si>
  <si>
    <t>水城小学校　第一学童保育所</t>
  </si>
  <si>
    <t>ﾐｽﾞｷｼｮｳｶﾞｯｺｳ ﾀﾞｲｲﾁｶﾞｸﾄﾞｳﾎｲｸｼｮ</t>
  </si>
  <si>
    <t>水城小　学童第一</t>
  </si>
  <si>
    <t>818-0101</t>
  </si>
  <si>
    <t>太宰府市観世音寺3-13-2</t>
  </si>
  <si>
    <t>092-925-2777</t>
  </si>
  <si>
    <t>2021/05/21 12:07:23</t>
  </si>
  <si>
    <t>水城小学校　第二学童保育所</t>
  </si>
  <si>
    <t>ﾐｽﾞｷｼｮｳｶﾞｯｺｳ ﾀﾞｲﾆｶﾞｸﾄﾞｳﾎｲｸｼｮ</t>
  </si>
  <si>
    <t>水城小　学童第二</t>
  </si>
  <si>
    <t>092-923-3073</t>
  </si>
  <si>
    <t>2021/05/21 13:54:41</t>
  </si>
  <si>
    <t>水城小学校　第三学童保育所</t>
  </si>
  <si>
    <t>ﾐｽﾞｷｼｮｳｶﾞｯｺｳ ﾀﾞｲｻﾝｶﾞｸﾄﾞｳﾎｲｸｼｮ</t>
  </si>
  <si>
    <t>水城小　学童第三</t>
  </si>
  <si>
    <t>092-923-3083</t>
  </si>
  <si>
    <t>2021/05/21 12:37:01</t>
  </si>
  <si>
    <t>水城西小学校　第一学童保育所</t>
  </si>
  <si>
    <t>ﾐｽﾞｷﾆｼｼｮｳｶﾞｯｺｳ ﾀﾞｲｲﾁｶﾞｸﾄﾞｳﾎｲｸｼ</t>
  </si>
  <si>
    <t>水城西小　学童第一</t>
  </si>
  <si>
    <t>818-0135</t>
  </si>
  <si>
    <t>太宰府市向佐野90</t>
  </si>
  <si>
    <t>092-925-5923</t>
  </si>
  <si>
    <t>2021/05/21 12:40:46</t>
  </si>
  <si>
    <t>21</t>
  </si>
  <si>
    <t>水城西小学校　第二学童保育所</t>
  </si>
  <si>
    <t>ﾐｽﾞｷﾆｼｼｮｳｶﾞｯｺｳ ﾀﾞｲﾆｶﾞｸﾄﾞｳﾎｲｸｼｮ</t>
  </si>
  <si>
    <t>水城西小　学童第二</t>
  </si>
  <si>
    <t>092-925-6099</t>
  </si>
  <si>
    <t>2021/05/21 12:43:36</t>
  </si>
  <si>
    <t>水城西小学校　第三学童保育所</t>
  </si>
  <si>
    <t>ﾐｽﾞｷﾆｼｼｮｳｶﾞｯｺｳ ﾀﾞｲｻﾝｶﾞｸﾄﾞｳﾎｲｸｼ</t>
  </si>
  <si>
    <t>水城西小　学童第三</t>
  </si>
  <si>
    <t>092-928-5002</t>
  </si>
  <si>
    <t>2021/05/21 12:45:19</t>
  </si>
  <si>
    <t>23</t>
  </si>
  <si>
    <t>太宰府西小学校　第一学童保育所</t>
  </si>
  <si>
    <t>ﾀﾞｻﾞｲﾌﾆｼｼｮｳｶﾞｯｺｳ ﾀﾞｲｲﾁｶﾞｸﾄﾞｳﾎｲ</t>
  </si>
  <si>
    <t>太宰府西小　学童第一</t>
  </si>
  <si>
    <t>818-0134</t>
  </si>
  <si>
    <t>太宰府市大佐野4-6-30</t>
  </si>
  <si>
    <t>092-924-0932</t>
  </si>
  <si>
    <t>2021/05/21 12:47:43</t>
  </si>
  <si>
    <t>太宰府西小学校　第二学童保育所</t>
  </si>
  <si>
    <t>ﾀﾞｻﾞｲﾌﾆｼｼｮｳｶﾞｯｺｳ ﾀﾞｲﾆｶﾞｸﾄﾞｳﾎｲｸ</t>
  </si>
  <si>
    <t>太宰府西小　学童第二</t>
  </si>
  <si>
    <t>092-924-1516</t>
  </si>
  <si>
    <t>2021/05/21 12:48:43</t>
  </si>
  <si>
    <t>国分小学校　第一学童保育所</t>
  </si>
  <si>
    <t>ｺｸﾌﾞｼｮｳｶﾞｯｺｳ ﾀﾞｲｲﾁｶﾞｸﾄﾞｳﾎｲｸｼｮ</t>
  </si>
  <si>
    <t>国分小　学童第一</t>
  </si>
  <si>
    <t>818-0132</t>
  </si>
  <si>
    <t>太宰府市国分5-29-7</t>
  </si>
  <si>
    <t>092-924-0542</t>
  </si>
  <si>
    <t>2021/05/21 12:49:52</t>
  </si>
  <si>
    <t>国分小学校　第二学童保育所</t>
  </si>
  <si>
    <t>ｺｸﾌﾞｼｮｳｶﾞｯｺｳ ﾀﾞｲﾆｶﾞｸﾄﾞｳﾎｲｸｼｮｺｸ</t>
  </si>
  <si>
    <t>国分小　学童第二</t>
  </si>
  <si>
    <t>太宰府市国分2-10-1</t>
  </si>
  <si>
    <t>092-925-1122</t>
  </si>
  <si>
    <t>2021/05/21 12:50:45</t>
  </si>
  <si>
    <t>国分小学校　第三学童保育所</t>
  </si>
  <si>
    <t>ｺｸﾌﾞｼｮｳｶﾞｯｺｳ ﾀﾞｲｻﾝｶﾞｸﾄﾞｳﾎｲｸｼｮ</t>
  </si>
  <si>
    <t>国分小　学童第三</t>
  </si>
  <si>
    <t>092-925-1123</t>
  </si>
  <si>
    <t>2021/05/21 12:51:47</t>
  </si>
  <si>
    <t>30</t>
  </si>
  <si>
    <t>須玖小学校　　チャイルドクラブ</t>
  </si>
  <si>
    <t>ｽｸ ﾁｬｲﾙﾄﾞ</t>
  </si>
  <si>
    <t>須玖小　チャイルド</t>
  </si>
  <si>
    <t>816-0863</t>
  </si>
  <si>
    <t>春日市須玖南2-71</t>
  </si>
  <si>
    <t>092-582-6444</t>
  </si>
  <si>
    <t>2020/03/17 13:17:24</t>
  </si>
  <si>
    <t>32</t>
  </si>
  <si>
    <t>春日小学校　ポケットクラブ</t>
  </si>
  <si>
    <t>ｶｽｶﾞ ﾎﾟｹｯﾄ</t>
  </si>
  <si>
    <t>春日小　ポケット</t>
  </si>
  <si>
    <t>816-0851</t>
  </si>
  <si>
    <t>春日市昇町1-142</t>
  </si>
  <si>
    <t>092-573-4692</t>
  </si>
  <si>
    <t>2020/03/17 12:58:05</t>
  </si>
  <si>
    <t>33</t>
  </si>
  <si>
    <t>春日小学校　ポケット第2クラブ</t>
  </si>
  <si>
    <t>ｶｽｶﾞ ﾎﾟｹｯﾄﾀﾞｲ2</t>
  </si>
  <si>
    <t>春日小　ポケット第2</t>
  </si>
  <si>
    <t>092-573-4699</t>
  </si>
  <si>
    <t>2020/03/17 13:12:47</t>
  </si>
  <si>
    <t>34</t>
  </si>
  <si>
    <t>春日西小学校　つばめクラブ</t>
  </si>
  <si>
    <t>ｶｽｶﾞﾆｼ ﾂﾊﾞﾒ</t>
  </si>
  <si>
    <t>春日西小　つばめ</t>
  </si>
  <si>
    <t>816-0846</t>
  </si>
  <si>
    <t>春日市下白水南4-134</t>
  </si>
  <si>
    <t>092-572-6522</t>
  </si>
  <si>
    <t>2020/03/17 15:27:36</t>
  </si>
  <si>
    <t>35</t>
  </si>
  <si>
    <t>春日西小学校　つばめ第2クラブ</t>
  </si>
  <si>
    <t>ｶｽｶﾞﾆｼ ﾂﾊﾞﾒﾀﾞｲ2</t>
  </si>
  <si>
    <t>春日西小　つばめ第2</t>
  </si>
  <si>
    <t>092-592-1345</t>
  </si>
  <si>
    <t>2020/03/17 13:12:52</t>
  </si>
  <si>
    <t>天神山小学校　ひかりクラブ</t>
  </si>
  <si>
    <t>ﾃﾝｼﾞﾝﾔﾏ ﾋｶﾘ</t>
  </si>
  <si>
    <t>天神山小　ひかり</t>
  </si>
  <si>
    <t>816-0855</t>
  </si>
  <si>
    <t>春日市天神山6-39</t>
  </si>
  <si>
    <t>092-574-0316</t>
  </si>
  <si>
    <t>2020/03/17 12:59:54</t>
  </si>
  <si>
    <t>37</t>
  </si>
  <si>
    <t>天神山小学校　ひかり第2クラブ</t>
  </si>
  <si>
    <t>ﾃﾝｼﾞﾝﾔﾏﾋｶﾘﾀﾞｲ2</t>
  </si>
  <si>
    <t>天神山小　ひかり第2</t>
  </si>
  <si>
    <t>092-573-7758</t>
  </si>
  <si>
    <t>2020/03/17 13:12:57</t>
  </si>
  <si>
    <t>38</t>
  </si>
  <si>
    <t>大谷小学校　ひまわりクラブ</t>
  </si>
  <si>
    <t>ｵｵﾀﾆ ﾋﾏﾜﾘ</t>
  </si>
  <si>
    <t>大谷小　ひまわり</t>
  </si>
  <si>
    <t>816-0831</t>
  </si>
  <si>
    <t>春日市大谷4-1</t>
  </si>
  <si>
    <t>092-591-1355</t>
  </si>
  <si>
    <t>2020/03/17 15:29:13</t>
  </si>
  <si>
    <t>40</t>
  </si>
  <si>
    <t>春日南小学校　さくらクラブ</t>
  </si>
  <si>
    <t>ｶｽｶﾞﾐﾅﾐ ｻｸﾗ</t>
  </si>
  <si>
    <t>春日南小　さくら</t>
  </si>
  <si>
    <t>816-0814</t>
  </si>
  <si>
    <t>春日市春日8-100</t>
  </si>
  <si>
    <t>092-595-3377</t>
  </si>
  <si>
    <t>2020/03/17 13:03:50</t>
  </si>
  <si>
    <t>41</t>
  </si>
  <si>
    <t>春日南小学校　さくら第2クラブ</t>
  </si>
  <si>
    <t>ｶｽｶﾞﾐﾅﾐｻｸﾗﾀﾞｲ2</t>
  </si>
  <si>
    <t>春日南小　さくら第2</t>
  </si>
  <si>
    <t>092-595-3436</t>
  </si>
  <si>
    <t>2020/03/17 13:12:59</t>
  </si>
  <si>
    <t>42</t>
  </si>
  <si>
    <t>春日原小学校　たいようクラブ</t>
  </si>
  <si>
    <t>ｶｽｶﾞﾊﾞﾙﾀｲﾖｳ</t>
  </si>
  <si>
    <t>春日原小　たいよう</t>
  </si>
  <si>
    <t>816-0803</t>
  </si>
  <si>
    <t>春日市春日原南町4-37-1</t>
  </si>
  <si>
    <t>092-574-2348</t>
  </si>
  <si>
    <t>2020/03/17 13:09:46</t>
  </si>
  <si>
    <t>44</t>
  </si>
  <si>
    <t>春日東小学校　なかよしクラブ</t>
  </si>
  <si>
    <t>ｶｽｶﾞﾋｶﾞｼﾅｶﾖｼ</t>
  </si>
  <si>
    <t>春日東小　なかよし</t>
  </si>
  <si>
    <t>816-0821</t>
  </si>
  <si>
    <t>春日市若葉台東1-51</t>
  </si>
  <si>
    <t>092-574-2650</t>
  </si>
  <si>
    <t>2020/03/17 13:09:59</t>
  </si>
  <si>
    <t>45</t>
  </si>
  <si>
    <t>春日東小学校　なかよし第2クラブ</t>
  </si>
  <si>
    <t>ｶｽｶﾞﾋｶﾞｼﾅｶﾖｼﾀﾞｲ2</t>
  </si>
  <si>
    <t>春日東小　なかよし第2</t>
  </si>
  <si>
    <t>092-571-3688</t>
  </si>
  <si>
    <t>2020/03/17 13:13:06</t>
  </si>
  <si>
    <t>46</t>
  </si>
  <si>
    <t>春日北小学校　あおぞらクラブ</t>
  </si>
  <si>
    <t>ｶｽｶﾞｷﾀｱｵｿﾞﾗ</t>
  </si>
  <si>
    <t>春日北小　あおぞら</t>
  </si>
  <si>
    <t>816-0861</t>
  </si>
  <si>
    <t>春日市岡本1-35</t>
  </si>
  <si>
    <t>092-592-2692</t>
  </si>
  <si>
    <t>2020/03/17 13:10:40</t>
  </si>
  <si>
    <t>春日野小学校　つくしんぼクラブ</t>
  </si>
  <si>
    <t>ｶｽｶﾞﾉﾂｸｼﾝﾎﾞ</t>
  </si>
  <si>
    <t>春日野小　つくしんぼ</t>
  </si>
  <si>
    <t>816-0811</t>
  </si>
  <si>
    <t>春日市春日公園4-1-1</t>
  </si>
  <si>
    <t>092-501-7302</t>
  </si>
  <si>
    <t>2020/03/17 13:11:27</t>
  </si>
  <si>
    <t>49</t>
  </si>
  <si>
    <t>春日野小学校　つくしんぼ第2クラブ</t>
  </si>
  <si>
    <t>ｶｽｶﾞﾉﾂｸｼﾝﾎﾞﾀﾞｲ2</t>
  </si>
  <si>
    <t>春日野小つくしんぼ第2</t>
  </si>
  <si>
    <t>092-582-8680</t>
  </si>
  <si>
    <t>2020/03/17 13:13:21</t>
  </si>
  <si>
    <t>50</t>
  </si>
  <si>
    <t>日の出小学校　コスモクラブ</t>
  </si>
  <si>
    <t>ﾋﾉﾃﾞｺｽﾓ</t>
  </si>
  <si>
    <t>日の出小　コスモ</t>
  </si>
  <si>
    <t>816-0873</t>
  </si>
  <si>
    <t>春日市日の出町3-1-10</t>
  </si>
  <si>
    <t>092-585-2883</t>
  </si>
  <si>
    <t>2020/03/17 13:13:46</t>
  </si>
  <si>
    <t>白水小学校　スマイルクラブ</t>
  </si>
  <si>
    <t>ｼﾛｳｽﾞスマイル</t>
  </si>
  <si>
    <t>白水小　スマイル</t>
  </si>
  <si>
    <t>816-0845</t>
  </si>
  <si>
    <t>春日市白水ヶ丘1-100</t>
  </si>
  <si>
    <t>092-581-2450</t>
  </si>
  <si>
    <t>2020/03/17 15:33:41</t>
  </si>
  <si>
    <t>立花小学校　学童保育所</t>
  </si>
  <si>
    <t>ﾀﾁﾊﾞﾅｼｮｳｶﾞｯｺｳ ｶﾞｸﾄﾞｳﾎｲｸｼｮ</t>
  </si>
  <si>
    <t>立花小　学童</t>
  </si>
  <si>
    <t>811-0102</t>
  </si>
  <si>
    <t>糟屋郡新宮町大字立花口1072-3</t>
  </si>
  <si>
    <t>092-963-0450</t>
  </si>
  <si>
    <t>2021/05/21 10:55:00</t>
  </si>
  <si>
    <t>新宮小学校　学童保育所第一・第二・第三</t>
  </si>
  <si>
    <t>ｼﾝｸﾞｳｼｮｳｶﾞｯｺｳ ｶﾞｸﾄﾞｳﾎｲｸｼｮﾀﾞｲｲﾁ</t>
  </si>
  <si>
    <t>新宮小学校　学童</t>
  </si>
  <si>
    <t>811-0112</t>
  </si>
  <si>
    <t>糟屋郡新宮町下府3-12</t>
  </si>
  <si>
    <t>092-962-4139</t>
  </si>
  <si>
    <t>2021/05/21 13:54:52</t>
  </si>
  <si>
    <t>63</t>
  </si>
  <si>
    <t>新宮東小学校　学童保育所第一・第二</t>
  </si>
  <si>
    <t>ｼﾝｸﾞｳﾋｶﾞｼｼｮｳｶﾞｯｺｳ ｶﾞｸﾄﾞｳﾎｲｸｼｮﾀ</t>
  </si>
  <si>
    <t>新宮東小　学童</t>
  </si>
  <si>
    <t>811-0117</t>
  </si>
  <si>
    <t>糟屋郡新宮町新宮東4-8-1</t>
  </si>
  <si>
    <t>092-963-1131</t>
  </si>
  <si>
    <t>2021/05/21 10:57:34</t>
  </si>
  <si>
    <t>64</t>
  </si>
  <si>
    <t>新宮北小学校　学童保育所第一・第二・第三・第四</t>
  </si>
  <si>
    <t>ｼﾝｸﾞｳｷﾀｼｮｳｶﾞｯｺｳ ｶﾞｸﾄﾞｳﾎｲｸｼｮﾀﾞｲ</t>
  </si>
  <si>
    <t>新宮北小　学童</t>
  </si>
  <si>
    <t>811-0123</t>
  </si>
  <si>
    <t>糟屋郡新宮町上府北1-16-1</t>
  </si>
  <si>
    <t>092-963-1712</t>
  </si>
  <si>
    <t>092-963-1713</t>
  </si>
  <si>
    <t>2021/05/21 11:00:04</t>
  </si>
  <si>
    <t>71</t>
  </si>
  <si>
    <t>南畑小学校　学童保育所</t>
  </si>
  <si>
    <t>ﾐﾅﾐﾊﾀｼｮｳｶﾞｯｺｳ ｶﾞｸﾄﾞｳﾎｲｸｼｮ</t>
  </si>
  <si>
    <t>南畑小　学童</t>
  </si>
  <si>
    <t>811-1232</t>
  </si>
  <si>
    <t>那珂川市大字埋金530-1</t>
  </si>
  <si>
    <t>092-953-3660</t>
  </si>
  <si>
    <t>2021/05/21 11:08:56</t>
  </si>
  <si>
    <t>72</t>
  </si>
  <si>
    <t>岩戸小学校　学童保育所A・B</t>
  </si>
  <si>
    <t>ｲﾜﾄｼｮｳｶﾞｯｺｳ ｶﾞｸﾄﾞｳﾎｲｸｼｮA･B</t>
  </si>
  <si>
    <t>岩戸小　学童</t>
  </si>
  <si>
    <t>811-1242</t>
  </si>
  <si>
    <t>那珂川市大字西隈2-6-45</t>
  </si>
  <si>
    <t>092-953-1768</t>
  </si>
  <si>
    <t>2021/05/21 11:11:02</t>
  </si>
  <si>
    <t>岩戸北小学校　学童保育A・B・C</t>
  </si>
  <si>
    <t>ｲﾜﾄｷﾀｼｮｳｶﾞｯｺｳ ｶﾞｸﾄﾞｳﾎｲｸA･B･C</t>
  </si>
  <si>
    <t>岩戸北小　学童</t>
  </si>
  <si>
    <t>811-1255</t>
  </si>
  <si>
    <t>那珂川市恵子1-1-1</t>
  </si>
  <si>
    <t>092-953-3141</t>
  </si>
  <si>
    <t>2021/05/21 11:12:49</t>
  </si>
  <si>
    <t>74</t>
  </si>
  <si>
    <t>安徳小学校　学童保育所A・B・C</t>
  </si>
  <si>
    <t>ｱﾝﾄｸｼｮｳｶﾞｯｺｳ ｶﾞｸﾄﾞｳﾎｲｸｼｮA･B･C</t>
  </si>
  <si>
    <t>安徳小　学童</t>
  </si>
  <si>
    <t>811-1251</t>
  </si>
  <si>
    <t>那珂川市松木2-134</t>
  </si>
  <si>
    <t>092-953-1766</t>
  </si>
  <si>
    <t>2021/05/21 11:14:59</t>
  </si>
  <si>
    <t>75</t>
  </si>
  <si>
    <t>安徳北小学校　学童保育所A・B・Ｃ</t>
  </si>
  <si>
    <t>ｱﾝﾄｸｷﾀｼｮｳｶﾞｯｺｳ ｶﾞｸﾄﾞｳﾎｲｸｼｮABC</t>
  </si>
  <si>
    <t>安徳北小　学童</t>
  </si>
  <si>
    <t>811-1252</t>
  </si>
  <si>
    <t>那珂川市五郎丸1-11</t>
  </si>
  <si>
    <t>092-952-8147</t>
  </si>
  <si>
    <t>2021/05/21 13:55:08</t>
  </si>
  <si>
    <t>76</t>
  </si>
  <si>
    <t>片縄小学校　学童保育所A・第二B・第三Ｃ</t>
  </si>
  <si>
    <t>ｶﾀﾅﾜｼｮｳｶﾞｯｺｳ ｶﾞｸﾄﾞｳﾎｲｸｼｮAﾀﾞｲ</t>
  </si>
  <si>
    <t>片縄小　学童</t>
  </si>
  <si>
    <t>811-1203</t>
  </si>
  <si>
    <t>那珂川市片縄北1-15-2</t>
  </si>
  <si>
    <t>092-952-8133</t>
  </si>
  <si>
    <t>2021/05/21 11:33:23</t>
  </si>
  <si>
    <t>77</t>
  </si>
  <si>
    <t>安徳南小学校　学童保育所A・B・Ｃ</t>
  </si>
  <si>
    <t>ｱﾝﾄｸﾐﾅﾐｼｮｳｶﾞｯｺｳ ｶﾞｸﾄﾞｳﾎｲｸｼｮA･B</t>
  </si>
  <si>
    <t>安徳南小　学童</t>
  </si>
  <si>
    <t>811-1223</t>
  </si>
  <si>
    <t>那珂川市上梶尾1-1-2</t>
  </si>
  <si>
    <t>092-953-6221</t>
  </si>
  <si>
    <t>2021/05/21 11:34:53</t>
  </si>
  <si>
    <t>ペコフリー</t>
  </si>
  <si>
    <t>ﾍﾟｺﾌﾘｰ</t>
  </si>
  <si>
    <t>815-0032</t>
  </si>
  <si>
    <t>福岡県福岡市南区塩原1-28-1</t>
  </si>
  <si>
    <t xml:space="preserve">
LuneAyla</t>
  </si>
  <si>
    <t>092-292-7997</t>
  </si>
  <si>
    <t>2025/09/08 11:37:12</t>
  </si>
  <si>
    <t>91</t>
  </si>
  <si>
    <t>テノ・サポート</t>
  </si>
  <si>
    <t>ﾃﾉ･ｻﾎﾟｰﾄ</t>
  </si>
  <si>
    <t>812-0036</t>
  </si>
  <si>
    <t>福岡市博多区上呉服町10-10</t>
  </si>
  <si>
    <t>呉服町ビジネスセンター5階</t>
  </si>
  <si>
    <t>2022/09/03 11:45:23</t>
  </si>
  <si>
    <t xml:space="preserve">
LuneAyla(リュネアイラ)</t>
  </si>
  <si>
    <t>2025/09/08 11:18:39</t>
  </si>
  <si>
    <t>95</t>
  </si>
  <si>
    <t>博多学園　志明館</t>
  </si>
  <si>
    <t>ハカタガクエン ｼﾒｲｶﾝ</t>
  </si>
  <si>
    <t>博多学園志明館</t>
  </si>
  <si>
    <t>813-0041</t>
  </si>
  <si>
    <t>福岡県福岡市東区水谷１丁目２１番１号</t>
  </si>
  <si>
    <t/>
  </si>
  <si>
    <t>092-410-1450</t>
  </si>
  <si>
    <t>2019/10/30 9:38:49</t>
  </si>
  <si>
    <t>96</t>
  </si>
  <si>
    <t>博多学園</t>
  </si>
  <si>
    <t>ハカタガクエン</t>
  </si>
  <si>
    <t>092-671-6319</t>
  </si>
  <si>
    <t>2019/10/07 13:24:11</t>
  </si>
  <si>
    <t>97</t>
  </si>
  <si>
    <t>博多メディカル専門学校（現金）</t>
  </si>
  <si>
    <t>ハカタメディカル</t>
  </si>
  <si>
    <t>博多メディカル</t>
  </si>
  <si>
    <t>812-0044</t>
  </si>
  <si>
    <t>福岡県福岡市博多区千代4-32-1-</t>
  </si>
  <si>
    <t>092-651-8001</t>
  </si>
  <si>
    <t>2019/10/30 9:39:00</t>
  </si>
  <si>
    <t>98</t>
  </si>
  <si>
    <t>博多メディカル専門学校</t>
  </si>
  <si>
    <t>2019/10/30 9:39:07</t>
  </si>
  <si>
    <t>博多高等学校</t>
  </si>
  <si>
    <t>ハカタコウコウ</t>
  </si>
  <si>
    <t>092-681-0331</t>
  </si>
  <si>
    <t>2019/10/30 9:39:18</t>
  </si>
  <si>
    <t>博多のびっこ幼稚園　週3ｺｰｽ</t>
  </si>
  <si>
    <t>ハカタノビッコ ｼｭｳ3ｺｰｽ</t>
  </si>
  <si>
    <t>811-3425</t>
  </si>
  <si>
    <t>福岡県宗像市日の里７－１８－１</t>
  </si>
  <si>
    <t>0940-36-7473</t>
  </si>
  <si>
    <t>0940-36-7382</t>
  </si>
  <si>
    <t>2025/09/02 12:00:52</t>
  </si>
  <si>
    <t>101</t>
  </si>
  <si>
    <t>博多のびっこ幼稚園（別注）</t>
  </si>
  <si>
    <t>ハカタノビッコ</t>
  </si>
  <si>
    <t>2019/10/30 9:24:33</t>
  </si>
  <si>
    <t>102</t>
  </si>
  <si>
    <t>博多のびっこ幼稚園　リトルプレイルーム</t>
  </si>
  <si>
    <t>ハカタノビッコリトル</t>
  </si>
  <si>
    <t>2019/10/30 9:24:40</t>
  </si>
  <si>
    <t>103</t>
  </si>
  <si>
    <t>博多のびっこ幼稚園　ふれあい</t>
  </si>
  <si>
    <t>フレアイ</t>
  </si>
  <si>
    <t>2019/10/30 9:24:46</t>
  </si>
  <si>
    <t>104</t>
  </si>
  <si>
    <t>博多のびっこ幼稚園　のびっこクラブ</t>
  </si>
  <si>
    <t>ノビッコｸﾗﾌﾞ</t>
  </si>
  <si>
    <t>博多のびっこ幼稚園　のびっこク</t>
  </si>
  <si>
    <t>2019/10/30 9:24:53</t>
  </si>
  <si>
    <t>105</t>
  </si>
  <si>
    <t>博多のびっこ幼稚園　星組</t>
  </si>
  <si>
    <t>ﾊｶﾀﾉﾋﾞｯｺﾖｳﾁｴﾝ ﾎｼｸﾞﾐ</t>
  </si>
  <si>
    <t>博多のびっこ　星組</t>
  </si>
  <si>
    <t>福岡県宗像市日の里7-18-1</t>
  </si>
  <si>
    <t>2019/10/30 9:24:59</t>
  </si>
  <si>
    <t>106</t>
  </si>
  <si>
    <t>博多のびっこ幼稚園　週5ｺｰｽ</t>
  </si>
  <si>
    <t>ﾊｶﾀﾉﾋﾞｯｺｼｭｳ5ｺｰｽ</t>
  </si>
  <si>
    <t>博多のびっこ　週5ｺｰｽ</t>
  </si>
  <si>
    <t>2025/09/08 11:24:02</t>
  </si>
  <si>
    <t>107</t>
  </si>
  <si>
    <t>博多のびっこ幼稚園（補助教員）</t>
  </si>
  <si>
    <t>ハカタノビッコ (ﾎｼﾞｮｷｮｳｲﾝ)</t>
  </si>
  <si>
    <t>博多のびっこ（補助教員）</t>
  </si>
  <si>
    <t>2019/10/30 9:25:10</t>
  </si>
  <si>
    <t>博多のびっこ幼稚園（別注2）</t>
  </si>
  <si>
    <t>ハカタノビッコ2</t>
  </si>
  <si>
    <t>2019/10/30 9:25:16</t>
  </si>
  <si>
    <t>博多南幼稚園　週3ｺｰｽ</t>
  </si>
  <si>
    <t>ハカタミナミ ｼｭｳ3ｺｰｽ</t>
  </si>
  <si>
    <t>博多南　週3ｺｰｽ</t>
  </si>
  <si>
    <t>811-0215</t>
  </si>
  <si>
    <t>福岡県福岡市東区高美台２－２５－１</t>
  </si>
  <si>
    <t>092-606-8217</t>
  </si>
  <si>
    <t>092-606-8850</t>
  </si>
  <si>
    <t>2025/09/10 14:02:26</t>
  </si>
  <si>
    <t>201</t>
  </si>
  <si>
    <t>博多南幼稚園（別注）</t>
  </si>
  <si>
    <t>ハカタミナミ(別注)</t>
  </si>
  <si>
    <t>51</t>
  </si>
  <si>
    <t>2019/10/30 9:25:33</t>
  </si>
  <si>
    <t>202</t>
  </si>
  <si>
    <t>博多南幼稚園　リトルプレイルーム</t>
  </si>
  <si>
    <t>ハカタミナミリトル</t>
  </si>
  <si>
    <t>2019/10/30 9:25:37</t>
  </si>
  <si>
    <t>203</t>
  </si>
  <si>
    <t>博多南幼稚園（別注2）</t>
  </si>
  <si>
    <t>ハカタミナミﾍﾞｯﾁｭｳ2</t>
  </si>
  <si>
    <t>2019/10/30 9:25:44</t>
  </si>
  <si>
    <t>204</t>
  </si>
  <si>
    <t>博多南幼稚園（別注3）</t>
  </si>
  <si>
    <t>ハカタミナミ(別注3)</t>
  </si>
  <si>
    <t>2024/02/01 14:22:08</t>
  </si>
  <si>
    <t>205</t>
  </si>
  <si>
    <t>博多南幼稚園　フレンズルーム</t>
  </si>
  <si>
    <t>ハカタミナミ ﾌﾚﾝｽﾞﾙｰﾑ</t>
  </si>
  <si>
    <t>2025/09/02 12:01:42</t>
  </si>
  <si>
    <t>博多南幼稚園　週5ｺｰｽ</t>
  </si>
  <si>
    <t>ハカタミナミ ｼｭｳ5ｺｰｽ</t>
  </si>
  <si>
    <t>博多南　週5ｺｰｽ</t>
  </si>
  <si>
    <t>検食</t>
  </si>
  <si>
    <t>-1</t>
  </si>
  <si>
    <t>2025/09/10 14:02:33</t>
  </si>
  <si>
    <t>博多南幼稚園（補助教員）</t>
  </si>
  <si>
    <t>ハカタミナミ(ﾎｼﾞｮｷｮｳｲﾝ)</t>
  </si>
  <si>
    <t>博多南（補助教員）　web</t>
  </si>
  <si>
    <t>2025/09/10 15:59:12</t>
  </si>
  <si>
    <t>300</t>
  </si>
  <si>
    <t>博多東幼稚園</t>
  </si>
  <si>
    <t>ハカタヒガシ</t>
  </si>
  <si>
    <t>811-0121</t>
  </si>
  <si>
    <t>福岡県糟屋郡新宮町美咲2丁目17-1</t>
  </si>
  <si>
    <t>092-962-0321</t>
  </si>
  <si>
    <t>092-963-1199</t>
  </si>
  <si>
    <t>2019/12/27 10:45:24</t>
  </si>
  <si>
    <t>301</t>
  </si>
  <si>
    <t>博多東幼稚園（別注）</t>
  </si>
  <si>
    <t>2019/12/27 10:45:32</t>
  </si>
  <si>
    <t>302</t>
  </si>
  <si>
    <t>博多東幼稚園　リトルプレイルーム</t>
  </si>
  <si>
    <t>ハカタヒガシリトル</t>
  </si>
  <si>
    <t>2019/12/27 10:45:38</t>
  </si>
  <si>
    <t>303</t>
  </si>
  <si>
    <t>博多東幼稚園　ピータールーム</t>
  </si>
  <si>
    <t>ヒガシピーター</t>
  </si>
  <si>
    <t>43</t>
  </si>
  <si>
    <t>2019/12/27 10:45:44</t>
  </si>
  <si>
    <t>305</t>
  </si>
  <si>
    <t>認定こども園博多東幼稚園</t>
  </si>
  <si>
    <t>ヒガシﾆﾝﾃｲｺﾄﾞﾓｴﾝ</t>
  </si>
  <si>
    <t>認定こども園博多東幼稚園　</t>
  </si>
  <si>
    <t>30005</t>
  </si>
  <si>
    <t>2023/06/21 15:03:19</t>
  </si>
  <si>
    <t>博多中央幼稚園　週3ｺｰｽ</t>
  </si>
  <si>
    <t>ハカタチュウオウ ｼｭｳ3ｺｰｽ</t>
  </si>
  <si>
    <t>博多中央　週3ｺｰｽ</t>
  </si>
  <si>
    <t>813-0014</t>
  </si>
  <si>
    <t>福岡県福岡市東区香椎台１－５－２２</t>
  </si>
  <si>
    <t>092-681-3131</t>
  </si>
  <si>
    <t>092-681-3134</t>
  </si>
  <si>
    <t>70</t>
  </si>
  <si>
    <t>2025/09/10 14:02:41</t>
  </si>
  <si>
    <t>401</t>
  </si>
  <si>
    <t>博多中央幼稚園（別注）</t>
  </si>
  <si>
    <t>ハカタチュウオウ ﾍﾞｯﾁｭｳ</t>
  </si>
  <si>
    <t>2019/10/30 9:29:54</t>
  </si>
  <si>
    <t>402</t>
  </si>
  <si>
    <t>博多中央幼稚園　リトルプレイルーム</t>
  </si>
  <si>
    <t>ハカタチュウオウリトル</t>
  </si>
  <si>
    <t>2019/10/30 9:30:01</t>
  </si>
  <si>
    <t>403</t>
  </si>
  <si>
    <t>博多中央幼稚園　キラキラルーム</t>
  </si>
  <si>
    <t>ﾊｶﾀﾁｭｳｵｳﾖｳﾁｴﾝ ｷﾗｷﾗﾙｰﾑ</t>
  </si>
  <si>
    <t>福岡県福岡市東区香椎台1-5-22</t>
  </si>
  <si>
    <t>2025/09/02 12:05:56</t>
  </si>
  <si>
    <t>404</t>
  </si>
  <si>
    <t>博多中央幼稚園（別注2）</t>
  </si>
  <si>
    <t>ハカタチュウオウ ﾍﾞｯﾁｭｳ2</t>
  </si>
  <si>
    <t>博多中央（別注2）</t>
  </si>
  <si>
    <t>2025/09/10 14:02:52</t>
  </si>
  <si>
    <t>博多中央幼稚園　週5ｺｰｽ</t>
  </si>
  <si>
    <t>ハカタチュウオウ ｼｭｳ5ｺｰｽ</t>
  </si>
  <si>
    <t>博多中央　週5ｺｰｽ</t>
  </si>
  <si>
    <t>2025/09/10 14:02:59</t>
  </si>
  <si>
    <t>博多中央幼稚園（補助教員）</t>
  </si>
  <si>
    <t>ハカタチュウオウ(ﾎｼﾞｮｷｮｳｲﾝ)</t>
  </si>
  <si>
    <t>博多中央（補助教員）　web</t>
  </si>
  <si>
    <t>2025/09/10 15:59:21</t>
  </si>
  <si>
    <t>博多幼稚園　週3ｺｰｽ</t>
  </si>
  <si>
    <t>ハカタ ｼｭｳ3ｺｰｽ</t>
  </si>
  <si>
    <t>博多　週3ｺｰｽ</t>
  </si>
  <si>
    <t>813-0042</t>
  </si>
  <si>
    <t>福岡県福岡市東区舞松原５－７－５</t>
  </si>
  <si>
    <t>092-681-1107</t>
  </si>
  <si>
    <t>092-671-6231</t>
  </si>
  <si>
    <t>80</t>
  </si>
  <si>
    <t>2025/09/10 14:03:08</t>
  </si>
  <si>
    <t>501</t>
  </si>
  <si>
    <t>博多幼稚園（別注）</t>
  </si>
  <si>
    <t>ハカタ</t>
  </si>
  <si>
    <t>81</t>
  </si>
  <si>
    <t>2019/10/30 9:30:38</t>
  </si>
  <si>
    <t>502</t>
  </si>
  <si>
    <t>博多幼稚園　リトルプレイルーム</t>
  </si>
  <si>
    <t>ハカタリトル</t>
  </si>
  <si>
    <t>2019/10/30 9:30:43</t>
  </si>
  <si>
    <t>503</t>
  </si>
  <si>
    <t>博多幼稚園　ぴよぴよランド</t>
  </si>
  <si>
    <t>ﾊｶﾀﾖｳﾁｴﾝ ﾋﾟﾖﾋﾟﾖﾗﾝﾄﾞ</t>
  </si>
  <si>
    <t>2025/09/02 12:06:24</t>
  </si>
  <si>
    <t>504</t>
  </si>
  <si>
    <t>博多幼稚園（別注2）</t>
  </si>
  <si>
    <t>ハカタ2</t>
  </si>
  <si>
    <t>博多（別注2）</t>
  </si>
  <si>
    <t>2025/09/10 14:03:13</t>
  </si>
  <si>
    <t>505</t>
  </si>
  <si>
    <t>博多幼稚園　きらきらルーム</t>
  </si>
  <si>
    <t>ハカタ  ｷﾗｷﾗﾙｰﾑ</t>
  </si>
  <si>
    <t>2025/09/02 12:06:39</t>
  </si>
  <si>
    <t>博多幼稚園　週5ｺｰｽ</t>
  </si>
  <si>
    <t>ハカタ ｼｭｳ5ｺｰｽ</t>
  </si>
  <si>
    <t>博多　週5ｺｰｽ</t>
  </si>
  <si>
    <t>2025/09/10 14:03:19</t>
  </si>
  <si>
    <t>博多幼稚園（補助教員）</t>
  </si>
  <si>
    <t>ハカタ ｼｭｳ(ﾎｼﾞｮｷｮｳｲﾝ)</t>
  </si>
  <si>
    <t>博多（補助教員）　web</t>
  </si>
  <si>
    <t>2025/09/10 15:59:26</t>
  </si>
  <si>
    <t>博多第一幼稚園　週3ｺｰｽ</t>
  </si>
  <si>
    <t>ハカタダイイチ ｼｭｳｼｭｳ3ｺｰｽ</t>
  </si>
  <si>
    <t>博多第一　週3ｺｰｽ</t>
  </si>
  <si>
    <t>811-2201</t>
  </si>
  <si>
    <t>福岡県糟屋郡志免町桜丘１－２８</t>
  </si>
  <si>
    <t>092-936-0200</t>
  </si>
  <si>
    <t>092-936-1114</t>
  </si>
  <si>
    <t>110</t>
  </si>
  <si>
    <t>2025/09/10 14:03:31</t>
  </si>
  <si>
    <t>601</t>
  </si>
  <si>
    <t>博多第一幼稚園（別注）</t>
  </si>
  <si>
    <t>ハカタダイイチ</t>
  </si>
  <si>
    <t>111</t>
  </si>
  <si>
    <t>2019/10/30 9:31:40</t>
  </si>
  <si>
    <t>602</t>
  </si>
  <si>
    <t>博多第一幼稚園　ﾘﾄﾙﾌﾟﾚｲﾙｰﾑ</t>
  </si>
  <si>
    <t>ハカタダイイチリトルﾘﾄﾙﾌﾟﾚｲﾙｰﾑ</t>
  </si>
  <si>
    <t>2019/10/30 9:31:45</t>
  </si>
  <si>
    <t>603</t>
  </si>
  <si>
    <t>博多第一幼稚園　別注2</t>
  </si>
  <si>
    <t>ﾊｶﾀﾀﾞｲｲﾁ ﾍﾞｯﾁｭｳ2</t>
  </si>
  <si>
    <t>博多第一幼稚園　(別注2)</t>
  </si>
  <si>
    <t>2025/09/02 12:07:21</t>
  </si>
  <si>
    <t>604</t>
  </si>
  <si>
    <t>博多第一幼稚園　別注3</t>
  </si>
  <si>
    <t>ﾊｶﾀﾀﾞｲｲﾁ ﾍﾞｯﾁｭｳ3</t>
  </si>
  <si>
    <t>博多第一幼稚園　(別注3)</t>
  </si>
  <si>
    <t>2025/09/02 12:07:44</t>
  </si>
  <si>
    <t>605</t>
  </si>
  <si>
    <t>博多第一幼稚園　スターズルーム</t>
  </si>
  <si>
    <t>ハカタダイイチ ｽﾀｰｽﾞﾙｰﾑ</t>
  </si>
  <si>
    <t>2025/09/02 12:09:01</t>
  </si>
  <si>
    <t>博多第一幼稚園　週5ｺｰｽ</t>
  </si>
  <si>
    <t>ハカタダイイチ ｼｭｳ5ｺｰｽ</t>
  </si>
  <si>
    <t>博多第一　週5ｺｰｽ</t>
  </si>
  <si>
    <t>2025/09/10 14:03:50</t>
  </si>
  <si>
    <t>博多第一幼稚園（補助教員）</t>
  </si>
  <si>
    <t>ハカタダイイチ(ﾎｼﾞｮｷｮｳｲﾝ)</t>
  </si>
  <si>
    <t>博多第一（補助教員）　web</t>
  </si>
  <si>
    <t>2025/09/10 15:59:33</t>
  </si>
  <si>
    <t>博多第二幼稚園　週3ｺｰｽ</t>
  </si>
  <si>
    <t>ハカタダイニ ｼｭｳ3ｺｰｽ</t>
  </si>
  <si>
    <t>博多第二　週3ｺｰｽ</t>
  </si>
  <si>
    <t>811-2106</t>
  </si>
  <si>
    <t>福岡県糟屋郡宇美町ひばりが丘１－１－１０</t>
  </si>
  <si>
    <t>092-934-1001</t>
  </si>
  <si>
    <t>092-934-1564</t>
  </si>
  <si>
    <t>2025/09/10 14:04:01</t>
  </si>
  <si>
    <t>701</t>
  </si>
  <si>
    <t>博多第二幼稚園　（別注）</t>
  </si>
  <si>
    <t>ハカタダイニ</t>
  </si>
  <si>
    <t>博多第二幼稚園（別注）</t>
  </si>
  <si>
    <t>121</t>
  </si>
  <si>
    <t>2019/12/27 10:52:47</t>
  </si>
  <si>
    <t>702</t>
  </si>
  <si>
    <t>博多第二幼稚園　リトルプレイルーム</t>
  </si>
  <si>
    <t>ハカタダイニﾘﾄﾙﾌﾟﾚｲﾙｰﾑ</t>
  </si>
  <si>
    <t>博多第二幼稚リトルプレイルーム</t>
  </si>
  <si>
    <t>2025/09/02 12:10:06</t>
  </si>
  <si>
    <t>703</t>
  </si>
  <si>
    <t>博多第二幼稚園　リトルプレイルーム　週2（にじ組）</t>
  </si>
  <si>
    <t>ﾊｶﾀﾀﾞｲﾆﾘﾄﾙ ｼｭｳ2(ﾆｼﾞｸﾐ)ﾌﾟﾚｲﾙｰﾑ</t>
  </si>
  <si>
    <t>博多第二リトル　週2</t>
  </si>
  <si>
    <t>123</t>
  </si>
  <si>
    <t>2025/09/02 12:12:44</t>
  </si>
  <si>
    <t>704</t>
  </si>
  <si>
    <t>博多第二幼稚園　（別注2）</t>
  </si>
  <si>
    <t>ハカタダイニ2</t>
  </si>
  <si>
    <t>博多第二幼稚園（別注2）</t>
  </si>
  <si>
    <t>2019/11/05 9:39:05</t>
  </si>
  <si>
    <t>705</t>
  </si>
  <si>
    <t>博多第二幼稚園　お預かり</t>
  </si>
  <si>
    <t>ハカタダイニ ｵｱｽﾞｶﾘ</t>
  </si>
  <si>
    <t>博多第二　お預かり</t>
  </si>
  <si>
    <t>2019/12/27 10:53:19</t>
  </si>
  <si>
    <t>博多第二幼稚園　週5ｺｰｽ</t>
  </si>
  <si>
    <t>ハカタダイニ ｼｭｳ5ｺｰｽ</t>
  </si>
  <si>
    <t>博多第二　週5ｺｰｽ</t>
  </si>
  <si>
    <t>2025/09/10 14:04:06</t>
  </si>
  <si>
    <t>博多第二幼稚園（補助教員）</t>
  </si>
  <si>
    <t>ハカタダイニ(ﾎｼﾞｮｷｮｳｲﾝ)</t>
  </si>
  <si>
    <t>博多第二（補助教員）　web</t>
  </si>
  <si>
    <t>2025/09/10 15:59:39</t>
  </si>
  <si>
    <t>708</t>
  </si>
  <si>
    <t>博多第二幼稚園　（別注3）</t>
  </si>
  <si>
    <t>ハカタダイニ3</t>
  </si>
  <si>
    <t>博多第二幼稚園（別注3）</t>
  </si>
  <si>
    <t>2019/12/27 10:53:34</t>
  </si>
  <si>
    <t>吉塚ゆりの樹幼稚園</t>
  </si>
  <si>
    <t>ヨシヅカ</t>
  </si>
  <si>
    <t>吉塚ゆりの樹　スマぶろ　web</t>
  </si>
  <si>
    <t>812-0041</t>
  </si>
  <si>
    <t>福岡県福岡市博多区吉塚５－５－３９</t>
  </si>
  <si>
    <t>092-621-1055</t>
  </si>
  <si>
    <t>092-623-0586</t>
  </si>
  <si>
    <t>30010</t>
  </si>
  <si>
    <t>2025/09/10 14:04:34</t>
  </si>
  <si>
    <t>ヨシズカｼｮｳｻｲﾖｳ(ﾍﾞﾂ)</t>
  </si>
  <si>
    <t>2022/12/01 14:15:06</t>
  </si>
  <si>
    <t>吉塚ゆりの樹　ママミール　web</t>
  </si>
  <si>
    <t>管理職</t>
  </si>
  <si>
    <t>2025/09/10 14:04:40</t>
  </si>
  <si>
    <t>806</t>
  </si>
  <si>
    <t>ヨシズカ</t>
  </si>
  <si>
    <t>吉塚ゆりの樹（別）　ママミール</t>
  </si>
  <si>
    <t>2025/09/02 12:16:39</t>
  </si>
  <si>
    <t>1000</t>
  </si>
  <si>
    <t>学校法人　白水学園　森の木幼稚園</t>
  </si>
  <si>
    <t>モリノキ</t>
  </si>
  <si>
    <t>森の木幼稚園</t>
  </si>
  <si>
    <t>福岡県春日市昇町２－８５</t>
  </si>
  <si>
    <t>092-592-3977</t>
  </si>
  <si>
    <t>092-573-2562</t>
  </si>
  <si>
    <t>270</t>
  </si>
  <si>
    <t>2015/01/06 16:39:45</t>
  </si>
  <si>
    <t>1001</t>
  </si>
  <si>
    <t>森の木幼稚園（別注）</t>
  </si>
  <si>
    <t>271</t>
  </si>
  <si>
    <t>2015/01/22 10:58:54</t>
  </si>
  <si>
    <t>1002</t>
  </si>
  <si>
    <t>森の木幼稚園　なかよしクラブ</t>
  </si>
  <si>
    <t>森の木　なかよしクラブ</t>
  </si>
  <si>
    <t>291</t>
  </si>
  <si>
    <t>2015/01/06 16:48:16</t>
  </si>
  <si>
    <t>1004</t>
  </si>
  <si>
    <t>森の木幼稚園　食育</t>
  </si>
  <si>
    <t>モリノキ ｼｮｸｲｸ</t>
  </si>
  <si>
    <t>森の木　食育</t>
  </si>
  <si>
    <t>2024/01/19 11:18:18</t>
  </si>
  <si>
    <t>1100</t>
  </si>
  <si>
    <t>学校法人白水学園　くすの木幼稚園</t>
  </si>
  <si>
    <t>クスノキ</t>
  </si>
  <si>
    <t>くすの木幼稚園</t>
  </si>
  <si>
    <t>816-0823</t>
  </si>
  <si>
    <t>福岡県春日市若葉台西６－１０３</t>
  </si>
  <si>
    <t>092-571-0254</t>
  </si>
  <si>
    <t>092-582-9568</t>
  </si>
  <si>
    <t>280</t>
  </si>
  <si>
    <t>2015/01/05 16:18:05</t>
  </si>
  <si>
    <t>1101</t>
  </si>
  <si>
    <t>くすの木幼稚園　（別注）</t>
  </si>
  <si>
    <t>クスノキｷ</t>
  </si>
  <si>
    <t>281</t>
  </si>
  <si>
    <t>2015/01/22 11:15:18</t>
  </si>
  <si>
    <t>1102</t>
  </si>
  <si>
    <t>くすの木幼稚園　なかよしクラブ</t>
  </si>
  <si>
    <t>くすの木　なかよしクラブ</t>
  </si>
  <si>
    <t>292</t>
  </si>
  <si>
    <t>2016/11/26 12:13:42</t>
  </si>
  <si>
    <t>1103</t>
  </si>
  <si>
    <t>くすの木幼稚園　学童</t>
  </si>
  <si>
    <t>2014/12/16 15:39:39</t>
  </si>
  <si>
    <t>1104</t>
  </si>
  <si>
    <t>くすの木幼稚園　食育</t>
  </si>
  <si>
    <t>クスノキ ｼｮｸｲｸ</t>
  </si>
  <si>
    <t>くすの木　食育</t>
  </si>
  <si>
    <t>2024/01/19 11:18:28</t>
  </si>
  <si>
    <t>1200</t>
  </si>
  <si>
    <t>学校法人白水学園　もみの木幼稚園</t>
  </si>
  <si>
    <t>モミノキ</t>
  </si>
  <si>
    <t>もみの木</t>
  </si>
  <si>
    <t>816-0844</t>
  </si>
  <si>
    <t>福岡県春日市上白水前田４４５－２</t>
  </si>
  <si>
    <t>092-582-4292</t>
  </si>
  <si>
    <t>092-573-2146</t>
  </si>
  <si>
    <t>290</t>
  </si>
  <si>
    <t>2023/02/02 14:20:33</t>
  </si>
  <si>
    <t>1201</t>
  </si>
  <si>
    <t>もみの木幼稚園（別注）</t>
  </si>
  <si>
    <t>2023/01/23 11:27:40</t>
  </si>
  <si>
    <t>1202</t>
  </si>
  <si>
    <t>もみの木幼稚園　なかよしクラブ</t>
  </si>
  <si>
    <t>もみの木　なかよしクラブ</t>
  </si>
  <si>
    <t>293</t>
  </si>
  <si>
    <t>2012/01/18 14:43:24</t>
  </si>
  <si>
    <t>1204</t>
  </si>
  <si>
    <t>もみの木幼稚園　食育</t>
  </si>
  <si>
    <t>モミノキ ｼｮｸｲｸ</t>
  </si>
  <si>
    <t>もみの木　食育</t>
  </si>
  <si>
    <t>2024/01/19 11:18:55</t>
  </si>
  <si>
    <t>1300</t>
  </si>
  <si>
    <t>岩戸幼稚園</t>
  </si>
  <si>
    <t>イワト</t>
  </si>
  <si>
    <t>福岡県筑紫郡那珂川町西隈1丁目9-17</t>
  </si>
  <si>
    <t>092-952-2006</t>
  </si>
  <si>
    <t>092-952-3176</t>
  </si>
  <si>
    <t>340</t>
  </si>
  <si>
    <t>2012/01/18 14:43:29</t>
  </si>
  <si>
    <t>1301</t>
  </si>
  <si>
    <t>岩戸幼稚園（別注）</t>
  </si>
  <si>
    <t>341</t>
  </si>
  <si>
    <t>2014/12/22 11:59:25</t>
  </si>
  <si>
    <t>1302</t>
  </si>
  <si>
    <t>岩戸幼稚園　（先生用）</t>
  </si>
  <si>
    <t>2012/01/18 14:43:32</t>
  </si>
  <si>
    <t>1400</t>
  </si>
  <si>
    <t>岩戸北幼稚園</t>
  </si>
  <si>
    <t>イワトキタ</t>
  </si>
  <si>
    <t>福岡県筑紫郡那珂川町恵子１－１－２</t>
  </si>
  <si>
    <t>092-952-5054</t>
  </si>
  <si>
    <t>092-952-5283</t>
  </si>
  <si>
    <t>350</t>
  </si>
  <si>
    <t>2020/01/23 9:29:57</t>
  </si>
  <si>
    <t>1401</t>
  </si>
  <si>
    <t>岩戸北幼稚園（別注）</t>
  </si>
  <si>
    <t>351</t>
  </si>
  <si>
    <t>2015/01/26 14:20:44</t>
  </si>
  <si>
    <t>1402</t>
  </si>
  <si>
    <t>岩戸北幼稚園（先生用）</t>
  </si>
  <si>
    <t>2012/01/18 14:43:38</t>
  </si>
  <si>
    <t>1500</t>
  </si>
  <si>
    <t>南畑幼稚園</t>
  </si>
  <si>
    <t>ミナミハタ</t>
  </si>
  <si>
    <t>福岡県筑紫郡那珂川町埋金８１１－１</t>
  </si>
  <si>
    <t>092-952-2095</t>
  </si>
  <si>
    <t>092-952-2305</t>
  </si>
  <si>
    <t>2012/01/18 14:43:41</t>
  </si>
  <si>
    <t>1501</t>
  </si>
  <si>
    <t>南畑幼稚園（別注）</t>
  </si>
  <si>
    <t>361</t>
  </si>
  <si>
    <t>2015/01/26 14:30:30</t>
  </si>
  <si>
    <t>1502</t>
  </si>
  <si>
    <t>南畑幼稚園（先生用）</t>
  </si>
  <si>
    <t>2012/01/18 14:43:48</t>
  </si>
  <si>
    <t>ミナミガオカ</t>
  </si>
  <si>
    <t>南ヶ丘幼稚園　　</t>
  </si>
  <si>
    <t>816-0964</t>
  </si>
  <si>
    <t>福岡県大野城市南ケ丘５－１９－１</t>
  </si>
  <si>
    <t>092-596-2974</t>
  </si>
  <si>
    <t>092-596-1910</t>
  </si>
  <si>
    <t>310</t>
  </si>
  <si>
    <t>予備</t>
  </si>
  <si>
    <t>3.0</t>
  </si>
  <si>
    <t>2025/09/10 13:52:37</t>
  </si>
  <si>
    <t>1601</t>
  </si>
  <si>
    <t>南ヶ丘幼稚園　（別注）</t>
  </si>
  <si>
    <t>2011/10/20 17:33:53</t>
  </si>
  <si>
    <t>1602</t>
  </si>
  <si>
    <t>南ヶ丘幼稚園　のびっこクラブ</t>
  </si>
  <si>
    <t>ﾐﾅﾐｶﾞｵｶ ﾉﾋﾞｯｺ</t>
  </si>
  <si>
    <t>315</t>
  </si>
  <si>
    <t>2025/09/02 12:17:28</t>
  </si>
  <si>
    <t>ミナミガオカダイニ</t>
  </si>
  <si>
    <t>816-0953</t>
  </si>
  <si>
    <t>福岡県大野城市旭ケ丘２－４－１０</t>
  </si>
  <si>
    <t>092-596-2907</t>
  </si>
  <si>
    <t>092-596-1915</t>
  </si>
  <si>
    <t>320</t>
  </si>
  <si>
    <t>2025/09/10 13:52:45</t>
  </si>
  <si>
    <t>1701</t>
  </si>
  <si>
    <t>南ヶ丘第二幼稚園　（別注）</t>
  </si>
  <si>
    <t>2017/04/10 13:56:55</t>
  </si>
  <si>
    <t>1702</t>
  </si>
  <si>
    <t>南ヶ丘第二幼稚園　のびっこクラブ</t>
  </si>
  <si>
    <t>ﾐﾅﾐｶﾞｵｶﾀﾞｲﾆﾖｳﾁｴﾝ ﾉﾋﾞｯｺｸﾗﾌﾞ</t>
  </si>
  <si>
    <t>南ヶ丘第二　のびっこ</t>
  </si>
  <si>
    <t>092-596-1519</t>
  </si>
  <si>
    <t>321</t>
  </si>
  <si>
    <t>2020/05/11 9:15:39</t>
  </si>
  <si>
    <t>ツキノウラ</t>
  </si>
  <si>
    <t>816-0983</t>
  </si>
  <si>
    <t>福岡県大野城市月の浦３－２３－１</t>
  </si>
  <si>
    <t>092-595-2580</t>
  </si>
  <si>
    <t>330</t>
  </si>
  <si>
    <t>2025/09/10 13:52:51</t>
  </si>
  <si>
    <t>1801</t>
  </si>
  <si>
    <t>月の浦幼稚園　（別注）</t>
  </si>
  <si>
    <t>331</t>
  </si>
  <si>
    <t>2015/02/25 15:15:50</t>
  </si>
  <si>
    <t>1802</t>
  </si>
  <si>
    <t>月の浦幼稚園　のびっこクラブ</t>
  </si>
  <si>
    <t>ﾂｷﾉｳﾗﾖｳﾁｴﾝ ﾉﾋﾞｯｺｸﾗﾌﾞ</t>
  </si>
  <si>
    <t>月の浦　のびっこ</t>
  </si>
  <si>
    <t>大野城市月の浦3-23-1</t>
  </si>
  <si>
    <t>2014/06/19 14:58:22</t>
  </si>
  <si>
    <t>1803</t>
  </si>
  <si>
    <t>月の浦幼稚園　食育先生用</t>
  </si>
  <si>
    <t>ツキノウラ ｼｮｸｲｸｾﾝｾｲﾖｳ</t>
  </si>
  <si>
    <t>2015/10/06 16:20:49</t>
  </si>
  <si>
    <t>1804</t>
  </si>
  <si>
    <t>月の浦幼稚園　別注用先生</t>
  </si>
  <si>
    <t>ツキノウラ ﾍﾞｯﾁｭｳﾖｳｾﾝｾｲ</t>
  </si>
  <si>
    <t>2016/01/18 15:00:26</t>
  </si>
  <si>
    <t>1900</t>
  </si>
  <si>
    <t>那珂川第一幼稚園</t>
  </si>
  <si>
    <t>ナカガワダイイチ</t>
  </si>
  <si>
    <t>福岡県筑紫郡那珂川町松木５丁目１－１</t>
  </si>
  <si>
    <t>092-953-1135</t>
  </si>
  <si>
    <t>092-953-3848</t>
  </si>
  <si>
    <t>250</t>
  </si>
  <si>
    <t>2014/09/12 11:13:07</t>
  </si>
  <si>
    <t>1901</t>
  </si>
  <si>
    <t>那珂川第一幼稚園（別注）</t>
  </si>
  <si>
    <t>251</t>
  </si>
  <si>
    <t>2016/06/22 11:52:19</t>
  </si>
  <si>
    <t>1902</t>
  </si>
  <si>
    <t>那珂川第一幼稚園　音楽の先生</t>
  </si>
  <si>
    <t>ナカガワダイイチオンガクノセンセイ</t>
  </si>
  <si>
    <t>2012/01/18 14:44:18</t>
  </si>
  <si>
    <t>1903</t>
  </si>
  <si>
    <t>那珂川第一幼稚園　（おやつ）</t>
  </si>
  <si>
    <t>ナカガワダイイチオヤツ</t>
  </si>
  <si>
    <t>那珂川第一　（おやつ）</t>
  </si>
  <si>
    <t>2014/10/30 17:00:46</t>
  </si>
  <si>
    <t>1904</t>
  </si>
  <si>
    <t>香蘭女子短期大学　保育科</t>
  </si>
  <si>
    <t>コウランホイクカ</t>
  </si>
  <si>
    <t>2012/01/18 14:44:27</t>
  </si>
  <si>
    <t>1905</t>
  </si>
  <si>
    <t>那珂川第一幼稚園（お預かり）</t>
  </si>
  <si>
    <t>ナカガワダイイチ(</t>
  </si>
  <si>
    <t>那珂川第一幼稚園〈お預かり）</t>
  </si>
  <si>
    <t>252</t>
  </si>
  <si>
    <t>2015/12/10 17:51:33</t>
  </si>
  <si>
    <t>1906</t>
  </si>
  <si>
    <t>那珂川第二幼稚園おやつ</t>
  </si>
  <si>
    <t>ナカガワダイニﾖｳﾁｴﾝ</t>
  </si>
  <si>
    <t>那珂川第二おやつ</t>
  </si>
  <si>
    <t>福岡県筑紫郡那珂川町五郎丸字ムタダ70-3</t>
  </si>
  <si>
    <t>092-953-0222</t>
  </si>
  <si>
    <t>2014/10/30 17:00:31</t>
  </si>
  <si>
    <t>1907</t>
  </si>
  <si>
    <t>那珂川第二幼稚園</t>
  </si>
  <si>
    <t>ﾅｶｶﾞﾜﾀﾞｲﾆﾖｳﾁｴﾝ</t>
  </si>
  <si>
    <t>筑紫郡那珂川町五郎丸字ムタダ70-3</t>
  </si>
  <si>
    <t>02-953-222</t>
  </si>
  <si>
    <t>261</t>
  </si>
  <si>
    <t>2013/11/06 13:37:15</t>
  </si>
  <si>
    <t>1908</t>
  </si>
  <si>
    <t>筑紫女学院大学　実習生</t>
  </si>
  <si>
    <t>コﾁｸｼｼﾞｮｶﾞｸｲﾝﾀﾞｲｶﾞｸ ｼﾞｯｼｭｳｾｲ</t>
  </si>
  <si>
    <t>2017/05/26 11:33:05</t>
  </si>
  <si>
    <t>1910</t>
  </si>
  <si>
    <t>那珂川第一幼稚園　研修生</t>
  </si>
  <si>
    <t>ﾅｶｶﾞﾜﾀﾞｲｲﾁﾖｳﾁｴﾝ ｹﾝｼｭｳｾｲ</t>
  </si>
  <si>
    <t>2018/01/24 12:20:42</t>
  </si>
  <si>
    <t>2000</t>
  </si>
  <si>
    <t>学校法人　豊田学園　淡水幼稚園</t>
  </si>
  <si>
    <t>タンスイ</t>
  </si>
  <si>
    <t>淡水幼稚園</t>
  </si>
  <si>
    <t>816-0094</t>
  </si>
  <si>
    <t>福岡県福岡市博多区諸岡１－１８－３</t>
  </si>
  <si>
    <t>092-581-1461</t>
  </si>
  <si>
    <t>092-581-1793</t>
  </si>
  <si>
    <t>410</t>
  </si>
  <si>
    <t>2024/07/18 11:48:59</t>
  </si>
  <si>
    <t>2001</t>
  </si>
  <si>
    <t>淡水幼稚園（別注）</t>
  </si>
  <si>
    <t>411</t>
  </si>
  <si>
    <t>2015/01/22 11:16:28</t>
  </si>
  <si>
    <t>2002</t>
  </si>
  <si>
    <t>淡水幼稚園　おひさまランド</t>
  </si>
  <si>
    <t>おひさまランド</t>
  </si>
  <si>
    <t>420</t>
  </si>
  <si>
    <t>2012/01/18 14:44:45</t>
  </si>
  <si>
    <t>2003</t>
  </si>
  <si>
    <t>淡水幼稚園　まいまい</t>
  </si>
  <si>
    <t>まいまい</t>
  </si>
  <si>
    <t>430</t>
  </si>
  <si>
    <t>2012/01/18 14:44:48</t>
  </si>
  <si>
    <t>2004</t>
  </si>
  <si>
    <t>淡水幼稚園　アフタークラブ</t>
  </si>
  <si>
    <t>淡水　アフタークラブ</t>
  </si>
  <si>
    <t>2014/10/30 17:00:15</t>
  </si>
  <si>
    <t>2005</t>
  </si>
  <si>
    <t>淡水幼稚園あそびじゅく</t>
  </si>
  <si>
    <t>9999</t>
  </si>
  <si>
    <t>2011/09/14 0:00:00</t>
  </si>
  <si>
    <t>2006</t>
  </si>
  <si>
    <t>淡水幼稚園　つくし</t>
  </si>
  <si>
    <t>つくし</t>
  </si>
  <si>
    <t>431</t>
  </si>
  <si>
    <t>2025/09/08 11:26:07</t>
  </si>
  <si>
    <t>2007</t>
  </si>
  <si>
    <t>たんすい保育園</t>
  </si>
  <si>
    <t>タンスイﾎｲｸｴﾝ</t>
  </si>
  <si>
    <t>福岡県福岡市博多区諸岡1-19-5</t>
  </si>
  <si>
    <t>092-575-6005</t>
  </si>
  <si>
    <t>092-575-6006</t>
  </si>
  <si>
    <t>2024/07/18 11:49:05</t>
  </si>
  <si>
    <t>2008</t>
  </si>
  <si>
    <t>たんすい保育園　先生</t>
  </si>
  <si>
    <t>タンスイﾎｲｸｴﾝ ｾﾝｾｲ</t>
  </si>
  <si>
    <t>2024/07/18 11:49:53</t>
  </si>
  <si>
    <t>2009</t>
  </si>
  <si>
    <t>淡水保育園　おやつ</t>
  </si>
  <si>
    <t>タンスイﾎｲｸｴﾝ ｵﾔﾂ</t>
  </si>
  <si>
    <t>2024/07/18 11:49:44</t>
  </si>
  <si>
    <t>2010</t>
  </si>
  <si>
    <t>たんすいfamilia保育園</t>
  </si>
  <si>
    <t>ファミリア保育園</t>
  </si>
  <si>
    <t>2024/07/18 11:46:52</t>
  </si>
  <si>
    <t>2011</t>
  </si>
  <si>
    <t>たんすいfamilia保育園　先生用</t>
  </si>
  <si>
    <t>ファミリア保育園 ｾﾝｾｲﾖｳ</t>
  </si>
  <si>
    <t>たんすいfamilia先生用</t>
  </si>
  <si>
    <t>2024/07/18 11:46:01</t>
  </si>
  <si>
    <t>2012</t>
  </si>
  <si>
    <t>たんすいfamilia保育園　おやつ</t>
  </si>
  <si>
    <t>ファミリア保育園 ｵﾔﾂ</t>
  </si>
  <si>
    <t>2024/07/18 11:46:16</t>
  </si>
  <si>
    <t>シメ</t>
  </si>
  <si>
    <t>811-2202</t>
  </si>
  <si>
    <t>福岡県糟屋郡志免町志免１－２２－１</t>
  </si>
  <si>
    <t>092-935-8805</t>
  </si>
  <si>
    <t>092-935-6677</t>
  </si>
  <si>
    <t>140</t>
  </si>
  <si>
    <t>2021/12/14 9:28:56</t>
  </si>
  <si>
    <t>2101</t>
  </si>
  <si>
    <t>志免幼稚園（別注）</t>
  </si>
  <si>
    <t>志免幼稚園　（別注）</t>
  </si>
  <si>
    <t>2025/09/02 13:39:58</t>
  </si>
  <si>
    <t>2102</t>
  </si>
  <si>
    <t>志免幼稚園　（別注）　内税</t>
  </si>
  <si>
    <t>ｼﾒﾖｳﾁｴﾝ ﾍﾞｯﾁｭｳ ｳﾁｾﾞｲ</t>
  </si>
  <si>
    <t>142</t>
  </si>
  <si>
    <t>2025/08/25 13:16:31</t>
  </si>
  <si>
    <t>志免中央幼稚園　園児</t>
  </si>
  <si>
    <t>シメチュウオウ</t>
  </si>
  <si>
    <t>福岡県糟屋郡志免町片峰１－８－１</t>
  </si>
  <si>
    <t>092-935-2015</t>
  </si>
  <si>
    <t>092-936-5712</t>
  </si>
  <si>
    <t>2014/10/30 16:30:27</t>
  </si>
  <si>
    <t>2201</t>
  </si>
  <si>
    <t>志免中央幼稚園（別注）</t>
  </si>
  <si>
    <t>151</t>
  </si>
  <si>
    <t>2014/10/30 16:30:46</t>
  </si>
  <si>
    <t>2300</t>
  </si>
  <si>
    <t>2014/10/30 16:39:17</t>
  </si>
  <si>
    <t>2400</t>
  </si>
  <si>
    <t>玄海ゆりの樹幼稚園</t>
  </si>
  <si>
    <t>ゲンカイ</t>
  </si>
  <si>
    <t>811-3513</t>
  </si>
  <si>
    <t>福岡県宗像市上八1974</t>
  </si>
  <si>
    <t>0940-62-3836</t>
  </si>
  <si>
    <t>0940-62-2231</t>
  </si>
  <si>
    <t>2014/10/30 16:30:56</t>
  </si>
  <si>
    <t>2401</t>
  </si>
  <si>
    <t>玄海ゆりの樹幼稚園（別注）</t>
  </si>
  <si>
    <t>ｹﾞﾝｶｲ(ﾍﾞﾂﾁｭｳ)</t>
  </si>
  <si>
    <t>2014/10/30 16:31:04</t>
  </si>
  <si>
    <t>2500</t>
  </si>
  <si>
    <t>天照幼稚園</t>
  </si>
  <si>
    <t>テンショウ</t>
  </si>
  <si>
    <t>811-3114</t>
  </si>
  <si>
    <t>福岡県古賀市舞の里１－１３－２</t>
  </si>
  <si>
    <t>092-942-6744</t>
  </si>
  <si>
    <t>092-943-5367</t>
  </si>
  <si>
    <t>2025/09/02 13:40:13</t>
  </si>
  <si>
    <t>2501</t>
  </si>
  <si>
    <t>天照幼稚園（別注）</t>
  </si>
  <si>
    <t>31</t>
  </si>
  <si>
    <t>2018/10/24 13:56:52</t>
  </si>
  <si>
    <t>2502</t>
  </si>
  <si>
    <t>2022/10/25 15:09:23</t>
  </si>
  <si>
    <t>2503</t>
  </si>
  <si>
    <t>天照幼稚園　うさぎ組</t>
  </si>
  <si>
    <t>テンショウ ｳｻｷﾞｸﾞﾐ</t>
  </si>
  <si>
    <t>2025/05/08 10:33:16</t>
  </si>
  <si>
    <t>2504</t>
  </si>
  <si>
    <t>2024/11/05 14:29:54</t>
  </si>
  <si>
    <t>2505</t>
  </si>
  <si>
    <t>2024/11/05 14:30:37</t>
  </si>
  <si>
    <t>2600</t>
  </si>
  <si>
    <t>香椎幼稚園</t>
  </si>
  <si>
    <t>カシイ</t>
  </si>
  <si>
    <t>813-0003</t>
  </si>
  <si>
    <t>福岡県福岡市東区香住ケ丘１－２－３</t>
  </si>
  <si>
    <t>092-681-3320</t>
  </si>
  <si>
    <t>092-683-0697</t>
  </si>
  <si>
    <t>60</t>
  </si>
  <si>
    <t>2014/10/30 16:49:47</t>
  </si>
  <si>
    <t>2601</t>
  </si>
  <si>
    <t>香椎幼稚園（別注）</t>
  </si>
  <si>
    <t>2014/10/30 16:49:52</t>
  </si>
  <si>
    <t>2700</t>
  </si>
  <si>
    <t>福岡名島幼稚園</t>
  </si>
  <si>
    <t>ナジマ</t>
  </si>
  <si>
    <t>814-0043</t>
  </si>
  <si>
    <t>福岡市東区名島３－２５－１</t>
  </si>
  <si>
    <t>092-671-0123</t>
  </si>
  <si>
    <t>2014/10/30 16:39:24</t>
  </si>
  <si>
    <t>2701</t>
  </si>
  <si>
    <t>福岡名島幼稚園（別注）</t>
  </si>
  <si>
    <t>2014/10/30 16:31:18</t>
  </si>
  <si>
    <t>2800</t>
  </si>
  <si>
    <t>学校法人関学園　大野東幼稚園</t>
  </si>
  <si>
    <t>オオノヒガシ</t>
  </si>
  <si>
    <t>大野東幼稚園</t>
  </si>
  <si>
    <t>816-0902</t>
  </si>
  <si>
    <t>福岡県大野城市乙金１－１０－３７</t>
  </si>
  <si>
    <t>092-503-2895</t>
  </si>
  <si>
    <t>092-503-2975</t>
  </si>
  <si>
    <t>160</t>
  </si>
  <si>
    <t>2012/04/03 13:29:24</t>
  </si>
  <si>
    <t>2801</t>
  </si>
  <si>
    <t>大野東幼稚園　（別注）</t>
  </si>
  <si>
    <t>161</t>
  </si>
  <si>
    <t>2012/04/03 13:29:39</t>
  </si>
  <si>
    <t>2900</t>
  </si>
  <si>
    <t>託児所　なでしこ</t>
  </si>
  <si>
    <t>ナデシコ</t>
  </si>
  <si>
    <t>818-0041</t>
  </si>
  <si>
    <t>福岡県筑紫野市上古賀3-7-7　2階</t>
  </si>
  <si>
    <t>092-919-6336</t>
  </si>
  <si>
    <t>170</t>
  </si>
  <si>
    <t>2014/10/30 16:50:00</t>
  </si>
  <si>
    <t>2901</t>
  </si>
  <si>
    <t>託児所　なでしこ(先生用）</t>
  </si>
  <si>
    <t>ナデシコセンセイ</t>
  </si>
  <si>
    <t>171</t>
  </si>
  <si>
    <t>2014/10/30 16:50:05</t>
  </si>
  <si>
    <t>3000</t>
  </si>
  <si>
    <t>はこぶね幼稚園</t>
  </si>
  <si>
    <t>ハコブネ</t>
  </si>
  <si>
    <t>811-2308</t>
  </si>
  <si>
    <t>福岡県糟屋郡粕屋町内橋字一本木22</t>
  </si>
  <si>
    <t>092-938-1230</t>
  </si>
  <si>
    <t>092-938-1236</t>
  </si>
  <si>
    <t>130</t>
  </si>
  <si>
    <t>2014/10/30 16:39:31</t>
  </si>
  <si>
    <t>3001</t>
  </si>
  <si>
    <t>はこぶね幼稚園　別注</t>
  </si>
  <si>
    <t>131</t>
  </si>
  <si>
    <t>2014/10/30 16:39:37</t>
  </si>
  <si>
    <t>3003</t>
  </si>
  <si>
    <t>はこぶね認定こども園</t>
  </si>
  <si>
    <t>ハコブネﾆﾝﾃｲｺﾄﾞﾓｴﾝ</t>
  </si>
  <si>
    <t>2015/04/08 9:27:08</t>
  </si>
  <si>
    <t>3010</t>
  </si>
  <si>
    <t>はこぶね認定こども園　別注</t>
  </si>
  <si>
    <t>ハコブネﾆﾝﾃｲｺﾄﾞﾓｴﾝ ﾍﾞｯﾁｭｳ</t>
  </si>
  <si>
    <t>はこぶね認定こども園別注</t>
  </si>
  <si>
    <t>2015/08/05 8:50:34</t>
  </si>
  <si>
    <t>3100</t>
  </si>
  <si>
    <t>笹丘カトリック幼稚園</t>
  </si>
  <si>
    <t>ササオカ</t>
  </si>
  <si>
    <t>810-0034</t>
  </si>
  <si>
    <t>福岡県福岡市中央区笹丘１丁目17-51</t>
  </si>
  <si>
    <t>092-713-0019</t>
  </si>
  <si>
    <t>092-713-0089</t>
  </si>
  <si>
    <t>180</t>
  </si>
  <si>
    <t>2025/09/02 13:40:33</t>
  </si>
  <si>
    <t>3101</t>
  </si>
  <si>
    <t>笹丘カトリック幼稚園（別注）</t>
  </si>
  <si>
    <t>ｻｻｵｶｶﾄﾘｯｸﾖｳﾁｴﾝ(ﾍﾞｯﾁｭｳ)</t>
  </si>
  <si>
    <t>笹丘カトリック　（別注）</t>
  </si>
  <si>
    <t>181</t>
  </si>
  <si>
    <t>2025/09/02 13:40:52</t>
  </si>
  <si>
    <t>3200</t>
  </si>
  <si>
    <t>キッズ・キッズ　長丘</t>
  </si>
  <si>
    <t>キッズナガオカ</t>
  </si>
  <si>
    <t>815-0075</t>
  </si>
  <si>
    <t>福岡県福岡市南区長丘4-3-36</t>
  </si>
  <si>
    <t>092-542-0006</t>
  </si>
  <si>
    <t>175</t>
  </si>
  <si>
    <t>2014/10/30 16:39:54</t>
  </si>
  <si>
    <t>3300</t>
  </si>
  <si>
    <t>株式会社アマテラス</t>
  </si>
  <si>
    <t>アマテラス</t>
  </si>
  <si>
    <t>810-0044</t>
  </si>
  <si>
    <t>福岡市中央区六本松3丁目11-25　谷口ビル2F</t>
  </si>
  <si>
    <t>092-712-0777</t>
  </si>
  <si>
    <t>464</t>
  </si>
  <si>
    <t>2015/03/09 15:48:36</t>
  </si>
  <si>
    <t>3400</t>
  </si>
  <si>
    <t>小笹幼稚園</t>
  </si>
  <si>
    <t>オザサ</t>
  </si>
  <si>
    <t>小笹幼稚園　　</t>
  </si>
  <si>
    <t>810-0033</t>
  </si>
  <si>
    <t>福岡県福岡市中央区小笹５－１６－３５</t>
  </si>
  <si>
    <t>092-531-3374</t>
  </si>
  <si>
    <t>190</t>
  </si>
  <si>
    <t>2024/10/22 16:22:19</t>
  </si>
  <si>
    <t>3401</t>
  </si>
  <si>
    <t>小笹幼稚園（別注）</t>
  </si>
  <si>
    <t>191</t>
  </si>
  <si>
    <t>2015/06/04 10:51:38</t>
  </si>
  <si>
    <t>3500</t>
  </si>
  <si>
    <t>慶光ブライトンアカデミー</t>
  </si>
  <si>
    <t>ケイコウ</t>
  </si>
  <si>
    <t>814-0153</t>
  </si>
  <si>
    <t>福岡県福岡市城南区樋井川２－１１－２７</t>
  </si>
  <si>
    <t>092-801-6666</t>
  </si>
  <si>
    <t>2014/10/30 16:39:59</t>
  </si>
  <si>
    <t>3600</t>
  </si>
  <si>
    <t>若久幼稚園</t>
  </si>
  <si>
    <t>ワカヒサ</t>
  </si>
  <si>
    <t>815-0042</t>
  </si>
  <si>
    <t>福岡県福岡市南区若久１－２２－７</t>
  </si>
  <si>
    <t>092-542-0415</t>
  </si>
  <si>
    <t>092-561-2116</t>
  </si>
  <si>
    <t>210</t>
  </si>
  <si>
    <t>2012/01/18 14:45:57</t>
  </si>
  <si>
    <t>3601</t>
  </si>
  <si>
    <t>若久幼稚園（別注）</t>
  </si>
  <si>
    <t>211</t>
  </si>
  <si>
    <t>2015/01/22 11:17:22</t>
  </si>
  <si>
    <t>3700</t>
  </si>
  <si>
    <t>大橋幼稚園</t>
  </si>
  <si>
    <t>オオハシ</t>
  </si>
  <si>
    <t>815-0033</t>
  </si>
  <si>
    <t>福岡県福岡市南区大橋３－８－２</t>
  </si>
  <si>
    <t>092-541-3072</t>
  </si>
  <si>
    <t>092-541-3143</t>
  </si>
  <si>
    <t>220</t>
  </si>
  <si>
    <t>2022/06/08 12:06:53</t>
  </si>
  <si>
    <t>3701</t>
  </si>
  <si>
    <t>大橋幼稚園（別注）</t>
  </si>
  <si>
    <t>221</t>
  </si>
  <si>
    <t>2015/01/22 11:17:36</t>
  </si>
  <si>
    <t>3800</t>
  </si>
  <si>
    <t>×　学校法人　石田学園　山王幼稚園</t>
  </si>
  <si>
    <t xml:space="preserve">サンノウﾊﾞﾂ </t>
  </si>
  <si>
    <t>×　山王幼稚園</t>
  </si>
  <si>
    <t>812-0015</t>
  </si>
  <si>
    <t>福岡県福岡市博多区山王１－５－３６</t>
  </si>
  <si>
    <t>092-441-2800</t>
  </si>
  <si>
    <t>092-472-1390</t>
  </si>
  <si>
    <t>30021</t>
  </si>
  <si>
    <t>2025/11/17 11:46:00</t>
  </si>
  <si>
    <t>3801</t>
  </si>
  <si>
    <t>×　山王幼稚園　（別注）</t>
  </si>
  <si>
    <t>2025/11/17 11:46:13</t>
  </si>
  <si>
    <t>3900</t>
  </si>
  <si>
    <t>塩原幼稚園</t>
  </si>
  <si>
    <t>シオバル</t>
  </si>
  <si>
    <t>福岡県福岡市南区塩原2-4-30</t>
  </si>
  <si>
    <t>092-541-1547</t>
  </si>
  <si>
    <t>240</t>
  </si>
  <si>
    <t>2012/01/18 14:46:14</t>
  </si>
  <si>
    <t>3901</t>
  </si>
  <si>
    <t>塩原幼稚園　別注</t>
  </si>
  <si>
    <t>ｼｵﾊﾞﾙﾖｳﾁｴﾝ ﾍﾞﾂﾁｭｳ</t>
  </si>
  <si>
    <t>241</t>
  </si>
  <si>
    <t>2016/06/22 16:15:59</t>
  </si>
  <si>
    <t>3902</t>
  </si>
  <si>
    <t>塩原　つぼみ組火・木クラス</t>
  </si>
  <si>
    <t>ｼｵﾊﾞﾙﾂﾎﾞﾐｸﾐｶ･ｷｸﾗｽ</t>
  </si>
  <si>
    <t>塩原つぼみ組火・木</t>
  </si>
  <si>
    <t>福岡市南区塩原２－４－３０</t>
  </si>
  <si>
    <t>541-1547</t>
  </si>
  <si>
    <t>2016/05/06 15:53:51</t>
  </si>
  <si>
    <t>3903</t>
  </si>
  <si>
    <t>塩原幼稚園　先生用</t>
  </si>
  <si>
    <t>シオバル ｾﾝｾｲﾖｳ</t>
  </si>
  <si>
    <t>2015/04/07 15:55:35</t>
  </si>
  <si>
    <t>3904</t>
  </si>
  <si>
    <t>塩原幼稚園　現金</t>
  </si>
  <si>
    <t>シオバル ｹﾞﾝｷﾝ</t>
  </si>
  <si>
    <t>2015/08/04 9:57:05</t>
  </si>
  <si>
    <t>3905</t>
  </si>
  <si>
    <t>塩原　つぼみ組水・金クラス</t>
  </si>
  <si>
    <t>ｼｵﾊﾞﾙﾂﾎﾞﾐｸ</t>
  </si>
  <si>
    <t>塩原つぼみ組水・金</t>
  </si>
  <si>
    <t>2016/05/06 15:54:11</t>
  </si>
  <si>
    <t>3906</t>
  </si>
  <si>
    <t>塩原幼稚園（先生）</t>
  </si>
  <si>
    <t>ｼｵﾊﾞﾙﾖｳﾁｴﾝ(ｾﾝｾｲ)</t>
  </si>
  <si>
    <t>2020/08/04 13:12:50</t>
  </si>
  <si>
    <t>4000</t>
  </si>
  <si>
    <t>×　春日小鳩幼稚園</t>
  </si>
  <si>
    <t>コバト</t>
  </si>
  <si>
    <t>福岡県春日市岡本１－８６</t>
  </si>
  <si>
    <t>092-581-5905</t>
  </si>
  <si>
    <t>092-581-5771</t>
  </si>
  <si>
    <t>2025/11/17 11:46:39</t>
  </si>
  <si>
    <t>4001</t>
  </si>
  <si>
    <t>×　春日小鳩幼稚園（別注）</t>
  </si>
  <si>
    <t>2025/11/17 11:46:45</t>
  </si>
  <si>
    <t>4100</t>
  </si>
  <si>
    <t>正光寺ひかり幼稚園</t>
  </si>
  <si>
    <t>ヒカリ</t>
  </si>
  <si>
    <t>816-0087</t>
  </si>
  <si>
    <t>福岡県福岡市博多区三筑２－３１－１</t>
  </si>
  <si>
    <t>092-581-1959</t>
  </si>
  <si>
    <t>095-582-9650</t>
  </si>
  <si>
    <t>370</t>
  </si>
  <si>
    <t>2015/02/06 12:51:06</t>
  </si>
  <si>
    <t>4101</t>
  </si>
  <si>
    <t>正光寺ひかり幼稚園（別注）</t>
  </si>
  <si>
    <t>371</t>
  </si>
  <si>
    <t>2015/01/22 11:16:16</t>
  </si>
  <si>
    <t>4200</t>
  </si>
  <si>
    <t>社会福祉法人　愛育の森</t>
  </si>
  <si>
    <t>ｼｬｶｲﾌｸｼﾎｳｼﾞﾝ ｱｲｲｸﾉﾓﾘ</t>
  </si>
  <si>
    <t>愛育の森</t>
  </si>
  <si>
    <t>816-0862</t>
  </si>
  <si>
    <t>福岡県春日市弥生2-43</t>
  </si>
  <si>
    <t>092-582-7595</t>
  </si>
  <si>
    <t>092-581-7916</t>
  </si>
  <si>
    <t>2015/06/01 16:50:39</t>
  </si>
  <si>
    <t>4201</t>
  </si>
  <si>
    <t>ふくようスポーツクラブ</t>
  </si>
  <si>
    <t>ﾌｸﾖｳｽﾎﾟｰﾂｸﾗﾌﾞ</t>
  </si>
  <si>
    <t>福岡県春日市弥生2-40</t>
  </si>
  <si>
    <t>092-581-7700</t>
  </si>
  <si>
    <t>2020/10/20 15:04:46</t>
  </si>
  <si>
    <t>4202</t>
  </si>
  <si>
    <t>ｼｬｶｲﾎｳｼﾞﾝ ｱｲｲｸﾉﾓﾘ</t>
  </si>
  <si>
    <t>2015/06/04 9:53:27</t>
  </si>
  <si>
    <t>4203</t>
  </si>
  <si>
    <t>アイイクｼｬｶｲﾌｸｼﾎｳｼﾞﾝ ｱｲｲｸﾉﾓﾘ</t>
  </si>
  <si>
    <t>2015/05/22 11:50:03</t>
  </si>
  <si>
    <t>4300</t>
  </si>
  <si>
    <t>けご幼稚園</t>
  </si>
  <si>
    <t>ケゴ</t>
  </si>
  <si>
    <t>810-0024</t>
  </si>
  <si>
    <t>福岡県福岡市中央区桜坂１丁目10-17</t>
  </si>
  <si>
    <t>092-751-1503</t>
  </si>
  <si>
    <t>092-751-1520</t>
  </si>
  <si>
    <t>213</t>
  </si>
  <si>
    <t>2012/04/03 13:42:56</t>
  </si>
  <si>
    <t>4301</t>
  </si>
  <si>
    <t>けご幼稚園（別注）1</t>
  </si>
  <si>
    <t>ケゴ1</t>
  </si>
  <si>
    <t>2014/07/23 16:20:45</t>
  </si>
  <si>
    <t>4302</t>
  </si>
  <si>
    <t>有限会社　エム.エー.ディ</t>
  </si>
  <si>
    <t>ｴﾑ.ｴｰ.ﾃﾞｨ</t>
  </si>
  <si>
    <t>ｴﾑ.ｴｰ.ﾃﾞｨ（けご幼ｻｯｶｰｸﾗﾌ</t>
  </si>
  <si>
    <t>2016/06/21 13:51:50</t>
  </si>
  <si>
    <t>4303</t>
  </si>
  <si>
    <t>けご幼稚園（別注）2</t>
  </si>
  <si>
    <t>ケゴ2</t>
  </si>
  <si>
    <t>2018/11/01 13:44:14</t>
  </si>
  <si>
    <t>4310</t>
  </si>
  <si>
    <t>ＮＰＯ法人　アメイシャ</t>
  </si>
  <si>
    <t>NPOﾎｳｼﾞﾝ ｱﾒｲｼｬ</t>
  </si>
  <si>
    <t>ｱﾒｲｼｬ</t>
  </si>
  <si>
    <t>2015/07/15 14:06:58</t>
  </si>
  <si>
    <t>4400</t>
  </si>
  <si>
    <t>江辻キッズガーデン保育園</t>
  </si>
  <si>
    <t>エツジ</t>
  </si>
  <si>
    <t>江辻</t>
  </si>
  <si>
    <t>811-2313</t>
  </si>
  <si>
    <t>福岡県糟屋郡粕屋町江辻553-6</t>
  </si>
  <si>
    <t>092-938-1001</t>
  </si>
  <si>
    <t>450</t>
  </si>
  <si>
    <t>2012/01/18 14:46:45</t>
  </si>
  <si>
    <t>4500</t>
  </si>
  <si>
    <t>やない小児科　デイケアルｰム</t>
  </si>
  <si>
    <t>ヤナイ</t>
  </si>
  <si>
    <t>やない</t>
  </si>
  <si>
    <t>811-1362</t>
  </si>
  <si>
    <t>福岡市南区長住7-4-21</t>
  </si>
  <si>
    <t>092-551-6337</t>
  </si>
  <si>
    <t>092-551-6333</t>
  </si>
  <si>
    <t>440</t>
  </si>
  <si>
    <t>2012/01/18 14:46:48</t>
  </si>
  <si>
    <t>4600</t>
  </si>
  <si>
    <t>悠香</t>
  </si>
  <si>
    <t>ﾕｳｶ</t>
  </si>
  <si>
    <t>816-0912</t>
  </si>
  <si>
    <t>福岡県大野城市御笠川5-10-18</t>
  </si>
  <si>
    <t>092-503-0730</t>
  </si>
  <si>
    <t>460</t>
  </si>
  <si>
    <t>2016/02/24 15:08:46</t>
  </si>
  <si>
    <t>ﾊﾀﾅｶ</t>
  </si>
  <si>
    <t>29999</t>
  </si>
  <si>
    <t>2023/01/23 18:46:50</t>
  </si>
  <si>
    <t>ｼｬｼｮｸ</t>
  </si>
  <si>
    <t>2023/01/23 18:46:41</t>
  </si>
  <si>
    <t>4900</t>
  </si>
  <si>
    <t>エンジェルキッズ保育園</t>
  </si>
  <si>
    <t>ｴﾝｼﾞｪﾙｷｯｽﾞﾎｲｸｴﾝ</t>
  </si>
  <si>
    <t>エンジェルキッズ</t>
  </si>
  <si>
    <t>490</t>
  </si>
  <si>
    <t>2014/10/30 16:40:40</t>
  </si>
  <si>
    <t>5000</t>
  </si>
  <si>
    <t>高宮キッズ保育園</t>
  </si>
  <si>
    <t>ﾀｶﾐﾔｷｯｽﾞﾎｲｸｴﾝ</t>
  </si>
  <si>
    <t>高宮キッズ</t>
  </si>
  <si>
    <t>815-0083</t>
  </si>
  <si>
    <t>福岡市南区高宮５丁目８番２号</t>
  </si>
  <si>
    <t>092-406-5688</t>
  </si>
  <si>
    <t>463</t>
  </si>
  <si>
    <t>2014/10/30 16:40:47</t>
  </si>
  <si>
    <t>雙葉小学校</t>
  </si>
  <si>
    <t>ﾌﾀﾊﾞｼｮｳｶﾞｯｺｳ</t>
  </si>
  <si>
    <t>雙葉小学校　web</t>
  </si>
  <si>
    <t>810-0027</t>
  </si>
  <si>
    <t>福岡市中央区御所ｹ谷7番１号</t>
  </si>
  <si>
    <t>092-531-1215</t>
  </si>
  <si>
    <t>092-531-1245</t>
  </si>
  <si>
    <t>2025/09/10 15:59:04</t>
  </si>
  <si>
    <t>5101</t>
  </si>
  <si>
    <t>092-531-9728</t>
  </si>
  <si>
    <t>2019/10/30 9:37:28</t>
  </si>
  <si>
    <t>雙葉小学校　先生</t>
  </si>
  <si>
    <t>ﾌﾀﾊﾞｼｮｳｶﾞｯｺｳ ｾﾝｾｲ</t>
  </si>
  <si>
    <t>2024/10/21 15:54:00</t>
  </si>
  <si>
    <t>5200</t>
  </si>
  <si>
    <t>乙金病院院内保育所</t>
  </si>
  <si>
    <t>ｵﾄｶﾞﾈﾋﾞｮｳｲ</t>
  </si>
  <si>
    <t>816-0901</t>
  </si>
  <si>
    <t>大野城市乙金東2-17-10</t>
  </si>
  <si>
    <t>ジェイネットビル１F</t>
  </si>
  <si>
    <t>092-558-5095</t>
  </si>
  <si>
    <t>465</t>
  </si>
  <si>
    <t>2016/08/29 13:22:49</t>
  </si>
  <si>
    <t>5201</t>
  </si>
  <si>
    <t>医療法人　同仁会　乙金病院院内保育所</t>
  </si>
  <si>
    <t>ｲﾘｮｳﾎｳｼﾞﾝﾄﾞｳｼﾞﾝｶｲｵﾄｶﾞﾈﾋﾞｮｳｲﾝｲﾝ</t>
  </si>
  <si>
    <t>ジェイネットビル1F</t>
  </si>
  <si>
    <t>092-588-5095</t>
  </si>
  <si>
    <t>2014/10/30 16:40:56</t>
  </si>
  <si>
    <t>5300</t>
  </si>
  <si>
    <t>吉塚市民病院</t>
  </si>
  <si>
    <t>ﾖｼﾂﾞｶｼﾐﾝﾋﾞｮｳｲﾝ</t>
  </si>
  <si>
    <t>475</t>
  </si>
  <si>
    <t>2012/03/27 13:45:17</t>
  </si>
  <si>
    <t>5400</t>
  </si>
  <si>
    <t>×　かなやま幼稚園</t>
  </si>
  <si>
    <t>ｶﾅﾔﾏﾖｳﾁｴﾝｶﾅﾔﾏ</t>
  </si>
  <si>
    <t>814-0114</t>
  </si>
  <si>
    <t>福岡市城南区金山団地23-1</t>
  </si>
  <si>
    <t>092-871-1463</t>
  </si>
  <si>
    <t>092-871-2900</t>
  </si>
  <si>
    <t>2025/11/17 11:46:28</t>
  </si>
  <si>
    <t>5500</t>
  </si>
  <si>
    <t>河合塾</t>
  </si>
  <si>
    <t>ｶﾜｲｼﾞｭｸ</t>
  </si>
  <si>
    <t>476</t>
  </si>
  <si>
    <t>2012/04/03 15:37:24</t>
  </si>
  <si>
    <t>5600</t>
  </si>
  <si>
    <t>ちいさこべ幼稚園</t>
  </si>
  <si>
    <t>ﾁｲｻｺﾍﾞﾖｳﾁｴﾝ</t>
  </si>
  <si>
    <t>福岡県太宰府市向佐野81番地</t>
  </si>
  <si>
    <t>092-922-3313</t>
  </si>
  <si>
    <t>092-922-7518</t>
  </si>
  <si>
    <t>335</t>
  </si>
  <si>
    <t>2012/06/19 14:03:10</t>
  </si>
  <si>
    <t>5601</t>
  </si>
  <si>
    <t>ちいさこべ　幼稚園</t>
  </si>
  <si>
    <t>ﾁｲｻｺﾍﾞ ﾖｳﾁｴﾝ</t>
  </si>
  <si>
    <t>ちいさこべ</t>
  </si>
  <si>
    <t>2012/07/02 15:47:43</t>
  </si>
  <si>
    <t>5700</t>
  </si>
  <si>
    <t>わくわくキッズランド赤坂</t>
  </si>
  <si>
    <t>ﾜｸﾜｸｷｯｽﾞﾗﾝﾄﾞｱｶｻｶ</t>
  </si>
  <si>
    <t>わくわく赤坂</t>
  </si>
  <si>
    <t>福岡市中央区赤坂3-6-43</t>
  </si>
  <si>
    <t>メイけやき２Ｆ</t>
  </si>
  <si>
    <t>092-725-3420</t>
  </si>
  <si>
    <t>466</t>
  </si>
  <si>
    <t>2012/08/02 11:06:07</t>
  </si>
  <si>
    <t>5800</t>
  </si>
  <si>
    <t>社会福祉法人信正会　もみじの森保育園</t>
  </si>
  <si>
    <t>ﾓﾐｼﾞﾉﾓﾘﾎｲｸｴﾝ</t>
  </si>
  <si>
    <t>もみじの森保育園</t>
  </si>
  <si>
    <t>819-0371</t>
  </si>
  <si>
    <t>福岡県福岡市西区大字飯氏868-1</t>
  </si>
  <si>
    <t>092-805-5511</t>
  </si>
  <si>
    <t>092-805-5512</t>
  </si>
  <si>
    <t>2012/09/03 15:11:34</t>
  </si>
  <si>
    <t>5805</t>
  </si>
  <si>
    <t>古賀工業　株式会社</t>
  </si>
  <si>
    <t>ｺｶﾞｺｳｷﾞｮｳ ｶﾌﾞｼｷｶｲｼｬ</t>
  </si>
  <si>
    <t>810-0011</t>
  </si>
  <si>
    <t>福岡県福岡市中央区六本松３丁目１２番１４号</t>
  </si>
  <si>
    <t>2012/10/03 13:18:59</t>
  </si>
  <si>
    <t>ﾘﾘｨﾎｲｸｴﾝ</t>
  </si>
  <si>
    <t>811-1241</t>
  </si>
  <si>
    <t>福岡県那珂川市後野２丁目８－２８－１０２</t>
  </si>
  <si>
    <t>092-952-9292</t>
  </si>
  <si>
    <t>260</t>
  </si>
  <si>
    <t>2025/05/08 10:22:04</t>
  </si>
  <si>
    <t>6000</t>
  </si>
  <si>
    <t>キッズサポート千代保育園</t>
  </si>
  <si>
    <t>ｷｯｽﾞｻﾎﾟｰﾄﾁﾖﾎｲｸｴﾝ</t>
  </si>
  <si>
    <t>キッズ千代</t>
  </si>
  <si>
    <t>福岡県博多区千代1-2-4-1F</t>
  </si>
  <si>
    <t>631-1333</t>
  </si>
  <si>
    <t>2012/09/04 9:34:50</t>
  </si>
  <si>
    <t>6100</t>
  </si>
  <si>
    <t>学校法人　汀幼稚園</t>
  </si>
  <si>
    <t>ﾐｷﾞﾜﾖｳﾁｴﾝ</t>
  </si>
  <si>
    <t>汀幼稚園</t>
  </si>
  <si>
    <t>810-0062</t>
  </si>
  <si>
    <t>福岡県福岡市中央区荒戸２丁目５番１１号</t>
  </si>
  <si>
    <t>092-761-0470</t>
  </si>
  <si>
    <t>467</t>
  </si>
  <si>
    <t>2014/06/09 11:44:55</t>
  </si>
  <si>
    <t>6101</t>
  </si>
  <si>
    <t>みぎわ</t>
  </si>
  <si>
    <t>福岡県福岡市荒戸２丁目５番１１号</t>
  </si>
  <si>
    <t>468</t>
  </si>
  <si>
    <t>2012/10/01 10:16:29</t>
  </si>
  <si>
    <t>6200</t>
  </si>
  <si>
    <t>豊庄保育園</t>
  </si>
  <si>
    <t>ﾎｳｼｮｳﾎｲｸｴﾝ</t>
  </si>
  <si>
    <t>2012/10/03 15:11:55</t>
  </si>
  <si>
    <t>6300</t>
  </si>
  <si>
    <t>こぐま園</t>
  </si>
  <si>
    <t>ｺｸﾞﾏｴﾝ</t>
  </si>
  <si>
    <t>812-0854</t>
  </si>
  <si>
    <t>福岡県福岡市博多区東月隈3丁目19-14</t>
  </si>
  <si>
    <t>092-503-3088</t>
  </si>
  <si>
    <t>155</t>
  </si>
  <si>
    <t>2015/09/09 15:02:06</t>
  </si>
  <si>
    <t>6301</t>
  </si>
  <si>
    <t>こぐま園　別注</t>
  </si>
  <si>
    <t>ｺｸﾞﾏｴﾝ ﾍﾞｯﾁｭｳ</t>
  </si>
  <si>
    <t>福岡県福岡市博多区東月隈３丁目</t>
  </si>
  <si>
    <t>１９－１４</t>
  </si>
  <si>
    <t>2014/10/20 15:18:10</t>
  </si>
  <si>
    <t>6400</t>
  </si>
  <si>
    <t>つくし保育園</t>
  </si>
  <si>
    <t>ﾂｸｼﾎｲｸｴﾝｼ</t>
  </si>
  <si>
    <t>812-0888</t>
  </si>
  <si>
    <t>福岡県福岡市博多区板付7丁目3-16</t>
  </si>
  <si>
    <t>092-571-2572</t>
  </si>
  <si>
    <t>092-571-2573</t>
  </si>
  <si>
    <t>2013/04/15 13:47:34</t>
  </si>
  <si>
    <t>6402</t>
  </si>
  <si>
    <t>つくし保育園（先生用）</t>
  </si>
  <si>
    <t>ﾂｸｼﾎｲｸｴﾝ(ｾﾝｾｲﾖｳ)</t>
  </si>
  <si>
    <t>福岡市博多区板付７丁目3-16</t>
  </si>
  <si>
    <t>571-2572</t>
  </si>
  <si>
    <t>2013/01/21 13:24:46</t>
  </si>
  <si>
    <t>6500</t>
  </si>
  <si>
    <t>社会福祉法人　光輪会　みそら保育園</t>
  </si>
  <si>
    <t>ｼｬｶｲﾌｸｼﾎｳｼﾞﾝ ｺｳﾘﾝｶｲ ﾐｿﾗﾎｲｸｴﾝ</t>
  </si>
  <si>
    <t>みそら保育園</t>
  </si>
  <si>
    <t>812-0061</t>
  </si>
  <si>
    <t>福岡市東区筥松4丁目2-21</t>
  </si>
  <si>
    <t>092-622-0270</t>
  </si>
  <si>
    <t>092-622-0311</t>
  </si>
  <si>
    <t>2012/12/19 11:04:38</t>
  </si>
  <si>
    <t>6600</t>
  </si>
  <si>
    <t>学校法人福岡幼児学園　ナーサリーライムスクール</t>
  </si>
  <si>
    <t>ﾅｰｻﾘｰﾗ</t>
  </si>
  <si>
    <t>ナーサリーライムスクール</t>
  </si>
  <si>
    <t>814-0175</t>
  </si>
  <si>
    <t>福岡県福岡市早良区田村</t>
  </si>
  <si>
    <t>6-21-7</t>
  </si>
  <si>
    <t>092-801-4302</t>
  </si>
  <si>
    <t>2022/07/07 12:07:15</t>
  </si>
  <si>
    <t>6602</t>
  </si>
  <si>
    <t>学校法人福岡幼児学園　ナーサリーライムスクール　職員用</t>
  </si>
  <si>
    <t>ｶﾞｯｺｳﾎｳｼﾞﾝﾌｸｵｶﾖｳｼﾞｶﾞｸｴﾝ ﾅｰｻﾘｰﾗ</t>
  </si>
  <si>
    <t>092-801-4195</t>
  </si>
  <si>
    <t>2016/07/25 9:08:01</t>
  </si>
  <si>
    <t>6603</t>
  </si>
  <si>
    <t>学校法人福岡幼児学園　職員用</t>
  </si>
  <si>
    <t>ｶﾞｯｺｳﾎｳｼﾞﾝﾌｸｵｶﾖｳｼﾞｶﾞｸｴﾝ ｼｮｸｲﾝﾖ</t>
  </si>
  <si>
    <t>2016/07/25 9:08:32</t>
  </si>
  <si>
    <t>6604</t>
  </si>
  <si>
    <t>学校法人福岡幼児学園　実習生用</t>
  </si>
  <si>
    <t>ｶﾞｯｺｳﾎｳｼﾞﾝﾌｸｵｶﾖｳｼﾞｶﾞｸｴﾝ ｼﾞｯｼｭｳ</t>
  </si>
  <si>
    <t>2016/07/25 9:08:55</t>
  </si>
  <si>
    <t>6700</t>
  </si>
  <si>
    <t>福岡女学院幼稚園</t>
  </si>
  <si>
    <t>ﾌｸｵｶｼﾞｮｶﾞｸｲﾝﾖｳﾁｴﾝ</t>
  </si>
  <si>
    <t>女学院幼稚園</t>
  </si>
  <si>
    <t>811-1313</t>
  </si>
  <si>
    <t>福岡県福岡市南区日佐3丁目42-1</t>
  </si>
  <si>
    <t>092-575-2472</t>
  </si>
  <si>
    <t>2025/09/08 11:26:24</t>
  </si>
  <si>
    <t>6701</t>
  </si>
  <si>
    <t>福岡女学院幼稚園　別注</t>
  </si>
  <si>
    <t>ﾌｸｵｶｼﾞｮｶﾞｸｲﾝﾖｳﾁｴﾝ ﾍﾞｯﾁｭｳ</t>
  </si>
  <si>
    <t>女学院　別注</t>
  </si>
  <si>
    <t>福岡市南区日佐3丁目42-1</t>
  </si>
  <si>
    <t>2014/06/02 10:00:01</t>
  </si>
  <si>
    <t>6800</t>
  </si>
  <si>
    <t>木村病院</t>
  </si>
  <si>
    <t>ｷﾑﾗﾋﾞｮｳｲﾝ</t>
  </si>
  <si>
    <t>680</t>
  </si>
  <si>
    <t>2013/02/19 9:46:03</t>
  </si>
  <si>
    <t>6900</t>
  </si>
  <si>
    <t>福岡海星女子学院マリア幼稚園</t>
  </si>
  <si>
    <t>ﾌｸｵｶｶｲｾｲｼﾞｮｼｶﾞｸｲﾝﾏﾘｱﾖｳﾁｴﾝ</t>
  </si>
  <si>
    <t>マリア幼稚園</t>
  </si>
  <si>
    <t>811-1346</t>
  </si>
  <si>
    <t>福岡市南区老司5-29-3</t>
  </si>
  <si>
    <t>092-565-0951</t>
  </si>
  <si>
    <t>092-565-0991</t>
  </si>
  <si>
    <t>2018/10/01 16:56:35</t>
  </si>
  <si>
    <t>6901</t>
  </si>
  <si>
    <t>福岡海星女子学院マリア幼稚園(別注）</t>
  </si>
  <si>
    <t>ﾌｸｵｶｶｲｾｲｼﾞｮｼｶﾞｸｲﾝﾏﾘｱﾖｳﾁｴﾝ(ﾍﾞﾂﾁ</t>
  </si>
  <si>
    <t>マリア幼稚園　別注</t>
  </si>
  <si>
    <t>2013/05/15 11:33:12</t>
  </si>
  <si>
    <t>6902</t>
  </si>
  <si>
    <t>ﾌｸｵｶｶｲｾｲｼﾞｮｼｶﾞｸｲﾝﾏﾘｱﾏﾘｱﾖｳﾁｴﾝ</t>
  </si>
  <si>
    <t>2013/05/15 11:29:11</t>
  </si>
  <si>
    <t>6903</t>
  </si>
  <si>
    <t>海星小学校</t>
  </si>
  <si>
    <t>ﾌｶｲｾｲｼｮｳｶﾞｯｺｳ</t>
  </si>
  <si>
    <t>2014/08/22 11:24:57</t>
  </si>
  <si>
    <t>バディスポーツ幼育園　筑紫野校</t>
  </si>
  <si>
    <t>ﾊﾞﾃﾞｨｽﾎﾟｰﾂﾖｳｲｸｴﾝ ﾁｸｼ</t>
  </si>
  <si>
    <t>バディ筑紫野校　web</t>
  </si>
  <si>
    <t>筑紫野市原田1-11-1</t>
  </si>
  <si>
    <t>092-926-1002</t>
  </si>
  <si>
    <t>2025/09/10 14:04:49</t>
  </si>
  <si>
    <t>7001</t>
  </si>
  <si>
    <t>バディスポーツ幼育園　筑紫野校（別注）</t>
  </si>
  <si>
    <t>ﾊﾞﾃﾞｨｽﾎﾟｰﾂﾖｳｲｸｴﾝ ﾁｸｼﾉｺｳ(ﾍﾞｯﾁｭｳ</t>
  </si>
  <si>
    <t>バディ筑紫野別注内税</t>
  </si>
  <si>
    <t>2025/09/02 14:06:48</t>
  </si>
  <si>
    <t>7002</t>
  </si>
  <si>
    <t>バディスポーツ幼育園筑紫野校　先生用</t>
  </si>
  <si>
    <t>ﾊﾞﾃﾞｲﾁｸｼﾉ ｾﾝｾｲ</t>
  </si>
  <si>
    <t>バディ筑紫野　先生</t>
  </si>
  <si>
    <t>2025/09/02 14:07:22</t>
  </si>
  <si>
    <t>バディスポーツ幼育園筑紫野校　2号認定</t>
  </si>
  <si>
    <t xml:space="preserve">ﾊﾞﾃﾞｨﾁｸｼﾉｺｳ2ｺﾞｳ </t>
  </si>
  <si>
    <t>バディ筑紫野校　2号</t>
  </si>
  <si>
    <t>2025/09/10 14:09:33</t>
  </si>
  <si>
    <t>7004</t>
  </si>
  <si>
    <t>バディスポーツ幼育園筑紫野校　別注</t>
  </si>
  <si>
    <t>ﾊﾞﾃﾞｨﾁｸｼﾉ ﾍﾞｯﾁｭｳ</t>
  </si>
  <si>
    <t>バディ筑紫野別注外税</t>
  </si>
  <si>
    <t>2025/09/02 14:08:36</t>
  </si>
  <si>
    <t>7005</t>
  </si>
  <si>
    <t>ﾊﾞﾃﾞｨｽﾎﾟｰﾂ筑紫野校　セミジュニア未就組</t>
  </si>
  <si>
    <t>ﾊﾞﾃﾞｨﾁｸｼﾉｺｳ ｾﾐｼﾞｭﾆｱﾐｼｭｳｸ ｾﾐｼﾞｭ</t>
  </si>
  <si>
    <t>バディ筑紫野セミジュニア</t>
  </si>
  <si>
    <t>2025/09/02 14:09:09</t>
  </si>
  <si>
    <t>7006</t>
  </si>
  <si>
    <t>バディスポーツ筑紫野校　セミジュニア3号認定</t>
  </si>
  <si>
    <t>ﾊﾞﾃﾞｨ ﾁｸｼﾉｺｳｾﾐｼﾞｭﾆｱ3ｺﾞｳ</t>
  </si>
  <si>
    <t>バディ紫野ｾﾐｼﾞｭﾆｱ</t>
  </si>
  <si>
    <t>2025/09/02 14:09:49</t>
  </si>
  <si>
    <t>7007</t>
  </si>
  <si>
    <t>バディスポーツ筑紫野校　セミジュニア　1号認定</t>
  </si>
  <si>
    <t>ﾊﾞﾃﾞｨﾁｸｼﾉ ｾﾐｼﾞｭﾆｱ1ｺﾞｳ</t>
  </si>
  <si>
    <t>バディ筑紫野　セミジュニア</t>
  </si>
  <si>
    <t>2025/09/02 14:10:39</t>
  </si>
  <si>
    <t>7008</t>
  </si>
  <si>
    <t>バディスポーツ幼育園筑紫野校　学童</t>
  </si>
  <si>
    <t>ﾊﾞﾃﾞｨｽﾎﾟｰﾂﾖｳｲｸｴﾝﾁｸｼﾉｺｳｶﾞｸﾄﾞｳﾊﾞ</t>
  </si>
  <si>
    <t>バディ筑紫野校学童</t>
  </si>
  <si>
    <t>2025/09/02 14:13:38</t>
  </si>
  <si>
    <t>7009</t>
  </si>
  <si>
    <t>スポーツハシリティー株式会社</t>
  </si>
  <si>
    <t>ｽﾎﾟｰﾂﾌｧｼﾘﾃｨｰ</t>
  </si>
  <si>
    <t>106-0031</t>
  </si>
  <si>
    <t>東京都港区西麻布2-13-15</t>
  </si>
  <si>
    <t>第２横芝ビル701</t>
  </si>
  <si>
    <t>2024/04/15 9:02:16</t>
  </si>
  <si>
    <t>BUDDY GSA International School</t>
  </si>
  <si>
    <t>ﾊﾞﾃﾞｨｼﾞｰｴｽｴｰｲﾝﾀｰﾅｼｮﾅﾙ</t>
  </si>
  <si>
    <t>092-926-8856</t>
  </si>
  <si>
    <t>2025/09/10 14:10:35</t>
  </si>
  <si>
    <t>7011</t>
  </si>
  <si>
    <t>BUDDY GSA International School　別注　外税</t>
  </si>
  <si>
    <t>BGIS ﾍﾞｯﾁｭｳ ｿﾄｾﾞｲ</t>
  </si>
  <si>
    <t>2025/09/02 15:11:28</t>
  </si>
  <si>
    <t>7012</t>
  </si>
  <si>
    <t>BUDDY GSA International School　サマースクール</t>
  </si>
  <si>
    <t>BGIS ｻﾏｰｽｸｰﾙ</t>
  </si>
  <si>
    <t>BGIS　サマースクール</t>
  </si>
  <si>
    <t>2025/09/02 15:12:22</t>
  </si>
  <si>
    <t>7013</t>
  </si>
  <si>
    <t>BUDDY GSA International School　特別保育</t>
  </si>
  <si>
    <t>BGIS ﾄｸﾍﾞﾂﾎｲｸ</t>
  </si>
  <si>
    <t>BGIS　特別保育</t>
  </si>
  <si>
    <t>2025/09/02 15:12:59</t>
  </si>
  <si>
    <t>7014</t>
  </si>
  <si>
    <t>BUDDY GSA International School　別注　内税</t>
  </si>
  <si>
    <t>BGIS ﾍﾞｯﾁｭｳ ｳﾁｾﾞｲ</t>
  </si>
  <si>
    <t>2025/10/30 13:42:49</t>
  </si>
  <si>
    <t>7020</t>
  </si>
  <si>
    <t>株式会社　バディスポーツ</t>
  </si>
  <si>
    <t>ﾊﾞﾃﾞｨｽﾎﾟｰﾂ</t>
  </si>
  <si>
    <t>バディスポーツ</t>
  </si>
  <si>
    <t>2024/07/18 13:13:04</t>
  </si>
  <si>
    <t>バディスポーツ幼育園　博多南校</t>
  </si>
  <si>
    <t>ﾊﾞﾃﾞｨｽﾎﾟｰﾂﾖｳｲｸｴﾝ ﾊｶﾀ</t>
  </si>
  <si>
    <t>バディ博多南校　web</t>
  </si>
  <si>
    <t>筑紫郡那珂川町五郎丸1-97</t>
  </si>
  <si>
    <t>092-953-7222</t>
  </si>
  <si>
    <t>2025/09/10 14:05:27</t>
  </si>
  <si>
    <t>7101</t>
  </si>
  <si>
    <t>バディスポーツ幼育園　博多南校　別注</t>
  </si>
  <si>
    <t>ﾊﾞﾃﾞｨｽﾎﾟｰﾂﾖｳｲｸｴﾝ ﾊｶﾀ ﾍﾞｯﾁｭｳ</t>
  </si>
  <si>
    <t>バディ博多南別注　内税</t>
  </si>
  <si>
    <t>2025/09/02 15:13:42</t>
  </si>
  <si>
    <t>7102</t>
  </si>
  <si>
    <t>バディスポーツ幼育園　博多南校先生用</t>
  </si>
  <si>
    <t>ﾊﾞﾃﾞｲｽﾎﾟｰﾂﾊｶﾀﾐﾅﾐ</t>
  </si>
  <si>
    <t>バディ博多南先生</t>
  </si>
  <si>
    <t>福岡県那珂川市五郎丸1-97</t>
  </si>
  <si>
    <t>2025/09/02 15:14:11</t>
  </si>
  <si>
    <t>バディスポーツ幼育園博多南校　2号認定</t>
  </si>
  <si>
    <t>ﾊﾞﾃﾞｨｽﾎﾟｰﾂﾖｳｲｸｴﾝ ﾊｶﾀﾐﾅﾐ 2ｺﾞｳ</t>
  </si>
  <si>
    <t>バディ博多南校　2号</t>
  </si>
  <si>
    <t>2025/09/10 14:10:51</t>
  </si>
  <si>
    <t>7104</t>
  </si>
  <si>
    <t>バディ博多南別注　外税</t>
  </si>
  <si>
    <t>2025/09/02 15:15:09</t>
  </si>
  <si>
    <t>九州中央病院　ひよこ保育園</t>
  </si>
  <si>
    <t>ｷｭｳｼｭｳﾁｭｳｵｳﾋﾞｮｳｲﾝ ﾋﾖｺﾎｲｸｴﾝ</t>
  </si>
  <si>
    <t>福岡市南区塩原３丁目21-20</t>
  </si>
  <si>
    <t>092-552-0188</t>
  </si>
  <si>
    <t>242</t>
  </si>
  <si>
    <t>2017/01/19 14:32:51</t>
  </si>
  <si>
    <t>7201</t>
  </si>
  <si>
    <t>九州中央病院　ひよこ保育園　（別注）</t>
  </si>
  <si>
    <t>ﾋﾖｺﾎｲｸｴﾝ</t>
  </si>
  <si>
    <t>ひよこ保育園（別注）</t>
  </si>
  <si>
    <t>2025/09/02 15:15:42</t>
  </si>
  <si>
    <t>7202</t>
  </si>
  <si>
    <t>2015/06/02 14:53:09</t>
  </si>
  <si>
    <t>7300</t>
  </si>
  <si>
    <t>太宰府天満宮幼稚園</t>
  </si>
  <si>
    <t>ﾀﾞｻﾞｲﾌﾃﾝﾏﾝｸﾞｳﾖｳﾁｴﾝ</t>
  </si>
  <si>
    <t>818-0117</t>
  </si>
  <si>
    <t>太宰府市宰府４丁目７番５号</t>
  </si>
  <si>
    <t>092-924-0223</t>
  </si>
  <si>
    <t>092-921-2255</t>
  </si>
  <si>
    <t>337</t>
  </si>
  <si>
    <t>-1.-1</t>
  </si>
  <si>
    <t>2025/09/08 11:42:28</t>
  </si>
  <si>
    <t>7301</t>
  </si>
  <si>
    <t>太宰府天満宮幼稚園（別注）</t>
  </si>
  <si>
    <t>ﾀﾞｻﾞｲﾌﾃﾝﾏﾝｸﾞｳﾖｳﾁｴﾝ(ﾍﾞﾂﾁｭｳ)</t>
  </si>
  <si>
    <t>818-0177</t>
  </si>
  <si>
    <t>太宰府市太宰府４丁目７番５号</t>
  </si>
  <si>
    <t>338</t>
  </si>
  <si>
    <t>2025/09/02 15:18:10</t>
  </si>
  <si>
    <t>7400</t>
  </si>
  <si>
    <t>ASOはぐみらい保育園</t>
  </si>
  <si>
    <t>ASOﾊｸﾞﾐﾗｲﾎｲｸｴﾝ</t>
  </si>
  <si>
    <t>はぐみらい保育園</t>
  </si>
  <si>
    <t>812-0016</t>
  </si>
  <si>
    <t>福岡市博多区駅南2-12-29　2階</t>
  </si>
  <si>
    <t>0924152307</t>
  </si>
  <si>
    <t>0924825298</t>
  </si>
  <si>
    <t>2025/09/08 11:32:59</t>
  </si>
  <si>
    <t>7500</t>
  </si>
  <si>
    <t>順和保育園</t>
  </si>
  <si>
    <t>ｼﾞｭﾝﾜﾎｲｸｴﾝ</t>
  </si>
  <si>
    <t>福岡市東区筥松2-14-18</t>
  </si>
  <si>
    <t>092-611-2250</t>
  </si>
  <si>
    <t>2013/09/25 14:14:09</t>
  </si>
  <si>
    <t>7502</t>
  </si>
  <si>
    <t>福岡市東区派筥松2-14-18</t>
  </si>
  <si>
    <t>2013/09/25 14:18:49</t>
  </si>
  <si>
    <t>7503</t>
  </si>
  <si>
    <t>順和保育園　おやつ</t>
  </si>
  <si>
    <t>ｼﾞｭﾝﾜﾎｲｸｴﾝ ｵﾔﾂ</t>
  </si>
  <si>
    <t>順和保育園　</t>
  </si>
  <si>
    <t>2013/10/10 11:30:51</t>
  </si>
  <si>
    <t>7600</t>
  </si>
  <si>
    <t>アリス保育園</t>
  </si>
  <si>
    <t>ｱﾘｽﾎｲｸｴﾝ</t>
  </si>
  <si>
    <t>811-0101</t>
  </si>
  <si>
    <t>福岡県糟屋郡新宮町新宮中央駅前1丁目1-16</t>
  </si>
  <si>
    <t>0929631244</t>
  </si>
  <si>
    <t>2025/09/08 11:33:10</t>
  </si>
  <si>
    <t>7700</t>
  </si>
  <si>
    <t>水城幼稚園</t>
  </si>
  <si>
    <t xml:space="preserve">ﾐｽﾞｷﾖｳﾁｴﾝ </t>
  </si>
  <si>
    <t>818-0133</t>
  </si>
  <si>
    <t>福岡県太宰府市坂本3丁目5-1</t>
  </si>
  <si>
    <t>092-925-6311</t>
  </si>
  <si>
    <t>336</t>
  </si>
  <si>
    <t>2013/09/11 14:57:09</t>
  </si>
  <si>
    <t>ｵｵﾉﾐﾅﾐﾖｳﾁｴﾝ</t>
  </si>
  <si>
    <t>816-0955</t>
  </si>
  <si>
    <t>福岡県大野城市上大利1丁目8-1</t>
  </si>
  <si>
    <t>092-596-0160</t>
  </si>
  <si>
    <t>092-596-3104</t>
  </si>
  <si>
    <t>333</t>
  </si>
  <si>
    <t>-2</t>
  </si>
  <si>
    <t>2025/09/10 13:51:39</t>
  </si>
  <si>
    <t>7801</t>
  </si>
  <si>
    <t>大野南幼稚園（別注）</t>
  </si>
  <si>
    <t>ｵｵﾉﾐﾅﾐﾖｳﾁｴﾝ(ﾍﾞﾂﾁｭｳ)</t>
  </si>
  <si>
    <t>2025/09/02 15:18:49</t>
  </si>
  <si>
    <t>7802</t>
  </si>
  <si>
    <t>大野南幼稚園　お泊り保育</t>
  </si>
  <si>
    <t>ｵｵﾉﾐﾅﾐﾖｳﾁｴﾝ ｵﾄﾏﾘﾎｲｸ</t>
  </si>
  <si>
    <t>大野南　お泊り保育</t>
  </si>
  <si>
    <t>092-596-0610</t>
  </si>
  <si>
    <t>2014/10/30 16:41:39</t>
  </si>
  <si>
    <t>7803</t>
  </si>
  <si>
    <t>大野南幼稚園　お誕生会</t>
  </si>
  <si>
    <t>ｵｵｵﾉﾐﾅﾐﾖｳﾁｴﾝ ｵﾀﾝｼﾞｮｳｶｲ</t>
  </si>
  <si>
    <t>大野南　お誕生会</t>
  </si>
  <si>
    <t>2025/09/08 11:27:15</t>
  </si>
  <si>
    <t>7804</t>
  </si>
  <si>
    <t>大野南幼稚園　先生用</t>
  </si>
  <si>
    <t>ｵｵﾉﾐﾅﾐﾖｳﾁｴﾝ ｾﾝｾｲﾖｳ</t>
  </si>
  <si>
    <t>2025/09/02 15:19:05</t>
  </si>
  <si>
    <t>7900</t>
  </si>
  <si>
    <t>ツルタみとま幼稚園</t>
  </si>
  <si>
    <t>ﾂﾙﾀﾐﾄマﾖｳﾁｴﾝ</t>
  </si>
  <si>
    <t>811-0212</t>
  </si>
  <si>
    <t>福岡県福岡市東区美和台5丁目26番1号</t>
  </si>
  <si>
    <t>092-607-1361</t>
  </si>
  <si>
    <t>092-607-3875</t>
  </si>
  <si>
    <t>55</t>
  </si>
  <si>
    <t>2015/01/14 13:03:14</t>
  </si>
  <si>
    <t>7901</t>
  </si>
  <si>
    <t>ツルタみとま幼稚園（別注）</t>
  </si>
  <si>
    <t>ﾂﾙﾀﾐﾄﾏﾖｳﾁｴﾝ(ﾍﾞﾂﾁｭｳ)</t>
  </si>
  <si>
    <t>ツルタみとま幼稚園別注</t>
  </si>
  <si>
    <t>福岡市東区美和台5丁目26-1</t>
  </si>
  <si>
    <t>2014/10/30 16:41:54</t>
  </si>
  <si>
    <t>7902</t>
  </si>
  <si>
    <t>ツルタみとま幼稚園（別注）②</t>
  </si>
  <si>
    <t>ﾂﾙﾀﾐﾄﾏﾖｳﾁｴﾝ(ﾍﾞﾂﾁｭｳ)2</t>
  </si>
  <si>
    <t>2023/02/16 16:03:58</t>
  </si>
  <si>
    <t>7905</t>
  </si>
  <si>
    <t>ツルタみとま幼稚園　ファミリーサポート</t>
  </si>
  <si>
    <t>ﾂﾙﾀﾐﾄマﾖｳﾁｴﾝ ﾌｧﾐﾘｰｻﾎﾟｰﾄ</t>
  </si>
  <si>
    <t>ツルタみとま　お預かり</t>
  </si>
  <si>
    <t>2023/06/08 17:04:48</t>
  </si>
  <si>
    <t>ｶｼﾊﾗﾖｳﾁｴﾝ</t>
  </si>
  <si>
    <t>811-1353</t>
  </si>
  <si>
    <t>福岡県福岡市南区柏原1丁目12番15号</t>
  </si>
  <si>
    <t>092-566-3111</t>
  </si>
  <si>
    <t>092-566-3819</t>
  </si>
  <si>
    <t>2025/09/08 11:42:11</t>
  </si>
  <si>
    <t>8001</t>
  </si>
  <si>
    <t>かしはら幼稚園（別注）</t>
  </si>
  <si>
    <t>ｶｼﾊﾗﾖｳﾁｴﾝ(ﾍﾞｯﾁｭｳ)</t>
  </si>
  <si>
    <t>2017/07/12 11:28:45</t>
  </si>
  <si>
    <t>8002</t>
  </si>
  <si>
    <t>かしはら幼稚園（検食）</t>
  </si>
  <si>
    <t>ｶｼﾊﾗﾖｳﾁｴﾝ(ｹﾝｼｮｸ)</t>
  </si>
  <si>
    <t>2021/10/07 9:10:09</t>
  </si>
  <si>
    <t>ｺｳﾗﾝﾖｳﾁｴﾝ</t>
  </si>
  <si>
    <t>811-1311</t>
  </si>
  <si>
    <t>福岡県福岡市横手1丁目12-35</t>
  </si>
  <si>
    <t>092-571-3441</t>
  </si>
  <si>
    <t>092-513-1813</t>
  </si>
  <si>
    <t>2025/09/02 15:19:51</t>
  </si>
  <si>
    <t>8101</t>
  </si>
  <si>
    <t>香蘭幼稚園（別注）</t>
  </si>
  <si>
    <t>ｺｳﾗﾝﾖｳﾁｴﾝ(ﾍﾞﾂﾁｭｳ)</t>
  </si>
  <si>
    <t>福岡市南区横手1丁目12-35</t>
  </si>
  <si>
    <t>571-3441</t>
  </si>
  <si>
    <t>513-1813</t>
  </si>
  <si>
    <t>2021/03/08 17:29:44</t>
  </si>
  <si>
    <t>8102</t>
  </si>
  <si>
    <t>香蘭幼稚園　つぼみ組　別注</t>
  </si>
  <si>
    <t>ｺｳﾗﾝﾖｳﾁｴﾝ ﾂﾎﾞﾐｸﾞﾐ ﾍﾞｯﾁｭｳ</t>
  </si>
  <si>
    <t>香蘭幼稚園　つぼみ</t>
  </si>
  <si>
    <t>福岡県福岡市南区横手1丁目12-35</t>
  </si>
  <si>
    <t>092-513-1831</t>
  </si>
  <si>
    <t>441</t>
  </si>
  <si>
    <t>2025/09/02 15:20:21</t>
  </si>
  <si>
    <t>8103</t>
  </si>
  <si>
    <t>香蘭幼稚園　実習生</t>
  </si>
  <si>
    <t>ｺｳﾗﾝﾖｳﾁｴﾝ ｼﾞｯｼｭｳｾｲ</t>
  </si>
  <si>
    <t>2015/03/04 13:46:20</t>
  </si>
  <si>
    <t>8104</t>
  </si>
  <si>
    <t>ｺｳﾗﾝｼﾞｮｼﾀﾝｷﾀﾞｲｶﾞｸ ﾎｲｸｶ</t>
  </si>
  <si>
    <t>香蘭女子保育科</t>
  </si>
  <si>
    <t>434</t>
  </si>
  <si>
    <t>2013/09/12 14:01:32</t>
  </si>
  <si>
    <t>8105</t>
  </si>
  <si>
    <t>香蘭幼稚園　つぼみ組　火曜日</t>
  </si>
  <si>
    <t>ｺｳﾗﾝﾖｳﾁｴﾝ ﾂﾎﾞﾐｸﾞﾐ ｶﾖｳﾋﾞ</t>
  </si>
  <si>
    <t>香蘭　つぼみ火曜</t>
  </si>
  <si>
    <t>2015/01/26 16:29:12</t>
  </si>
  <si>
    <t>8106</t>
  </si>
  <si>
    <t>香蘭幼稚園　つぼみ組　木曜日</t>
  </si>
  <si>
    <t>ｺｳﾗﾝﾖｳﾁｴﾝ ﾂﾎﾞﾐｸﾞﾐ ﾓｸﾖｳﾋﾞ</t>
  </si>
  <si>
    <t>香蘭　つぼみ木曜</t>
  </si>
  <si>
    <t>2015/01/26 16:29:17</t>
  </si>
  <si>
    <t>香蘭幼稚園　つぼみ組</t>
  </si>
  <si>
    <t>ｺｳﾗﾝﾖｳﾁｴﾝ ﾂﾎﾞﾐｸﾞﾐ</t>
  </si>
  <si>
    <t>香蘭　つぼみ</t>
  </si>
  <si>
    <t>2025/09/08 11:32:37</t>
  </si>
  <si>
    <t>8108</t>
  </si>
  <si>
    <t>塩原保育園</t>
  </si>
  <si>
    <t>ｼｵﾊﾞﾙﾎｲｸｴﾝ</t>
  </si>
  <si>
    <t>福岡県福岡市南区塩原3丁目26-19</t>
  </si>
  <si>
    <t>092-554-1188</t>
  </si>
  <si>
    <t>092-554-1288</t>
  </si>
  <si>
    <t>2015/01/21 16:10:15</t>
  </si>
  <si>
    <t>8109</t>
  </si>
  <si>
    <t>香蘭幼稚園　つぼみ組　金曜日</t>
  </si>
  <si>
    <t>ｺｳﾗﾝﾖｳﾁｴﾝ ﾂﾎﾞﾐｸﾞﾐ ｷﾝﾖｳﾋﾞ</t>
  </si>
  <si>
    <t>香蘭　つぼみ金曜</t>
  </si>
  <si>
    <t>2016/01/19 14:54:19</t>
  </si>
  <si>
    <t>8110</t>
  </si>
  <si>
    <t>香蘭幼稚園（別注）　内税</t>
  </si>
  <si>
    <t>ｺｳﾗﾝﾖｳﾁｴﾝ(ﾍﾞﾂﾁｭｳ) ｳﾁｾﾞｲ</t>
  </si>
  <si>
    <t>2025/09/02 15:22:02</t>
  </si>
  <si>
    <t>8200</t>
  </si>
  <si>
    <t>円龍幼稚園</t>
  </si>
  <si>
    <t>ｴﾝﾘｭｳﾖｳﾁｴﾝ</t>
  </si>
  <si>
    <t>810-0014</t>
  </si>
  <si>
    <t>福岡県福岡市中央区平尾4丁目1番1号</t>
  </si>
  <si>
    <t>092-531-4643</t>
  </si>
  <si>
    <t>092-531-4641</t>
  </si>
  <si>
    <t>218</t>
  </si>
  <si>
    <t>2013/09/03 19:42:14</t>
  </si>
  <si>
    <t>8201</t>
  </si>
  <si>
    <t>2014/07/28 12:02:34</t>
  </si>
  <si>
    <t>8300</t>
  </si>
  <si>
    <t>岡本保育所</t>
  </si>
  <si>
    <t>ｵｶﾓﾄﾎｲｸｼｮ</t>
  </si>
  <si>
    <t>福岡県春日市岡本1丁目89</t>
  </si>
  <si>
    <t>092-591-3617</t>
  </si>
  <si>
    <t>092-591-3629</t>
  </si>
  <si>
    <t>265</t>
  </si>
  <si>
    <t>2023/11/06 14:49:25</t>
  </si>
  <si>
    <t>8301</t>
  </si>
  <si>
    <t>2013/10/02 16:40:20</t>
  </si>
  <si>
    <t>8400</t>
  </si>
  <si>
    <t>社会福祉法人良和会こぐま保育園</t>
  </si>
  <si>
    <t>ｼｬｶｲﾌｸｼﾎｳｼﾞﾝ ﾘｮｳﾜｶｲ ｺｸﾞﾏﾎｲｸｴﾝ</t>
  </si>
  <si>
    <t>こぐま保育園</t>
  </si>
  <si>
    <t>814-0174</t>
  </si>
  <si>
    <t>福岡市早良区田隈1-23-43</t>
  </si>
  <si>
    <t>092-861-4111</t>
  </si>
  <si>
    <t>092-861-4180</t>
  </si>
  <si>
    <t>165</t>
  </si>
  <si>
    <t>2013/12/26 11:30:05</t>
  </si>
  <si>
    <t>8402</t>
  </si>
  <si>
    <t>社会福祉法人良和会こぐま保育園　先生</t>
  </si>
  <si>
    <t xml:space="preserve">ｼｬｶｲﾌｸｼﾎｳｼﾞﾝﾘｮｳﾜﾖｲｶｲｺｸﾞﾏﾎｲｸｴﾝ </t>
  </si>
  <si>
    <t>こぐま保育園　先生</t>
  </si>
  <si>
    <t>861-4111</t>
  </si>
  <si>
    <t>861-4180</t>
  </si>
  <si>
    <t>2014/01/07 11:10:16</t>
  </si>
  <si>
    <t>8500</t>
  </si>
  <si>
    <t>バイリンガルキッズハウス</t>
  </si>
  <si>
    <t>ﾊﾞｲﾘﾝｶﾞﾙｷｯｽﾞﾊｳｽ</t>
  </si>
  <si>
    <t>ﾊﾞｲﾘﾝｶﾞﾙ</t>
  </si>
  <si>
    <t>810-0064</t>
  </si>
  <si>
    <t>福岡県福岡市中央区地行1-9-10-2F</t>
  </si>
  <si>
    <t>092-725-4833</t>
  </si>
  <si>
    <t>092-725-4855</t>
  </si>
  <si>
    <t>2014/03/20 11:17:36</t>
  </si>
  <si>
    <t>8600</t>
  </si>
  <si>
    <t>社会福祉法人清風会　御幸保育園</t>
  </si>
  <si>
    <t>ﾐﾕｷﾎｲｸｴﾝ</t>
  </si>
  <si>
    <t>御幸保育園</t>
  </si>
  <si>
    <t>813-0044</t>
  </si>
  <si>
    <t>福岡県福岡市東区千早6-8-14</t>
  </si>
  <si>
    <t>092-662-1431</t>
  </si>
  <si>
    <t>092-683-3597</t>
  </si>
  <si>
    <t>2025/09/08 11:27:33</t>
  </si>
  <si>
    <t>8601</t>
  </si>
  <si>
    <t>御幸保育園　おやつ</t>
  </si>
  <si>
    <t>ﾐﾕｷﾎｲｸｴﾝ ｵﾔﾂ</t>
  </si>
  <si>
    <t>2015/02/19 9:09:22</t>
  </si>
  <si>
    <t>8602</t>
  </si>
  <si>
    <t>ｼｬｶｲﾌｸｼﾎｳｼﾞﾝｾｲﾌｳｶｲ ﾐﾕｷﾎｲｸｴﾝ</t>
  </si>
  <si>
    <t>2015/01/21 15:08:56</t>
  </si>
  <si>
    <t>8605</t>
  </si>
  <si>
    <t>ｼｬｶｲﾌｸｼﾎｳｼﾞﾝ ｾｲﾌｳｶｲ ﾐﾕｷﾎｲｸｴﾝ</t>
  </si>
  <si>
    <t>御幸保育園　延長おやつ</t>
  </si>
  <si>
    <t>2015/01/21 15:10:01</t>
  </si>
  <si>
    <t>8700</t>
  </si>
  <si>
    <t>社会福祉法人清風会　香住ヶ丘保育園</t>
  </si>
  <si>
    <t>ｼｬｶｲﾌｸｼﾎｳｼﾞﾝｾｲﾌｳｶｲｶｽﾐｶﾞｵｶﾎｲｸｴﾝ</t>
  </si>
  <si>
    <t>香住ヶ丘保育園</t>
  </si>
  <si>
    <t>福岡県福岡市東区香住ヶ丘1-13-10</t>
  </si>
  <si>
    <t>092-661-1003</t>
  </si>
  <si>
    <t>092-672-8288</t>
  </si>
  <si>
    <t>2022/05/30 11:22:29</t>
  </si>
  <si>
    <t>8702</t>
  </si>
  <si>
    <t>ｼｬｶｲﾌｸｼﾎｳｼﾞﾝｾｲﾌｳｶｲ ｶｽﾐｶﾞｵｶﾎｲｸｴ</t>
  </si>
  <si>
    <t>2014/04/15 14:57:06</t>
  </si>
  <si>
    <t>8705</t>
  </si>
  <si>
    <t>2014/03/20 12:52:33</t>
  </si>
  <si>
    <t>8800</t>
  </si>
  <si>
    <t>社会福祉法人清風会　香住ヶ丘保育園松香台分園</t>
  </si>
  <si>
    <t>香住ヶ丘保　松香台分園</t>
  </si>
  <si>
    <t>813-0004</t>
  </si>
  <si>
    <t>福岡県福岡市東区松香台2-1-3</t>
  </si>
  <si>
    <t>092-692-7498</t>
  </si>
  <si>
    <t>092-692-7499</t>
  </si>
  <si>
    <t>2014/05/07 15:56:39</t>
  </si>
  <si>
    <t>8802</t>
  </si>
  <si>
    <t>2014/05/07 15:57:08</t>
  </si>
  <si>
    <t>8805</t>
  </si>
  <si>
    <t>2014/05/07 15:59:01</t>
  </si>
  <si>
    <t>8806</t>
  </si>
  <si>
    <t>8706</t>
  </si>
  <si>
    <t>2014/03/20 12:54:46</t>
  </si>
  <si>
    <t>8900</t>
  </si>
  <si>
    <t>聖心　ウルスラ幼稚園</t>
  </si>
  <si>
    <t>ｾｲｼﾝ ｳﾙｽﾗﾖｳﾁｴﾝ</t>
  </si>
  <si>
    <t>ウルスラ</t>
  </si>
  <si>
    <t>福岡県福岡市南区塩原4-25-20</t>
  </si>
  <si>
    <t>092-541-2428</t>
  </si>
  <si>
    <t>246</t>
  </si>
  <si>
    <t>2014/12/26 11:03:20</t>
  </si>
  <si>
    <t>8901</t>
  </si>
  <si>
    <t>2014/10/06 11:31:04</t>
  </si>
  <si>
    <t>8902</t>
  </si>
  <si>
    <t>2014/03/20 11:36:06</t>
  </si>
  <si>
    <t>9000</t>
  </si>
  <si>
    <t>五十川保育園</t>
  </si>
  <si>
    <t>ｺﾞｼﾞｭｳｶﾜﾎｲｸｴﾝ</t>
  </si>
  <si>
    <t>五十川</t>
  </si>
  <si>
    <t>福岡市博多区諸岡３－２２－７</t>
  </si>
  <si>
    <t>092-585-8501</t>
  </si>
  <si>
    <t>092-572-2311</t>
  </si>
  <si>
    <t>2015/02/10 14:31:49</t>
  </si>
  <si>
    <t>9002</t>
  </si>
  <si>
    <t>五十川保育園　おやつ</t>
  </si>
  <si>
    <t>ｺﾞｼﾞｭｳｶﾜﾎｲｸｴﾝ ｵﾔﾂ</t>
  </si>
  <si>
    <t>2015/02/10 14:32:54</t>
  </si>
  <si>
    <t>9005</t>
  </si>
  <si>
    <t>五十川保育園　延長おやつ</t>
  </si>
  <si>
    <t>ｺﾞｼﾞｯｶﾜﾎｲｸｴﾝﾎｲｸｴﾝ ｴﾝﾁｮｳｵﾔﾂ</t>
  </si>
  <si>
    <t>2015/02/10 14:32:48</t>
  </si>
  <si>
    <t>9100</t>
  </si>
  <si>
    <t>まいむ保育園</t>
  </si>
  <si>
    <t>ﾏｲﾑﾎｲｸｴﾝ</t>
  </si>
  <si>
    <t>まいむ</t>
  </si>
  <si>
    <t>福岡県福岡市南区大橋１丁目8番8号</t>
  </si>
  <si>
    <t>1丁目8番館２F</t>
  </si>
  <si>
    <t>092-400-6463</t>
  </si>
  <si>
    <t>092-557-2660</t>
  </si>
  <si>
    <t>2018/10/25 16:33:26</t>
  </si>
  <si>
    <t>9200</t>
  </si>
  <si>
    <t>社会福祉法人四季の会　どろんこ保育園</t>
  </si>
  <si>
    <t>ｼｬｶｲﾌｸｼﾎｳｼﾞﾝｼｷﾉｶｲ ﾄﾞﾛﾝｺﾎｲｸｴﾝ</t>
  </si>
  <si>
    <t>どろんこ保育園</t>
  </si>
  <si>
    <t>812-0018</t>
  </si>
  <si>
    <t>福岡市博多区吉住1-2-50</t>
  </si>
  <si>
    <t>092-271-3343</t>
  </si>
  <si>
    <t>2014/05/19 15:58:08</t>
  </si>
  <si>
    <t>9202</t>
  </si>
  <si>
    <t>2014/06/03 14:40:52</t>
  </si>
  <si>
    <t>9300</t>
  </si>
  <si>
    <t>ももちはま保育園</t>
  </si>
  <si>
    <t>ﾓﾓﾁﾊﾏﾎｲｸｴﾝ</t>
  </si>
  <si>
    <t>814-0001</t>
  </si>
  <si>
    <t>福岡市早良区百道浜2-3-26</t>
  </si>
  <si>
    <t>092-833-2360</t>
  </si>
  <si>
    <t>092-407-6376</t>
  </si>
  <si>
    <t>461</t>
  </si>
  <si>
    <t>2015/02/18 10:21:38</t>
  </si>
  <si>
    <t>9400</t>
  </si>
  <si>
    <t>白金幼稚園</t>
  </si>
  <si>
    <t>ｼﾛｶﾞﾈﾖｳﾁｴﾝ</t>
  </si>
  <si>
    <t>白金</t>
  </si>
  <si>
    <t>810-0012</t>
  </si>
  <si>
    <t>福岡市中央区白金１－１５－１０</t>
  </si>
  <si>
    <t>0925315656</t>
  </si>
  <si>
    <t>0925315676</t>
  </si>
  <si>
    <t>2025/09/08 11:36:00</t>
  </si>
  <si>
    <t>9500</t>
  </si>
  <si>
    <t>ワーカーズコープデイサービスホット</t>
  </si>
  <si>
    <t>ﾜｰｶｰｽﾞｺｰﾌﾟﾃﾞｲｻｰﾋﾞｽﾎｯﾄ</t>
  </si>
  <si>
    <t>ﾜｰｶｽﾞｺｰﾌﾟ（学童）</t>
  </si>
  <si>
    <t>2014/07/01 18:31:46</t>
  </si>
  <si>
    <t>9600</t>
  </si>
  <si>
    <t>ひで坊ん家</t>
  </si>
  <si>
    <t>ﾋﾃﾞﾎﾞｳﾝﾁ</t>
  </si>
  <si>
    <t>810-0022</t>
  </si>
  <si>
    <t>福岡県福岡市中央区薬院2-6-32-5Ｆ</t>
  </si>
  <si>
    <t>092-713-2489</t>
  </si>
  <si>
    <t>511</t>
  </si>
  <si>
    <t>2016/06/02 14:45:03</t>
  </si>
  <si>
    <t>9700</t>
  </si>
  <si>
    <t>社会福祉法人しののめ会信愛保育園</t>
  </si>
  <si>
    <t>ｼｬｶｲﾌｸｼﾎｳｼﾞﾝｼﾉﾉﾒｶｲ ｼﾝｱｲﾎｲｸｴﾝ</t>
  </si>
  <si>
    <t>信愛保育園</t>
  </si>
  <si>
    <t>813-0043</t>
  </si>
  <si>
    <t>福岡県福岡市東区名島5丁目5-2</t>
  </si>
  <si>
    <t>092-681-6691</t>
  </si>
  <si>
    <t>092-672-9250</t>
  </si>
  <si>
    <t>2015/06/26 11:04:07</t>
  </si>
  <si>
    <t>9703</t>
  </si>
  <si>
    <t>2015/06/26 11:04:15</t>
  </si>
  <si>
    <t>9800</t>
  </si>
  <si>
    <t>医療法人友愛会　友田病院</t>
  </si>
  <si>
    <t>ｲﾝｲﾘｮｳﾎｳｼﾞﾝﾕｳｱｲｶｲ  ﾄﾓﾀﾞﾋﾞｮｳ</t>
  </si>
  <si>
    <t>友田病院　きらきら星</t>
  </si>
  <si>
    <t>812-0894</t>
  </si>
  <si>
    <t>福岡県福岡市博多区諸岡3丁目10-18</t>
  </si>
  <si>
    <t>092-585-6161</t>
  </si>
  <si>
    <t>435</t>
  </si>
  <si>
    <t>2014/12/26 11:05:58</t>
  </si>
  <si>
    <t>9802</t>
  </si>
  <si>
    <t>2014/12/26 11:09:08</t>
  </si>
  <si>
    <t>9900</t>
  </si>
  <si>
    <t>若竹保育園</t>
  </si>
  <si>
    <t>ﾜｶﾀｹﾎｲｸｴﾝﾜｶﾀｹ</t>
  </si>
  <si>
    <t>816-0872</t>
  </si>
  <si>
    <t>春日市桜ヶ丘4-6</t>
  </si>
  <si>
    <t>092-591-6023</t>
  </si>
  <si>
    <t>2022/01/27 11:33:06</t>
  </si>
  <si>
    <t>10000</t>
  </si>
  <si>
    <t>　　　　　　</t>
  </si>
  <si>
    <t>　　　　　　　　　　　　</t>
  </si>
  <si>
    <t>100000</t>
  </si>
  <si>
    <t>2025/09/08 11:28:04</t>
  </si>
  <si>
    <t>10001</t>
  </si>
  <si>
    <t>100001</t>
  </si>
  <si>
    <t>2021/05/25 11:54:05</t>
  </si>
  <si>
    <t>100002</t>
  </si>
  <si>
    <t>2021/05/25 11:54:24</t>
  </si>
  <si>
    <t>10003</t>
  </si>
  <si>
    <t>　</t>
  </si>
  <si>
    <t>100003</t>
  </si>
  <si>
    <t>2021/05/25 11:54:20</t>
  </si>
  <si>
    <t>10004</t>
  </si>
  <si>
    <t>100004</t>
  </si>
  <si>
    <t>2021/05/25 11:54:30</t>
  </si>
  <si>
    <t>10005</t>
  </si>
  <si>
    <t>100005</t>
  </si>
  <si>
    <t>2021/05/25 11:54:37</t>
  </si>
  <si>
    <t>10100</t>
  </si>
  <si>
    <t>社会福祉法人　みつる会　城浜保育園</t>
  </si>
  <si>
    <t>ｼｬｶｲﾌｸｼﾎｳｼﾞﾝ ﾐﾂﾙｶｲ ｼﾛﾊﾏﾎｲｸｴﾝ</t>
  </si>
  <si>
    <t>城浜保育園</t>
  </si>
  <si>
    <t>813-0045</t>
  </si>
  <si>
    <t>福岡県福岡市東区城浜団地8-4</t>
  </si>
  <si>
    <t>092-661-0631</t>
  </si>
  <si>
    <t>092-661-0638</t>
  </si>
  <si>
    <t>2014/06/11 9:36:03</t>
  </si>
  <si>
    <t>10101</t>
  </si>
  <si>
    <t>社会福祉法人　みつる会　城浜保育園別注</t>
  </si>
  <si>
    <t>ｼｬｶｲﾌｸｼﾎｳｼﾞﾝ ﾐﾂﾙｶｲ ｼﾛﾊﾏﾎｲｸｴﾝﾍﾞ</t>
  </si>
  <si>
    <t>城浜保育園　別注</t>
  </si>
  <si>
    <t>092-661-6638</t>
  </si>
  <si>
    <t>2014/07/08 13:59:29</t>
  </si>
  <si>
    <t>10200</t>
  </si>
  <si>
    <t>学校法人　大石学園　三井幼稚園</t>
  </si>
  <si>
    <t>ｶﾞｯｺｳﾎｳｼﾞﾝ ｵｵｲｼｶﾞｸｴﾝ ﾐｲﾖｳﾁｴﾝ</t>
  </si>
  <si>
    <t>三井幼稚園</t>
  </si>
  <si>
    <t>838-0111</t>
  </si>
  <si>
    <t>福岡県小郡市吹上1060</t>
  </si>
  <si>
    <t>0942-72-6984</t>
  </si>
  <si>
    <t>0942-72-1195</t>
  </si>
  <si>
    <t>2015/03/18 14:03:03</t>
  </si>
  <si>
    <t>10201</t>
  </si>
  <si>
    <t>2014/11/10 10:06:33</t>
  </si>
  <si>
    <t>10300</t>
  </si>
  <si>
    <t>こりす保育園</t>
  </si>
  <si>
    <t>ｺﾘｽﾎｲｸｴﾝ</t>
  </si>
  <si>
    <t>810-0032</t>
  </si>
  <si>
    <t>福岡市中央区輝国2-8-24</t>
  </si>
  <si>
    <t>090-7293-6200</t>
  </si>
  <si>
    <t>2014/10/30 16:44:47</t>
  </si>
  <si>
    <t>10400</t>
  </si>
  <si>
    <t>けいあい保育園</t>
  </si>
  <si>
    <t>ｹｲｱｲﾎｲｸｴﾝ</t>
  </si>
  <si>
    <t>福岡県福岡市博多区千代1丁目1-55</t>
  </si>
  <si>
    <t>092-631-2255</t>
  </si>
  <si>
    <t>93</t>
  </si>
  <si>
    <t>2014/12/26 11:00:58</t>
  </si>
  <si>
    <t>10402</t>
  </si>
  <si>
    <t>社会福祉法人　敬愛園　けいあい保育園（アットホーム福岡)</t>
  </si>
  <si>
    <t>ｼｬｶｲﾌｸｼﾎｳｼﾞﾝ ｹｲｱｲｴﾝ ｹｲｱｲﾎｲｸｴﾝ(</t>
  </si>
  <si>
    <t>2014/10/30 16:44:43</t>
  </si>
  <si>
    <t>10500</t>
  </si>
  <si>
    <t>託児所　あしあとの樹</t>
  </si>
  <si>
    <t>ﾀｸｼﾞｼｮ ｱｼｱﾄﾉｷ</t>
  </si>
  <si>
    <t>あしあとの樹</t>
  </si>
  <si>
    <t>819-0005</t>
  </si>
  <si>
    <t>福岡市西区内浜2-32-15</t>
  </si>
  <si>
    <t>092-834-9111</t>
  </si>
  <si>
    <t>092-834-9181</t>
  </si>
  <si>
    <t>2015/01/07 11:36:23</t>
  </si>
  <si>
    <t>10600</t>
  </si>
  <si>
    <t>にしじん森の子保育園</t>
  </si>
  <si>
    <t>ﾆｼｼﾞﾝﾓﾘﾉｺﾎｲｸｴﾝ</t>
  </si>
  <si>
    <t>森の子保育園</t>
  </si>
  <si>
    <t>814-0003</t>
  </si>
  <si>
    <t>福岡市早良区城西3-21-15</t>
  </si>
  <si>
    <t>ジョイフル西新2F</t>
  </si>
  <si>
    <t>092-833-1230</t>
  </si>
  <si>
    <t>092-833-1231</t>
  </si>
  <si>
    <t>2018/08/06 10:14:17</t>
  </si>
  <si>
    <t>10700</t>
  </si>
  <si>
    <t>わかば保育園</t>
  </si>
  <si>
    <t>ﾜｶﾊﾞﾎｲｸｴﾝ</t>
  </si>
  <si>
    <t>福岡市博多区板付3丁目15-2</t>
  </si>
  <si>
    <t>092-582-9235</t>
  </si>
  <si>
    <t>092-582-7611</t>
  </si>
  <si>
    <t>2022/02/01 15:27:52</t>
  </si>
  <si>
    <t>10703</t>
  </si>
  <si>
    <t>わかば保育園　おやつ</t>
  </si>
  <si>
    <t>ﾜｶﾊﾞﾎｲｸｴﾝ ｵﾔﾂ</t>
  </si>
  <si>
    <t>2015/02/09 11:45:41</t>
  </si>
  <si>
    <t>10800</t>
  </si>
  <si>
    <t>大野幼稚園</t>
  </si>
  <si>
    <t>ｵｵﾉﾖｳﾁｴﾝ</t>
  </si>
  <si>
    <t>816-0934</t>
  </si>
  <si>
    <t>福岡県大野城市曙町1-2-27</t>
  </si>
  <si>
    <t>092-572-8662</t>
  </si>
  <si>
    <t>092-572-8670</t>
  </si>
  <si>
    <t>334</t>
  </si>
  <si>
    <t>2015/03/18 13:38:47</t>
  </si>
  <si>
    <t>10801</t>
  </si>
  <si>
    <t>2015/09/16 11:25:14</t>
  </si>
  <si>
    <t>10900</t>
  </si>
  <si>
    <t>やまのみ保育園</t>
  </si>
  <si>
    <t>ﾔﾏﾉﾐﾎｲｸｴﾝ</t>
  </si>
  <si>
    <t>813-0001</t>
  </si>
  <si>
    <t>福岡県福岡市東区唐原5丁目10-22</t>
  </si>
  <si>
    <t>092-672-1022</t>
  </si>
  <si>
    <t>092-672-1066</t>
  </si>
  <si>
    <t>2015/01/23 11:38:22</t>
  </si>
  <si>
    <t>10901</t>
  </si>
  <si>
    <t>やまのみ保育園　別注</t>
  </si>
  <si>
    <t>ﾔﾏﾉﾐﾎｲｸｴﾝ ﾍﾞｯﾁｭｳ</t>
  </si>
  <si>
    <t>2015/01/23 11:38:58</t>
  </si>
  <si>
    <t>10902</t>
  </si>
  <si>
    <t>やまのみ保育園　先生用</t>
  </si>
  <si>
    <t>ﾔﾏﾉﾐﾎｲｸｴﾝ ｾﾝｾｲﾖｳ</t>
  </si>
  <si>
    <t>2015/01/23 11:39:15</t>
  </si>
  <si>
    <t>10903</t>
  </si>
  <si>
    <t>やまのみ保育園　タウン園児</t>
  </si>
  <si>
    <t>ﾔﾏﾉﾐﾎｲｸｴﾝ ﾀｳﾝｴﾝｼﾞ</t>
  </si>
  <si>
    <t>2015/02/03 9:07:17</t>
  </si>
  <si>
    <t>10904</t>
  </si>
  <si>
    <t>やまのみ保育園　おやつ</t>
  </si>
  <si>
    <t>ﾔﾏﾉﾐﾎｲｸｴﾝ ｵﾔﾂ</t>
  </si>
  <si>
    <t>2015/02/09 13:17:21</t>
  </si>
  <si>
    <t>11000</t>
  </si>
  <si>
    <t>託児ルーム　アンジュ・ブラン</t>
  </si>
  <si>
    <t>ﾀｸｼﾞﾙｰﾑ ｱﾝｼﾞｭ･ﾌﾞﾗﾝ</t>
  </si>
  <si>
    <t>アンジュブラン</t>
  </si>
  <si>
    <t>814-0006</t>
  </si>
  <si>
    <t>福岡市早良区百道3-6-9</t>
  </si>
  <si>
    <t>092-215-1234</t>
  </si>
  <si>
    <t>215-1234</t>
  </si>
  <si>
    <t>462</t>
  </si>
  <si>
    <t>2025/09/02 16:13:17</t>
  </si>
  <si>
    <t>11100</t>
  </si>
  <si>
    <t>須玖幼稚園　×使用しない</t>
  </si>
  <si>
    <t xml:space="preserve">ｽｸﾞﾖｳﾁｴﾝ </t>
  </si>
  <si>
    <t>816-.864</t>
  </si>
  <si>
    <t>福岡県春日市須玖北8-56</t>
  </si>
  <si>
    <t>092-582-9830</t>
  </si>
  <si>
    <t>092-582-9831</t>
  </si>
  <si>
    <t>2025/09/02 15:22:53</t>
  </si>
  <si>
    <t>11200</t>
  </si>
  <si>
    <t>松崎幼稚園</t>
  </si>
  <si>
    <t>ﾏﾂｻﾞｷﾖｳﾁｴﾝ</t>
  </si>
  <si>
    <t>福岡県福岡市東区水谷1-19-30</t>
  </si>
  <si>
    <t>092-681-2213</t>
  </si>
  <si>
    <t>092-674-6911</t>
  </si>
  <si>
    <t>79</t>
  </si>
  <si>
    <t>2015/03/10 14:25:33</t>
  </si>
  <si>
    <t>11201</t>
  </si>
  <si>
    <t>2015/04/14 13:47:46</t>
  </si>
  <si>
    <t>11300</t>
  </si>
  <si>
    <t>清星幼稚園</t>
  </si>
  <si>
    <t>ｾｲｾｲﾖｳﾁｴﾝ</t>
  </si>
  <si>
    <t>811-1344</t>
  </si>
  <si>
    <t>福岡市南区三宅1-17-12</t>
  </si>
  <si>
    <t>092-541-6820</t>
  </si>
  <si>
    <t>092-541-6821</t>
  </si>
  <si>
    <t>225</t>
  </si>
  <si>
    <t>2015/03/10 13:03:45</t>
  </si>
  <si>
    <t>11400</t>
  </si>
  <si>
    <t>双葉中央保育園</t>
  </si>
  <si>
    <t>ﾌﾀﾊﾞﾁｭｳｵｳﾎｲｸｴﾝ</t>
  </si>
  <si>
    <t>811-3217</t>
  </si>
  <si>
    <t>福岡県福津市中央5-1-4</t>
  </si>
  <si>
    <t>0940-42-3067</t>
  </si>
  <si>
    <t>2015/03/27 15:32:06</t>
  </si>
  <si>
    <t>11500</t>
  </si>
  <si>
    <t>Kids　JR　高取</t>
  </si>
  <si>
    <t>Kids JR ﾀｶﾄﾘ</t>
  </si>
  <si>
    <t>KidsJR高取</t>
  </si>
  <si>
    <t>814-0012</t>
  </si>
  <si>
    <t>福岡市早良区昭代3-7-9</t>
  </si>
  <si>
    <t>092-407-6997</t>
  </si>
  <si>
    <t>2015/04/23 10:56:13</t>
  </si>
  <si>
    <t>11501</t>
  </si>
  <si>
    <t>2015/11/16 15:06:13</t>
  </si>
  <si>
    <t>11502</t>
  </si>
  <si>
    <t>Kids　JR　高取　先生用</t>
  </si>
  <si>
    <t>Kids JR ﾀｶﾄﾘ ｾﾝｾｲﾖｳ</t>
  </si>
  <si>
    <t>2015/11/16 15:07:03</t>
  </si>
  <si>
    <t>ｽｸﾞﾖｳﾁｴﾝ</t>
  </si>
  <si>
    <t>816-0871</t>
  </si>
  <si>
    <t>春日市須玖北8-56</t>
  </si>
  <si>
    <t>2015/03/25 8:53:53</t>
  </si>
  <si>
    <t>11601</t>
  </si>
  <si>
    <t>須玖幼稚園　保護者の会</t>
  </si>
  <si>
    <t>ｽｸﾞﾖｳﾁｴﾝ ﾎｺﾞｼｬﾉｶｲ</t>
  </si>
  <si>
    <t>須玖　保護者の会</t>
  </si>
  <si>
    <t>2025/09/02 15:23:05</t>
  </si>
  <si>
    <t>11700</t>
  </si>
  <si>
    <t>夜須幼稚園</t>
  </si>
  <si>
    <t>ﾔｽﾖｳﾁｴﾝ</t>
  </si>
  <si>
    <t>838-0214</t>
  </si>
  <si>
    <t>福岡県朝倉郡筑前町東小田1864</t>
  </si>
  <si>
    <t>0946-42-5199</t>
  </si>
  <si>
    <t>0946-42-2207</t>
  </si>
  <si>
    <t>2017/07/05 12:56:39</t>
  </si>
  <si>
    <t>11800</t>
  </si>
  <si>
    <t>南ヶ丘託児所　こぐま園</t>
  </si>
  <si>
    <t>ﾐﾅﾐｶﾞｵｶﾀｸｼﾞｼｮ ｺｸﾞﾏｴﾝ</t>
  </si>
  <si>
    <t>南ヶ丘　こぐま園</t>
  </si>
  <si>
    <t>大野城市南ヶ丘5-8-22</t>
  </si>
  <si>
    <t>092-596-5902</t>
  </si>
  <si>
    <t>309</t>
  </si>
  <si>
    <t>2015/03/23 9:49:40</t>
  </si>
  <si>
    <t>11900</t>
  </si>
  <si>
    <t>キッズサポート博多中央</t>
  </si>
  <si>
    <t>ｷｯｽﾞｻﾎﾟｰﾄﾊｶﾀﾁｭｳｵｳ</t>
  </si>
  <si>
    <t>812-0039</t>
  </si>
  <si>
    <t>福岡市博多区冷泉町12-8</t>
  </si>
  <si>
    <t>アサヒプラザ１F</t>
  </si>
  <si>
    <t>092-262-5566</t>
  </si>
  <si>
    <t>2015/03/27 9:27:57</t>
  </si>
  <si>
    <t>12000</t>
  </si>
  <si>
    <t>にじいろの光保育園</t>
  </si>
  <si>
    <t>ﾆｼﾞｲﾛﾉﾋｶﾘﾎｲｸｴﾝ</t>
  </si>
  <si>
    <t>春日市一の谷2-6</t>
  </si>
  <si>
    <t>092-574-1073</t>
  </si>
  <si>
    <t>2015/04/08 13:53:52</t>
  </si>
  <si>
    <t>12100</t>
  </si>
  <si>
    <t>大濠すくすく保育園</t>
  </si>
  <si>
    <t>ｵｵﾎﾘｽｸｽｸﾎｲｸｴﾝ</t>
  </si>
  <si>
    <t>福岡市中央区荒戸1-4-17</t>
  </si>
  <si>
    <t>092-781-3535</t>
  </si>
  <si>
    <t>2015/10/13 13:22:55</t>
  </si>
  <si>
    <t>12200</t>
  </si>
  <si>
    <t>九州医療センター　ひまわり保育園</t>
  </si>
  <si>
    <t>ｷｭｳｼｭｳｲﾘｮｳｾﾝﾀｰ ﾋﾏﾜﾘﾎｲｸｴﾝ</t>
  </si>
  <si>
    <t>ひまわり保育園</t>
  </si>
  <si>
    <t>福岡県福岡市早良区百道浜1-6-1</t>
  </si>
  <si>
    <t>092-834-1161</t>
  </si>
  <si>
    <t>092-834-1162</t>
  </si>
  <si>
    <t>2015/11/19 11:07:08</t>
  </si>
  <si>
    <t>12300</t>
  </si>
  <si>
    <t>那珂の森保育園</t>
  </si>
  <si>
    <t>ﾅｶﾉﾓﾘﾎｲｸｴﾝ</t>
  </si>
  <si>
    <t>福岡県筑紫郡那珂川町大字五郎丸3丁目16-1</t>
  </si>
  <si>
    <t>092-952-0585</t>
  </si>
  <si>
    <t>2018/05/25 15:10:39</t>
  </si>
  <si>
    <t>12400</t>
  </si>
  <si>
    <t>アイランドシティコスモス保育園</t>
  </si>
  <si>
    <t>ｱｲﾗﾝﾄﾞｼﾃｨｺｽﾓｽﾎｲｸｴﾝ</t>
  </si>
  <si>
    <t>アイランドシティ</t>
  </si>
  <si>
    <t>813-0017</t>
  </si>
  <si>
    <t>福岡県福岡市東区香椎照葉2丁目2-11</t>
  </si>
  <si>
    <t>092-662-1501</t>
  </si>
  <si>
    <t>092-662-1502</t>
  </si>
  <si>
    <t>2015/06/24 15:57:17</t>
  </si>
  <si>
    <t>12401</t>
  </si>
  <si>
    <t>寺塚コスモス保育園</t>
  </si>
  <si>
    <t>ﾃﾗﾂﾞｶｺｽﾓｽﾎｲｸｴﾝ</t>
  </si>
  <si>
    <t>寺塚コスモｽ</t>
  </si>
  <si>
    <t>815-0074</t>
  </si>
  <si>
    <t>福岡市南区寺塚1-21-20</t>
  </si>
  <si>
    <t>2015/06/24 15:58:22</t>
  </si>
  <si>
    <t>12402</t>
  </si>
  <si>
    <t>笹丘コスモス保育園</t>
  </si>
  <si>
    <t>ｻｻｵｶｺｽﾓｽﾎｲｸｴﾝ</t>
  </si>
  <si>
    <t>笹丘コスモス</t>
  </si>
  <si>
    <t>福岡市中央区笹丘3-2-1</t>
  </si>
  <si>
    <t>2015/06/24 15:59:49</t>
  </si>
  <si>
    <t>12403</t>
  </si>
  <si>
    <t>伊都コスモス保育園</t>
  </si>
  <si>
    <t>ｲﾄｺｽﾓｽﾎｲｸｴﾝ</t>
  </si>
  <si>
    <t>伊都コスモス</t>
  </si>
  <si>
    <t>819-0367</t>
  </si>
  <si>
    <t>福岡市西区西都2-20-10</t>
  </si>
  <si>
    <t>2015/06/24 16:00:57</t>
  </si>
  <si>
    <t>12404</t>
  </si>
  <si>
    <t>杜の宮コスモス保育園</t>
  </si>
  <si>
    <t>ﾓﾘﾉﾐﾔｺｽﾓｽﾎｲｸｴﾝ</t>
  </si>
  <si>
    <t>杜の宮コスモス</t>
  </si>
  <si>
    <t>811-0122</t>
  </si>
  <si>
    <t>糟屋郡新宮町杜の宮3-12-1</t>
  </si>
  <si>
    <t>2015/06/24 16:09:52</t>
  </si>
  <si>
    <t>12405</t>
  </si>
  <si>
    <t>下府コスモス保育園</t>
  </si>
  <si>
    <t>ｼﾓﾉﾌｺｽﾓｽﾎｲｸｴﾝ</t>
  </si>
  <si>
    <t>下府コスモス</t>
  </si>
  <si>
    <t>糟屋郡新宮町下府6-13-41</t>
  </si>
  <si>
    <t>2015/06/24 16:12:53</t>
  </si>
  <si>
    <t>12500</t>
  </si>
  <si>
    <t>あおりんご</t>
  </si>
  <si>
    <t>ｱｵﾘﾝｺﾞ</t>
  </si>
  <si>
    <t>春日市大谷5-3</t>
  </si>
  <si>
    <t>092-558-7531</t>
  </si>
  <si>
    <t>092-558-7541</t>
  </si>
  <si>
    <t>2017/08/04 17:43:41</t>
  </si>
  <si>
    <t>12600</t>
  </si>
  <si>
    <t>㈱医倖会　さかいの樹　若久</t>
  </si>
  <si>
    <t>ｲｺｳｶｲ ｻｶｲﾉｷ ﾜｶﾋｻ</t>
  </si>
  <si>
    <t>さかいの樹　若久</t>
  </si>
  <si>
    <t>福岡市南区若久1-1-22</t>
  </si>
  <si>
    <t>092-555-2347</t>
  </si>
  <si>
    <t>092-554-3089</t>
  </si>
  <si>
    <t>215</t>
  </si>
  <si>
    <t>2016/12/01 14:59:14</t>
  </si>
  <si>
    <t>12700</t>
  </si>
  <si>
    <t>太郎保育園</t>
  </si>
  <si>
    <t>ﾀﾛｳﾎｲｸｴﾝ</t>
  </si>
  <si>
    <t>819-0384</t>
  </si>
  <si>
    <t>福岡市西区太郎丸2-7-3</t>
  </si>
  <si>
    <t>092-806-2821</t>
  </si>
  <si>
    <t>092-806-2874</t>
  </si>
  <si>
    <t>2015/08/17 9:10:15</t>
  </si>
  <si>
    <t>12703</t>
  </si>
  <si>
    <t>太郎保育園　おやつ</t>
  </si>
  <si>
    <t>2015/07/27 9:39:07</t>
  </si>
  <si>
    <t>12800</t>
  </si>
  <si>
    <t>こじか保育園</t>
  </si>
  <si>
    <t>ｺｼﾞｶﾎｲｸｴﾝ</t>
  </si>
  <si>
    <t>819-0383</t>
  </si>
  <si>
    <t>福岡市西区田尻1-7-21</t>
  </si>
  <si>
    <t>092-807-8308</t>
  </si>
  <si>
    <t>092-807-9089</t>
  </si>
  <si>
    <t>2015/09/24 17:08:17</t>
  </si>
  <si>
    <t>12802</t>
  </si>
  <si>
    <t>こじか保育園　おやつ</t>
  </si>
  <si>
    <t>ｺｼﾞｶﾎｲｸｴﾝ ｵﾔﾂ</t>
  </si>
  <si>
    <t>2015/09/24 17:08:32</t>
  </si>
  <si>
    <t>12803</t>
  </si>
  <si>
    <t>2015/07/27 9:38:57</t>
  </si>
  <si>
    <t>児童発達支援　いろは　そうり</t>
  </si>
  <si>
    <t>ｲﾛﾊ ｿｳﾘ</t>
  </si>
  <si>
    <t>816-0813</t>
  </si>
  <si>
    <t>福岡県春日市惣利2-35</t>
  </si>
  <si>
    <t>本田コーポ１F</t>
  </si>
  <si>
    <t>092-558-6559</t>
  </si>
  <si>
    <t>092-558-6560</t>
  </si>
  <si>
    <t>2025/03/31 11:17:50</t>
  </si>
  <si>
    <t>児童発達支援　いろは</t>
  </si>
  <si>
    <t>ｼﾞﾄﾞｳﾊｯﾀﾂｼｴﾝ ｲﾛﾊ</t>
  </si>
  <si>
    <t>児童発達支援　いろは　</t>
  </si>
  <si>
    <t>816-0802</t>
  </si>
  <si>
    <t>春日市春日原北町1-3-52</t>
  </si>
  <si>
    <t>パークハウス春日原ステーションレジデンス１F１B</t>
  </si>
  <si>
    <t>092-707-8570</t>
  </si>
  <si>
    <t>092-707-8571</t>
  </si>
  <si>
    <t>2024/03/01 15:12:58</t>
  </si>
  <si>
    <t>学校法人奈良屋学園　奈良屋幼稚園</t>
  </si>
  <si>
    <t>ｶﾞｯｺｳﾎｳｼﾞﾝﾅﾗﾔｶﾞｸｴﾝ ﾅﾗﾔﾖｳﾁｴﾝ</t>
  </si>
  <si>
    <t>812-0023</t>
  </si>
  <si>
    <t>福岡市博多区奈良屋町1-6</t>
  </si>
  <si>
    <t>092-291-3554</t>
  </si>
  <si>
    <t>092-291-3557</t>
  </si>
  <si>
    <t>2023/04/14 13:29:43</t>
  </si>
  <si>
    <t>13001</t>
  </si>
  <si>
    <t>奈良屋幼稚園　（別注）</t>
  </si>
  <si>
    <t>ﾅﾗﾔﾖｳﾁｴﾝ ﾍﾞｯﾁｭｳ()</t>
  </si>
  <si>
    <t>奈良屋幼稚園　別注</t>
  </si>
  <si>
    <t>2025/09/02 15:23:27</t>
  </si>
  <si>
    <t>奈良屋幼稚園　奥田先生</t>
  </si>
  <si>
    <t>ﾅﾗﾔﾖｳﾁｴﾝ ｵｸﾀﾞ</t>
  </si>
  <si>
    <t>2025/09/02 15:24:05</t>
  </si>
  <si>
    <t>13003</t>
  </si>
  <si>
    <t>奈良屋幼稚園　実習生</t>
  </si>
  <si>
    <t>ｶﾞｯｺｳﾎｳｼﾞﾝﾅﾗﾔｶﾞｸｴﾝ ﾅﾗﾔﾖｳﾁｴﾝ ｵｸ</t>
  </si>
  <si>
    <t>2017/01/20 10:32:20</t>
  </si>
  <si>
    <t>奈良屋幼稚園　先生</t>
  </si>
  <si>
    <t>ｶﾞｯｺｳﾎｳｼﾞﾝﾅﾗﾔｶﾞｸｴﾝ ﾅﾗﾔﾖｳﾁｴﾝ ｾﾝ</t>
  </si>
  <si>
    <t>2023/04/14 13:30:48</t>
  </si>
  <si>
    <t>13005</t>
  </si>
  <si>
    <t>奈良屋幼稚園　平田先生</t>
  </si>
  <si>
    <t>ﾅﾗﾔﾖｳﾁｴﾝ ﾋﾗﾀｾﾝｾｲ</t>
  </si>
  <si>
    <t>2025/09/02 15:24:31</t>
  </si>
  <si>
    <t>13100</t>
  </si>
  <si>
    <t>英進館</t>
  </si>
  <si>
    <t>ｴｲｼﾝｶﾝ</t>
  </si>
  <si>
    <t>2015/08/18 9:05:43</t>
  </si>
  <si>
    <t>13200</t>
  </si>
  <si>
    <t>淑明学園　心をゆさぶる共育の学舎</t>
  </si>
  <si>
    <t>ｺｺﾛｦﾕｻﾌﾞﾙｷｮｳｲｸﾉﾏﾅﾋﾞﾔ</t>
  </si>
  <si>
    <t>心をゆさぶる共育の学舎</t>
  </si>
  <si>
    <t>813-0011</t>
  </si>
  <si>
    <t>福岡市東区香椎1-10-3</t>
  </si>
  <si>
    <t>092-671-9684</t>
  </si>
  <si>
    <t>092-671-9676</t>
  </si>
  <si>
    <t>2015/08/28 15:39:51</t>
  </si>
  <si>
    <t>13300</t>
  </si>
  <si>
    <t>スマイルガーデン幼児園</t>
  </si>
  <si>
    <t>ｽﾏｲﾙｶﾞｰﾃﾞﾝﾖｳｼﾞｴﾝ</t>
  </si>
  <si>
    <t>スマイルガーデン</t>
  </si>
  <si>
    <t>春日市春日公園７丁目-100</t>
  </si>
  <si>
    <t>090-2719-4892</t>
  </si>
  <si>
    <t>092-922-1088</t>
  </si>
  <si>
    <t>339</t>
  </si>
  <si>
    <t>2015/12/18 11:28:23</t>
  </si>
  <si>
    <t>13400</t>
  </si>
  <si>
    <t>星の原保育園</t>
  </si>
  <si>
    <t>ﾎｼﾉﾊﾗﾎｲｸｴﾝ</t>
  </si>
  <si>
    <t>814-0162</t>
  </si>
  <si>
    <t>福岡市早良区星の原団地68-1</t>
  </si>
  <si>
    <t>092-801-5188</t>
  </si>
  <si>
    <t>2015/10/06 9:48:44</t>
  </si>
  <si>
    <t>13500</t>
  </si>
  <si>
    <t>いずみ保育園</t>
  </si>
  <si>
    <t>ｲｽﾞﾐﾎｲｸｴﾝ</t>
  </si>
  <si>
    <t>815-0063</t>
  </si>
  <si>
    <t>福岡市南区柳河内2丁目6-69</t>
  </si>
  <si>
    <t>092-512-0077</t>
  </si>
  <si>
    <t>092-512-0138</t>
  </si>
  <si>
    <t>2016/01/26 11:35:59</t>
  </si>
  <si>
    <t>13502</t>
  </si>
  <si>
    <t>いずみ保育園　（先生用）</t>
  </si>
  <si>
    <t>ｲｽﾞﾐﾎｲｸｴﾝ (ｾﾝｾｲﾖｳ)</t>
  </si>
  <si>
    <t>2016/01/27 11:46:06</t>
  </si>
  <si>
    <t>13600</t>
  </si>
  <si>
    <t>キンダーキッズインターナショナルスクール</t>
  </si>
  <si>
    <t>ｷﾝﾀﾞｰｷｯｽﾞｲﾝﾀｰﾅｼｮﾅﾙｽｸｰﾙ</t>
  </si>
  <si>
    <t>ｷﾝﾀﾞｰｷｯｽﾞ</t>
  </si>
  <si>
    <t>福岡市早良区百道浜2丁目4-27</t>
  </si>
  <si>
    <t>福岡ＡＩﾋﾞﾙ　１Ｆ</t>
  </si>
  <si>
    <t>092-832-6828</t>
  </si>
  <si>
    <t>092-832-6829</t>
  </si>
  <si>
    <t>2017/05/10 11:15:46</t>
  </si>
  <si>
    <t>13700</t>
  </si>
  <si>
    <t>輝育塾　春日教室</t>
  </si>
  <si>
    <t>ｷｲｸｼﾞｭｸ</t>
  </si>
  <si>
    <t>輝育塾</t>
  </si>
  <si>
    <t>816-0824</t>
  </si>
  <si>
    <t>福岡県春日市小倉2-149-1</t>
  </si>
  <si>
    <t>サンヒルズ小倉1F</t>
  </si>
  <si>
    <t>092-502-3275</t>
  </si>
  <si>
    <t>2016/06/02 14:45:30</t>
  </si>
  <si>
    <t>13800</t>
  </si>
  <si>
    <t>あすなろ保育園</t>
  </si>
  <si>
    <t>ｱｽﾅﾛﾎｲｸｴﾝ</t>
  </si>
  <si>
    <t>811-2415</t>
  </si>
  <si>
    <t>粕屋郡篠栗町津波黒671-1</t>
  </si>
  <si>
    <t>948-2263</t>
  </si>
  <si>
    <t>948-2333</t>
  </si>
  <si>
    <t>2020/02/06 12:49:46</t>
  </si>
  <si>
    <t>東京インターナショナルスクール　大濠キンダーガーテン</t>
  </si>
  <si>
    <t>ﾄｳｷｮｳｲﾝﾀｰﾅｼｮﾅﾙｽｸｰﾙ ｵｵﾎﾘｷﾝﾀﾞｰｶﾞ</t>
  </si>
  <si>
    <t>大濠キンダーガーテン　web</t>
  </si>
  <si>
    <t>810-0053</t>
  </si>
  <si>
    <t>福岡市中央区鳥飼1-4-53</t>
  </si>
  <si>
    <t>718-7772</t>
  </si>
  <si>
    <t>718-7773</t>
  </si>
  <si>
    <t>2025/09/10 14:05:33</t>
  </si>
  <si>
    <t>13902</t>
  </si>
  <si>
    <t>東京インターナショナルスクール　大濠アフタースクール</t>
  </si>
  <si>
    <t>ｵｵﾎﾘｱﾌﾀｰｽｸｰﾙｲﾝﾀｰﾅｼｮﾅﾙｽｸｰﾙｱﾌﾀｰｽ</t>
  </si>
  <si>
    <t>大濠アフタースクール</t>
  </si>
  <si>
    <t>2025/09/10 14:11:49</t>
  </si>
  <si>
    <t>13903</t>
  </si>
  <si>
    <t>東京インターナショナルスクール　大濠アフタースクール（先生）</t>
  </si>
  <si>
    <t>ｵｵﾎﾘｱﾌﾀｰｽｸｰｲﾝﾀｰﾅｼｮﾅﾙｽｸｰﾙｱﾌﾀｰｽｸ</t>
  </si>
  <si>
    <t>大濠アフタースクール　先生</t>
  </si>
  <si>
    <t>2025/09/02 16:14:15</t>
  </si>
  <si>
    <t>13904</t>
  </si>
  <si>
    <t>東京インターナショナルスクール　大濠アフタースクール先生2</t>
  </si>
  <si>
    <t>ｵｵﾎﾘｱﾌﾀｰｽｸｰ</t>
  </si>
  <si>
    <t>大濠アフタースクール先生2</t>
  </si>
  <si>
    <t>2025/09/02 16:15:04</t>
  </si>
  <si>
    <t>13905</t>
  </si>
  <si>
    <t>東京インターナショナルスクール　大濠アフタースクール　別注</t>
  </si>
  <si>
    <t>大濠アフタースクール別注</t>
  </si>
  <si>
    <t>2025/09/02 16:15:34</t>
  </si>
  <si>
    <t>13906</t>
  </si>
  <si>
    <t>大濠キンダーガーテン　別注（外税）</t>
  </si>
  <si>
    <t>ｵｵﾎﾘｷﾝﾀﾞｶﾞｰｷﾝﾀﾞｰｶﾞｰﾃﾝ</t>
  </si>
  <si>
    <t>大濠キンダーガーテン別注</t>
  </si>
  <si>
    <t>2025/09/10 14:12:10</t>
  </si>
  <si>
    <t>13907</t>
  </si>
  <si>
    <t>大濠キンダーガーテン　別注　内税</t>
  </si>
  <si>
    <t>ｵｵﾎﾘｷﾝﾀﾞｶﾞｰﾃﾝ</t>
  </si>
  <si>
    <t>2025/09/02 16:16:51</t>
  </si>
  <si>
    <t>13908</t>
  </si>
  <si>
    <t>大濠キンダーガーテン　別注2　内税</t>
  </si>
  <si>
    <t>大濠キンダーガーテン別注2</t>
  </si>
  <si>
    <t>2025/09/02 16:17:32</t>
  </si>
  <si>
    <t>14000</t>
  </si>
  <si>
    <t>ハグポン　藤崎教室</t>
  </si>
  <si>
    <t>ﾊｸﾞﾎﾟﾝ ﾌｼﾞｻｷｷｮｳｼﾂ</t>
  </si>
  <si>
    <t>ハグポン</t>
  </si>
  <si>
    <t>814-0011</t>
  </si>
  <si>
    <t>福岡市早良区高取1丁目1-22</t>
  </si>
  <si>
    <t>高取田中ビル1F</t>
  </si>
  <si>
    <t>092-831-0001</t>
  </si>
  <si>
    <t>2017/08/07 14:10:28</t>
  </si>
  <si>
    <t>14100</t>
  </si>
  <si>
    <t>まなび保育園</t>
  </si>
  <si>
    <t>ﾏﾅﾋﾞﾎｲｸｴﾝ</t>
  </si>
  <si>
    <t>福岡市南区大橋2-16-110号</t>
  </si>
  <si>
    <t>092-511-8760</t>
  </si>
  <si>
    <t>092-555-3673</t>
  </si>
  <si>
    <t>2016/03/28 9:18:08</t>
  </si>
  <si>
    <t>14102</t>
  </si>
  <si>
    <t>まなび保育園　先生用</t>
  </si>
  <si>
    <t>ﾏﾅﾋﾞﾎｲｸｴﾝ ｾﾝｾｲﾖｳ</t>
  </si>
  <si>
    <t>2016/06/09 16:11:01</t>
  </si>
  <si>
    <t>14200</t>
  </si>
  <si>
    <t>社会福祉法人大楠会　平野保育園</t>
  </si>
  <si>
    <t>ｼｬｶｲﾌｸｼﾎｳｼﾞﾝｵｵｸｽｶｲ ﾋﾗﾉﾎｲｸｴﾝ</t>
  </si>
  <si>
    <t>平野保育園</t>
  </si>
  <si>
    <t>816-0971</t>
  </si>
  <si>
    <t>福岡県大野城市牛頸4丁目7番20号</t>
  </si>
  <si>
    <t>092-596-6200</t>
  </si>
  <si>
    <t>092-596-1935</t>
  </si>
  <si>
    <t>2016/04/13 15:20:50</t>
  </si>
  <si>
    <t>14302</t>
  </si>
  <si>
    <t>ナーサリーライムスクール　職員用</t>
  </si>
  <si>
    <t>ﾅｰｻﾘｰﾗｲﾑｽｸｰﾙ ｼｮｸｲﾝﾖｳ</t>
  </si>
  <si>
    <t>ﾅｰｻﾘｰﾗｲﾑ</t>
  </si>
  <si>
    <t>福岡県福岡市早良区田村6丁目21-7</t>
  </si>
  <si>
    <t>2016/07/25 9:02:47</t>
  </si>
  <si>
    <t>14400</t>
  </si>
  <si>
    <t>弥永保育園</t>
  </si>
  <si>
    <t>ﾔﾅｶﾞﾎｲｸｴﾝ</t>
  </si>
  <si>
    <t>811-1322</t>
  </si>
  <si>
    <t>福岡市南区弥永団地31-1</t>
  </si>
  <si>
    <t>092-571-0337</t>
  </si>
  <si>
    <t>092-571-0523</t>
  </si>
  <si>
    <t>2019/02/25 15:58:28</t>
  </si>
  <si>
    <t>14500</t>
  </si>
  <si>
    <t>おーるはっぴぃ</t>
  </si>
  <si>
    <t>ｵｰﾙﾊｯﾋﾟｨ</t>
  </si>
  <si>
    <t>福岡市南区大橋1-1-17</t>
  </si>
  <si>
    <t>サンシャイン東602</t>
  </si>
  <si>
    <t>210-7615</t>
  </si>
  <si>
    <t>2018/03/20 10:09:55</t>
  </si>
  <si>
    <t>14502</t>
  </si>
  <si>
    <t>おーるはっぴぃ　先生用</t>
  </si>
  <si>
    <t>ｵｰﾙﾊｯﾋﾟｨ ｾﾝｾｲﾖｳ</t>
  </si>
  <si>
    <t>080-2780-2625</t>
  </si>
  <si>
    <t>2016/08/31 9:39:41</t>
  </si>
  <si>
    <t>14600</t>
  </si>
  <si>
    <t>田島保育園</t>
  </si>
  <si>
    <t>ﾀｼﾞﾏﾎｲｸｴﾝ</t>
  </si>
  <si>
    <t>814-0113</t>
  </si>
  <si>
    <t>福岡県福岡市城南区田島2-28</t>
  </si>
  <si>
    <t>092-822-4568</t>
  </si>
  <si>
    <t>092-822-4795</t>
  </si>
  <si>
    <t>2016/10/12 17:26:39</t>
  </si>
  <si>
    <t>ｱﾒﾘｶﾝﾁｬﾀｰﾎﾞｯｸｽ</t>
  </si>
  <si>
    <t>福岡市早良区百道浜1丁目</t>
  </si>
  <si>
    <t>3-70-5212</t>
  </si>
  <si>
    <t>092-847-6615</t>
  </si>
  <si>
    <t>092-847-6631</t>
  </si>
  <si>
    <t>469</t>
  </si>
  <si>
    <t>2017/01/06 12:50:16</t>
  </si>
  <si>
    <t>14710</t>
  </si>
  <si>
    <t>アメリカンチャターボックス大名校</t>
  </si>
  <si>
    <t>ｱﾒﾘｶﾝﾁｬﾀｰﾎﾞｯｸｽﾀﾞｲﾐｮｳｺｳ</t>
  </si>
  <si>
    <t>アメリカンチャターボックス大名</t>
  </si>
  <si>
    <t>福岡市中央区大名2丁目6-53ガーデンシティ　テラス棟3階</t>
  </si>
  <si>
    <t>092-707-3181</t>
  </si>
  <si>
    <t>092-707-3182</t>
  </si>
  <si>
    <t>470</t>
  </si>
  <si>
    <t>2024/01/29 15:04:19</t>
  </si>
  <si>
    <t>14720</t>
  </si>
  <si>
    <t>アメリカンチャターボックス浄水校</t>
  </si>
  <si>
    <t>ｱﾒﾘｶﾝﾁｬﾀｰﾎﾞｯｸｽｼﾞｮｳｽｲｺｳ</t>
  </si>
  <si>
    <t>アメリカンチャター浄水校</t>
  </si>
  <si>
    <t>810-0028</t>
  </si>
  <si>
    <t>福岡市中央区浄水通3-3浄水フラッツ401</t>
  </si>
  <si>
    <t>092-401-5577</t>
  </si>
  <si>
    <t>092-401-5578</t>
  </si>
  <si>
    <t>2025/09/02 16:17:51</t>
  </si>
  <si>
    <t>14800</t>
  </si>
  <si>
    <t>西新保育園</t>
  </si>
  <si>
    <t>ﾆｼｼﾞﾝﾎｲｸｴﾝ</t>
  </si>
  <si>
    <t>814-0004</t>
  </si>
  <si>
    <t>福岡市早良区曙1丁目3-26</t>
  </si>
  <si>
    <t>092-821-7969</t>
  </si>
  <si>
    <t>092-821-4209</t>
  </si>
  <si>
    <t>2016/10/19 16:41:05</t>
  </si>
  <si>
    <t>14900</t>
  </si>
  <si>
    <t>若久たんぽぽ保育園</t>
  </si>
  <si>
    <t>ﾜｶﾋｻﾀﾝﾎﾟﾎﾟﾎｲｸｴﾝ</t>
  </si>
  <si>
    <t>たんぽぽ保育園</t>
  </si>
  <si>
    <t>福岡市南区若久3丁目14-25</t>
  </si>
  <si>
    <t>092-562-4152</t>
  </si>
  <si>
    <t>2017/01/12 16:32:31</t>
  </si>
  <si>
    <t>15000</t>
  </si>
  <si>
    <t>博多みなみ保育園</t>
  </si>
  <si>
    <t>ﾊｶﾀﾐﾅﾐﾎｲｸｴﾝ</t>
  </si>
  <si>
    <t>811-1213</t>
  </si>
  <si>
    <t>福岡県那珂川市中原3-124　ラ・シュネガ1F1号室</t>
  </si>
  <si>
    <t>092-986-4431</t>
  </si>
  <si>
    <t>092-985-7631</t>
  </si>
  <si>
    <t>2022/03/24 11:07:37</t>
  </si>
  <si>
    <t>15010</t>
  </si>
  <si>
    <t>みなみの風保育園</t>
  </si>
  <si>
    <t>ﾐﾅﾐﾉｶｾﾞﾎｲｸｴﾝ</t>
  </si>
  <si>
    <t>福岡県那珂川市中原2-124　</t>
  </si>
  <si>
    <t>2023/11/15 16:49:12</t>
  </si>
  <si>
    <t>15100</t>
  </si>
  <si>
    <t>福岡朝鮮初級学校　附属幼稚園</t>
  </si>
  <si>
    <t>ﾌｸｵｶﾁｮｳｾﾝｼｮｷｭｳｶﾞｯｺｳﾌｿﾞｸﾖｳﾁｴﾝ</t>
  </si>
  <si>
    <t>朝鮮幼稚園</t>
  </si>
  <si>
    <t>811-0202</t>
  </si>
  <si>
    <t>福岡市東区和白5丁目17-1</t>
  </si>
  <si>
    <t>092-606-4611</t>
  </si>
  <si>
    <t>092-606-4612</t>
  </si>
  <si>
    <t>2025/09/02 16:20:02</t>
  </si>
  <si>
    <t>15101</t>
  </si>
  <si>
    <t>福岡朝鮮初級学校　附属幼稚園　別注</t>
  </si>
  <si>
    <t>ﾁｮｳｾﾝﾖｳﾁｴﾝ</t>
  </si>
  <si>
    <t>朝鮮幼稚園　別注</t>
  </si>
  <si>
    <t>2025/09/02 16:20:33</t>
  </si>
  <si>
    <t>15102</t>
  </si>
  <si>
    <t>福岡朝鮮初級学校</t>
  </si>
  <si>
    <t>ﾌｸｵｶﾁｮｳｾﾝｼｮｷｭｳｶﾞｯｺｳ</t>
  </si>
  <si>
    <t>朝鮮幼稚園　小学校</t>
  </si>
  <si>
    <t>2025/09/02 16:20:48</t>
  </si>
  <si>
    <t>15200</t>
  </si>
  <si>
    <t>油山幼稚園</t>
  </si>
  <si>
    <t>ｱﾌﾞﾗﾔﾏﾖｳﾁｴﾝ</t>
  </si>
  <si>
    <t>814-0155</t>
  </si>
  <si>
    <t>福岡県福岡市城南区東油山４丁目3-13</t>
  </si>
  <si>
    <t>092-863-6221</t>
  </si>
  <si>
    <t>092-863-6222</t>
  </si>
  <si>
    <t>2017/07/05 12:57:20</t>
  </si>
  <si>
    <t>15201</t>
  </si>
  <si>
    <t>油山幼稚園　別注</t>
  </si>
  <si>
    <t>ｱﾌﾞﾗﾔﾏﾖｳﾁｴﾝ ﾍﾞﾂﾁｭｳ</t>
  </si>
  <si>
    <t>油山幼稚園（別注）</t>
  </si>
  <si>
    <t>2018/06/22 19:21:17</t>
  </si>
  <si>
    <t>15300</t>
  </si>
  <si>
    <t>長丘幼稚園</t>
  </si>
  <si>
    <t>ﾅｶﾞｵｶﾖｳﾁｴﾝ</t>
  </si>
  <si>
    <t>福岡市南区長丘2-23-10</t>
  </si>
  <si>
    <t>092-511-1550</t>
  </si>
  <si>
    <t>092-511-1593</t>
  </si>
  <si>
    <t>2017/09/16 9:31:07</t>
  </si>
  <si>
    <t>15400</t>
  </si>
  <si>
    <t>すみれ保育園</t>
  </si>
  <si>
    <t>ｽﾐﾚﾎｲｸｴﾝ</t>
  </si>
  <si>
    <t>814-0134</t>
  </si>
  <si>
    <t>福岡市城南区飯倉1丁目10-18</t>
  </si>
  <si>
    <t>092-831-0729</t>
  </si>
  <si>
    <t>092-831-0732</t>
  </si>
  <si>
    <t>2018/01/05 11:19:09</t>
  </si>
  <si>
    <t>15500</t>
  </si>
  <si>
    <t>社会福祉法人　松月保育園</t>
  </si>
  <si>
    <t>ｼｬｶｲﾌｸｼﾎｳｼﾞﾝｼｮｳｹﾞﾂﾎｲｸｴﾝ</t>
  </si>
  <si>
    <t>松月保育園</t>
  </si>
  <si>
    <t>福岡市博多区住吉4-16-7</t>
  </si>
  <si>
    <t>092-441-4570</t>
  </si>
  <si>
    <t>230</t>
  </si>
  <si>
    <t>2018/02/14 15:00:27</t>
  </si>
  <si>
    <t>15600</t>
  </si>
  <si>
    <t>ちゃれんじくらぶ</t>
  </si>
  <si>
    <t>ﾁｬﾚﾝｼﾞｸﾗﾌﾞ</t>
  </si>
  <si>
    <t>福岡県春日市昇町</t>
  </si>
  <si>
    <t>3-196-1F</t>
  </si>
  <si>
    <t>050-3134-5234</t>
  </si>
  <si>
    <t>2018/07/17 16:15:42</t>
  </si>
  <si>
    <t>15700</t>
  </si>
  <si>
    <t>BeePopインターナショナルキンダーガーテン</t>
  </si>
  <si>
    <t>BeePopｲﾝﾀｰﾅｼｮﾅﾙｷﾝﾀﾞｰｶﾞｰﾃﾝ</t>
  </si>
  <si>
    <t>BeePopキンダーガーテン</t>
  </si>
  <si>
    <t>福岡県福岡市東区名島3丁目51-21</t>
  </si>
  <si>
    <t>クリスタル＆リゾートスカイプレミア１F</t>
  </si>
  <si>
    <t>092-672-6371</t>
  </si>
  <si>
    <t>2023/04/22 11:04:14</t>
  </si>
  <si>
    <t>15701</t>
  </si>
  <si>
    <t>名島BeePop保育園　別注</t>
  </si>
  <si>
    <t xml:space="preserve">ﾅｼﾞﾏﾋﾞｰﾎﾟｯﾌﾟﾎｲｸｴﾝﾍﾞｯﾁｭｳ </t>
  </si>
  <si>
    <t>名島BeePop①</t>
  </si>
  <si>
    <t>2020/02/25 16:14:08</t>
  </si>
  <si>
    <t>15702</t>
  </si>
  <si>
    <t>BeePopインターナショナルプリスクール</t>
  </si>
  <si>
    <t>BeePopｲﾝﾀｰﾅｼｮﾅﾙﾌﾟﾘｽｸｰﾙ</t>
  </si>
  <si>
    <t>BeePopｲﾝﾀｰﾅｼｮﾅﾙﾌﾟﾘｽｸ</t>
  </si>
  <si>
    <t>福岡県福岡市東区名島2丁目25-1</t>
  </si>
  <si>
    <t>092-682-8072</t>
  </si>
  <si>
    <t>092-985-4392</t>
  </si>
  <si>
    <t>30011</t>
  </si>
  <si>
    <t>2021/06/21 15:35:42</t>
  </si>
  <si>
    <t>15703</t>
  </si>
  <si>
    <t>2019/12/27 15:02:48</t>
  </si>
  <si>
    <t>15704</t>
  </si>
  <si>
    <t>BeePopＥｎｇｌｉｓｈ　千早校</t>
  </si>
  <si>
    <t>BeePopEnglish ﾁﾊﾔｺｳ</t>
  </si>
  <si>
    <t>BeePopEnglish　千早</t>
  </si>
  <si>
    <t>2021/03/25 15:31:35</t>
  </si>
  <si>
    <t>15705</t>
  </si>
  <si>
    <t>BeePopＥｎｇｌｉｓｈ　今宿校</t>
  </si>
  <si>
    <t>BeePopEnglish ｲﾏｼﾞｭｸｺｳ</t>
  </si>
  <si>
    <t>BeePopEnglish　今宿校</t>
  </si>
  <si>
    <t>2021/03/24 9:37:09</t>
  </si>
  <si>
    <t>15800</t>
  </si>
  <si>
    <t>筑紫野市立山家幼稚園</t>
  </si>
  <si>
    <t>ﾁｸｼﾉｼﾘﾂﾔﾏｴﾖｳﾁｴﾝ</t>
  </si>
  <si>
    <t>山家幼稚園</t>
  </si>
  <si>
    <t>818-0003</t>
  </si>
  <si>
    <t>福岡県筑紫野市大字山家4341番地</t>
  </si>
  <si>
    <t>092-926-1283</t>
  </si>
  <si>
    <t>2018/10/24 16:12:03</t>
  </si>
  <si>
    <t>15801</t>
  </si>
  <si>
    <t>2019/02/27 11:39:16</t>
  </si>
  <si>
    <t>15802</t>
  </si>
  <si>
    <t>筑紫野市立山家幼稚園　先生</t>
  </si>
  <si>
    <t>ﾁｸｼﾉｼﾘﾂﾔﾏｴﾖｳﾁｴﾝ ｾﾝｾｲ</t>
  </si>
  <si>
    <t>2019/05/08 13:22:13</t>
  </si>
  <si>
    <t>15900</t>
  </si>
  <si>
    <t>ミニーズ</t>
  </si>
  <si>
    <t>ﾐﾆｰｽﾞ</t>
  </si>
  <si>
    <t>2018/12/21 15:47:37</t>
  </si>
  <si>
    <t>16000</t>
  </si>
  <si>
    <t>合同会社　フレックス（ハーモニー）</t>
  </si>
  <si>
    <t>ｺﾞｳﾄﾞｳｶｲｼｬ ﾌﾚｯｸｽ(ﾊｰﾓﾆｰ)</t>
  </si>
  <si>
    <t>フレックス（ハーモニー）</t>
  </si>
  <si>
    <t>大野城市南ヶ丘5丁目8-1</t>
  </si>
  <si>
    <t>092-287-1436</t>
  </si>
  <si>
    <t>092-287-2036</t>
  </si>
  <si>
    <t>2019/01/29 12:30:52</t>
  </si>
  <si>
    <t>16100</t>
  </si>
  <si>
    <t>社会福祉法人　田隈会　若杉保育園</t>
  </si>
  <si>
    <t>ｼｬｶｲﾌｸｼﾎｳｼﾞﾝ ﾀｸﾞﾏｸﾏｶｲ ﾜｶｽｷﾞﾎｲｸ</t>
  </si>
  <si>
    <t>若杉保育園</t>
  </si>
  <si>
    <t>8140163</t>
  </si>
  <si>
    <t>福岡市早良区干隈5丁目23-27</t>
  </si>
  <si>
    <t>092-861-0470</t>
  </si>
  <si>
    <t>480</t>
  </si>
  <si>
    <t>2023/02/08 7:00:51</t>
  </si>
  <si>
    <t>16200</t>
  </si>
  <si>
    <t>みんなの保育園</t>
  </si>
  <si>
    <t>ﾐﾝﾅﾉﾎｲｸｴﾝ</t>
  </si>
  <si>
    <t>那珂川市中原2-156</t>
  </si>
  <si>
    <t>092-951-2300</t>
  </si>
  <si>
    <t>2019/09/02 14:45:16</t>
  </si>
  <si>
    <t>ｽﾏｲﾙｷｯｽﾞ</t>
  </si>
  <si>
    <t>福岡県福岡市博多区住吉5-18-7</t>
  </si>
  <si>
    <t>第２山城ビル２F</t>
  </si>
  <si>
    <t>092-409-6032</t>
  </si>
  <si>
    <t>2025/09/02 16:20:59</t>
  </si>
  <si>
    <t>16302</t>
  </si>
  <si>
    <t>スマイルキッズ　別注</t>
  </si>
  <si>
    <t>ｽﾏｲﾙｷｯｽﾞ ﾍﾞｯﾁｭｳ</t>
  </si>
  <si>
    <t>2025/09/02 16:21:10</t>
  </si>
  <si>
    <t>16400</t>
  </si>
  <si>
    <t>ラビキッズワールド　はかた保育園</t>
  </si>
  <si>
    <t>ﾗﾋﾞｷｯｽﾞﾜｰﾙﾄﾞ ﾊｶﾀﾎｲｸｴﾝ</t>
  </si>
  <si>
    <t>ラビｷｯｽﾞﾜｰﾙﾄﾞ</t>
  </si>
  <si>
    <t>812-0025</t>
  </si>
  <si>
    <t>福岡市博多区店屋町1-35　</t>
  </si>
  <si>
    <t>博多三井ビル2号館2Ｆ</t>
  </si>
  <si>
    <t>092-263-5201</t>
  </si>
  <si>
    <t>092-263-5202</t>
  </si>
  <si>
    <t>2020/02/18 13:31:13</t>
  </si>
  <si>
    <t>16500</t>
  </si>
  <si>
    <t>博多の森保育園</t>
  </si>
  <si>
    <t>ﾊｶﾀﾉﾓﾘﾎｲｸｴﾝ</t>
  </si>
  <si>
    <t>811-2232</t>
  </si>
  <si>
    <t>福岡県糟屋郡志免町別府西2-23-25</t>
  </si>
  <si>
    <t>092-937-2673</t>
  </si>
  <si>
    <t>2020/04/30 11:27:08</t>
  </si>
  <si>
    <t>16600</t>
  </si>
  <si>
    <t>×　学校法人　大原幼稚園</t>
  </si>
  <si>
    <t>ｶﾞｯｺｳﾎｳｼﾞﾝ ｵｵﾊﾗﾖｳﾁｴﾝ</t>
  </si>
  <si>
    <t>×　大原幼稚園</t>
  </si>
  <si>
    <t>814-0023</t>
  </si>
  <si>
    <t>福岡市早良区原団地1-1</t>
  </si>
  <si>
    <t>092-831-4157</t>
  </si>
  <si>
    <t>092-831-5168</t>
  </si>
  <si>
    <t>2025/11/17 11:46:55</t>
  </si>
  <si>
    <t>16602</t>
  </si>
  <si>
    <t>×　学校法人　大原幼稚園　ちびっこクラブ</t>
  </si>
  <si>
    <t>ｵｵﾊﾗﾖｳﾁｴﾝ ﾁﾋﾞｯｺｸﾗﾌﾞ</t>
  </si>
  <si>
    <t>×　ちびっこクラブ</t>
  </si>
  <si>
    <t>2025/11/17 11:47:12</t>
  </si>
  <si>
    <t>16700</t>
  </si>
  <si>
    <t>光應寺保育園</t>
  </si>
  <si>
    <t>ｺｳｵｳｼﾞﾎｲｸｴﾝ</t>
  </si>
  <si>
    <t>812-0017</t>
  </si>
  <si>
    <t>福岡市博多区美野島2丁目6-31</t>
  </si>
  <si>
    <t>092-441-9715</t>
  </si>
  <si>
    <t>2020/09/09 9:05:21</t>
  </si>
  <si>
    <t>学校法人清光学園　宝幼稚園</t>
  </si>
  <si>
    <t>ﾀｶﾗ</t>
  </si>
  <si>
    <t>816-0807</t>
  </si>
  <si>
    <t>福岡県春日市宝町4-14-1</t>
  </si>
  <si>
    <t>092-591-2414</t>
  </si>
  <si>
    <t>092-591-2415</t>
  </si>
  <si>
    <t>2021/06/14 10:51:42</t>
  </si>
  <si>
    <t>16900</t>
  </si>
  <si>
    <t>社会福祉法人　ゆりの会　あさひ保育園</t>
  </si>
  <si>
    <t>ｱｻﾋﾎｲｸ</t>
  </si>
  <si>
    <t>あさひ保育園</t>
  </si>
  <si>
    <t>814-0144</t>
  </si>
  <si>
    <t>福岡市城南区梅林4丁目5-27</t>
  </si>
  <si>
    <t>092-874-2388</t>
  </si>
  <si>
    <t>2022/01/21 13:35:42</t>
  </si>
  <si>
    <t>17000</t>
  </si>
  <si>
    <t>飯塚らいむ保育園</t>
  </si>
  <si>
    <t>ｲｲｽﾞｶﾗｲﾑﾎｲｸｴﾝ</t>
  </si>
  <si>
    <t>820-0001</t>
  </si>
  <si>
    <t>福岡県飯塚市鯰田2425-207</t>
  </si>
  <si>
    <t>0948-25-6266</t>
  </si>
  <si>
    <t>2022/02/09 11:27:47</t>
  </si>
  <si>
    <t>17100</t>
  </si>
  <si>
    <t>恵美保育園</t>
  </si>
  <si>
    <t>ｴﾐﾎｲｸｴﾝ</t>
  </si>
  <si>
    <t>福岡県福岡市南区大橋2丁目23-20</t>
  </si>
  <si>
    <t>092-551-2548</t>
  </si>
  <si>
    <t>2022/04/27 9:22:13</t>
  </si>
  <si>
    <t>17200</t>
  </si>
  <si>
    <t>南片江保育園</t>
  </si>
  <si>
    <t>ﾐﾅﾐｶﾀｴﾎｲｸｴﾝ</t>
  </si>
  <si>
    <t>814-0143</t>
  </si>
  <si>
    <t>福岡県福岡市城南区南片江</t>
  </si>
  <si>
    <t>6-11-7</t>
  </si>
  <si>
    <t>092-407-1885</t>
  </si>
  <si>
    <t>2022/06/01 14:20:24</t>
  </si>
  <si>
    <t>17300</t>
  </si>
  <si>
    <t>粕屋わかば保育園</t>
  </si>
  <si>
    <t>ｶｽﾔ ﾜｶﾊﾞﾎｲｸｴﾝ</t>
  </si>
  <si>
    <t>811-2310</t>
  </si>
  <si>
    <t>福岡県粕屋郡粕屋町花ヶ浦1丁目6-1</t>
  </si>
  <si>
    <t>092-939-6111</t>
  </si>
  <si>
    <t>092-939-6115</t>
  </si>
  <si>
    <t>2025/09/08 11:31:57</t>
  </si>
  <si>
    <t>17400</t>
  </si>
  <si>
    <t>学校法人福岡幼児学園　紅葉幼稚園</t>
  </si>
  <si>
    <t>ﾓﾐｼﾞﾖｳﾁｴﾝ</t>
  </si>
  <si>
    <t>紅葉幼稚園</t>
  </si>
  <si>
    <t>福岡県福岡市早良区田村6-21-7</t>
  </si>
  <si>
    <t>092-801-7916</t>
  </si>
  <si>
    <t>2022/07/07 12:06:39</t>
  </si>
  <si>
    <t>17402</t>
  </si>
  <si>
    <t>紅葉幼稚園　　（外税）</t>
  </si>
  <si>
    <t>2025/11/04 15:20:19</t>
  </si>
  <si>
    <t>17500</t>
  </si>
  <si>
    <t>日の里西保育園</t>
  </si>
  <si>
    <t>ﾋﾉｻﾄﾆｼﾎｲｸｴﾝ</t>
  </si>
  <si>
    <t>福岡県宗像市日の里9丁目12-1</t>
  </si>
  <si>
    <t>0940-37-2078</t>
  </si>
  <si>
    <t>0940-36-5132</t>
  </si>
  <si>
    <t>2022/08/01 14:10:13</t>
  </si>
  <si>
    <t>ｼｬｲﾝｽﾀｰｷｯｽﾞ</t>
  </si>
  <si>
    <t>811-2246</t>
  </si>
  <si>
    <t>福岡県糟屋郡志免町志免451-1</t>
  </si>
  <si>
    <t>092-936-5510</t>
  </si>
  <si>
    <t>2024/11/22 12:44:03</t>
  </si>
  <si>
    <t>17700</t>
  </si>
  <si>
    <t>恵愛保育園</t>
  </si>
  <si>
    <t>811-4143</t>
  </si>
  <si>
    <t>福岡県宗像市三郎丸1丁目11-28</t>
  </si>
  <si>
    <t>0940-32-3265</t>
  </si>
  <si>
    <t>0940-35-3992</t>
  </si>
  <si>
    <t>2024/07/05 11:03:19</t>
  </si>
  <si>
    <t>17702</t>
  </si>
  <si>
    <t>恵愛保育園　先生用</t>
  </si>
  <si>
    <t>ｹｲｱｲﾎｲｸｴﾝ ｾﾝｾｲﾖｳ</t>
  </si>
  <si>
    <t>恵愛保育園　先生</t>
  </si>
  <si>
    <t>2025/09/02 16:21:43</t>
  </si>
  <si>
    <t>17800</t>
  </si>
  <si>
    <t>花畑ガーデン保育園</t>
  </si>
  <si>
    <t>ﾊﾅﾊﾀｶﾞｰﾃﾞﾝﾎｲｸｴﾝ</t>
  </si>
  <si>
    <t>811-1356</t>
  </si>
  <si>
    <t>福岡市南区花畑4丁目9-25</t>
  </si>
  <si>
    <t>092-981-1704</t>
  </si>
  <si>
    <t>2022/08/29 11:10:23</t>
  </si>
  <si>
    <t>17900</t>
  </si>
  <si>
    <t>福岡東子ども発達センターさくら園</t>
  </si>
  <si>
    <t>ﾌｸｵｶﾋｶﾞｼｺﾄﾞﾓﾊｯﾀﾂｾﾝﾀｰ ｻｸﾗｴﾝ</t>
  </si>
  <si>
    <t>さくら園</t>
  </si>
  <si>
    <t>811-0206</t>
  </si>
  <si>
    <t>福岡市東区雁の巣1丁目6-10</t>
  </si>
  <si>
    <t>092-692-5987</t>
  </si>
  <si>
    <t>092-692-5988</t>
  </si>
  <si>
    <t>2022/12/01 14:50:56</t>
  </si>
  <si>
    <t>18000</t>
  </si>
  <si>
    <t>こゆ保育園</t>
  </si>
  <si>
    <t>ｺﾕﾎｲｸｴﾝ</t>
  </si>
  <si>
    <t>816-0941</t>
  </si>
  <si>
    <t>福岡県大野城市東大利1-7-10</t>
  </si>
  <si>
    <t>092-286-9217</t>
  </si>
  <si>
    <t>2022/11/25 9:49:53</t>
  </si>
  <si>
    <t>18100</t>
  </si>
  <si>
    <t>アース保育園　六本松</t>
  </si>
  <si>
    <t>ｱｰｽﾎｲｸｴﾝ ﾛｯﾎﾟﾝﾏﾂ</t>
  </si>
  <si>
    <t>アース保育園</t>
  </si>
  <si>
    <t>福岡市中央区六本松2丁目</t>
  </si>
  <si>
    <t>12-25　1F</t>
  </si>
  <si>
    <t>092-715-2666</t>
  </si>
  <si>
    <t>2022/12/26 10:40:12</t>
  </si>
  <si>
    <t>18200</t>
  </si>
  <si>
    <t>しいのみ学園</t>
  </si>
  <si>
    <t>ｼｲﾉﾐｶﾞｸｴﾝ</t>
  </si>
  <si>
    <t>811-1302</t>
  </si>
  <si>
    <t>福岡市南区井尻1丁目37-12</t>
  </si>
  <si>
    <t>092-572-7519</t>
  </si>
  <si>
    <t>2025/09/08 11:31:30</t>
  </si>
  <si>
    <t>18300</t>
  </si>
  <si>
    <t>カトリック光丘幼稚園</t>
  </si>
  <si>
    <t>ｶﾄﾘｯｸﾋｶﾘｶﾞｵｶﾖｳﾁｴﾝ</t>
  </si>
  <si>
    <t>カトリック光丘</t>
  </si>
  <si>
    <t>812-0874</t>
  </si>
  <si>
    <t>福岡市博多区光丘町2-1-25</t>
  </si>
  <si>
    <t>0925732231</t>
  </si>
  <si>
    <t>092-573-8130</t>
  </si>
  <si>
    <t>2023/04/03 15:41:15</t>
  </si>
  <si>
    <t>18301</t>
  </si>
  <si>
    <t>カトリック光丘幼稚園（別注）</t>
  </si>
  <si>
    <t>ｶﾄﾘｯｸﾋｶﾘｶﾞｵｶﾖｳﾁｴﾝ()ﾍﾞｯﾁｭｳ</t>
  </si>
  <si>
    <t>092-581-0570</t>
  </si>
  <si>
    <t>2023/02/27 10:24:10</t>
  </si>
  <si>
    <t>18400</t>
  </si>
  <si>
    <t>福岡中央保育園</t>
  </si>
  <si>
    <t>ﾌｸｵｶﾁｭｳｵｳﾎｲｸｴﾝ</t>
  </si>
  <si>
    <t>810-0003</t>
  </si>
  <si>
    <t>福岡市中央区春吉3丁目26-19</t>
  </si>
  <si>
    <t>092-739-7070</t>
  </si>
  <si>
    <t>2023/04/26 13:59:55</t>
  </si>
  <si>
    <t>ｺﾄﾊﾞﾉﾓﾘﾌﾟﾘｽｸｰﾙ</t>
  </si>
  <si>
    <t>福岡市博多区山王2-12-21</t>
  </si>
  <si>
    <t>092-292-2304</t>
  </si>
  <si>
    <t>2025/09/08 11:34:27</t>
  </si>
  <si>
    <t>ｼﾝｷﾝｸﾞｷｯｽﾞ</t>
  </si>
  <si>
    <t>福岡市東区香椎照葉3-2-5　2階</t>
  </si>
  <si>
    <t>092-673-0783</t>
  </si>
  <si>
    <t>092-692-4692</t>
  </si>
  <si>
    <t>2025/09/30 14:23:33</t>
  </si>
  <si>
    <t>18700</t>
  </si>
  <si>
    <t>はばたく保育園</t>
  </si>
  <si>
    <t>ﾊﾊﾞﾀｸﾎｲｸｴﾝ</t>
  </si>
  <si>
    <t>815-0031</t>
  </si>
  <si>
    <t>福岡市南区清水2丁目7-7</t>
  </si>
  <si>
    <t>092-552-8837</t>
  </si>
  <si>
    <t>2025/09/08 11:34:40</t>
  </si>
  <si>
    <t>18800</t>
  </si>
  <si>
    <t>浄水通り幼児園</t>
  </si>
  <si>
    <t>ｼﾞｮｳｽｲﾄﾞｵﾘﾖｳｼﾞｴﾝ</t>
  </si>
  <si>
    <t>810-0029</t>
  </si>
  <si>
    <t>福岡市中央区浄水町4-26</t>
  </si>
  <si>
    <t>092-523-4456</t>
  </si>
  <si>
    <t>2023/03/01 15:19:55</t>
  </si>
  <si>
    <t>サンシャインイングリッシュスクール</t>
  </si>
  <si>
    <t>ｻﾝｼｬｲﾝｲﾝｸﾞﾘｯｼｭｽｸｰﾙ</t>
  </si>
  <si>
    <t>福岡市南区長住2-22-12　おとぎビル2F</t>
  </si>
  <si>
    <t>092-231-9083</t>
  </si>
  <si>
    <t>2025/09/02 16:23:01</t>
  </si>
  <si>
    <t>19000</t>
  </si>
  <si>
    <t>レバノン幼稚園</t>
  </si>
  <si>
    <t>ﾚﾊﾞﾉﾝﾖｳﾁｴﾝ</t>
  </si>
  <si>
    <t>812-0873</t>
  </si>
  <si>
    <t>福岡市博多区西春町</t>
  </si>
  <si>
    <t>1丁目1番37号</t>
  </si>
  <si>
    <t>092-581-0528</t>
  </si>
  <si>
    <t>092-581-0055</t>
  </si>
  <si>
    <t>2023/06/20 13:27:56</t>
  </si>
  <si>
    <t>19001</t>
  </si>
  <si>
    <t>レバノン幼稚園　別注</t>
  </si>
  <si>
    <t>ﾚﾊﾞﾉﾝﾖｳﾁｴﾝ ﾍﾞｯﾁｭｳ</t>
  </si>
  <si>
    <t>2023/07/12 10:50:40</t>
  </si>
  <si>
    <t>コーナーズインターナショナルスクール</t>
  </si>
  <si>
    <t>ｺｰﾅｰｽﾞｲﾝﾀｰﾅｼｮﾅﾙｽｸｰﾙ</t>
  </si>
  <si>
    <t>福岡市早良区百道浜3-9-33</t>
  </si>
  <si>
    <t>グランドメゾン百道浜オーシャン＆フォレスト１F</t>
  </si>
  <si>
    <t>092-834-8776</t>
  </si>
  <si>
    <t>092-400-6466</t>
  </si>
  <si>
    <t>2025/09/02 16:23:14</t>
  </si>
  <si>
    <t>19200</t>
  </si>
  <si>
    <t>学校法人淡窓学園　筑紫野幼稚園</t>
  </si>
  <si>
    <t>ﾁｸｼﾉﾖｳﾁｴﾝ</t>
  </si>
  <si>
    <t>筑紫野幼稚園</t>
  </si>
  <si>
    <t>818-0025</t>
  </si>
  <si>
    <t>福岡県筑紫野市筑紫626</t>
  </si>
  <si>
    <t>092-926-4976</t>
  </si>
  <si>
    <t>2023/07/11 13:29:05</t>
  </si>
  <si>
    <t>19300</t>
  </si>
  <si>
    <t>学校法人　筑紫野中央幼稚園</t>
  </si>
  <si>
    <t>ﾁｸｼﾉﾁｭｳｵｳﾖｳﾁｴﾝ</t>
  </si>
  <si>
    <t>筑紫野中央幼稚園</t>
  </si>
  <si>
    <t>福岡県筑紫野市上古賀3-13-1</t>
  </si>
  <si>
    <t>092-924-6909</t>
  </si>
  <si>
    <t>2023/07/11 13:30:57</t>
  </si>
  <si>
    <t>19400</t>
  </si>
  <si>
    <t>月隈小学校　学童</t>
  </si>
  <si>
    <t>ﾂｷｸﾞﾏｼｮｳｶﾞｯｺｳ ｶﾞ</t>
  </si>
  <si>
    <t>月隈小　学童</t>
  </si>
  <si>
    <t>2024/01/10 12:00:07</t>
  </si>
  <si>
    <t>19500</t>
  </si>
  <si>
    <t>さくら保育園</t>
  </si>
  <si>
    <t>ｻｸﾗﾎｲｸｴﾝ</t>
  </si>
  <si>
    <t>818-0064</t>
  </si>
  <si>
    <t>福岡県筑紫野市常松339-6</t>
  </si>
  <si>
    <t>092-926-6226</t>
  </si>
  <si>
    <t>2024/02/01 14:31:03</t>
  </si>
  <si>
    <t>19502</t>
  </si>
  <si>
    <t>2024/03/01 15:24:11</t>
  </si>
  <si>
    <t>19600</t>
  </si>
  <si>
    <t>みやたけ保育園</t>
  </si>
  <si>
    <t>ﾐﾔﾀｹﾎｲｸｴﾝ</t>
  </si>
  <si>
    <t>815-0004</t>
  </si>
  <si>
    <t>福岡市南区高木2-16-5</t>
  </si>
  <si>
    <t>092-572-4585</t>
  </si>
  <si>
    <t>092-572-4586</t>
  </si>
  <si>
    <t>2024/02/02 13:33:06</t>
  </si>
  <si>
    <t>ﾅﾅｲﾛｷｯｽﾞ</t>
  </si>
  <si>
    <t>811-3118</t>
  </si>
  <si>
    <t>古賀市新久保1-15-45</t>
  </si>
  <si>
    <t>092-692-7213</t>
  </si>
  <si>
    <t>092-692-7214</t>
  </si>
  <si>
    <t>2025/07/08 9:59:52</t>
  </si>
  <si>
    <t>19750</t>
  </si>
  <si>
    <t>放課後等ディサービス　バカンス</t>
  </si>
  <si>
    <t>ﾊﾞｶﾝｽ</t>
  </si>
  <si>
    <t>バカンス</t>
  </si>
  <si>
    <t>古賀市新久保1-15-44</t>
  </si>
  <si>
    <t>070-5078-3786</t>
  </si>
  <si>
    <t>2025/09/02 16:23:45</t>
  </si>
  <si>
    <t>19800</t>
  </si>
  <si>
    <t>児童発達支援事業所　すてっぷ</t>
  </si>
  <si>
    <t>ｼﾞﾄﾞｳﾊｯﾀﾂｼｴﾝｼﾞｷﾞｮｳｼｮ ｽﾃｯﾌﾟ</t>
  </si>
  <si>
    <t>すてっぷ</t>
  </si>
  <si>
    <t>816-0806</t>
  </si>
  <si>
    <t>春日市光町2-177-3</t>
  </si>
  <si>
    <t>092-284-5088</t>
  </si>
  <si>
    <t>2025/09/02 16:23:59</t>
  </si>
  <si>
    <t>19802</t>
  </si>
  <si>
    <t>児童発達支援事業所　すてっぷ　先生</t>
  </si>
  <si>
    <t>ｼﾞﾄﾞｳﾊｯﾀﾂｼｴﾝｼﾞｷﾞｮｳｼｮ ｽﾃｯﾌﾟ ｾﾝｾ</t>
  </si>
  <si>
    <t>すてっぷ　先生</t>
  </si>
  <si>
    <t>2024/09/04 15:57:49</t>
  </si>
  <si>
    <t>イーズィーピーズィーイングリッシュ保育園</t>
  </si>
  <si>
    <t>ｲｰｽﾞｨ</t>
  </si>
  <si>
    <t>春日市天神山1-180</t>
  </si>
  <si>
    <t>092-575-6839</t>
  </si>
  <si>
    <t xml:space="preserve">ご担当者ウェブ様（080-6403-3936）
</t>
  </si>
  <si>
    <t>2025/09/10 14:13:05</t>
  </si>
  <si>
    <t>20000</t>
  </si>
  <si>
    <t>2017/09/20 14:06:47</t>
  </si>
  <si>
    <t>20100</t>
  </si>
  <si>
    <t>愛宕けいあい保育園</t>
  </si>
  <si>
    <t>ｱﾀｺﾞｹｲｱｲﾎｲｸｴﾝ</t>
  </si>
  <si>
    <t>819-0015</t>
  </si>
  <si>
    <t>福岡市西区愛宕4丁目2-28</t>
  </si>
  <si>
    <t>092-892-8925</t>
  </si>
  <si>
    <t>092-892-8927</t>
  </si>
  <si>
    <t>2024/07/31 16:01:57</t>
  </si>
  <si>
    <t>ｻﾗﾔﾏﾎｲｸｴﾝ</t>
  </si>
  <si>
    <t>811-1365</t>
  </si>
  <si>
    <t>福岡市南区皿山3丁目11-14</t>
  </si>
  <si>
    <t>キャッスル皿山１階</t>
  </si>
  <si>
    <t>092-555-4366</t>
  </si>
  <si>
    <t>2025/05/08 10:30:07</t>
  </si>
  <si>
    <t>20300</t>
  </si>
  <si>
    <t>クレシュ六本松</t>
  </si>
  <si>
    <t>ｸﾚｼｭﾛｯﾎﾟﾝﾏﾂ</t>
  </si>
  <si>
    <t>810-0045</t>
  </si>
  <si>
    <t>福岡市中央区草香江2丁目1</t>
  </si>
  <si>
    <t>092-716-7080</t>
  </si>
  <si>
    <t>092-716-7081</t>
  </si>
  <si>
    <t>2024/12/16 17:15:21</t>
  </si>
  <si>
    <t>ｱﾝｸﾗｽ</t>
  </si>
  <si>
    <t>福岡県春日市日の出町2丁目27-205号</t>
  </si>
  <si>
    <t>092-791-2272</t>
  </si>
  <si>
    <t>2025/06/23 9:40:23</t>
  </si>
  <si>
    <t>20500</t>
  </si>
  <si>
    <t>学校法人　福岡聖マリア学園　二日市カトリック幼稚園</t>
  </si>
  <si>
    <t>ﾌﾂｶｲﾁｶﾄﾘｯｸﾖｳﾁｴﾝ</t>
  </si>
  <si>
    <t>二日市カトリック幼稚園</t>
  </si>
  <si>
    <t>福岡県太宰府市朱雀4丁目14-2</t>
  </si>
  <si>
    <t>092-924-5100</t>
  </si>
  <si>
    <t>092-915-5109</t>
  </si>
  <si>
    <t>2025/07/17 15:15:58</t>
  </si>
  <si>
    <t>20600</t>
  </si>
  <si>
    <t>こころ保育園</t>
  </si>
  <si>
    <t>ｺｺﾛﾎｲｸｴﾝ</t>
  </si>
  <si>
    <t>福岡県春日市須玖南5-12-1F</t>
  </si>
  <si>
    <t>092-558-8833</t>
  </si>
  <si>
    <t>264</t>
  </si>
  <si>
    <t>2025/10/23 17:18:43</t>
  </si>
  <si>
    <t>ﾂﾙﾀﾎｲｸｴﾝ</t>
  </si>
  <si>
    <t>811-1352</t>
  </si>
  <si>
    <t>福岡市南区鶴田3-1-7</t>
  </si>
  <si>
    <t>ビラ・コースト102号</t>
  </si>
  <si>
    <t>092-710-3316</t>
  </si>
  <si>
    <t>2025/09/22 11:00:40</t>
  </si>
  <si>
    <t>20702</t>
  </si>
  <si>
    <t>つるた保育園　先生</t>
  </si>
  <si>
    <t>ﾂﾙﾀﾎｲｸｴﾝ ｾﾝｾｲ</t>
  </si>
  <si>
    <t>8111352</t>
  </si>
  <si>
    <t>2025/10/09 11:52:45</t>
  </si>
  <si>
    <t>20800</t>
  </si>
  <si>
    <t>ひとは保育園</t>
  </si>
  <si>
    <t>ﾋﾄﾊﾎｲｸｴﾝ</t>
  </si>
  <si>
    <t>福岡県那珂川市中原3-115　ラルクアンシエル1階</t>
  </si>
  <si>
    <t>092-952-8511</t>
  </si>
  <si>
    <t>2025/10/18 9:39:13</t>
  </si>
  <si>
    <t>30000</t>
  </si>
  <si>
    <t>福岡セントラル　マリア</t>
  </si>
  <si>
    <t>ﾌｸｵｶｾﾝﾄﾗﾙ ﾏﾘｱ</t>
  </si>
  <si>
    <t>セントラル　マリア</t>
  </si>
  <si>
    <t>2017/09/20 13:34:14</t>
  </si>
  <si>
    <t>30001</t>
  </si>
  <si>
    <t>福岡セントラル　はこぶね</t>
  </si>
  <si>
    <t>ﾌｸｵｶｾﾝﾄﾗﾙ ﾊｺﾌﾞﾈ</t>
  </si>
  <si>
    <t>セントラル　はこぶね</t>
  </si>
  <si>
    <t>2017/12/04 9:43:48</t>
  </si>
  <si>
    <t>30002</t>
  </si>
  <si>
    <t>福岡セントラル　舞の里</t>
  </si>
  <si>
    <t>ﾌｸｵｶｾﾝﾄﾗﾙ ﾏｲﾉｻﾄ</t>
  </si>
  <si>
    <t>セントラル　舞の里</t>
  </si>
  <si>
    <t>2017/09/20 13:34:48</t>
  </si>
  <si>
    <t>福岡セントラル　春日やよい</t>
  </si>
  <si>
    <t>ﾌｸｵｶｾﾝﾄﾗﾙ ﾔﾖｲ</t>
  </si>
  <si>
    <t>セントラル　やよい</t>
  </si>
  <si>
    <t>2017/09/20 13:35:01</t>
  </si>
  <si>
    <t>福岡セントラル　筑紫野</t>
  </si>
  <si>
    <t>ﾌｸｵｶｾﾝﾄﾗﾙ ﾁｸｼﾉ</t>
  </si>
  <si>
    <t>セントラル　筑紫野</t>
  </si>
  <si>
    <t>2017/09/20 13:35:19</t>
  </si>
  <si>
    <t>セントラル　BeePop</t>
  </si>
  <si>
    <t>2019/03/25 15:44:50</t>
  </si>
  <si>
    <t>30006</t>
  </si>
  <si>
    <t>基山バディ認定こども園</t>
  </si>
  <si>
    <t>ｷﾔﾏﾊﾞﾃﾞｨﾆﾝﾃｲｺﾄﾞﾓｴﾝ</t>
  </si>
  <si>
    <t>2023/10/30 14:02:42</t>
  </si>
  <si>
    <t>30007</t>
  </si>
  <si>
    <t>福岡セントラル　ぶろっこりーの森</t>
  </si>
  <si>
    <t>ﾌｸｵｶｾﾝﾄﾗﾙ ﾌﾞﾛｯｺﾘｰﾉﾓﾘ</t>
  </si>
  <si>
    <t>セントラル　ぶろ森</t>
  </si>
  <si>
    <t>5896155</t>
  </si>
  <si>
    <t>5896156</t>
  </si>
  <si>
    <t>2024/05/01 10:17:40</t>
  </si>
  <si>
    <t>30008</t>
  </si>
  <si>
    <t>福岡セントラル　下白水保育園</t>
  </si>
  <si>
    <t>ﾌｸｵｶｾﾝﾄﾗﾙ ｼﾓｼﾛｳｽﾞﾎｲｸ</t>
  </si>
  <si>
    <t>セントラル　下白水</t>
  </si>
  <si>
    <t>2020/08/20 15:09:03</t>
  </si>
  <si>
    <t>30009</t>
  </si>
  <si>
    <t>スマイルぶろっこりー</t>
  </si>
  <si>
    <t>ｽﾏｲﾙﾌﾞﾛｯｺﾘｰ</t>
  </si>
  <si>
    <t>2022/05/23 13:56:55</t>
  </si>
  <si>
    <t>福岡セントラル　にじの森保育園</t>
  </si>
  <si>
    <t>ﾆｼﾞﾉﾓﾘﾎｲｸｴﾝ</t>
  </si>
  <si>
    <t>セントラル　にじの森</t>
  </si>
  <si>
    <t>春日氏昇町4丁目79</t>
  </si>
  <si>
    <t>092-592-9300</t>
  </si>
  <si>
    <t>2025/09/08 11:36:41</t>
  </si>
  <si>
    <t>福岡セントラル　博多東幼稚園</t>
  </si>
  <si>
    <t>ﾊｶﾀﾋｶﾞｼﾖｳﾁｴﾝ</t>
  </si>
  <si>
    <t>セントラル　博多東</t>
  </si>
  <si>
    <t>2023/04/11 16:54:16</t>
  </si>
  <si>
    <t>30012</t>
  </si>
  <si>
    <t>あいくる保育園</t>
  </si>
  <si>
    <t>ｱｲｸﾙﾎｲｸｴﾝ</t>
  </si>
  <si>
    <t>811-1323</t>
  </si>
  <si>
    <t>福岡市南区弥永3-3-1</t>
  </si>
  <si>
    <t>092-588-0004</t>
  </si>
  <si>
    <t>2025/09/08 11:31:04</t>
  </si>
  <si>
    <t>30013</t>
  </si>
  <si>
    <t>福岡セントラル　ふくろうの森保育園</t>
  </si>
  <si>
    <t xml:space="preserve">ﾌｸﾛｳﾉﾓﾘﾎｲｸｴﾝ </t>
  </si>
  <si>
    <t>セントラル　ふくろうの森</t>
  </si>
  <si>
    <t>那珂川市中原2-124-2Fオーデブラン博多南</t>
  </si>
  <si>
    <t>092-953-7800</t>
  </si>
  <si>
    <t>2025/09/08 11:31:14</t>
  </si>
  <si>
    <t>30014</t>
  </si>
  <si>
    <t>福岡セントラル　バディ博多南</t>
  </si>
  <si>
    <t>ｾﾝﾄﾗﾙ ﾊﾞﾃﾞｨﾊｶﾀﾐﾅﾐﾌｸｵｶ</t>
  </si>
  <si>
    <t>セントラル　バディ博多南</t>
  </si>
  <si>
    <t>2024/03/19 17:27:10</t>
  </si>
  <si>
    <t>30020</t>
  </si>
  <si>
    <t>内浜保育園</t>
  </si>
  <si>
    <t>ｳﾁﾊﾏﾎｲｸｴﾝ</t>
  </si>
  <si>
    <t>819-0001</t>
  </si>
  <si>
    <t>福岡市西区小戸4丁目13-10</t>
  </si>
  <si>
    <t>092-881-3037</t>
  </si>
  <si>
    <t>092-894-2992</t>
  </si>
  <si>
    <t>2023/12/15 18:00:19</t>
  </si>
  <si>
    <t>×　学校法人　清洋学園　泉ヶ丘幼稚園</t>
  </si>
  <si>
    <t>ｲｽﾞﾐｶﾞｵｶｹ</t>
  </si>
  <si>
    <t>×　泉ヶ丘幼稚園</t>
  </si>
  <si>
    <t>816-0853</t>
  </si>
  <si>
    <t>春日市泉2丁目2番</t>
  </si>
  <si>
    <t>092-574-4154</t>
  </si>
  <si>
    <t>092-574-4157</t>
  </si>
  <si>
    <t>2025/11/17 11:47:28</t>
  </si>
  <si>
    <t>30022</t>
  </si>
  <si>
    <t>×　泉ヶ丘幼稚園　ぺんぎん組</t>
  </si>
  <si>
    <t>ｲｽﾞﾐｶﾞｵｶﾖｳﾁｴﾝ ﾍﾟﾝｷﾞﾝｸﾐ</t>
  </si>
  <si>
    <t>×　泉ヶ丘幼稚園ぺんぎん組</t>
  </si>
  <si>
    <t>2025/11/17 11:47:35</t>
  </si>
  <si>
    <t>30023</t>
  </si>
  <si>
    <t>×　泉ヶ丘幼稚園　ホームクラス</t>
  </si>
  <si>
    <t>ｲｽﾞﾐｶﾞｵｶ ﾎｰﾑｸﾗｽ</t>
  </si>
  <si>
    <t>2025/11/17 11:48:01</t>
  </si>
  <si>
    <t>30024</t>
  </si>
  <si>
    <t>×　泉ヶ丘幼稚園　ホームクラス　先生</t>
  </si>
  <si>
    <t>ｲｽﾞﾐｶﾞｵｶ ﾎｰﾑｸﾗｽ ｾﾝｾｲ</t>
  </si>
  <si>
    <t>泉×　ヶ丘幼稚園　ホームクラス</t>
  </si>
  <si>
    <t>2025/11/17 11:48:09</t>
  </si>
  <si>
    <t>40000</t>
  </si>
  <si>
    <t>2024/07/18 12:04:16</t>
  </si>
  <si>
    <t>40050</t>
  </si>
  <si>
    <t>2024/07/17 17:28:57</t>
  </si>
  <si>
    <t>学校法人　清洋学園　泉ヶ丘幼稚園</t>
  </si>
  <si>
    <t>ｶﾞｯｺｳﾎｳｼﾞﾝ ｾｲﾖｳｶﾞｸｴﾝ ｲｽﾞﾐｶﾞｵｶｹ</t>
  </si>
  <si>
    <t>2024/10/29 14:24:40</t>
  </si>
  <si>
    <t>泉ヶ丘幼稚園　ぺんぎん組</t>
  </si>
  <si>
    <t>2024/07/17 17:31:21</t>
  </si>
  <si>
    <t>40103</t>
  </si>
  <si>
    <t>泉ヶ丘幼稚園　ホームクラス</t>
  </si>
  <si>
    <t>2024/07/17 17:31:53</t>
  </si>
  <si>
    <t>40104</t>
  </si>
  <si>
    <t>泉ヶ丘幼稚園　ホームクラス　先生</t>
  </si>
  <si>
    <t>泉ヶ丘幼稚園　ホームクラス先生</t>
  </si>
  <si>
    <t>2025/07/15 10:28:16</t>
  </si>
  <si>
    <t>40150</t>
  </si>
  <si>
    <t>学校法人　大原幼稚園</t>
  </si>
  <si>
    <t>大原幼稚園</t>
  </si>
  <si>
    <t>-3</t>
  </si>
  <si>
    <t>2025/11/17 11:20:56</t>
  </si>
  <si>
    <t>40152</t>
  </si>
  <si>
    <t>学校法人　大原幼稚園　ちびっこクラブ</t>
  </si>
  <si>
    <t>ｶﾞｯｺｳﾎｳｼﾞﾝ ｵｵﾊﾗﾖｳﾁｴﾝ ﾁﾋﾞｯｺｸﾗﾌﾞ</t>
  </si>
  <si>
    <t>大原幼稚園　ちびっこクラブ</t>
  </si>
  <si>
    <t>2024/07/17 17:33:26</t>
  </si>
  <si>
    <t>2024/07/17 17:33:45</t>
  </si>
  <si>
    <t>40201</t>
  </si>
  <si>
    <t>春日小鳩幼稚園（別注）</t>
  </si>
  <si>
    <t>2024/07/17 17:34:12</t>
  </si>
  <si>
    <t>2024/07/17 17:34:33</t>
  </si>
  <si>
    <t>40300</t>
  </si>
  <si>
    <t>GREEN　HILLSほいくえん</t>
  </si>
  <si>
    <t>ｸﾞﾘｰﾝﾋﾙｽﾞﾎｲｸｴﾝS</t>
  </si>
  <si>
    <t>812-0893</t>
  </si>
  <si>
    <t>福岡市博多区那珂6丁目23-1ららぽーと4F</t>
  </si>
  <si>
    <t>092-586-6703</t>
  </si>
  <si>
    <t>2024/07/10 15:00:39</t>
  </si>
  <si>
    <t>学校法人　石田学園　山王幼稚園</t>
  </si>
  <si>
    <t>サンノウ</t>
  </si>
  <si>
    <t>2024/07/17 17:35:05</t>
  </si>
  <si>
    <t>40351</t>
  </si>
  <si>
    <t>山王幼稚園　（別注）</t>
  </si>
  <si>
    <t>2024/07/17 17:36:45</t>
  </si>
  <si>
    <t>福岡インターナショナルアイスクール幼稚園</t>
  </si>
  <si>
    <t>ｱｲｽｸｰﾙﾖｳﾁｴﾝ</t>
  </si>
  <si>
    <t>819-0041</t>
  </si>
  <si>
    <t>福岡市西区拾六町1丁目15-5</t>
  </si>
  <si>
    <t>092-892-8155</t>
  </si>
  <si>
    <t>092-892-8055</t>
  </si>
  <si>
    <t>2025/04/11 14:57:07</t>
  </si>
  <si>
    <t>40450</t>
  </si>
  <si>
    <t>恵星幼稚園</t>
  </si>
  <si>
    <t>ｹｲｾｲﾖｳﾁｴﾝ</t>
  </si>
  <si>
    <t>福岡県春日市春日原北町4丁目23番地</t>
  </si>
  <si>
    <t>092-501-7635</t>
  </si>
  <si>
    <t>092-501-7645</t>
  </si>
  <si>
    <t>2025/04/14 13:21:28</t>
  </si>
  <si>
    <t>40500</t>
  </si>
  <si>
    <t>一般社団法人　やまもも会　どんぐり保育園</t>
  </si>
  <si>
    <t>ｲｯﾊﾟﾝｼｬﾀﾞﾝﾎｳｼﾞﾝﾔﾏﾓﾓｶｲﾄﾞﾝｸﾞﾘﾎｲｸ</t>
  </si>
  <si>
    <t>どんぐり保育園</t>
  </si>
  <si>
    <t>那珂川市西隈1丁目10-16</t>
  </si>
  <si>
    <t>092-953-0655</t>
  </si>
  <si>
    <t>2025/03/15 16:05:15</t>
  </si>
  <si>
    <t>40550</t>
  </si>
  <si>
    <t>福岡市中央区草香江2丁目15-5</t>
  </si>
  <si>
    <t>2025/04/11 8:54:00</t>
  </si>
  <si>
    <t>40600</t>
  </si>
  <si>
    <t>いずみ幼稚園</t>
  </si>
  <si>
    <t>ｲｽﾞﾖｳﾁｴﾝ</t>
  </si>
  <si>
    <t>809-0022</t>
  </si>
  <si>
    <t>福岡市西区福重1-4-20</t>
  </si>
  <si>
    <t>092-881-1452</t>
  </si>
  <si>
    <t>2025/09/02 16:25:12</t>
  </si>
  <si>
    <t>40650</t>
  </si>
  <si>
    <t>くりのみ保育園</t>
  </si>
  <si>
    <t>ｸﾘﾉﾐﾎｲｸｴﾝ</t>
  </si>
  <si>
    <t>811-1201</t>
  </si>
  <si>
    <t>那珂川市片縄1丁目68</t>
  </si>
  <si>
    <t>092-953-5675</t>
  </si>
  <si>
    <t>2025/09/08 11:28:56</t>
  </si>
  <si>
    <t>オハナ保育園　長住</t>
  </si>
  <si>
    <t>ｵﾊﾅﾎｲｸｴﾝ ﾅｶﾞｽﾞﾐ</t>
  </si>
  <si>
    <t>福岡県南区長住3丁目70番</t>
  </si>
  <si>
    <t>092-984-3878</t>
  </si>
  <si>
    <t>2025/10/09 12:59:32</t>
  </si>
  <si>
    <t>オハナ保育園　春日</t>
  </si>
  <si>
    <t>ｵﾊﾅﾎｲｸｴﾝ ｶｽｶﾞ</t>
  </si>
  <si>
    <t>福岡県春日市下白水南3丁目101番</t>
  </si>
  <si>
    <t>092-985-4207</t>
  </si>
  <si>
    <t>2025/10/09 13:04:39</t>
  </si>
  <si>
    <t>オハナ保育園　一の谷</t>
  </si>
  <si>
    <t>ｵﾊﾅﾎｲｸｴﾝ ｲﾁﾉﾀﾆ</t>
  </si>
  <si>
    <t>816-0852</t>
  </si>
  <si>
    <t>福岡県春日市一の谷1丁目74番</t>
  </si>
  <si>
    <t>092-558-9841</t>
  </si>
  <si>
    <t>2025/10/09 13:23:15</t>
  </si>
  <si>
    <t>商品ＣＤ</t>
  </si>
  <si>
    <t>商品区分</t>
  </si>
  <si>
    <t>商品名</t>
  </si>
  <si>
    <t>商品予定名</t>
  </si>
  <si>
    <t>売価単価</t>
  </si>
  <si>
    <t>先生用商品ＣＤ</t>
  </si>
  <si>
    <t>弁当区分</t>
  </si>
  <si>
    <t>出力区分</t>
  </si>
  <si>
    <t>パン箱入数</t>
  </si>
  <si>
    <t>クラス分け名称1</t>
  </si>
  <si>
    <t>クラス分けグラム出力区分1</t>
  </si>
  <si>
    <t>クラス分け名称2</t>
  </si>
  <si>
    <t>クラス分けグラム出力区分2</t>
  </si>
  <si>
    <t>クラス分け名称3</t>
  </si>
  <si>
    <t>クラス分けグラム出力区分3</t>
  </si>
  <si>
    <t>クラス分け名称4</t>
  </si>
  <si>
    <t>クラス分けグラム出力区分4</t>
  </si>
  <si>
    <t>クラス分け名称5</t>
  </si>
  <si>
    <t>クラス分けグラム出力区分5</t>
  </si>
  <si>
    <t>修正担当者ＣＤ</t>
  </si>
  <si>
    <t>修正日</t>
  </si>
  <si>
    <t>弁当　先生</t>
  </si>
  <si>
    <t>赤　先生</t>
  </si>
  <si>
    <t>弁当　先生　実習生　</t>
  </si>
  <si>
    <t>赤　実習生</t>
  </si>
  <si>
    <t>弁当　先生　保護者</t>
  </si>
  <si>
    <t>赤　保護者</t>
  </si>
  <si>
    <t>キャラ</t>
  </si>
  <si>
    <t>ごはん</t>
  </si>
  <si>
    <t>キャラ　先生</t>
  </si>
  <si>
    <t>弁当　生徒</t>
  </si>
  <si>
    <t>キャラ（ふたば）</t>
  </si>
  <si>
    <t>ごはん用保温箱</t>
  </si>
  <si>
    <t>キャラ（ふたば）　先生</t>
  </si>
  <si>
    <t>ビーフシチュー　園児</t>
  </si>
  <si>
    <t>ビーフシチュー</t>
  </si>
  <si>
    <t>皿</t>
  </si>
  <si>
    <t>ビーフシチュー　先生</t>
  </si>
  <si>
    <t>弁当　園児　スープ付き</t>
  </si>
  <si>
    <t>オレンジ</t>
  </si>
  <si>
    <t>弁当　先生　スープ付き</t>
  </si>
  <si>
    <t>弁当　前日キャンセル30％</t>
  </si>
  <si>
    <t>弁当　前日キャンセル50％</t>
  </si>
  <si>
    <t>弁当　当日キャンセル50％</t>
  </si>
  <si>
    <t>弁当　当日キャンセル100％</t>
  </si>
  <si>
    <t>弁当　園児　予備</t>
  </si>
  <si>
    <t>弁当　園児　検食</t>
  </si>
  <si>
    <t>パン弁当　園児</t>
  </si>
  <si>
    <t>赤パン　　</t>
  </si>
  <si>
    <t>パン弁当　先生</t>
  </si>
  <si>
    <t>赤パン　　先生</t>
  </si>
  <si>
    <t>キャラパン　</t>
  </si>
  <si>
    <t>キャラパン　　先生</t>
  </si>
  <si>
    <t>パン　先生</t>
  </si>
  <si>
    <t>パンカップ　先生</t>
  </si>
  <si>
    <t>お誕生会　園児</t>
  </si>
  <si>
    <t>お誕生会　</t>
  </si>
  <si>
    <t>ランチ</t>
  </si>
  <si>
    <t>お誕生会　先生</t>
  </si>
  <si>
    <t>七夕ランチ　園児</t>
  </si>
  <si>
    <t>七夕ランチ　</t>
  </si>
  <si>
    <t>七夕ランチ　先生</t>
  </si>
  <si>
    <t>クリスマス　園児</t>
  </si>
  <si>
    <t>クリスマス</t>
  </si>
  <si>
    <t>クリスマス　先生</t>
  </si>
  <si>
    <t>おひなさま　園児</t>
  </si>
  <si>
    <t>おひなさま　</t>
  </si>
  <si>
    <t>おひなさま　先生</t>
  </si>
  <si>
    <t>カレー　園児</t>
  </si>
  <si>
    <t>カレー</t>
  </si>
  <si>
    <t>ルウ</t>
  </si>
  <si>
    <t>カレー　先生</t>
  </si>
  <si>
    <t>ハヤシ　園児</t>
  </si>
  <si>
    <t>ハヤシ</t>
  </si>
  <si>
    <t>ハヤシ　先生</t>
  </si>
  <si>
    <t>シチュー　園児</t>
  </si>
  <si>
    <t>シチュー</t>
  </si>
  <si>
    <t>シチュー　先生</t>
  </si>
  <si>
    <t>カップ</t>
  </si>
  <si>
    <t>スープ　園児</t>
  </si>
  <si>
    <t>スープ</t>
  </si>
  <si>
    <t>おわん</t>
  </si>
  <si>
    <t>スープ　先生</t>
  </si>
  <si>
    <t>ハーモニィ　園児</t>
  </si>
  <si>
    <t>ハーモニィ</t>
  </si>
  <si>
    <t>ちゃわん　カップ</t>
  </si>
  <si>
    <t>ハーモニィ　先生</t>
  </si>
  <si>
    <t>ピクニック　先生</t>
  </si>
  <si>
    <t>クッキング　園児</t>
  </si>
  <si>
    <t>クッキング</t>
  </si>
  <si>
    <t>クッキング　先生</t>
  </si>
  <si>
    <t>バイキング　園児</t>
  </si>
  <si>
    <t>バイキング</t>
  </si>
  <si>
    <t>おにぎり①</t>
  </si>
  <si>
    <t>おにぎり②</t>
  </si>
  <si>
    <t>麺類</t>
  </si>
  <si>
    <t>おかず①</t>
  </si>
  <si>
    <t>おかず②</t>
  </si>
  <si>
    <t>バイキング　先生</t>
  </si>
  <si>
    <t>豚汁　園児</t>
  </si>
  <si>
    <t>豚汁</t>
  </si>
  <si>
    <t>豚汁　先生</t>
  </si>
  <si>
    <t>寿司飯　園児</t>
  </si>
  <si>
    <t>寿司飯</t>
  </si>
  <si>
    <t>寿司飯　先生</t>
  </si>
  <si>
    <t>ごはん　園児</t>
  </si>
  <si>
    <t>ごはん　先生</t>
  </si>
  <si>
    <t>おにぎり　園児</t>
  </si>
  <si>
    <t>おにぎり　先生</t>
  </si>
  <si>
    <t>試食　</t>
  </si>
  <si>
    <t>試食　先生</t>
  </si>
  <si>
    <t>朝食　園児</t>
  </si>
  <si>
    <t>朝食</t>
  </si>
  <si>
    <t>朝食　先生</t>
  </si>
  <si>
    <t>昼食　園児</t>
  </si>
  <si>
    <t>昼食</t>
  </si>
  <si>
    <t>昼食　先生</t>
  </si>
  <si>
    <t>夕食　園児</t>
  </si>
  <si>
    <t>夕食</t>
  </si>
  <si>
    <t>夕食　先生</t>
  </si>
  <si>
    <t>デザート　園児</t>
  </si>
  <si>
    <t>デザート　</t>
  </si>
  <si>
    <t>デザート　先生</t>
  </si>
  <si>
    <t>ケーキ　園児</t>
  </si>
  <si>
    <t>ケーキ　</t>
  </si>
  <si>
    <t>ケーキ　先生</t>
  </si>
  <si>
    <t>アーモンド小魚</t>
  </si>
  <si>
    <t>味付小魚</t>
  </si>
  <si>
    <t>アップルジュース</t>
  </si>
  <si>
    <t>オレンジジュース</t>
  </si>
  <si>
    <t>野菜ジュース</t>
  </si>
  <si>
    <t>ミニりんごジュース</t>
  </si>
  <si>
    <t>プチコンク</t>
  </si>
  <si>
    <t>お茶</t>
  </si>
  <si>
    <t>牛乳</t>
  </si>
  <si>
    <t>ひなあられ</t>
  </si>
  <si>
    <t>いり大豆</t>
  </si>
  <si>
    <t>フルーツカップ</t>
  </si>
  <si>
    <t>みかんゼリー</t>
  </si>
  <si>
    <t>節分豆</t>
  </si>
  <si>
    <t>サラダカップ</t>
  </si>
  <si>
    <t>もち米</t>
  </si>
  <si>
    <t>そうめん</t>
  </si>
  <si>
    <t>ごはんとスープ</t>
  </si>
  <si>
    <t>おちゃわん</t>
  </si>
  <si>
    <t>お弁当</t>
  </si>
  <si>
    <t>消費税</t>
  </si>
  <si>
    <t>チーズ</t>
  </si>
  <si>
    <t>さつま芋</t>
  </si>
  <si>
    <t>すいか</t>
  </si>
  <si>
    <t>サンドイッチ</t>
  </si>
  <si>
    <t>ジャム</t>
  </si>
  <si>
    <t>パン</t>
  </si>
  <si>
    <t>ピーナッツバター</t>
  </si>
  <si>
    <t>マヨネーズ</t>
  </si>
  <si>
    <t>レタス</t>
  </si>
  <si>
    <t>チェリー缶</t>
  </si>
  <si>
    <t>パイン缶</t>
  </si>
  <si>
    <t>もも缶</t>
  </si>
  <si>
    <t>みかん缶</t>
  </si>
  <si>
    <t>おかずパック　園児</t>
  </si>
  <si>
    <t>おかずパック</t>
  </si>
  <si>
    <t>からあげ</t>
  </si>
  <si>
    <t>からあげとポテト</t>
  </si>
  <si>
    <t>クリームコンフェ</t>
  </si>
  <si>
    <t>クレープ</t>
  </si>
  <si>
    <t>チキンナゲット</t>
  </si>
  <si>
    <t>たこやき</t>
  </si>
  <si>
    <t>ドーナッツ　</t>
  </si>
  <si>
    <t>ドーナツ</t>
  </si>
  <si>
    <t>プチドック</t>
  </si>
  <si>
    <t>フランクフルト</t>
  </si>
  <si>
    <t>ポテト</t>
  </si>
  <si>
    <t>焼きそば</t>
  </si>
  <si>
    <t>実習生</t>
  </si>
  <si>
    <t>保護者様用</t>
  </si>
  <si>
    <t>消毒液</t>
  </si>
  <si>
    <t>フルーツ</t>
  </si>
  <si>
    <t>ケーキ</t>
  </si>
  <si>
    <t>特別ランチ　園児用</t>
  </si>
  <si>
    <t>特別ランチ</t>
  </si>
  <si>
    <t>ルー用保温箱</t>
  </si>
  <si>
    <t>　　　　　用保温箱</t>
  </si>
  <si>
    <t>アーモンドミニフィッシュ</t>
  </si>
  <si>
    <t>ｱｰﾓﾝﾄﾞﾐﾆﾌｨｯｼｭ</t>
  </si>
  <si>
    <t>ミニフィッシュ</t>
  </si>
  <si>
    <t>１０ｇチーズ</t>
  </si>
  <si>
    <t>型抜きチーズ</t>
  </si>
  <si>
    <t>おかわり用保温箱　２K</t>
  </si>
  <si>
    <t>おかわり用保温箱</t>
  </si>
  <si>
    <t>おかわり用保温箱　３K</t>
  </si>
  <si>
    <t>おかわり用保温箱　４K</t>
  </si>
  <si>
    <t>おかわり用保温箱　５K</t>
  </si>
  <si>
    <t>おかわり用保温箱　１K</t>
  </si>
  <si>
    <t>おかわり用保温箱　１．５K</t>
  </si>
  <si>
    <t>おわかり用保温箱　２．５K</t>
  </si>
  <si>
    <t>おかわり用保温箱　２．５K</t>
  </si>
  <si>
    <t>ウィンナー</t>
  </si>
  <si>
    <t>唐揚</t>
  </si>
  <si>
    <t>くま皿</t>
  </si>
  <si>
    <t>つけもの</t>
  </si>
  <si>
    <t>つぼ漬け</t>
  </si>
  <si>
    <t>福神漬け</t>
  </si>
  <si>
    <t>ピピピチーズ</t>
  </si>
  <si>
    <t>ﾋﾟﾋﾟﾋﾟﾁｰｽﾞ</t>
  </si>
  <si>
    <t>ゼリー</t>
  </si>
  <si>
    <t>すりおろしゼリー</t>
  </si>
  <si>
    <t>すりおろしｾﾞﾘｰ</t>
  </si>
  <si>
    <t>　.</t>
  </si>
  <si>
    <t>ちゃわん</t>
  </si>
  <si>
    <t>節分豆　QBB福豆5ｇ</t>
  </si>
  <si>
    <t>給食用福豆5ｇ</t>
  </si>
  <si>
    <t>節分豆　肥後福豆10ｇ</t>
  </si>
  <si>
    <t>給食用福豆10ｇ</t>
  </si>
  <si>
    <t>節分豆　肥後福豆ﾐｯｸｽ10ｇ</t>
  </si>
  <si>
    <t>肥後福豆ﾐｯｸｽ10ｇ</t>
  </si>
  <si>
    <t>節分豆　肥後リンカケ10ｇ</t>
  </si>
  <si>
    <t>ミツヤB２０ｇ</t>
  </si>
  <si>
    <t>節分豆　ミツヤA２２ｇ</t>
  </si>
  <si>
    <t>ミツヤA３０ｇ</t>
  </si>
  <si>
    <t>節分豆　肥後煎り大豆</t>
  </si>
  <si>
    <t>肥後煎り大豆</t>
  </si>
  <si>
    <t>スパゲティ給食</t>
  </si>
  <si>
    <t>ｽﾊﾟｹﾞﾃｨ</t>
  </si>
  <si>
    <t>ﾐｰﾄｿｰｽ</t>
  </si>
  <si>
    <t>豚汁用保温箱</t>
  </si>
  <si>
    <t>どんぶり給食</t>
  </si>
  <si>
    <t>具材</t>
  </si>
  <si>
    <t>汁もの</t>
  </si>
  <si>
    <t>どんぶり</t>
  </si>
  <si>
    <t>コロッケ</t>
  </si>
  <si>
    <t>チキンカツ</t>
  </si>
  <si>
    <t>オムレツ</t>
  </si>
  <si>
    <t>とんかつ</t>
  </si>
  <si>
    <t>えだまめ</t>
  </si>
  <si>
    <t>お椀 ｶｯﾌﾟ 皿</t>
  </si>
  <si>
    <t>シューマイ</t>
  </si>
  <si>
    <t>もち</t>
  </si>
  <si>
    <t>給食セット</t>
  </si>
  <si>
    <t>食器</t>
  </si>
  <si>
    <t>主菜</t>
  </si>
  <si>
    <t>副菜</t>
  </si>
  <si>
    <t>スパゲティ</t>
  </si>
  <si>
    <t>ミートソース</t>
  </si>
  <si>
    <t>のり巻きおにぎり</t>
  </si>
  <si>
    <t>わかめおにぎり</t>
  </si>
  <si>
    <t>おかわり用おにぎり</t>
  </si>
  <si>
    <t>おかわり用半俵</t>
  </si>
  <si>
    <t>ドリンク</t>
  </si>
  <si>
    <t>麺</t>
  </si>
  <si>
    <t>汁物</t>
  </si>
  <si>
    <t>保温箱（大）</t>
  </si>
  <si>
    <t>保温箱（小）</t>
  </si>
  <si>
    <t>ルー保温箱（小）</t>
  </si>
  <si>
    <t>カレー皿</t>
  </si>
  <si>
    <t>先生カレー皿</t>
  </si>
  <si>
    <t>寸胴</t>
  </si>
  <si>
    <t>トレー</t>
  </si>
  <si>
    <t>しゃもじ</t>
  </si>
  <si>
    <t>お玉</t>
  </si>
  <si>
    <t>クリアケース</t>
  </si>
  <si>
    <t>パン箱</t>
  </si>
  <si>
    <t>くま</t>
  </si>
  <si>
    <t>ミッフィー</t>
  </si>
  <si>
    <t>ハムスター</t>
  </si>
  <si>
    <t>牛乳200ｍｌ</t>
  </si>
  <si>
    <t>パンランチ　園児</t>
  </si>
  <si>
    <t>パンランチ</t>
  </si>
  <si>
    <t>パンランチ　先生</t>
  </si>
  <si>
    <t>中仕切り</t>
  </si>
  <si>
    <t>お好み焼き</t>
  </si>
  <si>
    <t>レモンタルト</t>
  </si>
  <si>
    <t>シークワーシャーゼリー</t>
  </si>
  <si>
    <t>いちごクレープ</t>
  </si>
  <si>
    <t>すりおろしゼリー　もも</t>
  </si>
  <si>
    <t>すりおろしゼリー　りんご</t>
  </si>
  <si>
    <t>うどん　園児</t>
  </si>
  <si>
    <t>うどん</t>
  </si>
  <si>
    <t>うどんスープ</t>
  </si>
  <si>
    <t>うどん　先生</t>
  </si>
  <si>
    <t>懇親会子供用</t>
  </si>
  <si>
    <t>懇親会大人用</t>
  </si>
  <si>
    <t>お子様用</t>
  </si>
  <si>
    <t>おこさまよう</t>
  </si>
  <si>
    <t>委託</t>
  </si>
  <si>
    <t>生徒用　弁当</t>
  </si>
  <si>
    <t>ウインナーパン</t>
  </si>
  <si>
    <t>カレーパン</t>
  </si>
  <si>
    <t>天使のほっぺ</t>
  </si>
  <si>
    <t>キャロット紫芋パン</t>
  </si>
  <si>
    <t>食育うどん</t>
  </si>
  <si>
    <t>具材用保温箱</t>
  </si>
  <si>
    <t>スープ用保温箱</t>
  </si>
  <si>
    <t>食育うどん　先生</t>
  </si>
  <si>
    <t>食育巻き寿司　園児</t>
  </si>
  <si>
    <t>食育巻き寿司</t>
  </si>
  <si>
    <t>食育巻き寿司　</t>
  </si>
  <si>
    <t>食育巻き寿司　先生用</t>
  </si>
  <si>
    <t>食育巻き寿司　保護者用</t>
  </si>
  <si>
    <t>ハンバーグピザパン</t>
  </si>
  <si>
    <t>しましまチョコパン</t>
  </si>
  <si>
    <t>しましまメロンパン</t>
  </si>
  <si>
    <t>おにぎりパック</t>
  </si>
  <si>
    <t>焼きおにぎり</t>
  </si>
  <si>
    <t>スイートポテト</t>
  </si>
  <si>
    <t>食育　園児</t>
  </si>
  <si>
    <t>食育</t>
  </si>
  <si>
    <t>おかず③</t>
  </si>
  <si>
    <t>おかず④</t>
  </si>
  <si>
    <t>お皿</t>
  </si>
  <si>
    <t>送料</t>
  </si>
  <si>
    <t>食育　先生</t>
  </si>
  <si>
    <t>パック弁当　園児</t>
  </si>
  <si>
    <t>パック弁当</t>
  </si>
  <si>
    <t>パック弁当　先生</t>
  </si>
  <si>
    <t>ハム</t>
  </si>
  <si>
    <t>ガトーショコラ</t>
  </si>
  <si>
    <t>桜もち</t>
  </si>
  <si>
    <t>お弁当用袋</t>
  </si>
  <si>
    <t>食育サンドイッチ　園児</t>
  </si>
  <si>
    <t>食育サンドイッチ</t>
  </si>
  <si>
    <t>保温箱</t>
  </si>
  <si>
    <t>食育サンドイッチ　</t>
  </si>
  <si>
    <t>食育サンドイッチ　先生</t>
  </si>
  <si>
    <t>食育サンドイッチ　保護者さま</t>
  </si>
  <si>
    <t>節分豆　肥後りんかけ　10ｇ</t>
  </si>
  <si>
    <t>節分豆　肥後りんかけ10ｇ</t>
  </si>
  <si>
    <t>節分豆　給食用福豆10ｇ</t>
  </si>
  <si>
    <t>節分豆　10ｇ</t>
  </si>
  <si>
    <t>節分豆　肥後ﾐｯｸｽ10ｇ</t>
  </si>
  <si>
    <t>節分豆　ミツヤ２０ｇ</t>
  </si>
  <si>
    <t>節分豆　ミツヤ２２ｇ</t>
  </si>
  <si>
    <t>特別ランチ　先生用</t>
  </si>
  <si>
    <t>特別ランチ　</t>
  </si>
  <si>
    <t>夏祭り</t>
  </si>
  <si>
    <t>野菜</t>
  </si>
  <si>
    <t>肉</t>
  </si>
  <si>
    <t>ゼリー　園児</t>
  </si>
  <si>
    <t>値引き</t>
  </si>
  <si>
    <t>ひなあられセット</t>
  </si>
  <si>
    <t>ひなあられセット　先生</t>
  </si>
  <si>
    <t>ひなあられセット　先生用</t>
  </si>
  <si>
    <t>おかしセット　園児用</t>
  </si>
  <si>
    <t>おかしセット　</t>
  </si>
  <si>
    <t>おかしセット　先生用</t>
  </si>
  <si>
    <t>学童　飯有り</t>
  </si>
  <si>
    <t>学童　飯無し</t>
  </si>
  <si>
    <t>節分豆　肥後黒糖豆１０ｇ</t>
  </si>
  <si>
    <t>節分豆　ミツヤミックス１８ｇ</t>
  </si>
  <si>
    <t>お別れ会　園児</t>
  </si>
  <si>
    <t>お別れ会</t>
  </si>
  <si>
    <t>お別れ会　先生</t>
  </si>
  <si>
    <t>弁当　園児（満3歳児）</t>
  </si>
  <si>
    <t>弁当園児（満3歳児）</t>
  </si>
  <si>
    <t>補助教員</t>
  </si>
  <si>
    <t>とうもろこし</t>
  </si>
  <si>
    <t>配膳給食　先生</t>
  </si>
  <si>
    <t>配膳給食</t>
  </si>
  <si>
    <t>製造加工費</t>
  </si>
  <si>
    <t>配送費</t>
  </si>
  <si>
    <t>事務管理費</t>
  </si>
  <si>
    <t>メロンパン</t>
  </si>
  <si>
    <t>ロールパン</t>
  </si>
  <si>
    <t>クリスマス クッキー　園児</t>
  </si>
  <si>
    <t>クリスマス　クッキー</t>
  </si>
  <si>
    <t>クリスマス クッキー　先生</t>
  </si>
  <si>
    <t>クリスマス　クッキー　先生</t>
  </si>
  <si>
    <t>めん給食　園児</t>
  </si>
  <si>
    <t>めん給食　</t>
  </si>
  <si>
    <t>めん給食　先生</t>
  </si>
  <si>
    <t>ミルクロールパン</t>
  </si>
  <si>
    <t>おにぎりとスープ</t>
  </si>
  <si>
    <t>汁用保温箱　大</t>
  </si>
  <si>
    <t>どんぶり給食　園児</t>
  </si>
  <si>
    <t>どんぶり給食　先生</t>
  </si>
  <si>
    <t>調整</t>
  </si>
  <si>
    <t>チーズドッグ</t>
  </si>
  <si>
    <t>ワッフル</t>
  </si>
  <si>
    <t>たい焼き（あんこ）</t>
  </si>
  <si>
    <t>たい焼き（カスタード）</t>
  </si>
  <si>
    <t>プリン</t>
  </si>
  <si>
    <t>自園給食　園児</t>
  </si>
  <si>
    <t>自園給食</t>
  </si>
  <si>
    <t>自園給食　先生</t>
  </si>
  <si>
    <t>節分豆　ヨコイ福豆5ｇ</t>
  </si>
  <si>
    <t>節分豆　きなこボーロ福豆5ｇ</t>
  </si>
  <si>
    <t>節分豆　きなこぼーろ福豆5ｇ</t>
  </si>
  <si>
    <t>給食用きなこボーロ</t>
  </si>
  <si>
    <t>節分豆　ｽｲｰﾄﾎﾟﾃﾄ＆ﾌｨｯｼｭ</t>
  </si>
  <si>
    <t>ｽｲｰﾄﾎﾟﾃﾄ＆ﾌｨｯｼｭ</t>
  </si>
  <si>
    <t>ミツヤ節分豆10ｇ</t>
  </si>
  <si>
    <t>三種の福豆</t>
  </si>
  <si>
    <t>節分豆　豆まき用炒り大豆</t>
  </si>
  <si>
    <t>炒り大豆</t>
  </si>
  <si>
    <t>配膳ぶろ</t>
  </si>
  <si>
    <t>どこ食</t>
  </si>
  <si>
    <t>おかず</t>
  </si>
  <si>
    <t>ゼリー　先生</t>
  </si>
  <si>
    <t>もち米　先生</t>
  </si>
  <si>
    <t>給食振り替え分</t>
  </si>
  <si>
    <t>給食（夕食）</t>
  </si>
  <si>
    <t>給食（朝食）</t>
  </si>
  <si>
    <t>セントラル</t>
  </si>
  <si>
    <t>アジフライ</t>
  </si>
  <si>
    <t>包材</t>
  </si>
  <si>
    <t>●</t>
  </si>
  <si>
    <t>お客様ｺｰﾄﾞNo</t>
  </si>
  <si>
    <t>納　　品　　書　　（控）</t>
  </si>
  <si>
    <t>ママミール</t>
  </si>
  <si>
    <t>〒　811-1311</t>
  </si>
  <si>
    <t>福岡市南区横手2-9-13</t>
  </si>
  <si>
    <t>TEL：092-915-2300　FAX　092-915-2301</t>
  </si>
  <si>
    <t>下記の通り納品いたしましたのでご査収ください。</t>
  </si>
  <si>
    <t>品番・品名</t>
  </si>
  <si>
    <t>予定数量</t>
  </si>
  <si>
    <t>納品数量</t>
  </si>
  <si>
    <t>備考</t>
  </si>
  <si>
    <t>受領</t>
  </si>
  <si>
    <t>配送</t>
  </si>
  <si>
    <t>納　　品　　書</t>
  </si>
  <si>
    <t>摘要：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</si>
</sst>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0" tint="-4.9989318521683403E-2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4"/>
      <color theme="1"/>
      <name val="HGP創英角ｺﾞｼｯｸUB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9"/>
      <color theme="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>
      <alignment vertical="center"/>
    </xf>
    <xf numFmtId="0" fontId="0" fillId="0" borderId="16" xfId="0" applyBorder="1">
      <alignment vertical="center"/>
    </xf>
    <xf numFmtId="0" fontId="0" fillId="0" borderId="19" xfId="0" applyBorder="1">
      <alignment vertical="center"/>
    </xf>
    <xf numFmtId="0" fontId="0" fillId="0" borderId="22" xfId="0" applyBorder="1">
      <alignment vertical="center"/>
    </xf>
    <xf numFmtId="0" fontId="0" fillId="0" borderId="6" xfId="0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/>
    <xf numFmtId="0" fontId="0" fillId="0" borderId="19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0" xfId="0" applyFill="1">
      <alignment vertical="center"/>
    </xf>
    <xf numFmtId="0" fontId="0" fillId="0" borderId="23" xfId="0" applyBorder="1">
      <alignment vertical="center"/>
    </xf>
    <xf numFmtId="0" fontId="10" fillId="0" borderId="0" xfId="0" applyFont="1">
      <alignment vertical="center"/>
    </xf>
    <xf numFmtId="0" fontId="5" fillId="0" borderId="0" xfId="0" applyFont="1" applyAlignment="1"/>
    <xf numFmtId="0" fontId="13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 applyAlignment="1"/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22" fontId="0" fillId="0" borderId="0" xfId="0" applyNumberFormat="1">
      <alignment vertical="center"/>
    </xf>
    <xf numFmtId="0" fontId="16" fillId="0" borderId="0" xfId="0" applyFont="1">
      <alignment vertical="center"/>
    </xf>
    <xf numFmtId="0" fontId="0" fillId="0" borderId="4" xfId="0" applyBorder="1" applyAlignment="1">
      <alignment horizontal="right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4" xfId="0" applyBorder="1" applyAlignment="1"/>
    <xf numFmtId="0" fontId="0" fillId="4" borderId="5" xfId="0" applyFill="1" applyBorder="1" applyAlignment="1">
      <alignment horizontal="center" vertical="center"/>
    </xf>
    <xf numFmtId="0" fontId="0" fillId="0" borderId="3" xfId="0" applyBorder="1" applyAlignment="1"/>
    <xf numFmtId="0" fontId="0" fillId="0" borderId="23" xfId="0" applyBorder="1" applyAlignment="1">
      <alignment horizontal="left" vertical="center"/>
    </xf>
    <xf numFmtId="0" fontId="0" fillId="0" borderId="23" xfId="0" applyBorder="1" applyAlignment="1"/>
    <xf numFmtId="0" fontId="12" fillId="4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zoomScale="43" zoomScaleNormal="43" workbookViewId="0">
      <selection activeCell="D10" sqref="D10"/>
    </sheetView>
  </sheetViews>
  <sheetFormatPr defaultRowHeight="18" x14ac:dyDescent="0.45"/>
  <cols>
    <col min="1" max="1" width="16.69921875" style="1" customWidth="1"/>
    <col min="6" max="6" width="21.69921875" style="1" customWidth="1"/>
  </cols>
  <sheetData>
    <row r="1" spans="1:9" x14ac:dyDescent="0.45">
      <c r="A1" t="s">
        <v>0</v>
      </c>
      <c r="B1" t="s">
        <v>1</v>
      </c>
      <c r="C1" t="s">
        <v>2</v>
      </c>
      <c r="F1" t="s">
        <v>3</v>
      </c>
      <c r="G1">
        <v>24</v>
      </c>
      <c r="I1" t="s">
        <v>2</v>
      </c>
    </row>
    <row r="2" spans="1:9" x14ac:dyDescent="0.45">
      <c r="A2" t="s">
        <v>4</v>
      </c>
      <c r="B2" t="s">
        <v>5</v>
      </c>
      <c r="C2" t="s">
        <v>6</v>
      </c>
      <c r="F2" t="s">
        <v>7</v>
      </c>
      <c r="G2">
        <v>24</v>
      </c>
      <c r="I2" t="s">
        <v>2</v>
      </c>
    </row>
    <row r="3" spans="1:9" x14ac:dyDescent="0.45">
      <c r="A3" t="s">
        <v>8</v>
      </c>
      <c r="B3" t="s">
        <v>9</v>
      </c>
      <c r="C3" t="s">
        <v>10</v>
      </c>
      <c r="F3" t="str">
        <f t="shared" ref="F3:F13" si="0">IF(A1&lt;&gt;"",A1,"")</f>
        <v>赤</v>
      </c>
      <c r="G3" t="str">
        <f ca="1">IF(B1&lt;&gt;"",B1,
IF(F3&lt;&gt;"",
OFFSET(商品マスタ!$A$1,MATCH("*"&amp;F3&amp;"*",商品マスタ!D:D,0)-1,8),""))</f>
        <v>24</v>
      </c>
      <c r="I3" t="str">
        <f ca="1">IF(C1&lt;&gt;"",C1,
IF(F3&lt;&gt;"",
IF(COUNTIF(OFFSET(商品マスタ!$A$1,MATCH("*"&amp;F3&amp;"*",商品マスタ!D:D,0)-1,2),"*園児*"),
OFFSET(商品マスタ!$A$1,MATCH("*"&amp;F3&amp;"*",商品マスタ!D:D,0)-1,2),OFFSET(商品マスタ!$A$1,MATCH("*"&amp;F3&amp;"*",商品マスタ!D:D,0)-1,2)&amp;"　園児"),""))</f>
        <v>弁当　園児</v>
      </c>
    </row>
    <row r="4" spans="1:9" x14ac:dyDescent="0.45">
      <c r="A4" t="s">
        <v>11</v>
      </c>
      <c r="B4" t="s">
        <v>12</v>
      </c>
      <c r="C4" t="s">
        <v>13</v>
      </c>
      <c r="F4" t="str">
        <f t="shared" si="0"/>
        <v>パンカップ　</v>
      </c>
      <c r="G4" t="str">
        <f ca="1">IF(B2&lt;&gt;"",B2,
IF(F4&lt;&gt;"",
OFFSET(商品マスタ!$A$1,MATCH("*"&amp;F4&amp;"*",商品マスタ!D:D,0)-1,8),""))</f>
        <v>69</v>
      </c>
      <c r="I4" t="str">
        <f ca="1">IF(C2&lt;&gt;"",C2,
IF(F4&lt;&gt;"",
IF(COUNTIF(OFFSET(商品マスタ!$A$1,MATCH("*"&amp;F4&amp;"*",商品マスタ!D:D,0)-1,2),"*園児*"),
OFFSET(商品マスタ!$A$1,MATCH("*"&amp;F4&amp;"*",商品マスタ!D:D,0)-1,2),OFFSET(商品マスタ!$A$1,MATCH("*"&amp;F4&amp;"*",商品マスタ!D:D,0)-1,2)&amp;"　園児"),""))</f>
        <v>パン　園児</v>
      </c>
    </row>
    <row r="5" spans="1:9" x14ac:dyDescent="0.45">
      <c r="A5" t="s">
        <v>14</v>
      </c>
      <c r="F5" t="str">
        <f t="shared" si="0"/>
        <v>ピクニック</v>
      </c>
      <c r="G5" t="str">
        <f ca="1">IF(B3&lt;&gt;"",B3,
IF(F5&lt;&gt;"",
OFFSET(商品マスタ!$A$1,MATCH("*"&amp;F5&amp;"*",商品マスタ!D:D,0)-1,8),""))</f>
        <v>20</v>
      </c>
      <c r="I5" t="str">
        <f ca="1">IF(C3&lt;&gt;"",C3,
IF(F5&lt;&gt;"",
IF(COUNTIF(OFFSET(商品マスタ!$A$1,MATCH("*"&amp;F5&amp;"*",商品マスタ!D:D,0)-1,2),"*園児*"),
OFFSET(商品マスタ!$A$1,MATCH("*"&amp;F5&amp;"*",商品マスタ!D:D,0)-1,2),OFFSET(商品マスタ!$A$1,MATCH("*"&amp;F5&amp;"*",商品マスタ!D:D,0)-1,2)&amp;"　園児"),""))</f>
        <v>ピクニック　園児</v>
      </c>
    </row>
    <row r="6" spans="1:9" x14ac:dyDescent="0.45">
      <c r="A6"/>
      <c r="F6" t="str">
        <f t="shared" si="0"/>
        <v>配膳スマ</v>
      </c>
      <c r="G6" t="str">
        <f ca="1">IF(B4&lt;&gt;"",B4,
IF(F6&lt;&gt;"",
OFFSET(商品マスタ!$A$1,MATCH("*"&amp;F6&amp;"*",商品マスタ!D:D,0)-1,8),""))</f>
        <v>0</v>
      </c>
      <c r="I6" t="str">
        <f ca="1">IF(C4&lt;&gt;"",C4,
IF(F6&lt;&gt;"",
IF(COUNTIF(OFFSET(商品マスタ!$A$1,MATCH("*"&amp;F6&amp;"*",商品マスタ!D:D,0)-1,2),"*園児*"),
OFFSET(商品マスタ!$A$1,MATCH("*"&amp;F6&amp;"*",商品マスタ!D:D,0)-1,2),OFFSET(商品マスタ!$A$1,MATCH("*"&amp;F6&amp;"*",商品マスタ!D:D,0)-1,2)&amp;"　園児"),""))</f>
        <v>配膳給食　園児</v>
      </c>
    </row>
    <row r="7" spans="1:9" x14ac:dyDescent="0.45">
      <c r="A7"/>
      <c r="F7" t="str">
        <f t="shared" si="0"/>
        <v>どんぶり給</v>
      </c>
      <c r="G7">
        <f ca="1">IF(B5&lt;&gt;"",B5,
IF(F7&lt;&gt;"",
OFFSET(商品マスタ!$A$1,MATCH("*"&amp;F7&amp;"*",商品マスタ!D:D,0)-1,8),""))</f>
        <v>0</v>
      </c>
      <c r="I7" t="str">
        <f ca="1">IF(C5&lt;&gt;"",C5,
IF(F7&lt;&gt;"",
IF(COUNTIF(OFFSET(商品マスタ!$A$1,MATCH("*"&amp;F7&amp;"*",商品マスタ!D:D,0)-1,2),"*園児*"),
OFFSET(商品マスタ!$A$1,MATCH("*"&amp;F7&amp;"*",商品マスタ!D:D,0)-1,2),OFFSET(商品マスタ!$A$1,MATCH("*"&amp;F7&amp;"*",商品マスタ!D:D,0)-1,2)&amp;"　園児"),""))</f>
        <v>どんぶり給食　園児</v>
      </c>
    </row>
    <row r="8" spans="1:9" x14ac:dyDescent="0.45">
      <c r="A8"/>
      <c r="F8" t="str">
        <f t="shared" si="0"/>
        <v/>
      </c>
      <c r="G8" t="str">
        <f ca="1">IF(B6&lt;&gt;"",B6,
IF(F8&lt;&gt;"",
OFFSET(商品マスタ!$A$1,MATCH("*"&amp;F8&amp;"*",商品マスタ!D:D,0)-1,8),""))</f>
        <v/>
      </c>
      <c r="I8" t="str">
        <f ca="1">IF(C6&lt;&gt;"",C6,
IF(F8&lt;&gt;"",
IF(COUNTIF(OFFSET(商品マスタ!$A$1,MATCH("*"&amp;F8&amp;"*",商品マスタ!D:D,0)-1,2),"*園児*"),
OFFSET(商品マスタ!$A$1,MATCH("*"&amp;F8&amp;"*",商品マスタ!D:D,0)-1,2),OFFSET(商品マスタ!$A$1,MATCH("*"&amp;F8&amp;"*",商品マスタ!D:D,0)-1,2)&amp;"　園児"),""))</f>
        <v/>
      </c>
    </row>
    <row r="9" spans="1:9" x14ac:dyDescent="0.45">
      <c r="F9" t="str">
        <f t="shared" si="0"/>
        <v/>
      </c>
      <c r="G9" t="str">
        <f ca="1">IF(B7&lt;&gt;"",B7,
IF(F9&lt;&gt;"",
OFFSET(商品マスタ!$A$1,MATCH("*"&amp;F9&amp;"*",商品マスタ!D:D,0)-1,8),""))</f>
        <v/>
      </c>
      <c r="I9" t="str">
        <f ca="1">IF(C7&lt;&gt;"",C7,
IF(F9&lt;&gt;"",
IF(COUNTIF(OFFSET(商品マスタ!$A$1,MATCH("*"&amp;F9&amp;"*",商品マスタ!D:D,0)-1,2),"*園児*"),
OFFSET(商品マスタ!$A$1,MATCH("*"&amp;F9&amp;"*",商品マスタ!D:D,0)-1,2),OFFSET(商品マスタ!$A$1,MATCH("*"&amp;F9&amp;"*",商品マスタ!D:D,0)-1,2)&amp;"　園児"),""))</f>
        <v/>
      </c>
    </row>
    <row r="10" spans="1:9" x14ac:dyDescent="0.45">
      <c r="F10" t="str">
        <f t="shared" si="0"/>
        <v/>
      </c>
      <c r="G10" t="str">
        <f ca="1">IF(B8&lt;&gt;"",B8,
IF(F10&lt;&gt;"",
OFFSET(商品マスタ!$A$1,MATCH("*"&amp;F10&amp;"*",商品マスタ!D:D,0)-1,8),""))</f>
        <v/>
      </c>
      <c r="I10" t="str">
        <f ca="1">IF(C8&lt;&gt;"",C8,
IF(F10&lt;&gt;"",
IF(COUNTIF(OFFSET(商品マスタ!$A$1,MATCH("*"&amp;F10&amp;"*",商品マスタ!D:D,0)-1,2),"*園児*"),
OFFSET(商品マスタ!$A$1,MATCH("*"&amp;F10&amp;"*",商品マスタ!D:D,0)-1,2),OFFSET(商品マスタ!$A$1,MATCH("*"&amp;F10&amp;"*",商品マスタ!D:D,0)-1,2)&amp;"　園児"),""))</f>
        <v/>
      </c>
    </row>
    <row r="11" spans="1:9" x14ac:dyDescent="0.45">
      <c r="F11" t="str">
        <f t="shared" si="0"/>
        <v/>
      </c>
      <c r="G11" t="str">
        <f ca="1">IF(B9&lt;&gt;"",B9,
IF(F11&lt;&gt;"",
OFFSET(商品マスタ!$A$1,MATCH("*"&amp;F11&amp;"*",商品マスタ!D:D,0)-1,8),""))</f>
        <v/>
      </c>
      <c r="I11" t="str">
        <f ca="1">IF(C9&lt;&gt;"",C9,
IF(F11&lt;&gt;"",
IF(COUNTIF(OFFSET(商品マスタ!$A$1,MATCH("*"&amp;F11&amp;"*",商品マスタ!D:D,0)-1,2),"*園児*"),
OFFSET(商品マスタ!$A$1,MATCH("*"&amp;F11&amp;"*",商品マスタ!D:D,0)-1,2),OFFSET(商品マスタ!$A$1,MATCH("*"&amp;F11&amp;"*",商品マスタ!D:D,0)-1,2)&amp;"　園児"),""))</f>
        <v/>
      </c>
    </row>
    <row r="12" spans="1:9" x14ac:dyDescent="0.45">
      <c r="F12" t="str">
        <f t="shared" si="0"/>
        <v/>
      </c>
      <c r="G12" t="str">
        <f ca="1">IF(B10&lt;&gt;"",B10,
IF(F12&lt;&gt;"",
OFFSET(商品マスタ!$A$1,MATCH("*"&amp;F12&amp;"*",商品マスタ!D:D,0)-1,8),""))</f>
        <v/>
      </c>
      <c r="I12" t="str">
        <f ca="1">IF(C10&lt;&gt;"",C10,
IF(F12&lt;&gt;"",
IF(COUNTIF(OFFSET(商品マスタ!$A$1,MATCH("*"&amp;F12&amp;"*",商品マスタ!D:D,0)-1,2),"*園児*"),
OFFSET(商品マスタ!$A$1,MATCH("*"&amp;F12&amp;"*",商品マスタ!D:D,0)-1,2),OFFSET(商品マスタ!$A$1,MATCH("*"&amp;F12&amp;"*",商品マスタ!D:D,0)-1,2)&amp;"　園児"),""))</f>
        <v/>
      </c>
    </row>
    <row r="13" spans="1:9" x14ac:dyDescent="0.45">
      <c r="F13" t="str">
        <f t="shared" si="0"/>
        <v/>
      </c>
      <c r="G13" t="str">
        <f ca="1">IF(B11&lt;&gt;"",B11,
IF(F13&lt;&gt;"",
OFFSET(商品マスタ!$A$1,MATCH("*"&amp;F13&amp;"*",商品マスタ!D:D,0)-1,8),""))</f>
        <v/>
      </c>
      <c r="I13" t="str">
        <f ca="1">IF(C11&lt;&gt;"",C11,
IF(F13&lt;&gt;"",
IF(COUNTIF(OFFSET(商品マスタ!$A$1,MATCH("*"&amp;F13&amp;"*",商品マスタ!D:D,0)-1,2),"*園児*"),
OFFSET(商品マスタ!$A$1,MATCH("*"&amp;F13&amp;"*",商品マスタ!D:D,0)-1,2),OFFSET(商品マスタ!$A$1,MATCH("*"&amp;F13&amp;"*",商品マスタ!D:D,0)-1,2)&amp;"　園児"),""))</f>
        <v/>
      </c>
    </row>
    <row r="14" spans="1:9" x14ac:dyDescent="0.45">
      <c r="G14" t="str">
        <f ca="1">IF(B12&lt;&gt;"",B12,
IF(F14&lt;&gt;"",
OFFSET(商品マスタ!$A$1,MATCH("*"&amp;F14&amp;"*",商品マスタ!D:D,0)-1,8),""))</f>
        <v/>
      </c>
      <c r="I14" t="str">
        <f ca="1">IF(C12&lt;&gt;"",C12,
IF(F14&lt;&gt;"",
IF(COUNTIF(OFFSET(商品マスタ!$A$1,MATCH("*"&amp;F14&amp;"*",商品マスタ!D:D,0)-1,2),"*園児*"),
OFFSET(商品マスタ!$A$1,MATCH("*"&amp;F14&amp;"*",商品マスタ!D:D,0)-1,2),OFFSET(商品マスタ!$A$1,MATCH("*"&amp;F14&amp;"*",商品マスタ!D:D,0)-1,2)&amp;"　園児"),""))</f>
        <v/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0"/>
  <sheetViews>
    <sheetView zoomScale="50" zoomScaleNormal="50" workbookViewId="0">
      <selection activeCell="J19" sqref="J19"/>
    </sheetView>
  </sheetViews>
  <sheetFormatPr defaultRowHeight="18" x14ac:dyDescent="0.45"/>
  <cols>
    <col min="1" max="1" width="28.59765625" style="1" customWidth="1"/>
    <col min="8" max="8" width="3.19921875" style="2" customWidth="1"/>
    <col min="9" max="9" width="5.59765625" style="1" customWidth="1"/>
    <col min="10" max="15" width="14.796875" style="1" customWidth="1"/>
    <col min="16" max="21" width="4" style="1" customWidth="1"/>
  </cols>
  <sheetData>
    <row r="1" spans="1:22" x14ac:dyDescent="0.45">
      <c r="A1" t="s">
        <v>15</v>
      </c>
      <c r="B1">
        <v>92</v>
      </c>
      <c r="C1">
        <v>48</v>
      </c>
      <c r="I1">
        <v>7</v>
      </c>
      <c r="J1" t="str">
        <f t="array" aca="1" ref="J1" ca="1">IFERROR(IF(OR(COUNTIF(INDIRECT("数出表_Excel!"&amp;P1&amp;"3"),"*キャラ*"),
COUNTIF(INDIRECT("数出表_Excel!"&amp;P1&amp;"3"),"*赤*")),
IF(COUNTIF(A1,"*雙葉*"),INDIRECT("数出表_Excel!"&amp;P1&amp;"3"),
INDIRECT("数出表_Excel!"&amp;P1&amp;"3")
&amp;"　"&amp;INDIRECT("数出表_Excel!"&amp;P1&amp;"4")
&amp;INDIRECT("数出表_Excel!"&amp;P1&amp;"5")),
INDIRECT("数出表_Excel!"&amp;P1&amp;"3")),"")</f>
        <v>キャラ弁（学食）</v>
      </c>
      <c r="K1" t="str">
        <f t="array" aca="1" ref="K1" ca="1">IFERROR(IF(OR(COUNTIF(INDIRECT("数出表_Excel!"&amp;Q1&amp;"3"),"*キャラ*"),
COUNTIF(INDIRECT("数出表_Excel!"&amp;Q1&amp;"3"),"*赤*")),
INDIRECT("数出表_Excel!"&amp;Q1&amp;"3")
&amp;"　"&amp;INDIRECT("数出表_Excel!"&amp;Q1&amp;"4")
&amp;INDIRECT("数出表_Excel!"&amp;Q1&amp;"5"),
INDIRECT("数出表_Excel!"&amp;Q1&amp;"3")),"")</f>
        <v>キャラ弁（学食）　飯あり150</v>
      </c>
      <c r="L1" t="str">
        <f t="array" aca="1" ref="L1" ca="1">IFERROR(IF(OR(COUNTIF(INDIRECT("数出表_Excel!"&amp;R1&amp;"3"),"*キャラ*"),
COUNTIF(INDIRECT("数出表_Excel!"&amp;R1&amp;"3"),"*赤*")),
INDIRECT("数出表_Excel!"&amp;R1&amp;"3")
&amp;"　"&amp;INDIRECT("数出表_Excel!"&amp;R1&amp;"4")
&amp;INDIRECT("数出表_Excel!"&amp;R1&amp;"5"),
INDIRECT("数出表_Excel!"&amp;R1&amp;"3")),"")</f>
        <v/>
      </c>
      <c r="M1" t="str">
        <f t="array" aca="1" ref="M1" ca="1">IFERROR(IF(OR(COUNTIF(INDIRECT("数出表_Excel!"&amp;S1&amp;"3"),"*キャラ*"),
COUNTIF(INDIRECT("数出表_Excel!"&amp;S1&amp;"3"),"*赤*")),
INDIRECT("数出表_Excel!"&amp;S1&amp;"3")
&amp;"　"&amp;INDIRECT("数出表_Excel!"&amp;S1&amp;"4")
&amp;INDIRECT("数出表_Excel!"&amp;S1&amp;"5"),
INDIRECT("数出表_Excel!"&amp;S1&amp;"3")),"")</f>
        <v/>
      </c>
      <c r="N1" t="str">
        <f t="array" aca="1" ref="N1" ca="1">IFERROR(IF(OR(COUNTIF(INDIRECT("数出表_Excel!"&amp;T1&amp;"3"),"*キャラ*"),
COUNTIF(INDIRECT("数出表_Excel!"&amp;T1&amp;"3"),"*赤*")),
INDIRECT("数出表_Excel!"&amp;T1&amp;"3")
&amp;"　"&amp;INDIRECT("数出表_Excel!"&amp;T1&amp;"4")
&amp;INDIRECT("数出表_Excel!"&amp;T1&amp;"5"),
INDIRECT("数出表_Excel!"&amp;T1&amp;"3")),"")</f>
        <v/>
      </c>
      <c r="O1" t="str">
        <f t="array" aca="1" ref="O1" ca="1">IFERROR(IF(OR(COUNTIF(INDIRECT("数出表_Excel!"&amp;U1&amp;"3"),"*キャラ*"),
COUNTIF(INDIRECT("数出表_Excel!"&amp;U1&amp;"3"),"*赤*")),
INDIRECT("数出表_Excel!"&amp;U1&amp;"3")
&amp;"　"&amp;INDIRECT("数出表_Excel!"&amp;U1&amp;"4")
&amp;INDIRECT("数出表_Excel!"&amp;U1&amp;"5"),
INDIRECT("数出表_Excel!"&amp;U1&amp;"3")),"")</f>
        <v/>
      </c>
      <c r="P1" t="str">
        <f t="shared" ref="P1:P32" ca="1" si="0">IFERROR(
SUBSTITUTE(ADDRESS(1,
IFERROR(COLUMN(INDEX(INDIRECT("数出表_Excel!B"&amp;$I1-1&amp;":T"&amp;$I1-1&amp;""),1,MATCH(TEXT(B1,0),INDIRECT("数出表_Excel!B"&amp;$I1-1&amp;":T"&amp;$I1-1&amp;""),0))),""),4),"1",""),
"")</f>
        <v>B</v>
      </c>
      <c r="Q1" t="str">
        <f t="shared" ref="Q1:Q32" ca="1" si="1">IFERROR(
SUBSTITUTE(ADDRESS(1,
IFERROR(COLUMN(INDEX(INDIRECT("数出表_Excel!B"&amp;$I1-1&amp;":T"&amp;$I1-1&amp;""),1,MATCH(TEXT(C1,0),INDIRECT("数出表_Excel!B"&amp;$I1-1&amp;":T"&amp;$I1-1&amp;""),0))),""),4),"1",""),
"")</f>
        <v>C</v>
      </c>
      <c r="R1" t="str">
        <f t="shared" ref="R1:R32" ca="1" si="2">IFERROR(
SUBSTITUTE(ADDRESS(1,
IFERROR(COLUMN(INDEX(INDIRECT("数出表_Excel!B"&amp;$I1-1&amp;":T"&amp;$I1-1&amp;""),1,MATCH(TEXT(D1,0),INDIRECT("数出表_Excel!B"&amp;$I1-1&amp;":T"&amp;$I1-1&amp;""),0))),""),4),"1",""),
"")</f>
        <v/>
      </c>
      <c r="S1" t="str">
        <f t="shared" ref="S1:S32" ca="1" si="3">IFERROR(
SUBSTITUTE(ADDRESS(1,
IFERROR(COLUMN(INDEX(INDIRECT("数出表_Excel!B"&amp;$I1&amp;":T"&amp;$I1&amp;""),1,MATCH(TEXT(E1,0),INDIRECT("数出表_Excel!B"&amp;$I1&amp;":T"&amp;$I1&amp;""),0))),""),4),"1",""),
"")</f>
        <v/>
      </c>
      <c r="T1" t="str">
        <f t="shared" ref="T1:T32" ca="1" si="4">IFERROR(
SUBSTITUTE(ADDRESS(1,
IFERROR(COLUMN(INDEX(INDIRECT("数出表_Excel!B"&amp;$I1&amp;":T"&amp;$I1&amp;""),1,MATCH(TEXT(F1,0),INDIRECT("数出表_Excel!B"&amp;$I1&amp;":T"&amp;$I1&amp;""),0))),""),4),"1",""),
"")</f>
        <v/>
      </c>
      <c r="U1" t="str">
        <f t="shared" ref="U1:U32" ca="1" si="5">IFERROR(
SUBSTITUTE(ADDRESS(1,
IFERROR(COLUMN(INDEX(INDIRECT("数出表_Excel!B"&amp;$I1&amp;":T"&amp;$I1&amp;""),1,MATCH(TEXT(G1,0),INDIRECT("数出表_Excel!B"&amp;$I1&amp;":T"&amp;$I1&amp;""),0))),""),4),"1",""),
"")</f>
        <v/>
      </c>
      <c r="V1" t="str">
        <f t="shared" ref="V1:V32" ca="1" si="6">TRIM(SUBSTITUTE(
IF(COUNTIF(P1:U1,"A")&gt;0,"A ","")&amp;
IF(COUNTIF(P1:U1,"B")&gt;0,"B ","")&amp;
IF(COUNTIF(P1:U1,"C")&gt;0,"C ","")&amp;
IF(COUNTIF(P1:U1,"D")&gt;0,"D ","")&amp;
IF(COUNTIF(P1:U1,"E")&gt;0,"E ","")&amp;
IF(COUNTIF(P1:U1,"F")&gt;0,"F ","")&amp;
IF(COUNTIF(P1:U1,"G")&gt;0,"G ","")&amp;
IF(COUNTIF(P1:U1,"H")&gt;0,"H ","")&amp;
IF(COUNTIF(P1:U1,"I")&gt;0,"I ","")&amp;
IF(COUNTIF(P1:U1,"J")&gt;0,"J ","")&amp;
IF(COUNTIF(P1:U1,"K")&gt;0,"K ","")&amp;
IF(COUNTIF(P1:U1,"L")&gt;0,"L ","")&amp;
IF(COUNTIF(P1:U1,"M")&gt;0,"M ","")&amp;
IF(COUNTIF(P1:U1,"N")&gt;0,"N ","")&amp;
IF(COUNTIF(P1:U1,"O")&gt;0,"O ","")&amp;
IF(COUNTIF(P1:U1,"P")&gt;0,"P ","")&amp;
IF(COUNTIF(P1:U1,"Q")&gt;0,"Q ","")&amp;
IF(COUNTIF(P1:U1,"R")&gt;0,"R ","")&amp;
IF(COUNTIF(P1:U1,"S")&gt;0,"S ","")&amp;
IF(COUNTIF(P1:U1,"T")&gt;0,"T ","")&amp;
IF(COUNTIF(P1:U1,"U")&gt;0,"U ","")&amp;
IF(COUNTIF(P1:U1,"V")&gt;0,"V ","")&amp;
IF(COUNTIF(P1:U1,"W")&gt;0,"W ","")&amp;
IF(COUNTIF(P1:U1,"X")&gt;0,"X ","")&amp;
IF(COUNTIF(P1:U1,"Y")&gt;0,"Y ","")&amp;
IF(COUNTIF(P1:U1,"Z")&gt;0,"Z ","")," ",","))</f>
        <v>B,C,</v>
      </c>
    </row>
    <row r="2" spans="1:22" x14ac:dyDescent="0.45">
      <c r="A2" t="s">
        <v>16</v>
      </c>
      <c r="B2">
        <v>8</v>
      </c>
      <c r="I2">
        <f t="shared" ref="I2:I33" si="7">I1+2</f>
        <v>9</v>
      </c>
      <c r="J2" t="str">
        <f t="array" aca="1" ref="J2" ca="1">IFERROR(IF(OR(COUNTIF(INDIRECT("数出表_Excel!"&amp;P2&amp;"3"),"*キャラ*"),
COUNTIF(INDIRECT("数出表_Excel!"&amp;P2&amp;"3"),"*赤*")),
IF(COUNTIF(A2,"*雙葉*"),INDIRECT("数出表_Excel!"&amp;P2&amp;"3"),
INDIRECT("数出表_Excel!"&amp;P2&amp;"3")
&amp;"　"&amp;INDIRECT("数出表_Excel!"&amp;P2&amp;"4")
&amp;INDIRECT("数出表_Excel!"&amp;P2&amp;"5")),
INDIRECT("数出表_Excel!"&amp;P2&amp;"3")),"")</f>
        <v>キャラ弁（学食）</v>
      </c>
      <c r="K2" t="str">
        <f t="array" aca="1" ref="K2" ca="1">IFERROR(IF(OR(COUNTIF(INDIRECT("数出表_Excel!"&amp;Q2&amp;"3"),"*キャラ*"),
COUNTIF(INDIRECT("数出表_Excel!"&amp;Q2&amp;"3"),"*赤*")),
INDIRECT("数出表_Excel!"&amp;Q2&amp;"3")
&amp;"　"&amp;INDIRECT("数出表_Excel!"&amp;Q2&amp;"4")
&amp;INDIRECT("数出表_Excel!"&amp;Q2&amp;"5"),
INDIRECT("数出表_Excel!"&amp;Q2&amp;"3")),"")</f>
        <v/>
      </c>
      <c r="L2" t="str">
        <f t="array" aca="1" ref="L2" ca="1">IFERROR(IF(OR(COUNTIF(INDIRECT("数出表_Excel!"&amp;R2&amp;"3"),"*キャラ*"),
COUNTIF(INDIRECT("数出表_Excel!"&amp;R2&amp;"3"),"*赤*")),
INDIRECT("数出表_Excel!"&amp;R2&amp;"3")
&amp;"　"&amp;INDIRECT("数出表_Excel!"&amp;R2&amp;"4")
&amp;INDIRECT("数出表_Excel!"&amp;R2&amp;"5"),
INDIRECT("数出表_Excel!"&amp;R2&amp;"3")),"")</f>
        <v/>
      </c>
      <c r="M2" t="str">
        <f t="array" aca="1" ref="M2" ca="1">IFERROR(IF(OR(COUNTIF(INDIRECT("数出表_Excel!"&amp;S2&amp;"3"),"*キャラ*"),
COUNTIF(INDIRECT("数出表_Excel!"&amp;S2&amp;"3"),"*赤*")),
INDIRECT("数出表_Excel!"&amp;S2&amp;"3")
&amp;"　"&amp;INDIRECT("数出表_Excel!"&amp;S2&amp;"4")
&amp;INDIRECT("数出表_Excel!"&amp;S2&amp;"5"),
INDIRECT("数出表_Excel!"&amp;S2&amp;"3")),"")</f>
        <v/>
      </c>
      <c r="N2" t="str">
        <f t="array" aca="1" ref="N2" ca="1">IFERROR(IF(OR(COUNTIF(INDIRECT("数出表_Excel!"&amp;T2&amp;"3"),"*キャラ*"),
COUNTIF(INDIRECT("数出表_Excel!"&amp;T2&amp;"3"),"*赤*")),
INDIRECT("数出表_Excel!"&amp;T2&amp;"3")
&amp;"　"&amp;INDIRECT("数出表_Excel!"&amp;T2&amp;"4")
&amp;INDIRECT("数出表_Excel!"&amp;T2&amp;"5"),
INDIRECT("数出表_Excel!"&amp;T2&amp;"3")),"")</f>
        <v/>
      </c>
      <c r="O2" t="str">
        <f t="array" aca="1" ref="O2" ca="1">IFERROR(IF(OR(COUNTIF(INDIRECT("数出表_Excel!"&amp;U2&amp;"3"),"*キャラ*"),
COUNTIF(INDIRECT("数出表_Excel!"&amp;U2&amp;"3"),"*赤*")),
INDIRECT("数出表_Excel!"&amp;U2&amp;"3")
&amp;"　"&amp;INDIRECT("数出表_Excel!"&amp;U2&amp;"4")
&amp;INDIRECT("数出表_Excel!"&amp;U2&amp;"5"),
INDIRECT("数出表_Excel!"&amp;U2&amp;"3")),"")</f>
        <v/>
      </c>
      <c r="P2" t="str">
        <f t="shared" ca="1" si="0"/>
        <v>C</v>
      </c>
      <c r="Q2" t="str">
        <f t="shared" ca="1" si="1"/>
        <v/>
      </c>
      <c r="R2" t="str">
        <f t="shared" ca="1" si="2"/>
        <v/>
      </c>
      <c r="S2" t="str">
        <f t="shared" ca="1" si="3"/>
        <v/>
      </c>
      <c r="T2" t="str">
        <f t="shared" ca="1" si="4"/>
        <v/>
      </c>
      <c r="U2" t="str">
        <f t="shared" ca="1" si="5"/>
        <v/>
      </c>
      <c r="V2" t="str">
        <f t="shared" ca="1" si="6"/>
        <v>C,</v>
      </c>
    </row>
    <row r="3" spans="1:22" x14ac:dyDescent="0.45">
      <c r="A3" t="s">
        <v>17</v>
      </c>
      <c r="B3">
        <v>4</v>
      </c>
      <c r="I3">
        <f t="shared" si="7"/>
        <v>11</v>
      </c>
      <c r="J3" t="str">
        <f t="array" aca="1" ref="J3" ca="1">IFERROR(IF(OR(COUNTIF(INDIRECT("数出表_Excel!"&amp;P3&amp;"3"),"*キャラ*"),
COUNTIF(INDIRECT("数出表_Excel!"&amp;P3&amp;"3"),"*赤*")),
IF(COUNTIF(A3,"*雙葉*"),INDIRECT("数出表_Excel!"&amp;P3&amp;"3"),
INDIRECT("数出表_Excel!"&amp;P3&amp;"3")
&amp;"　"&amp;INDIRECT("数出表_Excel!"&amp;P3&amp;"4")
&amp;INDIRECT("数出表_Excel!"&amp;P3&amp;"5")),
INDIRECT("数出表_Excel!"&amp;P3&amp;"3")),"")</f>
        <v>赤　飯あり120</v>
      </c>
      <c r="K3" t="str">
        <f t="array" aca="1" ref="K3" ca="1">IFERROR(IF(OR(COUNTIF(INDIRECT("数出表_Excel!"&amp;Q3&amp;"3"),"*キャラ*"),
COUNTIF(INDIRECT("数出表_Excel!"&amp;Q3&amp;"3"),"*赤*")),
INDIRECT("数出表_Excel!"&amp;Q3&amp;"3")
&amp;"　"&amp;INDIRECT("数出表_Excel!"&amp;Q3&amp;"4")
&amp;INDIRECT("数出表_Excel!"&amp;Q3&amp;"5"),
INDIRECT("数出表_Excel!"&amp;Q3&amp;"3")),"")</f>
        <v/>
      </c>
      <c r="L3" t="str">
        <f t="array" aca="1" ref="L3" ca="1">IFERROR(IF(OR(COUNTIF(INDIRECT("数出表_Excel!"&amp;R3&amp;"3"),"*キャラ*"),
COUNTIF(INDIRECT("数出表_Excel!"&amp;R3&amp;"3"),"*赤*")),
INDIRECT("数出表_Excel!"&amp;R3&amp;"3")
&amp;"　"&amp;INDIRECT("数出表_Excel!"&amp;R3&amp;"4")
&amp;INDIRECT("数出表_Excel!"&amp;R3&amp;"5"),
INDIRECT("数出表_Excel!"&amp;R3&amp;"3")),"")</f>
        <v/>
      </c>
      <c r="M3" t="str">
        <f t="array" aca="1" ref="M3" ca="1">IFERROR(IF(OR(COUNTIF(INDIRECT("数出表_Excel!"&amp;S3&amp;"3"),"*キャラ*"),
COUNTIF(INDIRECT("数出表_Excel!"&amp;S3&amp;"3"),"*赤*")),
INDIRECT("数出表_Excel!"&amp;S3&amp;"3")
&amp;"　"&amp;INDIRECT("数出表_Excel!"&amp;S3&amp;"4")
&amp;INDIRECT("数出表_Excel!"&amp;S3&amp;"5"),
INDIRECT("数出表_Excel!"&amp;S3&amp;"3")),"")</f>
        <v/>
      </c>
      <c r="N3" t="str">
        <f t="array" aca="1" ref="N3" ca="1">IFERROR(IF(OR(COUNTIF(INDIRECT("数出表_Excel!"&amp;T3&amp;"3"),"*キャラ*"),
COUNTIF(INDIRECT("数出表_Excel!"&amp;T3&amp;"3"),"*赤*")),
INDIRECT("数出表_Excel!"&amp;T3&amp;"3")
&amp;"　"&amp;INDIRECT("数出表_Excel!"&amp;T3&amp;"4")
&amp;INDIRECT("数出表_Excel!"&amp;T3&amp;"5"),
INDIRECT("数出表_Excel!"&amp;T3&amp;"3")),"")</f>
        <v/>
      </c>
      <c r="O3" t="str">
        <f t="array" aca="1" ref="O3" ca="1">IFERROR(IF(OR(COUNTIF(INDIRECT("数出表_Excel!"&amp;U3&amp;"3"),"*キャラ*"),
COUNTIF(INDIRECT("数出表_Excel!"&amp;U3&amp;"3"),"*赤*")),
INDIRECT("数出表_Excel!"&amp;U3&amp;"3")
&amp;"　"&amp;INDIRECT("数出表_Excel!"&amp;U3&amp;"4")
&amp;INDIRECT("数出表_Excel!"&amp;U3&amp;"5"),
INDIRECT("数出表_Excel!"&amp;U3&amp;"3")),"")</f>
        <v/>
      </c>
      <c r="P3" t="str">
        <f t="shared" ca="1" si="0"/>
        <v>G</v>
      </c>
      <c r="Q3" t="str">
        <f t="shared" ca="1" si="1"/>
        <v/>
      </c>
      <c r="R3" t="str">
        <f t="shared" ca="1" si="2"/>
        <v/>
      </c>
      <c r="S3" t="str">
        <f t="shared" ca="1" si="3"/>
        <v/>
      </c>
      <c r="T3" t="str">
        <f t="shared" ca="1" si="4"/>
        <v/>
      </c>
      <c r="U3" t="str">
        <f t="shared" ca="1" si="5"/>
        <v/>
      </c>
      <c r="V3" t="str">
        <f t="shared" ca="1" si="6"/>
        <v>G,</v>
      </c>
    </row>
    <row r="4" spans="1:22" x14ac:dyDescent="0.45">
      <c r="A4" t="s">
        <v>18</v>
      </c>
      <c r="B4">
        <v>9</v>
      </c>
      <c r="I4">
        <f t="shared" si="7"/>
        <v>13</v>
      </c>
      <c r="J4" t="str">
        <f t="array" aca="1" ref="J4" ca="1">IFERROR(IF(OR(COUNTIF(INDIRECT("数出表_Excel!"&amp;P4&amp;"3"),"*キャラ*"),
COUNTIF(INDIRECT("数出表_Excel!"&amp;P4&amp;"3"),"*赤*")),
IF(COUNTIF(A4,"*雙葉*"),INDIRECT("数出表_Excel!"&amp;P4&amp;"3"),
INDIRECT("数出表_Excel!"&amp;P4&amp;"3")
&amp;"　"&amp;INDIRECT("数出表_Excel!"&amp;P4&amp;"4")
&amp;INDIRECT("数出表_Excel!"&amp;P4&amp;"5")),
INDIRECT("数出表_Excel!"&amp;P4&amp;"3")),"")</f>
        <v>赤　飯あり120</v>
      </c>
      <c r="K4" t="str">
        <f t="array" aca="1" ref="K4" ca="1">IFERROR(IF(OR(COUNTIF(INDIRECT("数出表_Excel!"&amp;Q4&amp;"3"),"*キャラ*"),
COUNTIF(INDIRECT("数出表_Excel!"&amp;Q4&amp;"3"),"*赤*")),
INDIRECT("数出表_Excel!"&amp;Q4&amp;"3")
&amp;"　"&amp;INDIRECT("数出表_Excel!"&amp;Q4&amp;"4")
&amp;INDIRECT("数出表_Excel!"&amp;Q4&amp;"5"),
INDIRECT("数出表_Excel!"&amp;Q4&amp;"3")),"")</f>
        <v/>
      </c>
      <c r="L4" t="str">
        <f t="array" aca="1" ref="L4" ca="1">IFERROR(IF(OR(COUNTIF(INDIRECT("数出表_Excel!"&amp;R4&amp;"3"),"*キャラ*"),
COUNTIF(INDIRECT("数出表_Excel!"&amp;R4&amp;"3"),"*赤*")),
INDIRECT("数出表_Excel!"&amp;R4&amp;"3")
&amp;"　"&amp;INDIRECT("数出表_Excel!"&amp;R4&amp;"4")
&amp;INDIRECT("数出表_Excel!"&amp;R4&amp;"5"),
INDIRECT("数出表_Excel!"&amp;R4&amp;"3")),"")</f>
        <v/>
      </c>
      <c r="M4" t="str">
        <f t="array" aca="1" ref="M4" ca="1">IFERROR(IF(OR(COUNTIF(INDIRECT("数出表_Excel!"&amp;S4&amp;"3"),"*キャラ*"),
COUNTIF(INDIRECT("数出表_Excel!"&amp;S4&amp;"3"),"*赤*")),
INDIRECT("数出表_Excel!"&amp;S4&amp;"3")
&amp;"　"&amp;INDIRECT("数出表_Excel!"&amp;S4&amp;"4")
&amp;INDIRECT("数出表_Excel!"&amp;S4&amp;"5"),
INDIRECT("数出表_Excel!"&amp;S4&amp;"3")),"")</f>
        <v/>
      </c>
      <c r="N4" t="str">
        <f t="array" aca="1" ref="N4" ca="1">IFERROR(IF(OR(COUNTIF(INDIRECT("数出表_Excel!"&amp;T4&amp;"3"),"*キャラ*"),
COUNTIF(INDIRECT("数出表_Excel!"&amp;T4&amp;"3"),"*赤*")),
INDIRECT("数出表_Excel!"&amp;T4&amp;"3")
&amp;"　"&amp;INDIRECT("数出表_Excel!"&amp;T4&amp;"4")
&amp;INDIRECT("数出表_Excel!"&amp;T4&amp;"5"),
INDIRECT("数出表_Excel!"&amp;T4&amp;"3")),"")</f>
        <v/>
      </c>
      <c r="O4" t="str">
        <f t="array" aca="1" ref="O4" ca="1">IFERROR(IF(OR(COUNTIF(INDIRECT("数出表_Excel!"&amp;U4&amp;"3"),"*キャラ*"),
COUNTIF(INDIRECT("数出表_Excel!"&amp;U4&amp;"3"),"*赤*")),
INDIRECT("数出表_Excel!"&amp;U4&amp;"3")
&amp;"　"&amp;INDIRECT("数出表_Excel!"&amp;U4&amp;"4")
&amp;INDIRECT("数出表_Excel!"&amp;U4&amp;"5"),
INDIRECT("数出表_Excel!"&amp;U4&amp;"3")),"")</f>
        <v/>
      </c>
      <c r="P4" t="str">
        <f t="shared" ca="1" si="0"/>
        <v>G</v>
      </c>
      <c r="Q4" t="str">
        <f t="shared" ca="1" si="1"/>
        <v/>
      </c>
      <c r="R4" t="str">
        <f t="shared" ca="1" si="2"/>
        <v/>
      </c>
      <c r="S4" t="str">
        <f t="shared" ca="1" si="3"/>
        <v/>
      </c>
      <c r="T4" t="str">
        <f t="shared" ca="1" si="4"/>
        <v/>
      </c>
      <c r="U4" t="str">
        <f t="shared" ca="1" si="5"/>
        <v/>
      </c>
      <c r="V4" t="str">
        <f t="shared" ca="1" si="6"/>
        <v>G,</v>
      </c>
    </row>
    <row r="5" spans="1:22" x14ac:dyDescent="0.45">
      <c r="A5" t="s">
        <v>19</v>
      </c>
      <c r="B5">
        <v>52</v>
      </c>
      <c r="C5">
        <v>1</v>
      </c>
      <c r="E5">
        <v>12</v>
      </c>
      <c r="F5">
        <v>2</v>
      </c>
      <c r="I5">
        <f t="shared" si="7"/>
        <v>15</v>
      </c>
      <c r="J5" t="str">
        <f t="array" aca="1" ref="J5" ca="1">IFERROR(IF(OR(COUNTIF(INDIRECT("数出表_Excel!"&amp;P5&amp;"3"),"*キャラ*"),
COUNTIF(INDIRECT("数出表_Excel!"&amp;P5&amp;"3"),"*赤*")),
IF(COUNTIF(A5,"*雙葉*"),INDIRECT("数出表_Excel!"&amp;P5&amp;"3"),
INDIRECT("数出表_Excel!"&amp;P5&amp;"3")
&amp;"　"&amp;INDIRECT("数出表_Excel!"&amp;P5&amp;"4")
&amp;INDIRECT("数出表_Excel!"&amp;P5&amp;"5")),
INDIRECT("数出表_Excel!"&amp;P5&amp;"3")),"")</f>
        <v>キャラ弁当　飯なし</v>
      </c>
      <c r="K5" t="str">
        <f t="array" aca="1" ref="K5" ca="1">IFERROR(IF(OR(COUNTIF(INDIRECT("数出表_Excel!"&amp;Q5&amp;"3"),"*キャラ*"),
COUNTIF(INDIRECT("数出表_Excel!"&amp;Q5&amp;"3"),"*赤*")),
INDIRECT("数出表_Excel!"&amp;Q5&amp;"3")
&amp;"　"&amp;INDIRECT("数出表_Excel!"&amp;Q5&amp;"4")
&amp;INDIRECT("数出表_Excel!"&amp;Q5&amp;"5"),
INDIRECT("数出表_Excel!"&amp;Q5&amp;"3")),"")</f>
        <v>ピクニック</v>
      </c>
      <c r="L5" t="str">
        <f t="array" aca="1" ref="L5" ca="1">IFERROR(IF(OR(COUNTIF(INDIRECT("数出表_Excel!"&amp;R5&amp;"3"),"*キャラ*"),
COUNTIF(INDIRECT("数出表_Excel!"&amp;R5&amp;"3"),"*赤*")),
INDIRECT("数出表_Excel!"&amp;R5&amp;"3")
&amp;"　"&amp;INDIRECT("数出表_Excel!"&amp;R5&amp;"4")
&amp;INDIRECT("数出表_Excel!"&amp;R5&amp;"5"),
INDIRECT("数出表_Excel!"&amp;R5&amp;"3")),"")</f>
        <v/>
      </c>
      <c r="M5" t="str">
        <f t="array" aca="1" ref="M5" ca="1">IFERROR(IF(OR(COUNTIF(INDIRECT("数出表_Excel!"&amp;S5&amp;"3"),"*キャラ*"),
COUNTIF(INDIRECT("数出表_Excel!"&amp;S5&amp;"3"),"*赤*")),
INDIRECT("数出表_Excel!"&amp;S5&amp;"3")
&amp;"　"&amp;INDIRECT("数出表_Excel!"&amp;S5&amp;"4")
&amp;INDIRECT("数出表_Excel!"&amp;S5&amp;"5"),
INDIRECT("数出表_Excel!"&amp;S5&amp;"3")),"")</f>
        <v>キャラ弁当　飯なし</v>
      </c>
      <c r="N5" t="str">
        <f t="array" aca="1" ref="N5" ca="1">IFERROR(IF(OR(COUNTIF(INDIRECT("数出表_Excel!"&amp;T5&amp;"3"),"*キャラ*"),
COUNTIF(INDIRECT("数出表_Excel!"&amp;T5&amp;"3"),"*赤*")),
INDIRECT("数出表_Excel!"&amp;T5&amp;"3")
&amp;"　"&amp;INDIRECT("数出表_Excel!"&amp;T5&amp;"4")
&amp;INDIRECT("数出表_Excel!"&amp;T5&amp;"5"),
INDIRECT("数出表_Excel!"&amp;T5&amp;"3")),"")</f>
        <v>ピクニック</v>
      </c>
      <c r="O5" t="str">
        <f t="array" aca="1" ref="O5" ca="1">IFERROR(IF(OR(COUNTIF(INDIRECT("数出表_Excel!"&amp;U5&amp;"3"),"*キャラ*"),
COUNTIF(INDIRECT("数出表_Excel!"&amp;U5&amp;"3"),"*赤*")),
INDIRECT("数出表_Excel!"&amp;U5&amp;"3")
&amp;"　"&amp;INDIRECT("数出表_Excel!"&amp;U5&amp;"4")
&amp;INDIRECT("数出表_Excel!"&amp;U5&amp;"5"),
INDIRECT("数出表_Excel!"&amp;U5&amp;"3")),"")</f>
        <v/>
      </c>
      <c r="P5" t="str">
        <f t="shared" ca="1" si="0"/>
        <v>F</v>
      </c>
      <c r="Q5" t="str">
        <f t="shared" ca="1" si="1"/>
        <v>M</v>
      </c>
      <c r="R5" t="str">
        <f t="shared" ca="1" si="2"/>
        <v/>
      </c>
      <c r="S5" t="str">
        <f t="shared" ca="1" si="3"/>
        <v>F</v>
      </c>
      <c r="T5" t="str">
        <f t="shared" ca="1" si="4"/>
        <v>M</v>
      </c>
      <c r="U5" t="str">
        <f t="shared" ca="1" si="5"/>
        <v/>
      </c>
      <c r="V5" t="str">
        <f t="shared" ca="1" si="6"/>
        <v>F,M,</v>
      </c>
    </row>
    <row r="6" spans="1:22" x14ac:dyDescent="0.45">
      <c r="A6" t="s">
        <v>20</v>
      </c>
      <c r="B6">
        <v>154</v>
      </c>
      <c r="C6">
        <v>36</v>
      </c>
      <c r="I6">
        <f t="shared" si="7"/>
        <v>17</v>
      </c>
      <c r="J6" t="str">
        <f t="array" aca="1" ref="J6" ca="1">IFERROR(IF(OR(COUNTIF(INDIRECT("数出表_Excel!"&amp;P6&amp;"3"),"*キャラ*"),
COUNTIF(INDIRECT("数出表_Excel!"&amp;P6&amp;"3"),"*赤*")),
IF(COUNTIF(A6,"*雙葉*"),INDIRECT("数出表_Excel!"&amp;P6&amp;"3"),
INDIRECT("数出表_Excel!"&amp;P6&amp;"3")
&amp;"　"&amp;INDIRECT("数出表_Excel!"&amp;P6&amp;"4")
&amp;INDIRECT("数出表_Excel!"&amp;P6&amp;"5")),
INDIRECT("数出表_Excel!"&amp;P6&amp;"3")),"")</f>
        <v>キャラ弁当　飯なし</v>
      </c>
      <c r="K6" t="str">
        <f t="array" aca="1" ref="K6" ca="1">IFERROR(IF(OR(COUNTIF(INDIRECT("数出表_Excel!"&amp;Q6&amp;"3"),"*キャラ*"),
COUNTIF(INDIRECT("数出表_Excel!"&amp;Q6&amp;"3"),"*赤*")),
INDIRECT("数出表_Excel!"&amp;Q6&amp;"3")
&amp;"　"&amp;INDIRECT("数出表_Excel!"&amp;Q6&amp;"4")
&amp;INDIRECT("数出表_Excel!"&amp;Q6&amp;"5"),
INDIRECT("数出表_Excel!"&amp;Q6&amp;"3")),"")</f>
        <v>ピクニック</v>
      </c>
      <c r="L6" t="str">
        <f t="array" aca="1" ref="L6" ca="1">IFERROR(IF(OR(COUNTIF(INDIRECT("数出表_Excel!"&amp;R6&amp;"3"),"*キャラ*"),
COUNTIF(INDIRECT("数出表_Excel!"&amp;R6&amp;"3"),"*赤*")),
INDIRECT("数出表_Excel!"&amp;R6&amp;"3")
&amp;"　"&amp;INDIRECT("数出表_Excel!"&amp;R6&amp;"4")
&amp;INDIRECT("数出表_Excel!"&amp;R6&amp;"5"),
INDIRECT("数出表_Excel!"&amp;R6&amp;"3")),"")</f>
        <v/>
      </c>
      <c r="M6" t="str">
        <f t="array" aca="1" ref="M6" ca="1">IFERROR(IF(OR(COUNTIF(INDIRECT("数出表_Excel!"&amp;S6&amp;"3"),"*キャラ*"),
COUNTIF(INDIRECT("数出表_Excel!"&amp;S6&amp;"3"),"*赤*")),
INDIRECT("数出表_Excel!"&amp;S6&amp;"3")
&amp;"　"&amp;INDIRECT("数出表_Excel!"&amp;S6&amp;"4")
&amp;INDIRECT("数出表_Excel!"&amp;S6&amp;"5"),
INDIRECT("数出表_Excel!"&amp;S6&amp;"3")),"")</f>
        <v/>
      </c>
      <c r="N6" t="str">
        <f t="array" aca="1" ref="N6" ca="1">IFERROR(IF(OR(COUNTIF(INDIRECT("数出表_Excel!"&amp;T6&amp;"3"),"*キャラ*"),
COUNTIF(INDIRECT("数出表_Excel!"&amp;T6&amp;"3"),"*赤*")),
INDIRECT("数出表_Excel!"&amp;T6&amp;"3")
&amp;"　"&amp;INDIRECT("数出表_Excel!"&amp;T6&amp;"4")
&amp;INDIRECT("数出表_Excel!"&amp;T6&amp;"5"),
INDIRECT("数出表_Excel!"&amp;T6&amp;"3")),"")</f>
        <v/>
      </c>
      <c r="O6" t="str">
        <f t="array" aca="1" ref="O6" ca="1">IFERROR(IF(OR(COUNTIF(INDIRECT("数出表_Excel!"&amp;U6&amp;"3"),"*キャラ*"),
COUNTIF(INDIRECT("数出表_Excel!"&amp;U6&amp;"3"),"*赤*")),
INDIRECT("数出表_Excel!"&amp;U6&amp;"3")
&amp;"　"&amp;INDIRECT("数出表_Excel!"&amp;U6&amp;"4")
&amp;INDIRECT("数出表_Excel!"&amp;U6&amp;"5"),
INDIRECT("数出表_Excel!"&amp;U6&amp;"3")),"")</f>
        <v/>
      </c>
      <c r="P6" t="str">
        <f t="shared" ca="1" si="0"/>
        <v>F</v>
      </c>
      <c r="Q6" t="str">
        <f t="shared" ca="1" si="1"/>
        <v>M</v>
      </c>
      <c r="R6" t="str">
        <f t="shared" ca="1" si="2"/>
        <v/>
      </c>
      <c r="S6" t="str">
        <f t="shared" ca="1" si="3"/>
        <v/>
      </c>
      <c r="T6" t="str">
        <f t="shared" ca="1" si="4"/>
        <v/>
      </c>
      <c r="U6" t="str">
        <f t="shared" ca="1" si="5"/>
        <v/>
      </c>
      <c r="V6" t="str">
        <f t="shared" ca="1" si="6"/>
        <v>F,M,</v>
      </c>
    </row>
    <row r="7" spans="1:22" x14ac:dyDescent="0.45">
      <c r="A7" t="s">
        <v>21</v>
      </c>
      <c r="E7">
        <v>4</v>
      </c>
      <c r="I7">
        <f t="shared" si="7"/>
        <v>19</v>
      </c>
      <c r="J7" t="str">
        <f t="array" aca="1" ref="J7" ca="1">IFERROR(IF(OR(COUNTIF(INDIRECT("数出表_Excel!"&amp;P7&amp;"3"),"*キャラ*"),
COUNTIF(INDIRECT("数出表_Excel!"&amp;P7&amp;"3"),"*赤*")),
IF(COUNTIF(A7,"*雙葉*"),INDIRECT("数出表_Excel!"&amp;P7&amp;"3"),
INDIRECT("数出表_Excel!"&amp;P7&amp;"3")
&amp;"　"&amp;INDIRECT("数出表_Excel!"&amp;P7&amp;"4")
&amp;INDIRECT("数出表_Excel!"&amp;P7&amp;"5")),
INDIRECT("数出表_Excel!"&amp;P7&amp;"3")),"")</f>
        <v/>
      </c>
      <c r="K7" t="str">
        <f t="array" aca="1" ref="K7" ca="1">IFERROR(IF(OR(COUNTIF(INDIRECT("数出表_Excel!"&amp;Q7&amp;"3"),"*キャラ*"),
COUNTIF(INDIRECT("数出表_Excel!"&amp;Q7&amp;"3"),"*赤*")),
INDIRECT("数出表_Excel!"&amp;Q7&amp;"3")
&amp;"　"&amp;INDIRECT("数出表_Excel!"&amp;Q7&amp;"4")
&amp;INDIRECT("数出表_Excel!"&amp;Q7&amp;"5"),
INDIRECT("数出表_Excel!"&amp;Q7&amp;"3")),"")</f>
        <v/>
      </c>
      <c r="L7" t="str">
        <f t="array" aca="1" ref="L7" ca="1">IFERROR(IF(OR(COUNTIF(INDIRECT("数出表_Excel!"&amp;R7&amp;"3"),"*キャラ*"),
COUNTIF(INDIRECT("数出表_Excel!"&amp;R7&amp;"3"),"*赤*")),
INDIRECT("数出表_Excel!"&amp;R7&amp;"3")
&amp;"　"&amp;INDIRECT("数出表_Excel!"&amp;R7&amp;"4")
&amp;INDIRECT("数出表_Excel!"&amp;R7&amp;"5"),
INDIRECT("数出表_Excel!"&amp;R7&amp;"3")),"")</f>
        <v/>
      </c>
      <c r="M7" t="str">
        <f t="array" aca="1" ref="M7" ca="1">IFERROR(IF(OR(COUNTIF(INDIRECT("数出表_Excel!"&amp;S7&amp;"3"),"*キャラ*"),
COUNTIF(INDIRECT("数出表_Excel!"&amp;S7&amp;"3"),"*赤*")),
INDIRECT("数出表_Excel!"&amp;S7&amp;"3")
&amp;"　"&amp;INDIRECT("数出表_Excel!"&amp;S7&amp;"4")
&amp;INDIRECT("数出表_Excel!"&amp;S7&amp;"5"),
INDIRECT("数出表_Excel!"&amp;S7&amp;"3")),"")</f>
        <v>キャラ弁当　飯あり120</v>
      </c>
      <c r="N7" t="str">
        <f t="array" aca="1" ref="N7" ca="1">IFERROR(IF(OR(COUNTIF(INDIRECT("数出表_Excel!"&amp;T7&amp;"3"),"*キャラ*"),
COUNTIF(INDIRECT("数出表_Excel!"&amp;T7&amp;"3"),"*赤*")),
INDIRECT("数出表_Excel!"&amp;T7&amp;"3")
&amp;"　"&amp;INDIRECT("数出表_Excel!"&amp;T7&amp;"4")
&amp;INDIRECT("数出表_Excel!"&amp;T7&amp;"5"),
INDIRECT("数出表_Excel!"&amp;T7&amp;"3")),"")</f>
        <v/>
      </c>
      <c r="O7" t="str">
        <f t="array" aca="1" ref="O7" ca="1">IFERROR(IF(OR(COUNTIF(INDIRECT("数出表_Excel!"&amp;U7&amp;"3"),"*キャラ*"),
COUNTIF(INDIRECT("数出表_Excel!"&amp;U7&amp;"3"),"*赤*")),
INDIRECT("数出表_Excel!"&amp;U7&amp;"3")
&amp;"　"&amp;INDIRECT("数出表_Excel!"&amp;U7&amp;"4")
&amp;INDIRECT("数出表_Excel!"&amp;U7&amp;"5"),
INDIRECT("数出表_Excel!"&amp;U7&amp;"3")),"")</f>
        <v/>
      </c>
      <c r="P7" t="str">
        <f t="shared" ca="1" si="0"/>
        <v/>
      </c>
      <c r="Q7" t="str">
        <f t="shared" ca="1" si="1"/>
        <v/>
      </c>
      <c r="R7" t="str">
        <f t="shared" ca="1" si="2"/>
        <v/>
      </c>
      <c r="S7" t="str">
        <f t="shared" ca="1" si="3"/>
        <v>D</v>
      </c>
      <c r="T7" t="str">
        <f t="shared" ca="1" si="4"/>
        <v/>
      </c>
      <c r="U7" t="str">
        <f t="shared" ca="1" si="5"/>
        <v/>
      </c>
      <c r="V7" t="str">
        <f t="shared" ca="1" si="6"/>
        <v>D,</v>
      </c>
    </row>
    <row r="8" spans="1:22" x14ac:dyDescent="0.45">
      <c r="A8" t="s">
        <v>22</v>
      </c>
      <c r="B8">
        <v>139</v>
      </c>
      <c r="E8">
        <v>20</v>
      </c>
      <c r="I8">
        <f t="shared" si="7"/>
        <v>21</v>
      </c>
      <c r="J8" t="str">
        <f t="array" aca="1" ref="J8" ca="1">IFERROR(IF(OR(COUNTIF(INDIRECT("数出表_Excel!"&amp;P8&amp;"3"),"*キャラ*"),
COUNTIF(INDIRECT("数出表_Excel!"&amp;P8&amp;"3"),"*赤*")),
IF(COUNTIF(A8,"*雙葉*"),INDIRECT("数出表_Excel!"&amp;P8&amp;"3"),
INDIRECT("数出表_Excel!"&amp;P8&amp;"3")
&amp;"　"&amp;INDIRECT("数出表_Excel!"&amp;P8&amp;"4")
&amp;INDIRECT("数出表_Excel!"&amp;P8&amp;"5")),
INDIRECT("数出表_Excel!"&amp;P8&amp;"3")),"")</f>
        <v>キャラ弁当　飯なし</v>
      </c>
      <c r="K8" t="str">
        <f t="array" aca="1" ref="K8" ca="1">IFERROR(IF(OR(COUNTIF(INDIRECT("数出表_Excel!"&amp;Q8&amp;"3"),"*キャラ*"),
COUNTIF(INDIRECT("数出表_Excel!"&amp;Q8&amp;"3"),"*赤*")),
INDIRECT("数出表_Excel!"&amp;Q8&amp;"3")
&amp;"　"&amp;INDIRECT("数出表_Excel!"&amp;Q8&amp;"4")
&amp;INDIRECT("数出表_Excel!"&amp;Q8&amp;"5"),
INDIRECT("数出表_Excel!"&amp;Q8&amp;"3")),"")</f>
        <v/>
      </c>
      <c r="L8" t="str">
        <f t="array" aca="1" ref="L8" ca="1">IFERROR(IF(OR(COUNTIF(INDIRECT("数出表_Excel!"&amp;R8&amp;"3"),"*キャラ*"),
COUNTIF(INDIRECT("数出表_Excel!"&amp;R8&amp;"3"),"*赤*")),
INDIRECT("数出表_Excel!"&amp;R8&amp;"3")
&amp;"　"&amp;INDIRECT("数出表_Excel!"&amp;R8&amp;"4")
&amp;INDIRECT("数出表_Excel!"&amp;R8&amp;"5"),
INDIRECT("数出表_Excel!"&amp;R8&amp;"3")),"")</f>
        <v/>
      </c>
      <c r="M8" t="str">
        <f t="array" aca="1" ref="M8" ca="1">IFERROR(IF(OR(COUNTIF(INDIRECT("数出表_Excel!"&amp;S8&amp;"3"),"*キャラ*"),
COUNTIF(INDIRECT("数出表_Excel!"&amp;S8&amp;"3"),"*赤*")),
INDIRECT("数出表_Excel!"&amp;S8&amp;"3")
&amp;"　"&amp;INDIRECT("数出表_Excel!"&amp;S8&amp;"4")
&amp;INDIRECT("数出表_Excel!"&amp;S8&amp;"5"),
INDIRECT("数出表_Excel!"&amp;S8&amp;"3")),"")</f>
        <v>キャラ弁当　飯なし</v>
      </c>
      <c r="N8" t="str">
        <f t="array" aca="1" ref="N8" ca="1">IFERROR(IF(OR(COUNTIF(INDIRECT("数出表_Excel!"&amp;T8&amp;"3"),"*キャラ*"),
COUNTIF(INDIRECT("数出表_Excel!"&amp;T8&amp;"3"),"*赤*")),
INDIRECT("数出表_Excel!"&amp;T8&amp;"3")
&amp;"　"&amp;INDIRECT("数出表_Excel!"&amp;T8&amp;"4")
&amp;INDIRECT("数出表_Excel!"&amp;T8&amp;"5"),
INDIRECT("数出表_Excel!"&amp;T8&amp;"3")),"")</f>
        <v/>
      </c>
      <c r="O8" t="str">
        <f t="array" aca="1" ref="O8" ca="1">IFERROR(IF(OR(COUNTIF(INDIRECT("数出表_Excel!"&amp;U8&amp;"3"),"*キャラ*"),
COUNTIF(INDIRECT("数出表_Excel!"&amp;U8&amp;"3"),"*赤*")),
INDIRECT("数出表_Excel!"&amp;U8&amp;"3")
&amp;"　"&amp;INDIRECT("数出表_Excel!"&amp;U8&amp;"4")
&amp;INDIRECT("数出表_Excel!"&amp;U8&amp;"5"),
INDIRECT("数出表_Excel!"&amp;U8&amp;"3")),"")</f>
        <v/>
      </c>
      <c r="P8" t="str">
        <f t="shared" ca="1" si="0"/>
        <v>F</v>
      </c>
      <c r="Q8" t="str">
        <f t="shared" ca="1" si="1"/>
        <v/>
      </c>
      <c r="R8" t="str">
        <f t="shared" ca="1" si="2"/>
        <v/>
      </c>
      <c r="S8" t="str">
        <f t="shared" ca="1" si="3"/>
        <v>F</v>
      </c>
      <c r="T8" t="str">
        <f t="shared" ca="1" si="4"/>
        <v/>
      </c>
      <c r="U8" t="str">
        <f t="shared" ca="1" si="5"/>
        <v/>
      </c>
      <c r="V8" t="str">
        <f t="shared" ca="1" si="6"/>
        <v>F,</v>
      </c>
    </row>
    <row r="9" spans="1:22" x14ac:dyDescent="0.45">
      <c r="A9" t="s">
        <v>23</v>
      </c>
      <c r="B9">
        <v>179</v>
      </c>
      <c r="I9">
        <f t="shared" si="7"/>
        <v>23</v>
      </c>
      <c r="J9" t="str">
        <f t="array" aca="1" ref="J9" ca="1">IFERROR(IF(OR(COUNTIF(INDIRECT("数出表_Excel!"&amp;P9&amp;"3"),"*キャラ*"),
COUNTIF(INDIRECT("数出表_Excel!"&amp;P9&amp;"3"),"*赤*")),
IF(COUNTIF(A9,"*雙葉*"),INDIRECT("数出表_Excel!"&amp;P9&amp;"3"),
INDIRECT("数出表_Excel!"&amp;P9&amp;"3")
&amp;"　"&amp;INDIRECT("数出表_Excel!"&amp;P9&amp;"4")
&amp;INDIRECT("数出表_Excel!"&amp;P9&amp;"5")),
INDIRECT("数出表_Excel!"&amp;P9&amp;"3")),"")</f>
        <v>キャラ弁当　飯なし</v>
      </c>
      <c r="K9" t="str">
        <f t="array" aca="1" ref="K9" ca="1">IFERROR(IF(OR(COUNTIF(INDIRECT("数出表_Excel!"&amp;Q9&amp;"3"),"*キャラ*"),
COUNTIF(INDIRECT("数出表_Excel!"&amp;Q9&amp;"3"),"*赤*")),
INDIRECT("数出表_Excel!"&amp;Q9&amp;"3")
&amp;"　"&amp;INDIRECT("数出表_Excel!"&amp;Q9&amp;"4")
&amp;INDIRECT("数出表_Excel!"&amp;Q9&amp;"5"),
INDIRECT("数出表_Excel!"&amp;Q9&amp;"3")),"")</f>
        <v/>
      </c>
      <c r="L9" t="str">
        <f t="array" aca="1" ref="L9" ca="1">IFERROR(IF(OR(COUNTIF(INDIRECT("数出表_Excel!"&amp;R9&amp;"3"),"*キャラ*"),
COUNTIF(INDIRECT("数出表_Excel!"&amp;R9&amp;"3"),"*赤*")),
INDIRECT("数出表_Excel!"&amp;R9&amp;"3")
&amp;"　"&amp;INDIRECT("数出表_Excel!"&amp;R9&amp;"4")
&amp;INDIRECT("数出表_Excel!"&amp;R9&amp;"5"),
INDIRECT("数出表_Excel!"&amp;R9&amp;"3")),"")</f>
        <v/>
      </c>
      <c r="M9" t="str">
        <f t="array" aca="1" ref="M9" ca="1">IFERROR(IF(OR(COUNTIF(INDIRECT("数出表_Excel!"&amp;S9&amp;"3"),"*キャラ*"),
COUNTIF(INDIRECT("数出表_Excel!"&amp;S9&amp;"3"),"*赤*")),
INDIRECT("数出表_Excel!"&amp;S9&amp;"3")
&amp;"　"&amp;INDIRECT("数出表_Excel!"&amp;S9&amp;"4")
&amp;INDIRECT("数出表_Excel!"&amp;S9&amp;"5"),
INDIRECT("数出表_Excel!"&amp;S9&amp;"3")),"")</f>
        <v/>
      </c>
      <c r="N9" t="str">
        <f t="array" aca="1" ref="N9" ca="1">IFERROR(IF(OR(COUNTIF(INDIRECT("数出表_Excel!"&amp;T9&amp;"3"),"*キャラ*"),
COUNTIF(INDIRECT("数出表_Excel!"&amp;T9&amp;"3"),"*赤*")),
INDIRECT("数出表_Excel!"&amp;T9&amp;"3")
&amp;"　"&amp;INDIRECT("数出表_Excel!"&amp;T9&amp;"4")
&amp;INDIRECT("数出表_Excel!"&amp;T9&amp;"5"),
INDIRECT("数出表_Excel!"&amp;T9&amp;"3")),"")</f>
        <v/>
      </c>
      <c r="O9" t="str">
        <f t="array" aca="1" ref="O9" ca="1">IFERROR(IF(OR(COUNTIF(INDIRECT("数出表_Excel!"&amp;U9&amp;"3"),"*キャラ*"),
COUNTIF(INDIRECT("数出表_Excel!"&amp;U9&amp;"3"),"*赤*")),
INDIRECT("数出表_Excel!"&amp;U9&amp;"3")
&amp;"　"&amp;INDIRECT("数出表_Excel!"&amp;U9&amp;"4")
&amp;INDIRECT("数出表_Excel!"&amp;U9&amp;"5"),
INDIRECT("数出表_Excel!"&amp;U9&amp;"3")),"")</f>
        <v/>
      </c>
      <c r="P9" t="str">
        <f t="shared" ca="1" si="0"/>
        <v>F</v>
      </c>
      <c r="Q9" t="str">
        <f t="shared" ca="1" si="1"/>
        <v/>
      </c>
      <c r="R9" t="str">
        <f t="shared" ca="1" si="2"/>
        <v/>
      </c>
      <c r="S9" t="str">
        <f t="shared" ca="1" si="3"/>
        <v/>
      </c>
      <c r="T9" t="str">
        <f t="shared" ca="1" si="4"/>
        <v/>
      </c>
      <c r="U9" t="str">
        <f t="shared" ca="1" si="5"/>
        <v/>
      </c>
      <c r="V9" t="str">
        <f t="shared" ca="1" si="6"/>
        <v>F,</v>
      </c>
    </row>
    <row r="10" spans="1:22" x14ac:dyDescent="0.45">
      <c r="A10" t="s">
        <v>24</v>
      </c>
      <c r="E10">
        <v>5</v>
      </c>
      <c r="I10">
        <f t="shared" si="7"/>
        <v>25</v>
      </c>
      <c r="J10" t="str">
        <f t="array" aca="1" ref="J10" ca="1">IFERROR(IF(OR(COUNTIF(INDIRECT("数出表_Excel!"&amp;P10&amp;"3"),"*キャラ*"),
COUNTIF(INDIRECT("数出表_Excel!"&amp;P10&amp;"3"),"*赤*")),
IF(COUNTIF(A10,"*雙葉*"),INDIRECT("数出表_Excel!"&amp;P10&amp;"3"),
INDIRECT("数出表_Excel!"&amp;P10&amp;"3")
&amp;"　"&amp;INDIRECT("数出表_Excel!"&amp;P10&amp;"4")
&amp;INDIRECT("数出表_Excel!"&amp;P10&amp;"5")),
INDIRECT("数出表_Excel!"&amp;P10&amp;"3")),"")</f>
        <v/>
      </c>
      <c r="K10" t="str">
        <f t="array" aca="1" ref="K10" ca="1">IFERROR(IF(OR(COUNTIF(INDIRECT("数出表_Excel!"&amp;Q10&amp;"3"),"*キャラ*"),
COUNTIF(INDIRECT("数出表_Excel!"&amp;Q10&amp;"3"),"*赤*")),
INDIRECT("数出表_Excel!"&amp;Q10&amp;"3")
&amp;"　"&amp;INDIRECT("数出表_Excel!"&amp;Q10&amp;"4")
&amp;INDIRECT("数出表_Excel!"&amp;Q10&amp;"5"),
INDIRECT("数出表_Excel!"&amp;Q10&amp;"3")),"")</f>
        <v/>
      </c>
      <c r="L10" t="str">
        <f t="array" aca="1" ref="L10" ca="1">IFERROR(IF(OR(COUNTIF(INDIRECT("数出表_Excel!"&amp;R10&amp;"3"),"*キャラ*"),
COUNTIF(INDIRECT("数出表_Excel!"&amp;R10&amp;"3"),"*赤*")),
INDIRECT("数出表_Excel!"&amp;R10&amp;"3")
&amp;"　"&amp;INDIRECT("数出表_Excel!"&amp;R10&amp;"4")
&amp;INDIRECT("数出表_Excel!"&amp;R10&amp;"5"),
INDIRECT("数出表_Excel!"&amp;R10&amp;"3")),"")</f>
        <v/>
      </c>
      <c r="M10" t="str">
        <f t="array" aca="1" ref="M10" ca="1">IFERROR(IF(OR(COUNTIF(INDIRECT("数出表_Excel!"&amp;S10&amp;"3"),"*キャラ*"),
COUNTIF(INDIRECT("数出表_Excel!"&amp;S10&amp;"3"),"*赤*")),
INDIRECT("数出表_Excel!"&amp;S10&amp;"3")
&amp;"　"&amp;INDIRECT("数出表_Excel!"&amp;S10&amp;"4")
&amp;INDIRECT("数出表_Excel!"&amp;S10&amp;"5"),
INDIRECT("数出表_Excel!"&amp;S10&amp;"3")),"")</f>
        <v>キャラ弁当　飯あり120</v>
      </c>
      <c r="N10" t="str">
        <f t="array" aca="1" ref="N10" ca="1">IFERROR(IF(OR(COUNTIF(INDIRECT("数出表_Excel!"&amp;T10&amp;"3"),"*キャラ*"),
COUNTIF(INDIRECT("数出表_Excel!"&amp;T10&amp;"3"),"*赤*")),
INDIRECT("数出表_Excel!"&amp;T10&amp;"3")
&amp;"　"&amp;INDIRECT("数出表_Excel!"&amp;T10&amp;"4")
&amp;INDIRECT("数出表_Excel!"&amp;T10&amp;"5"),
INDIRECT("数出表_Excel!"&amp;T10&amp;"3")),"")</f>
        <v/>
      </c>
      <c r="O10" t="str">
        <f t="array" aca="1" ref="O10" ca="1">IFERROR(IF(OR(COUNTIF(INDIRECT("数出表_Excel!"&amp;U10&amp;"3"),"*キャラ*"),
COUNTIF(INDIRECT("数出表_Excel!"&amp;U10&amp;"3"),"*赤*")),
INDIRECT("数出表_Excel!"&amp;U10&amp;"3")
&amp;"　"&amp;INDIRECT("数出表_Excel!"&amp;U10&amp;"4")
&amp;INDIRECT("数出表_Excel!"&amp;U10&amp;"5"),
INDIRECT("数出表_Excel!"&amp;U10&amp;"3")),"")</f>
        <v/>
      </c>
      <c r="P10" t="str">
        <f t="shared" ca="1" si="0"/>
        <v/>
      </c>
      <c r="Q10" t="str">
        <f t="shared" ca="1" si="1"/>
        <v/>
      </c>
      <c r="R10" t="str">
        <f t="shared" ca="1" si="2"/>
        <v/>
      </c>
      <c r="S10" t="str">
        <f t="shared" ca="1" si="3"/>
        <v>D</v>
      </c>
      <c r="T10" t="str">
        <f t="shared" ca="1" si="4"/>
        <v/>
      </c>
      <c r="U10" t="str">
        <f t="shared" ca="1" si="5"/>
        <v/>
      </c>
      <c r="V10" t="str">
        <f t="shared" ca="1" si="6"/>
        <v>D,</v>
      </c>
    </row>
    <row r="11" spans="1:22" x14ac:dyDescent="0.45">
      <c r="A11" t="s">
        <v>25</v>
      </c>
      <c r="B11">
        <v>69</v>
      </c>
      <c r="E11">
        <v>22</v>
      </c>
      <c r="I11">
        <f t="shared" si="7"/>
        <v>27</v>
      </c>
      <c r="J11" t="str">
        <f t="array" aca="1" ref="J11" ca="1">IFERROR(IF(OR(COUNTIF(INDIRECT("数出表_Excel!"&amp;P11&amp;"3"),"*キャラ*"),
COUNTIF(INDIRECT("数出表_Excel!"&amp;P11&amp;"3"),"*赤*")),
IF(COUNTIF(A11,"*雙葉*"),INDIRECT("数出表_Excel!"&amp;P11&amp;"3"),
INDIRECT("数出表_Excel!"&amp;P11&amp;"3")
&amp;"　"&amp;INDIRECT("数出表_Excel!"&amp;P11&amp;"4")
&amp;INDIRECT("数出表_Excel!"&amp;P11&amp;"5")),
INDIRECT("数出表_Excel!"&amp;P11&amp;"3")),"")</f>
        <v>キャラ弁当　飯なし</v>
      </c>
      <c r="K11" t="str">
        <f t="array" aca="1" ref="K11" ca="1">IFERROR(IF(OR(COUNTIF(INDIRECT("数出表_Excel!"&amp;Q11&amp;"3"),"*キャラ*"),
COUNTIF(INDIRECT("数出表_Excel!"&amp;Q11&amp;"3"),"*赤*")),
INDIRECT("数出表_Excel!"&amp;Q11&amp;"3")
&amp;"　"&amp;INDIRECT("数出表_Excel!"&amp;Q11&amp;"4")
&amp;INDIRECT("数出表_Excel!"&amp;Q11&amp;"5"),
INDIRECT("数出表_Excel!"&amp;Q11&amp;"3")),"")</f>
        <v/>
      </c>
      <c r="L11" t="str">
        <f t="array" aca="1" ref="L11" ca="1">IFERROR(IF(OR(COUNTIF(INDIRECT("数出表_Excel!"&amp;R11&amp;"3"),"*キャラ*"),
COUNTIF(INDIRECT("数出表_Excel!"&amp;R11&amp;"3"),"*赤*")),
INDIRECT("数出表_Excel!"&amp;R11&amp;"3")
&amp;"　"&amp;INDIRECT("数出表_Excel!"&amp;R11&amp;"4")
&amp;INDIRECT("数出表_Excel!"&amp;R11&amp;"5"),
INDIRECT("数出表_Excel!"&amp;R11&amp;"3")),"")</f>
        <v/>
      </c>
      <c r="M11" t="str">
        <f t="array" aca="1" ref="M11" ca="1">IFERROR(IF(OR(COUNTIF(INDIRECT("数出表_Excel!"&amp;S11&amp;"3"),"*キャラ*"),
COUNTIF(INDIRECT("数出表_Excel!"&amp;S11&amp;"3"),"*赤*")),
INDIRECT("数出表_Excel!"&amp;S11&amp;"3")
&amp;"　"&amp;INDIRECT("数出表_Excel!"&amp;S11&amp;"4")
&amp;INDIRECT("数出表_Excel!"&amp;S11&amp;"5"),
INDIRECT("数出表_Excel!"&amp;S11&amp;"3")),"")</f>
        <v>キャラ弁当　飯なし</v>
      </c>
      <c r="N11" t="str">
        <f t="array" aca="1" ref="N11" ca="1">IFERROR(IF(OR(COUNTIF(INDIRECT("数出表_Excel!"&amp;T11&amp;"3"),"*キャラ*"),
COUNTIF(INDIRECT("数出表_Excel!"&amp;T11&amp;"3"),"*赤*")),
INDIRECT("数出表_Excel!"&amp;T11&amp;"3")
&amp;"　"&amp;INDIRECT("数出表_Excel!"&amp;T11&amp;"4")
&amp;INDIRECT("数出表_Excel!"&amp;T11&amp;"5"),
INDIRECT("数出表_Excel!"&amp;T11&amp;"3")),"")</f>
        <v/>
      </c>
      <c r="O11" t="str">
        <f t="array" aca="1" ref="O11" ca="1">IFERROR(IF(OR(COUNTIF(INDIRECT("数出表_Excel!"&amp;U11&amp;"3"),"*キャラ*"),
COUNTIF(INDIRECT("数出表_Excel!"&amp;U11&amp;"3"),"*赤*")),
INDIRECT("数出表_Excel!"&amp;U11&amp;"3")
&amp;"　"&amp;INDIRECT("数出表_Excel!"&amp;U11&amp;"4")
&amp;INDIRECT("数出表_Excel!"&amp;U11&amp;"5"),
INDIRECT("数出表_Excel!"&amp;U11&amp;"3")),"")</f>
        <v/>
      </c>
      <c r="P11" t="str">
        <f t="shared" ca="1" si="0"/>
        <v>F</v>
      </c>
      <c r="Q11" t="str">
        <f t="shared" ca="1" si="1"/>
        <v/>
      </c>
      <c r="R11" t="str">
        <f t="shared" ca="1" si="2"/>
        <v/>
      </c>
      <c r="S11" t="str">
        <f t="shared" ca="1" si="3"/>
        <v>F</v>
      </c>
      <c r="T11" t="str">
        <f t="shared" ca="1" si="4"/>
        <v/>
      </c>
      <c r="U11" t="str">
        <f t="shared" ca="1" si="5"/>
        <v/>
      </c>
      <c r="V11" t="str">
        <f t="shared" ca="1" si="6"/>
        <v>F,</v>
      </c>
    </row>
    <row r="12" spans="1:22" x14ac:dyDescent="0.45">
      <c r="A12" t="s">
        <v>26</v>
      </c>
      <c r="B12">
        <v>360</v>
      </c>
      <c r="I12">
        <f t="shared" si="7"/>
        <v>29</v>
      </c>
      <c r="J12" t="str">
        <f t="array" aca="1" ref="J12" ca="1">IFERROR(IF(OR(COUNTIF(INDIRECT("数出表_Excel!"&amp;P12&amp;"3"),"*キャラ*"),
COUNTIF(INDIRECT("数出表_Excel!"&amp;P12&amp;"3"),"*赤*")),
IF(COUNTIF(A12,"*雙葉*"),INDIRECT("数出表_Excel!"&amp;P12&amp;"3"),
INDIRECT("数出表_Excel!"&amp;P12&amp;"3")
&amp;"　"&amp;INDIRECT("数出表_Excel!"&amp;P12&amp;"4")
&amp;INDIRECT("数出表_Excel!"&amp;P12&amp;"5")),
INDIRECT("数出表_Excel!"&amp;P12&amp;"3")),"")</f>
        <v>キャラ弁当　飯なし</v>
      </c>
      <c r="K12" t="str">
        <f t="array" aca="1" ref="K12" ca="1">IFERROR(IF(OR(COUNTIF(INDIRECT("数出表_Excel!"&amp;Q12&amp;"3"),"*キャラ*"),
COUNTIF(INDIRECT("数出表_Excel!"&amp;Q12&amp;"3"),"*赤*")),
INDIRECT("数出表_Excel!"&amp;Q12&amp;"3")
&amp;"　"&amp;INDIRECT("数出表_Excel!"&amp;Q12&amp;"4")
&amp;INDIRECT("数出表_Excel!"&amp;Q12&amp;"5"),
INDIRECT("数出表_Excel!"&amp;Q12&amp;"3")),"")</f>
        <v/>
      </c>
      <c r="L12" t="str">
        <f t="array" aca="1" ref="L12" ca="1">IFERROR(IF(OR(COUNTIF(INDIRECT("数出表_Excel!"&amp;R12&amp;"3"),"*キャラ*"),
COUNTIF(INDIRECT("数出表_Excel!"&amp;R12&amp;"3"),"*赤*")),
INDIRECT("数出表_Excel!"&amp;R12&amp;"3")
&amp;"　"&amp;INDIRECT("数出表_Excel!"&amp;R12&amp;"4")
&amp;INDIRECT("数出表_Excel!"&amp;R12&amp;"5"),
INDIRECT("数出表_Excel!"&amp;R12&amp;"3")),"")</f>
        <v/>
      </c>
      <c r="M12" t="str">
        <f t="array" aca="1" ref="M12" ca="1">IFERROR(IF(OR(COUNTIF(INDIRECT("数出表_Excel!"&amp;S12&amp;"3"),"*キャラ*"),
COUNTIF(INDIRECT("数出表_Excel!"&amp;S12&amp;"3"),"*赤*")),
INDIRECT("数出表_Excel!"&amp;S12&amp;"3")
&amp;"　"&amp;INDIRECT("数出表_Excel!"&amp;S12&amp;"4")
&amp;INDIRECT("数出表_Excel!"&amp;S12&amp;"5"),
INDIRECT("数出表_Excel!"&amp;S12&amp;"3")),"")</f>
        <v/>
      </c>
      <c r="N12" t="str">
        <f t="array" aca="1" ref="N12" ca="1">IFERROR(IF(OR(COUNTIF(INDIRECT("数出表_Excel!"&amp;T12&amp;"3"),"*キャラ*"),
COUNTIF(INDIRECT("数出表_Excel!"&amp;T12&amp;"3"),"*赤*")),
INDIRECT("数出表_Excel!"&amp;T12&amp;"3")
&amp;"　"&amp;INDIRECT("数出表_Excel!"&amp;T12&amp;"4")
&amp;INDIRECT("数出表_Excel!"&amp;T12&amp;"5"),
INDIRECT("数出表_Excel!"&amp;T12&amp;"3")),"")</f>
        <v/>
      </c>
      <c r="O12" t="str">
        <f t="array" aca="1" ref="O12" ca="1">IFERROR(IF(OR(COUNTIF(INDIRECT("数出表_Excel!"&amp;U12&amp;"3"),"*キャラ*"),
COUNTIF(INDIRECT("数出表_Excel!"&amp;U12&amp;"3"),"*赤*")),
INDIRECT("数出表_Excel!"&amp;U12&amp;"3")
&amp;"　"&amp;INDIRECT("数出表_Excel!"&amp;U12&amp;"4")
&amp;INDIRECT("数出表_Excel!"&amp;U12&amp;"5"),
INDIRECT("数出表_Excel!"&amp;U12&amp;"3")),"")</f>
        <v/>
      </c>
      <c r="P12" t="str">
        <f t="shared" ca="1" si="0"/>
        <v>F</v>
      </c>
      <c r="Q12" t="str">
        <f t="shared" ca="1" si="1"/>
        <v/>
      </c>
      <c r="R12" t="str">
        <f t="shared" ca="1" si="2"/>
        <v/>
      </c>
      <c r="S12" t="str">
        <f t="shared" ca="1" si="3"/>
        <v/>
      </c>
      <c r="T12" t="str">
        <f t="shared" ca="1" si="4"/>
        <v/>
      </c>
      <c r="U12" t="str">
        <f t="shared" ca="1" si="5"/>
        <v/>
      </c>
      <c r="V12" t="str">
        <f t="shared" ca="1" si="6"/>
        <v>F,</v>
      </c>
    </row>
    <row r="13" spans="1:22" x14ac:dyDescent="0.45">
      <c r="A13" t="s">
        <v>27</v>
      </c>
      <c r="E13">
        <v>13</v>
      </c>
      <c r="I13">
        <f t="shared" si="7"/>
        <v>31</v>
      </c>
      <c r="J13" t="str">
        <f t="array" aca="1" ref="J13" ca="1">IFERROR(IF(OR(COUNTIF(INDIRECT("数出表_Excel!"&amp;P13&amp;"3"),"*キャラ*"),
COUNTIF(INDIRECT("数出表_Excel!"&amp;P13&amp;"3"),"*赤*")),
IF(COUNTIF(A13,"*雙葉*"),INDIRECT("数出表_Excel!"&amp;P13&amp;"3"),
INDIRECT("数出表_Excel!"&amp;P13&amp;"3")
&amp;"　"&amp;INDIRECT("数出表_Excel!"&amp;P13&amp;"4")
&amp;INDIRECT("数出表_Excel!"&amp;P13&amp;"5")),
INDIRECT("数出表_Excel!"&amp;P13&amp;"3")),"")</f>
        <v/>
      </c>
      <c r="K13" t="str">
        <f t="array" aca="1" ref="K13" ca="1">IFERROR(IF(OR(COUNTIF(INDIRECT("数出表_Excel!"&amp;Q13&amp;"3"),"*キャラ*"),
COUNTIF(INDIRECT("数出表_Excel!"&amp;Q13&amp;"3"),"*赤*")),
INDIRECT("数出表_Excel!"&amp;Q13&amp;"3")
&amp;"　"&amp;INDIRECT("数出表_Excel!"&amp;Q13&amp;"4")
&amp;INDIRECT("数出表_Excel!"&amp;Q13&amp;"5"),
INDIRECT("数出表_Excel!"&amp;Q13&amp;"3")),"")</f>
        <v/>
      </c>
      <c r="L13" t="str">
        <f t="array" aca="1" ref="L13" ca="1">IFERROR(IF(OR(COUNTIF(INDIRECT("数出表_Excel!"&amp;R13&amp;"3"),"*キャラ*"),
COUNTIF(INDIRECT("数出表_Excel!"&amp;R13&amp;"3"),"*赤*")),
INDIRECT("数出表_Excel!"&amp;R13&amp;"3")
&amp;"　"&amp;INDIRECT("数出表_Excel!"&amp;R13&amp;"4")
&amp;INDIRECT("数出表_Excel!"&amp;R13&amp;"5"),
INDIRECT("数出表_Excel!"&amp;R13&amp;"3")),"")</f>
        <v/>
      </c>
      <c r="M13" t="str">
        <f t="array" aca="1" ref="M13" ca="1">IFERROR(IF(OR(COUNTIF(INDIRECT("数出表_Excel!"&amp;S13&amp;"3"),"*キャラ*"),
COUNTIF(INDIRECT("数出表_Excel!"&amp;S13&amp;"3"),"*赤*")),
INDIRECT("数出表_Excel!"&amp;S13&amp;"3")
&amp;"　"&amp;INDIRECT("数出表_Excel!"&amp;S13&amp;"4")
&amp;INDIRECT("数出表_Excel!"&amp;S13&amp;"5"),
INDIRECT("数出表_Excel!"&amp;S13&amp;"3")),"")</f>
        <v>キャラ弁当　飯あり120</v>
      </c>
      <c r="N13" t="str">
        <f t="array" aca="1" ref="N13" ca="1">IFERROR(IF(OR(COUNTIF(INDIRECT("数出表_Excel!"&amp;T13&amp;"3"),"*キャラ*"),
COUNTIF(INDIRECT("数出表_Excel!"&amp;T13&amp;"3"),"*赤*")),
INDIRECT("数出表_Excel!"&amp;T13&amp;"3")
&amp;"　"&amp;INDIRECT("数出表_Excel!"&amp;T13&amp;"4")
&amp;INDIRECT("数出表_Excel!"&amp;T13&amp;"5"),
INDIRECT("数出表_Excel!"&amp;T13&amp;"3")),"")</f>
        <v/>
      </c>
      <c r="O13" t="str">
        <f t="array" aca="1" ref="O13" ca="1">IFERROR(IF(OR(COUNTIF(INDIRECT("数出表_Excel!"&amp;U13&amp;"3"),"*キャラ*"),
COUNTIF(INDIRECT("数出表_Excel!"&amp;U13&amp;"3"),"*赤*")),
INDIRECT("数出表_Excel!"&amp;U13&amp;"3")
&amp;"　"&amp;INDIRECT("数出表_Excel!"&amp;U13&amp;"4")
&amp;INDIRECT("数出表_Excel!"&amp;U13&amp;"5"),
INDIRECT("数出表_Excel!"&amp;U13&amp;"3")),"")</f>
        <v/>
      </c>
      <c r="P13" t="str">
        <f t="shared" ca="1" si="0"/>
        <v/>
      </c>
      <c r="Q13" t="str">
        <f t="shared" ca="1" si="1"/>
        <v/>
      </c>
      <c r="R13" t="str">
        <f t="shared" ca="1" si="2"/>
        <v/>
      </c>
      <c r="S13" t="str">
        <f t="shared" ca="1" si="3"/>
        <v>D</v>
      </c>
      <c r="T13" t="str">
        <f t="shared" ca="1" si="4"/>
        <v/>
      </c>
      <c r="U13" t="str">
        <f t="shared" ca="1" si="5"/>
        <v/>
      </c>
      <c r="V13" t="str">
        <f t="shared" ca="1" si="6"/>
        <v>D,</v>
      </c>
    </row>
    <row r="14" spans="1:22" x14ac:dyDescent="0.45">
      <c r="A14" t="s">
        <v>28</v>
      </c>
      <c r="B14">
        <v>61</v>
      </c>
      <c r="I14">
        <f t="shared" si="7"/>
        <v>33</v>
      </c>
      <c r="J14" t="str">
        <f t="array" aca="1" ref="J14" ca="1">IFERROR(IF(OR(COUNTIF(INDIRECT("数出表_Excel!"&amp;P14&amp;"3"),"*キャラ*"),
COUNTIF(INDIRECT("数出表_Excel!"&amp;P14&amp;"3"),"*赤*")),
IF(COUNTIF(A14,"*雙葉*"),INDIRECT("数出表_Excel!"&amp;P14&amp;"3"),
INDIRECT("数出表_Excel!"&amp;P14&amp;"3")
&amp;"　"&amp;INDIRECT("数出表_Excel!"&amp;P14&amp;"4")
&amp;INDIRECT("数出表_Excel!"&amp;P14&amp;"5")),
INDIRECT("数出表_Excel!"&amp;P14&amp;"3")),"")</f>
        <v>パンカップ　</v>
      </c>
      <c r="K14" t="str">
        <f t="array" aca="1" ref="K14" ca="1">IFERROR(IF(OR(COUNTIF(INDIRECT("数出表_Excel!"&amp;Q14&amp;"3"),"*キャラ*"),
COUNTIF(INDIRECT("数出表_Excel!"&amp;Q14&amp;"3"),"*赤*")),
INDIRECT("数出表_Excel!"&amp;Q14&amp;"3")
&amp;"　"&amp;INDIRECT("数出表_Excel!"&amp;Q14&amp;"4")
&amp;INDIRECT("数出表_Excel!"&amp;Q14&amp;"5"),
INDIRECT("数出表_Excel!"&amp;Q14&amp;"3")),"")</f>
        <v/>
      </c>
      <c r="L14" t="str">
        <f t="array" aca="1" ref="L14" ca="1">IFERROR(IF(OR(COUNTIF(INDIRECT("数出表_Excel!"&amp;R14&amp;"3"),"*キャラ*"),
COUNTIF(INDIRECT("数出表_Excel!"&amp;R14&amp;"3"),"*赤*")),
INDIRECT("数出表_Excel!"&amp;R14&amp;"3")
&amp;"　"&amp;INDIRECT("数出表_Excel!"&amp;R14&amp;"4")
&amp;INDIRECT("数出表_Excel!"&amp;R14&amp;"5"),
INDIRECT("数出表_Excel!"&amp;R14&amp;"3")),"")</f>
        <v/>
      </c>
      <c r="M14" t="str">
        <f t="array" aca="1" ref="M14" ca="1">IFERROR(IF(OR(COUNTIF(INDIRECT("数出表_Excel!"&amp;S14&amp;"3"),"*キャラ*"),
COUNTIF(INDIRECT("数出表_Excel!"&amp;S14&amp;"3"),"*赤*")),
INDIRECT("数出表_Excel!"&amp;S14&amp;"3")
&amp;"　"&amp;INDIRECT("数出表_Excel!"&amp;S14&amp;"4")
&amp;INDIRECT("数出表_Excel!"&amp;S14&amp;"5"),
INDIRECT("数出表_Excel!"&amp;S14&amp;"3")),"")</f>
        <v/>
      </c>
      <c r="N14" t="str">
        <f t="array" aca="1" ref="N14" ca="1">IFERROR(IF(OR(COUNTIF(INDIRECT("数出表_Excel!"&amp;T14&amp;"3"),"*キャラ*"),
COUNTIF(INDIRECT("数出表_Excel!"&amp;T14&amp;"3"),"*赤*")),
INDIRECT("数出表_Excel!"&amp;T14&amp;"3")
&amp;"　"&amp;INDIRECT("数出表_Excel!"&amp;T14&amp;"4")
&amp;INDIRECT("数出表_Excel!"&amp;T14&amp;"5"),
INDIRECT("数出表_Excel!"&amp;T14&amp;"3")),"")</f>
        <v/>
      </c>
      <c r="O14" t="str">
        <f t="array" aca="1" ref="O14" ca="1">IFERROR(IF(OR(COUNTIF(INDIRECT("数出表_Excel!"&amp;U14&amp;"3"),"*キャラ*"),
COUNTIF(INDIRECT("数出表_Excel!"&amp;U14&amp;"3"),"*赤*")),
INDIRECT("数出表_Excel!"&amp;U14&amp;"3")
&amp;"　"&amp;INDIRECT("数出表_Excel!"&amp;U14&amp;"4")
&amp;INDIRECT("数出表_Excel!"&amp;U14&amp;"5"),
INDIRECT("数出表_Excel!"&amp;U14&amp;"3")),"")</f>
        <v/>
      </c>
      <c r="P14" t="str">
        <f t="shared" ca="1" si="0"/>
        <v>L</v>
      </c>
      <c r="Q14" t="str">
        <f t="shared" ca="1" si="1"/>
        <v/>
      </c>
      <c r="R14" t="str">
        <f t="shared" ca="1" si="2"/>
        <v/>
      </c>
      <c r="S14" t="str">
        <f t="shared" ca="1" si="3"/>
        <v/>
      </c>
      <c r="T14" t="str">
        <f t="shared" ca="1" si="4"/>
        <v/>
      </c>
      <c r="U14" t="str">
        <f t="shared" ca="1" si="5"/>
        <v/>
      </c>
      <c r="V14" t="str">
        <f t="shared" ca="1" si="6"/>
        <v>L,</v>
      </c>
    </row>
    <row r="15" spans="1:22" x14ac:dyDescent="0.45">
      <c r="A15" t="s">
        <v>29</v>
      </c>
      <c r="B15">
        <v>1</v>
      </c>
      <c r="I15">
        <f t="shared" si="7"/>
        <v>35</v>
      </c>
      <c r="J15" t="str">
        <f t="array" aca="1" ref="J15" ca="1">IFERROR(IF(OR(COUNTIF(INDIRECT("数出表_Excel!"&amp;P15&amp;"3"),"*キャラ*"),
COUNTIF(INDIRECT("数出表_Excel!"&amp;P15&amp;"3"),"*赤*")),
IF(COUNTIF(A15,"*雙葉*"),INDIRECT("数出表_Excel!"&amp;P15&amp;"3"),
INDIRECT("数出表_Excel!"&amp;P15&amp;"3")
&amp;"　"&amp;INDIRECT("数出表_Excel!"&amp;P15&amp;"4")
&amp;INDIRECT("数出表_Excel!"&amp;P15&amp;"5")),
INDIRECT("数出表_Excel!"&amp;P15&amp;"3")),"")</f>
        <v>パンカップ　</v>
      </c>
      <c r="K15" t="str">
        <f t="array" aca="1" ref="K15" ca="1">IFERROR(IF(OR(COUNTIF(INDIRECT("数出表_Excel!"&amp;Q15&amp;"3"),"*キャラ*"),
COUNTIF(INDIRECT("数出表_Excel!"&amp;Q15&amp;"3"),"*赤*")),
INDIRECT("数出表_Excel!"&amp;Q15&amp;"3")
&amp;"　"&amp;INDIRECT("数出表_Excel!"&amp;Q15&amp;"4")
&amp;INDIRECT("数出表_Excel!"&amp;Q15&amp;"5"),
INDIRECT("数出表_Excel!"&amp;Q15&amp;"3")),"")</f>
        <v/>
      </c>
      <c r="L15" t="str">
        <f t="array" aca="1" ref="L15" ca="1">IFERROR(IF(OR(COUNTIF(INDIRECT("数出表_Excel!"&amp;R15&amp;"3"),"*キャラ*"),
COUNTIF(INDIRECT("数出表_Excel!"&amp;R15&amp;"3"),"*赤*")),
INDIRECT("数出表_Excel!"&amp;R15&amp;"3")
&amp;"　"&amp;INDIRECT("数出表_Excel!"&amp;R15&amp;"4")
&amp;INDIRECT("数出表_Excel!"&amp;R15&amp;"5"),
INDIRECT("数出表_Excel!"&amp;R15&amp;"3")),"")</f>
        <v/>
      </c>
      <c r="M15" t="str">
        <f t="array" aca="1" ref="M15" ca="1">IFERROR(IF(OR(COUNTIF(INDIRECT("数出表_Excel!"&amp;S15&amp;"3"),"*キャラ*"),
COUNTIF(INDIRECT("数出表_Excel!"&amp;S15&amp;"3"),"*赤*")),
INDIRECT("数出表_Excel!"&amp;S15&amp;"3")
&amp;"　"&amp;INDIRECT("数出表_Excel!"&amp;S15&amp;"4")
&amp;INDIRECT("数出表_Excel!"&amp;S15&amp;"5"),
INDIRECT("数出表_Excel!"&amp;S15&amp;"3")),"")</f>
        <v/>
      </c>
      <c r="N15" t="str">
        <f t="array" aca="1" ref="N15" ca="1">IFERROR(IF(OR(COUNTIF(INDIRECT("数出表_Excel!"&amp;T15&amp;"3"),"*キャラ*"),
COUNTIF(INDIRECT("数出表_Excel!"&amp;T15&amp;"3"),"*赤*")),
INDIRECT("数出表_Excel!"&amp;T15&amp;"3")
&amp;"　"&amp;INDIRECT("数出表_Excel!"&amp;T15&amp;"4")
&amp;INDIRECT("数出表_Excel!"&amp;T15&amp;"5"),
INDIRECT("数出表_Excel!"&amp;T15&amp;"3")),"")</f>
        <v/>
      </c>
      <c r="O15" t="str">
        <f t="array" aca="1" ref="O15" ca="1">IFERROR(IF(OR(COUNTIF(INDIRECT("数出表_Excel!"&amp;U15&amp;"3"),"*キャラ*"),
COUNTIF(INDIRECT("数出表_Excel!"&amp;U15&amp;"3"),"*赤*")),
INDIRECT("数出表_Excel!"&amp;U15&amp;"3")
&amp;"　"&amp;INDIRECT("数出表_Excel!"&amp;U15&amp;"4")
&amp;INDIRECT("数出表_Excel!"&amp;U15&amp;"5"),
INDIRECT("数出表_Excel!"&amp;U15&amp;"3")),"")</f>
        <v/>
      </c>
      <c r="P15" t="str">
        <f t="shared" ca="1" si="0"/>
        <v>L</v>
      </c>
      <c r="Q15" t="str">
        <f t="shared" ca="1" si="1"/>
        <v/>
      </c>
      <c r="R15" t="str">
        <f t="shared" ca="1" si="2"/>
        <v/>
      </c>
      <c r="S15" t="str">
        <f t="shared" ca="1" si="3"/>
        <v/>
      </c>
      <c r="T15" t="str">
        <f t="shared" ca="1" si="4"/>
        <v/>
      </c>
      <c r="U15" t="str">
        <f t="shared" ca="1" si="5"/>
        <v/>
      </c>
      <c r="V15" t="str">
        <f t="shared" ca="1" si="6"/>
        <v>L,</v>
      </c>
    </row>
    <row r="16" spans="1:22" x14ac:dyDescent="0.45">
      <c r="A16" t="s">
        <v>30</v>
      </c>
      <c r="B16">
        <v>5</v>
      </c>
      <c r="I16">
        <f t="shared" si="7"/>
        <v>37</v>
      </c>
      <c r="J16" t="str">
        <f t="array" aca="1" ref="J16" ca="1">IFERROR(IF(OR(COUNTIF(INDIRECT("数出表_Excel!"&amp;P16&amp;"3"),"*キャラ*"),
COUNTIF(INDIRECT("数出表_Excel!"&amp;P16&amp;"3"),"*赤*")),
IF(COUNTIF(A16,"*雙葉*"),INDIRECT("数出表_Excel!"&amp;P16&amp;"3"),
INDIRECT("数出表_Excel!"&amp;P16&amp;"3")
&amp;"　"&amp;INDIRECT("数出表_Excel!"&amp;P16&amp;"4")
&amp;INDIRECT("数出表_Excel!"&amp;P16&amp;"5")),
INDIRECT("数出表_Excel!"&amp;P16&amp;"3")),"")</f>
        <v>パンカップ　</v>
      </c>
      <c r="K16" t="str">
        <f t="array" aca="1" ref="K16" ca="1">IFERROR(IF(OR(COUNTIF(INDIRECT("数出表_Excel!"&amp;Q16&amp;"3"),"*キャラ*"),
COUNTIF(INDIRECT("数出表_Excel!"&amp;Q16&amp;"3"),"*赤*")),
INDIRECT("数出表_Excel!"&amp;Q16&amp;"3")
&amp;"　"&amp;INDIRECT("数出表_Excel!"&amp;Q16&amp;"4")
&amp;INDIRECT("数出表_Excel!"&amp;Q16&amp;"5"),
INDIRECT("数出表_Excel!"&amp;Q16&amp;"3")),"")</f>
        <v/>
      </c>
      <c r="L16" t="str">
        <f t="array" aca="1" ref="L16" ca="1">IFERROR(IF(OR(COUNTIF(INDIRECT("数出表_Excel!"&amp;R16&amp;"3"),"*キャラ*"),
COUNTIF(INDIRECT("数出表_Excel!"&amp;R16&amp;"3"),"*赤*")),
INDIRECT("数出表_Excel!"&amp;R16&amp;"3")
&amp;"　"&amp;INDIRECT("数出表_Excel!"&amp;R16&amp;"4")
&amp;INDIRECT("数出表_Excel!"&amp;R16&amp;"5"),
INDIRECT("数出表_Excel!"&amp;R16&amp;"3")),"")</f>
        <v/>
      </c>
      <c r="M16" t="str">
        <f t="array" aca="1" ref="M16" ca="1">IFERROR(IF(OR(COUNTIF(INDIRECT("数出表_Excel!"&amp;S16&amp;"3"),"*キャラ*"),
COUNTIF(INDIRECT("数出表_Excel!"&amp;S16&amp;"3"),"*赤*")),
INDIRECT("数出表_Excel!"&amp;S16&amp;"3")
&amp;"　"&amp;INDIRECT("数出表_Excel!"&amp;S16&amp;"4")
&amp;INDIRECT("数出表_Excel!"&amp;S16&amp;"5"),
INDIRECT("数出表_Excel!"&amp;S16&amp;"3")),"")</f>
        <v/>
      </c>
      <c r="N16" t="str">
        <f t="array" aca="1" ref="N16" ca="1">IFERROR(IF(OR(COUNTIF(INDIRECT("数出表_Excel!"&amp;T16&amp;"3"),"*キャラ*"),
COUNTIF(INDIRECT("数出表_Excel!"&amp;T16&amp;"3"),"*赤*")),
INDIRECT("数出表_Excel!"&amp;T16&amp;"3")
&amp;"　"&amp;INDIRECT("数出表_Excel!"&amp;T16&amp;"4")
&amp;INDIRECT("数出表_Excel!"&amp;T16&amp;"5"),
INDIRECT("数出表_Excel!"&amp;T16&amp;"3")),"")</f>
        <v/>
      </c>
      <c r="O16" t="str">
        <f t="array" aca="1" ref="O16" ca="1">IFERROR(IF(OR(COUNTIF(INDIRECT("数出表_Excel!"&amp;U16&amp;"3"),"*キャラ*"),
COUNTIF(INDIRECT("数出表_Excel!"&amp;U16&amp;"3"),"*赤*")),
INDIRECT("数出表_Excel!"&amp;U16&amp;"3")
&amp;"　"&amp;INDIRECT("数出表_Excel!"&amp;U16&amp;"4")
&amp;INDIRECT("数出表_Excel!"&amp;U16&amp;"5"),
INDIRECT("数出表_Excel!"&amp;U16&amp;"3")),"")</f>
        <v/>
      </c>
      <c r="P16" t="str">
        <f t="shared" ca="1" si="0"/>
        <v>L</v>
      </c>
      <c r="Q16" t="str">
        <f t="shared" ca="1" si="1"/>
        <v/>
      </c>
      <c r="R16" t="str">
        <f t="shared" ca="1" si="2"/>
        <v/>
      </c>
      <c r="S16" t="str">
        <f t="shared" ca="1" si="3"/>
        <v/>
      </c>
      <c r="T16" t="str">
        <f t="shared" ca="1" si="4"/>
        <v/>
      </c>
      <c r="U16" t="str">
        <f t="shared" ca="1" si="5"/>
        <v/>
      </c>
      <c r="V16" t="str">
        <f t="shared" ca="1" si="6"/>
        <v>L,</v>
      </c>
    </row>
    <row r="17" spans="1:22" x14ac:dyDescent="0.45">
      <c r="A17" t="s">
        <v>31</v>
      </c>
      <c r="B17">
        <v>7</v>
      </c>
      <c r="I17">
        <f t="shared" si="7"/>
        <v>39</v>
      </c>
      <c r="J17" t="str">
        <f t="array" aca="1" ref="J17" ca="1">IFERROR(IF(OR(COUNTIF(INDIRECT("数出表_Excel!"&amp;P17&amp;"3"),"*キャラ*"),
COUNTIF(INDIRECT("数出表_Excel!"&amp;P17&amp;"3"),"*赤*")),
IF(COUNTIF(A17,"*雙葉*"),INDIRECT("数出表_Excel!"&amp;P17&amp;"3"),
INDIRECT("数出表_Excel!"&amp;P17&amp;"3")
&amp;"　"&amp;INDIRECT("数出表_Excel!"&amp;P17&amp;"4")
&amp;INDIRECT("数出表_Excel!"&amp;P17&amp;"5")),
INDIRECT("数出表_Excel!"&amp;P17&amp;"3")),"")</f>
        <v>赤　飯あり120</v>
      </c>
      <c r="K17" t="str">
        <f t="array" aca="1" ref="K17" ca="1">IFERROR(IF(OR(COUNTIF(INDIRECT("数出表_Excel!"&amp;Q17&amp;"3"),"*キャラ*"),
COUNTIF(INDIRECT("数出表_Excel!"&amp;Q17&amp;"3"),"*赤*")),
INDIRECT("数出表_Excel!"&amp;Q17&amp;"3")
&amp;"　"&amp;INDIRECT("数出表_Excel!"&amp;Q17&amp;"4")
&amp;INDIRECT("数出表_Excel!"&amp;Q17&amp;"5"),
INDIRECT("数出表_Excel!"&amp;Q17&amp;"3")),"")</f>
        <v/>
      </c>
      <c r="L17" t="str">
        <f t="array" aca="1" ref="L17" ca="1">IFERROR(IF(OR(COUNTIF(INDIRECT("数出表_Excel!"&amp;R17&amp;"3"),"*キャラ*"),
COUNTIF(INDIRECT("数出表_Excel!"&amp;R17&amp;"3"),"*赤*")),
INDIRECT("数出表_Excel!"&amp;R17&amp;"3")
&amp;"　"&amp;INDIRECT("数出表_Excel!"&amp;R17&amp;"4")
&amp;INDIRECT("数出表_Excel!"&amp;R17&amp;"5"),
INDIRECT("数出表_Excel!"&amp;R17&amp;"3")),"")</f>
        <v/>
      </c>
      <c r="M17" t="str">
        <f t="array" aca="1" ref="M17" ca="1">IFERROR(IF(OR(COUNTIF(INDIRECT("数出表_Excel!"&amp;S17&amp;"3"),"*キャラ*"),
COUNTIF(INDIRECT("数出表_Excel!"&amp;S17&amp;"3"),"*赤*")),
INDIRECT("数出表_Excel!"&amp;S17&amp;"3")
&amp;"　"&amp;INDIRECT("数出表_Excel!"&amp;S17&amp;"4")
&amp;INDIRECT("数出表_Excel!"&amp;S17&amp;"5"),
INDIRECT("数出表_Excel!"&amp;S17&amp;"3")),"")</f>
        <v/>
      </c>
      <c r="N17" t="str">
        <f t="array" aca="1" ref="N17" ca="1">IFERROR(IF(OR(COUNTIF(INDIRECT("数出表_Excel!"&amp;T17&amp;"3"),"*キャラ*"),
COUNTIF(INDIRECT("数出表_Excel!"&amp;T17&amp;"3"),"*赤*")),
INDIRECT("数出表_Excel!"&amp;T17&amp;"3")
&amp;"　"&amp;INDIRECT("数出表_Excel!"&amp;T17&amp;"4")
&amp;INDIRECT("数出表_Excel!"&amp;T17&amp;"5"),
INDIRECT("数出表_Excel!"&amp;T17&amp;"3")),"")</f>
        <v/>
      </c>
      <c r="O17" t="str">
        <f t="array" aca="1" ref="O17" ca="1">IFERROR(IF(OR(COUNTIF(INDIRECT("数出表_Excel!"&amp;U17&amp;"3"),"*キャラ*"),
COUNTIF(INDIRECT("数出表_Excel!"&amp;U17&amp;"3"),"*赤*")),
INDIRECT("数出表_Excel!"&amp;U17&amp;"3")
&amp;"　"&amp;INDIRECT("数出表_Excel!"&amp;U17&amp;"4")
&amp;INDIRECT("数出表_Excel!"&amp;U17&amp;"5"),
INDIRECT("数出表_Excel!"&amp;U17&amp;"3")),"")</f>
        <v/>
      </c>
      <c r="P17" t="str">
        <f t="shared" ca="1" si="0"/>
        <v>G</v>
      </c>
      <c r="Q17" t="str">
        <f t="shared" ca="1" si="1"/>
        <v/>
      </c>
      <c r="R17" t="str">
        <f t="shared" ca="1" si="2"/>
        <v/>
      </c>
      <c r="S17" t="str">
        <f t="shared" ca="1" si="3"/>
        <v/>
      </c>
      <c r="T17" t="str">
        <f t="shared" ca="1" si="4"/>
        <v/>
      </c>
      <c r="U17" t="str">
        <f t="shared" ca="1" si="5"/>
        <v/>
      </c>
      <c r="V17" t="str">
        <f t="shared" ca="1" si="6"/>
        <v>G,</v>
      </c>
    </row>
    <row r="18" spans="1:22" x14ac:dyDescent="0.45">
      <c r="A18" t="s">
        <v>32</v>
      </c>
      <c r="B18">
        <v>108</v>
      </c>
      <c r="E18">
        <v>17</v>
      </c>
      <c r="I18">
        <f t="shared" si="7"/>
        <v>41</v>
      </c>
      <c r="J18" t="str" cm="1">
        <f t="array" aca="1" ref="J18" ca="1">IFERROR(IF(OR(COUNTIF(INDIRECT("数出表_Excel!"&amp;P18&amp;"3"),"*キャラ*"),
COUNTIF(INDIRECT("数出表_Excel!"&amp;P18&amp;"3"),"*赤*")),
IF(COUNTIF(A18,"*雙葉*"),INDIRECT("数出表_Excel!"&amp;P18&amp;"3"),
INDIRECT("数出表_Excel!"&amp;P18&amp;"3")
&amp;"　"&amp;INDIRECT("数出表_Excel!"&amp;P18&amp;"4")
&amp;INDIRECT("数出表_Excel!"&amp;P18&amp;"5")),
INDIRECT("数出表_Excel!"&amp;P18&amp;"3")),"")</f>
        <v>どんぶり給</v>
      </c>
      <c r="K18" t="str">
        <f t="array" aca="1" ref="K18" ca="1">IFERROR(IF(OR(COUNTIF(INDIRECT("数出表_Excel!"&amp;Q18&amp;"3"),"*キャラ*"),
COUNTIF(INDIRECT("数出表_Excel!"&amp;Q18&amp;"3"),"*赤*")),
INDIRECT("数出表_Excel!"&amp;Q18&amp;"3")
&amp;"　"&amp;INDIRECT("数出表_Excel!"&amp;Q18&amp;"4")
&amp;INDIRECT("数出表_Excel!"&amp;Q18&amp;"5"),
INDIRECT("数出表_Excel!"&amp;Q18&amp;"3")),"")</f>
        <v/>
      </c>
      <c r="L18" t="str">
        <f t="array" aca="1" ref="L18" ca="1">IFERROR(IF(OR(COUNTIF(INDIRECT("数出表_Excel!"&amp;R18&amp;"3"),"*キャラ*"),
COUNTIF(INDIRECT("数出表_Excel!"&amp;R18&amp;"3"),"*赤*")),
INDIRECT("数出表_Excel!"&amp;R18&amp;"3")
&amp;"　"&amp;INDIRECT("数出表_Excel!"&amp;R18&amp;"4")
&amp;INDIRECT("数出表_Excel!"&amp;R18&amp;"5"),
INDIRECT("数出表_Excel!"&amp;R18&amp;"3")),"")</f>
        <v/>
      </c>
      <c r="M18" t="str">
        <f t="array" aca="1" ref="M18" ca="1">IFERROR(IF(OR(COUNTIF(INDIRECT("数出表_Excel!"&amp;S18&amp;"3"),"*キャラ*"),
COUNTIF(INDIRECT("数出表_Excel!"&amp;S18&amp;"3"),"*赤*")),
INDIRECT("数出表_Excel!"&amp;S18&amp;"3")
&amp;"　"&amp;INDIRECT("数出表_Excel!"&amp;S18&amp;"4")
&amp;INDIRECT("数出表_Excel!"&amp;S18&amp;"5"),
INDIRECT("数出表_Excel!"&amp;S18&amp;"3")),"")</f>
        <v>どんぶり給</v>
      </c>
      <c r="N18" t="str">
        <f t="array" aca="1" ref="N18" ca="1">IFERROR(IF(OR(COUNTIF(INDIRECT("数出表_Excel!"&amp;T18&amp;"3"),"*キャラ*"),
COUNTIF(INDIRECT("数出表_Excel!"&amp;T18&amp;"3"),"*赤*")),
INDIRECT("数出表_Excel!"&amp;T18&amp;"3")
&amp;"　"&amp;INDIRECT("数出表_Excel!"&amp;T18&amp;"4")
&amp;INDIRECT("数出表_Excel!"&amp;T18&amp;"5"),
INDIRECT("数出表_Excel!"&amp;T18&amp;"3")),"")</f>
        <v/>
      </c>
      <c r="O18" t="str">
        <f t="array" aca="1" ref="O18" ca="1">IFERROR(IF(OR(COUNTIF(INDIRECT("数出表_Excel!"&amp;U18&amp;"3"),"*キャラ*"),
COUNTIF(INDIRECT("数出表_Excel!"&amp;U18&amp;"3"),"*赤*")),
INDIRECT("数出表_Excel!"&amp;U18&amp;"3")
&amp;"　"&amp;INDIRECT("数出表_Excel!"&amp;U18&amp;"4")
&amp;INDIRECT("数出表_Excel!"&amp;U18&amp;"5"),
INDIRECT("数出表_Excel!"&amp;U18&amp;"3")),"")</f>
        <v/>
      </c>
      <c r="P18" t="str">
        <f t="shared" ca="1" si="0"/>
        <v>O</v>
      </c>
      <c r="Q18" t="str">
        <f t="shared" ca="1" si="1"/>
        <v/>
      </c>
      <c r="R18" t="str">
        <f t="shared" ca="1" si="2"/>
        <v/>
      </c>
      <c r="S18" t="str">
        <f t="shared" ca="1" si="3"/>
        <v>O</v>
      </c>
      <c r="T18" t="str">
        <f t="shared" ca="1" si="4"/>
        <v/>
      </c>
      <c r="U18" t="str">
        <f t="shared" ca="1" si="5"/>
        <v/>
      </c>
      <c r="V18" t="str">
        <f t="shared" ca="1" si="6"/>
        <v>O,</v>
      </c>
    </row>
    <row r="19" spans="1:22" x14ac:dyDescent="0.45">
      <c r="A19" t="s">
        <v>33</v>
      </c>
      <c r="B19">
        <v>236</v>
      </c>
      <c r="I19">
        <f t="shared" si="7"/>
        <v>43</v>
      </c>
      <c r="J19" t="str">
        <f t="array" aca="1" ref="J19" ca="1">IFERROR(IF(OR(COUNTIF(INDIRECT("数出表_Excel!"&amp;P19&amp;"3"),"*キャラ*"),
COUNTIF(INDIRECT("数出表_Excel!"&amp;P19&amp;"3"),"*赤*")),
IF(COUNTIF(A19,"*雙葉*"),INDIRECT("数出表_Excel!"&amp;P19&amp;"3"),
INDIRECT("数出表_Excel!"&amp;P19&amp;"3")
&amp;"　"&amp;INDIRECT("数出表_Excel!"&amp;P19&amp;"4")
&amp;INDIRECT("数出表_Excel!"&amp;P19&amp;"5")),
INDIRECT("数出表_Excel!"&amp;P19&amp;"3")),"")</f>
        <v>どんぶり給</v>
      </c>
      <c r="K19" t="str">
        <f t="array" aca="1" ref="K19" ca="1">IFERROR(IF(OR(COUNTIF(INDIRECT("数出表_Excel!"&amp;Q19&amp;"3"),"*キャラ*"),
COUNTIF(INDIRECT("数出表_Excel!"&amp;Q19&amp;"3"),"*赤*")),
INDIRECT("数出表_Excel!"&amp;Q19&amp;"3")
&amp;"　"&amp;INDIRECT("数出表_Excel!"&amp;Q19&amp;"4")
&amp;INDIRECT("数出表_Excel!"&amp;Q19&amp;"5"),
INDIRECT("数出表_Excel!"&amp;Q19&amp;"3")),"")</f>
        <v/>
      </c>
      <c r="L19" t="str">
        <f t="array" aca="1" ref="L19" ca="1">IFERROR(IF(OR(COUNTIF(INDIRECT("数出表_Excel!"&amp;R19&amp;"3"),"*キャラ*"),
COUNTIF(INDIRECT("数出表_Excel!"&amp;R19&amp;"3"),"*赤*")),
INDIRECT("数出表_Excel!"&amp;R19&amp;"3")
&amp;"　"&amp;INDIRECT("数出表_Excel!"&amp;R19&amp;"4")
&amp;INDIRECT("数出表_Excel!"&amp;R19&amp;"5"),
INDIRECT("数出表_Excel!"&amp;R19&amp;"3")),"")</f>
        <v/>
      </c>
      <c r="M19" t="str">
        <f t="array" aca="1" ref="M19" ca="1">IFERROR(IF(OR(COUNTIF(INDIRECT("数出表_Excel!"&amp;S19&amp;"3"),"*キャラ*"),
COUNTIF(INDIRECT("数出表_Excel!"&amp;S19&amp;"3"),"*赤*")),
INDIRECT("数出表_Excel!"&amp;S19&amp;"3")
&amp;"　"&amp;INDIRECT("数出表_Excel!"&amp;S19&amp;"4")
&amp;INDIRECT("数出表_Excel!"&amp;S19&amp;"5"),
INDIRECT("数出表_Excel!"&amp;S19&amp;"3")),"")</f>
        <v/>
      </c>
      <c r="N19" t="str">
        <f t="array" aca="1" ref="N19" ca="1">IFERROR(IF(OR(COUNTIF(INDIRECT("数出表_Excel!"&amp;T19&amp;"3"),"*キャラ*"),
COUNTIF(INDIRECT("数出表_Excel!"&amp;T19&amp;"3"),"*赤*")),
INDIRECT("数出表_Excel!"&amp;T19&amp;"3")
&amp;"　"&amp;INDIRECT("数出表_Excel!"&amp;T19&amp;"4")
&amp;INDIRECT("数出表_Excel!"&amp;T19&amp;"5"),
INDIRECT("数出表_Excel!"&amp;T19&amp;"3")),"")</f>
        <v/>
      </c>
      <c r="O19" t="str">
        <f t="array" aca="1" ref="O19" ca="1">IFERROR(IF(OR(COUNTIF(INDIRECT("数出表_Excel!"&amp;U19&amp;"3"),"*キャラ*"),
COUNTIF(INDIRECT("数出表_Excel!"&amp;U19&amp;"3"),"*赤*")),
INDIRECT("数出表_Excel!"&amp;U19&amp;"3")
&amp;"　"&amp;INDIRECT("数出表_Excel!"&amp;U19&amp;"4")
&amp;INDIRECT("数出表_Excel!"&amp;U19&amp;"5"),
INDIRECT("数出表_Excel!"&amp;U19&amp;"3")),"")</f>
        <v/>
      </c>
      <c r="P19" t="str">
        <f t="shared" ca="1" si="0"/>
        <v>O</v>
      </c>
      <c r="Q19" t="str">
        <f t="shared" ca="1" si="1"/>
        <v/>
      </c>
      <c r="R19" t="str">
        <f t="shared" ca="1" si="2"/>
        <v/>
      </c>
      <c r="S19" t="str">
        <f t="shared" ca="1" si="3"/>
        <v/>
      </c>
      <c r="T19" t="str">
        <f t="shared" ca="1" si="4"/>
        <v/>
      </c>
      <c r="U19" t="str">
        <f t="shared" ca="1" si="5"/>
        <v/>
      </c>
      <c r="V19" t="str">
        <f t="shared" ca="1" si="6"/>
        <v>O,</v>
      </c>
    </row>
    <row r="20" spans="1:22" x14ac:dyDescent="0.45">
      <c r="A20" t="s">
        <v>34</v>
      </c>
      <c r="E20">
        <v>13</v>
      </c>
      <c r="I20">
        <f t="shared" si="7"/>
        <v>45</v>
      </c>
      <c r="J20" t="str">
        <f t="array" aca="1" ref="J20" ca="1">IFERROR(IF(OR(COUNTIF(INDIRECT("数出表_Excel!"&amp;P20&amp;"3"),"*キャラ*"),
COUNTIF(INDIRECT("数出表_Excel!"&amp;P20&amp;"3"),"*赤*")),
IF(COUNTIF(A20,"*雙葉*"),INDIRECT("数出表_Excel!"&amp;P20&amp;"3"),
INDIRECT("数出表_Excel!"&amp;P20&amp;"3")
&amp;"　"&amp;INDIRECT("数出表_Excel!"&amp;P20&amp;"4")
&amp;INDIRECT("数出表_Excel!"&amp;P20&amp;"5")),
INDIRECT("数出表_Excel!"&amp;P20&amp;"3")),"")</f>
        <v/>
      </c>
      <c r="K20" t="str">
        <f t="array" aca="1" ref="K20" ca="1">IFERROR(IF(OR(COUNTIF(INDIRECT("数出表_Excel!"&amp;Q20&amp;"3"),"*キャラ*"),
COUNTIF(INDIRECT("数出表_Excel!"&amp;Q20&amp;"3"),"*赤*")),
INDIRECT("数出表_Excel!"&amp;Q20&amp;"3")
&amp;"　"&amp;INDIRECT("数出表_Excel!"&amp;Q20&amp;"4")
&amp;INDIRECT("数出表_Excel!"&amp;Q20&amp;"5"),
INDIRECT("数出表_Excel!"&amp;Q20&amp;"3")),"")</f>
        <v/>
      </c>
      <c r="L20" t="str">
        <f t="array" aca="1" ref="L20" ca="1">IFERROR(IF(OR(COUNTIF(INDIRECT("数出表_Excel!"&amp;R20&amp;"3"),"*キャラ*"),
COUNTIF(INDIRECT("数出表_Excel!"&amp;R20&amp;"3"),"*赤*")),
INDIRECT("数出表_Excel!"&amp;R20&amp;"3")
&amp;"　"&amp;INDIRECT("数出表_Excel!"&amp;R20&amp;"4")
&amp;INDIRECT("数出表_Excel!"&amp;R20&amp;"5"),
INDIRECT("数出表_Excel!"&amp;R20&amp;"3")),"")</f>
        <v/>
      </c>
      <c r="M20" t="str">
        <f t="array" aca="1" ref="M20" ca="1">IFERROR(IF(OR(COUNTIF(INDIRECT("数出表_Excel!"&amp;S20&amp;"3"),"*キャラ*"),
COUNTIF(INDIRECT("数出表_Excel!"&amp;S20&amp;"3"),"*赤*")),
INDIRECT("数出表_Excel!"&amp;S20&amp;"3")
&amp;"　"&amp;INDIRECT("数出表_Excel!"&amp;S20&amp;"4")
&amp;INDIRECT("数出表_Excel!"&amp;S20&amp;"5"),
INDIRECT("数出表_Excel!"&amp;S20&amp;"3")),"")</f>
        <v>キャラ弁当　飯あり120</v>
      </c>
      <c r="N20" t="str">
        <f t="array" aca="1" ref="N20" ca="1">IFERROR(IF(OR(COUNTIF(INDIRECT("数出表_Excel!"&amp;T20&amp;"3"),"*キャラ*"),
COUNTIF(INDIRECT("数出表_Excel!"&amp;T20&amp;"3"),"*赤*")),
INDIRECT("数出表_Excel!"&amp;T20&amp;"3")
&amp;"　"&amp;INDIRECT("数出表_Excel!"&amp;T20&amp;"4")
&amp;INDIRECT("数出表_Excel!"&amp;T20&amp;"5"),
INDIRECT("数出表_Excel!"&amp;T20&amp;"3")),"")</f>
        <v/>
      </c>
      <c r="O20" t="str">
        <f t="array" aca="1" ref="O20" ca="1">IFERROR(IF(OR(COUNTIF(INDIRECT("数出表_Excel!"&amp;U20&amp;"3"),"*キャラ*"),
COUNTIF(INDIRECT("数出表_Excel!"&amp;U20&amp;"3"),"*赤*")),
INDIRECT("数出表_Excel!"&amp;U20&amp;"3")
&amp;"　"&amp;INDIRECT("数出表_Excel!"&amp;U20&amp;"4")
&amp;INDIRECT("数出表_Excel!"&amp;U20&amp;"5"),
INDIRECT("数出表_Excel!"&amp;U20&amp;"3")),"")</f>
        <v/>
      </c>
      <c r="P20" t="str">
        <f t="shared" ca="1" si="0"/>
        <v/>
      </c>
      <c r="Q20" t="str">
        <f t="shared" ca="1" si="1"/>
        <v/>
      </c>
      <c r="R20" t="str">
        <f t="shared" ca="1" si="2"/>
        <v/>
      </c>
      <c r="S20" t="str">
        <f t="shared" ca="1" si="3"/>
        <v>D</v>
      </c>
      <c r="T20" t="str">
        <f t="shared" ca="1" si="4"/>
        <v/>
      </c>
      <c r="U20" t="str">
        <f t="shared" ca="1" si="5"/>
        <v/>
      </c>
      <c r="V20" t="str">
        <f t="shared" ca="1" si="6"/>
        <v>D,</v>
      </c>
    </row>
    <row r="21" spans="1:22" x14ac:dyDescent="0.45">
      <c r="A21" t="s">
        <v>35</v>
      </c>
      <c r="B21">
        <v>90</v>
      </c>
      <c r="E21">
        <v>15</v>
      </c>
      <c r="I21">
        <f t="shared" si="7"/>
        <v>47</v>
      </c>
      <c r="J21" t="str">
        <f t="array" aca="1" ref="J21" ca="1">IFERROR(IF(OR(COUNTIF(INDIRECT("数出表_Excel!"&amp;P21&amp;"3"),"*キャラ*"),
COUNTIF(INDIRECT("数出表_Excel!"&amp;P21&amp;"3"),"*赤*")),
IF(COUNTIF(A21,"*雙葉*"),INDIRECT("数出表_Excel!"&amp;P21&amp;"3"),
INDIRECT("数出表_Excel!"&amp;P21&amp;"3")
&amp;"　"&amp;INDIRECT("数出表_Excel!"&amp;P21&amp;"4")
&amp;INDIRECT("数出表_Excel!"&amp;P21&amp;"5")),
INDIRECT("数出表_Excel!"&amp;P21&amp;"3")),"")</f>
        <v>ピクニック</v>
      </c>
      <c r="K21" t="str">
        <f t="array" aca="1" ref="K21" ca="1">IFERROR(IF(OR(COUNTIF(INDIRECT("数出表_Excel!"&amp;Q21&amp;"3"),"*キャラ*"),
COUNTIF(INDIRECT("数出表_Excel!"&amp;Q21&amp;"3"),"*赤*")),
INDIRECT("数出表_Excel!"&amp;Q21&amp;"3")
&amp;"　"&amp;INDIRECT("数出表_Excel!"&amp;Q21&amp;"4")
&amp;INDIRECT("数出表_Excel!"&amp;Q21&amp;"5"),
INDIRECT("数出表_Excel!"&amp;Q21&amp;"3")),"")</f>
        <v/>
      </c>
      <c r="L21" t="str">
        <f t="array" aca="1" ref="L21" ca="1">IFERROR(IF(OR(COUNTIF(INDIRECT("数出表_Excel!"&amp;R21&amp;"3"),"*キャラ*"),
COUNTIF(INDIRECT("数出表_Excel!"&amp;R21&amp;"3"),"*赤*")),
INDIRECT("数出表_Excel!"&amp;R21&amp;"3")
&amp;"　"&amp;INDIRECT("数出表_Excel!"&amp;R21&amp;"4")
&amp;INDIRECT("数出表_Excel!"&amp;R21&amp;"5"),
INDIRECT("数出表_Excel!"&amp;R21&amp;"3")),"")</f>
        <v/>
      </c>
      <c r="M21" t="str">
        <f t="array" aca="1" ref="M21" ca="1">IFERROR(IF(OR(COUNTIF(INDIRECT("数出表_Excel!"&amp;S21&amp;"3"),"*キャラ*"),
COUNTIF(INDIRECT("数出表_Excel!"&amp;S21&amp;"3"),"*赤*")),
INDIRECT("数出表_Excel!"&amp;S21&amp;"3")
&amp;"　"&amp;INDIRECT("数出表_Excel!"&amp;S21&amp;"4")
&amp;INDIRECT("数出表_Excel!"&amp;S21&amp;"5"),
INDIRECT("数出表_Excel!"&amp;S21&amp;"3")),"")</f>
        <v>ピクニック</v>
      </c>
      <c r="N21" t="str">
        <f t="array" aca="1" ref="N21" ca="1">IFERROR(IF(OR(COUNTIF(INDIRECT("数出表_Excel!"&amp;T21&amp;"3"),"*キャラ*"),
COUNTIF(INDIRECT("数出表_Excel!"&amp;T21&amp;"3"),"*赤*")),
INDIRECT("数出表_Excel!"&amp;T21&amp;"3")
&amp;"　"&amp;INDIRECT("数出表_Excel!"&amp;T21&amp;"4")
&amp;INDIRECT("数出表_Excel!"&amp;T21&amp;"5"),
INDIRECT("数出表_Excel!"&amp;T21&amp;"3")),"")</f>
        <v/>
      </c>
      <c r="O21" t="str">
        <f t="array" aca="1" ref="O21" ca="1">IFERROR(IF(OR(COUNTIF(INDIRECT("数出表_Excel!"&amp;U21&amp;"3"),"*キャラ*"),
COUNTIF(INDIRECT("数出表_Excel!"&amp;U21&amp;"3"),"*赤*")),
INDIRECT("数出表_Excel!"&amp;U21&amp;"3")
&amp;"　"&amp;INDIRECT("数出表_Excel!"&amp;U21&amp;"4")
&amp;INDIRECT("数出表_Excel!"&amp;U21&amp;"5"),
INDIRECT("数出表_Excel!"&amp;U21&amp;"3")),"")</f>
        <v/>
      </c>
      <c r="P21" t="str">
        <f t="shared" ca="1" si="0"/>
        <v>M</v>
      </c>
      <c r="Q21" t="str">
        <f t="shared" ca="1" si="1"/>
        <v/>
      </c>
      <c r="R21" t="str">
        <f t="shared" ca="1" si="2"/>
        <v/>
      </c>
      <c r="S21" t="str">
        <f t="shared" ca="1" si="3"/>
        <v>M</v>
      </c>
      <c r="T21" t="str">
        <f t="shared" ca="1" si="4"/>
        <v/>
      </c>
      <c r="U21" t="str">
        <f t="shared" ca="1" si="5"/>
        <v/>
      </c>
      <c r="V21" t="str">
        <f t="shared" ca="1" si="6"/>
        <v>M,</v>
      </c>
    </row>
    <row r="22" spans="1:22" x14ac:dyDescent="0.45">
      <c r="A22" t="s">
        <v>36</v>
      </c>
      <c r="B22">
        <v>141</v>
      </c>
      <c r="I22">
        <f t="shared" si="7"/>
        <v>49</v>
      </c>
      <c r="J22" t="str">
        <f t="array" aca="1" ref="J22" ca="1">IFERROR(IF(OR(COUNTIF(INDIRECT("数出表_Excel!"&amp;P22&amp;"3"),"*キャラ*"),
COUNTIF(INDIRECT("数出表_Excel!"&amp;P22&amp;"3"),"*赤*")),
IF(COUNTIF(A22,"*雙葉*"),INDIRECT("数出表_Excel!"&amp;P22&amp;"3"),
INDIRECT("数出表_Excel!"&amp;P22&amp;"3")
&amp;"　"&amp;INDIRECT("数出表_Excel!"&amp;P22&amp;"4")
&amp;INDIRECT("数出表_Excel!"&amp;P22&amp;"5")),
INDIRECT("数出表_Excel!"&amp;P22&amp;"3")),"")</f>
        <v>ピクニック</v>
      </c>
      <c r="K22" t="str">
        <f t="array" aca="1" ref="K22" ca="1">IFERROR(IF(OR(COUNTIF(INDIRECT("数出表_Excel!"&amp;Q22&amp;"3"),"*キャラ*"),
COUNTIF(INDIRECT("数出表_Excel!"&amp;Q22&amp;"3"),"*赤*")),
INDIRECT("数出表_Excel!"&amp;Q22&amp;"3")
&amp;"　"&amp;INDIRECT("数出表_Excel!"&amp;Q22&amp;"4")
&amp;INDIRECT("数出表_Excel!"&amp;Q22&amp;"5"),
INDIRECT("数出表_Excel!"&amp;Q22&amp;"3")),"")</f>
        <v/>
      </c>
      <c r="L22" t="str">
        <f t="array" aca="1" ref="L22" ca="1">IFERROR(IF(OR(COUNTIF(INDIRECT("数出表_Excel!"&amp;R22&amp;"3"),"*キャラ*"),
COUNTIF(INDIRECT("数出表_Excel!"&amp;R22&amp;"3"),"*赤*")),
INDIRECT("数出表_Excel!"&amp;R22&amp;"3")
&amp;"　"&amp;INDIRECT("数出表_Excel!"&amp;R22&amp;"4")
&amp;INDIRECT("数出表_Excel!"&amp;R22&amp;"5"),
INDIRECT("数出表_Excel!"&amp;R22&amp;"3")),"")</f>
        <v/>
      </c>
      <c r="M22" t="str">
        <f t="array" aca="1" ref="M22" ca="1">IFERROR(IF(OR(COUNTIF(INDIRECT("数出表_Excel!"&amp;S22&amp;"3"),"*キャラ*"),
COUNTIF(INDIRECT("数出表_Excel!"&amp;S22&amp;"3"),"*赤*")),
INDIRECT("数出表_Excel!"&amp;S22&amp;"3")
&amp;"　"&amp;INDIRECT("数出表_Excel!"&amp;S22&amp;"4")
&amp;INDIRECT("数出表_Excel!"&amp;S22&amp;"5"),
INDIRECT("数出表_Excel!"&amp;S22&amp;"3")),"")</f>
        <v/>
      </c>
      <c r="N22" t="str">
        <f t="array" aca="1" ref="N22" ca="1">IFERROR(IF(OR(COUNTIF(INDIRECT("数出表_Excel!"&amp;T22&amp;"3"),"*キャラ*"),
COUNTIF(INDIRECT("数出表_Excel!"&amp;T22&amp;"3"),"*赤*")),
INDIRECT("数出表_Excel!"&amp;T22&amp;"3")
&amp;"　"&amp;INDIRECT("数出表_Excel!"&amp;T22&amp;"4")
&amp;INDIRECT("数出表_Excel!"&amp;T22&amp;"5"),
INDIRECT("数出表_Excel!"&amp;T22&amp;"3")),"")</f>
        <v/>
      </c>
      <c r="O22" t="str">
        <f t="array" aca="1" ref="O22" ca="1">IFERROR(IF(OR(COUNTIF(INDIRECT("数出表_Excel!"&amp;U22&amp;"3"),"*キャラ*"),
COUNTIF(INDIRECT("数出表_Excel!"&amp;U22&amp;"3"),"*赤*")),
INDIRECT("数出表_Excel!"&amp;U22&amp;"3")
&amp;"　"&amp;INDIRECT("数出表_Excel!"&amp;U22&amp;"4")
&amp;INDIRECT("数出表_Excel!"&amp;U22&amp;"5"),
INDIRECT("数出表_Excel!"&amp;U22&amp;"3")),"")</f>
        <v/>
      </c>
      <c r="P22" t="str">
        <f t="shared" ca="1" si="0"/>
        <v>M</v>
      </c>
      <c r="Q22" t="str">
        <f t="shared" ca="1" si="1"/>
        <v/>
      </c>
      <c r="R22" t="str">
        <f t="shared" ca="1" si="2"/>
        <v/>
      </c>
      <c r="S22" t="str">
        <f t="shared" ca="1" si="3"/>
        <v/>
      </c>
      <c r="T22" t="str">
        <f t="shared" ca="1" si="4"/>
        <v/>
      </c>
      <c r="U22" t="str">
        <f t="shared" ca="1" si="5"/>
        <v/>
      </c>
      <c r="V22" t="str">
        <f t="shared" ca="1" si="6"/>
        <v>M,</v>
      </c>
    </row>
    <row r="23" spans="1:22" x14ac:dyDescent="0.45">
      <c r="A23" t="s">
        <v>37</v>
      </c>
      <c r="E23">
        <v>1</v>
      </c>
      <c r="I23">
        <f t="shared" si="7"/>
        <v>51</v>
      </c>
      <c r="J23" t="str">
        <f t="array" aca="1" ref="J23" ca="1">IFERROR(IF(OR(COUNTIF(INDIRECT("数出表_Excel!"&amp;P23&amp;"3"),"*キャラ*"),
COUNTIF(INDIRECT("数出表_Excel!"&amp;P23&amp;"3"),"*赤*")),
IF(COUNTIF(A23,"*雙葉*"),INDIRECT("数出表_Excel!"&amp;P23&amp;"3"),
INDIRECT("数出表_Excel!"&amp;P23&amp;"3")
&amp;"　"&amp;INDIRECT("数出表_Excel!"&amp;P23&amp;"4")
&amp;INDIRECT("数出表_Excel!"&amp;P23&amp;"5")),
INDIRECT("数出表_Excel!"&amp;P23&amp;"3")),"")</f>
        <v/>
      </c>
      <c r="K23" t="str">
        <f t="array" aca="1" ref="K23" ca="1">IFERROR(IF(OR(COUNTIF(INDIRECT("数出表_Excel!"&amp;Q23&amp;"3"),"*キャラ*"),
COUNTIF(INDIRECT("数出表_Excel!"&amp;Q23&amp;"3"),"*赤*")),
INDIRECT("数出表_Excel!"&amp;Q23&amp;"3")
&amp;"　"&amp;INDIRECT("数出表_Excel!"&amp;Q23&amp;"4")
&amp;INDIRECT("数出表_Excel!"&amp;Q23&amp;"5"),
INDIRECT("数出表_Excel!"&amp;Q23&amp;"3")),"")</f>
        <v/>
      </c>
      <c r="L23" t="str">
        <f t="array" aca="1" ref="L23" ca="1">IFERROR(IF(OR(COUNTIF(INDIRECT("数出表_Excel!"&amp;R23&amp;"3"),"*キャラ*"),
COUNTIF(INDIRECT("数出表_Excel!"&amp;R23&amp;"3"),"*赤*")),
INDIRECT("数出表_Excel!"&amp;R23&amp;"3")
&amp;"　"&amp;INDIRECT("数出表_Excel!"&amp;R23&amp;"4")
&amp;INDIRECT("数出表_Excel!"&amp;R23&amp;"5"),
INDIRECT("数出表_Excel!"&amp;R23&amp;"3")),"")</f>
        <v/>
      </c>
      <c r="M23" t="str">
        <f t="array" aca="1" ref="M23" ca="1">IFERROR(IF(OR(COUNTIF(INDIRECT("数出表_Excel!"&amp;S23&amp;"3"),"*キャラ*"),
COUNTIF(INDIRECT("数出表_Excel!"&amp;S23&amp;"3"),"*赤*")),
INDIRECT("数出表_Excel!"&amp;S23&amp;"3")
&amp;"　"&amp;INDIRECT("数出表_Excel!"&amp;S23&amp;"4")
&amp;INDIRECT("数出表_Excel!"&amp;S23&amp;"5"),
INDIRECT("数出表_Excel!"&amp;S23&amp;"3")),"")</f>
        <v>キャラ弁当　飯あり120</v>
      </c>
      <c r="N23" t="str">
        <f t="array" aca="1" ref="N23" ca="1">IFERROR(IF(OR(COUNTIF(INDIRECT("数出表_Excel!"&amp;T23&amp;"3"),"*キャラ*"),
COUNTIF(INDIRECT("数出表_Excel!"&amp;T23&amp;"3"),"*赤*")),
INDIRECT("数出表_Excel!"&amp;T23&amp;"3")
&amp;"　"&amp;INDIRECT("数出表_Excel!"&amp;T23&amp;"4")
&amp;INDIRECT("数出表_Excel!"&amp;T23&amp;"5"),
INDIRECT("数出表_Excel!"&amp;T23&amp;"3")),"")</f>
        <v/>
      </c>
      <c r="O23" t="str">
        <f t="array" aca="1" ref="O23" ca="1">IFERROR(IF(OR(COUNTIF(INDIRECT("数出表_Excel!"&amp;U23&amp;"3"),"*キャラ*"),
COUNTIF(INDIRECT("数出表_Excel!"&amp;U23&amp;"3"),"*赤*")),
INDIRECT("数出表_Excel!"&amp;U23&amp;"3")
&amp;"　"&amp;INDIRECT("数出表_Excel!"&amp;U23&amp;"4")
&amp;INDIRECT("数出表_Excel!"&amp;U23&amp;"5"),
INDIRECT("数出表_Excel!"&amp;U23&amp;"3")),"")</f>
        <v/>
      </c>
      <c r="P23" t="str">
        <f t="shared" ca="1" si="0"/>
        <v/>
      </c>
      <c r="Q23" t="str">
        <f t="shared" ca="1" si="1"/>
        <v/>
      </c>
      <c r="R23" t="str">
        <f t="shared" ca="1" si="2"/>
        <v/>
      </c>
      <c r="S23" t="str">
        <f t="shared" ca="1" si="3"/>
        <v>D</v>
      </c>
      <c r="T23" t="str">
        <f t="shared" ca="1" si="4"/>
        <v/>
      </c>
      <c r="U23" t="str">
        <f t="shared" ca="1" si="5"/>
        <v/>
      </c>
      <c r="V23" t="str">
        <f t="shared" ca="1" si="6"/>
        <v>D,</v>
      </c>
    </row>
    <row r="24" spans="1:22" x14ac:dyDescent="0.45">
      <c r="A24" t="s">
        <v>38</v>
      </c>
      <c r="B24">
        <v>122</v>
      </c>
      <c r="E24">
        <v>16</v>
      </c>
      <c r="I24">
        <f t="shared" si="7"/>
        <v>53</v>
      </c>
      <c r="J24" t="str">
        <f t="array" aca="1" ref="J24" ca="1">IFERROR(IF(OR(COUNTIF(INDIRECT("数出表_Excel!"&amp;P24&amp;"3"),"*キャラ*"),
COUNTIF(INDIRECT("数出表_Excel!"&amp;P24&amp;"3"),"*赤*")),
IF(COUNTIF(A24,"*雙葉*"),INDIRECT("数出表_Excel!"&amp;P24&amp;"3"),
INDIRECT("数出表_Excel!"&amp;P24&amp;"3")
&amp;"　"&amp;INDIRECT("数出表_Excel!"&amp;P24&amp;"4")
&amp;INDIRECT("数出表_Excel!"&amp;P24&amp;"5")),
INDIRECT("数出表_Excel!"&amp;P24&amp;"3")),"")</f>
        <v>赤　飯あり120</v>
      </c>
      <c r="K24" t="str">
        <f t="array" aca="1" ref="K24" ca="1">IFERROR(IF(OR(COUNTIF(INDIRECT("数出表_Excel!"&amp;Q24&amp;"3"),"*キャラ*"),
COUNTIF(INDIRECT("数出表_Excel!"&amp;Q24&amp;"3"),"*赤*")),
INDIRECT("数出表_Excel!"&amp;Q24&amp;"3")
&amp;"　"&amp;INDIRECT("数出表_Excel!"&amp;Q24&amp;"4")
&amp;INDIRECT("数出表_Excel!"&amp;Q24&amp;"5"),
INDIRECT("数出表_Excel!"&amp;Q24&amp;"3")),"")</f>
        <v/>
      </c>
      <c r="L24" t="str">
        <f t="array" aca="1" ref="L24" ca="1">IFERROR(IF(OR(COUNTIF(INDIRECT("数出表_Excel!"&amp;R24&amp;"3"),"*キャラ*"),
COUNTIF(INDIRECT("数出表_Excel!"&amp;R24&amp;"3"),"*赤*")),
INDIRECT("数出表_Excel!"&amp;R24&amp;"3")
&amp;"　"&amp;INDIRECT("数出表_Excel!"&amp;R24&amp;"4")
&amp;INDIRECT("数出表_Excel!"&amp;R24&amp;"5"),
INDIRECT("数出表_Excel!"&amp;R24&amp;"3")),"")</f>
        <v/>
      </c>
      <c r="M24" t="str">
        <f t="array" aca="1" ref="M24" ca="1">IFERROR(IF(OR(COUNTIF(INDIRECT("数出表_Excel!"&amp;S24&amp;"3"),"*キャラ*"),
COUNTIF(INDIRECT("数出表_Excel!"&amp;S24&amp;"3"),"*赤*")),
INDIRECT("数出表_Excel!"&amp;S24&amp;"3")
&amp;"　"&amp;INDIRECT("数出表_Excel!"&amp;S24&amp;"4")
&amp;INDIRECT("数出表_Excel!"&amp;S24&amp;"5"),
INDIRECT("数出表_Excel!"&amp;S24&amp;"3")),"")</f>
        <v>赤　飯あり120</v>
      </c>
      <c r="N24" t="str">
        <f t="array" aca="1" ref="N24" ca="1">IFERROR(IF(OR(COUNTIF(INDIRECT("数出表_Excel!"&amp;T24&amp;"3"),"*キャラ*"),
COUNTIF(INDIRECT("数出表_Excel!"&amp;T24&amp;"3"),"*赤*")),
INDIRECT("数出表_Excel!"&amp;T24&amp;"3")
&amp;"　"&amp;INDIRECT("数出表_Excel!"&amp;T24&amp;"4")
&amp;INDIRECT("数出表_Excel!"&amp;T24&amp;"5"),
INDIRECT("数出表_Excel!"&amp;T24&amp;"3")),"")</f>
        <v/>
      </c>
      <c r="O24" t="str">
        <f t="array" aca="1" ref="O24" ca="1">IFERROR(IF(OR(COUNTIF(INDIRECT("数出表_Excel!"&amp;U24&amp;"3"),"*キャラ*"),
COUNTIF(INDIRECT("数出表_Excel!"&amp;U24&amp;"3"),"*赤*")),
INDIRECT("数出表_Excel!"&amp;U24&amp;"3")
&amp;"　"&amp;INDIRECT("数出表_Excel!"&amp;U24&amp;"4")
&amp;INDIRECT("数出表_Excel!"&amp;U24&amp;"5"),
INDIRECT("数出表_Excel!"&amp;U24&amp;"3")),"")</f>
        <v/>
      </c>
      <c r="P24" t="str">
        <f t="shared" ca="1" si="0"/>
        <v>G</v>
      </c>
      <c r="Q24" t="str">
        <f t="shared" ca="1" si="1"/>
        <v/>
      </c>
      <c r="R24" t="str">
        <f t="shared" ca="1" si="2"/>
        <v/>
      </c>
      <c r="S24" t="str">
        <f t="shared" ca="1" si="3"/>
        <v>G</v>
      </c>
      <c r="T24" t="str">
        <f t="shared" ca="1" si="4"/>
        <v/>
      </c>
      <c r="U24" t="str">
        <f t="shared" ca="1" si="5"/>
        <v/>
      </c>
      <c r="V24" t="str">
        <f t="shared" ca="1" si="6"/>
        <v>G,</v>
      </c>
    </row>
    <row r="25" spans="1:22" x14ac:dyDescent="0.45">
      <c r="A25" t="s">
        <v>39</v>
      </c>
      <c r="B25">
        <v>219</v>
      </c>
      <c r="E25">
        <v>29</v>
      </c>
      <c r="I25">
        <f t="shared" si="7"/>
        <v>55</v>
      </c>
      <c r="J25" t="str">
        <f t="array" aca="1" ref="J25" ca="1">IFERROR(IF(OR(COUNTIF(INDIRECT("数出表_Excel!"&amp;P25&amp;"3"),"*キャラ*"),
COUNTIF(INDIRECT("数出表_Excel!"&amp;P25&amp;"3"),"*赤*")),
IF(COUNTIF(A25,"*雙葉*"),INDIRECT("数出表_Excel!"&amp;P25&amp;"3"),
INDIRECT("数出表_Excel!"&amp;P25&amp;"3")
&amp;"　"&amp;INDIRECT("数出表_Excel!"&amp;P25&amp;"4")
&amp;INDIRECT("数出表_Excel!"&amp;P25&amp;"5")),
INDIRECT("数出表_Excel!"&amp;P25&amp;"3")),"")</f>
        <v>配膳スマ</v>
      </c>
      <c r="K25" t="str">
        <f t="array" aca="1" ref="K25" ca="1">IFERROR(IF(OR(COUNTIF(INDIRECT("数出表_Excel!"&amp;Q25&amp;"3"),"*キャラ*"),
COUNTIF(INDIRECT("数出表_Excel!"&amp;Q25&amp;"3"),"*赤*")),
INDIRECT("数出表_Excel!"&amp;Q25&amp;"3")
&amp;"　"&amp;INDIRECT("数出表_Excel!"&amp;Q25&amp;"4")
&amp;INDIRECT("数出表_Excel!"&amp;Q25&amp;"5"),
INDIRECT("数出表_Excel!"&amp;Q25&amp;"3")),"")</f>
        <v/>
      </c>
      <c r="L25" t="str">
        <f t="array" aca="1" ref="L25" ca="1">IFERROR(IF(OR(COUNTIF(INDIRECT("数出表_Excel!"&amp;R25&amp;"3"),"*キャラ*"),
COUNTIF(INDIRECT("数出表_Excel!"&amp;R25&amp;"3"),"*赤*")),
INDIRECT("数出表_Excel!"&amp;R25&amp;"3")
&amp;"　"&amp;INDIRECT("数出表_Excel!"&amp;R25&amp;"4")
&amp;INDIRECT("数出表_Excel!"&amp;R25&amp;"5"),
INDIRECT("数出表_Excel!"&amp;R25&amp;"3")),"")</f>
        <v/>
      </c>
      <c r="M25" t="str">
        <f t="array" aca="1" ref="M25" ca="1">IFERROR(IF(OR(COUNTIF(INDIRECT("数出表_Excel!"&amp;S25&amp;"3"),"*キャラ*"),
COUNTIF(INDIRECT("数出表_Excel!"&amp;S25&amp;"3"),"*赤*")),
INDIRECT("数出表_Excel!"&amp;S25&amp;"3")
&amp;"　"&amp;INDIRECT("数出表_Excel!"&amp;S25&amp;"4")
&amp;INDIRECT("数出表_Excel!"&amp;S25&amp;"5"),
INDIRECT("数出表_Excel!"&amp;S25&amp;"3")),"")</f>
        <v>配膳スマ</v>
      </c>
      <c r="N25" t="str">
        <f t="array" aca="1" ref="N25" ca="1">IFERROR(IF(OR(COUNTIF(INDIRECT("数出表_Excel!"&amp;T25&amp;"3"),"*キャラ*"),
COUNTIF(INDIRECT("数出表_Excel!"&amp;T25&amp;"3"),"*赤*")),
INDIRECT("数出表_Excel!"&amp;T25&amp;"3")
&amp;"　"&amp;INDIRECT("数出表_Excel!"&amp;T25&amp;"4")
&amp;INDIRECT("数出表_Excel!"&amp;T25&amp;"5"),
INDIRECT("数出表_Excel!"&amp;T25&amp;"3")),"")</f>
        <v/>
      </c>
      <c r="O25" t="str">
        <f t="array" aca="1" ref="O25" ca="1">IFERROR(IF(OR(COUNTIF(INDIRECT("数出表_Excel!"&amp;U25&amp;"3"),"*キャラ*"),
COUNTIF(INDIRECT("数出表_Excel!"&amp;U25&amp;"3"),"*赤*")),
INDIRECT("数出表_Excel!"&amp;U25&amp;"3")
&amp;"　"&amp;INDIRECT("数出表_Excel!"&amp;U25&amp;"4")
&amp;INDIRECT("数出表_Excel!"&amp;U25&amp;"5"),
INDIRECT("数出表_Excel!"&amp;U25&amp;"3")),"")</f>
        <v/>
      </c>
      <c r="P25" t="str">
        <f t="shared" ca="1" si="0"/>
        <v>N</v>
      </c>
      <c r="Q25" t="str">
        <f t="shared" ca="1" si="1"/>
        <v/>
      </c>
      <c r="R25" t="str">
        <f t="shared" ca="1" si="2"/>
        <v/>
      </c>
      <c r="S25" t="str">
        <f t="shared" ca="1" si="3"/>
        <v>N</v>
      </c>
      <c r="T25" t="str">
        <f t="shared" ca="1" si="4"/>
        <v/>
      </c>
      <c r="U25" t="str">
        <f t="shared" ca="1" si="5"/>
        <v/>
      </c>
      <c r="V25" t="str">
        <f t="shared" ca="1" si="6"/>
        <v>N,</v>
      </c>
    </row>
    <row r="26" spans="1:22" x14ac:dyDescent="0.45">
      <c r="A26" t="s">
        <v>40</v>
      </c>
      <c r="B26">
        <v>6</v>
      </c>
      <c r="E26">
        <v>1</v>
      </c>
      <c r="I26">
        <f t="shared" si="7"/>
        <v>57</v>
      </c>
      <c r="J26" t="str">
        <f t="array" aca="1" ref="J26" ca="1">IFERROR(IF(OR(COUNTIF(INDIRECT("数出表_Excel!"&amp;P26&amp;"3"),"*キャラ*"),
COUNTIF(INDIRECT("数出表_Excel!"&amp;P26&amp;"3"),"*赤*")),
IF(COUNTIF(A26,"*雙葉*"),INDIRECT("数出表_Excel!"&amp;P26&amp;"3"),
INDIRECT("数出表_Excel!"&amp;P26&amp;"3")
&amp;"　"&amp;INDIRECT("数出表_Excel!"&amp;P26&amp;"4")
&amp;INDIRECT("数出表_Excel!"&amp;P26&amp;"5")),
INDIRECT("数出表_Excel!"&amp;P26&amp;"3")),"")</f>
        <v>赤　飯あり120</v>
      </c>
      <c r="K26" t="str">
        <f t="array" aca="1" ref="K26" ca="1">IFERROR(IF(OR(COUNTIF(INDIRECT("数出表_Excel!"&amp;Q26&amp;"3"),"*キャラ*"),
COUNTIF(INDIRECT("数出表_Excel!"&amp;Q26&amp;"3"),"*赤*")),
INDIRECT("数出表_Excel!"&amp;Q26&amp;"3")
&amp;"　"&amp;INDIRECT("数出表_Excel!"&amp;Q26&amp;"4")
&amp;INDIRECT("数出表_Excel!"&amp;Q26&amp;"5"),
INDIRECT("数出表_Excel!"&amp;Q26&amp;"3")),"")</f>
        <v/>
      </c>
      <c r="L26" t="str">
        <f t="array" aca="1" ref="L26" ca="1">IFERROR(IF(OR(COUNTIF(INDIRECT("数出表_Excel!"&amp;R26&amp;"3"),"*キャラ*"),
COUNTIF(INDIRECT("数出表_Excel!"&amp;R26&amp;"3"),"*赤*")),
INDIRECT("数出表_Excel!"&amp;R26&amp;"3")
&amp;"　"&amp;INDIRECT("数出表_Excel!"&amp;R26&amp;"4")
&amp;INDIRECT("数出表_Excel!"&amp;R26&amp;"5"),
INDIRECT("数出表_Excel!"&amp;R26&amp;"3")),"")</f>
        <v/>
      </c>
      <c r="M26" t="str">
        <f t="array" aca="1" ref="M26" ca="1">IFERROR(IF(OR(COUNTIF(INDIRECT("数出表_Excel!"&amp;S26&amp;"3"),"*キャラ*"),
COUNTIF(INDIRECT("数出表_Excel!"&amp;S26&amp;"3"),"*赤*")),
INDIRECT("数出表_Excel!"&amp;S26&amp;"3")
&amp;"　"&amp;INDIRECT("数出表_Excel!"&amp;S26&amp;"4")
&amp;INDIRECT("数出表_Excel!"&amp;S26&amp;"5"),
INDIRECT("数出表_Excel!"&amp;S26&amp;"3")),"")</f>
        <v>赤　飯あり120</v>
      </c>
      <c r="N26" t="str">
        <f t="array" aca="1" ref="N26" ca="1">IFERROR(IF(OR(COUNTIF(INDIRECT("数出表_Excel!"&amp;T26&amp;"3"),"*キャラ*"),
COUNTIF(INDIRECT("数出表_Excel!"&amp;T26&amp;"3"),"*赤*")),
INDIRECT("数出表_Excel!"&amp;T26&amp;"3")
&amp;"　"&amp;INDIRECT("数出表_Excel!"&amp;T26&amp;"4")
&amp;INDIRECT("数出表_Excel!"&amp;T26&amp;"5"),
INDIRECT("数出表_Excel!"&amp;T26&amp;"3")),"")</f>
        <v/>
      </c>
      <c r="O26" t="str">
        <f t="array" aca="1" ref="O26" ca="1">IFERROR(IF(OR(COUNTIF(INDIRECT("数出表_Excel!"&amp;U26&amp;"3"),"*キャラ*"),
COUNTIF(INDIRECT("数出表_Excel!"&amp;U26&amp;"3"),"*赤*")),
INDIRECT("数出表_Excel!"&amp;U26&amp;"3")
&amp;"　"&amp;INDIRECT("数出表_Excel!"&amp;U26&amp;"4")
&amp;INDIRECT("数出表_Excel!"&amp;U26&amp;"5"),
INDIRECT("数出表_Excel!"&amp;U26&amp;"3")),"")</f>
        <v/>
      </c>
      <c r="P26" t="str">
        <f t="shared" ca="1" si="0"/>
        <v>G</v>
      </c>
      <c r="Q26" t="str">
        <f t="shared" ca="1" si="1"/>
        <v/>
      </c>
      <c r="R26" t="str">
        <f t="shared" ca="1" si="2"/>
        <v/>
      </c>
      <c r="S26" t="str">
        <f t="shared" ca="1" si="3"/>
        <v>G</v>
      </c>
      <c r="T26" t="str">
        <f t="shared" ca="1" si="4"/>
        <v/>
      </c>
      <c r="U26" t="str">
        <f t="shared" ca="1" si="5"/>
        <v/>
      </c>
      <c r="V26" t="str">
        <f t="shared" ca="1" si="6"/>
        <v>G,</v>
      </c>
    </row>
    <row r="27" spans="1:22" x14ac:dyDescent="0.45">
      <c r="A27" t="s">
        <v>41</v>
      </c>
      <c r="B27">
        <v>3</v>
      </c>
      <c r="I27">
        <f t="shared" si="7"/>
        <v>59</v>
      </c>
      <c r="J27" t="str">
        <f t="array" aca="1" ref="J27" ca="1">IFERROR(IF(OR(COUNTIF(INDIRECT("数出表_Excel!"&amp;P27&amp;"3"),"*キャラ*"),
COUNTIF(INDIRECT("数出表_Excel!"&amp;P27&amp;"3"),"*赤*")),
IF(COUNTIF(A27,"*雙葉*"),INDIRECT("数出表_Excel!"&amp;P27&amp;"3"),
INDIRECT("数出表_Excel!"&amp;P27&amp;"3")
&amp;"　"&amp;INDIRECT("数出表_Excel!"&amp;P27&amp;"4")
&amp;INDIRECT("数出表_Excel!"&amp;P27&amp;"5")),
INDIRECT("数出表_Excel!"&amp;P27&amp;"3")),"")</f>
        <v>赤　飯あり120</v>
      </c>
      <c r="K27" t="str">
        <f t="array" aca="1" ref="K27" ca="1">IFERROR(IF(OR(COUNTIF(INDIRECT("数出表_Excel!"&amp;Q27&amp;"3"),"*キャラ*"),
COUNTIF(INDIRECT("数出表_Excel!"&amp;Q27&amp;"3"),"*赤*")),
INDIRECT("数出表_Excel!"&amp;Q27&amp;"3")
&amp;"　"&amp;INDIRECT("数出表_Excel!"&amp;Q27&amp;"4")
&amp;INDIRECT("数出表_Excel!"&amp;Q27&amp;"5"),
INDIRECT("数出表_Excel!"&amp;Q27&amp;"3")),"")</f>
        <v/>
      </c>
      <c r="L27" t="str">
        <f t="array" aca="1" ref="L27" ca="1">IFERROR(IF(OR(COUNTIF(INDIRECT("数出表_Excel!"&amp;R27&amp;"3"),"*キャラ*"),
COUNTIF(INDIRECT("数出表_Excel!"&amp;R27&amp;"3"),"*赤*")),
INDIRECT("数出表_Excel!"&amp;R27&amp;"3")
&amp;"　"&amp;INDIRECT("数出表_Excel!"&amp;R27&amp;"4")
&amp;INDIRECT("数出表_Excel!"&amp;R27&amp;"5"),
INDIRECT("数出表_Excel!"&amp;R27&amp;"3")),"")</f>
        <v/>
      </c>
      <c r="M27" t="str">
        <f t="array" aca="1" ref="M27" ca="1">IFERROR(IF(OR(COUNTIF(INDIRECT("数出表_Excel!"&amp;S27&amp;"3"),"*キャラ*"),
COUNTIF(INDIRECT("数出表_Excel!"&amp;S27&amp;"3"),"*赤*")),
INDIRECT("数出表_Excel!"&amp;S27&amp;"3")
&amp;"　"&amp;INDIRECT("数出表_Excel!"&amp;S27&amp;"4")
&amp;INDIRECT("数出表_Excel!"&amp;S27&amp;"5"),
INDIRECT("数出表_Excel!"&amp;S27&amp;"3")),"")</f>
        <v/>
      </c>
      <c r="N27" t="str">
        <f t="array" aca="1" ref="N27" ca="1">IFERROR(IF(OR(COUNTIF(INDIRECT("数出表_Excel!"&amp;T27&amp;"3"),"*キャラ*"),
COUNTIF(INDIRECT("数出表_Excel!"&amp;T27&amp;"3"),"*赤*")),
INDIRECT("数出表_Excel!"&amp;T27&amp;"3")
&amp;"　"&amp;INDIRECT("数出表_Excel!"&amp;T27&amp;"4")
&amp;INDIRECT("数出表_Excel!"&amp;T27&amp;"5"),
INDIRECT("数出表_Excel!"&amp;T27&amp;"3")),"")</f>
        <v/>
      </c>
      <c r="O27" t="str">
        <f t="array" aca="1" ref="O27" ca="1">IFERROR(IF(OR(COUNTIF(INDIRECT("数出表_Excel!"&amp;U27&amp;"3"),"*キャラ*"),
COUNTIF(INDIRECT("数出表_Excel!"&amp;U27&amp;"3"),"*赤*")),
INDIRECT("数出表_Excel!"&amp;U27&amp;"3")
&amp;"　"&amp;INDIRECT("数出表_Excel!"&amp;U27&amp;"4")
&amp;INDIRECT("数出表_Excel!"&amp;U27&amp;"5"),
INDIRECT("数出表_Excel!"&amp;U27&amp;"3")),"")</f>
        <v/>
      </c>
      <c r="P27" t="str">
        <f t="shared" ca="1" si="0"/>
        <v>G</v>
      </c>
      <c r="Q27" t="str">
        <f t="shared" ca="1" si="1"/>
        <v/>
      </c>
      <c r="R27" t="str">
        <f t="shared" ca="1" si="2"/>
        <v/>
      </c>
      <c r="S27" t="str">
        <f t="shared" ca="1" si="3"/>
        <v/>
      </c>
      <c r="T27" t="str">
        <f t="shared" ca="1" si="4"/>
        <v/>
      </c>
      <c r="U27" t="str">
        <f t="shared" ca="1" si="5"/>
        <v/>
      </c>
      <c r="V27" t="str">
        <f t="shared" ca="1" si="6"/>
        <v>G,</v>
      </c>
    </row>
    <row r="28" spans="1:22" x14ac:dyDescent="0.45">
      <c r="A28" t="s">
        <v>42</v>
      </c>
      <c r="B28">
        <v>26</v>
      </c>
      <c r="I28">
        <f t="shared" si="7"/>
        <v>61</v>
      </c>
      <c r="J28" t="str">
        <f t="array" aca="1" ref="J28" ca="1">IFERROR(IF(OR(COUNTIF(INDIRECT("数出表_Excel!"&amp;P28&amp;"3"),"*キャラ*"),
COUNTIF(INDIRECT("数出表_Excel!"&amp;P28&amp;"3"),"*赤*")),
IF(COUNTIF(A28,"*雙葉*"),INDIRECT("数出表_Excel!"&amp;P28&amp;"3"),
INDIRECT("数出表_Excel!"&amp;P28&amp;"3")
&amp;"　"&amp;INDIRECT("数出表_Excel!"&amp;P28&amp;"4")
&amp;INDIRECT("数出表_Excel!"&amp;P28&amp;"5")),
INDIRECT("数出表_Excel!"&amp;P28&amp;"3")),"")</f>
        <v>赤　飯あり120</v>
      </c>
      <c r="K28" t="str">
        <f t="array" aca="1" ref="K28" ca="1">IFERROR(IF(OR(COUNTIF(INDIRECT("数出表_Excel!"&amp;Q28&amp;"3"),"*キャラ*"),
COUNTIF(INDIRECT("数出表_Excel!"&amp;Q28&amp;"3"),"*赤*")),
INDIRECT("数出表_Excel!"&amp;Q28&amp;"3")
&amp;"　"&amp;INDIRECT("数出表_Excel!"&amp;Q28&amp;"4")
&amp;INDIRECT("数出表_Excel!"&amp;Q28&amp;"5"),
INDIRECT("数出表_Excel!"&amp;Q28&amp;"3")),"")</f>
        <v/>
      </c>
      <c r="L28" t="str">
        <f t="array" aca="1" ref="L28" ca="1">IFERROR(IF(OR(COUNTIF(INDIRECT("数出表_Excel!"&amp;R28&amp;"3"),"*キャラ*"),
COUNTIF(INDIRECT("数出表_Excel!"&amp;R28&amp;"3"),"*赤*")),
INDIRECT("数出表_Excel!"&amp;R28&amp;"3")
&amp;"　"&amp;INDIRECT("数出表_Excel!"&amp;R28&amp;"4")
&amp;INDIRECT("数出表_Excel!"&amp;R28&amp;"5"),
INDIRECT("数出表_Excel!"&amp;R28&amp;"3")),"")</f>
        <v/>
      </c>
      <c r="M28" t="str">
        <f t="array" aca="1" ref="M28" ca="1">IFERROR(IF(OR(COUNTIF(INDIRECT("数出表_Excel!"&amp;S28&amp;"3"),"*キャラ*"),
COUNTIF(INDIRECT("数出表_Excel!"&amp;S28&amp;"3"),"*赤*")),
INDIRECT("数出表_Excel!"&amp;S28&amp;"3")
&amp;"　"&amp;INDIRECT("数出表_Excel!"&amp;S28&amp;"4")
&amp;INDIRECT("数出表_Excel!"&amp;S28&amp;"5"),
INDIRECT("数出表_Excel!"&amp;S28&amp;"3")),"")</f>
        <v/>
      </c>
      <c r="N28" t="str">
        <f t="array" aca="1" ref="N28" ca="1">IFERROR(IF(OR(COUNTIF(INDIRECT("数出表_Excel!"&amp;T28&amp;"3"),"*キャラ*"),
COUNTIF(INDIRECT("数出表_Excel!"&amp;T28&amp;"3"),"*赤*")),
INDIRECT("数出表_Excel!"&amp;T28&amp;"3")
&amp;"　"&amp;INDIRECT("数出表_Excel!"&amp;T28&amp;"4")
&amp;INDIRECT("数出表_Excel!"&amp;T28&amp;"5"),
INDIRECT("数出表_Excel!"&amp;T28&amp;"3")),"")</f>
        <v/>
      </c>
      <c r="O28" t="str">
        <f t="array" aca="1" ref="O28" ca="1">IFERROR(IF(OR(COUNTIF(INDIRECT("数出表_Excel!"&amp;U28&amp;"3"),"*キャラ*"),
COUNTIF(INDIRECT("数出表_Excel!"&amp;U28&amp;"3"),"*赤*")),
INDIRECT("数出表_Excel!"&amp;U28&amp;"3")
&amp;"　"&amp;INDIRECT("数出表_Excel!"&amp;U28&amp;"4")
&amp;INDIRECT("数出表_Excel!"&amp;U28&amp;"5"),
INDIRECT("数出表_Excel!"&amp;U28&amp;"3")),"")</f>
        <v/>
      </c>
      <c r="P28" t="str">
        <f t="shared" ca="1" si="0"/>
        <v>G</v>
      </c>
      <c r="Q28" t="str">
        <f t="shared" ca="1" si="1"/>
        <v/>
      </c>
      <c r="R28" t="str">
        <f t="shared" ca="1" si="2"/>
        <v/>
      </c>
      <c r="S28" t="str">
        <f t="shared" ca="1" si="3"/>
        <v/>
      </c>
      <c r="T28" t="str">
        <f t="shared" ca="1" si="4"/>
        <v/>
      </c>
      <c r="U28" t="str">
        <f t="shared" ca="1" si="5"/>
        <v/>
      </c>
      <c r="V28" t="str">
        <f t="shared" ca="1" si="6"/>
        <v>G,</v>
      </c>
    </row>
    <row r="29" spans="1:22" x14ac:dyDescent="0.45">
      <c r="A29" t="s">
        <v>43</v>
      </c>
      <c r="B29">
        <v>13</v>
      </c>
      <c r="I29">
        <f t="shared" si="7"/>
        <v>63</v>
      </c>
      <c r="J29" t="str">
        <f t="array" aca="1" ref="J29" ca="1">IFERROR(IF(OR(COUNTIF(INDIRECT("数出表_Excel!"&amp;P29&amp;"3"),"*キャラ*"),
COUNTIF(INDIRECT("数出表_Excel!"&amp;P29&amp;"3"),"*赤*")),
IF(COUNTIF(A29,"*雙葉*"),INDIRECT("数出表_Excel!"&amp;P29&amp;"3"),
INDIRECT("数出表_Excel!"&amp;P29&amp;"3")
&amp;"　"&amp;INDIRECT("数出表_Excel!"&amp;P29&amp;"4")
&amp;INDIRECT("数出表_Excel!"&amp;P29&amp;"5")),
INDIRECT("数出表_Excel!"&amp;P29&amp;"3")),"")</f>
        <v>赤　飯あり120</v>
      </c>
      <c r="K29" t="str">
        <f t="array" aca="1" ref="K29" ca="1">IFERROR(IF(OR(COUNTIF(INDIRECT("数出表_Excel!"&amp;Q29&amp;"3"),"*キャラ*"),
COUNTIF(INDIRECT("数出表_Excel!"&amp;Q29&amp;"3"),"*赤*")),
INDIRECT("数出表_Excel!"&amp;Q29&amp;"3")
&amp;"　"&amp;INDIRECT("数出表_Excel!"&amp;Q29&amp;"4")
&amp;INDIRECT("数出表_Excel!"&amp;Q29&amp;"5"),
INDIRECT("数出表_Excel!"&amp;Q29&amp;"3")),"")</f>
        <v/>
      </c>
      <c r="L29" t="str">
        <f t="array" aca="1" ref="L29" ca="1">IFERROR(IF(OR(COUNTIF(INDIRECT("数出表_Excel!"&amp;R29&amp;"3"),"*キャラ*"),
COUNTIF(INDIRECT("数出表_Excel!"&amp;R29&amp;"3"),"*赤*")),
INDIRECT("数出表_Excel!"&amp;R29&amp;"3")
&amp;"　"&amp;INDIRECT("数出表_Excel!"&amp;R29&amp;"4")
&amp;INDIRECT("数出表_Excel!"&amp;R29&amp;"5"),
INDIRECT("数出表_Excel!"&amp;R29&amp;"3")),"")</f>
        <v/>
      </c>
      <c r="M29" t="str">
        <f t="array" aca="1" ref="M29" ca="1">IFERROR(IF(OR(COUNTIF(INDIRECT("数出表_Excel!"&amp;S29&amp;"3"),"*キャラ*"),
COUNTIF(INDIRECT("数出表_Excel!"&amp;S29&amp;"3"),"*赤*")),
INDIRECT("数出表_Excel!"&amp;S29&amp;"3")
&amp;"　"&amp;INDIRECT("数出表_Excel!"&amp;S29&amp;"4")
&amp;INDIRECT("数出表_Excel!"&amp;S29&amp;"5"),
INDIRECT("数出表_Excel!"&amp;S29&amp;"3")),"")</f>
        <v/>
      </c>
      <c r="N29" t="str">
        <f t="array" aca="1" ref="N29" ca="1">IFERROR(IF(OR(COUNTIF(INDIRECT("数出表_Excel!"&amp;T29&amp;"3"),"*キャラ*"),
COUNTIF(INDIRECT("数出表_Excel!"&amp;T29&amp;"3"),"*赤*")),
INDIRECT("数出表_Excel!"&amp;T29&amp;"3")
&amp;"　"&amp;INDIRECT("数出表_Excel!"&amp;T29&amp;"4")
&amp;INDIRECT("数出表_Excel!"&amp;T29&amp;"5"),
INDIRECT("数出表_Excel!"&amp;T29&amp;"3")),"")</f>
        <v/>
      </c>
      <c r="O29" t="str">
        <f t="array" aca="1" ref="O29" ca="1">IFERROR(IF(OR(COUNTIF(INDIRECT("数出表_Excel!"&amp;U29&amp;"3"),"*キャラ*"),
COUNTIF(INDIRECT("数出表_Excel!"&amp;U29&amp;"3"),"*赤*")),
INDIRECT("数出表_Excel!"&amp;U29&amp;"3")
&amp;"　"&amp;INDIRECT("数出表_Excel!"&amp;U29&amp;"4")
&amp;INDIRECT("数出表_Excel!"&amp;U29&amp;"5"),
INDIRECT("数出表_Excel!"&amp;U29&amp;"3")),"")</f>
        <v/>
      </c>
      <c r="P29" t="str">
        <f t="shared" ca="1" si="0"/>
        <v>G</v>
      </c>
      <c r="Q29" t="str">
        <f t="shared" ca="1" si="1"/>
        <v/>
      </c>
      <c r="R29" t="str">
        <f t="shared" ca="1" si="2"/>
        <v/>
      </c>
      <c r="S29" t="str">
        <f t="shared" ca="1" si="3"/>
        <v/>
      </c>
      <c r="T29" t="str">
        <f t="shared" ca="1" si="4"/>
        <v/>
      </c>
      <c r="U29" t="str">
        <f t="shared" ca="1" si="5"/>
        <v/>
      </c>
      <c r="V29" t="str">
        <f t="shared" ca="1" si="6"/>
        <v>G,</v>
      </c>
    </row>
    <row r="30" spans="1:22" x14ac:dyDescent="0.45">
      <c r="A30" t="s">
        <v>44</v>
      </c>
      <c r="B30">
        <v>1</v>
      </c>
      <c r="I30">
        <f t="shared" si="7"/>
        <v>65</v>
      </c>
      <c r="J30" t="str">
        <f t="array" aca="1" ref="J30" ca="1">IFERROR(IF(OR(COUNTIF(INDIRECT("数出表_Excel!"&amp;P30&amp;"3"),"*キャラ*"),
COUNTIF(INDIRECT("数出表_Excel!"&amp;P30&amp;"3"),"*赤*")),
IF(COUNTIF(A30,"*雙葉*"),INDIRECT("数出表_Excel!"&amp;P30&amp;"3"),
INDIRECT("数出表_Excel!"&amp;P30&amp;"3")
&amp;"　"&amp;INDIRECT("数出表_Excel!"&amp;P30&amp;"4")
&amp;INDIRECT("数出表_Excel!"&amp;P30&amp;"5")),
INDIRECT("数出表_Excel!"&amp;P30&amp;"3")),"")</f>
        <v>赤　飯あり120</v>
      </c>
      <c r="K30" t="str">
        <f t="array" aca="1" ref="K30" ca="1">IFERROR(IF(OR(COUNTIF(INDIRECT("数出表_Excel!"&amp;Q30&amp;"3"),"*キャラ*"),
COUNTIF(INDIRECT("数出表_Excel!"&amp;Q30&amp;"3"),"*赤*")),
INDIRECT("数出表_Excel!"&amp;Q30&amp;"3")
&amp;"　"&amp;INDIRECT("数出表_Excel!"&amp;Q30&amp;"4")
&amp;INDIRECT("数出表_Excel!"&amp;Q30&amp;"5"),
INDIRECT("数出表_Excel!"&amp;Q30&amp;"3")),"")</f>
        <v/>
      </c>
      <c r="L30" t="str">
        <f t="array" aca="1" ref="L30" ca="1">IFERROR(IF(OR(COUNTIF(INDIRECT("数出表_Excel!"&amp;R30&amp;"3"),"*キャラ*"),
COUNTIF(INDIRECT("数出表_Excel!"&amp;R30&amp;"3"),"*赤*")),
INDIRECT("数出表_Excel!"&amp;R30&amp;"3")
&amp;"　"&amp;INDIRECT("数出表_Excel!"&amp;R30&amp;"4")
&amp;INDIRECT("数出表_Excel!"&amp;R30&amp;"5"),
INDIRECT("数出表_Excel!"&amp;R30&amp;"3")),"")</f>
        <v/>
      </c>
      <c r="M30" t="str">
        <f t="array" aca="1" ref="M30" ca="1">IFERROR(IF(OR(COUNTIF(INDIRECT("数出表_Excel!"&amp;S30&amp;"3"),"*キャラ*"),
COUNTIF(INDIRECT("数出表_Excel!"&amp;S30&amp;"3"),"*赤*")),
INDIRECT("数出表_Excel!"&amp;S30&amp;"3")
&amp;"　"&amp;INDIRECT("数出表_Excel!"&amp;S30&amp;"4")
&amp;INDIRECT("数出表_Excel!"&amp;S30&amp;"5"),
INDIRECT("数出表_Excel!"&amp;S30&amp;"3")),"")</f>
        <v/>
      </c>
      <c r="N30" t="str">
        <f t="array" aca="1" ref="N30" ca="1">IFERROR(IF(OR(COUNTIF(INDIRECT("数出表_Excel!"&amp;T30&amp;"3"),"*キャラ*"),
COUNTIF(INDIRECT("数出表_Excel!"&amp;T30&amp;"3"),"*赤*")),
INDIRECT("数出表_Excel!"&amp;T30&amp;"3")
&amp;"　"&amp;INDIRECT("数出表_Excel!"&amp;T30&amp;"4")
&amp;INDIRECT("数出表_Excel!"&amp;T30&amp;"5"),
INDIRECT("数出表_Excel!"&amp;T30&amp;"3")),"")</f>
        <v/>
      </c>
      <c r="O30" t="str">
        <f t="array" aca="1" ref="O30" ca="1">IFERROR(IF(OR(COUNTIF(INDIRECT("数出表_Excel!"&amp;U30&amp;"3"),"*キャラ*"),
COUNTIF(INDIRECT("数出表_Excel!"&amp;U30&amp;"3"),"*赤*")),
INDIRECT("数出表_Excel!"&amp;U30&amp;"3")
&amp;"　"&amp;INDIRECT("数出表_Excel!"&amp;U30&amp;"4")
&amp;INDIRECT("数出表_Excel!"&amp;U30&amp;"5"),
INDIRECT("数出表_Excel!"&amp;U30&amp;"3")),"")</f>
        <v/>
      </c>
      <c r="P30" t="str">
        <f t="shared" ca="1" si="0"/>
        <v>G</v>
      </c>
      <c r="Q30" t="str">
        <f t="shared" ca="1" si="1"/>
        <v/>
      </c>
      <c r="R30" t="str">
        <f t="shared" ca="1" si="2"/>
        <v/>
      </c>
      <c r="S30" t="str">
        <f t="shared" ca="1" si="3"/>
        <v/>
      </c>
      <c r="T30" t="str">
        <f t="shared" ca="1" si="4"/>
        <v/>
      </c>
      <c r="U30" t="str">
        <f t="shared" ca="1" si="5"/>
        <v/>
      </c>
      <c r="V30" t="str">
        <f t="shared" ca="1" si="6"/>
        <v>G,</v>
      </c>
    </row>
    <row r="31" spans="1:22" x14ac:dyDescent="0.45">
      <c r="A31" t="s">
        <v>45</v>
      </c>
      <c r="B31">
        <v>5</v>
      </c>
      <c r="I31">
        <f t="shared" si="7"/>
        <v>67</v>
      </c>
      <c r="J31" t="str">
        <f t="array" aca="1" ref="J31" ca="1">IFERROR(IF(OR(COUNTIF(INDIRECT("数出表_Excel!"&amp;P31&amp;"3"),"*キャラ*"),
COUNTIF(INDIRECT("数出表_Excel!"&amp;P31&amp;"3"),"*赤*")),
IF(COUNTIF(A31,"*雙葉*"),INDIRECT("数出表_Excel!"&amp;P31&amp;"3"),
INDIRECT("数出表_Excel!"&amp;P31&amp;"3")
&amp;"　"&amp;INDIRECT("数出表_Excel!"&amp;P31&amp;"4")
&amp;INDIRECT("数出表_Excel!"&amp;P31&amp;"5")),
INDIRECT("数出表_Excel!"&amp;P31&amp;"3")),"")</f>
        <v>赤　飯あり120</v>
      </c>
      <c r="K31" t="str">
        <f t="array" aca="1" ref="K31" ca="1">IFERROR(IF(OR(COUNTIF(INDIRECT("数出表_Excel!"&amp;Q31&amp;"3"),"*キャラ*"),
COUNTIF(INDIRECT("数出表_Excel!"&amp;Q31&amp;"3"),"*赤*")),
INDIRECT("数出表_Excel!"&amp;Q31&amp;"3")
&amp;"　"&amp;INDIRECT("数出表_Excel!"&amp;Q31&amp;"4")
&amp;INDIRECT("数出表_Excel!"&amp;Q31&amp;"5"),
INDIRECT("数出表_Excel!"&amp;Q31&amp;"3")),"")</f>
        <v/>
      </c>
      <c r="L31" t="str">
        <f t="array" aca="1" ref="L31" ca="1">IFERROR(IF(OR(COUNTIF(INDIRECT("数出表_Excel!"&amp;R31&amp;"3"),"*キャラ*"),
COUNTIF(INDIRECT("数出表_Excel!"&amp;R31&amp;"3"),"*赤*")),
INDIRECT("数出表_Excel!"&amp;R31&amp;"3")
&amp;"　"&amp;INDIRECT("数出表_Excel!"&amp;R31&amp;"4")
&amp;INDIRECT("数出表_Excel!"&amp;R31&amp;"5"),
INDIRECT("数出表_Excel!"&amp;R31&amp;"3")),"")</f>
        <v/>
      </c>
      <c r="M31" t="str">
        <f t="array" aca="1" ref="M31" ca="1">IFERROR(IF(OR(COUNTIF(INDIRECT("数出表_Excel!"&amp;S31&amp;"3"),"*キャラ*"),
COUNTIF(INDIRECT("数出表_Excel!"&amp;S31&amp;"3"),"*赤*")),
INDIRECT("数出表_Excel!"&amp;S31&amp;"3")
&amp;"　"&amp;INDIRECT("数出表_Excel!"&amp;S31&amp;"4")
&amp;INDIRECT("数出表_Excel!"&amp;S31&amp;"5"),
INDIRECT("数出表_Excel!"&amp;S31&amp;"3")),"")</f>
        <v/>
      </c>
      <c r="N31" t="str">
        <f t="array" aca="1" ref="N31" ca="1">IFERROR(IF(OR(COUNTIF(INDIRECT("数出表_Excel!"&amp;T31&amp;"3"),"*キャラ*"),
COUNTIF(INDIRECT("数出表_Excel!"&amp;T31&amp;"3"),"*赤*")),
INDIRECT("数出表_Excel!"&amp;T31&amp;"3")
&amp;"　"&amp;INDIRECT("数出表_Excel!"&amp;T31&amp;"4")
&amp;INDIRECT("数出表_Excel!"&amp;T31&amp;"5"),
INDIRECT("数出表_Excel!"&amp;T31&amp;"3")),"")</f>
        <v/>
      </c>
      <c r="O31" t="str">
        <f t="array" aca="1" ref="O31" ca="1">IFERROR(IF(OR(COUNTIF(INDIRECT("数出表_Excel!"&amp;U31&amp;"3"),"*キャラ*"),
COUNTIF(INDIRECT("数出表_Excel!"&amp;U31&amp;"3"),"*赤*")),
INDIRECT("数出表_Excel!"&amp;U31&amp;"3")
&amp;"　"&amp;INDIRECT("数出表_Excel!"&amp;U31&amp;"4")
&amp;INDIRECT("数出表_Excel!"&amp;U31&amp;"5"),
INDIRECT("数出表_Excel!"&amp;U31&amp;"3")),"")</f>
        <v/>
      </c>
      <c r="P31" t="str">
        <f t="shared" ca="1" si="0"/>
        <v>G</v>
      </c>
      <c r="Q31" t="str">
        <f t="shared" ca="1" si="1"/>
        <v/>
      </c>
      <c r="R31" t="str">
        <f t="shared" ca="1" si="2"/>
        <v/>
      </c>
      <c r="S31" t="str">
        <f t="shared" ca="1" si="3"/>
        <v/>
      </c>
      <c r="T31" t="str">
        <f t="shared" ca="1" si="4"/>
        <v/>
      </c>
      <c r="U31" t="str">
        <f t="shared" ca="1" si="5"/>
        <v/>
      </c>
      <c r="V31" t="str">
        <f t="shared" ca="1" si="6"/>
        <v>G,</v>
      </c>
    </row>
    <row r="32" spans="1:22" x14ac:dyDescent="0.45">
      <c r="A32" t="s">
        <v>46</v>
      </c>
      <c r="B32">
        <v>13</v>
      </c>
      <c r="I32">
        <f t="shared" si="7"/>
        <v>69</v>
      </c>
      <c r="J32" t="str">
        <f t="array" aca="1" ref="J32" ca="1">IFERROR(IF(OR(COUNTIF(INDIRECT("数出表_Excel!"&amp;P32&amp;"3"),"*キャラ*"),
COUNTIF(INDIRECT("数出表_Excel!"&amp;P32&amp;"3"),"*赤*")),
IF(COUNTIF(A32,"*雙葉*"),INDIRECT("数出表_Excel!"&amp;P32&amp;"3"),
INDIRECT("数出表_Excel!"&amp;P32&amp;"3")
&amp;"　"&amp;INDIRECT("数出表_Excel!"&amp;P32&amp;"4")
&amp;INDIRECT("数出表_Excel!"&amp;P32&amp;"5")),
INDIRECT("数出表_Excel!"&amp;P32&amp;"3")),"")</f>
        <v>赤　飯あり120</v>
      </c>
      <c r="K32" t="str">
        <f t="array" aca="1" ref="K32" ca="1">IFERROR(IF(OR(COUNTIF(INDIRECT("数出表_Excel!"&amp;Q32&amp;"3"),"*キャラ*"),
COUNTIF(INDIRECT("数出表_Excel!"&amp;Q32&amp;"3"),"*赤*")),
INDIRECT("数出表_Excel!"&amp;Q32&amp;"3")
&amp;"　"&amp;INDIRECT("数出表_Excel!"&amp;Q32&amp;"4")
&amp;INDIRECT("数出表_Excel!"&amp;Q32&amp;"5"),
INDIRECT("数出表_Excel!"&amp;Q32&amp;"3")),"")</f>
        <v/>
      </c>
      <c r="L32" t="str">
        <f t="array" aca="1" ref="L32" ca="1">IFERROR(IF(OR(COUNTIF(INDIRECT("数出表_Excel!"&amp;R32&amp;"3"),"*キャラ*"),
COUNTIF(INDIRECT("数出表_Excel!"&amp;R32&amp;"3"),"*赤*")),
INDIRECT("数出表_Excel!"&amp;R32&amp;"3")
&amp;"　"&amp;INDIRECT("数出表_Excel!"&amp;R32&amp;"4")
&amp;INDIRECT("数出表_Excel!"&amp;R32&amp;"5"),
INDIRECT("数出表_Excel!"&amp;R32&amp;"3")),"")</f>
        <v/>
      </c>
      <c r="M32" t="str">
        <f t="array" aca="1" ref="M32" ca="1">IFERROR(IF(OR(COUNTIF(INDIRECT("数出表_Excel!"&amp;S32&amp;"3"),"*キャラ*"),
COUNTIF(INDIRECT("数出表_Excel!"&amp;S32&amp;"3"),"*赤*")),
INDIRECT("数出表_Excel!"&amp;S32&amp;"3")
&amp;"　"&amp;INDIRECT("数出表_Excel!"&amp;S32&amp;"4")
&amp;INDIRECT("数出表_Excel!"&amp;S32&amp;"5"),
INDIRECT("数出表_Excel!"&amp;S32&amp;"3")),"")</f>
        <v/>
      </c>
      <c r="N32" t="str">
        <f t="array" aca="1" ref="N32" ca="1">IFERROR(IF(OR(COUNTIF(INDIRECT("数出表_Excel!"&amp;T32&amp;"3"),"*キャラ*"),
COUNTIF(INDIRECT("数出表_Excel!"&amp;T32&amp;"3"),"*赤*")),
INDIRECT("数出表_Excel!"&amp;T32&amp;"3")
&amp;"　"&amp;INDIRECT("数出表_Excel!"&amp;T32&amp;"4")
&amp;INDIRECT("数出表_Excel!"&amp;T32&amp;"5"),
INDIRECT("数出表_Excel!"&amp;T32&amp;"3")),"")</f>
        <v/>
      </c>
      <c r="O32" t="str">
        <f t="array" aca="1" ref="O32" ca="1">IFERROR(IF(OR(COUNTIF(INDIRECT("数出表_Excel!"&amp;U32&amp;"3"),"*キャラ*"),
COUNTIF(INDIRECT("数出表_Excel!"&amp;U32&amp;"3"),"*赤*")),
INDIRECT("数出表_Excel!"&amp;U32&amp;"3")
&amp;"　"&amp;INDIRECT("数出表_Excel!"&amp;U32&amp;"4")
&amp;INDIRECT("数出表_Excel!"&amp;U32&amp;"5"),
INDIRECT("数出表_Excel!"&amp;U32&amp;"3")),"")</f>
        <v/>
      </c>
      <c r="P32" t="str">
        <f t="shared" ca="1" si="0"/>
        <v>G</v>
      </c>
      <c r="Q32" t="str">
        <f t="shared" ca="1" si="1"/>
        <v/>
      </c>
      <c r="R32" t="str">
        <f t="shared" ca="1" si="2"/>
        <v/>
      </c>
      <c r="S32" t="str">
        <f t="shared" ca="1" si="3"/>
        <v/>
      </c>
      <c r="T32" t="str">
        <f t="shared" ca="1" si="4"/>
        <v/>
      </c>
      <c r="U32" t="str">
        <f t="shared" ca="1" si="5"/>
        <v/>
      </c>
      <c r="V32" t="str">
        <f t="shared" ca="1" si="6"/>
        <v>G,</v>
      </c>
    </row>
    <row r="33" spans="1:22" x14ac:dyDescent="0.45">
      <c r="A33" t="s">
        <v>47</v>
      </c>
      <c r="B33">
        <v>25</v>
      </c>
      <c r="I33">
        <f t="shared" si="7"/>
        <v>71</v>
      </c>
      <c r="J33" t="str">
        <f t="array" aca="1" ref="J33" ca="1">IFERROR(IF(OR(COUNTIF(INDIRECT("数出表_Excel!"&amp;P33&amp;"3"),"*キャラ*"),
COUNTIF(INDIRECT("数出表_Excel!"&amp;P33&amp;"3"),"*赤*")),
IF(COUNTIF(A33,"*雙葉*"),INDIRECT("数出表_Excel!"&amp;P33&amp;"3"),
INDIRECT("数出表_Excel!"&amp;P33&amp;"3")
&amp;"　"&amp;INDIRECT("数出表_Excel!"&amp;P33&amp;"4")
&amp;INDIRECT("数出表_Excel!"&amp;P33&amp;"5")),
INDIRECT("数出表_Excel!"&amp;P33&amp;"3")),"")</f>
        <v>赤　飯あり120</v>
      </c>
      <c r="K33" t="str">
        <f t="array" aca="1" ref="K33" ca="1">IFERROR(IF(OR(COUNTIF(INDIRECT("数出表_Excel!"&amp;Q33&amp;"3"),"*キャラ*"),
COUNTIF(INDIRECT("数出表_Excel!"&amp;Q33&amp;"3"),"*赤*")),
INDIRECT("数出表_Excel!"&amp;Q33&amp;"3")
&amp;"　"&amp;INDIRECT("数出表_Excel!"&amp;Q33&amp;"4")
&amp;INDIRECT("数出表_Excel!"&amp;Q33&amp;"5"),
INDIRECT("数出表_Excel!"&amp;Q33&amp;"3")),"")</f>
        <v/>
      </c>
      <c r="L33" t="str">
        <f t="array" aca="1" ref="L33" ca="1">IFERROR(IF(OR(COUNTIF(INDIRECT("数出表_Excel!"&amp;R33&amp;"3"),"*キャラ*"),
COUNTIF(INDIRECT("数出表_Excel!"&amp;R33&amp;"3"),"*赤*")),
INDIRECT("数出表_Excel!"&amp;R33&amp;"3")
&amp;"　"&amp;INDIRECT("数出表_Excel!"&amp;R33&amp;"4")
&amp;INDIRECT("数出表_Excel!"&amp;R33&amp;"5"),
INDIRECT("数出表_Excel!"&amp;R33&amp;"3")),"")</f>
        <v/>
      </c>
      <c r="M33" t="str">
        <f t="array" aca="1" ref="M33" ca="1">IFERROR(IF(OR(COUNTIF(INDIRECT("数出表_Excel!"&amp;S33&amp;"3"),"*キャラ*"),
COUNTIF(INDIRECT("数出表_Excel!"&amp;S33&amp;"3"),"*赤*")),
INDIRECT("数出表_Excel!"&amp;S33&amp;"3")
&amp;"　"&amp;INDIRECT("数出表_Excel!"&amp;S33&amp;"4")
&amp;INDIRECT("数出表_Excel!"&amp;S33&amp;"5"),
INDIRECT("数出表_Excel!"&amp;S33&amp;"3")),"")</f>
        <v/>
      </c>
      <c r="N33" t="str">
        <f t="array" aca="1" ref="N33" ca="1">IFERROR(IF(OR(COUNTIF(INDIRECT("数出表_Excel!"&amp;T33&amp;"3"),"*キャラ*"),
COUNTIF(INDIRECT("数出表_Excel!"&amp;T33&amp;"3"),"*赤*")),
INDIRECT("数出表_Excel!"&amp;T33&amp;"3")
&amp;"　"&amp;INDIRECT("数出表_Excel!"&amp;T33&amp;"4")
&amp;INDIRECT("数出表_Excel!"&amp;T33&amp;"5"),
INDIRECT("数出表_Excel!"&amp;T33&amp;"3")),"")</f>
        <v/>
      </c>
      <c r="O33" t="str">
        <f t="array" aca="1" ref="O33" ca="1">IFERROR(IF(OR(COUNTIF(INDIRECT("数出表_Excel!"&amp;U33&amp;"3"),"*キャラ*"),
COUNTIF(INDIRECT("数出表_Excel!"&amp;U33&amp;"3"),"*赤*")),
INDIRECT("数出表_Excel!"&amp;U33&amp;"3")
&amp;"　"&amp;INDIRECT("数出表_Excel!"&amp;U33&amp;"4")
&amp;INDIRECT("数出表_Excel!"&amp;U33&amp;"5"),
INDIRECT("数出表_Excel!"&amp;U33&amp;"3")),"")</f>
        <v/>
      </c>
      <c r="P33" t="str">
        <f t="shared" ref="P33:P64" ca="1" si="8">IFERROR(
SUBSTITUTE(ADDRESS(1,
IFERROR(COLUMN(INDEX(INDIRECT("数出表_Excel!B"&amp;$I33-1&amp;":T"&amp;$I33-1&amp;""),1,MATCH(TEXT(B33,0),INDIRECT("数出表_Excel!B"&amp;$I33-1&amp;":T"&amp;$I33-1&amp;""),0))),""),4),"1",""),
"")</f>
        <v>G</v>
      </c>
      <c r="Q33" t="str">
        <f t="shared" ref="Q33:Q64" ca="1" si="9">IFERROR(
SUBSTITUTE(ADDRESS(1,
IFERROR(COLUMN(INDEX(INDIRECT("数出表_Excel!B"&amp;$I33-1&amp;":T"&amp;$I33-1&amp;""),1,MATCH(TEXT(C33,0),INDIRECT("数出表_Excel!B"&amp;$I33-1&amp;":T"&amp;$I33-1&amp;""),0))),""),4),"1",""),
"")</f>
        <v/>
      </c>
      <c r="R33" t="str">
        <f t="shared" ref="R33:R64" ca="1" si="10">IFERROR(
SUBSTITUTE(ADDRESS(1,
IFERROR(COLUMN(INDEX(INDIRECT("数出表_Excel!B"&amp;$I33-1&amp;":T"&amp;$I33-1&amp;""),1,MATCH(TEXT(D33,0),INDIRECT("数出表_Excel!B"&amp;$I33-1&amp;":T"&amp;$I33-1&amp;""),0))),""),4),"1",""),
"")</f>
        <v/>
      </c>
      <c r="S33" t="str">
        <f t="shared" ref="S33:S64" ca="1" si="11">IFERROR(
SUBSTITUTE(ADDRESS(1,
IFERROR(COLUMN(INDEX(INDIRECT("数出表_Excel!B"&amp;$I33&amp;":T"&amp;$I33&amp;""),1,MATCH(TEXT(E33,0),INDIRECT("数出表_Excel!B"&amp;$I33&amp;":T"&amp;$I33&amp;""),0))),""),4),"1",""),
"")</f>
        <v/>
      </c>
      <c r="T33" t="str">
        <f t="shared" ref="T33:T64" ca="1" si="12">IFERROR(
SUBSTITUTE(ADDRESS(1,
IFERROR(COLUMN(INDEX(INDIRECT("数出表_Excel!B"&amp;$I33&amp;":T"&amp;$I33&amp;""),1,MATCH(TEXT(F33,0),INDIRECT("数出表_Excel!B"&amp;$I33&amp;":T"&amp;$I33&amp;""),0))),""),4),"1",""),
"")</f>
        <v/>
      </c>
      <c r="U33" t="str">
        <f t="shared" ref="U33:U64" ca="1" si="13">IFERROR(
SUBSTITUTE(ADDRESS(1,
IFERROR(COLUMN(INDEX(INDIRECT("数出表_Excel!B"&amp;$I33&amp;":T"&amp;$I33&amp;""),1,MATCH(TEXT(G33,0),INDIRECT("数出表_Excel!B"&amp;$I33&amp;":T"&amp;$I33&amp;""),0))),""),4),"1",""),
"")</f>
        <v/>
      </c>
      <c r="V33" t="str">
        <f t="shared" ref="V33:V64" ca="1" si="14">TRIM(SUBSTITUTE(
IF(COUNTIF(P33:U33,"A")&gt;0,"A ","")&amp;
IF(COUNTIF(P33:U33,"B")&gt;0,"B ","")&amp;
IF(COUNTIF(P33:U33,"C")&gt;0,"C ","")&amp;
IF(COUNTIF(P33:U33,"D")&gt;0,"D ","")&amp;
IF(COUNTIF(P33:U33,"E")&gt;0,"E ","")&amp;
IF(COUNTIF(P33:U33,"F")&gt;0,"F ","")&amp;
IF(COUNTIF(P33:U33,"G")&gt;0,"G ","")&amp;
IF(COUNTIF(P33:U33,"H")&gt;0,"H ","")&amp;
IF(COUNTIF(P33:U33,"I")&gt;0,"I ","")&amp;
IF(COUNTIF(P33:U33,"J")&gt;0,"J ","")&amp;
IF(COUNTIF(P33:U33,"K")&gt;0,"K ","")&amp;
IF(COUNTIF(P33:U33,"L")&gt;0,"L ","")&amp;
IF(COUNTIF(P33:U33,"M")&gt;0,"M ","")&amp;
IF(COUNTIF(P33:U33,"N")&gt;0,"N ","")&amp;
IF(COUNTIF(P33:U33,"O")&gt;0,"O ","")&amp;
IF(COUNTIF(P33:U33,"P")&gt;0,"P ","")&amp;
IF(COUNTIF(P33:U33,"Q")&gt;0,"Q ","")&amp;
IF(COUNTIF(P33:U33,"R")&gt;0,"R ","")&amp;
IF(COUNTIF(P33:U33,"S")&gt;0,"S ","")&amp;
IF(COUNTIF(P33:U33,"T")&gt;0,"T ","")&amp;
IF(COUNTIF(P33:U33,"U")&gt;0,"U ","")&amp;
IF(COUNTIF(P33:U33,"V")&gt;0,"V ","")&amp;
IF(COUNTIF(P33:U33,"W")&gt;0,"W ","")&amp;
IF(COUNTIF(P33:U33,"X")&gt;0,"X ","")&amp;
IF(COUNTIF(P33:U33,"Y")&gt;0,"Y ","")&amp;
IF(COUNTIF(P33:U33,"Z")&gt;0,"Z ","")," ",","))</f>
        <v>G,</v>
      </c>
    </row>
    <row r="34" spans="1:22" x14ac:dyDescent="0.45">
      <c r="A34" t="s">
        <v>48</v>
      </c>
      <c r="B34">
        <v>14</v>
      </c>
      <c r="I34">
        <f t="shared" ref="I34:I70" si="15">I33+2</f>
        <v>73</v>
      </c>
      <c r="J34" t="str">
        <f t="array" aca="1" ref="J34" ca="1">IFERROR(IF(OR(COUNTIF(INDIRECT("数出表_Excel!"&amp;P34&amp;"3"),"*キャラ*"),
COUNTIF(INDIRECT("数出表_Excel!"&amp;P34&amp;"3"),"*赤*")),
IF(COUNTIF(A34,"*雙葉*"),INDIRECT("数出表_Excel!"&amp;P34&amp;"3"),
INDIRECT("数出表_Excel!"&amp;P34&amp;"3")
&amp;"　"&amp;INDIRECT("数出表_Excel!"&amp;P34&amp;"4")
&amp;INDIRECT("数出表_Excel!"&amp;P34&amp;"5")),
INDIRECT("数出表_Excel!"&amp;P34&amp;"3")),"")</f>
        <v>キャラ弁当　飯あり120</v>
      </c>
      <c r="K34" t="str">
        <f t="array" aca="1" ref="K34" ca="1">IFERROR(IF(OR(COUNTIF(INDIRECT("数出表_Excel!"&amp;Q34&amp;"3"),"*キャラ*"),
COUNTIF(INDIRECT("数出表_Excel!"&amp;Q34&amp;"3"),"*赤*")),
INDIRECT("数出表_Excel!"&amp;Q34&amp;"3")
&amp;"　"&amp;INDIRECT("数出表_Excel!"&amp;Q34&amp;"4")
&amp;INDIRECT("数出表_Excel!"&amp;Q34&amp;"5"),
INDIRECT("数出表_Excel!"&amp;Q34&amp;"3")),"")</f>
        <v/>
      </c>
      <c r="L34" t="str">
        <f t="array" aca="1" ref="L34" ca="1">IFERROR(IF(OR(COUNTIF(INDIRECT("数出表_Excel!"&amp;R34&amp;"3"),"*キャラ*"),
COUNTIF(INDIRECT("数出表_Excel!"&amp;R34&amp;"3"),"*赤*")),
INDIRECT("数出表_Excel!"&amp;R34&amp;"3")
&amp;"　"&amp;INDIRECT("数出表_Excel!"&amp;R34&amp;"4")
&amp;INDIRECT("数出表_Excel!"&amp;R34&amp;"5"),
INDIRECT("数出表_Excel!"&amp;R34&amp;"3")),"")</f>
        <v/>
      </c>
      <c r="M34" t="str">
        <f t="array" aca="1" ref="M34" ca="1">IFERROR(IF(OR(COUNTIF(INDIRECT("数出表_Excel!"&amp;S34&amp;"3"),"*キャラ*"),
COUNTIF(INDIRECT("数出表_Excel!"&amp;S34&amp;"3"),"*赤*")),
INDIRECT("数出表_Excel!"&amp;S34&amp;"3")
&amp;"　"&amp;INDIRECT("数出表_Excel!"&amp;S34&amp;"4")
&amp;INDIRECT("数出表_Excel!"&amp;S34&amp;"5"),
INDIRECT("数出表_Excel!"&amp;S34&amp;"3")),"")</f>
        <v/>
      </c>
      <c r="N34" t="str">
        <f t="array" aca="1" ref="N34" ca="1">IFERROR(IF(OR(COUNTIF(INDIRECT("数出表_Excel!"&amp;T34&amp;"3"),"*キャラ*"),
COUNTIF(INDIRECT("数出表_Excel!"&amp;T34&amp;"3"),"*赤*")),
INDIRECT("数出表_Excel!"&amp;T34&amp;"3")
&amp;"　"&amp;INDIRECT("数出表_Excel!"&amp;T34&amp;"4")
&amp;INDIRECT("数出表_Excel!"&amp;T34&amp;"5"),
INDIRECT("数出表_Excel!"&amp;T34&amp;"3")),"")</f>
        <v/>
      </c>
      <c r="O34" t="str">
        <f t="array" aca="1" ref="O34" ca="1">IFERROR(IF(OR(COUNTIF(INDIRECT("数出表_Excel!"&amp;U34&amp;"3"),"*キャラ*"),
COUNTIF(INDIRECT("数出表_Excel!"&amp;U34&amp;"3"),"*赤*")),
INDIRECT("数出表_Excel!"&amp;U34&amp;"3")
&amp;"　"&amp;INDIRECT("数出表_Excel!"&amp;U34&amp;"4")
&amp;INDIRECT("数出表_Excel!"&amp;U34&amp;"5"),
INDIRECT("数出表_Excel!"&amp;U34&amp;"3")),"")</f>
        <v/>
      </c>
      <c r="P34" t="str">
        <f t="shared" ca="1" si="8"/>
        <v>D</v>
      </c>
      <c r="Q34" t="str">
        <f t="shared" ca="1" si="9"/>
        <v/>
      </c>
      <c r="R34" t="str">
        <f t="shared" ca="1" si="10"/>
        <v/>
      </c>
      <c r="S34" t="str">
        <f t="shared" ca="1" si="11"/>
        <v/>
      </c>
      <c r="T34" t="str">
        <f t="shared" ca="1" si="12"/>
        <v/>
      </c>
      <c r="U34" t="str">
        <f t="shared" ca="1" si="13"/>
        <v/>
      </c>
      <c r="V34" t="str">
        <f t="shared" ca="1" si="14"/>
        <v>D,</v>
      </c>
    </row>
    <row r="35" spans="1:22" x14ac:dyDescent="0.45">
      <c r="A35" t="s">
        <v>49</v>
      </c>
      <c r="B35">
        <v>15</v>
      </c>
      <c r="C35">
        <v>99</v>
      </c>
      <c r="E35">
        <v>3</v>
      </c>
      <c r="F35">
        <v>15</v>
      </c>
      <c r="I35">
        <f t="shared" si="15"/>
        <v>75</v>
      </c>
      <c r="J35" t="str">
        <f t="array" aca="1" ref="J35" ca="1">IFERROR(IF(OR(COUNTIF(INDIRECT("数出表_Excel!"&amp;P35&amp;"3"),"*キャラ*"),
COUNTIF(INDIRECT("数出表_Excel!"&amp;P35&amp;"3"),"*赤*")),
IF(COUNTIF(A35,"*雙葉*"),INDIRECT("数出表_Excel!"&amp;P35&amp;"3"),
INDIRECT("数出表_Excel!"&amp;P35&amp;"3")
&amp;"　"&amp;INDIRECT("数出表_Excel!"&amp;P35&amp;"4")
&amp;INDIRECT("数出表_Excel!"&amp;P35&amp;"5")),
INDIRECT("数出表_Excel!"&amp;P35&amp;"3")),"")</f>
        <v>赤　飯あり120</v>
      </c>
      <c r="K35" t="str">
        <f t="array" aca="1" ref="K35" ca="1">IFERROR(IF(OR(COUNTIF(INDIRECT("数出表_Excel!"&amp;Q35&amp;"3"),"*キャラ*"),
COUNTIF(INDIRECT("数出表_Excel!"&amp;Q35&amp;"3"),"*赤*")),
INDIRECT("数出表_Excel!"&amp;Q35&amp;"3")
&amp;"　"&amp;INDIRECT("数出表_Excel!"&amp;Q35&amp;"4")
&amp;INDIRECT("数出表_Excel!"&amp;Q35&amp;"5"),
INDIRECT("数出表_Excel!"&amp;Q35&amp;"3")),"")</f>
        <v>赤　飯なし</v>
      </c>
      <c r="L35" t="str">
        <f t="array" aca="1" ref="L35" ca="1">IFERROR(IF(OR(COUNTIF(INDIRECT("数出表_Excel!"&amp;R35&amp;"3"),"*キャラ*"),
COUNTIF(INDIRECT("数出表_Excel!"&amp;R35&amp;"3"),"*赤*")),
INDIRECT("数出表_Excel!"&amp;R35&amp;"3")
&amp;"　"&amp;INDIRECT("数出表_Excel!"&amp;R35&amp;"4")
&amp;INDIRECT("数出表_Excel!"&amp;R35&amp;"5"),
INDIRECT("数出表_Excel!"&amp;R35&amp;"3")),"")</f>
        <v/>
      </c>
      <c r="M35" t="str">
        <f t="array" aca="1" ref="M35" ca="1">IFERROR(IF(OR(COUNTIF(INDIRECT("数出表_Excel!"&amp;S35&amp;"3"),"*キャラ*"),
COUNTIF(INDIRECT("数出表_Excel!"&amp;S35&amp;"3"),"*赤*")),
INDIRECT("数出表_Excel!"&amp;S35&amp;"3")
&amp;"　"&amp;INDIRECT("数出表_Excel!"&amp;S35&amp;"4")
&amp;INDIRECT("数出表_Excel!"&amp;S35&amp;"5"),
INDIRECT("数出表_Excel!"&amp;S35&amp;"3")),"")</f>
        <v>赤　飯あり120</v>
      </c>
      <c r="N35" t="str">
        <f t="array" aca="1" ref="N35" ca="1">IFERROR(IF(OR(COUNTIF(INDIRECT("数出表_Excel!"&amp;T35&amp;"3"),"*キャラ*"),
COUNTIF(INDIRECT("数出表_Excel!"&amp;T35&amp;"3"),"*赤*")),
INDIRECT("数出表_Excel!"&amp;T35&amp;"3")
&amp;"　"&amp;INDIRECT("数出表_Excel!"&amp;T35&amp;"4")
&amp;INDIRECT("数出表_Excel!"&amp;T35&amp;"5"),
INDIRECT("数出表_Excel!"&amp;T35&amp;"3")),"")</f>
        <v>赤　飯なし</v>
      </c>
      <c r="O35" t="str">
        <f t="array" aca="1" ref="O35" ca="1">IFERROR(IF(OR(COUNTIF(INDIRECT("数出表_Excel!"&amp;U35&amp;"3"),"*キャラ*"),
COUNTIF(INDIRECT("数出表_Excel!"&amp;U35&amp;"3"),"*赤*")),
INDIRECT("数出表_Excel!"&amp;U35&amp;"3")
&amp;"　"&amp;INDIRECT("数出表_Excel!"&amp;U35&amp;"4")
&amp;INDIRECT("数出表_Excel!"&amp;U35&amp;"5"),
INDIRECT("数出表_Excel!"&amp;U35&amp;"3")),"")</f>
        <v/>
      </c>
      <c r="P35" t="str">
        <f t="shared" ca="1" si="8"/>
        <v>G</v>
      </c>
      <c r="Q35" t="str">
        <f t="shared" ca="1" si="9"/>
        <v>K</v>
      </c>
      <c r="R35" t="str">
        <f t="shared" ca="1" si="10"/>
        <v/>
      </c>
      <c r="S35" t="str">
        <f t="shared" ca="1" si="11"/>
        <v>G</v>
      </c>
      <c r="T35" t="str">
        <f t="shared" ca="1" si="12"/>
        <v>K</v>
      </c>
      <c r="U35" t="str">
        <f t="shared" ca="1" si="13"/>
        <v/>
      </c>
      <c r="V35" t="str">
        <f t="shared" ca="1" si="14"/>
        <v>G,K,</v>
      </c>
    </row>
    <row r="36" spans="1:22" x14ac:dyDescent="0.45">
      <c r="A36" t="s">
        <v>50</v>
      </c>
      <c r="B36">
        <v>87</v>
      </c>
      <c r="C36">
        <v>12</v>
      </c>
      <c r="E36">
        <v>12</v>
      </c>
      <c r="I36">
        <f t="shared" si="15"/>
        <v>77</v>
      </c>
      <c r="J36" t="str">
        <f t="array" aca="1" ref="J36" ca="1">IFERROR(IF(OR(COUNTIF(INDIRECT("数出表_Excel!"&amp;P36&amp;"3"),"*キャラ*"),
COUNTIF(INDIRECT("数出表_Excel!"&amp;P36&amp;"3"),"*赤*")),
IF(COUNTIF(A36,"*雙葉*"),INDIRECT("数出表_Excel!"&amp;P36&amp;"3"),
INDIRECT("数出表_Excel!"&amp;P36&amp;"3")
&amp;"　"&amp;INDIRECT("数出表_Excel!"&amp;P36&amp;"4")
&amp;INDIRECT("数出表_Excel!"&amp;P36&amp;"5")),
INDIRECT("数出表_Excel!"&amp;P36&amp;"3")),"")</f>
        <v>赤　飯あり120</v>
      </c>
      <c r="K36" t="str">
        <f t="array" aca="1" ref="K36" ca="1">IFERROR(IF(OR(COUNTIF(INDIRECT("数出表_Excel!"&amp;Q36&amp;"3"),"*キャラ*"),
COUNTIF(INDIRECT("数出表_Excel!"&amp;Q36&amp;"3"),"*赤*")),
INDIRECT("数出表_Excel!"&amp;Q36&amp;"3")
&amp;"　"&amp;INDIRECT("数出表_Excel!"&amp;Q36&amp;"4")
&amp;INDIRECT("数出表_Excel!"&amp;Q36&amp;"5"),
INDIRECT("数出表_Excel!"&amp;Q36&amp;"3")),"")</f>
        <v>赤　おにぎり半俵</v>
      </c>
      <c r="L36" t="str">
        <f t="array" aca="1" ref="L36" ca="1">IFERROR(IF(OR(COUNTIF(INDIRECT("数出表_Excel!"&amp;R36&amp;"3"),"*キャラ*"),
COUNTIF(INDIRECT("数出表_Excel!"&amp;R36&amp;"3"),"*赤*")),
INDIRECT("数出表_Excel!"&amp;R36&amp;"3")
&amp;"　"&amp;INDIRECT("数出表_Excel!"&amp;R36&amp;"4")
&amp;INDIRECT("数出表_Excel!"&amp;R36&amp;"5"),
INDIRECT("数出表_Excel!"&amp;R36&amp;"3")),"")</f>
        <v/>
      </c>
      <c r="M36" t="str">
        <f t="array" aca="1" ref="M36" ca="1">IFERROR(IF(OR(COUNTIF(INDIRECT("数出表_Excel!"&amp;S36&amp;"3"),"*キャラ*"),
COUNTIF(INDIRECT("数出表_Excel!"&amp;S36&amp;"3"),"*赤*")),
INDIRECT("数出表_Excel!"&amp;S36&amp;"3")
&amp;"　"&amp;INDIRECT("数出表_Excel!"&amp;S36&amp;"4")
&amp;INDIRECT("数出表_Excel!"&amp;S36&amp;"5"),
INDIRECT("数出表_Excel!"&amp;S36&amp;"3")),"")</f>
        <v>赤　飯あり120</v>
      </c>
      <c r="N36" t="str">
        <f t="array" aca="1" ref="N36" ca="1">IFERROR(IF(OR(COUNTIF(INDIRECT("数出表_Excel!"&amp;T36&amp;"3"),"*キャラ*"),
COUNTIF(INDIRECT("数出表_Excel!"&amp;T36&amp;"3"),"*赤*")),
INDIRECT("数出表_Excel!"&amp;T36&amp;"3")
&amp;"　"&amp;INDIRECT("数出表_Excel!"&amp;T36&amp;"4")
&amp;INDIRECT("数出表_Excel!"&amp;T36&amp;"5"),
INDIRECT("数出表_Excel!"&amp;T36&amp;"3")),"")</f>
        <v/>
      </c>
      <c r="O36" t="str">
        <f t="array" aca="1" ref="O36" ca="1">IFERROR(IF(OR(COUNTIF(INDIRECT("数出表_Excel!"&amp;U36&amp;"3"),"*キャラ*"),
COUNTIF(INDIRECT("数出表_Excel!"&amp;U36&amp;"3"),"*赤*")),
INDIRECT("数出表_Excel!"&amp;U36&amp;"3")
&amp;"　"&amp;INDIRECT("数出表_Excel!"&amp;U36&amp;"4")
&amp;INDIRECT("数出表_Excel!"&amp;U36&amp;"5"),
INDIRECT("数出表_Excel!"&amp;U36&amp;"3")),"")</f>
        <v/>
      </c>
      <c r="P36" t="str">
        <f t="shared" ca="1" si="8"/>
        <v>G</v>
      </c>
      <c r="Q36" t="str">
        <f t="shared" ca="1" si="9"/>
        <v>J</v>
      </c>
      <c r="R36" t="str">
        <f t="shared" ca="1" si="10"/>
        <v/>
      </c>
      <c r="S36" t="str">
        <f t="shared" ca="1" si="11"/>
        <v>G</v>
      </c>
      <c r="T36" t="str">
        <f t="shared" ca="1" si="12"/>
        <v/>
      </c>
      <c r="U36" t="str">
        <f t="shared" ca="1" si="13"/>
        <v/>
      </c>
      <c r="V36" t="str">
        <f t="shared" ca="1" si="14"/>
        <v>G,J,</v>
      </c>
    </row>
    <row r="37" spans="1:22" x14ac:dyDescent="0.45">
      <c r="A37" t="s">
        <v>51</v>
      </c>
      <c r="B37">
        <v>118</v>
      </c>
      <c r="C37">
        <v>16</v>
      </c>
      <c r="E37">
        <v>14</v>
      </c>
      <c r="I37">
        <f t="shared" si="15"/>
        <v>79</v>
      </c>
      <c r="J37" t="str">
        <f t="array" aca="1" ref="J37" ca="1">IFERROR(IF(OR(COUNTIF(INDIRECT("数出表_Excel!"&amp;P37&amp;"3"),"*キャラ*"),
COUNTIF(INDIRECT("数出表_Excel!"&amp;P37&amp;"3"),"*赤*")),
IF(COUNTIF(A37,"*雙葉*"),INDIRECT("数出表_Excel!"&amp;P37&amp;"3"),
INDIRECT("数出表_Excel!"&amp;P37&amp;"3")
&amp;"　"&amp;INDIRECT("数出表_Excel!"&amp;P37&amp;"4")
&amp;INDIRECT("数出表_Excel!"&amp;P37&amp;"5")),
INDIRECT("数出表_Excel!"&amp;P37&amp;"3")),"")</f>
        <v>赤　飯あり120</v>
      </c>
      <c r="K37" t="str">
        <f t="array" aca="1" ref="K37" ca="1">IFERROR(IF(OR(COUNTIF(INDIRECT("数出表_Excel!"&amp;Q37&amp;"3"),"*キャラ*"),
COUNTIF(INDIRECT("数出表_Excel!"&amp;Q37&amp;"3"),"*赤*")),
INDIRECT("数出表_Excel!"&amp;Q37&amp;"3")
&amp;"　"&amp;INDIRECT("数出表_Excel!"&amp;Q37&amp;"4")
&amp;INDIRECT("数出表_Excel!"&amp;Q37&amp;"5"),
INDIRECT("数出表_Excel!"&amp;Q37&amp;"3")),"")</f>
        <v>赤　おにぎり半俵</v>
      </c>
      <c r="L37" t="str">
        <f t="array" aca="1" ref="L37" ca="1">IFERROR(IF(OR(COUNTIF(INDIRECT("数出表_Excel!"&amp;R37&amp;"3"),"*キャラ*"),
COUNTIF(INDIRECT("数出表_Excel!"&amp;R37&amp;"3"),"*赤*")),
INDIRECT("数出表_Excel!"&amp;R37&amp;"3")
&amp;"　"&amp;INDIRECT("数出表_Excel!"&amp;R37&amp;"4")
&amp;INDIRECT("数出表_Excel!"&amp;R37&amp;"5"),
INDIRECT("数出表_Excel!"&amp;R37&amp;"3")),"")</f>
        <v/>
      </c>
      <c r="M37" t="str">
        <f t="array" aca="1" ref="M37" ca="1">IFERROR(IF(OR(COUNTIF(INDIRECT("数出表_Excel!"&amp;S37&amp;"3"),"*キャラ*"),
COUNTIF(INDIRECT("数出表_Excel!"&amp;S37&amp;"3"),"*赤*")),
INDIRECT("数出表_Excel!"&amp;S37&amp;"3")
&amp;"　"&amp;INDIRECT("数出表_Excel!"&amp;S37&amp;"4")
&amp;INDIRECT("数出表_Excel!"&amp;S37&amp;"5"),
INDIRECT("数出表_Excel!"&amp;S37&amp;"3")),"")</f>
        <v>赤　飯あり120</v>
      </c>
      <c r="N37" t="str">
        <f t="array" aca="1" ref="N37" ca="1">IFERROR(IF(OR(COUNTIF(INDIRECT("数出表_Excel!"&amp;T37&amp;"3"),"*キャラ*"),
COUNTIF(INDIRECT("数出表_Excel!"&amp;T37&amp;"3"),"*赤*")),
INDIRECT("数出表_Excel!"&amp;T37&amp;"3")
&amp;"　"&amp;INDIRECT("数出表_Excel!"&amp;T37&amp;"4")
&amp;INDIRECT("数出表_Excel!"&amp;T37&amp;"5"),
INDIRECT("数出表_Excel!"&amp;T37&amp;"3")),"")</f>
        <v/>
      </c>
      <c r="O37" t="str">
        <f t="array" aca="1" ref="O37" ca="1">IFERROR(IF(OR(COUNTIF(INDIRECT("数出表_Excel!"&amp;U37&amp;"3"),"*キャラ*"),
COUNTIF(INDIRECT("数出表_Excel!"&amp;U37&amp;"3"),"*赤*")),
INDIRECT("数出表_Excel!"&amp;U37&amp;"3")
&amp;"　"&amp;INDIRECT("数出表_Excel!"&amp;U37&amp;"4")
&amp;INDIRECT("数出表_Excel!"&amp;U37&amp;"5"),
INDIRECT("数出表_Excel!"&amp;U37&amp;"3")),"")</f>
        <v/>
      </c>
      <c r="P37" t="str">
        <f t="shared" ca="1" si="8"/>
        <v>G</v>
      </c>
      <c r="Q37" t="str">
        <f t="shared" ca="1" si="9"/>
        <v>J</v>
      </c>
      <c r="R37" t="str">
        <f t="shared" ca="1" si="10"/>
        <v/>
      </c>
      <c r="S37" t="str">
        <f t="shared" ca="1" si="11"/>
        <v>G</v>
      </c>
      <c r="T37" t="str">
        <f t="shared" ca="1" si="12"/>
        <v/>
      </c>
      <c r="U37" t="str">
        <f t="shared" ca="1" si="13"/>
        <v/>
      </c>
      <c r="V37" t="str">
        <f t="shared" ca="1" si="14"/>
        <v>G,J,</v>
      </c>
    </row>
    <row r="38" spans="1:22" x14ac:dyDescent="0.45">
      <c r="A38" t="s">
        <v>52</v>
      </c>
      <c r="B38">
        <v>209</v>
      </c>
      <c r="E38">
        <v>24</v>
      </c>
      <c r="I38">
        <f t="shared" si="15"/>
        <v>81</v>
      </c>
      <c r="J38" t="str">
        <f t="array" aca="1" ref="J38" ca="1">IFERROR(IF(OR(COUNTIF(INDIRECT("数出表_Excel!"&amp;P38&amp;"3"),"*キャラ*"),
COUNTIF(INDIRECT("数出表_Excel!"&amp;P38&amp;"3"),"*赤*")),
IF(COUNTIF(A38,"*雙葉*"),INDIRECT("数出表_Excel!"&amp;P38&amp;"3"),
INDIRECT("数出表_Excel!"&amp;P38&amp;"3")
&amp;"　"&amp;INDIRECT("数出表_Excel!"&amp;P38&amp;"4")
&amp;INDIRECT("数出表_Excel!"&amp;P38&amp;"5")),
INDIRECT("数出表_Excel!"&amp;P38&amp;"3")),"")</f>
        <v>赤　飯あり120</v>
      </c>
      <c r="K38" t="str">
        <f t="array" aca="1" ref="K38" ca="1">IFERROR(IF(OR(COUNTIF(INDIRECT("数出表_Excel!"&amp;Q38&amp;"3"),"*キャラ*"),
COUNTIF(INDIRECT("数出表_Excel!"&amp;Q38&amp;"3"),"*赤*")),
INDIRECT("数出表_Excel!"&amp;Q38&amp;"3")
&amp;"　"&amp;INDIRECT("数出表_Excel!"&amp;Q38&amp;"4")
&amp;INDIRECT("数出表_Excel!"&amp;Q38&amp;"5"),
INDIRECT("数出表_Excel!"&amp;Q38&amp;"3")),"")</f>
        <v/>
      </c>
      <c r="L38" t="str">
        <f t="array" aca="1" ref="L38" ca="1">IFERROR(IF(OR(COUNTIF(INDIRECT("数出表_Excel!"&amp;R38&amp;"3"),"*キャラ*"),
COUNTIF(INDIRECT("数出表_Excel!"&amp;R38&amp;"3"),"*赤*")),
INDIRECT("数出表_Excel!"&amp;R38&amp;"3")
&amp;"　"&amp;INDIRECT("数出表_Excel!"&amp;R38&amp;"4")
&amp;INDIRECT("数出表_Excel!"&amp;R38&amp;"5"),
INDIRECT("数出表_Excel!"&amp;R38&amp;"3")),"")</f>
        <v/>
      </c>
      <c r="M38" t="str">
        <f t="array" aca="1" ref="M38" ca="1">IFERROR(IF(OR(COUNTIF(INDIRECT("数出表_Excel!"&amp;S38&amp;"3"),"*キャラ*"),
COUNTIF(INDIRECT("数出表_Excel!"&amp;S38&amp;"3"),"*赤*")),
INDIRECT("数出表_Excel!"&amp;S38&amp;"3")
&amp;"　"&amp;INDIRECT("数出表_Excel!"&amp;S38&amp;"4")
&amp;INDIRECT("数出表_Excel!"&amp;S38&amp;"5"),
INDIRECT("数出表_Excel!"&amp;S38&amp;"3")),"")</f>
        <v>赤　飯あり120</v>
      </c>
      <c r="N38" t="str">
        <f t="array" aca="1" ref="N38" ca="1">IFERROR(IF(OR(COUNTIF(INDIRECT("数出表_Excel!"&amp;T38&amp;"3"),"*キャラ*"),
COUNTIF(INDIRECT("数出表_Excel!"&amp;T38&amp;"3"),"*赤*")),
INDIRECT("数出表_Excel!"&amp;T38&amp;"3")
&amp;"　"&amp;INDIRECT("数出表_Excel!"&amp;T38&amp;"4")
&amp;INDIRECT("数出表_Excel!"&amp;T38&amp;"5"),
INDIRECT("数出表_Excel!"&amp;T38&amp;"3")),"")</f>
        <v/>
      </c>
      <c r="O38" t="str">
        <f t="array" aca="1" ref="O38" ca="1">IFERROR(IF(OR(COUNTIF(INDIRECT("数出表_Excel!"&amp;U38&amp;"3"),"*キャラ*"),
COUNTIF(INDIRECT("数出表_Excel!"&amp;U38&amp;"3"),"*赤*")),
INDIRECT("数出表_Excel!"&amp;U38&amp;"3")
&amp;"　"&amp;INDIRECT("数出表_Excel!"&amp;U38&amp;"4")
&amp;INDIRECT("数出表_Excel!"&amp;U38&amp;"5"),
INDIRECT("数出表_Excel!"&amp;U38&amp;"3")),"")</f>
        <v/>
      </c>
      <c r="P38" t="str">
        <f t="shared" ca="1" si="8"/>
        <v>G</v>
      </c>
      <c r="Q38" t="str">
        <f t="shared" ca="1" si="9"/>
        <v/>
      </c>
      <c r="R38" t="str">
        <f t="shared" ca="1" si="10"/>
        <v/>
      </c>
      <c r="S38" t="str">
        <f t="shared" ca="1" si="11"/>
        <v>G</v>
      </c>
      <c r="T38" t="str">
        <f t="shared" ca="1" si="12"/>
        <v/>
      </c>
      <c r="U38" t="str">
        <f t="shared" ca="1" si="13"/>
        <v/>
      </c>
      <c r="V38" t="str">
        <f t="shared" ca="1" si="14"/>
        <v>G,</v>
      </c>
    </row>
    <row r="39" spans="1:22" x14ac:dyDescent="0.45">
      <c r="A39" t="s">
        <v>53</v>
      </c>
      <c r="B39">
        <v>89</v>
      </c>
      <c r="C39">
        <v>11</v>
      </c>
      <c r="E39">
        <v>12</v>
      </c>
      <c r="I39">
        <f t="shared" si="15"/>
        <v>83</v>
      </c>
      <c r="J39" t="str">
        <f t="array" aca="1" ref="J39" ca="1">IFERROR(IF(OR(COUNTIF(INDIRECT("数出表_Excel!"&amp;P39&amp;"3"),"*キャラ*"),
COUNTIF(INDIRECT("数出表_Excel!"&amp;P39&amp;"3"),"*赤*")),
IF(COUNTIF(A39,"*雙葉*"),INDIRECT("数出表_Excel!"&amp;P39&amp;"3"),
INDIRECT("数出表_Excel!"&amp;P39&amp;"3")
&amp;"　"&amp;INDIRECT("数出表_Excel!"&amp;P39&amp;"4")
&amp;INDIRECT("数出表_Excel!"&amp;P39&amp;"5")),
INDIRECT("数出表_Excel!"&amp;P39&amp;"3")),"")</f>
        <v>赤　飯あり120</v>
      </c>
      <c r="K39" t="str">
        <f t="array" aca="1" ref="K39" ca="1">IFERROR(IF(OR(COUNTIF(INDIRECT("数出表_Excel!"&amp;Q39&amp;"3"),"*キャラ*"),
COUNTIF(INDIRECT("数出表_Excel!"&amp;Q39&amp;"3"),"*赤*")),
INDIRECT("数出表_Excel!"&amp;Q39&amp;"3")
&amp;"　"&amp;INDIRECT("数出表_Excel!"&amp;Q39&amp;"4")
&amp;INDIRECT("数出表_Excel!"&amp;Q39&amp;"5"),
INDIRECT("数出表_Excel!"&amp;Q39&amp;"3")),"")</f>
        <v>赤　おにぎり半俵</v>
      </c>
      <c r="L39" t="str">
        <f t="array" aca="1" ref="L39" ca="1">IFERROR(IF(OR(COUNTIF(INDIRECT("数出表_Excel!"&amp;R39&amp;"3"),"*キャラ*"),
COUNTIF(INDIRECT("数出表_Excel!"&amp;R39&amp;"3"),"*赤*")),
INDIRECT("数出表_Excel!"&amp;R39&amp;"3")
&amp;"　"&amp;INDIRECT("数出表_Excel!"&amp;R39&amp;"4")
&amp;INDIRECT("数出表_Excel!"&amp;R39&amp;"5"),
INDIRECT("数出表_Excel!"&amp;R39&amp;"3")),"")</f>
        <v/>
      </c>
      <c r="M39" t="str">
        <f t="array" aca="1" ref="M39" ca="1">IFERROR(IF(OR(COUNTIF(INDIRECT("数出表_Excel!"&amp;S39&amp;"3"),"*キャラ*"),
COUNTIF(INDIRECT("数出表_Excel!"&amp;S39&amp;"3"),"*赤*")),
INDIRECT("数出表_Excel!"&amp;S39&amp;"3")
&amp;"　"&amp;INDIRECT("数出表_Excel!"&amp;S39&amp;"4")
&amp;INDIRECT("数出表_Excel!"&amp;S39&amp;"5"),
INDIRECT("数出表_Excel!"&amp;S39&amp;"3")),"")</f>
        <v>赤　飯あり120</v>
      </c>
      <c r="N39" t="str">
        <f t="array" aca="1" ref="N39" ca="1">IFERROR(IF(OR(COUNTIF(INDIRECT("数出表_Excel!"&amp;T39&amp;"3"),"*キャラ*"),
COUNTIF(INDIRECT("数出表_Excel!"&amp;T39&amp;"3"),"*赤*")),
INDIRECT("数出表_Excel!"&amp;T39&amp;"3")
&amp;"　"&amp;INDIRECT("数出表_Excel!"&amp;T39&amp;"4")
&amp;INDIRECT("数出表_Excel!"&amp;T39&amp;"5"),
INDIRECT("数出表_Excel!"&amp;T39&amp;"3")),"")</f>
        <v/>
      </c>
      <c r="O39" t="str">
        <f t="array" aca="1" ref="O39" ca="1">IFERROR(IF(OR(COUNTIF(INDIRECT("数出表_Excel!"&amp;U39&amp;"3"),"*キャラ*"),
COUNTIF(INDIRECT("数出表_Excel!"&amp;U39&amp;"3"),"*赤*")),
INDIRECT("数出表_Excel!"&amp;U39&amp;"3")
&amp;"　"&amp;INDIRECT("数出表_Excel!"&amp;U39&amp;"4")
&amp;INDIRECT("数出表_Excel!"&amp;U39&amp;"5"),
INDIRECT("数出表_Excel!"&amp;U39&amp;"3")),"")</f>
        <v/>
      </c>
      <c r="P39" t="str">
        <f t="shared" ca="1" si="8"/>
        <v>G</v>
      </c>
      <c r="Q39" t="str">
        <f t="shared" ca="1" si="9"/>
        <v>J</v>
      </c>
      <c r="R39" t="str">
        <f t="shared" ca="1" si="10"/>
        <v/>
      </c>
      <c r="S39" t="str">
        <f t="shared" ca="1" si="11"/>
        <v>G</v>
      </c>
      <c r="T39" t="str">
        <f t="shared" ca="1" si="12"/>
        <v/>
      </c>
      <c r="U39" t="str">
        <f t="shared" ca="1" si="13"/>
        <v/>
      </c>
      <c r="V39" t="str">
        <f t="shared" ca="1" si="14"/>
        <v>G,J,</v>
      </c>
    </row>
    <row r="40" spans="1:22" x14ac:dyDescent="0.45">
      <c r="A40" t="s">
        <v>54</v>
      </c>
      <c r="B40">
        <v>148</v>
      </c>
      <c r="E40">
        <v>17</v>
      </c>
      <c r="I40">
        <f t="shared" si="15"/>
        <v>85</v>
      </c>
      <c r="J40" t="str">
        <f t="array" aca="1" ref="J40" ca="1">IFERROR(IF(OR(COUNTIF(INDIRECT("数出表_Excel!"&amp;P40&amp;"3"),"*キャラ*"),
COUNTIF(INDIRECT("数出表_Excel!"&amp;P40&amp;"3"),"*赤*")),
IF(COUNTIF(A40,"*雙葉*"),INDIRECT("数出表_Excel!"&amp;P40&amp;"3"),
INDIRECT("数出表_Excel!"&amp;P40&amp;"3")
&amp;"　"&amp;INDIRECT("数出表_Excel!"&amp;P40&amp;"4")
&amp;INDIRECT("数出表_Excel!"&amp;P40&amp;"5")),
INDIRECT("数出表_Excel!"&amp;P40&amp;"3")),"")</f>
        <v>赤　飯あり120</v>
      </c>
      <c r="K40" t="str">
        <f t="array" aca="1" ref="K40" ca="1">IFERROR(IF(OR(COUNTIF(INDIRECT("数出表_Excel!"&amp;Q40&amp;"3"),"*キャラ*"),
COUNTIF(INDIRECT("数出表_Excel!"&amp;Q40&amp;"3"),"*赤*")),
INDIRECT("数出表_Excel!"&amp;Q40&amp;"3")
&amp;"　"&amp;INDIRECT("数出表_Excel!"&amp;Q40&amp;"4")
&amp;INDIRECT("数出表_Excel!"&amp;Q40&amp;"5"),
INDIRECT("数出表_Excel!"&amp;Q40&amp;"3")),"")</f>
        <v/>
      </c>
      <c r="L40" t="str">
        <f t="array" aca="1" ref="L40" ca="1">IFERROR(IF(OR(COUNTIF(INDIRECT("数出表_Excel!"&amp;R40&amp;"3"),"*キャラ*"),
COUNTIF(INDIRECT("数出表_Excel!"&amp;R40&amp;"3"),"*赤*")),
INDIRECT("数出表_Excel!"&amp;R40&amp;"3")
&amp;"　"&amp;INDIRECT("数出表_Excel!"&amp;R40&amp;"4")
&amp;INDIRECT("数出表_Excel!"&amp;R40&amp;"5"),
INDIRECT("数出表_Excel!"&amp;R40&amp;"3")),"")</f>
        <v/>
      </c>
      <c r="M40" t="str">
        <f t="array" aca="1" ref="M40" ca="1">IFERROR(IF(OR(COUNTIF(INDIRECT("数出表_Excel!"&amp;S40&amp;"3"),"*キャラ*"),
COUNTIF(INDIRECT("数出表_Excel!"&amp;S40&amp;"3"),"*赤*")),
INDIRECT("数出表_Excel!"&amp;S40&amp;"3")
&amp;"　"&amp;INDIRECT("数出表_Excel!"&amp;S40&amp;"4")
&amp;INDIRECT("数出表_Excel!"&amp;S40&amp;"5"),
INDIRECT("数出表_Excel!"&amp;S40&amp;"3")),"")</f>
        <v>赤　飯あり120</v>
      </c>
      <c r="N40" t="str">
        <f t="array" aca="1" ref="N40" ca="1">IFERROR(IF(OR(COUNTIF(INDIRECT("数出表_Excel!"&amp;T40&amp;"3"),"*キャラ*"),
COUNTIF(INDIRECT("数出表_Excel!"&amp;T40&amp;"3"),"*赤*")),
INDIRECT("数出表_Excel!"&amp;T40&amp;"3")
&amp;"　"&amp;INDIRECT("数出表_Excel!"&amp;T40&amp;"4")
&amp;INDIRECT("数出表_Excel!"&amp;T40&amp;"5"),
INDIRECT("数出表_Excel!"&amp;T40&amp;"3")),"")</f>
        <v/>
      </c>
      <c r="O40" t="str">
        <f t="array" aca="1" ref="O40" ca="1">IFERROR(IF(OR(COUNTIF(INDIRECT("数出表_Excel!"&amp;U40&amp;"3"),"*キャラ*"),
COUNTIF(INDIRECT("数出表_Excel!"&amp;U40&amp;"3"),"*赤*")),
INDIRECT("数出表_Excel!"&amp;U40&amp;"3")
&amp;"　"&amp;INDIRECT("数出表_Excel!"&amp;U40&amp;"4")
&amp;INDIRECT("数出表_Excel!"&amp;U40&amp;"5"),
INDIRECT("数出表_Excel!"&amp;U40&amp;"3")),"")</f>
        <v/>
      </c>
      <c r="P40" t="str">
        <f t="shared" ca="1" si="8"/>
        <v>G</v>
      </c>
      <c r="Q40" t="str">
        <f t="shared" ca="1" si="9"/>
        <v/>
      </c>
      <c r="R40" t="str">
        <f t="shared" ca="1" si="10"/>
        <v/>
      </c>
      <c r="S40" t="str">
        <f t="shared" ca="1" si="11"/>
        <v>G</v>
      </c>
      <c r="T40" t="str">
        <f t="shared" ca="1" si="12"/>
        <v/>
      </c>
      <c r="U40" t="str">
        <f t="shared" ca="1" si="13"/>
        <v/>
      </c>
      <c r="V40" t="str">
        <f t="shared" ca="1" si="14"/>
        <v>G,</v>
      </c>
    </row>
    <row r="41" spans="1:22" x14ac:dyDescent="0.45">
      <c r="A41" t="s">
        <v>55</v>
      </c>
      <c r="B41">
        <v>4</v>
      </c>
      <c r="I41">
        <f t="shared" si="15"/>
        <v>87</v>
      </c>
      <c r="J41" t="str">
        <f t="array" aca="1" ref="J41" ca="1">IFERROR(IF(OR(COUNTIF(INDIRECT("数出表_Excel!"&amp;P41&amp;"3"),"*キャラ*"),
COUNTIF(INDIRECT("数出表_Excel!"&amp;P41&amp;"3"),"*赤*")),
IF(COUNTIF(A41,"*雙葉*"),INDIRECT("数出表_Excel!"&amp;P41&amp;"3"),
INDIRECT("数出表_Excel!"&amp;P41&amp;"3")
&amp;"　"&amp;INDIRECT("数出表_Excel!"&amp;P41&amp;"4")
&amp;INDIRECT("数出表_Excel!"&amp;P41&amp;"5")),
INDIRECT("数出表_Excel!"&amp;P41&amp;"3")),"")</f>
        <v>赤　飯あり120</v>
      </c>
      <c r="K41" t="str">
        <f t="array" aca="1" ref="K41" ca="1">IFERROR(IF(OR(COUNTIF(INDIRECT("数出表_Excel!"&amp;Q41&amp;"3"),"*キャラ*"),
COUNTIF(INDIRECT("数出表_Excel!"&amp;Q41&amp;"3"),"*赤*")),
INDIRECT("数出表_Excel!"&amp;Q41&amp;"3")
&amp;"　"&amp;INDIRECT("数出表_Excel!"&amp;Q41&amp;"4")
&amp;INDIRECT("数出表_Excel!"&amp;Q41&amp;"5"),
INDIRECT("数出表_Excel!"&amp;Q41&amp;"3")),"")</f>
        <v/>
      </c>
      <c r="L41" t="str">
        <f t="array" aca="1" ref="L41" ca="1">IFERROR(IF(OR(COUNTIF(INDIRECT("数出表_Excel!"&amp;R41&amp;"3"),"*キャラ*"),
COUNTIF(INDIRECT("数出表_Excel!"&amp;R41&amp;"3"),"*赤*")),
INDIRECT("数出表_Excel!"&amp;R41&amp;"3")
&amp;"　"&amp;INDIRECT("数出表_Excel!"&amp;R41&amp;"4")
&amp;INDIRECT("数出表_Excel!"&amp;R41&amp;"5"),
INDIRECT("数出表_Excel!"&amp;R41&amp;"3")),"")</f>
        <v/>
      </c>
      <c r="M41" t="str">
        <f t="array" aca="1" ref="M41" ca="1">IFERROR(IF(OR(COUNTIF(INDIRECT("数出表_Excel!"&amp;S41&amp;"3"),"*キャラ*"),
COUNTIF(INDIRECT("数出表_Excel!"&amp;S41&amp;"3"),"*赤*")),
INDIRECT("数出表_Excel!"&amp;S41&amp;"3")
&amp;"　"&amp;INDIRECT("数出表_Excel!"&amp;S41&amp;"4")
&amp;INDIRECT("数出表_Excel!"&amp;S41&amp;"5"),
INDIRECT("数出表_Excel!"&amp;S41&amp;"3")),"")</f>
        <v/>
      </c>
      <c r="N41" t="str">
        <f t="array" aca="1" ref="N41" ca="1">IFERROR(IF(OR(COUNTIF(INDIRECT("数出表_Excel!"&amp;T41&amp;"3"),"*キャラ*"),
COUNTIF(INDIRECT("数出表_Excel!"&amp;T41&amp;"3"),"*赤*")),
INDIRECT("数出表_Excel!"&amp;T41&amp;"3")
&amp;"　"&amp;INDIRECT("数出表_Excel!"&amp;T41&amp;"4")
&amp;INDIRECT("数出表_Excel!"&amp;T41&amp;"5"),
INDIRECT("数出表_Excel!"&amp;T41&amp;"3")),"")</f>
        <v/>
      </c>
      <c r="O41" t="str">
        <f t="array" aca="1" ref="O41" ca="1">IFERROR(IF(OR(COUNTIF(INDIRECT("数出表_Excel!"&amp;U41&amp;"3"),"*キャラ*"),
COUNTIF(INDIRECT("数出表_Excel!"&amp;U41&amp;"3"),"*赤*")),
INDIRECT("数出表_Excel!"&amp;U41&amp;"3")
&amp;"　"&amp;INDIRECT("数出表_Excel!"&amp;U41&amp;"4")
&amp;INDIRECT("数出表_Excel!"&amp;U41&amp;"5"),
INDIRECT("数出表_Excel!"&amp;U41&amp;"3")),"")</f>
        <v/>
      </c>
      <c r="P41" t="str">
        <f t="shared" ca="1" si="8"/>
        <v>G</v>
      </c>
      <c r="Q41" t="str">
        <f t="shared" ca="1" si="9"/>
        <v/>
      </c>
      <c r="R41" t="str">
        <f t="shared" ca="1" si="10"/>
        <v/>
      </c>
      <c r="S41" t="str">
        <f t="shared" ca="1" si="11"/>
        <v/>
      </c>
      <c r="T41" t="str">
        <f t="shared" ca="1" si="12"/>
        <v/>
      </c>
      <c r="U41" t="str">
        <f t="shared" ca="1" si="13"/>
        <v/>
      </c>
      <c r="V41" t="str">
        <f t="shared" ca="1" si="14"/>
        <v>G,</v>
      </c>
    </row>
    <row r="42" spans="1:22" x14ac:dyDescent="0.45">
      <c r="A42" t="s">
        <v>56</v>
      </c>
      <c r="B42">
        <v>4</v>
      </c>
      <c r="E42">
        <v>1</v>
      </c>
      <c r="I42">
        <f t="shared" si="15"/>
        <v>89</v>
      </c>
      <c r="J42" t="str">
        <f t="array" aca="1" ref="J42" ca="1">IFERROR(IF(OR(COUNTIF(INDIRECT("数出表_Excel!"&amp;P42&amp;"3"),"*キャラ*"),
COUNTIF(INDIRECT("数出表_Excel!"&amp;P42&amp;"3"),"*赤*")),
IF(COUNTIF(A42,"*雙葉*"),INDIRECT("数出表_Excel!"&amp;P42&amp;"3"),
INDIRECT("数出表_Excel!"&amp;P42&amp;"3")
&amp;"　"&amp;INDIRECT("数出表_Excel!"&amp;P42&amp;"4")
&amp;INDIRECT("数出表_Excel!"&amp;P42&amp;"5")),
INDIRECT("数出表_Excel!"&amp;P42&amp;"3")),"")</f>
        <v>赤　飯あり120</v>
      </c>
      <c r="K42" t="str">
        <f t="array" aca="1" ref="K42" ca="1">IFERROR(IF(OR(COUNTIF(INDIRECT("数出表_Excel!"&amp;Q42&amp;"3"),"*キャラ*"),
COUNTIF(INDIRECT("数出表_Excel!"&amp;Q42&amp;"3"),"*赤*")),
INDIRECT("数出表_Excel!"&amp;Q42&amp;"3")
&amp;"　"&amp;INDIRECT("数出表_Excel!"&amp;Q42&amp;"4")
&amp;INDIRECT("数出表_Excel!"&amp;Q42&amp;"5"),
INDIRECT("数出表_Excel!"&amp;Q42&amp;"3")),"")</f>
        <v/>
      </c>
      <c r="L42" t="str">
        <f t="array" aca="1" ref="L42" ca="1">IFERROR(IF(OR(COUNTIF(INDIRECT("数出表_Excel!"&amp;R42&amp;"3"),"*キャラ*"),
COUNTIF(INDIRECT("数出表_Excel!"&amp;R42&amp;"3"),"*赤*")),
INDIRECT("数出表_Excel!"&amp;R42&amp;"3")
&amp;"　"&amp;INDIRECT("数出表_Excel!"&amp;R42&amp;"4")
&amp;INDIRECT("数出表_Excel!"&amp;R42&amp;"5"),
INDIRECT("数出表_Excel!"&amp;R42&amp;"3")),"")</f>
        <v/>
      </c>
      <c r="M42" t="str">
        <f t="array" aca="1" ref="M42" ca="1">IFERROR(IF(OR(COUNTIF(INDIRECT("数出表_Excel!"&amp;S42&amp;"3"),"*キャラ*"),
COUNTIF(INDIRECT("数出表_Excel!"&amp;S42&amp;"3"),"*赤*")),
INDIRECT("数出表_Excel!"&amp;S42&amp;"3")
&amp;"　"&amp;INDIRECT("数出表_Excel!"&amp;S42&amp;"4")
&amp;INDIRECT("数出表_Excel!"&amp;S42&amp;"5"),
INDIRECT("数出表_Excel!"&amp;S42&amp;"3")),"")</f>
        <v>赤　飯あり120</v>
      </c>
      <c r="N42" t="str">
        <f t="array" aca="1" ref="N42" ca="1">IFERROR(IF(OR(COUNTIF(INDIRECT("数出表_Excel!"&amp;T42&amp;"3"),"*キャラ*"),
COUNTIF(INDIRECT("数出表_Excel!"&amp;T42&amp;"3"),"*赤*")),
INDIRECT("数出表_Excel!"&amp;T42&amp;"3")
&amp;"　"&amp;INDIRECT("数出表_Excel!"&amp;T42&amp;"4")
&amp;INDIRECT("数出表_Excel!"&amp;T42&amp;"5"),
INDIRECT("数出表_Excel!"&amp;T42&amp;"3")),"")</f>
        <v/>
      </c>
      <c r="O42" t="str">
        <f t="array" aca="1" ref="O42" ca="1">IFERROR(IF(OR(COUNTIF(INDIRECT("数出表_Excel!"&amp;U42&amp;"3"),"*キャラ*"),
COUNTIF(INDIRECT("数出表_Excel!"&amp;U42&amp;"3"),"*赤*")),
INDIRECT("数出表_Excel!"&amp;U42&amp;"3")
&amp;"　"&amp;INDIRECT("数出表_Excel!"&amp;U42&amp;"4")
&amp;INDIRECT("数出表_Excel!"&amp;U42&amp;"5"),
INDIRECT("数出表_Excel!"&amp;U42&amp;"3")),"")</f>
        <v/>
      </c>
      <c r="P42" t="str">
        <f t="shared" ca="1" si="8"/>
        <v>G</v>
      </c>
      <c r="Q42" t="str">
        <f t="shared" ca="1" si="9"/>
        <v/>
      </c>
      <c r="R42" t="str">
        <f t="shared" ca="1" si="10"/>
        <v/>
      </c>
      <c r="S42" t="str">
        <f t="shared" ca="1" si="11"/>
        <v>G</v>
      </c>
      <c r="T42" t="str">
        <f t="shared" ca="1" si="12"/>
        <v/>
      </c>
      <c r="U42" t="str">
        <f t="shared" ca="1" si="13"/>
        <v/>
      </c>
      <c r="V42" t="str">
        <f t="shared" ca="1" si="14"/>
        <v>G,</v>
      </c>
    </row>
    <row r="43" spans="1:22" x14ac:dyDescent="0.45">
      <c r="A43" t="s">
        <v>57</v>
      </c>
      <c r="B43">
        <v>16</v>
      </c>
      <c r="E43">
        <v>2</v>
      </c>
      <c r="I43">
        <f t="shared" si="15"/>
        <v>91</v>
      </c>
      <c r="J43" t="str">
        <f t="array" aca="1" ref="J43" ca="1">IFERROR(IF(OR(COUNTIF(INDIRECT("数出表_Excel!"&amp;P43&amp;"3"),"*キャラ*"),
COUNTIF(INDIRECT("数出表_Excel!"&amp;P43&amp;"3"),"*赤*")),
IF(COUNTIF(A43,"*雙葉*"),INDIRECT("数出表_Excel!"&amp;P43&amp;"3"),
INDIRECT("数出表_Excel!"&amp;P43&amp;"3")
&amp;"　"&amp;INDIRECT("数出表_Excel!"&amp;P43&amp;"4")
&amp;INDIRECT("数出表_Excel!"&amp;P43&amp;"5")),
INDIRECT("数出表_Excel!"&amp;P43&amp;"3")),"")</f>
        <v>キャラ弁当　飯あり120</v>
      </c>
      <c r="K43" t="str">
        <f t="array" aca="1" ref="K43" ca="1">IFERROR(IF(OR(COUNTIF(INDIRECT("数出表_Excel!"&amp;Q43&amp;"3"),"*キャラ*"),
COUNTIF(INDIRECT("数出表_Excel!"&amp;Q43&amp;"3"),"*赤*")),
INDIRECT("数出表_Excel!"&amp;Q43&amp;"3")
&amp;"　"&amp;INDIRECT("数出表_Excel!"&amp;Q43&amp;"4")
&amp;INDIRECT("数出表_Excel!"&amp;Q43&amp;"5"),
INDIRECT("数出表_Excel!"&amp;Q43&amp;"3")),"")</f>
        <v/>
      </c>
      <c r="L43" t="str">
        <f t="array" aca="1" ref="L43" ca="1">IFERROR(IF(OR(COUNTIF(INDIRECT("数出表_Excel!"&amp;R43&amp;"3"),"*キャラ*"),
COUNTIF(INDIRECT("数出表_Excel!"&amp;R43&amp;"3"),"*赤*")),
INDIRECT("数出表_Excel!"&amp;R43&amp;"3")
&amp;"　"&amp;INDIRECT("数出表_Excel!"&amp;R43&amp;"4")
&amp;INDIRECT("数出表_Excel!"&amp;R43&amp;"5"),
INDIRECT("数出表_Excel!"&amp;R43&amp;"3")),"")</f>
        <v/>
      </c>
      <c r="M43" t="str">
        <f t="array" aca="1" ref="M43" ca="1">IFERROR(IF(OR(COUNTIF(INDIRECT("数出表_Excel!"&amp;S43&amp;"3"),"*キャラ*"),
COUNTIF(INDIRECT("数出表_Excel!"&amp;S43&amp;"3"),"*赤*")),
INDIRECT("数出表_Excel!"&amp;S43&amp;"3")
&amp;"　"&amp;INDIRECT("数出表_Excel!"&amp;S43&amp;"4")
&amp;INDIRECT("数出表_Excel!"&amp;S43&amp;"5"),
INDIRECT("数出表_Excel!"&amp;S43&amp;"3")),"")</f>
        <v>キャラ弁当　飯あり120</v>
      </c>
      <c r="N43" t="str">
        <f t="array" aca="1" ref="N43" ca="1">IFERROR(IF(OR(COUNTIF(INDIRECT("数出表_Excel!"&amp;T43&amp;"3"),"*キャラ*"),
COUNTIF(INDIRECT("数出表_Excel!"&amp;T43&amp;"3"),"*赤*")),
INDIRECT("数出表_Excel!"&amp;T43&amp;"3")
&amp;"　"&amp;INDIRECT("数出表_Excel!"&amp;T43&amp;"4")
&amp;INDIRECT("数出表_Excel!"&amp;T43&amp;"5"),
INDIRECT("数出表_Excel!"&amp;T43&amp;"3")),"")</f>
        <v/>
      </c>
      <c r="O43" t="str">
        <f t="array" aca="1" ref="O43" ca="1">IFERROR(IF(OR(COUNTIF(INDIRECT("数出表_Excel!"&amp;U43&amp;"3"),"*キャラ*"),
COUNTIF(INDIRECT("数出表_Excel!"&amp;U43&amp;"3"),"*赤*")),
INDIRECT("数出表_Excel!"&amp;U43&amp;"3")
&amp;"　"&amp;INDIRECT("数出表_Excel!"&amp;U43&amp;"4")
&amp;INDIRECT("数出表_Excel!"&amp;U43&amp;"5"),
INDIRECT("数出表_Excel!"&amp;U43&amp;"3")),"")</f>
        <v/>
      </c>
      <c r="P43" t="str">
        <f t="shared" ca="1" si="8"/>
        <v>D</v>
      </c>
      <c r="Q43" t="str">
        <f t="shared" ca="1" si="9"/>
        <v/>
      </c>
      <c r="R43" t="str">
        <f t="shared" ca="1" si="10"/>
        <v/>
      </c>
      <c r="S43" t="str">
        <f t="shared" ca="1" si="11"/>
        <v>D</v>
      </c>
      <c r="T43" t="str">
        <f t="shared" ca="1" si="12"/>
        <v/>
      </c>
      <c r="U43" t="str">
        <f t="shared" ca="1" si="13"/>
        <v/>
      </c>
      <c r="V43" t="str">
        <f t="shared" ca="1" si="14"/>
        <v>D,</v>
      </c>
    </row>
    <row r="44" spans="1:22" x14ac:dyDescent="0.45">
      <c r="A44" t="s">
        <v>58</v>
      </c>
      <c r="B44">
        <v>278</v>
      </c>
      <c r="E44">
        <v>27</v>
      </c>
      <c r="I44">
        <f t="shared" si="15"/>
        <v>93</v>
      </c>
      <c r="J44" t="str">
        <f t="array" aca="1" ref="J44" ca="1">IFERROR(IF(OR(COUNTIF(INDIRECT("数出表_Excel!"&amp;P44&amp;"3"),"*キャラ*"),
COUNTIF(INDIRECT("数出表_Excel!"&amp;P44&amp;"3"),"*赤*")),
IF(COUNTIF(A44,"*雙葉*"),INDIRECT("数出表_Excel!"&amp;P44&amp;"3"),
INDIRECT("数出表_Excel!"&amp;P44&amp;"3")
&amp;"　"&amp;INDIRECT("数出表_Excel!"&amp;P44&amp;"4")
&amp;INDIRECT("数出表_Excel!"&amp;P44&amp;"5")),
INDIRECT("数出表_Excel!"&amp;P44&amp;"3")),"")</f>
        <v>赤　飯なし</v>
      </c>
      <c r="K44" t="str">
        <f t="array" aca="1" ref="K44" ca="1">IFERROR(IF(OR(COUNTIF(INDIRECT("数出表_Excel!"&amp;Q44&amp;"3"),"*キャラ*"),
COUNTIF(INDIRECT("数出表_Excel!"&amp;Q44&amp;"3"),"*赤*")),
INDIRECT("数出表_Excel!"&amp;Q44&amp;"3")
&amp;"　"&amp;INDIRECT("数出表_Excel!"&amp;Q44&amp;"4")
&amp;INDIRECT("数出表_Excel!"&amp;Q44&amp;"5"),
INDIRECT("数出表_Excel!"&amp;Q44&amp;"3")),"")</f>
        <v/>
      </c>
      <c r="L44" t="str">
        <f t="array" aca="1" ref="L44" ca="1">IFERROR(IF(OR(COUNTIF(INDIRECT("数出表_Excel!"&amp;R44&amp;"3"),"*キャラ*"),
COUNTIF(INDIRECT("数出表_Excel!"&amp;R44&amp;"3"),"*赤*")),
INDIRECT("数出表_Excel!"&amp;R44&amp;"3")
&amp;"　"&amp;INDIRECT("数出表_Excel!"&amp;R44&amp;"4")
&amp;INDIRECT("数出表_Excel!"&amp;R44&amp;"5"),
INDIRECT("数出表_Excel!"&amp;R44&amp;"3")),"")</f>
        <v/>
      </c>
      <c r="M44" t="str">
        <f t="array" aca="1" ref="M44" ca="1">IFERROR(IF(OR(COUNTIF(INDIRECT("数出表_Excel!"&amp;S44&amp;"3"),"*キャラ*"),
COUNTIF(INDIRECT("数出表_Excel!"&amp;S44&amp;"3"),"*赤*")),
INDIRECT("数出表_Excel!"&amp;S44&amp;"3")
&amp;"　"&amp;INDIRECT("数出表_Excel!"&amp;S44&amp;"4")
&amp;INDIRECT("数出表_Excel!"&amp;S44&amp;"5"),
INDIRECT("数出表_Excel!"&amp;S44&amp;"3")),"")</f>
        <v>赤　飯なし</v>
      </c>
      <c r="N44" t="str">
        <f t="array" aca="1" ref="N44" ca="1">IFERROR(IF(OR(COUNTIF(INDIRECT("数出表_Excel!"&amp;T44&amp;"3"),"*キャラ*"),
COUNTIF(INDIRECT("数出表_Excel!"&amp;T44&amp;"3"),"*赤*")),
INDIRECT("数出表_Excel!"&amp;T44&amp;"3")
&amp;"　"&amp;INDIRECT("数出表_Excel!"&amp;T44&amp;"4")
&amp;INDIRECT("数出表_Excel!"&amp;T44&amp;"5"),
INDIRECT("数出表_Excel!"&amp;T44&amp;"3")),"")</f>
        <v/>
      </c>
      <c r="O44" t="str">
        <f t="array" aca="1" ref="O44" ca="1">IFERROR(IF(OR(COUNTIF(INDIRECT("数出表_Excel!"&amp;U44&amp;"3"),"*キャラ*"),
COUNTIF(INDIRECT("数出表_Excel!"&amp;U44&amp;"3"),"*赤*")),
INDIRECT("数出表_Excel!"&amp;U44&amp;"3")
&amp;"　"&amp;INDIRECT("数出表_Excel!"&amp;U44&amp;"4")
&amp;INDIRECT("数出表_Excel!"&amp;U44&amp;"5"),
INDIRECT("数出表_Excel!"&amp;U44&amp;"3")),"")</f>
        <v/>
      </c>
      <c r="P44" t="str">
        <f t="shared" ca="1" si="8"/>
        <v>K</v>
      </c>
      <c r="Q44" t="str">
        <f t="shared" ca="1" si="9"/>
        <v/>
      </c>
      <c r="R44" t="str">
        <f t="shared" ca="1" si="10"/>
        <v/>
      </c>
      <c r="S44" t="str">
        <f t="shared" ca="1" si="11"/>
        <v>K</v>
      </c>
      <c r="T44" t="str">
        <f t="shared" ca="1" si="12"/>
        <v/>
      </c>
      <c r="U44" t="str">
        <f t="shared" ca="1" si="13"/>
        <v/>
      </c>
      <c r="V44" t="str">
        <f t="shared" ca="1" si="14"/>
        <v>K,</v>
      </c>
    </row>
    <row r="45" spans="1:22" x14ac:dyDescent="0.45">
      <c r="A45" t="s">
        <v>59</v>
      </c>
      <c r="B45">
        <v>9</v>
      </c>
      <c r="I45">
        <f t="shared" si="15"/>
        <v>95</v>
      </c>
      <c r="J45" t="str">
        <f t="array" aca="1" ref="J45" ca="1">IFERROR(IF(OR(COUNTIF(INDIRECT("数出表_Excel!"&amp;P45&amp;"3"),"*キャラ*"),
COUNTIF(INDIRECT("数出表_Excel!"&amp;P45&amp;"3"),"*赤*")),
IF(COUNTIF(A45,"*雙葉*"),INDIRECT("数出表_Excel!"&amp;P45&amp;"3"),
INDIRECT("数出表_Excel!"&amp;P45&amp;"3")
&amp;"　"&amp;INDIRECT("数出表_Excel!"&amp;P45&amp;"4")
&amp;INDIRECT("数出表_Excel!"&amp;P45&amp;"5")),
INDIRECT("数出表_Excel!"&amp;P45&amp;"3")),"")</f>
        <v>赤　飯なし</v>
      </c>
      <c r="K45" t="str">
        <f t="array" aca="1" ref="K45" ca="1">IFERROR(IF(OR(COUNTIF(INDIRECT("数出表_Excel!"&amp;Q45&amp;"3"),"*キャラ*"),
COUNTIF(INDIRECT("数出表_Excel!"&amp;Q45&amp;"3"),"*赤*")),
INDIRECT("数出表_Excel!"&amp;Q45&amp;"3")
&amp;"　"&amp;INDIRECT("数出表_Excel!"&amp;Q45&amp;"4")
&amp;INDIRECT("数出表_Excel!"&amp;Q45&amp;"5"),
INDIRECT("数出表_Excel!"&amp;Q45&amp;"3")),"")</f>
        <v/>
      </c>
      <c r="L45" t="str">
        <f t="array" aca="1" ref="L45" ca="1">IFERROR(IF(OR(COUNTIF(INDIRECT("数出表_Excel!"&amp;R45&amp;"3"),"*キャラ*"),
COUNTIF(INDIRECT("数出表_Excel!"&amp;R45&amp;"3"),"*赤*")),
INDIRECT("数出表_Excel!"&amp;R45&amp;"3")
&amp;"　"&amp;INDIRECT("数出表_Excel!"&amp;R45&amp;"4")
&amp;INDIRECT("数出表_Excel!"&amp;R45&amp;"5"),
INDIRECT("数出表_Excel!"&amp;R45&amp;"3")),"")</f>
        <v/>
      </c>
      <c r="M45" t="str">
        <f t="array" aca="1" ref="M45" ca="1">IFERROR(IF(OR(COUNTIF(INDIRECT("数出表_Excel!"&amp;S45&amp;"3"),"*キャラ*"),
COUNTIF(INDIRECT("数出表_Excel!"&amp;S45&amp;"3"),"*赤*")),
INDIRECT("数出表_Excel!"&amp;S45&amp;"3")
&amp;"　"&amp;INDIRECT("数出表_Excel!"&amp;S45&amp;"4")
&amp;INDIRECT("数出表_Excel!"&amp;S45&amp;"5"),
INDIRECT("数出表_Excel!"&amp;S45&amp;"3")),"")</f>
        <v/>
      </c>
      <c r="N45" t="str">
        <f t="array" aca="1" ref="N45" ca="1">IFERROR(IF(OR(COUNTIF(INDIRECT("数出表_Excel!"&amp;T45&amp;"3"),"*キャラ*"),
COUNTIF(INDIRECT("数出表_Excel!"&amp;T45&amp;"3"),"*赤*")),
INDIRECT("数出表_Excel!"&amp;T45&amp;"3")
&amp;"　"&amp;INDIRECT("数出表_Excel!"&amp;T45&amp;"4")
&amp;INDIRECT("数出表_Excel!"&amp;T45&amp;"5"),
INDIRECT("数出表_Excel!"&amp;T45&amp;"3")),"")</f>
        <v/>
      </c>
      <c r="O45" t="str">
        <f t="array" aca="1" ref="O45" ca="1">IFERROR(IF(OR(COUNTIF(INDIRECT("数出表_Excel!"&amp;U45&amp;"3"),"*キャラ*"),
COUNTIF(INDIRECT("数出表_Excel!"&amp;U45&amp;"3"),"*赤*")),
INDIRECT("数出表_Excel!"&amp;U45&amp;"3")
&amp;"　"&amp;INDIRECT("数出表_Excel!"&amp;U45&amp;"4")
&amp;INDIRECT("数出表_Excel!"&amp;U45&amp;"5"),
INDIRECT("数出表_Excel!"&amp;U45&amp;"3")),"")</f>
        <v/>
      </c>
      <c r="P45" t="str">
        <f t="shared" ca="1" si="8"/>
        <v>K</v>
      </c>
      <c r="Q45" t="str">
        <f t="shared" ca="1" si="9"/>
        <v/>
      </c>
      <c r="R45" t="str">
        <f t="shared" ca="1" si="10"/>
        <v/>
      </c>
      <c r="S45" t="str">
        <f t="shared" ca="1" si="11"/>
        <v/>
      </c>
      <c r="T45" t="str">
        <f t="shared" ca="1" si="12"/>
        <v/>
      </c>
      <c r="U45" t="str">
        <f t="shared" ca="1" si="13"/>
        <v/>
      </c>
      <c r="V45" t="str">
        <f t="shared" ca="1" si="14"/>
        <v>K,</v>
      </c>
    </row>
    <row r="46" spans="1:22" x14ac:dyDescent="0.45">
      <c r="A46" t="s">
        <v>60</v>
      </c>
      <c r="B46">
        <v>10</v>
      </c>
      <c r="E46">
        <v>2</v>
      </c>
      <c r="I46">
        <f t="shared" si="15"/>
        <v>97</v>
      </c>
      <c r="J46" t="str">
        <f t="array" aca="1" ref="J46" ca="1">IFERROR(IF(OR(COUNTIF(INDIRECT("数出表_Excel!"&amp;P46&amp;"3"),"*キャラ*"),
COUNTIF(INDIRECT("数出表_Excel!"&amp;P46&amp;"3"),"*赤*")),
IF(COUNTIF(A46,"*雙葉*"),INDIRECT("数出表_Excel!"&amp;P46&amp;"3"),
INDIRECT("数出表_Excel!"&amp;P46&amp;"3")
&amp;"　"&amp;INDIRECT("数出表_Excel!"&amp;P46&amp;"4")
&amp;INDIRECT("数出表_Excel!"&amp;P46&amp;"5")),
INDIRECT("数出表_Excel!"&amp;P46&amp;"3")),"")</f>
        <v>赤　飯あり120</v>
      </c>
      <c r="K46" t="str">
        <f t="array" aca="1" ref="K46" ca="1">IFERROR(IF(OR(COUNTIF(INDIRECT("数出表_Excel!"&amp;Q46&amp;"3"),"*キャラ*"),
COUNTIF(INDIRECT("数出表_Excel!"&amp;Q46&amp;"3"),"*赤*")),
INDIRECT("数出表_Excel!"&amp;Q46&amp;"3")
&amp;"　"&amp;INDIRECT("数出表_Excel!"&amp;Q46&amp;"4")
&amp;INDIRECT("数出表_Excel!"&amp;Q46&amp;"5"),
INDIRECT("数出表_Excel!"&amp;Q46&amp;"3")),"")</f>
        <v/>
      </c>
      <c r="L46" t="str">
        <f t="array" aca="1" ref="L46" ca="1">IFERROR(IF(OR(COUNTIF(INDIRECT("数出表_Excel!"&amp;R46&amp;"3"),"*キャラ*"),
COUNTIF(INDIRECT("数出表_Excel!"&amp;R46&amp;"3"),"*赤*")),
INDIRECT("数出表_Excel!"&amp;R46&amp;"3")
&amp;"　"&amp;INDIRECT("数出表_Excel!"&amp;R46&amp;"4")
&amp;INDIRECT("数出表_Excel!"&amp;R46&amp;"5"),
INDIRECT("数出表_Excel!"&amp;R46&amp;"3")),"")</f>
        <v/>
      </c>
      <c r="M46" t="str">
        <f t="array" aca="1" ref="M46" ca="1">IFERROR(IF(OR(COUNTIF(INDIRECT("数出表_Excel!"&amp;S46&amp;"3"),"*キャラ*"),
COUNTIF(INDIRECT("数出表_Excel!"&amp;S46&amp;"3"),"*赤*")),
INDIRECT("数出表_Excel!"&amp;S46&amp;"3")
&amp;"　"&amp;INDIRECT("数出表_Excel!"&amp;S46&amp;"4")
&amp;INDIRECT("数出表_Excel!"&amp;S46&amp;"5"),
INDIRECT("数出表_Excel!"&amp;S46&amp;"3")),"")</f>
        <v>赤　飯あり120</v>
      </c>
      <c r="N46" t="str">
        <f t="array" aca="1" ref="N46" ca="1">IFERROR(IF(OR(COUNTIF(INDIRECT("数出表_Excel!"&amp;T46&amp;"3"),"*キャラ*"),
COUNTIF(INDIRECT("数出表_Excel!"&amp;T46&amp;"3"),"*赤*")),
INDIRECT("数出表_Excel!"&amp;T46&amp;"3")
&amp;"　"&amp;INDIRECT("数出表_Excel!"&amp;T46&amp;"4")
&amp;INDIRECT("数出表_Excel!"&amp;T46&amp;"5"),
INDIRECT("数出表_Excel!"&amp;T46&amp;"3")),"")</f>
        <v/>
      </c>
      <c r="O46" t="str">
        <f t="array" aca="1" ref="O46" ca="1">IFERROR(IF(OR(COUNTIF(INDIRECT("数出表_Excel!"&amp;U46&amp;"3"),"*キャラ*"),
COUNTIF(INDIRECT("数出表_Excel!"&amp;U46&amp;"3"),"*赤*")),
INDIRECT("数出表_Excel!"&amp;U46&amp;"3")
&amp;"　"&amp;INDIRECT("数出表_Excel!"&amp;U46&amp;"4")
&amp;INDIRECT("数出表_Excel!"&amp;U46&amp;"5"),
INDIRECT("数出表_Excel!"&amp;U46&amp;"3")),"")</f>
        <v/>
      </c>
      <c r="P46" t="str">
        <f t="shared" ca="1" si="8"/>
        <v>G</v>
      </c>
      <c r="Q46" t="str">
        <f t="shared" ca="1" si="9"/>
        <v/>
      </c>
      <c r="R46" t="str">
        <f t="shared" ca="1" si="10"/>
        <v/>
      </c>
      <c r="S46" t="str">
        <f t="shared" ca="1" si="11"/>
        <v>G</v>
      </c>
      <c r="T46" t="str">
        <f t="shared" ca="1" si="12"/>
        <v/>
      </c>
      <c r="U46" t="str">
        <f t="shared" ca="1" si="13"/>
        <v/>
      </c>
      <c r="V46" t="str">
        <f t="shared" ca="1" si="14"/>
        <v>G,</v>
      </c>
    </row>
    <row r="47" spans="1:22" x14ac:dyDescent="0.45">
      <c r="A47" t="s">
        <v>61</v>
      </c>
      <c r="B47">
        <v>12</v>
      </c>
      <c r="E47">
        <v>2</v>
      </c>
      <c r="I47">
        <f t="shared" si="15"/>
        <v>99</v>
      </c>
      <c r="J47" t="str">
        <f t="array" aca="1" ref="J47" ca="1">IFERROR(IF(OR(COUNTIF(INDIRECT("数出表_Excel!"&amp;P47&amp;"3"),"*キャラ*"),
COUNTIF(INDIRECT("数出表_Excel!"&amp;P47&amp;"3"),"*赤*")),
IF(COUNTIF(A47,"*雙葉*"),INDIRECT("数出表_Excel!"&amp;P47&amp;"3"),
INDIRECT("数出表_Excel!"&amp;P47&amp;"3")
&amp;"　"&amp;INDIRECT("数出表_Excel!"&amp;P47&amp;"4")
&amp;INDIRECT("数出表_Excel!"&amp;P47&amp;"5")),
INDIRECT("数出表_Excel!"&amp;P47&amp;"3")),"")</f>
        <v>赤　飯あり120</v>
      </c>
      <c r="K47" t="str">
        <f t="array" aca="1" ref="K47" ca="1">IFERROR(IF(OR(COUNTIF(INDIRECT("数出表_Excel!"&amp;Q47&amp;"3"),"*キャラ*"),
COUNTIF(INDIRECT("数出表_Excel!"&amp;Q47&amp;"3"),"*赤*")),
INDIRECT("数出表_Excel!"&amp;Q47&amp;"3")
&amp;"　"&amp;INDIRECT("数出表_Excel!"&amp;Q47&amp;"4")
&amp;INDIRECT("数出表_Excel!"&amp;Q47&amp;"5"),
INDIRECT("数出表_Excel!"&amp;Q47&amp;"3")),"")</f>
        <v/>
      </c>
      <c r="L47" t="str">
        <f t="array" aca="1" ref="L47" ca="1">IFERROR(IF(OR(COUNTIF(INDIRECT("数出表_Excel!"&amp;R47&amp;"3"),"*キャラ*"),
COUNTIF(INDIRECT("数出表_Excel!"&amp;R47&amp;"3"),"*赤*")),
INDIRECT("数出表_Excel!"&amp;R47&amp;"3")
&amp;"　"&amp;INDIRECT("数出表_Excel!"&amp;R47&amp;"4")
&amp;INDIRECT("数出表_Excel!"&amp;R47&amp;"5"),
INDIRECT("数出表_Excel!"&amp;R47&amp;"3")),"")</f>
        <v/>
      </c>
      <c r="M47" t="str">
        <f t="array" aca="1" ref="M47" ca="1">IFERROR(IF(OR(COUNTIF(INDIRECT("数出表_Excel!"&amp;S47&amp;"3"),"*キャラ*"),
COUNTIF(INDIRECT("数出表_Excel!"&amp;S47&amp;"3"),"*赤*")),
INDIRECT("数出表_Excel!"&amp;S47&amp;"3")
&amp;"　"&amp;INDIRECT("数出表_Excel!"&amp;S47&amp;"4")
&amp;INDIRECT("数出表_Excel!"&amp;S47&amp;"5"),
INDIRECT("数出表_Excel!"&amp;S47&amp;"3")),"")</f>
        <v>赤　飯あり120</v>
      </c>
      <c r="N47" t="str">
        <f t="array" aca="1" ref="N47" ca="1">IFERROR(IF(OR(COUNTIF(INDIRECT("数出表_Excel!"&amp;T47&amp;"3"),"*キャラ*"),
COUNTIF(INDIRECT("数出表_Excel!"&amp;T47&amp;"3"),"*赤*")),
INDIRECT("数出表_Excel!"&amp;T47&amp;"3")
&amp;"　"&amp;INDIRECT("数出表_Excel!"&amp;T47&amp;"4")
&amp;INDIRECT("数出表_Excel!"&amp;T47&amp;"5"),
INDIRECT("数出表_Excel!"&amp;T47&amp;"3")),"")</f>
        <v/>
      </c>
      <c r="O47" t="str">
        <f t="array" aca="1" ref="O47" ca="1">IFERROR(IF(OR(COUNTIF(INDIRECT("数出表_Excel!"&amp;U47&amp;"3"),"*キャラ*"),
COUNTIF(INDIRECT("数出表_Excel!"&amp;U47&amp;"3"),"*赤*")),
INDIRECT("数出表_Excel!"&amp;U47&amp;"3")
&amp;"　"&amp;INDIRECT("数出表_Excel!"&amp;U47&amp;"4")
&amp;INDIRECT("数出表_Excel!"&amp;U47&amp;"5"),
INDIRECT("数出表_Excel!"&amp;U47&amp;"3")),"")</f>
        <v/>
      </c>
      <c r="P47" t="str">
        <f t="shared" ca="1" si="8"/>
        <v>G</v>
      </c>
      <c r="Q47" t="str">
        <f t="shared" ca="1" si="9"/>
        <v/>
      </c>
      <c r="R47" t="str">
        <f t="shared" ca="1" si="10"/>
        <v/>
      </c>
      <c r="S47" t="str">
        <f t="shared" ca="1" si="11"/>
        <v>G</v>
      </c>
      <c r="T47" t="str">
        <f t="shared" ca="1" si="12"/>
        <v/>
      </c>
      <c r="U47" t="str">
        <f t="shared" ca="1" si="13"/>
        <v/>
      </c>
      <c r="V47" t="str">
        <f t="shared" ca="1" si="14"/>
        <v>G,</v>
      </c>
    </row>
    <row r="48" spans="1:22" x14ac:dyDescent="0.45">
      <c r="A48" t="s">
        <v>62</v>
      </c>
      <c r="B48">
        <v>12</v>
      </c>
      <c r="I48">
        <f t="shared" si="15"/>
        <v>101</v>
      </c>
      <c r="J48" t="str">
        <f t="array" aca="1" ref="J48" ca="1">IFERROR(IF(OR(COUNTIF(INDIRECT("数出表_Excel!"&amp;P48&amp;"3"),"*キャラ*"),
COUNTIF(INDIRECT("数出表_Excel!"&amp;P48&amp;"3"),"*赤*")),
IF(COUNTIF(A48,"*雙葉*"),INDIRECT("数出表_Excel!"&amp;P48&amp;"3"),
INDIRECT("数出表_Excel!"&amp;P48&amp;"3")
&amp;"　"&amp;INDIRECT("数出表_Excel!"&amp;P48&amp;"4")
&amp;INDIRECT("数出表_Excel!"&amp;P48&amp;"5")),
INDIRECT("数出表_Excel!"&amp;P48&amp;"3")),"")</f>
        <v>赤　飯あり120</v>
      </c>
      <c r="K48" t="str">
        <f t="array" aca="1" ref="K48" ca="1">IFERROR(IF(OR(COUNTIF(INDIRECT("数出表_Excel!"&amp;Q48&amp;"3"),"*キャラ*"),
COUNTIF(INDIRECT("数出表_Excel!"&amp;Q48&amp;"3"),"*赤*")),
INDIRECT("数出表_Excel!"&amp;Q48&amp;"3")
&amp;"　"&amp;INDIRECT("数出表_Excel!"&amp;Q48&amp;"4")
&amp;INDIRECT("数出表_Excel!"&amp;Q48&amp;"5"),
INDIRECT("数出表_Excel!"&amp;Q48&amp;"3")),"")</f>
        <v/>
      </c>
      <c r="L48" t="str">
        <f t="array" aca="1" ref="L48" ca="1">IFERROR(IF(OR(COUNTIF(INDIRECT("数出表_Excel!"&amp;R48&amp;"3"),"*キャラ*"),
COUNTIF(INDIRECT("数出表_Excel!"&amp;R48&amp;"3"),"*赤*")),
INDIRECT("数出表_Excel!"&amp;R48&amp;"3")
&amp;"　"&amp;INDIRECT("数出表_Excel!"&amp;R48&amp;"4")
&amp;INDIRECT("数出表_Excel!"&amp;R48&amp;"5"),
INDIRECT("数出表_Excel!"&amp;R48&amp;"3")),"")</f>
        <v/>
      </c>
      <c r="M48" t="str">
        <f t="array" aca="1" ref="M48" ca="1">IFERROR(IF(OR(COUNTIF(INDIRECT("数出表_Excel!"&amp;S48&amp;"3"),"*キャラ*"),
COUNTIF(INDIRECT("数出表_Excel!"&amp;S48&amp;"3"),"*赤*")),
INDIRECT("数出表_Excel!"&amp;S48&amp;"3")
&amp;"　"&amp;INDIRECT("数出表_Excel!"&amp;S48&amp;"4")
&amp;INDIRECT("数出表_Excel!"&amp;S48&amp;"5"),
INDIRECT("数出表_Excel!"&amp;S48&amp;"3")),"")</f>
        <v/>
      </c>
      <c r="N48" t="str">
        <f t="array" aca="1" ref="N48" ca="1">IFERROR(IF(OR(COUNTIF(INDIRECT("数出表_Excel!"&amp;T48&amp;"3"),"*キャラ*"),
COUNTIF(INDIRECT("数出表_Excel!"&amp;T48&amp;"3"),"*赤*")),
INDIRECT("数出表_Excel!"&amp;T48&amp;"3")
&amp;"　"&amp;INDIRECT("数出表_Excel!"&amp;T48&amp;"4")
&amp;INDIRECT("数出表_Excel!"&amp;T48&amp;"5"),
INDIRECT("数出表_Excel!"&amp;T48&amp;"3")),"")</f>
        <v/>
      </c>
      <c r="O48" t="str">
        <f t="array" aca="1" ref="O48" ca="1">IFERROR(IF(OR(COUNTIF(INDIRECT("数出表_Excel!"&amp;U48&amp;"3"),"*キャラ*"),
COUNTIF(INDIRECT("数出表_Excel!"&amp;U48&amp;"3"),"*赤*")),
INDIRECT("数出表_Excel!"&amp;U48&amp;"3")
&amp;"　"&amp;INDIRECT("数出表_Excel!"&amp;U48&amp;"4")
&amp;INDIRECT("数出表_Excel!"&amp;U48&amp;"5"),
INDIRECT("数出表_Excel!"&amp;U48&amp;"3")),"")</f>
        <v/>
      </c>
      <c r="P48" t="str">
        <f t="shared" ca="1" si="8"/>
        <v>G</v>
      </c>
      <c r="Q48" t="str">
        <f t="shared" ca="1" si="9"/>
        <v/>
      </c>
      <c r="R48" t="str">
        <f t="shared" ca="1" si="10"/>
        <v/>
      </c>
      <c r="S48" t="str">
        <f t="shared" ca="1" si="11"/>
        <v/>
      </c>
      <c r="T48" t="str">
        <f t="shared" ca="1" si="12"/>
        <v/>
      </c>
      <c r="U48" t="str">
        <f t="shared" ca="1" si="13"/>
        <v/>
      </c>
      <c r="V48" t="str">
        <f t="shared" ca="1" si="14"/>
        <v>G,</v>
      </c>
    </row>
    <row r="49" spans="1:22" x14ac:dyDescent="0.45">
      <c r="A49" t="s">
        <v>63</v>
      </c>
      <c r="B49">
        <v>22</v>
      </c>
      <c r="I49">
        <f t="shared" si="15"/>
        <v>103</v>
      </c>
      <c r="J49" t="str">
        <f t="array" aca="1" ref="J49" ca="1">IFERROR(IF(OR(COUNTIF(INDIRECT("数出表_Excel!"&amp;P49&amp;"3"),"*キャラ*"),
COUNTIF(INDIRECT("数出表_Excel!"&amp;P49&amp;"3"),"*赤*")),
IF(COUNTIF(A49,"*雙葉*"),INDIRECT("数出表_Excel!"&amp;P49&amp;"3"),
INDIRECT("数出表_Excel!"&amp;P49&amp;"3")
&amp;"　"&amp;INDIRECT("数出表_Excel!"&amp;P49&amp;"4")
&amp;INDIRECT("数出表_Excel!"&amp;P49&amp;"5")),
INDIRECT("数出表_Excel!"&amp;P49&amp;"3")),"")</f>
        <v>赤　飯あり120</v>
      </c>
      <c r="K49" t="str">
        <f t="array" aca="1" ref="K49" ca="1">IFERROR(IF(OR(COUNTIF(INDIRECT("数出表_Excel!"&amp;Q49&amp;"3"),"*キャラ*"),
COUNTIF(INDIRECT("数出表_Excel!"&amp;Q49&amp;"3"),"*赤*")),
INDIRECT("数出表_Excel!"&amp;Q49&amp;"3")
&amp;"　"&amp;INDIRECT("数出表_Excel!"&amp;Q49&amp;"4")
&amp;INDIRECT("数出表_Excel!"&amp;Q49&amp;"5"),
INDIRECT("数出表_Excel!"&amp;Q49&amp;"3")),"")</f>
        <v/>
      </c>
      <c r="L49" t="str">
        <f t="array" aca="1" ref="L49" ca="1">IFERROR(IF(OR(COUNTIF(INDIRECT("数出表_Excel!"&amp;R49&amp;"3"),"*キャラ*"),
COUNTIF(INDIRECT("数出表_Excel!"&amp;R49&amp;"3"),"*赤*")),
INDIRECT("数出表_Excel!"&amp;R49&amp;"3")
&amp;"　"&amp;INDIRECT("数出表_Excel!"&amp;R49&amp;"4")
&amp;INDIRECT("数出表_Excel!"&amp;R49&amp;"5"),
INDIRECT("数出表_Excel!"&amp;R49&amp;"3")),"")</f>
        <v/>
      </c>
      <c r="M49" t="str">
        <f t="array" aca="1" ref="M49" ca="1">IFERROR(IF(OR(COUNTIF(INDIRECT("数出表_Excel!"&amp;S49&amp;"3"),"*キャラ*"),
COUNTIF(INDIRECT("数出表_Excel!"&amp;S49&amp;"3"),"*赤*")),
INDIRECT("数出表_Excel!"&amp;S49&amp;"3")
&amp;"　"&amp;INDIRECT("数出表_Excel!"&amp;S49&amp;"4")
&amp;INDIRECT("数出表_Excel!"&amp;S49&amp;"5"),
INDIRECT("数出表_Excel!"&amp;S49&amp;"3")),"")</f>
        <v/>
      </c>
      <c r="N49" t="str">
        <f t="array" aca="1" ref="N49" ca="1">IFERROR(IF(OR(COUNTIF(INDIRECT("数出表_Excel!"&amp;T49&amp;"3"),"*キャラ*"),
COUNTIF(INDIRECT("数出表_Excel!"&amp;T49&amp;"3"),"*赤*")),
INDIRECT("数出表_Excel!"&amp;T49&amp;"3")
&amp;"　"&amp;INDIRECT("数出表_Excel!"&amp;T49&amp;"4")
&amp;INDIRECT("数出表_Excel!"&amp;T49&amp;"5"),
INDIRECT("数出表_Excel!"&amp;T49&amp;"3")),"")</f>
        <v/>
      </c>
      <c r="O49" t="str">
        <f t="array" aca="1" ref="O49" ca="1">IFERROR(IF(OR(COUNTIF(INDIRECT("数出表_Excel!"&amp;U49&amp;"3"),"*キャラ*"),
COUNTIF(INDIRECT("数出表_Excel!"&amp;U49&amp;"3"),"*赤*")),
INDIRECT("数出表_Excel!"&amp;U49&amp;"3")
&amp;"　"&amp;INDIRECT("数出表_Excel!"&amp;U49&amp;"4")
&amp;INDIRECT("数出表_Excel!"&amp;U49&amp;"5"),
INDIRECT("数出表_Excel!"&amp;U49&amp;"3")),"")</f>
        <v/>
      </c>
      <c r="P49" t="str">
        <f t="shared" ca="1" si="8"/>
        <v>G</v>
      </c>
      <c r="Q49" t="str">
        <f t="shared" ca="1" si="9"/>
        <v/>
      </c>
      <c r="R49" t="str">
        <f t="shared" ca="1" si="10"/>
        <v/>
      </c>
      <c r="S49" t="str">
        <f t="shared" ca="1" si="11"/>
        <v/>
      </c>
      <c r="T49" t="str">
        <f t="shared" ca="1" si="12"/>
        <v/>
      </c>
      <c r="U49" t="str">
        <f t="shared" ca="1" si="13"/>
        <v/>
      </c>
      <c r="V49" t="str">
        <f t="shared" ca="1" si="14"/>
        <v>G,</v>
      </c>
    </row>
    <row r="50" spans="1:22" x14ac:dyDescent="0.45">
      <c r="A50" t="s">
        <v>64</v>
      </c>
      <c r="B50">
        <v>9</v>
      </c>
      <c r="I50">
        <f t="shared" si="15"/>
        <v>105</v>
      </c>
      <c r="J50" t="str">
        <f t="array" aca="1" ref="J50" ca="1">IFERROR(IF(OR(COUNTIF(INDIRECT("数出表_Excel!"&amp;P50&amp;"3"),"*キャラ*"),
COUNTIF(INDIRECT("数出表_Excel!"&amp;P50&amp;"3"),"*赤*")),
IF(COUNTIF(A50,"*雙葉*"),INDIRECT("数出表_Excel!"&amp;P50&amp;"3"),
INDIRECT("数出表_Excel!"&amp;P50&amp;"3")
&amp;"　"&amp;INDIRECT("数出表_Excel!"&amp;P50&amp;"4")
&amp;INDIRECT("数出表_Excel!"&amp;P50&amp;"5")),
INDIRECT("数出表_Excel!"&amp;P50&amp;"3")),"")</f>
        <v>赤　飯あり120</v>
      </c>
      <c r="K50" t="str">
        <f t="array" aca="1" ref="K50" ca="1">IFERROR(IF(OR(COUNTIF(INDIRECT("数出表_Excel!"&amp;Q50&amp;"3"),"*キャラ*"),
COUNTIF(INDIRECT("数出表_Excel!"&amp;Q50&amp;"3"),"*赤*")),
INDIRECT("数出表_Excel!"&amp;Q50&amp;"3")
&amp;"　"&amp;INDIRECT("数出表_Excel!"&amp;Q50&amp;"4")
&amp;INDIRECT("数出表_Excel!"&amp;Q50&amp;"5"),
INDIRECT("数出表_Excel!"&amp;Q50&amp;"3")),"")</f>
        <v/>
      </c>
      <c r="L50" t="str">
        <f t="array" aca="1" ref="L50" ca="1">IFERROR(IF(OR(COUNTIF(INDIRECT("数出表_Excel!"&amp;R50&amp;"3"),"*キャラ*"),
COUNTIF(INDIRECT("数出表_Excel!"&amp;R50&amp;"3"),"*赤*")),
INDIRECT("数出表_Excel!"&amp;R50&amp;"3")
&amp;"　"&amp;INDIRECT("数出表_Excel!"&amp;R50&amp;"4")
&amp;INDIRECT("数出表_Excel!"&amp;R50&amp;"5"),
INDIRECT("数出表_Excel!"&amp;R50&amp;"3")),"")</f>
        <v/>
      </c>
      <c r="M50" t="str">
        <f t="array" aca="1" ref="M50" ca="1">IFERROR(IF(OR(COUNTIF(INDIRECT("数出表_Excel!"&amp;S50&amp;"3"),"*キャラ*"),
COUNTIF(INDIRECT("数出表_Excel!"&amp;S50&amp;"3"),"*赤*")),
INDIRECT("数出表_Excel!"&amp;S50&amp;"3")
&amp;"　"&amp;INDIRECT("数出表_Excel!"&amp;S50&amp;"4")
&amp;INDIRECT("数出表_Excel!"&amp;S50&amp;"5"),
INDIRECT("数出表_Excel!"&amp;S50&amp;"3")),"")</f>
        <v/>
      </c>
      <c r="N50" t="str">
        <f t="array" aca="1" ref="N50" ca="1">IFERROR(IF(OR(COUNTIF(INDIRECT("数出表_Excel!"&amp;T50&amp;"3"),"*キャラ*"),
COUNTIF(INDIRECT("数出表_Excel!"&amp;T50&amp;"3"),"*赤*")),
INDIRECT("数出表_Excel!"&amp;T50&amp;"3")
&amp;"　"&amp;INDIRECT("数出表_Excel!"&amp;T50&amp;"4")
&amp;INDIRECT("数出表_Excel!"&amp;T50&amp;"5"),
INDIRECT("数出表_Excel!"&amp;T50&amp;"3")),"")</f>
        <v/>
      </c>
      <c r="O50" t="str">
        <f t="array" aca="1" ref="O50" ca="1">IFERROR(IF(OR(COUNTIF(INDIRECT("数出表_Excel!"&amp;U50&amp;"3"),"*キャラ*"),
COUNTIF(INDIRECT("数出表_Excel!"&amp;U50&amp;"3"),"*赤*")),
INDIRECT("数出表_Excel!"&amp;U50&amp;"3")
&amp;"　"&amp;INDIRECT("数出表_Excel!"&amp;U50&amp;"4")
&amp;INDIRECT("数出表_Excel!"&amp;U50&amp;"5"),
INDIRECT("数出表_Excel!"&amp;U50&amp;"3")),"")</f>
        <v/>
      </c>
      <c r="P50" t="str">
        <f t="shared" ca="1" si="8"/>
        <v>G</v>
      </c>
      <c r="Q50" t="str">
        <f t="shared" ca="1" si="9"/>
        <v/>
      </c>
      <c r="R50" t="str">
        <f t="shared" ca="1" si="10"/>
        <v/>
      </c>
      <c r="S50" t="str">
        <f t="shared" ca="1" si="11"/>
        <v/>
      </c>
      <c r="T50" t="str">
        <f t="shared" ca="1" si="12"/>
        <v/>
      </c>
      <c r="U50" t="str">
        <f t="shared" ca="1" si="13"/>
        <v/>
      </c>
      <c r="V50" t="str">
        <f t="shared" ca="1" si="14"/>
        <v>G,</v>
      </c>
    </row>
    <row r="51" spans="1:22" x14ac:dyDescent="0.45">
      <c r="A51" t="s">
        <v>65</v>
      </c>
      <c r="B51">
        <v>73</v>
      </c>
      <c r="I51">
        <f t="shared" si="15"/>
        <v>107</v>
      </c>
      <c r="J51" t="str">
        <f t="array" aca="1" ref="J51" ca="1">IFERROR(IF(OR(COUNTIF(INDIRECT("数出表_Excel!"&amp;P51&amp;"3"),"*キャラ*"),
COUNTIF(INDIRECT("数出表_Excel!"&amp;P51&amp;"3"),"*赤*")),
IF(COUNTIF(A51,"*雙葉*"),INDIRECT("数出表_Excel!"&amp;P51&amp;"3"),
INDIRECT("数出表_Excel!"&amp;P51&amp;"3")
&amp;"　"&amp;INDIRECT("数出表_Excel!"&amp;P51&amp;"4")
&amp;INDIRECT("数出表_Excel!"&amp;P51&amp;"5")),
INDIRECT("数出表_Excel!"&amp;P51&amp;"3")),"")</f>
        <v>赤　飯あり120</v>
      </c>
      <c r="K51" t="str">
        <f t="array" aca="1" ref="K51" ca="1">IFERROR(IF(OR(COUNTIF(INDIRECT("数出表_Excel!"&amp;Q51&amp;"3"),"*キャラ*"),
COUNTIF(INDIRECT("数出表_Excel!"&amp;Q51&amp;"3"),"*赤*")),
INDIRECT("数出表_Excel!"&amp;Q51&amp;"3")
&amp;"　"&amp;INDIRECT("数出表_Excel!"&amp;Q51&amp;"4")
&amp;INDIRECT("数出表_Excel!"&amp;Q51&amp;"5"),
INDIRECT("数出表_Excel!"&amp;Q51&amp;"3")),"")</f>
        <v/>
      </c>
      <c r="L51" t="str">
        <f t="array" aca="1" ref="L51" ca="1">IFERROR(IF(OR(COUNTIF(INDIRECT("数出表_Excel!"&amp;R51&amp;"3"),"*キャラ*"),
COUNTIF(INDIRECT("数出表_Excel!"&amp;R51&amp;"3"),"*赤*")),
INDIRECT("数出表_Excel!"&amp;R51&amp;"3")
&amp;"　"&amp;INDIRECT("数出表_Excel!"&amp;R51&amp;"4")
&amp;INDIRECT("数出表_Excel!"&amp;R51&amp;"5"),
INDIRECT("数出表_Excel!"&amp;R51&amp;"3")),"")</f>
        <v/>
      </c>
      <c r="M51" t="str">
        <f t="array" aca="1" ref="M51" ca="1">IFERROR(IF(OR(COUNTIF(INDIRECT("数出表_Excel!"&amp;S51&amp;"3"),"*キャラ*"),
COUNTIF(INDIRECT("数出表_Excel!"&amp;S51&amp;"3"),"*赤*")),
INDIRECT("数出表_Excel!"&amp;S51&amp;"3")
&amp;"　"&amp;INDIRECT("数出表_Excel!"&amp;S51&amp;"4")
&amp;INDIRECT("数出表_Excel!"&amp;S51&amp;"5"),
INDIRECT("数出表_Excel!"&amp;S51&amp;"3")),"")</f>
        <v/>
      </c>
      <c r="N51" t="str">
        <f t="array" aca="1" ref="N51" ca="1">IFERROR(IF(OR(COUNTIF(INDIRECT("数出表_Excel!"&amp;T51&amp;"3"),"*キャラ*"),
COUNTIF(INDIRECT("数出表_Excel!"&amp;T51&amp;"3"),"*赤*")),
INDIRECT("数出表_Excel!"&amp;T51&amp;"3")
&amp;"　"&amp;INDIRECT("数出表_Excel!"&amp;T51&amp;"4")
&amp;INDIRECT("数出表_Excel!"&amp;T51&amp;"5"),
INDIRECT("数出表_Excel!"&amp;T51&amp;"3")),"")</f>
        <v/>
      </c>
      <c r="O51" t="str">
        <f t="array" aca="1" ref="O51" ca="1">IFERROR(IF(OR(COUNTIF(INDIRECT("数出表_Excel!"&amp;U51&amp;"3"),"*キャラ*"),
COUNTIF(INDIRECT("数出表_Excel!"&amp;U51&amp;"3"),"*赤*")),
INDIRECT("数出表_Excel!"&amp;U51&amp;"3")
&amp;"　"&amp;INDIRECT("数出表_Excel!"&amp;U51&amp;"4")
&amp;INDIRECT("数出表_Excel!"&amp;U51&amp;"5"),
INDIRECT("数出表_Excel!"&amp;U51&amp;"3")),"")</f>
        <v/>
      </c>
      <c r="P51" t="str">
        <f t="shared" ca="1" si="8"/>
        <v>G</v>
      </c>
      <c r="Q51" t="str">
        <f t="shared" ca="1" si="9"/>
        <v/>
      </c>
      <c r="R51" t="str">
        <f t="shared" ca="1" si="10"/>
        <v/>
      </c>
      <c r="S51" t="str">
        <f t="shared" ca="1" si="11"/>
        <v/>
      </c>
      <c r="T51" t="str">
        <f t="shared" ca="1" si="12"/>
        <v/>
      </c>
      <c r="U51" t="str">
        <f t="shared" ca="1" si="13"/>
        <v/>
      </c>
      <c r="V51" t="str">
        <f t="shared" ca="1" si="14"/>
        <v>G,</v>
      </c>
    </row>
    <row r="52" spans="1:22" x14ac:dyDescent="0.45">
      <c r="A52" t="s">
        <v>66</v>
      </c>
      <c r="B52">
        <v>15</v>
      </c>
      <c r="I52">
        <f t="shared" si="15"/>
        <v>109</v>
      </c>
      <c r="J52" t="str">
        <f t="array" aca="1" ref="J52" ca="1">IFERROR(IF(OR(COUNTIF(INDIRECT("数出表_Excel!"&amp;P52&amp;"3"),"*キャラ*"),
COUNTIF(INDIRECT("数出表_Excel!"&amp;P52&amp;"3"),"*赤*")),
IF(COUNTIF(A52,"*雙葉*"),INDIRECT("数出表_Excel!"&amp;P52&amp;"3"),
INDIRECT("数出表_Excel!"&amp;P52&amp;"3")
&amp;"　"&amp;INDIRECT("数出表_Excel!"&amp;P52&amp;"4")
&amp;INDIRECT("数出表_Excel!"&amp;P52&amp;"5")),
INDIRECT("数出表_Excel!"&amp;P52&amp;"3")),"")</f>
        <v>赤　飯あり120</v>
      </c>
      <c r="K52" t="str">
        <f t="array" aca="1" ref="K52" ca="1">IFERROR(IF(OR(COUNTIF(INDIRECT("数出表_Excel!"&amp;Q52&amp;"3"),"*キャラ*"),
COUNTIF(INDIRECT("数出表_Excel!"&amp;Q52&amp;"3"),"*赤*")),
INDIRECT("数出表_Excel!"&amp;Q52&amp;"3")
&amp;"　"&amp;INDIRECT("数出表_Excel!"&amp;Q52&amp;"4")
&amp;INDIRECT("数出表_Excel!"&amp;Q52&amp;"5"),
INDIRECT("数出表_Excel!"&amp;Q52&amp;"3")),"")</f>
        <v/>
      </c>
      <c r="L52" t="str">
        <f t="array" aca="1" ref="L52" ca="1">IFERROR(IF(OR(COUNTIF(INDIRECT("数出表_Excel!"&amp;R52&amp;"3"),"*キャラ*"),
COUNTIF(INDIRECT("数出表_Excel!"&amp;R52&amp;"3"),"*赤*")),
INDIRECT("数出表_Excel!"&amp;R52&amp;"3")
&amp;"　"&amp;INDIRECT("数出表_Excel!"&amp;R52&amp;"4")
&amp;INDIRECT("数出表_Excel!"&amp;R52&amp;"5"),
INDIRECT("数出表_Excel!"&amp;R52&amp;"3")),"")</f>
        <v/>
      </c>
      <c r="M52" t="str">
        <f t="array" aca="1" ref="M52" ca="1">IFERROR(IF(OR(COUNTIF(INDIRECT("数出表_Excel!"&amp;S52&amp;"3"),"*キャラ*"),
COUNTIF(INDIRECT("数出表_Excel!"&amp;S52&amp;"3"),"*赤*")),
INDIRECT("数出表_Excel!"&amp;S52&amp;"3")
&amp;"　"&amp;INDIRECT("数出表_Excel!"&amp;S52&amp;"4")
&amp;INDIRECT("数出表_Excel!"&amp;S52&amp;"5"),
INDIRECT("数出表_Excel!"&amp;S52&amp;"3")),"")</f>
        <v/>
      </c>
      <c r="N52" t="str">
        <f t="array" aca="1" ref="N52" ca="1">IFERROR(IF(OR(COUNTIF(INDIRECT("数出表_Excel!"&amp;T52&amp;"3"),"*キャラ*"),
COUNTIF(INDIRECT("数出表_Excel!"&amp;T52&amp;"3"),"*赤*")),
INDIRECT("数出表_Excel!"&amp;T52&amp;"3")
&amp;"　"&amp;INDIRECT("数出表_Excel!"&amp;T52&amp;"4")
&amp;INDIRECT("数出表_Excel!"&amp;T52&amp;"5"),
INDIRECT("数出表_Excel!"&amp;T52&amp;"3")),"")</f>
        <v/>
      </c>
      <c r="O52" t="str">
        <f t="array" aca="1" ref="O52" ca="1">IFERROR(IF(OR(COUNTIF(INDIRECT("数出表_Excel!"&amp;U52&amp;"3"),"*キャラ*"),
COUNTIF(INDIRECT("数出表_Excel!"&amp;U52&amp;"3"),"*赤*")),
INDIRECT("数出表_Excel!"&amp;U52&amp;"3")
&amp;"　"&amp;INDIRECT("数出表_Excel!"&amp;U52&amp;"4")
&amp;INDIRECT("数出表_Excel!"&amp;U52&amp;"5"),
INDIRECT("数出表_Excel!"&amp;U52&amp;"3")),"")</f>
        <v/>
      </c>
      <c r="P52" t="str">
        <f t="shared" ca="1" si="8"/>
        <v>G</v>
      </c>
      <c r="Q52" t="str">
        <f t="shared" ca="1" si="9"/>
        <v/>
      </c>
      <c r="R52" t="str">
        <f t="shared" ca="1" si="10"/>
        <v/>
      </c>
      <c r="S52" t="str">
        <f t="shared" ca="1" si="11"/>
        <v/>
      </c>
      <c r="T52" t="str">
        <f t="shared" ca="1" si="12"/>
        <v/>
      </c>
      <c r="U52" t="str">
        <f t="shared" ca="1" si="13"/>
        <v/>
      </c>
      <c r="V52" t="str">
        <f t="shared" ca="1" si="14"/>
        <v>G,</v>
      </c>
    </row>
    <row r="53" spans="1:22" x14ac:dyDescent="0.45">
      <c r="A53" t="s">
        <v>67</v>
      </c>
      <c r="E53">
        <v>19</v>
      </c>
      <c r="I53">
        <f t="shared" si="15"/>
        <v>111</v>
      </c>
      <c r="J53" t="str">
        <f t="array" aca="1" ref="J53" ca="1">IFERROR(IF(OR(COUNTIF(INDIRECT("数出表_Excel!"&amp;P53&amp;"3"),"*キャラ*"),
COUNTIF(INDIRECT("数出表_Excel!"&amp;P53&amp;"3"),"*赤*")),
IF(COUNTIF(A53,"*雙葉*"),INDIRECT("数出表_Excel!"&amp;P53&amp;"3"),
INDIRECT("数出表_Excel!"&amp;P53&amp;"3")
&amp;"　"&amp;INDIRECT("数出表_Excel!"&amp;P53&amp;"4")
&amp;INDIRECT("数出表_Excel!"&amp;P53&amp;"5")),
INDIRECT("数出表_Excel!"&amp;P53&amp;"3")),"")</f>
        <v/>
      </c>
      <c r="K53" t="str">
        <f t="array" aca="1" ref="K53" ca="1">IFERROR(IF(OR(COUNTIF(INDIRECT("数出表_Excel!"&amp;Q53&amp;"3"),"*キャラ*"),
COUNTIF(INDIRECT("数出表_Excel!"&amp;Q53&amp;"3"),"*赤*")),
INDIRECT("数出表_Excel!"&amp;Q53&amp;"3")
&amp;"　"&amp;INDIRECT("数出表_Excel!"&amp;Q53&amp;"4")
&amp;INDIRECT("数出表_Excel!"&amp;Q53&amp;"5"),
INDIRECT("数出表_Excel!"&amp;Q53&amp;"3")),"")</f>
        <v/>
      </c>
      <c r="L53" t="str">
        <f t="array" aca="1" ref="L53" ca="1">IFERROR(IF(OR(COUNTIF(INDIRECT("数出表_Excel!"&amp;R53&amp;"3"),"*キャラ*"),
COUNTIF(INDIRECT("数出表_Excel!"&amp;R53&amp;"3"),"*赤*")),
INDIRECT("数出表_Excel!"&amp;R53&amp;"3")
&amp;"　"&amp;INDIRECT("数出表_Excel!"&amp;R53&amp;"4")
&amp;INDIRECT("数出表_Excel!"&amp;R53&amp;"5"),
INDIRECT("数出表_Excel!"&amp;R53&amp;"3")),"")</f>
        <v/>
      </c>
      <c r="M53" t="str">
        <f t="array" aca="1" ref="M53" ca="1">IFERROR(IF(OR(COUNTIF(INDIRECT("数出表_Excel!"&amp;S53&amp;"3"),"*キャラ*"),
COUNTIF(INDIRECT("数出表_Excel!"&amp;S53&amp;"3"),"*赤*")),
INDIRECT("数出表_Excel!"&amp;S53&amp;"3")
&amp;"　"&amp;INDIRECT("数出表_Excel!"&amp;S53&amp;"4")
&amp;INDIRECT("数出表_Excel!"&amp;S53&amp;"5"),
INDIRECT("数出表_Excel!"&amp;S53&amp;"3")),"")</f>
        <v>赤　飯あり120</v>
      </c>
      <c r="N53" t="str">
        <f t="array" aca="1" ref="N53" ca="1">IFERROR(IF(OR(COUNTIF(INDIRECT("数出表_Excel!"&amp;T53&amp;"3"),"*キャラ*"),
COUNTIF(INDIRECT("数出表_Excel!"&amp;T53&amp;"3"),"*赤*")),
INDIRECT("数出表_Excel!"&amp;T53&amp;"3")
&amp;"　"&amp;INDIRECT("数出表_Excel!"&amp;T53&amp;"4")
&amp;INDIRECT("数出表_Excel!"&amp;T53&amp;"5"),
INDIRECT("数出表_Excel!"&amp;T53&amp;"3")),"")</f>
        <v/>
      </c>
      <c r="O53" t="str">
        <f t="array" aca="1" ref="O53" ca="1">IFERROR(IF(OR(COUNTIF(INDIRECT("数出表_Excel!"&amp;U53&amp;"3"),"*キャラ*"),
COUNTIF(INDIRECT("数出表_Excel!"&amp;U53&amp;"3"),"*赤*")),
INDIRECT("数出表_Excel!"&amp;U53&amp;"3")
&amp;"　"&amp;INDIRECT("数出表_Excel!"&amp;U53&amp;"4")
&amp;INDIRECT("数出表_Excel!"&amp;U53&amp;"5"),
INDIRECT("数出表_Excel!"&amp;U53&amp;"3")),"")</f>
        <v/>
      </c>
      <c r="P53" t="str">
        <f t="shared" ca="1" si="8"/>
        <v/>
      </c>
      <c r="Q53" t="str">
        <f t="shared" ca="1" si="9"/>
        <v/>
      </c>
      <c r="R53" t="str">
        <f t="shared" ca="1" si="10"/>
        <v/>
      </c>
      <c r="S53" t="str">
        <f t="shared" ca="1" si="11"/>
        <v>G</v>
      </c>
      <c r="T53" t="str">
        <f t="shared" ca="1" si="12"/>
        <v/>
      </c>
      <c r="U53" t="str">
        <f t="shared" ca="1" si="13"/>
        <v/>
      </c>
      <c r="V53" t="str">
        <f t="shared" ca="1" si="14"/>
        <v>G,</v>
      </c>
    </row>
    <row r="54" spans="1:22" x14ac:dyDescent="0.45">
      <c r="A54" t="s">
        <v>68</v>
      </c>
      <c r="E54">
        <v>20</v>
      </c>
      <c r="I54">
        <f t="shared" si="15"/>
        <v>113</v>
      </c>
      <c r="J54" t="str">
        <f t="array" aca="1" ref="J54" ca="1">IFERROR(IF(OR(COUNTIF(INDIRECT("数出表_Excel!"&amp;P54&amp;"3"),"*キャラ*"),
COUNTIF(INDIRECT("数出表_Excel!"&amp;P54&amp;"3"),"*赤*")),
IF(COUNTIF(A54,"*雙葉*"),INDIRECT("数出表_Excel!"&amp;P54&amp;"3"),
INDIRECT("数出表_Excel!"&amp;P54&amp;"3")
&amp;"　"&amp;INDIRECT("数出表_Excel!"&amp;P54&amp;"4")
&amp;INDIRECT("数出表_Excel!"&amp;P54&amp;"5")),
INDIRECT("数出表_Excel!"&amp;P54&amp;"3")),"")</f>
        <v/>
      </c>
      <c r="K54" t="str">
        <f t="array" aca="1" ref="K54" ca="1">IFERROR(IF(OR(COUNTIF(INDIRECT("数出表_Excel!"&amp;Q54&amp;"3"),"*キャラ*"),
COUNTIF(INDIRECT("数出表_Excel!"&amp;Q54&amp;"3"),"*赤*")),
INDIRECT("数出表_Excel!"&amp;Q54&amp;"3")
&amp;"　"&amp;INDIRECT("数出表_Excel!"&amp;Q54&amp;"4")
&amp;INDIRECT("数出表_Excel!"&amp;Q54&amp;"5"),
INDIRECT("数出表_Excel!"&amp;Q54&amp;"3")),"")</f>
        <v/>
      </c>
      <c r="L54" t="str">
        <f t="array" aca="1" ref="L54" ca="1">IFERROR(IF(OR(COUNTIF(INDIRECT("数出表_Excel!"&amp;R54&amp;"3"),"*キャラ*"),
COUNTIF(INDIRECT("数出表_Excel!"&amp;R54&amp;"3"),"*赤*")),
INDIRECT("数出表_Excel!"&amp;R54&amp;"3")
&amp;"　"&amp;INDIRECT("数出表_Excel!"&amp;R54&amp;"4")
&amp;INDIRECT("数出表_Excel!"&amp;R54&amp;"5"),
INDIRECT("数出表_Excel!"&amp;R54&amp;"3")),"")</f>
        <v/>
      </c>
      <c r="M54" t="str">
        <f t="array" aca="1" ref="M54" ca="1">IFERROR(IF(OR(COUNTIF(INDIRECT("数出表_Excel!"&amp;S54&amp;"3"),"*キャラ*"),
COUNTIF(INDIRECT("数出表_Excel!"&amp;S54&amp;"3"),"*赤*")),
INDIRECT("数出表_Excel!"&amp;S54&amp;"3")
&amp;"　"&amp;INDIRECT("数出表_Excel!"&amp;S54&amp;"4")
&amp;INDIRECT("数出表_Excel!"&amp;S54&amp;"5"),
INDIRECT("数出表_Excel!"&amp;S54&amp;"3")),"")</f>
        <v>赤　飯なし</v>
      </c>
      <c r="N54" t="str">
        <f t="array" aca="1" ref="N54" ca="1">IFERROR(IF(OR(COUNTIF(INDIRECT("数出表_Excel!"&amp;T54&amp;"3"),"*キャラ*"),
COUNTIF(INDIRECT("数出表_Excel!"&amp;T54&amp;"3"),"*赤*")),
INDIRECT("数出表_Excel!"&amp;T54&amp;"3")
&amp;"　"&amp;INDIRECT("数出表_Excel!"&amp;T54&amp;"4")
&amp;INDIRECT("数出表_Excel!"&amp;T54&amp;"5"),
INDIRECT("数出表_Excel!"&amp;T54&amp;"3")),"")</f>
        <v/>
      </c>
      <c r="O54" t="str">
        <f t="array" aca="1" ref="O54" ca="1">IFERROR(IF(OR(COUNTIF(INDIRECT("数出表_Excel!"&amp;U54&amp;"3"),"*キャラ*"),
COUNTIF(INDIRECT("数出表_Excel!"&amp;U54&amp;"3"),"*赤*")),
INDIRECT("数出表_Excel!"&amp;U54&amp;"3")
&amp;"　"&amp;INDIRECT("数出表_Excel!"&amp;U54&amp;"4")
&amp;INDIRECT("数出表_Excel!"&amp;U54&amp;"5"),
INDIRECT("数出表_Excel!"&amp;U54&amp;"3")),"")</f>
        <v/>
      </c>
      <c r="P54" t="str">
        <f t="shared" ca="1" si="8"/>
        <v/>
      </c>
      <c r="Q54" t="str">
        <f t="shared" ca="1" si="9"/>
        <v/>
      </c>
      <c r="R54" t="str">
        <f t="shared" ca="1" si="10"/>
        <v/>
      </c>
      <c r="S54" t="str">
        <f t="shared" ca="1" si="11"/>
        <v>K</v>
      </c>
      <c r="T54" t="str">
        <f t="shared" ca="1" si="12"/>
        <v/>
      </c>
      <c r="U54" t="str">
        <f t="shared" ca="1" si="13"/>
        <v/>
      </c>
      <c r="V54" t="str">
        <f t="shared" ca="1" si="14"/>
        <v>K,</v>
      </c>
    </row>
    <row r="55" spans="1:22" x14ac:dyDescent="0.45">
      <c r="A55" t="s">
        <v>69</v>
      </c>
      <c r="B55">
        <v>16</v>
      </c>
      <c r="E55">
        <v>12</v>
      </c>
      <c r="I55">
        <f t="shared" si="15"/>
        <v>115</v>
      </c>
      <c r="J55" t="str">
        <f t="array" aca="1" ref="J55" ca="1">IFERROR(IF(OR(COUNTIF(INDIRECT("数出表_Excel!"&amp;P55&amp;"3"),"*キャラ*"),
COUNTIF(INDIRECT("数出表_Excel!"&amp;P55&amp;"3"),"*赤*")),
IF(COUNTIF(A55,"*雙葉*"),INDIRECT("数出表_Excel!"&amp;P55&amp;"3"),
INDIRECT("数出表_Excel!"&amp;P55&amp;"3")
&amp;"　"&amp;INDIRECT("数出表_Excel!"&amp;P55&amp;"4")
&amp;INDIRECT("数出表_Excel!"&amp;P55&amp;"5")),
INDIRECT("数出表_Excel!"&amp;P55&amp;"3")),"")</f>
        <v>赤　飯あり120</v>
      </c>
      <c r="K55" t="str">
        <f t="array" aca="1" ref="K55" ca="1">IFERROR(IF(OR(COUNTIF(INDIRECT("数出表_Excel!"&amp;Q55&amp;"3"),"*キャラ*"),
COUNTIF(INDIRECT("数出表_Excel!"&amp;Q55&amp;"3"),"*赤*")),
INDIRECT("数出表_Excel!"&amp;Q55&amp;"3")
&amp;"　"&amp;INDIRECT("数出表_Excel!"&amp;Q55&amp;"4")
&amp;INDIRECT("数出表_Excel!"&amp;Q55&amp;"5"),
INDIRECT("数出表_Excel!"&amp;Q55&amp;"3")),"")</f>
        <v/>
      </c>
      <c r="L55" t="str">
        <f t="array" aca="1" ref="L55" ca="1">IFERROR(IF(OR(COUNTIF(INDIRECT("数出表_Excel!"&amp;R55&amp;"3"),"*キャラ*"),
COUNTIF(INDIRECT("数出表_Excel!"&amp;R55&amp;"3"),"*赤*")),
INDIRECT("数出表_Excel!"&amp;R55&amp;"3")
&amp;"　"&amp;INDIRECT("数出表_Excel!"&amp;R55&amp;"4")
&amp;INDIRECT("数出表_Excel!"&amp;R55&amp;"5"),
INDIRECT("数出表_Excel!"&amp;R55&amp;"3")),"")</f>
        <v/>
      </c>
      <c r="M55" t="str">
        <f t="array" aca="1" ref="M55" ca="1">IFERROR(IF(OR(COUNTIF(INDIRECT("数出表_Excel!"&amp;S55&amp;"3"),"*キャラ*"),
COUNTIF(INDIRECT("数出表_Excel!"&amp;S55&amp;"3"),"*赤*")),
INDIRECT("数出表_Excel!"&amp;S55&amp;"3")
&amp;"　"&amp;INDIRECT("数出表_Excel!"&amp;S55&amp;"4")
&amp;INDIRECT("数出表_Excel!"&amp;S55&amp;"5"),
INDIRECT("数出表_Excel!"&amp;S55&amp;"3")),"")</f>
        <v>赤　飯あり120</v>
      </c>
      <c r="N55" t="str">
        <f t="array" aca="1" ref="N55" ca="1">IFERROR(IF(OR(COUNTIF(INDIRECT("数出表_Excel!"&amp;T55&amp;"3"),"*キャラ*"),
COUNTIF(INDIRECT("数出表_Excel!"&amp;T55&amp;"3"),"*赤*")),
INDIRECT("数出表_Excel!"&amp;T55&amp;"3")
&amp;"　"&amp;INDIRECT("数出表_Excel!"&amp;T55&amp;"4")
&amp;INDIRECT("数出表_Excel!"&amp;T55&amp;"5"),
INDIRECT("数出表_Excel!"&amp;T55&amp;"3")),"")</f>
        <v/>
      </c>
      <c r="O55" t="str">
        <f t="array" aca="1" ref="O55" ca="1">IFERROR(IF(OR(COUNTIF(INDIRECT("数出表_Excel!"&amp;U55&amp;"3"),"*キャラ*"),
COUNTIF(INDIRECT("数出表_Excel!"&amp;U55&amp;"3"),"*赤*")),
INDIRECT("数出表_Excel!"&amp;U55&amp;"3")
&amp;"　"&amp;INDIRECT("数出表_Excel!"&amp;U55&amp;"4")
&amp;INDIRECT("数出表_Excel!"&amp;U55&amp;"5"),
INDIRECT("数出表_Excel!"&amp;U55&amp;"3")),"")</f>
        <v/>
      </c>
      <c r="P55" t="str">
        <f t="shared" ca="1" si="8"/>
        <v>G</v>
      </c>
      <c r="Q55" t="str">
        <f t="shared" ca="1" si="9"/>
        <v/>
      </c>
      <c r="R55" t="str">
        <f t="shared" ca="1" si="10"/>
        <v/>
      </c>
      <c r="S55" t="str">
        <f t="shared" ca="1" si="11"/>
        <v>G</v>
      </c>
      <c r="T55" t="str">
        <f t="shared" ca="1" si="12"/>
        <v/>
      </c>
      <c r="U55" t="str">
        <f t="shared" ca="1" si="13"/>
        <v/>
      </c>
      <c r="V55" t="str">
        <f t="shared" ca="1" si="14"/>
        <v>G,</v>
      </c>
    </row>
    <row r="56" spans="1:22" x14ac:dyDescent="0.45">
      <c r="A56" t="s">
        <v>70</v>
      </c>
      <c r="I56">
        <f t="shared" si="15"/>
        <v>117</v>
      </c>
      <c r="J56" t="str">
        <f t="array" aca="1" ref="J56" ca="1">IFERROR(IF(OR(COUNTIF(INDIRECT("数出表_Excel!"&amp;P56&amp;"3"),"*キャラ*"),
COUNTIF(INDIRECT("数出表_Excel!"&amp;P56&amp;"3"),"*赤*")),
IF(COUNTIF(A56,"*雙葉*"),INDIRECT("数出表_Excel!"&amp;P56&amp;"3"),
INDIRECT("数出表_Excel!"&amp;P56&amp;"3")
&amp;"　"&amp;INDIRECT("数出表_Excel!"&amp;P56&amp;"4")
&amp;INDIRECT("数出表_Excel!"&amp;P56&amp;"5")),
INDIRECT("数出表_Excel!"&amp;P56&amp;"3")),"")</f>
        <v/>
      </c>
      <c r="K56" t="str">
        <f t="array" aca="1" ref="K56" ca="1">IFERROR(IF(OR(COUNTIF(INDIRECT("数出表_Excel!"&amp;Q56&amp;"3"),"*キャラ*"),
COUNTIF(INDIRECT("数出表_Excel!"&amp;Q56&amp;"3"),"*赤*")),
INDIRECT("数出表_Excel!"&amp;Q56&amp;"3")
&amp;"　"&amp;INDIRECT("数出表_Excel!"&amp;Q56&amp;"4")
&amp;INDIRECT("数出表_Excel!"&amp;Q56&amp;"5"),
INDIRECT("数出表_Excel!"&amp;Q56&amp;"3")),"")</f>
        <v/>
      </c>
      <c r="L56" t="str">
        <f t="array" aca="1" ref="L56" ca="1">IFERROR(IF(OR(COUNTIF(INDIRECT("数出表_Excel!"&amp;R56&amp;"3"),"*キャラ*"),
COUNTIF(INDIRECT("数出表_Excel!"&amp;R56&amp;"3"),"*赤*")),
INDIRECT("数出表_Excel!"&amp;R56&amp;"3")
&amp;"　"&amp;INDIRECT("数出表_Excel!"&amp;R56&amp;"4")
&amp;INDIRECT("数出表_Excel!"&amp;R56&amp;"5"),
INDIRECT("数出表_Excel!"&amp;R56&amp;"3")),"")</f>
        <v/>
      </c>
      <c r="M56" t="str">
        <f t="array" aca="1" ref="M56" ca="1">IFERROR(IF(OR(COUNTIF(INDIRECT("数出表_Excel!"&amp;S56&amp;"3"),"*キャラ*"),
COUNTIF(INDIRECT("数出表_Excel!"&amp;S56&amp;"3"),"*赤*")),
INDIRECT("数出表_Excel!"&amp;S56&amp;"3")
&amp;"　"&amp;INDIRECT("数出表_Excel!"&amp;S56&amp;"4")
&amp;INDIRECT("数出表_Excel!"&amp;S56&amp;"5"),
INDIRECT("数出表_Excel!"&amp;S56&amp;"3")),"")</f>
        <v/>
      </c>
      <c r="N56" t="str">
        <f t="array" aca="1" ref="N56" ca="1">IFERROR(IF(OR(COUNTIF(INDIRECT("数出表_Excel!"&amp;T56&amp;"3"),"*キャラ*"),
COUNTIF(INDIRECT("数出表_Excel!"&amp;T56&amp;"3"),"*赤*")),
INDIRECT("数出表_Excel!"&amp;T56&amp;"3")
&amp;"　"&amp;INDIRECT("数出表_Excel!"&amp;T56&amp;"4")
&amp;INDIRECT("数出表_Excel!"&amp;T56&amp;"5"),
INDIRECT("数出表_Excel!"&amp;T56&amp;"3")),"")</f>
        <v/>
      </c>
      <c r="O56" t="str">
        <f t="array" aca="1" ref="O56" ca="1">IFERROR(IF(OR(COUNTIF(INDIRECT("数出表_Excel!"&amp;U56&amp;"3"),"*キャラ*"),
COUNTIF(INDIRECT("数出表_Excel!"&amp;U56&amp;"3"),"*赤*")),
INDIRECT("数出表_Excel!"&amp;U56&amp;"3")
&amp;"　"&amp;INDIRECT("数出表_Excel!"&amp;U56&amp;"4")
&amp;INDIRECT("数出表_Excel!"&amp;U56&amp;"5"),
INDIRECT("数出表_Excel!"&amp;U56&amp;"3")),"")</f>
        <v/>
      </c>
      <c r="P56" t="str">
        <f t="shared" ca="1" si="8"/>
        <v/>
      </c>
      <c r="Q56" t="str">
        <f t="shared" ca="1" si="9"/>
        <v/>
      </c>
      <c r="R56" t="str">
        <f t="shared" ca="1" si="10"/>
        <v/>
      </c>
      <c r="S56" t="str">
        <f t="shared" ca="1" si="11"/>
        <v/>
      </c>
      <c r="T56" t="str">
        <f t="shared" ca="1" si="12"/>
        <v/>
      </c>
      <c r="U56" t="str">
        <f t="shared" ca="1" si="13"/>
        <v/>
      </c>
      <c r="V56" t="str">
        <f t="shared" ca="1" si="14"/>
        <v/>
      </c>
    </row>
    <row r="57" spans="1:22" x14ac:dyDescent="0.45">
      <c r="A57" t="s">
        <v>71</v>
      </c>
      <c r="I57">
        <f t="shared" si="15"/>
        <v>119</v>
      </c>
      <c r="J57" t="str">
        <f t="array" aca="1" ref="J57" ca="1">IFERROR(IF(OR(COUNTIF(INDIRECT("数出表_Excel!"&amp;P57&amp;"3"),"*キャラ*"),
COUNTIF(INDIRECT("数出表_Excel!"&amp;P57&amp;"3"),"*赤*")),
IF(COUNTIF(A57,"*雙葉*"),INDIRECT("数出表_Excel!"&amp;P57&amp;"3"),
INDIRECT("数出表_Excel!"&amp;P57&amp;"3")
&amp;"　"&amp;INDIRECT("数出表_Excel!"&amp;P57&amp;"4")
&amp;INDIRECT("数出表_Excel!"&amp;P57&amp;"5")),
INDIRECT("数出表_Excel!"&amp;P57&amp;"3")),"")</f>
        <v/>
      </c>
      <c r="K57" t="str">
        <f t="array" aca="1" ref="K57" ca="1">IFERROR(IF(OR(COUNTIF(INDIRECT("数出表_Excel!"&amp;Q57&amp;"3"),"*キャラ*"),
COUNTIF(INDIRECT("数出表_Excel!"&amp;Q57&amp;"3"),"*赤*")),
INDIRECT("数出表_Excel!"&amp;Q57&amp;"3")
&amp;"　"&amp;INDIRECT("数出表_Excel!"&amp;Q57&amp;"4")
&amp;INDIRECT("数出表_Excel!"&amp;Q57&amp;"5"),
INDIRECT("数出表_Excel!"&amp;Q57&amp;"3")),"")</f>
        <v/>
      </c>
      <c r="L57" t="str">
        <f t="array" aca="1" ref="L57" ca="1">IFERROR(IF(OR(COUNTIF(INDIRECT("数出表_Excel!"&amp;R57&amp;"3"),"*キャラ*"),
COUNTIF(INDIRECT("数出表_Excel!"&amp;R57&amp;"3"),"*赤*")),
INDIRECT("数出表_Excel!"&amp;R57&amp;"3")
&amp;"　"&amp;INDIRECT("数出表_Excel!"&amp;R57&amp;"4")
&amp;INDIRECT("数出表_Excel!"&amp;R57&amp;"5"),
INDIRECT("数出表_Excel!"&amp;R57&amp;"3")),"")</f>
        <v/>
      </c>
      <c r="M57" t="str">
        <f t="array" aca="1" ref="M57" ca="1">IFERROR(IF(OR(COUNTIF(INDIRECT("数出表_Excel!"&amp;S57&amp;"3"),"*キャラ*"),
COUNTIF(INDIRECT("数出表_Excel!"&amp;S57&amp;"3"),"*赤*")),
INDIRECT("数出表_Excel!"&amp;S57&amp;"3")
&amp;"　"&amp;INDIRECT("数出表_Excel!"&amp;S57&amp;"4")
&amp;INDIRECT("数出表_Excel!"&amp;S57&amp;"5"),
INDIRECT("数出表_Excel!"&amp;S57&amp;"3")),"")</f>
        <v/>
      </c>
      <c r="N57" t="str">
        <f t="array" aca="1" ref="N57" ca="1">IFERROR(IF(OR(COUNTIF(INDIRECT("数出表_Excel!"&amp;T57&amp;"3"),"*キャラ*"),
COUNTIF(INDIRECT("数出表_Excel!"&amp;T57&amp;"3"),"*赤*")),
INDIRECT("数出表_Excel!"&amp;T57&amp;"3")
&amp;"　"&amp;INDIRECT("数出表_Excel!"&amp;T57&amp;"4")
&amp;INDIRECT("数出表_Excel!"&amp;T57&amp;"5"),
INDIRECT("数出表_Excel!"&amp;T57&amp;"3")),"")</f>
        <v/>
      </c>
      <c r="O57" t="str">
        <f t="array" aca="1" ref="O57" ca="1">IFERROR(IF(OR(COUNTIF(INDIRECT("数出表_Excel!"&amp;U57&amp;"3"),"*キャラ*"),
COUNTIF(INDIRECT("数出表_Excel!"&amp;U57&amp;"3"),"*赤*")),
INDIRECT("数出表_Excel!"&amp;U57&amp;"3")
&amp;"　"&amp;INDIRECT("数出表_Excel!"&amp;U57&amp;"4")
&amp;INDIRECT("数出表_Excel!"&amp;U57&amp;"5"),
INDIRECT("数出表_Excel!"&amp;U57&amp;"3")),"")</f>
        <v/>
      </c>
      <c r="P57" t="str">
        <f t="shared" ca="1" si="8"/>
        <v/>
      </c>
      <c r="Q57" t="str">
        <f t="shared" ca="1" si="9"/>
        <v/>
      </c>
      <c r="R57" t="str">
        <f t="shared" ca="1" si="10"/>
        <v/>
      </c>
      <c r="S57" t="str">
        <f t="shared" ca="1" si="11"/>
        <v/>
      </c>
      <c r="T57" t="str">
        <f t="shared" ca="1" si="12"/>
        <v/>
      </c>
      <c r="U57" t="str">
        <f t="shared" ca="1" si="13"/>
        <v/>
      </c>
      <c r="V57" t="str">
        <f t="shared" ca="1" si="14"/>
        <v/>
      </c>
    </row>
    <row r="58" spans="1:22" x14ac:dyDescent="0.45">
      <c r="A58" t="s">
        <v>72</v>
      </c>
      <c r="B58">
        <v>149</v>
      </c>
      <c r="I58">
        <f t="shared" si="15"/>
        <v>121</v>
      </c>
      <c r="J58" t="str">
        <f t="array" aca="1" ref="J58" ca="1">IFERROR(IF(OR(COUNTIF(INDIRECT("数出表_Excel!"&amp;P58&amp;"3"),"*キャラ*"),
COUNTIF(INDIRECT("数出表_Excel!"&amp;P58&amp;"3"),"*赤*")),
IF(COUNTIF(A58,"*雙葉*"),INDIRECT("数出表_Excel!"&amp;P58&amp;"3"),
INDIRECT("数出表_Excel!"&amp;P58&amp;"3")
&amp;"　"&amp;INDIRECT("数出表_Excel!"&amp;P58&amp;"4")
&amp;INDIRECT("数出表_Excel!"&amp;P58&amp;"5")),
INDIRECT("数出表_Excel!"&amp;P58&amp;"3")),"")</f>
        <v>配膳スマ</v>
      </c>
      <c r="K58" t="str">
        <f t="array" aca="1" ref="K58" ca="1">IFERROR(IF(OR(COUNTIF(INDIRECT("数出表_Excel!"&amp;Q58&amp;"3"),"*キャラ*"),
COUNTIF(INDIRECT("数出表_Excel!"&amp;Q58&amp;"3"),"*赤*")),
INDIRECT("数出表_Excel!"&amp;Q58&amp;"3")
&amp;"　"&amp;INDIRECT("数出表_Excel!"&amp;Q58&amp;"4")
&amp;INDIRECT("数出表_Excel!"&amp;Q58&amp;"5"),
INDIRECT("数出表_Excel!"&amp;Q58&amp;"3")),"")</f>
        <v/>
      </c>
      <c r="L58" t="str">
        <f t="array" aca="1" ref="L58" ca="1">IFERROR(IF(OR(COUNTIF(INDIRECT("数出表_Excel!"&amp;R58&amp;"3"),"*キャラ*"),
COUNTIF(INDIRECT("数出表_Excel!"&amp;R58&amp;"3"),"*赤*")),
INDIRECT("数出表_Excel!"&amp;R58&amp;"3")
&amp;"　"&amp;INDIRECT("数出表_Excel!"&amp;R58&amp;"4")
&amp;INDIRECT("数出表_Excel!"&amp;R58&amp;"5"),
INDIRECT("数出表_Excel!"&amp;R58&amp;"3")),"")</f>
        <v/>
      </c>
      <c r="M58" t="str">
        <f t="array" aca="1" ref="M58" ca="1">IFERROR(IF(OR(COUNTIF(INDIRECT("数出表_Excel!"&amp;S58&amp;"3"),"*キャラ*"),
COUNTIF(INDIRECT("数出表_Excel!"&amp;S58&amp;"3"),"*赤*")),
INDIRECT("数出表_Excel!"&amp;S58&amp;"3")
&amp;"　"&amp;INDIRECT("数出表_Excel!"&amp;S58&amp;"4")
&amp;INDIRECT("数出表_Excel!"&amp;S58&amp;"5"),
INDIRECT("数出表_Excel!"&amp;S58&amp;"3")),"")</f>
        <v/>
      </c>
      <c r="N58" t="str">
        <f t="array" aca="1" ref="N58" ca="1">IFERROR(IF(OR(COUNTIF(INDIRECT("数出表_Excel!"&amp;T58&amp;"3"),"*キャラ*"),
COUNTIF(INDIRECT("数出表_Excel!"&amp;T58&amp;"3"),"*赤*")),
INDIRECT("数出表_Excel!"&amp;T58&amp;"3")
&amp;"　"&amp;INDIRECT("数出表_Excel!"&amp;T58&amp;"4")
&amp;INDIRECT("数出表_Excel!"&amp;T58&amp;"5"),
INDIRECT("数出表_Excel!"&amp;T58&amp;"3")),"")</f>
        <v/>
      </c>
      <c r="O58" t="str">
        <f t="array" aca="1" ref="O58" ca="1">IFERROR(IF(OR(COUNTIF(INDIRECT("数出表_Excel!"&amp;U58&amp;"3"),"*キャラ*"),
COUNTIF(INDIRECT("数出表_Excel!"&amp;U58&amp;"3"),"*赤*")),
INDIRECT("数出表_Excel!"&amp;U58&amp;"3")
&amp;"　"&amp;INDIRECT("数出表_Excel!"&amp;U58&amp;"4")
&amp;INDIRECT("数出表_Excel!"&amp;U58&amp;"5"),
INDIRECT("数出表_Excel!"&amp;U58&amp;"3")),"")</f>
        <v/>
      </c>
      <c r="P58" t="str">
        <f t="shared" ca="1" si="8"/>
        <v>N</v>
      </c>
      <c r="Q58" t="str">
        <f t="shared" ca="1" si="9"/>
        <v/>
      </c>
      <c r="R58" t="str">
        <f t="shared" ca="1" si="10"/>
        <v/>
      </c>
      <c r="S58" t="str">
        <f t="shared" ca="1" si="11"/>
        <v/>
      </c>
      <c r="T58" t="str">
        <f t="shared" ca="1" si="12"/>
        <v/>
      </c>
      <c r="U58" t="str">
        <f t="shared" ca="1" si="13"/>
        <v/>
      </c>
      <c r="V58" t="str">
        <f t="shared" ca="1" si="14"/>
        <v>N,</v>
      </c>
    </row>
    <row r="59" spans="1:22" x14ac:dyDescent="0.45">
      <c r="A59" t="s">
        <v>73</v>
      </c>
      <c r="I59">
        <f t="shared" si="15"/>
        <v>123</v>
      </c>
      <c r="J59" t="str">
        <f t="array" aca="1" ref="J59" ca="1">IFERROR(IF(OR(COUNTIF(INDIRECT("数出表_Excel!"&amp;P59&amp;"3"),"*キャラ*"),
COUNTIF(INDIRECT("数出表_Excel!"&amp;P59&amp;"3"),"*赤*")),
IF(COUNTIF(A59,"*雙葉*"),INDIRECT("数出表_Excel!"&amp;P59&amp;"3"),
INDIRECT("数出表_Excel!"&amp;P59&amp;"3")
&amp;"　"&amp;INDIRECT("数出表_Excel!"&amp;P59&amp;"4")
&amp;INDIRECT("数出表_Excel!"&amp;P59&amp;"5")),
INDIRECT("数出表_Excel!"&amp;P59&amp;"3")),"")</f>
        <v/>
      </c>
      <c r="K59" t="str">
        <f t="array" aca="1" ref="K59" ca="1">IFERROR(IF(OR(COUNTIF(INDIRECT("数出表_Excel!"&amp;Q59&amp;"3"),"*キャラ*"),
COUNTIF(INDIRECT("数出表_Excel!"&amp;Q59&amp;"3"),"*赤*")),
INDIRECT("数出表_Excel!"&amp;Q59&amp;"3")
&amp;"　"&amp;INDIRECT("数出表_Excel!"&amp;Q59&amp;"4")
&amp;INDIRECT("数出表_Excel!"&amp;Q59&amp;"5"),
INDIRECT("数出表_Excel!"&amp;Q59&amp;"3")),"")</f>
        <v/>
      </c>
      <c r="L59" t="str">
        <f t="array" aca="1" ref="L59" ca="1">IFERROR(IF(OR(COUNTIF(INDIRECT("数出表_Excel!"&amp;R59&amp;"3"),"*キャラ*"),
COUNTIF(INDIRECT("数出表_Excel!"&amp;R59&amp;"3"),"*赤*")),
INDIRECT("数出表_Excel!"&amp;R59&amp;"3")
&amp;"　"&amp;INDIRECT("数出表_Excel!"&amp;R59&amp;"4")
&amp;INDIRECT("数出表_Excel!"&amp;R59&amp;"5"),
INDIRECT("数出表_Excel!"&amp;R59&amp;"3")),"")</f>
        <v/>
      </c>
      <c r="M59" t="str">
        <f t="array" aca="1" ref="M59" ca="1">IFERROR(IF(OR(COUNTIF(INDIRECT("数出表_Excel!"&amp;S59&amp;"3"),"*キャラ*"),
COUNTIF(INDIRECT("数出表_Excel!"&amp;S59&amp;"3"),"*赤*")),
INDIRECT("数出表_Excel!"&amp;S59&amp;"3")
&amp;"　"&amp;INDIRECT("数出表_Excel!"&amp;S59&amp;"4")
&amp;INDIRECT("数出表_Excel!"&amp;S59&amp;"5"),
INDIRECT("数出表_Excel!"&amp;S59&amp;"3")),"")</f>
        <v/>
      </c>
      <c r="N59" t="str">
        <f t="array" aca="1" ref="N59" ca="1">IFERROR(IF(OR(COUNTIF(INDIRECT("数出表_Excel!"&amp;T59&amp;"3"),"*キャラ*"),
COUNTIF(INDIRECT("数出表_Excel!"&amp;T59&amp;"3"),"*赤*")),
INDIRECT("数出表_Excel!"&amp;T59&amp;"3")
&amp;"　"&amp;INDIRECT("数出表_Excel!"&amp;T59&amp;"4")
&amp;INDIRECT("数出表_Excel!"&amp;T59&amp;"5"),
INDIRECT("数出表_Excel!"&amp;T59&amp;"3")),"")</f>
        <v/>
      </c>
      <c r="O59" t="str">
        <f t="array" aca="1" ref="O59" ca="1">IFERROR(IF(OR(COUNTIF(INDIRECT("数出表_Excel!"&amp;U59&amp;"3"),"*キャラ*"),
COUNTIF(INDIRECT("数出表_Excel!"&amp;U59&amp;"3"),"*赤*")),
INDIRECT("数出表_Excel!"&amp;U59&amp;"3")
&amp;"　"&amp;INDIRECT("数出表_Excel!"&amp;U59&amp;"4")
&amp;INDIRECT("数出表_Excel!"&amp;U59&amp;"5"),
INDIRECT("数出表_Excel!"&amp;U59&amp;"3")),"")</f>
        <v/>
      </c>
      <c r="P59" t="str">
        <f t="shared" ca="1" si="8"/>
        <v/>
      </c>
      <c r="Q59" t="str">
        <f t="shared" ca="1" si="9"/>
        <v/>
      </c>
      <c r="R59" t="str">
        <f t="shared" ca="1" si="10"/>
        <v/>
      </c>
      <c r="S59" t="str">
        <f t="shared" ca="1" si="11"/>
        <v/>
      </c>
      <c r="T59" t="str">
        <f t="shared" ca="1" si="12"/>
        <v/>
      </c>
      <c r="U59" t="str">
        <f t="shared" ca="1" si="13"/>
        <v/>
      </c>
      <c r="V59" t="str">
        <f t="shared" ca="1" si="14"/>
        <v/>
      </c>
    </row>
    <row r="60" spans="1:22" x14ac:dyDescent="0.45">
      <c r="A60" t="s">
        <v>74</v>
      </c>
      <c r="B60">
        <v>117</v>
      </c>
      <c r="E60">
        <v>1</v>
      </c>
      <c r="I60">
        <f t="shared" si="15"/>
        <v>125</v>
      </c>
      <c r="J60" t="str">
        <f t="array" aca="1" ref="J60" ca="1">IFERROR(IF(OR(COUNTIF(INDIRECT("数出表_Excel!"&amp;P60&amp;"3"),"*キャラ*"),
COUNTIF(INDIRECT("数出表_Excel!"&amp;P60&amp;"3"),"*赤*")),
IF(COUNTIF(A60,"*雙葉*"),INDIRECT("数出表_Excel!"&amp;P60&amp;"3"),
INDIRECT("数出表_Excel!"&amp;P60&amp;"3")
&amp;"　"&amp;INDIRECT("数出表_Excel!"&amp;P60&amp;"4")
&amp;INDIRECT("数出表_Excel!"&amp;P60&amp;"5")),
INDIRECT("数出表_Excel!"&amp;P60&amp;"3")),"")</f>
        <v>キャラ弁当　飯あり120</v>
      </c>
      <c r="K60" t="str">
        <f t="array" aca="1" ref="K60" ca="1">IFERROR(IF(OR(COUNTIF(INDIRECT("数出表_Excel!"&amp;Q60&amp;"3"),"*キャラ*"),
COUNTIF(INDIRECT("数出表_Excel!"&amp;Q60&amp;"3"),"*赤*")),
INDIRECT("数出表_Excel!"&amp;Q60&amp;"3")
&amp;"　"&amp;INDIRECT("数出表_Excel!"&amp;Q60&amp;"4")
&amp;INDIRECT("数出表_Excel!"&amp;Q60&amp;"5"),
INDIRECT("数出表_Excel!"&amp;Q60&amp;"3")),"")</f>
        <v/>
      </c>
      <c r="L60" t="str">
        <f t="array" aca="1" ref="L60" ca="1">IFERROR(IF(OR(COUNTIF(INDIRECT("数出表_Excel!"&amp;R60&amp;"3"),"*キャラ*"),
COUNTIF(INDIRECT("数出表_Excel!"&amp;R60&amp;"3"),"*赤*")),
INDIRECT("数出表_Excel!"&amp;R60&amp;"3")
&amp;"　"&amp;INDIRECT("数出表_Excel!"&amp;R60&amp;"4")
&amp;INDIRECT("数出表_Excel!"&amp;R60&amp;"5"),
INDIRECT("数出表_Excel!"&amp;R60&amp;"3")),"")</f>
        <v/>
      </c>
      <c r="M60" t="str">
        <f t="array" aca="1" ref="M60" ca="1">IFERROR(IF(OR(COUNTIF(INDIRECT("数出表_Excel!"&amp;S60&amp;"3"),"*キャラ*"),
COUNTIF(INDIRECT("数出表_Excel!"&amp;S60&amp;"3"),"*赤*")),
INDIRECT("数出表_Excel!"&amp;S60&amp;"3")
&amp;"　"&amp;INDIRECT("数出表_Excel!"&amp;S60&amp;"4")
&amp;INDIRECT("数出表_Excel!"&amp;S60&amp;"5"),
INDIRECT("数出表_Excel!"&amp;S60&amp;"3")),"")</f>
        <v>キャラ弁当　飯あり120</v>
      </c>
      <c r="N60" t="str">
        <f t="array" aca="1" ref="N60" ca="1">IFERROR(IF(OR(COUNTIF(INDIRECT("数出表_Excel!"&amp;T60&amp;"3"),"*キャラ*"),
COUNTIF(INDIRECT("数出表_Excel!"&amp;T60&amp;"3"),"*赤*")),
INDIRECT("数出表_Excel!"&amp;T60&amp;"3")
&amp;"　"&amp;INDIRECT("数出表_Excel!"&amp;T60&amp;"4")
&amp;INDIRECT("数出表_Excel!"&amp;T60&amp;"5"),
INDIRECT("数出表_Excel!"&amp;T60&amp;"3")),"")</f>
        <v/>
      </c>
      <c r="O60" t="str">
        <f t="array" aca="1" ref="O60" ca="1">IFERROR(IF(OR(COUNTIF(INDIRECT("数出表_Excel!"&amp;U60&amp;"3"),"*キャラ*"),
COUNTIF(INDIRECT("数出表_Excel!"&amp;U60&amp;"3"),"*赤*")),
INDIRECT("数出表_Excel!"&amp;U60&amp;"3")
&amp;"　"&amp;INDIRECT("数出表_Excel!"&amp;U60&amp;"4")
&amp;INDIRECT("数出表_Excel!"&amp;U60&amp;"5"),
INDIRECT("数出表_Excel!"&amp;U60&amp;"3")),"")</f>
        <v/>
      </c>
      <c r="P60" t="str">
        <f t="shared" ca="1" si="8"/>
        <v>D</v>
      </c>
      <c r="Q60" t="str">
        <f t="shared" ca="1" si="9"/>
        <v/>
      </c>
      <c r="R60" t="str">
        <f t="shared" ca="1" si="10"/>
        <v/>
      </c>
      <c r="S60" t="str">
        <f t="shared" ca="1" si="11"/>
        <v>D</v>
      </c>
      <c r="T60" t="str">
        <f t="shared" ca="1" si="12"/>
        <v/>
      </c>
      <c r="U60" t="str">
        <f t="shared" ca="1" si="13"/>
        <v/>
      </c>
      <c r="V60" t="str">
        <f t="shared" ca="1" si="14"/>
        <v>D,</v>
      </c>
    </row>
    <row r="61" spans="1:22" x14ac:dyDescent="0.45">
      <c r="A61" t="s">
        <v>75</v>
      </c>
      <c r="B61">
        <v>134</v>
      </c>
      <c r="E61">
        <v>18</v>
      </c>
      <c r="I61">
        <f t="shared" si="15"/>
        <v>127</v>
      </c>
      <c r="J61" t="str">
        <f t="array" aca="1" ref="J61" ca="1">IFERROR(IF(OR(COUNTIF(INDIRECT("数出表_Excel!"&amp;P61&amp;"3"),"*キャラ*"),
COUNTIF(INDIRECT("数出表_Excel!"&amp;P61&amp;"3"),"*赤*")),
IF(COUNTIF(A61,"*雙葉*"),INDIRECT("数出表_Excel!"&amp;P61&amp;"3"),
INDIRECT("数出表_Excel!"&amp;P61&amp;"3")
&amp;"　"&amp;INDIRECT("数出表_Excel!"&amp;P61&amp;"4")
&amp;INDIRECT("数出表_Excel!"&amp;P61&amp;"5")),
INDIRECT("数出表_Excel!"&amp;P61&amp;"3")),"")</f>
        <v>赤　飯あり120</v>
      </c>
      <c r="K61" t="str">
        <f t="array" aca="1" ref="K61" ca="1">IFERROR(IF(OR(COUNTIF(INDIRECT("数出表_Excel!"&amp;Q61&amp;"3"),"*キャラ*"),
COUNTIF(INDIRECT("数出表_Excel!"&amp;Q61&amp;"3"),"*赤*")),
INDIRECT("数出表_Excel!"&amp;Q61&amp;"3")
&amp;"　"&amp;INDIRECT("数出表_Excel!"&amp;Q61&amp;"4")
&amp;INDIRECT("数出表_Excel!"&amp;Q61&amp;"5"),
INDIRECT("数出表_Excel!"&amp;Q61&amp;"3")),"")</f>
        <v/>
      </c>
      <c r="L61" t="str">
        <f t="array" aca="1" ref="L61" ca="1">IFERROR(IF(OR(COUNTIF(INDIRECT("数出表_Excel!"&amp;R61&amp;"3"),"*キャラ*"),
COUNTIF(INDIRECT("数出表_Excel!"&amp;R61&amp;"3"),"*赤*")),
INDIRECT("数出表_Excel!"&amp;R61&amp;"3")
&amp;"　"&amp;INDIRECT("数出表_Excel!"&amp;R61&amp;"4")
&amp;INDIRECT("数出表_Excel!"&amp;R61&amp;"5"),
INDIRECT("数出表_Excel!"&amp;R61&amp;"3")),"")</f>
        <v/>
      </c>
      <c r="M61" t="str">
        <f t="array" aca="1" ref="M61" ca="1">IFERROR(IF(OR(COUNTIF(INDIRECT("数出表_Excel!"&amp;S61&amp;"3"),"*キャラ*"),
COUNTIF(INDIRECT("数出表_Excel!"&amp;S61&amp;"3"),"*赤*")),
INDIRECT("数出表_Excel!"&amp;S61&amp;"3")
&amp;"　"&amp;INDIRECT("数出表_Excel!"&amp;S61&amp;"4")
&amp;INDIRECT("数出表_Excel!"&amp;S61&amp;"5"),
INDIRECT("数出表_Excel!"&amp;S61&amp;"3")),"")</f>
        <v>赤　飯あり120</v>
      </c>
      <c r="N61" t="str">
        <f t="array" aca="1" ref="N61" ca="1">IFERROR(IF(OR(COUNTIF(INDIRECT("数出表_Excel!"&amp;T61&amp;"3"),"*キャラ*"),
COUNTIF(INDIRECT("数出表_Excel!"&amp;T61&amp;"3"),"*赤*")),
INDIRECT("数出表_Excel!"&amp;T61&amp;"3")
&amp;"　"&amp;INDIRECT("数出表_Excel!"&amp;T61&amp;"4")
&amp;INDIRECT("数出表_Excel!"&amp;T61&amp;"5"),
INDIRECT("数出表_Excel!"&amp;T61&amp;"3")),"")</f>
        <v/>
      </c>
      <c r="O61" t="str">
        <f t="array" aca="1" ref="O61" ca="1">IFERROR(IF(OR(COUNTIF(INDIRECT("数出表_Excel!"&amp;U61&amp;"3"),"*キャラ*"),
COUNTIF(INDIRECT("数出表_Excel!"&amp;U61&amp;"3"),"*赤*")),
INDIRECT("数出表_Excel!"&amp;U61&amp;"3")
&amp;"　"&amp;INDIRECT("数出表_Excel!"&amp;U61&amp;"4")
&amp;INDIRECT("数出表_Excel!"&amp;U61&amp;"5"),
INDIRECT("数出表_Excel!"&amp;U61&amp;"3")),"")</f>
        <v/>
      </c>
      <c r="P61" t="str">
        <f t="shared" ca="1" si="8"/>
        <v>G</v>
      </c>
      <c r="Q61" t="str">
        <f t="shared" ca="1" si="9"/>
        <v/>
      </c>
      <c r="R61" t="str">
        <f t="shared" ca="1" si="10"/>
        <v/>
      </c>
      <c r="S61" t="str">
        <f t="shared" ca="1" si="11"/>
        <v>G</v>
      </c>
      <c r="T61" t="str">
        <f t="shared" ca="1" si="12"/>
        <v/>
      </c>
      <c r="U61" t="str">
        <f t="shared" ca="1" si="13"/>
        <v/>
      </c>
      <c r="V61" t="str">
        <f t="shared" ca="1" si="14"/>
        <v>G,</v>
      </c>
    </row>
    <row r="62" spans="1:22" x14ac:dyDescent="0.45">
      <c r="A62" t="s">
        <v>76</v>
      </c>
      <c r="B62">
        <v>22</v>
      </c>
      <c r="I62">
        <f t="shared" si="15"/>
        <v>129</v>
      </c>
      <c r="J62" t="str">
        <f t="array" aca="1" ref="J62" ca="1">IFERROR(IF(OR(COUNTIF(INDIRECT("数出表_Excel!"&amp;P62&amp;"3"),"*キャラ*"),
COUNTIF(INDIRECT("数出表_Excel!"&amp;P62&amp;"3"),"*赤*")),
IF(COUNTIF(A62,"*雙葉*"),INDIRECT("数出表_Excel!"&amp;P62&amp;"3"),
INDIRECT("数出表_Excel!"&amp;P62&amp;"3")
&amp;"　"&amp;INDIRECT("数出表_Excel!"&amp;P62&amp;"4")
&amp;INDIRECT("数出表_Excel!"&amp;P62&amp;"5")),
INDIRECT("数出表_Excel!"&amp;P62&amp;"3")),"")</f>
        <v>赤　飯あり120</v>
      </c>
      <c r="K62" t="str">
        <f t="array" aca="1" ref="K62" ca="1">IFERROR(IF(OR(COUNTIF(INDIRECT("数出表_Excel!"&amp;Q62&amp;"3"),"*キャラ*"),
COUNTIF(INDIRECT("数出表_Excel!"&amp;Q62&amp;"3"),"*赤*")),
INDIRECT("数出表_Excel!"&amp;Q62&amp;"3")
&amp;"　"&amp;INDIRECT("数出表_Excel!"&amp;Q62&amp;"4")
&amp;INDIRECT("数出表_Excel!"&amp;Q62&amp;"5"),
INDIRECT("数出表_Excel!"&amp;Q62&amp;"3")),"")</f>
        <v/>
      </c>
      <c r="L62" t="str">
        <f t="array" aca="1" ref="L62" ca="1">IFERROR(IF(OR(COUNTIF(INDIRECT("数出表_Excel!"&amp;R62&amp;"3"),"*キャラ*"),
COUNTIF(INDIRECT("数出表_Excel!"&amp;R62&amp;"3"),"*赤*")),
INDIRECT("数出表_Excel!"&amp;R62&amp;"3")
&amp;"　"&amp;INDIRECT("数出表_Excel!"&amp;R62&amp;"4")
&amp;INDIRECT("数出表_Excel!"&amp;R62&amp;"5"),
INDIRECT("数出表_Excel!"&amp;R62&amp;"3")),"")</f>
        <v/>
      </c>
      <c r="M62" t="str">
        <f t="array" aca="1" ref="M62" ca="1">IFERROR(IF(OR(COUNTIF(INDIRECT("数出表_Excel!"&amp;S62&amp;"3"),"*キャラ*"),
COUNTIF(INDIRECT("数出表_Excel!"&amp;S62&amp;"3"),"*赤*")),
INDIRECT("数出表_Excel!"&amp;S62&amp;"3")
&amp;"　"&amp;INDIRECT("数出表_Excel!"&amp;S62&amp;"4")
&amp;INDIRECT("数出表_Excel!"&amp;S62&amp;"5"),
INDIRECT("数出表_Excel!"&amp;S62&amp;"3")),"")</f>
        <v/>
      </c>
      <c r="N62" t="str">
        <f t="array" aca="1" ref="N62" ca="1">IFERROR(IF(OR(COUNTIF(INDIRECT("数出表_Excel!"&amp;T62&amp;"3"),"*キャラ*"),
COUNTIF(INDIRECT("数出表_Excel!"&amp;T62&amp;"3"),"*赤*")),
INDIRECT("数出表_Excel!"&amp;T62&amp;"3")
&amp;"　"&amp;INDIRECT("数出表_Excel!"&amp;T62&amp;"4")
&amp;INDIRECT("数出表_Excel!"&amp;T62&amp;"5"),
INDIRECT("数出表_Excel!"&amp;T62&amp;"3")),"")</f>
        <v/>
      </c>
      <c r="O62" t="str">
        <f t="array" aca="1" ref="O62" ca="1">IFERROR(IF(OR(COUNTIF(INDIRECT("数出表_Excel!"&amp;U62&amp;"3"),"*キャラ*"),
COUNTIF(INDIRECT("数出表_Excel!"&amp;U62&amp;"3"),"*赤*")),
INDIRECT("数出表_Excel!"&amp;U62&amp;"3")
&amp;"　"&amp;INDIRECT("数出表_Excel!"&amp;U62&amp;"4")
&amp;INDIRECT("数出表_Excel!"&amp;U62&amp;"5"),
INDIRECT("数出表_Excel!"&amp;U62&amp;"3")),"")</f>
        <v/>
      </c>
      <c r="P62" t="str">
        <f t="shared" ca="1" si="8"/>
        <v>G</v>
      </c>
      <c r="Q62" t="str">
        <f t="shared" ca="1" si="9"/>
        <v/>
      </c>
      <c r="R62" t="str">
        <f t="shared" ca="1" si="10"/>
        <v/>
      </c>
      <c r="S62" t="str">
        <f t="shared" ca="1" si="11"/>
        <v/>
      </c>
      <c r="T62" t="str">
        <f t="shared" ca="1" si="12"/>
        <v/>
      </c>
      <c r="U62" t="str">
        <f t="shared" ca="1" si="13"/>
        <v/>
      </c>
      <c r="V62" t="str">
        <f t="shared" ca="1" si="14"/>
        <v>G,</v>
      </c>
    </row>
    <row r="63" spans="1:22" x14ac:dyDescent="0.45">
      <c r="A63" t="s">
        <v>77</v>
      </c>
      <c r="B63">
        <v>126</v>
      </c>
      <c r="E63">
        <v>18</v>
      </c>
      <c r="I63">
        <f t="shared" si="15"/>
        <v>131</v>
      </c>
      <c r="J63" t="str">
        <f t="array" aca="1" ref="J63" ca="1">IFERROR(IF(OR(COUNTIF(INDIRECT("数出表_Excel!"&amp;P63&amp;"3"),"*キャラ*"),
COUNTIF(INDIRECT("数出表_Excel!"&amp;P63&amp;"3"),"*赤*")),
IF(COUNTIF(A63,"*雙葉*"),INDIRECT("数出表_Excel!"&amp;P63&amp;"3"),
INDIRECT("数出表_Excel!"&amp;P63&amp;"3")
&amp;"　"&amp;INDIRECT("数出表_Excel!"&amp;P63&amp;"4")
&amp;INDIRECT("数出表_Excel!"&amp;P63&amp;"5")),
INDIRECT("数出表_Excel!"&amp;P63&amp;"3")),"")</f>
        <v>配膳スマ</v>
      </c>
      <c r="K63" t="str">
        <f t="array" aca="1" ref="K63" ca="1">IFERROR(IF(OR(COUNTIF(INDIRECT("数出表_Excel!"&amp;Q63&amp;"3"),"*キャラ*"),
COUNTIF(INDIRECT("数出表_Excel!"&amp;Q63&amp;"3"),"*赤*")),
INDIRECT("数出表_Excel!"&amp;Q63&amp;"3")
&amp;"　"&amp;INDIRECT("数出表_Excel!"&amp;Q63&amp;"4")
&amp;INDIRECT("数出表_Excel!"&amp;Q63&amp;"5"),
INDIRECT("数出表_Excel!"&amp;Q63&amp;"3")),"")</f>
        <v/>
      </c>
      <c r="L63" t="str">
        <f t="array" aca="1" ref="L63" ca="1">IFERROR(IF(OR(COUNTIF(INDIRECT("数出表_Excel!"&amp;R63&amp;"3"),"*キャラ*"),
COUNTIF(INDIRECT("数出表_Excel!"&amp;R63&amp;"3"),"*赤*")),
INDIRECT("数出表_Excel!"&amp;R63&amp;"3")
&amp;"　"&amp;INDIRECT("数出表_Excel!"&amp;R63&amp;"4")
&amp;INDIRECT("数出表_Excel!"&amp;R63&amp;"5"),
INDIRECT("数出表_Excel!"&amp;R63&amp;"3")),"")</f>
        <v/>
      </c>
      <c r="M63" t="str">
        <f t="array" aca="1" ref="M63" ca="1">IFERROR(IF(OR(COUNTIF(INDIRECT("数出表_Excel!"&amp;S63&amp;"3"),"*キャラ*"),
COUNTIF(INDIRECT("数出表_Excel!"&amp;S63&amp;"3"),"*赤*")),
INDIRECT("数出表_Excel!"&amp;S63&amp;"3")
&amp;"　"&amp;INDIRECT("数出表_Excel!"&amp;S63&amp;"4")
&amp;INDIRECT("数出表_Excel!"&amp;S63&amp;"5"),
INDIRECT("数出表_Excel!"&amp;S63&amp;"3")),"")</f>
        <v>配膳スマ</v>
      </c>
      <c r="N63" t="str">
        <f t="array" aca="1" ref="N63" ca="1">IFERROR(IF(OR(COUNTIF(INDIRECT("数出表_Excel!"&amp;T63&amp;"3"),"*キャラ*"),
COUNTIF(INDIRECT("数出表_Excel!"&amp;T63&amp;"3"),"*赤*")),
INDIRECT("数出表_Excel!"&amp;T63&amp;"3")
&amp;"　"&amp;INDIRECT("数出表_Excel!"&amp;T63&amp;"4")
&amp;INDIRECT("数出表_Excel!"&amp;T63&amp;"5"),
INDIRECT("数出表_Excel!"&amp;T63&amp;"3")),"")</f>
        <v/>
      </c>
      <c r="O63" t="str">
        <f t="array" aca="1" ref="O63" ca="1">IFERROR(IF(OR(COUNTIF(INDIRECT("数出表_Excel!"&amp;U63&amp;"3"),"*キャラ*"),
COUNTIF(INDIRECT("数出表_Excel!"&amp;U63&amp;"3"),"*赤*")),
INDIRECT("数出表_Excel!"&amp;U63&amp;"3")
&amp;"　"&amp;INDIRECT("数出表_Excel!"&amp;U63&amp;"4")
&amp;INDIRECT("数出表_Excel!"&amp;U63&amp;"5"),
INDIRECT("数出表_Excel!"&amp;U63&amp;"3")),"")</f>
        <v/>
      </c>
      <c r="P63" t="str">
        <f t="shared" ca="1" si="8"/>
        <v>N</v>
      </c>
      <c r="Q63" t="str">
        <f t="shared" ca="1" si="9"/>
        <v/>
      </c>
      <c r="R63" t="str">
        <f t="shared" ca="1" si="10"/>
        <v/>
      </c>
      <c r="S63" t="str">
        <f t="shared" ca="1" si="11"/>
        <v>N</v>
      </c>
      <c r="T63" t="str">
        <f t="shared" ca="1" si="12"/>
        <v/>
      </c>
      <c r="U63" t="str">
        <f t="shared" ca="1" si="13"/>
        <v/>
      </c>
      <c r="V63" t="str">
        <f t="shared" ca="1" si="14"/>
        <v>N,</v>
      </c>
    </row>
    <row r="64" spans="1:22" x14ac:dyDescent="0.45">
      <c r="A64" t="s">
        <v>78</v>
      </c>
      <c r="B64">
        <v>153</v>
      </c>
      <c r="E64">
        <v>18</v>
      </c>
      <c r="I64">
        <f t="shared" si="15"/>
        <v>133</v>
      </c>
      <c r="J64" t="str">
        <f t="array" aca="1" ref="J64" ca="1">IFERROR(IF(OR(COUNTIF(INDIRECT("数出表_Excel!"&amp;P64&amp;"3"),"*キャラ*"),
COUNTIF(INDIRECT("数出表_Excel!"&amp;P64&amp;"3"),"*赤*")),
IF(COUNTIF(A64,"*雙葉*"),INDIRECT("数出表_Excel!"&amp;P64&amp;"3"),
INDIRECT("数出表_Excel!"&amp;P64&amp;"3")
&amp;"　"&amp;INDIRECT("数出表_Excel!"&amp;P64&amp;"4")
&amp;INDIRECT("数出表_Excel!"&amp;P64&amp;"5")),
INDIRECT("数出表_Excel!"&amp;P64&amp;"3")),"")</f>
        <v>配膳スマ</v>
      </c>
      <c r="K64" t="str">
        <f t="array" aca="1" ref="K64" ca="1">IFERROR(IF(OR(COUNTIF(INDIRECT("数出表_Excel!"&amp;Q64&amp;"3"),"*キャラ*"),
COUNTIF(INDIRECT("数出表_Excel!"&amp;Q64&amp;"3"),"*赤*")),
INDIRECT("数出表_Excel!"&amp;Q64&amp;"3")
&amp;"　"&amp;INDIRECT("数出表_Excel!"&amp;Q64&amp;"4")
&amp;INDIRECT("数出表_Excel!"&amp;Q64&amp;"5"),
INDIRECT("数出表_Excel!"&amp;Q64&amp;"3")),"")</f>
        <v/>
      </c>
      <c r="L64" t="str">
        <f t="array" aca="1" ref="L64" ca="1">IFERROR(IF(OR(COUNTIF(INDIRECT("数出表_Excel!"&amp;R64&amp;"3"),"*キャラ*"),
COUNTIF(INDIRECT("数出表_Excel!"&amp;R64&amp;"3"),"*赤*")),
INDIRECT("数出表_Excel!"&amp;R64&amp;"3")
&amp;"　"&amp;INDIRECT("数出表_Excel!"&amp;R64&amp;"4")
&amp;INDIRECT("数出表_Excel!"&amp;R64&amp;"5"),
INDIRECT("数出表_Excel!"&amp;R64&amp;"3")),"")</f>
        <v/>
      </c>
      <c r="M64" t="str">
        <f t="array" aca="1" ref="M64" ca="1">IFERROR(IF(OR(COUNTIF(INDIRECT("数出表_Excel!"&amp;S64&amp;"3"),"*キャラ*"),
COUNTIF(INDIRECT("数出表_Excel!"&amp;S64&amp;"3"),"*赤*")),
INDIRECT("数出表_Excel!"&amp;S64&amp;"3")
&amp;"　"&amp;INDIRECT("数出表_Excel!"&amp;S64&amp;"4")
&amp;INDIRECT("数出表_Excel!"&amp;S64&amp;"5"),
INDIRECT("数出表_Excel!"&amp;S64&amp;"3")),"")</f>
        <v>配膳スマ</v>
      </c>
      <c r="N64" t="str">
        <f t="array" aca="1" ref="N64" ca="1">IFERROR(IF(OR(COUNTIF(INDIRECT("数出表_Excel!"&amp;T64&amp;"3"),"*キャラ*"),
COUNTIF(INDIRECT("数出表_Excel!"&amp;T64&amp;"3"),"*赤*")),
INDIRECT("数出表_Excel!"&amp;T64&amp;"3")
&amp;"　"&amp;INDIRECT("数出表_Excel!"&amp;T64&amp;"4")
&amp;INDIRECT("数出表_Excel!"&amp;T64&amp;"5"),
INDIRECT("数出表_Excel!"&amp;T64&amp;"3")),"")</f>
        <v/>
      </c>
      <c r="O64" t="str">
        <f t="array" aca="1" ref="O64" ca="1">IFERROR(IF(OR(COUNTIF(INDIRECT("数出表_Excel!"&amp;U64&amp;"3"),"*キャラ*"),
COUNTIF(INDIRECT("数出表_Excel!"&amp;U64&amp;"3"),"*赤*")),
INDIRECT("数出表_Excel!"&amp;U64&amp;"3")
&amp;"　"&amp;INDIRECT("数出表_Excel!"&amp;U64&amp;"4")
&amp;INDIRECT("数出表_Excel!"&amp;U64&amp;"5"),
INDIRECT("数出表_Excel!"&amp;U64&amp;"3")),"")</f>
        <v/>
      </c>
      <c r="P64" t="str">
        <f t="shared" ca="1" si="8"/>
        <v>N</v>
      </c>
      <c r="Q64" t="str">
        <f t="shared" ca="1" si="9"/>
        <v/>
      </c>
      <c r="R64" t="str">
        <f t="shared" ca="1" si="10"/>
        <v/>
      </c>
      <c r="S64" t="str">
        <f t="shared" ca="1" si="11"/>
        <v>N</v>
      </c>
      <c r="T64" t="str">
        <f t="shared" ca="1" si="12"/>
        <v/>
      </c>
      <c r="U64" t="str">
        <f t="shared" ca="1" si="13"/>
        <v/>
      </c>
      <c r="V64" t="str">
        <f t="shared" ca="1" si="14"/>
        <v>N,</v>
      </c>
    </row>
    <row r="65" spans="1:22" x14ac:dyDescent="0.45">
      <c r="A65" t="s">
        <v>79</v>
      </c>
      <c r="B65">
        <v>127</v>
      </c>
      <c r="E65">
        <v>19</v>
      </c>
      <c r="I65">
        <f t="shared" si="15"/>
        <v>135</v>
      </c>
      <c r="J65" t="str">
        <f t="array" aca="1" ref="J65" ca="1">IFERROR(IF(OR(COUNTIF(INDIRECT("数出表_Excel!"&amp;P65&amp;"3"),"*キャラ*"),
COUNTIF(INDIRECT("数出表_Excel!"&amp;P65&amp;"3"),"*赤*")),
IF(COUNTIF(A65,"*雙葉*"),INDIRECT("数出表_Excel!"&amp;P65&amp;"3"),
INDIRECT("数出表_Excel!"&amp;P65&amp;"3")
&amp;"　"&amp;INDIRECT("数出表_Excel!"&amp;P65&amp;"4")
&amp;INDIRECT("数出表_Excel!"&amp;P65&amp;"5")),
INDIRECT("数出表_Excel!"&amp;P65&amp;"3")),"")</f>
        <v>赤　飯あり120</v>
      </c>
      <c r="K65" t="str">
        <f t="array" aca="1" ref="K65" ca="1">IFERROR(IF(OR(COUNTIF(INDIRECT("数出表_Excel!"&amp;Q65&amp;"3"),"*キャラ*"),
COUNTIF(INDIRECT("数出表_Excel!"&amp;Q65&amp;"3"),"*赤*")),
INDIRECT("数出表_Excel!"&amp;Q65&amp;"3")
&amp;"　"&amp;INDIRECT("数出表_Excel!"&amp;Q65&amp;"4")
&amp;INDIRECT("数出表_Excel!"&amp;Q65&amp;"5"),
INDIRECT("数出表_Excel!"&amp;Q65&amp;"3")),"")</f>
        <v/>
      </c>
      <c r="L65" t="str">
        <f t="array" aca="1" ref="L65" ca="1">IFERROR(IF(OR(COUNTIF(INDIRECT("数出表_Excel!"&amp;R65&amp;"3"),"*キャラ*"),
COUNTIF(INDIRECT("数出表_Excel!"&amp;R65&amp;"3"),"*赤*")),
INDIRECT("数出表_Excel!"&amp;R65&amp;"3")
&amp;"　"&amp;INDIRECT("数出表_Excel!"&amp;R65&amp;"4")
&amp;INDIRECT("数出表_Excel!"&amp;R65&amp;"5"),
INDIRECT("数出表_Excel!"&amp;R65&amp;"3")),"")</f>
        <v/>
      </c>
      <c r="M65" t="str">
        <f t="array" aca="1" ref="M65" ca="1">IFERROR(IF(OR(COUNTIF(INDIRECT("数出表_Excel!"&amp;S65&amp;"3"),"*キャラ*"),
COUNTIF(INDIRECT("数出表_Excel!"&amp;S65&amp;"3"),"*赤*")),
INDIRECT("数出表_Excel!"&amp;S65&amp;"3")
&amp;"　"&amp;INDIRECT("数出表_Excel!"&amp;S65&amp;"4")
&amp;INDIRECT("数出表_Excel!"&amp;S65&amp;"5"),
INDIRECT("数出表_Excel!"&amp;S65&amp;"3")),"")</f>
        <v>赤　飯あり120</v>
      </c>
      <c r="N65" t="str">
        <f t="array" aca="1" ref="N65" ca="1">IFERROR(IF(OR(COUNTIF(INDIRECT("数出表_Excel!"&amp;T65&amp;"3"),"*キャラ*"),
COUNTIF(INDIRECT("数出表_Excel!"&amp;T65&amp;"3"),"*赤*")),
INDIRECT("数出表_Excel!"&amp;T65&amp;"3")
&amp;"　"&amp;INDIRECT("数出表_Excel!"&amp;T65&amp;"4")
&amp;INDIRECT("数出表_Excel!"&amp;T65&amp;"5"),
INDIRECT("数出表_Excel!"&amp;T65&amp;"3")),"")</f>
        <v/>
      </c>
      <c r="O65" t="str">
        <f t="array" aca="1" ref="O65" ca="1">IFERROR(IF(OR(COUNTIF(INDIRECT("数出表_Excel!"&amp;U65&amp;"3"),"*キャラ*"),
COUNTIF(INDIRECT("数出表_Excel!"&amp;U65&amp;"3"),"*赤*")),
INDIRECT("数出表_Excel!"&amp;U65&amp;"3")
&amp;"　"&amp;INDIRECT("数出表_Excel!"&amp;U65&amp;"4")
&amp;INDIRECT("数出表_Excel!"&amp;U65&amp;"5"),
INDIRECT("数出表_Excel!"&amp;U65&amp;"3")),"")</f>
        <v/>
      </c>
      <c r="P65" t="str">
        <f t="shared" ref="P65:P70" ca="1" si="16">IFERROR(
SUBSTITUTE(ADDRESS(1,
IFERROR(COLUMN(INDEX(INDIRECT("数出表_Excel!B"&amp;$I65-1&amp;":T"&amp;$I65-1&amp;""),1,MATCH(TEXT(B65,0),INDIRECT("数出表_Excel!B"&amp;$I65-1&amp;":T"&amp;$I65-1&amp;""),0))),""),4),"1",""),
"")</f>
        <v>G</v>
      </c>
      <c r="Q65" t="str">
        <f t="shared" ref="Q65:Q70" ca="1" si="17">IFERROR(
SUBSTITUTE(ADDRESS(1,
IFERROR(COLUMN(INDEX(INDIRECT("数出表_Excel!B"&amp;$I65-1&amp;":T"&amp;$I65-1&amp;""),1,MATCH(TEXT(C65,0),INDIRECT("数出表_Excel!B"&amp;$I65-1&amp;":T"&amp;$I65-1&amp;""),0))),""),4),"1",""),
"")</f>
        <v/>
      </c>
      <c r="R65" t="str">
        <f t="shared" ref="R65:R70" ca="1" si="18">IFERROR(
SUBSTITUTE(ADDRESS(1,
IFERROR(COLUMN(INDEX(INDIRECT("数出表_Excel!B"&amp;$I65-1&amp;":T"&amp;$I65-1&amp;""),1,MATCH(TEXT(D65,0),INDIRECT("数出表_Excel!B"&amp;$I65-1&amp;":T"&amp;$I65-1&amp;""),0))),""),4),"1",""),
"")</f>
        <v/>
      </c>
      <c r="S65" t="str">
        <f t="shared" ref="S65:S70" ca="1" si="19">IFERROR(
SUBSTITUTE(ADDRESS(1,
IFERROR(COLUMN(INDEX(INDIRECT("数出表_Excel!B"&amp;$I65&amp;":T"&amp;$I65&amp;""),1,MATCH(TEXT(E65,0),INDIRECT("数出表_Excel!B"&amp;$I65&amp;":T"&amp;$I65&amp;""),0))),""),4),"1",""),
"")</f>
        <v>G</v>
      </c>
      <c r="T65" t="str">
        <f t="shared" ref="T65:T70" ca="1" si="20">IFERROR(
SUBSTITUTE(ADDRESS(1,
IFERROR(COLUMN(INDEX(INDIRECT("数出表_Excel!B"&amp;$I65&amp;":T"&amp;$I65&amp;""),1,MATCH(TEXT(F65,0),INDIRECT("数出表_Excel!B"&amp;$I65&amp;":T"&amp;$I65&amp;""),0))),""),4),"1",""),
"")</f>
        <v/>
      </c>
      <c r="U65" t="str">
        <f t="shared" ref="U65:U70" ca="1" si="21">IFERROR(
SUBSTITUTE(ADDRESS(1,
IFERROR(COLUMN(INDEX(INDIRECT("数出表_Excel!B"&amp;$I65&amp;":T"&amp;$I65&amp;""),1,MATCH(TEXT(G65,0),INDIRECT("数出表_Excel!B"&amp;$I65&amp;":T"&amp;$I65&amp;""),0))),""),4),"1",""),
"")</f>
        <v/>
      </c>
      <c r="V65" t="str">
        <f t="shared" ref="V65:V96" ca="1" si="22">TRIM(SUBSTITUTE(
IF(COUNTIF(P65:U65,"A")&gt;0,"A ","")&amp;
IF(COUNTIF(P65:U65,"B")&gt;0,"B ","")&amp;
IF(COUNTIF(P65:U65,"C")&gt;0,"C ","")&amp;
IF(COUNTIF(P65:U65,"D")&gt;0,"D ","")&amp;
IF(COUNTIF(P65:U65,"E")&gt;0,"E ","")&amp;
IF(COUNTIF(P65:U65,"F")&gt;0,"F ","")&amp;
IF(COUNTIF(P65:U65,"G")&gt;0,"G ","")&amp;
IF(COUNTIF(P65:U65,"H")&gt;0,"H ","")&amp;
IF(COUNTIF(P65:U65,"I")&gt;0,"I ","")&amp;
IF(COUNTIF(P65:U65,"J")&gt;0,"J ","")&amp;
IF(COUNTIF(P65:U65,"K")&gt;0,"K ","")&amp;
IF(COUNTIF(P65:U65,"L")&gt;0,"L ","")&amp;
IF(COUNTIF(P65:U65,"M")&gt;0,"M ","")&amp;
IF(COUNTIF(P65:U65,"N")&gt;0,"N ","")&amp;
IF(COUNTIF(P65:U65,"O")&gt;0,"O ","")&amp;
IF(COUNTIF(P65:U65,"P")&gt;0,"P ","")&amp;
IF(COUNTIF(P65:U65,"Q")&gt;0,"Q ","")&amp;
IF(COUNTIF(P65:U65,"R")&gt;0,"R ","")&amp;
IF(COUNTIF(P65:U65,"S")&gt;0,"S ","")&amp;
IF(COUNTIF(P65:U65,"T")&gt;0,"T ","")&amp;
IF(COUNTIF(P65:U65,"U")&gt;0,"U ","")&amp;
IF(COUNTIF(P65:U65,"V")&gt;0,"V ","")&amp;
IF(COUNTIF(P65:U65,"W")&gt;0,"W ","")&amp;
IF(COUNTIF(P65:U65,"X")&gt;0,"X ","")&amp;
IF(COUNTIF(P65:U65,"Y")&gt;0,"Y ","")&amp;
IF(COUNTIF(P65:U65,"Z")&gt;0,"Z ","")," ",","))</f>
        <v>G,</v>
      </c>
    </row>
    <row r="66" spans="1:22" x14ac:dyDescent="0.45">
      <c r="A66" t="s">
        <v>80</v>
      </c>
      <c r="B66">
        <v>174</v>
      </c>
      <c r="E66">
        <v>20</v>
      </c>
      <c r="I66">
        <f t="shared" si="15"/>
        <v>137</v>
      </c>
      <c r="J66" t="str">
        <f t="array" aca="1" ref="J66" ca="1">IFERROR(IF(OR(COUNTIF(INDIRECT("数出表_Excel!"&amp;P66&amp;"3"),"*キャラ*"),
COUNTIF(INDIRECT("数出表_Excel!"&amp;P66&amp;"3"),"*赤*")),
IF(COUNTIF(A66,"*雙葉*"),INDIRECT("数出表_Excel!"&amp;P66&amp;"3"),
INDIRECT("数出表_Excel!"&amp;P66&amp;"3")
&amp;"　"&amp;INDIRECT("数出表_Excel!"&amp;P66&amp;"4")
&amp;INDIRECT("数出表_Excel!"&amp;P66&amp;"5")),
INDIRECT("数出表_Excel!"&amp;P66&amp;"3")),"")</f>
        <v>配膳スマ</v>
      </c>
      <c r="K66" t="str">
        <f t="array" aca="1" ref="K66" ca="1">IFERROR(IF(OR(COUNTIF(INDIRECT("数出表_Excel!"&amp;Q66&amp;"3"),"*キャラ*"),
COUNTIF(INDIRECT("数出表_Excel!"&amp;Q66&amp;"3"),"*赤*")),
INDIRECT("数出表_Excel!"&amp;Q66&amp;"3")
&amp;"　"&amp;INDIRECT("数出表_Excel!"&amp;Q66&amp;"4")
&amp;INDIRECT("数出表_Excel!"&amp;Q66&amp;"5"),
INDIRECT("数出表_Excel!"&amp;Q66&amp;"3")),"")</f>
        <v/>
      </c>
      <c r="L66" t="str">
        <f t="array" aca="1" ref="L66" ca="1">IFERROR(IF(OR(COUNTIF(INDIRECT("数出表_Excel!"&amp;R66&amp;"3"),"*キャラ*"),
COUNTIF(INDIRECT("数出表_Excel!"&amp;R66&amp;"3"),"*赤*")),
INDIRECT("数出表_Excel!"&amp;R66&amp;"3")
&amp;"　"&amp;INDIRECT("数出表_Excel!"&amp;R66&amp;"4")
&amp;INDIRECT("数出表_Excel!"&amp;R66&amp;"5"),
INDIRECT("数出表_Excel!"&amp;R66&amp;"3")),"")</f>
        <v/>
      </c>
      <c r="M66" t="str">
        <f t="array" aca="1" ref="M66" ca="1">IFERROR(IF(OR(COUNTIF(INDIRECT("数出表_Excel!"&amp;S66&amp;"3"),"*キャラ*"),
COUNTIF(INDIRECT("数出表_Excel!"&amp;S66&amp;"3"),"*赤*")),
INDIRECT("数出表_Excel!"&amp;S66&amp;"3")
&amp;"　"&amp;INDIRECT("数出表_Excel!"&amp;S66&amp;"4")
&amp;INDIRECT("数出表_Excel!"&amp;S66&amp;"5"),
INDIRECT("数出表_Excel!"&amp;S66&amp;"3")),"")</f>
        <v>配膳スマ</v>
      </c>
      <c r="N66" t="str">
        <f t="array" aca="1" ref="N66" ca="1">IFERROR(IF(OR(COUNTIF(INDIRECT("数出表_Excel!"&amp;T66&amp;"3"),"*キャラ*"),
COUNTIF(INDIRECT("数出表_Excel!"&amp;T66&amp;"3"),"*赤*")),
INDIRECT("数出表_Excel!"&amp;T66&amp;"3")
&amp;"　"&amp;INDIRECT("数出表_Excel!"&amp;T66&amp;"4")
&amp;INDIRECT("数出表_Excel!"&amp;T66&amp;"5"),
INDIRECT("数出表_Excel!"&amp;T66&amp;"3")),"")</f>
        <v/>
      </c>
      <c r="O66" t="str">
        <f t="array" aca="1" ref="O66" ca="1">IFERROR(IF(OR(COUNTIF(INDIRECT("数出表_Excel!"&amp;U66&amp;"3"),"*キャラ*"),
COUNTIF(INDIRECT("数出表_Excel!"&amp;U66&amp;"3"),"*赤*")),
INDIRECT("数出表_Excel!"&amp;U66&amp;"3")
&amp;"　"&amp;INDIRECT("数出表_Excel!"&amp;U66&amp;"4")
&amp;INDIRECT("数出表_Excel!"&amp;U66&amp;"5"),
INDIRECT("数出表_Excel!"&amp;U66&amp;"3")),"")</f>
        <v/>
      </c>
      <c r="P66" t="str">
        <f t="shared" ca="1" si="16"/>
        <v>N</v>
      </c>
      <c r="Q66" t="str">
        <f t="shared" ca="1" si="17"/>
        <v/>
      </c>
      <c r="R66" t="str">
        <f t="shared" ca="1" si="18"/>
        <v/>
      </c>
      <c r="S66" t="str">
        <f t="shared" ca="1" si="19"/>
        <v>N</v>
      </c>
      <c r="T66" t="str">
        <f t="shared" ca="1" si="20"/>
        <v/>
      </c>
      <c r="U66" t="str">
        <f t="shared" ca="1" si="21"/>
        <v/>
      </c>
      <c r="V66" t="str">
        <f t="shared" ca="1" si="22"/>
        <v>N,</v>
      </c>
    </row>
    <row r="67" spans="1:22" x14ac:dyDescent="0.45">
      <c r="A67" t="s">
        <v>81</v>
      </c>
      <c r="B67">
        <v>22</v>
      </c>
      <c r="E67">
        <v>3</v>
      </c>
      <c r="I67">
        <f t="shared" si="15"/>
        <v>139</v>
      </c>
      <c r="J67" t="str">
        <f t="array" aca="1" ref="J67" ca="1">IFERROR(IF(OR(COUNTIF(INDIRECT("数出表_Excel!"&amp;P67&amp;"3"),"*キャラ*"),
COUNTIF(INDIRECT("数出表_Excel!"&amp;P67&amp;"3"),"*赤*")),
IF(COUNTIF(A67,"*雙葉*"),INDIRECT("数出表_Excel!"&amp;P67&amp;"3"),
INDIRECT("数出表_Excel!"&amp;P67&amp;"3")
&amp;"　"&amp;INDIRECT("数出表_Excel!"&amp;P67&amp;"4")
&amp;INDIRECT("数出表_Excel!"&amp;P67&amp;"5")),
INDIRECT("数出表_Excel!"&amp;P67&amp;"3")),"")</f>
        <v>配膳スマ</v>
      </c>
      <c r="K67" t="str">
        <f t="array" aca="1" ref="K67" ca="1">IFERROR(IF(OR(COUNTIF(INDIRECT("数出表_Excel!"&amp;Q67&amp;"3"),"*キャラ*"),
COUNTIF(INDIRECT("数出表_Excel!"&amp;Q67&amp;"3"),"*赤*")),
INDIRECT("数出表_Excel!"&amp;Q67&amp;"3")
&amp;"　"&amp;INDIRECT("数出表_Excel!"&amp;Q67&amp;"4")
&amp;INDIRECT("数出表_Excel!"&amp;Q67&amp;"5"),
INDIRECT("数出表_Excel!"&amp;Q67&amp;"3")),"")</f>
        <v/>
      </c>
      <c r="L67" t="str">
        <f t="array" aca="1" ref="L67" ca="1">IFERROR(IF(OR(COUNTIF(INDIRECT("数出表_Excel!"&amp;R67&amp;"3"),"*キャラ*"),
COUNTIF(INDIRECT("数出表_Excel!"&amp;R67&amp;"3"),"*赤*")),
INDIRECT("数出表_Excel!"&amp;R67&amp;"3")
&amp;"　"&amp;INDIRECT("数出表_Excel!"&amp;R67&amp;"4")
&amp;INDIRECT("数出表_Excel!"&amp;R67&amp;"5"),
INDIRECT("数出表_Excel!"&amp;R67&amp;"3")),"")</f>
        <v/>
      </c>
      <c r="M67" t="str">
        <f t="array" aca="1" ref="M67" ca="1">IFERROR(IF(OR(COUNTIF(INDIRECT("数出表_Excel!"&amp;S67&amp;"3"),"*キャラ*"),
COUNTIF(INDIRECT("数出表_Excel!"&amp;S67&amp;"3"),"*赤*")),
INDIRECT("数出表_Excel!"&amp;S67&amp;"3")
&amp;"　"&amp;INDIRECT("数出表_Excel!"&amp;S67&amp;"4")
&amp;INDIRECT("数出表_Excel!"&amp;S67&amp;"5"),
INDIRECT("数出表_Excel!"&amp;S67&amp;"3")),"")</f>
        <v>配膳スマ</v>
      </c>
      <c r="N67" t="str">
        <f t="array" aca="1" ref="N67" ca="1">IFERROR(IF(OR(COUNTIF(INDIRECT("数出表_Excel!"&amp;T67&amp;"3"),"*キャラ*"),
COUNTIF(INDIRECT("数出表_Excel!"&amp;T67&amp;"3"),"*赤*")),
INDIRECT("数出表_Excel!"&amp;T67&amp;"3")
&amp;"　"&amp;INDIRECT("数出表_Excel!"&amp;T67&amp;"4")
&amp;INDIRECT("数出表_Excel!"&amp;T67&amp;"5"),
INDIRECT("数出表_Excel!"&amp;T67&amp;"3")),"")</f>
        <v/>
      </c>
      <c r="O67" t="str">
        <f t="array" aca="1" ref="O67" ca="1">IFERROR(IF(OR(COUNTIF(INDIRECT("数出表_Excel!"&amp;U67&amp;"3"),"*キャラ*"),
COUNTIF(INDIRECT("数出表_Excel!"&amp;U67&amp;"3"),"*赤*")),
INDIRECT("数出表_Excel!"&amp;U67&amp;"3")
&amp;"　"&amp;INDIRECT("数出表_Excel!"&amp;U67&amp;"4")
&amp;INDIRECT("数出表_Excel!"&amp;U67&amp;"5"),
INDIRECT("数出表_Excel!"&amp;U67&amp;"3")),"")</f>
        <v/>
      </c>
      <c r="P67" t="str">
        <f t="shared" ca="1" si="16"/>
        <v>N</v>
      </c>
      <c r="Q67" t="str">
        <f t="shared" ca="1" si="17"/>
        <v/>
      </c>
      <c r="R67" t="str">
        <f t="shared" ca="1" si="18"/>
        <v/>
      </c>
      <c r="S67" t="str">
        <f t="shared" ca="1" si="19"/>
        <v>N</v>
      </c>
      <c r="T67" t="str">
        <f t="shared" ca="1" si="20"/>
        <v/>
      </c>
      <c r="U67" t="str">
        <f t="shared" ca="1" si="21"/>
        <v/>
      </c>
      <c r="V67" t="str">
        <f t="shared" ca="1" si="22"/>
        <v>N,</v>
      </c>
    </row>
    <row r="68" spans="1:22" x14ac:dyDescent="0.45">
      <c r="A68" t="s">
        <v>82</v>
      </c>
      <c r="B68">
        <v>12</v>
      </c>
      <c r="E68">
        <v>3</v>
      </c>
      <c r="I68">
        <f t="shared" si="15"/>
        <v>141</v>
      </c>
      <c r="J68" t="str">
        <f t="array" aca="1" ref="J68" ca="1">IFERROR(IF(OR(COUNTIF(INDIRECT("数出表_Excel!"&amp;P68&amp;"3"),"*キャラ*"),
COUNTIF(INDIRECT("数出表_Excel!"&amp;P68&amp;"3"),"*赤*")),
IF(COUNTIF(A68,"*雙葉*"),INDIRECT("数出表_Excel!"&amp;P68&amp;"3"),
INDIRECT("数出表_Excel!"&amp;P68&amp;"3")
&amp;"　"&amp;INDIRECT("数出表_Excel!"&amp;P68&amp;"4")
&amp;INDIRECT("数出表_Excel!"&amp;P68&amp;"5")),
INDIRECT("数出表_Excel!"&amp;P68&amp;"3")),"")</f>
        <v>配膳スマ</v>
      </c>
      <c r="K68" t="str">
        <f t="array" aca="1" ref="K68" ca="1">IFERROR(IF(OR(COUNTIF(INDIRECT("数出表_Excel!"&amp;Q68&amp;"3"),"*キャラ*"),
COUNTIF(INDIRECT("数出表_Excel!"&amp;Q68&amp;"3"),"*赤*")),
INDIRECT("数出表_Excel!"&amp;Q68&amp;"3")
&amp;"　"&amp;INDIRECT("数出表_Excel!"&amp;Q68&amp;"4")
&amp;INDIRECT("数出表_Excel!"&amp;Q68&amp;"5"),
INDIRECT("数出表_Excel!"&amp;Q68&amp;"3")),"")</f>
        <v/>
      </c>
      <c r="L68" t="str">
        <f t="array" aca="1" ref="L68" ca="1">IFERROR(IF(OR(COUNTIF(INDIRECT("数出表_Excel!"&amp;R68&amp;"3"),"*キャラ*"),
COUNTIF(INDIRECT("数出表_Excel!"&amp;R68&amp;"3"),"*赤*")),
INDIRECT("数出表_Excel!"&amp;R68&amp;"3")
&amp;"　"&amp;INDIRECT("数出表_Excel!"&amp;R68&amp;"4")
&amp;INDIRECT("数出表_Excel!"&amp;R68&amp;"5"),
INDIRECT("数出表_Excel!"&amp;R68&amp;"3")),"")</f>
        <v/>
      </c>
      <c r="M68" t="str">
        <f t="array" aca="1" ref="M68" ca="1">IFERROR(IF(OR(COUNTIF(INDIRECT("数出表_Excel!"&amp;S68&amp;"3"),"*キャラ*"),
COUNTIF(INDIRECT("数出表_Excel!"&amp;S68&amp;"3"),"*赤*")),
INDIRECT("数出表_Excel!"&amp;S68&amp;"3")
&amp;"　"&amp;INDIRECT("数出表_Excel!"&amp;S68&amp;"4")
&amp;INDIRECT("数出表_Excel!"&amp;S68&amp;"5"),
INDIRECT("数出表_Excel!"&amp;S68&amp;"3")),"")</f>
        <v>配膳スマ</v>
      </c>
      <c r="N68" t="str">
        <f t="array" aca="1" ref="N68" ca="1">IFERROR(IF(OR(COUNTIF(INDIRECT("数出表_Excel!"&amp;T68&amp;"3"),"*キャラ*"),
COUNTIF(INDIRECT("数出表_Excel!"&amp;T68&amp;"3"),"*赤*")),
INDIRECT("数出表_Excel!"&amp;T68&amp;"3")
&amp;"　"&amp;INDIRECT("数出表_Excel!"&amp;T68&amp;"4")
&amp;INDIRECT("数出表_Excel!"&amp;T68&amp;"5"),
INDIRECT("数出表_Excel!"&amp;T68&amp;"3")),"")</f>
        <v/>
      </c>
      <c r="O68" t="str">
        <f t="array" aca="1" ref="O68" ca="1">IFERROR(IF(OR(COUNTIF(INDIRECT("数出表_Excel!"&amp;U68&amp;"3"),"*キャラ*"),
COUNTIF(INDIRECT("数出表_Excel!"&amp;U68&amp;"3"),"*赤*")),
INDIRECT("数出表_Excel!"&amp;U68&amp;"3")
&amp;"　"&amp;INDIRECT("数出表_Excel!"&amp;U68&amp;"4")
&amp;INDIRECT("数出表_Excel!"&amp;U68&amp;"5"),
INDIRECT("数出表_Excel!"&amp;U68&amp;"3")),"")</f>
        <v/>
      </c>
      <c r="P68" t="str">
        <f t="shared" ca="1" si="16"/>
        <v>N</v>
      </c>
      <c r="Q68" t="str">
        <f t="shared" ca="1" si="17"/>
        <v/>
      </c>
      <c r="R68" t="str">
        <f t="shared" ca="1" si="18"/>
        <v/>
      </c>
      <c r="S68" t="str">
        <f t="shared" ca="1" si="19"/>
        <v>N</v>
      </c>
      <c r="T68" t="str">
        <f t="shared" ca="1" si="20"/>
        <v/>
      </c>
      <c r="U68" t="str">
        <f t="shared" ca="1" si="21"/>
        <v/>
      </c>
      <c r="V68" t="str">
        <f t="shared" ca="1" si="22"/>
        <v>N,</v>
      </c>
    </row>
    <row r="69" spans="1:22" x14ac:dyDescent="0.45">
      <c r="A69" t="s">
        <v>83</v>
      </c>
      <c r="B69">
        <v>47</v>
      </c>
      <c r="E69">
        <v>3</v>
      </c>
      <c r="I69">
        <f t="shared" si="15"/>
        <v>143</v>
      </c>
      <c r="J69" t="str">
        <f t="array" aca="1" ref="J69" ca="1">IFERROR(IF(OR(COUNTIF(INDIRECT("数出表_Excel!"&amp;P69&amp;"3"),"*キャラ*"),
COUNTIF(INDIRECT("数出表_Excel!"&amp;P69&amp;"3"),"*赤*")),
IF(COUNTIF(A69,"*雙葉*"),INDIRECT("数出表_Excel!"&amp;P69&amp;"3"),
INDIRECT("数出表_Excel!"&amp;P69&amp;"3")
&amp;"　"&amp;INDIRECT("数出表_Excel!"&amp;P69&amp;"4")
&amp;INDIRECT("数出表_Excel!"&amp;P69&amp;"5")),
INDIRECT("数出表_Excel!"&amp;P69&amp;"3")),"")</f>
        <v>配膳スマ</v>
      </c>
      <c r="K69" t="str">
        <f t="array" aca="1" ref="K69" ca="1">IFERROR(IF(OR(COUNTIF(INDIRECT("数出表_Excel!"&amp;Q69&amp;"3"),"*キャラ*"),
COUNTIF(INDIRECT("数出表_Excel!"&amp;Q69&amp;"3"),"*赤*")),
INDIRECT("数出表_Excel!"&amp;Q69&amp;"3")
&amp;"　"&amp;INDIRECT("数出表_Excel!"&amp;Q69&amp;"4")
&amp;INDIRECT("数出表_Excel!"&amp;Q69&amp;"5"),
INDIRECT("数出表_Excel!"&amp;Q69&amp;"3")),"")</f>
        <v/>
      </c>
      <c r="L69" t="str">
        <f t="array" aca="1" ref="L69" ca="1">IFERROR(IF(OR(COUNTIF(INDIRECT("数出表_Excel!"&amp;R69&amp;"3"),"*キャラ*"),
COUNTIF(INDIRECT("数出表_Excel!"&amp;R69&amp;"3"),"*赤*")),
INDIRECT("数出表_Excel!"&amp;R69&amp;"3")
&amp;"　"&amp;INDIRECT("数出表_Excel!"&amp;R69&amp;"4")
&amp;INDIRECT("数出表_Excel!"&amp;R69&amp;"5"),
INDIRECT("数出表_Excel!"&amp;R69&amp;"3")),"")</f>
        <v/>
      </c>
      <c r="M69" t="str">
        <f t="array" aca="1" ref="M69" ca="1">IFERROR(IF(OR(COUNTIF(INDIRECT("数出表_Excel!"&amp;S69&amp;"3"),"*キャラ*"),
COUNTIF(INDIRECT("数出表_Excel!"&amp;S69&amp;"3"),"*赤*")),
INDIRECT("数出表_Excel!"&amp;S69&amp;"3")
&amp;"　"&amp;INDIRECT("数出表_Excel!"&amp;S69&amp;"4")
&amp;INDIRECT("数出表_Excel!"&amp;S69&amp;"5"),
INDIRECT("数出表_Excel!"&amp;S69&amp;"3")),"")</f>
        <v>配膳スマ</v>
      </c>
      <c r="N69" t="str">
        <f t="array" aca="1" ref="N69" ca="1">IFERROR(IF(OR(COUNTIF(INDIRECT("数出表_Excel!"&amp;T69&amp;"3"),"*キャラ*"),
COUNTIF(INDIRECT("数出表_Excel!"&amp;T69&amp;"3"),"*赤*")),
INDIRECT("数出表_Excel!"&amp;T69&amp;"3")
&amp;"　"&amp;INDIRECT("数出表_Excel!"&amp;T69&amp;"4")
&amp;INDIRECT("数出表_Excel!"&amp;T69&amp;"5"),
INDIRECT("数出表_Excel!"&amp;T69&amp;"3")),"")</f>
        <v/>
      </c>
      <c r="O69" t="str">
        <f t="array" aca="1" ref="O69" ca="1">IFERROR(IF(OR(COUNTIF(INDIRECT("数出表_Excel!"&amp;U69&amp;"3"),"*キャラ*"),
COUNTIF(INDIRECT("数出表_Excel!"&amp;U69&amp;"3"),"*赤*")),
INDIRECT("数出表_Excel!"&amp;U69&amp;"3")
&amp;"　"&amp;INDIRECT("数出表_Excel!"&amp;U69&amp;"4")
&amp;INDIRECT("数出表_Excel!"&amp;U69&amp;"5"),
INDIRECT("数出表_Excel!"&amp;U69&amp;"3")),"")</f>
        <v/>
      </c>
      <c r="P69" t="str">
        <f t="shared" ca="1" si="16"/>
        <v>N</v>
      </c>
      <c r="Q69" t="str">
        <f t="shared" ca="1" si="17"/>
        <v/>
      </c>
      <c r="R69" t="str">
        <f t="shared" ca="1" si="18"/>
        <v/>
      </c>
      <c r="S69" t="str">
        <f t="shared" ca="1" si="19"/>
        <v>N</v>
      </c>
      <c r="T69" t="str">
        <f t="shared" ca="1" si="20"/>
        <v/>
      </c>
      <c r="U69" t="str">
        <f t="shared" ca="1" si="21"/>
        <v/>
      </c>
      <c r="V69" t="str">
        <f t="shared" ca="1" si="22"/>
        <v>N,</v>
      </c>
    </row>
    <row r="70" spans="1:22" s="3" customFormat="1" x14ac:dyDescent="0.45">
      <c r="A70" t="s">
        <v>84</v>
      </c>
      <c r="B70"/>
      <c r="C70"/>
      <c r="D70"/>
      <c r="E70">
        <v>39</v>
      </c>
      <c r="F70">
        <v>54</v>
      </c>
      <c r="H70" s="2"/>
      <c r="I70" s="3">
        <f t="shared" si="15"/>
        <v>145</v>
      </c>
      <c r="J70" s="3" t="str">
        <f t="array" aca="1" ref="J70" ca="1">IFERROR(IF(OR(COUNTIF(INDIRECT("数出表_Excel!"&amp;P70&amp;"3"),"*キャラ*"),
COUNTIF(INDIRECT("数出表_Excel!"&amp;P70&amp;"3"),"*赤*")),
IF(COUNTIF(A70,"*雙葉*"),INDIRECT("数出表_Excel!"&amp;P70&amp;"3"),
INDIRECT("数出表_Excel!"&amp;P70&amp;"3")
&amp;"　"&amp;INDIRECT("数出表_Excel!"&amp;P70&amp;"4")
&amp;INDIRECT("数出表_Excel!"&amp;P70&amp;"5")),
INDIRECT("数出表_Excel!"&amp;P70&amp;"3")),"")</f>
        <v/>
      </c>
      <c r="K70" s="3" t="str">
        <f t="array" aca="1" ref="K70" ca="1">IFERROR(IF(OR(COUNTIF(INDIRECT("数出表_Excel!"&amp;Q70&amp;"3"),"*キャラ*"),
COUNTIF(INDIRECT("数出表_Excel!"&amp;Q70&amp;"3"),"*赤*")),
INDIRECT("数出表_Excel!"&amp;Q70&amp;"3")
&amp;"　"&amp;INDIRECT("数出表_Excel!"&amp;Q70&amp;"4")
&amp;INDIRECT("数出表_Excel!"&amp;Q70&amp;"5"),
INDIRECT("数出表_Excel!"&amp;Q70&amp;"3")),"")</f>
        <v/>
      </c>
      <c r="L70" s="3" t="str">
        <f t="array" aca="1" ref="L70" ca="1">IFERROR(IF(OR(COUNTIF(INDIRECT("数出表_Excel!"&amp;R70&amp;"3"),"*キャラ*"),
COUNTIF(INDIRECT("数出表_Excel!"&amp;R70&amp;"3"),"*赤*")),
INDIRECT("数出表_Excel!"&amp;R70&amp;"3")
&amp;"　"&amp;INDIRECT("数出表_Excel!"&amp;R70&amp;"4")
&amp;INDIRECT("数出表_Excel!"&amp;R70&amp;"5"),
INDIRECT("数出表_Excel!"&amp;R70&amp;"3")),"")</f>
        <v/>
      </c>
      <c r="M70" s="3" t="str">
        <f t="array" aca="1" ref="M70" ca="1">IFERROR(IF(OR(COUNTIF(INDIRECT("数出表_Excel!"&amp;S70&amp;"3"),"*キャラ*"),
COUNTIF(INDIRECT("数出表_Excel!"&amp;S70&amp;"3"),"*赤*")),
INDIRECT("数出表_Excel!"&amp;S70&amp;"3")
&amp;"　"&amp;INDIRECT("数出表_Excel!"&amp;S70&amp;"4")
&amp;INDIRECT("数出表_Excel!"&amp;S70&amp;"5"),
INDIRECT("数出表_Excel!"&amp;S70&amp;"3")),"")</f>
        <v/>
      </c>
      <c r="N70" s="3" t="str">
        <f t="array" aca="1" ref="N70" ca="1">IFERROR(IF(OR(COUNTIF(INDIRECT("数出表_Excel!"&amp;T70&amp;"3"),"*キャラ*"),
COUNTIF(INDIRECT("数出表_Excel!"&amp;T70&amp;"3"),"*赤*")),
INDIRECT("数出表_Excel!"&amp;T70&amp;"3")
&amp;"　"&amp;INDIRECT("数出表_Excel!"&amp;T70&amp;"4")
&amp;INDIRECT("数出表_Excel!"&amp;T70&amp;"5"),
INDIRECT("数出表_Excel!"&amp;T70&amp;"3")),"")</f>
        <v/>
      </c>
      <c r="O70" s="3" t="str">
        <f t="array" aca="1" ref="O70" ca="1">IFERROR(IF(OR(COUNTIF(INDIRECT("数出表_Excel!"&amp;U70&amp;"3"),"*キャラ*"),
COUNTIF(INDIRECT("数出表_Excel!"&amp;U70&amp;"3"),"*赤*")),
INDIRECT("数出表_Excel!"&amp;U70&amp;"3")
&amp;"　"&amp;INDIRECT("数出表_Excel!"&amp;U70&amp;"4")
&amp;INDIRECT("数出表_Excel!"&amp;U70&amp;"5"),
INDIRECT("数出表_Excel!"&amp;U70&amp;"3")),"")</f>
        <v/>
      </c>
      <c r="P70" s="3" t="str">
        <f t="shared" ca="1" si="16"/>
        <v/>
      </c>
      <c r="Q70" s="3" t="str">
        <f t="shared" ca="1" si="17"/>
        <v/>
      </c>
      <c r="R70" s="3" t="str">
        <f t="shared" ca="1" si="18"/>
        <v/>
      </c>
      <c r="S70" s="3" t="str">
        <f t="shared" ca="1" si="19"/>
        <v/>
      </c>
      <c r="T70" s="3" t="str">
        <f t="shared" ca="1" si="20"/>
        <v/>
      </c>
      <c r="U70" s="3" t="str">
        <f t="shared" ca="1" si="21"/>
        <v/>
      </c>
      <c r="V70" s="3" t="str">
        <f t="shared" ca="1" si="22"/>
        <v/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46"/>
  <sheetViews>
    <sheetView topLeftCell="A35" zoomScale="46" zoomScaleNormal="46" workbookViewId="0">
      <selection activeCell="J83" sqref="J83"/>
    </sheetView>
  </sheetViews>
  <sheetFormatPr defaultRowHeight="18" x14ac:dyDescent="0.45"/>
  <sheetData>
    <row r="1" spans="1:22" x14ac:dyDescent="0.45">
      <c r="I1" t="s">
        <v>85</v>
      </c>
      <c r="K1" t="s">
        <v>86</v>
      </c>
      <c r="N1" t="s">
        <v>85</v>
      </c>
    </row>
    <row r="2" spans="1:22" x14ac:dyDescent="0.45">
      <c r="A2" t="s">
        <v>87</v>
      </c>
      <c r="B2" t="s">
        <v>88</v>
      </c>
      <c r="Q2" t="s">
        <v>89</v>
      </c>
      <c r="S2" t="s">
        <v>90</v>
      </c>
      <c r="U2" t="s">
        <v>91</v>
      </c>
      <c r="V2" t="s">
        <v>92</v>
      </c>
    </row>
    <row r="3" spans="1:22" x14ac:dyDescent="0.45">
      <c r="C3" t="s">
        <v>3</v>
      </c>
      <c r="E3" t="s">
        <v>7</v>
      </c>
      <c r="I3" t="s">
        <v>0</v>
      </c>
      <c r="M3" t="s">
        <v>93</v>
      </c>
      <c r="O3" t="s">
        <v>14</v>
      </c>
      <c r="T3" t="s">
        <v>94</v>
      </c>
    </row>
    <row r="4" spans="1:22" x14ac:dyDescent="0.45">
      <c r="A4" t="s">
        <v>95</v>
      </c>
      <c r="B4" t="s">
        <v>96</v>
      </c>
      <c r="C4" t="s">
        <v>96</v>
      </c>
      <c r="D4" t="s">
        <v>96</v>
      </c>
      <c r="E4" t="s">
        <v>97</v>
      </c>
      <c r="F4" t="s">
        <v>98</v>
      </c>
      <c r="G4" t="s">
        <v>96</v>
      </c>
      <c r="H4" t="s">
        <v>96</v>
      </c>
      <c r="I4" t="s">
        <v>97</v>
      </c>
      <c r="J4" t="s">
        <v>97</v>
      </c>
      <c r="K4" t="s">
        <v>98</v>
      </c>
    </row>
    <row r="5" spans="1:22" x14ac:dyDescent="0.45">
      <c r="B5" t="s">
        <v>99</v>
      </c>
      <c r="C5" t="s">
        <v>100</v>
      </c>
      <c r="D5" t="s">
        <v>101</v>
      </c>
      <c r="E5" t="s">
        <v>102</v>
      </c>
      <c r="G5" t="s">
        <v>101</v>
      </c>
      <c r="H5" t="s">
        <v>99</v>
      </c>
      <c r="I5" t="s">
        <v>102</v>
      </c>
      <c r="J5" t="s">
        <v>103</v>
      </c>
    </row>
    <row r="6" spans="1:22" x14ac:dyDescent="0.45">
      <c r="A6" t="s">
        <v>104</v>
      </c>
      <c r="B6" t="s">
        <v>105</v>
      </c>
      <c r="C6" t="s">
        <v>106</v>
      </c>
      <c r="U6" t="s">
        <v>107</v>
      </c>
    </row>
    <row r="7" spans="1:22" x14ac:dyDescent="0.45">
      <c r="A7" t="s">
        <v>15</v>
      </c>
    </row>
    <row r="8" spans="1:22" x14ac:dyDescent="0.45">
      <c r="A8" t="s">
        <v>108</v>
      </c>
      <c r="C8" t="s">
        <v>109</v>
      </c>
      <c r="U8" t="s">
        <v>110</v>
      </c>
    </row>
    <row r="9" spans="1:22" x14ac:dyDescent="0.45">
      <c r="A9" t="s">
        <v>16</v>
      </c>
    </row>
    <row r="10" spans="1:22" x14ac:dyDescent="0.45">
      <c r="A10" t="s">
        <v>111</v>
      </c>
      <c r="G10" t="s">
        <v>112</v>
      </c>
    </row>
    <row r="11" spans="1:22" x14ac:dyDescent="0.45">
      <c r="A11" t="s">
        <v>17</v>
      </c>
    </row>
    <row r="12" spans="1:22" x14ac:dyDescent="0.45">
      <c r="A12" t="s">
        <v>113</v>
      </c>
      <c r="G12" t="s">
        <v>114</v>
      </c>
    </row>
    <row r="13" spans="1:22" x14ac:dyDescent="0.45">
      <c r="A13" t="s">
        <v>18</v>
      </c>
    </row>
    <row r="14" spans="1:22" x14ac:dyDescent="0.45">
      <c r="A14" t="s">
        <v>115</v>
      </c>
      <c r="F14" t="s">
        <v>116</v>
      </c>
      <c r="M14" t="s">
        <v>92</v>
      </c>
      <c r="U14" t="s">
        <v>117</v>
      </c>
    </row>
    <row r="15" spans="1:22" x14ac:dyDescent="0.45">
      <c r="A15" t="s">
        <v>19</v>
      </c>
      <c r="F15" t="s">
        <v>118</v>
      </c>
      <c r="M15" t="s">
        <v>119</v>
      </c>
    </row>
    <row r="16" spans="1:22" x14ac:dyDescent="0.45">
      <c r="A16" t="s">
        <v>120</v>
      </c>
      <c r="F16" t="s">
        <v>121</v>
      </c>
      <c r="M16" t="s">
        <v>122</v>
      </c>
      <c r="U16" t="s">
        <v>117</v>
      </c>
    </row>
    <row r="17" spans="1:21" x14ac:dyDescent="0.45">
      <c r="A17" t="s">
        <v>20</v>
      </c>
    </row>
    <row r="18" spans="1:21" x14ac:dyDescent="0.45">
      <c r="A18" t="s">
        <v>123</v>
      </c>
    </row>
    <row r="19" spans="1:21" x14ac:dyDescent="0.45">
      <c r="A19" t="s">
        <v>21</v>
      </c>
      <c r="D19" t="s">
        <v>112</v>
      </c>
    </row>
    <row r="20" spans="1:21" x14ac:dyDescent="0.45">
      <c r="A20" t="s">
        <v>124</v>
      </c>
      <c r="F20" t="s">
        <v>125</v>
      </c>
      <c r="U20" t="s">
        <v>126</v>
      </c>
    </row>
    <row r="21" spans="1:21" x14ac:dyDescent="0.45">
      <c r="A21" t="s">
        <v>22</v>
      </c>
      <c r="F21" t="s">
        <v>9</v>
      </c>
    </row>
    <row r="22" spans="1:21" x14ac:dyDescent="0.45">
      <c r="A22" t="s">
        <v>127</v>
      </c>
      <c r="F22" t="s">
        <v>128</v>
      </c>
    </row>
    <row r="23" spans="1:21" x14ac:dyDescent="0.45">
      <c r="A23" t="s">
        <v>23</v>
      </c>
    </row>
    <row r="24" spans="1:21" x14ac:dyDescent="0.45">
      <c r="A24" t="s">
        <v>129</v>
      </c>
    </row>
    <row r="25" spans="1:21" x14ac:dyDescent="0.45">
      <c r="A25" t="s">
        <v>24</v>
      </c>
      <c r="D25" t="s">
        <v>130</v>
      </c>
    </row>
    <row r="26" spans="1:21" x14ac:dyDescent="0.45">
      <c r="A26" t="s">
        <v>131</v>
      </c>
      <c r="F26" t="s">
        <v>5</v>
      </c>
    </row>
    <row r="27" spans="1:21" x14ac:dyDescent="0.45">
      <c r="A27" t="s">
        <v>25</v>
      </c>
      <c r="F27" t="s">
        <v>132</v>
      </c>
    </row>
    <row r="28" spans="1:21" x14ac:dyDescent="0.45">
      <c r="A28" t="s">
        <v>133</v>
      </c>
      <c r="F28" t="s">
        <v>134</v>
      </c>
    </row>
    <row r="29" spans="1:21" x14ac:dyDescent="0.45">
      <c r="A29" t="s">
        <v>26</v>
      </c>
    </row>
    <row r="30" spans="1:21" x14ac:dyDescent="0.45">
      <c r="A30" t="s">
        <v>135</v>
      </c>
    </row>
    <row r="31" spans="1:21" x14ac:dyDescent="0.45">
      <c r="A31" t="s">
        <v>27</v>
      </c>
      <c r="D31" t="s">
        <v>136</v>
      </c>
    </row>
    <row r="32" spans="1:21" x14ac:dyDescent="0.45">
      <c r="A32" t="s">
        <v>137</v>
      </c>
      <c r="L32" t="s">
        <v>138</v>
      </c>
      <c r="U32" t="s">
        <v>139</v>
      </c>
    </row>
    <row r="33" spans="1:21" x14ac:dyDescent="0.45">
      <c r="A33" t="s">
        <v>28</v>
      </c>
    </row>
    <row r="34" spans="1:21" x14ac:dyDescent="0.45">
      <c r="A34" t="s">
        <v>140</v>
      </c>
      <c r="L34" t="s">
        <v>92</v>
      </c>
    </row>
    <row r="35" spans="1:21" x14ac:dyDescent="0.45">
      <c r="A35" t="s">
        <v>29</v>
      </c>
    </row>
    <row r="36" spans="1:21" x14ac:dyDescent="0.45">
      <c r="A36" t="s">
        <v>141</v>
      </c>
      <c r="L36" t="s">
        <v>130</v>
      </c>
    </row>
    <row r="37" spans="1:21" x14ac:dyDescent="0.45">
      <c r="A37" t="s">
        <v>30</v>
      </c>
    </row>
    <row r="38" spans="1:21" x14ac:dyDescent="0.45">
      <c r="A38" t="s">
        <v>142</v>
      </c>
      <c r="G38" t="s">
        <v>143</v>
      </c>
    </row>
    <row r="39" spans="1:21" x14ac:dyDescent="0.45">
      <c r="A39" t="s">
        <v>31</v>
      </c>
    </row>
    <row r="40" spans="1:21" x14ac:dyDescent="0.45">
      <c r="A40" t="s">
        <v>144</v>
      </c>
      <c r="O40" t="s">
        <v>145</v>
      </c>
      <c r="U40" t="s">
        <v>146</v>
      </c>
    </row>
    <row r="41" spans="1:21" x14ac:dyDescent="0.45">
      <c r="A41" t="s">
        <v>32</v>
      </c>
      <c r="O41" t="s">
        <v>147</v>
      </c>
    </row>
    <row r="42" spans="1:21" x14ac:dyDescent="0.45">
      <c r="A42" t="s">
        <v>148</v>
      </c>
      <c r="O42" t="s">
        <v>149</v>
      </c>
      <c r="U42" t="s">
        <v>146</v>
      </c>
    </row>
    <row r="43" spans="1:21" x14ac:dyDescent="0.45">
      <c r="A43" t="s">
        <v>33</v>
      </c>
    </row>
    <row r="44" spans="1:21" x14ac:dyDescent="0.45">
      <c r="A44" t="s">
        <v>150</v>
      </c>
    </row>
    <row r="45" spans="1:21" x14ac:dyDescent="0.45">
      <c r="A45" t="s">
        <v>34</v>
      </c>
      <c r="D45" t="s">
        <v>136</v>
      </c>
    </row>
    <row r="46" spans="1:21" x14ac:dyDescent="0.45">
      <c r="A46" t="s">
        <v>151</v>
      </c>
      <c r="M46" t="s">
        <v>152</v>
      </c>
      <c r="U46" t="s">
        <v>153</v>
      </c>
    </row>
    <row r="47" spans="1:21" x14ac:dyDescent="0.45">
      <c r="A47" t="s">
        <v>35</v>
      </c>
      <c r="M47" t="s">
        <v>154</v>
      </c>
    </row>
    <row r="48" spans="1:21" x14ac:dyDescent="0.45">
      <c r="A48" t="s">
        <v>155</v>
      </c>
      <c r="M48" t="s">
        <v>156</v>
      </c>
      <c r="U48" t="s">
        <v>153</v>
      </c>
    </row>
    <row r="49" spans="1:21" x14ac:dyDescent="0.45">
      <c r="A49" t="s">
        <v>36</v>
      </c>
    </row>
    <row r="50" spans="1:21" x14ac:dyDescent="0.45">
      <c r="A50" t="s">
        <v>157</v>
      </c>
    </row>
    <row r="51" spans="1:21" x14ac:dyDescent="0.45">
      <c r="A51" t="s">
        <v>37</v>
      </c>
      <c r="D51" t="s">
        <v>92</v>
      </c>
    </row>
    <row r="52" spans="1:21" x14ac:dyDescent="0.45">
      <c r="A52" t="s">
        <v>158</v>
      </c>
      <c r="G52" t="s">
        <v>159</v>
      </c>
    </row>
    <row r="53" spans="1:21" x14ac:dyDescent="0.45">
      <c r="A53" t="s">
        <v>38</v>
      </c>
      <c r="G53" t="s">
        <v>160</v>
      </c>
    </row>
    <row r="54" spans="1:21" x14ac:dyDescent="0.45">
      <c r="A54" t="s">
        <v>161</v>
      </c>
      <c r="N54" t="s">
        <v>162</v>
      </c>
      <c r="U54" t="s">
        <v>163</v>
      </c>
    </row>
    <row r="55" spans="1:21" x14ac:dyDescent="0.45">
      <c r="A55" t="s">
        <v>39</v>
      </c>
      <c r="N55" t="s">
        <v>164</v>
      </c>
    </row>
    <row r="56" spans="1:21" x14ac:dyDescent="0.45">
      <c r="A56" t="s">
        <v>165</v>
      </c>
      <c r="G56" t="s">
        <v>166</v>
      </c>
      <c r="U56" t="s">
        <v>167</v>
      </c>
    </row>
    <row r="57" spans="1:21" x14ac:dyDescent="0.45">
      <c r="A57" t="s">
        <v>40</v>
      </c>
      <c r="G57" t="s">
        <v>92</v>
      </c>
    </row>
    <row r="58" spans="1:21" x14ac:dyDescent="0.45">
      <c r="A58" t="s">
        <v>168</v>
      </c>
      <c r="G58" t="s">
        <v>169</v>
      </c>
      <c r="U58" t="s">
        <v>167</v>
      </c>
    </row>
    <row r="59" spans="1:21" x14ac:dyDescent="0.45">
      <c r="A59" t="s">
        <v>41</v>
      </c>
    </row>
    <row r="60" spans="1:21" x14ac:dyDescent="0.45">
      <c r="A60" t="s">
        <v>170</v>
      </c>
      <c r="G60" t="s">
        <v>171</v>
      </c>
    </row>
    <row r="61" spans="1:21" x14ac:dyDescent="0.45">
      <c r="A61" t="s">
        <v>42</v>
      </c>
    </row>
    <row r="62" spans="1:21" x14ac:dyDescent="0.45">
      <c r="A62" t="s">
        <v>172</v>
      </c>
      <c r="G62" t="s">
        <v>136</v>
      </c>
    </row>
    <row r="63" spans="1:21" x14ac:dyDescent="0.45">
      <c r="A63" t="s">
        <v>43</v>
      </c>
    </row>
    <row r="64" spans="1:21" x14ac:dyDescent="0.45">
      <c r="A64" t="s">
        <v>173</v>
      </c>
      <c r="G64" t="s">
        <v>92</v>
      </c>
    </row>
    <row r="65" spans="1:21" x14ac:dyDescent="0.45">
      <c r="A65" t="s">
        <v>44</v>
      </c>
    </row>
    <row r="66" spans="1:21" x14ac:dyDescent="0.45">
      <c r="A66" t="s">
        <v>174</v>
      </c>
      <c r="G66" t="s">
        <v>130</v>
      </c>
    </row>
    <row r="67" spans="1:21" x14ac:dyDescent="0.45">
      <c r="A67" t="s">
        <v>45</v>
      </c>
    </row>
    <row r="68" spans="1:21" x14ac:dyDescent="0.45">
      <c r="A68" t="s">
        <v>175</v>
      </c>
      <c r="G68" t="s">
        <v>136</v>
      </c>
      <c r="U68" t="s">
        <v>167</v>
      </c>
    </row>
    <row r="69" spans="1:21" x14ac:dyDescent="0.45">
      <c r="A69" t="s">
        <v>46</v>
      </c>
    </row>
    <row r="70" spans="1:21" x14ac:dyDescent="0.45">
      <c r="A70" t="s">
        <v>176</v>
      </c>
      <c r="G70" t="s">
        <v>177</v>
      </c>
      <c r="U70" t="s">
        <v>178</v>
      </c>
    </row>
    <row r="71" spans="1:21" x14ac:dyDescent="0.45">
      <c r="A71" t="s">
        <v>47</v>
      </c>
    </row>
    <row r="72" spans="1:21" x14ac:dyDescent="0.45">
      <c r="A72" t="s">
        <v>179</v>
      </c>
      <c r="D72" t="s">
        <v>180</v>
      </c>
    </row>
    <row r="73" spans="1:21" x14ac:dyDescent="0.45">
      <c r="A73" t="s">
        <v>48</v>
      </c>
    </row>
    <row r="74" spans="1:21" x14ac:dyDescent="0.45">
      <c r="A74" t="s">
        <v>181</v>
      </c>
      <c r="G74" t="s">
        <v>154</v>
      </c>
      <c r="K74" t="s">
        <v>182</v>
      </c>
    </row>
    <row r="75" spans="1:21" x14ac:dyDescent="0.45">
      <c r="A75" t="s">
        <v>49</v>
      </c>
      <c r="G75" t="s">
        <v>169</v>
      </c>
      <c r="K75" t="s">
        <v>154</v>
      </c>
    </row>
    <row r="76" spans="1:21" x14ac:dyDescent="0.45">
      <c r="A76" t="s">
        <v>183</v>
      </c>
      <c r="G76" t="s">
        <v>184</v>
      </c>
      <c r="J76" t="s">
        <v>118</v>
      </c>
    </row>
    <row r="77" spans="1:21" x14ac:dyDescent="0.45">
      <c r="A77" t="s">
        <v>50</v>
      </c>
      <c r="G77" t="s">
        <v>118</v>
      </c>
    </row>
    <row r="78" spans="1:21" x14ac:dyDescent="0.45">
      <c r="A78" t="s">
        <v>185</v>
      </c>
      <c r="G78" t="s">
        <v>186</v>
      </c>
      <c r="J78" t="s">
        <v>160</v>
      </c>
      <c r="U78" t="s">
        <v>187</v>
      </c>
    </row>
    <row r="79" spans="1:21" x14ac:dyDescent="0.45">
      <c r="A79" t="s">
        <v>51</v>
      </c>
      <c r="G79" t="s">
        <v>180</v>
      </c>
    </row>
    <row r="80" spans="1:21" x14ac:dyDescent="0.45">
      <c r="A80" t="s">
        <v>188</v>
      </c>
      <c r="G80" t="s">
        <v>189</v>
      </c>
      <c r="U80" t="s">
        <v>190</v>
      </c>
    </row>
    <row r="81" spans="1:21" x14ac:dyDescent="0.45">
      <c r="A81" t="s">
        <v>52</v>
      </c>
      <c r="G81" t="s">
        <v>1</v>
      </c>
    </row>
    <row r="82" spans="1:21" x14ac:dyDescent="0.45">
      <c r="A82" t="s">
        <v>191</v>
      </c>
      <c r="G82" t="s">
        <v>192</v>
      </c>
      <c r="J82" t="s">
        <v>193</v>
      </c>
      <c r="U82" t="s">
        <v>178</v>
      </c>
    </row>
    <row r="83" spans="1:21" x14ac:dyDescent="0.45">
      <c r="A83" t="s">
        <v>53</v>
      </c>
      <c r="G83" t="s">
        <v>118</v>
      </c>
    </row>
    <row r="84" spans="1:21" x14ac:dyDescent="0.45">
      <c r="A84" t="s">
        <v>194</v>
      </c>
      <c r="G84" t="s">
        <v>195</v>
      </c>
    </row>
    <row r="85" spans="1:21" x14ac:dyDescent="0.45">
      <c r="A85" t="s">
        <v>54</v>
      </c>
      <c r="G85" t="s">
        <v>147</v>
      </c>
    </row>
    <row r="86" spans="1:21" x14ac:dyDescent="0.45">
      <c r="A86" t="s">
        <v>196</v>
      </c>
      <c r="G86" t="s">
        <v>112</v>
      </c>
    </row>
    <row r="87" spans="1:21" x14ac:dyDescent="0.45">
      <c r="A87" t="s">
        <v>55</v>
      </c>
    </row>
    <row r="88" spans="1:21" x14ac:dyDescent="0.45">
      <c r="A88" t="s">
        <v>197</v>
      </c>
      <c r="G88" t="s">
        <v>112</v>
      </c>
    </row>
    <row r="89" spans="1:21" x14ac:dyDescent="0.45">
      <c r="A89" t="s">
        <v>56</v>
      </c>
      <c r="G89" t="s">
        <v>92</v>
      </c>
    </row>
    <row r="90" spans="1:21" x14ac:dyDescent="0.45">
      <c r="A90" t="s">
        <v>198</v>
      </c>
      <c r="D90" t="s">
        <v>160</v>
      </c>
    </row>
    <row r="91" spans="1:21" x14ac:dyDescent="0.45">
      <c r="A91" t="s">
        <v>57</v>
      </c>
      <c r="D91" t="s">
        <v>119</v>
      </c>
    </row>
    <row r="92" spans="1:21" x14ac:dyDescent="0.45">
      <c r="A92" t="s">
        <v>199</v>
      </c>
      <c r="K92" t="s">
        <v>200</v>
      </c>
      <c r="U92" t="s">
        <v>201</v>
      </c>
    </row>
    <row r="93" spans="1:21" x14ac:dyDescent="0.45">
      <c r="A93" t="s">
        <v>58</v>
      </c>
      <c r="K93" t="s">
        <v>202</v>
      </c>
    </row>
    <row r="94" spans="1:21" x14ac:dyDescent="0.45">
      <c r="A94" t="s">
        <v>203</v>
      </c>
      <c r="K94" t="s">
        <v>114</v>
      </c>
    </row>
    <row r="95" spans="1:21" x14ac:dyDescent="0.45">
      <c r="A95" t="s">
        <v>59</v>
      </c>
    </row>
    <row r="96" spans="1:21" x14ac:dyDescent="0.45">
      <c r="A96" t="s">
        <v>204</v>
      </c>
      <c r="G96" t="s">
        <v>205</v>
      </c>
    </row>
    <row r="97" spans="1:21" x14ac:dyDescent="0.45">
      <c r="A97" t="s">
        <v>60</v>
      </c>
      <c r="G97" t="s">
        <v>119</v>
      </c>
    </row>
    <row r="98" spans="1:21" x14ac:dyDescent="0.45">
      <c r="A98" t="s">
        <v>206</v>
      </c>
      <c r="G98" t="s">
        <v>118</v>
      </c>
    </row>
    <row r="99" spans="1:21" x14ac:dyDescent="0.45">
      <c r="A99" t="s">
        <v>61</v>
      </c>
      <c r="G99" t="s">
        <v>119</v>
      </c>
    </row>
    <row r="100" spans="1:21" x14ac:dyDescent="0.45">
      <c r="A100" t="s">
        <v>207</v>
      </c>
      <c r="G100" t="s">
        <v>118</v>
      </c>
      <c r="U100" t="s">
        <v>208</v>
      </c>
    </row>
    <row r="101" spans="1:21" x14ac:dyDescent="0.45">
      <c r="A101" t="s">
        <v>62</v>
      </c>
    </row>
    <row r="102" spans="1:21" x14ac:dyDescent="0.45">
      <c r="A102" t="s">
        <v>209</v>
      </c>
      <c r="G102" t="s">
        <v>132</v>
      </c>
      <c r="U102" t="s">
        <v>146</v>
      </c>
    </row>
    <row r="103" spans="1:21" x14ac:dyDescent="0.45">
      <c r="A103" t="s">
        <v>63</v>
      </c>
    </row>
    <row r="104" spans="1:21" x14ac:dyDescent="0.45">
      <c r="A104" t="s">
        <v>210</v>
      </c>
      <c r="G104" t="s">
        <v>114</v>
      </c>
      <c r="U104" t="s">
        <v>167</v>
      </c>
    </row>
    <row r="105" spans="1:21" x14ac:dyDescent="0.45">
      <c r="A105" t="s">
        <v>64</v>
      </c>
    </row>
    <row r="106" spans="1:21" x14ac:dyDescent="0.45">
      <c r="A106" t="s">
        <v>211</v>
      </c>
      <c r="G106" t="s">
        <v>212</v>
      </c>
      <c r="U106" t="s">
        <v>178</v>
      </c>
    </row>
    <row r="107" spans="1:21" x14ac:dyDescent="0.45">
      <c r="A107" t="s">
        <v>65</v>
      </c>
    </row>
    <row r="108" spans="1:21" x14ac:dyDescent="0.45">
      <c r="A108" t="s">
        <v>213</v>
      </c>
      <c r="G108" t="s">
        <v>154</v>
      </c>
      <c r="U108" t="s">
        <v>214</v>
      </c>
    </row>
    <row r="109" spans="1:21" x14ac:dyDescent="0.45">
      <c r="A109" t="s">
        <v>66</v>
      </c>
    </row>
    <row r="110" spans="1:21" x14ac:dyDescent="0.45">
      <c r="A110" t="s">
        <v>215</v>
      </c>
    </row>
    <row r="111" spans="1:21" x14ac:dyDescent="0.45">
      <c r="A111" t="s">
        <v>67</v>
      </c>
      <c r="G111" t="s">
        <v>216</v>
      </c>
    </row>
    <row r="112" spans="1:21" x14ac:dyDescent="0.45">
      <c r="A112" t="s">
        <v>217</v>
      </c>
      <c r="U112" t="s">
        <v>218</v>
      </c>
    </row>
    <row r="113" spans="1:22" x14ac:dyDescent="0.45">
      <c r="A113" t="s">
        <v>68</v>
      </c>
      <c r="K113" t="s">
        <v>9</v>
      </c>
    </row>
    <row r="114" spans="1:22" x14ac:dyDescent="0.45">
      <c r="A114" t="s">
        <v>219</v>
      </c>
      <c r="G114" t="s">
        <v>160</v>
      </c>
    </row>
    <row r="115" spans="1:22" x14ac:dyDescent="0.45">
      <c r="A115" t="s">
        <v>69</v>
      </c>
      <c r="G115" t="s">
        <v>118</v>
      </c>
    </row>
    <row r="116" spans="1:22" x14ac:dyDescent="0.45">
      <c r="A116" t="s">
        <v>220</v>
      </c>
      <c r="U116" t="s">
        <v>221</v>
      </c>
      <c r="V116" t="s">
        <v>222</v>
      </c>
    </row>
    <row r="117" spans="1:22" x14ac:dyDescent="0.45">
      <c r="A117" t="s">
        <v>70</v>
      </c>
      <c r="U117" t="s">
        <v>223</v>
      </c>
    </row>
    <row r="118" spans="1:22" x14ac:dyDescent="0.45">
      <c r="A118" t="s">
        <v>224</v>
      </c>
      <c r="U118" t="s">
        <v>225</v>
      </c>
      <c r="V118" t="s">
        <v>226</v>
      </c>
    </row>
    <row r="119" spans="1:22" x14ac:dyDescent="0.45">
      <c r="A119" t="s">
        <v>71</v>
      </c>
    </row>
    <row r="120" spans="1:22" x14ac:dyDescent="0.45">
      <c r="A120" t="s">
        <v>227</v>
      </c>
      <c r="N120" t="s">
        <v>228</v>
      </c>
      <c r="U120" t="s">
        <v>229</v>
      </c>
    </row>
    <row r="121" spans="1:22" x14ac:dyDescent="0.45">
      <c r="A121" t="s">
        <v>72</v>
      </c>
    </row>
    <row r="122" spans="1:22" x14ac:dyDescent="0.45">
      <c r="A122" t="s">
        <v>230</v>
      </c>
    </row>
    <row r="123" spans="1:22" x14ac:dyDescent="0.45">
      <c r="A123" t="s">
        <v>73</v>
      </c>
    </row>
    <row r="124" spans="1:22" x14ac:dyDescent="0.45">
      <c r="A124" t="s">
        <v>231</v>
      </c>
      <c r="D124" t="s">
        <v>232</v>
      </c>
      <c r="U124" t="s">
        <v>233</v>
      </c>
    </row>
    <row r="125" spans="1:22" x14ac:dyDescent="0.45">
      <c r="A125" t="s">
        <v>74</v>
      </c>
      <c r="D125" t="s">
        <v>92</v>
      </c>
    </row>
    <row r="126" spans="1:22" x14ac:dyDescent="0.45">
      <c r="A126" t="s">
        <v>234</v>
      </c>
      <c r="G126" t="s">
        <v>235</v>
      </c>
    </row>
    <row r="127" spans="1:22" x14ac:dyDescent="0.45">
      <c r="A127" t="s">
        <v>75</v>
      </c>
      <c r="G127" t="s">
        <v>236</v>
      </c>
    </row>
    <row r="128" spans="1:22" x14ac:dyDescent="0.45">
      <c r="A128" t="s">
        <v>237</v>
      </c>
      <c r="G128" t="s">
        <v>132</v>
      </c>
    </row>
    <row r="129" spans="1:21" x14ac:dyDescent="0.45">
      <c r="A129" t="s">
        <v>76</v>
      </c>
    </row>
    <row r="130" spans="1:21" x14ac:dyDescent="0.45">
      <c r="A130" t="s">
        <v>238</v>
      </c>
      <c r="N130" t="s">
        <v>239</v>
      </c>
    </row>
    <row r="131" spans="1:21" x14ac:dyDescent="0.45">
      <c r="A131" t="s">
        <v>77</v>
      </c>
      <c r="N131" t="s">
        <v>236</v>
      </c>
    </row>
    <row r="132" spans="1:21" x14ac:dyDescent="0.45">
      <c r="A132" t="s">
        <v>240</v>
      </c>
      <c r="N132" t="s">
        <v>241</v>
      </c>
      <c r="U132" t="s">
        <v>242</v>
      </c>
    </row>
    <row r="133" spans="1:21" x14ac:dyDescent="0.45">
      <c r="A133" t="s">
        <v>78</v>
      </c>
      <c r="N133" t="s">
        <v>236</v>
      </c>
    </row>
    <row r="134" spans="1:21" x14ac:dyDescent="0.45">
      <c r="A134" t="s">
        <v>243</v>
      </c>
      <c r="G134" t="s">
        <v>244</v>
      </c>
    </row>
    <row r="135" spans="1:21" x14ac:dyDescent="0.45">
      <c r="A135" t="s">
        <v>79</v>
      </c>
      <c r="G135" t="s">
        <v>216</v>
      </c>
    </row>
    <row r="136" spans="1:21" x14ac:dyDescent="0.45">
      <c r="A136" t="s">
        <v>245</v>
      </c>
      <c r="N136" t="s">
        <v>246</v>
      </c>
    </row>
    <row r="137" spans="1:21" x14ac:dyDescent="0.45">
      <c r="A137" t="s">
        <v>80</v>
      </c>
      <c r="N137" t="s">
        <v>9</v>
      </c>
    </row>
    <row r="138" spans="1:21" x14ac:dyDescent="0.45">
      <c r="A138" t="s">
        <v>247</v>
      </c>
      <c r="N138" t="s">
        <v>132</v>
      </c>
    </row>
    <row r="139" spans="1:21" x14ac:dyDescent="0.45">
      <c r="A139" t="s">
        <v>81</v>
      </c>
      <c r="N139" t="s">
        <v>169</v>
      </c>
    </row>
    <row r="140" spans="1:21" x14ac:dyDescent="0.45">
      <c r="A140" t="s">
        <v>248</v>
      </c>
      <c r="N140" t="s">
        <v>118</v>
      </c>
    </row>
    <row r="141" spans="1:21" x14ac:dyDescent="0.45">
      <c r="A141" t="s">
        <v>82</v>
      </c>
      <c r="N141" t="s">
        <v>169</v>
      </c>
    </row>
    <row r="142" spans="1:21" x14ac:dyDescent="0.45">
      <c r="A142" t="s">
        <v>249</v>
      </c>
      <c r="N142" t="s">
        <v>250</v>
      </c>
      <c r="U142" t="s">
        <v>251</v>
      </c>
    </row>
    <row r="143" spans="1:21" x14ac:dyDescent="0.45">
      <c r="A143" t="s">
        <v>83</v>
      </c>
      <c r="N143" t="s">
        <v>169</v>
      </c>
    </row>
    <row r="144" spans="1:21" x14ac:dyDescent="0.45">
      <c r="A144" t="s">
        <v>252</v>
      </c>
    </row>
    <row r="145" spans="1:15" x14ac:dyDescent="0.45">
      <c r="B145" t="s">
        <v>105</v>
      </c>
      <c r="C145" t="s">
        <v>253</v>
      </c>
      <c r="D145" t="s">
        <v>254</v>
      </c>
      <c r="F145" t="s">
        <v>255</v>
      </c>
      <c r="G145" t="s">
        <v>256</v>
      </c>
      <c r="J145" t="s">
        <v>257</v>
      </c>
      <c r="K145" t="s">
        <v>258</v>
      </c>
      <c r="L145" t="s">
        <v>259</v>
      </c>
      <c r="M145" t="s">
        <v>260</v>
      </c>
      <c r="N145" t="s">
        <v>261</v>
      </c>
      <c r="O145" t="s">
        <v>262</v>
      </c>
    </row>
    <row r="146" spans="1:15" x14ac:dyDescent="0.45">
      <c r="A146" t="s">
        <v>84</v>
      </c>
      <c r="D146" t="s">
        <v>257</v>
      </c>
      <c r="F146" t="s">
        <v>263</v>
      </c>
      <c r="G146" t="s">
        <v>264</v>
      </c>
      <c r="K146" t="s">
        <v>265</v>
      </c>
      <c r="M146" t="s">
        <v>147</v>
      </c>
      <c r="N146" t="s">
        <v>266</v>
      </c>
      <c r="O146" t="s">
        <v>147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577"/>
  <sheetViews>
    <sheetView topLeftCell="L554" workbookViewId="0">
      <selection activeCell="Y560" sqref="Y560"/>
    </sheetView>
  </sheetViews>
  <sheetFormatPr defaultRowHeight="18" x14ac:dyDescent="0.45"/>
  <cols>
    <col min="2" max="2" width="36.296875" style="1" customWidth="1"/>
    <col min="4" max="4" width="8.796875" style="1" customWidth="1"/>
  </cols>
  <sheetData>
    <row r="1" spans="1:32" x14ac:dyDescent="0.45">
      <c r="A1" t="s">
        <v>92</v>
      </c>
      <c r="B1" t="s">
        <v>267</v>
      </c>
      <c r="C1" t="s">
        <v>268</v>
      </c>
      <c r="D1" t="s">
        <v>267</v>
      </c>
      <c r="J1" t="s">
        <v>92</v>
      </c>
      <c r="K1" t="s">
        <v>12</v>
      </c>
      <c r="L1" t="s">
        <v>12</v>
      </c>
      <c r="M1" t="s">
        <v>182</v>
      </c>
      <c r="N1" t="s">
        <v>12</v>
      </c>
      <c r="O1" t="s">
        <v>12</v>
      </c>
      <c r="P1" t="s">
        <v>12</v>
      </c>
      <c r="Q1" t="s">
        <v>92</v>
      </c>
      <c r="R1" t="s">
        <v>182</v>
      </c>
      <c r="S1" t="s">
        <v>92</v>
      </c>
      <c r="T1" t="s">
        <v>92</v>
      </c>
      <c r="U1" t="s">
        <v>12</v>
      </c>
      <c r="V1" t="s">
        <v>12</v>
      </c>
      <c r="W1" t="s">
        <v>12</v>
      </c>
      <c r="AA1" t="s">
        <v>92</v>
      </c>
      <c r="AB1" t="s">
        <v>12</v>
      </c>
      <c r="AC1" t="s">
        <v>12</v>
      </c>
      <c r="AD1" t="s">
        <v>92</v>
      </c>
      <c r="AE1" t="s">
        <v>119</v>
      </c>
      <c r="AF1" t="s">
        <v>269</v>
      </c>
    </row>
    <row r="2" spans="1:32" x14ac:dyDescent="0.45">
      <c r="A2" t="s">
        <v>193</v>
      </c>
      <c r="B2" t="s">
        <v>270</v>
      </c>
      <c r="C2" t="s">
        <v>271</v>
      </c>
      <c r="D2" t="s">
        <v>272</v>
      </c>
      <c r="E2" t="s">
        <v>273</v>
      </c>
      <c r="F2" t="s">
        <v>274</v>
      </c>
      <c r="H2" t="s">
        <v>275</v>
      </c>
      <c r="J2" t="s">
        <v>92</v>
      </c>
      <c r="K2" t="s">
        <v>12</v>
      </c>
      <c r="L2" t="s">
        <v>12</v>
      </c>
      <c r="M2" t="s">
        <v>182</v>
      </c>
      <c r="N2" t="s">
        <v>12</v>
      </c>
      <c r="O2" t="s">
        <v>12</v>
      </c>
      <c r="P2" t="s">
        <v>12</v>
      </c>
      <c r="Q2" t="s">
        <v>92</v>
      </c>
      <c r="R2" t="s">
        <v>182</v>
      </c>
      <c r="S2" t="s">
        <v>92</v>
      </c>
      <c r="T2" t="s">
        <v>193</v>
      </c>
      <c r="U2" t="s">
        <v>12</v>
      </c>
      <c r="V2" t="s">
        <v>12</v>
      </c>
      <c r="W2" t="s">
        <v>12</v>
      </c>
      <c r="AA2" t="s">
        <v>92</v>
      </c>
      <c r="AB2" t="s">
        <v>12</v>
      </c>
      <c r="AC2" t="s">
        <v>12</v>
      </c>
      <c r="AD2" t="s">
        <v>92</v>
      </c>
      <c r="AE2" t="s">
        <v>119</v>
      </c>
      <c r="AF2" t="s">
        <v>276</v>
      </c>
    </row>
    <row r="3" spans="1:32" x14ac:dyDescent="0.45">
      <c r="A3" t="s">
        <v>118</v>
      </c>
      <c r="B3" t="s">
        <v>277</v>
      </c>
      <c r="C3" t="s">
        <v>278</v>
      </c>
      <c r="D3" t="s">
        <v>279</v>
      </c>
      <c r="E3" t="s">
        <v>273</v>
      </c>
      <c r="F3" t="s">
        <v>280</v>
      </c>
      <c r="H3" t="s">
        <v>281</v>
      </c>
      <c r="J3" t="s">
        <v>92</v>
      </c>
      <c r="K3" t="s">
        <v>12</v>
      </c>
      <c r="L3" t="s">
        <v>12</v>
      </c>
      <c r="M3" t="s">
        <v>182</v>
      </c>
      <c r="N3" t="s">
        <v>12</v>
      </c>
      <c r="O3" t="s">
        <v>12</v>
      </c>
      <c r="P3" t="s">
        <v>12</v>
      </c>
      <c r="Q3" t="s">
        <v>92</v>
      </c>
      <c r="R3" t="s">
        <v>182</v>
      </c>
      <c r="S3" t="s">
        <v>92</v>
      </c>
      <c r="T3" t="s">
        <v>118</v>
      </c>
      <c r="U3" t="s">
        <v>12</v>
      </c>
      <c r="V3" t="s">
        <v>12</v>
      </c>
      <c r="W3" t="s">
        <v>12</v>
      </c>
      <c r="AA3" t="s">
        <v>92</v>
      </c>
      <c r="AB3" t="s">
        <v>12</v>
      </c>
      <c r="AC3" t="s">
        <v>12</v>
      </c>
      <c r="AD3" t="s">
        <v>92</v>
      </c>
      <c r="AE3" t="s">
        <v>119</v>
      </c>
      <c r="AF3" t="s">
        <v>282</v>
      </c>
    </row>
    <row r="4" spans="1:32" x14ac:dyDescent="0.45">
      <c r="A4" t="s">
        <v>136</v>
      </c>
      <c r="B4" t="s">
        <v>283</v>
      </c>
      <c r="C4" t="s">
        <v>284</v>
      </c>
      <c r="D4" t="s">
        <v>285</v>
      </c>
      <c r="E4" t="s">
        <v>286</v>
      </c>
      <c r="F4" t="s">
        <v>287</v>
      </c>
      <c r="H4" t="s">
        <v>288</v>
      </c>
      <c r="J4" t="s">
        <v>92</v>
      </c>
      <c r="K4" t="s">
        <v>12</v>
      </c>
      <c r="L4" t="s">
        <v>12</v>
      </c>
      <c r="M4" t="s">
        <v>182</v>
      </c>
      <c r="N4" t="s">
        <v>12</v>
      </c>
      <c r="O4" t="s">
        <v>12</v>
      </c>
      <c r="P4" t="s">
        <v>12</v>
      </c>
      <c r="Q4" t="s">
        <v>92</v>
      </c>
      <c r="R4" t="s">
        <v>182</v>
      </c>
      <c r="S4" t="s">
        <v>92</v>
      </c>
      <c r="T4" t="s">
        <v>136</v>
      </c>
      <c r="U4" t="s">
        <v>12</v>
      </c>
      <c r="V4" t="s">
        <v>12</v>
      </c>
      <c r="W4" t="s">
        <v>12</v>
      </c>
      <c r="AA4" t="s">
        <v>92</v>
      </c>
      <c r="AB4" t="s">
        <v>12</v>
      </c>
      <c r="AC4" t="s">
        <v>12</v>
      </c>
      <c r="AD4" t="s">
        <v>92</v>
      </c>
      <c r="AE4" t="s">
        <v>119</v>
      </c>
      <c r="AF4" t="s">
        <v>289</v>
      </c>
    </row>
    <row r="5" spans="1:32" x14ac:dyDescent="0.45">
      <c r="A5" t="s">
        <v>180</v>
      </c>
      <c r="B5" t="s">
        <v>290</v>
      </c>
      <c r="C5" t="s">
        <v>291</v>
      </c>
      <c r="D5" t="s">
        <v>292</v>
      </c>
      <c r="E5" t="s">
        <v>286</v>
      </c>
      <c r="F5" t="s">
        <v>287</v>
      </c>
      <c r="H5" t="s">
        <v>293</v>
      </c>
      <c r="J5" t="s">
        <v>92</v>
      </c>
      <c r="K5" t="s">
        <v>12</v>
      </c>
      <c r="L5" t="s">
        <v>12</v>
      </c>
      <c r="M5" t="s">
        <v>182</v>
      </c>
      <c r="N5" t="s">
        <v>12</v>
      </c>
      <c r="O5" t="s">
        <v>12</v>
      </c>
      <c r="P5" t="s">
        <v>12</v>
      </c>
      <c r="Q5" t="s">
        <v>92</v>
      </c>
      <c r="R5" t="s">
        <v>182</v>
      </c>
      <c r="S5" t="s">
        <v>92</v>
      </c>
      <c r="T5" t="s">
        <v>180</v>
      </c>
      <c r="U5" t="s">
        <v>12</v>
      </c>
      <c r="V5" t="s">
        <v>12</v>
      </c>
      <c r="W5" t="s">
        <v>12</v>
      </c>
      <c r="AA5" t="s">
        <v>92</v>
      </c>
      <c r="AB5" t="s">
        <v>12</v>
      </c>
      <c r="AC5" t="s">
        <v>12</v>
      </c>
      <c r="AD5" t="s">
        <v>92</v>
      </c>
      <c r="AE5" t="s">
        <v>119</v>
      </c>
      <c r="AF5" t="s">
        <v>294</v>
      </c>
    </row>
    <row r="6" spans="1:32" x14ac:dyDescent="0.45">
      <c r="A6" t="s">
        <v>154</v>
      </c>
      <c r="B6" t="s">
        <v>295</v>
      </c>
      <c r="C6" t="s">
        <v>296</v>
      </c>
      <c r="D6" t="s">
        <v>297</v>
      </c>
      <c r="E6" t="s">
        <v>298</v>
      </c>
      <c r="F6" t="s">
        <v>299</v>
      </c>
      <c r="H6" t="s">
        <v>300</v>
      </c>
      <c r="J6" t="s">
        <v>92</v>
      </c>
      <c r="K6" t="s">
        <v>12</v>
      </c>
      <c r="L6" t="s">
        <v>12</v>
      </c>
      <c r="M6" t="s">
        <v>182</v>
      </c>
      <c r="N6" t="s">
        <v>12</v>
      </c>
      <c r="O6" t="s">
        <v>12</v>
      </c>
      <c r="P6" t="s">
        <v>12</v>
      </c>
      <c r="Q6" t="s">
        <v>92</v>
      </c>
      <c r="R6" t="s">
        <v>182</v>
      </c>
      <c r="S6" t="s">
        <v>92</v>
      </c>
      <c r="T6" t="s">
        <v>154</v>
      </c>
      <c r="U6" t="s">
        <v>12</v>
      </c>
      <c r="V6" t="s">
        <v>12</v>
      </c>
      <c r="W6" t="s">
        <v>12</v>
      </c>
      <c r="AA6" t="s">
        <v>92</v>
      </c>
      <c r="AB6" t="s">
        <v>12</v>
      </c>
      <c r="AC6" t="s">
        <v>12</v>
      </c>
      <c r="AD6" t="s">
        <v>92</v>
      </c>
      <c r="AE6" t="s">
        <v>119</v>
      </c>
      <c r="AF6" t="s">
        <v>301</v>
      </c>
    </row>
    <row r="7" spans="1:32" x14ac:dyDescent="0.45">
      <c r="A7" t="s">
        <v>160</v>
      </c>
      <c r="B7" t="s">
        <v>302</v>
      </c>
      <c r="C7" t="s">
        <v>303</v>
      </c>
      <c r="D7" t="s">
        <v>304</v>
      </c>
      <c r="E7" t="s">
        <v>298</v>
      </c>
      <c r="F7" t="s">
        <v>299</v>
      </c>
      <c r="H7" t="s">
        <v>305</v>
      </c>
      <c r="J7" t="s">
        <v>92</v>
      </c>
      <c r="K7" t="s">
        <v>12</v>
      </c>
      <c r="L7" t="s">
        <v>12</v>
      </c>
      <c r="M7" t="s">
        <v>182</v>
      </c>
      <c r="N7" t="s">
        <v>12</v>
      </c>
      <c r="O7" t="s">
        <v>12</v>
      </c>
      <c r="P7" t="s">
        <v>12</v>
      </c>
      <c r="Q7" t="s">
        <v>92</v>
      </c>
      <c r="R7" t="s">
        <v>182</v>
      </c>
      <c r="S7" t="s">
        <v>92</v>
      </c>
      <c r="T7" t="s">
        <v>160</v>
      </c>
      <c r="U7" t="s">
        <v>12</v>
      </c>
      <c r="V7" t="s">
        <v>12</v>
      </c>
      <c r="W7" t="s">
        <v>12</v>
      </c>
      <c r="AA7" t="s">
        <v>92</v>
      </c>
      <c r="AB7" t="s">
        <v>12</v>
      </c>
      <c r="AC7" t="s">
        <v>12</v>
      </c>
      <c r="AD7" t="s">
        <v>92</v>
      </c>
      <c r="AE7" t="s">
        <v>119</v>
      </c>
      <c r="AF7" t="s">
        <v>306</v>
      </c>
    </row>
    <row r="8" spans="1:32" x14ac:dyDescent="0.45">
      <c r="A8" t="s">
        <v>147</v>
      </c>
      <c r="B8" t="s">
        <v>307</v>
      </c>
      <c r="C8" t="s">
        <v>308</v>
      </c>
      <c r="D8" t="s">
        <v>309</v>
      </c>
      <c r="E8" t="s">
        <v>310</v>
      </c>
      <c r="F8" t="s">
        <v>311</v>
      </c>
      <c r="H8" t="s">
        <v>312</v>
      </c>
      <c r="J8" t="s">
        <v>92</v>
      </c>
      <c r="K8" t="s">
        <v>12</v>
      </c>
      <c r="L8" t="s">
        <v>12</v>
      </c>
      <c r="M8" t="s">
        <v>182</v>
      </c>
      <c r="N8" t="s">
        <v>12</v>
      </c>
      <c r="O8" t="s">
        <v>12</v>
      </c>
      <c r="P8" t="s">
        <v>12</v>
      </c>
      <c r="Q8" t="s">
        <v>92</v>
      </c>
      <c r="R8" t="s">
        <v>182</v>
      </c>
      <c r="S8" t="s">
        <v>92</v>
      </c>
      <c r="T8" t="s">
        <v>147</v>
      </c>
      <c r="U8" t="s">
        <v>12</v>
      </c>
      <c r="V8" t="s">
        <v>12</v>
      </c>
      <c r="W8" t="s">
        <v>12</v>
      </c>
      <c r="AA8" t="s">
        <v>92</v>
      </c>
      <c r="AB8" t="s">
        <v>12</v>
      </c>
      <c r="AC8" t="s">
        <v>12</v>
      </c>
      <c r="AD8" t="s">
        <v>92</v>
      </c>
      <c r="AE8" t="s">
        <v>119</v>
      </c>
      <c r="AF8" t="s">
        <v>313</v>
      </c>
    </row>
    <row r="9" spans="1:32" x14ac:dyDescent="0.45">
      <c r="A9" t="s">
        <v>236</v>
      </c>
      <c r="B9" t="s">
        <v>314</v>
      </c>
      <c r="C9" t="s">
        <v>315</v>
      </c>
      <c r="D9" t="s">
        <v>316</v>
      </c>
      <c r="E9" t="s">
        <v>310</v>
      </c>
      <c r="F9" t="s">
        <v>311</v>
      </c>
      <c r="H9" t="s">
        <v>317</v>
      </c>
      <c r="J9" t="s">
        <v>92</v>
      </c>
      <c r="K9" t="s">
        <v>12</v>
      </c>
      <c r="L9" t="s">
        <v>12</v>
      </c>
      <c r="M9" t="s">
        <v>182</v>
      </c>
      <c r="N9" t="s">
        <v>12</v>
      </c>
      <c r="O9" t="s">
        <v>12</v>
      </c>
      <c r="P9" t="s">
        <v>12</v>
      </c>
      <c r="Q9" t="s">
        <v>92</v>
      </c>
      <c r="R9" t="s">
        <v>182</v>
      </c>
      <c r="S9" t="s">
        <v>92</v>
      </c>
      <c r="T9" t="s">
        <v>236</v>
      </c>
      <c r="U9" t="s">
        <v>12</v>
      </c>
      <c r="V9" t="s">
        <v>12</v>
      </c>
      <c r="W9" t="s">
        <v>12</v>
      </c>
      <c r="AA9" t="s">
        <v>92</v>
      </c>
      <c r="AB9" t="s">
        <v>12</v>
      </c>
      <c r="AC9" t="s">
        <v>12</v>
      </c>
      <c r="AD9" t="s">
        <v>92</v>
      </c>
      <c r="AE9" t="s">
        <v>119</v>
      </c>
      <c r="AF9" t="s">
        <v>318</v>
      </c>
    </row>
    <row r="10" spans="1:32" x14ac:dyDescent="0.45">
      <c r="A10" t="s">
        <v>216</v>
      </c>
      <c r="B10" t="s">
        <v>319</v>
      </c>
      <c r="C10" t="s">
        <v>320</v>
      </c>
      <c r="D10" t="s">
        <v>321</v>
      </c>
      <c r="E10" t="s">
        <v>310</v>
      </c>
      <c r="F10" t="s">
        <v>311</v>
      </c>
      <c r="H10" t="s">
        <v>322</v>
      </c>
      <c r="J10" t="s">
        <v>92</v>
      </c>
      <c r="K10" t="s">
        <v>12</v>
      </c>
      <c r="L10" t="s">
        <v>12</v>
      </c>
      <c r="M10" t="s">
        <v>182</v>
      </c>
      <c r="N10" t="s">
        <v>12</v>
      </c>
      <c r="O10" t="s">
        <v>12</v>
      </c>
      <c r="P10" t="s">
        <v>12</v>
      </c>
      <c r="Q10" t="s">
        <v>92</v>
      </c>
      <c r="R10" t="s">
        <v>182</v>
      </c>
      <c r="S10" t="s">
        <v>92</v>
      </c>
      <c r="T10" t="s">
        <v>216</v>
      </c>
      <c r="U10" t="s">
        <v>12</v>
      </c>
      <c r="V10" t="s">
        <v>12</v>
      </c>
      <c r="W10" t="s">
        <v>12</v>
      </c>
      <c r="AA10" t="s">
        <v>92</v>
      </c>
      <c r="AB10" t="s">
        <v>12</v>
      </c>
      <c r="AC10" t="s">
        <v>12</v>
      </c>
      <c r="AD10" t="s">
        <v>92</v>
      </c>
      <c r="AE10" t="s">
        <v>119</v>
      </c>
      <c r="AF10" t="s">
        <v>323</v>
      </c>
    </row>
    <row r="11" spans="1:32" x14ac:dyDescent="0.45">
      <c r="A11" t="s">
        <v>9</v>
      </c>
      <c r="B11" t="s">
        <v>324</v>
      </c>
      <c r="C11" t="s">
        <v>325</v>
      </c>
      <c r="D11" t="s">
        <v>326</v>
      </c>
      <c r="E11" t="s">
        <v>327</v>
      </c>
      <c r="F11" t="s">
        <v>328</v>
      </c>
      <c r="H11" t="s">
        <v>329</v>
      </c>
      <c r="J11" t="s">
        <v>92</v>
      </c>
      <c r="K11" t="s">
        <v>12</v>
      </c>
      <c r="L11" t="s">
        <v>12</v>
      </c>
      <c r="M11" t="s">
        <v>182</v>
      </c>
      <c r="N11" t="s">
        <v>12</v>
      </c>
      <c r="O11" t="s">
        <v>12</v>
      </c>
      <c r="P11" t="s">
        <v>12</v>
      </c>
      <c r="Q11" t="s">
        <v>92</v>
      </c>
      <c r="R11" t="s">
        <v>182</v>
      </c>
      <c r="S11" t="s">
        <v>92</v>
      </c>
      <c r="T11" t="s">
        <v>9</v>
      </c>
      <c r="U11" t="s">
        <v>12</v>
      </c>
      <c r="V11" t="s">
        <v>12</v>
      </c>
      <c r="W11" t="s">
        <v>12</v>
      </c>
      <c r="AA11" t="s">
        <v>92</v>
      </c>
      <c r="AB11" t="s">
        <v>12</v>
      </c>
      <c r="AC11" t="s">
        <v>12</v>
      </c>
      <c r="AD11" t="s">
        <v>92</v>
      </c>
      <c r="AE11" t="s">
        <v>119</v>
      </c>
      <c r="AF11" t="s">
        <v>330</v>
      </c>
    </row>
    <row r="12" spans="1:32" x14ac:dyDescent="0.45">
      <c r="A12" t="s">
        <v>331</v>
      </c>
      <c r="B12" t="s">
        <v>332</v>
      </c>
      <c r="C12" t="s">
        <v>333</v>
      </c>
      <c r="D12" t="s">
        <v>334</v>
      </c>
      <c r="E12" t="s">
        <v>327</v>
      </c>
      <c r="F12" t="s">
        <v>328</v>
      </c>
      <c r="H12" t="s">
        <v>335</v>
      </c>
      <c r="J12" t="s">
        <v>92</v>
      </c>
      <c r="K12" t="s">
        <v>12</v>
      </c>
      <c r="L12" t="s">
        <v>12</v>
      </c>
      <c r="M12" t="s">
        <v>182</v>
      </c>
      <c r="N12" t="s">
        <v>12</v>
      </c>
      <c r="O12" t="s">
        <v>12</v>
      </c>
      <c r="P12" t="s">
        <v>12</v>
      </c>
      <c r="Q12" t="s">
        <v>92</v>
      </c>
      <c r="R12" t="s">
        <v>182</v>
      </c>
      <c r="S12" t="s">
        <v>92</v>
      </c>
      <c r="T12" t="s">
        <v>331</v>
      </c>
      <c r="U12" t="s">
        <v>12</v>
      </c>
      <c r="V12" t="s">
        <v>12</v>
      </c>
      <c r="W12" t="s">
        <v>12</v>
      </c>
      <c r="AA12" t="s">
        <v>92</v>
      </c>
      <c r="AB12" t="s">
        <v>12</v>
      </c>
      <c r="AC12" t="s">
        <v>12</v>
      </c>
      <c r="AD12" t="s">
        <v>92</v>
      </c>
      <c r="AE12" t="s">
        <v>119</v>
      </c>
      <c r="AF12" t="s">
        <v>336</v>
      </c>
    </row>
    <row r="13" spans="1:32" x14ac:dyDescent="0.45">
      <c r="A13" t="s">
        <v>132</v>
      </c>
      <c r="B13" t="s">
        <v>337</v>
      </c>
      <c r="C13" t="s">
        <v>338</v>
      </c>
      <c r="D13" t="s">
        <v>339</v>
      </c>
      <c r="E13" t="s">
        <v>327</v>
      </c>
      <c r="F13" t="s">
        <v>328</v>
      </c>
      <c r="H13" t="s">
        <v>340</v>
      </c>
      <c r="J13" t="s">
        <v>92</v>
      </c>
      <c r="K13" t="s">
        <v>12</v>
      </c>
      <c r="L13" t="s">
        <v>12</v>
      </c>
      <c r="M13" t="s">
        <v>182</v>
      </c>
      <c r="N13" t="s">
        <v>12</v>
      </c>
      <c r="O13" t="s">
        <v>12</v>
      </c>
      <c r="P13" t="s">
        <v>12</v>
      </c>
      <c r="Q13" t="s">
        <v>92</v>
      </c>
      <c r="R13" t="s">
        <v>182</v>
      </c>
      <c r="S13" t="s">
        <v>92</v>
      </c>
      <c r="T13" t="s">
        <v>132</v>
      </c>
      <c r="U13" t="s">
        <v>12</v>
      </c>
      <c r="V13" t="s">
        <v>12</v>
      </c>
      <c r="W13" t="s">
        <v>12</v>
      </c>
      <c r="AA13" t="s">
        <v>92</v>
      </c>
      <c r="AB13" t="s">
        <v>12</v>
      </c>
      <c r="AC13" t="s">
        <v>12</v>
      </c>
      <c r="AD13" t="s">
        <v>92</v>
      </c>
      <c r="AE13" t="s">
        <v>119</v>
      </c>
      <c r="AF13" t="s">
        <v>341</v>
      </c>
    </row>
    <row r="14" spans="1:32" x14ac:dyDescent="0.45">
      <c r="A14" t="s">
        <v>342</v>
      </c>
      <c r="B14" t="s">
        <v>343</v>
      </c>
      <c r="C14" t="s">
        <v>344</v>
      </c>
      <c r="D14" t="s">
        <v>345</v>
      </c>
      <c r="E14" t="s">
        <v>346</v>
      </c>
      <c r="F14" t="s">
        <v>347</v>
      </c>
      <c r="H14" t="s">
        <v>348</v>
      </c>
      <c r="J14" t="s">
        <v>92</v>
      </c>
      <c r="K14" t="s">
        <v>12</v>
      </c>
      <c r="L14" t="s">
        <v>12</v>
      </c>
      <c r="M14" t="s">
        <v>182</v>
      </c>
      <c r="N14" t="s">
        <v>12</v>
      </c>
      <c r="O14" t="s">
        <v>12</v>
      </c>
      <c r="P14" t="s">
        <v>12</v>
      </c>
      <c r="Q14" t="s">
        <v>92</v>
      </c>
      <c r="R14" t="s">
        <v>182</v>
      </c>
      <c r="S14" t="s">
        <v>92</v>
      </c>
      <c r="T14" t="s">
        <v>342</v>
      </c>
      <c r="U14" t="s">
        <v>12</v>
      </c>
      <c r="V14" t="s">
        <v>12</v>
      </c>
      <c r="W14" t="s">
        <v>12</v>
      </c>
      <c r="AA14" t="s">
        <v>92</v>
      </c>
      <c r="AB14" t="s">
        <v>12</v>
      </c>
      <c r="AC14" t="s">
        <v>12</v>
      </c>
      <c r="AD14" t="s">
        <v>92</v>
      </c>
      <c r="AE14" t="s">
        <v>119</v>
      </c>
      <c r="AF14" t="s">
        <v>349</v>
      </c>
    </row>
    <row r="15" spans="1:32" x14ac:dyDescent="0.45">
      <c r="A15" t="s">
        <v>1</v>
      </c>
      <c r="B15" t="s">
        <v>350</v>
      </c>
      <c r="C15" t="s">
        <v>351</v>
      </c>
      <c r="D15" t="s">
        <v>352</v>
      </c>
      <c r="E15" t="s">
        <v>346</v>
      </c>
      <c r="F15" t="s">
        <v>347</v>
      </c>
      <c r="H15" t="s">
        <v>353</v>
      </c>
      <c r="J15" t="s">
        <v>92</v>
      </c>
      <c r="K15" t="s">
        <v>12</v>
      </c>
      <c r="L15" t="s">
        <v>12</v>
      </c>
      <c r="M15" t="s">
        <v>182</v>
      </c>
      <c r="N15" t="s">
        <v>12</v>
      </c>
      <c r="O15" t="s">
        <v>12</v>
      </c>
      <c r="P15" t="s">
        <v>12</v>
      </c>
      <c r="Q15" t="s">
        <v>92</v>
      </c>
      <c r="R15" t="s">
        <v>182</v>
      </c>
      <c r="S15" t="s">
        <v>92</v>
      </c>
      <c r="T15" t="s">
        <v>1</v>
      </c>
      <c r="U15" t="s">
        <v>12</v>
      </c>
      <c r="V15" t="s">
        <v>12</v>
      </c>
      <c r="W15" t="s">
        <v>12</v>
      </c>
      <c r="AA15" t="s">
        <v>92</v>
      </c>
      <c r="AB15" t="s">
        <v>12</v>
      </c>
      <c r="AC15" t="s">
        <v>12</v>
      </c>
      <c r="AD15" t="s">
        <v>92</v>
      </c>
      <c r="AE15" t="s">
        <v>119</v>
      </c>
      <c r="AF15" t="s">
        <v>354</v>
      </c>
    </row>
    <row r="16" spans="1:32" x14ac:dyDescent="0.45">
      <c r="A16" t="s">
        <v>177</v>
      </c>
      <c r="B16" t="s">
        <v>355</v>
      </c>
      <c r="C16" t="s">
        <v>356</v>
      </c>
      <c r="D16" t="s">
        <v>357</v>
      </c>
      <c r="E16" t="s">
        <v>358</v>
      </c>
      <c r="F16" t="s">
        <v>359</v>
      </c>
      <c r="H16" t="s">
        <v>360</v>
      </c>
      <c r="J16" t="s">
        <v>92</v>
      </c>
      <c r="K16" t="s">
        <v>12</v>
      </c>
      <c r="L16" t="s">
        <v>12</v>
      </c>
      <c r="M16" t="s">
        <v>182</v>
      </c>
      <c r="N16" t="s">
        <v>12</v>
      </c>
      <c r="O16" t="s">
        <v>12</v>
      </c>
      <c r="P16" t="s">
        <v>12</v>
      </c>
      <c r="Q16" t="s">
        <v>92</v>
      </c>
      <c r="R16" t="s">
        <v>182</v>
      </c>
      <c r="S16" t="s">
        <v>92</v>
      </c>
      <c r="T16" t="s">
        <v>177</v>
      </c>
      <c r="U16" t="s">
        <v>12</v>
      </c>
      <c r="V16" t="s">
        <v>12</v>
      </c>
      <c r="W16" t="s">
        <v>12</v>
      </c>
      <c r="AA16" t="s">
        <v>92</v>
      </c>
      <c r="AB16" t="s">
        <v>12</v>
      </c>
      <c r="AC16" t="s">
        <v>12</v>
      </c>
      <c r="AD16" t="s">
        <v>92</v>
      </c>
      <c r="AE16" t="s">
        <v>119</v>
      </c>
      <c r="AF16" t="s">
        <v>361</v>
      </c>
    </row>
    <row r="17" spans="1:32" x14ac:dyDescent="0.45">
      <c r="A17" t="s">
        <v>171</v>
      </c>
      <c r="B17" t="s">
        <v>362</v>
      </c>
      <c r="C17" t="s">
        <v>363</v>
      </c>
      <c r="D17" t="s">
        <v>364</v>
      </c>
      <c r="E17" t="s">
        <v>358</v>
      </c>
      <c r="F17" t="s">
        <v>365</v>
      </c>
      <c r="H17" t="s">
        <v>366</v>
      </c>
      <c r="J17" t="s">
        <v>92</v>
      </c>
      <c r="K17" t="s">
        <v>12</v>
      </c>
      <c r="L17" t="s">
        <v>12</v>
      </c>
      <c r="M17" t="s">
        <v>182</v>
      </c>
      <c r="N17" t="s">
        <v>12</v>
      </c>
      <c r="O17" t="s">
        <v>12</v>
      </c>
      <c r="P17" t="s">
        <v>12</v>
      </c>
      <c r="Q17" t="s">
        <v>92</v>
      </c>
      <c r="R17" t="s">
        <v>182</v>
      </c>
      <c r="S17" t="s">
        <v>92</v>
      </c>
      <c r="T17" t="s">
        <v>171</v>
      </c>
      <c r="U17" t="s">
        <v>12</v>
      </c>
      <c r="V17" t="s">
        <v>12</v>
      </c>
      <c r="W17" t="s">
        <v>12</v>
      </c>
      <c r="AA17" t="s">
        <v>92</v>
      </c>
      <c r="AB17" t="s">
        <v>12</v>
      </c>
      <c r="AC17" t="s">
        <v>12</v>
      </c>
      <c r="AD17" t="s">
        <v>92</v>
      </c>
      <c r="AE17" t="s">
        <v>119</v>
      </c>
      <c r="AF17" t="s">
        <v>367</v>
      </c>
    </row>
    <row r="18" spans="1:32" x14ac:dyDescent="0.45">
      <c r="A18" t="s">
        <v>202</v>
      </c>
      <c r="B18" t="s">
        <v>368</v>
      </c>
      <c r="C18" t="s">
        <v>369</v>
      </c>
      <c r="D18" t="s">
        <v>370</v>
      </c>
      <c r="E18" t="s">
        <v>358</v>
      </c>
      <c r="F18" t="s">
        <v>365</v>
      </c>
      <c r="H18" t="s">
        <v>371</v>
      </c>
      <c r="J18" t="s">
        <v>92</v>
      </c>
      <c r="K18" t="s">
        <v>12</v>
      </c>
      <c r="L18" t="s">
        <v>12</v>
      </c>
      <c r="M18" t="s">
        <v>182</v>
      </c>
      <c r="N18" t="s">
        <v>12</v>
      </c>
      <c r="O18" t="s">
        <v>12</v>
      </c>
      <c r="P18" t="s">
        <v>12</v>
      </c>
      <c r="Q18" t="s">
        <v>92</v>
      </c>
      <c r="R18" t="s">
        <v>182</v>
      </c>
      <c r="S18" t="s">
        <v>92</v>
      </c>
      <c r="T18" t="s">
        <v>202</v>
      </c>
      <c r="U18" t="s">
        <v>12</v>
      </c>
      <c r="V18" t="s">
        <v>12</v>
      </c>
      <c r="W18" t="s">
        <v>12</v>
      </c>
      <c r="AA18" t="s">
        <v>92</v>
      </c>
      <c r="AB18" t="s">
        <v>12</v>
      </c>
      <c r="AC18" t="s">
        <v>12</v>
      </c>
      <c r="AD18" t="s">
        <v>92</v>
      </c>
      <c r="AE18" t="s">
        <v>119</v>
      </c>
      <c r="AF18" t="s">
        <v>372</v>
      </c>
    </row>
    <row r="19" spans="1:32" x14ac:dyDescent="0.45">
      <c r="A19" t="s">
        <v>373</v>
      </c>
      <c r="B19" t="s">
        <v>374</v>
      </c>
      <c r="C19" t="s">
        <v>375</v>
      </c>
      <c r="D19" t="s">
        <v>376</v>
      </c>
      <c r="E19" t="s">
        <v>377</v>
      </c>
      <c r="F19" t="s">
        <v>378</v>
      </c>
      <c r="H19" t="s">
        <v>379</v>
      </c>
      <c r="J19" t="s">
        <v>92</v>
      </c>
      <c r="K19" t="s">
        <v>12</v>
      </c>
      <c r="L19" t="s">
        <v>12</v>
      </c>
      <c r="M19" t="s">
        <v>182</v>
      </c>
      <c r="N19" t="s">
        <v>12</v>
      </c>
      <c r="O19" t="s">
        <v>12</v>
      </c>
      <c r="P19" t="s">
        <v>12</v>
      </c>
      <c r="Q19" t="s">
        <v>92</v>
      </c>
      <c r="R19" t="s">
        <v>182</v>
      </c>
      <c r="S19" t="s">
        <v>92</v>
      </c>
      <c r="T19" t="s">
        <v>373</v>
      </c>
      <c r="U19" t="s">
        <v>12</v>
      </c>
      <c r="V19" t="s">
        <v>12</v>
      </c>
      <c r="W19" t="s">
        <v>12</v>
      </c>
      <c r="AA19" t="s">
        <v>92</v>
      </c>
      <c r="AB19" t="s">
        <v>12</v>
      </c>
      <c r="AC19" t="s">
        <v>12</v>
      </c>
      <c r="AD19" t="s">
        <v>92</v>
      </c>
      <c r="AE19" t="s">
        <v>119</v>
      </c>
      <c r="AF19" t="s">
        <v>380</v>
      </c>
    </row>
    <row r="20" spans="1:32" x14ac:dyDescent="0.45">
      <c r="A20" t="s">
        <v>381</v>
      </c>
      <c r="B20" t="s">
        <v>382</v>
      </c>
      <c r="C20" t="s">
        <v>383</v>
      </c>
      <c r="D20" t="s">
        <v>384</v>
      </c>
      <c r="E20" t="s">
        <v>385</v>
      </c>
      <c r="F20" t="s">
        <v>386</v>
      </c>
      <c r="H20" t="s">
        <v>387</v>
      </c>
      <c r="J20" t="s">
        <v>92</v>
      </c>
      <c r="K20" t="s">
        <v>12</v>
      </c>
      <c r="L20" t="s">
        <v>12</v>
      </c>
      <c r="M20" t="s">
        <v>182</v>
      </c>
      <c r="N20" t="s">
        <v>12</v>
      </c>
      <c r="O20" t="s">
        <v>12</v>
      </c>
      <c r="P20" t="s">
        <v>12</v>
      </c>
      <c r="Q20" t="s">
        <v>92</v>
      </c>
      <c r="R20" t="s">
        <v>182</v>
      </c>
      <c r="S20" t="s">
        <v>92</v>
      </c>
      <c r="T20" t="s">
        <v>381</v>
      </c>
      <c r="U20" t="s">
        <v>12</v>
      </c>
      <c r="V20" t="s">
        <v>12</v>
      </c>
      <c r="W20" t="s">
        <v>12</v>
      </c>
      <c r="AA20" t="s">
        <v>92</v>
      </c>
      <c r="AB20" t="s">
        <v>12</v>
      </c>
      <c r="AC20" t="s">
        <v>12</v>
      </c>
      <c r="AD20" t="s">
        <v>92</v>
      </c>
      <c r="AE20" t="s">
        <v>119</v>
      </c>
      <c r="AF20" t="s">
        <v>388</v>
      </c>
    </row>
    <row r="21" spans="1:32" x14ac:dyDescent="0.45">
      <c r="A21" t="s">
        <v>389</v>
      </c>
      <c r="B21" t="s">
        <v>390</v>
      </c>
      <c r="C21" t="s">
        <v>391</v>
      </c>
      <c r="D21" t="s">
        <v>392</v>
      </c>
      <c r="E21" t="s">
        <v>385</v>
      </c>
      <c r="F21" t="s">
        <v>386</v>
      </c>
      <c r="H21" t="s">
        <v>393</v>
      </c>
      <c r="J21" t="s">
        <v>92</v>
      </c>
      <c r="K21" t="s">
        <v>12</v>
      </c>
      <c r="L21" t="s">
        <v>12</v>
      </c>
      <c r="M21" t="s">
        <v>182</v>
      </c>
      <c r="N21" t="s">
        <v>12</v>
      </c>
      <c r="O21" t="s">
        <v>12</v>
      </c>
      <c r="P21" t="s">
        <v>12</v>
      </c>
      <c r="Q21" t="s">
        <v>92</v>
      </c>
      <c r="R21" t="s">
        <v>182</v>
      </c>
      <c r="S21" t="s">
        <v>92</v>
      </c>
      <c r="T21" t="s">
        <v>389</v>
      </c>
      <c r="U21" t="s">
        <v>12</v>
      </c>
      <c r="V21" t="s">
        <v>12</v>
      </c>
      <c r="W21" t="s">
        <v>12</v>
      </c>
      <c r="AA21" t="s">
        <v>92</v>
      </c>
      <c r="AB21" t="s">
        <v>12</v>
      </c>
      <c r="AC21" t="s">
        <v>12</v>
      </c>
      <c r="AD21" t="s">
        <v>92</v>
      </c>
      <c r="AE21" t="s">
        <v>119</v>
      </c>
      <c r="AF21" t="s">
        <v>394</v>
      </c>
    </row>
    <row r="22" spans="1:32" x14ac:dyDescent="0.45">
      <c r="A22" t="s">
        <v>395</v>
      </c>
      <c r="B22" t="s">
        <v>396</v>
      </c>
      <c r="C22" t="s">
        <v>397</v>
      </c>
      <c r="D22" t="s">
        <v>398</v>
      </c>
      <c r="E22" t="s">
        <v>399</v>
      </c>
      <c r="F22" t="s">
        <v>400</v>
      </c>
      <c r="H22" t="s">
        <v>401</v>
      </c>
      <c r="J22" t="s">
        <v>92</v>
      </c>
      <c r="K22" t="s">
        <v>12</v>
      </c>
      <c r="L22" t="s">
        <v>12</v>
      </c>
      <c r="M22" t="s">
        <v>182</v>
      </c>
      <c r="N22" t="s">
        <v>12</v>
      </c>
      <c r="O22" t="s">
        <v>12</v>
      </c>
      <c r="P22" t="s">
        <v>12</v>
      </c>
      <c r="Q22" t="s">
        <v>92</v>
      </c>
      <c r="R22" t="s">
        <v>182</v>
      </c>
      <c r="S22" t="s">
        <v>92</v>
      </c>
      <c r="T22" t="s">
        <v>395</v>
      </c>
      <c r="U22" t="s">
        <v>12</v>
      </c>
      <c r="V22" t="s">
        <v>12</v>
      </c>
      <c r="W22" t="s">
        <v>12</v>
      </c>
      <c r="AA22" t="s">
        <v>92</v>
      </c>
      <c r="AB22" t="s">
        <v>12</v>
      </c>
      <c r="AC22" t="s">
        <v>12</v>
      </c>
      <c r="AD22" t="s">
        <v>92</v>
      </c>
      <c r="AE22" t="s">
        <v>143</v>
      </c>
      <c r="AF22" t="s">
        <v>402</v>
      </c>
    </row>
    <row r="23" spans="1:32" x14ac:dyDescent="0.45">
      <c r="A23" t="s">
        <v>403</v>
      </c>
      <c r="B23" t="s">
        <v>404</v>
      </c>
      <c r="C23" t="s">
        <v>405</v>
      </c>
      <c r="D23" t="s">
        <v>406</v>
      </c>
      <c r="E23" t="s">
        <v>399</v>
      </c>
      <c r="F23" t="s">
        <v>400</v>
      </c>
      <c r="H23" t="s">
        <v>407</v>
      </c>
      <c r="J23" t="s">
        <v>92</v>
      </c>
      <c r="K23" t="s">
        <v>12</v>
      </c>
      <c r="L23" t="s">
        <v>12</v>
      </c>
      <c r="M23" t="s">
        <v>182</v>
      </c>
      <c r="N23" t="s">
        <v>12</v>
      </c>
      <c r="O23" t="s">
        <v>12</v>
      </c>
      <c r="P23" t="s">
        <v>12</v>
      </c>
      <c r="Q23" t="s">
        <v>92</v>
      </c>
      <c r="R23" t="s">
        <v>182</v>
      </c>
      <c r="S23" t="s">
        <v>92</v>
      </c>
      <c r="T23" t="s">
        <v>403</v>
      </c>
      <c r="U23" t="s">
        <v>12</v>
      </c>
      <c r="V23" t="s">
        <v>12</v>
      </c>
      <c r="W23" t="s">
        <v>12</v>
      </c>
      <c r="AA23" t="s">
        <v>92</v>
      </c>
      <c r="AB23" t="s">
        <v>12</v>
      </c>
      <c r="AC23" t="s">
        <v>12</v>
      </c>
      <c r="AD23" t="s">
        <v>92</v>
      </c>
      <c r="AE23" t="s">
        <v>119</v>
      </c>
      <c r="AF23" t="s">
        <v>408</v>
      </c>
    </row>
    <row r="24" spans="1:32" x14ac:dyDescent="0.45">
      <c r="A24" t="s">
        <v>122</v>
      </c>
      <c r="B24" t="s">
        <v>409</v>
      </c>
      <c r="C24" t="s">
        <v>410</v>
      </c>
      <c r="D24" t="s">
        <v>411</v>
      </c>
      <c r="E24" t="s">
        <v>412</v>
      </c>
      <c r="F24" t="s">
        <v>413</v>
      </c>
      <c r="H24" t="s">
        <v>414</v>
      </c>
      <c r="J24" t="s">
        <v>92</v>
      </c>
      <c r="K24" t="s">
        <v>12</v>
      </c>
      <c r="L24" t="s">
        <v>12</v>
      </c>
      <c r="M24" t="s">
        <v>182</v>
      </c>
      <c r="N24" t="s">
        <v>12</v>
      </c>
      <c r="O24" t="s">
        <v>12</v>
      </c>
      <c r="P24" t="s">
        <v>12</v>
      </c>
      <c r="Q24" t="s">
        <v>92</v>
      </c>
      <c r="R24" t="s">
        <v>182</v>
      </c>
      <c r="S24" t="s">
        <v>92</v>
      </c>
      <c r="T24" t="s">
        <v>122</v>
      </c>
      <c r="U24" t="s">
        <v>12</v>
      </c>
      <c r="V24" t="s">
        <v>12</v>
      </c>
      <c r="W24" t="s">
        <v>12</v>
      </c>
      <c r="AA24" t="s">
        <v>92</v>
      </c>
      <c r="AB24" t="s">
        <v>12</v>
      </c>
      <c r="AC24" t="s">
        <v>12</v>
      </c>
      <c r="AD24" t="s">
        <v>92</v>
      </c>
      <c r="AE24" t="s">
        <v>119</v>
      </c>
      <c r="AF24" t="s">
        <v>415</v>
      </c>
    </row>
    <row r="25" spans="1:32" x14ac:dyDescent="0.45">
      <c r="A25" t="s">
        <v>416</v>
      </c>
      <c r="B25" t="s">
        <v>417</v>
      </c>
      <c r="C25" t="s">
        <v>418</v>
      </c>
      <c r="D25" t="s">
        <v>419</v>
      </c>
      <c r="E25" t="s">
        <v>412</v>
      </c>
      <c r="F25" t="s">
        <v>413</v>
      </c>
      <c r="H25" t="s">
        <v>420</v>
      </c>
      <c r="J25" t="s">
        <v>92</v>
      </c>
      <c r="K25" t="s">
        <v>12</v>
      </c>
      <c r="L25" t="s">
        <v>12</v>
      </c>
      <c r="M25" t="s">
        <v>182</v>
      </c>
      <c r="N25" t="s">
        <v>12</v>
      </c>
      <c r="O25" t="s">
        <v>12</v>
      </c>
      <c r="P25" t="s">
        <v>12</v>
      </c>
      <c r="Q25" t="s">
        <v>92</v>
      </c>
      <c r="R25" t="s">
        <v>182</v>
      </c>
      <c r="S25" t="s">
        <v>92</v>
      </c>
      <c r="T25" t="s">
        <v>416</v>
      </c>
      <c r="U25" t="s">
        <v>12</v>
      </c>
      <c r="V25" t="s">
        <v>12</v>
      </c>
      <c r="W25" t="s">
        <v>12</v>
      </c>
      <c r="AA25" t="s">
        <v>92</v>
      </c>
      <c r="AB25" t="s">
        <v>12</v>
      </c>
      <c r="AC25" t="s">
        <v>12</v>
      </c>
      <c r="AD25" t="s">
        <v>92</v>
      </c>
      <c r="AE25" t="s">
        <v>119</v>
      </c>
      <c r="AF25" t="s">
        <v>421</v>
      </c>
    </row>
    <row r="26" spans="1:32" x14ac:dyDescent="0.45">
      <c r="A26" t="s">
        <v>422</v>
      </c>
      <c r="B26" t="s">
        <v>423</v>
      </c>
      <c r="C26" t="s">
        <v>424</v>
      </c>
      <c r="D26" t="s">
        <v>425</v>
      </c>
      <c r="E26" t="s">
        <v>426</v>
      </c>
      <c r="F26" t="s">
        <v>427</v>
      </c>
      <c r="H26" t="s">
        <v>428</v>
      </c>
      <c r="J26" t="s">
        <v>92</v>
      </c>
      <c r="K26" t="s">
        <v>12</v>
      </c>
      <c r="L26" t="s">
        <v>12</v>
      </c>
      <c r="M26" t="s">
        <v>182</v>
      </c>
      <c r="N26" t="s">
        <v>12</v>
      </c>
      <c r="O26" t="s">
        <v>12</v>
      </c>
      <c r="P26" t="s">
        <v>12</v>
      </c>
      <c r="Q26" t="s">
        <v>92</v>
      </c>
      <c r="R26" t="s">
        <v>182</v>
      </c>
      <c r="S26" t="s">
        <v>92</v>
      </c>
      <c r="T26" t="s">
        <v>422</v>
      </c>
      <c r="U26" t="s">
        <v>12</v>
      </c>
      <c r="V26" t="s">
        <v>12</v>
      </c>
      <c r="W26" t="s">
        <v>12</v>
      </c>
      <c r="AA26" t="s">
        <v>92</v>
      </c>
      <c r="AB26" t="s">
        <v>12</v>
      </c>
      <c r="AC26" t="s">
        <v>12</v>
      </c>
      <c r="AD26" t="s">
        <v>92</v>
      </c>
      <c r="AE26" t="s">
        <v>143</v>
      </c>
      <c r="AF26" t="s">
        <v>429</v>
      </c>
    </row>
    <row r="27" spans="1:32" x14ac:dyDescent="0.45">
      <c r="A27" t="s">
        <v>430</v>
      </c>
      <c r="B27" t="s">
        <v>431</v>
      </c>
      <c r="C27" t="s">
        <v>432</v>
      </c>
      <c r="D27" t="s">
        <v>433</v>
      </c>
      <c r="E27" t="s">
        <v>434</v>
      </c>
      <c r="F27" t="s">
        <v>435</v>
      </c>
      <c r="H27" t="s">
        <v>436</v>
      </c>
      <c r="J27" t="s">
        <v>92</v>
      </c>
      <c r="K27" t="s">
        <v>12</v>
      </c>
      <c r="L27" t="s">
        <v>12</v>
      </c>
      <c r="M27" t="s">
        <v>182</v>
      </c>
      <c r="N27" t="s">
        <v>12</v>
      </c>
      <c r="O27" t="s">
        <v>12</v>
      </c>
      <c r="P27" t="s">
        <v>12</v>
      </c>
      <c r="Q27" t="s">
        <v>92</v>
      </c>
      <c r="R27" t="s">
        <v>182</v>
      </c>
      <c r="S27" t="s">
        <v>92</v>
      </c>
      <c r="T27" t="s">
        <v>430</v>
      </c>
      <c r="U27" t="s">
        <v>12</v>
      </c>
      <c r="V27" t="s">
        <v>12</v>
      </c>
      <c r="W27" t="s">
        <v>12</v>
      </c>
      <c r="AA27" t="s">
        <v>92</v>
      </c>
      <c r="AB27" t="s">
        <v>12</v>
      </c>
      <c r="AC27" t="s">
        <v>12</v>
      </c>
      <c r="AD27" t="s">
        <v>92</v>
      </c>
      <c r="AE27" t="s">
        <v>119</v>
      </c>
      <c r="AF27" t="s">
        <v>437</v>
      </c>
    </row>
    <row r="28" spans="1:32" x14ac:dyDescent="0.45">
      <c r="A28" t="s">
        <v>438</v>
      </c>
      <c r="B28" t="s">
        <v>439</v>
      </c>
      <c r="C28" t="s">
        <v>440</v>
      </c>
      <c r="D28" t="s">
        <v>441</v>
      </c>
      <c r="E28" t="s">
        <v>434</v>
      </c>
      <c r="F28" t="s">
        <v>435</v>
      </c>
      <c r="H28" t="s">
        <v>442</v>
      </c>
      <c r="J28" t="s">
        <v>92</v>
      </c>
      <c r="K28" t="s">
        <v>12</v>
      </c>
      <c r="L28" t="s">
        <v>12</v>
      </c>
      <c r="M28" t="s">
        <v>182</v>
      </c>
      <c r="N28" t="s">
        <v>12</v>
      </c>
      <c r="O28" t="s">
        <v>12</v>
      </c>
      <c r="P28" t="s">
        <v>12</v>
      </c>
      <c r="Q28" t="s">
        <v>92</v>
      </c>
      <c r="R28" t="s">
        <v>182</v>
      </c>
      <c r="S28" t="s">
        <v>92</v>
      </c>
      <c r="T28" t="s">
        <v>438</v>
      </c>
      <c r="U28" t="s">
        <v>12</v>
      </c>
      <c r="V28" t="s">
        <v>12</v>
      </c>
      <c r="W28" t="s">
        <v>12</v>
      </c>
      <c r="AA28" t="s">
        <v>92</v>
      </c>
      <c r="AB28" t="s">
        <v>12</v>
      </c>
      <c r="AC28" t="s">
        <v>12</v>
      </c>
      <c r="AD28" t="s">
        <v>92</v>
      </c>
      <c r="AE28" t="s">
        <v>119</v>
      </c>
      <c r="AF28" t="s">
        <v>443</v>
      </c>
    </row>
    <row r="29" spans="1:32" x14ac:dyDescent="0.45">
      <c r="A29" t="s">
        <v>444</v>
      </c>
      <c r="B29" t="s">
        <v>445</v>
      </c>
      <c r="C29" t="s">
        <v>446</v>
      </c>
      <c r="D29" t="s">
        <v>447</v>
      </c>
      <c r="E29" t="s">
        <v>448</v>
      </c>
      <c r="F29" t="s">
        <v>449</v>
      </c>
      <c r="H29" t="s">
        <v>450</v>
      </c>
      <c r="J29" t="s">
        <v>92</v>
      </c>
      <c r="K29" t="s">
        <v>12</v>
      </c>
      <c r="L29" t="s">
        <v>12</v>
      </c>
      <c r="M29" t="s">
        <v>182</v>
      </c>
      <c r="N29" t="s">
        <v>12</v>
      </c>
      <c r="O29" t="s">
        <v>12</v>
      </c>
      <c r="P29" t="s">
        <v>12</v>
      </c>
      <c r="Q29" t="s">
        <v>92</v>
      </c>
      <c r="R29" t="s">
        <v>182</v>
      </c>
      <c r="S29" t="s">
        <v>92</v>
      </c>
      <c r="T29" t="s">
        <v>444</v>
      </c>
      <c r="U29" t="s">
        <v>12</v>
      </c>
      <c r="V29" t="s">
        <v>12</v>
      </c>
      <c r="W29" t="s">
        <v>12</v>
      </c>
      <c r="AA29" t="s">
        <v>92</v>
      </c>
      <c r="AB29" t="s">
        <v>12</v>
      </c>
      <c r="AC29" t="s">
        <v>12</v>
      </c>
      <c r="AD29" t="s">
        <v>92</v>
      </c>
      <c r="AE29" t="s">
        <v>119</v>
      </c>
      <c r="AF29" t="s">
        <v>451</v>
      </c>
    </row>
    <row r="30" spans="1:32" x14ac:dyDescent="0.45">
      <c r="A30" t="s">
        <v>452</v>
      </c>
      <c r="B30" t="s">
        <v>453</v>
      </c>
      <c r="C30" t="s">
        <v>454</v>
      </c>
      <c r="D30" t="s">
        <v>455</v>
      </c>
      <c r="E30" t="s">
        <v>456</v>
      </c>
      <c r="F30" t="s">
        <v>457</v>
      </c>
      <c r="H30" t="s">
        <v>458</v>
      </c>
      <c r="J30" t="s">
        <v>92</v>
      </c>
      <c r="K30" t="s">
        <v>12</v>
      </c>
      <c r="L30" t="s">
        <v>12</v>
      </c>
      <c r="M30" t="s">
        <v>182</v>
      </c>
      <c r="N30" t="s">
        <v>12</v>
      </c>
      <c r="O30" t="s">
        <v>12</v>
      </c>
      <c r="P30" t="s">
        <v>12</v>
      </c>
      <c r="Q30" t="s">
        <v>92</v>
      </c>
      <c r="R30" t="s">
        <v>182</v>
      </c>
      <c r="S30" t="s">
        <v>92</v>
      </c>
      <c r="T30" t="s">
        <v>452</v>
      </c>
      <c r="U30" t="s">
        <v>12</v>
      </c>
      <c r="V30" t="s">
        <v>12</v>
      </c>
      <c r="W30" t="s">
        <v>12</v>
      </c>
      <c r="AA30" t="s">
        <v>92</v>
      </c>
      <c r="AB30" t="s">
        <v>12</v>
      </c>
      <c r="AC30" t="s">
        <v>12</v>
      </c>
      <c r="AD30" t="s">
        <v>92</v>
      </c>
      <c r="AE30" t="s">
        <v>119</v>
      </c>
      <c r="AF30" t="s">
        <v>459</v>
      </c>
    </row>
    <row r="31" spans="1:32" x14ac:dyDescent="0.45">
      <c r="A31" t="s">
        <v>460</v>
      </c>
      <c r="B31" t="s">
        <v>461</v>
      </c>
      <c r="C31" t="s">
        <v>462</v>
      </c>
      <c r="D31" t="s">
        <v>463</v>
      </c>
      <c r="E31" t="s">
        <v>456</v>
      </c>
      <c r="F31" t="s">
        <v>457</v>
      </c>
      <c r="H31" t="s">
        <v>464</v>
      </c>
      <c r="J31" t="s">
        <v>92</v>
      </c>
      <c r="K31" t="s">
        <v>12</v>
      </c>
      <c r="L31" t="s">
        <v>12</v>
      </c>
      <c r="M31" t="s">
        <v>182</v>
      </c>
      <c r="N31" t="s">
        <v>12</v>
      </c>
      <c r="O31" t="s">
        <v>12</v>
      </c>
      <c r="P31" t="s">
        <v>12</v>
      </c>
      <c r="Q31" t="s">
        <v>92</v>
      </c>
      <c r="R31" t="s">
        <v>182</v>
      </c>
      <c r="S31" t="s">
        <v>92</v>
      </c>
      <c r="T31" t="s">
        <v>460</v>
      </c>
      <c r="U31" t="s">
        <v>12</v>
      </c>
      <c r="V31" t="s">
        <v>12</v>
      </c>
      <c r="W31" t="s">
        <v>12</v>
      </c>
      <c r="AA31" t="s">
        <v>92</v>
      </c>
      <c r="AB31" t="s">
        <v>12</v>
      </c>
      <c r="AC31" t="s">
        <v>12</v>
      </c>
      <c r="AD31" t="s">
        <v>92</v>
      </c>
      <c r="AE31" t="s">
        <v>119</v>
      </c>
      <c r="AF31" t="s">
        <v>465</v>
      </c>
    </row>
    <row r="32" spans="1:32" x14ac:dyDescent="0.45">
      <c r="A32" t="s">
        <v>466</v>
      </c>
      <c r="B32" t="s">
        <v>467</v>
      </c>
      <c r="C32" t="s">
        <v>468</v>
      </c>
      <c r="D32" t="s">
        <v>469</v>
      </c>
      <c r="E32" t="s">
        <v>470</v>
      </c>
      <c r="F32" t="s">
        <v>471</v>
      </c>
      <c r="H32" t="s">
        <v>472</v>
      </c>
      <c r="J32" t="s">
        <v>92</v>
      </c>
      <c r="K32" t="s">
        <v>12</v>
      </c>
      <c r="L32" t="s">
        <v>12</v>
      </c>
      <c r="M32" t="s">
        <v>182</v>
      </c>
      <c r="N32" t="s">
        <v>12</v>
      </c>
      <c r="O32" t="s">
        <v>12</v>
      </c>
      <c r="P32" t="s">
        <v>12</v>
      </c>
      <c r="Q32" t="s">
        <v>92</v>
      </c>
      <c r="R32" t="s">
        <v>182</v>
      </c>
      <c r="S32" t="s">
        <v>92</v>
      </c>
      <c r="T32" t="s">
        <v>466</v>
      </c>
      <c r="U32" t="s">
        <v>12</v>
      </c>
      <c r="V32" t="s">
        <v>12</v>
      </c>
      <c r="W32" t="s">
        <v>12</v>
      </c>
      <c r="AA32" t="s">
        <v>92</v>
      </c>
      <c r="AB32" t="s">
        <v>12</v>
      </c>
      <c r="AC32" t="s">
        <v>12</v>
      </c>
      <c r="AD32" t="s">
        <v>92</v>
      </c>
      <c r="AE32" t="s">
        <v>119</v>
      </c>
      <c r="AF32" t="s">
        <v>473</v>
      </c>
    </row>
    <row r="33" spans="1:32" x14ac:dyDescent="0.45">
      <c r="A33" t="s">
        <v>106</v>
      </c>
      <c r="B33" t="s">
        <v>474</v>
      </c>
      <c r="C33" t="s">
        <v>475</v>
      </c>
      <c r="D33" t="s">
        <v>476</v>
      </c>
      <c r="E33" t="s">
        <v>477</v>
      </c>
      <c r="F33" t="s">
        <v>478</v>
      </c>
      <c r="H33" t="s">
        <v>479</v>
      </c>
      <c r="J33" t="s">
        <v>92</v>
      </c>
      <c r="K33" t="s">
        <v>12</v>
      </c>
      <c r="L33" t="s">
        <v>12</v>
      </c>
      <c r="M33" t="s">
        <v>182</v>
      </c>
      <c r="N33" t="s">
        <v>12</v>
      </c>
      <c r="O33" t="s">
        <v>12</v>
      </c>
      <c r="P33" t="s">
        <v>12</v>
      </c>
      <c r="Q33" t="s">
        <v>92</v>
      </c>
      <c r="R33" t="s">
        <v>182</v>
      </c>
      <c r="S33" t="s">
        <v>92</v>
      </c>
      <c r="T33" t="s">
        <v>106</v>
      </c>
      <c r="U33" t="s">
        <v>12</v>
      </c>
      <c r="V33" t="s">
        <v>12</v>
      </c>
      <c r="W33" t="s">
        <v>12</v>
      </c>
      <c r="AA33" t="s">
        <v>92</v>
      </c>
      <c r="AB33" t="s">
        <v>12</v>
      </c>
      <c r="AC33" t="s">
        <v>12</v>
      </c>
      <c r="AD33" t="s">
        <v>92</v>
      </c>
      <c r="AE33" t="s">
        <v>119</v>
      </c>
      <c r="AF33" t="s">
        <v>480</v>
      </c>
    </row>
    <row r="34" spans="1:32" x14ac:dyDescent="0.45">
      <c r="A34" t="s">
        <v>481</v>
      </c>
      <c r="B34" t="s">
        <v>482</v>
      </c>
      <c r="C34" t="s">
        <v>483</v>
      </c>
      <c r="D34" t="s">
        <v>484</v>
      </c>
      <c r="E34" t="s">
        <v>477</v>
      </c>
      <c r="F34" t="s">
        <v>478</v>
      </c>
      <c r="H34" t="s">
        <v>485</v>
      </c>
      <c r="J34" t="s">
        <v>92</v>
      </c>
      <c r="K34" t="s">
        <v>12</v>
      </c>
      <c r="L34" t="s">
        <v>12</v>
      </c>
      <c r="M34" t="s">
        <v>182</v>
      </c>
      <c r="N34" t="s">
        <v>12</v>
      </c>
      <c r="O34" t="s">
        <v>12</v>
      </c>
      <c r="P34" t="s">
        <v>12</v>
      </c>
      <c r="Q34" t="s">
        <v>92</v>
      </c>
      <c r="R34" t="s">
        <v>182</v>
      </c>
      <c r="S34" t="s">
        <v>92</v>
      </c>
      <c r="T34" t="s">
        <v>481</v>
      </c>
      <c r="U34" t="s">
        <v>12</v>
      </c>
      <c r="V34" t="s">
        <v>12</v>
      </c>
      <c r="W34" t="s">
        <v>12</v>
      </c>
      <c r="AA34" t="s">
        <v>92</v>
      </c>
      <c r="AB34" t="s">
        <v>12</v>
      </c>
      <c r="AC34" t="s">
        <v>12</v>
      </c>
      <c r="AD34" t="s">
        <v>92</v>
      </c>
      <c r="AE34" t="s">
        <v>119</v>
      </c>
      <c r="AF34" t="s">
        <v>486</v>
      </c>
    </row>
    <row r="35" spans="1:32" x14ac:dyDescent="0.45">
      <c r="A35" t="s">
        <v>487</v>
      </c>
      <c r="B35" t="s">
        <v>488</v>
      </c>
      <c r="C35" t="s">
        <v>489</v>
      </c>
      <c r="D35" t="s">
        <v>490</v>
      </c>
      <c r="E35" t="s">
        <v>491</v>
      </c>
      <c r="F35" t="s">
        <v>492</v>
      </c>
      <c r="H35" t="s">
        <v>493</v>
      </c>
      <c r="J35" t="s">
        <v>92</v>
      </c>
      <c r="K35" t="s">
        <v>12</v>
      </c>
      <c r="L35" t="s">
        <v>12</v>
      </c>
      <c r="M35" t="s">
        <v>182</v>
      </c>
      <c r="N35" t="s">
        <v>12</v>
      </c>
      <c r="O35" t="s">
        <v>12</v>
      </c>
      <c r="P35" t="s">
        <v>12</v>
      </c>
      <c r="Q35" t="s">
        <v>92</v>
      </c>
      <c r="R35" t="s">
        <v>182</v>
      </c>
      <c r="S35" t="s">
        <v>92</v>
      </c>
      <c r="T35" t="s">
        <v>487</v>
      </c>
      <c r="U35" t="s">
        <v>12</v>
      </c>
      <c r="V35" t="s">
        <v>12</v>
      </c>
      <c r="W35" t="s">
        <v>12</v>
      </c>
      <c r="AA35" t="s">
        <v>92</v>
      </c>
      <c r="AB35" t="s">
        <v>12</v>
      </c>
      <c r="AC35" t="s">
        <v>12</v>
      </c>
      <c r="AD35" t="s">
        <v>92</v>
      </c>
      <c r="AE35" t="s">
        <v>119</v>
      </c>
      <c r="AF35" t="s">
        <v>494</v>
      </c>
    </row>
    <row r="36" spans="1:32" x14ac:dyDescent="0.45">
      <c r="A36" t="s">
        <v>116</v>
      </c>
      <c r="B36" t="s">
        <v>495</v>
      </c>
      <c r="C36" t="s">
        <v>496</v>
      </c>
      <c r="D36" t="s">
        <v>497</v>
      </c>
      <c r="E36" t="s">
        <v>498</v>
      </c>
      <c r="F36" t="s">
        <v>499</v>
      </c>
      <c r="H36" t="s">
        <v>500</v>
      </c>
      <c r="J36" t="s">
        <v>92</v>
      </c>
      <c r="K36" t="s">
        <v>12</v>
      </c>
      <c r="L36" t="s">
        <v>12</v>
      </c>
      <c r="M36" t="s">
        <v>182</v>
      </c>
      <c r="N36" t="s">
        <v>12</v>
      </c>
      <c r="O36" t="s">
        <v>12</v>
      </c>
      <c r="P36" t="s">
        <v>12</v>
      </c>
      <c r="Q36" t="s">
        <v>92</v>
      </c>
      <c r="R36" t="s">
        <v>182</v>
      </c>
      <c r="S36" t="s">
        <v>92</v>
      </c>
      <c r="T36" t="s">
        <v>116</v>
      </c>
      <c r="U36" t="s">
        <v>12</v>
      </c>
      <c r="V36" t="s">
        <v>12</v>
      </c>
      <c r="W36" t="s">
        <v>12</v>
      </c>
      <c r="AA36" t="s">
        <v>92</v>
      </c>
      <c r="AB36" t="s">
        <v>12</v>
      </c>
      <c r="AC36" t="s">
        <v>12</v>
      </c>
      <c r="AD36" t="s">
        <v>92</v>
      </c>
      <c r="AE36" t="s">
        <v>143</v>
      </c>
      <c r="AF36" t="s">
        <v>501</v>
      </c>
    </row>
    <row r="37" spans="1:32" x14ac:dyDescent="0.45">
      <c r="A37" t="s">
        <v>138</v>
      </c>
      <c r="B37" t="s">
        <v>502</v>
      </c>
      <c r="C37" t="s">
        <v>503</v>
      </c>
      <c r="D37" t="s">
        <v>504</v>
      </c>
      <c r="E37" t="s">
        <v>505</v>
      </c>
      <c r="F37" t="s">
        <v>506</v>
      </c>
      <c r="H37" t="s">
        <v>507</v>
      </c>
      <c r="J37" t="s">
        <v>92</v>
      </c>
      <c r="K37" t="s">
        <v>12</v>
      </c>
      <c r="L37" t="s">
        <v>12</v>
      </c>
      <c r="M37" t="s">
        <v>182</v>
      </c>
      <c r="N37" t="s">
        <v>12</v>
      </c>
      <c r="O37" t="s">
        <v>12</v>
      </c>
      <c r="P37" t="s">
        <v>12</v>
      </c>
      <c r="Q37" t="s">
        <v>92</v>
      </c>
      <c r="R37" t="s">
        <v>182</v>
      </c>
      <c r="S37" t="s">
        <v>92</v>
      </c>
      <c r="T37" t="s">
        <v>138</v>
      </c>
      <c r="U37" t="s">
        <v>12</v>
      </c>
      <c r="V37" t="s">
        <v>12</v>
      </c>
      <c r="W37" t="s">
        <v>12</v>
      </c>
      <c r="AA37" t="s">
        <v>92</v>
      </c>
      <c r="AB37" t="s">
        <v>12</v>
      </c>
      <c r="AC37" t="s">
        <v>12</v>
      </c>
      <c r="AD37" t="s">
        <v>92</v>
      </c>
      <c r="AE37" t="s">
        <v>119</v>
      </c>
      <c r="AF37" t="s">
        <v>508</v>
      </c>
    </row>
    <row r="38" spans="1:32" x14ac:dyDescent="0.45">
      <c r="A38" t="s">
        <v>265</v>
      </c>
      <c r="B38" t="s">
        <v>509</v>
      </c>
      <c r="C38" t="s">
        <v>510</v>
      </c>
      <c r="D38" t="s">
        <v>511</v>
      </c>
      <c r="E38" t="s">
        <v>512</v>
      </c>
      <c r="F38" t="s">
        <v>513</v>
      </c>
      <c r="H38" t="s">
        <v>514</v>
      </c>
      <c r="J38" t="s">
        <v>92</v>
      </c>
      <c r="K38" t="s">
        <v>12</v>
      </c>
      <c r="L38" t="s">
        <v>12</v>
      </c>
      <c r="M38" t="s">
        <v>182</v>
      </c>
      <c r="N38" t="s">
        <v>12</v>
      </c>
      <c r="O38" t="s">
        <v>12</v>
      </c>
      <c r="P38" t="s">
        <v>12</v>
      </c>
      <c r="Q38" t="s">
        <v>92</v>
      </c>
      <c r="R38" t="s">
        <v>182</v>
      </c>
      <c r="S38" t="s">
        <v>92</v>
      </c>
      <c r="T38" t="s">
        <v>265</v>
      </c>
      <c r="U38" t="s">
        <v>12</v>
      </c>
      <c r="V38" t="s">
        <v>12</v>
      </c>
      <c r="W38" t="s">
        <v>12</v>
      </c>
      <c r="AA38" t="s">
        <v>92</v>
      </c>
      <c r="AB38" t="s">
        <v>12</v>
      </c>
      <c r="AC38" t="s">
        <v>12</v>
      </c>
      <c r="AD38" t="s">
        <v>92</v>
      </c>
      <c r="AE38" t="s">
        <v>119</v>
      </c>
      <c r="AF38" t="s">
        <v>515</v>
      </c>
    </row>
    <row r="39" spans="1:32" x14ac:dyDescent="0.45">
      <c r="A39" t="s">
        <v>516</v>
      </c>
      <c r="B39" t="s">
        <v>517</v>
      </c>
      <c r="C39" t="s">
        <v>518</v>
      </c>
      <c r="D39" t="s">
        <v>519</v>
      </c>
      <c r="E39" t="s">
        <v>520</v>
      </c>
      <c r="F39" t="s">
        <v>521</v>
      </c>
      <c r="H39" t="s">
        <v>522</v>
      </c>
      <c r="J39" t="s">
        <v>92</v>
      </c>
      <c r="K39" t="s">
        <v>12</v>
      </c>
      <c r="L39" t="s">
        <v>12</v>
      </c>
      <c r="M39" t="s">
        <v>182</v>
      </c>
      <c r="N39" t="s">
        <v>12</v>
      </c>
      <c r="O39" t="s">
        <v>12</v>
      </c>
      <c r="P39" t="s">
        <v>12</v>
      </c>
      <c r="Q39" t="s">
        <v>92</v>
      </c>
      <c r="R39" t="s">
        <v>182</v>
      </c>
      <c r="S39" t="s">
        <v>92</v>
      </c>
      <c r="T39" t="s">
        <v>516</v>
      </c>
      <c r="U39" t="s">
        <v>12</v>
      </c>
      <c r="V39" t="s">
        <v>12</v>
      </c>
      <c r="W39" t="s">
        <v>12</v>
      </c>
      <c r="AA39" t="s">
        <v>92</v>
      </c>
      <c r="AB39" t="s">
        <v>12</v>
      </c>
      <c r="AC39" t="s">
        <v>12</v>
      </c>
      <c r="AD39" t="s">
        <v>92</v>
      </c>
      <c r="AE39" t="s">
        <v>119</v>
      </c>
      <c r="AF39" t="s">
        <v>523</v>
      </c>
    </row>
    <row r="40" spans="1:32" x14ac:dyDescent="0.45">
      <c r="A40" t="s">
        <v>524</v>
      </c>
      <c r="B40" t="s">
        <v>525</v>
      </c>
      <c r="C40" t="s">
        <v>526</v>
      </c>
      <c r="D40" t="s">
        <v>527</v>
      </c>
      <c r="E40" t="s">
        <v>528</v>
      </c>
      <c r="F40" t="s">
        <v>529</v>
      </c>
      <c r="H40" t="s">
        <v>530</v>
      </c>
      <c r="I40" t="s">
        <v>531</v>
      </c>
      <c r="J40" t="s">
        <v>92</v>
      </c>
      <c r="K40" t="s">
        <v>12</v>
      </c>
      <c r="L40" t="s">
        <v>12</v>
      </c>
      <c r="M40" t="s">
        <v>182</v>
      </c>
      <c r="N40" t="s">
        <v>12</v>
      </c>
      <c r="O40" t="s">
        <v>12</v>
      </c>
      <c r="P40" t="s">
        <v>12</v>
      </c>
      <c r="Q40" t="s">
        <v>92</v>
      </c>
      <c r="R40" t="s">
        <v>182</v>
      </c>
      <c r="S40" t="s">
        <v>92</v>
      </c>
      <c r="T40" t="s">
        <v>524</v>
      </c>
      <c r="U40" t="s">
        <v>12</v>
      </c>
      <c r="V40" t="s">
        <v>12</v>
      </c>
      <c r="W40" t="s">
        <v>12</v>
      </c>
      <c r="AA40" t="s">
        <v>92</v>
      </c>
      <c r="AB40" t="s">
        <v>12</v>
      </c>
      <c r="AC40" t="s">
        <v>12</v>
      </c>
      <c r="AD40" t="s">
        <v>92</v>
      </c>
      <c r="AE40" t="s">
        <v>119</v>
      </c>
      <c r="AF40" t="s">
        <v>532</v>
      </c>
    </row>
    <row r="41" spans="1:32" x14ac:dyDescent="0.45">
      <c r="A41" t="s">
        <v>533</v>
      </c>
      <c r="B41" t="s">
        <v>534</v>
      </c>
      <c r="C41" t="s">
        <v>535</v>
      </c>
      <c r="D41" t="s">
        <v>536</v>
      </c>
      <c r="E41" t="s">
        <v>537</v>
      </c>
      <c r="F41" t="s">
        <v>538</v>
      </c>
      <c r="H41" t="s">
        <v>539</v>
      </c>
      <c r="J41" t="s">
        <v>92</v>
      </c>
      <c r="K41" t="s">
        <v>12</v>
      </c>
      <c r="L41" t="s">
        <v>12</v>
      </c>
      <c r="M41" t="s">
        <v>182</v>
      </c>
      <c r="N41" t="s">
        <v>12</v>
      </c>
      <c r="O41" t="s">
        <v>12</v>
      </c>
      <c r="P41" t="s">
        <v>12</v>
      </c>
      <c r="Q41" t="s">
        <v>92</v>
      </c>
      <c r="R41" t="s">
        <v>182</v>
      </c>
      <c r="S41" t="s">
        <v>92</v>
      </c>
      <c r="T41" t="s">
        <v>533</v>
      </c>
      <c r="U41" t="s">
        <v>12</v>
      </c>
      <c r="V41" t="s">
        <v>12</v>
      </c>
      <c r="W41" t="s">
        <v>12</v>
      </c>
      <c r="AA41" t="s">
        <v>92</v>
      </c>
      <c r="AB41" t="s">
        <v>12</v>
      </c>
      <c r="AC41" t="s">
        <v>12</v>
      </c>
      <c r="AD41" t="s">
        <v>92</v>
      </c>
      <c r="AE41" t="s">
        <v>119</v>
      </c>
      <c r="AF41" t="s">
        <v>540</v>
      </c>
    </row>
    <row r="42" spans="1:32" x14ac:dyDescent="0.45">
      <c r="A42" t="s">
        <v>541</v>
      </c>
      <c r="B42" t="s">
        <v>542</v>
      </c>
      <c r="C42" t="s">
        <v>543</v>
      </c>
      <c r="D42" t="s">
        <v>544</v>
      </c>
      <c r="E42" t="s">
        <v>545</v>
      </c>
      <c r="F42" t="s">
        <v>546</v>
      </c>
      <c r="H42" t="s">
        <v>547</v>
      </c>
      <c r="J42" t="s">
        <v>92</v>
      </c>
      <c r="K42" t="s">
        <v>12</v>
      </c>
      <c r="L42" t="s">
        <v>12</v>
      </c>
      <c r="M42" t="s">
        <v>182</v>
      </c>
      <c r="N42" t="s">
        <v>12</v>
      </c>
      <c r="O42" t="s">
        <v>12</v>
      </c>
      <c r="P42" t="s">
        <v>12</v>
      </c>
      <c r="Q42" t="s">
        <v>92</v>
      </c>
      <c r="R42" t="s">
        <v>182</v>
      </c>
      <c r="S42" t="s">
        <v>92</v>
      </c>
      <c r="T42" t="s">
        <v>541</v>
      </c>
      <c r="U42" t="s">
        <v>12</v>
      </c>
      <c r="V42" t="s">
        <v>12</v>
      </c>
      <c r="W42" t="s">
        <v>12</v>
      </c>
      <c r="AA42" t="s">
        <v>92</v>
      </c>
      <c r="AB42" t="s">
        <v>12</v>
      </c>
      <c r="AC42" t="s">
        <v>12</v>
      </c>
      <c r="AD42" t="s">
        <v>92</v>
      </c>
      <c r="AE42" t="s">
        <v>119</v>
      </c>
      <c r="AF42" t="s">
        <v>548</v>
      </c>
    </row>
    <row r="43" spans="1:32" x14ac:dyDescent="0.45">
      <c r="A43" t="s">
        <v>212</v>
      </c>
      <c r="B43" t="s">
        <v>549</v>
      </c>
      <c r="C43" t="s">
        <v>550</v>
      </c>
      <c r="D43" t="s">
        <v>551</v>
      </c>
      <c r="E43" t="s">
        <v>552</v>
      </c>
      <c r="F43" t="s">
        <v>553</v>
      </c>
      <c r="H43" t="s">
        <v>554</v>
      </c>
      <c r="J43" t="s">
        <v>92</v>
      </c>
      <c r="K43" t="s">
        <v>12</v>
      </c>
      <c r="L43" t="s">
        <v>12</v>
      </c>
      <c r="M43" t="s">
        <v>182</v>
      </c>
      <c r="N43" t="s">
        <v>12</v>
      </c>
      <c r="O43" t="s">
        <v>12</v>
      </c>
      <c r="P43" t="s">
        <v>12</v>
      </c>
      <c r="Q43" t="s">
        <v>92</v>
      </c>
      <c r="R43" t="s">
        <v>182</v>
      </c>
      <c r="S43" t="s">
        <v>92</v>
      </c>
      <c r="T43" t="s">
        <v>212</v>
      </c>
      <c r="U43" t="s">
        <v>12</v>
      </c>
      <c r="V43" t="s">
        <v>12</v>
      </c>
      <c r="W43" t="s">
        <v>12</v>
      </c>
      <c r="AA43" t="s">
        <v>92</v>
      </c>
      <c r="AB43" t="s">
        <v>12</v>
      </c>
      <c r="AC43" t="s">
        <v>12</v>
      </c>
      <c r="AD43" t="s">
        <v>92</v>
      </c>
      <c r="AE43" t="s">
        <v>119</v>
      </c>
      <c r="AF43" t="s">
        <v>555</v>
      </c>
    </row>
    <row r="44" spans="1:32" x14ac:dyDescent="0.45">
      <c r="A44" t="s">
        <v>556</v>
      </c>
      <c r="B44" t="s">
        <v>557</v>
      </c>
      <c r="C44" t="s">
        <v>558</v>
      </c>
      <c r="D44" t="s">
        <v>559</v>
      </c>
      <c r="E44" t="s">
        <v>560</v>
      </c>
      <c r="F44" t="s">
        <v>561</v>
      </c>
      <c r="H44" t="s">
        <v>562</v>
      </c>
      <c r="J44" t="s">
        <v>92</v>
      </c>
      <c r="K44" t="s">
        <v>12</v>
      </c>
      <c r="L44" t="s">
        <v>12</v>
      </c>
      <c r="M44" t="s">
        <v>182</v>
      </c>
      <c r="N44" t="s">
        <v>12</v>
      </c>
      <c r="O44" t="s">
        <v>12</v>
      </c>
      <c r="P44" t="s">
        <v>12</v>
      </c>
      <c r="Q44" t="s">
        <v>92</v>
      </c>
      <c r="R44" t="s">
        <v>182</v>
      </c>
      <c r="S44" t="s">
        <v>92</v>
      </c>
      <c r="T44" t="s">
        <v>556</v>
      </c>
      <c r="U44" t="s">
        <v>12</v>
      </c>
      <c r="V44" t="s">
        <v>12</v>
      </c>
      <c r="W44" t="s">
        <v>12</v>
      </c>
      <c r="AA44" t="s">
        <v>92</v>
      </c>
      <c r="AB44" t="s">
        <v>12</v>
      </c>
      <c r="AC44" t="s">
        <v>12</v>
      </c>
      <c r="AD44" t="s">
        <v>92</v>
      </c>
      <c r="AE44" t="s">
        <v>119</v>
      </c>
      <c r="AF44" t="s">
        <v>563</v>
      </c>
    </row>
    <row r="45" spans="1:32" x14ac:dyDescent="0.45">
      <c r="A45" t="s">
        <v>564</v>
      </c>
      <c r="B45" t="s">
        <v>565</v>
      </c>
      <c r="C45" t="s">
        <v>566</v>
      </c>
      <c r="D45" t="s">
        <v>567</v>
      </c>
      <c r="E45" t="s">
        <v>568</v>
      </c>
      <c r="F45" t="s">
        <v>569</v>
      </c>
      <c r="H45" t="s">
        <v>570</v>
      </c>
      <c r="J45" t="s">
        <v>92</v>
      </c>
      <c r="K45" t="s">
        <v>12</v>
      </c>
      <c r="L45" t="s">
        <v>12</v>
      </c>
      <c r="M45" t="s">
        <v>182</v>
      </c>
      <c r="N45" t="s">
        <v>12</v>
      </c>
      <c r="O45" t="s">
        <v>12</v>
      </c>
      <c r="P45" t="s">
        <v>12</v>
      </c>
      <c r="Q45" t="s">
        <v>92</v>
      </c>
      <c r="R45" t="s">
        <v>182</v>
      </c>
      <c r="S45" t="s">
        <v>92</v>
      </c>
      <c r="T45" t="s">
        <v>564</v>
      </c>
      <c r="U45" t="s">
        <v>12</v>
      </c>
      <c r="V45" t="s">
        <v>12</v>
      </c>
      <c r="W45" t="s">
        <v>12</v>
      </c>
      <c r="AA45" t="s">
        <v>92</v>
      </c>
      <c r="AB45" t="s">
        <v>12</v>
      </c>
      <c r="AC45" t="s">
        <v>12</v>
      </c>
      <c r="AD45" t="s">
        <v>92</v>
      </c>
      <c r="AE45" t="s">
        <v>119</v>
      </c>
      <c r="AF45" t="s">
        <v>571</v>
      </c>
    </row>
    <row r="46" spans="1:32" x14ac:dyDescent="0.45">
      <c r="A46" t="s">
        <v>572</v>
      </c>
      <c r="B46" t="s">
        <v>573</v>
      </c>
      <c r="C46" t="s">
        <v>574</v>
      </c>
      <c r="D46" t="s">
        <v>575</v>
      </c>
      <c r="E46" t="s">
        <v>576</v>
      </c>
      <c r="F46" t="s">
        <v>577</v>
      </c>
      <c r="H46" t="s">
        <v>578</v>
      </c>
      <c r="J46" t="s">
        <v>92</v>
      </c>
      <c r="K46" t="s">
        <v>12</v>
      </c>
      <c r="L46" t="s">
        <v>12</v>
      </c>
      <c r="M46" t="s">
        <v>182</v>
      </c>
      <c r="N46" t="s">
        <v>12</v>
      </c>
      <c r="O46" t="s">
        <v>12</v>
      </c>
      <c r="P46" t="s">
        <v>12</v>
      </c>
      <c r="Q46" t="s">
        <v>92</v>
      </c>
      <c r="R46" t="s">
        <v>182</v>
      </c>
      <c r="S46" t="s">
        <v>92</v>
      </c>
      <c r="T46" t="s">
        <v>572</v>
      </c>
      <c r="U46" t="s">
        <v>12</v>
      </c>
      <c r="V46" t="s">
        <v>12</v>
      </c>
      <c r="W46" t="s">
        <v>12</v>
      </c>
      <c r="AA46" t="s">
        <v>92</v>
      </c>
      <c r="AB46" t="s">
        <v>12</v>
      </c>
      <c r="AC46" t="s">
        <v>12</v>
      </c>
      <c r="AD46" t="s">
        <v>92</v>
      </c>
      <c r="AE46" t="s">
        <v>119</v>
      </c>
      <c r="AF46" t="s">
        <v>579</v>
      </c>
    </row>
    <row r="47" spans="1:32" x14ac:dyDescent="0.45">
      <c r="A47" t="s">
        <v>580</v>
      </c>
      <c r="B47" t="s">
        <v>581</v>
      </c>
      <c r="C47" t="s">
        <v>582</v>
      </c>
      <c r="D47" t="s">
        <v>583</v>
      </c>
      <c r="E47" t="s">
        <v>584</v>
      </c>
      <c r="F47" t="s">
        <v>585</v>
      </c>
      <c r="H47" t="s">
        <v>586</v>
      </c>
      <c r="J47" t="s">
        <v>92</v>
      </c>
      <c r="K47" t="s">
        <v>12</v>
      </c>
      <c r="L47" t="s">
        <v>12</v>
      </c>
      <c r="M47" t="s">
        <v>182</v>
      </c>
      <c r="N47" t="s">
        <v>12</v>
      </c>
      <c r="O47" t="s">
        <v>12</v>
      </c>
      <c r="P47" t="s">
        <v>12</v>
      </c>
      <c r="Q47" t="s">
        <v>92</v>
      </c>
      <c r="R47" t="s">
        <v>182</v>
      </c>
      <c r="S47" t="s">
        <v>92</v>
      </c>
      <c r="T47" t="s">
        <v>580</v>
      </c>
      <c r="U47" t="s">
        <v>12</v>
      </c>
      <c r="V47" t="s">
        <v>12</v>
      </c>
      <c r="W47" t="s">
        <v>12</v>
      </c>
      <c r="AA47" t="s">
        <v>92</v>
      </c>
      <c r="AB47" t="s">
        <v>12</v>
      </c>
      <c r="AC47" t="s">
        <v>12</v>
      </c>
      <c r="AD47" t="s">
        <v>92</v>
      </c>
      <c r="AE47" t="s">
        <v>119</v>
      </c>
      <c r="AF47" t="s">
        <v>587</v>
      </c>
    </row>
    <row r="48" spans="1:32" x14ac:dyDescent="0.45">
      <c r="A48" t="s">
        <v>152</v>
      </c>
      <c r="B48" t="s">
        <v>588</v>
      </c>
      <c r="C48" t="s">
        <v>589</v>
      </c>
      <c r="D48" t="s">
        <v>588</v>
      </c>
      <c r="E48" t="s">
        <v>590</v>
      </c>
      <c r="F48" t="s">
        <v>591</v>
      </c>
      <c r="G48" t="s">
        <v>592</v>
      </c>
      <c r="H48" t="s">
        <v>593</v>
      </c>
      <c r="J48" t="s">
        <v>92</v>
      </c>
      <c r="K48" t="s">
        <v>12</v>
      </c>
      <c r="L48" t="s">
        <v>12</v>
      </c>
      <c r="M48" t="s">
        <v>182</v>
      </c>
      <c r="N48" t="s">
        <v>12</v>
      </c>
      <c r="O48" t="s">
        <v>12</v>
      </c>
      <c r="P48" t="s">
        <v>12</v>
      </c>
      <c r="Q48" t="s">
        <v>92</v>
      </c>
      <c r="R48" t="s">
        <v>182</v>
      </c>
      <c r="S48" t="s">
        <v>92</v>
      </c>
      <c r="T48" t="s">
        <v>152</v>
      </c>
      <c r="U48" t="s">
        <v>12</v>
      </c>
      <c r="V48" t="s">
        <v>12</v>
      </c>
      <c r="W48" t="s">
        <v>12</v>
      </c>
      <c r="AA48" t="s">
        <v>92</v>
      </c>
      <c r="AB48" t="s">
        <v>12</v>
      </c>
      <c r="AC48" t="s">
        <v>12</v>
      </c>
      <c r="AD48" t="s">
        <v>92</v>
      </c>
      <c r="AE48" t="s">
        <v>119</v>
      </c>
      <c r="AF48" t="s">
        <v>594</v>
      </c>
    </row>
    <row r="49" spans="1:32" x14ac:dyDescent="0.45">
      <c r="A49" t="s">
        <v>595</v>
      </c>
      <c r="B49" t="s">
        <v>596</v>
      </c>
      <c r="C49" t="s">
        <v>597</v>
      </c>
      <c r="D49" t="s">
        <v>596</v>
      </c>
      <c r="E49" t="s">
        <v>598</v>
      </c>
      <c r="F49" t="s">
        <v>599</v>
      </c>
      <c r="G49" t="s">
        <v>600</v>
      </c>
      <c r="J49" t="s">
        <v>92</v>
      </c>
      <c r="K49" t="s">
        <v>12</v>
      </c>
      <c r="L49" t="s">
        <v>12</v>
      </c>
      <c r="M49" t="s">
        <v>182</v>
      </c>
      <c r="N49" t="s">
        <v>12</v>
      </c>
      <c r="O49" t="s">
        <v>12</v>
      </c>
      <c r="P49" t="s">
        <v>12</v>
      </c>
      <c r="Q49" t="s">
        <v>92</v>
      </c>
      <c r="R49" t="s">
        <v>182</v>
      </c>
      <c r="S49" t="s">
        <v>92</v>
      </c>
      <c r="T49" t="s">
        <v>595</v>
      </c>
      <c r="U49" t="s">
        <v>12</v>
      </c>
      <c r="V49" t="s">
        <v>12</v>
      </c>
      <c r="W49" t="s">
        <v>12</v>
      </c>
      <c r="AA49" t="s">
        <v>92</v>
      </c>
      <c r="AB49" t="s">
        <v>12</v>
      </c>
      <c r="AC49" t="s">
        <v>12</v>
      </c>
      <c r="AD49" t="s">
        <v>92</v>
      </c>
      <c r="AE49" t="s">
        <v>166</v>
      </c>
      <c r="AF49" t="s">
        <v>601</v>
      </c>
    </row>
    <row r="50" spans="1:32" x14ac:dyDescent="0.45">
      <c r="A50" t="s">
        <v>105</v>
      </c>
      <c r="B50" t="s">
        <v>588</v>
      </c>
      <c r="C50" t="s">
        <v>589</v>
      </c>
      <c r="D50" t="s">
        <v>588</v>
      </c>
      <c r="E50" t="s">
        <v>590</v>
      </c>
      <c r="F50" t="s">
        <v>591</v>
      </c>
      <c r="G50" t="s">
        <v>602</v>
      </c>
      <c r="H50" t="s">
        <v>593</v>
      </c>
      <c r="J50" t="s">
        <v>92</v>
      </c>
      <c r="K50" t="s">
        <v>12</v>
      </c>
      <c r="L50" t="s">
        <v>12</v>
      </c>
      <c r="M50" t="s">
        <v>182</v>
      </c>
      <c r="N50" t="s">
        <v>12</v>
      </c>
      <c r="O50" t="s">
        <v>12</v>
      </c>
      <c r="P50" t="s">
        <v>12</v>
      </c>
      <c r="Q50" t="s">
        <v>92</v>
      </c>
      <c r="R50" t="s">
        <v>182</v>
      </c>
      <c r="S50" t="s">
        <v>92</v>
      </c>
      <c r="T50" t="s">
        <v>105</v>
      </c>
      <c r="U50" t="s">
        <v>12</v>
      </c>
      <c r="V50" t="s">
        <v>12</v>
      </c>
      <c r="W50" t="s">
        <v>12</v>
      </c>
      <c r="AA50" t="s">
        <v>92</v>
      </c>
      <c r="AB50" t="s">
        <v>12</v>
      </c>
      <c r="AC50" t="s">
        <v>12</v>
      </c>
      <c r="AD50" t="s">
        <v>92</v>
      </c>
      <c r="AE50" t="s">
        <v>119</v>
      </c>
      <c r="AF50" t="s">
        <v>603</v>
      </c>
    </row>
    <row r="51" spans="1:32" x14ac:dyDescent="0.45">
      <c r="A51" t="s">
        <v>604</v>
      </c>
      <c r="B51" t="s">
        <v>605</v>
      </c>
      <c r="C51" t="s">
        <v>606</v>
      </c>
      <c r="D51" t="s">
        <v>607</v>
      </c>
      <c r="E51" t="s">
        <v>608</v>
      </c>
      <c r="F51" t="s">
        <v>609</v>
      </c>
      <c r="G51" t="s">
        <v>610</v>
      </c>
      <c r="H51" t="s">
        <v>611</v>
      </c>
      <c r="I51" t="s">
        <v>610</v>
      </c>
      <c r="J51" t="s">
        <v>92</v>
      </c>
      <c r="K51" t="s">
        <v>12</v>
      </c>
      <c r="L51" t="s">
        <v>12</v>
      </c>
      <c r="M51" t="s">
        <v>182</v>
      </c>
      <c r="N51" t="s">
        <v>12</v>
      </c>
      <c r="O51" t="s">
        <v>12</v>
      </c>
      <c r="P51" t="s">
        <v>12</v>
      </c>
      <c r="Q51" t="s">
        <v>119</v>
      </c>
      <c r="R51" t="s">
        <v>182</v>
      </c>
      <c r="S51" t="s">
        <v>92</v>
      </c>
      <c r="T51" t="s">
        <v>604</v>
      </c>
      <c r="U51" t="s">
        <v>12</v>
      </c>
      <c r="V51" t="s">
        <v>12</v>
      </c>
      <c r="W51" t="s">
        <v>12</v>
      </c>
      <c r="AA51" t="s">
        <v>12</v>
      </c>
      <c r="AB51" t="s">
        <v>12</v>
      </c>
      <c r="AC51" t="s">
        <v>12</v>
      </c>
      <c r="AD51" t="s">
        <v>92</v>
      </c>
      <c r="AE51" t="s">
        <v>166</v>
      </c>
      <c r="AF51" t="s">
        <v>612</v>
      </c>
    </row>
    <row r="52" spans="1:32" x14ac:dyDescent="0.45">
      <c r="A52" t="s">
        <v>613</v>
      </c>
      <c r="B52" t="s">
        <v>614</v>
      </c>
      <c r="C52" t="s">
        <v>615</v>
      </c>
      <c r="D52" t="s">
        <v>614</v>
      </c>
      <c r="E52" t="s">
        <v>608</v>
      </c>
      <c r="F52" t="s">
        <v>609</v>
      </c>
      <c r="G52" t="s">
        <v>610</v>
      </c>
      <c r="H52" t="s">
        <v>616</v>
      </c>
      <c r="I52" t="s">
        <v>610</v>
      </c>
      <c r="J52" t="s">
        <v>92</v>
      </c>
      <c r="K52" t="s">
        <v>12</v>
      </c>
      <c r="L52" t="s">
        <v>12</v>
      </c>
      <c r="M52" t="s">
        <v>182</v>
      </c>
      <c r="N52" t="s">
        <v>12</v>
      </c>
      <c r="O52" t="s">
        <v>12</v>
      </c>
      <c r="P52" t="s">
        <v>12</v>
      </c>
      <c r="Q52" t="s">
        <v>119</v>
      </c>
      <c r="R52" t="s">
        <v>182</v>
      </c>
      <c r="S52" t="s">
        <v>92</v>
      </c>
      <c r="T52" t="s">
        <v>613</v>
      </c>
      <c r="U52" t="s">
        <v>12</v>
      </c>
      <c r="V52" t="s">
        <v>12</v>
      </c>
      <c r="W52" t="s">
        <v>12</v>
      </c>
      <c r="AA52" t="s">
        <v>12</v>
      </c>
      <c r="AB52" t="s">
        <v>12</v>
      </c>
      <c r="AC52" t="s">
        <v>12</v>
      </c>
      <c r="AD52" t="s">
        <v>92</v>
      </c>
      <c r="AE52" t="s">
        <v>166</v>
      </c>
      <c r="AF52" t="s">
        <v>617</v>
      </c>
    </row>
    <row r="53" spans="1:32" x14ac:dyDescent="0.45">
      <c r="A53" t="s">
        <v>618</v>
      </c>
      <c r="B53" t="s">
        <v>619</v>
      </c>
      <c r="C53" t="s">
        <v>620</v>
      </c>
      <c r="D53" t="s">
        <v>621</v>
      </c>
      <c r="E53" t="s">
        <v>622</v>
      </c>
      <c r="F53" t="s">
        <v>623</v>
      </c>
      <c r="H53" t="s">
        <v>624</v>
      </c>
      <c r="J53" t="s">
        <v>92</v>
      </c>
      <c r="K53" t="s">
        <v>12</v>
      </c>
      <c r="L53" t="s">
        <v>12</v>
      </c>
      <c r="M53" t="s">
        <v>182</v>
      </c>
      <c r="N53" t="s">
        <v>12</v>
      </c>
      <c r="O53" t="s">
        <v>12</v>
      </c>
      <c r="P53" t="s">
        <v>12</v>
      </c>
      <c r="Q53" t="s">
        <v>12</v>
      </c>
      <c r="R53" t="s">
        <v>182</v>
      </c>
      <c r="S53" t="s">
        <v>92</v>
      </c>
      <c r="T53" t="s">
        <v>618</v>
      </c>
      <c r="U53" t="s">
        <v>12</v>
      </c>
      <c r="V53" t="s">
        <v>12</v>
      </c>
      <c r="W53" t="s">
        <v>131</v>
      </c>
      <c r="AA53" t="s">
        <v>92</v>
      </c>
      <c r="AB53" t="s">
        <v>12</v>
      </c>
      <c r="AC53" t="s">
        <v>12</v>
      </c>
      <c r="AD53" t="s">
        <v>92</v>
      </c>
      <c r="AE53" t="s">
        <v>166</v>
      </c>
      <c r="AF53" t="s">
        <v>625</v>
      </c>
    </row>
    <row r="54" spans="1:32" x14ac:dyDescent="0.45">
      <c r="A54" t="s">
        <v>626</v>
      </c>
      <c r="B54" t="s">
        <v>627</v>
      </c>
      <c r="C54" t="s">
        <v>620</v>
      </c>
      <c r="D54" t="s">
        <v>627</v>
      </c>
      <c r="E54" t="s">
        <v>622</v>
      </c>
      <c r="F54" t="s">
        <v>623</v>
      </c>
      <c r="H54" t="s">
        <v>624</v>
      </c>
      <c r="J54" t="s">
        <v>92</v>
      </c>
      <c r="K54" t="s">
        <v>12</v>
      </c>
      <c r="L54" t="s">
        <v>12</v>
      </c>
      <c r="M54" t="s">
        <v>182</v>
      </c>
      <c r="N54" t="s">
        <v>12</v>
      </c>
      <c r="O54" t="s">
        <v>12</v>
      </c>
      <c r="P54" t="s">
        <v>12</v>
      </c>
      <c r="Q54" t="s">
        <v>92</v>
      </c>
      <c r="R54" t="s">
        <v>182</v>
      </c>
      <c r="S54" t="s">
        <v>92</v>
      </c>
      <c r="T54" t="s">
        <v>626</v>
      </c>
      <c r="U54" t="s">
        <v>12</v>
      </c>
      <c r="V54" t="s">
        <v>12</v>
      </c>
      <c r="W54" t="s">
        <v>131</v>
      </c>
      <c r="AA54" t="s">
        <v>92</v>
      </c>
      <c r="AB54" t="s">
        <v>12</v>
      </c>
      <c r="AC54" t="s">
        <v>12</v>
      </c>
      <c r="AD54" t="s">
        <v>92</v>
      </c>
      <c r="AE54" t="s">
        <v>166</v>
      </c>
      <c r="AF54" t="s">
        <v>628</v>
      </c>
    </row>
    <row r="55" spans="1:32" x14ac:dyDescent="0.45">
      <c r="A55" t="s">
        <v>182</v>
      </c>
      <c r="B55" t="s">
        <v>629</v>
      </c>
      <c r="C55" t="s">
        <v>630</v>
      </c>
      <c r="D55" t="s">
        <v>629</v>
      </c>
      <c r="E55" t="s">
        <v>608</v>
      </c>
      <c r="F55" t="s">
        <v>609</v>
      </c>
      <c r="H55" t="s">
        <v>631</v>
      </c>
      <c r="J55" t="s">
        <v>92</v>
      </c>
      <c r="K55" t="s">
        <v>12</v>
      </c>
      <c r="L55" t="s">
        <v>12</v>
      </c>
      <c r="M55" t="s">
        <v>182</v>
      </c>
      <c r="N55" t="s">
        <v>12</v>
      </c>
      <c r="O55" t="s">
        <v>12</v>
      </c>
      <c r="P55" t="s">
        <v>12</v>
      </c>
      <c r="Q55" t="s">
        <v>119</v>
      </c>
      <c r="R55" t="s">
        <v>182</v>
      </c>
      <c r="S55" t="s">
        <v>92</v>
      </c>
      <c r="T55" t="s">
        <v>182</v>
      </c>
      <c r="U55" t="s">
        <v>12</v>
      </c>
      <c r="V55" t="s">
        <v>12</v>
      </c>
      <c r="W55" t="s">
        <v>12</v>
      </c>
      <c r="AA55" t="s">
        <v>92</v>
      </c>
      <c r="AB55" t="s">
        <v>12</v>
      </c>
      <c r="AC55" t="s">
        <v>12</v>
      </c>
      <c r="AD55" t="s">
        <v>92</v>
      </c>
      <c r="AE55" t="s">
        <v>166</v>
      </c>
      <c r="AF55" t="s">
        <v>632</v>
      </c>
    </row>
    <row r="56" spans="1:32" x14ac:dyDescent="0.45">
      <c r="A56" t="s">
        <v>99</v>
      </c>
      <c r="B56" t="s">
        <v>633</v>
      </c>
      <c r="C56" t="s">
        <v>634</v>
      </c>
      <c r="D56" t="s">
        <v>633</v>
      </c>
      <c r="E56" t="s">
        <v>635</v>
      </c>
      <c r="F56" t="s">
        <v>636</v>
      </c>
      <c r="H56" t="s">
        <v>637</v>
      </c>
      <c r="I56" t="s">
        <v>638</v>
      </c>
      <c r="J56" t="s">
        <v>92</v>
      </c>
      <c r="K56" t="s">
        <v>12</v>
      </c>
      <c r="L56" t="s">
        <v>12</v>
      </c>
      <c r="M56" t="s">
        <v>182</v>
      </c>
      <c r="N56" t="s">
        <v>12</v>
      </c>
      <c r="O56" t="s">
        <v>12</v>
      </c>
      <c r="P56" t="s">
        <v>12</v>
      </c>
      <c r="Q56" t="s">
        <v>119</v>
      </c>
      <c r="R56" t="s">
        <v>182</v>
      </c>
      <c r="S56" t="s">
        <v>92</v>
      </c>
      <c r="T56" t="s">
        <v>99</v>
      </c>
      <c r="U56" t="s">
        <v>12</v>
      </c>
      <c r="V56" t="s">
        <v>12</v>
      </c>
      <c r="W56" t="s">
        <v>9</v>
      </c>
      <c r="AA56" t="s">
        <v>92</v>
      </c>
      <c r="AB56" t="s">
        <v>12</v>
      </c>
      <c r="AC56" t="s">
        <v>12</v>
      </c>
      <c r="AD56" t="s">
        <v>92</v>
      </c>
      <c r="AE56" t="s">
        <v>119</v>
      </c>
      <c r="AF56" t="s">
        <v>639</v>
      </c>
    </row>
    <row r="57" spans="1:32" x14ac:dyDescent="0.45">
      <c r="A57" t="s">
        <v>640</v>
      </c>
      <c r="B57" t="s">
        <v>641</v>
      </c>
      <c r="C57" t="s">
        <v>642</v>
      </c>
      <c r="D57" t="s">
        <v>641</v>
      </c>
      <c r="H57" t="s">
        <v>637</v>
      </c>
      <c r="I57" t="s">
        <v>638</v>
      </c>
      <c r="J57" t="s">
        <v>92</v>
      </c>
      <c r="K57" t="s">
        <v>12</v>
      </c>
      <c r="L57" t="s">
        <v>12</v>
      </c>
      <c r="M57" t="s">
        <v>182</v>
      </c>
      <c r="N57" t="s">
        <v>12</v>
      </c>
      <c r="O57" t="s">
        <v>12</v>
      </c>
      <c r="P57" t="s">
        <v>12</v>
      </c>
      <c r="Q57" t="s">
        <v>119</v>
      </c>
      <c r="R57" t="s">
        <v>182</v>
      </c>
      <c r="S57" t="s">
        <v>92</v>
      </c>
      <c r="T57" t="s">
        <v>640</v>
      </c>
      <c r="U57" t="s">
        <v>12</v>
      </c>
      <c r="V57" t="s">
        <v>12</v>
      </c>
      <c r="W57" t="s">
        <v>331</v>
      </c>
      <c r="AA57" t="s">
        <v>92</v>
      </c>
      <c r="AB57" t="s">
        <v>12</v>
      </c>
      <c r="AC57" t="s">
        <v>12</v>
      </c>
      <c r="AD57" t="s">
        <v>92</v>
      </c>
      <c r="AE57" t="s">
        <v>166</v>
      </c>
      <c r="AF57" t="s">
        <v>643</v>
      </c>
    </row>
    <row r="58" spans="1:32" x14ac:dyDescent="0.45">
      <c r="A58" t="s">
        <v>644</v>
      </c>
      <c r="B58" t="s">
        <v>645</v>
      </c>
      <c r="C58" t="s">
        <v>646</v>
      </c>
      <c r="D58" t="s">
        <v>645</v>
      </c>
      <c r="H58" t="s">
        <v>637</v>
      </c>
      <c r="I58" t="s">
        <v>638</v>
      </c>
      <c r="J58" t="s">
        <v>92</v>
      </c>
      <c r="K58" t="s">
        <v>12</v>
      </c>
      <c r="L58" t="s">
        <v>12</v>
      </c>
      <c r="M58" t="s">
        <v>182</v>
      </c>
      <c r="N58" t="s">
        <v>12</v>
      </c>
      <c r="O58" t="s">
        <v>12</v>
      </c>
      <c r="P58" t="s">
        <v>12</v>
      </c>
      <c r="Q58" t="s">
        <v>119</v>
      </c>
      <c r="R58" t="s">
        <v>182</v>
      </c>
      <c r="S58" t="s">
        <v>92</v>
      </c>
      <c r="T58" t="s">
        <v>644</v>
      </c>
      <c r="U58" t="s">
        <v>12</v>
      </c>
      <c r="V58" t="s">
        <v>12</v>
      </c>
      <c r="W58" t="s">
        <v>132</v>
      </c>
      <c r="AA58" t="s">
        <v>92</v>
      </c>
      <c r="AB58" t="s">
        <v>12</v>
      </c>
      <c r="AC58" t="s">
        <v>12</v>
      </c>
      <c r="AD58" t="s">
        <v>92</v>
      </c>
      <c r="AE58" t="s">
        <v>166</v>
      </c>
      <c r="AF58" t="s">
        <v>647</v>
      </c>
    </row>
    <row r="59" spans="1:32" x14ac:dyDescent="0.45">
      <c r="A59" t="s">
        <v>648</v>
      </c>
      <c r="B59" t="s">
        <v>649</v>
      </c>
      <c r="C59" t="s">
        <v>650</v>
      </c>
      <c r="D59" t="s">
        <v>649</v>
      </c>
      <c r="H59" t="s">
        <v>637</v>
      </c>
      <c r="I59" t="s">
        <v>638</v>
      </c>
      <c r="J59" t="s">
        <v>92</v>
      </c>
      <c r="K59" t="s">
        <v>12</v>
      </c>
      <c r="L59" t="s">
        <v>12</v>
      </c>
      <c r="M59" t="s">
        <v>182</v>
      </c>
      <c r="N59" t="s">
        <v>12</v>
      </c>
      <c r="O59" t="s">
        <v>12</v>
      </c>
      <c r="P59" t="s">
        <v>12</v>
      </c>
      <c r="Q59" t="s">
        <v>119</v>
      </c>
      <c r="R59" t="s">
        <v>182</v>
      </c>
      <c r="S59" t="s">
        <v>92</v>
      </c>
      <c r="T59" t="s">
        <v>648</v>
      </c>
      <c r="U59" t="s">
        <v>12</v>
      </c>
      <c r="V59" t="s">
        <v>12</v>
      </c>
      <c r="W59" t="s">
        <v>342</v>
      </c>
      <c r="AA59" t="s">
        <v>92</v>
      </c>
      <c r="AB59" t="s">
        <v>12</v>
      </c>
      <c r="AC59" t="s">
        <v>12</v>
      </c>
      <c r="AD59" t="s">
        <v>92</v>
      </c>
      <c r="AE59" t="s">
        <v>166</v>
      </c>
      <c r="AF59" t="s">
        <v>651</v>
      </c>
    </row>
    <row r="60" spans="1:32" x14ac:dyDescent="0.45">
      <c r="A60" t="s">
        <v>652</v>
      </c>
      <c r="B60" t="s">
        <v>653</v>
      </c>
      <c r="C60" t="s">
        <v>654</v>
      </c>
      <c r="D60" t="s">
        <v>655</v>
      </c>
      <c r="H60" t="s">
        <v>637</v>
      </c>
      <c r="I60" t="s">
        <v>638</v>
      </c>
      <c r="J60" t="s">
        <v>92</v>
      </c>
      <c r="K60" t="s">
        <v>12</v>
      </c>
      <c r="L60" t="s">
        <v>12</v>
      </c>
      <c r="M60" t="s">
        <v>182</v>
      </c>
      <c r="N60" t="s">
        <v>12</v>
      </c>
      <c r="O60" t="s">
        <v>12</v>
      </c>
      <c r="P60" t="s">
        <v>12</v>
      </c>
      <c r="Q60" t="s">
        <v>119</v>
      </c>
      <c r="R60" t="s">
        <v>182</v>
      </c>
      <c r="S60" t="s">
        <v>92</v>
      </c>
      <c r="T60" t="s">
        <v>652</v>
      </c>
      <c r="U60" t="s">
        <v>12</v>
      </c>
      <c r="V60" t="s">
        <v>12</v>
      </c>
      <c r="W60" t="s">
        <v>1</v>
      </c>
      <c r="AA60" t="s">
        <v>92</v>
      </c>
      <c r="AB60" t="s">
        <v>12</v>
      </c>
      <c r="AC60" t="s">
        <v>12</v>
      </c>
      <c r="AD60" t="s">
        <v>92</v>
      </c>
      <c r="AE60" t="s">
        <v>166</v>
      </c>
      <c r="AF60" t="s">
        <v>656</v>
      </c>
    </row>
    <row r="61" spans="1:32" x14ac:dyDescent="0.45">
      <c r="A61" t="s">
        <v>657</v>
      </c>
      <c r="B61" t="s">
        <v>658</v>
      </c>
      <c r="C61" t="s">
        <v>659</v>
      </c>
      <c r="D61" t="s">
        <v>660</v>
      </c>
      <c r="E61" t="s">
        <v>635</v>
      </c>
      <c r="F61" t="s">
        <v>661</v>
      </c>
      <c r="H61" t="s">
        <v>637</v>
      </c>
      <c r="I61" t="s">
        <v>638</v>
      </c>
      <c r="J61" t="s">
        <v>92</v>
      </c>
      <c r="K61" t="s">
        <v>12</v>
      </c>
      <c r="L61" t="s">
        <v>12</v>
      </c>
      <c r="M61" t="s">
        <v>182</v>
      </c>
      <c r="N61" t="s">
        <v>12</v>
      </c>
      <c r="O61" t="s">
        <v>12</v>
      </c>
      <c r="P61" t="s">
        <v>12</v>
      </c>
      <c r="Q61" t="s">
        <v>119</v>
      </c>
      <c r="R61" t="s">
        <v>182</v>
      </c>
      <c r="S61" t="s">
        <v>92</v>
      </c>
      <c r="T61" t="s">
        <v>657</v>
      </c>
      <c r="U61" t="s">
        <v>12</v>
      </c>
      <c r="V61" t="s">
        <v>12</v>
      </c>
      <c r="W61" t="s">
        <v>177</v>
      </c>
      <c r="AA61" t="s">
        <v>92</v>
      </c>
      <c r="AB61" t="s">
        <v>12</v>
      </c>
      <c r="AC61" t="s">
        <v>12</v>
      </c>
      <c r="AD61" t="s">
        <v>92</v>
      </c>
      <c r="AE61" t="s">
        <v>166</v>
      </c>
      <c r="AF61" t="s">
        <v>662</v>
      </c>
    </row>
    <row r="62" spans="1:32" x14ac:dyDescent="0.45">
      <c r="A62" t="s">
        <v>663</v>
      </c>
      <c r="B62" t="s">
        <v>664</v>
      </c>
      <c r="C62" t="s">
        <v>665</v>
      </c>
      <c r="D62" t="s">
        <v>666</v>
      </c>
      <c r="E62" t="s">
        <v>635</v>
      </c>
      <c r="F62" t="s">
        <v>661</v>
      </c>
      <c r="H62" t="s">
        <v>637</v>
      </c>
      <c r="I62" t="s">
        <v>638</v>
      </c>
      <c r="J62" t="s">
        <v>92</v>
      </c>
      <c r="K62" t="s">
        <v>12</v>
      </c>
      <c r="L62" t="s">
        <v>12</v>
      </c>
      <c r="M62" t="s">
        <v>182</v>
      </c>
      <c r="N62" t="s">
        <v>12</v>
      </c>
      <c r="O62" t="s">
        <v>12</v>
      </c>
      <c r="P62" t="s">
        <v>12</v>
      </c>
      <c r="Q62" t="s">
        <v>119</v>
      </c>
      <c r="R62" t="s">
        <v>182</v>
      </c>
      <c r="S62" t="s">
        <v>92</v>
      </c>
      <c r="T62" t="s">
        <v>663</v>
      </c>
      <c r="U62" t="s">
        <v>12</v>
      </c>
      <c r="V62" t="s">
        <v>12</v>
      </c>
      <c r="W62" t="s">
        <v>9</v>
      </c>
      <c r="Z62" t="s">
        <v>610</v>
      </c>
      <c r="AA62" t="s">
        <v>92</v>
      </c>
      <c r="AB62" t="s">
        <v>12</v>
      </c>
      <c r="AC62" t="s">
        <v>12</v>
      </c>
      <c r="AD62" t="s">
        <v>92</v>
      </c>
      <c r="AE62" t="s">
        <v>119</v>
      </c>
      <c r="AF62" t="s">
        <v>667</v>
      </c>
    </row>
    <row r="63" spans="1:32" x14ac:dyDescent="0.45">
      <c r="A63" t="s">
        <v>668</v>
      </c>
      <c r="B63" t="s">
        <v>669</v>
      </c>
      <c r="C63" t="s">
        <v>670</v>
      </c>
      <c r="D63" t="s">
        <v>671</v>
      </c>
      <c r="E63" t="s">
        <v>635</v>
      </c>
      <c r="F63" t="s">
        <v>636</v>
      </c>
      <c r="H63" t="s">
        <v>637</v>
      </c>
      <c r="I63" t="s">
        <v>638</v>
      </c>
      <c r="J63" t="s">
        <v>92</v>
      </c>
      <c r="K63" t="s">
        <v>12</v>
      </c>
      <c r="L63" t="s">
        <v>12</v>
      </c>
      <c r="M63" t="s">
        <v>182</v>
      </c>
      <c r="N63" t="s">
        <v>12</v>
      </c>
      <c r="O63" t="s">
        <v>12</v>
      </c>
      <c r="P63" t="s">
        <v>12</v>
      </c>
      <c r="Q63" t="s">
        <v>119</v>
      </c>
      <c r="R63" t="s">
        <v>182</v>
      </c>
      <c r="S63" t="s">
        <v>92</v>
      </c>
      <c r="T63" t="s">
        <v>668</v>
      </c>
      <c r="U63" t="s">
        <v>12</v>
      </c>
      <c r="V63" t="s">
        <v>12</v>
      </c>
      <c r="W63" t="s">
        <v>9</v>
      </c>
      <c r="AA63" t="s">
        <v>92</v>
      </c>
      <c r="AB63" t="s">
        <v>12</v>
      </c>
      <c r="AC63" t="s">
        <v>12</v>
      </c>
      <c r="AD63" t="s">
        <v>92</v>
      </c>
      <c r="AE63" t="s">
        <v>166</v>
      </c>
      <c r="AF63" t="s">
        <v>672</v>
      </c>
    </row>
    <row r="64" spans="1:32" x14ac:dyDescent="0.45">
      <c r="A64" t="s">
        <v>145</v>
      </c>
      <c r="B64" t="s">
        <v>673</v>
      </c>
      <c r="C64" t="s">
        <v>674</v>
      </c>
      <c r="D64" t="s">
        <v>673</v>
      </c>
      <c r="H64" t="s">
        <v>637</v>
      </c>
      <c r="I64" t="s">
        <v>638</v>
      </c>
      <c r="J64" t="s">
        <v>92</v>
      </c>
      <c r="K64" t="s">
        <v>12</v>
      </c>
      <c r="L64" t="s">
        <v>12</v>
      </c>
      <c r="M64" t="s">
        <v>182</v>
      </c>
      <c r="N64" t="s">
        <v>12</v>
      </c>
      <c r="O64" t="s">
        <v>12</v>
      </c>
      <c r="P64" t="s">
        <v>12</v>
      </c>
      <c r="Q64" t="s">
        <v>119</v>
      </c>
      <c r="R64" t="s">
        <v>182</v>
      </c>
      <c r="S64" t="s">
        <v>92</v>
      </c>
      <c r="T64" t="s">
        <v>145</v>
      </c>
      <c r="U64" t="s">
        <v>12</v>
      </c>
      <c r="V64" t="s">
        <v>12</v>
      </c>
      <c r="W64" t="s">
        <v>331</v>
      </c>
      <c r="AA64" t="s">
        <v>92</v>
      </c>
      <c r="AB64" t="s">
        <v>12</v>
      </c>
      <c r="AC64" t="s">
        <v>12</v>
      </c>
      <c r="AD64" t="s">
        <v>92</v>
      </c>
      <c r="AE64" t="s">
        <v>166</v>
      </c>
      <c r="AF64" t="s">
        <v>675</v>
      </c>
    </row>
    <row r="65" spans="1:32" x14ac:dyDescent="0.45">
      <c r="A65" t="s">
        <v>115</v>
      </c>
      <c r="B65" t="s">
        <v>676</v>
      </c>
      <c r="C65" t="s">
        <v>677</v>
      </c>
      <c r="D65" t="s">
        <v>678</v>
      </c>
      <c r="E65" t="s">
        <v>679</v>
      </c>
      <c r="F65" t="s">
        <v>680</v>
      </c>
      <c r="H65" t="s">
        <v>681</v>
      </c>
      <c r="I65" t="s">
        <v>682</v>
      </c>
      <c r="J65" t="s">
        <v>92</v>
      </c>
      <c r="K65" t="s">
        <v>12</v>
      </c>
      <c r="L65" t="s">
        <v>12</v>
      </c>
      <c r="M65" t="s">
        <v>182</v>
      </c>
      <c r="N65" t="s">
        <v>12</v>
      </c>
      <c r="O65" t="s">
        <v>12</v>
      </c>
      <c r="P65" t="s">
        <v>12</v>
      </c>
      <c r="Q65" t="s">
        <v>119</v>
      </c>
      <c r="R65" t="s">
        <v>182</v>
      </c>
      <c r="S65" t="s">
        <v>92</v>
      </c>
      <c r="T65" t="s">
        <v>115</v>
      </c>
      <c r="U65" t="s">
        <v>12</v>
      </c>
      <c r="V65" t="s">
        <v>12</v>
      </c>
      <c r="W65" t="s">
        <v>487</v>
      </c>
      <c r="AA65" t="s">
        <v>92</v>
      </c>
      <c r="AB65" t="s">
        <v>12</v>
      </c>
      <c r="AC65" t="s">
        <v>12</v>
      </c>
      <c r="AD65" t="s">
        <v>92</v>
      </c>
      <c r="AE65" t="s">
        <v>119</v>
      </c>
      <c r="AF65" t="s">
        <v>683</v>
      </c>
    </row>
    <row r="66" spans="1:32" x14ac:dyDescent="0.45">
      <c r="A66" t="s">
        <v>684</v>
      </c>
      <c r="B66" t="s">
        <v>685</v>
      </c>
      <c r="C66" t="s">
        <v>686</v>
      </c>
      <c r="D66" t="s">
        <v>685</v>
      </c>
      <c r="H66" t="s">
        <v>681</v>
      </c>
      <c r="I66" t="s">
        <v>682</v>
      </c>
      <c r="J66" t="s">
        <v>92</v>
      </c>
      <c r="K66" t="s">
        <v>12</v>
      </c>
      <c r="L66" t="s">
        <v>12</v>
      </c>
      <c r="M66" t="s">
        <v>182</v>
      </c>
      <c r="N66" t="s">
        <v>12</v>
      </c>
      <c r="O66" t="s">
        <v>12</v>
      </c>
      <c r="P66" t="s">
        <v>12</v>
      </c>
      <c r="Q66" t="s">
        <v>119</v>
      </c>
      <c r="R66" t="s">
        <v>182</v>
      </c>
      <c r="S66" t="s">
        <v>92</v>
      </c>
      <c r="T66" t="s">
        <v>684</v>
      </c>
      <c r="U66" t="s">
        <v>12</v>
      </c>
      <c r="V66" t="s">
        <v>12</v>
      </c>
      <c r="W66" t="s">
        <v>687</v>
      </c>
      <c r="AA66" t="s">
        <v>92</v>
      </c>
      <c r="AB66" t="s">
        <v>12</v>
      </c>
      <c r="AC66" t="s">
        <v>12</v>
      </c>
      <c r="AD66" t="s">
        <v>92</v>
      </c>
      <c r="AE66" t="s">
        <v>166</v>
      </c>
      <c r="AF66" t="s">
        <v>688</v>
      </c>
    </row>
    <row r="67" spans="1:32" x14ac:dyDescent="0.45">
      <c r="A67" t="s">
        <v>689</v>
      </c>
      <c r="B67" t="s">
        <v>690</v>
      </c>
      <c r="C67" t="s">
        <v>691</v>
      </c>
      <c r="D67" t="s">
        <v>690</v>
      </c>
      <c r="H67" t="s">
        <v>681</v>
      </c>
      <c r="I67" t="s">
        <v>682</v>
      </c>
      <c r="J67" t="s">
        <v>92</v>
      </c>
      <c r="K67" t="s">
        <v>12</v>
      </c>
      <c r="L67" t="s">
        <v>12</v>
      </c>
      <c r="M67" t="s">
        <v>182</v>
      </c>
      <c r="N67" t="s">
        <v>12</v>
      </c>
      <c r="O67" t="s">
        <v>12</v>
      </c>
      <c r="P67" t="s">
        <v>12</v>
      </c>
      <c r="Q67" t="s">
        <v>119</v>
      </c>
      <c r="R67" t="s">
        <v>182</v>
      </c>
      <c r="S67" t="s">
        <v>92</v>
      </c>
      <c r="T67" t="s">
        <v>689</v>
      </c>
      <c r="U67" t="s">
        <v>12</v>
      </c>
      <c r="V67" t="s">
        <v>12</v>
      </c>
      <c r="W67" t="s">
        <v>687</v>
      </c>
      <c r="AA67" t="s">
        <v>92</v>
      </c>
      <c r="AB67" t="s">
        <v>12</v>
      </c>
      <c r="AC67" t="s">
        <v>12</v>
      </c>
      <c r="AD67" t="s">
        <v>92</v>
      </c>
      <c r="AE67" t="s">
        <v>166</v>
      </c>
      <c r="AF67" t="s">
        <v>692</v>
      </c>
    </row>
    <row r="68" spans="1:32" x14ac:dyDescent="0.45">
      <c r="A68" t="s">
        <v>693</v>
      </c>
      <c r="B68" t="s">
        <v>694</v>
      </c>
      <c r="C68" t="s">
        <v>695</v>
      </c>
      <c r="D68" t="s">
        <v>694</v>
      </c>
      <c r="H68" t="s">
        <v>681</v>
      </c>
      <c r="I68" t="s">
        <v>682</v>
      </c>
      <c r="J68" t="s">
        <v>92</v>
      </c>
      <c r="K68" t="s">
        <v>12</v>
      </c>
      <c r="L68" t="s">
        <v>12</v>
      </c>
      <c r="M68" t="s">
        <v>182</v>
      </c>
      <c r="N68" t="s">
        <v>12</v>
      </c>
      <c r="O68" t="s">
        <v>12</v>
      </c>
      <c r="P68" t="s">
        <v>12</v>
      </c>
      <c r="Q68" t="s">
        <v>119</v>
      </c>
      <c r="R68" t="s">
        <v>182</v>
      </c>
      <c r="S68" t="s">
        <v>92</v>
      </c>
      <c r="T68" t="s">
        <v>693</v>
      </c>
      <c r="U68" t="s">
        <v>12</v>
      </c>
      <c r="V68" t="s">
        <v>12</v>
      </c>
      <c r="W68" t="s">
        <v>687</v>
      </c>
      <c r="AA68" t="s">
        <v>92</v>
      </c>
      <c r="AB68" t="s">
        <v>12</v>
      </c>
      <c r="AC68" t="s">
        <v>12</v>
      </c>
      <c r="AD68" t="s">
        <v>92</v>
      </c>
      <c r="AE68" t="s">
        <v>166</v>
      </c>
      <c r="AF68" t="s">
        <v>696</v>
      </c>
    </row>
    <row r="69" spans="1:32" x14ac:dyDescent="0.45">
      <c r="A69" t="s">
        <v>697</v>
      </c>
      <c r="B69" t="s">
        <v>698</v>
      </c>
      <c r="C69" t="s">
        <v>699</v>
      </c>
      <c r="D69" t="s">
        <v>698</v>
      </c>
      <c r="H69" t="s">
        <v>681</v>
      </c>
      <c r="I69" t="s">
        <v>682</v>
      </c>
      <c r="J69" t="s">
        <v>92</v>
      </c>
      <c r="K69" t="s">
        <v>12</v>
      </c>
      <c r="L69" t="s">
        <v>12</v>
      </c>
      <c r="M69" t="s">
        <v>182</v>
      </c>
      <c r="N69" t="s">
        <v>12</v>
      </c>
      <c r="O69" t="s">
        <v>12</v>
      </c>
      <c r="P69" t="s">
        <v>12</v>
      </c>
      <c r="Q69" t="s">
        <v>119</v>
      </c>
      <c r="R69" t="s">
        <v>182</v>
      </c>
      <c r="S69" t="s">
        <v>92</v>
      </c>
      <c r="T69" t="s">
        <v>697</v>
      </c>
      <c r="U69" t="s">
        <v>12</v>
      </c>
      <c r="V69" t="s">
        <v>12</v>
      </c>
      <c r="W69" t="s">
        <v>687</v>
      </c>
      <c r="AA69" t="s">
        <v>92</v>
      </c>
      <c r="AB69" t="s">
        <v>12</v>
      </c>
      <c r="AC69" t="s">
        <v>12</v>
      </c>
      <c r="AD69" t="s">
        <v>92</v>
      </c>
      <c r="AE69" t="s">
        <v>143</v>
      </c>
      <c r="AF69" t="s">
        <v>700</v>
      </c>
    </row>
    <row r="70" spans="1:32" x14ac:dyDescent="0.45">
      <c r="A70" t="s">
        <v>701</v>
      </c>
      <c r="B70" t="s">
        <v>702</v>
      </c>
      <c r="C70" t="s">
        <v>703</v>
      </c>
      <c r="D70" t="s">
        <v>702</v>
      </c>
      <c r="E70" t="s">
        <v>679</v>
      </c>
      <c r="F70" t="s">
        <v>680</v>
      </c>
      <c r="H70" t="s">
        <v>681</v>
      </c>
      <c r="I70" t="s">
        <v>682</v>
      </c>
      <c r="J70" t="s">
        <v>92</v>
      </c>
      <c r="K70" t="s">
        <v>12</v>
      </c>
      <c r="L70" t="s">
        <v>12</v>
      </c>
      <c r="M70" t="s">
        <v>182</v>
      </c>
      <c r="N70" t="s">
        <v>12</v>
      </c>
      <c r="O70" t="s">
        <v>12</v>
      </c>
      <c r="P70" t="s">
        <v>12</v>
      </c>
      <c r="Q70" t="s">
        <v>119</v>
      </c>
      <c r="R70" t="s">
        <v>182</v>
      </c>
      <c r="S70" t="s">
        <v>92</v>
      </c>
      <c r="T70" t="s">
        <v>701</v>
      </c>
      <c r="U70" t="s">
        <v>12</v>
      </c>
      <c r="V70" t="s">
        <v>12</v>
      </c>
      <c r="W70" t="s">
        <v>487</v>
      </c>
      <c r="AA70" t="s">
        <v>92</v>
      </c>
      <c r="AB70" t="s">
        <v>12</v>
      </c>
      <c r="AC70" t="s">
        <v>12</v>
      </c>
      <c r="AD70" t="s">
        <v>92</v>
      </c>
      <c r="AE70" t="s">
        <v>119</v>
      </c>
      <c r="AF70" t="s">
        <v>704</v>
      </c>
    </row>
    <row r="71" spans="1:32" x14ac:dyDescent="0.45">
      <c r="A71" t="s">
        <v>120</v>
      </c>
      <c r="B71" t="s">
        <v>705</v>
      </c>
      <c r="C71" t="s">
        <v>706</v>
      </c>
      <c r="D71" t="s">
        <v>707</v>
      </c>
      <c r="E71" t="s">
        <v>679</v>
      </c>
      <c r="F71" t="s">
        <v>680</v>
      </c>
      <c r="H71" t="s">
        <v>681</v>
      </c>
      <c r="I71" t="s">
        <v>682</v>
      </c>
      <c r="J71" t="s">
        <v>92</v>
      </c>
      <c r="K71" t="s">
        <v>12</v>
      </c>
      <c r="L71" t="s">
        <v>12</v>
      </c>
      <c r="M71" t="s">
        <v>182</v>
      </c>
      <c r="N71" t="s">
        <v>12</v>
      </c>
      <c r="O71" t="s">
        <v>12</v>
      </c>
      <c r="P71" t="s">
        <v>12</v>
      </c>
      <c r="Q71" t="s">
        <v>119</v>
      </c>
      <c r="R71" t="s">
        <v>182</v>
      </c>
      <c r="S71" t="s">
        <v>92</v>
      </c>
      <c r="T71" t="s">
        <v>120</v>
      </c>
      <c r="U71" t="s">
        <v>12</v>
      </c>
      <c r="V71" t="s">
        <v>12</v>
      </c>
      <c r="W71" t="s">
        <v>487</v>
      </c>
      <c r="X71" t="s">
        <v>708</v>
      </c>
      <c r="Y71" t="s">
        <v>709</v>
      </c>
      <c r="AA71" t="s">
        <v>92</v>
      </c>
      <c r="AB71" t="s">
        <v>12</v>
      </c>
      <c r="AC71" t="s">
        <v>12</v>
      </c>
      <c r="AD71" t="s">
        <v>92</v>
      </c>
      <c r="AE71" t="s">
        <v>119</v>
      </c>
      <c r="AF71" t="s">
        <v>710</v>
      </c>
    </row>
    <row r="72" spans="1:32" x14ac:dyDescent="0.45">
      <c r="A72" t="s">
        <v>123</v>
      </c>
      <c r="B72" t="s">
        <v>711</v>
      </c>
      <c r="C72" t="s">
        <v>712</v>
      </c>
      <c r="D72" t="s">
        <v>713</v>
      </c>
      <c r="E72" t="s">
        <v>679</v>
      </c>
      <c r="F72" t="s">
        <v>680</v>
      </c>
      <c r="H72" t="s">
        <v>681</v>
      </c>
      <c r="I72" t="s">
        <v>682</v>
      </c>
      <c r="J72" t="s">
        <v>92</v>
      </c>
      <c r="K72" t="s">
        <v>12</v>
      </c>
      <c r="L72" t="s">
        <v>12</v>
      </c>
      <c r="M72" t="s">
        <v>182</v>
      </c>
      <c r="N72" t="s">
        <v>12</v>
      </c>
      <c r="O72" t="s">
        <v>12</v>
      </c>
      <c r="P72" t="s">
        <v>12</v>
      </c>
      <c r="Q72" t="s">
        <v>119</v>
      </c>
      <c r="R72" t="s">
        <v>182</v>
      </c>
      <c r="S72" t="s">
        <v>92</v>
      </c>
      <c r="T72" t="s">
        <v>123</v>
      </c>
      <c r="U72" t="s">
        <v>12</v>
      </c>
      <c r="V72" t="s">
        <v>12</v>
      </c>
      <c r="W72" t="s">
        <v>487</v>
      </c>
      <c r="AA72" t="s">
        <v>92</v>
      </c>
      <c r="AB72" t="s">
        <v>12</v>
      </c>
      <c r="AC72" t="s">
        <v>12</v>
      </c>
      <c r="AD72" t="s">
        <v>92</v>
      </c>
      <c r="AE72" t="s">
        <v>119</v>
      </c>
      <c r="AF72" t="s">
        <v>714</v>
      </c>
    </row>
    <row r="73" spans="1:32" x14ac:dyDescent="0.45">
      <c r="A73" t="s">
        <v>715</v>
      </c>
      <c r="B73" t="s">
        <v>716</v>
      </c>
      <c r="C73" t="s">
        <v>717</v>
      </c>
      <c r="D73" t="s">
        <v>716</v>
      </c>
      <c r="E73" t="s">
        <v>718</v>
      </c>
      <c r="F73" t="s">
        <v>719</v>
      </c>
      <c r="H73" t="s">
        <v>720</v>
      </c>
      <c r="I73" t="s">
        <v>721</v>
      </c>
      <c r="J73" t="s">
        <v>92</v>
      </c>
      <c r="K73" t="s">
        <v>12</v>
      </c>
      <c r="L73" t="s">
        <v>12</v>
      </c>
      <c r="M73" t="s">
        <v>182</v>
      </c>
      <c r="N73" t="s">
        <v>12</v>
      </c>
      <c r="O73" t="s">
        <v>12</v>
      </c>
      <c r="P73" t="s">
        <v>12</v>
      </c>
      <c r="Q73" t="s">
        <v>119</v>
      </c>
      <c r="R73" t="s">
        <v>182</v>
      </c>
      <c r="S73" t="s">
        <v>92</v>
      </c>
      <c r="T73" t="s">
        <v>715</v>
      </c>
      <c r="U73" t="s">
        <v>12</v>
      </c>
      <c r="V73" t="s">
        <v>12</v>
      </c>
      <c r="W73" t="s">
        <v>430</v>
      </c>
      <c r="AA73" t="s">
        <v>92</v>
      </c>
      <c r="AB73" t="s">
        <v>12</v>
      </c>
      <c r="AC73" t="s">
        <v>12</v>
      </c>
      <c r="AD73" t="s">
        <v>92</v>
      </c>
      <c r="AE73" t="s">
        <v>166</v>
      </c>
      <c r="AF73" t="s">
        <v>722</v>
      </c>
    </row>
    <row r="74" spans="1:32" x14ac:dyDescent="0.45">
      <c r="A74" t="s">
        <v>723</v>
      </c>
      <c r="B74" t="s">
        <v>724</v>
      </c>
      <c r="C74" t="s">
        <v>717</v>
      </c>
      <c r="D74" t="s">
        <v>724</v>
      </c>
      <c r="E74" t="s">
        <v>718</v>
      </c>
      <c r="F74" t="s">
        <v>719</v>
      </c>
      <c r="H74" t="s">
        <v>720</v>
      </c>
      <c r="I74" t="s">
        <v>721</v>
      </c>
      <c r="J74" t="s">
        <v>92</v>
      </c>
      <c r="K74" t="s">
        <v>12</v>
      </c>
      <c r="L74" t="s">
        <v>12</v>
      </c>
      <c r="M74" t="s">
        <v>182</v>
      </c>
      <c r="N74" t="s">
        <v>12</v>
      </c>
      <c r="O74" t="s">
        <v>12</v>
      </c>
      <c r="P74" t="s">
        <v>12</v>
      </c>
      <c r="Q74" t="s">
        <v>119</v>
      </c>
      <c r="R74" t="s">
        <v>182</v>
      </c>
      <c r="S74" t="s">
        <v>92</v>
      </c>
      <c r="T74" t="s">
        <v>723</v>
      </c>
      <c r="U74" t="s">
        <v>12</v>
      </c>
      <c r="V74" t="s">
        <v>12</v>
      </c>
      <c r="W74" t="s">
        <v>12</v>
      </c>
      <c r="AA74" t="s">
        <v>92</v>
      </c>
      <c r="AB74" t="s">
        <v>12</v>
      </c>
      <c r="AC74" t="s">
        <v>12</v>
      </c>
      <c r="AD74" t="s">
        <v>92</v>
      </c>
      <c r="AE74" t="s">
        <v>166</v>
      </c>
      <c r="AF74" t="s">
        <v>725</v>
      </c>
    </row>
    <row r="75" spans="1:32" x14ac:dyDescent="0.45">
      <c r="A75" t="s">
        <v>726</v>
      </c>
      <c r="B75" t="s">
        <v>727</v>
      </c>
      <c r="C75" t="s">
        <v>728</v>
      </c>
      <c r="D75" t="s">
        <v>727</v>
      </c>
      <c r="H75" t="s">
        <v>720</v>
      </c>
      <c r="I75" t="s">
        <v>721</v>
      </c>
      <c r="J75" t="s">
        <v>92</v>
      </c>
      <c r="K75" t="s">
        <v>12</v>
      </c>
      <c r="L75" t="s">
        <v>12</v>
      </c>
      <c r="M75" t="s">
        <v>182</v>
      </c>
      <c r="N75" t="s">
        <v>12</v>
      </c>
      <c r="O75" t="s">
        <v>12</v>
      </c>
      <c r="P75" t="s">
        <v>12</v>
      </c>
      <c r="Q75" t="s">
        <v>119</v>
      </c>
      <c r="R75" t="s">
        <v>182</v>
      </c>
      <c r="S75" t="s">
        <v>92</v>
      </c>
      <c r="T75" t="s">
        <v>726</v>
      </c>
      <c r="U75" t="s">
        <v>12</v>
      </c>
      <c r="V75" t="s">
        <v>12</v>
      </c>
      <c r="W75" t="s">
        <v>12</v>
      </c>
      <c r="AA75" t="s">
        <v>92</v>
      </c>
      <c r="AB75" t="s">
        <v>12</v>
      </c>
      <c r="AC75" t="s">
        <v>12</v>
      </c>
      <c r="AD75" t="s">
        <v>92</v>
      </c>
      <c r="AE75" t="s">
        <v>166</v>
      </c>
      <c r="AF75" t="s">
        <v>729</v>
      </c>
    </row>
    <row r="76" spans="1:32" x14ac:dyDescent="0.45">
      <c r="A76" t="s">
        <v>730</v>
      </c>
      <c r="B76" t="s">
        <v>731</v>
      </c>
      <c r="C76" t="s">
        <v>732</v>
      </c>
      <c r="D76" t="s">
        <v>731</v>
      </c>
      <c r="H76" t="s">
        <v>720</v>
      </c>
      <c r="I76" t="s">
        <v>721</v>
      </c>
      <c r="J76" t="s">
        <v>92</v>
      </c>
      <c r="K76" t="s">
        <v>12</v>
      </c>
      <c r="L76" t="s">
        <v>12</v>
      </c>
      <c r="M76" t="s">
        <v>182</v>
      </c>
      <c r="N76" t="s">
        <v>12</v>
      </c>
      <c r="O76" t="s">
        <v>12</v>
      </c>
      <c r="P76" t="s">
        <v>12</v>
      </c>
      <c r="Q76" t="s">
        <v>119</v>
      </c>
      <c r="R76" t="s">
        <v>182</v>
      </c>
      <c r="S76" t="s">
        <v>92</v>
      </c>
      <c r="T76" t="s">
        <v>730</v>
      </c>
      <c r="U76" t="s">
        <v>12</v>
      </c>
      <c r="V76" t="s">
        <v>12</v>
      </c>
      <c r="W76" t="s">
        <v>733</v>
      </c>
      <c r="AA76" t="s">
        <v>12</v>
      </c>
      <c r="AB76" t="s">
        <v>12</v>
      </c>
      <c r="AC76" t="s">
        <v>12</v>
      </c>
      <c r="AD76" t="s">
        <v>92</v>
      </c>
      <c r="AE76" t="s">
        <v>166</v>
      </c>
      <c r="AF76" t="s">
        <v>734</v>
      </c>
    </row>
    <row r="77" spans="1:32" x14ac:dyDescent="0.45">
      <c r="A77" t="s">
        <v>735</v>
      </c>
      <c r="B77" t="s">
        <v>736</v>
      </c>
      <c r="C77" t="s">
        <v>737</v>
      </c>
      <c r="D77" t="s">
        <v>738</v>
      </c>
      <c r="H77" t="s">
        <v>720</v>
      </c>
      <c r="I77" t="s">
        <v>721</v>
      </c>
      <c r="J77" t="s">
        <v>92</v>
      </c>
      <c r="K77" t="s">
        <v>12</v>
      </c>
      <c r="L77" t="s">
        <v>12</v>
      </c>
      <c r="M77" t="s">
        <v>182</v>
      </c>
      <c r="N77" t="s">
        <v>12</v>
      </c>
      <c r="O77" t="s">
        <v>12</v>
      </c>
      <c r="P77" t="s">
        <v>12</v>
      </c>
      <c r="Q77" t="s">
        <v>119</v>
      </c>
      <c r="R77" t="s">
        <v>182</v>
      </c>
      <c r="S77" t="s">
        <v>92</v>
      </c>
      <c r="T77" t="s">
        <v>730</v>
      </c>
      <c r="U77" t="s">
        <v>12</v>
      </c>
      <c r="V77" t="s">
        <v>12</v>
      </c>
      <c r="W77" t="s">
        <v>739</v>
      </c>
      <c r="AA77" t="s">
        <v>12</v>
      </c>
      <c r="AB77" t="s">
        <v>12</v>
      </c>
      <c r="AC77" t="s">
        <v>12</v>
      </c>
      <c r="AD77" t="s">
        <v>92</v>
      </c>
      <c r="AE77" t="s">
        <v>143</v>
      </c>
      <c r="AF77" t="s">
        <v>740</v>
      </c>
    </row>
    <row r="78" spans="1:32" x14ac:dyDescent="0.45">
      <c r="A78" t="s">
        <v>124</v>
      </c>
      <c r="B78" t="s">
        <v>741</v>
      </c>
      <c r="C78" t="s">
        <v>742</v>
      </c>
      <c r="D78" t="s">
        <v>743</v>
      </c>
      <c r="E78" t="s">
        <v>744</v>
      </c>
      <c r="F78" t="s">
        <v>745</v>
      </c>
      <c r="H78" t="s">
        <v>746</v>
      </c>
      <c r="I78" t="s">
        <v>747</v>
      </c>
      <c r="J78" t="s">
        <v>92</v>
      </c>
      <c r="K78" t="s">
        <v>12</v>
      </c>
      <c r="L78" t="s">
        <v>12</v>
      </c>
      <c r="M78" t="s">
        <v>182</v>
      </c>
      <c r="N78" t="s">
        <v>12</v>
      </c>
      <c r="O78" t="s">
        <v>12</v>
      </c>
      <c r="P78" t="s">
        <v>12</v>
      </c>
      <c r="Q78" t="s">
        <v>119</v>
      </c>
      <c r="R78" t="s">
        <v>182</v>
      </c>
      <c r="S78" t="s">
        <v>92</v>
      </c>
      <c r="T78" t="s">
        <v>124</v>
      </c>
      <c r="U78" t="s">
        <v>12</v>
      </c>
      <c r="V78" t="s">
        <v>12</v>
      </c>
      <c r="W78" t="s">
        <v>748</v>
      </c>
      <c r="AA78" t="s">
        <v>92</v>
      </c>
      <c r="AB78" t="s">
        <v>12</v>
      </c>
      <c r="AC78" t="s">
        <v>12</v>
      </c>
      <c r="AD78" t="s">
        <v>92</v>
      </c>
      <c r="AE78" t="s">
        <v>119</v>
      </c>
      <c r="AF78" t="s">
        <v>749</v>
      </c>
    </row>
    <row r="79" spans="1:32" x14ac:dyDescent="0.45">
      <c r="A79" t="s">
        <v>750</v>
      </c>
      <c r="B79" t="s">
        <v>751</v>
      </c>
      <c r="C79" t="s">
        <v>752</v>
      </c>
      <c r="D79" t="s">
        <v>751</v>
      </c>
      <c r="H79" t="s">
        <v>746</v>
      </c>
      <c r="I79" t="s">
        <v>747</v>
      </c>
      <c r="J79" t="s">
        <v>92</v>
      </c>
      <c r="K79" t="s">
        <v>12</v>
      </c>
      <c r="L79" t="s">
        <v>12</v>
      </c>
      <c r="M79" t="s">
        <v>182</v>
      </c>
      <c r="N79" t="s">
        <v>12</v>
      </c>
      <c r="O79" t="s">
        <v>12</v>
      </c>
      <c r="P79" t="s">
        <v>12</v>
      </c>
      <c r="Q79" t="s">
        <v>119</v>
      </c>
      <c r="R79" t="s">
        <v>182</v>
      </c>
      <c r="S79" t="s">
        <v>92</v>
      </c>
      <c r="T79" t="s">
        <v>750</v>
      </c>
      <c r="U79" t="s">
        <v>12</v>
      </c>
      <c r="V79" t="s">
        <v>12</v>
      </c>
      <c r="W79" t="s">
        <v>533</v>
      </c>
      <c r="AA79" t="s">
        <v>92</v>
      </c>
      <c r="AB79" t="s">
        <v>12</v>
      </c>
      <c r="AC79" t="s">
        <v>12</v>
      </c>
      <c r="AD79" t="s">
        <v>92</v>
      </c>
      <c r="AE79" t="s">
        <v>166</v>
      </c>
      <c r="AF79" t="s">
        <v>753</v>
      </c>
    </row>
    <row r="80" spans="1:32" x14ac:dyDescent="0.45">
      <c r="A80" t="s">
        <v>754</v>
      </c>
      <c r="B80" t="s">
        <v>755</v>
      </c>
      <c r="C80" t="s">
        <v>756</v>
      </c>
      <c r="D80" t="s">
        <v>755</v>
      </c>
      <c r="H80" t="s">
        <v>746</v>
      </c>
      <c r="I80" t="s">
        <v>747</v>
      </c>
      <c r="J80" t="s">
        <v>92</v>
      </c>
      <c r="K80" t="s">
        <v>12</v>
      </c>
      <c r="L80" t="s">
        <v>12</v>
      </c>
      <c r="M80" t="s">
        <v>182</v>
      </c>
      <c r="N80" t="s">
        <v>12</v>
      </c>
      <c r="O80" t="s">
        <v>12</v>
      </c>
      <c r="P80" t="s">
        <v>12</v>
      </c>
      <c r="Q80" t="s">
        <v>119</v>
      </c>
      <c r="R80" t="s">
        <v>182</v>
      </c>
      <c r="S80" t="s">
        <v>92</v>
      </c>
      <c r="T80" t="s">
        <v>754</v>
      </c>
      <c r="U80" t="s">
        <v>12</v>
      </c>
      <c r="V80" t="s">
        <v>12</v>
      </c>
      <c r="W80" t="s">
        <v>533</v>
      </c>
      <c r="AA80" t="s">
        <v>92</v>
      </c>
      <c r="AB80" t="s">
        <v>12</v>
      </c>
      <c r="AC80" t="s">
        <v>12</v>
      </c>
      <c r="AD80" t="s">
        <v>92</v>
      </c>
      <c r="AE80" t="s">
        <v>166</v>
      </c>
      <c r="AF80" t="s">
        <v>757</v>
      </c>
    </row>
    <row r="81" spans="1:32" x14ac:dyDescent="0.45">
      <c r="A81" t="s">
        <v>758</v>
      </c>
      <c r="B81" t="s">
        <v>759</v>
      </c>
      <c r="C81" t="s">
        <v>760</v>
      </c>
      <c r="D81" t="s">
        <v>759</v>
      </c>
      <c r="E81" t="s">
        <v>744</v>
      </c>
      <c r="F81" t="s">
        <v>761</v>
      </c>
      <c r="H81" t="s">
        <v>746</v>
      </c>
      <c r="I81" t="s">
        <v>747</v>
      </c>
      <c r="J81" t="s">
        <v>92</v>
      </c>
      <c r="K81" t="s">
        <v>12</v>
      </c>
      <c r="L81" t="s">
        <v>12</v>
      </c>
      <c r="M81" t="s">
        <v>182</v>
      </c>
      <c r="N81" t="s">
        <v>12</v>
      </c>
      <c r="O81" t="s">
        <v>12</v>
      </c>
      <c r="P81" t="s">
        <v>12</v>
      </c>
      <c r="Q81" t="s">
        <v>119</v>
      </c>
      <c r="R81" t="s">
        <v>182</v>
      </c>
      <c r="S81" t="s">
        <v>92</v>
      </c>
      <c r="T81" t="s">
        <v>758</v>
      </c>
      <c r="U81" t="s">
        <v>12</v>
      </c>
      <c r="V81" t="s">
        <v>12</v>
      </c>
      <c r="W81" t="s">
        <v>748</v>
      </c>
      <c r="AA81" t="s">
        <v>92</v>
      </c>
      <c r="AB81" t="s">
        <v>12</v>
      </c>
      <c r="AC81" t="s">
        <v>12</v>
      </c>
      <c r="AD81" t="s">
        <v>92</v>
      </c>
      <c r="AE81" t="s">
        <v>119</v>
      </c>
      <c r="AF81" t="s">
        <v>762</v>
      </c>
    </row>
    <row r="82" spans="1:32" x14ac:dyDescent="0.45">
      <c r="A82" t="s">
        <v>763</v>
      </c>
      <c r="B82" t="s">
        <v>764</v>
      </c>
      <c r="C82" t="s">
        <v>765</v>
      </c>
      <c r="D82" t="s">
        <v>766</v>
      </c>
      <c r="H82" t="s">
        <v>746</v>
      </c>
      <c r="I82" t="s">
        <v>747</v>
      </c>
      <c r="J82" t="s">
        <v>92</v>
      </c>
      <c r="K82" t="s">
        <v>12</v>
      </c>
      <c r="L82" t="s">
        <v>12</v>
      </c>
      <c r="M82" t="s">
        <v>182</v>
      </c>
      <c r="N82" t="s">
        <v>12</v>
      </c>
      <c r="O82" t="s">
        <v>12</v>
      </c>
      <c r="P82" t="s">
        <v>12</v>
      </c>
      <c r="Q82" t="s">
        <v>119</v>
      </c>
      <c r="R82" t="s">
        <v>182</v>
      </c>
      <c r="S82" t="s">
        <v>92</v>
      </c>
      <c r="T82" t="s">
        <v>763</v>
      </c>
      <c r="U82" t="s">
        <v>12</v>
      </c>
      <c r="V82" t="s">
        <v>12</v>
      </c>
      <c r="W82" t="s">
        <v>533</v>
      </c>
      <c r="AA82" t="s">
        <v>92</v>
      </c>
      <c r="AB82" t="s">
        <v>12</v>
      </c>
      <c r="AC82" t="s">
        <v>12</v>
      </c>
      <c r="AD82" t="s">
        <v>92</v>
      </c>
      <c r="AE82" t="s">
        <v>119</v>
      </c>
      <c r="AF82" t="s">
        <v>767</v>
      </c>
    </row>
    <row r="83" spans="1:32" x14ac:dyDescent="0.45">
      <c r="A83" t="s">
        <v>127</v>
      </c>
      <c r="B83" t="s">
        <v>768</v>
      </c>
      <c r="C83" t="s">
        <v>769</v>
      </c>
      <c r="D83" t="s">
        <v>770</v>
      </c>
      <c r="E83" t="s">
        <v>744</v>
      </c>
      <c r="F83" t="s">
        <v>745</v>
      </c>
      <c r="H83" t="s">
        <v>746</v>
      </c>
      <c r="I83" t="s">
        <v>747</v>
      </c>
      <c r="J83" t="s">
        <v>92</v>
      </c>
      <c r="K83" t="s">
        <v>12</v>
      </c>
      <c r="L83" t="s">
        <v>12</v>
      </c>
      <c r="M83" t="s">
        <v>182</v>
      </c>
      <c r="N83" t="s">
        <v>12</v>
      </c>
      <c r="O83" t="s">
        <v>12</v>
      </c>
      <c r="P83" t="s">
        <v>12</v>
      </c>
      <c r="Q83" t="s">
        <v>119</v>
      </c>
      <c r="R83" t="s">
        <v>182</v>
      </c>
      <c r="S83" t="s">
        <v>92</v>
      </c>
      <c r="T83" t="s">
        <v>127</v>
      </c>
      <c r="U83" t="s">
        <v>12</v>
      </c>
      <c r="V83" t="s">
        <v>12</v>
      </c>
      <c r="W83" t="s">
        <v>748</v>
      </c>
      <c r="X83" t="s">
        <v>708</v>
      </c>
      <c r="Y83" t="s">
        <v>709</v>
      </c>
      <c r="AA83" t="s">
        <v>92</v>
      </c>
      <c r="AB83" t="s">
        <v>12</v>
      </c>
      <c r="AC83" t="s">
        <v>12</v>
      </c>
      <c r="AD83" t="s">
        <v>92</v>
      </c>
      <c r="AE83" t="s">
        <v>119</v>
      </c>
      <c r="AF83" t="s">
        <v>771</v>
      </c>
    </row>
    <row r="84" spans="1:32" x14ac:dyDescent="0.45">
      <c r="A84" t="s">
        <v>129</v>
      </c>
      <c r="B84" t="s">
        <v>772</v>
      </c>
      <c r="C84" t="s">
        <v>773</v>
      </c>
      <c r="D84" t="s">
        <v>774</v>
      </c>
      <c r="E84" t="s">
        <v>744</v>
      </c>
      <c r="F84" t="s">
        <v>745</v>
      </c>
      <c r="H84" t="s">
        <v>746</v>
      </c>
      <c r="I84" t="s">
        <v>747</v>
      </c>
      <c r="J84" t="s">
        <v>92</v>
      </c>
      <c r="K84" t="s">
        <v>12</v>
      </c>
      <c r="L84" t="s">
        <v>12</v>
      </c>
      <c r="M84" t="s">
        <v>182</v>
      </c>
      <c r="N84" t="s">
        <v>12</v>
      </c>
      <c r="O84" t="s">
        <v>12</v>
      </c>
      <c r="P84" t="s">
        <v>12</v>
      </c>
      <c r="Q84" t="s">
        <v>119</v>
      </c>
      <c r="R84" t="s">
        <v>182</v>
      </c>
      <c r="S84" t="s">
        <v>92</v>
      </c>
      <c r="T84" t="s">
        <v>129</v>
      </c>
      <c r="U84" t="s">
        <v>12</v>
      </c>
      <c r="V84" t="s">
        <v>12</v>
      </c>
      <c r="W84" t="s">
        <v>748</v>
      </c>
      <c r="AA84" t="s">
        <v>92</v>
      </c>
      <c r="AB84" t="s">
        <v>12</v>
      </c>
      <c r="AC84" t="s">
        <v>12</v>
      </c>
      <c r="AD84" t="s">
        <v>92</v>
      </c>
      <c r="AE84" t="s">
        <v>119</v>
      </c>
      <c r="AF84" t="s">
        <v>775</v>
      </c>
    </row>
    <row r="85" spans="1:32" x14ac:dyDescent="0.45">
      <c r="A85" t="s">
        <v>131</v>
      </c>
      <c r="B85" t="s">
        <v>776</v>
      </c>
      <c r="C85" t="s">
        <v>777</v>
      </c>
      <c r="D85" t="s">
        <v>778</v>
      </c>
      <c r="E85" t="s">
        <v>779</v>
      </c>
      <c r="F85" t="s">
        <v>780</v>
      </c>
      <c r="H85" t="s">
        <v>781</v>
      </c>
      <c r="I85" t="s">
        <v>782</v>
      </c>
      <c r="J85" t="s">
        <v>92</v>
      </c>
      <c r="K85" t="s">
        <v>12</v>
      </c>
      <c r="L85" t="s">
        <v>12</v>
      </c>
      <c r="M85" t="s">
        <v>182</v>
      </c>
      <c r="N85" t="s">
        <v>12</v>
      </c>
      <c r="O85" t="s">
        <v>12</v>
      </c>
      <c r="P85" t="s">
        <v>12</v>
      </c>
      <c r="Q85" t="s">
        <v>119</v>
      </c>
      <c r="R85" t="s">
        <v>182</v>
      </c>
      <c r="S85" t="s">
        <v>92</v>
      </c>
      <c r="T85" t="s">
        <v>131</v>
      </c>
      <c r="U85" t="s">
        <v>12</v>
      </c>
      <c r="V85" t="s">
        <v>12</v>
      </c>
      <c r="W85" t="s">
        <v>783</v>
      </c>
      <c r="AA85" t="s">
        <v>92</v>
      </c>
      <c r="AB85" t="s">
        <v>12</v>
      </c>
      <c r="AC85" t="s">
        <v>12</v>
      </c>
      <c r="AD85" t="s">
        <v>92</v>
      </c>
      <c r="AE85" t="s">
        <v>119</v>
      </c>
      <c r="AF85" t="s">
        <v>784</v>
      </c>
    </row>
    <row r="86" spans="1:32" x14ac:dyDescent="0.45">
      <c r="A86" t="s">
        <v>785</v>
      </c>
      <c r="B86" t="s">
        <v>786</v>
      </c>
      <c r="C86" t="s">
        <v>787</v>
      </c>
      <c r="D86" t="s">
        <v>786</v>
      </c>
      <c r="H86" t="s">
        <v>781</v>
      </c>
      <c r="I86" t="s">
        <v>782</v>
      </c>
      <c r="J86" t="s">
        <v>92</v>
      </c>
      <c r="K86" t="s">
        <v>12</v>
      </c>
      <c r="L86" t="s">
        <v>12</v>
      </c>
      <c r="M86" t="s">
        <v>182</v>
      </c>
      <c r="N86" t="s">
        <v>12</v>
      </c>
      <c r="O86" t="s">
        <v>12</v>
      </c>
      <c r="P86" t="s">
        <v>12</v>
      </c>
      <c r="Q86" t="s">
        <v>119</v>
      </c>
      <c r="R86" t="s">
        <v>182</v>
      </c>
      <c r="S86" t="s">
        <v>92</v>
      </c>
      <c r="T86" t="s">
        <v>785</v>
      </c>
      <c r="U86" t="s">
        <v>12</v>
      </c>
      <c r="V86" t="s">
        <v>12</v>
      </c>
      <c r="W86" t="s">
        <v>788</v>
      </c>
      <c r="AA86" t="s">
        <v>92</v>
      </c>
      <c r="AB86" t="s">
        <v>12</v>
      </c>
      <c r="AC86" t="s">
        <v>12</v>
      </c>
      <c r="AD86" t="s">
        <v>92</v>
      </c>
      <c r="AE86" t="s">
        <v>166</v>
      </c>
      <c r="AF86" t="s">
        <v>789</v>
      </c>
    </row>
    <row r="87" spans="1:32" x14ac:dyDescent="0.45">
      <c r="A87" t="s">
        <v>790</v>
      </c>
      <c r="B87" t="s">
        <v>791</v>
      </c>
      <c r="C87" t="s">
        <v>792</v>
      </c>
      <c r="D87" t="s">
        <v>791</v>
      </c>
      <c r="H87" t="s">
        <v>781</v>
      </c>
      <c r="I87" t="s">
        <v>782</v>
      </c>
      <c r="J87" t="s">
        <v>92</v>
      </c>
      <c r="K87" t="s">
        <v>12</v>
      </c>
      <c r="L87" t="s">
        <v>12</v>
      </c>
      <c r="M87" t="s">
        <v>182</v>
      </c>
      <c r="N87" t="s">
        <v>12</v>
      </c>
      <c r="O87" t="s">
        <v>12</v>
      </c>
      <c r="P87" t="s">
        <v>12</v>
      </c>
      <c r="Q87" t="s">
        <v>119</v>
      </c>
      <c r="R87" t="s">
        <v>182</v>
      </c>
      <c r="S87" t="s">
        <v>92</v>
      </c>
      <c r="T87" t="s">
        <v>790</v>
      </c>
      <c r="U87" t="s">
        <v>12</v>
      </c>
      <c r="V87" t="s">
        <v>12</v>
      </c>
      <c r="W87" t="s">
        <v>788</v>
      </c>
      <c r="AA87" t="s">
        <v>92</v>
      </c>
      <c r="AB87" t="s">
        <v>12</v>
      </c>
      <c r="AC87" t="s">
        <v>12</v>
      </c>
      <c r="AD87" t="s">
        <v>92</v>
      </c>
      <c r="AE87" t="s">
        <v>166</v>
      </c>
      <c r="AF87" t="s">
        <v>793</v>
      </c>
    </row>
    <row r="88" spans="1:32" x14ac:dyDescent="0.45">
      <c r="A88" t="s">
        <v>794</v>
      </c>
      <c r="B88" t="s">
        <v>795</v>
      </c>
      <c r="C88" t="s">
        <v>796</v>
      </c>
      <c r="D88" t="s">
        <v>795</v>
      </c>
      <c r="H88" t="s">
        <v>781</v>
      </c>
      <c r="I88" t="s">
        <v>782</v>
      </c>
      <c r="J88" t="s">
        <v>92</v>
      </c>
      <c r="K88" t="s">
        <v>12</v>
      </c>
      <c r="L88" t="s">
        <v>12</v>
      </c>
      <c r="M88" t="s">
        <v>182</v>
      </c>
      <c r="N88" t="s">
        <v>12</v>
      </c>
      <c r="O88" t="s">
        <v>12</v>
      </c>
      <c r="P88" t="s">
        <v>12</v>
      </c>
      <c r="Q88" t="s">
        <v>119</v>
      </c>
      <c r="R88" t="s">
        <v>182</v>
      </c>
      <c r="S88" t="s">
        <v>92</v>
      </c>
      <c r="T88" t="s">
        <v>794</v>
      </c>
      <c r="U88" t="s">
        <v>12</v>
      </c>
      <c r="V88" t="s">
        <v>12</v>
      </c>
      <c r="W88" t="s">
        <v>788</v>
      </c>
      <c r="AA88" t="s">
        <v>92</v>
      </c>
      <c r="AB88" t="s">
        <v>12</v>
      </c>
      <c r="AC88" t="s">
        <v>12</v>
      </c>
      <c r="AD88" t="s">
        <v>92</v>
      </c>
      <c r="AE88" t="s">
        <v>119</v>
      </c>
      <c r="AF88" t="s">
        <v>797</v>
      </c>
    </row>
    <row r="89" spans="1:32" x14ac:dyDescent="0.45">
      <c r="A89" t="s">
        <v>798</v>
      </c>
      <c r="B89" t="s">
        <v>799</v>
      </c>
      <c r="C89" t="s">
        <v>800</v>
      </c>
      <c r="D89" t="s">
        <v>801</v>
      </c>
      <c r="H89" t="s">
        <v>781</v>
      </c>
      <c r="I89" t="s">
        <v>782</v>
      </c>
      <c r="J89" t="s">
        <v>92</v>
      </c>
      <c r="K89" t="s">
        <v>12</v>
      </c>
      <c r="L89" t="s">
        <v>12</v>
      </c>
      <c r="M89" t="s">
        <v>182</v>
      </c>
      <c r="N89" t="s">
        <v>12</v>
      </c>
      <c r="O89" t="s">
        <v>12</v>
      </c>
      <c r="P89" t="s">
        <v>12</v>
      </c>
      <c r="Q89" t="s">
        <v>119</v>
      </c>
      <c r="R89" t="s">
        <v>182</v>
      </c>
      <c r="S89" t="s">
        <v>92</v>
      </c>
      <c r="T89" t="s">
        <v>798</v>
      </c>
      <c r="U89" t="s">
        <v>12</v>
      </c>
      <c r="V89" t="s">
        <v>12</v>
      </c>
      <c r="W89" t="s">
        <v>788</v>
      </c>
      <c r="AA89" t="s">
        <v>92</v>
      </c>
      <c r="AB89" t="s">
        <v>12</v>
      </c>
      <c r="AC89" t="s">
        <v>12</v>
      </c>
      <c r="AD89" t="s">
        <v>92</v>
      </c>
      <c r="AE89" t="s">
        <v>119</v>
      </c>
      <c r="AF89" t="s">
        <v>802</v>
      </c>
    </row>
    <row r="90" spans="1:32" x14ac:dyDescent="0.45">
      <c r="A90" t="s">
        <v>803</v>
      </c>
      <c r="B90" t="s">
        <v>804</v>
      </c>
      <c r="C90" t="s">
        <v>805</v>
      </c>
      <c r="D90" t="s">
        <v>804</v>
      </c>
      <c r="E90" t="s">
        <v>779</v>
      </c>
      <c r="F90" t="s">
        <v>780</v>
      </c>
      <c r="H90" t="s">
        <v>781</v>
      </c>
      <c r="I90" t="s">
        <v>782</v>
      </c>
      <c r="J90" t="s">
        <v>92</v>
      </c>
      <c r="K90" t="s">
        <v>12</v>
      </c>
      <c r="L90" t="s">
        <v>12</v>
      </c>
      <c r="M90" t="s">
        <v>182</v>
      </c>
      <c r="N90" t="s">
        <v>12</v>
      </c>
      <c r="O90" t="s">
        <v>12</v>
      </c>
      <c r="P90" t="s">
        <v>12</v>
      </c>
      <c r="Q90" t="s">
        <v>119</v>
      </c>
      <c r="R90" t="s">
        <v>182</v>
      </c>
      <c r="S90" t="s">
        <v>92</v>
      </c>
      <c r="T90" t="s">
        <v>803</v>
      </c>
      <c r="U90" t="s">
        <v>12</v>
      </c>
      <c r="V90" t="s">
        <v>12</v>
      </c>
      <c r="W90" t="s">
        <v>783</v>
      </c>
      <c r="AA90" t="s">
        <v>92</v>
      </c>
      <c r="AB90" t="s">
        <v>12</v>
      </c>
      <c r="AC90" t="s">
        <v>12</v>
      </c>
      <c r="AD90" t="s">
        <v>92</v>
      </c>
      <c r="AE90" t="s">
        <v>119</v>
      </c>
      <c r="AF90" t="s">
        <v>806</v>
      </c>
    </row>
    <row r="91" spans="1:32" x14ac:dyDescent="0.45">
      <c r="A91" t="s">
        <v>133</v>
      </c>
      <c r="B91" t="s">
        <v>807</v>
      </c>
      <c r="C91" t="s">
        <v>808</v>
      </c>
      <c r="D91" t="s">
        <v>809</v>
      </c>
      <c r="E91" t="s">
        <v>779</v>
      </c>
      <c r="F91" t="s">
        <v>780</v>
      </c>
      <c r="H91" t="s">
        <v>781</v>
      </c>
      <c r="I91" t="s">
        <v>782</v>
      </c>
      <c r="J91" t="s">
        <v>92</v>
      </c>
      <c r="K91" t="s">
        <v>12</v>
      </c>
      <c r="L91" t="s">
        <v>12</v>
      </c>
      <c r="M91" t="s">
        <v>182</v>
      </c>
      <c r="N91" t="s">
        <v>12</v>
      </c>
      <c r="O91" t="s">
        <v>12</v>
      </c>
      <c r="P91" t="s">
        <v>12</v>
      </c>
      <c r="Q91" t="s">
        <v>119</v>
      </c>
      <c r="R91" t="s">
        <v>182</v>
      </c>
      <c r="S91" t="s">
        <v>92</v>
      </c>
      <c r="T91" t="s">
        <v>133</v>
      </c>
      <c r="U91" t="s">
        <v>12</v>
      </c>
      <c r="V91" t="s">
        <v>12</v>
      </c>
      <c r="W91" t="s">
        <v>783</v>
      </c>
      <c r="X91" t="s">
        <v>708</v>
      </c>
      <c r="Y91" t="s">
        <v>709</v>
      </c>
      <c r="Z91" t="s">
        <v>610</v>
      </c>
      <c r="AA91" t="s">
        <v>92</v>
      </c>
      <c r="AB91" t="s">
        <v>12</v>
      </c>
      <c r="AC91" t="s">
        <v>12</v>
      </c>
      <c r="AD91" t="s">
        <v>92</v>
      </c>
      <c r="AE91" t="s">
        <v>119</v>
      </c>
      <c r="AF91" t="s">
        <v>810</v>
      </c>
    </row>
    <row r="92" spans="1:32" x14ac:dyDescent="0.45">
      <c r="A92" t="s">
        <v>135</v>
      </c>
      <c r="B92" t="s">
        <v>811</v>
      </c>
      <c r="C92" t="s">
        <v>812</v>
      </c>
      <c r="D92" t="s">
        <v>813</v>
      </c>
      <c r="E92" t="s">
        <v>779</v>
      </c>
      <c r="F92" t="s">
        <v>780</v>
      </c>
      <c r="H92" t="s">
        <v>781</v>
      </c>
      <c r="I92" t="s">
        <v>782</v>
      </c>
      <c r="J92" t="s">
        <v>92</v>
      </c>
      <c r="K92" t="s">
        <v>12</v>
      </c>
      <c r="L92" t="s">
        <v>12</v>
      </c>
      <c r="M92" t="s">
        <v>182</v>
      </c>
      <c r="N92" t="s">
        <v>12</v>
      </c>
      <c r="O92" t="s">
        <v>12</v>
      </c>
      <c r="P92" t="s">
        <v>12</v>
      </c>
      <c r="Q92" t="s">
        <v>119</v>
      </c>
      <c r="R92" t="s">
        <v>182</v>
      </c>
      <c r="S92" t="s">
        <v>92</v>
      </c>
      <c r="T92" t="s">
        <v>135</v>
      </c>
      <c r="U92" t="s">
        <v>12</v>
      </c>
      <c r="V92" t="s">
        <v>12</v>
      </c>
      <c r="W92" t="s">
        <v>783</v>
      </c>
      <c r="AA92" t="s">
        <v>92</v>
      </c>
      <c r="AB92" t="s">
        <v>12</v>
      </c>
      <c r="AC92" t="s">
        <v>12</v>
      </c>
      <c r="AD92" t="s">
        <v>92</v>
      </c>
      <c r="AE92" t="s">
        <v>119</v>
      </c>
      <c r="AF92" t="s">
        <v>814</v>
      </c>
    </row>
    <row r="93" spans="1:32" x14ac:dyDescent="0.45">
      <c r="A93" t="s">
        <v>144</v>
      </c>
      <c r="B93" t="s">
        <v>815</v>
      </c>
      <c r="C93" t="s">
        <v>816</v>
      </c>
      <c r="D93" t="s">
        <v>817</v>
      </c>
      <c r="E93" t="s">
        <v>818</v>
      </c>
      <c r="F93" t="s">
        <v>819</v>
      </c>
      <c r="H93" t="s">
        <v>820</v>
      </c>
      <c r="I93" t="s">
        <v>821</v>
      </c>
      <c r="J93" t="s">
        <v>92</v>
      </c>
      <c r="K93" t="s">
        <v>12</v>
      </c>
      <c r="L93" t="s">
        <v>12</v>
      </c>
      <c r="M93" t="s">
        <v>182</v>
      </c>
      <c r="N93" t="s">
        <v>12</v>
      </c>
      <c r="O93" t="s">
        <v>12</v>
      </c>
      <c r="P93" t="s">
        <v>12</v>
      </c>
      <c r="Q93" t="s">
        <v>119</v>
      </c>
      <c r="R93" t="s">
        <v>182</v>
      </c>
      <c r="S93" t="s">
        <v>92</v>
      </c>
      <c r="T93" t="s">
        <v>144</v>
      </c>
      <c r="U93" t="s">
        <v>12</v>
      </c>
      <c r="V93" t="s">
        <v>12</v>
      </c>
      <c r="W93" t="s">
        <v>822</v>
      </c>
      <c r="AA93" t="s">
        <v>92</v>
      </c>
      <c r="AB93" t="s">
        <v>12</v>
      </c>
      <c r="AC93" t="s">
        <v>12</v>
      </c>
      <c r="AD93" t="s">
        <v>92</v>
      </c>
      <c r="AE93" t="s">
        <v>119</v>
      </c>
      <c r="AF93" t="s">
        <v>823</v>
      </c>
    </row>
    <row r="94" spans="1:32" x14ac:dyDescent="0.45">
      <c r="A94" t="s">
        <v>824</v>
      </c>
      <c r="B94" t="s">
        <v>825</v>
      </c>
      <c r="C94" t="s">
        <v>826</v>
      </c>
      <c r="D94" t="s">
        <v>825</v>
      </c>
      <c r="H94" t="s">
        <v>820</v>
      </c>
      <c r="I94" t="s">
        <v>821</v>
      </c>
      <c r="J94" t="s">
        <v>92</v>
      </c>
      <c r="K94" t="s">
        <v>12</v>
      </c>
      <c r="L94" t="s">
        <v>12</v>
      </c>
      <c r="M94" t="s">
        <v>182</v>
      </c>
      <c r="N94" t="s">
        <v>12</v>
      </c>
      <c r="O94" t="s">
        <v>12</v>
      </c>
      <c r="P94" t="s">
        <v>12</v>
      </c>
      <c r="Q94" t="s">
        <v>119</v>
      </c>
      <c r="R94" t="s">
        <v>182</v>
      </c>
      <c r="S94" t="s">
        <v>92</v>
      </c>
      <c r="T94" t="s">
        <v>824</v>
      </c>
      <c r="U94" t="s">
        <v>12</v>
      </c>
      <c r="V94" t="s">
        <v>12</v>
      </c>
      <c r="W94" t="s">
        <v>827</v>
      </c>
      <c r="AA94" t="s">
        <v>92</v>
      </c>
      <c r="AB94" t="s">
        <v>12</v>
      </c>
      <c r="AC94" t="s">
        <v>12</v>
      </c>
      <c r="AD94" t="s">
        <v>92</v>
      </c>
      <c r="AE94" t="s">
        <v>166</v>
      </c>
      <c r="AF94" t="s">
        <v>828</v>
      </c>
    </row>
    <row r="95" spans="1:32" x14ac:dyDescent="0.45">
      <c r="A95" t="s">
        <v>829</v>
      </c>
      <c r="B95" t="s">
        <v>830</v>
      </c>
      <c r="C95" t="s">
        <v>831</v>
      </c>
      <c r="D95" t="s">
        <v>830</v>
      </c>
      <c r="H95" t="s">
        <v>820</v>
      </c>
      <c r="I95" t="s">
        <v>821</v>
      </c>
      <c r="J95" t="s">
        <v>92</v>
      </c>
      <c r="K95" t="s">
        <v>12</v>
      </c>
      <c r="L95" t="s">
        <v>12</v>
      </c>
      <c r="M95" t="s">
        <v>182</v>
      </c>
      <c r="N95" t="s">
        <v>12</v>
      </c>
      <c r="O95" t="s">
        <v>12</v>
      </c>
      <c r="P95" t="s">
        <v>12</v>
      </c>
      <c r="Q95" t="s">
        <v>119</v>
      </c>
      <c r="R95" t="s">
        <v>182</v>
      </c>
      <c r="S95" t="s">
        <v>92</v>
      </c>
      <c r="T95" t="s">
        <v>829</v>
      </c>
      <c r="U95" t="s">
        <v>12</v>
      </c>
      <c r="V95" t="s">
        <v>12</v>
      </c>
      <c r="W95" t="s">
        <v>827</v>
      </c>
      <c r="AA95" t="s">
        <v>92</v>
      </c>
      <c r="AB95" t="s">
        <v>12</v>
      </c>
      <c r="AC95" t="s">
        <v>12</v>
      </c>
      <c r="AD95" t="s">
        <v>92</v>
      </c>
      <c r="AE95" t="s">
        <v>166</v>
      </c>
      <c r="AF95" t="s">
        <v>832</v>
      </c>
    </row>
    <row r="96" spans="1:32" x14ac:dyDescent="0.45">
      <c r="A96" t="s">
        <v>833</v>
      </c>
      <c r="B96" t="s">
        <v>834</v>
      </c>
      <c r="C96" t="s">
        <v>835</v>
      </c>
      <c r="D96" t="s">
        <v>836</v>
      </c>
      <c r="J96" t="s">
        <v>92</v>
      </c>
      <c r="K96" t="s">
        <v>12</v>
      </c>
      <c r="L96" t="s">
        <v>12</v>
      </c>
      <c r="M96" t="s">
        <v>182</v>
      </c>
      <c r="N96" t="s">
        <v>12</v>
      </c>
      <c r="O96" t="s">
        <v>12</v>
      </c>
      <c r="P96" t="s">
        <v>12</v>
      </c>
      <c r="Q96" t="s">
        <v>119</v>
      </c>
      <c r="R96" t="s">
        <v>182</v>
      </c>
      <c r="S96" t="s">
        <v>92</v>
      </c>
      <c r="T96" t="s">
        <v>833</v>
      </c>
      <c r="U96" t="s">
        <v>12</v>
      </c>
      <c r="V96" t="s">
        <v>12</v>
      </c>
      <c r="W96" t="s">
        <v>822</v>
      </c>
      <c r="AA96" t="s">
        <v>92</v>
      </c>
      <c r="AB96" t="s">
        <v>12</v>
      </c>
      <c r="AC96" t="s">
        <v>12</v>
      </c>
      <c r="AD96" t="s">
        <v>92</v>
      </c>
      <c r="AE96" t="s">
        <v>119</v>
      </c>
      <c r="AF96" t="s">
        <v>837</v>
      </c>
    </row>
    <row r="97" spans="1:32" x14ac:dyDescent="0.45">
      <c r="A97" t="s">
        <v>838</v>
      </c>
      <c r="B97" t="s">
        <v>839</v>
      </c>
      <c r="C97" t="s">
        <v>840</v>
      </c>
      <c r="D97" t="s">
        <v>841</v>
      </c>
      <c r="J97" t="s">
        <v>92</v>
      </c>
      <c r="K97" t="s">
        <v>12</v>
      </c>
      <c r="L97" t="s">
        <v>12</v>
      </c>
      <c r="M97" t="s">
        <v>182</v>
      </c>
      <c r="N97" t="s">
        <v>12</v>
      </c>
      <c r="O97" t="s">
        <v>12</v>
      </c>
      <c r="P97" t="s">
        <v>12</v>
      </c>
      <c r="Q97" t="s">
        <v>119</v>
      </c>
      <c r="R97" t="s">
        <v>182</v>
      </c>
      <c r="S97" t="s">
        <v>92</v>
      </c>
      <c r="T97" t="s">
        <v>838</v>
      </c>
      <c r="U97" t="s">
        <v>12</v>
      </c>
      <c r="V97" t="s">
        <v>12</v>
      </c>
      <c r="W97" t="s">
        <v>822</v>
      </c>
      <c r="AA97" t="s">
        <v>92</v>
      </c>
      <c r="AB97" t="s">
        <v>12</v>
      </c>
      <c r="AC97" t="s">
        <v>12</v>
      </c>
      <c r="AD97" t="s">
        <v>92</v>
      </c>
      <c r="AE97" t="s">
        <v>119</v>
      </c>
      <c r="AF97" t="s">
        <v>842</v>
      </c>
    </row>
    <row r="98" spans="1:32" x14ac:dyDescent="0.45">
      <c r="A98" t="s">
        <v>843</v>
      </c>
      <c r="B98" t="s">
        <v>844</v>
      </c>
      <c r="C98" t="s">
        <v>845</v>
      </c>
      <c r="D98" t="s">
        <v>844</v>
      </c>
      <c r="E98" t="s">
        <v>818</v>
      </c>
      <c r="F98" t="s">
        <v>819</v>
      </c>
      <c r="H98" t="s">
        <v>820</v>
      </c>
      <c r="I98" t="s">
        <v>821</v>
      </c>
      <c r="J98" t="s">
        <v>92</v>
      </c>
      <c r="K98" t="s">
        <v>12</v>
      </c>
      <c r="L98" t="s">
        <v>12</v>
      </c>
      <c r="M98" t="s">
        <v>182</v>
      </c>
      <c r="N98" t="s">
        <v>12</v>
      </c>
      <c r="O98" t="s">
        <v>12</v>
      </c>
      <c r="P98" t="s">
        <v>12</v>
      </c>
      <c r="Q98" t="s">
        <v>119</v>
      </c>
      <c r="R98" t="s">
        <v>182</v>
      </c>
      <c r="S98" t="s">
        <v>92</v>
      </c>
      <c r="T98" t="s">
        <v>843</v>
      </c>
      <c r="U98" t="s">
        <v>12</v>
      </c>
      <c r="V98" t="s">
        <v>12</v>
      </c>
      <c r="W98" t="s">
        <v>822</v>
      </c>
      <c r="AA98" t="s">
        <v>92</v>
      </c>
      <c r="AB98" t="s">
        <v>12</v>
      </c>
      <c r="AC98" t="s">
        <v>12</v>
      </c>
      <c r="AD98" t="s">
        <v>92</v>
      </c>
      <c r="AE98" t="s">
        <v>119</v>
      </c>
      <c r="AF98" t="s">
        <v>846</v>
      </c>
    </row>
    <row r="99" spans="1:32" x14ac:dyDescent="0.45">
      <c r="A99" t="s">
        <v>148</v>
      </c>
      <c r="B99" t="s">
        <v>847</v>
      </c>
      <c r="C99" t="s">
        <v>848</v>
      </c>
      <c r="D99" t="s">
        <v>849</v>
      </c>
      <c r="E99" t="s">
        <v>818</v>
      </c>
      <c r="F99" t="s">
        <v>819</v>
      </c>
      <c r="H99" t="s">
        <v>820</v>
      </c>
      <c r="I99" t="s">
        <v>821</v>
      </c>
      <c r="J99" t="s">
        <v>92</v>
      </c>
      <c r="K99" t="s">
        <v>12</v>
      </c>
      <c r="L99" t="s">
        <v>12</v>
      </c>
      <c r="M99" t="s">
        <v>182</v>
      </c>
      <c r="N99" t="s">
        <v>12</v>
      </c>
      <c r="O99" t="s">
        <v>12</v>
      </c>
      <c r="P99" t="s">
        <v>12</v>
      </c>
      <c r="Q99" t="s">
        <v>119</v>
      </c>
      <c r="R99" t="s">
        <v>182</v>
      </c>
      <c r="S99" t="s">
        <v>92</v>
      </c>
      <c r="T99" t="s">
        <v>148</v>
      </c>
      <c r="U99" t="s">
        <v>12</v>
      </c>
      <c r="V99" t="s">
        <v>12</v>
      </c>
      <c r="W99" t="s">
        <v>822</v>
      </c>
      <c r="X99" t="s">
        <v>708</v>
      </c>
      <c r="Y99" t="s">
        <v>709</v>
      </c>
      <c r="Z99" t="s">
        <v>610</v>
      </c>
      <c r="AA99" t="s">
        <v>92</v>
      </c>
      <c r="AB99" t="s">
        <v>12</v>
      </c>
      <c r="AC99" t="s">
        <v>12</v>
      </c>
      <c r="AD99" t="s">
        <v>92</v>
      </c>
      <c r="AE99" t="s">
        <v>119</v>
      </c>
      <c r="AF99" t="s">
        <v>850</v>
      </c>
    </row>
    <row r="100" spans="1:32" x14ac:dyDescent="0.45">
      <c r="A100" t="s">
        <v>150</v>
      </c>
      <c r="B100" t="s">
        <v>851</v>
      </c>
      <c r="C100" t="s">
        <v>852</v>
      </c>
      <c r="D100" t="s">
        <v>853</v>
      </c>
      <c r="E100" t="s">
        <v>818</v>
      </c>
      <c r="F100" t="s">
        <v>819</v>
      </c>
      <c r="H100" t="s">
        <v>820</v>
      </c>
      <c r="I100" t="s">
        <v>821</v>
      </c>
      <c r="J100" t="s">
        <v>92</v>
      </c>
      <c r="K100" t="s">
        <v>12</v>
      </c>
      <c r="L100" t="s">
        <v>12</v>
      </c>
      <c r="M100" t="s">
        <v>182</v>
      </c>
      <c r="N100" t="s">
        <v>12</v>
      </c>
      <c r="O100" t="s">
        <v>12</v>
      </c>
      <c r="P100" t="s">
        <v>12</v>
      </c>
      <c r="Q100" t="s">
        <v>119</v>
      </c>
      <c r="R100" t="s">
        <v>182</v>
      </c>
      <c r="S100" t="s">
        <v>92</v>
      </c>
      <c r="T100" t="s">
        <v>150</v>
      </c>
      <c r="U100" t="s">
        <v>12</v>
      </c>
      <c r="V100" t="s">
        <v>12</v>
      </c>
      <c r="W100" t="s">
        <v>822</v>
      </c>
      <c r="AA100" t="s">
        <v>92</v>
      </c>
      <c r="AB100" t="s">
        <v>12</v>
      </c>
      <c r="AC100" t="s">
        <v>12</v>
      </c>
      <c r="AD100" t="s">
        <v>92</v>
      </c>
      <c r="AE100" t="s">
        <v>119</v>
      </c>
      <c r="AF100" t="s">
        <v>854</v>
      </c>
    </row>
    <row r="101" spans="1:32" x14ac:dyDescent="0.45">
      <c r="A101" t="s">
        <v>151</v>
      </c>
      <c r="B101" t="s">
        <v>855</v>
      </c>
      <c r="C101" t="s">
        <v>856</v>
      </c>
      <c r="D101" t="s">
        <v>857</v>
      </c>
      <c r="E101" t="s">
        <v>858</v>
      </c>
      <c r="F101" t="s">
        <v>859</v>
      </c>
      <c r="H101" t="s">
        <v>860</v>
      </c>
      <c r="I101" t="s">
        <v>861</v>
      </c>
      <c r="J101" t="s">
        <v>92</v>
      </c>
      <c r="K101" t="s">
        <v>12</v>
      </c>
      <c r="L101" t="s">
        <v>12</v>
      </c>
      <c r="M101" t="s">
        <v>182</v>
      </c>
      <c r="N101" t="s">
        <v>12</v>
      </c>
      <c r="O101" t="s">
        <v>12</v>
      </c>
      <c r="P101" t="s">
        <v>12</v>
      </c>
      <c r="Q101" t="s">
        <v>119</v>
      </c>
      <c r="R101" t="s">
        <v>182</v>
      </c>
      <c r="S101" t="s">
        <v>92</v>
      </c>
      <c r="T101" t="s">
        <v>151</v>
      </c>
      <c r="U101" t="s">
        <v>12</v>
      </c>
      <c r="V101" t="s">
        <v>12</v>
      </c>
      <c r="W101" t="s">
        <v>101</v>
      </c>
      <c r="AA101" t="s">
        <v>92</v>
      </c>
      <c r="AB101" t="s">
        <v>12</v>
      </c>
      <c r="AC101" t="s">
        <v>12</v>
      </c>
      <c r="AD101" t="s">
        <v>92</v>
      </c>
      <c r="AE101" t="s">
        <v>119</v>
      </c>
      <c r="AF101" t="s">
        <v>862</v>
      </c>
    </row>
    <row r="102" spans="1:32" x14ac:dyDescent="0.45">
      <c r="A102" t="s">
        <v>863</v>
      </c>
      <c r="B102" t="s">
        <v>864</v>
      </c>
      <c r="C102" t="s">
        <v>865</v>
      </c>
      <c r="D102" t="s">
        <v>866</v>
      </c>
      <c r="H102" t="s">
        <v>860</v>
      </c>
      <c r="I102" t="s">
        <v>861</v>
      </c>
      <c r="J102" t="s">
        <v>92</v>
      </c>
      <c r="K102" t="s">
        <v>12</v>
      </c>
      <c r="L102" t="s">
        <v>12</v>
      </c>
      <c r="M102" t="s">
        <v>182</v>
      </c>
      <c r="N102" t="s">
        <v>12</v>
      </c>
      <c r="O102" t="s">
        <v>12</v>
      </c>
      <c r="P102" t="s">
        <v>12</v>
      </c>
      <c r="Q102" t="s">
        <v>119</v>
      </c>
      <c r="R102" t="s">
        <v>182</v>
      </c>
      <c r="S102" t="s">
        <v>92</v>
      </c>
      <c r="T102" t="s">
        <v>863</v>
      </c>
      <c r="U102" t="s">
        <v>12</v>
      </c>
      <c r="V102" t="s">
        <v>12</v>
      </c>
      <c r="W102" t="s">
        <v>867</v>
      </c>
      <c r="AA102" t="s">
        <v>92</v>
      </c>
      <c r="AB102" t="s">
        <v>12</v>
      </c>
      <c r="AC102" t="s">
        <v>12</v>
      </c>
      <c r="AD102" t="s">
        <v>92</v>
      </c>
      <c r="AE102" t="s">
        <v>166</v>
      </c>
      <c r="AF102" t="s">
        <v>868</v>
      </c>
    </row>
    <row r="103" spans="1:32" x14ac:dyDescent="0.45">
      <c r="A103" t="s">
        <v>869</v>
      </c>
      <c r="B103" t="s">
        <v>870</v>
      </c>
      <c r="C103" t="s">
        <v>871</v>
      </c>
      <c r="D103" t="s">
        <v>872</v>
      </c>
      <c r="H103" t="s">
        <v>860</v>
      </c>
      <c r="I103" t="s">
        <v>861</v>
      </c>
      <c r="J103" t="s">
        <v>92</v>
      </c>
      <c r="K103" t="s">
        <v>12</v>
      </c>
      <c r="L103" t="s">
        <v>12</v>
      </c>
      <c r="M103" t="s">
        <v>182</v>
      </c>
      <c r="N103" t="s">
        <v>12</v>
      </c>
      <c r="O103" t="s">
        <v>12</v>
      </c>
      <c r="P103" t="s">
        <v>12</v>
      </c>
      <c r="Q103" t="s">
        <v>119</v>
      </c>
      <c r="R103" t="s">
        <v>182</v>
      </c>
      <c r="S103" t="s">
        <v>92</v>
      </c>
      <c r="T103" t="s">
        <v>869</v>
      </c>
      <c r="U103" t="s">
        <v>12</v>
      </c>
      <c r="V103" t="s">
        <v>12</v>
      </c>
      <c r="W103" t="s">
        <v>159</v>
      </c>
      <c r="AA103" t="s">
        <v>92</v>
      </c>
      <c r="AB103" t="s">
        <v>12</v>
      </c>
      <c r="AC103" t="s">
        <v>12</v>
      </c>
      <c r="AD103" t="s">
        <v>92</v>
      </c>
      <c r="AE103" t="s">
        <v>119</v>
      </c>
      <c r="AF103" t="s">
        <v>873</v>
      </c>
    </row>
    <row r="104" spans="1:32" x14ac:dyDescent="0.45">
      <c r="A104" t="s">
        <v>874</v>
      </c>
      <c r="B104" t="s">
        <v>875</v>
      </c>
      <c r="C104" t="s">
        <v>876</v>
      </c>
      <c r="D104" t="s">
        <v>877</v>
      </c>
      <c r="H104" t="s">
        <v>860</v>
      </c>
      <c r="I104" t="s">
        <v>861</v>
      </c>
      <c r="J104" t="s">
        <v>92</v>
      </c>
      <c r="K104" t="s">
        <v>12</v>
      </c>
      <c r="L104" t="s">
        <v>12</v>
      </c>
      <c r="M104" t="s">
        <v>182</v>
      </c>
      <c r="N104" t="s">
        <v>12</v>
      </c>
      <c r="O104" t="s">
        <v>12</v>
      </c>
      <c r="P104" t="s">
        <v>12</v>
      </c>
      <c r="Q104" t="s">
        <v>119</v>
      </c>
      <c r="R104" t="s">
        <v>182</v>
      </c>
      <c r="S104" t="s">
        <v>92</v>
      </c>
      <c r="T104" t="s">
        <v>874</v>
      </c>
      <c r="U104" t="s">
        <v>12</v>
      </c>
      <c r="V104" t="s">
        <v>12</v>
      </c>
      <c r="W104" t="s">
        <v>878</v>
      </c>
      <c r="AA104" t="s">
        <v>92</v>
      </c>
      <c r="AB104" t="s">
        <v>12</v>
      </c>
      <c r="AC104" t="s">
        <v>12</v>
      </c>
      <c r="AD104" t="s">
        <v>92</v>
      </c>
      <c r="AE104" t="s">
        <v>119</v>
      </c>
      <c r="AF104" t="s">
        <v>879</v>
      </c>
    </row>
    <row r="105" spans="1:32" x14ac:dyDescent="0.45">
      <c r="A105" t="s">
        <v>880</v>
      </c>
      <c r="B105" t="s">
        <v>881</v>
      </c>
      <c r="C105" t="s">
        <v>882</v>
      </c>
      <c r="D105" t="s">
        <v>883</v>
      </c>
      <c r="H105" t="s">
        <v>860</v>
      </c>
      <c r="I105" t="s">
        <v>861</v>
      </c>
      <c r="J105" t="s">
        <v>92</v>
      </c>
      <c r="K105" t="s">
        <v>12</v>
      </c>
      <c r="L105" t="s">
        <v>12</v>
      </c>
      <c r="M105" t="s">
        <v>182</v>
      </c>
      <c r="N105" t="s">
        <v>12</v>
      </c>
      <c r="O105" t="s">
        <v>12</v>
      </c>
      <c r="P105" t="s">
        <v>12</v>
      </c>
      <c r="Q105" t="s">
        <v>119</v>
      </c>
      <c r="R105" t="s">
        <v>182</v>
      </c>
      <c r="S105" t="s">
        <v>92</v>
      </c>
      <c r="T105" t="s">
        <v>880</v>
      </c>
      <c r="U105" t="s">
        <v>12</v>
      </c>
      <c r="V105" t="s">
        <v>12</v>
      </c>
      <c r="W105" t="s">
        <v>867</v>
      </c>
      <c r="AA105" t="s">
        <v>92</v>
      </c>
      <c r="AB105" t="s">
        <v>12</v>
      </c>
      <c r="AC105" t="s">
        <v>12</v>
      </c>
      <c r="AD105" t="s">
        <v>92</v>
      </c>
      <c r="AE105" t="s">
        <v>166</v>
      </c>
      <c r="AF105" t="s">
        <v>884</v>
      </c>
    </row>
    <row r="106" spans="1:32" x14ac:dyDescent="0.45">
      <c r="A106" t="s">
        <v>885</v>
      </c>
      <c r="B106" t="s">
        <v>886</v>
      </c>
      <c r="C106" t="s">
        <v>887</v>
      </c>
      <c r="D106" t="s">
        <v>888</v>
      </c>
      <c r="E106" t="s">
        <v>858</v>
      </c>
      <c r="F106" t="s">
        <v>859</v>
      </c>
      <c r="H106" t="s">
        <v>860</v>
      </c>
      <c r="I106" t="s">
        <v>861</v>
      </c>
      <c r="J106" t="s">
        <v>92</v>
      </c>
      <c r="K106" t="s">
        <v>12</v>
      </c>
      <c r="L106" t="s">
        <v>12</v>
      </c>
      <c r="M106" t="s">
        <v>182</v>
      </c>
      <c r="N106" t="s">
        <v>12</v>
      </c>
      <c r="O106" t="s">
        <v>12</v>
      </c>
      <c r="P106" t="s">
        <v>12</v>
      </c>
      <c r="Q106" t="s">
        <v>119</v>
      </c>
      <c r="R106" t="s">
        <v>182</v>
      </c>
      <c r="S106" t="s">
        <v>92</v>
      </c>
      <c r="T106" t="s">
        <v>885</v>
      </c>
      <c r="U106" t="s">
        <v>12</v>
      </c>
      <c r="V106" t="s">
        <v>12</v>
      </c>
      <c r="W106" t="s">
        <v>101</v>
      </c>
      <c r="AA106" t="s">
        <v>92</v>
      </c>
      <c r="AB106" t="s">
        <v>12</v>
      </c>
      <c r="AC106" t="s">
        <v>12</v>
      </c>
      <c r="AD106" t="s">
        <v>92</v>
      </c>
      <c r="AE106" t="s">
        <v>166</v>
      </c>
      <c r="AF106" t="s">
        <v>889</v>
      </c>
    </row>
    <row r="107" spans="1:32" x14ac:dyDescent="0.45">
      <c r="A107" t="s">
        <v>155</v>
      </c>
      <c r="B107" t="s">
        <v>890</v>
      </c>
      <c r="C107" t="s">
        <v>891</v>
      </c>
      <c r="D107" t="s">
        <v>892</v>
      </c>
      <c r="E107" t="s">
        <v>858</v>
      </c>
      <c r="F107" t="s">
        <v>859</v>
      </c>
      <c r="H107" t="s">
        <v>860</v>
      </c>
      <c r="I107" t="s">
        <v>861</v>
      </c>
      <c r="J107" t="s">
        <v>92</v>
      </c>
      <c r="K107" t="s">
        <v>12</v>
      </c>
      <c r="L107" t="s">
        <v>12</v>
      </c>
      <c r="M107" t="s">
        <v>182</v>
      </c>
      <c r="N107" t="s">
        <v>12</v>
      </c>
      <c r="O107" t="s">
        <v>12</v>
      </c>
      <c r="P107" t="s">
        <v>12</v>
      </c>
      <c r="Q107" t="s">
        <v>119</v>
      </c>
      <c r="R107" t="s">
        <v>182</v>
      </c>
      <c r="S107" t="s">
        <v>92</v>
      </c>
      <c r="T107" t="s">
        <v>155</v>
      </c>
      <c r="U107" t="s">
        <v>12</v>
      </c>
      <c r="V107" t="s">
        <v>12</v>
      </c>
      <c r="W107" t="s">
        <v>101</v>
      </c>
      <c r="X107" t="s">
        <v>708</v>
      </c>
      <c r="Y107" t="s">
        <v>709</v>
      </c>
      <c r="Z107" t="s">
        <v>610</v>
      </c>
      <c r="AA107" t="s">
        <v>92</v>
      </c>
      <c r="AB107" t="s">
        <v>12</v>
      </c>
      <c r="AC107" t="s">
        <v>12</v>
      </c>
      <c r="AD107" t="s">
        <v>92</v>
      </c>
      <c r="AE107" t="s">
        <v>119</v>
      </c>
      <c r="AF107" t="s">
        <v>893</v>
      </c>
    </row>
    <row r="108" spans="1:32" x14ac:dyDescent="0.45">
      <c r="A108" t="s">
        <v>157</v>
      </c>
      <c r="B108" t="s">
        <v>894</v>
      </c>
      <c r="C108" t="s">
        <v>895</v>
      </c>
      <c r="D108" t="s">
        <v>896</v>
      </c>
      <c r="E108" t="s">
        <v>858</v>
      </c>
      <c r="F108" t="s">
        <v>859</v>
      </c>
      <c r="H108" t="s">
        <v>860</v>
      </c>
      <c r="I108" t="s">
        <v>861</v>
      </c>
      <c r="J108" t="s">
        <v>92</v>
      </c>
      <c r="K108" t="s">
        <v>12</v>
      </c>
      <c r="L108" t="s">
        <v>12</v>
      </c>
      <c r="M108" t="s">
        <v>182</v>
      </c>
      <c r="N108" t="s">
        <v>12</v>
      </c>
      <c r="O108" t="s">
        <v>12</v>
      </c>
      <c r="P108" t="s">
        <v>12</v>
      </c>
      <c r="Q108" t="s">
        <v>119</v>
      </c>
      <c r="R108" t="s">
        <v>182</v>
      </c>
      <c r="S108" t="s">
        <v>92</v>
      </c>
      <c r="T108" t="s">
        <v>157</v>
      </c>
      <c r="U108" t="s">
        <v>12</v>
      </c>
      <c r="V108" t="s">
        <v>12</v>
      </c>
      <c r="W108" t="s">
        <v>101</v>
      </c>
      <c r="AA108" t="s">
        <v>92</v>
      </c>
      <c r="AB108" t="s">
        <v>12</v>
      </c>
      <c r="AC108" t="s">
        <v>12</v>
      </c>
      <c r="AD108" t="s">
        <v>92</v>
      </c>
      <c r="AE108" t="s">
        <v>119</v>
      </c>
      <c r="AF108" t="s">
        <v>897</v>
      </c>
    </row>
    <row r="109" spans="1:32" x14ac:dyDescent="0.45">
      <c r="A109" t="s">
        <v>898</v>
      </c>
      <c r="B109" t="s">
        <v>899</v>
      </c>
      <c r="C109" t="s">
        <v>900</v>
      </c>
      <c r="D109" t="s">
        <v>901</v>
      </c>
      <c r="H109" t="s">
        <v>860</v>
      </c>
      <c r="I109" t="s">
        <v>861</v>
      </c>
      <c r="J109" t="s">
        <v>92</v>
      </c>
      <c r="K109" t="s">
        <v>12</v>
      </c>
      <c r="L109" t="s">
        <v>12</v>
      </c>
      <c r="M109" t="s">
        <v>182</v>
      </c>
      <c r="N109" t="s">
        <v>12</v>
      </c>
      <c r="O109" t="s">
        <v>12</v>
      </c>
      <c r="P109" t="s">
        <v>12</v>
      </c>
      <c r="Q109" t="s">
        <v>119</v>
      </c>
      <c r="R109" t="s">
        <v>182</v>
      </c>
      <c r="S109" t="s">
        <v>92</v>
      </c>
      <c r="T109" t="s">
        <v>898</v>
      </c>
      <c r="U109" t="s">
        <v>12</v>
      </c>
      <c r="V109" t="s">
        <v>12</v>
      </c>
      <c r="W109" t="s">
        <v>867</v>
      </c>
      <c r="AA109" t="s">
        <v>92</v>
      </c>
      <c r="AB109" t="s">
        <v>12</v>
      </c>
      <c r="AC109" t="s">
        <v>12</v>
      </c>
      <c r="AD109" t="s">
        <v>92</v>
      </c>
      <c r="AE109" t="s">
        <v>166</v>
      </c>
      <c r="AF109" t="s">
        <v>902</v>
      </c>
    </row>
    <row r="110" spans="1:32" x14ac:dyDescent="0.45">
      <c r="A110" t="s">
        <v>227</v>
      </c>
      <c r="B110" t="s">
        <v>903</v>
      </c>
      <c r="C110" t="s">
        <v>904</v>
      </c>
      <c r="D110" t="s">
        <v>905</v>
      </c>
      <c r="E110" t="s">
        <v>906</v>
      </c>
      <c r="F110" t="s">
        <v>907</v>
      </c>
      <c r="H110" t="s">
        <v>908</v>
      </c>
      <c r="I110" t="s">
        <v>909</v>
      </c>
      <c r="J110" t="s">
        <v>92</v>
      </c>
      <c r="K110" t="s">
        <v>12</v>
      </c>
      <c r="L110" t="s">
        <v>12</v>
      </c>
      <c r="M110" t="s">
        <v>182</v>
      </c>
      <c r="N110" t="s">
        <v>12</v>
      </c>
      <c r="O110" t="s">
        <v>12</v>
      </c>
      <c r="P110" t="s">
        <v>12</v>
      </c>
      <c r="Q110" t="s">
        <v>92</v>
      </c>
      <c r="R110" t="s">
        <v>182</v>
      </c>
      <c r="S110" t="s">
        <v>92</v>
      </c>
      <c r="T110" t="s">
        <v>227</v>
      </c>
      <c r="U110" t="s">
        <v>12</v>
      </c>
      <c r="V110" t="s">
        <v>12</v>
      </c>
      <c r="W110" t="s">
        <v>910</v>
      </c>
      <c r="X110" t="s">
        <v>708</v>
      </c>
      <c r="Y110" t="s">
        <v>92</v>
      </c>
      <c r="AA110" t="s">
        <v>92</v>
      </c>
      <c r="AB110" t="s">
        <v>92</v>
      </c>
      <c r="AC110" t="s">
        <v>12</v>
      </c>
      <c r="AD110" t="s">
        <v>92</v>
      </c>
      <c r="AE110" t="s">
        <v>119</v>
      </c>
      <c r="AF110" t="s">
        <v>911</v>
      </c>
    </row>
    <row r="111" spans="1:32" x14ac:dyDescent="0.45">
      <c r="A111" t="s">
        <v>230</v>
      </c>
      <c r="B111" t="s">
        <v>73</v>
      </c>
      <c r="C111" t="s">
        <v>912</v>
      </c>
      <c r="D111" t="s">
        <v>73</v>
      </c>
      <c r="E111" t="s">
        <v>906</v>
      </c>
      <c r="F111" t="s">
        <v>907</v>
      </c>
      <c r="H111" t="s">
        <v>908</v>
      </c>
      <c r="I111" t="s">
        <v>909</v>
      </c>
      <c r="J111" t="s">
        <v>92</v>
      </c>
      <c r="K111" t="s">
        <v>12</v>
      </c>
      <c r="L111" t="s">
        <v>12</v>
      </c>
      <c r="M111" t="s">
        <v>182</v>
      </c>
      <c r="N111" t="s">
        <v>12</v>
      </c>
      <c r="O111" t="s">
        <v>12</v>
      </c>
      <c r="P111" t="s">
        <v>12</v>
      </c>
      <c r="Q111" t="s">
        <v>92</v>
      </c>
      <c r="R111" t="s">
        <v>182</v>
      </c>
      <c r="S111" t="s">
        <v>92</v>
      </c>
      <c r="T111" t="s">
        <v>230</v>
      </c>
      <c r="U111" t="s">
        <v>12</v>
      </c>
      <c r="V111" t="s">
        <v>12</v>
      </c>
      <c r="W111" t="s">
        <v>910</v>
      </c>
      <c r="AA111" t="s">
        <v>92</v>
      </c>
      <c r="AB111" t="s">
        <v>92</v>
      </c>
      <c r="AC111" t="s">
        <v>12</v>
      </c>
      <c r="AD111" t="s">
        <v>92</v>
      </c>
      <c r="AE111" t="s">
        <v>166</v>
      </c>
      <c r="AF111" t="s">
        <v>913</v>
      </c>
    </row>
    <row r="112" spans="1:32" x14ac:dyDescent="0.45">
      <c r="A112" t="s">
        <v>231</v>
      </c>
      <c r="B112" t="s">
        <v>903</v>
      </c>
      <c r="C112" t="s">
        <v>904</v>
      </c>
      <c r="D112" t="s">
        <v>914</v>
      </c>
      <c r="E112" t="s">
        <v>906</v>
      </c>
      <c r="F112" t="s">
        <v>907</v>
      </c>
      <c r="H112" t="s">
        <v>908</v>
      </c>
      <c r="I112" t="s">
        <v>909</v>
      </c>
      <c r="J112" t="s">
        <v>92</v>
      </c>
      <c r="K112" t="s">
        <v>12</v>
      </c>
      <c r="L112" t="s">
        <v>12</v>
      </c>
      <c r="M112" t="s">
        <v>182</v>
      </c>
      <c r="N112" t="s">
        <v>12</v>
      </c>
      <c r="O112" t="s">
        <v>12</v>
      </c>
      <c r="P112" t="s">
        <v>12</v>
      </c>
      <c r="Q112" t="s">
        <v>92</v>
      </c>
      <c r="R112" t="s">
        <v>182</v>
      </c>
      <c r="S112" t="s">
        <v>92</v>
      </c>
      <c r="T112" t="s">
        <v>231</v>
      </c>
      <c r="U112" t="s">
        <v>12</v>
      </c>
      <c r="V112" t="s">
        <v>12</v>
      </c>
      <c r="W112" t="s">
        <v>910</v>
      </c>
      <c r="X112" t="s">
        <v>915</v>
      </c>
      <c r="Y112" t="s">
        <v>92</v>
      </c>
      <c r="AA112" t="s">
        <v>92</v>
      </c>
      <c r="AB112" t="s">
        <v>12</v>
      </c>
      <c r="AC112" t="s">
        <v>12</v>
      </c>
      <c r="AD112" t="s">
        <v>92</v>
      </c>
      <c r="AE112" t="s">
        <v>119</v>
      </c>
      <c r="AF112" t="s">
        <v>916</v>
      </c>
    </row>
    <row r="113" spans="1:32" x14ac:dyDescent="0.45">
      <c r="A113" t="s">
        <v>917</v>
      </c>
      <c r="B113" t="s">
        <v>903</v>
      </c>
      <c r="C113" t="s">
        <v>918</v>
      </c>
      <c r="D113" t="s">
        <v>919</v>
      </c>
      <c r="E113" t="s">
        <v>906</v>
      </c>
      <c r="F113" t="s">
        <v>907</v>
      </c>
      <c r="H113" t="s">
        <v>908</v>
      </c>
      <c r="I113" t="s">
        <v>909</v>
      </c>
      <c r="J113" t="s">
        <v>92</v>
      </c>
      <c r="K113" t="s">
        <v>12</v>
      </c>
      <c r="L113" t="s">
        <v>12</v>
      </c>
      <c r="M113" t="s">
        <v>182</v>
      </c>
      <c r="N113" t="s">
        <v>12</v>
      </c>
      <c r="O113" t="s">
        <v>12</v>
      </c>
      <c r="P113" t="s">
        <v>12</v>
      </c>
      <c r="Q113" t="s">
        <v>92</v>
      </c>
      <c r="R113" t="s">
        <v>182</v>
      </c>
      <c r="S113" t="s">
        <v>92</v>
      </c>
      <c r="T113" t="s">
        <v>917</v>
      </c>
      <c r="U113" t="s">
        <v>12</v>
      </c>
      <c r="V113" t="s">
        <v>12</v>
      </c>
      <c r="W113" t="s">
        <v>910</v>
      </c>
      <c r="AA113" t="s">
        <v>92</v>
      </c>
      <c r="AB113" t="s">
        <v>12</v>
      </c>
      <c r="AC113" t="s">
        <v>12</v>
      </c>
      <c r="AD113" t="s">
        <v>92</v>
      </c>
      <c r="AE113" t="s">
        <v>119</v>
      </c>
      <c r="AF113" t="s">
        <v>920</v>
      </c>
    </row>
    <row r="114" spans="1:32" x14ac:dyDescent="0.45">
      <c r="A114" t="s">
        <v>921</v>
      </c>
      <c r="B114" t="s">
        <v>922</v>
      </c>
      <c r="C114" t="s">
        <v>923</v>
      </c>
      <c r="D114" t="s">
        <v>924</v>
      </c>
      <c r="E114" t="s">
        <v>385</v>
      </c>
      <c r="F114" t="s">
        <v>925</v>
      </c>
      <c r="H114" t="s">
        <v>926</v>
      </c>
      <c r="I114" t="s">
        <v>927</v>
      </c>
      <c r="J114" t="s">
        <v>92</v>
      </c>
      <c r="K114" t="s">
        <v>12</v>
      </c>
      <c r="L114" t="s">
        <v>12</v>
      </c>
      <c r="M114" t="s">
        <v>182</v>
      </c>
      <c r="N114" t="s">
        <v>12</v>
      </c>
      <c r="O114" t="s">
        <v>12</v>
      </c>
      <c r="P114" t="s">
        <v>12</v>
      </c>
      <c r="Q114" t="s">
        <v>92</v>
      </c>
      <c r="R114" t="s">
        <v>182</v>
      </c>
      <c r="S114" t="s">
        <v>92</v>
      </c>
      <c r="T114" t="s">
        <v>921</v>
      </c>
      <c r="U114" t="s">
        <v>12</v>
      </c>
      <c r="V114" t="s">
        <v>12</v>
      </c>
      <c r="W114" t="s">
        <v>928</v>
      </c>
      <c r="AA114" t="s">
        <v>12</v>
      </c>
      <c r="AB114" t="s">
        <v>92</v>
      </c>
      <c r="AC114" t="s">
        <v>12</v>
      </c>
      <c r="AD114" t="s">
        <v>92</v>
      </c>
      <c r="AE114" t="s">
        <v>92</v>
      </c>
      <c r="AF114" t="s">
        <v>929</v>
      </c>
    </row>
    <row r="115" spans="1:32" x14ac:dyDescent="0.45">
      <c r="A115" t="s">
        <v>930</v>
      </c>
      <c r="B115" t="s">
        <v>931</v>
      </c>
      <c r="C115" t="s">
        <v>923</v>
      </c>
      <c r="D115" t="s">
        <v>931</v>
      </c>
      <c r="H115" t="s">
        <v>926</v>
      </c>
      <c r="I115" t="s">
        <v>927</v>
      </c>
      <c r="J115" t="s">
        <v>92</v>
      </c>
      <c r="K115" t="s">
        <v>12</v>
      </c>
      <c r="L115" t="s">
        <v>12</v>
      </c>
      <c r="M115" t="s">
        <v>182</v>
      </c>
      <c r="N115" t="s">
        <v>12</v>
      </c>
      <c r="O115" t="s">
        <v>12</v>
      </c>
      <c r="P115" t="s">
        <v>12</v>
      </c>
      <c r="Q115" t="s">
        <v>92</v>
      </c>
      <c r="R115" t="s">
        <v>182</v>
      </c>
      <c r="S115" t="s">
        <v>92</v>
      </c>
      <c r="T115" t="s">
        <v>930</v>
      </c>
      <c r="U115" t="s">
        <v>12</v>
      </c>
      <c r="V115" t="s">
        <v>12</v>
      </c>
      <c r="W115" t="s">
        <v>932</v>
      </c>
      <c r="AA115" t="s">
        <v>92</v>
      </c>
      <c r="AB115" t="s">
        <v>92</v>
      </c>
      <c r="AC115" t="s">
        <v>12</v>
      </c>
      <c r="AD115" t="s">
        <v>92</v>
      </c>
      <c r="AE115" t="s">
        <v>119</v>
      </c>
      <c r="AF115" t="s">
        <v>933</v>
      </c>
    </row>
    <row r="116" spans="1:32" x14ac:dyDescent="0.45">
      <c r="A116" t="s">
        <v>934</v>
      </c>
      <c r="B116" t="s">
        <v>935</v>
      </c>
      <c r="C116" t="s">
        <v>923</v>
      </c>
      <c r="D116" t="s">
        <v>936</v>
      </c>
      <c r="H116" t="s">
        <v>926</v>
      </c>
      <c r="I116" t="s">
        <v>927</v>
      </c>
      <c r="J116" t="s">
        <v>92</v>
      </c>
      <c r="K116" t="s">
        <v>12</v>
      </c>
      <c r="L116" t="s">
        <v>12</v>
      </c>
      <c r="M116" t="s">
        <v>182</v>
      </c>
      <c r="N116" t="s">
        <v>12</v>
      </c>
      <c r="O116" t="s">
        <v>12</v>
      </c>
      <c r="P116" t="s">
        <v>12</v>
      </c>
      <c r="Q116" t="s">
        <v>92</v>
      </c>
      <c r="R116" t="s">
        <v>182</v>
      </c>
      <c r="S116" t="s">
        <v>92</v>
      </c>
      <c r="T116" t="s">
        <v>934</v>
      </c>
      <c r="U116" t="s">
        <v>12</v>
      </c>
      <c r="V116" t="s">
        <v>12</v>
      </c>
      <c r="W116" t="s">
        <v>937</v>
      </c>
      <c r="AA116" t="s">
        <v>12</v>
      </c>
      <c r="AB116" t="s">
        <v>92</v>
      </c>
      <c r="AC116" t="s">
        <v>12</v>
      </c>
      <c r="AD116" t="s">
        <v>92</v>
      </c>
      <c r="AE116" t="s">
        <v>92</v>
      </c>
      <c r="AF116" t="s">
        <v>938</v>
      </c>
    </row>
    <row r="117" spans="1:32" x14ac:dyDescent="0.45">
      <c r="A117" t="s">
        <v>939</v>
      </c>
      <c r="B117" t="s">
        <v>940</v>
      </c>
      <c r="C117" t="s">
        <v>941</v>
      </c>
      <c r="D117" t="s">
        <v>942</v>
      </c>
      <c r="E117" t="s">
        <v>385</v>
      </c>
      <c r="F117" t="s">
        <v>925</v>
      </c>
      <c r="H117" t="s">
        <v>926</v>
      </c>
      <c r="I117" t="s">
        <v>927</v>
      </c>
      <c r="J117" t="s">
        <v>92</v>
      </c>
      <c r="K117" t="s">
        <v>12</v>
      </c>
      <c r="L117" t="s">
        <v>12</v>
      </c>
      <c r="M117" t="s">
        <v>182</v>
      </c>
      <c r="N117" t="s">
        <v>12</v>
      </c>
      <c r="O117" t="s">
        <v>12</v>
      </c>
      <c r="P117" t="s">
        <v>12</v>
      </c>
      <c r="Q117" t="s">
        <v>92</v>
      </c>
      <c r="R117" t="s">
        <v>182</v>
      </c>
      <c r="S117" t="s">
        <v>92</v>
      </c>
      <c r="T117" t="s">
        <v>939</v>
      </c>
      <c r="U117" t="s">
        <v>12</v>
      </c>
      <c r="V117" t="s">
        <v>12</v>
      </c>
      <c r="W117" t="s">
        <v>928</v>
      </c>
      <c r="AA117" t="s">
        <v>92</v>
      </c>
      <c r="AB117" t="s">
        <v>92</v>
      </c>
      <c r="AC117" t="s">
        <v>12</v>
      </c>
      <c r="AD117" t="s">
        <v>92</v>
      </c>
      <c r="AE117" t="s">
        <v>130</v>
      </c>
      <c r="AF117" t="s">
        <v>943</v>
      </c>
    </row>
    <row r="118" spans="1:32" x14ac:dyDescent="0.45">
      <c r="A118" t="s">
        <v>944</v>
      </c>
      <c r="B118" t="s">
        <v>945</v>
      </c>
      <c r="C118" t="s">
        <v>946</v>
      </c>
      <c r="D118" t="s">
        <v>947</v>
      </c>
      <c r="E118" t="s">
        <v>948</v>
      </c>
      <c r="F118" t="s">
        <v>949</v>
      </c>
      <c r="H118" t="s">
        <v>950</v>
      </c>
      <c r="I118" t="s">
        <v>951</v>
      </c>
      <c r="J118" t="s">
        <v>92</v>
      </c>
      <c r="K118" t="s">
        <v>12</v>
      </c>
      <c r="L118" t="s">
        <v>12</v>
      </c>
      <c r="M118" t="s">
        <v>182</v>
      </c>
      <c r="N118" t="s">
        <v>12</v>
      </c>
      <c r="O118" t="s">
        <v>12</v>
      </c>
      <c r="P118" t="s">
        <v>12</v>
      </c>
      <c r="Q118" t="s">
        <v>92</v>
      </c>
      <c r="R118" t="s">
        <v>182</v>
      </c>
      <c r="S118" t="s">
        <v>92</v>
      </c>
      <c r="T118" t="s">
        <v>944</v>
      </c>
      <c r="U118" t="s">
        <v>12</v>
      </c>
      <c r="V118" t="s">
        <v>12</v>
      </c>
      <c r="W118" t="s">
        <v>952</v>
      </c>
      <c r="AA118" t="s">
        <v>12</v>
      </c>
      <c r="AB118" t="s">
        <v>92</v>
      </c>
      <c r="AC118" t="s">
        <v>12</v>
      </c>
      <c r="AD118" t="s">
        <v>92</v>
      </c>
      <c r="AE118" t="s">
        <v>119</v>
      </c>
      <c r="AF118" t="s">
        <v>953</v>
      </c>
    </row>
    <row r="119" spans="1:32" x14ac:dyDescent="0.45">
      <c r="A119" t="s">
        <v>954</v>
      </c>
      <c r="B119" t="s">
        <v>955</v>
      </c>
      <c r="C119" t="s">
        <v>956</v>
      </c>
      <c r="D119" t="s">
        <v>955</v>
      </c>
      <c r="H119" t="s">
        <v>950</v>
      </c>
      <c r="I119" t="s">
        <v>951</v>
      </c>
      <c r="J119" t="s">
        <v>92</v>
      </c>
      <c r="K119" t="s">
        <v>12</v>
      </c>
      <c r="L119" t="s">
        <v>12</v>
      </c>
      <c r="M119" t="s">
        <v>182</v>
      </c>
      <c r="N119" t="s">
        <v>12</v>
      </c>
      <c r="O119" t="s">
        <v>12</v>
      </c>
      <c r="P119" t="s">
        <v>12</v>
      </c>
      <c r="Q119" t="s">
        <v>92</v>
      </c>
      <c r="R119" t="s">
        <v>182</v>
      </c>
      <c r="S119" t="s">
        <v>92</v>
      </c>
      <c r="T119" t="s">
        <v>954</v>
      </c>
      <c r="U119" t="s">
        <v>12</v>
      </c>
      <c r="V119" t="s">
        <v>12</v>
      </c>
      <c r="W119" t="s">
        <v>957</v>
      </c>
      <c r="AA119" t="s">
        <v>92</v>
      </c>
      <c r="AB119" t="s">
        <v>92</v>
      </c>
      <c r="AC119" t="s">
        <v>12</v>
      </c>
      <c r="AD119" t="s">
        <v>92</v>
      </c>
      <c r="AE119" t="s">
        <v>119</v>
      </c>
      <c r="AF119" t="s">
        <v>958</v>
      </c>
    </row>
    <row r="120" spans="1:32" x14ac:dyDescent="0.45">
      <c r="A120" t="s">
        <v>959</v>
      </c>
      <c r="B120" t="s">
        <v>960</v>
      </c>
      <c r="C120" t="s">
        <v>946</v>
      </c>
      <c r="D120" t="s">
        <v>961</v>
      </c>
      <c r="H120" t="s">
        <v>950</v>
      </c>
      <c r="I120" t="s">
        <v>951</v>
      </c>
      <c r="J120" t="s">
        <v>92</v>
      </c>
      <c r="K120" t="s">
        <v>12</v>
      </c>
      <c r="L120" t="s">
        <v>12</v>
      </c>
      <c r="M120" t="s">
        <v>182</v>
      </c>
      <c r="N120" t="s">
        <v>12</v>
      </c>
      <c r="O120" t="s">
        <v>12</v>
      </c>
      <c r="P120" t="s">
        <v>12</v>
      </c>
      <c r="Q120" t="s">
        <v>92</v>
      </c>
      <c r="R120" t="s">
        <v>182</v>
      </c>
      <c r="S120" t="s">
        <v>92</v>
      </c>
      <c r="T120" t="s">
        <v>959</v>
      </c>
      <c r="U120" t="s">
        <v>12</v>
      </c>
      <c r="V120" t="s">
        <v>12</v>
      </c>
      <c r="W120" t="s">
        <v>962</v>
      </c>
      <c r="AA120" t="s">
        <v>12</v>
      </c>
      <c r="AB120" t="s">
        <v>92</v>
      </c>
      <c r="AC120" t="s">
        <v>12</v>
      </c>
      <c r="AD120" t="s">
        <v>92</v>
      </c>
      <c r="AE120" t="s">
        <v>114</v>
      </c>
      <c r="AF120" t="s">
        <v>963</v>
      </c>
    </row>
    <row r="121" spans="1:32" x14ac:dyDescent="0.45">
      <c r="A121" t="s">
        <v>964</v>
      </c>
      <c r="B121" t="s">
        <v>965</v>
      </c>
      <c r="C121" t="s">
        <v>956</v>
      </c>
      <c r="D121" t="s">
        <v>965</v>
      </c>
      <c r="H121" t="s">
        <v>950</v>
      </c>
      <c r="I121" t="s">
        <v>951</v>
      </c>
      <c r="J121" t="s">
        <v>92</v>
      </c>
      <c r="K121" t="s">
        <v>12</v>
      </c>
      <c r="L121" t="s">
        <v>12</v>
      </c>
      <c r="M121" t="s">
        <v>182</v>
      </c>
      <c r="N121" t="s">
        <v>12</v>
      </c>
      <c r="O121" t="s">
        <v>12</v>
      </c>
      <c r="P121" t="s">
        <v>12</v>
      </c>
      <c r="Q121" t="s">
        <v>92</v>
      </c>
      <c r="R121" t="s">
        <v>182</v>
      </c>
      <c r="S121" t="s">
        <v>92</v>
      </c>
      <c r="T121" t="s">
        <v>964</v>
      </c>
      <c r="U121" t="s">
        <v>12</v>
      </c>
      <c r="V121" t="s">
        <v>12</v>
      </c>
      <c r="W121" t="s">
        <v>957</v>
      </c>
      <c r="AA121" t="s">
        <v>12</v>
      </c>
      <c r="AB121" t="s">
        <v>92</v>
      </c>
      <c r="AC121" t="s">
        <v>12</v>
      </c>
      <c r="AD121" t="s">
        <v>92</v>
      </c>
      <c r="AE121" t="s">
        <v>119</v>
      </c>
      <c r="AF121" t="s">
        <v>966</v>
      </c>
    </row>
    <row r="122" spans="1:32" x14ac:dyDescent="0.45">
      <c r="A122" t="s">
        <v>967</v>
      </c>
      <c r="B122" t="s">
        <v>968</v>
      </c>
      <c r="C122" t="s">
        <v>969</v>
      </c>
      <c r="D122" t="s">
        <v>970</v>
      </c>
      <c r="E122" t="s">
        <v>948</v>
      </c>
      <c r="F122" t="s">
        <v>949</v>
      </c>
      <c r="H122" t="s">
        <v>950</v>
      </c>
      <c r="I122" t="s">
        <v>951</v>
      </c>
      <c r="J122" t="s">
        <v>92</v>
      </c>
      <c r="K122" t="s">
        <v>12</v>
      </c>
      <c r="L122" t="s">
        <v>12</v>
      </c>
      <c r="M122" t="s">
        <v>182</v>
      </c>
      <c r="N122" t="s">
        <v>12</v>
      </c>
      <c r="O122" t="s">
        <v>12</v>
      </c>
      <c r="P122" t="s">
        <v>12</v>
      </c>
      <c r="Q122" t="s">
        <v>92</v>
      </c>
      <c r="R122" t="s">
        <v>182</v>
      </c>
      <c r="S122" t="s">
        <v>92</v>
      </c>
      <c r="T122" t="s">
        <v>967</v>
      </c>
      <c r="U122" t="s">
        <v>12</v>
      </c>
      <c r="V122" t="s">
        <v>12</v>
      </c>
      <c r="W122" t="s">
        <v>952</v>
      </c>
      <c r="AA122" t="s">
        <v>92</v>
      </c>
      <c r="AB122" t="s">
        <v>92</v>
      </c>
      <c r="AC122" t="s">
        <v>12</v>
      </c>
      <c r="AD122" t="s">
        <v>92</v>
      </c>
      <c r="AE122" t="s">
        <v>130</v>
      </c>
      <c r="AF122" t="s">
        <v>971</v>
      </c>
    </row>
    <row r="123" spans="1:32" x14ac:dyDescent="0.45">
      <c r="A123" t="s">
        <v>972</v>
      </c>
      <c r="B123" t="s">
        <v>973</v>
      </c>
      <c r="C123" t="s">
        <v>974</v>
      </c>
      <c r="D123" t="s">
        <v>975</v>
      </c>
      <c r="E123" t="s">
        <v>976</v>
      </c>
      <c r="F123" t="s">
        <v>977</v>
      </c>
      <c r="H123" t="s">
        <v>978</v>
      </c>
      <c r="I123" t="s">
        <v>979</v>
      </c>
      <c r="J123" t="s">
        <v>92</v>
      </c>
      <c r="K123" t="s">
        <v>12</v>
      </c>
      <c r="L123" t="s">
        <v>12</v>
      </c>
      <c r="M123" t="s">
        <v>182</v>
      </c>
      <c r="N123" t="s">
        <v>12</v>
      </c>
      <c r="O123" t="s">
        <v>12</v>
      </c>
      <c r="P123" t="s">
        <v>12</v>
      </c>
      <c r="Q123" t="s">
        <v>92</v>
      </c>
      <c r="R123" t="s">
        <v>182</v>
      </c>
      <c r="S123" t="s">
        <v>92</v>
      </c>
      <c r="T123" t="s">
        <v>972</v>
      </c>
      <c r="U123" t="s">
        <v>12</v>
      </c>
      <c r="V123" t="s">
        <v>12</v>
      </c>
      <c r="W123" t="s">
        <v>980</v>
      </c>
      <c r="AA123" t="s">
        <v>12</v>
      </c>
      <c r="AB123" t="s">
        <v>92</v>
      </c>
      <c r="AC123" t="s">
        <v>12</v>
      </c>
      <c r="AD123" t="s">
        <v>92</v>
      </c>
      <c r="AE123" t="s">
        <v>119</v>
      </c>
      <c r="AF123" t="s">
        <v>981</v>
      </c>
    </row>
    <row r="124" spans="1:32" x14ac:dyDescent="0.45">
      <c r="A124" t="s">
        <v>982</v>
      </c>
      <c r="B124" t="s">
        <v>983</v>
      </c>
      <c r="C124" t="s">
        <v>974</v>
      </c>
      <c r="D124" t="s">
        <v>983</v>
      </c>
      <c r="H124" t="s">
        <v>978</v>
      </c>
      <c r="I124" t="s">
        <v>979</v>
      </c>
      <c r="J124" t="s">
        <v>92</v>
      </c>
      <c r="K124" t="s">
        <v>12</v>
      </c>
      <c r="L124" t="s">
        <v>12</v>
      </c>
      <c r="M124" t="s">
        <v>182</v>
      </c>
      <c r="N124" t="s">
        <v>12</v>
      </c>
      <c r="O124" t="s">
        <v>12</v>
      </c>
      <c r="P124" t="s">
        <v>12</v>
      </c>
      <c r="Q124" t="s">
        <v>92</v>
      </c>
      <c r="R124" t="s">
        <v>182</v>
      </c>
      <c r="S124" t="s">
        <v>92</v>
      </c>
      <c r="T124" t="s">
        <v>982</v>
      </c>
      <c r="U124" t="s">
        <v>12</v>
      </c>
      <c r="V124" t="s">
        <v>12</v>
      </c>
      <c r="W124" t="s">
        <v>980</v>
      </c>
      <c r="AA124" t="s">
        <v>92</v>
      </c>
      <c r="AB124" t="s">
        <v>92</v>
      </c>
      <c r="AC124" t="s">
        <v>12</v>
      </c>
      <c r="AD124" t="s">
        <v>92</v>
      </c>
      <c r="AE124" t="s">
        <v>119</v>
      </c>
      <c r="AF124" t="s">
        <v>984</v>
      </c>
    </row>
    <row r="125" spans="1:32" x14ac:dyDescent="0.45">
      <c r="A125" t="s">
        <v>985</v>
      </c>
      <c r="B125" t="s">
        <v>986</v>
      </c>
      <c r="C125" t="s">
        <v>974</v>
      </c>
      <c r="D125" t="s">
        <v>987</v>
      </c>
      <c r="H125" t="s">
        <v>978</v>
      </c>
      <c r="I125" t="s">
        <v>979</v>
      </c>
      <c r="J125" t="s">
        <v>92</v>
      </c>
      <c r="K125" t="s">
        <v>12</v>
      </c>
      <c r="L125" t="s">
        <v>12</v>
      </c>
      <c r="M125" t="s">
        <v>182</v>
      </c>
      <c r="N125" t="s">
        <v>12</v>
      </c>
      <c r="O125" t="s">
        <v>12</v>
      </c>
      <c r="P125" t="s">
        <v>12</v>
      </c>
      <c r="Q125" t="s">
        <v>92</v>
      </c>
      <c r="R125" t="s">
        <v>182</v>
      </c>
      <c r="S125" t="s">
        <v>92</v>
      </c>
      <c r="T125" t="s">
        <v>985</v>
      </c>
      <c r="U125" t="s">
        <v>12</v>
      </c>
      <c r="V125" t="s">
        <v>12</v>
      </c>
      <c r="W125" t="s">
        <v>988</v>
      </c>
      <c r="AA125" t="s">
        <v>12</v>
      </c>
      <c r="AB125" t="s">
        <v>92</v>
      </c>
      <c r="AC125" t="s">
        <v>12</v>
      </c>
      <c r="AD125" t="s">
        <v>92</v>
      </c>
      <c r="AE125" t="s">
        <v>130</v>
      </c>
      <c r="AF125" t="s">
        <v>989</v>
      </c>
    </row>
    <row r="126" spans="1:32" x14ac:dyDescent="0.45">
      <c r="A126" t="s">
        <v>990</v>
      </c>
      <c r="B126" t="s">
        <v>991</v>
      </c>
      <c r="C126" t="s">
        <v>992</v>
      </c>
      <c r="D126" t="s">
        <v>993</v>
      </c>
      <c r="E126" t="s">
        <v>976</v>
      </c>
      <c r="F126" t="s">
        <v>977</v>
      </c>
      <c r="H126" t="s">
        <v>978</v>
      </c>
      <c r="I126" t="s">
        <v>979</v>
      </c>
      <c r="J126" t="s">
        <v>92</v>
      </c>
      <c r="K126" t="s">
        <v>12</v>
      </c>
      <c r="L126" t="s">
        <v>12</v>
      </c>
      <c r="M126" t="s">
        <v>182</v>
      </c>
      <c r="N126" t="s">
        <v>12</v>
      </c>
      <c r="O126" t="s">
        <v>12</v>
      </c>
      <c r="P126" t="s">
        <v>12</v>
      </c>
      <c r="Q126" t="s">
        <v>92</v>
      </c>
      <c r="R126" t="s">
        <v>182</v>
      </c>
      <c r="S126" t="s">
        <v>92</v>
      </c>
      <c r="T126" t="s">
        <v>990</v>
      </c>
      <c r="U126" t="s">
        <v>12</v>
      </c>
      <c r="V126" t="s">
        <v>12</v>
      </c>
      <c r="W126" t="s">
        <v>980</v>
      </c>
      <c r="AA126" t="s">
        <v>92</v>
      </c>
      <c r="AB126" t="s">
        <v>92</v>
      </c>
      <c r="AC126" t="s">
        <v>12</v>
      </c>
      <c r="AD126" t="s">
        <v>92</v>
      </c>
      <c r="AE126" t="s">
        <v>130</v>
      </c>
      <c r="AF126" t="s">
        <v>994</v>
      </c>
    </row>
    <row r="127" spans="1:32" x14ac:dyDescent="0.45">
      <c r="A127" t="s">
        <v>995</v>
      </c>
      <c r="B127" t="s">
        <v>996</v>
      </c>
      <c r="C127" t="s">
        <v>997</v>
      </c>
      <c r="D127" t="s">
        <v>996</v>
      </c>
      <c r="E127" t="s">
        <v>545</v>
      </c>
      <c r="F127" t="s">
        <v>998</v>
      </c>
      <c r="H127" t="s">
        <v>999</v>
      </c>
      <c r="I127" t="s">
        <v>1000</v>
      </c>
      <c r="J127" t="s">
        <v>92</v>
      </c>
      <c r="K127" t="s">
        <v>12</v>
      </c>
      <c r="L127" t="s">
        <v>12</v>
      </c>
      <c r="M127" t="s">
        <v>182</v>
      </c>
      <c r="N127" t="s">
        <v>12</v>
      </c>
      <c r="O127" t="s">
        <v>12</v>
      </c>
      <c r="P127" t="s">
        <v>12</v>
      </c>
      <c r="Q127" t="s">
        <v>92</v>
      </c>
      <c r="R127" t="s">
        <v>182</v>
      </c>
      <c r="S127" t="s">
        <v>92</v>
      </c>
      <c r="T127" t="s">
        <v>995</v>
      </c>
      <c r="U127" t="s">
        <v>12</v>
      </c>
      <c r="V127" t="s">
        <v>12</v>
      </c>
      <c r="W127" t="s">
        <v>1001</v>
      </c>
      <c r="AA127" t="s">
        <v>12</v>
      </c>
      <c r="AB127" t="s">
        <v>92</v>
      </c>
      <c r="AC127" t="s">
        <v>12</v>
      </c>
      <c r="AD127" t="s">
        <v>92</v>
      </c>
      <c r="AE127" t="s">
        <v>130</v>
      </c>
      <c r="AF127" t="s">
        <v>1002</v>
      </c>
    </row>
    <row r="128" spans="1:32" x14ac:dyDescent="0.45">
      <c r="A128" t="s">
        <v>1003</v>
      </c>
      <c r="B128" t="s">
        <v>1004</v>
      </c>
      <c r="C128" t="s">
        <v>997</v>
      </c>
      <c r="D128" t="s">
        <v>1004</v>
      </c>
      <c r="H128" t="s">
        <v>999</v>
      </c>
      <c r="I128" t="s">
        <v>1000</v>
      </c>
      <c r="J128" t="s">
        <v>92</v>
      </c>
      <c r="K128" t="s">
        <v>12</v>
      </c>
      <c r="L128" t="s">
        <v>12</v>
      </c>
      <c r="M128" t="s">
        <v>182</v>
      </c>
      <c r="N128" t="s">
        <v>12</v>
      </c>
      <c r="O128" t="s">
        <v>12</v>
      </c>
      <c r="P128" t="s">
        <v>12</v>
      </c>
      <c r="Q128" t="s">
        <v>92</v>
      </c>
      <c r="R128" t="s">
        <v>182</v>
      </c>
      <c r="S128" t="s">
        <v>92</v>
      </c>
      <c r="T128" t="s">
        <v>1003</v>
      </c>
      <c r="U128" t="s">
        <v>12</v>
      </c>
      <c r="V128" t="s">
        <v>12</v>
      </c>
      <c r="W128" t="s">
        <v>1005</v>
      </c>
      <c r="AA128" t="s">
        <v>12</v>
      </c>
      <c r="AB128" t="s">
        <v>92</v>
      </c>
      <c r="AC128" t="s">
        <v>12</v>
      </c>
      <c r="AD128" t="s">
        <v>92</v>
      </c>
      <c r="AE128" t="s">
        <v>119</v>
      </c>
      <c r="AF128" t="s">
        <v>1006</v>
      </c>
    </row>
    <row r="129" spans="1:32" x14ac:dyDescent="0.45">
      <c r="A129" t="s">
        <v>1007</v>
      </c>
      <c r="B129" t="s">
        <v>1008</v>
      </c>
      <c r="C129" t="s">
        <v>997</v>
      </c>
      <c r="D129" t="s">
        <v>1008</v>
      </c>
      <c r="H129" t="s">
        <v>999</v>
      </c>
      <c r="I129" t="s">
        <v>1000</v>
      </c>
      <c r="J129" t="s">
        <v>92</v>
      </c>
      <c r="K129" t="s">
        <v>12</v>
      </c>
      <c r="L129" t="s">
        <v>12</v>
      </c>
      <c r="M129" t="s">
        <v>182</v>
      </c>
      <c r="N129" t="s">
        <v>12</v>
      </c>
      <c r="O129" t="s">
        <v>12</v>
      </c>
      <c r="P129" t="s">
        <v>12</v>
      </c>
      <c r="Q129" t="s">
        <v>92</v>
      </c>
      <c r="R129" t="s">
        <v>182</v>
      </c>
      <c r="S129" t="s">
        <v>92</v>
      </c>
      <c r="T129" t="s">
        <v>1007</v>
      </c>
      <c r="U129" t="s">
        <v>12</v>
      </c>
      <c r="V129" t="s">
        <v>12</v>
      </c>
      <c r="W129" t="s">
        <v>12</v>
      </c>
      <c r="AA129" t="s">
        <v>12</v>
      </c>
      <c r="AB129" t="s">
        <v>92</v>
      </c>
      <c r="AC129" t="s">
        <v>12</v>
      </c>
      <c r="AD129" t="s">
        <v>92</v>
      </c>
      <c r="AE129" t="s">
        <v>130</v>
      </c>
      <c r="AF129" t="s">
        <v>1009</v>
      </c>
    </row>
    <row r="130" spans="1:32" x14ac:dyDescent="0.45">
      <c r="A130" t="s">
        <v>1010</v>
      </c>
      <c r="B130" t="s">
        <v>1011</v>
      </c>
      <c r="C130" t="s">
        <v>1012</v>
      </c>
      <c r="D130" t="s">
        <v>1011</v>
      </c>
      <c r="E130" t="s">
        <v>552</v>
      </c>
      <c r="F130" t="s">
        <v>1013</v>
      </c>
      <c r="H130" t="s">
        <v>1014</v>
      </c>
      <c r="I130" t="s">
        <v>1015</v>
      </c>
      <c r="J130" t="s">
        <v>92</v>
      </c>
      <c r="K130" t="s">
        <v>12</v>
      </c>
      <c r="L130" t="s">
        <v>12</v>
      </c>
      <c r="M130" t="s">
        <v>182</v>
      </c>
      <c r="N130" t="s">
        <v>12</v>
      </c>
      <c r="O130" t="s">
        <v>12</v>
      </c>
      <c r="P130" t="s">
        <v>12</v>
      </c>
      <c r="Q130" t="s">
        <v>92</v>
      </c>
      <c r="R130" t="s">
        <v>182</v>
      </c>
      <c r="S130" t="s">
        <v>92</v>
      </c>
      <c r="T130" t="s">
        <v>1010</v>
      </c>
      <c r="U130" t="s">
        <v>12</v>
      </c>
      <c r="V130" t="s">
        <v>12</v>
      </c>
      <c r="W130" t="s">
        <v>1016</v>
      </c>
      <c r="AA130" t="s">
        <v>12</v>
      </c>
      <c r="AB130" t="s">
        <v>92</v>
      </c>
      <c r="AC130" t="s">
        <v>12</v>
      </c>
      <c r="AD130" t="s">
        <v>92</v>
      </c>
      <c r="AE130" t="s">
        <v>166</v>
      </c>
      <c r="AF130" t="s">
        <v>1017</v>
      </c>
    </row>
    <row r="131" spans="1:32" x14ac:dyDescent="0.45">
      <c r="A131" t="s">
        <v>1018</v>
      </c>
      <c r="B131" t="s">
        <v>1019</v>
      </c>
      <c r="C131" t="s">
        <v>1012</v>
      </c>
      <c r="D131" t="s">
        <v>1019</v>
      </c>
      <c r="H131" t="s">
        <v>1014</v>
      </c>
      <c r="I131" t="s">
        <v>1015</v>
      </c>
      <c r="J131" t="s">
        <v>92</v>
      </c>
      <c r="K131" t="s">
        <v>12</v>
      </c>
      <c r="L131" t="s">
        <v>12</v>
      </c>
      <c r="M131" t="s">
        <v>182</v>
      </c>
      <c r="N131" t="s">
        <v>12</v>
      </c>
      <c r="O131" t="s">
        <v>12</v>
      </c>
      <c r="P131" t="s">
        <v>12</v>
      </c>
      <c r="Q131" t="s">
        <v>92</v>
      </c>
      <c r="R131" t="s">
        <v>182</v>
      </c>
      <c r="S131" t="s">
        <v>92</v>
      </c>
      <c r="T131" t="s">
        <v>1018</v>
      </c>
      <c r="U131" t="s">
        <v>12</v>
      </c>
      <c r="V131" t="s">
        <v>12</v>
      </c>
      <c r="W131" t="s">
        <v>1020</v>
      </c>
      <c r="AA131" t="s">
        <v>12</v>
      </c>
      <c r="AB131" t="s">
        <v>92</v>
      </c>
      <c r="AC131" t="s">
        <v>12</v>
      </c>
      <c r="AD131" t="s">
        <v>92</v>
      </c>
      <c r="AE131" t="s">
        <v>119</v>
      </c>
      <c r="AF131" t="s">
        <v>1021</v>
      </c>
    </row>
    <row r="132" spans="1:32" x14ac:dyDescent="0.45">
      <c r="A132" t="s">
        <v>1022</v>
      </c>
      <c r="B132" t="s">
        <v>1023</v>
      </c>
      <c r="C132" t="s">
        <v>1012</v>
      </c>
      <c r="D132" t="s">
        <v>1023</v>
      </c>
      <c r="H132" t="s">
        <v>1014</v>
      </c>
      <c r="I132" t="s">
        <v>1015</v>
      </c>
      <c r="J132" t="s">
        <v>92</v>
      </c>
      <c r="K132" t="s">
        <v>12</v>
      </c>
      <c r="L132" t="s">
        <v>12</v>
      </c>
      <c r="M132" t="s">
        <v>182</v>
      </c>
      <c r="N132" t="s">
        <v>12</v>
      </c>
      <c r="O132" t="s">
        <v>12</v>
      </c>
      <c r="P132" t="s">
        <v>12</v>
      </c>
      <c r="Q132" t="s">
        <v>92</v>
      </c>
      <c r="R132" t="s">
        <v>182</v>
      </c>
      <c r="S132" t="s">
        <v>92</v>
      </c>
      <c r="T132" t="s">
        <v>1022</v>
      </c>
      <c r="U132" t="s">
        <v>12</v>
      </c>
      <c r="V132" t="s">
        <v>12</v>
      </c>
      <c r="W132" t="s">
        <v>12</v>
      </c>
      <c r="AA132" t="s">
        <v>12</v>
      </c>
      <c r="AB132" t="s">
        <v>92</v>
      </c>
      <c r="AC132" t="s">
        <v>12</v>
      </c>
      <c r="AD132" t="s">
        <v>92</v>
      </c>
      <c r="AE132" t="s">
        <v>130</v>
      </c>
      <c r="AF132" t="s">
        <v>1024</v>
      </c>
    </row>
    <row r="133" spans="1:32" x14ac:dyDescent="0.45">
      <c r="A133" t="s">
        <v>1025</v>
      </c>
      <c r="B133" t="s">
        <v>1026</v>
      </c>
      <c r="C133" t="s">
        <v>1027</v>
      </c>
      <c r="D133" t="s">
        <v>1026</v>
      </c>
      <c r="E133" t="s">
        <v>537</v>
      </c>
      <c r="F133" t="s">
        <v>1028</v>
      </c>
      <c r="H133" t="s">
        <v>1029</v>
      </c>
      <c r="I133" t="s">
        <v>1030</v>
      </c>
      <c r="J133" t="s">
        <v>92</v>
      </c>
      <c r="K133" t="s">
        <v>12</v>
      </c>
      <c r="L133" t="s">
        <v>12</v>
      </c>
      <c r="M133" t="s">
        <v>182</v>
      </c>
      <c r="N133" t="s">
        <v>12</v>
      </c>
      <c r="O133" t="s">
        <v>12</v>
      </c>
      <c r="P133" t="s">
        <v>12</v>
      </c>
      <c r="Q133" t="s">
        <v>92</v>
      </c>
      <c r="R133" t="s">
        <v>182</v>
      </c>
      <c r="S133" t="s">
        <v>92</v>
      </c>
      <c r="T133" t="s">
        <v>1025</v>
      </c>
      <c r="U133" t="s">
        <v>12</v>
      </c>
      <c r="V133" t="s">
        <v>12</v>
      </c>
      <c r="W133" t="s">
        <v>134</v>
      </c>
      <c r="AA133" t="s">
        <v>12</v>
      </c>
      <c r="AB133" t="s">
        <v>92</v>
      </c>
      <c r="AC133" t="s">
        <v>12</v>
      </c>
      <c r="AD133" t="s">
        <v>92</v>
      </c>
      <c r="AE133" t="s">
        <v>130</v>
      </c>
      <c r="AF133" t="s">
        <v>1031</v>
      </c>
    </row>
    <row r="134" spans="1:32" x14ac:dyDescent="0.45">
      <c r="A134" t="s">
        <v>1032</v>
      </c>
      <c r="B134" t="s">
        <v>1033</v>
      </c>
      <c r="C134" t="s">
        <v>1027</v>
      </c>
      <c r="D134" t="s">
        <v>1033</v>
      </c>
      <c r="H134" t="s">
        <v>1029</v>
      </c>
      <c r="I134" t="s">
        <v>1030</v>
      </c>
      <c r="J134" t="s">
        <v>92</v>
      </c>
      <c r="K134" t="s">
        <v>12</v>
      </c>
      <c r="L134" t="s">
        <v>12</v>
      </c>
      <c r="M134" t="s">
        <v>182</v>
      </c>
      <c r="N134" t="s">
        <v>12</v>
      </c>
      <c r="O134" t="s">
        <v>12</v>
      </c>
      <c r="P134" t="s">
        <v>12</v>
      </c>
      <c r="Q134" t="s">
        <v>92</v>
      </c>
      <c r="R134" t="s">
        <v>182</v>
      </c>
      <c r="S134" t="s">
        <v>92</v>
      </c>
      <c r="T134" t="s">
        <v>1032</v>
      </c>
      <c r="U134" t="s">
        <v>12</v>
      </c>
      <c r="V134" t="s">
        <v>12</v>
      </c>
      <c r="W134" t="s">
        <v>1034</v>
      </c>
      <c r="AA134" t="s">
        <v>12</v>
      </c>
      <c r="AB134" t="s">
        <v>92</v>
      </c>
      <c r="AC134" t="s">
        <v>12</v>
      </c>
      <c r="AD134" t="s">
        <v>92</v>
      </c>
      <c r="AE134" t="s">
        <v>119</v>
      </c>
      <c r="AF134" t="s">
        <v>1035</v>
      </c>
    </row>
    <row r="135" spans="1:32" x14ac:dyDescent="0.45">
      <c r="A135" t="s">
        <v>1036</v>
      </c>
      <c r="B135" t="s">
        <v>1037</v>
      </c>
      <c r="C135" t="s">
        <v>1027</v>
      </c>
      <c r="D135" t="s">
        <v>1037</v>
      </c>
      <c r="H135" t="s">
        <v>1029</v>
      </c>
      <c r="I135" t="s">
        <v>1030</v>
      </c>
      <c r="J135" t="s">
        <v>92</v>
      </c>
      <c r="K135" t="s">
        <v>12</v>
      </c>
      <c r="L135" t="s">
        <v>12</v>
      </c>
      <c r="M135" t="s">
        <v>182</v>
      </c>
      <c r="N135" t="s">
        <v>12</v>
      </c>
      <c r="O135" t="s">
        <v>12</v>
      </c>
      <c r="P135" t="s">
        <v>12</v>
      </c>
      <c r="Q135" t="s">
        <v>92</v>
      </c>
      <c r="R135" t="s">
        <v>182</v>
      </c>
      <c r="S135" t="s">
        <v>92</v>
      </c>
      <c r="T135" t="s">
        <v>1036</v>
      </c>
      <c r="U135" t="s">
        <v>12</v>
      </c>
      <c r="V135" t="s">
        <v>12</v>
      </c>
      <c r="W135" t="s">
        <v>12</v>
      </c>
      <c r="AA135" t="s">
        <v>12</v>
      </c>
      <c r="AB135" t="s">
        <v>92</v>
      </c>
      <c r="AC135" t="s">
        <v>12</v>
      </c>
      <c r="AD135" t="s">
        <v>92</v>
      </c>
      <c r="AE135" t="s">
        <v>130</v>
      </c>
      <c r="AF135" t="s">
        <v>1038</v>
      </c>
    </row>
    <row r="136" spans="1:32" x14ac:dyDescent="0.45">
      <c r="A136" t="s">
        <v>185</v>
      </c>
      <c r="B136" t="s">
        <v>51</v>
      </c>
      <c r="C136" t="s">
        <v>1039</v>
      </c>
      <c r="D136" t="s">
        <v>1040</v>
      </c>
      <c r="E136" t="s">
        <v>1041</v>
      </c>
      <c r="F136" t="s">
        <v>1042</v>
      </c>
      <c r="H136" t="s">
        <v>1043</v>
      </c>
      <c r="I136" t="s">
        <v>1044</v>
      </c>
      <c r="J136" t="s">
        <v>92</v>
      </c>
      <c r="K136" t="s">
        <v>12</v>
      </c>
      <c r="L136" t="s">
        <v>12</v>
      </c>
      <c r="M136" t="s">
        <v>182</v>
      </c>
      <c r="N136" t="s">
        <v>12</v>
      </c>
      <c r="O136" t="s">
        <v>12</v>
      </c>
      <c r="P136" t="s">
        <v>12</v>
      </c>
      <c r="Q136" t="s">
        <v>92</v>
      </c>
      <c r="R136" t="s">
        <v>182</v>
      </c>
      <c r="S136" t="s">
        <v>92</v>
      </c>
      <c r="T136" t="s">
        <v>185</v>
      </c>
      <c r="U136" t="s">
        <v>12</v>
      </c>
      <c r="V136" t="s">
        <v>12</v>
      </c>
      <c r="W136" t="s">
        <v>1045</v>
      </c>
      <c r="X136" t="s">
        <v>1046</v>
      </c>
      <c r="Y136" t="s">
        <v>1047</v>
      </c>
      <c r="AA136" t="s">
        <v>12</v>
      </c>
      <c r="AB136" t="s">
        <v>92</v>
      </c>
      <c r="AC136" t="s">
        <v>12</v>
      </c>
      <c r="AD136" t="s">
        <v>92</v>
      </c>
      <c r="AE136" t="s">
        <v>119</v>
      </c>
      <c r="AF136" t="s">
        <v>1048</v>
      </c>
    </row>
    <row r="137" spans="1:32" x14ac:dyDescent="0.45">
      <c r="A137" t="s">
        <v>1049</v>
      </c>
      <c r="B137" t="s">
        <v>1050</v>
      </c>
      <c r="C137" t="s">
        <v>1039</v>
      </c>
      <c r="D137" t="s">
        <v>1050</v>
      </c>
      <c r="H137" t="s">
        <v>1043</v>
      </c>
      <c r="I137" t="s">
        <v>1044</v>
      </c>
      <c r="J137" t="s">
        <v>92</v>
      </c>
      <c r="K137" t="s">
        <v>12</v>
      </c>
      <c r="L137" t="s">
        <v>12</v>
      </c>
      <c r="M137" t="s">
        <v>182</v>
      </c>
      <c r="N137" t="s">
        <v>12</v>
      </c>
      <c r="O137" t="s">
        <v>12</v>
      </c>
      <c r="P137" t="s">
        <v>12</v>
      </c>
      <c r="Q137" t="s">
        <v>92</v>
      </c>
      <c r="R137" t="s">
        <v>182</v>
      </c>
      <c r="S137" t="s">
        <v>92</v>
      </c>
      <c r="T137" t="s">
        <v>1049</v>
      </c>
      <c r="U137" t="s">
        <v>12</v>
      </c>
      <c r="V137" t="s">
        <v>12</v>
      </c>
      <c r="W137" t="s">
        <v>12</v>
      </c>
      <c r="AA137" t="s">
        <v>12</v>
      </c>
      <c r="AB137" t="s">
        <v>92</v>
      </c>
      <c r="AC137" t="s">
        <v>12</v>
      </c>
      <c r="AD137" t="s">
        <v>92</v>
      </c>
      <c r="AE137" t="s">
        <v>119</v>
      </c>
      <c r="AF137" t="s">
        <v>1051</v>
      </c>
    </row>
    <row r="138" spans="1:32" x14ac:dyDescent="0.45">
      <c r="A138" t="s">
        <v>1052</v>
      </c>
      <c r="B138" t="s">
        <v>1053</v>
      </c>
      <c r="C138" t="s">
        <v>1054</v>
      </c>
      <c r="D138" t="s">
        <v>1053</v>
      </c>
      <c r="E138" t="s">
        <v>1041</v>
      </c>
      <c r="F138" t="s">
        <v>1042</v>
      </c>
      <c r="H138" t="s">
        <v>1043</v>
      </c>
      <c r="I138" t="s">
        <v>1044</v>
      </c>
      <c r="J138" t="s">
        <v>92</v>
      </c>
      <c r="K138" t="s">
        <v>12</v>
      </c>
      <c r="L138" t="s">
        <v>12</v>
      </c>
      <c r="M138" t="s">
        <v>182</v>
      </c>
      <c r="N138" t="s">
        <v>12</v>
      </c>
      <c r="O138" t="s">
        <v>12</v>
      </c>
      <c r="P138" t="s">
        <v>12</v>
      </c>
      <c r="Q138" t="s">
        <v>92</v>
      </c>
      <c r="R138" t="s">
        <v>182</v>
      </c>
      <c r="S138" t="s">
        <v>92</v>
      </c>
      <c r="T138" t="s">
        <v>1052</v>
      </c>
      <c r="U138" t="s">
        <v>12</v>
      </c>
      <c r="V138" t="s">
        <v>12</v>
      </c>
      <c r="W138" t="s">
        <v>1055</v>
      </c>
      <c r="AA138" t="s">
        <v>12</v>
      </c>
      <c r="AB138" t="s">
        <v>92</v>
      </c>
      <c r="AC138" t="s">
        <v>12</v>
      </c>
      <c r="AD138" t="s">
        <v>92</v>
      </c>
      <c r="AE138" t="s">
        <v>119</v>
      </c>
      <c r="AF138" t="s">
        <v>1056</v>
      </c>
    </row>
    <row r="139" spans="1:32" x14ac:dyDescent="0.45">
      <c r="A139" t="s">
        <v>188</v>
      </c>
      <c r="B139" t="s">
        <v>52</v>
      </c>
      <c r="C139" t="s">
        <v>1057</v>
      </c>
      <c r="D139" t="s">
        <v>52</v>
      </c>
      <c r="E139" t="s">
        <v>1058</v>
      </c>
      <c r="F139" t="s">
        <v>1059</v>
      </c>
      <c r="H139" t="s">
        <v>1060</v>
      </c>
      <c r="I139" t="s">
        <v>1061</v>
      </c>
      <c r="J139" t="s">
        <v>92</v>
      </c>
      <c r="K139" t="s">
        <v>12</v>
      </c>
      <c r="L139" t="s">
        <v>12</v>
      </c>
      <c r="M139" t="s">
        <v>182</v>
      </c>
      <c r="N139" t="s">
        <v>12</v>
      </c>
      <c r="O139" t="s">
        <v>12</v>
      </c>
      <c r="P139" t="s">
        <v>12</v>
      </c>
      <c r="Q139" t="s">
        <v>92</v>
      </c>
      <c r="R139" t="s">
        <v>182</v>
      </c>
      <c r="S139" t="s">
        <v>92</v>
      </c>
      <c r="T139" t="s">
        <v>188</v>
      </c>
      <c r="U139" t="s">
        <v>12</v>
      </c>
      <c r="V139" t="s">
        <v>12</v>
      </c>
      <c r="W139" t="s">
        <v>1062</v>
      </c>
      <c r="X139" t="s">
        <v>1046</v>
      </c>
      <c r="Y139" t="s">
        <v>1047</v>
      </c>
      <c r="Z139" t="s">
        <v>610</v>
      </c>
      <c r="AA139" t="s">
        <v>12</v>
      </c>
      <c r="AB139" t="s">
        <v>92</v>
      </c>
      <c r="AC139" t="s">
        <v>12</v>
      </c>
      <c r="AD139" t="s">
        <v>92</v>
      </c>
      <c r="AE139" t="s">
        <v>119</v>
      </c>
      <c r="AF139" t="s">
        <v>1063</v>
      </c>
    </row>
    <row r="140" spans="1:32" x14ac:dyDescent="0.45">
      <c r="A140" t="s">
        <v>1064</v>
      </c>
      <c r="B140" t="s">
        <v>1065</v>
      </c>
      <c r="C140" t="s">
        <v>1057</v>
      </c>
      <c r="D140" t="s">
        <v>1065</v>
      </c>
      <c r="H140" t="s">
        <v>1060</v>
      </c>
      <c r="I140" t="s">
        <v>1061</v>
      </c>
      <c r="J140" t="s">
        <v>92</v>
      </c>
      <c r="K140" t="s">
        <v>12</v>
      </c>
      <c r="L140" t="s">
        <v>12</v>
      </c>
      <c r="M140" t="s">
        <v>182</v>
      </c>
      <c r="N140" t="s">
        <v>12</v>
      </c>
      <c r="O140" t="s">
        <v>12</v>
      </c>
      <c r="P140" t="s">
        <v>12</v>
      </c>
      <c r="Q140" t="s">
        <v>92</v>
      </c>
      <c r="R140" t="s">
        <v>182</v>
      </c>
      <c r="S140" t="s">
        <v>92</v>
      </c>
      <c r="T140" t="s">
        <v>1064</v>
      </c>
      <c r="U140" t="s">
        <v>12</v>
      </c>
      <c r="V140" t="s">
        <v>12</v>
      </c>
      <c r="W140" t="s">
        <v>1062</v>
      </c>
      <c r="AA140" t="s">
        <v>12</v>
      </c>
      <c r="AB140" t="s">
        <v>92</v>
      </c>
      <c r="AC140" t="s">
        <v>12</v>
      </c>
      <c r="AD140" t="s">
        <v>92</v>
      </c>
      <c r="AE140" t="s">
        <v>119</v>
      </c>
      <c r="AF140" t="s">
        <v>1066</v>
      </c>
    </row>
    <row r="141" spans="1:32" x14ac:dyDescent="0.45">
      <c r="A141" t="s">
        <v>1067</v>
      </c>
      <c r="B141" t="s">
        <v>1068</v>
      </c>
      <c r="C141" t="s">
        <v>1069</v>
      </c>
      <c r="D141" t="s">
        <v>1070</v>
      </c>
      <c r="E141" t="s">
        <v>1058</v>
      </c>
      <c r="F141" t="s">
        <v>1059</v>
      </c>
      <c r="H141" t="s">
        <v>1060</v>
      </c>
      <c r="I141" t="s">
        <v>1071</v>
      </c>
      <c r="J141" t="s">
        <v>92</v>
      </c>
      <c r="K141" t="s">
        <v>12</v>
      </c>
      <c r="L141" t="s">
        <v>12</v>
      </c>
      <c r="M141" t="s">
        <v>182</v>
      </c>
      <c r="N141" t="s">
        <v>12</v>
      </c>
      <c r="O141" t="s">
        <v>12</v>
      </c>
      <c r="P141" t="s">
        <v>12</v>
      </c>
      <c r="Q141" t="s">
        <v>92</v>
      </c>
      <c r="R141" t="s">
        <v>182</v>
      </c>
      <c r="S141" t="s">
        <v>92</v>
      </c>
      <c r="T141" t="s">
        <v>1067</v>
      </c>
      <c r="U141" t="s">
        <v>12</v>
      </c>
      <c r="V141" t="s">
        <v>12</v>
      </c>
      <c r="W141" t="s">
        <v>1072</v>
      </c>
      <c r="AA141" t="s">
        <v>12</v>
      </c>
      <c r="AB141" t="s">
        <v>92</v>
      </c>
      <c r="AC141" t="s">
        <v>12</v>
      </c>
      <c r="AD141" t="s">
        <v>92</v>
      </c>
      <c r="AE141" t="s">
        <v>119</v>
      </c>
      <c r="AF141" t="s">
        <v>1073</v>
      </c>
    </row>
    <row r="142" spans="1:32" x14ac:dyDescent="0.45">
      <c r="A142" t="s">
        <v>191</v>
      </c>
      <c r="B142" t="s">
        <v>53</v>
      </c>
      <c r="C142" t="s">
        <v>1074</v>
      </c>
      <c r="D142" t="s">
        <v>53</v>
      </c>
      <c r="E142" t="s">
        <v>1075</v>
      </c>
      <c r="F142" t="s">
        <v>1076</v>
      </c>
      <c r="H142" t="s">
        <v>1077</v>
      </c>
      <c r="I142" t="s">
        <v>1061</v>
      </c>
      <c r="J142" t="s">
        <v>92</v>
      </c>
      <c r="K142" t="s">
        <v>12</v>
      </c>
      <c r="L142" t="s">
        <v>12</v>
      </c>
      <c r="M142" t="s">
        <v>182</v>
      </c>
      <c r="N142" t="s">
        <v>12</v>
      </c>
      <c r="O142" t="s">
        <v>12</v>
      </c>
      <c r="P142" t="s">
        <v>12</v>
      </c>
      <c r="Q142" t="s">
        <v>92</v>
      </c>
      <c r="R142" t="s">
        <v>182</v>
      </c>
      <c r="S142" t="s">
        <v>92</v>
      </c>
      <c r="T142" t="s">
        <v>191</v>
      </c>
      <c r="U142" t="s">
        <v>12</v>
      </c>
      <c r="V142" t="s">
        <v>12</v>
      </c>
      <c r="W142" t="s">
        <v>1078</v>
      </c>
      <c r="X142" t="s">
        <v>1046</v>
      </c>
      <c r="Y142" t="s">
        <v>1047</v>
      </c>
      <c r="AA142" t="s">
        <v>12</v>
      </c>
      <c r="AB142" t="s">
        <v>92</v>
      </c>
      <c r="AC142" t="s">
        <v>12</v>
      </c>
      <c r="AD142" t="s">
        <v>92</v>
      </c>
      <c r="AE142" t="s">
        <v>119</v>
      </c>
      <c r="AF142" t="s">
        <v>1079</v>
      </c>
    </row>
    <row r="143" spans="1:32" x14ac:dyDescent="0.45">
      <c r="A143" t="s">
        <v>1080</v>
      </c>
      <c r="B143" t="s">
        <v>1081</v>
      </c>
      <c r="C143" t="s">
        <v>1074</v>
      </c>
      <c r="D143" t="s">
        <v>1081</v>
      </c>
      <c r="H143" t="s">
        <v>1077</v>
      </c>
      <c r="I143" t="s">
        <v>1061</v>
      </c>
      <c r="J143" t="s">
        <v>92</v>
      </c>
      <c r="K143" t="s">
        <v>12</v>
      </c>
      <c r="L143" t="s">
        <v>12</v>
      </c>
      <c r="M143" t="s">
        <v>182</v>
      </c>
      <c r="N143" t="s">
        <v>12</v>
      </c>
      <c r="O143" t="s">
        <v>12</v>
      </c>
      <c r="P143" t="s">
        <v>12</v>
      </c>
      <c r="Q143" t="s">
        <v>92</v>
      </c>
      <c r="R143" t="s">
        <v>182</v>
      </c>
      <c r="S143" t="s">
        <v>92</v>
      </c>
      <c r="T143" t="s">
        <v>1080</v>
      </c>
      <c r="U143" t="s">
        <v>12</v>
      </c>
      <c r="V143" t="s">
        <v>12</v>
      </c>
      <c r="W143" t="s">
        <v>1082</v>
      </c>
      <c r="AA143" t="s">
        <v>12</v>
      </c>
      <c r="AB143" t="s">
        <v>92</v>
      </c>
      <c r="AC143" t="s">
        <v>12</v>
      </c>
      <c r="AD143" t="s">
        <v>92</v>
      </c>
      <c r="AE143" t="s">
        <v>119</v>
      </c>
      <c r="AF143" t="s">
        <v>1083</v>
      </c>
    </row>
    <row r="144" spans="1:32" x14ac:dyDescent="0.45">
      <c r="A144" t="s">
        <v>1084</v>
      </c>
      <c r="B144" t="s">
        <v>1085</v>
      </c>
      <c r="C144" t="s">
        <v>1086</v>
      </c>
      <c r="D144" t="s">
        <v>1087</v>
      </c>
      <c r="E144" t="s">
        <v>1075</v>
      </c>
      <c r="F144" t="s">
        <v>1088</v>
      </c>
      <c r="H144" t="s">
        <v>1077</v>
      </c>
      <c r="I144" t="s">
        <v>1061</v>
      </c>
      <c r="J144" t="s">
        <v>92</v>
      </c>
      <c r="K144" t="s">
        <v>12</v>
      </c>
      <c r="L144" t="s">
        <v>12</v>
      </c>
      <c r="M144" t="s">
        <v>182</v>
      </c>
      <c r="N144" t="s">
        <v>12</v>
      </c>
      <c r="O144" t="s">
        <v>12</v>
      </c>
      <c r="P144" t="s">
        <v>12</v>
      </c>
      <c r="Q144" t="s">
        <v>92</v>
      </c>
      <c r="R144" t="s">
        <v>182</v>
      </c>
      <c r="S144" t="s">
        <v>92</v>
      </c>
      <c r="T144" t="s">
        <v>1084</v>
      </c>
      <c r="U144" t="s">
        <v>12</v>
      </c>
      <c r="V144" t="s">
        <v>12</v>
      </c>
      <c r="W144" t="s">
        <v>1078</v>
      </c>
      <c r="AA144" t="s">
        <v>12</v>
      </c>
      <c r="AB144" t="s">
        <v>92</v>
      </c>
      <c r="AC144" t="s">
        <v>12</v>
      </c>
      <c r="AD144" t="s">
        <v>92</v>
      </c>
      <c r="AE144" t="s">
        <v>119</v>
      </c>
      <c r="AF144" t="s">
        <v>1089</v>
      </c>
    </row>
    <row r="145" spans="1:32" x14ac:dyDescent="0.45">
      <c r="A145" t="s">
        <v>1090</v>
      </c>
      <c r="B145" t="s">
        <v>1091</v>
      </c>
      <c r="C145" t="s">
        <v>1092</v>
      </c>
      <c r="D145" t="s">
        <v>53</v>
      </c>
      <c r="E145" t="s">
        <v>1075</v>
      </c>
      <c r="F145" t="s">
        <v>1076</v>
      </c>
      <c r="H145" t="s">
        <v>1077</v>
      </c>
      <c r="I145" t="s">
        <v>1061</v>
      </c>
      <c r="J145" t="s">
        <v>92</v>
      </c>
      <c r="K145" t="s">
        <v>12</v>
      </c>
      <c r="L145" t="s">
        <v>12</v>
      </c>
      <c r="M145" t="s">
        <v>182</v>
      </c>
      <c r="N145" t="s">
        <v>12</v>
      </c>
      <c r="O145" t="s">
        <v>12</v>
      </c>
      <c r="P145" t="s">
        <v>12</v>
      </c>
      <c r="Q145" t="s">
        <v>92</v>
      </c>
      <c r="R145" t="s">
        <v>182</v>
      </c>
      <c r="S145" t="s">
        <v>92</v>
      </c>
      <c r="T145" t="s">
        <v>1090</v>
      </c>
      <c r="U145" t="s">
        <v>12</v>
      </c>
      <c r="V145" t="s">
        <v>12</v>
      </c>
      <c r="W145" t="s">
        <v>1078</v>
      </c>
      <c r="AA145" t="s">
        <v>12</v>
      </c>
      <c r="AB145" t="s">
        <v>92</v>
      </c>
      <c r="AC145" t="s">
        <v>12</v>
      </c>
      <c r="AD145" t="s">
        <v>92</v>
      </c>
      <c r="AE145" t="s">
        <v>119</v>
      </c>
      <c r="AF145" t="s">
        <v>1093</v>
      </c>
    </row>
    <row r="146" spans="1:32" x14ac:dyDescent="0.45">
      <c r="A146" t="s">
        <v>1094</v>
      </c>
      <c r="B146" t="s">
        <v>1095</v>
      </c>
      <c r="C146" t="s">
        <v>1096</v>
      </c>
      <c r="D146" t="s">
        <v>53</v>
      </c>
      <c r="E146" t="s">
        <v>1075</v>
      </c>
      <c r="F146" t="s">
        <v>1076</v>
      </c>
      <c r="H146" t="s">
        <v>1077</v>
      </c>
      <c r="I146" t="s">
        <v>1061</v>
      </c>
      <c r="J146" t="s">
        <v>92</v>
      </c>
      <c r="K146" t="s">
        <v>12</v>
      </c>
      <c r="L146" t="s">
        <v>12</v>
      </c>
      <c r="M146" t="s">
        <v>182</v>
      </c>
      <c r="N146" t="s">
        <v>12</v>
      </c>
      <c r="O146" t="s">
        <v>12</v>
      </c>
      <c r="P146" t="s">
        <v>12</v>
      </c>
      <c r="Q146" t="s">
        <v>92</v>
      </c>
      <c r="R146" t="s">
        <v>182</v>
      </c>
      <c r="S146" t="s">
        <v>92</v>
      </c>
      <c r="T146" t="s">
        <v>1094</v>
      </c>
      <c r="U146" t="s">
        <v>12</v>
      </c>
      <c r="V146" t="s">
        <v>12</v>
      </c>
      <c r="W146" t="s">
        <v>1078</v>
      </c>
      <c r="AA146" t="s">
        <v>12</v>
      </c>
      <c r="AB146" t="s">
        <v>92</v>
      </c>
      <c r="AC146" t="s">
        <v>12</v>
      </c>
      <c r="AD146" t="s">
        <v>92</v>
      </c>
      <c r="AE146" t="s">
        <v>119</v>
      </c>
      <c r="AF146" t="s">
        <v>1097</v>
      </c>
    </row>
    <row r="147" spans="1:32" x14ac:dyDescent="0.45">
      <c r="A147" t="s">
        <v>1098</v>
      </c>
      <c r="B147" t="s">
        <v>1099</v>
      </c>
      <c r="C147" t="s">
        <v>1100</v>
      </c>
      <c r="D147" t="s">
        <v>1099</v>
      </c>
      <c r="E147" t="s">
        <v>560</v>
      </c>
      <c r="F147" t="s">
        <v>1101</v>
      </c>
      <c r="H147" t="s">
        <v>1102</v>
      </c>
      <c r="I147" t="s">
        <v>1103</v>
      </c>
      <c r="J147" t="s">
        <v>92</v>
      </c>
      <c r="K147" t="s">
        <v>12</v>
      </c>
      <c r="L147" t="s">
        <v>12</v>
      </c>
      <c r="M147" t="s">
        <v>182</v>
      </c>
      <c r="N147" t="s">
        <v>12</v>
      </c>
      <c r="O147" t="s">
        <v>12</v>
      </c>
      <c r="P147" t="s">
        <v>12</v>
      </c>
      <c r="Q147" t="s">
        <v>119</v>
      </c>
      <c r="R147" t="s">
        <v>182</v>
      </c>
      <c r="S147" t="s">
        <v>92</v>
      </c>
      <c r="T147" t="s">
        <v>1098</v>
      </c>
      <c r="U147" t="s">
        <v>12</v>
      </c>
      <c r="V147" t="s">
        <v>12</v>
      </c>
      <c r="W147" t="s">
        <v>1104</v>
      </c>
      <c r="AA147" t="s">
        <v>12</v>
      </c>
      <c r="AB147" t="s">
        <v>92</v>
      </c>
      <c r="AC147" t="s">
        <v>12</v>
      </c>
      <c r="AD147" t="s">
        <v>92</v>
      </c>
      <c r="AE147" t="s">
        <v>112</v>
      </c>
      <c r="AF147" t="s">
        <v>1105</v>
      </c>
    </row>
    <row r="148" spans="1:32" x14ac:dyDescent="0.45">
      <c r="A148" t="s">
        <v>1106</v>
      </c>
      <c r="B148" t="s">
        <v>1107</v>
      </c>
      <c r="C148" t="s">
        <v>1100</v>
      </c>
      <c r="D148" t="s">
        <v>1107</v>
      </c>
      <c r="H148" t="s">
        <v>1102</v>
      </c>
      <c r="I148" t="s">
        <v>1103</v>
      </c>
      <c r="J148" t="s">
        <v>92</v>
      </c>
      <c r="K148" t="s">
        <v>12</v>
      </c>
      <c r="L148" t="s">
        <v>12</v>
      </c>
      <c r="M148" t="s">
        <v>182</v>
      </c>
      <c r="N148" t="s">
        <v>12</v>
      </c>
      <c r="O148" t="s">
        <v>12</v>
      </c>
      <c r="P148" t="s">
        <v>12</v>
      </c>
      <c r="Q148" t="s">
        <v>119</v>
      </c>
      <c r="R148" t="s">
        <v>182</v>
      </c>
      <c r="S148" t="s">
        <v>92</v>
      </c>
      <c r="T148" t="s">
        <v>1106</v>
      </c>
      <c r="U148" t="s">
        <v>12</v>
      </c>
      <c r="V148" t="s">
        <v>12</v>
      </c>
      <c r="W148" t="s">
        <v>1108</v>
      </c>
      <c r="AA148" t="s">
        <v>12</v>
      </c>
      <c r="AB148" t="s">
        <v>92</v>
      </c>
      <c r="AC148" t="s">
        <v>12</v>
      </c>
      <c r="AD148" t="s">
        <v>92</v>
      </c>
      <c r="AE148" t="s">
        <v>119</v>
      </c>
      <c r="AF148" t="s">
        <v>1109</v>
      </c>
    </row>
    <row r="149" spans="1:32" x14ac:dyDescent="0.45">
      <c r="A149" t="s">
        <v>1110</v>
      </c>
      <c r="B149" t="s">
        <v>1111</v>
      </c>
      <c r="C149" t="s">
        <v>1112</v>
      </c>
      <c r="D149" t="s">
        <v>1111</v>
      </c>
      <c r="H149" t="s">
        <v>1102</v>
      </c>
      <c r="I149" t="s">
        <v>1103</v>
      </c>
      <c r="J149" t="s">
        <v>92</v>
      </c>
      <c r="K149" t="s">
        <v>12</v>
      </c>
      <c r="L149" t="s">
        <v>12</v>
      </c>
      <c r="M149" t="s">
        <v>182</v>
      </c>
      <c r="N149" t="s">
        <v>12</v>
      </c>
      <c r="O149" t="s">
        <v>12</v>
      </c>
      <c r="P149" t="s">
        <v>12</v>
      </c>
      <c r="Q149" t="s">
        <v>119</v>
      </c>
      <c r="R149" t="s">
        <v>182</v>
      </c>
      <c r="S149" t="s">
        <v>92</v>
      </c>
      <c r="T149" t="s">
        <v>1110</v>
      </c>
      <c r="U149" t="s">
        <v>12</v>
      </c>
      <c r="V149" t="s">
        <v>12</v>
      </c>
      <c r="W149" t="s">
        <v>12</v>
      </c>
      <c r="AA149" t="s">
        <v>12</v>
      </c>
      <c r="AB149" t="s">
        <v>92</v>
      </c>
      <c r="AC149" t="s">
        <v>12</v>
      </c>
      <c r="AD149" t="s">
        <v>92</v>
      </c>
      <c r="AE149" t="s">
        <v>130</v>
      </c>
      <c r="AF149" t="s">
        <v>1113</v>
      </c>
    </row>
    <row r="150" spans="1:32" x14ac:dyDescent="0.45">
      <c r="A150" t="s">
        <v>1114</v>
      </c>
      <c r="B150" t="s">
        <v>1115</v>
      </c>
      <c r="C150" t="s">
        <v>1116</v>
      </c>
      <c r="D150" t="s">
        <v>1117</v>
      </c>
      <c r="H150" t="s">
        <v>1102</v>
      </c>
      <c r="I150" t="s">
        <v>1103</v>
      </c>
      <c r="J150" t="s">
        <v>92</v>
      </c>
      <c r="K150" t="s">
        <v>12</v>
      </c>
      <c r="L150" t="s">
        <v>12</v>
      </c>
      <c r="M150" t="s">
        <v>182</v>
      </c>
      <c r="N150" t="s">
        <v>12</v>
      </c>
      <c r="O150" t="s">
        <v>12</v>
      </c>
      <c r="P150" t="s">
        <v>12</v>
      </c>
      <c r="Q150" t="s">
        <v>119</v>
      </c>
      <c r="R150" t="s">
        <v>182</v>
      </c>
      <c r="S150" t="s">
        <v>92</v>
      </c>
      <c r="T150" t="s">
        <v>1114</v>
      </c>
      <c r="U150" t="s">
        <v>12</v>
      </c>
      <c r="V150" t="s">
        <v>12</v>
      </c>
      <c r="W150" t="s">
        <v>1108</v>
      </c>
      <c r="AA150" t="s">
        <v>92</v>
      </c>
      <c r="AB150" t="s">
        <v>92</v>
      </c>
      <c r="AC150" t="s">
        <v>12</v>
      </c>
      <c r="AD150" t="s">
        <v>92</v>
      </c>
      <c r="AE150" t="s">
        <v>119</v>
      </c>
      <c r="AF150" t="s">
        <v>1118</v>
      </c>
    </row>
    <row r="151" spans="1:32" x14ac:dyDescent="0.45">
      <c r="A151" t="s">
        <v>1119</v>
      </c>
      <c r="B151" t="s">
        <v>1120</v>
      </c>
      <c r="C151" t="s">
        <v>1121</v>
      </c>
      <c r="D151" t="s">
        <v>1120</v>
      </c>
      <c r="H151" t="s">
        <v>1102</v>
      </c>
      <c r="I151" t="s">
        <v>1103</v>
      </c>
      <c r="J151" t="s">
        <v>92</v>
      </c>
      <c r="K151" t="s">
        <v>12</v>
      </c>
      <c r="L151" t="s">
        <v>12</v>
      </c>
      <c r="M151" t="s">
        <v>182</v>
      </c>
      <c r="N151" t="s">
        <v>12</v>
      </c>
      <c r="O151" t="s">
        <v>12</v>
      </c>
      <c r="P151" t="s">
        <v>12</v>
      </c>
      <c r="Q151" t="s">
        <v>119</v>
      </c>
      <c r="R151" t="s">
        <v>182</v>
      </c>
      <c r="S151" t="s">
        <v>92</v>
      </c>
      <c r="T151" t="s">
        <v>1119</v>
      </c>
      <c r="U151" t="s">
        <v>12</v>
      </c>
      <c r="V151" t="s">
        <v>12</v>
      </c>
      <c r="W151" t="s">
        <v>12</v>
      </c>
      <c r="AA151" t="s">
        <v>12</v>
      </c>
      <c r="AB151" t="s">
        <v>92</v>
      </c>
      <c r="AC151" t="s">
        <v>12</v>
      </c>
      <c r="AD151" t="s">
        <v>92</v>
      </c>
      <c r="AE151" t="s">
        <v>130</v>
      </c>
      <c r="AF151" t="s">
        <v>1122</v>
      </c>
    </row>
    <row r="152" spans="1:32" x14ac:dyDescent="0.45">
      <c r="A152" t="s">
        <v>1123</v>
      </c>
      <c r="B152" t="s">
        <v>1124</v>
      </c>
      <c r="C152" t="s">
        <v>1125</v>
      </c>
      <c r="D152" t="s">
        <v>1126</v>
      </c>
      <c r="H152" t="s">
        <v>1102</v>
      </c>
      <c r="I152" t="s">
        <v>1103</v>
      </c>
      <c r="J152" t="s">
        <v>92</v>
      </c>
      <c r="K152" t="s">
        <v>12</v>
      </c>
      <c r="L152" t="s">
        <v>12</v>
      </c>
      <c r="M152" t="s">
        <v>182</v>
      </c>
      <c r="N152" t="s">
        <v>12</v>
      </c>
      <c r="O152" t="s">
        <v>12</v>
      </c>
      <c r="P152" t="s">
        <v>12</v>
      </c>
      <c r="Q152" t="s">
        <v>92</v>
      </c>
      <c r="R152" t="s">
        <v>182</v>
      </c>
      <c r="S152" t="s">
        <v>92</v>
      </c>
      <c r="T152" t="s">
        <v>1123</v>
      </c>
      <c r="U152" t="s">
        <v>12</v>
      </c>
      <c r="V152" t="s">
        <v>12</v>
      </c>
      <c r="W152" t="s">
        <v>1127</v>
      </c>
      <c r="AA152" t="s">
        <v>92</v>
      </c>
      <c r="AB152" t="s">
        <v>92</v>
      </c>
      <c r="AC152" t="s">
        <v>12</v>
      </c>
      <c r="AD152" t="s">
        <v>92</v>
      </c>
      <c r="AE152" t="s">
        <v>114</v>
      </c>
      <c r="AF152" t="s">
        <v>1128</v>
      </c>
    </row>
    <row r="153" spans="1:32" x14ac:dyDescent="0.45">
      <c r="A153" t="s">
        <v>1129</v>
      </c>
      <c r="B153" t="s">
        <v>1130</v>
      </c>
      <c r="C153" t="s">
        <v>1131</v>
      </c>
      <c r="D153" t="s">
        <v>1132</v>
      </c>
      <c r="E153" t="s">
        <v>568</v>
      </c>
      <c r="F153" t="s">
        <v>1133</v>
      </c>
      <c r="H153" t="s">
        <v>1134</v>
      </c>
      <c r="I153" t="s">
        <v>1134</v>
      </c>
      <c r="J153" t="s">
        <v>92</v>
      </c>
      <c r="K153" t="s">
        <v>12</v>
      </c>
      <c r="L153" t="s">
        <v>12</v>
      </c>
      <c r="M153" t="s">
        <v>182</v>
      </c>
      <c r="N153" t="s">
        <v>12</v>
      </c>
      <c r="O153" t="s">
        <v>12</v>
      </c>
      <c r="P153" t="s">
        <v>12</v>
      </c>
      <c r="Q153" t="s">
        <v>92</v>
      </c>
      <c r="R153" t="s">
        <v>182</v>
      </c>
      <c r="S153" t="s">
        <v>92</v>
      </c>
      <c r="T153" t="s">
        <v>1129</v>
      </c>
      <c r="U153" t="s">
        <v>12</v>
      </c>
      <c r="V153" t="s">
        <v>12</v>
      </c>
      <c r="W153" t="s">
        <v>1108</v>
      </c>
      <c r="AA153" t="s">
        <v>92</v>
      </c>
      <c r="AB153" t="s">
        <v>92</v>
      </c>
      <c r="AC153" t="s">
        <v>12</v>
      </c>
      <c r="AD153" t="s">
        <v>92</v>
      </c>
      <c r="AE153" t="s">
        <v>119</v>
      </c>
      <c r="AF153" t="s">
        <v>1135</v>
      </c>
    </row>
    <row r="154" spans="1:32" x14ac:dyDescent="0.45">
      <c r="A154" t="s">
        <v>1136</v>
      </c>
      <c r="B154" t="s">
        <v>1137</v>
      </c>
      <c r="C154" t="s">
        <v>1138</v>
      </c>
      <c r="D154" t="s">
        <v>1137</v>
      </c>
      <c r="E154" t="s">
        <v>568</v>
      </c>
      <c r="F154" t="s">
        <v>1139</v>
      </c>
      <c r="H154" t="s">
        <v>1134</v>
      </c>
      <c r="I154" t="s">
        <v>1140</v>
      </c>
      <c r="J154" t="s">
        <v>92</v>
      </c>
      <c r="K154" t="s">
        <v>12</v>
      </c>
      <c r="L154" t="s">
        <v>12</v>
      </c>
      <c r="M154" t="s">
        <v>182</v>
      </c>
      <c r="N154" t="s">
        <v>12</v>
      </c>
      <c r="O154" t="s">
        <v>12</v>
      </c>
      <c r="P154" t="s">
        <v>12</v>
      </c>
      <c r="Q154" t="s">
        <v>92</v>
      </c>
      <c r="R154" t="s">
        <v>182</v>
      </c>
      <c r="S154" t="s">
        <v>92</v>
      </c>
      <c r="T154" t="s">
        <v>1136</v>
      </c>
      <c r="U154" t="s">
        <v>12</v>
      </c>
      <c r="V154" t="s">
        <v>12</v>
      </c>
      <c r="W154" t="s">
        <v>1141</v>
      </c>
      <c r="AA154" t="s">
        <v>12</v>
      </c>
      <c r="AB154" t="s">
        <v>92</v>
      </c>
      <c r="AC154" t="s">
        <v>12</v>
      </c>
      <c r="AD154" t="s">
        <v>92</v>
      </c>
      <c r="AE154" t="s">
        <v>130</v>
      </c>
      <c r="AF154" t="s">
        <v>1142</v>
      </c>
    </row>
    <row r="155" spans="1:32" x14ac:dyDescent="0.45">
      <c r="A155" t="s">
        <v>1143</v>
      </c>
      <c r="B155" t="s">
        <v>1144</v>
      </c>
      <c r="C155" t="s">
        <v>1145</v>
      </c>
      <c r="D155" t="s">
        <v>1144</v>
      </c>
      <c r="J155" t="s">
        <v>92</v>
      </c>
      <c r="K155" t="s">
        <v>12</v>
      </c>
      <c r="L155" t="s">
        <v>12</v>
      </c>
      <c r="M155" t="s">
        <v>182</v>
      </c>
      <c r="N155" t="s">
        <v>12</v>
      </c>
      <c r="O155" t="s">
        <v>12</v>
      </c>
      <c r="P155" t="s">
        <v>12</v>
      </c>
      <c r="Q155" t="s">
        <v>92</v>
      </c>
      <c r="R155" t="s">
        <v>182</v>
      </c>
      <c r="S155" t="s">
        <v>92</v>
      </c>
      <c r="T155" t="s">
        <v>1143</v>
      </c>
      <c r="U155" t="s">
        <v>12</v>
      </c>
      <c r="V155" t="s">
        <v>12</v>
      </c>
      <c r="W155" t="s">
        <v>12</v>
      </c>
      <c r="AA155" t="s">
        <v>12</v>
      </c>
      <c r="AB155" t="s">
        <v>92</v>
      </c>
      <c r="AC155" t="s">
        <v>12</v>
      </c>
      <c r="AD155" t="s">
        <v>92</v>
      </c>
      <c r="AE155" t="s">
        <v>166</v>
      </c>
      <c r="AF155" t="s">
        <v>1146</v>
      </c>
    </row>
    <row r="156" spans="1:32" x14ac:dyDescent="0.45">
      <c r="A156" t="s">
        <v>1147</v>
      </c>
      <c r="B156" t="s">
        <v>1148</v>
      </c>
      <c r="C156" t="s">
        <v>1149</v>
      </c>
      <c r="D156" t="s">
        <v>1148</v>
      </c>
      <c r="J156" t="s">
        <v>92</v>
      </c>
      <c r="K156" t="s">
        <v>12</v>
      </c>
      <c r="L156" t="s">
        <v>12</v>
      </c>
      <c r="M156" t="s">
        <v>182</v>
      </c>
      <c r="N156" t="s">
        <v>12</v>
      </c>
      <c r="O156" t="s">
        <v>12</v>
      </c>
      <c r="P156" t="s">
        <v>12</v>
      </c>
      <c r="Q156" t="s">
        <v>119</v>
      </c>
      <c r="R156" t="s">
        <v>182</v>
      </c>
      <c r="S156" t="s">
        <v>92</v>
      </c>
      <c r="T156" t="s">
        <v>1147</v>
      </c>
      <c r="U156" t="s">
        <v>12</v>
      </c>
      <c r="V156" t="s">
        <v>12</v>
      </c>
      <c r="W156" t="s">
        <v>12</v>
      </c>
      <c r="AA156" t="s">
        <v>12</v>
      </c>
      <c r="AB156" t="s">
        <v>92</v>
      </c>
      <c r="AC156" t="s">
        <v>12</v>
      </c>
      <c r="AD156" t="s">
        <v>92</v>
      </c>
      <c r="AE156" t="s">
        <v>169</v>
      </c>
      <c r="AF156" t="s">
        <v>1150</v>
      </c>
    </row>
    <row r="157" spans="1:32" x14ac:dyDescent="0.45">
      <c r="A157" t="s">
        <v>1151</v>
      </c>
      <c r="B157" t="s">
        <v>1152</v>
      </c>
      <c r="C157" t="s">
        <v>1153</v>
      </c>
      <c r="D157" t="s">
        <v>1154</v>
      </c>
      <c r="E157" t="s">
        <v>1155</v>
      </c>
      <c r="F157" t="s">
        <v>1156</v>
      </c>
      <c r="H157" t="s">
        <v>1157</v>
      </c>
      <c r="I157" t="s">
        <v>1158</v>
      </c>
      <c r="J157" t="s">
        <v>92</v>
      </c>
      <c r="K157" t="s">
        <v>12</v>
      </c>
      <c r="L157" t="s">
        <v>12</v>
      </c>
      <c r="M157" t="s">
        <v>182</v>
      </c>
      <c r="N157" t="s">
        <v>12</v>
      </c>
      <c r="O157" t="s">
        <v>12</v>
      </c>
      <c r="P157" t="s">
        <v>12</v>
      </c>
      <c r="Q157" t="s">
        <v>92</v>
      </c>
      <c r="R157" t="s">
        <v>182</v>
      </c>
      <c r="S157" t="s">
        <v>92</v>
      </c>
      <c r="T157" t="s">
        <v>1151</v>
      </c>
      <c r="U157" t="s">
        <v>12</v>
      </c>
      <c r="V157" t="s">
        <v>12</v>
      </c>
      <c r="W157" t="s">
        <v>1159</v>
      </c>
      <c r="AA157" t="s">
        <v>12</v>
      </c>
      <c r="AB157" t="s">
        <v>92</v>
      </c>
      <c r="AC157" t="s">
        <v>12</v>
      </c>
      <c r="AD157" t="s">
        <v>92</v>
      </c>
      <c r="AE157" t="s">
        <v>119</v>
      </c>
      <c r="AF157" t="s">
        <v>1160</v>
      </c>
    </row>
    <row r="158" spans="1:32" x14ac:dyDescent="0.45">
      <c r="A158" t="s">
        <v>1161</v>
      </c>
      <c r="B158" t="s">
        <v>1162</v>
      </c>
      <c r="C158" t="s">
        <v>1153</v>
      </c>
      <c r="D158" t="s">
        <v>1162</v>
      </c>
      <c r="H158" t="s">
        <v>1157</v>
      </c>
      <c r="I158" t="s">
        <v>1158</v>
      </c>
      <c r="J158" t="s">
        <v>92</v>
      </c>
      <c r="K158" t="s">
        <v>12</v>
      </c>
      <c r="L158" t="s">
        <v>12</v>
      </c>
      <c r="M158" t="s">
        <v>182</v>
      </c>
      <c r="N158" t="s">
        <v>12</v>
      </c>
      <c r="O158" t="s">
        <v>12</v>
      </c>
      <c r="P158" t="s">
        <v>12</v>
      </c>
      <c r="Q158" t="s">
        <v>92</v>
      </c>
      <c r="R158" t="s">
        <v>182</v>
      </c>
      <c r="S158" t="s">
        <v>92</v>
      </c>
      <c r="T158" t="s">
        <v>1161</v>
      </c>
      <c r="U158" t="s">
        <v>12</v>
      </c>
      <c r="V158" t="s">
        <v>12</v>
      </c>
      <c r="W158" t="s">
        <v>1163</v>
      </c>
      <c r="AA158" t="s">
        <v>12</v>
      </c>
      <c r="AB158" t="s">
        <v>92</v>
      </c>
      <c r="AC158" t="s">
        <v>12</v>
      </c>
      <c r="AD158" t="s">
        <v>92</v>
      </c>
      <c r="AE158" t="s">
        <v>119</v>
      </c>
      <c r="AF158" t="s">
        <v>1164</v>
      </c>
    </row>
    <row r="159" spans="1:32" x14ac:dyDescent="0.45">
      <c r="A159" t="s">
        <v>1165</v>
      </c>
      <c r="B159" t="s">
        <v>1166</v>
      </c>
      <c r="C159" t="s">
        <v>1153</v>
      </c>
      <c r="D159" t="s">
        <v>1167</v>
      </c>
      <c r="H159" t="s">
        <v>1157</v>
      </c>
      <c r="I159" t="s">
        <v>1158</v>
      </c>
      <c r="J159" t="s">
        <v>92</v>
      </c>
      <c r="K159" t="s">
        <v>12</v>
      </c>
      <c r="L159" t="s">
        <v>12</v>
      </c>
      <c r="M159" t="s">
        <v>182</v>
      </c>
      <c r="N159" t="s">
        <v>12</v>
      </c>
      <c r="O159" t="s">
        <v>12</v>
      </c>
      <c r="P159" t="s">
        <v>12</v>
      </c>
      <c r="Q159" t="s">
        <v>92</v>
      </c>
      <c r="R159" t="s">
        <v>182</v>
      </c>
      <c r="S159" t="s">
        <v>92</v>
      </c>
      <c r="T159" t="s">
        <v>1165</v>
      </c>
      <c r="U159" t="s">
        <v>12</v>
      </c>
      <c r="V159" t="s">
        <v>12</v>
      </c>
      <c r="W159" t="s">
        <v>1168</v>
      </c>
      <c r="AA159" t="s">
        <v>12</v>
      </c>
      <c r="AB159" t="s">
        <v>92</v>
      </c>
      <c r="AC159" t="s">
        <v>12</v>
      </c>
      <c r="AD159" t="s">
        <v>92</v>
      </c>
      <c r="AE159" t="s">
        <v>130</v>
      </c>
      <c r="AF159" t="s">
        <v>1169</v>
      </c>
    </row>
    <row r="160" spans="1:32" x14ac:dyDescent="0.45">
      <c r="A160" t="s">
        <v>1170</v>
      </c>
      <c r="B160" t="s">
        <v>1171</v>
      </c>
      <c r="C160" t="s">
        <v>1153</v>
      </c>
      <c r="D160" t="s">
        <v>1172</v>
      </c>
      <c r="H160" t="s">
        <v>1157</v>
      </c>
      <c r="I160" t="s">
        <v>1158</v>
      </c>
      <c r="J160" t="s">
        <v>92</v>
      </c>
      <c r="K160" t="s">
        <v>12</v>
      </c>
      <c r="L160" t="s">
        <v>12</v>
      </c>
      <c r="M160" t="s">
        <v>182</v>
      </c>
      <c r="N160" t="s">
        <v>12</v>
      </c>
      <c r="O160" t="s">
        <v>12</v>
      </c>
      <c r="P160" t="s">
        <v>12</v>
      </c>
      <c r="Q160" t="s">
        <v>92</v>
      </c>
      <c r="R160" t="s">
        <v>182</v>
      </c>
      <c r="S160" t="s">
        <v>92</v>
      </c>
      <c r="T160" t="s">
        <v>1170</v>
      </c>
      <c r="U160" t="s">
        <v>12</v>
      </c>
      <c r="V160" t="s">
        <v>12</v>
      </c>
      <c r="W160" t="s">
        <v>1173</v>
      </c>
      <c r="AA160" t="s">
        <v>12</v>
      </c>
      <c r="AB160" t="s">
        <v>92</v>
      </c>
      <c r="AC160" t="s">
        <v>12</v>
      </c>
      <c r="AD160" t="s">
        <v>92</v>
      </c>
      <c r="AE160" t="s">
        <v>130</v>
      </c>
      <c r="AF160" t="s">
        <v>1174</v>
      </c>
    </row>
    <row r="161" spans="1:32" x14ac:dyDescent="0.45">
      <c r="A161" t="s">
        <v>1175</v>
      </c>
      <c r="B161" t="s">
        <v>1176</v>
      </c>
      <c r="C161" t="s">
        <v>1153</v>
      </c>
      <c r="D161" t="s">
        <v>1177</v>
      </c>
      <c r="H161" t="s">
        <v>1157</v>
      </c>
      <c r="I161" t="s">
        <v>1158</v>
      </c>
      <c r="J161" t="s">
        <v>92</v>
      </c>
      <c r="K161" t="s">
        <v>12</v>
      </c>
      <c r="L161" t="s">
        <v>12</v>
      </c>
      <c r="M161" t="s">
        <v>182</v>
      </c>
      <c r="N161" t="s">
        <v>12</v>
      </c>
      <c r="O161" t="s">
        <v>12</v>
      </c>
      <c r="P161" t="s">
        <v>12</v>
      </c>
      <c r="Q161" t="s">
        <v>92</v>
      </c>
      <c r="R161" t="s">
        <v>182</v>
      </c>
      <c r="S161" t="s">
        <v>92</v>
      </c>
      <c r="T161" t="s">
        <v>1175</v>
      </c>
      <c r="U161" t="s">
        <v>12</v>
      </c>
      <c r="V161" t="s">
        <v>12</v>
      </c>
      <c r="W161" t="s">
        <v>1163</v>
      </c>
      <c r="AA161" t="s">
        <v>92</v>
      </c>
      <c r="AB161" t="s">
        <v>92</v>
      </c>
      <c r="AC161" t="s">
        <v>12</v>
      </c>
      <c r="AD161" t="s">
        <v>92</v>
      </c>
      <c r="AE161" t="s">
        <v>119</v>
      </c>
      <c r="AF161" t="s">
        <v>1178</v>
      </c>
    </row>
    <row r="162" spans="1:32" x14ac:dyDescent="0.45">
      <c r="A162" t="s">
        <v>1179</v>
      </c>
      <c r="B162" t="s">
        <v>1180</v>
      </c>
      <c r="C162" t="s">
        <v>1153</v>
      </c>
      <c r="D162" t="s">
        <v>1180</v>
      </c>
      <c r="E162" t="s">
        <v>1155</v>
      </c>
      <c r="F162" t="s">
        <v>1156</v>
      </c>
      <c r="H162" t="s">
        <v>1157</v>
      </c>
      <c r="I162" t="s">
        <v>1158</v>
      </c>
      <c r="J162" t="s">
        <v>92</v>
      </c>
      <c r="K162" t="s">
        <v>12</v>
      </c>
      <c r="L162" t="s">
        <v>12</v>
      </c>
      <c r="M162" t="s">
        <v>182</v>
      </c>
      <c r="N162" t="s">
        <v>12</v>
      </c>
      <c r="O162" t="s">
        <v>12</v>
      </c>
      <c r="P162" t="s">
        <v>12</v>
      </c>
      <c r="Q162" t="s">
        <v>92</v>
      </c>
      <c r="R162" t="s">
        <v>182</v>
      </c>
      <c r="S162" t="s">
        <v>12</v>
      </c>
      <c r="T162" t="s">
        <v>1179</v>
      </c>
      <c r="U162" t="s">
        <v>12</v>
      </c>
      <c r="V162" t="s">
        <v>12</v>
      </c>
      <c r="AA162" t="s">
        <v>12</v>
      </c>
      <c r="AB162" t="s">
        <v>92</v>
      </c>
      <c r="AC162" t="s">
        <v>12</v>
      </c>
      <c r="AD162" t="s">
        <v>92</v>
      </c>
      <c r="AE162" t="s">
        <v>1181</v>
      </c>
      <c r="AF162" t="s">
        <v>1182</v>
      </c>
    </row>
    <row r="163" spans="1:32" x14ac:dyDescent="0.45">
      <c r="A163" t="s">
        <v>1183</v>
      </c>
      <c r="B163" t="s">
        <v>1184</v>
      </c>
      <c r="C163" t="s">
        <v>1153</v>
      </c>
      <c r="D163" t="s">
        <v>1185</v>
      </c>
      <c r="H163" t="s">
        <v>1157</v>
      </c>
      <c r="I163" t="s">
        <v>1158</v>
      </c>
      <c r="J163" t="s">
        <v>92</v>
      </c>
      <c r="K163" t="s">
        <v>12</v>
      </c>
      <c r="L163" t="s">
        <v>12</v>
      </c>
      <c r="M163" t="s">
        <v>182</v>
      </c>
      <c r="N163" t="s">
        <v>12</v>
      </c>
      <c r="O163" t="s">
        <v>12</v>
      </c>
      <c r="P163" t="s">
        <v>12</v>
      </c>
      <c r="Q163" t="s">
        <v>92</v>
      </c>
      <c r="R163" t="s">
        <v>182</v>
      </c>
      <c r="S163" t="s">
        <v>92</v>
      </c>
      <c r="T163" t="s">
        <v>1183</v>
      </c>
      <c r="U163" t="s">
        <v>12</v>
      </c>
      <c r="V163" t="s">
        <v>12</v>
      </c>
      <c r="W163" t="s">
        <v>1186</v>
      </c>
      <c r="Z163" t="s">
        <v>610</v>
      </c>
      <c r="AA163" t="s">
        <v>12</v>
      </c>
      <c r="AB163" t="s">
        <v>92</v>
      </c>
      <c r="AC163" t="s">
        <v>12</v>
      </c>
      <c r="AD163" t="s">
        <v>92</v>
      </c>
      <c r="AE163" t="s">
        <v>119</v>
      </c>
      <c r="AF163" t="s">
        <v>1187</v>
      </c>
    </row>
    <row r="164" spans="1:32" x14ac:dyDescent="0.45">
      <c r="A164" t="s">
        <v>1188</v>
      </c>
      <c r="B164" t="s">
        <v>1189</v>
      </c>
      <c r="C164" t="s">
        <v>1190</v>
      </c>
      <c r="D164" t="s">
        <v>1189</v>
      </c>
      <c r="E164" t="s">
        <v>1155</v>
      </c>
      <c r="F164" t="s">
        <v>1191</v>
      </c>
      <c r="H164" t="s">
        <v>1192</v>
      </c>
      <c r="I164" t="s">
        <v>1193</v>
      </c>
      <c r="J164" t="s">
        <v>92</v>
      </c>
      <c r="K164" t="s">
        <v>12</v>
      </c>
      <c r="L164" t="s">
        <v>12</v>
      </c>
      <c r="M164" t="s">
        <v>182</v>
      </c>
      <c r="N164" t="s">
        <v>12</v>
      </c>
      <c r="O164" t="s">
        <v>12</v>
      </c>
      <c r="P164" t="s">
        <v>12</v>
      </c>
      <c r="Q164" t="s">
        <v>92</v>
      </c>
      <c r="R164" t="s">
        <v>182</v>
      </c>
      <c r="S164" t="s">
        <v>92</v>
      </c>
      <c r="T164" t="s">
        <v>1188</v>
      </c>
      <c r="U164" t="s">
        <v>12</v>
      </c>
      <c r="V164" t="s">
        <v>12</v>
      </c>
      <c r="W164" t="s">
        <v>1159</v>
      </c>
      <c r="AA164" t="s">
        <v>12</v>
      </c>
      <c r="AB164" t="s">
        <v>92</v>
      </c>
      <c r="AC164" t="s">
        <v>12</v>
      </c>
      <c r="AD164" t="s">
        <v>92</v>
      </c>
      <c r="AE164" t="s">
        <v>119</v>
      </c>
      <c r="AF164" t="s">
        <v>1194</v>
      </c>
    </row>
    <row r="165" spans="1:32" x14ac:dyDescent="0.45">
      <c r="A165" t="s">
        <v>1195</v>
      </c>
      <c r="B165" t="s">
        <v>1196</v>
      </c>
      <c r="C165" t="s">
        <v>1197</v>
      </c>
      <c r="D165" t="s">
        <v>1196</v>
      </c>
      <c r="E165" t="s">
        <v>1155</v>
      </c>
      <c r="F165" t="s">
        <v>1191</v>
      </c>
      <c r="H165" t="s">
        <v>1192</v>
      </c>
      <c r="I165" t="s">
        <v>1193</v>
      </c>
      <c r="J165" t="s">
        <v>92</v>
      </c>
      <c r="K165" t="s">
        <v>12</v>
      </c>
      <c r="L165" t="s">
        <v>12</v>
      </c>
      <c r="M165" t="s">
        <v>182</v>
      </c>
      <c r="N165" t="s">
        <v>12</v>
      </c>
      <c r="O165" t="s">
        <v>12</v>
      </c>
      <c r="P165" t="s">
        <v>12</v>
      </c>
      <c r="Q165" t="s">
        <v>92</v>
      </c>
      <c r="R165" t="s">
        <v>182</v>
      </c>
      <c r="S165" t="s">
        <v>92</v>
      </c>
      <c r="T165" t="s">
        <v>1195</v>
      </c>
      <c r="U165" t="s">
        <v>12</v>
      </c>
      <c r="V165" t="s">
        <v>12</v>
      </c>
      <c r="W165" t="s">
        <v>1159</v>
      </c>
      <c r="AA165" t="s">
        <v>12</v>
      </c>
      <c r="AB165" t="s">
        <v>92</v>
      </c>
      <c r="AC165" t="s">
        <v>12</v>
      </c>
      <c r="AD165" t="s">
        <v>92</v>
      </c>
      <c r="AE165" t="s">
        <v>119</v>
      </c>
      <c r="AF165" t="s">
        <v>1198</v>
      </c>
    </row>
    <row r="166" spans="1:32" x14ac:dyDescent="0.45">
      <c r="A166" t="s">
        <v>1199</v>
      </c>
      <c r="B166" t="s">
        <v>1200</v>
      </c>
      <c r="C166" t="s">
        <v>1201</v>
      </c>
      <c r="D166" t="s">
        <v>1200</v>
      </c>
      <c r="E166" t="s">
        <v>1155</v>
      </c>
      <c r="F166" t="s">
        <v>1191</v>
      </c>
      <c r="H166" t="s">
        <v>1192</v>
      </c>
      <c r="I166" t="s">
        <v>1193</v>
      </c>
      <c r="J166" t="s">
        <v>92</v>
      </c>
      <c r="K166" t="s">
        <v>12</v>
      </c>
      <c r="L166" t="s">
        <v>12</v>
      </c>
      <c r="M166" t="s">
        <v>182</v>
      </c>
      <c r="N166" t="s">
        <v>12</v>
      </c>
      <c r="O166" t="s">
        <v>12</v>
      </c>
      <c r="P166" t="s">
        <v>12</v>
      </c>
      <c r="Q166" t="s">
        <v>92</v>
      </c>
      <c r="R166" t="s">
        <v>182</v>
      </c>
      <c r="S166" t="s">
        <v>92</v>
      </c>
      <c r="T166" t="s">
        <v>1199</v>
      </c>
      <c r="U166" t="s">
        <v>12</v>
      </c>
      <c r="V166" t="s">
        <v>12</v>
      </c>
      <c r="W166" t="s">
        <v>1159</v>
      </c>
      <c r="AA166" t="s">
        <v>12</v>
      </c>
      <c r="AB166" t="s">
        <v>92</v>
      </c>
      <c r="AC166" t="s">
        <v>12</v>
      </c>
      <c r="AD166" t="s">
        <v>92</v>
      </c>
      <c r="AE166" t="s">
        <v>119</v>
      </c>
      <c r="AF166" t="s">
        <v>1202</v>
      </c>
    </row>
    <row r="167" spans="1:32" x14ac:dyDescent="0.45">
      <c r="A167" t="s">
        <v>1203</v>
      </c>
      <c r="B167" t="s">
        <v>1204</v>
      </c>
      <c r="C167" t="s">
        <v>1205</v>
      </c>
      <c r="D167" t="s">
        <v>1204</v>
      </c>
      <c r="E167" t="s">
        <v>1155</v>
      </c>
      <c r="F167" t="s">
        <v>1191</v>
      </c>
      <c r="H167" t="s">
        <v>1192</v>
      </c>
      <c r="I167" t="s">
        <v>1193</v>
      </c>
      <c r="J167" t="s">
        <v>92</v>
      </c>
      <c r="K167" t="s">
        <v>12</v>
      </c>
      <c r="L167" t="s">
        <v>12</v>
      </c>
      <c r="M167" t="s">
        <v>182</v>
      </c>
      <c r="N167" t="s">
        <v>12</v>
      </c>
      <c r="O167" t="s">
        <v>12</v>
      </c>
      <c r="P167" t="s">
        <v>12</v>
      </c>
      <c r="Q167" t="s">
        <v>92</v>
      </c>
      <c r="R167" t="s">
        <v>182</v>
      </c>
      <c r="S167" t="s">
        <v>92</v>
      </c>
      <c r="T167" t="s">
        <v>1203</v>
      </c>
      <c r="U167" t="s">
        <v>12</v>
      </c>
      <c r="V167" t="s">
        <v>12</v>
      </c>
      <c r="W167" t="s">
        <v>1159</v>
      </c>
      <c r="AA167" t="s">
        <v>12</v>
      </c>
      <c r="AB167" t="s">
        <v>92</v>
      </c>
      <c r="AC167" t="s">
        <v>12</v>
      </c>
      <c r="AD167" t="s">
        <v>92</v>
      </c>
      <c r="AE167" t="s">
        <v>119</v>
      </c>
      <c r="AF167" t="s">
        <v>1206</v>
      </c>
    </row>
    <row r="168" spans="1:32" x14ac:dyDescent="0.45">
      <c r="A168" t="s">
        <v>1207</v>
      </c>
      <c r="B168" t="s">
        <v>1208</v>
      </c>
      <c r="C168" t="s">
        <v>1209</v>
      </c>
      <c r="D168" t="s">
        <v>1210</v>
      </c>
      <c r="E168" t="s">
        <v>1155</v>
      </c>
      <c r="F168" t="s">
        <v>1191</v>
      </c>
      <c r="H168" t="s">
        <v>1192</v>
      </c>
      <c r="I168" t="s">
        <v>1193</v>
      </c>
      <c r="J168" t="s">
        <v>92</v>
      </c>
      <c r="K168" t="s">
        <v>12</v>
      </c>
      <c r="L168" t="s">
        <v>12</v>
      </c>
      <c r="M168" t="s">
        <v>182</v>
      </c>
      <c r="N168" t="s">
        <v>12</v>
      </c>
      <c r="O168" t="s">
        <v>12</v>
      </c>
      <c r="P168" t="s">
        <v>12</v>
      </c>
      <c r="Q168" t="s">
        <v>92</v>
      </c>
      <c r="R168" t="s">
        <v>182</v>
      </c>
      <c r="S168" t="s">
        <v>92</v>
      </c>
      <c r="T168" t="s">
        <v>1207</v>
      </c>
      <c r="U168" t="s">
        <v>12</v>
      </c>
      <c r="V168" t="s">
        <v>12</v>
      </c>
      <c r="W168" t="s">
        <v>1159</v>
      </c>
      <c r="AA168" t="s">
        <v>12</v>
      </c>
      <c r="AB168" t="s">
        <v>92</v>
      </c>
      <c r="AC168" t="s">
        <v>12</v>
      </c>
      <c r="AD168" t="s">
        <v>92</v>
      </c>
      <c r="AE168" t="s">
        <v>119</v>
      </c>
      <c r="AF168" t="s">
        <v>1211</v>
      </c>
    </row>
    <row r="169" spans="1:32" x14ac:dyDescent="0.45">
      <c r="A169" t="s">
        <v>1212</v>
      </c>
      <c r="B169" t="s">
        <v>1213</v>
      </c>
      <c r="C169" t="s">
        <v>1214</v>
      </c>
      <c r="D169" t="s">
        <v>1213</v>
      </c>
      <c r="E169" t="s">
        <v>1155</v>
      </c>
      <c r="F169" t="s">
        <v>1191</v>
      </c>
      <c r="H169" t="s">
        <v>1192</v>
      </c>
      <c r="I169" t="s">
        <v>1193</v>
      </c>
      <c r="J169" t="s">
        <v>92</v>
      </c>
      <c r="K169" t="s">
        <v>12</v>
      </c>
      <c r="L169" t="s">
        <v>12</v>
      </c>
      <c r="M169" t="s">
        <v>182</v>
      </c>
      <c r="N169" t="s">
        <v>12</v>
      </c>
      <c r="O169" t="s">
        <v>12</v>
      </c>
      <c r="P169" t="s">
        <v>12</v>
      </c>
      <c r="Q169" t="s">
        <v>92</v>
      </c>
      <c r="R169" t="s">
        <v>182</v>
      </c>
      <c r="S169" t="s">
        <v>92</v>
      </c>
      <c r="T169" t="s">
        <v>1212</v>
      </c>
      <c r="U169" t="s">
        <v>12</v>
      </c>
      <c r="V169" t="s">
        <v>12</v>
      </c>
      <c r="W169" t="s">
        <v>1159</v>
      </c>
      <c r="AA169" t="s">
        <v>12</v>
      </c>
      <c r="AB169" t="s">
        <v>92</v>
      </c>
      <c r="AC169" t="s">
        <v>12</v>
      </c>
      <c r="AD169" t="s">
        <v>92</v>
      </c>
      <c r="AE169" t="s">
        <v>119</v>
      </c>
      <c r="AF169" t="s">
        <v>1215</v>
      </c>
    </row>
    <row r="170" spans="1:32" x14ac:dyDescent="0.45">
      <c r="A170" t="s">
        <v>158</v>
      </c>
      <c r="B170" t="s">
        <v>38</v>
      </c>
      <c r="C170" t="s">
        <v>1216</v>
      </c>
      <c r="D170" t="s">
        <v>38</v>
      </c>
      <c r="E170" t="s">
        <v>1217</v>
      </c>
      <c r="F170" t="s">
        <v>1218</v>
      </c>
      <c r="H170" t="s">
        <v>1219</v>
      </c>
      <c r="I170" t="s">
        <v>1220</v>
      </c>
      <c r="J170" t="s">
        <v>92</v>
      </c>
      <c r="K170" t="s">
        <v>12</v>
      </c>
      <c r="L170" t="s">
        <v>12</v>
      </c>
      <c r="M170" t="s">
        <v>182</v>
      </c>
      <c r="N170" t="s">
        <v>12</v>
      </c>
      <c r="O170" t="s">
        <v>12</v>
      </c>
      <c r="P170" t="s">
        <v>12</v>
      </c>
      <c r="Q170" t="s">
        <v>92</v>
      </c>
      <c r="R170" t="s">
        <v>182</v>
      </c>
      <c r="S170" t="s">
        <v>92</v>
      </c>
      <c r="T170" t="s">
        <v>158</v>
      </c>
      <c r="U170" t="s">
        <v>12</v>
      </c>
      <c r="V170" t="s">
        <v>12</v>
      </c>
      <c r="W170" t="s">
        <v>1221</v>
      </c>
      <c r="AA170" t="s">
        <v>92</v>
      </c>
      <c r="AB170" t="s">
        <v>92</v>
      </c>
      <c r="AC170" t="s">
        <v>12</v>
      </c>
      <c r="AD170" t="s">
        <v>92</v>
      </c>
      <c r="AE170" t="s">
        <v>166</v>
      </c>
      <c r="AF170" t="s">
        <v>1222</v>
      </c>
    </row>
    <row r="171" spans="1:32" x14ac:dyDescent="0.45">
      <c r="A171" t="s">
        <v>1223</v>
      </c>
      <c r="B171" t="s">
        <v>1224</v>
      </c>
      <c r="C171" t="s">
        <v>1216</v>
      </c>
      <c r="D171" t="s">
        <v>1225</v>
      </c>
      <c r="H171" t="s">
        <v>1219</v>
      </c>
      <c r="I171" t="s">
        <v>1220</v>
      </c>
      <c r="J171" t="s">
        <v>92</v>
      </c>
      <c r="K171" t="s">
        <v>12</v>
      </c>
      <c r="L171" t="s">
        <v>12</v>
      </c>
      <c r="M171" t="s">
        <v>182</v>
      </c>
      <c r="N171" t="s">
        <v>12</v>
      </c>
      <c r="O171" t="s">
        <v>12</v>
      </c>
      <c r="P171" t="s">
        <v>12</v>
      </c>
      <c r="Q171" t="s">
        <v>92</v>
      </c>
      <c r="R171" t="s">
        <v>182</v>
      </c>
      <c r="S171" t="s">
        <v>92</v>
      </c>
      <c r="T171" t="s">
        <v>1223</v>
      </c>
      <c r="U171" t="s">
        <v>12</v>
      </c>
      <c r="V171" t="s">
        <v>12</v>
      </c>
      <c r="W171" t="s">
        <v>156</v>
      </c>
      <c r="AA171" t="s">
        <v>92</v>
      </c>
      <c r="AB171" t="s">
        <v>92</v>
      </c>
      <c r="AC171" t="s">
        <v>12</v>
      </c>
      <c r="AD171" t="s">
        <v>92</v>
      </c>
      <c r="AE171" t="s">
        <v>119</v>
      </c>
      <c r="AF171" t="s">
        <v>1226</v>
      </c>
    </row>
    <row r="172" spans="1:32" x14ac:dyDescent="0.45">
      <c r="A172" t="s">
        <v>1227</v>
      </c>
      <c r="B172" t="s">
        <v>1228</v>
      </c>
      <c r="C172" t="s">
        <v>1229</v>
      </c>
      <c r="D172" t="s">
        <v>1225</v>
      </c>
      <c r="H172" t="s">
        <v>1219</v>
      </c>
      <c r="I172" t="s">
        <v>1220</v>
      </c>
      <c r="J172" t="s">
        <v>92</v>
      </c>
      <c r="K172" t="s">
        <v>12</v>
      </c>
      <c r="L172" t="s">
        <v>12</v>
      </c>
      <c r="M172" t="s">
        <v>182</v>
      </c>
      <c r="N172" t="s">
        <v>12</v>
      </c>
      <c r="O172" t="s">
        <v>12</v>
      </c>
      <c r="P172" t="s">
        <v>12</v>
      </c>
      <c r="Q172" t="s">
        <v>12</v>
      </c>
      <c r="R172" t="s">
        <v>182</v>
      </c>
      <c r="S172" t="s">
        <v>92</v>
      </c>
      <c r="T172" t="s">
        <v>1227</v>
      </c>
      <c r="U172" t="s">
        <v>12</v>
      </c>
      <c r="V172" t="s">
        <v>12</v>
      </c>
      <c r="W172" t="s">
        <v>1230</v>
      </c>
      <c r="AA172" t="s">
        <v>92</v>
      </c>
      <c r="AB172" t="s">
        <v>12</v>
      </c>
      <c r="AC172" t="s">
        <v>12</v>
      </c>
      <c r="AD172" t="s">
        <v>92</v>
      </c>
      <c r="AE172" t="s">
        <v>166</v>
      </c>
      <c r="AF172" t="s">
        <v>1231</v>
      </c>
    </row>
    <row r="173" spans="1:32" x14ac:dyDescent="0.45">
      <c r="A173" t="s">
        <v>161</v>
      </c>
      <c r="B173" t="s">
        <v>1232</v>
      </c>
      <c r="C173" t="s">
        <v>1233</v>
      </c>
      <c r="D173" t="s">
        <v>39</v>
      </c>
      <c r="E173" t="s">
        <v>1217</v>
      </c>
      <c r="F173" t="s">
        <v>1234</v>
      </c>
      <c r="H173" t="s">
        <v>1235</v>
      </c>
      <c r="I173" t="s">
        <v>1236</v>
      </c>
      <c r="J173" t="s">
        <v>92</v>
      </c>
      <c r="K173" t="s">
        <v>12</v>
      </c>
      <c r="L173" t="s">
        <v>12</v>
      </c>
      <c r="M173" t="s">
        <v>182</v>
      </c>
      <c r="N173" t="s">
        <v>12</v>
      </c>
      <c r="O173" t="s">
        <v>12</v>
      </c>
      <c r="P173" t="s">
        <v>12</v>
      </c>
      <c r="Q173" t="s">
        <v>92</v>
      </c>
      <c r="R173" t="s">
        <v>182</v>
      </c>
      <c r="S173" t="s">
        <v>92</v>
      </c>
      <c r="T173" t="s">
        <v>161</v>
      </c>
      <c r="U173" t="s">
        <v>12</v>
      </c>
      <c r="V173" t="s">
        <v>12</v>
      </c>
      <c r="W173" t="s">
        <v>100</v>
      </c>
      <c r="AA173" t="s">
        <v>92</v>
      </c>
      <c r="AB173" t="s">
        <v>92</v>
      </c>
      <c r="AC173" t="s">
        <v>12</v>
      </c>
      <c r="AD173" t="s">
        <v>92</v>
      </c>
      <c r="AE173" t="s">
        <v>119</v>
      </c>
      <c r="AF173" t="s">
        <v>1237</v>
      </c>
    </row>
    <row r="174" spans="1:32" x14ac:dyDescent="0.45">
      <c r="A174" t="s">
        <v>1238</v>
      </c>
      <c r="B174" t="s">
        <v>1239</v>
      </c>
      <c r="C174" t="s">
        <v>1233</v>
      </c>
      <c r="D174" t="s">
        <v>1239</v>
      </c>
      <c r="H174" t="s">
        <v>1235</v>
      </c>
      <c r="I174" t="s">
        <v>1236</v>
      </c>
      <c r="J174" t="s">
        <v>92</v>
      </c>
      <c r="K174" t="s">
        <v>12</v>
      </c>
      <c r="L174" t="s">
        <v>12</v>
      </c>
      <c r="M174" t="s">
        <v>182</v>
      </c>
      <c r="N174" t="s">
        <v>12</v>
      </c>
      <c r="O174" t="s">
        <v>12</v>
      </c>
      <c r="P174" t="s">
        <v>12</v>
      </c>
      <c r="Q174" t="s">
        <v>119</v>
      </c>
      <c r="R174" t="s">
        <v>182</v>
      </c>
      <c r="S174" t="s">
        <v>92</v>
      </c>
      <c r="T174" t="s">
        <v>1238</v>
      </c>
      <c r="U174" t="s">
        <v>12</v>
      </c>
      <c r="V174" t="s">
        <v>12</v>
      </c>
      <c r="W174" t="s">
        <v>1240</v>
      </c>
      <c r="AA174" t="s">
        <v>92</v>
      </c>
      <c r="AB174" t="s">
        <v>92</v>
      </c>
      <c r="AC174" t="s">
        <v>12</v>
      </c>
      <c r="AD174" t="s">
        <v>92</v>
      </c>
      <c r="AE174" t="s">
        <v>119</v>
      </c>
      <c r="AF174" t="s">
        <v>1241</v>
      </c>
    </row>
    <row r="175" spans="1:32" x14ac:dyDescent="0.45">
      <c r="A175" t="s">
        <v>1242</v>
      </c>
      <c r="B175" t="s">
        <v>903</v>
      </c>
      <c r="C175" t="s">
        <v>918</v>
      </c>
      <c r="D175" t="s">
        <v>903</v>
      </c>
      <c r="E175" t="s">
        <v>906</v>
      </c>
      <c r="F175" t="s">
        <v>907</v>
      </c>
      <c r="H175" t="s">
        <v>908</v>
      </c>
      <c r="I175" t="s">
        <v>909</v>
      </c>
      <c r="J175" t="s">
        <v>92</v>
      </c>
      <c r="K175" t="s">
        <v>12</v>
      </c>
      <c r="L175" t="s">
        <v>12</v>
      </c>
      <c r="M175" t="s">
        <v>182</v>
      </c>
      <c r="N175" t="s">
        <v>12</v>
      </c>
      <c r="O175" t="s">
        <v>12</v>
      </c>
      <c r="P175" t="s">
        <v>12</v>
      </c>
      <c r="Q175" t="s">
        <v>92</v>
      </c>
      <c r="R175" t="s">
        <v>182</v>
      </c>
      <c r="S175" t="s">
        <v>92</v>
      </c>
      <c r="T175" t="s">
        <v>1242</v>
      </c>
      <c r="U175" t="s">
        <v>12</v>
      </c>
      <c r="V175" t="s">
        <v>12</v>
      </c>
      <c r="W175" t="s">
        <v>99</v>
      </c>
      <c r="AA175" t="s">
        <v>92</v>
      </c>
      <c r="AB175" t="s">
        <v>92</v>
      </c>
      <c r="AC175" t="s">
        <v>12</v>
      </c>
      <c r="AD175" t="s">
        <v>92</v>
      </c>
      <c r="AE175" t="s">
        <v>119</v>
      </c>
      <c r="AF175" t="s">
        <v>1243</v>
      </c>
    </row>
    <row r="176" spans="1:32" x14ac:dyDescent="0.45">
      <c r="A176" t="s">
        <v>1244</v>
      </c>
      <c r="B176" t="s">
        <v>1245</v>
      </c>
      <c r="C176" t="s">
        <v>1246</v>
      </c>
      <c r="D176" t="s">
        <v>1245</v>
      </c>
      <c r="E176" t="s">
        <v>1247</v>
      </c>
      <c r="F176" t="s">
        <v>1248</v>
      </c>
      <c r="H176" t="s">
        <v>1249</v>
      </c>
      <c r="I176" t="s">
        <v>1250</v>
      </c>
      <c r="J176" t="s">
        <v>92</v>
      </c>
      <c r="K176" t="s">
        <v>12</v>
      </c>
      <c r="L176" t="s">
        <v>12</v>
      </c>
      <c r="M176" t="s">
        <v>182</v>
      </c>
      <c r="N176" t="s">
        <v>12</v>
      </c>
      <c r="O176" t="s">
        <v>12</v>
      </c>
      <c r="P176" t="s">
        <v>12</v>
      </c>
      <c r="Q176" t="s">
        <v>92</v>
      </c>
      <c r="R176" t="s">
        <v>182</v>
      </c>
      <c r="S176" t="s">
        <v>92</v>
      </c>
      <c r="T176" t="s">
        <v>1244</v>
      </c>
      <c r="U176" t="s">
        <v>12</v>
      </c>
      <c r="V176" t="s">
        <v>12</v>
      </c>
      <c r="W176" t="s">
        <v>205</v>
      </c>
      <c r="AA176" t="s">
        <v>92</v>
      </c>
      <c r="AB176" t="s">
        <v>92</v>
      </c>
      <c r="AC176" t="s">
        <v>12</v>
      </c>
      <c r="AD176" t="s">
        <v>92</v>
      </c>
      <c r="AE176" t="s">
        <v>119</v>
      </c>
      <c r="AF176" t="s">
        <v>1251</v>
      </c>
    </row>
    <row r="177" spans="1:32" x14ac:dyDescent="0.45">
      <c r="A177" t="s">
        <v>1252</v>
      </c>
      <c r="B177" t="s">
        <v>1253</v>
      </c>
      <c r="C177" t="s">
        <v>1254</v>
      </c>
      <c r="D177" t="s">
        <v>1253</v>
      </c>
      <c r="E177" t="s">
        <v>1247</v>
      </c>
      <c r="F177" t="s">
        <v>1248</v>
      </c>
      <c r="H177" t="s">
        <v>1249</v>
      </c>
      <c r="I177" t="s">
        <v>1250</v>
      </c>
      <c r="J177" t="s">
        <v>92</v>
      </c>
      <c r="K177" t="s">
        <v>12</v>
      </c>
      <c r="L177" t="s">
        <v>12</v>
      </c>
      <c r="M177" t="s">
        <v>182</v>
      </c>
      <c r="N177" t="s">
        <v>12</v>
      </c>
      <c r="O177" t="s">
        <v>12</v>
      </c>
      <c r="P177" t="s">
        <v>12</v>
      </c>
      <c r="Q177" t="s">
        <v>92</v>
      </c>
      <c r="R177" t="s">
        <v>182</v>
      </c>
      <c r="S177" t="s">
        <v>92</v>
      </c>
      <c r="T177" t="s">
        <v>1252</v>
      </c>
      <c r="U177" t="s">
        <v>12</v>
      </c>
      <c r="V177" t="s">
        <v>12</v>
      </c>
      <c r="W177" t="s">
        <v>193</v>
      </c>
      <c r="AA177" t="s">
        <v>92</v>
      </c>
      <c r="AB177" t="s">
        <v>92</v>
      </c>
      <c r="AC177" t="s">
        <v>12</v>
      </c>
      <c r="AD177" t="s">
        <v>92</v>
      </c>
      <c r="AE177" t="s">
        <v>119</v>
      </c>
      <c r="AF177" t="s">
        <v>1255</v>
      </c>
    </row>
    <row r="178" spans="1:32" x14ac:dyDescent="0.45">
      <c r="A178" t="s">
        <v>1256</v>
      </c>
      <c r="B178" t="s">
        <v>1257</v>
      </c>
      <c r="C178" t="s">
        <v>1258</v>
      </c>
      <c r="D178" t="s">
        <v>1257</v>
      </c>
      <c r="E178" t="s">
        <v>1259</v>
      </c>
      <c r="F178" t="s">
        <v>1260</v>
      </c>
      <c r="H178" t="s">
        <v>1261</v>
      </c>
      <c r="I178" t="s">
        <v>1262</v>
      </c>
      <c r="J178" t="s">
        <v>92</v>
      </c>
      <c r="K178" t="s">
        <v>12</v>
      </c>
      <c r="L178" t="s">
        <v>12</v>
      </c>
      <c r="M178" t="s">
        <v>182</v>
      </c>
      <c r="N178" t="s">
        <v>12</v>
      </c>
      <c r="O178" t="s">
        <v>12</v>
      </c>
      <c r="P178" t="s">
        <v>12</v>
      </c>
      <c r="Q178" t="s">
        <v>92</v>
      </c>
      <c r="R178" t="s">
        <v>182</v>
      </c>
      <c r="S178" t="s">
        <v>92</v>
      </c>
      <c r="T178" t="s">
        <v>1256</v>
      </c>
      <c r="U178" t="s">
        <v>12</v>
      </c>
      <c r="V178" t="s">
        <v>12</v>
      </c>
      <c r="W178" t="s">
        <v>373</v>
      </c>
      <c r="X178" t="s">
        <v>1046</v>
      </c>
      <c r="Y178" t="s">
        <v>166</v>
      </c>
      <c r="AA178" t="s">
        <v>12</v>
      </c>
      <c r="AB178" t="s">
        <v>92</v>
      </c>
      <c r="AC178" t="s">
        <v>12</v>
      </c>
      <c r="AD178" t="s">
        <v>92</v>
      </c>
      <c r="AE178" t="s">
        <v>119</v>
      </c>
      <c r="AF178" t="s">
        <v>1263</v>
      </c>
    </row>
    <row r="179" spans="1:32" x14ac:dyDescent="0.45">
      <c r="A179" t="s">
        <v>1264</v>
      </c>
      <c r="B179" t="s">
        <v>1265</v>
      </c>
      <c r="C179" t="s">
        <v>1258</v>
      </c>
      <c r="D179" t="s">
        <v>1265</v>
      </c>
      <c r="H179" t="s">
        <v>1261</v>
      </c>
      <c r="I179" t="s">
        <v>1262</v>
      </c>
      <c r="J179" t="s">
        <v>92</v>
      </c>
      <c r="K179" t="s">
        <v>12</v>
      </c>
      <c r="L179" t="s">
        <v>12</v>
      </c>
      <c r="M179" t="s">
        <v>182</v>
      </c>
      <c r="N179" t="s">
        <v>12</v>
      </c>
      <c r="O179" t="s">
        <v>12</v>
      </c>
      <c r="P179" t="s">
        <v>12</v>
      </c>
      <c r="Q179" t="s">
        <v>92</v>
      </c>
      <c r="R179" t="s">
        <v>182</v>
      </c>
      <c r="S179" t="s">
        <v>92</v>
      </c>
      <c r="T179" t="s">
        <v>1264</v>
      </c>
      <c r="U179" t="s">
        <v>12</v>
      </c>
      <c r="V179" t="s">
        <v>12</v>
      </c>
      <c r="W179" t="s">
        <v>1266</v>
      </c>
      <c r="AA179" t="s">
        <v>12</v>
      </c>
      <c r="AB179" t="s">
        <v>92</v>
      </c>
      <c r="AC179" t="s">
        <v>12</v>
      </c>
      <c r="AD179" t="s">
        <v>92</v>
      </c>
      <c r="AE179" t="s">
        <v>119</v>
      </c>
      <c r="AF179" t="s">
        <v>1267</v>
      </c>
    </row>
    <row r="180" spans="1:32" x14ac:dyDescent="0.45">
      <c r="A180" t="s">
        <v>1268</v>
      </c>
      <c r="B180" t="s">
        <v>1265</v>
      </c>
      <c r="C180" t="s">
        <v>1258</v>
      </c>
      <c r="D180" t="s">
        <v>1265</v>
      </c>
      <c r="H180" t="s">
        <v>1261</v>
      </c>
      <c r="I180" t="s">
        <v>1262</v>
      </c>
      <c r="J180" t="s">
        <v>92</v>
      </c>
      <c r="K180" t="s">
        <v>12</v>
      </c>
      <c r="L180" t="s">
        <v>12</v>
      </c>
      <c r="M180" t="s">
        <v>182</v>
      </c>
      <c r="N180" t="s">
        <v>12</v>
      </c>
      <c r="O180" t="s">
        <v>12</v>
      </c>
      <c r="P180" t="s">
        <v>12</v>
      </c>
      <c r="Q180" t="s">
        <v>92</v>
      </c>
      <c r="R180" t="s">
        <v>182</v>
      </c>
      <c r="S180" t="s">
        <v>92</v>
      </c>
      <c r="T180" t="s">
        <v>1268</v>
      </c>
      <c r="U180" t="s">
        <v>12</v>
      </c>
      <c r="V180" t="s">
        <v>12</v>
      </c>
      <c r="W180" t="s">
        <v>1266</v>
      </c>
      <c r="AA180" t="s">
        <v>12</v>
      </c>
      <c r="AB180" t="s">
        <v>12</v>
      </c>
      <c r="AC180" t="s">
        <v>12</v>
      </c>
      <c r="AD180" t="s">
        <v>92</v>
      </c>
      <c r="AE180" t="s">
        <v>119</v>
      </c>
      <c r="AF180" t="s">
        <v>1269</v>
      </c>
    </row>
    <row r="181" spans="1:32" x14ac:dyDescent="0.45">
      <c r="A181" t="s">
        <v>1270</v>
      </c>
      <c r="B181" t="s">
        <v>1271</v>
      </c>
      <c r="C181" t="s">
        <v>1272</v>
      </c>
      <c r="D181" t="s">
        <v>1271</v>
      </c>
      <c r="E181" t="s">
        <v>1259</v>
      </c>
      <c r="F181" t="s">
        <v>1260</v>
      </c>
      <c r="H181" t="s">
        <v>1261</v>
      </c>
      <c r="I181" t="s">
        <v>1262</v>
      </c>
      <c r="J181" t="s">
        <v>92</v>
      </c>
      <c r="K181" t="s">
        <v>12</v>
      </c>
      <c r="L181" t="s">
        <v>12</v>
      </c>
      <c r="M181" t="s">
        <v>182</v>
      </c>
      <c r="N181" t="s">
        <v>12</v>
      </c>
      <c r="O181" t="s">
        <v>12</v>
      </c>
      <c r="P181" t="s">
        <v>12</v>
      </c>
      <c r="Q181" t="s">
        <v>92</v>
      </c>
      <c r="R181" t="s">
        <v>182</v>
      </c>
      <c r="S181" t="s">
        <v>92</v>
      </c>
      <c r="T181" t="s">
        <v>1270</v>
      </c>
      <c r="U181" t="s">
        <v>12</v>
      </c>
      <c r="V181" t="s">
        <v>12</v>
      </c>
      <c r="W181" t="s">
        <v>373</v>
      </c>
      <c r="AA181" t="s">
        <v>12</v>
      </c>
      <c r="AB181" t="s">
        <v>92</v>
      </c>
      <c r="AC181" t="s">
        <v>12</v>
      </c>
      <c r="AD181" t="s">
        <v>92</v>
      </c>
      <c r="AE181" t="s">
        <v>119</v>
      </c>
      <c r="AF181" t="s">
        <v>1273</v>
      </c>
    </row>
    <row r="182" spans="1:32" x14ac:dyDescent="0.45">
      <c r="A182" t="s">
        <v>1274</v>
      </c>
      <c r="B182" t="s">
        <v>1265</v>
      </c>
      <c r="C182" t="s">
        <v>1258</v>
      </c>
      <c r="D182" t="s">
        <v>1265</v>
      </c>
      <c r="H182" t="s">
        <v>1261</v>
      </c>
      <c r="I182" t="s">
        <v>1262</v>
      </c>
      <c r="J182" t="s">
        <v>92</v>
      </c>
      <c r="K182" t="s">
        <v>12</v>
      </c>
      <c r="L182" t="s">
        <v>12</v>
      </c>
      <c r="M182" t="s">
        <v>182</v>
      </c>
      <c r="N182" t="s">
        <v>12</v>
      </c>
      <c r="O182" t="s">
        <v>12</v>
      </c>
      <c r="P182" t="s">
        <v>12</v>
      </c>
      <c r="Q182" t="s">
        <v>92</v>
      </c>
      <c r="R182" t="s">
        <v>182</v>
      </c>
      <c r="S182" t="s">
        <v>92</v>
      </c>
      <c r="T182" t="s">
        <v>1274</v>
      </c>
      <c r="U182" t="s">
        <v>12</v>
      </c>
      <c r="V182" t="s">
        <v>12</v>
      </c>
      <c r="W182" t="s">
        <v>1266</v>
      </c>
      <c r="AA182" t="s">
        <v>12</v>
      </c>
      <c r="AB182" t="s">
        <v>92</v>
      </c>
      <c r="AC182" t="s">
        <v>92</v>
      </c>
      <c r="AD182" t="s">
        <v>92</v>
      </c>
      <c r="AE182" t="s">
        <v>169</v>
      </c>
      <c r="AF182" t="s">
        <v>1275</v>
      </c>
    </row>
    <row r="183" spans="1:32" x14ac:dyDescent="0.45">
      <c r="A183" t="s">
        <v>1276</v>
      </c>
      <c r="B183" t="s">
        <v>1265</v>
      </c>
      <c r="C183" t="s">
        <v>1258</v>
      </c>
      <c r="D183" t="s">
        <v>1265</v>
      </c>
      <c r="H183" t="s">
        <v>1261</v>
      </c>
      <c r="I183" t="s">
        <v>1262</v>
      </c>
      <c r="J183" t="s">
        <v>92</v>
      </c>
      <c r="K183" t="s">
        <v>12</v>
      </c>
      <c r="L183" t="s">
        <v>12</v>
      </c>
      <c r="M183" t="s">
        <v>182</v>
      </c>
      <c r="N183" t="s">
        <v>12</v>
      </c>
      <c r="O183" t="s">
        <v>12</v>
      </c>
      <c r="P183" t="s">
        <v>12</v>
      </c>
      <c r="Q183" t="s">
        <v>92</v>
      </c>
      <c r="R183" t="s">
        <v>182</v>
      </c>
      <c r="S183" t="s">
        <v>92</v>
      </c>
      <c r="T183" t="s">
        <v>1276</v>
      </c>
      <c r="U183" t="s">
        <v>12</v>
      </c>
      <c r="V183" t="s">
        <v>12</v>
      </c>
      <c r="W183" t="s">
        <v>1266</v>
      </c>
      <c r="AA183" t="s">
        <v>12</v>
      </c>
      <c r="AB183" t="s">
        <v>12</v>
      </c>
      <c r="AC183" t="s">
        <v>92</v>
      </c>
      <c r="AD183" t="s">
        <v>92</v>
      </c>
      <c r="AE183" t="s">
        <v>169</v>
      </c>
      <c r="AF183" t="s">
        <v>1277</v>
      </c>
    </row>
    <row r="184" spans="1:32" x14ac:dyDescent="0.45">
      <c r="A184" t="s">
        <v>1278</v>
      </c>
      <c r="B184" t="s">
        <v>1279</v>
      </c>
      <c r="C184" t="s">
        <v>1280</v>
      </c>
      <c r="D184" t="s">
        <v>1279</v>
      </c>
      <c r="E184" t="s">
        <v>1281</v>
      </c>
      <c r="F184" t="s">
        <v>1282</v>
      </c>
      <c r="H184" t="s">
        <v>1283</v>
      </c>
      <c r="I184" t="s">
        <v>1284</v>
      </c>
      <c r="J184" t="s">
        <v>92</v>
      </c>
      <c r="K184" t="s">
        <v>12</v>
      </c>
      <c r="L184" t="s">
        <v>12</v>
      </c>
      <c r="M184" t="s">
        <v>182</v>
      </c>
      <c r="N184" t="s">
        <v>12</v>
      </c>
      <c r="O184" t="s">
        <v>12</v>
      </c>
      <c r="P184" t="s">
        <v>12</v>
      </c>
      <c r="Q184" t="s">
        <v>92</v>
      </c>
      <c r="R184" t="s">
        <v>182</v>
      </c>
      <c r="S184" t="s">
        <v>92</v>
      </c>
      <c r="T184" t="s">
        <v>1278</v>
      </c>
      <c r="U184" t="s">
        <v>12</v>
      </c>
      <c r="V184" t="s">
        <v>12</v>
      </c>
      <c r="W184" t="s">
        <v>1285</v>
      </c>
      <c r="AA184" t="s">
        <v>92</v>
      </c>
      <c r="AB184" t="s">
        <v>92</v>
      </c>
      <c r="AC184" t="s">
        <v>12</v>
      </c>
      <c r="AD184" t="s">
        <v>92</v>
      </c>
      <c r="AE184" t="s">
        <v>119</v>
      </c>
      <c r="AF184" t="s">
        <v>1286</v>
      </c>
    </row>
    <row r="185" spans="1:32" x14ac:dyDescent="0.45">
      <c r="A185" t="s">
        <v>1287</v>
      </c>
      <c r="B185" t="s">
        <v>1288</v>
      </c>
      <c r="C185" t="s">
        <v>1280</v>
      </c>
      <c r="D185" t="s">
        <v>1288</v>
      </c>
      <c r="H185" t="s">
        <v>1283</v>
      </c>
      <c r="I185" t="s">
        <v>1284</v>
      </c>
      <c r="J185" t="s">
        <v>92</v>
      </c>
      <c r="K185" t="s">
        <v>12</v>
      </c>
      <c r="L185" t="s">
        <v>12</v>
      </c>
      <c r="M185" t="s">
        <v>182</v>
      </c>
      <c r="N185" t="s">
        <v>12</v>
      </c>
      <c r="O185" t="s">
        <v>12</v>
      </c>
      <c r="P185" t="s">
        <v>12</v>
      </c>
      <c r="Q185" t="s">
        <v>92</v>
      </c>
      <c r="R185" t="s">
        <v>182</v>
      </c>
      <c r="S185" t="s">
        <v>92</v>
      </c>
      <c r="T185" t="s">
        <v>1287</v>
      </c>
      <c r="U185" t="s">
        <v>12</v>
      </c>
      <c r="V185" t="s">
        <v>12</v>
      </c>
      <c r="W185" t="s">
        <v>12</v>
      </c>
      <c r="AA185" t="s">
        <v>92</v>
      </c>
      <c r="AB185" t="s">
        <v>92</v>
      </c>
      <c r="AC185" t="s">
        <v>12</v>
      </c>
      <c r="AD185" t="s">
        <v>92</v>
      </c>
      <c r="AE185" t="s">
        <v>119</v>
      </c>
      <c r="AF185" t="s">
        <v>1289</v>
      </c>
    </row>
    <row r="186" spans="1:32" x14ac:dyDescent="0.45">
      <c r="A186" t="s">
        <v>1290</v>
      </c>
      <c r="B186" t="s">
        <v>1291</v>
      </c>
      <c r="C186" t="s">
        <v>1292</v>
      </c>
      <c r="D186" t="s">
        <v>1291</v>
      </c>
      <c r="E186" t="s">
        <v>1293</v>
      </c>
      <c r="F186" t="s">
        <v>1294</v>
      </c>
      <c r="H186" t="s">
        <v>1295</v>
      </c>
      <c r="J186" t="s">
        <v>92</v>
      </c>
      <c r="K186" t="s">
        <v>12</v>
      </c>
      <c r="L186" t="s">
        <v>12</v>
      </c>
      <c r="M186" t="s">
        <v>182</v>
      </c>
      <c r="N186" t="s">
        <v>12</v>
      </c>
      <c r="O186" t="s">
        <v>12</v>
      </c>
      <c r="P186" t="s">
        <v>12</v>
      </c>
      <c r="Q186" t="s">
        <v>92</v>
      </c>
      <c r="R186" t="s">
        <v>182</v>
      </c>
      <c r="S186" t="s">
        <v>92</v>
      </c>
      <c r="T186" t="s">
        <v>1290</v>
      </c>
      <c r="U186" t="s">
        <v>12</v>
      </c>
      <c r="V186" t="s">
        <v>12</v>
      </c>
      <c r="W186" t="s">
        <v>152</v>
      </c>
      <c r="AA186" t="s">
        <v>92</v>
      </c>
      <c r="AB186" t="s">
        <v>92</v>
      </c>
      <c r="AC186" t="s">
        <v>12</v>
      </c>
      <c r="AD186" t="s">
        <v>92</v>
      </c>
      <c r="AE186" t="s">
        <v>119</v>
      </c>
      <c r="AF186" t="s">
        <v>1296</v>
      </c>
    </row>
    <row r="187" spans="1:32" x14ac:dyDescent="0.45">
      <c r="A187" t="s">
        <v>1297</v>
      </c>
      <c r="B187" t="s">
        <v>1298</v>
      </c>
      <c r="C187" t="s">
        <v>1292</v>
      </c>
      <c r="D187" t="s">
        <v>1298</v>
      </c>
      <c r="H187" t="s">
        <v>1295</v>
      </c>
      <c r="J187" t="s">
        <v>92</v>
      </c>
      <c r="K187" t="s">
        <v>12</v>
      </c>
      <c r="L187" t="s">
        <v>12</v>
      </c>
      <c r="M187" t="s">
        <v>182</v>
      </c>
      <c r="N187" t="s">
        <v>12</v>
      </c>
      <c r="O187" t="s">
        <v>12</v>
      </c>
      <c r="P187" t="s">
        <v>12</v>
      </c>
      <c r="Q187" t="s">
        <v>92</v>
      </c>
      <c r="R187" t="s">
        <v>182</v>
      </c>
      <c r="S187" t="s">
        <v>92</v>
      </c>
      <c r="T187" t="s">
        <v>1297</v>
      </c>
      <c r="U187" t="s">
        <v>12</v>
      </c>
      <c r="V187" t="s">
        <v>12</v>
      </c>
      <c r="W187" t="s">
        <v>12</v>
      </c>
      <c r="AA187" t="s">
        <v>92</v>
      </c>
      <c r="AB187" t="s">
        <v>92</v>
      </c>
      <c r="AC187" t="s">
        <v>12</v>
      </c>
      <c r="AD187" t="s">
        <v>92</v>
      </c>
      <c r="AE187" t="s">
        <v>119</v>
      </c>
      <c r="AF187" t="s">
        <v>1299</v>
      </c>
    </row>
    <row r="188" spans="1:32" x14ac:dyDescent="0.45">
      <c r="A188" t="s">
        <v>1300</v>
      </c>
      <c r="B188" t="s">
        <v>1301</v>
      </c>
      <c r="C188" t="s">
        <v>1302</v>
      </c>
      <c r="D188" t="s">
        <v>1303</v>
      </c>
      <c r="E188" t="s">
        <v>1304</v>
      </c>
      <c r="F188" t="s">
        <v>1305</v>
      </c>
      <c r="H188" t="s">
        <v>1306</v>
      </c>
      <c r="I188" t="s">
        <v>1307</v>
      </c>
      <c r="J188" t="s">
        <v>92</v>
      </c>
      <c r="K188" t="s">
        <v>12</v>
      </c>
      <c r="L188" t="s">
        <v>12</v>
      </c>
      <c r="M188" t="s">
        <v>182</v>
      </c>
      <c r="N188" t="s">
        <v>12</v>
      </c>
      <c r="O188" t="s">
        <v>12</v>
      </c>
      <c r="P188" t="s">
        <v>12</v>
      </c>
      <c r="Q188" t="s">
        <v>92</v>
      </c>
      <c r="R188" t="s">
        <v>182</v>
      </c>
      <c r="S188" t="s">
        <v>92</v>
      </c>
      <c r="T188" t="s">
        <v>1300</v>
      </c>
      <c r="U188" t="s">
        <v>12</v>
      </c>
      <c r="V188" t="s">
        <v>12</v>
      </c>
      <c r="W188" t="s">
        <v>1308</v>
      </c>
      <c r="AA188" t="s">
        <v>12</v>
      </c>
      <c r="AB188" t="s">
        <v>92</v>
      </c>
      <c r="AC188" t="s">
        <v>12</v>
      </c>
      <c r="AD188" t="s">
        <v>92</v>
      </c>
      <c r="AE188" t="s">
        <v>119</v>
      </c>
      <c r="AF188" t="s">
        <v>1309</v>
      </c>
    </row>
    <row r="189" spans="1:32" x14ac:dyDescent="0.45">
      <c r="A189" t="s">
        <v>1310</v>
      </c>
      <c r="B189" t="s">
        <v>1311</v>
      </c>
      <c r="C189" t="s">
        <v>1302</v>
      </c>
      <c r="D189" t="s">
        <v>1311</v>
      </c>
      <c r="H189" t="s">
        <v>1306</v>
      </c>
      <c r="I189" t="s">
        <v>1307</v>
      </c>
      <c r="J189" t="s">
        <v>92</v>
      </c>
      <c r="K189" t="s">
        <v>12</v>
      </c>
      <c r="L189" t="s">
        <v>12</v>
      </c>
      <c r="M189" t="s">
        <v>182</v>
      </c>
      <c r="N189" t="s">
        <v>12</v>
      </c>
      <c r="O189" t="s">
        <v>12</v>
      </c>
      <c r="P189" t="s">
        <v>12</v>
      </c>
      <c r="Q189" t="s">
        <v>92</v>
      </c>
      <c r="R189" t="s">
        <v>182</v>
      </c>
      <c r="S189" t="s">
        <v>92</v>
      </c>
      <c r="T189" t="s">
        <v>1310</v>
      </c>
      <c r="U189" t="s">
        <v>12</v>
      </c>
      <c r="V189" t="s">
        <v>12</v>
      </c>
      <c r="W189" t="s">
        <v>1312</v>
      </c>
      <c r="AA189" t="s">
        <v>12</v>
      </c>
      <c r="AB189" t="s">
        <v>92</v>
      </c>
      <c r="AC189" t="s">
        <v>12</v>
      </c>
      <c r="AD189" t="s">
        <v>92</v>
      </c>
      <c r="AE189" t="s">
        <v>119</v>
      </c>
      <c r="AF189" t="s">
        <v>1313</v>
      </c>
    </row>
    <row r="190" spans="1:32" x14ac:dyDescent="0.45">
      <c r="A190" t="s">
        <v>1314</v>
      </c>
      <c r="B190" t="s">
        <v>1315</v>
      </c>
      <c r="C190" t="s">
        <v>1316</v>
      </c>
      <c r="D190" t="s">
        <v>1315</v>
      </c>
      <c r="E190" t="s">
        <v>1317</v>
      </c>
      <c r="F190" t="s">
        <v>1318</v>
      </c>
      <c r="H190" t="s">
        <v>1319</v>
      </c>
      <c r="I190" t="s">
        <v>1319</v>
      </c>
      <c r="J190" t="s">
        <v>92</v>
      </c>
      <c r="K190" t="s">
        <v>12</v>
      </c>
      <c r="L190" t="s">
        <v>12</v>
      </c>
      <c r="M190" t="s">
        <v>182</v>
      </c>
      <c r="N190" t="s">
        <v>12</v>
      </c>
      <c r="O190" t="s">
        <v>12</v>
      </c>
      <c r="P190" t="s">
        <v>12</v>
      </c>
      <c r="Q190" t="s">
        <v>92</v>
      </c>
      <c r="R190" t="s">
        <v>182</v>
      </c>
      <c r="S190" t="s">
        <v>92</v>
      </c>
      <c r="T190" t="s">
        <v>1314</v>
      </c>
      <c r="U190" t="s">
        <v>12</v>
      </c>
      <c r="V190" t="s">
        <v>12</v>
      </c>
      <c r="W190" t="s">
        <v>1320</v>
      </c>
      <c r="AA190" t="s">
        <v>92</v>
      </c>
      <c r="AB190" t="s">
        <v>92</v>
      </c>
      <c r="AC190" t="s">
        <v>12</v>
      </c>
      <c r="AD190" t="s">
        <v>92</v>
      </c>
      <c r="AE190" t="s">
        <v>119</v>
      </c>
      <c r="AF190" t="s">
        <v>1321</v>
      </c>
    </row>
    <row r="191" spans="1:32" x14ac:dyDescent="0.45">
      <c r="A191" t="s">
        <v>1322</v>
      </c>
      <c r="B191" t="s">
        <v>1323</v>
      </c>
      <c r="C191" t="s">
        <v>1324</v>
      </c>
      <c r="D191" t="s">
        <v>1323</v>
      </c>
      <c r="J191" t="s">
        <v>92</v>
      </c>
      <c r="K191" t="s">
        <v>12</v>
      </c>
      <c r="L191" t="s">
        <v>12</v>
      </c>
      <c r="M191" t="s">
        <v>182</v>
      </c>
      <c r="N191" t="s">
        <v>12</v>
      </c>
      <c r="O191" t="s">
        <v>12</v>
      </c>
      <c r="P191" t="s">
        <v>12</v>
      </c>
      <c r="Q191" t="s">
        <v>92</v>
      </c>
      <c r="R191" t="s">
        <v>182</v>
      </c>
      <c r="S191" t="s">
        <v>92</v>
      </c>
      <c r="T191" t="s">
        <v>1322</v>
      </c>
      <c r="U191" t="s">
        <v>12</v>
      </c>
      <c r="V191" t="s">
        <v>12</v>
      </c>
      <c r="W191" t="s">
        <v>1325</v>
      </c>
      <c r="AA191" t="s">
        <v>92</v>
      </c>
      <c r="AB191" t="s">
        <v>92</v>
      </c>
      <c r="AC191" t="s">
        <v>12</v>
      </c>
      <c r="AD191" t="s">
        <v>92</v>
      </c>
      <c r="AE191" t="s">
        <v>119</v>
      </c>
      <c r="AF191" t="s">
        <v>1326</v>
      </c>
    </row>
    <row r="192" spans="1:32" x14ac:dyDescent="0.45">
      <c r="A192" t="s">
        <v>1327</v>
      </c>
      <c r="B192" t="s">
        <v>1328</v>
      </c>
      <c r="C192" t="s">
        <v>1329</v>
      </c>
      <c r="D192" t="s">
        <v>1328</v>
      </c>
      <c r="E192" t="s">
        <v>1330</v>
      </c>
      <c r="F192" t="s">
        <v>1331</v>
      </c>
      <c r="H192" t="s">
        <v>1332</v>
      </c>
      <c r="I192" t="s">
        <v>1333</v>
      </c>
      <c r="J192" t="s">
        <v>92</v>
      </c>
      <c r="K192" t="s">
        <v>12</v>
      </c>
      <c r="L192" t="s">
        <v>12</v>
      </c>
      <c r="M192" t="s">
        <v>182</v>
      </c>
      <c r="N192" t="s">
        <v>12</v>
      </c>
      <c r="O192" t="s">
        <v>12</v>
      </c>
      <c r="P192" t="s">
        <v>12</v>
      </c>
      <c r="Q192" t="s">
        <v>12</v>
      </c>
      <c r="R192" t="s">
        <v>182</v>
      </c>
      <c r="S192" t="s">
        <v>92</v>
      </c>
      <c r="T192" t="s">
        <v>1327</v>
      </c>
      <c r="U192" t="s">
        <v>12</v>
      </c>
      <c r="V192" t="s">
        <v>12</v>
      </c>
      <c r="W192" t="s">
        <v>1334</v>
      </c>
      <c r="AA192" t="s">
        <v>92</v>
      </c>
      <c r="AB192" t="s">
        <v>92</v>
      </c>
      <c r="AC192" t="s">
        <v>12</v>
      </c>
      <c r="AD192" t="s">
        <v>92</v>
      </c>
      <c r="AE192" t="s">
        <v>119</v>
      </c>
      <c r="AF192" t="s">
        <v>1335</v>
      </c>
    </row>
    <row r="193" spans="1:32" x14ac:dyDescent="0.45">
      <c r="A193" t="s">
        <v>1336</v>
      </c>
      <c r="B193" t="s">
        <v>1337</v>
      </c>
      <c r="C193" t="s">
        <v>1329</v>
      </c>
      <c r="D193" t="s">
        <v>1337</v>
      </c>
      <c r="E193" t="s">
        <v>1330</v>
      </c>
      <c r="F193" t="s">
        <v>1331</v>
      </c>
      <c r="H193" t="s">
        <v>1332</v>
      </c>
      <c r="I193" t="s">
        <v>1333</v>
      </c>
      <c r="J193" t="s">
        <v>92</v>
      </c>
      <c r="K193" t="s">
        <v>12</v>
      </c>
      <c r="L193" t="s">
        <v>12</v>
      </c>
      <c r="M193" t="s">
        <v>182</v>
      </c>
      <c r="N193" t="s">
        <v>12</v>
      </c>
      <c r="O193" t="s">
        <v>12</v>
      </c>
      <c r="P193" t="s">
        <v>12</v>
      </c>
      <c r="Q193" t="s">
        <v>92</v>
      </c>
      <c r="R193" t="s">
        <v>182</v>
      </c>
      <c r="S193" t="s">
        <v>92</v>
      </c>
      <c r="T193" t="s">
        <v>1336</v>
      </c>
      <c r="U193" t="s">
        <v>12</v>
      </c>
      <c r="V193" t="s">
        <v>12</v>
      </c>
      <c r="W193" t="s">
        <v>1338</v>
      </c>
      <c r="AA193" t="s">
        <v>92</v>
      </c>
      <c r="AB193" t="s">
        <v>92</v>
      </c>
      <c r="AC193" t="s">
        <v>12</v>
      </c>
      <c r="AD193" t="s">
        <v>92</v>
      </c>
      <c r="AE193" t="s">
        <v>119</v>
      </c>
      <c r="AF193" t="s">
        <v>1339</v>
      </c>
    </row>
    <row r="194" spans="1:32" x14ac:dyDescent="0.45">
      <c r="A194" t="s">
        <v>1340</v>
      </c>
      <c r="B194" t="s">
        <v>1341</v>
      </c>
      <c r="C194" t="s">
        <v>1342</v>
      </c>
      <c r="D194" t="s">
        <v>1341</v>
      </c>
      <c r="E194" t="s">
        <v>1330</v>
      </c>
      <c r="F194" t="s">
        <v>1331</v>
      </c>
      <c r="H194" t="s">
        <v>1332</v>
      </c>
      <c r="I194" t="s">
        <v>1333</v>
      </c>
      <c r="J194" t="s">
        <v>92</v>
      </c>
      <c r="K194" t="s">
        <v>12</v>
      </c>
      <c r="L194" t="s">
        <v>12</v>
      </c>
      <c r="M194" t="s">
        <v>182</v>
      </c>
      <c r="N194" t="s">
        <v>12</v>
      </c>
      <c r="O194" t="s">
        <v>12</v>
      </c>
      <c r="P194" t="s">
        <v>12</v>
      </c>
      <c r="Q194" t="s">
        <v>12</v>
      </c>
      <c r="R194" t="s">
        <v>182</v>
      </c>
      <c r="S194" t="s">
        <v>92</v>
      </c>
      <c r="T194" t="s">
        <v>1340</v>
      </c>
      <c r="U194" t="s">
        <v>12</v>
      </c>
      <c r="V194" t="s">
        <v>12</v>
      </c>
      <c r="W194" t="s">
        <v>1334</v>
      </c>
      <c r="AA194" t="s">
        <v>92</v>
      </c>
      <c r="AB194" t="s">
        <v>92</v>
      </c>
      <c r="AC194" t="s">
        <v>12</v>
      </c>
      <c r="AD194" t="s">
        <v>92</v>
      </c>
      <c r="AE194" t="s">
        <v>119</v>
      </c>
      <c r="AF194" t="s">
        <v>1343</v>
      </c>
    </row>
    <row r="195" spans="1:32" x14ac:dyDescent="0.45">
      <c r="A195" t="s">
        <v>1344</v>
      </c>
      <c r="B195" t="s">
        <v>1345</v>
      </c>
      <c r="C195" t="s">
        <v>1346</v>
      </c>
      <c r="D195" t="s">
        <v>1347</v>
      </c>
      <c r="E195" t="s">
        <v>1330</v>
      </c>
      <c r="F195" t="s">
        <v>1331</v>
      </c>
      <c r="H195" t="s">
        <v>1332</v>
      </c>
      <c r="I195" t="s">
        <v>1333</v>
      </c>
      <c r="J195" t="s">
        <v>92</v>
      </c>
      <c r="K195" t="s">
        <v>12</v>
      </c>
      <c r="L195" t="s">
        <v>12</v>
      </c>
      <c r="M195" t="s">
        <v>182</v>
      </c>
      <c r="N195" t="s">
        <v>12</v>
      </c>
      <c r="O195" t="s">
        <v>12</v>
      </c>
      <c r="P195" t="s">
        <v>12</v>
      </c>
      <c r="Q195" t="s">
        <v>12</v>
      </c>
      <c r="R195" t="s">
        <v>182</v>
      </c>
      <c r="S195" t="s">
        <v>92</v>
      </c>
      <c r="T195" t="s">
        <v>1344</v>
      </c>
      <c r="U195" t="s">
        <v>12</v>
      </c>
      <c r="V195" t="s">
        <v>12</v>
      </c>
      <c r="W195" t="s">
        <v>1334</v>
      </c>
      <c r="AA195" t="s">
        <v>92</v>
      </c>
      <c r="AB195" t="s">
        <v>92</v>
      </c>
      <c r="AC195" t="s">
        <v>12</v>
      </c>
      <c r="AD195" t="s">
        <v>92</v>
      </c>
      <c r="AE195" t="s">
        <v>169</v>
      </c>
      <c r="AF195" t="s">
        <v>1348</v>
      </c>
    </row>
    <row r="196" spans="1:32" x14ac:dyDescent="0.45">
      <c r="A196" t="s">
        <v>1349</v>
      </c>
      <c r="B196" t="s">
        <v>1350</v>
      </c>
      <c r="C196" t="s">
        <v>1351</v>
      </c>
      <c r="D196" t="s">
        <v>1350</v>
      </c>
      <c r="E196" t="s">
        <v>1352</v>
      </c>
      <c r="F196" t="s">
        <v>1353</v>
      </c>
      <c r="H196" t="s">
        <v>1354</v>
      </c>
      <c r="I196" t="s">
        <v>1355</v>
      </c>
      <c r="J196" t="s">
        <v>92</v>
      </c>
      <c r="K196" t="s">
        <v>12</v>
      </c>
      <c r="L196" t="s">
        <v>12</v>
      </c>
      <c r="M196" t="s">
        <v>182</v>
      </c>
      <c r="N196" t="s">
        <v>12</v>
      </c>
      <c r="O196" t="s">
        <v>12</v>
      </c>
      <c r="P196" t="s">
        <v>12</v>
      </c>
      <c r="Q196" t="s">
        <v>92</v>
      </c>
      <c r="R196" t="s">
        <v>182</v>
      </c>
      <c r="S196" t="s">
        <v>92</v>
      </c>
      <c r="T196" t="s">
        <v>1349</v>
      </c>
      <c r="U196" t="s">
        <v>12</v>
      </c>
      <c r="V196" t="s">
        <v>12</v>
      </c>
      <c r="W196" t="s">
        <v>1356</v>
      </c>
      <c r="X196" t="s">
        <v>1046</v>
      </c>
      <c r="Y196" t="s">
        <v>119</v>
      </c>
      <c r="AA196" t="s">
        <v>12</v>
      </c>
      <c r="AB196" t="s">
        <v>92</v>
      </c>
      <c r="AC196" t="s">
        <v>12</v>
      </c>
      <c r="AD196" t="s">
        <v>92</v>
      </c>
      <c r="AE196" t="s">
        <v>119</v>
      </c>
      <c r="AF196" t="s">
        <v>1357</v>
      </c>
    </row>
    <row r="197" spans="1:32" x14ac:dyDescent="0.45">
      <c r="A197" t="s">
        <v>1358</v>
      </c>
      <c r="B197" t="s">
        <v>1359</v>
      </c>
      <c r="C197" t="s">
        <v>1360</v>
      </c>
      <c r="D197" t="s">
        <v>1361</v>
      </c>
      <c r="E197" t="s">
        <v>1352</v>
      </c>
      <c r="F197" t="s">
        <v>1353</v>
      </c>
      <c r="H197" t="s">
        <v>1354</v>
      </c>
      <c r="I197" t="s">
        <v>1355</v>
      </c>
      <c r="J197" t="s">
        <v>92</v>
      </c>
      <c r="K197" t="s">
        <v>12</v>
      </c>
      <c r="L197" t="s">
        <v>12</v>
      </c>
      <c r="M197" t="s">
        <v>182</v>
      </c>
      <c r="N197" t="s">
        <v>12</v>
      </c>
      <c r="O197" t="s">
        <v>12</v>
      </c>
      <c r="P197" t="s">
        <v>12</v>
      </c>
      <c r="Q197" t="s">
        <v>92</v>
      </c>
      <c r="R197" t="s">
        <v>182</v>
      </c>
      <c r="S197" t="s">
        <v>92</v>
      </c>
      <c r="T197" t="s">
        <v>1358</v>
      </c>
      <c r="U197" t="s">
        <v>12</v>
      </c>
      <c r="V197" t="s">
        <v>12</v>
      </c>
      <c r="W197" t="s">
        <v>1362</v>
      </c>
      <c r="AA197" t="s">
        <v>92</v>
      </c>
      <c r="AB197" t="s">
        <v>92</v>
      </c>
      <c r="AC197" t="s">
        <v>12</v>
      </c>
      <c r="AD197" t="s">
        <v>92</v>
      </c>
      <c r="AE197" t="s">
        <v>119</v>
      </c>
      <c r="AF197" t="s">
        <v>1363</v>
      </c>
    </row>
    <row r="198" spans="1:32" x14ac:dyDescent="0.45">
      <c r="A198" t="s">
        <v>1364</v>
      </c>
      <c r="B198" t="s">
        <v>1365</v>
      </c>
      <c r="C198" t="s">
        <v>1366</v>
      </c>
      <c r="D198" t="s">
        <v>1365</v>
      </c>
      <c r="E198" t="s">
        <v>1367</v>
      </c>
      <c r="F198" t="s">
        <v>1368</v>
      </c>
      <c r="H198" t="s">
        <v>1369</v>
      </c>
      <c r="I198" t="s">
        <v>1369</v>
      </c>
      <c r="J198" t="s">
        <v>92</v>
      </c>
      <c r="K198" t="s">
        <v>12</v>
      </c>
      <c r="L198" t="s">
        <v>12</v>
      </c>
      <c r="M198" t="s">
        <v>182</v>
      </c>
      <c r="N198" t="s">
        <v>12</v>
      </c>
      <c r="O198" t="s">
        <v>12</v>
      </c>
      <c r="P198" t="s">
        <v>12</v>
      </c>
      <c r="Q198" t="s">
        <v>92</v>
      </c>
      <c r="R198" t="s">
        <v>182</v>
      </c>
      <c r="S198" t="s">
        <v>92</v>
      </c>
      <c r="T198" t="s">
        <v>1364</v>
      </c>
      <c r="U198" t="s">
        <v>12</v>
      </c>
      <c r="V198" t="s">
        <v>12</v>
      </c>
      <c r="W198" t="s">
        <v>1370</v>
      </c>
      <c r="AA198" t="s">
        <v>92</v>
      </c>
      <c r="AB198" t="s">
        <v>92</v>
      </c>
      <c r="AC198" t="s">
        <v>12</v>
      </c>
      <c r="AD198" t="s">
        <v>92</v>
      </c>
      <c r="AE198" t="s">
        <v>119</v>
      </c>
      <c r="AF198" t="s">
        <v>1371</v>
      </c>
    </row>
    <row r="199" spans="1:32" x14ac:dyDescent="0.45">
      <c r="A199" t="s">
        <v>1372</v>
      </c>
      <c r="B199" t="s">
        <v>1373</v>
      </c>
      <c r="C199" t="s">
        <v>1374</v>
      </c>
      <c r="D199" t="s">
        <v>1373</v>
      </c>
      <c r="E199" t="s">
        <v>1375</v>
      </c>
      <c r="F199" t="s">
        <v>1376</v>
      </c>
      <c r="H199" t="s">
        <v>1377</v>
      </c>
      <c r="J199" t="s">
        <v>92</v>
      </c>
      <c r="K199" t="s">
        <v>12</v>
      </c>
      <c r="L199" t="s">
        <v>12</v>
      </c>
      <c r="M199" t="s">
        <v>182</v>
      </c>
      <c r="N199" t="s">
        <v>12</v>
      </c>
      <c r="O199" t="s">
        <v>12</v>
      </c>
      <c r="P199" t="s">
        <v>12</v>
      </c>
      <c r="Q199" t="s">
        <v>92</v>
      </c>
      <c r="R199" t="s">
        <v>182</v>
      </c>
      <c r="S199" t="s">
        <v>92</v>
      </c>
      <c r="T199" t="s">
        <v>1372</v>
      </c>
      <c r="U199" t="s">
        <v>12</v>
      </c>
      <c r="V199" t="s">
        <v>12</v>
      </c>
      <c r="W199" t="s">
        <v>1378</v>
      </c>
      <c r="AA199" t="s">
        <v>92</v>
      </c>
      <c r="AB199" t="s">
        <v>92</v>
      </c>
      <c r="AC199" t="s">
        <v>12</v>
      </c>
      <c r="AD199" t="s">
        <v>92</v>
      </c>
      <c r="AE199" t="s">
        <v>114</v>
      </c>
      <c r="AF199" t="s">
        <v>1379</v>
      </c>
    </row>
    <row r="200" spans="1:32" x14ac:dyDescent="0.45">
      <c r="A200" t="s">
        <v>1380</v>
      </c>
      <c r="B200" t="s">
        <v>1381</v>
      </c>
      <c r="C200" t="s">
        <v>1382</v>
      </c>
      <c r="D200" t="s">
        <v>1383</v>
      </c>
      <c r="E200" t="s">
        <v>1384</v>
      </c>
      <c r="F200" t="s">
        <v>1385</v>
      </c>
      <c r="H200" t="s">
        <v>1386</v>
      </c>
      <c r="I200" t="s">
        <v>1386</v>
      </c>
      <c r="J200" t="s">
        <v>92</v>
      </c>
      <c r="K200" t="s">
        <v>12</v>
      </c>
      <c r="L200" t="s">
        <v>12</v>
      </c>
      <c r="M200" t="s">
        <v>182</v>
      </c>
      <c r="N200" t="s">
        <v>12</v>
      </c>
      <c r="O200" t="s">
        <v>12</v>
      </c>
      <c r="P200" t="s">
        <v>12</v>
      </c>
      <c r="Q200" t="s">
        <v>92</v>
      </c>
      <c r="R200" t="s">
        <v>182</v>
      </c>
      <c r="S200" t="s">
        <v>92</v>
      </c>
      <c r="T200" t="s">
        <v>1380</v>
      </c>
      <c r="U200" t="s">
        <v>12</v>
      </c>
      <c r="V200" t="s">
        <v>12</v>
      </c>
      <c r="W200" t="s">
        <v>1387</v>
      </c>
      <c r="AA200" t="s">
        <v>12</v>
      </c>
      <c r="AB200" t="s">
        <v>92</v>
      </c>
      <c r="AC200" t="s">
        <v>12</v>
      </c>
      <c r="AD200" t="s">
        <v>92</v>
      </c>
      <c r="AE200" t="s">
        <v>119</v>
      </c>
      <c r="AF200" t="s">
        <v>1388</v>
      </c>
    </row>
    <row r="201" spans="1:32" x14ac:dyDescent="0.45">
      <c r="A201" t="s">
        <v>1389</v>
      </c>
      <c r="B201" t="s">
        <v>1390</v>
      </c>
      <c r="C201" t="s">
        <v>1382</v>
      </c>
      <c r="D201" t="s">
        <v>1390</v>
      </c>
      <c r="H201" t="s">
        <v>1386</v>
      </c>
      <c r="I201" t="s">
        <v>1386</v>
      </c>
      <c r="J201" t="s">
        <v>92</v>
      </c>
      <c r="K201" t="s">
        <v>12</v>
      </c>
      <c r="L201" t="s">
        <v>12</v>
      </c>
      <c r="M201" t="s">
        <v>182</v>
      </c>
      <c r="N201" t="s">
        <v>12</v>
      </c>
      <c r="O201" t="s">
        <v>12</v>
      </c>
      <c r="P201" t="s">
        <v>12</v>
      </c>
      <c r="Q201" t="s">
        <v>92</v>
      </c>
      <c r="R201" t="s">
        <v>182</v>
      </c>
      <c r="S201" t="s">
        <v>92</v>
      </c>
      <c r="T201" t="s">
        <v>1389</v>
      </c>
      <c r="U201" t="s">
        <v>12</v>
      </c>
      <c r="V201" t="s">
        <v>12</v>
      </c>
      <c r="W201" t="s">
        <v>1391</v>
      </c>
      <c r="AA201" t="s">
        <v>12</v>
      </c>
      <c r="AB201" t="s">
        <v>92</v>
      </c>
      <c r="AC201" t="s">
        <v>12</v>
      </c>
      <c r="AD201" t="s">
        <v>92</v>
      </c>
      <c r="AE201" t="s">
        <v>119</v>
      </c>
      <c r="AF201" t="s">
        <v>1392</v>
      </c>
    </row>
    <row r="202" spans="1:32" x14ac:dyDescent="0.45">
      <c r="A202" t="s">
        <v>1393</v>
      </c>
      <c r="B202" t="s">
        <v>1394</v>
      </c>
      <c r="C202" t="s">
        <v>1395</v>
      </c>
      <c r="D202" t="s">
        <v>1394</v>
      </c>
      <c r="E202" t="s">
        <v>1396</v>
      </c>
      <c r="F202" t="s">
        <v>1397</v>
      </c>
      <c r="H202" t="s">
        <v>1398</v>
      </c>
      <c r="J202" t="s">
        <v>92</v>
      </c>
      <c r="K202" t="s">
        <v>12</v>
      </c>
      <c r="L202" t="s">
        <v>12</v>
      </c>
      <c r="M202" t="s">
        <v>182</v>
      </c>
      <c r="N202" t="s">
        <v>12</v>
      </c>
      <c r="O202" t="s">
        <v>12</v>
      </c>
      <c r="P202" t="s">
        <v>12</v>
      </c>
      <c r="Q202" t="s">
        <v>92</v>
      </c>
      <c r="R202" t="s">
        <v>182</v>
      </c>
      <c r="S202" t="s">
        <v>92</v>
      </c>
      <c r="T202" t="s">
        <v>1393</v>
      </c>
      <c r="U202" t="s">
        <v>12</v>
      </c>
      <c r="V202" t="s">
        <v>12</v>
      </c>
      <c r="W202" t="s">
        <v>115</v>
      </c>
      <c r="AA202" t="s">
        <v>92</v>
      </c>
      <c r="AB202" t="s">
        <v>92</v>
      </c>
      <c r="AC202" t="s">
        <v>12</v>
      </c>
      <c r="AD202" t="s">
        <v>92</v>
      </c>
      <c r="AE202" t="s">
        <v>119</v>
      </c>
      <c r="AF202" t="s">
        <v>1399</v>
      </c>
    </row>
    <row r="203" spans="1:32" x14ac:dyDescent="0.45">
      <c r="A203" t="s">
        <v>1400</v>
      </c>
      <c r="B203" t="s">
        <v>1401</v>
      </c>
      <c r="C203" t="s">
        <v>1402</v>
      </c>
      <c r="D203" t="s">
        <v>1401</v>
      </c>
      <c r="E203" t="s">
        <v>1403</v>
      </c>
      <c r="F203" t="s">
        <v>1404</v>
      </c>
      <c r="H203" t="s">
        <v>1405</v>
      </c>
      <c r="I203" t="s">
        <v>1406</v>
      </c>
      <c r="J203" t="s">
        <v>92</v>
      </c>
      <c r="K203" t="s">
        <v>12</v>
      </c>
      <c r="L203" t="s">
        <v>12</v>
      </c>
      <c r="M203" t="s">
        <v>182</v>
      </c>
      <c r="N203" t="s">
        <v>12</v>
      </c>
      <c r="O203" t="s">
        <v>12</v>
      </c>
      <c r="P203" t="s">
        <v>12</v>
      </c>
      <c r="Q203" t="s">
        <v>92</v>
      </c>
      <c r="R203" t="s">
        <v>182</v>
      </c>
      <c r="S203" t="s">
        <v>92</v>
      </c>
      <c r="T203" t="s">
        <v>1400</v>
      </c>
      <c r="U203" t="s">
        <v>12</v>
      </c>
      <c r="V203" t="s">
        <v>12</v>
      </c>
      <c r="W203" t="s">
        <v>1407</v>
      </c>
      <c r="AA203" t="s">
        <v>12</v>
      </c>
      <c r="AB203" t="s">
        <v>92</v>
      </c>
      <c r="AC203" t="s">
        <v>12</v>
      </c>
      <c r="AD203" t="s">
        <v>92</v>
      </c>
      <c r="AE203" t="s">
        <v>130</v>
      </c>
      <c r="AF203" t="s">
        <v>1408</v>
      </c>
    </row>
    <row r="204" spans="1:32" x14ac:dyDescent="0.45">
      <c r="A204" t="s">
        <v>1409</v>
      </c>
      <c r="B204" t="s">
        <v>1410</v>
      </c>
      <c r="C204" t="s">
        <v>1402</v>
      </c>
      <c r="D204" t="s">
        <v>1410</v>
      </c>
      <c r="H204" t="s">
        <v>1405</v>
      </c>
      <c r="I204" t="s">
        <v>1406</v>
      </c>
      <c r="J204" t="s">
        <v>92</v>
      </c>
      <c r="K204" t="s">
        <v>12</v>
      </c>
      <c r="L204" t="s">
        <v>12</v>
      </c>
      <c r="M204" t="s">
        <v>182</v>
      </c>
      <c r="N204" t="s">
        <v>12</v>
      </c>
      <c r="O204" t="s">
        <v>12</v>
      </c>
      <c r="P204" t="s">
        <v>12</v>
      </c>
      <c r="Q204" t="s">
        <v>92</v>
      </c>
      <c r="R204" t="s">
        <v>182</v>
      </c>
      <c r="S204" t="s">
        <v>92</v>
      </c>
      <c r="T204" t="s">
        <v>1409</v>
      </c>
      <c r="U204" t="s">
        <v>12</v>
      </c>
      <c r="V204" t="s">
        <v>12</v>
      </c>
      <c r="W204" t="s">
        <v>1411</v>
      </c>
      <c r="AA204" t="s">
        <v>92</v>
      </c>
      <c r="AB204" t="s">
        <v>92</v>
      </c>
      <c r="AC204" t="s">
        <v>12</v>
      </c>
      <c r="AD204" t="s">
        <v>92</v>
      </c>
      <c r="AE204" t="s">
        <v>119</v>
      </c>
      <c r="AF204" t="s">
        <v>1412</v>
      </c>
    </row>
    <row r="205" spans="1:32" x14ac:dyDescent="0.45">
      <c r="A205" t="s">
        <v>1413</v>
      </c>
      <c r="B205" t="s">
        <v>1414</v>
      </c>
      <c r="C205" t="s">
        <v>1415</v>
      </c>
      <c r="D205" t="s">
        <v>1414</v>
      </c>
      <c r="E205" t="s">
        <v>1416</v>
      </c>
      <c r="F205" t="s">
        <v>1417</v>
      </c>
      <c r="H205" t="s">
        <v>1418</v>
      </c>
      <c r="I205" t="s">
        <v>1419</v>
      </c>
      <c r="J205" t="s">
        <v>92</v>
      </c>
      <c r="K205" t="s">
        <v>12</v>
      </c>
      <c r="L205" t="s">
        <v>12</v>
      </c>
      <c r="M205" t="s">
        <v>182</v>
      </c>
      <c r="N205" t="s">
        <v>12</v>
      </c>
      <c r="O205" t="s">
        <v>12</v>
      </c>
      <c r="P205" t="s">
        <v>12</v>
      </c>
      <c r="Q205" t="s">
        <v>92</v>
      </c>
      <c r="R205" t="s">
        <v>182</v>
      </c>
      <c r="S205" t="s">
        <v>92</v>
      </c>
      <c r="T205" t="s">
        <v>1413</v>
      </c>
      <c r="U205" t="s">
        <v>12</v>
      </c>
      <c r="V205" t="s">
        <v>12</v>
      </c>
      <c r="W205" t="s">
        <v>1420</v>
      </c>
      <c r="AA205" t="s">
        <v>92</v>
      </c>
      <c r="AB205" t="s">
        <v>92</v>
      </c>
      <c r="AC205" t="s">
        <v>12</v>
      </c>
      <c r="AD205" t="s">
        <v>92</v>
      </c>
      <c r="AE205" t="s">
        <v>166</v>
      </c>
      <c r="AF205" t="s">
        <v>1421</v>
      </c>
    </row>
    <row r="206" spans="1:32" x14ac:dyDescent="0.45">
      <c r="A206" t="s">
        <v>1422</v>
      </c>
      <c r="B206" t="s">
        <v>1423</v>
      </c>
      <c r="C206" t="s">
        <v>1415</v>
      </c>
      <c r="D206" t="s">
        <v>1423</v>
      </c>
      <c r="H206" t="s">
        <v>1418</v>
      </c>
      <c r="I206" t="s">
        <v>1419</v>
      </c>
      <c r="J206" t="s">
        <v>92</v>
      </c>
      <c r="K206" t="s">
        <v>12</v>
      </c>
      <c r="L206" t="s">
        <v>12</v>
      </c>
      <c r="M206" t="s">
        <v>182</v>
      </c>
      <c r="N206" t="s">
        <v>12</v>
      </c>
      <c r="O206" t="s">
        <v>12</v>
      </c>
      <c r="P206" t="s">
        <v>12</v>
      </c>
      <c r="Q206" t="s">
        <v>92</v>
      </c>
      <c r="R206" t="s">
        <v>182</v>
      </c>
      <c r="S206" t="s">
        <v>92</v>
      </c>
      <c r="T206" t="s">
        <v>1422</v>
      </c>
      <c r="U206" t="s">
        <v>12</v>
      </c>
      <c r="V206" t="s">
        <v>12</v>
      </c>
      <c r="W206" t="s">
        <v>1424</v>
      </c>
      <c r="AA206" t="s">
        <v>92</v>
      </c>
      <c r="AB206" t="s">
        <v>92</v>
      </c>
      <c r="AC206" t="s">
        <v>12</v>
      </c>
      <c r="AD206" t="s">
        <v>92</v>
      </c>
      <c r="AE206" t="s">
        <v>119</v>
      </c>
      <c r="AF206" t="s">
        <v>1425</v>
      </c>
    </row>
    <row r="207" spans="1:32" x14ac:dyDescent="0.45">
      <c r="A207" t="s">
        <v>1426</v>
      </c>
      <c r="B207" t="s">
        <v>1427</v>
      </c>
      <c r="C207" t="s">
        <v>1428</v>
      </c>
      <c r="D207" t="s">
        <v>1429</v>
      </c>
      <c r="E207" t="s">
        <v>1430</v>
      </c>
      <c r="F207" t="s">
        <v>1431</v>
      </c>
      <c r="H207" t="s">
        <v>1432</v>
      </c>
      <c r="I207" t="s">
        <v>1433</v>
      </c>
      <c r="J207" t="s">
        <v>92</v>
      </c>
      <c r="K207" t="s">
        <v>12</v>
      </c>
      <c r="L207" t="s">
        <v>12</v>
      </c>
      <c r="M207" t="s">
        <v>182</v>
      </c>
      <c r="N207" t="s">
        <v>12</v>
      </c>
      <c r="O207" t="s">
        <v>12</v>
      </c>
      <c r="P207" t="s">
        <v>12</v>
      </c>
      <c r="Q207" t="s">
        <v>92</v>
      </c>
      <c r="R207" t="s">
        <v>182</v>
      </c>
      <c r="S207" t="s">
        <v>92</v>
      </c>
      <c r="T207" t="s">
        <v>1426</v>
      </c>
      <c r="U207" t="s">
        <v>12</v>
      </c>
      <c r="V207" t="s">
        <v>12</v>
      </c>
      <c r="W207" t="s">
        <v>1434</v>
      </c>
      <c r="AA207" t="s">
        <v>92</v>
      </c>
      <c r="AB207" t="s">
        <v>92</v>
      </c>
      <c r="AC207" t="s">
        <v>12</v>
      </c>
      <c r="AD207" t="s">
        <v>92</v>
      </c>
      <c r="AE207" t="s">
        <v>119</v>
      </c>
      <c r="AF207" t="s">
        <v>1435</v>
      </c>
    </row>
    <row r="208" spans="1:32" x14ac:dyDescent="0.45">
      <c r="A208" t="s">
        <v>1436</v>
      </c>
      <c r="B208" t="s">
        <v>1437</v>
      </c>
      <c r="C208" t="s">
        <v>1428</v>
      </c>
      <c r="D208" t="s">
        <v>1437</v>
      </c>
      <c r="H208" t="s">
        <v>1432</v>
      </c>
      <c r="I208" t="s">
        <v>1433</v>
      </c>
      <c r="J208" t="s">
        <v>92</v>
      </c>
      <c r="K208" t="s">
        <v>12</v>
      </c>
      <c r="L208" t="s">
        <v>12</v>
      </c>
      <c r="M208" t="s">
        <v>182</v>
      </c>
      <c r="N208" t="s">
        <v>12</v>
      </c>
      <c r="O208" t="s">
        <v>12</v>
      </c>
      <c r="P208" t="s">
        <v>12</v>
      </c>
      <c r="Q208" t="s">
        <v>92</v>
      </c>
      <c r="R208" t="s">
        <v>182</v>
      </c>
      <c r="S208" t="s">
        <v>92</v>
      </c>
      <c r="T208" t="s">
        <v>1436</v>
      </c>
      <c r="U208" t="s">
        <v>12</v>
      </c>
      <c r="V208" t="s">
        <v>12</v>
      </c>
      <c r="W208" t="s">
        <v>1434</v>
      </c>
      <c r="AA208" t="s">
        <v>92</v>
      </c>
      <c r="AB208" t="s">
        <v>92</v>
      </c>
      <c r="AC208" t="s">
        <v>12</v>
      </c>
      <c r="AD208" t="s">
        <v>92</v>
      </c>
      <c r="AE208" t="s">
        <v>119</v>
      </c>
      <c r="AF208" t="s">
        <v>1438</v>
      </c>
    </row>
    <row r="209" spans="1:32" x14ac:dyDescent="0.45">
      <c r="A209" t="s">
        <v>1439</v>
      </c>
      <c r="B209" t="s">
        <v>1440</v>
      </c>
      <c r="C209" t="s">
        <v>1441</v>
      </c>
      <c r="D209" t="s">
        <v>1440</v>
      </c>
      <c r="E209" t="s">
        <v>590</v>
      </c>
      <c r="F209" t="s">
        <v>1442</v>
      </c>
      <c r="H209" t="s">
        <v>1443</v>
      </c>
      <c r="I209" t="s">
        <v>1443</v>
      </c>
      <c r="J209" t="s">
        <v>92</v>
      </c>
      <c r="K209" t="s">
        <v>12</v>
      </c>
      <c r="L209" t="s">
        <v>12</v>
      </c>
      <c r="M209" t="s">
        <v>182</v>
      </c>
      <c r="N209" t="s">
        <v>12</v>
      </c>
      <c r="O209" t="s">
        <v>12</v>
      </c>
      <c r="P209" t="s">
        <v>12</v>
      </c>
      <c r="Q209" t="s">
        <v>92</v>
      </c>
      <c r="R209" t="s">
        <v>182</v>
      </c>
      <c r="S209" t="s">
        <v>92</v>
      </c>
      <c r="T209" t="s">
        <v>1439</v>
      </c>
      <c r="U209" t="s">
        <v>12</v>
      </c>
      <c r="V209" t="s">
        <v>12</v>
      </c>
      <c r="W209" t="s">
        <v>1444</v>
      </c>
      <c r="AA209" t="s">
        <v>12</v>
      </c>
      <c r="AB209" t="s">
        <v>92</v>
      </c>
      <c r="AC209" t="s">
        <v>12</v>
      </c>
      <c r="AD209" t="s">
        <v>92</v>
      </c>
      <c r="AE209" t="s">
        <v>130</v>
      </c>
      <c r="AF209" t="s">
        <v>1445</v>
      </c>
    </row>
    <row r="210" spans="1:32" x14ac:dyDescent="0.45">
      <c r="A210" t="s">
        <v>1446</v>
      </c>
      <c r="B210" t="s">
        <v>1447</v>
      </c>
      <c r="C210" t="s">
        <v>1448</v>
      </c>
      <c r="D210" t="s">
        <v>1440</v>
      </c>
      <c r="E210" t="s">
        <v>590</v>
      </c>
      <c r="F210" t="s">
        <v>1442</v>
      </c>
      <c r="H210" t="s">
        <v>1443</v>
      </c>
      <c r="I210" t="s">
        <v>1443</v>
      </c>
      <c r="J210" t="s">
        <v>92</v>
      </c>
      <c r="K210" t="s">
        <v>12</v>
      </c>
      <c r="L210" t="s">
        <v>12</v>
      </c>
      <c r="M210" t="s">
        <v>182</v>
      </c>
      <c r="N210" t="s">
        <v>12</v>
      </c>
      <c r="O210" t="s">
        <v>12</v>
      </c>
      <c r="P210" t="s">
        <v>12</v>
      </c>
      <c r="Q210" t="s">
        <v>92</v>
      </c>
      <c r="R210" t="s">
        <v>182</v>
      </c>
      <c r="S210" t="s">
        <v>92</v>
      </c>
      <c r="T210" t="s">
        <v>1446</v>
      </c>
      <c r="U210" t="s">
        <v>12</v>
      </c>
      <c r="V210" t="s">
        <v>12</v>
      </c>
      <c r="W210" t="s">
        <v>1449</v>
      </c>
      <c r="AA210" t="s">
        <v>92</v>
      </c>
      <c r="AB210" t="s">
        <v>92</v>
      </c>
      <c r="AC210" t="s">
        <v>12</v>
      </c>
      <c r="AD210" t="s">
        <v>92</v>
      </c>
      <c r="AE210" t="s">
        <v>169</v>
      </c>
      <c r="AF210" t="s">
        <v>1450</v>
      </c>
    </row>
    <row r="211" spans="1:32" x14ac:dyDescent="0.45">
      <c r="A211" t="s">
        <v>1451</v>
      </c>
      <c r="B211" t="s">
        <v>1452</v>
      </c>
      <c r="C211" t="s">
        <v>1453</v>
      </c>
      <c r="D211" t="s">
        <v>1454</v>
      </c>
      <c r="E211" t="s">
        <v>590</v>
      </c>
      <c r="F211" t="s">
        <v>1455</v>
      </c>
      <c r="H211" t="s">
        <v>1456</v>
      </c>
      <c r="I211" t="s">
        <v>1456</v>
      </c>
      <c r="J211" t="s">
        <v>92</v>
      </c>
      <c r="K211" t="s">
        <v>12</v>
      </c>
      <c r="L211" t="s">
        <v>12</v>
      </c>
      <c r="M211" t="s">
        <v>182</v>
      </c>
      <c r="N211" t="s">
        <v>12</v>
      </c>
      <c r="O211" t="s">
        <v>12</v>
      </c>
      <c r="P211" t="s">
        <v>12</v>
      </c>
      <c r="Q211" t="s">
        <v>92</v>
      </c>
      <c r="R211" t="s">
        <v>182</v>
      </c>
      <c r="S211" t="s">
        <v>92</v>
      </c>
      <c r="T211" t="s">
        <v>1451</v>
      </c>
      <c r="U211" t="s">
        <v>12</v>
      </c>
      <c r="V211" t="s">
        <v>12</v>
      </c>
      <c r="W211" t="s">
        <v>1449</v>
      </c>
      <c r="AA211" t="s">
        <v>12</v>
      </c>
      <c r="AB211" t="s">
        <v>92</v>
      </c>
      <c r="AC211" t="s">
        <v>12</v>
      </c>
      <c r="AD211" t="s">
        <v>92</v>
      </c>
      <c r="AE211" t="s">
        <v>119</v>
      </c>
      <c r="AF211" t="s">
        <v>1457</v>
      </c>
    </row>
    <row r="212" spans="1:32" x14ac:dyDescent="0.45">
      <c r="A212" t="s">
        <v>1458</v>
      </c>
      <c r="B212" t="s">
        <v>1459</v>
      </c>
      <c r="C212" t="s">
        <v>1460</v>
      </c>
      <c r="D212" t="s">
        <v>1459</v>
      </c>
      <c r="E212" t="s">
        <v>590</v>
      </c>
      <c r="F212" t="s">
        <v>1442</v>
      </c>
      <c r="H212" t="s">
        <v>1443</v>
      </c>
      <c r="I212" t="s">
        <v>1443</v>
      </c>
      <c r="J212" t="s">
        <v>92</v>
      </c>
      <c r="K212" t="s">
        <v>12</v>
      </c>
      <c r="L212" t="s">
        <v>12</v>
      </c>
      <c r="M212" t="s">
        <v>182</v>
      </c>
      <c r="N212" t="s">
        <v>12</v>
      </c>
      <c r="O212" t="s">
        <v>12</v>
      </c>
      <c r="P212" t="s">
        <v>12</v>
      </c>
      <c r="Q212" t="s">
        <v>92</v>
      </c>
      <c r="R212" t="s">
        <v>182</v>
      </c>
      <c r="S212" t="s">
        <v>92</v>
      </c>
      <c r="T212" t="s">
        <v>1458</v>
      </c>
      <c r="U212" t="s">
        <v>12</v>
      </c>
      <c r="V212" t="s">
        <v>12</v>
      </c>
      <c r="W212" t="s">
        <v>1444</v>
      </c>
      <c r="AA212" t="s">
        <v>12</v>
      </c>
      <c r="AB212" t="s">
        <v>92</v>
      </c>
      <c r="AC212" t="s">
        <v>12</v>
      </c>
      <c r="AD212" t="s">
        <v>92</v>
      </c>
      <c r="AE212" t="s">
        <v>119</v>
      </c>
      <c r="AF212" t="s">
        <v>1461</v>
      </c>
    </row>
    <row r="213" spans="1:32" x14ac:dyDescent="0.45">
      <c r="A213" t="s">
        <v>1462</v>
      </c>
      <c r="B213" t="s">
        <v>1463</v>
      </c>
      <c r="C213" t="s">
        <v>1464</v>
      </c>
      <c r="D213" t="s">
        <v>1440</v>
      </c>
      <c r="E213" t="s">
        <v>590</v>
      </c>
      <c r="F213" t="s">
        <v>1442</v>
      </c>
      <c r="H213" t="s">
        <v>1443</v>
      </c>
      <c r="I213" t="s">
        <v>1443</v>
      </c>
      <c r="J213" t="s">
        <v>92</v>
      </c>
      <c r="K213" t="s">
        <v>12</v>
      </c>
      <c r="L213" t="s">
        <v>12</v>
      </c>
      <c r="M213" t="s">
        <v>182</v>
      </c>
      <c r="N213" t="s">
        <v>12</v>
      </c>
      <c r="O213" t="s">
        <v>12</v>
      </c>
      <c r="P213" t="s">
        <v>12</v>
      </c>
      <c r="Q213" t="s">
        <v>92</v>
      </c>
      <c r="R213" t="s">
        <v>182</v>
      </c>
      <c r="S213" t="s">
        <v>92</v>
      </c>
      <c r="T213" t="s">
        <v>1462</v>
      </c>
      <c r="U213" t="s">
        <v>12</v>
      </c>
      <c r="V213" t="s">
        <v>12</v>
      </c>
      <c r="W213" t="s">
        <v>1444</v>
      </c>
      <c r="AA213" t="s">
        <v>12</v>
      </c>
      <c r="AB213" t="s">
        <v>92</v>
      </c>
      <c r="AC213" t="s">
        <v>12</v>
      </c>
      <c r="AD213" t="s">
        <v>92</v>
      </c>
      <c r="AE213" t="s">
        <v>119</v>
      </c>
      <c r="AF213" t="s">
        <v>1465</v>
      </c>
    </row>
    <row r="214" spans="1:32" x14ac:dyDescent="0.45">
      <c r="A214" t="s">
        <v>1466</v>
      </c>
      <c r="B214" t="s">
        <v>1467</v>
      </c>
      <c r="C214" t="s">
        <v>1468</v>
      </c>
      <c r="D214" t="s">
        <v>1469</v>
      </c>
      <c r="E214" t="s">
        <v>590</v>
      </c>
      <c r="F214" t="s">
        <v>1455</v>
      </c>
      <c r="H214" t="s">
        <v>1456</v>
      </c>
      <c r="I214" t="s">
        <v>1456</v>
      </c>
      <c r="J214" t="s">
        <v>92</v>
      </c>
      <c r="K214" t="s">
        <v>12</v>
      </c>
      <c r="L214" t="s">
        <v>12</v>
      </c>
      <c r="M214" t="s">
        <v>182</v>
      </c>
      <c r="N214" t="s">
        <v>12</v>
      </c>
      <c r="O214" t="s">
        <v>12</v>
      </c>
      <c r="P214" t="s">
        <v>12</v>
      </c>
      <c r="Q214" t="s">
        <v>92</v>
      </c>
      <c r="R214" t="s">
        <v>182</v>
      </c>
      <c r="S214" t="s">
        <v>92</v>
      </c>
      <c r="T214" t="s">
        <v>1466</v>
      </c>
      <c r="U214" t="s">
        <v>12</v>
      </c>
      <c r="V214" t="s">
        <v>12</v>
      </c>
      <c r="W214" t="s">
        <v>1449</v>
      </c>
      <c r="AA214" t="s">
        <v>12</v>
      </c>
      <c r="AB214" t="s">
        <v>92</v>
      </c>
      <c r="AC214" t="s">
        <v>12</v>
      </c>
      <c r="AD214" t="s">
        <v>92</v>
      </c>
      <c r="AE214" t="s">
        <v>119</v>
      </c>
      <c r="AF214" t="s">
        <v>1470</v>
      </c>
    </row>
    <row r="215" spans="1:32" x14ac:dyDescent="0.45">
      <c r="A215" t="s">
        <v>1471</v>
      </c>
      <c r="B215" t="s">
        <v>1472</v>
      </c>
      <c r="C215" t="s">
        <v>1473</v>
      </c>
      <c r="D215" t="s">
        <v>1472</v>
      </c>
      <c r="E215" t="s">
        <v>590</v>
      </c>
      <c r="F215" t="s">
        <v>1455</v>
      </c>
      <c r="H215" t="s">
        <v>1456</v>
      </c>
      <c r="I215" t="s">
        <v>1456</v>
      </c>
      <c r="J215" t="s">
        <v>92</v>
      </c>
      <c r="K215" t="s">
        <v>12</v>
      </c>
      <c r="L215" t="s">
        <v>12</v>
      </c>
      <c r="M215" t="s">
        <v>182</v>
      </c>
      <c r="N215" t="s">
        <v>12</v>
      </c>
      <c r="O215" t="s">
        <v>12</v>
      </c>
      <c r="P215" t="s">
        <v>12</v>
      </c>
      <c r="Q215" t="s">
        <v>92</v>
      </c>
      <c r="R215" t="s">
        <v>182</v>
      </c>
      <c r="S215" t="s">
        <v>92</v>
      </c>
      <c r="T215" t="s">
        <v>1471</v>
      </c>
      <c r="U215" t="s">
        <v>12</v>
      </c>
      <c r="V215" t="s">
        <v>12</v>
      </c>
      <c r="W215" t="s">
        <v>1449</v>
      </c>
      <c r="AA215" t="s">
        <v>12</v>
      </c>
      <c r="AB215" t="s">
        <v>12</v>
      </c>
      <c r="AC215" t="s">
        <v>12</v>
      </c>
      <c r="AD215" t="s">
        <v>92</v>
      </c>
      <c r="AE215" t="s">
        <v>166</v>
      </c>
      <c r="AF215" t="s">
        <v>1474</v>
      </c>
    </row>
    <row r="216" spans="1:32" x14ac:dyDescent="0.45">
      <c r="A216" t="s">
        <v>1475</v>
      </c>
      <c r="B216" t="s">
        <v>1476</v>
      </c>
      <c r="C216" t="s">
        <v>1477</v>
      </c>
      <c r="D216" t="s">
        <v>1476</v>
      </c>
      <c r="E216" t="s">
        <v>470</v>
      </c>
      <c r="F216" t="s">
        <v>1478</v>
      </c>
      <c r="H216" t="s">
        <v>1479</v>
      </c>
      <c r="I216" t="s">
        <v>1480</v>
      </c>
      <c r="J216" t="s">
        <v>92</v>
      </c>
      <c r="K216" t="s">
        <v>12</v>
      </c>
      <c r="L216" t="s">
        <v>12</v>
      </c>
      <c r="M216" t="s">
        <v>182</v>
      </c>
      <c r="N216" t="s">
        <v>12</v>
      </c>
      <c r="O216" t="s">
        <v>12</v>
      </c>
      <c r="P216" t="s">
        <v>12</v>
      </c>
      <c r="Q216" t="s">
        <v>92</v>
      </c>
      <c r="R216" t="s">
        <v>182</v>
      </c>
      <c r="S216" t="s">
        <v>92</v>
      </c>
      <c r="T216" t="s">
        <v>1475</v>
      </c>
      <c r="U216" t="s">
        <v>12</v>
      </c>
      <c r="V216" t="s">
        <v>12</v>
      </c>
      <c r="W216" t="s">
        <v>910</v>
      </c>
      <c r="AA216" t="s">
        <v>92</v>
      </c>
      <c r="AB216" t="s">
        <v>92</v>
      </c>
      <c r="AC216" t="s">
        <v>12</v>
      </c>
      <c r="AD216" t="s">
        <v>92</v>
      </c>
      <c r="AE216" t="s">
        <v>119</v>
      </c>
      <c r="AF216" t="s">
        <v>1481</v>
      </c>
    </row>
    <row r="217" spans="1:32" x14ac:dyDescent="0.45">
      <c r="A217" t="s">
        <v>1482</v>
      </c>
      <c r="B217" t="s">
        <v>1483</v>
      </c>
      <c r="C217" t="s">
        <v>1477</v>
      </c>
      <c r="D217" t="s">
        <v>1483</v>
      </c>
      <c r="H217" t="s">
        <v>1479</v>
      </c>
      <c r="I217" t="s">
        <v>1480</v>
      </c>
      <c r="J217" t="s">
        <v>92</v>
      </c>
      <c r="K217" t="s">
        <v>12</v>
      </c>
      <c r="L217" t="s">
        <v>12</v>
      </c>
      <c r="M217" t="s">
        <v>182</v>
      </c>
      <c r="N217" t="s">
        <v>12</v>
      </c>
      <c r="O217" t="s">
        <v>12</v>
      </c>
      <c r="P217" t="s">
        <v>12</v>
      </c>
      <c r="Q217" t="s">
        <v>92</v>
      </c>
      <c r="R217" t="s">
        <v>182</v>
      </c>
      <c r="S217" t="s">
        <v>92</v>
      </c>
      <c r="T217" t="s">
        <v>1482</v>
      </c>
      <c r="U217" t="s">
        <v>12</v>
      </c>
      <c r="V217" t="s">
        <v>12</v>
      </c>
      <c r="W217" t="s">
        <v>910</v>
      </c>
      <c r="AA217" t="s">
        <v>92</v>
      </c>
      <c r="AB217" t="s">
        <v>92</v>
      </c>
      <c r="AC217" t="s">
        <v>12</v>
      </c>
      <c r="AD217" t="s">
        <v>92</v>
      </c>
      <c r="AE217" t="s">
        <v>119</v>
      </c>
      <c r="AF217" t="s">
        <v>1484</v>
      </c>
    </row>
    <row r="218" spans="1:32" x14ac:dyDescent="0.45">
      <c r="A218" t="s">
        <v>1485</v>
      </c>
      <c r="B218" t="s">
        <v>1486</v>
      </c>
      <c r="C218" t="s">
        <v>1487</v>
      </c>
      <c r="D218" t="s">
        <v>1486</v>
      </c>
      <c r="E218" t="s">
        <v>1488</v>
      </c>
      <c r="F218" t="s">
        <v>1489</v>
      </c>
      <c r="H218" t="s">
        <v>1490</v>
      </c>
      <c r="I218" t="s">
        <v>1491</v>
      </c>
      <c r="J218" t="s">
        <v>92</v>
      </c>
      <c r="K218" t="s">
        <v>12</v>
      </c>
      <c r="L218" t="s">
        <v>12</v>
      </c>
      <c r="M218" t="s">
        <v>182</v>
      </c>
      <c r="N218" t="s">
        <v>12</v>
      </c>
      <c r="O218" t="s">
        <v>12</v>
      </c>
      <c r="P218" t="s">
        <v>12</v>
      </c>
      <c r="Q218" t="s">
        <v>92</v>
      </c>
      <c r="R218" t="s">
        <v>182</v>
      </c>
      <c r="S218" t="s">
        <v>92</v>
      </c>
      <c r="T218" t="s">
        <v>1485</v>
      </c>
      <c r="U218" t="s">
        <v>12</v>
      </c>
      <c r="V218" t="s">
        <v>12</v>
      </c>
      <c r="W218" t="s">
        <v>1492</v>
      </c>
      <c r="AA218" t="s">
        <v>12</v>
      </c>
      <c r="AB218" t="s">
        <v>92</v>
      </c>
      <c r="AC218" t="s">
        <v>12</v>
      </c>
      <c r="AD218" t="s">
        <v>92</v>
      </c>
      <c r="AE218" t="s">
        <v>119</v>
      </c>
      <c r="AF218" t="s">
        <v>1493</v>
      </c>
    </row>
    <row r="219" spans="1:32" x14ac:dyDescent="0.45">
      <c r="A219" t="s">
        <v>1494</v>
      </c>
      <c r="B219" t="s">
        <v>1495</v>
      </c>
      <c r="C219" t="s">
        <v>1487</v>
      </c>
      <c r="D219" t="s">
        <v>1495</v>
      </c>
      <c r="H219" t="s">
        <v>1490</v>
      </c>
      <c r="I219" t="s">
        <v>1491</v>
      </c>
      <c r="J219" t="s">
        <v>92</v>
      </c>
      <c r="K219" t="s">
        <v>12</v>
      </c>
      <c r="L219" t="s">
        <v>12</v>
      </c>
      <c r="M219" t="s">
        <v>182</v>
      </c>
      <c r="N219" t="s">
        <v>12</v>
      </c>
      <c r="O219" t="s">
        <v>12</v>
      </c>
      <c r="P219" t="s">
        <v>12</v>
      </c>
      <c r="Q219" t="s">
        <v>92</v>
      </c>
      <c r="R219" t="s">
        <v>182</v>
      </c>
      <c r="S219" t="s">
        <v>92</v>
      </c>
      <c r="T219" t="s">
        <v>1494</v>
      </c>
      <c r="U219" t="s">
        <v>12</v>
      </c>
      <c r="V219" t="s">
        <v>12</v>
      </c>
      <c r="W219" t="s">
        <v>1496</v>
      </c>
      <c r="AA219" t="s">
        <v>92</v>
      </c>
      <c r="AB219" t="s">
        <v>92</v>
      </c>
      <c r="AC219" t="s">
        <v>12</v>
      </c>
      <c r="AD219" t="s">
        <v>92</v>
      </c>
      <c r="AE219" t="s">
        <v>119</v>
      </c>
      <c r="AF219" t="s">
        <v>1497</v>
      </c>
    </row>
    <row r="220" spans="1:32" x14ac:dyDescent="0.45">
      <c r="A220" t="s">
        <v>1498</v>
      </c>
      <c r="B220" t="s">
        <v>1499</v>
      </c>
      <c r="C220" t="s">
        <v>1500</v>
      </c>
      <c r="D220" t="s">
        <v>1501</v>
      </c>
      <c r="E220" t="s">
        <v>1502</v>
      </c>
      <c r="F220" t="s">
        <v>1503</v>
      </c>
      <c r="H220" t="s">
        <v>1504</v>
      </c>
      <c r="I220" t="s">
        <v>1505</v>
      </c>
      <c r="J220" t="s">
        <v>92</v>
      </c>
      <c r="K220" t="s">
        <v>12</v>
      </c>
      <c r="L220" t="s">
        <v>12</v>
      </c>
      <c r="M220" t="s">
        <v>182</v>
      </c>
      <c r="N220" t="s">
        <v>12</v>
      </c>
      <c r="O220" t="s">
        <v>12</v>
      </c>
      <c r="P220" t="s">
        <v>12</v>
      </c>
      <c r="Q220" t="s">
        <v>92</v>
      </c>
      <c r="R220" t="s">
        <v>182</v>
      </c>
      <c r="S220" t="s">
        <v>92</v>
      </c>
      <c r="T220" t="s">
        <v>1498</v>
      </c>
      <c r="U220" t="s">
        <v>12</v>
      </c>
      <c r="V220" t="s">
        <v>12</v>
      </c>
      <c r="W220" t="s">
        <v>715</v>
      </c>
      <c r="AA220" t="s">
        <v>92</v>
      </c>
      <c r="AB220" t="s">
        <v>92</v>
      </c>
      <c r="AC220" t="s">
        <v>12</v>
      </c>
      <c r="AD220" t="s">
        <v>92</v>
      </c>
      <c r="AE220" t="s">
        <v>130</v>
      </c>
      <c r="AF220" t="s">
        <v>1506</v>
      </c>
    </row>
    <row r="221" spans="1:32" x14ac:dyDescent="0.45">
      <c r="A221" t="s">
        <v>1507</v>
      </c>
      <c r="B221" t="s">
        <v>1508</v>
      </c>
      <c r="C221" t="s">
        <v>1509</v>
      </c>
      <c r="D221" t="s">
        <v>1508</v>
      </c>
      <c r="E221" t="s">
        <v>1502</v>
      </c>
      <c r="F221" t="s">
        <v>1510</v>
      </c>
      <c r="H221" t="s">
        <v>1511</v>
      </c>
      <c r="I221" t="s">
        <v>1505</v>
      </c>
      <c r="J221" t="s">
        <v>92</v>
      </c>
      <c r="K221" t="s">
        <v>12</v>
      </c>
      <c r="L221" t="s">
        <v>12</v>
      </c>
      <c r="M221" t="s">
        <v>182</v>
      </c>
      <c r="N221" t="s">
        <v>12</v>
      </c>
      <c r="O221" t="s">
        <v>12</v>
      </c>
      <c r="P221" t="s">
        <v>12</v>
      </c>
      <c r="Q221" t="s">
        <v>92</v>
      </c>
      <c r="R221" t="s">
        <v>182</v>
      </c>
      <c r="S221" t="s">
        <v>92</v>
      </c>
      <c r="T221" t="s">
        <v>1507</v>
      </c>
      <c r="U221" t="s">
        <v>12</v>
      </c>
      <c r="V221" t="s">
        <v>12</v>
      </c>
      <c r="W221" t="s">
        <v>12</v>
      </c>
      <c r="AA221" t="s">
        <v>92</v>
      </c>
      <c r="AB221" t="s">
        <v>92</v>
      </c>
      <c r="AC221" t="s">
        <v>12</v>
      </c>
      <c r="AD221" t="s">
        <v>92</v>
      </c>
      <c r="AE221" t="s">
        <v>166</v>
      </c>
      <c r="AF221" t="s">
        <v>1512</v>
      </c>
    </row>
    <row r="222" spans="1:32" x14ac:dyDescent="0.45">
      <c r="A222" t="s">
        <v>1513</v>
      </c>
      <c r="B222" t="s">
        <v>1499</v>
      </c>
      <c r="C222" t="s">
        <v>1514</v>
      </c>
      <c r="D222" t="s">
        <v>1501</v>
      </c>
      <c r="E222" t="s">
        <v>1502</v>
      </c>
      <c r="F222" t="s">
        <v>1503</v>
      </c>
      <c r="H222" t="s">
        <v>1504</v>
      </c>
      <c r="I222" t="s">
        <v>1505</v>
      </c>
      <c r="J222" t="s">
        <v>92</v>
      </c>
      <c r="K222" t="s">
        <v>12</v>
      </c>
      <c r="L222" t="s">
        <v>12</v>
      </c>
      <c r="M222" t="s">
        <v>182</v>
      </c>
      <c r="N222" t="s">
        <v>12</v>
      </c>
      <c r="O222" t="s">
        <v>12</v>
      </c>
      <c r="P222" t="s">
        <v>12</v>
      </c>
      <c r="Q222" t="s">
        <v>92</v>
      </c>
      <c r="R222" t="s">
        <v>182</v>
      </c>
      <c r="S222" t="s">
        <v>92</v>
      </c>
      <c r="T222" t="s">
        <v>1513</v>
      </c>
      <c r="U222" t="s">
        <v>12</v>
      </c>
      <c r="V222" t="s">
        <v>12</v>
      </c>
      <c r="W222" t="s">
        <v>715</v>
      </c>
      <c r="AA222" t="s">
        <v>92</v>
      </c>
      <c r="AB222" t="s">
        <v>92</v>
      </c>
      <c r="AC222" t="s">
        <v>12</v>
      </c>
      <c r="AD222" t="s">
        <v>92</v>
      </c>
      <c r="AE222" t="s">
        <v>166</v>
      </c>
      <c r="AF222" t="s">
        <v>1515</v>
      </c>
    </row>
    <row r="223" spans="1:32" x14ac:dyDescent="0.45">
      <c r="A223" t="s">
        <v>1516</v>
      </c>
      <c r="B223" t="s">
        <v>1499</v>
      </c>
      <c r="C223" t="s">
        <v>1517</v>
      </c>
      <c r="D223" t="s">
        <v>1501</v>
      </c>
      <c r="E223" t="s">
        <v>1502</v>
      </c>
      <c r="F223" t="s">
        <v>1503</v>
      </c>
      <c r="H223" t="s">
        <v>1504</v>
      </c>
      <c r="I223" t="s">
        <v>1505</v>
      </c>
      <c r="J223" t="s">
        <v>92</v>
      </c>
      <c r="K223" t="s">
        <v>12</v>
      </c>
      <c r="L223" t="s">
        <v>12</v>
      </c>
      <c r="M223" t="s">
        <v>182</v>
      </c>
      <c r="N223" t="s">
        <v>12</v>
      </c>
      <c r="O223" t="s">
        <v>12</v>
      </c>
      <c r="P223" t="s">
        <v>12</v>
      </c>
      <c r="Q223" t="s">
        <v>92</v>
      </c>
      <c r="R223" t="s">
        <v>182</v>
      </c>
      <c r="S223" t="s">
        <v>92</v>
      </c>
      <c r="T223" t="s">
        <v>1516</v>
      </c>
      <c r="U223" t="s">
        <v>12</v>
      </c>
      <c r="V223" t="s">
        <v>12</v>
      </c>
      <c r="W223" t="s">
        <v>715</v>
      </c>
      <c r="AA223" t="s">
        <v>92</v>
      </c>
      <c r="AB223" t="s">
        <v>92</v>
      </c>
      <c r="AC223" t="s">
        <v>12</v>
      </c>
      <c r="AD223" t="s">
        <v>92</v>
      </c>
      <c r="AE223" t="s">
        <v>169</v>
      </c>
      <c r="AF223" t="s">
        <v>1518</v>
      </c>
    </row>
    <row r="224" spans="1:32" x14ac:dyDescent="0.45">
      <c r="A224" t="s">
        <v>1519</v>
      </c>
      <c r="B224" t="s">
        <v>1520</v>
      </c>
      <c r="C224" t="s">
        <v>1521</v>
      </c>
      <c r="D224" t="s">
        <v>1520</v>
      </c>
      <c r="E224" t="s">
        <v>1522</v>
      </c>
      <c r="F224" t="s">
        <v>1523</v>
      </c>
      <c r="H224" t="s">
        <v>1524</v>
      </c>
      <c r="I224" t="s">
        <v>1525</v>
      </c>
      <c r="J224" t="s">
        <v>92</v>
      </c>
      <c r="K224" t="s">
        <v>12</v>
      </c>
      <c r="L224" t="s">
        <v>12</v>
      </c>
      <c r="M224" t="s">
        <v>182</v>
      </c>
      <c r="N224" t="s">
        <v>12</v>
      </c>
      <c r="O224" t="s">
        <v>12</v>
      </c>
      <c r="P224" t="s">
        <v>12</v>
      </c>
      <c r="Q224" t="s">
        <v>92</v>
      </c>
      <c r="R224" t="s">
        <v>182</v>
      </c>
      <c r="S224" t="s">
        <v>92</v>
      </c>
      <c r="T224" t="s">
        <v>1519</v>
      </c>
      <c r="U224" t="s">
        <v>12</v>
      </c>
      <c r="V224" t="s">
        <v>12</v>
      </c>
      <c r="W224" t="s">
        <v>1526</v>
      </c>
      <c r="AA224" t="s">
        <v>12</v>
      </c>
      <c r="AB224" t="s">
        <v>92</v>
      </c>
      <c r="AC224" t="s">
        <v>12</v>
      </c>
      <c r="AD224" t="s">
        <v>92</v>
      </c>
      <c r="AE224" t="s">
        <v>119</v>
      </c>
      <c r="AF224" t="s">
        <v>1527</v>
      </c>
    </row>
    <row r="225" spans="1:32" x14ac:dyDescent="0.45">
      <c r="A225" t="s">
        <v>1528</v>
      </c>
      <c r="B225" t="s">
        <v>1529</v>
      </c>
      <c r="C225" t="s">
        <v>1530</v>
      </c>
      <c r="D225" t="s">
        <v>1529</v>
      </c>
      <c r="H225" t="s">
        <v>1524</v>
      </c>
      <c r="I225" t="s">
        <v>1525</v>
      </c>
      <c r="J225" t="s">
        <v>92</v>
      </c>
      <c r="K225" t="s">
        <v>12</v>
      </c>
      <c r="L225" t="s">
        <v>12</v>
      </c>
      <c r="M225" t="s">
        <v>182</v>
      </c>
      <c r="N225" t="s">
        <v>12</v>
      </c>
      <c r="O225" t="s">
        <v>12</v>
      </c>
      <c r="P225" t="s">
        <v>12</v>
      </c>
      <c r="Q225" t="s">
        <v>92</v>
      </c>
      <c r="R225" t="s">
        <v>182</v>
      </c>
      <c r="S225" t="s">
        <v>92</v>
      </c>
      <c r="T225" t="s">
        <v>1528</v>
      </c>
      <c r="U225" t="s">
        <v>12</v>
      </c>
      <c r="V225" t="s">
        <v>12</v>
      </c>
      <c r="W225" t="s">
        <v>12</v>
      </c>
      <c r="AA225" t="s">
        <v>12</v>
      </c>
      <c r="AB225" t="s">
        <v>92</v>
      </c>
      <c r="AC225" t="s">
        <v>12</v>
      </c>
      <c r="AD225" t="s">
        <v>92</v>
      </c>
      <c r="AE225" t="s">
        <v>119</v>
      </c>
      <c r="AF225" t="s">
        <v>1531</v>
      </c>
    </row>
    <row r="226" spans="1:32" x14ac:dyDescent="0.45">
      <c r="A226" t="s">
        <v>1532</v>
      </c>
      <c r="B226" t="s">
        <v>1533</v>
      </c>
      <c r="C226" t="s">
        <v>1534</v>
      </c>
      <c r="D226" t="s">
        <v>1535</v>
      </c>
      <c r="H226" t="s">
        <v>1524</v>
      </c>
      <c r="I226" t="s">
        <v>1525</v>
      </c>
      <c r="J226" t="s">
        <v>92</v>
      </c>
      <c r="K226" t="s">
        <v>12</v>
      </c>
      <c r="L226" t="s">
        <v>12</v>
      </c>
      <c r="M226" t="s">
        <v>182</v>
      </c>
      <c r="N226" t="s">
        <v>12</v>
      </c>
      <c r="O226" t="s">
        <v>12</v>
      </c>
      <c r="P226" t="s">
        <v>12</v>
      </c>
      <c r="Q226" t="s">
        <v>92</v>
      </c>
      <c r="R226" t="s">
        <v>182</v>
      </c>
      <c r="S226" t="s">
        <v>92</v>
      </c>
      <c r="T226" t="s">
        <v>1532</v>
      </c>
      <c r="U226" t="s">
        <v>12</v>
      </c>
      <c r="V226" t="s">
        <v>12</v>
      </c>
      <c r="W226" t="s">
        <v>12</v>
      </c>
      <c r="AA226" t="s">
        <v>12</v>
      </c>
      <c r="AB226" t="s">
        <v>92</v>
      </c>
      <c r="AC226" t="s">
        <v>12</v>
      </c>
      <c r="AD226" t="s">
        <v>92</v>
      </c>
      <c r="AE226" t="s">
        <v>119</v>
      </c>
      <c r="AF226" t="s">
        <v>1536</v>
      </c>
    </row>
    <row r="227" spans="1:32" x14ac:dyDescent="0.45">
      <c r="A227" t="s">
        <v>1537</v>
      </c>
      <c r="B227" t="s">
        <v>1538</v>
      </c>
      <c r="C227" t="s">
        <v>1539</v>
      </c>
      <c r="D227" t="s">
        <v>1538</v>
      </c>
      <c r="H227" t="s">
        <v>1524</v>
      </c>
      <c r="I227" t="s">
        <v>1525</v>
      </c>
      <c r="J227" t="s">
        <v>92</v>
      </c>
      <c r="K227" t="s">
        <v>12</v>
      </c>
      <c r="L227" t="s">
        <v>12</v>
      </c>
      <c r="M227" t="s">
        <v>182</v>
      </c>
      <c r="N227" t="s">
        <v>12</v>
      </c>
      <c r="O227" t="s">
        <v>12</v>
      </c>
      <c r="P227" t="s">
        <v>12</v>
      </c>
      <c r="Q227" t="s">
        <v>92</v>
      </c>
      <c r="R227" t="s">
        <v>182</v>
      </c>
      <c r="S227" t="s">
        <v>92</v>
      </c>
      <c r="T227" t="s">
        <v>1537</v>
      </c>
      <c r="U227" t="s">
        <v>12</v>
      </c>
      <c r="V227" t="s">
        <v>12</v>
      </c>
      <c r="W227" t="s">
        <v>12</v>
      </c>
      <c r="AA227" t="s">
        <v>12</v>
      </c>
      <c r="AB227" t="s">
        <v>92</v>
      </c>
      <c r="AC227" t="s">
        <v>12</v>
      </c>
      <c r="AD227" t="s">
        <v>92</v>
      </c>
      <c r="AE227" t="s">
        <v>119</v>
      </c>
      <c r="AF227" t="s">
        <v>1540</v>
      </c>
    </row>
    <row r="228" spans="1:32" x14ac:dyDescent="0.45">
      <c r="A228" t="s">
        <v>1541</v>
      </c>
      <c r="B228" t="s">
        <v>1542</v>
      </c>
      <c r="C228" t="s">
        <v>1543</v>
      </c>
      <c r="D228" t="s">
        <v>1544</v>
      </c>
      <c r="J228" t="s">
        <v>92</v>
      </c>
      <c r="K228" t="s">
        <v>12</v>
      </c>
      <c r="L228" t="s">
        <v>12</v>
      </c>
      <c r="M228" t="s">
        <v>182</v>
      </c>
      <c r="N228" t="s">
        <v>12</v>
      </c>
      <c r="O228" t="s">
        <v>12</v>
      </c>
      <c r="P228" t="s">
        <v>12</v>
      </c>
      <c r="Q228" t="s">
        <v>92</v>
      </c>
      <c r="R228" t="s">
        <v>182</v>
      </c>
      <c r="S228" t="s">
        <v>92</v>
      </c>
      <c r="T228" t="s">
        <v>1541</v>
      </c>
      <c r="U228" t="s">
        <v>12</v>
      </c>
      <c r="V228" t="s">
        <v>12</v>
      </c>
      <c r="W228" t="s">
        <v>12</v>
      </c>
      <c r="AA228" t="s">
        <v>92</v>
      </c>
      <c r="AB228" t="s">
        <v>92</v>
      </c>
      <c r="AC228" t="s">
        <v>12</v>
      </c>
      <c r="AD228" t="s">
        <v>92</v>
      </c>
      <c r="AE228" t="s">
        <v>119</v>
      </c>
      <c r="AF228" t="s">
        <v>1545</v>
      </c>
    </row>
    <row r="229" spans="1:32" x14ac:dyDescent="0.45">
      <c r="A229" t="s">
        <v>1546</v>
      </c>
      <c r="B229" t="s">
        <v>1547</v>
      </c>
      <c r="C229" t="s">
        <v>1548</v>
      </c>
      <c r="D229" t="s">
        <v>1549</v>
      </c>
      <c r="E229" t="s">
        <v>1550</v>
      </c>
      <c r="F229" t="s">
        <v>1551</v>
      </c>
      <c r="H229" t="s">
        <v>1552</v>
      </c>
      <c r="J229" t="s">
        <v>92</v>
      </c>
      <c r="K229" t="s">
        <v>12</v>
      </c>
      <c r="L229" t="s">
        <v>12</v>
      </c>
      <c r="M229" t="s">
        <v>182</v>
      </c>
      <c r="N229" t="s">
        <v>12</v>
      </c>
      <c r="O229" t="s">
        <v>12</v>
      </c>
      <c r="P229" t="s">
        <v>12</v>
      </c>
      <c r="Q229" t="s">
        <v>92</v>
      </c>
      <c r="R229" t="s">
        <v>182</v>
      </c>
      <c r="S229" t="s">
        <v>92</v>
      </c>
      <c r="T229" t="s">
        <v>1546</v>
      </c>
      <c r="U229" t="s">
        <v>12</v>
      </c>
      <c r="V229" t="s">
        <v>12</v>
      </c>
      <c r="W229" t="s">
        <v>1553</v>
      </c>
      <c r="AA229" t="s">
        <v>12</v>
      </c>
      <c r="AB229" t="s">
        <v>92</v>
      </c>
      <c r="AC229" t="s">
        <v>12</v>
      </c>
      <c r="AD229" t="s">
        <v>92</v>
      </c>
      <c r="AE229" t="s">
        <v>130</v>
      </c>
      <c r="AF229" t="s">
        <v>1554</v>
      </c>
    </row>
    <row r="230" spans="1:32" x14ac:dyDescent="0.45">
      <c r="A230" t="s">
        <v>1555</v>
      </c>
      <c r="B230" t="s">
        <v>1556</v>
      </c>
      <c r="C230" t="s">
        <v>1557</v>
      </c>
      <c r="D230" t="s">
        <v>1558</v>
      </c>
      <c r="E230" t="s">
        <v>1559</v>
      </c>
      <c r="F230" t="s">
        <v>1560</v>
      </c>
      <c r="H230" t="s">
        <v>1561</v>
      </c>
      <c r="I230" t="s">
        <v>1562</v>
      </c>
      <c r="J230" t="s">
        <v>92</v>
      </c>
      <c r="K230" t="s">
        <v>12</v>
      </c>
      <c r="L230" t="s">
        <v>12</v>
      </c>
      <c r="M230" t="s">
        <v>182</v>
      </c>
      <c r="N230" t="s">
        <v>12</v>
      </c>
      <c r="O230" t="s">
        <v>12</v>
      </c>
      <c r="P230" t="s">
        <v>12</v>
      </c>
      <c r="Q230" t="s">
        <v>92</v>
      </c>
      <c r="R230" t="s">
        <v>182</v>
      </c>
      <c r="S230" t="s">
        <v>92</v>
      </c>
      <c r="T230" t="s">
        <v>1555</v>
      </c>
      <c r="U230" t="s">
        <v>12</v>
      </c>
      <c r="V230" t="s">
        <v>12</v>
      </c>
      <c r="W230" t="s">
        <v>1563</v>
      </c>
      <c r="AA230" t="s">
        <v>12</v>
      </c>
      <c r="AB230" t="s">
        <v>92</v>
      </c>
      <c r="AC230" t="s">
        <v>12</v>
      </c>
      <c r="AD230" t="s">
        <v>92</v>
      </c>
      <c r="AE230" t="s">
        <v>130</v>
      </c>
      <c r="AF230" t="s">
        <v>1564</v>
      </c>
    </row>
    <row r="231" spans="1:32" x14ac:dyDescent="0.45">
      <c r="A231" t="s">
        <v>1565</v>
      </c>
      <c r="B231" t="s">
        <v>1566</v>
      </c>
      <c r="C231" t="s">
        <v>1567</v>
      </c>
      <c r="D231" t="s">
        <v>1566</v>
      </c>
      <c r="E231" t="s">
        <v>1568</v>
      </c>
      <c r="F231" t="s">
        <v>1569</v>
      </c>
      <c r="H231" t="s">
        <v>1570</v>
      </c>
      <c r="J231" t="s">
        <v>92</v>
      </c>
      <c r="K231" t="s">
        <v>12</v>
      </c>
      <c r="L231" t="s">
        <v>12</v>
      </c>
      <c r="M231" t="s">
        <v>182</v>
      </c>
      <c r="N231" t="s">
        <v>12</v>
      </c>
      <c r="O231" t="s">
        <v>12</v>
      </c>
      <c r="P231" t="s">
        <v>12</v>
      </c>
      <c r="Q231" t="s">
        <v>12</v>
      </c>
      <c r="R231" t="s">
        <v>12</v>
      </c>
      <c r="S231" t="s">
        <v>92</v>
      </c>
      <c r="T231" t="s">
        <v>1565</v>
      </c>
      <c r="U231" t="s">
        <v>12</v>
      </c>
      <c r="V231" t="s">
        <v>12</v>
      </c>
      <c r="W231" t="s">
        <v>1571</v>
      </c>
      <c r="AA231" t="s">
        <v>92</v>
      </c>
      <c r="AB231" t="s">
        <v>92</v>
      </c>
      <c r="AC231" t="s">
        <v>12</v>
      </c>
      <c r="AD231" t="s">
        <v>92</v>
      </c>
      <c r="AE231" t="s">
        <v>166</v>
      </c>
      <c r="AF231" t="s">
        <v>1572</v>
      </c>
    </row>
    <row r="232" spans="1:32" x14ac:dyDescent="0.45">
      <c r="A232" t="s">
        <v>217</v>
      </c>
      <c r="B232" t="s">
        <v>68</v>
      </c>
      <c r="C232" t="s">
        <v>1573</v>
      </c>
      <c r="D232" t="s">
        <v>68</v>
      </c>
      <c r="J232" t="s">
        <v>92</v>
      </c>
      <c r="K232" t="s">
        <v>12</v>
      </c>
      <c r="L232" t="s">
        <v>12</v>
      </c>
      <c r="M232" t="s">
        <v>182</v>
      </c>
      <c r="N232" t="s">
        <v>12</v>
      </c>
      <c r="O232" t="s">
        <v>12</v>
      </c>
      <c r="P232" t="s">
        <v>12</v>
      </c>
      <c r="Q232" t="s">
        <v>92</v>
      </c>
      <c r="R232" t="s">
        <v>12</v>
      </c>
      <c r="S232" t="s">
        <v>92</v>
      </c>
      <c r="T232" t="s">
        <v>217</v>
      </c>
      <c r="U232" t="s">
        <v>12</v>
      </c>
      <c r="V232" t="s">
        <v>12</v>
      </c>
      <c r="W232" t="s">
        <v>1574</v>
      </c>
      <c r="AA232" t="s">
        <v>12</v>
      </c>
      <c r="AB232" t="s">
        <v>92</v>
      </c>
      <c r="AC232" t="s">
        <v>12</v>
      </c>
      <c r="AD232" t="s">
        <v>92</v>
      </c>
      <c r="AE232" t="s">
        <v>119</v>
      </c>
      <c r="AF232" t="s">
        <v>1575</v>
      </c>
    </row>
    <row r="233" spans="1:32" x14ac:dyDescent="0.45">
      <c r="A233" t="s">
        <v>219</v>
      </c>
      <c r="B233" t="s">
        <v>69</v>
      </c>
      <c r="C233" t="s">
        <v>1576</v>
      </c>
      <c r="D233" t="s">
        <v>69</v>
      </c>
      <c r="J233" t="s">
        <v>92</v>
      </c>
      <c r="K233" t="s">
        <v>12</v>
      </c>
      <c r="L233" t="s">
        <v>12</v>
      </c>
      <c r="M233" t="s">
        <v>182</v>
      </c>
      <c r="N233" t="s">
        <v>12</v>
      </c>
      <c r="O233" t="s">
        <v>12</v>
      </c>
      <c r="P233" t="s">
        <v>12</v>
      </c>
      <c r="Q233" t="s">
        <v>92</v>
      </c>
      <c r="R233" t="s">
        <v>12</v>
      </c>
      <c r="S233" t="s">
        <v>92</v>
      </c>
      <c r="T233" t="s">
        <v>219</v>
      </c>
      <c r="U233" t="s">
        <v>12</v>
      </c>
      <c r="V233" t="s">
        <v>12</v>
      </c>
      <c r="W233" t="s">
        <v>1574</v>
      </c>
      <c r="AA233" t="s">
        <v>12</v>
      </c>
      <c r="AB233" t="s">
        <v>92</v>
      </c>
      <c r="AC233" t="s">
        <v>12</v>
      </c>
      <c r="AD233" t="s">
        <v>92</v>
      </c>
      <c r="AE233" t="s">
        <v>119</v>
      </c>
      <c r="AF233" t="s">
        <v>1577</v>
      </c>
    </row>
    <row r="234" spans="1:32" x14ac:dyDescent="0.45">
      <c r="A234" t="s">
        <v>1578</v>
      </c>
      <c r="B234" t="s">
        <v>1579</v>
      </c>
      <c r="C234" t="s">
        <v>1580</v>
      </c>
      <c r="D234" t="s">
        <v>1581</v>
      </c>
      <c r="J234" t="s">
        <v>92</v>
      </c>
      <c r="K234" t="s">
        <v>12</v>
      </c>
      <c r="L234" t="s">
        <v>12</v>
      </c>
      <c r="M234" t="s">
        <v>182</v>
      </c>
      <c r="N234" t="s">
        <v>12</v>
      </c>
      <c r="O234" t="s">
        <v>12</v>
      </c>
      <c r="P234" t="s">
        <v>12</v>
      </c>
      <c r="Q234" t="s">
        <v>12</v>
      </c>
      <c r="R234" t="s">
        <v>12</v>
      </c>
      <c r="S234" t="s">
        <v>92</v>
      </c>
      <c r="T234" t="s">
        <v>1578</v>
      </c>
      <c r="U234" t="s">
        <v>12</v>
      </c>
      <c r="V234" t="s">
        <v>12</v>
      </c>
      <c r="W234" t="s">
        <v>1582</v>
      </c>
      <c r="AA234" t="s">
        <v>92</v>
      </c>
      <c r="AB234" t="s">
        <v>92</v>
      </c>
      <c r="AC234" t="s">
        <v>12</v>
      </c>
      <c r="AD234" t="s">
        <v>92</v>
      </c>
      <c r="AE234" t="s">
        <v>119</v>
      </c>
      <c r="AF234" t="s">
        <v>1583</v>
      </c>
    </row>
    <row r="235" spans="1:32" x14ac:dyDescent="0.45">
      <c r="A235" t="s">
        <v>1584</v>
      </c>
      <c r="B235" t="s">
        <v>1585</v>
      </c>
      <c r="C235" t="s">
        <v>1586</v>
      </c>
      <c r="D235" t="s">
        <v>1587</v>
      </c>
      <c r="E235" t="s">
        <v>1588</v>
      </c>
      <c r="F235" t="s">
        <v>1589</v>
      </c>
      <c r="H235" t="s">
        <v>1590</v>
      </c>
      <c r="I235" t="s">
        <v>1590</v>
      </c>
      <c r="J235" t="s">
        <v>92</v>
      </c>
      <c r="K235" t="s">
        <v>12</v>
      </c>
      <c r="L235" t="s">
        <v>12</v>
      </c>
      <c r="M235" t="s">
        <v>182</v>
      </c>
      <c r="N235" t="s">
        <v>12</v>
      </c>
      <c r="O235" t="s">
        <v>12</v>
      </c>
      <c r="P235" t="s">
        <v>12</v>
      </c>
      <c r="Q235" t="s">
        <v>92</v>
      </c>
      <c r="R235" t="s">
        <v>12</v>
      </c>
      <c r="S235" t="s">
        <v>92</v>
      </c>
      <c r="T235" t="s">
        <v>1584</v>
      </c>
      <c r="U235" t="s">
        <v>12</v>
      </c>
      <c r="V235" t="s">
        <v>12</v>
      </c>
      <c r="W235" t="s">
        <v>1591</v>
      </c>
      <c r="AA235" t="s">
        <v>92</v>
      </c>
      <c r="AB235" t="s">
        <v>92</v>
      </c>
      <c r="AC235" t="s">
        <v>12</v>
      </c>
      <c r="AD235" t="s">
        <v>92</v>
      </c>
      <c r="AE235" t="s">
        <v>119</v>
      </c>
      <c r="AF235" t="s">
        <v>1592</v>
      </c>
    </row>
    <row r="236" spans="1:32" x14ac:dyDescent="0.45">
      <c r="A236" t="s">
        <v>104</v>
      </c>
      <c r="B236" t="s">
        <v>1593</v>
      </c>
      <c r="C236" t="s">
        <v>1594</v>
      </c>
      <c r="D236" t="s">
        <v>1595</v>
      </c>
      <c r="E236" t="s">
        <v>1596</v>
      </c>
      <c r="F236" t="s">
        <v>1597</v>
      </c>
      <c r="H236" t="s">
        <v>1598</v>
      </c>
      <c r="I236" t="s">
        <v>1599</v>
      </c>
      <c r="J236" t="s">
        <v>92</v>
      </c>
      <c r="K236" t="s">
        <v>12</v>
      </c>
      <c r="L236" t="s">
        <v>12</v>
      </c>
      <c r="M236" t="s">
        <v>182</v>
      </c>
      <c r="N236" t="s">
        <v>12</v>
      </c>
      <c r="O236" t="s">
        <v>12</v>
      </c>
      <c r="P236" t="s">
        <v>12</v>
      </c>
      <c r="Q236" t="s">
        <v>92</v>
      </c>
      <c r="R236" t="s">
        <v>12</v>
      </c>
      <c r="S236" t="s">
        <v>92</v>
      </c>
      <c r="T236" t="s">
        <v>104</v>
      </c>
      <c r="U236" t="s">
        <v>12</v>
      </c>
      <c r="V236" t="s">
        <v>12</v>
      </c>
      <c r="W236" t="s">
        <v>12</v>
      </c>
      <c r="X236" t="s">
        <v>1046</v>
      </c>
      <c r="Y236" t="s">
        <v>92</v>
      </c>
      <c r="AA236" t="s">
        <v>12</v>
      </c>
      <c r="AB236" t="s">
        <v>12</v>
      </c>
      <c r="AC236" t="s">
        <v>12</v>
      </c>
      <c r="AD236" t="s">
        <v>92</v>
      </c>
      <c r="AE236" t="s">
        <v>119</v>
      </c>
      <c r="AF236" t="s">
        <v>1600</v>
      </c>
    </row>
    <row r="237" spans="1:32" x14ac:dyDescent="0.45">
      <c r="A237" t="s">
        <v>1601</v>
      </c>
      <c r="B237" t="s">
        <v>1593</v>
      </c>
      <c r="C237" t="s">
        <v>1594</v>
      </c>
      <c r="D237" t="s">
        <v>1593</v>
      </c>
      <c r="E237" t="s">
        <v>1596</v>
      </c>
      <c r="F237" t="s">
        <v>1597</v>
      </c>
      <c r="H237" t="s">
        <v>1598</v>
      </c>
      <c r="I237" t="s">
        <v>1602</v>
      </c>
      <c r="J237" t="s">
        <v>92</v>
      </c>
      <c r="K237" t="s">
        <v>12</v>
      </c>
      <c r="L237" t="s">
        <v>12</v>
      </c>
      <c r="M237" t="s">
        <v>182</v>
      </c>
      <c r="N237" t="s">
        <v>12</v>
      </c>
      <c r="O237" t="s">
        <v>12</v>
      </c>
      <c r="P237" t="s">
        <v>12</v>
      </c>
      <c r="Q237" t="s">
        <v>92</v>
      </c>
      <c r="R237" t="s">
        <v>12</v>
      </c>
      <c r="S237" t="s">
        <v>92</v>
      </c>
      <c r="T237" t="s">
        <v>1601</v>
      </c>
      <c r="U237" t="s">
        <v>12</v>
      </c>
      <c r="V237" t="s">
        <v>12</v>
      </c>
      <c r="W237" t="s">
        <v>12</v>
      </c>
      <c r="AA237" t="s">
        <v>12</v>
      </c>
      <c r="AB237" t="s">
        <v>12</v>
      </c>
      <c r="AC237" t="s">
        <v>12</v>
      </c>
      <c r="AD237" t="s">
        <v>92</v>
      </c>
      <c r="AE237" t="s">
        <v>166</v>
      </c>
      <c r="AF237" t="s">
        <v>1603</v>
      </c>
    </row>
    <row r="238" spans="1:32" x14ac:dyDescent="0.45">
      <c r="A238" t="s">
        <v>108</v>
      </c>
      <c r="B238" t="s">
        <v>1604</v>
      </c>
      <c r="C238" t="s">
        <v>1605</v>
      </c>
      <c r="D238" t="s">
        <v>1604</v>
      </c>
      <c r="E238" t="s">
        <v>1596</v>
      </c>
      <c r="F238" t="s">
        <v>1597</v>
      </c>
      <c r="H238" t="s">
        <v>1598</v>
      </c>
      <c r="I238" t="s">
        <v>1602</v>
      </c>
      <c r="J238" t="s">
        <v>92</v>
      </c>
      <c r="K238" t="s">
        <v>12</v>
      </c>
      <c r="L238" t="s">
        <v>12</v>
      </c>
      <c r="M238" t="s">
        <v>182</v>
      </c>
      <c r="N238" t="s">
        <v>12</v>
      </c>
      <c r="O238" t="s">
        <v>12</v>
      </c>
      <c r="P238" t="s">
        <v>12</v>
      </c>
      <c r="Q238" t="s">
        <v>92</v>
      </c>
      <c r="R238" t="s">
        <v>12</v>
      </c>
      <c r="S238" t="s">
        <v>92</v>
      </c>
      <c r="T238" t="s">
        <v>108</v>
      </c>
      <c r="U238" t="s">
        <v>12</v>
      </c>
      <c r="V238" t="s">
        <v>12</v>
      </c>
      <c r="W238" t="s">
        <v>12</v>
      </c>
      <c r="AA238" t="s">
        <v>12</v>
      </c>
      <c r="AB238" t="s">
        <v>12</v>
      </c>
      <c r="AC238" t="s">
        <v>12</v>
      </c>
      <c r="AD238" t="s">
        <v>92</v>
      </c>
      <c r="AE238" t="s">
        <v>143</v>
      </c>
      <c r="AF238" t="s">
        <v>1606</v>
      </c>
    </row>
    <row r="239" spans="1:32" x14ac:dyDescent="0.45">
      <c r="A239" t="s">
        <v>1607</v>
      </c>
      <c r="B239" t="s">
        <v>1608</v>
      </c>
      <c r="C239" t="s">
        <v>1609</v>
      </c>
      <c r="D239" t="s">
        <v>1608</v>
      </c>
      <c r="E239" t="s">
        <v>1610</v>
      </c>
      <c r="F239" t="s">
        <v>1611</v>
      </c>
      <c r="G239" t="s">
        <v>1612</v>
      </c>
      <c r="H239" t="s">
        <v>1613</v>
      </c>
      <c r="I239" t="s">
        <v>1613</v>
      </c>
      <c r="J239" t="s">
        <v>92</v>
      </c>
      <c r="K239" t="s">
        <v>12</v>
      </c>
      <c r="L239" t="s">
        <v>12</v>
      </c>
      <c r="M239" t="s">
        <v>182</v>
      </c>
      <c r="N239" t="s">
        <v>12</v>
      </c>
      <c r="O239" t="s">
        <v>12</v>
      </c>
      <c r="P239" t="s">
        <v>12</v>
      </c>
      <c r="Q239" t="s">
        <v>12</v>
      </c>
      <c r="R239" t="s">
        <v>12</v>
      </c>
      <c r="S239" t="s">
        <v>92</v>
      </c>
      <c r="T239" t="s">
        <v>1607</v>
      </c>
      <c r="U239" t="s">
        <v>12</v>
      </c>
      <c r="V239" t="s">
        <v>12</v>
      </c>
      <c r="W239" t="s">
        <v>1614</v>
      </c>
      <c r="AA239" t="s">
        <v>92</v>
      </c>
      <c r="AB239" t="s">
        <v>92</v>
      </c>
      <c r="AC239" t="s">
        <v>12</v>
      </c>
      <c r="AD239" t="s">
        <v>92</v>
      </c>
      <c r="AE239" t="s">
        <v>114</v>
      </c>
      <c r="AF239" t="s">
        <v>1615</v>
      </c>
    </row>
    <row r="240" spans="1:32" x14ac:dyDescent="0.45">
      <c r="A240" t="s">
        <v>1616</v>
      </c>
      <c r="B240" t="s">
        <v>1617</v>
      </c>
      <c r="C240" t="s">
        <v>1618</v>
      </c>
      <c r="D240" t="s">
        <v>1608</v>
      </c>
      <c r="E240" t="s">
        <v>1610</v>
      </c>
      <c r="F240" t="s">
        <v>1611</v>
      </c>
      <c r="G240" t="s">
        <v>1619</v>
      </c>
      <c r="H240" t="s">
        <v>1620</v>
      </c>
      <c r="I240" t="s">
        <v>1620</v>
      </c>
      <c r="J240" t="s">
        <v>92</v>
      </c>
      <c r="K240" t="s">
        <v>12</v>
      </c>
      <c r="L240" t="s">
        <v>12</v>
      </c>
      <c r="M240" t="s">
        <v>182</v>
      </c>
      <c r="N240" t="s">
        <v>12</v>
      </c>
      <c r="O240" t="s">
        <v>12</v>
      </c>
      <c r="P240" t="s">
        <v>12</v>
      </c>
      <c r="Q240" t="s">
        <v>12</v>
      </c>
      <c r="R240" t="s">
        <v>12</v>
      </c>
      <c r="S240" t="s">
        <v>92</v>
      </c>
      <c r="T240" t="s">
        <v>1616</v>
      </c>
      <c r="U240" t="s">
        <v>12</v>
      </c>
      <c r="V240" t="s">
        <v>12</v>
      </c>
      <c r="W240" t="s">
        <v>12</v>
      </c>
      <c r="AA240" t="s">
        <v>92</v>
      </c>
      <c r="AB240" t="s">
        <v>92</v>
      </c>
      <c r="AC240" t="s">
        <v>12</v>
      </c>
      <c r="AD240" t="s">
        <v>92</v>
      </c>
      <c r="AE240" t="s">
        <v>119</v>
      </c>
      <c r="AF240" t="s">
        <v>1621</v>
      </c>
    </row>
    <row r="241" spans="1:32" x14ac:dyDescent="0.45">
      <c r="A241" t="s">
        <v>1622</v>
      </c>
      <c r="B241" t="s">
        <v>1623</v>
      </c>
      <c r="C241" t="s">
        <v>1624</v>
      </c>
      <c r="D241" t="s">
        <v>1623</v>
      </c>
      <c r="J241" t="s">
        <v>92</v>
      </c>
      <c r="K241" t="s">
        <v>12</v>
      </c>
      <c r="L241" t="s">
        <v>12</v>
      </c>
      <c r="M241" t="s">
        <v>182</v>
      </c>
      <c r="N241" t="s">
        <v>12</v>
      </c>
      <c r="O241" t="s">
        <v>12</v>
      </c>
      <c r="P241" t="s">
        <v>12</v>
      </c>
      <c r="Q241" t="s">
        <v>92</v>
      </c>
      <c r="R241" t="s">
        <v>182</v>
      </c>
      <c r="S241" t="s">
        <v>92</v>
      </c>
      <c r="T241" t="s">
        <v>1622</v>
      </c>
      <c r="U241" t="s">
        <v>12</v>
      </c>
      <c r="V241" t="s">
        <v>12</v>
      </c>
      <c r="W241" t="s">
        <v>1625</v>
      </c>
      <c r="AA241" t="s">
        <v>12</v>
      </c>
      <c r="AB241" t="s">
        <v>92</v>
      </c>
      <c r="AC241" t="s">
        <v>12</v>
      </c>
      <c r="AD241" t="s">
        <v>92</v>
      </c>
      <c r="AE241" t="s">
        <v>119</v>
      </c>
      <c r="AF241" t="s">
        <v>1626</v>
      </c>
    </row>
    <row r="242" spans="1:32" x14ac:dyDescent="0.45">
      <c r="A242" t="s">
        <v>1627</v>
      </c>
      <c r="B242" t="s">
        <v>1628</v>
      </c>
      <c r="C242" t="s">
        <v>1629</v>
      </c>
      <c r="D242" t="s">
        <v>1628</v>
      </c>
      <c r="E242" t="s">
        <v>1630</v>
      </c>
      <c r="F242" t="s">
        <v>1631</v>
      </c>
      <c r="H242" t="s">
        <v>1632</v>
      </c>
      <c r="I242" t="s">
        <v>1633</v>
      </c>
      <c r="J242" t="s">
        <v>92</v>
      </c>
      <c r="K242" t="s">
        <v>12</v>
      </c>
      <c r="L242" t="s">
        <v>12</v>
      </c>
      <c r="M242" t="s">
        <v>182</v>
      </c>
      <c r="N242" t="s">
        <v>12</v>
      </c>
      <c r="O242" t="s">
        <v>12</v>
      </c>
      <c r="P242" t="s">
        <v>12</v>
      </c>
      <c r="Q242" t="s">
        <v>92</v>
      </c>
      <c r="R242" t="s">
        <v>182</v>
      </c>
      <c r="S242" t="s">
        <v>92</v>
      </c>
      <c r="T242" t="s">
        <v>1627</v>
      </c>
      <c r="U242" t="s">
        <v>12</v>
      </c>
      <c r="V242" t="s">
        <v>12</v>
      </c>
      <c r="W242" t="s">
        <v>910</v>
      </c>
      <c r="AA242" t="s">
        <v>12</v>
      </c>
      <c r="AB242" t="s">
        <v>92</v>
      </c>
      <c r="AC242" t="s">
        <v>12</v>
      </c>
      <c r="AD242" t="s">
        <v>92</v>
      </c>
      <c r="AE242" t="s">
        <v>119</v>
      </c>
      <c r="AF242" t="s">
        <v>1634</v>
      </c>
    </row>
    <row r="243" spans="1:32" x14ac:dyDescent="0.45">
      <c r="A243" t="s">
        <v>1635</v>
      </c>
      <c r="B243" t="s">
        <v>1636</v>
      </c>
      <c r="C243" t="s">
        <v>1637</v>
      </c>
      <c r="D243" t="s">
        <v>1636</v>
      </c>
      <c r="J243" t="s">
        <v>12</v>
      </c>
      <c r="K243" t="s">
        <v>12</v>
      </c>
      <c r="L243" t="s">
        <v>12</v>
      </c>
      <c r="M243" t="s">
        <v>182</v>
      </c>
      <c r="N243" t="s">
        <v>12</v>
      </c>
      <c r="O243" t="s">
        <v>12</v>
      </c>
      <c r="P243" t="s">
        <v>12</v>
      </c>
      <c r="Q243" t="s">
        <v>12</v>
      </c>
      <c r="R243" t="s">
        <v>182</v>
      </c>
      <c r="S243" t="s">
        <v>92</v>
      </c>
      <c r="T243" t="s">
        <v>1635</v>
      </c>
      <c r="U243" t="s">
        <v>12</v>
      </c>
      <c r="V243" t="s">
        <v>12</v>
      </c>
      <c r="W243" t="s">
        <v>1638</v>
      </c>
      <c r="AA243" t="s">
        <v>12</v>
      </c>
      <c r="AB243" t="s">
        <v>92</v>
      </c>
      <c r="AC243" t="s">
        <v>12</v>
      </c>
      <c r="AD243" t="s">
        <v>92</v>
      </c>
      <c r="AE243" t="s">
        <v>119</v>
      </c>
      <c r="AF243" t="s">
        <v>1639</v>
      </c>
    </row>
    <row r="244" spans="1:32" x14ac:dyDescent="0.45">
      <c r="A244" t="s">
        <v>1640</v>
      </c>
      <c r="B244" t="s">
        <v>1641</v>
      </c>
      <c r="C244" t="s">
        <v>1642</v>
      </c>
      <c r="D244" t="s">
        <v>1641</v>
      </c>
      <c r="E244" t="s">
        <v>327</v>
      </c>
      <c r="F244" t="s">
        <v>1643</v>
      </c>
      <c r="H244" t="s">
        <v>1644</v>
      </c>
      <c r="I244" t="s">
        <v>1645</v>
      </c>
      <c r="J244" t="s">
        <v>92</v>
      </c>
      <c r="K244" t="s">
        <v>12</v>
      </c>
      <c r="L244" t="s">
        <v>12</v>
      </c>
      <c r="M244" t="s">
        <v>182</v>
      </c>
      <c r="N244" t="s">
        <v>12</v>
      </c>
      <c r="O244" t="s">
        <v>12</v>
      </c>
      <c r="P244" t="s">
        <v>12</v>
      </c>
      <c r="Q244" t="s">
        <v>92</v>
      </c>
      <c r="R244" t="s">
        <v>182</v>
      </c>
      <c r="S244" t="s">
        <v>92</v>
      </c>
      <c r="T244" t="s">
        <v>1640</v>
      </c>
      <c r="U244" t="s">
        <v>12</v>
      </c>
      <c r="V244" t="s">
        <v>12</v>
      </c>
      <c r="W244" t="s">
        <v>1646</v>
      </c>
      <c r="AA244" t="s">
        <v>12</v>
      </c>
      <c r="AB244" t="s">
        <v>92</v>
      </c>
      <c r="AC244" t="s">
        <v>12</v>
      </c>
      <c r="AD244" t="s">
        <v>92</v>
      </c>
      <c r="AE244" t="s">
        <v>130</v>
      </c>
      <c r="AF244" t="s">
        <v>1647</v>
      </c>
    </row>
    <row r="245" spans="1:32" x14ac:dyDescent="0.45">
      <c r="A245" t="s">
        <v>1648</v>
      </c>
      <c r="B245" t="s">
        <v>1649</v>
      </c>
      <c r="C245" t="s">
        <v>1650</v>
      </c>
      <c r="D245" t="s">
        <v>1651</v>
      </c>
      <c r="E245" t="s">
        <v>327</v>
      </c>
      <c r="F245" t="s">
        <v>1643</v>
      </c>
      <c r="H245" t="s">
        <v>1644</v>
      </c>
      <c r="I245" t="s">
        <v>1645</v>
      </c>
      <c r="J245" t="s">
        <v>92</v>
      </c>
      <c r="K245" t="s">
        <v>12</v>
      </c>
      <c r="L245" t="s">
        <v>12</v>
      </c>
      <c r="M245" t="s">
        <v>182</v>
      </c>
      <c r="N245" t="s">
        <v>12</v>
      </c>
      <c r="O245" t="s">
        <v>12</v>
      </c>
      <c r="P245" t="s">
        <v>12</v>
      </c>
      <c r="Q245" t="s">
        <v>92</v>
      </c>
      <c r="R245" t="s">
        <v>182</v>
      </c>
      <c r="S245" t="s">
        <v>92</v>
      </c>
      <c r="T245" t="s">
        <v>1648</v>
      </c>
      <c r="U245" t="s">
        <v>12</v>
      </c>
      <c r="V245" t="s">
        <v>12</v>
      </c>
      <c r="W245" t="s">
        <v>1646</v>
      </c>
      <c r="AA245" t="s">
        <v>12</v>
      </c>
      <c r="AB245" t="s">
        <v>92</v>
      </c>
      <c r="AC245" t="s">
        <v>12</v>
      </c>
      <c r="AD245" t="s">
        <v>92</v>
      </c>
      <c r="AE245" t="s">
        <v>130</v>
      </c>
      <c r="AF245" t="s">
        <v>1652</v>
      </c>
    </row>
    <row r="246" spans="1:32" x14ac:dyDescent="0.45">
      <c r="A246" t="s">
        <v>1653</v>
      </c>
      <c r="B246" t="s">
        <v>1654</v>
      </c>
      <c r="C246" t="s">
        <v>1655</v>
      </c>
      <c r="D246" t="s">
        <v>1656</v>
      </c>
      <c r="F246" t="s">
        <v>1657</v>
      </c>
      <c r="G246" t="s">
        <v>1658</v>
      </c>
      <c r="H246" t="s">
        <v>1659</v>
      </c>
      <c r="J246" t="s">
        <v>92</v>
      </c>
      <c r="K246" t="s">
        <v>12</v>
      </c>
      <c r="L246" t="s">
        <v>12</v>
      </c>
      <c r="M246" t="s">
        <v>182</v>
      </c>
      <c r="N246" t="s">
        <v>12</v>
      </c>
      <c r="O246" t="s">
        <v>12</v>
      </c>
      <c r="P246" t="s">
        <v>12</v>
      </c>
      <c r="Q246" t="s">
        <v>92</v>
      </c>
      <c r="R246" t="s">
        <v>182</v>
      </c>
      <c r="S246" t="s">
        <v>92</v>
      </c>
      <c r="T246" t="s">
        <v>1653</v>
      </c>
      <c r="U246" t="s">
        <v>12</v>
      </c>
      <c r="V246" t="s">
        <v>12</v>
      </c>
      <c r="W246" t="s">
        <v>1660</v>
      </c>
      <c r="AA246" t="s">
        <v>12</v>
      </c>
      <c r="AB246" t="s">
        <v>92</v>
      </c>
      <c r="AC246" t="s">
        <v>12</v>
      </c>
      <c r="AD246" t="s">
        <v>92</v>
      </c>
      <c r="AE246" t="s">
        <v>119</v>
      </c>
      <c r="AF246" t="s">
        <v>1661</v>
      </c>
    </row>
    <row r="247" spans="1:32" x14ac:dyDescent="0.45">
      <c r="A247" t="s">
        <v>1662</v>
      </c>
      <c r="B247" t="s">
        <v>1663</v>
      </c>
      <c r="C247" t="s">
        <v>1664</v>
      </c>
      <c r="D247" t="s">
        <v>1665</v>
      </c>
      <c r="E247" t="s">
        <v>1666</v>
      </c>
      <c r="F247" t="s">
        <v>1667</v>
      </c>
      <c r="H247" t="s">
        <v>1668</v>
      </c>
      <c r="I247" t="s">
        <v>1669</v>
      </c>
      <c r="J247" t="s">
        <v>92</v>
      </c>
      <c r="K247" t="s">
        <v>12</v>
      </c>
      <c r="L247" t="s">
        <v>12</v>
      </c>
      <c r="M247" t="s">
        <v>182</v>
      </c>
      <c r="N247" t="s">
        <v>12</v>
      </c>
      <c r="O247" t="s">
        <v>12</v>
      </c>
      <c r="P247" t="s">
        <v>12</v>
      </c>
      <c r="Q247" t="s">
        <v>92</v>
      </c>
      <c r="R247" t="s">
        <v>182</v>
      </c>
      <c r="S247" t="s">
        <v>92</v>
      </c>
      <c r="T247" t="s">
        <v>1662</v>
      </c>
      <c r="U247" t="s">
        <v>12</v>
      </c>
      <c r="V247" t="s">
        <v>12</v>
      </c>
      <c r="W247" t="s">
        <v>12</v>
      </c>
      <c r="AA247" t="s">
        <v>12</v>
      </c>
      <c r="AB247" t="s">
        <v>92</v>
      </c>
      <c r="AC247" t="s">
        <v>12</v>
      </c>
      <c r="AD247" t="s">
        <v>92</v>
      </c>
      <c r="AE247" t="s">
        <v>130</v>
      </c>
      <c r="AF247" t="s">
        <v>1670</v>
      </c>
    </row>
    <row r="248" spans="1:32" x14ac:dyDescent="0.45">
      <c r="A248" t="s">
        <v>1671</v>
      </c>
      <c r="B248" t="s">
        <v>1672</v>
      </c>
      <c r="C248" t="s">
        <v>1673</v>
      </c>
      <c r="D248"/>
      <c r="E248" t="s">
        <v>1674</v>
      </c>
      <c r="F248" t="s">
        <v>1675</v>
      </c>
      <c r="J248" t="s">
        <v>92</v>
      </c>
      <c r="K248" t="s">
        <v>12</v>
      </c>
      <c r="L248" t="s">
        <v>12</v>
      </c>
      <c r="M248" t="s">
        <v>182</v>
      </c>
      <c r="N248" t="s">
        <v>12</v>
      </c>
      <c r="O248" t="s">
        <v>12</v>
      </c>
      <c r="P248" t="s">
        <v>12</v>
      </c>
      <c r="Q248" t="s">
        <v>92</v>
      </c>
      <c r="R248" t="s">
        <v>182</v>
      </c>
      <c r="S248" t="s">
        <v>92</v>
      </c>
      <c r="T248" t="s">
        <v>1671</v>
      </c>
      <c r="U248" t="s">
        <v>12</v>
      </c>
      <c r="V248" t="s">
        <v>12</v>
      </c>
      <c r="W248" t="s">
        <v>12</v>
      </c>
      <c r="AA248" t="s">
        <v>12</v>
      </c>
      <c r="AB248" t="s">
        <v>92</v>
      </c>
      <c r="AC248" t="s">
        <v>12</v>
      </c>
      <c r="AD248" t="s">
        <v>92</v>
      </c>
      <c r="AE248" t="s">
        <v>119</v>
      </c>
      <c r="AF248" t="s">
        <v>1676</v>
      </c>
    </row>
    <row r="249" spans="1:32" x14ac:dyDescent="0.45">
      <c r="A249" t="s">
        <v>174</v>
      </c>
      <c r="B249" t="s">
        <v>45</v>
      </c>
      <c r="C249" t="s">
        <v>1677</v>
      </c>
      <c r="D249" t="s">
        <v>45</v>
      </c>
      <c r="E249" t="s">
        <v>1678</v>
      </c>
      <c r="F249" t="s">
        <v>1679</v>
      </c>
      <c r="H249" t="s">
        <v>1680</v>
      </c>
      <c r="J249" t="s">
        <v>92</v>
      </c>
      <c r="K249" t="s">
        <v>12</v>
      </c>
      <c r="L249" t="s">
        <v>12</v>
      </c>
      <c r="M249" t="s">
        <v>182</v>
      </c>
      <c r="N249" t="s">
        <v>12</v>
      </c>
      <c r="O249" t="s">
        <v>12</v>
      </c>
      <c r="P249" t="s">
        <v>12</v>
      </c>
      <c r="Q249" t="s">
        <v>92</v>
      </c>
      <c r="R249" t="s">
        <v>182</v>
      </c>
      <c r="S249" t="s">
        <v>92</v>
      </c>
      <c r="T249" t="s">
        <v>174</v>
      </c>
      <c r="U249" t="s">
        <v>12</v>
      </c>
      <c r="V249" t="s">
        <v>12</v>
      </c>
      <c r="W249" t="s">
        <v>1681</v>
      </c>
      <c r="AA249" t="s">
        <v>12</v>
      </c>
      <c r="AB249" t="s">
        <v>92</v>
      </c>
      <c r="AC249" t="s">
        <v>12</v>
      </c>
      <c r="AD249" t="s">
        <v>92</v>
      </c>
      <c r="AE249" t="s">
        <v>119</v>
      </c>
      <c r="AF249" t="s">
        <v>1682</v>
      </c>
    </row>
    <row r="250" spans="1:32" x14ac:dyDescent="0.45">
      <c r="A250" t="s">
        <v>1683</v>
      </c>
      <c r="B250" t="s">
        <v>1684</v>
      </c>
      <c r="C250" t="s">
        <v>1685</v>
      </c>
      <c r="D250" t="s">
        <v>1686</v>
      </c>
      <c r="E250" t="s">
        <v>622</v>
      </c>
      <c r="F250" t="s">
        <v>1687</v>
      </c>
      <c r="H250" t="s">
        <v>1688</v>
      </c>
      <c r="I250" t="s">
        <v>1688</v>
      </c>
      <c r="J250" t="s">
        <v>92</v>
      </c>
      <c r="K250" t="s">
        <v>12</v>
      </c>
      <c r="L250" t="s">
        <v>12</v>
      </c>
      <c r="M250" t="s">
        <v>182</v>
      </c>
      <c r="N250" t="s">
        <v>12</v>
      </c>
      <c r="O250" t="s">
        <v>12</v>
      </c>
      <c r="P250" t="s">
        <v>12</v>
      </c>
      <c r="Q250" t="s">
        <v>92</v>
      </c>
      <c r="R250" t="s">
        <v>182</v>
      </c>
      <c r="S250" t="s">
        <v>92</v>
      </c>
      <c r="T250" t="s">
        <v>1683</v>
      </c>
      <c r="U250" t="s">
        <v>12</v>
      </c>
      <c r="V250" t="s">
        <v>12</v>
      </c>
      <c r="W250" t="s">
        <v>182</v>
      </c>
      <c r="AA250" t="s">
        <v>12</v>
      </c>
      <c r="AB250" t="s">
        <v>92</v>
      </c>
      <c r="AC250" t="s">
        <v>12</v>
      </c>
      <c r="AD250" t="s">
        <v>92</v>
      </c>
      <c r="AE250" t="s">
        <v>130</v>
      </c>
      <c r="AF250" t="s">
        <v>1689</v>
      </c>
    </row>
    <row r="251" spans="1:32" x14ac:dyDescent="0.45">
      <c r="A251" t="s">
        <v>1690</v>
      </c>
      <c r="B251" t="s">
        <v>1691</v>
      </c>
      <c r="C251" t="s">
        <v>1692</v>
      </c>
      <c r="D251" t="s">
        <v>1693</v>
      </c>
      <c r="E251" t="s">
        <v>1694</v>
      </c>
      <c r="F251" t="s">
        <v>1695</v>
      </c>
      <c r="H251" t="s">
        <v>1696</v>
      </c>
      <c r="J251" t="s">
        <v>92</v>
      </c>
      <c r="K251" t="s">
        <v>12</v>
      </c>
      <c r="L251" t="s">
        <v>12</v>
      </c>
      <c r="M251" t="s">
        <v>182</v>
      </c>
      <c r="N251" t="s">
        <v>12</v>
      </c>
      <c r="O251" t="s">
        <v>12</v>
      </c>
      <c r="P251" t="s">
        <v>12</v>
      </c>
      <c r="Q251" t="s">
        <v>92</v>
      </c>
      <c r="R251" t="s">
        <v>182</v>
      </c>
      <c r="S251" t="s">
        <v>92</v>
      </c>
      <c r="T251" t="s">
        <v>1690</v>
      </c>
      <c r="U251" t="s">
        <v>12</v>
      </c>
      <c r="V251" t="s">
        <v>12</v>
      </c>
      <c r="W251" t="s">
        <v>1697</v>
      </c>
      <c r="Z251" t="s">
        <v>610</v>
      </c>
      <c r="AA251" t="s">
        <v>12</v>
      </c>
      <c r="AB251" t="s">
        <v>92</v>
      </c>
      <c r="AC251" t="s">
        <v>12</v>
      </c>
      <c r="AD251" t="s">
        <v>92</v>
      </c>
      <c r="AE251" t="s">
        <v>119</v>
      </c>
      <c r="AF251" t="s">
        <v>1698</v>
      </c>
    </row>
    <row r="252" spans="1:32" x14ac:dyDescent="0.45">
      <c r="A252" t="s">
        <v>1699</v>
      </c>
      <c r="B252" t="s">
        <v>1691</v>
      </c>
      <c r="C252" t="s">
        <v>1692</v>
      </c>
      <c r="D252" t="s">
        <v>1700</v>
      </c>
      <c r="E252" t="s">
        <v>1694</v>
      </c>
      <c r="F252" t="s">
        <v>1701</v>
      </c>
      <c r="H252" t="s">
        <v>1696</v>
      </c>
      <c r="J252" t="s">
        <v>92</v>
      </c>
      <c r="K252" t="s">
        <v>12</v>
      </c>
      <c r="L252" t="s">
        <v>12</v>
      </c>
      <c r="M252" t="s">
        <v>182</v>
      </c>
      <c r="N252" t="s">
        <v>12</v>
      </c>
      <c r="O252" t="s">
        <v>12</v>
      </c>
      <c r="P252" t="s">
        <v>12</v>
      </c>
      <c r="Q252" t="s">
        <v>92</v>
      </c>
      <c r="R252" t="s">
        <v>182</v>
      </c>
      <c r="S252" t="s">
        <v>92</v>
      </c>
      <c r="T252" t="s">
        <v>1699</v>
      </c>
      <c r="U252" t="s">
        <v>12</v>
      </c>
      <c r="V252" t="s">
        <v>12</v>
      </c>
      <c r="W252" t="s">
        <v>1702</v>
      </c>
      <c r="AA252" t="s">
        <v>12</v>
      </c>
      <c r="AB252" t="s">
        <v>92</v>
      </c>
      <c r="AC252" t="s">
        <v>12</v>
      </c>
      <c r="AD252" t="s">
        <v>92</v>
      </c>
      <c r="AE252" t="s">
        <v>130</v>
      </c>
      <c r="AF252" t="s">
        <v>1703</v>
      </c>
    </row>
    <row r="253" spans="1:32" x14ac:dyDescent="0.45">
      <c r="A253" t="s">
        <v>1704</v>
      </c>
      <c r="B253" t="s">
        <v>1705</v>
      </c>
      <c r="C253" t="s">
        <v>1706</v>
      </c>
      <c r="D253" t="s">
        <v>1705</v>
      </c>
      <c r="J253" t="s">
        <v>92</v>
      </c>
      <c r="K253" t="s">
        <v>12</v>
      </c>
      <c r="L253" t="s">
        <v>12</v>
      </c>
      <c r="M253" t="s">
        <v>182</v>
      </c>
      <c r="N253" t="s">
        <v>12</v>
      </c>
      <c r="O253" t="s">
        <v>12</v>
      </c>
      <c r="P253" t="s">
        <v>12</v>
      </c>
      <c r="Q253" t="s">
        <v>92</v>
      </c>
      <c r="R253" t="s">
        <v>182</v>
      </c>
      <c r="S253" t="s">
        <v>92</v>
      </c>
      <c r="T253" t="s">
        <v>1704</v>
      </c>
      <c r="U253" t="s">
        <v>12</v>
      </c>
      <c r="V253" t="s">
        <v>12</v>
      </c>
      <c r="W253" t="s">
        <v>12</v>
      </c>
      <c r="AA253" t="s">
        <v>12</v>
      </c>
      <c r="AB253" t="s">
        <v>92</v>
      </c>
      <c r="AC253" t="s">
        <v>12</v>
      </c>
      <c r="AD253" t="s">
        <v>92</v>
      </c>
      <c r="AE253" t="s">
        <v>119</v>
      </c>
      <c r="AF253" t="s">
        <v>1707</v>
      </c>
    </row>
    <row r="254" spans="1:32" x14ac:dyDescent="0.45">
      <c r="A254" t="s">
        <v>1708</v>
      </c>
      <c r="B254" t="s">
        <v>1709</v>
      </c>
      <c r="C254" t="s">
        <v>1710</v>
      </c>
      <c r="D254" t="s">
        <v>1709</v>
      </c>
      <c r="E254" t="s">
        <v>1711</v>
      </c>
      <c r="F254" t="s">
        <v>1712</v>
      </c>
      <c r="H254" t="s">
        <v>1713</v>
      </c>
      <c r="J254" t="s">
        <v>92</v>
      </c>
      <c r="K254" t="s">
        <v>12</v>
      </c>
      <c r="L254" t="s">
        <v>12</v>
      </c>
      <c r="M254" t="s">
        <v>182</v>
      </c>
      <c r="N254" t="s">
        <v>12</v>
      </c>
      <c r="O254" t="s">
        <v>12</v>
      </c>
      <c r="P254" t="s">
        <v>12</v>
      </c>
      <c r="Q254" t="s">
        <v>92</v>
      </c>
      <c r="R254" t="s">
        <v>182</v>
      </c>
      <c r="S254" t="s">
        <v>92</v>
      </c>
      <c r="T254" t="s">
        <v>1708</v>
      </c>
      <c r="U254" t="s">
        <v>12</v>
      </c>
      <c r="V254" t="s">
        <v>12</v>
      </c>
      <c r="W254" t="s">
        <v>1714</v>
      </c>
      <c r="AA254" t="s">
        <v>92</v>
      </c>
      <c r="AB254" t="s">
        <v>92</v>
      </c>
      <c r="AC254" t="s">
        <v>12</v>
      </c>
      <c r="AD254" t="s">
        <v>92</v>
      </c>
      <c r="AE254" t="s">
        <v>119</v>
      </c>
      <c r="AF254" t="s">
        <v>1715</v>
      </c>
    </row>
    <row r="255" spans="1:32" x14ac:dyDescent="0.45">
      <c r="A255" t="s">
        <v>1716</v>
      </c>
      <c r="B255" t="s">
        <v>1717</v>
      </c>
      <c r="C255" t="s">
        <v>1718</v>
      </c>
      <c r="D255" t="s">
        <v>1709</v>
      </c>
      <c r="E255" t="s">
        <v>1711</v>
      </c>
      <c r="F255" t="s">
        <v>1719</v>
      </c>
      <c r="G255" t="s">
        <v>1720</v>
      </c>
      <c r="H255" t="s">
        <v>1713</v>
      </c>
      <c r="J255" t="s">
        <v>92</v>
      </c>
      <c r="K255" t="s">
        <v>12</v>
      </c>
      <c r="L255" t="s">
        <v>12</v>
      </c>
      <c r="M255" t="s">
        <v>182</v>
      </c>
      <c r="N255" t="s">
        <v>12</v>
      </c>
      <c r="O255" t="s">
        <v>12</v>
      </c>
      <c r="P255" t="s">
        <v>12</v>
      </c>
      <c r="Q255" t="s">
        <v>92</v>
      </c>
      <c r="R255" t="s">
        <v>182</v>
      </c>
      <c r="S255" t="s">
        <v>92</v>
      </c>
      <c r="T255" t="s">
        <v>1716</v>
      </c>
      <c r="U255" t="s">
        <v>12</v>
      </c>
      <c r="V255" t="s">
        <v>12</v>
      </c>
      <c r="W255" t="s">
        <v>1714</v>
      </c>
      <c r="AA255" t="s">
        <v>12</v>
      </c>
      <c r="AB255" t="s">
        <v>92</v>
      </c>
      <c r="AC255" t="s">
        <v>12</v>
      </c>
      <c r="AD255" t="s">
        <v>92</v>
      </c>
      <c r="AE255" t="s">
        <v>119</v>
      </c>
      <c r="AF255" t="s">
        <v>1721</v>
      </c>
    </row>
    <row r="256" spans="1:32" x14ac:dyDescent="0.45">
      <c r="A256" t="s">
        <v>1722</v>
      </c>
      <c r="B256" t="s">
        <v>1723</v>
      </c>
      <c r="C256" t="s">
        <v>1724</v>
      </c>
      <c r="D256" t="s">
        <v>1723</v>
      </c>
      <c r="E256" t="s">
        <v>1725</v>
      </c>
      <c r="F256" t="s">
        <v>1726</v>
      </c>
      <c r="H256" t="s">
        <v>1727</v>
      </c>
      <c r="I256" t="s">
        <v>1728</v>
      </c>
      <c r="J256" t="s">
        <v>92</v>
      </c>
      <c r="K256" t="s">
        <v>12</v>
      </c>
      <c r="L256" t="s">
        <v>12</v>
      </c>
      <c r="M256" t="s">
        <v>182</v>
      </c>
      <c r="N256" t="s">
        <v>12</v>
      </c>
      <c r="O256" t="s">
        <v>12</v>
      </c>
      <c r="P256" t="s">
        <v>12</v>
      </c>
      <c r="Q256" t="s">
        <v>92</v>
      </c>
      <c r="R256" t="s">
        <v>182</v>
      </c>
      <c r="S256" t="s">
        <v>92</v>
      </c>
      <c r="T256" t="s">
        <v>1722</v>
      </c>
      <c r="U256" t="s">
        <v>12</v>
      </c>
      <c r="V256" t="s">
        <v>12</v>
      </c>
      <c r="W256" t="s">
        <v>12</v>
      </c>
      <c r="AA256" t="s">
        <v>12</v>
      </c>
      <c r="AB256" t="s">
        <v>92</v>
      </c>
      <c r="AC256" t="s">
        <v>12</v>
      </c>
      <c r="AD256" t="s">
        <v>92</v>
      </c>
      <c r="AE256" t="s">
        <v>119</v>
      </c>
      <c r="AF256" t="s">
        <v>1729</v>
      </c>
    </row>
    <row r="257" spans="1:32" x14ac:dyDescent="0.45">
      <c r="A257" t="s">
        <v>1730</v>
      </c>
      <c r="B257" t="s">
        <v>1731</v>
      </c>
      <c r="C257" t="s">
        <v>1732</v>
      </c>
      <c r="D257"/>
      <c r="E257" t="s">
        <v>1725</v>
      </c>
      <c r="F257" t="s">
        <v>1733</v>
      </c>
      <c r="H257" t="s">
        <v>1734</v>
      </c>
      <c r="J257" t="s">
        <v>92</v>
      </c>
      <c r="K257" t="s">
        <v>12</v>
      </c>
      <c r="L257" t="s">
        <v>12</v>
      </c>
      <c r="M257" t="s">
        <v>182</v>
      </c>
      <c r="N257" t="s">
        <v>12</v>
      </c>
      <c r="O257" t="s">
        <v>12</v>
      </c>
      <c r="P257" t="s">
        <v>12</v>
      </c>
      <c r="Q257" t="s">
        <v>92</v>
      </c>
      <c r="R257" t="s">
        <v>182</v>
      </c>
      <c r="S257" t="s">
        <v>92</v>
      </c>
      <c r="T257" t="s">
        <v>1730</v>
      </c>
      <c r="U257" t="s">
        <v>12</v>
      </c>
      <c r="V257" t="s">
        <v>12</v>
      </c>
      <c r="W257" t="s">
        <v>12</v>
      </c>
      <c r="AA257" t="s">
        <v>12</v>
      </c>
      <c r="AB257" t="s">
        <v>92</v>
      </c>
      <c r="AC257" t="s">
        <v>12</v>
      </c>
      <c r="AD257" t="s">
        <v>92</v>
      </c>
      <c r="AE257" t="s">
        <v>130</v>
      </c>
      <c r="AF257" t="s">
        <v>1735</v>
      </c>
    </row>
    <row r="258" spans="1:32" x14ac:dyDescent="0.45">
      <c r="A258" t="s">
        <v>1736</v>
      </c>
      <c r="B258" t="s">
        <v>1737</v>
      </c>
      <c r="C258" t="s">
        <v>1738</v>
      </c>
      <c r="D258" t="s">
        <v>1739</v>
      </c>
      <c r="E258" t="s">
        <v>1740</v>
      </c>
      <c r="F258" t="s">
        <v>1741</v>
      </c>
      <c r="H258" t="s">
        <v>1742</v>
      </c>
      <c r="I258" t="s">
        <v>1743</v>
      </c>
      <c r="J258" t="s">
        <v>92</v>
      </c>
      <c r="K258" t="s">
        <v>12</v>
      </c>
      <c r="L258" t="s">
        <v>12</v>
      </c>
      <c r="M258" t="s">
        <v>182</v>
      </c>
      <c r="N258" t="s">
        <v>12</v>
      </c>
      <c r="O258" t="s">
        <v>12</v>
      </c>
      <c r="P258" t="s">
        <v>12</v>
      </c>
      <c r="Q258" t="s">
        <v>92</v>
      </c>
      <c r="R258" t="s">
        <v>182</v>
      </c>
      <c r="S258" t="s">
        <v>92</v>
      </c>
      <c r="T258" t="s">
        <v>1736</v>
      </c>
      <c r="U258" t="s">
        <v>12</v>
      </c>
      <c r="V258" t="s">
        <v>12</v>
      </c>
      <c r="W258" t="s">
        <v>12</v>
      </c>
      <c r="AA258" t="s">
        <v>12</v>
      </c>
      <c r="AB258" t="s">
        <v>92</v>
      </c>
      <c r="AC258" t="s">
        <v>12</v>
      </c>
      <c r="AD258" t="s">
        <v>92</v>
      </c>
      <c r="AE258" t="s">
        <v>169</v>
      </c>
      <c r="AF258" t="s">
        <v>1744</v>
      </c>
    </row>
    <row r="259" spans="1:32" x14ac:dyDescent="0.45">
      <c r="A259" t="s">
        <v>1745</v>
      </c>
      <c r="B259" t="s">
        <v>1746</v>
      </c>
      <c r="C259" t="s">
        <v>1747</v>
      </c>
      <c r="D259" t="s">
        <v>1748</v>
      </c>
      <c r="E259" t="s">
        <v>1749</v>
      </c>
      <c r="F259" t="s">
        <v>1750</v>
      </c>
      <c r="G259" t="s">
        <v>1751</v>
      </c>
      <c r="H259" t="s">
        <v>1752</v>
      </c>
      <c r="J259" t="s">
        <v>92</v>
      </c>
      <c r="K259" t="s">
        <v>12</v>
      </c>
      <c r="L259" t="s">
        <v>12</v>
      </c>
      <c r="M259" t="s">
        <v>182</v>
      </c>
      <c r="N259" t="s">
        <v>12</v>
      </c>
      <c r="O259" t="s">
        <v>12</v>
      </c>
      <c r="P259" t="s">
        <v>12</v>
      </c>
      <c r="Q259" t="s">
        <v>92</v>
      </c>
      <c r="R259" t="s">
        <v>182</v>
      </c>
      <c r="S259" t="s">
        <v>92</v>
      </c>
      <c r="T259" t="s">
        <v>1745</v>
      </c>
      <c r="U259" t="s">
        <v>12</v>
      </c>
      <c r="V259" t="s">
        <v>12</v>
      </c>
      <c r="W259" t="s">
        <v>92</v>
      </c>
      <c r="AA259" t="s">
        <v>12</v>
      </c>
      <c r="AB259" t="s">
        <v>92</v>
      </c>
      <c r="AC259" t="s">
        <v>12</v>
      </c>
      <c r="AD259" t="s">
        <v>92</v>
      </c>
      <c r="AE259" t="s">
        <v>119</v>
      </c>
      <c r="AF259" t="s">
        <v>1753</v>
      </c>
    </row>
    <row r="260" spans="1:32" x14ac:dyDescent="0.45">
      <c r="A260" t="s">
        <v>1754</v>
      </c>
      <c r="B260" t="s">
        <v>1755</v>
      </c>
      <c r="C260" t="s">
        <v>1756</v>
      </c>
      <c r="D260" t="s">
        <v>1748</v>
      </c>
      <c r="E260" t="s">
        <v>1749</v>
      </c>
      <c r="F260" t="s">
        <v>1750</v>
      </c>
      <c r="G260" t="s">
        <v>1751</v>
      </c>
      <c r="H260" t="s">
        <v>1752</v>
      </c>
      <c r="I260" t="s">
        <v>1757</v>
      </c>
      <c r="J260" t="s">
        <v>92</v>
      </c>
      <c r="K260" t="s">
        <v>12</v>
      </c>
      <c r="L260" t="s">
        <v>12</v>
      </c>
      <c r="M260" t="s">
        <v>182</v>
      </c>
      <c r="N260" t="s">
        <v>12</v>
      </c>
      <c r="O260" t="s">
        <v>12</v>
      </c>
      <c r="P260" t="s">
        <v>12</v>
      </c>
      <c r="Q260" t="s">
        <v>92</v>
      </c>
      <c r="R260" t="s">
        <v>182</v>
      </c>
      <c r="S260" t="s">
        <v>92</v>
      </c>
      <c r="T260" t="s">
        <v>1754</v>
      </c>
      <c r="U260" t="s">
        <v>12</v>
      </c>
      <c r="V260" t="s">
        <v>12</v>
      </c>
      <c r="W260" t="s">
        <v>12</v>
      </c>
      <c r="AA260" t="s">
        <v>92</v>
      </c>
      <c r="AB260" t="s">
        <v>92</v>
      </c>
      <c r="AC260" t="s">
        <v>12</v>
      </c>
      <c r="AD260" t="s">
        <v>92</v>
      </c>
      <c r="AE260" t="s">
        <v>119</v>
      </c>
      <c r="AF260" t="s">
        <v>1758</v>
      </c>
    </row>
    <row r="261" spans="1:32" x14ac:dyDescent="0.45">
      <c r="A261" t="s">
        <v>1759</v>
      </c>
      <c r="B261" t="s">
        <v>1760</v>
      </c>
      <c r="C261" t="s">
        <v>1761</v>
      </c>
      <c r="D261" t="s">
        <v>1748</v>
      </c>
      <c r="E261" t="s">
        <v>1749</v>
      </c>
      <c r="F261" t="s">
        <v>1750</v>
      </c>
      <c r="G261" t="s">
        <v>1751</v>
      </c>
      <c r="H261" t="s">
        <v>1752</v>
      </c>
      <c r="I261" t="s">
        <v>1757</v>
      </c>
      <c r="J261" t="s">
        <v>92</v>
      </c>
      <c r="K261" t="s">
        <v>12</v>
      </c>
      <c r="L261" t="s">
        <v>12</v>
      </c>
      <c r="M261" t="s">
        <v>182</v>
      </c>
      <c r="N261" t="s">
        <v>12</v>
      </c>
      <c r="O261" t="s">
        <v>12</v>
      </c>
      <c r="P261" t="s">
        <v>12</v>
      </c>
      <c r="Q261" t="s">
        <v>92</v>
      </c>
      <c r="R261" t="s">
        <v>182</v>
      </c>
      <c r="S261" t="s">
        <v>92</v>
      </c>
      <c r="T261" t="s">
        <v>1759</v>
      </c>
      <c r="U261" t="s">
        <v>12</v>
      </c>
      <c r="V261" t="s">
        <v>12</v>
      </c>
      <c r="W261" t="s">
        <v>12</v>
      </c>
      <c r="AA261" t="s">
        <v>92</v>
      </c>
      <c r="AB261" t="s">
        <v>92</v>
      </c>
      <c r="AC261" t="s">
        <v>12</v>
      </c>
      <c r="AD261" t="s">
        <v>92</v>
      </c>
      <c r="AE261" t="s">
        <v>119</v>
      </c>
      <c r="AF261" t="s">
        <v>1762</v>
      </c>
    </row>
    <row r="262" spans="1:32" x14ac:dyDescent="0.45">
      <c r="A262" t="s">
        <v>1763</v>
      </c>
      <c r="B262" t="s">
        <v>1764</v>
      </c>
      <c r="C262" t="s">
        <v>1765</v>
      </c>
      <c r="D262" t="s">
        <v>1748</v>
      </c>
      <c r="E262" t="s">
        <v>1749</v>
      </c>
      <c r="F262" t="s">
        <v>1750</v>
      </c>
      <c r="G262" t="s">
        <v>1751</v>
      </c>
      <c r="H262" t="s">
        <v>1752</v>
      </c>
      <c r="I262" t="s">
        <v>1757</v>
      </c>
      <c r="J262" t="s">
        <v>92</v>
      </c>
      <c r="K262" t="s">
        <v>12</v>
      </c>
      <c r="L262" t="s">
        <v>12</v>
      </c>
      <c r="M262" t="s">
        <v>182</v>
      </c>
      <c r="N262" t="s">
        <v>12</v>
      </c>
      <c r="O262" t="s">
        <v>12</v>
      </c>
      <c r="P262" t="s">
        <v>12</v>
      </c>
      <c r="Q262" t="s">
        <v>92</v>
      </c>
      <c r="R262" t="s">
        <v>182</v>
      </c>
      <c r="S262" t="s">
        <v>92</v>
      </c>
      <c r="T262" t="s">
        <v>1763</v>
      </c>
      <c r="U262" t="s">
        <v>12</v>
      </c>
      <c r="V262" t="s">
        <v>12</v>
      </c>
      <c r="W262" t="s">
        <v>12</v>
      </c>
      <c r="AA262" t="s">
        <v>92</v>
      </c>
      <c r="AB262" t="s">
        <v>92</v>
      </c>
      <c r="AC262" t="s">
        <v>12</v>
      </c>
      <c r="AD262" t="s">
        <v>92</v>
      </c>
      <c r="AE262" t="s">
        <v>119</v>
      </c>
      <c r="AF262" t="s">
        <v>1766</v>
      </c>
    </row>
    <row r="263" spans="1:32" x14ac:dyDescent="0.45">
      <c r="A263" t="s">
        <v>1767</v>
      </c>
      <c r="B263" t="s">
        <v>1768</v>
      </c>
      <c r="C263" t="s">
        <v>1769</v>
      </c>
      <c r="D263" t="s">
        <v>1770</v>
      </c>
      <c r="E263" t="s">
        <v>1771</v>
      </c>
      <c r="F263" t="s">
        <v>1772</v>
      </c>
      <c r="H263" t="s">
        <v>1773</v>
      </c>
      <c r="I263" t="s">
        <v>1773</v>
      </c>
      <c r="J263" t="s">
        <v>92</v>
      </c>
      <c r="K263" t="s">
        <v>12</v>
      </c>
      <c r="L263" t="s">
        <v>12</v>
      </c>
      <c r="M263" t="s">
        <v>182</v>
      </c>
      <c r="N263" t="s">
        <v>12</v>
      </c>
      <c r="O263" t="s">
        <v>12</v>
      </c>
      <c r="P263" t="s">
        <v>12</v>
      </c>
      <c r="Q263" t="s">
        <v>92</v>
      </c>
      <c r="R263" t="s">
        <v>182</v>
      </c>
      <c r="S263" t="s">
        <v>92</v>
      </c>
      <c r="T263" t="s">
        <v>1767</v>
      </c>
      <c r="U263" t="s">
        <v>12</v>
      </c>
      <c r="V263" t="s">
        <v>12</v>
      </c>
      <c r="W263" t="s">
        <v>1082</v>
      </c>
      <c r="Z263" t="s">
        <v>610</v>
      </c>
      <c r="AA263" t="s">
        <v>92</v>
      </c>
      <c r="AB263" t="s">
        <v>92</v>
      </c>
      <c r="AC263" t="s">
        <v>12</v>
      </c>
      <c r="AD263" t="s">
        <v>92</v>
      </c>
      <c r="AE263" t="s">
        <v>119</v>
      </c>
      <c r="AF263" t="s">
        <v>1774</v>
      </c>
    </row>
    <row r="264" spans="1:32" x14ac:dyDescent="0.45">
      <c r="A264" t="s">
        <v>1775</v>
      </c>
      <c r="B264" t="s">
        <v>1776</v>
      </c>
      <c r="C264" t="s">
        <v>1777</v>
      </c>
      <c r="D264" t="s">
        <v>1778</v>
      </c>
      <c r="E264" t="s">
        <v>1771</v>
      </c>
      <c r="F264" t="s">
        <v>1779</v>
      </c>
      <c r="H264" t="s">
        <v>1773</v>
      </c>
      <c r="I264" t="s">
        <v>1773</v>
      </c>
      <c r="J264" t="s">
        <v>92</v>
      </c>
      <c r="K264" t="s">
        <v>12</v>
      </c>
      <c r="L264" t="s">
        <v>12</v>
      </c>
      <c r="M264" t="s">
        <v>182</v>
      </c>
      <c r="N264" t="s">
        <v>12</v>
      </c>
      <c r="O264" t="s">
        <v>12</v>
      </c>
      <c r="P264" t="s">
        <v>12</v>
      </c>
      <c r="Q264" t="s">
        <v>12</v>
      </c>
      <c r="R264" t="s">
        <v>182</v>
      </c>
      <c r="S264" t="s">
        <v>92</v>
      </c>
      <c r="T264" t="s">
        <v>1775</v>
      </c>
      <c r="U264" t="s">
        <v>12</v>
      </c>
      <c r="V264" t="s">
        <v>12</v>
      </c>
      <c r="W264" t="s">
        <v>1082</v>
      </c>
      <c r="AA264" t="s">
        <v>12</v>
      </c>
      <c r="AB264" t="s">
        <v>92</v>
      </c>
      <c r="AC264" t="s">
        <v>12</v>
      </c>
      <c r="AD264" t="s">
        <v>92</v>
      </c>
      <c r="AE264" t="s">
        <v>119</v>
      </c>
      <c r="AF264" t="s">
        <v>1780</v>
      </c>
    </row>
    <row r="265" spans="1:32" x14ac:dyDescent="0.45">
      <c r="A265" t="s">
        <v>1781</v>
      </c>
      <c r="B265" t="s">
        <v>1782</v>
      </c>
      <c r="C265" t="s">
        <v>1783</v>
      </c>
      <c r="D265" t="s">
        <v>1782</v>
      </c>
      <c r="J265" t="s">
        <v>92</v>
      </c>
      <c r="K265" t="s">
        <v>12</v>
      </c>
      <c r="L265" t="s">
        <v>12</v>
      </c>
      <c r="M265" t="s">
        <v>182</v>
      </c>
      <c r="N265" t="s">
        <v>12</v>
      </c>
      <c r="O265" t="s">
        <v>12</v>
      </c>
      <c r="P265" t="s">
        <v>12</v>
      </c>
      <c r="Q265" t="s">
        <v>12</v>
      </c>
      <c r="R265" t="s">
        <v>12</v>
      </c>
      <c r="S265" t="s">
        <v>92</v>
      </c>
      <c r="T265" t="s">
        <v>1781</v>
      </c>
      <c r="U265" t="s">
        <v>12</v>
      </c>
      <c r="V265" t="s">
        <v>12</v>
      </c>
      <c r="W265" t="s">
        <v>1784</v>
      </c>
      <c r="AA265" t="s">
        <v>12</v>
      </c>
      <c r="AB265" t="s">
        <v>92</v>
      </c>
      <c r="AC265" t="s">
        <v>12</v>
      </c>
      <c r="AD265" t="s">
        <v>92</v>
      </c>
      <c r="AE265" t="s">
        <v>119</v>
      </c>
      <c r="AF265" t="s">
        <v>1785</v>
      </c>
    </row>
    <row r="266" spans="1:32" x14ac:dyDescent="0.45">
      <c r="A266" t="s">
        <v>1786</v>
      </c>
      <c r="B266" t="s">
        <v>1787</v>
      </c>
      <c r="C266" t="s">
        <v>1788</v>
      </c>
      <c r="D266" t="s">
        <v>1789</v>
      </c>
      <c r="E266" t="s">
        <v>1790</v>
      </c>
      <c r="F266" t="s">
        <v>1791</v>
      </c>
      <c r="H266" t="s">
        <v>1792</v>
      </c>
      <c r="I266" t="s">
        <v>1793</v>
      </c>
      <c r="J266" t="s">
        <v>92</v>
      </c>
      <c r="K266" t="s">
        <v>12</v>
      </c>
      <c r="L266" t="s">
        <v>12</v>
      </c>
      <c r="M266" t="s">
        <v>182</v>
      </c>
      <c r="N266" t="s">
        <v>12</v>
      </c>
      <c r="O266" t="s">
        <v>12</v>
      </c>
      <c r="P266" t="s">
        <v>12</v>
      </c>
      <c r="Q266" t="s">
        <v>92</v>
      </c>
      <c r="R266" t="s">
        <v>182</v>
      </c>
      <c r="S266" t="s">
        <v>92</v>
      </c>
      <c r="T266" t="s">
        <v>1786</v>
      </c>
      <c r="U266" t="s">
        <v>12</v>
      </c>
      <c r="V266" t="s">
        <v>12</v>
      </c>
      <c r="W266" t="s">
        <v>701</v>
      </c>
      <c r="AA266" t="s">
        <v>12</v>
      </c>
      <c r="AB266" t="s">
        <v>92</v>
      </c>
      <c r="AC266" t="s">
        <v>12</v>
      </c>
      <c r="AD266" t="s">
        <v>92</v>
      </c>
      <c r="AE266" t="s">
        <v>166</v>
      </c>
      <c r="AF266" t="s">
        <v>1794</v>
      </c>
    </row>
    <row r="267" spans="1:32" x14ac:dyDescent="0.45">
      <c r="A267" t="s">
        <v>1795</v>
      </c>
      <c r="B267" t="s">
        <v>1796</v>
      </c>
      <c r="C267" t="s">
        <v>1797</v>
      </c>
      <c r="D267" t="s">
        <v>1798</v>
      </c>
      <c r="E267" t="s">
        <v>1790</v>
      </c>
      <c r="F267" t="s">
        <v>1791</v>
      </c>
      <c r="H267" t="s">
        <v>1792</v>
      </c>
      <c r="I267" t="s">
        <v>1793</v>
      </c>
      <c r="J267" t="s">
        <v>92</v>
      </c>
      <c r="K267" t="s">
        <v>12</v>
      </c>
      <c r="L267" t="s">
        <v>12</v>
      </c>
      <c r="M267" t="s">
        <v>182</v>
      </c>
      <c r="N267" t="s">
        <v>12</v>
      </c>
      <c r="O267" t="s">
        <v>12</v>
      </c>
      <c r="P267" t="s">
        <v>12</v>
      </c>
      <c r="Q267" t="s">
        <v>92</v>
      </c>
      <c r="R267" t="s">
        <v>182</v>
      </c>
      <c r="S267" t="s">
        <v>92</v>
      </c>
      <c r="T267" t="s">
        <v>1795</v>
      </c>
      <c r="U267" t="s">
        <v>12</v>
      </c>
      <c r="V267" t="s">
        <v>12</v>
      </c>
      <c r="W267" t="s">
        <v>120</v>
      </c>
      <c r="AA267" t="s">
        <v>12</v>
      </c>
      <c r="AB267" t="s">
        <v>92</v>
      </c>
      <c r="AC267" t="s">
        <v>12</v>
      </c>
      <c r="AD267" t="s">
        <v>92</v>
      </c>
      <c r="AE267" t="s">
        <v>130</v>
      </c>
      <c r="AF267" t="s">
        <v>1799</v>
      </c>
    </row>
    <row r="268" spans="1:32" x14ac:dyDescent="0.45">
      <c r="A268" t="s">
        <v>1800</v>
      </c>
      <c r="B268" t="s">
        <v>1787</v>
      </c>
      <c r="C268" t="s">
        <v>1801</v>
      </c>
      <c r="D268" t="s">
        <v>1789</v>
      </c>
      <c r="E268" t="s">
        <v>1790</v>
      </c>
      <c r="F268" t="s">
        <v>1791</v>
      </c>
      <c r="H268" t="s">
        <v>1792</v>
      </c>
      <c r="I268" t="s">
        <v>1793</v>
      </c>
      <c r="J268" t="s">
        <v>92</v>
      </c>
      <c r="K268" t="s">
        <v>12</v>
      </c>
      <c r="L268" t="s">
        <v>12</v>
      </c>
      <c r="M268" t="s">
        <v>182</v>
      </c>
      <c r="N268" t="s">
        <v>12</v>
      </c>
      <c r="O268" t="s">
        <v>12</v>
      </c>
      <c r="P268" t="s">
        <v>12</v>
      </c>
      <c r="Q268" t="s">
        <v>92</v>
      </c>
      <c r="R268" t="s">
        <v>182</v>
      </c>
      <c r="S268" t="s">
        <v>92</v>
      </c>
      <c r="T268" t="s">
        <v>1800</v>
      </c>
      <c r="U268" t="s">
        <v>12</v>
      </c>
      <c r="V268" t="s">
        <v>12</v>
      </c>
      <c r="W268" t="s">
        <v>123</v>
      </c>
      <c r="AA268" t="s">
        <v>12</v>
      </c>
      <c r="AB268" t="s">
        <v>92</v>
      </c>
      <c r="AC268" t="s">
        <v>12</v>
      </c>
      <c r="AD268" t="s">
        <v>92</v>
      </c>
      <c r="AE268" t="s">
        <v>130</v>
      </c>
      <c r="AF268" t="s">
        <v>1802</v>
      </c>
    </row>
    <row r="269" spans="1:32" x14ac:dyDescent="0.45">
      <c r="A269" t="s">
        <v>1803</v>
      </c>
      <c r="B269" t="s">
        <v>1804</v>
      </c>
      <c r="C269" t="s">
        <v>1805</v>
      </c>
      <c r="D269" t="s">
        <v>1804</v>
      </c>
      <c r="E269" t="s">
        <v>1790</v>
      </c>
      <c r="F269" t="s">
        <v>1791</v>
      </c>
      <c r="H269" t="s">
        <v>1792</v>
      </c>
      <c r="I269" t="s">
        <v>1793</v>
      </c>
      <c r="J269" t="s">
        <v>92</v>
      </c>
      <c r="K269" t="s">
        <v>12</v>
      </c>
      <c r="L269" t="s">
        <v>12</v>
      </c>
      <c r="M269" t="s">
        <v>182</v>
      </c>
      <c r="N269" t="s">
        <v>12</v>
      </c>
      <c r="O269" t="s">
        <v>12</v>
      </c>
      <c r="P269" t="s">
        <v>12</v>
      </c>
      <c r="Q269" t="s">
        <v>92</v>
      </c>
      <c r="R269" t="s">
        <v>182</v>
      </c>
      <c r="S269" t="s">
        <v>92</v>
      </c>
      <c r="T269" t="s">
        <v>1803</v>
      </c>
      <c r="U269" t="s">
        <v>12</v>
      </c>
      <c r="V269" t="s">
        <v>12</v>
      </c>
      <c r="W269" t="s">
        <v>123</v>
      </c>
      <c r="AA269" t="s">
        <v>12</v>
      </c>
      <c r="AB269" t="s">
        <v>92</v>
      </c>
      <c r="AC269" t="s">
        <v>12</v>
      </c>
      <c r="AD269" t="s">
        <v>92</v>
      </c>
      <c r="AE269" t="s">
        <v>119</v>
      </c>
      <c r="AF269" t="s">
        <v>1806</v>
      </c>
    </row>
    <row r="270" spans="1:32" x14ac:dyDescent="0.45">
      <c r="A270" t="s">
        <v>210</v>
      </c>
      <c r="B270" t="s">
        <v>1807</v>
      </c>
      <c r="C270" t="s">
        <v>1808</v>
      </c>
      <c r="D270" t="s">
        <v>1809</v>
      </c>
      <c r="F270" t="s">
        <v>1810</v>
      </c>
      <c r="H270" t="s">
        <v>1811</v>
      </c>
      <c r="J270" t="s">
        <v>92</v>
      </c>
      <c r="K270" t="s">
        <v>12</v>
      </c>
      <c r="L270" t="s">
        <v>12</v>
      </c>
      <c r="M270" t="s">
        <v>182</v>
      </c>
      <c r="N270" t="s">
        <v>12</v>
      </c>
      <c r="O270" t="s">
        <v>12</v>
      </c>
      <c r="P270" t="s">
        <v>12</v>
      </c>
      <c r="Q270" t="s">
        <v>92</v>
      </c>
      <c r="R270" t="s">
        <v>182</v>
      </c>
      <c r="S270" t="s">
        <v>92</v>
      </c>
      <c r="T270" t="s">
        <v>210</v>
      </c>
      <c r="U270" t="s">
        <v>12</v>
      </c>
      <c r="V270" t="s">
        <v>12</v>
      </c>
      <c r="W270" t="s">
        <v>790</v>
      </c>
      <c r="AA270" t="s">
        <v>12</v>
      </c>
      <c r="AB270" t="s">
        <v>12</v>
      </c>
      <c r="AC270" t="s">
        <v>12</v>
      </c>
      <c r="AD270" t="s">
        <v>92</v>
      </c>
      <c r="AE270" t="s">
        <v>119</v>
      </c>
      <c r="AF270" t="s">
        <v>1812</v>
      </c>
    </row>
    <row r="271" spans="1:32" x14ac:dyDescent="0.45">
      <c r="A271" t="s">
        <v>1813</v>
      </c>
      <c r="B271" t="s">
        <v>1814</v>
      </c>
      <c r="C271" t="s">
        <v>1815</v>
      </c>
      <c r="D271" t="s">
        <v>1816</v>
      </c>
      <c r="F271" t="s">
        <v>1810</v>
      </c>
      <c r="H271" t="s">
        <v>1811</v>
      </c>
      <c r="J271" t="s">
        <v>92</v>
      </c>
      <c r="K271" t="s">
        <v>12</v>
      </c>
      <c r="L271" t="s">
        <v>12</v>
      </c>
      <c r="M271" t="s">
        <v>182</v>
      </c>
      <c r="N271" t="s">
        <v>12</v>
      </c>
      <c r="O271" t="s">
        <v>12</v>
      </c>
      <c r="P271" t="s">
        <v>12</v>
      </c>
      <c r="Q271" t="s">
        <v>92</v>
      </c>
      <c r="R271" t="s">
        <v>182</v>
      </c>
      <c r="S271" t="s">
        <v>92</v>
      </c>
      <c r="T271" t="s">
        <v>1813</v>
      </c>
      <c r="U271" t="s">
        <v>12</v>
      </c>
      <c r="V271" t="s">
        <v>12</v>
      </c>
      <c r="W271" t="s">
        <v>790</v>
      </c>
      <c r="AA271" t="s">
        <v>12</v>
      </c>
      <c r="AB271" t="s">
        <v>12</v>
      </c>
      <c r="AC271" t="s">
        <v>12</v>
      </c>
      <c r="AD271" t="s">
        <v>92</v>
      </c>
      <c r="AE271" t="s">
        <v>119</v>
      </c>
      <c r="AF271" t="s">
        <v>1817</v>
      </c>
    </row>
    <row r="272" spans="1:32" x14ac:dyDescent="0.45">
      <c r="A272" t="s">
        <v>1818</v>
      </c>
      <c r="B272" t="s">
        <v>1819</v>
      </c>
      <c r="C272" t="s">
        <v>1820</v>
      </c>
      <c r="D272" t="s">
        <v>1821</v>
      </c>
      <c r="F272" t="s">
        <v>1810</v>
      </c>
      <c r="H272" t="s">
        <v>1811</v>
      </c>
      <c r="J272" t="s">
        <v>92</v>
      </c>
      <c r="K272" t="s">
        <v>12</v>
      </c>
      <c r="L272" t="s">
        <v>12</v>
      </c>
      <c r="M272" t="s">
        <v>182</v>
      </c>
      <c r="N272" t="s">
        <v>12</v>
      </c>
      <c r="O272" t="s">
        <v>12</v>
      </c>
      <c r="P272" t="s">
        <v>12</v>
      </c>
      <c r="Q272" t="s">
        <v>92</v>
      </c>
      <c r="R272" t="s">
        <v>182</v>
      </c>
      <c r="S272" t="s">
        <v>92</v>
      </c>
      <c r="T272" t="s">
        <v>1818</v>
      </c>
      <c r="U272" t="s">
        <v>12</v>
      </c>
      <c r="V272" t="s">
        <v>12</v>
      </c>
      <c r="W272" t="s">
        <v>794</v>
      </c>
      <c r="AA272" t="s">
        <v>12</v>
      </c>
      <c r="AB272" t="s">
        <v>92</v>
      </c>
      <c r="AC272" t="s">
        <v>12</v>
      </c>
      <c r="AD272" t="s">
        <v>92</v>
      </c>
      <c r="AE272" t="s">
        <v>119</v>
      </c>
      <c r="AF272" t="s">
        <v>1822</v>
      </c>
    </row>
    <row r="273" spans="1:32" x14ac:dyDescent="0.45">
      <c r="A273" t="s">
        <v>211</v>
      </c>
      <c r="B273" t="s">
        <v>1823</v>
      </c>
      <c r="C273" t="s">
        <v>1824</v>
      </c>
      <c r="D273" t="s">
        <v>1825</v>
      </c>
      <c r="F273" t="s">
        <v>1810</v>
      </c>
      <c r="H273" t="s">
        <v>1811</v>
      </c>
      <c r="J273" t="s">
        <v>92</v>
      </c>
      <c r="K273" t="s">
        <v>12</v>
      </c>
      <c r="L273" t="s">
        <v>12</v>
      </c>
      <c r="M273" t="s">
        <v>182</v>
      </c>
      <c r="N273" t="s">
        <v>12</v>
      </c>
      <c r="O273" t="s">
        <v>12</v>
      </c>
      <c r="P273" t="s">
        <v>12</v>
      </c>
      <c r="Q273" t="s">
        <v>92</v>
      </c>
      <c r="R273" t="s">
        <v>182</v>
      </c>
      <c r="S273" t="s">
        <v>92</v>
      </c>
      <c r="T273" t="s">
        <v>211</v>
      </c>
      <c r="U273" t="s">
        <v>12</v>
      </c>
      <c r="V273" t="s">
        <v>12</v>
      </c>
      <c r="W273" t="s">
        <v>790</v>
      </c>
      <c r="AA273" t="s">
        <v>92</v>
      </c>
      <c r="AB273" t="s">
        <v>92</v>
      </c>
      <c r="AC273" t="s">
        <v>12</v>
      </c>
      <c r="AD273" t="s">
        <v>92</v>
      </c>
      <c r="AE273" t="s">
        <v>119</v>
      </c>
      <c r="AF273" t="s">
        <v>1826</v>
      </c>
    </row>
    <row r="274" spans="1:32" x14ac:dyDescent="0.45">
      <c r="A274" t="s">
        <v>1827</v>
      </c>
      <c r="B274" t="s">
        <v>1828</v>
      </c>
      <c r="C274" t="s">
        <v>1829</v>
      </c>
      <c r="D274" t="s">
        <v>1830</v>
      </c>
      <c r="F274" t="s">
        <v>1810</v>
      </c>
      <c r="H274" t="s">
        <v>1811</v>
      </c>
      <c r="J274" t="s">
        <v>92</v>
      </c>
      <c r="K274" t="s">
        <v>12</v>
      </c>
      <c r="L274" t="s">
        <v>12</v>
      </c>
      <c r="M274" t="s">
        <v>182</v>
      </c>
      <c r="N274" t="s">
        <v>12</v>
      </c>
      <c r="O274" t="s">
        <v>12</v>
      </c>
      <c r="P274" t="s">
        <v>12</v>
      </c>
      <c r="Q274" t="s">
        <v>92</v>
      </c>
      <c r="R274" t="s">
        <v>182</v>
      </c>
      <c r="S274" t="s">
        <v>92</v>
      </c>
      <c r="T274" t="s">
        <v>1827</v>
      </c>
      <c r="U274" t="s">
        <v>12</v>
      </c>
      <c r="V274" t="s">
        <v>12</v>
      </c>
      <c r="W274" t="s">
        <v>790</v>
      </c>
      <c r="AA274" t="s">
        <v>12</v>
      </c>
      <c r="AB274" t="s">
        <v>92</v>
      </c>
      <c r="AC274" t="s">
        <v>12</v>
      </c>
      <c r="AD274" t="s">
        <v>92</v>
      </c>
      <c r="AE274" t="s">
        <v>119</v>
      </c>
      <c r="AF274" t="s">
        <v>1831</v>
      </c>
    </row>
    <row r="275" spans="1:32" x14ac:dyDescent="0.45">
      <c r="A275" t="s">
        <v>1832</v>
      </c>
      <c r="B275" t="s">
        <v>1833</v>
      </c>
      <c r="C275" t="s">
        <v>1834</v>
      </c>
      <c r="D275" t="s">
        <v>1835</v>
      </c>
      <c r="F275" t="s">
        <v>1810</v>
      </c>
      <c r="H275" t="s">
        <v>1811</v>
      </c>
      <c r="J275" t="s">
        <v>92</v>
      </c>
      <c r="K275" t="s">
        <v>12</v>
      </c>
      <c r="L275" t="s">
        <v>12</v>
      </c>
      <c r="M275" t="s">
        <v>182</v>
      </c>
      <c r="N275" t="s">
        <v>12</v>
      </c>
      <c r="O275" t="s">
        <v>12</v>
      </c>
      <c r="P275" t="s">
        <v>12</v>
      </c>
      <c r="Q275" t="s">
        <v>92</v>
      </c>
      <c r="R275" t="s">
        <v>182</v>
      </c>
      <c r="S275" t="s">
        <v>92</v>
      </c>
      <c r="T275" t="s">
        <v>1832</v>
      </c>
      <c r="U275" t="s">
        <v>12</v>
      </c>
      <c r="V275" t="s">
        <v>12</v>
      </c>
      <c r="W275" t="s">
        <v>794</v>
      </c>
      <c r="AA275" t="s">
        <v>92</v>
      </c>
      <c r="AB275" t="s">
        <v>92</v>
      </c>
      <c r="AC275" t="s">
        <v>12</v>
      </c>
      <c r="AD275" t="s">
        <v>92</v>
      </c>
      <c r="AE275" t="s">
        <v>119</v>
      </c>
      <c r="AF275" t="s">
        <v>1836</v>
      </c>
    </row>
    <row r="276" spans="1:32" x14ac:dyDescent="0.45">
      <c r="A276" t="s">
        <v>1837</v>
      </c>
      <c r="B276" t="s">
        <v>1838</v>
      </c>
      <c r="C276" t="s">
        <v>1839</v>
      </c>
      <c r="D276" t="s">
        <v>1840</v>
      </c>
      <c r="F276" t="s">
        <v>1810</v>
      </c>
      <c r="H276" t="s">
        <v>1811</v>
      </c>
      <c r="J276" t="s">
        <v>92</v>
      </c>
      <c r="K276" t="s">
        <v>12</v>
      </c>
      <c r="L276" t="s">
        <v>12</v>
      </c>
      <c r="M276" t="s">
        <v>182</v>
      </c>
      <c r="N276" t="s">
        <v>12</v>
      </c>
      <c r="O276" t="s">
        <v>12</v>
      </c>
      <c r="P276" t="s">
        <v>12</v>
      </c>
      <c r="Q276" t="s">
        <v>92</v>
      </c>
      <c r="R276" t="s">
        <v>182</v>
      </c>
      <c r="S276" t="s">
        <v>92</v>
      </c>
      <c r="T276" t="s">
        <v>1837</v>
      </c>
      <c r="U276" t="s">
        <v>12</v>
      </c>
      <c r="V276" t="s">
        <v>12</v>
      </c>
      <c r="W276" t="s">
        <v>794</v>
      </c>
      <c r="AA276" t="s">
        <v>92</v>
      </c>
      <c r="AB276" t="s">
        <v>92</v>
      </c>
      <c r="AC276" t="s">
        <v>12</v>
      </c>
      <c r="AD276" t="s">
        <v>92</v>
      </c>
      <c r="AE276" t="s">
        <v>119</v>
      </c>
      <c r="AF276" t="s">
        <v>1841</v>
      </c>
    </row>
    <row r="277" spans="1:32" x14ac:dyDescent="0.45">
      <c r="A277" t="s">
        <v>1842</v>
      </c>
      <c r="B277" t="s">
        <v>1843</v>
      </c>
      <c r="C277" t="s">
        <v>1844</v>
      </c>
      <c r="D277" t="s">
        <v>1845</v>
      </c>
      <c r="F277" t="s">
        <v>1810</v>
      </c>
      <c r="H277" t="s">
        <v>1811</v>
      </c>
      <c r="J277" t="s">
        <v>92</v>
      </c>
      <c r="K277" t="s">
        <v>12</v>
      </c>
      <c r="L277" t="s">
        <v>12</v>
      </c>
      <c r="M277" t="s">
        <v>182</v>
      </c>
      <c r="N277" t="s">
        <v>12</v>
      </c>
      <c r="O277" t="s">
        <v>12</v>
      </c>
      <c r="P277" t="s">
        <v>12</v>
      </c>
      <c r="Q277" t="s">
        <v>92</v>
      </c>
      <c r="R277" t="s">
        <v>182</v>
      </c>
      <c r="S277" t="s">
        <v>92</v>
      </c>
      <c r="T277" t="s">
        <v>1842</v>
      </c>
      <c r="U277" t="s">
        <v>12</v>
      </c>
      <c r="V277" t="s">
        <v>12</v>
      </c>
      <c r="W277" t="s">
        <v>794</v>
      </c>
      <c r="AA277" t="s">
        <v>92</v>
      </c>
      <c r="AB277" t="s">
        <v>92</v>
      </c>
      <c r="AC277" t="s">
        <v>12</v>
      </c>
      <c r="AD277" t="s">
        <v>92</v>
      </c>
      <c r="AE277" t="s">
        <v>119</v>
      </c>
      <c r="AF277" t="s">
        <v>1846</v>
      </c>
    </row>
    <row r="278" spans="1:32" x14ac:dyDescent="0.45">
      <c r="A278" t="s">
        <v>1847</v>
      </c>
      <c r="B278" t="s">
        <v>1848</v>
      </c>
      <c r="C278" t="s">
        <v>1849</v>
      </c>
      <c r="D278" t="s">
        <v>1850</v>
      </c>
      <c r="F278" t="s">
        <v>1810</v>
      </c>
      <c r="H278" t="s">
        <v>1811</v>
      </c>
      <c r="J278" t="s">
        <v>92</v>
      </c>
      <c r="K278" t="s">
        <v>12</v>
      </c>
      <c r="L278" t="s">
        <v>12</v>
      </c>
      <c r="M278" t="s">
        <v>182</v>
      </c>
      <c r="N278" t="s">
        <v>12</v>
      </c>
      <c r="O278" t="s">
        <v>12</v>
      </c>
      <c r="P278" t="s">
        <v>12</v>
      </c>
      <c r="Q278" t="s">
        <v>92</v>
      </c>
      <c r="R278" t="s">
        <v>182</v>
      </c>
      <c r="S278" t="s">
        <v>92</v>
      </c>
      <c r="T278" t="s">
        <v>1847</v>
      </c>
      <c r="U278" t="s">
        <v>12</v>
      </c>
      <c r="V278" t="s">
        <v>12</v>
      </c>
      <c r="W278" t="s">
        <v>790</v>
      </c>
      <c r="AA278" t="s">
        <v>92</v>
      </c>
      <c r="AB278" t="s">
        <v>12</v>
      </c>
      <c r="AC278" t="s">
        <v>12</v>
      </c>
      <c r="AD278" t="s">
        <v>92</v>
      </c>
      <c r="AE278" t="s">
        <v>119</v>
      </c>
      <c r="AF278" t="s">
        <v>1851</v>
      </c>
    </row>
    <row r="279" spans="1:32" x14ac:dyDescent="0.45">
      <c r="A279" t="s">
        <v>1852</v>
      </c>
      <c r="B279" t="s">
        <v>1853</v>
      </c>
      <c r="C279" t="s">
        <v>1854</v>
      </c>
      <c r="D279" t="s">
        <v>1854</v>
      </c>
      <c r="E279" t="s">
        <v>1855</v>
      </c>
      <c r="F279" t="s">
        <v>1856</v>
      </c>
      <c r="G279" t="s">
        <v>1857</v>
      </c>
      <c r="J279" t="s">
        <v>92</v>
      </c>
      <c r="K279" t="s">
        <v>12</v>
      </c>
      <c r="L279" t="s">
        <v>12</v>
      </c>
      <c r="M279" t="s">
        <v>182</v>
      </c>
      <c r="N279" t="s">
        <v>12</v>
      </c>
      <c r="O279" t="s">
        <v>12</v>
      </c>
      <c r="P279" t="s">
        <v>12</v>
      </c>
      <c r="Q279" t="s">
        <v>92</v>
      </c>
      <c r="R279" t="s">
        <v>182</v>
      </c>
      <c r="S279" t="s">
        <v>92</v>
      </c>
      <c r="T279" t="s">
        <v>1852</v>
      </c>
      <c r="U279" t="s">
        <v>12</v>
      </c>
      <c r="V279" t="s">
        <v>12</v>
      </c>
      <c r="W279" t="s">
        <v>790</v>
      </c>
      <c r="AA279" t="s">
        <v>12</v>
      </c>
      <c r="AB279" t="s">
        <v>12</v>
      </c>
      <c r="AC279" t="s">
        <v>12</v>
      </c>
      <c r="AD279" t="s">
        <v>92</v>
      </c>
      <c r="AE279" t="s">
        <v>119</v>
      </c>
      <c r="AF279" t="s">
        <v>1858</v>
      </c>
    </row>
    <row r="280" spans="1:32" x14ac:dyDescent="0.45">
      <c r="A280" t="s">
        <v>213</v>
      </c>
      <c r="B280" t="s">
        <v>1859</v>
      </c>
      <c r="C280" t="s">
        <v>1860</v>
      </c>
      <c r="D280" t="s">
        <v>66</v>
      </c>
      <c r="F280" t="s">
        <v>1810</v>
      </c>
      <c r="H280" t="s">
        <v>1861</v>
      </c>
      <c r="J280" t="s">
        <v>92</v>
      </c>
      <c r="K280" t="s">
        <v>12</v>
      </c>
      <c r="L280" t="s">
        <v>12</v>
      </c>
      <c r="M280" t="s">
        <v>182</v>
      </c>
      <c r="N280" t="s">
        <v>12</v>
      </c>
      <c r="O280" t="s">
        <v>12</v>
      </c>
      <c r="P280" t="s">
        <v>12</v>
      </c>
      <c r="Q280" t="s">
        <v>92</v>
      </c>
      <c r="R280" t="s">
        <v>182</v>
      </c>
      <c r="S280" t="s">
        <v>92</v>
      </c>
      <c r="T280" t="s">
        <v>213</v>
      </c>
      <c r="U280" t="s">
        <v>12</v>
      </c>
      <c r="V280" t="s">
        <v>12</v>
      </c>
      <c r="W280" t="s">
        <v>790</v>
      </c>
      <c r="AA280" t="s">
        <v>92</v>
      </c>
      <c r="AB280" t="s">
        <v>12</v>
      </c>
      <c r="AC280" t="s">
        <v>12</v>
      </c>
      <c r="AD280" t="s">
        <v>92</v>
      </c>
      <c r="AE280" t="s">
        <v>119</v>
      </c>
      <c r="AF280" t="s">
        <v>1862</v>
      </c>
    </row>
    <row r="281" spans="1:32" x14ac:dyDescent="0.45">
      <c r="A281" t="s">
        <v>1863</v>
      </c>
      <c r="B281" t="s">
        <v>1864</v>
      </c>
      <c r="C281" t="s">
        <v>1865</v>
      </c>
      <c r="D281" t="s">
        <v>1859</v>
      </c>
      <c r="F281" t="s">
        <v>1810</v>
      </c>
      <c r="H281" t="s">
        <v>1811</v>
      </c>
      <c r="J281" t="s">
        <v>92</v>
      </c>
      <c r="K281" t="s">
        <v>12</v>
      </c>
      <c r="L281" t="s">
        <v>12</v>
      </c>
      <c r="M281" t="s">
        <v>182</v>
      </c>
      <c r="N281" t="s">
        <v>12</v>
      </c>
      <c r="O281" t="s">
        <v>12</v>
      </c>
      <c r="P281" t="s">
        <v>12</v>
      </c>
      <c r="Q281" t="s">
        <v>92</v>
      </c>
      <c r="R281" t="s">
        <v>182</v>
      </c>
      <c r="S281" t="s">
        <v>92</v>
      </c>
      <c r="T281" t="s">
        <v>1863</v>
      </c>
      <c r="U281" t="s">
        <v>12</v>
      </c>
      <c r="V281" t="s">
        <v>12</v>
      </c>
      <c r="W281" t="s">
        <v>790</v>
      </c>
      <c r="AA281" t="s">
        <v>92</v>
      </c>
      <c r="AB281" t="s">
        <v>92</v>
      </c>
      <c r="AC281" t="s">
        <v>12</v>
      </c>
      <c r="AD281" t="s">
        <v>92</v>
      </c>
      <c r="AE281" t="s">
        <v>119</v>
      </c>
      <c r="AF281" t="s">
        <v>1866</v>
      </c>
    </row>
    <row r="282" spans="1:32" x14ac:dyDescent="0.45">
      <c r="A282" t="s">
        <v>1867</v>
      </c>
      <c r="B282" t="s">
        <v>1868</v>
      </c>
      <c r="C282" t="s">
        <v>1869</v>
      </c>
      <c r="D282" t="s">
        <v>1870</v>
      </c>
      <c r="F282" t="s">
        <v>1810</v>
      </c>
      <c r="H282" t="s">
        <v>1861</v>
      </c>
      <c r="J282" t="s">
        <v>92</v>
      </c>
      <c r="K282" t="s">
        <v>12</v>
      </c>
      <c r="L282" t="s">
        <v>12</v>
      </c>
      <c r="M282" t="s">
        <v>182</v>
      </c>
      <c r="N282" t="s">
        <v>12</v>
      </c>
      <c r="O282" t="s">
        <v>12</v>
      </c>
      <c r="P282" t="s">
        <v>12</v>
      </c>
      <c r="Q282" t="s">
        <v>92</v>
      </c>
      <c r="R282" t="s">
        <v>182</v>
      </c>
      <c r="S282" t="s">
        <v>92</v>
      </c>
      <c r="T282" t="s">
        <v>1867</v>
      </c>
      <c r="U282" t="s">
        <v>12</v>
      </c>
      <c r="V282" t="s">
        <v>12</v>
      </c>
      <c r="W282" t="s">
        <v>790</v>
      </c>
      <c r="AA282" t="s">
        <v>92</v>
      </c>
      <c r="AB282" t="s">
        <v>92</v>
      </c>
      <c r="AC282" t="s">
        <v>12</v>
      </c>
      <c r="AD282" t="s">
        <v>92</v>
      </c>
      <c r="AE282" t="s">
        <v>119</v>
      </c>
      <c r="AF282" t="s">
        <v>1871</v>
      </c>
    </row>
    <row r="283" spans="1:32" x14ac:dyDescent="0.45">
      <c r="A283" t="s">
        <v>1872</v>
      </c>
      <c r="B283" t="s">
        <v>1873</v>
      </c>
      <c r="C283" t="s">
        <v>1874</v>
      </c>
      <c r="D283" t="s">
        <v>1875</v>
      </c>
      <c r="F283" t="s">
        <v>1810</v>
      </c>
      <c r="H283" t="s">
        <v>1861</v>
      </c>
      <c r="J283" t="s">
        <v>92</v>
      </c>
      <c r="K283" t="s">
        <v>12</v>
      </c>
      <c r="L283" t="s">
        <v>12</v>
      </c>
      <c r="M283" t="s">
        <v>182</v>
      </c>
      <c r="N283" t="s">
        <v>12</v>
      </c>
      <c r="O283" t="s">
        <v>12</v>
      </c>
      <c r="P283" t="s">
        <v>12</v>
      </c>
      <c r="Q283" t="s">
        <v>92</v>
      </c>
      <c r="R283" t="s">
        <v>182</v>
      </c>
      <c r="S283" t="s">
        <v>92</v>
      </c>
      <c r="T283" t="s">
        <v>1872</v>
      </c>
      <c r="U283" t="s">
        <v>12</v>
      </c>
      <c r="V283" t="s">
        <v>12</v>
      </c>
      <c r="W283" t="s">
        <v>790</v>
      </c>
      <c r="AA283" t="s">
        <v>92</v>
      </c>
      <c r="AB283" t="s">
        <v>12</v>
      </c>
      <c r="AC283" t="s">
        <v>12</v>
      </c>
      <c r="AD283" t="s">
        <v>92</v>
      </c>
      <c r="AE283" t="s">
        <v>119</v>
      </c>
      <c r="AF283" t="s">
        <v>1876</v>
      </c>
    </row>
    <row r="284" spans="1:32" x14ac:dyDescent="0.45">
      <c r="A284" t="s">
        <v>1877</v>
      </c>
      <c r="B284" t="s">
        <v>1878</v>
      </c>
      <c r="C284" t="s">
        <v>1879</v>
      </c>
      <c r="D284" t="s">
        <v>1859</v>
      </c>
      <c r="F284" t="s">
        <v>1810</v>
      </c>
      <c r="H284" t="s">
        <v>1811</v>
      </c>
      <c r="J284" t="s">
        <v>92</v>
      </c>
      <c r="K284" t="s">
        <v>12</v>
      </c>
      <c r="L284" t="s">
        <v>12</v>
      </c>
      <c r="M284" t="s">
        <v>182</v>
      </c>
      <c r="N284" t="s">
        <v>12</v>
      </c>
      <c r="O284" t="s">
        <v>12</v>
      </c>
      <c r="P284" t="s">
        <v>12</v>
      </c>
      <c r="Q284" t="s">
        <v>92</v>
      </c>
      <c r="R284" t="s">
        <v>182</v>
      </c>
      <c r="S284" t="s">
        <v>92</v>
      </c>
      <c r="T284" t="s">
        <v>1877</v>
      </c>
      <c r="U284" t="s">
        <v>12</v>
      </c>
      <c r="V284" t="s">
        <v>12</v>
      </c>
      <c r="W284" t="s">
        <v>790</v>
      </c>
      <c r="AA284" t="s">
        <v>92</v>
      </c>
      <c r="AB284" t="s">
        <v>12</v>
      </c>
      <c r="AC284" t="s">
        <v>12</v>
      </c>
      <c r="AD284" t="s">
        <v>92</v>
      </c>
      <c r="AE284" t="s">
        <v>166</v>
      </c>
      <c r="AF284" t="s">
        <v>1880</v>
      </c>
    </row>
    <row r="285" spans="1:32" x14ac:dyDescent="0.45">
      <c r="A285" t="s">
        <v>1881</v>
      </c>
      <c r="B285" t="s">
        <v>1882</v>
      </c>
      <c r="C285" t="s">
        <v>1883</v>
      </c>
      <c r="D285" t="s">
        <v>1884</v>
      </c>
      <c r="F285" t="s">
        <v>1810</v>
      </c>
      <c r="H285" t="s">
        <v>1811</v>
      </c>
      <c r="J285" t="s">
        <v>92</v>
      </c>
      <c r="K285" t="s">
        <v>12</v>
      </c>
      <c r="L285" t="s">
        <v>12</v>
      </c>
      <c r="M285" t="s">
        <v>182</v>
      </c>
      <c r="N285" t="s">
        <v>12</v>
      </c>
      <c r="O285" t="s">
        <v>12</v>
      </c>
      <c r="P285" t="s">
        <v>12</v>
      </c>
      <c r="Q285" t="s">
        <v>92</v>
      </c>
      <c r="R285" t="s">
        <v>182</v>
      </c>
      <c r="S285" t="s">
        <v>92</v>
      </c>
      <c r="T285" t="s">
        <v>1881</v>
      </c>
      <c r="U285" t="s">
        <v>12</v>
      </c>
      <c r="V285" t="s">
        <v>12</v>
      </c>
      <c r="W285" t="s">
        <v>1141</v>
      </c>
      <c r="AA285" t="s">
        <v>12</v>
      </c>
      <c r="AB285" t="s">
        <v>12</v>
      </c>
      <c r="AC285" t="s">
        <v>12</v>
      </c>
      <c r="AD285" t="s">
        <v>92</v>
      </c>
      <c r="AE285" t="s">
        <v>119</v>
      </c>
      <c r="AF285" t="s">
        <v>1885</v>
      </c>
    </row>
    <row r="286" spans="1:32" x14ac:dyDescent="0.45">
      <c r="A286" t="s">
        <v>175</v>
      </c>
      <c r="B286" t="s">
        <v>1886</v>
      </c>
      <c r="C286" t="s">
        <v>1887</v>
      </c>
      <c r="D286" t="s">
        <v>1888</v>
      </c>
      <c r="F286" t="s">
        <v>1889</v>
      </c>
      <c r="H286" t="s">
        <v>1890</v>
      </c>
      <c r="J286" t="s">
        <v>92</v>
      </c>
      <c r="K286" t="s">
        <v>12</v>
      </c>
      <c r="L286" t="s">
        <v>12</v>
      </c>
      <c r="M286" t="s">
        <v>182</v>
      </c>
      <c r="N286" t="s">
        <v>12</v>
      </c>
      <c r="O286" t="s">
        <v>12</v>
      </c>
      <c r="P286" t="s">
        <v>12</v>
      </c>
      <c r="Q286" t="s">
        <v>92</v>
      </c>
      <c r="R286" t="s">
        <v>182</v>
      </c>
      <c r="S286" t="s">
        <v>92</v>
      </c>
      <c r="T286" t="s">
        <v>175</v>
      </c>
      <c r="U286" t="s">
        <v>12</v>
      </c>
      <c r="V286" t="s">
        <v>12</v>
      </c>
      <c r="W286" t="s">
        <v>1681</v>
      </c>
      <c r="AA286" t="s">
        <v>12</v>
      </c>
      <c r="AB286" t="s">
        <v>12</v>
      </c>
      <c r="AC286" t="s">
        <v>12</v>
      </c>
      <c r="AD286" t="s">
        <v>92</v>
      </c>
      <c r="AE286" t="s">
        <v>119</v>
      </c>
      <c r="AF286" t="s">
        <v>1891</v>
      </c>
    </row>
    <row r="287" spans="1:32" x14ac:dyDescent="0.45">
      <c r="A287" t="s">
        <v>1892</v>
      </c>
      <c r="B287" t="s">
        <v>1893</v>
      </c>
      <c r="C287" t="s">
        <v>1894</v>
      </c>
      <c r="D287" t="s">
        <v>1895</v>
      </c>
      <c r="F287" t="s">
        <v>1889</v>
      </c>
      <c r="H287" t="s">
        <v>1890</v>
      </c>
      <c r="J287" t="s">
        <v>92</v>
      </c>
      <c r="K287" t="s">
        <v>12</v>
      </c>
      <c r="L287" t="s">
        <v>12</v>
      </c>
      <c r="M287" t="s">
        <v>182</v>
      </c>
      <c r="N287" t="s">
        <v>12</v>
      </c>
      <c r="O287" t="s">
        <v>12</v>
      </c>
      <c r="P287" t="s">
        <v>12</v>
      </c>
      <c r="Q287" t="s">
        <v>92</v>
      </c>
      <c r="R287" t="s">
        <v>182</v>
      </c>
      <c r="S287" t="s">
        <v>92</v>
      </c>
      <c r="T287" t="s">
        <v>1892</v>
      </c>
      <c r="U287" t="s">
        <v>12</v>
      </c>
      <c r="V287" t="s">
        <v>12</v>
      </c>
      <c r="W287" t="s">
        <v>1681</v>
      </c>
      <c r="AA287" t="s">
        <v>12</v>
      </c>
      <c r="AB287" t="s">
        <v>12</v>
      </c>
      <c r="AC287" t="s">
        <v>12</v>
      </c>
      <c r="AD287" t="s">
        <v>92</v>
      </c>
      <c r="AE287" t="s">
        <v>119</v>
      </c>
      <c r="AF287" t="s">
        <v>1896</v>
      </c>
    </row>
    <row r="288" spans="1:32" x14ac:dyDescent="0.45">
      <c r="A288" t="s">
        <v>1897</v>
      </c>
      <c r="B288" t="s">
        <v>1898</v>
      </c>
      <c r="C288" t="s">
        <v>1899</v>
      </c>
      <c r="D288" t="s">
        <v>1900</v>
      </c>
      <c r="F288" t="s">
        <v>1901</v>
      </c>
      <c r="H288" t="s">
        <v>1890</v>
      </c>
      <c r="J288" t="s">
        <v>92</v>
      </c>
      <c r="K288" t="s">
        <v>12</v>
      </c>
      <c r="L288" t="s">
        <v>12</v>
      </c>
      <c r="M288" t="s">
        <v>182</v>
      </c>
      <c r="N288" t="s">
        <v>12</v>
      </c>
      <c r="O288" t="s">
        <v>12</v>
      </c>
      <c r="P288" t="s">
        <v>12</v>
      </c>
      <c r="Q288" t="s">
        <v>92</v>
      </c>
      <c r="R288" t="s">
        <v>182</v>
      </c>
      <c r="S288" t="s">
        <v>92</v>
      </c>
      <c r="T288" t="s">
        <v>1897</v>
      </c>
      <c r="U288" t="s">
        <v>12</v>
      </c>
      <c r="V288" t="s">
        <v>12</v>
      </c>
      <c r="W288" t="s">
        <v>1127</v>
      </c>
      <c r="AA288" t="s">
        <v>12</v>
      </c>
      <c r="AB288" t="s">
        <v>92</v>
      </c>
      <c r="AC288" t="s">
        <v>12</v>
      </c>
      <c r="AD288" t="s">
        <v>92</v>
      </c>
      <c r="AE288" t="s">
        <v>119</v>
      </c>
      <c r="AF288" t="s">
        <v>1902</v>
      </c>
    </row>
    <row r="289" spans="1:32" x14ac:dyDescent="0.45">
      <c r="A289" t="s">
        <v>176</v>
      </c>
      <c r="B289" t="s">
        <v>1903</v>
      </c>
      <c r="C289" t="s">
        <v>1904</v>
      </c>
      <c r="D289" t="s">
        <v>1905</v>
      </c>
      <c r="F289" t="s">
        <v>1901</v>
      </c>
      <c r="H289" t="s">
        <v>1890</v>
      </c>
      <c r="J289" t="s">
        <v>92</v>
      </c>
      <c r="K289" t="s">
        <v>12</v>
      </c>
      <c r="L289" t="s">
        <v>12</v>
      </c>
      <c r="M289" t="s">
        <v>182</v>
      </c>
      <c r="N289" t="s">
        <v>12</v>
      </c>
      <c r="O289" t="s">
        <v>12</v>
      </c>
      <c r="P289" t="s">
        <v>12</v>
      </c>
      <c r="Q289" t="s">
        <v>92</v>
      </c>
      <c r="R289" t="s">
        <v>182</v>
      </c>
      <c r="S289" t="s">
        <v>92</v>
      </c>
      <c r="T289" t="s">
        <v>176</v>
      </c>
      <c r="U289" t="s">
        <v>12</v>
      </c>
      <c r="V289" t="s">
        <v>12</v>
      </c>
      <c r="W289" t="s">
        <v>1681</v>
      </c>
      <c r="AA289" t="s">
        <v>92</v>
      </c>
      <c r="AB289" t="s">
        <v>92</v>
      </c>
      <c r="AC289" t="s">
        <v>12</v>
      </c>
      <c r="AD289" t="s">
        <v>92</v>
      </c>
      <c r="AE289" t="s">
        <v>119</v>
      </c>
      <c r="AF289" t="s">
        <v>1906</v>
      </c>
    </row>
    <row r="290" spans="1:32" x14ac:dyDescent="0.45">
      <c r="A290" t="s">
        <v>1907</v>
      </c>
      <c r="B290" t="s">
        <v>1893</v>
      </c>
      <c r="C290" t="s">
        <v>1894</v>
      </c>
      <c r="D290" t="s">
        <v>1908</v>
      </c>
      <c r="F290" t="s">
        <v>1901</v>
      </c>
      <c r="H290" t="s">
        <v>1890</v>
      </c>
      <c r="J290" t="s">
        <v>92</v>
      </c>
      <c r="K290" t="s">
        <v>12</v>
      </c>
      <c r="L290" t="s">
        <v>12</v>
      </c>
      <c r="M290" t="s">
        <v>182</v>
      </c>
      <c r="N290" t="s">
        <v>12</v>
      </c>
      <c r="O290" t="s">
        <v>12</v>
      </c>
      <c r="P290" t="s">
        <v>12</v>
      </c>
      <c r="Q290" t="s">
        <v>92</v>
      </c>
      <c r="R290" t="s">
        <v>182</v>
      </c>
      <c r="S290" t="s">
        <v>92</v>
      </c>
      <c r="T290" t="s">
        <v>1907</v>
      </c>
      <c r="U290" t="s">
        <v>12</v>
      </c>
      <c r="V290" t="s">
        <v>12</v>
      </c>
      <c r="W290" t="s">
        <v>1681</v>
      </c>
      <c r="AA290" t="s">
        <v>12</v>
      </c>
      <c r="AB290" t="s">
        <v>92</v>
      </c>
      <c r="AC290" t="s">
        <v>12</v>
      </c>
      <c r="AD290" t="s">
        <v>92</v>
      </c>
      <c r="AE290" t="s">
        <v>119</v>
      </c>
      <c r="AF290" t="s">
        <v>1909</v>
      </c>
    </row>
    <row r="291" spans="1:32" x14ac:dyDescent="0.45">
      <c r="A291" t="s">
        <v>173</v>
      </c>
      <c r="B291" t="s">
        <v>1910</v>
      </c>
      <c r="C291" t="s">
        <v>1911</v>
      </c>
      <c r="D291" t="s">
        <v>44</v>
      </c>
      <c r="E291" t="s">
        <v>590</v>
      </c>
      <c r="F291" t="s">
        <v>1912</v>
      </c>
      <c r="H291" t="s">
        <v>1913</v>
      </c>
      <c r="I291" t="s">
        <v>1913</v>
      </c>
      <c r="J291" t="s">
        <v>92</v>
      </c>
      <c r="K291" t="s">
        <v>12</v>
      </c>
      <c r="L291" t="s">
        <v>12</v>
      </c>
      <c r="M291" t="s">
        <v>182</v>
      </c>
      <c r="N291" t="s">
        <v>12</v>
      </c>
      <c r="O291" t="s">
        <v>12</v>
      </c>
      <c r="P291" t="s">
        <v>12</v>
      </c>
      <c r="Q291" t="s">
        <v>92</v>
      </c>
      <c r="R291" t="s">
        <v>182</v>
      </c>
      <c r="S291" t="s">
        <v>92</v>
      </c>
      <c r="T291" t="s">
        <v>173</v>
      </c>
      <c r="U291" t="s">
        <v>12</v>
      </c>
      <c r="V291" t="s">
        <v>12</v>
      </c>
      <c r="W291" t="s">
        <v>1914</v>
      </c>
      <c r="AA291" t="s">
        <v>92</v>
      </c>
      <c r="AB291" t="s">
        <v>92</v>
      </c>
      <c r="AC291" t="s">
        <v>12</v>
      </c>
      <c r="AD291" t="s">
        <v>92</v>
      </c>
      <c r="AE291" t="s">
        <v>119</v>
      </c>
      <c r="AF291" t="s">
        <v>1915</v>
      </c>
    </row>
    <row r="292" spans="1:32" x14ac:dyDescent="0.45">
      <c r="A292" t="s">
        <v>1916</v>
      </c>
      <c r="B292" t="s">
        <v>1917</v>
      </c>
      <c r="C292" t="s">
        <v>1918</v>
      </c>
      <c r="D292" t="s">
        <v>1919</v>
      </c>
      <c r="E292" t="s">
        <v>590</v>
      </c>
      <c r="F292" t="s">
        <v>1912</v>
      </c>
      <c r="H292" t="s">
        <v>1913</v>
      </c>
      <c r="I292" t="s">
        <v>1913</v>
      </c>
      <c r="J292" t="s">
        <v>92</v>
      </c>
      <c r="K292" t="s">
        <v>12</v>
      </c>
      <c r="L292" t="s">
        <v>12</v>
      </c>
      <c r="M292" t="s">
        <v>182</v>
      </c>
      <c r="N292" t="s">
        <v>12</v>
      </c>
      <c r="O292" t="s">
        <v>12</v>
      </c>
      <c r="P292" t="s">
        <v>12</v>
      </c>
      <c r="Q292" t="s">
        <v>92</v>
      </c>
      <c r="R292" t="s">
        <v>182</v>
      </c>
      <c r="S292" t="s">
        <v>92</v>
      </c>
      <c r="T292" t="s">
        <v>1916</v>
      </c>
      <c r="U292" t="s">
        <v>12</v>
      </c>
      <c r="V292" t="s">
        <v>12</v>
      </c>
      <c r="W292" t="s">
        <v>1914</v>
      </c>
      <c r="AA292" t="s">
        <v>92</v>
      </c>
      <c r="AB292" t="s">
        <v>92</v>
      </c>
      <c r="AC292" t="s">
        <v>12</v>
      </c>
      <c r="AD292" t="s">
        <v>92</v>
      </c>
      <c r="AE292" t="s">
        <v>119</v>
      </c>
      <c r="AF292" t="s">
        <v>1920</v>
      </c>
    </row>
    <row r="293" spans="1:32" x14ac:dyDescent="0.45">
      <c r="A293" t="s">
        <v>1921</v>
      </c>
      <c r="B293" t="s">
        <v>1910</v>
      </c>
      <c r="C293" t="s">
        <v>1911</v>
      </c>
      <c r="D293" t="s">
        <v>44</v>
      </c>
      <c r="E293" t="s">
        <v>590</v>
      </c>
      <c r="F293" t="s">
        <v>1912</v>
      </c>
      <c r="H293" t="s">
        <v>1913</v>
      </c>
      <c r="I293" t="s">
        <v>1913</v>
      </c>
      <c r="J293" t="s">
        <v>92</v>
      </c>
      <c r="K293" t="s">
        <v>12</v>
      </c>
      <c r="L293" t="s">
        <v>12</v>
      </c>
      <c r="M293" t="s">
        <v>182</v>
      </c>
      <c r="N293" t="s">
        <v>12</v>
      </c>
      <c r="O293" t="s">
        <v>12</v>
      </c>
      <c r="P293" t="s">
        <v>12</v>
      </c>
      <c r="Q293" t="s">
        <v>92</v>
      </c>
      <c r="R293" t="s">
        <v>182</v>
      </c>
      <c r="S293" t="s">
        <v>92</v>
      </c>
      <c r="T293" t="s">
        <v>1921</v>
      </c>
      <c r="U293" t="s">
        <v>12</v>
      </c>
      <c r="V293" t="s">
        <v>12</v>
      </c>
      <c r="W293" t="s">
        <v>604</v>
      </c>
      <c r="AA293" t="s">
        <v>92</v>
      </c>
      <c r="AB293" t="s">
        <v>92</v>
      </c>
      <c r="AC293" t="s">
        <v>12</v>
      </c>
      <c r="AD293" t="s">
        <v>92</v>
      </c>
      <c r="AE293" t="s">
        <v>119</v>
      </c>
      <c r="AF293" t="s">
        <v>1922</v>
      </c>
    </row>
    <row r="294" spans="1:32" x14ac:dyDescent="0.45">
      <c r="A294" t="s">
        <v>1923</v>
      </c>
      <c r="B294" t="s">
        <v>1924</v>
      </c>
      <c r="C294" t="s">
        <v>1925</v>
      </c>
      <c r="D294" t="s">
        <v>1924</v>
      </c>
      <c r="E294" t="s">
        <v>1926</v>
      </c>
      <c r="F294" t="s">
        <v>1927</v>
      </c>
      <c r="H294" t="s">
        <v>1928</v>
      </c>
      <c r="I294" t="s">
        <v>1929</v>
      </c>
      <c r="J294" t="s">
        <v>92</v>
      </c>
      <c r="K294" t="s">
        <v>12</v>
      </c>
      <c r="L294" t="s">
        <v>12</v>
      </c>
      <c r="M294" t="s">
        <v>182</v>
      </c>
      <c r="N294" t="s">
        <v>12</v>
      </c>
      <c r="O294" t="s">
        <v>12</v>
      </c>
      <c r="P294" t="s">
        <v>12</v>
      </c>
      <c r="Q294" t="s">
        <v>92</v>
      </c>
      <c r="R294" t="s">
        <v>182</v>
      </c>
      <c r="S294" t="s">
        <v>92</v>
      </c>
      <c r="T294" t="s">
        <v>1923</v>
      </c>
      <c r="U294" t="s">
        <v>12</v>
      </c>
      <c r="V294" t="s">
        <v>12</v>
      </c>
      <c r="W294" t="s">
        <v>1930</v>
      </c>
      <c r="X294" t="s">
        <v>1046</v>
      </c>
      <c r="Y294" t="s">
        <v>1931</v>
      </c>
      <c r="Z294" t="s">
        <v>610</v>
      </c>
      <c r="AA294" t="s">
        <v>12</v>
      </c>
      <c r="AB294" t="s">
        <v>92</v>
      </c>
      <c r="AC294" t="s">
        <v>12</v>
      </c>
      <c r="AD294" t="s">
        <v>92</v>
      </c>
      <c r="AE294" t="s">
        <v>119</v>
      </c>
      <c r="AF294" t="s">
        <v>1932</v>
      </c>
    </row>
    <row r="295" spans="1:32" x14ac:dyDescent="0.45">
      <c r="A295" t="s">
        <v>1933</v>
      </c>
      <c r="B295" t="s">
        <v>1934</v>
      </c>
      <c r="C295" t="s">
        <v>1935</v>
      </c>
      <c r="D295" t="s">
        <v>1934</v>
      </c>
      <c r="E295" t="s">
        <v>1936</v>
      </c>
      <c r="F295" t="s">
        <v>1937</v>
      </c>
      <c r="H295" t="s">
        <v>1928</v>
      </c>
      <c r="I295" t="s">
        <v>1929</v>
      </c>
      <c r="J295" t="s">
        <v>92</v>
      </c>
      <c r="K295" t="s">
        <v>12</v>
      </c>
      <c r="L295" t="s">
        <v>12</v>
      </c>
      <c r="M295" t="s">
        <v>182</v>
      </c>
      <c r="N295" t="s">
        <v>12</v>
      </c>
      <c r="O295" t="s">
        <v>12</v>
      </c>
      <c r="P295" t="s">
        <v>12</v>
      </c>
      <c r="Q295" t="s">
        <v>92</v>
      </c>
      <c r="R295" t="s">
        <v>182</v>
      </c>
      <c r="S295" t="s">
        <v>92</v>
      </c>
      <c r="T295" t="s">
        <v>1933</v>
      </c>
      <c r="U295" t="s">
        <v>12</v>
      </c>
      <c r="V295" t="s">
        <v>12</v>
      </c>
      <c r="W295" t="s">
        <v>1938</v>
      </c>
      <c r="AA295" t="s">
        <v>12</v>
      </c>
      <c r="AB295" t="s">
        <v>92</v>
      </c>
      <c r="AC295" t="s">
        <v>12</v>
      </c>
      <c r="AD295" t="s">
        <v>92</v>
      </c>
      <c r="AE295" t="s">
        <v>119</v>
      </c>
      <c r="AF295" t="s">
        <v>1939</v>
      </c>
    </row>
    <row r="296" spans="1:32" x14ac:dyDescent="0.45">
      <c r="A296" t="s">
        <v>1940</v>
      </c>
      <c r="B296" t="s">
        <v>1941</v>
      </c>
      <c r="C296" t="s">
        <v>1942</v>
      </c>
      <c r="D296" t="s">
        <v>1943</v>
      </c>
      <c r="E296" t="s">
        <v>1944</v>
      </c>
      <c r="F296" t="s">
        <v>1945</v>
      </c>
      <c r="H296" t="s">
        <v>1946</v>
      </c>
      <c r="I296" t="s">
        <v>1947</v>
      </c>
      <c r="J296" t="s">
        <v>92</v>
      </c>
      <c r="K296" t="s">
        <v>12</v>
      </c>
      <c r="L296" t="s">
        <v>12</v>
      </c>
      <c r="M296" t="s">
        <v>182</v>
      </c>
      <c r="N296" t="s">
        <v>12</v>
      </c>
      <c r="O296" t="s">
        <v>12</v>
      </c>
      <c r="P296" t="s">
        <v>12</v>
      </c>
      <c r="Q296" t="s">
        <v>92</v>
      </c>
      <c r="R296" t="s">
        <v>182</v>
      </c>
      <c r="S296" t="s">
        <v>92</v>
      </c>
      <c r="T296" t="s">
        <v>1940</v>
      </c>
      <c r="U296" t="s">
        <v>12</v>
      </c>
      <c r="V296" t="s">
        <v>12</v>
      </c>
      <c r="W296" t="s">
        <v>657</v>
      </c>
      <c r="AA296" t="s">
        <v>92</v>
      </c>
      <c r="AB296" t="s">
        <v>92</v>
      </c>
      <c r="AC296" t="s">
        <v>12</v>
      </c>
      <c r="AD296" t="s">
        <v>92</v>
      </c>
      <c r="AE296" t="s">
        <v>119</v>
      </c>
      <c r="AF296" t="s">
        <v>1948</v>
      </c>
    </row>
    <row r="297" spans="1:32" x14ac:dyDescent="0.45">
      <c r="A297" t="s">
        <v>1949</v>
      </c>
      <c r="B297" t="s">
        <v>1950</v>
      </c>
      <c r="C297" t="s">
        <v>1951</v>
      </c>
      <c r="D297" t="s">
        <v>1950</v>
      </c>
      <c r="E297" t="s">
        <v>1740</v>
      </c>
      <c r="F297" t="s">
        <v>1952</v>
      </c>
      <c r="H297" t="s">
        <v>1953</v>
      </c>
      <c r="J297" t="s">
        <v>92</v>
      </c>
      <c r="K297" t="s">
        <v>12</v>
      </c>
      <c r="L297" t="s">
        <v>12</v>
      </c>
      <c r="M297" t="s">
        <v>182</v>
      </c>
      <c r="N297" t="s">
        <v>12</v>
      </c>
      <c r="O297" t="s">
        <v>12</v>
      </c>
      <c r="P297" t="s">
        <v>12</v>
      </c>
      <c r="Q297" t="s">
        <v>92</v>
      </c>
      <c r="R297" t="s">
        <v>182</v>
      </c>
      <c r="S297" t="s">
        <v>92</v>
      </c>
      <c r="T297" t="s">
        <v>1949</v>
      </c>
      <c r="U297" t="s">
        <v>12</v>
      </c>
      <c r="V297" t="s">
        <v>12</v>
      </c>
      <c r="W297" t="s">
        <v>403</v>
      </c>
      <c r="AA297" t="s">
        <v>12</v>
      </c>
      <c r="AB297" t="s">
        <v>92</v>
      </c>
      <c r="AC297" t="s">
        <v>12</v>
      </c>
      <c r="AD297" t="s">
        <v>92</v>
      </c>
      <c r="AE297" t="s">
        <v>130</v>
      </c>
      <c r="AF297" t="s">
        <v>1954</v>
      </c>
    </row>
    <row r="298" spans="1:32" x14ac:dyDescent="0.45">
      <c r="A298" t="s">
        <v>1955</v>
      </c>
      <c r="B298" t="s">
        <v>1950</v>
      </c>
      <c r="C298" t="s">
        <v>1951</v>
      </c>
      <c r="D298" t="s">
        <v>1950</v>
      </c>
      <c r="E298" t="s">
        <v>1740</v>
      </c>
      <c r="F298" t="s">
        <v>1956</v>
      </c>
      <c r="H298" t="s">
        <v>1953</v>
      </c>
      <c r="J298" t="s">
        <v>92</v>
      </c>
      <c r="K298" t="s">
        <v>12</v>
      </c>
      <c r="L298" t="s">
        <v>12</v>
      </c>
      <c r="M298" t="s">
        <v>182</v>
      </c>
      <c r="N298" t="s">
        <v>12</v>
      </c>
      <c r="O298" t="s">
        <v>12</v>
      </c>
      <c r="P298" t="s">
        <v>12</v>
      </c>
      <c r="Q298" t="s">
        <v>92</v>
      </c>
      <c r="R298" t="s">
        <v>182</v>
      </c>
      <c r="S298" t="s">
        <v>92</v>
      </c>
      <c r="T298" t="s">
        <v>1955</v>
      </c>
      <c r="U298" t="s">
        <v>12</v>
      </c>
      <c r="V298" t="s">
        <v>12</v>
      </c>
      <c r="W298" t="s">
        <v>122</v>
      </c>
      <c r="AA298" t="s">
        <v>12</v>
      </c>
      <c r="AB298" t="s">
        <v>92</v>
      </c>
      <c r="AC298" t="s">
        <v>12</v>
      </c>
      <c r="AD298" t="s">
        <v>92</v>
      </c>
      <c r="AE298" t="s">
        <v>130</v>
      </c>
      <c r="AF298" t="s">
        <v>1957</v>
      </c>
    </row>
    <row r="299" spans="1:32" x14ac:dyDescent="0.45">
      <c r="A299" t="s">
        <v>1958</v>
      </c>
      <c r="B299" t="s">
        <v>1959</v>
      </c>
      <c r="C299" t="s">
        <v>1960</v>
      </c>
      <c r="D299" t="s">
        <v>1961</v>
      </c>
      <c r="E299" t="s">
        <v>1740</v>
      </c>
      <c r="F299" t="s">
        <v>1952</v>
      </c>
      <c r="H299" t="s">
        <v>1953</v>
      </c>
      <c r="J299" t="s">
        <v>92</v>
      </c>
      <c r="K299" t="s">
        <v>12</v>
      </c>
      <c r="L299" t="s">
        <v>12</v>
      </c>
      <c r="M299" t="s">
        <v>182</v>
      </c>
      <c r="N299" t="s">
        <v>12</v>
      </c>
      <c r="O299" t="s">
        <v>12</v>
      </c>
      <c r="P299" t="s">
        <v>12</v>
      </c>
      <c r="Q299" t="s">
        <v>92</v>
      </c>
      <c r="R299" t="s">
        <v>182</v>
      </c>
      <c r="S299" t="s">
        <v>92</v>
      </c>
      <c r="T299" t="s">
        <v>1958</v>
      </c>
      <c r="U299" t="s">
        <v>12</v>
      </c>
      <c r="V299" t="s">
        <v>12</v>
      </c>
      <c r="W299" t="s">
        <v>12</v>
      </c>
      <c r="AA299" t="s">
        <v>12</v>
      </c>
      <c r="AB299" t="s">
        <v>92</v>
      </c>
      <c r="AC299" t="s">
        <v>12</v>
      </c>
      <c r="AD299" t="s">
        <v>92</v>
      </c>
      <c r="AE299" t="s">
        <v>130</v>
      </c>
      <c r="AF299" t="s">
        <v>1962</v>
      </c>
    </row>
    <row r="300" spans="1:32" x14ac:dyDescent="0.45">
      <c r="A300" t="s">
        <v>1963</v>
      </c>
      <c r="B300" t="s">
        <v>1964</v>
      </c>
      <c r="C300" t="s">
        <v>1965</v>
      </c>
      <c r="D300" t="s">
        <v>1964</v>
      </c>
      <c r="E300" t="s">
        <v>1966</v>
      </c>
      <c r="F300" t="s">
        <v>1967</v>
      </c>
      <c r="H300" t="s">
        <v>1968</v>
      </c>
      <c r="J300" t="s">
        <v>92</v>
      </c>
      <c r="K300" t="s">
        <v>12</v>
      </c>
      <c r="L300" t="s">
        <v>12</v>
      </c>
      <c r="M300" t="s">
        <v>182</v>
      </c>
      <c r="N300" t="s">
        <v>12</v>
      </c>
      <c r="O300" t="s">
        <v>12</v>
      </c>
      <c r="P300" t="s">
        <v>12</v>
      </c>
      <c r="Q300" t="s">
        <v>92</v>
      </c>
      <c r="R300" t="s">
        <v>182</v>
      </c>
      <c r="S300" t="s">
        <v>92</v>
      </c>
      <c r="T300" t="s">
        <v>1963</v>
      </c>
      <c r="U300" t="s">
        <v>12</v>
      </c>
      <c r="V300" t="s">
        <v>12</v>
      </c>
      <c r="W300" t="s">
        <v>403</v>
      </c>
      <c r="AA300" t="s">
        <v>12</v>
      </c>
      <c r="AB300" t="s">
        <v>92</v>
      </c>
      <c r="AC300" t="s">
        <v>12</v>
      </c>
      <c r="AD300" t="s">
        <v>92</v>
      </c>
      <c r="AE300" t="s">
        <v>119</v>
      </c>
      <c r="AF300" t="s">
        <v>1969</v>
      </c>
    </row>
    <row r="301" spans="1:32" x14ac:dyDescent="0.45">
      <c r="A301" t="s">
        <v>1970</v>
      </c>
      <c r="B301" t="s">
        <v>1971</v>
      </c>
      <c r="C301" t="s">
        <v>1972</v>
      </c>
      <c r="D301" t="s">
        <v>1971</v>
      </c>
      <c r="E301" t="s">
        <v>1973</v>
      </c>
      <c r="F301" t="s">
        <v>1974</v>
      </c>
      <c r="H301" t="s">
        <v>1975</v>
      </c>
      <c r="J301" t="s">
        <v>92</v>
      </c>
      <c r="K301" t="s">
        <v>12</v>
      </c>
      <c r="L301" t="s">
        <v>12</v>
      </c>
      <c r="M301" t="s">
        <v>182</v>
      </c>
      <c r="N301" t="s">
        <v>12</v>
      </c>
      <c r="O301" t="s">
        <v>12</v>
      </c>
      <c r="P301" t="s">
        <v>12</v>
      </c>
      <c r="Q301" t="s">
        <v>92</v>
      </c>
      <c r="R301" t="s">
        <v>182</v>
      </c>
      <c r="S301" t="s">
        <v>92</v>
      </c>
      <c r="T301" t="s">
        <v>1970</v>
      </c>
      <c r="U301" t="s">
        <v>12</v>
      </c>
      <c r="V301" t="s">
        <v>12</v>
      </c>
      <c r="W301" t="s">
        <v>1976</v>
      </c>
      <c r="AA301" t="s">
        <v>12</v>
      </c>
      <c r="AB301" t="s">
        <v>92</v>
      </c>
      <c r="AC301" t="s">
        <v>12</v>
      </c>
      <c r="AD301" t="s">
        <v>92</v>
      </c>
      <c r="AE301" t="s">
        <v>169</v>
      </c>
      <c r="AF301" t="s">
        <v>1977</v>
      </c>
    </row>
    <row r="302" spans="1:32" x14ac:dyDescent="0.45">
      <c r="A302" t="s">
        <v>194</v>
      </c>
      <c r="B302" t="s">
        <v>54</v>
      </c>
      <c r="C302" t="s">
        <v>1978</v>
      </c>
      <c r="D302" t="s">
        <v>54</v>
      </c>
      <c r="E302" t="s">
        <v>1979</v>
      </c>
      <c r="F302" t="s">
        <v>1980</v>
      </c>
      <c r="H302" t="s">
        <v>1981</v>
      </c>
      <c r="I302" t="s">
        <v>1982</v>
      </c>
      <c r="J302" t="s">
        <v>92</v>
      </c>
      <c r="K302" t="s">
        <v>12</v>
      </c>
      <c r="L302" t="s">
        <v>12</v>
      </c>
      <c r="M302" t="s">
        <v>182</v>
      </c>
      <c r="N302" t="s">
        <v>12</v>
      </c>
      <c r="O302" t="s">
        <v>12</v>
      </c>
      <c r="P302" t="s">
        <v>12</v>
      </c>
      <c r="Q302" t="s">
        <v>92</v>
      </c>
      <c r="R302" t="s">
        <v>182</v>
      </c>
      <c r="S302" t="s">
        <v>92</v>
      </c>
      <c r="T302" t="s">
        <v>194</v>
      </c>
      <c r="U302" t="s">
        <v>12</v>
      </c>
      <c r="V302" t="s">
        <v>12</v>
      </c>
      <c r="W302" t="s">
        <v>1983</v>
      </c>
      <c r="X302" t="s">
        <v>1046</v>
      </c>
      <c r="Y302" t="s">
        <v>1984</v>
      </c>
      <c r="AA302" t="s">
        <v>92</v>
      </c>
      <c r="AB302" t="s">
        <v>92</v>
      </c>
      <c r="AC302" t="s">
        <v>12</v>
      </c>
      <c r="AD302" t="s">
        <v>92</v>
      </c>
      <c r="AE302" t="s">
        <v>119</v>
      </c>
      <c r="AF302" t="s">
        <v>1985</v>
      </c>
    </row>
    <row r="303" spans="1:32" x14ac:dyDescent="0.45">
      <c r="A303" t="s">
        <v>1986</v>
      </c>
      <c r="B303" t="s">
        <v>1987</v>
      </c>
      <c r="C303" t="s">
        <v>1988</v>
      </c>
      <c r="D303" t="s">
        <v>1987</v>
      </c>
      <c r="E303" t="s">
        <v>1979</v>
      </c>
      <c r="F303" t="s">
        <v>1980</v>
      </c>
      <c r="J303" t="s">
        <v>92</v>
      </c>
      <c r="K303" t="s">
        <v>12</v>
      </c>
      <c r="L303" t="s">
        <v>12</v>
      </c>
      <c r="M303" t="s">
        <v>182</v>
      </c>
      <c r="N303" t="s">
        <v>12</v>
      </c>
      <c r="O303" t="s">
        <v>12</v>
      </c>
      <c r="P303" t="s">
        <v>12</v>
      </c>
      <c r="Q303" t="s">
        <v>92</v>
      </c>
      <c r="R303" t="s">
        <v>182</v>
      </c>
      <c r="S303" t="s">
        <v>92</v>
      </c>
      <c r="T303" t="s">
        <v>1986</v>
      </c>
      <c r="U303" t="s">
        <v>12</v>
      </c>
      <c r="V303" t="s">
        <v>12</v>
      </c>
      <c r="W303" t="s">
        <v>1983</v>
      </c>
      <c r="AA303" t="s">
        <v>92</v>
      </c>
      <c r="AB303" t="s">
        <v>92</v>
      </c>
      <c r="AC303" t="s">
        <v>12</v>
      </c>
      <c r="AD303" t="s">
        <v>92</v>
      </c>
      <c r="AE303" t="s">
        <v>119</v>
      </c>
      <c r="AF303" t="s">
        <v>1989</v>
      </c>
    </row>
    <row r="304" spans="1:32" x14ac:dyDescent="0.45">
      <c r="A304" t="s">
        <v>1990</v>
      </c>
      <c r="B304" t="s">
        <v>1991</v>
      </c>
      <c r="C304" t="s">
        <v>1992</v>
      </c>
      <c r="D304" t="s">
        <v>1993</v>
      </c>
      <c r="E304" t="s">
        <v>1979</v>
      </c>
      <c r="F304" t="s">
        <v>1980</v>
      </c>
      <c r="H304" t="s">
        <v>1994</v>
      </c>
      <c r="I304" t="s">
        <v>1982</v>
      </c>
      <c r="J304" t="s">
        <v>92</v>
      </c>
      <c r="K304" t="s">
        <v>12</v>
      </c>
      <c r="L304" t="s">
        <v>12</v>
      </c>
      <c r="M304" t="s">
        <v>182</v>
      </c>
      <c r="N304" t="s">
        <v>12</v>
      </c>
      <c r="O304" t="s">
        <v>12</v>
      </c>
      <c r="P304" t="s">
        <v>12</v>
      </c>
      <c r="Q304" t="s">
        <v>92</v>
      </c>
      <c r="R304" t="s">
        <v>182</v>
      </c>
      <c r="S304" t="s">
        <v>92</v>
      </c>
      <c r="T304" t="s">
        <v>1990</v>
      </c>
      <c r="U304" t="s">
        <v>12</v>
      </c>
      <c r="V304" t="s">
        <v>12</v>
      </c>
      <c r="W304" t="s">
        <v>1983</v>
      </c>
      <c r="AA304" t="s">
        <v>92</v>
      </c>
      <c r="AB304" t="s">
        <v>92</v>
      </c>
      <c r="AC304" t="s">
        <v>12</v>
      </c>
      <c r="AD304" t="s">
        <v>92</v>
      </c>
      <c r="AE304" t="s">
        <v>119</v>
      </c>
      <c r="AF304" t="s">
        <v>1995</v>
      </c>
    </row>
    <row r="305" spans="1:32" x14ac:dyDescent="0.45">
      <c r="A305" t="s">
        <v>1996</v>
      </c>
      <c r="B305" t="s">
        <v>1997</v>
      </c>
      <c r="C305" t="s">
        <v>1998</v>
      </c>
      <c r="D305" t="s">
        <v>1999</v>
      </c>
      <c r="E305" t="s">
        <v>1979</v>
      </c>
      <c r="F305" t="s">
        <v>1980</v>
      </c>
      <c r="H305" t="s">
        <v>1981</v>
      </c>
      <c r="I305" t="s">
        <v>1982</v>
      </c>
      <c r="J305" t="s">
        <v>92</v>
      </c>
      <c r="K305" t="s">
        <v>12</v>
      </c>
      <c r="L305" t="s">
        <v>12</v>
      </c>
      <c r="M305" t="s">
        <v>182</v>
      </c>
      <c r="N305" t="s">
        <v>12</v>
      </c>
      <c r="O305" t="s">
        <v>12</v>
      </c>
      <c r="P305" t="s">
        <v>12</v>
      </c>
      <c r="Q305" t="s">
        <v>92</v>
      </c>
      <c r="R305" t="s">
        <v>182</v>
      </c>
      <c r="S305" t="s">
        <v>92</v>
      </c>
      <c r="T305" t="s">
        <v>1996</v>
      </c>
      <c r="U305" t="s">
        <v>12</v>
      </c>
      <c r="V305" t="s">
        <v>12</v>
      </c>
      <c r="W305" t="s">
        <v>1983</v>
      </c>
      <c r="Z305" t="s">
        <v>610</v>
      </c>
      <c r="AA305" t="s">
        <v>92</v>
      </c>
      <c r="AB305" t="s">
        <v>92</v>
      </c>
      <c r="AC305" t="s">
        <v>12</v>
      </c>
      <c r="AD305" t="s">
        <v>92</v>
      </c>
      <c r="AE305" t="s">
        <v>119</v>
      </c>
      <c r="AF305" t="s">
        <v>2000</v>
      </c>
    </row>
    <row r="306" spans="1:32" x14ac:dyDescent="0.45">
      <c r="A306" t="s">
        <v>2001</v>
      </c>
      <c r="B306" t="s">
        <v>2002</v>
      </c>
      <c r="C306" t="s">
        <v>2003</v>
      </c>
      <c r="D306" t="s">
        <v>2002</v>
      </c>
      <c r="E306" t="s">
        <v>1979</v>
      </c>
      <c r="F306" t="s">
        <v>1980</v>
      </c>
      <c r="H306" t="s">
        <v>1981</v>
      </c>
      <c r="I306" t="s">
        <v>1982</v>
      </c>
      <c r="J306" t="s">
        <v>92</v>
      </c>
      <c r="K306" t="s">
        <v>12</v>
      </c>
      <c r="L306" t="s">
        <v>12</v>
      </c>
      <c r="M306" t="s">
        <v>182</v>
      </c>
      <c r="N306" t="s">
        <v>12</v>
      </c>
      <c r="O306" t="s">
        <v>12</v>
      </c>
      <c r="P306" t="s">
        <v>12</v>
      </c>
      <c r="Q306" t="s">
        <v>92</v>
      </c>
      <c r="R306" t="s">
        <v>182</v>
      </c>
      <c r="S306" t="s">
        <v>92</v>
      </c>
      <c r="T306" t="s">
        <v>2001</v>
      </c>
      <c r="U306" t="s">
        <v>12</v>
      </c>
      <c r="V306" t="s">
        <v>12</v>
      </c>
      <c r="W306" t="s">
        <v>1983</v>
      </c>
      <c r="AA306" t="s">
        <v>92</v>
      </c>
      <c r="AB306" t="s">
        <v>92</v>
      </c>
      <c r="AC306" t="s">
        <v>12</v>
      </c>
      <c r="AD306" t="s">
        <v>92</v>
      </c>
      <c r="AE306" t="s">
        <v>119</v>
      </c>
      <c r="AF306" t="s">
        <v>2004</v>
      </c>
    </row>
    <row r="307" spans="1:32" x14ac:dyDescent="0.45">
      <c r="A307" t="s">
        <v>2005</v>
      </c>
      <c r="B307" t="s">
        <v>2006</v>
      </c>
      <c r="C307" t="s">
        <v>2007</v>
      </c>
      <c r="D307" t="s">
        <v>2006</v>
      </c>
      <c r="E307" t="s">
        <v>2008</v>
      </c>
      <c r="F307" t="s">
        <v>2009</v>
      </c>
      <c r="H307" t="s">
        <v>2010</v>
      </c>
      <c r="I307" t="s">
        <v>2011</v>
      </c>
      <c r="J307" t="s">
        <v>92</v>
      </c>
      <c r="K307" t="s">
        <v>12</v>
      </c>
      <c r="L307" t="s">
        <v>12</v>
      </c>
      <c r="M307" t="s">
        <v>182</v>
      </c>
      <c r="N307" t="s">
        <v>12</v>
      </c>
      <c r="O307" t="s">
        <v>12</v>
      </c>
      <c r="P307" t="s">
        <v>12</v>
      </c>
      <c r="Q307" t="s">
        <v>92</v>
      </c>
      <c r="R307" t="s">
        <v>182</v>
      </c>
      <c r="S307" t="s">
        <v>92</v>
      </c>
      <c r="T307" t="s">
        <v>2005</v>
      </c>
      <c r="U307" t="s">
        <v>12</v>
      </c>
      <c r="V307" t="s">
        <v>12</v>
      </c>
      <c r="W307" t="s">
        <v>2012</v>
      </c>
      <c r="AA307" t="s">
        <v>92</v>
      </c>
      <c r="AB307" t="s">
        <v>92</v>
      </c>
      <c r="AC307" t="s">
        <v>12</v>
      </c>
      <c r="AD307" t="s">
        <v>92</v>
      </c>
      <c r="AE307" t="s">
        <v>119</v>
      </c>
      <c r="AF307" t="s">
        <v>2013</v>
      </c>
    </row>
    <row r="308" spans="1:32" x14ac:dyDescent="0.45">
      <c r="A308" t="s">
        <v>2014</v>
      </c>
      <c r="B308" t="s">
        <v>2015</v>
      </c>
      <c r="C308" t="s">
        <v>2016</v>
      </c>
      <c r="D308" t="s">
        <v>2017</v>
      </c>
      <c r="E308" t="s">
        <v>2008</v>
      </c>
      <c r="F308" t="s">
        <v>2018</v>
      </c>
      <c r="H308" t="s">
        <v>2010</v>
      </c>
      <c r="I308" t="s">
        <v>2011</v>
      </c>
      <c r="J308" t="s">
        <v>92</v>
      </c>
      <c r="K308" t="s">
        <v>12</v>
      </c>
      <c r="L308" t="s">
        <v>12</v>
      </c>
      <c r="M308" t="s">
        <v>182</v>
      </c>
      <c r="N308" t="s">
        <v>12</v>
      </c>
      <c r="O308" t="s">
        <v>12</v>
      </c>
      <c r="P308" t="s">
        <v>12</v>
      </c>
      <c r="Q308" t="s">
        <v>92</v>
      </c>
      <c r="R308" t="s">
        <v>182</v>
      </c>
      <c r="S308" t="s">
        <v>92</v>
      </c>
      <c r="T308" t="s">
        <v>2014</v>
      </c>
      <c r="U308" t="s">
        <v>12</v>
      </c>
      <c r="V308" t="s">
        <v>12</v>
      </c>
      <c r="W308" t="s">
        <v>253</v>
      </c>
      <c r="AA308" t="s">
        <v>92</v>
      </c>
      <c r="AB308" t="s">
        <v>92</v>
      </c>
      <c r="AC308" t="s">
        <v>12</v>
      </c>
      <c r="AD308" t="s">
        <v>92</v>
      </c>
      <c r="AE308" t="s">
        <v>119</v>
      </c>
      <c r="AF308" t="s">
        <v>2019</v>
      </c>
    </row>
    <row r="309" spans="1:32" x14ac:dyDescent="0.45">
      <c r="A309" t="s">
        <v>2020</v>
      </c>
      <c r="B309" t="s">
        <v>2021</v>
      </c>
      <c r="C309" t="s">
        <v>2022</v>
      </c>
      <c r="D309" t="s">
        <v>2017</v>
      </c>
      <c r="E309" t="s">
        <v>2008</v>
      </c>
      <c r="F309" t="s">
        <v>2018</v>
      </c>
      <c r="H309" t="s">
        <v>2010</v>
      </c>
      <c r="I309" t="s">
        <v>2011</v>
      </c>
      <c r="J309" t="s">
        <v>92</v>
      </c>
      <c r="K309" t="s">
        <v>12</v>
      </c>
      <c r="L309" t="s">
        <v>12</v>
      </c>
      <c r="M309" t="s">
        <v>182</v>
      </c>
      <c r="N309" t="s">
        <v>12</v>
      </c>
      <c r="O309" t="s">
        <v>12</v>
      </c>
      <c r="P309" t="s">
        <v>12</v>
      </c>
      <c r="Q309" t="s">
        <v>92</v>
      </c>
      <c r="R309" t="s">
        <v>182</v>
      </c>
      <c r="S309" t="s">
        <v>92</v>
      </c>
      <c r="T309" t="s">
        <v>2020</v>
      </c>
      <c r="U309" t="s">
        <v>12</v>
      </c>
      <c r="V309" t="s">
        <v>12</v>
      </c>
      <c r="W309" t="s">
        <v>253</v>
      </c>
      <c r="AA309" t="s">
        <v>92</v>
      </c>
      <c r="AB309" t="s">
        <v>12</v>
      </c>
      <c r="AC309" t="s">
        <v>12</v>
      </c>
      <c r="AD309" t="s">
        <v>92</v>
      </c>
      <c r="AE309" t="s">
        <v>119</v>
      </c>
      <c r="AF309" t="s">
        <v>2023</v>
      </c>
    </row>
    <row r="310" spans="1:32" x14ac:dyDescent="0.45">
      <c r="A310" t="s">
        <v>2024</v>
      </c>
      <c r="B310" t="s">
        <v>2025</v>
      </c>
      <c r="C310" t="s">
        <v>2026</v>
      </c>
      <c r="D310" t="s">
        <v>2027</v>
      </c>
      <c r="E310" t="s">
        <v>2008</v>
      </c>
      <c r="F310" t="s">
        <v>2009</v>
      </c>
      <c r="H310" t="s">
        <v>2010</v>
      </c>
      <c r="I310" t="s">
        <v>2011</v>
      </c>
      <c r="J310" t="s">
        <v>92</v>
      </c>
      <c r="K310" t="s">
        <v>12</v>
      </c>
      <c r="L310" t="s">
        <v>12</v>
      </c>
      <c r="M310" t="s">
        <v>182</v>
      </c>
      <c r="N310" t="s">
        <v>12</v>
      </c>
      <c r="O310" t="s">
        <v>12</v>
      </c>
      <c r="P310" t="s">
        <v>12</v>
      </c>
      <c r="Q310" t="s">
        <v>92</v>
      </c>
      <c r="R310" t="s">
        <v>182</v>
      </c>
      <c r="S310" t="s">
        <v>92</v>
      </c>
      <c r="T310" t="s">
        <v>2024</v>
      </c>
      <c r="U310" t="s">
        <v>12</v>
      </c>
      <c r="V310" t="s">
        <v>12</v>
      </c>
      <c r="W310" t="s">
        <v>2012</v>
      </c>
      <c r="AA310" t="s">
        <v>92</v>
      </c>
      <c r="AB310" t="s">
        <v>92</v>
      </c>
      <c r="AC310" t="s">
        <v>12</v>
      </c>
      <c r="AD310" t="s">
        <v>92</v>
      </c>
      <c r="AE310" t="s">
        <v>119</v>
      </c>
      <c r="AF310" t="s">
        <v>2028</v>
      </c>
    </row>
    <row r="311" spans="1:32" x14ac:dyDescent="0.45">
      <c r="A311" t="s">
        <v>170</v>
      </c>
      <c r="B311" t="s">
        <v>42</v>
      </c>
      <c r="C311" t="s">
        <v>2029</v>
      </c>
      <c r="D311" t="s">
        <v>42</v>
      </c>
      <c r="E311" t="s">
        <v>2030</v>
      </c>
      <c r="F311" t="s">
        <v>2031</v>
      </c>
      <c r="H311" t="s">
        <v>2032</v>
      </c>
      <c r="I311" t="s">
        <v>2033</v>
      </c>
      <c r="J311" t="s">
        <v>92</v>
      </c>
      <c r="K311" t="s">
        <v>12</v>
      </c>
      <c r="L311" t="s">
        <v>12</v>
      </c>
      <c r="M311" t="s">
        <v>182</v>
      </c>
      <c r="N311" t="s">
        <v>12</v>
      </c>
      <c r="O311" t="s">
        <v>12</v>
      </c>
      <c r="P311" t="s">
        <v>12</v>
      </c>
      <c r="Q311" t="s">
        <v>92</v>
      </c>
      <c r="R311" t="s">
        <v>182</v>
      </c>
      <c r="S311" t="s">
        <v>92</v>
      </c>
      <c r="T311" t="s">
        <v>170</v>
      </c>
      <c r="U311" t="s">
        <v>12</v>
      </c>
      <c r="V311" t="s">
        <v>12</v>
      </c>
      <c r="W311" t="s">
        <v>1420</v>
      </c>
      <c r="X311" t="s">
        <v>708</v>
      </c>
      <c r="Y311" t="s">
        <v>709</v>
      </c>
      <c r="AA311" t="s">
        <v>92</v>
      </c>
      <c r="AB311" t="s">
        <v>92</v>
      </c>
      <c r="AC311" t="s">
        <v>12</v>
      </c>
      <c r="AD311" t="s">
        <v>92</v>
      </c>
      <c r="AE311" t="s">
        <v>119</v>
      </c>
      <c r="AF311" t="s">
        <v>2034</v>
      </c>
    </row>
    <row r="312" spans="1:32" x14ac:dyDescent="0.45">
      <c r="A312" t="s">
        <v>2035</v>
      </c>
      <c r="B312" t="s">
        <v>2036</v>
      </c>
      <c r="C312" t="s">
        <v>2037</v>
      </c>
      <c r="D312" t="s">
        <v>42</v>
      </c>
      <c r="E312" t="s">
        <v>2030</v>
      </c>
      <c r="F312" t="s">
        <v>2031</v>
      </c>
      <c r="H312" t="s">
        <v>2032</v>
      </c>
      <c r="I312" t="s">
        <v>2033</v>
      </c>
      <c r="J312" t="s">
        <v>92</v>
      </c>
      <c r="K312" t="s">
        <v>12</v>
      </c>
      <c r="L312" t="s">
        <v>12</v>
      </c>
      <c r="M312" t="s">
        <v>182</v>
      </c>
      <c r="N312" t="s">
        <v>12</v>
      </c>
      <c r="O312" t="s">
        <v>12</v>
      </c>
      <c r="P312" t="s">
        <v>12</v>
      </c>
      <c r="Q312" t="s">
        <v>92</v>
      </c>
      <c r="R312" t="s">
        <v>182</v>
      </c>
      <c r="S312" t="s">
        <v>92</v>
      </c>
      <c r="T312" t="s">
        <v>2035</v>
      </c>
      <c r="U312" t="s">
        <v>12</v>
      </c>
      <c r="V312" t="s">
        <v>12</v>
      </c>
      <c r="W312" t="s">
        <v>1420</v>
      </c>
      <c r="AA312" t="s">
        <v>92</v>
      </c>
      <c r="AB312" t="s">
        <v>92</v>
      </c>
      <c r="AC312" t="s">
        <v>12</v>
      </c>
      <c r="AD312" t="s">
        <v>92</v>
      </c>
      <c r="AE312" t="s">
        <v>166</v>
      </c>
      <c r="AF312" t="s">
        <v>2038</v>
      </c>
    </row>
    <row r="313" spans="1:32" x14ac:dyDescent="0.45">
      <c r="A313" t="s">
        <v>2039</v>
      </c>
      <c r="B313" t="s">
        <v>2040</v>
      </c>
      <c r="C313" t="s">
        <v>2041</v>
      </c>
      <c r="D313" t="s">
        <v>2040</v>
      </c>
      <c r="E313" t="s">
        <v>2030</v>
      </c>
      <c r="F313" t="s">
        <v>2031</v>
      </c>
      <c r="H313" t="s">
        <v>2032</v>
      </c>
      <c r="I313" t="s">
        <v>2033</v>
      </c>
      <c r="J313" t="s">
        <v>92</v>
      </c>
      <c r="K313" t="s">
        <v>12</v>
      </c>
      <c r="L313" t="s">
        <v>12</v>
      </c>
      <c r="M313" t="s">
        <v>182</v>
      </c>
      <c r="N313" t="s">
        <v>12</v>
      </c>
      <c r="O313" t="s">
        <v>12</v>
      </c>
      <c r="P313" t="s">
        <v>12</v>
      </c>
      <c r="Q313" t="s">
        <v>92</v>
      </c>
      <c r="R313" t="s">
        <v>182</v>
      </c>
      <c r="S313" t="s">
        <v>92</v>
      </c>
      <c r="T313" t="s">
        <v>2039</v>
      </c>
      <c r="U313" t="s">
        <v>12</v>
      </c>
      <c r="V313" t="s">
        <v>12</v>
      </c>
      <c r="W313" t="s">
        <v>1420</v>
      </c>
      <c r="AA313" t="s">
        <v>92</v>
      </c>
      <c r="AB313" t="s">
        <v>92</v>
      </c>
      <c r="AC313" t="s">
        <v>12</v>
      </c>
      <c r="AD313" t="s">
        <v>92</v>
      </c>
      <c r="AE313" t="s">
        <v>166</v>
      </c>
      <c r="AF313" t="s">
        <v>2042</v>
      </c>
    </row>
    <row r="314" spans="1:32" x14ac:dyDescent="0.45">
      <c r="A314" t="s">
        <v>199</v>
      </c>
      <c r="B314" t="s">
        <v>58</v>
      </c>
      <c r="C314" t="s">
        <v>2043</v>
      </c>
      <c r="D314" t="s">
        <v>58</v>
      </c>
      <c r="E314" t="s">
        <v>2044</v>
      </c>
      <c r="F314" t="s">
        <v>2045</v>
      </c>
      <c r="H314" t="s">
        <v>2046</v>
      </c>
      <c r="I314" t="s">
        <v>2047</v>
      </c>
      <c r="J314" t="s">
        <v>92</v>
      </c>
      <c r="K314" t="s">
        <v>12</v>
      </c>
      <c r="L314" t="s">
        <v>12</v>
      </c>
      <c r="M314" t="s">
        <v>182</v>
      </c>
      <c r="N314" t="s">
        <v>12</v>
      </c>
      <c r="O314" t="s">
        <v>12</v>
      </c>
      <c r="P314" t="s">
        <v>12</v>
      </c>
      <c r="Q314" t="s">
        <v>92</v>
      </c>
      <c r="R314" t="s">
        <v>182</v>
      </c>
      <c r="S314" t="s">
        <v>92</v>
      </c>
      <c r="T314" t="s">
        <v>199</v>
      </c>
      <c r="U314" t="s">
        <v>12</v>
      </c>
      <c r="V314" t="s">
        <v>12</v>
      </c>
      <c r="W314" t="s">
        <v>1563</v>
      </c>
      <c r="X314" t="s">
        <v>1046</v>
      </c>
      <c r="Y314" t="s">
        <v>119</v>
      </c>
      <c r="AA314" t="s">
        <v>12</v>
      </c>
      <c r="AB314" t="s">
        <v>92</v>
      </c>
      <c r="AC314" t="s">
        <v>12</v>
      </c>
      <c r="AD314" t="s">
        <v>92</v>
      </c>
      <c r="AE314" t="s">
        <v>119</v>
      </c>
      <c r="AF314" t="s">
        <v>2048</v>
      </c>
    </row>
    <row r="315" spans="1:32" x14ac:dyDescent="0.45">
      <c r="A315" t="s">
        <v>2049</v>
      </c>
      <c r="B315" t="s">
        <v>2050</v>
      </c>
      <c r="C315" t="s">
        <v>2051</v>
      </c>
      <c r="D315" t="s">
        <v>2050</v>
      </c>
      <c r="E315" t="s">
        <v>2044</v>
      </c>
      <c r="F315" t="s">
        <v>2052</v>
      </c>
      <c r="H315" t="s">
        <v>2053</v>
      </c>
      <c r="I315" t="s">
        <v>2054</v>
      </c>
      <c r="J315" t="s">
        <v>92</v>
      </c>
      <c r="K315" t="s">
        <v>12</v>
      </c>
      <c r="L315" t="s">
        <v>12</v>
      </c>
      <c r="M315" t="s">
        <v>182</v>
      </c>
      <c r="N315" t="s">
        <v>12</v>
      </c>
      <c r="O315" t="s">
        <v>12</v>
      </c>
      <c r="P315" t="s">
        <v>12</v>
      </c>
      <c r="Q315" t="s">
        <v>12</v>
      </c>
      <c r="R315" t="s">
        <v>182</v>
      </c>
      <c r="S315" t="s">
        <v>92</v>
      </c>
      <c r="T315" t="s">
        <v>2049</v>
      </c>
      <c r="U315" t="s">
        <v>12</v>
      </c>
      <c r="V315" t="s">
        <v>12</v>
      </c>
      <c r="W315" t="s">
        <v>1563</v>
      </c>
      <c r="AA315" t="s">
        <v>12</v>
      </c>
      <c r="AB315" t="s">
        <v>92</v>
      </c>
      <c r="AC315" t="s">
        <v>12</v>
      </c>
      <c r="AD315" t="s">
        <v>92</v>
      </c>
      <c r="AE315" t="s">
        <v>112</v>
      </c>
      <c r="AF315" t="s">
        <v>2055</v>
      </c>
    </row>
    <row r="316" spans="1:32" x14ac:dyDescent="0.45">
      <c r="A316" t="s">
        <v>2056</v>
      </c>
      <c r="B316" t="s">
        <v>2057</v>
      </c>
      <c r="C316" t="s">
        <v>2058</v>
      </c>
      <c r="D316" t="s">
        <v>2059</v>
      </c>
      <c r="E316" t="s">
        <v>2044</v>
      </c>
      <c r="F316" t="s">
        <v>2060</v>
      </c>
      <c r="H316" t="s">
        <v>2046</v>
      </c>
      <c r="I316" t="s">
        <v>2061</v>
      </c>
      <c r="J316" t="s">
        <v>92</v>
      </c>
      <c r="K316" t="s">
        <v>12</v>
      </c>
      <c r="L316" t="s">
        <v>12</v>
      </c>
      <c r="M316" t="s">
        <v>182</v>
      </c>
      <c r="N316" t="s">
        <v>12</v>
      </c>
      <c r="O316" t="s">
        <v>12</v>
      </c>
      <c r="P316" t="s">
        <v>12</v>
      </c>
      <c r="Q316" t="s">
        <v>92</v>
      </c>
      <c r="R316" t="s">
        <v>182</v>
      </c>
      <c r="S316" t="s">
        <v>92</v>
      </c>
      <c r="T316" t="s">
        <v>2056</v>
      </c>
      <c r="U316" t="s">
        <v>12</v>
      </c>
      <c r="V316" t="s">
        <v>12</v>
      </c>
      <c r="W316" t="s">
        <v>2062</v>
      </c>
      <c r="AA316" t="s">
        <v>12</v>
      </c>
      <c r="AB316" t="s">
        <v>92</v>
      </c>
      <c r="AC316" t="s">
        <v>12</v>
      </c>
      <c r="AD316" t="s">
        <v>92</v>
      </c>
      <c r="AE316" t="s">
        <v>119</v>
      </c>
      <c r="AF316" t="s">
        <v>2063</v>
      </c>
    </row>
    <row r="317" spans="1:32" x14ac:dyDescent="0.45">
      <c r="A317" t="s">
        <v>2064</v>
      </c>
      <c r="B317" t="s">
        <v>2065</v>
      </c>
      <c r="C317" t="s">
        <v>2066</v>
      </c>
      <c r="D317" t="s">
        <v>58</v>
      </c>
      <c r="E317" t="s">
        <v>2044</v>
      </c>
      <c r="F317" t="s">
        <v>2045</v>
      </c>
      <c r="H317" t="s">
        <v>2046</v>
      </c>
      <c r="I317" t="s">
        <v>2047</v>
      </c>
      <c r="J317" t="s">
        <v>92</v>
      </c>
      <c r="K317" t="s">
        <v>12</v>
      </c>
      <c r="L317" t="s">
        <v>12</v>
      </c>
      <c r="M317" t="s">
        <v>182</v>
      </c>
      <c r="N317" t="s">
        <v>12</v>
      </c>
      <c r="O317" t="s">
        <v>12</v>
      </c>
      <c r="P317" t="s">
        <v>12</v>
      </c>
      <c r="Q317" t="s">
        <v>92</v>
      </c>
      <c r="R317" t="s">
        <v>182</v>
      </c>
      <c r="S317" t="s">
        <v>92</v>
      </c>
      <c r="T317" t="s">
        <v>2064</v>
      </c>
      <c r="U317" t="s">
        <v>12</v>
      </c>
      <c r="V317" t="s">
        <v>12</v>
      </c>
      <c r="W317" t="s">
        <v>1563</v>
      </c>
      <c r="AA317" t="s">
        <v>12</v>
      </c>
      <c r="AB317" t="s">
        <v>92</v>
      </c>
      <c r="AC317" t="s">
        <v>12</v>
      </c>
      <c r="AD317" t="s">
        <v>92</v>
      </c>
      <c r="AE317" t="s">
        <v>119</v>
      </c>
      <c r="AF317" t="s">
        <v>2067</v>
      </c>
    </row>
    <row r="318" spans="1:32" x14ac:dyDescent="0.45">
      <c r="A318" t="s">
        <v>2068</v>
      </c>
      <c r="B318" t="s">
        <v>1120</v>
      </c>
      <c r="C318" t="s">
        <v>2069</v>
      </c>
      <c r="D318" t="s">
        <v>2070</v>
      </c>
      <c r="E318" t="s">
        <v>2044</v>
      </c>
      <c r="F318" t="s">
        <v>2052</v>
      </c>
      <c r="H318" t="s">
        <v>2046</v>
      </c>
      <c r="I318" t="s">
        <v>2047</v>
      </c>
      <c r="J318" t="s">
        <v>92</v>
      </c>
      <c r="K318" t="s">
        <v>12</v>
      </c>
      <c r="L318" t="s">
        <v>12</v>
      </c>
      <c r="M318" t="s">
        <v>182</v>
      </c>
      <c r="N318" t="s">
        <v>12</v>
      </c>
      <c r="O318" t="s">
        <v>12</v>
      </c>
      <c r="P318" t="s">
        <v>12</v>
      </c>
      <c r="Q318" t="s">
        <v>92</v>
      </c>
      <c r="R318" t="s">
        <v>182</v>
      </c>
      <c r="S318" t="s">
        <v>92</v>
      </c>
      <c r="T318" t="s">
        <v>2068</v>
      </c>
      <c r="U318" t="s">
        <v>12</v>
      </c>
      <c r="V318" t="s">
        <v>12</v>
      </c>
      <c r="W318" t="s">
        <v>2071</v>
      </c>
      <c r="AA318" t="s">
        <v>12</v>
      </c>
      <c r="AB318" t="s">
        <v>92</v>
      </c>
      <c r="AC318" t="s">
        <v>12</v>
      </c>
      <c r="AD318" t="s">
        <v>92</v>
      </c>
      <c r="AE318" t="s">
        <v>130</v>
      </c>
      <c r="AF318" t="s">
        <v>2072</v>
      </c>
    </row>
    <row r="319" spans="1:32" x14ac:dyDescent="0.45">
      <c r="A319" t="s">
        <v>2073</v>
      </c>
      <c r="B319" t="s">
        <v>2074</v>
      </c>
      <c r="C319" t="s">
        <v>2075</v>
      </c>
      <c r="D319" t="s">
        <v>2076</v>
      </c>
      <c r="E319" t="s">
        <v>2044</v>
      </c>
      <c r="F319" t="s">
        <v>2052</v>
      </c>
      <c r="H319" t="s">
        <v>2046</v>
      </c>
      <c r="I319" t="s">
        <v>2061</v>
      </c>
      <c r="J319" t="s">
        <v>92</v>
      </c>
      <c r="K319" t="s">
        <v>12</v>
      </c>
      <c r="L319" t="s">
        <v>12</v>
      </c>
      <c r="M319" t="s">
        <v>182</v>
      </c>
      <c r="N319" t="s">
        <v>12</v>
      </c>
      <c r="O319" t="s">
        <v>12</v>
      </c>
      <c r="P319" t="s">
        <v>12</v>
      </c>
      <c r="Q319" t="s">
        <v>119</v>
      </c>
      <c r="R319" t="s">
        <v>182</v>
      </c>
      <c r="S319" t="s">
        <v>92</v>
      </c>
      <c r="T319" t="s">
        <v>2073</v>
      </c>
      <c r="U319" t="s">
        <v>12</v>
      </c>
      <c r="V319" t="s">
        <v>12</v>
      </c>
      <c r="W319" t="s">
        <v>2062</v>
      </c>
      <c r="AA319" t="s">
        <v>12</v>
      </c>
      <c r="AB319" t="s">
        <v>92</v>
      </c>
      <c r="AC319" t="s">
        <v>12</v>
      </c>
      <c r="AD319" t="s">
        <v>92</v>
      </c>
      <c r="AE319" t="s">
        <v>119</v>
      </c>
      <c r="AF319" t="s">
        <v>2077</v>
      </c>
    </row>
    <row r="320" spans="1:32" x14ac:dyDescent="0.45">
      <c r="A320" t="s">
        <v>2078</v>
      </c>
      <c r="B320" t="s">
        <v>2079</v>
      </c>
      <c r="C320" t="s">
        <v>2080</v>
      </c>
      <c r="D320" t="s">
        <v>2081</v>
      </c>
      <c r="E320" t="s">
        <v>2044</v>
      </c>
      <c r="F320" t="s">
        <v>2052</v>
      </c>
      <c r="H320" t="s">
        <v>2046</v>
      </c>
      <c r="I320" t="s">
        <v>2061</v>
      </c>
      <c r="J320" t="s">
        <v>92</v>
      </c>
      <c r="K320" t="s">
        <v>12</v>
      </c>
      <c r="L320" t="s">
        <v>12</v>
      </c>
      <c r="M320" t="s">
        <v>182</v>
      </c>
      <c r="N320" t="s">
        <v>12</v>
      </c>
      <c r="O320" t="s">
        <v>12</v>
      </c>
      <c r="P320" t="s">
        <v>12</v>
      </c>
      <c r="Q320" t="s">
        <v>92</v>
      </c>
      <c r="R320" t="s">
        <v>182</v>
      </c>
      <c r="S320" t="s">
        <v>92</v>
      </c>
      <c r="T320" t="s">
        <v>2078</v>
      </c>
      <c r="U320" t="s">
        <v>12</v>
      </c>
      <c r="V320" t="s">
        <v>12</v>
      </c>
      <c r="W320" t="s">
        <v>2062</v>
      </c>
      <c r="AA320" t="s">
        <v>12</v>
      </c>
      <c r="AB320" t="s">
        <v>92</v>
      </c>
      <c r="AC320" t="s">
        <v>12</v>
      </c>
      <c r="AD320" t="s">
        <v>92</v>
      </c>
      <c r="AE320" t="s">
        <v>119</v>
      </c>
      <c r="AF320" t="s">
        <v>2082</v>
      </c>
    </row>
    <row r="321" spans="1:32" x14ac:dyDescent="0.45">
      <c r="A321" t="s">
        <v>203</v>
      </c>
      <c r="B321" t="s">
        <v>2083</v>
      </c>
      <c r="C321" t="s">
        <v>2084</v>
      </c>
      <c r="D321" t="s">
        <v>2085</v>
      </c>
      <c r="E321" t="s">
        <v>2044</v>
      </c>
      <c r="F321" t="s">
        <v>2060</v>
      </c>
      <c r="H321" t="s">
        <v>2046</v>
      </c>
      <c r="I321" t="s">
        <v>2061</v>
      </c>
      <c r="J321" t="s">
        <v>92</v>
      </c>
      <c r="K321" t="s">
        <v>12</v>
      </c>
      <c r="L321" t="s">
        <v>12</v>
      </c>
      <c r="M321" t="s">
        <v>182</v>
      </c>
      <c r="N321" t="s">
        <v>12</v>
      </c>
      <c r="O321" t="s">
        <v>12</v>
      </c>
      <c r="P321" t="s">
        <v>12</v>
      </c>
      <c r="Q321" t="s">
        <v>92</v>
      </c>
      <c r="R321" t="s">
        <v>182</v>
      </c>
      <c r="S321" t="s">
        <v>92</v>
      </c>
      <c r="T321" t="s">
        <v>203</v>
      </c>
      <c r="U321" t="s">
        <v>12</v>
      </c>
      <c r="V321" t="s">
        <v>12</v>
      </c>
      <c r="W321" t="s">
        <v>2062</v>
      </c>
      <c r="AA321" t="s">
        <v>12</v>
      </c>
      <c r="AB321" t="s">
        <v>92</v>
      </c>
      <c r="AC321" t="s">
        <v>12</v>
      </c>
      <c r="AD321" t="s">
        <v>92</v>
      </c>
      <c r="AE321" t="s">
        <v>119</v>
      </c>
      <c r="AF321" t="s">
        <v>2086</v>
      </c>
    </row>
    <row r="322" spans="1:32" x14ac:dyDescent="0.45">
      <c r="A322" t="s">
        <v>2087</v>
      </c>
      <c r="B322" t="s">
        <v>2088</v>
      </c>
      <c r="C322" t="s">
        <v>2089</v>
      </c>
      <c r="D322" t="s">
        <v>2088</v>
      </c>
      <c r="E322" t="s">
        <v>590</v>
      </c>
      <c r="F322" t="s">
        <v>2090</v>
      </c>
      <c r="H322" t="s">
        <v>2091</v>
      </c>
      <c r="I322" t="s">
        <v>2092</v>
      </c>
      <c r="J322" t="s">
        <v>92</v>
      </c>
      <c r="K322" t="s">
        <v>12</v>
      </c>
      <c r="L322" t="s">
        <v>12</v>
      </c>
      <c r="M322" t="s">
        <v>182</v>
      </c>
      <c r="N322" t="s">
        <v>12</v>
      </c>
      <c r="O322" t="s">
        <v>12</v>
      </c>
      <c r="P322" t="s">
        <v>12</v>
      </c>
      <c r="Q322" t="s">
        <v>92</v>
      </c>
      <c r="R322" t="s">
        <v>182</v>
      </c>
      <c r="S322" t="s">
        <v>92</v>
      </c>
      <c r="T322" t="s">
        <v>2087</v>
      </c>
      <c r="U322" t="s">
        <v>12</v>
      </c>
      <c r="V322" t="s">
        <v>12</v>
      </c>
      <c r="W322" t="s">
        <v>2062</v>
      </c>
      <c r="AA322" t="s">
        <v>12</v>
      </c>
      <c r="AB322" t="s">
        <v>92</v>
      </c>
      <c r="AC322" t="s">
        <v>12</v>
      </c>
      <c r="AD322" t="s">
        <v>92</v>
      </c>
      <c r="AE322" t="s">
        <v>119</v>
      </c>
      <c r="AF322" t="s">
        <v>2093</v>
      </c>
    </row>
    <row r="323" spans="1:32" x14ac:dyDescent="0.45">
      <c r="A323" t="s">
        <v>2094</v>
      </c>
      <c r="B323" t="s">
        <v>2095</v>
      </c>
      <c r="C323" t="s">
        <v>2096</v>
      </c>
      <c r="D323" t="s">
        <v>2097</v>
      </c>
      <c r="E323" t="s">
        <v>2044</v>
      </c>
      <c r="F323" t="s">
        <v>2052</v>
      </c>
      <c r="H323" t="s">
        <v>2046</v>
      </c>
      <c r="I323" t="s">
        <v>2061</v>
      </c>
      <c r="J323" t="s">
        <v>92</v>
      </c>
      <c r="K323" t="s">
        <v>12</v>
      </c>
      <c r="L323" t="s">
        <v>12</v>
      </c>
      <c r="M323" t="s">
        <v>182</v>
      </c>
      <c r="N323" t="s">
        <v>12</v>
      </c>
      <c r="O323" t="s">
        <v>12</v>
      </c>
      <c r="P323" t="s">
        <v>12</v>
      </c>
      <c r="Q323" t="s">
        <v>92</v>
      </c>
      <c r="R323" t="s">
        <v>182</v>
      </c>
      <c r="S323" t="s">
        <v>92</v>
      </c>
      <c r="T323" t="s">
        <v>2094</v>
      </c>
      <c r="U323" t="s">
        <v>12</v>
      </c>
      <c r="V323" t="s">
        <v>12</v>
      </c>
      <c r="W323" t="s">
        <v>2062</v>
      </c>
      <c r="AA323" t="s">
        <v>12</v>
      </c>
      <c r="AB323" t="s">
        <v>92</v>
      </c>
      <c r="AC323" t="s">
        <v>12</v>
      </c>
      <c r="AD323" t="s">
        <v>92</v>
      </c>
      <c r="AE323" t="s">
        <v>114</v>
      </c>
      <c r="AF323" t="s">
        <v>2098</v>
      </c>
    </row>
    <row r="324" spans="1:32" x14ac:dyDescent="0.45">
      <c r="A324" t="s">
        <v>2099</v>
      </c>
      <c r="B324" t="s">
        <v>2100</v>
      </c>
      <c r="C324" t="s">
        <v>2101</v>
      </c>
      <c r="D324" t="s">
        <v>2100</v>
      </c>
      <c r="E324" t="s">
        <v>2044</v>
      </c>
      <c r="F324" t="s">
        <v>2052</v>
      </c>
      <c r="H324" t="s">
        <v>2053</v>
      </c>
      <c r="I324" t="s">
        <v>2054</v>
      </c>
      <c r="J324" t="s">
        <v>92</v>
      </c>
      <c r="K324" t="s">
        <v>12</v>
      </c>
      <c r="L324" t="s">
        <v>12</v>
      </c>
      <c r="M324" t="s">
        <v>182</v>
      </c>
      <c r="N324" t="s">
        <v>12</v>
      </c>
      <c r="O324" t="s">
        <v>12</v>
      </c>
      <c r="P324" t="s">
        <v>12</v>
      </c>
      <c r="Q324" t="s">
        <v>12</v>
      </c>
      <c r="R324" t="s">
        <v>182</v>
      </c>
      <c r="S324" t="s">
        <v>92</v>
      </c>
      <c r="T324" t="s">
        <v>2099</v>
      </c>
      <c r="U324" t="s">
        <v>12</v>
      </c>
      <c r="V324" t="s">
        <v>12</v>
      </c>
      <c r="W324" t="s">
        <v>1563</v>
      </c>
      <c r="AA324" t="s">
        <v>12</v>
      </c>
      <c r="AB324" t="s">
        <v>12</v>
      </c>
      <c r="AC324" t="s">
        <v>12</v>
      </c>
      <c r="AD324" t="s">
        <v>92</v>
      </c>
      <c r="AE324" t="s">
        <v>119</v>
      </c>
      <c r="AF324" t="s">
        <v>2102</v>
      </c>
    </row>
    <row r="325" spans="1:32" x14ac:dyDescent="0.45">
      <c r="A325" t="s">
        <v>2103</v>
      </c>
      <c r="B325" t="s">
        <v>2104</v>
      </c>
      <c r="C325" t="s">
        <v>2105</v>
      </c>
      <c r="D325" t="s">
        <v>2104</v>
      </c>
      <c r="E325" t="s">
        <v>2106</v>
      </c>
      <c r="F325" t="s">
        <v>2107</v>
      </c>
      <c r="H325" t="s">
        <v>2108</v>
      </c>
      <c r="I325" t="s">
        <v>2109</v>
      </c>
      <c r="J325" t="s">
        <v>92</v>
      </c>
      <c r="K325" t="s">
        <v>12</v>
      </c>
      <c r="L325" t="s">
        <v>12</v>
      </c>
      <c r="M325" t="s">
        <v>182</v>
      </c>
      <c r="N325" t="s">
        <v>12</v>
      </c>
      <c r="O325" t="s">
        <v>12</v>
      </c>
      <c r="P325" t="s">
        <v>12</v>
      </c>
      <c r="Q325" t="s">
        <v>92</v>
      </c>
      <c r="R325" t="s">
        <v>182</v>
      </c>
      <c r="S325" t="s">
        <v>92</v>
      </c>
      <c r="T325" t="s">
        <v>2103</v>
      </c>
      <c r="U325" t="s">
        <v>12</v>
      </c>
      <c r="V325" t="s">
        <v>12</v>
      </c>
      <c r="W325" t="s">
        <v>2110</v>
      </c>
      <c r="AA325" t="s">
        <v>12</v>
      </c>
      <c r="AB325" t="s">
        <v>92</v>
      </c>
      <c r="AC325" t="s">
        <v>12</v>
      </c>
      <c r="AD325" t="s">
        <v>92</v>
      </c>
      <c r="AE325" t="s">
        <v>169</v>
      </c>
      <c r="AF325" t="s">
        <v>2111</v>
      </c>
    </row>
    <row r="326" spans="1:32" x14ac:dyDescent="0.45">
      <c r="A326" t="s">
        <v>2112</v>
      </c>
      <c r="B326" t="s">
        <v>2104</v>
      </c>
      <c r="C326" t="s">
        <v>2105</v>
      </c>
      <c r="D326" t="s">
        <v>2104</v>
      </c>
      <c r="E326" t="s">
        <v>2106</v>
      </c>
      <c r="F326" t="s">
        <v>2107</v>
      </c>
      <c r="H326" t="s">
        <v>2108</v>
      </c>
      <c r="I326" t="s">
        <v>2109</v>
      </c>
      <c r="J326" t="s">
        <v>92</v>
      </c>
      <c r="K326" t="s">
        <v>12</v>
      </c>
      <c r="L326" t="s">
        <v>12</v>
      </c>
      <c r="M326" t="s">
        <v>182</v>
      </c>
      <c r="N326" t="s">
        <v>12</v>
      </c>
      <c r="O326" t="s">
        <v>12</v>
      </c>
      <c r="P326" t="s">
        <v>12</v>
      </c>
      <c r="Q326" t="s">
        <v>92</v>
      </c>
      <c r="R326" t="s">
        <v>182</v>
      </c>
      <c r="S326" t="s">
        <v>92</v>
      </c>
      <c r="T326" t="s">
        <v>2112</v>
      </c>
      <c r="U326" t="s">
        <v>12</v>
      </c>
      <c r="V326" t="s">
        <v>12</v>
      </c>
      <c r="W326" t="s">
        <v>2110</v>
      </c>
      <c r="AA326" t="s">
        <v>12</v>
      </c>
      <c r="AB326" t="s">
        <v>92</v>
      </c>
      <c r="AC326" t="s">
        <v>12</v>
      </c>
      <c r="AD326" t="s">
        <v>92</v>
      </c>
      <c r="AE326" t="s">
        <v>92</v>
      </c>
      <c r="AF326" t="s">
        <v>2113</v>
      </c>
    </row>
    <row r="327" spans="1:32" x14ac:dyDescent="0.45">
      <c r="A327" t="s">
        <v>2114</v>
      </c>
      <c r="B327" t="s">
        <v>2115</v>
      </c>
      <c r="C327" t="s">
        <v>2116</v>
      </c>
      <c r="D327" t="s">
        <v>2115</v>
      </c>
      <c r="F327" t="s">
        <v>2117</v>
      </c>
      <c r="H327" t="s">
        <v>2118</v>
      </c>
      <c r="I327" t="s">
        <v>2119</v>
      </c>
      <c r="J327" t="s">
        <v>92</v>
      </c>
      <c r="K327" t="s">
        <v>12</v>
      </c>
      <c r="L327" t="s">
        <v>12</v>
      </c>
      <c r="M327" t="s">
        <v>182</v>
      </c>
      <c r="N327" t="s">
        <v>12</v>
      </c>
      <c r="O327" t="s">
        <v>12</v>
      </c>
      <c r="P327" t="s">
        <v>12</v>
      </c>
      <c r="Q327" t="s">
        <v>92</v>
      </c>
      <c r="R327" t="s">
        <v>182</v>
      </c>
      <c r="S327" t="s">
        <v>92</v>
      </c>
      <c r="T327" t="s">
        <v>2114</v>
      </c>
      <c r="U327" t="s">
        <v>12</v>
      </c>
      <c r="V327" t="s">
        <v>12</v>
      </c>
      <c r="W327" t="s">
        <v>2120</v>
      </c>
      <c r="AA327" t="s">
        <v>12</v>
      </c>
      <c r="AB327" t="s">
        <v>92</v>
      </c>
      <c r="AC327" t="s">
        <v>12</v>
      </c>
      <c r="AD327" t="s">
        <v>92</v>
      </c>
      <c r="AE327" t="s">
        <v>112</v>
      </c>
      <c r="AF327" t="s">
        <v>2121</v>
      </c>
    </row>
    <row r="328" spans="1:32" x14ac:dyDescent="0.45">
      <c r="A328" t="s">
        <v>2122</v>
      </c>
      <c r="B328" t="s">
        <v>2115</v>
      </c>
      <c r="C328" t="s">
        <v>2116</v>
      </c>
      <c r="D328" t="s">
        <v>2115</v>
      </c>
      <c r="F328" t="s">
        <v>2117</v>
      </c>
      <c r="J328" t="s">
        <v>92</v>
      </c>
      <c r="K328" t="s">
        <v>12</v>
      </c>
      <c r="L328" t="s">
        <v>12</v>
      </c>
      <c r="M328" t="s">
        <v>182</v>
      </c>
      <c r="N328" t="s">
        <v>12</v>
      </c>
      <c r="O328" t="s">
        <v>12</v>
      </c>
      <c r="P328" t="s">
        <v>12</v>
      </c>
      <c r="Q328" t="s">
        <v>92</v>
      </c>
      <c r="R328" t="s">
        <v>182</v>
      </c>
      <c r="S328" t="s">
        <v>92</v>
      </c>
      <c r="T328" t="s">
        <v>2122</v>
      </c>
      <c r="U328" t="s">
        <v>12</v>
      </c>
      <c r="V328" t="s">
        <v>12</v>
      </c>
      <c r="W328" t="s">
        <v>12</v>
      </c>
      <c r="AA328" t="s">
        <v>12</v>
      </c>
      <c r="AB328" t="s">
        <v>92</v>
      </c>
      <c r="AC328" t="s">
        <v>12</v>
      </c>
      <c r="AD328" t="s">
        <v>92</v>
      </c>
      <c r="AE328" t="s">
        <v>130</v>
      </c>
      <c r="AF328" t="s">
        <v>2123</v>
      </c>
    </row>
    <row r="329" spans="1:32" x14ac:dyDescent="0.45">
      <c r="A329" t="s">
        <v>2124</v>
      </c>
      <c r="B329" t="s">
        <v>2125</v>
      </c>
      <c r="C329" t="s">
        <v>2126</v>
      </c>
      <c r="D329" t="s">
        <v>2127</v>
      </c>
      <c r="E329" t="s">
        <v>2128</v>
      </c>
      <c r="F329" t="s">
        <v>2129</v>
      </c>
      <c r="H329" t="s">
        <v>2130</v>
      </c>
      <c r="I329" t="s">
        <v>2131</v>
      </c>
      <c r="J329" t="s">
        <v>92</v>
      </c>
      <c r="K329" t="s">
        <v>12</v>
      </c>
      <c r="L329" t="s">
        <v>12</v>
      </c>
      <c r="M329" t="s">
        <v>182</v>
      </c>
      <c r="N329" t="s">
        <v>12</v>
      </c>
      <c r="O329" t="s">
        <v>12</v>
      </c>
      <c r="P329" t="s">
        <v>12</v>
      </c>
      <c r="Q329" t="s">
        <v>92</v>
      </c>
      <c r="R329" t="s">
        <v>182</v>
      </c>
      <c r="S329" t="s">
        <v>92</v>
      </c>
      <c r="T329" t="s">
        <v>2124</v>
      </c>
      <c r="U329" t="s">
        <v>12</v>
      </c>
      <c r="V329" t="s">
        <v>12</v>
      </c>
      <c r="W329" t="s">
        <v>2132</v>
      </c>
      <c r="AA329" t="s">
        <v>12</v>
      </c>
      <c r="AB329" t="s">
        <v>92</v>
      </c>
      <c r="AC329" t="s">
        <v>12</v>
      </c>
      <c r="AD329" t="s">
        <v>92</v>
      </c>
      <c r="AE329" t="s">
        <v>112</v>
      </c>
      <c r="AF329" t="s">
        <v>2133</v>
      </c>
    </row>
    <row r="330" spans="1:32" x14ac:dyDescent="0.45">
      <c r="A330" t="s">
        <v>2134</v>
      </c>
      <c r="B330" t="s">
        <v>2135</v>
      </c>
      <c r="C330" t="s">
        <v>2136</v>
      </c>
      <c r="D330" t="s">
        <v>2137</v>
      </c>
      <c r="E330" t="s">
        <v>2138</v>
      </c>
      <c r="F330" t="s">
        <v>2129</v>
      </c>
      <c r="H330" t="s">
        <v>2138</v>
      </c>
      <c r="I330" t="s">
        <v>2139</v>
      </c>
      <c r="J330" t="s">
        <v>92</v>
      </c>
      <c r="K330" t="s">
        <v>12</v>
      </c>
      <c r="L330" t="s">
        <v>12</v>
      </c>
      <c r="M330" t="s">
        <v>182</v>
      </c>
      <c r="N330" t="s">
        <v>12</v>
      </c>
      <c r="O330" t="s">
        <v>12</v>
      </c>
      <c r="P330" t="s">
        <v>12</v>
      </c>
      <c r="Q330" t="s">
        <v>92</v>
      </c>
      <c r="R330" t="s">
        <v>182</v>
      </c>
      <c r="S330" t="s">
        <v>92</v>
      </c>
      <c r="T330" t="s">
        <v>2134</v>
      </c>
      <c r="U330" t="s">
        <v>12</v>
      </c>
      <c r="V330" t="s">
        <v>12</v>
      </c>
      <c r="W330" t="s">
        <v>2132</v>
      </c>
      <c r="AA330" t="s">
        <v>12</v>
      </c>
      <c r="AB330" t="s">
        <v>92</v>
      </c>
      <c r="AC330" t="s">
        <v>12</v>
      </c>
      <c r="AD330" t="s">
        <v>92</v>
      </c>
      <c r="AE330" t="s">
        <v>130</v>
      </c>
      <c r="AF330" t="s">
        <v>2140</v>
      </c>
    </row>
    <row r="331" spans="1:32" x14ac:dyDescent="0.45">
      <c r="A331" t="s">
        <v>2141</v>
      </c>
      <c r="B331" t="s">
        <v>2142</v>
      </c>
      <c r="C331" t="s">
        <v>2143</v>
      </c>
      <c r="D331" t="s">
        <v>2144</v>
      </c>
      <c r="E331" t="s">
        <v>2145</v>
      </c>
      <c r="F331" t="s">
        <v>2146</v>
      </c>
      <c r="H331" t="s">
        <v>2147</v>
      </c>
      <c r="I331" t="s">
        <v>2148</v>
      </c>
      <c r="J331" t="s">
        <v>92</v>
      </c>
      <c r="K331" t="s">
        <v>12</v>
      </c>
      <c r="L331" t="s">
        <v>12</v>
      </c>
      <c r="M331" t="s">
        <v>182</v>
      </c>
      <c r="N331" t="s">
        <v>12</v>
      </c>
      <c r="O331" t="s">
        <v>12</v>
      </c>
      <c r="P331" t="s">
        <v>12</v>
      </c>
      <c r="Q331" t="s">
        <v>92</v>
      </c>
      <c r="R331" t="s">
        <v>182</v>
      </c>
      <c r="S331" t="s">
        <v>92</v>
      </c>
      <c r="T331" t="s">
        <v>2141</v>
      </c>
      <c r="U331" t="s">
        <v>12</v>
      </c>
      <c r="V331" t="s">
        <v>12</v>
      </c>
      <c r="W331" t="s">
        <v>1571</v>
      </c>
      <c r="Z331" t="s">
        <v>610</v>
      </c>
      <c r="AA331" t="s">
        <v>12</v>
      </c>
      <c r="AB331" t="s">
        <v>92</v>
      </c>
      <c r="AC331" t="s">
        <v>12</v>
      </c>
      <c r="AD331" t="s">
        <v>92</v>
      </c>
      <c r="AE331" t="s">
        <v>119</v>
      </c>
      <c r="AF331" t="s">
        <v>2149</v>
      </c>
    </row>
    <row r="332" spans="1:32" x14ac:dyDescent="0.45">
      <c r="A332" t="s">
        <v>2150</v>
      </c>
      <c r="B332" t="s">
        <v>2151</v>
      </c>
      <c r="C332" t="s">
        <v>2152</v>
      </c>
      <c r="D332" t="s">
        <v>2153</v>
      </c>
      <c r="E332" t="s">
        <v>2154</v>
      </c>
      <c r="F332" t="s">
        <v>2155</v>
      </c>
      <c r="H332" t="s">
        <v>2156</v>
      </c>
      <c r="I332" t="s">
        <v>2157</v>
      </c>
      <c r="J332" t="s">
        <v>92</v>
      </c>
      <c r="K332" t="s">
        <v>12</v>
      </c>
      <c r="L332" t="s">
        <v>12</v>
      </c>
      <c r="M332" t="s">
        <v>182</v>
      </c>
      <c r="N332" t="s">
        <v>12</v>
      </c>
      <c r="O332" t="s">
        <v>12</v>
      </c>
      <c r="P332" t="s">
        <v>12</v>
      </c>
      <c r="Q332" t="s">
        <v>92</v>
      </c>
      <c r="R332" t="s">
        <v>182</v>
      </c>
      <c r="S332" t="s">
        <v>92</v>
      </c>
      <c r="T332" t="s">
        <v>2150</v>
      </c>
      <c r="U332" t="s">
        <v>12</v>
      </c>
      <c r="V332" t="s">
        <v>12</v>
      </c>
      <c r="W332" t="s">
        <v>122</v>
      </c>
      <c r="Z332" t="s">
        <v>610</v>
      </c>
      <c r="AA332" t="s">
        <v>92</v>
      </c>
      <c r="AB332" t="s">
        <v>92</v>
      </c>
      <c r="AC332" t="s">
        <v>12</v>
      </c>
      <c r="AD332" t="s">
        <v>92</v>
      </c>
      <c r="AE332" t="s">
        <v>119</v>
      </c>
      <c r="AF332" t="s">
        <v>2158</v>
      </c>
    </row>
    <row r="333" spans="1:32" x14ac:dyDescent="0.45">
      <c r="A333" t="s">
        <v>2159</v>
      </c>
      <c r="B333" t="s">
        <v>2160</v>
      </c>
      <c r="C333" t="s">
        <v>2161</v>
      </c>
      <c r="D333" t="s">
        <v>2160</v>
      </c>
      <c r="E333" t="s">
        <v>2154</v>
      </c>
      <c r="F333" t="s">
        <v>2155</v>
      </c>
      <c r="H333" t="s">
        <v>2156</v>
      </c>
      <c r="I333" t="s">
        <v>2157</v>
      </c>
      <c r="J333" t="s">
        <v>92</v>
      </c>
      <c r="K333" t="s">
        <v>12</v>
      </c>
      <c r="L333" t="s">
        <v>12</v>
      </c>
      <c r="M333" t="s">
        <v>182</v>
      </c>
      <c r="N333" t="s">
        <v>12</v>
      </c>
      <c r="O333" t="s">
        <v>12</v>
      </c>
      <c r="P333" t="s">
        <v>12</v>
      </c>
      <c r="Q333" t="s">
        <v>92</v>
      </c>
      <c r="R333" t="s">
        <v>182</v>
      </c>
      <c r="S333" t="s">
        <v>92</v>
      </c>
      <c r="T333" t="s">
        <v>2150</v>
      </c>
      <c r="U333" t="s">
        <v>12</v>
      </c>
      <c r="V333" t="s">
        <v>12</v>
      </c>
      <c r="W333" t="s">
        <v>122</v>
      </c>
      <c r="Z333" t="s">
        <v>610</v>
      </c>
      <c r="AA333" t="s">
        <v>92</v>
      </c>
      <c r="AB333" t="s">
        <v>92</v>
      </c>
      <c r="AC333" t="s">
        <v>12</v>
      </c>
      <c r="AD333" t="s">
        <v>92</v>
      </c>
      <c r="AE333" t="s">
        <v>119</v>
      </c>
      <c r="AF333" t="s">
        <v>2162</v>
      </c>
    </row>
    <row r="334" spans="1:32" x14ac:dyDescent="0.45">
      <c r="A334" t="s">
        <v>2163</v>
      </c>
      <c r="B334" t="s">
        <v>2151</v>
      </c>
      <c r="C334" t="s">
        <v>2164</v>
      </c>
      <c r="D334" t="s">
        <v>2153</v>
      </c>
      <c r="E334" t="s">
        <v>2154</v>
      </c>
      <c r="F334" t="s">
        <v>2155</v>
      </c>
      <c r="H334" t="s">
        <v>2156</v>
      </c>
      <c r="I334" t="s">
        <v>2157</v>
      </c>
      <c r="J334" t="s">
        <v>92</v>
      </c>
      <c r="K334" t="s">
        <v>12</v>
      </c>
      <c r="L334" t="s">
        <v>12</v>
      </c>
      <c r="M334" t="s">
        <v>182</v>
      </c>
      <c r="N334" t="s">
        <v>12</v>
      </c>
      <c r="O334" t="s">
        <v>12</v>
      </c>
      <c r="P334" t="s">
        <v>12</v>
      </c>
      <c r="Q334" t="s">
        <v>92</v>
      </c>
      <c r="R334" t="s">
        <v>182</v>
      </c>
      <c r="S334" t="s">
        <v>92</v>
      </c>
      <c r="T334" t="s">
        <v>2163</v>
      </c>
      <c r="U334" t="s">
        <v>12</v>
      </c>
      <c r="V334" t="s">
        <v>12</v>
      </c>
      <c r="W334" t="s">
        <v>122</v>
      </c>
      <c r="Z334" t="s">
        <v>610</v>
      </c>
      <c r="AA334" t="s">
        <v>92</v>
      </c>
      <c r="AB334" t="s">
        <v>92</v>
      </c>
      <c r="AC334" t="s">
        <v>12</v>
      </c>
      <c r="AD334" t="s">
        <v>92</v>
      </c>
      <c r="AE334" t="s">
        <v>119</v>
      </c>
      <c r="AF334" t="s">
        <v>2165</v>
      </c>
    </row>
    <row r="335" spans="1:32" x14ac:dyDescent="0.45">
      <c r="A335" t="s">
        <v>2166</v>
      </c>
      <c r="B335" t="s">
        <v>2151</v>
      </c>
      <c r="C335" t="s">
        <v>2167</v>
      </c>
      <c r="D335" t="s">
        <v>2168</v>
      </c>
      <c r="E335" t="s">
        <v>2154</v>
      </c>
      <c r="F335" t="s">
        <v>2155</v>
      </c>
      <c r="H335" t="s">
        <v>2156</v>
      </c>
      <c r="I335" t="s">
        <v>2157</v>
      </c>
      <c r="J335" t="s">
        <v>92</v>
      </c>
      <c r="K335" t="s">
        <v>12</v>
      </c>
      <c r="L335" t="s">
        <v>12</v>
      </c>
      <c r="M335" t="s">
        <v>182</v>
      </c>
      <c r="N335" t="s">
        <v>12</v>
      </c>
      <c r="O335" t="s">
        <v>12</v>
      </c>
      <c r="P335" t="s">
        <v>12</v>
      </c>
      <c r="Q335" t="s">
        <v>92</v>
      </c>
      <c r="R335" t="s">
        <v>182</v>
      </c>
      <c r="S335" t="s">
        <v>92</v>
      </c>
      <c r="T335" t="s">
        <v>2166</v>
      </c>
      <c r="U335" t="s">
        <v>12</v>
      </c>
      <c r="V335" t="s">
        <v>12</v>
      </c>
      <c r="W335" t="s">
        <v>122</v>
      </c>
      <c r="AA335" t="s">
        <v>92</v>
      </c>
      <c r="AB335" t="s">
        <v>92</v>
      </c>
      <c r="AC335" t="s">
        <v>12</v>
      </c>
      <c r="AD335" t="s">
        <v>92</v>
      </c>
      <c r="AE335" t="s">
        <v>119</v>
      </c>
      <c r="AF335" t="s">
        <v>2169</v>
      </c>
    </row>
    <row r="336" spans="1:32" x14ac:dyDescent="0.45">
      <c r="A336" t="s">
        <v>2170</v>
      </c>
      <c r="B336" t="s">
        <v>2171</v>
      </c>
      <c r="C336" t="s">
        <v>2172</v>
      </c>
      <c r="D336" t="s">
        <v>2173</v>
      </c>
      <c r="E336" t="s">
        <v>1281</v>
      </c>
      <c r="F336" t="s">
        <v>2174</v>
      </c>
      <c r="H336" t="s">
        <v>2175</v>
      </c>
      <c r="I336" t="s">
        <v>2176</v>
      </c>
      <c r="J336" t="s">
        <v>92</v>
      </c>
      <c r="K336" t="s">
        <v>12</v>
      </c>
      <c r="L336" t="s">
        <v>12</v>
      </c>
      <c r="M336" t="s">
        <v>182</v>
      </c>
      <c r="N336" t="s">
        <v>12</v>
      </c>
      <c r="O336" t="s">
        <v>12</v>
      </c>
      <c r="P336" t="s">
        <v>12</v>
      </c>
      <c r="Q336" t="s">
        <v>92</v>
      </c>
      <c r="R336" t="s">
        <v>182</v>
      </c>
      <c r="S336" t="s">
        <v>92</v>
      </c>
      <c r="T336" t="s">
        <v>2170</v>
      </c>
      <c r="U336" t="s">
        <v>12</v>
      </c>
      <c r="V336" t="s">
        <v>12</v>
      </c>
      <c r="W336" t="s">
        <v>416</v>
      </c>
      <c r="Z336" t="s">
        <v>610</v>
      </c>
      <c r="AA336" t="s">
        <v>12</v>
      </c>
      <c r="AB336" t="s">
        <v>92</v>
      </c>
      <c r="AC336" t="s">
        <v>12</v>
      </c>
      <c r="AD336" t="s">
        <v>92</v>
      </c>
      <c r="AE336" t="s">
        <v>119</v>
      </c>
      <c r="AF336" t="s">
        <v>2177</v>
      </c>
    </row>
    <row r="337" spans="1:32" x14ac:dyDescent="0.45">
      <c r="A337" t="s">
        <v>2178</v>
      </c>
      <c r="B337" t="s">
        <v>2171</v>
      </c>
      <c r="C337" t="s">
        <v>2179</v>
      </c>
      <c r="D337" t="s">
        <v>2173</v>
      </c>
      <c r="E337" t="s">
        <v>1281</v>
      </c>
      <c r="F337" t="s">
        <v>2174</v>
      </c>
      <c r="H337" t="s">
        <v>2175</v>
      </c>
      <c r="I337" t="s">
        <v>2176</v>
      </c>
      <c r="J337" t="s">
        <v>92</v>
      </c>
      <c r="K337" t="s">
        <v>12</v>
      </c>
      <c r="L337" t="s">
        <v>12</v>
      </c>
      <c r="M337" t="s">
        <v>182</v>
      </c>
      <c r="N337" t="s">
        <v>12</v>
      </c>
      <c r="O337" t="s">
        <v>12</v>
      </c>
      <c r="P337" t="s">
        <v>12</v>
      </c>
      <c r="Q337" t="s">
        <v>92</v>
      </c>
      <c r="R337" t="s">
        <v>182</v>
      </c>
      <c r="S337" t="s">
        <v>92</v>
      </c>
      <c r="T337" t="s">
        <v>2178</v>
      </c>
      <c r="U337" t="s">
        <v>12</v>
      </c>
      <c r="V337" t="s">
        <v>12</v>
      </c>
      <c r="W337" t="s">
        <v>416</v>
      </c>
      <c r="Z337" t="s">
        <v>610</v>
      </c>
      <c r="AA337" t="s">
        <v>12</v>
      </c>
      <c r="AB337" t="s">
        <v>92</v>
      </c>
      <c r="AC337" t="s">
        <v>12</v>
      </c>
      <c r="AD337" t="s">
        <v>92</v>
      </c>
      <c r="AE337" t="s">
        <v>119</v>
      </c>
      <c r="AF337" t="s">
        <v>2180</v>
      </c>
    </row>
    <row r="338" spans="1:32" x14ac:dyDescent="0.45">
      <c r="A338" t="s">
        <v>2181</v>
      </c>
      <c r="B338" t="s">
        <v>2171</v>
      </c>
      <c r="C338" t="s">
        <v>2179</v>
      </c>
      <c r="D338" t="s">
        <v>2173</v>
      </c>
      <c r="E338" t="s">
        <v>1281</v>
      </c>
      <c r="F338" t="s">
        <v>2174</v>
      </c>
      <c r="H338" t="s">
        <v>2175</v>
      </c>
      <c r="I338" t="s">
        <v>2176</v>
      </c>
      <c r="J338" t="s">
        <v>92</v>
      </c>
      <c r="K338" t="s">
        <v>12</v>
      </c>
      <c r="L338" t="s">
        <v>12</v>
      </c>
      <c r="M338" t="s">
        <v>182</v>
      </c>
      <c r="N338" t="s">
        <v>12</v>
      </c>
      <c r="O338" t="s">
        <v>12</v>
      </c>
      <c r="P338" t="s">
        <v>12</v>
      </c>
      <c r="Q338" t="s">
        <v>92</v>
      </c>
      <c r="R338" t="s">
        <v>182</v>
      </c>
      <c r="S338" t="s">
        <v>92</v>
      </c>
      <c r="T338" t="s">
        <v>2181</v>
      </c>
      <c r="U338" t="s">
        <v>12</v>
      </c>
      <c r="V338" t="s">
        <v>12</v>
      </c>
      <c r="W338" t="s">
        <v>416</v>
      </c>
      <c r="AA338" t="s">
        <v>12</v>
      </c>
      <c r="AB338" t="s">
        <v>92</v>
      </c>
      <c r="AC338" t="s">
        <v>12</v>
      </c>
      <c r="AD338" t="s">
        <v>92</v>
      </c>
      <c r="AE338" t="s">
        <v>119</v>
      </c>
      <c r="AF338" t="s">
        <v>2182</v>
      </c>
    </row>
    <row r="339" spans="1:32" x14ac:dyDescent="0.45">
      <c r="A339" t="s">
        <v>2183</v>
      </c>
      <c r="B339" t="s">
        <v>2184</v>
      </c>
      <c r="C339" t="s">
        <v>2179</v>
      </c>
      <c r="D339" t="s">
        <v>2185</v>
      </c>
      <c r="E339" t="s">
        <v>2186</v>
      </c>
      <c r="F339" t="s">
        <v>2187</v>
      </c>
      <c r="H339" t="s">
        <v>2188</v>
      </c>
      <c r="I339" t="s">
        <v>2189</v>
      </c>
      <c r="J339" t="s">
        <v>92</v>
      </c>
      <c r="K339" t="s">
        <v>12</v>
      </c>
      <c r="L339" t="s">
        <v>12</v>
      </c>
      <c r="M339" t="s">
        <v>182</v>
      </c>
      <c r="N339" t="s">
        <v>12</v>
      </c>
      <c r="O339" t="s">
        <v>12</v>
      </c>
      <c r="P339" t="s">
        <v>12</v>
      </c>
      <c r="Q339" t="s">
        <v>92</v>
      </c>
      <c r="R339" t="s">
        <v>182</v>
      </c>
      <c r="S339" t="s">
        <v>92</v>
      </c>
      <c r="T339" t="s">
        <v>2183</v>
      </c>
      <c r="U339" t="s">
        <v>12</v>
      </c>
      <c r="V339" t="s">
        <v>12</v>
      </c>
      <c r="W339" t="s">
        <v>422</v>
      </c>
      <c r="Z339" t="s">
        <v>610</v>
      </c>
      <c r="AA339" t="s">
        <v>12</v>
      </c>
      <c r="AB339" t="s">
        <v>92</v>
      </c>
      <c r="AC339" t="s">
        <v>12</v>
      </c>
      <c r="AD339" t="s">
        <v>92</v>
      </c>
      <c r="AE339" t="s">
        <v>92</v>
      </c>
      <c r="AF339" t="s">
        <v>2190</v>
      </c>
    </row>
    <row r="340" spans="1:32" x14ac:dyDescent="0.45">
      <c r="A340" t="s">
        <v>2191</v>
      </c>
      <c r="B340" t="s">
        <v>2184</v>
      </c>
      <c r="C340" t="s">
        <v>2172</v>
      </c>
      <c r="D340" t="s">
        <v>2185</v>
      </c>
      <c r="E340" t="s">
        <v>2186</v>
      </c>
      <c r="F340" t="s">
        <v>2187</v>
      </c>
      <c r="H340" t="s">
        <v>2188</v>
      </c>
      <c r="I340" t="s">
        <v>2189</v>
      </c>
      <c r="J340" t="s">
        <v>92</v>
      </c>
      <c r="K340" t="s">
        <v>12</v>
      </c>
      <c r="L340" t="s">
        <v>12</v>
      </c>
      <c r="M340" t="s">
        <v>182</v>
      </c>
      <c r="N340" t="s">
        <v>12</v>
      </c>
      <c r="O340" t="s">
        <v>12</v>
      </c>
      <c r="P340" t="s">
        <v>12</v>
      </c>
      <c r="Q340" t="s">
        <v>92</v>
      </c>
      <c r="R340" t="s">
        <v>182</v>
      </c>
      <c r="S340" t="s">
        <v>92</v>
      </c>
      <c r="T340" t="s">
        <v>2191</v>
      </c>
      <c r="U340" t="s">
        <v>12</v>
      </c>
      <c r="V340" t="s">
        <v>12</v>
      </c>
      <c r="W340" t="s">
        <v>422</v>
      </c>
      <c r="Z340" t="s">
        <v>610</v>
      </c>
      <c r="AA340" t="s">
        <v>12</v>
      </c>
      <c r="AB340" t="s">
        <v>92</v>
      </c>
      <c r="AC340" t="s">
        <v>12</v>
      </c>
      <c r="AD340" t="s">
        <v>92</v>
      </c>
      <c r="AE340" t="s">
        <v>92</v>
      </c>
      <c r="AF340" t="s">
        <v>2192</v>
      </c>
    </row>
    <row r="341" spans="1:32" x14ac:dyDescent="0.45">
      <c r="A341" t="s">
        <v>2193</v>
      </c>
      <c r="B341" t="s">
        <v>2184</v>
      </c>
      <c r="C341" t="s">
        <v>2179</v>
      </c>
      <c r="D341" t="s">
        <v>2185</v>
      </c>
      <c r="E341" t="s">
        <v>2186</v>
      </c>
      <c r="F341" t="s">
        <v>2187</v>
      </c>
      <c r="H341" t="s">
        <v>2188</v>
      </c>
      <c r="I341" t="s">
        <v>2189</v>
      </c>
      <c r="J341" t="s">
        <v>92</v>
      </c>
      <c r="K341" t="s">
        <v>12</v>
      </c>
      <c r="L341" t="s">
        <v>12</v>
      </c>
      <c r="M341" t="s">
        <v>182</v>
      </c>
      <c r="N341" t="s">
        <v>12</v>
      </c>
      <c r="O341" t="s">
        <v>12</v>
      </c>
      <c r="P341" t="s">
        <v>12</v>
      </c>
      <c r="Q341" t="s">
        <v>92</v>
      </c>
      <c r="R341" t="s">
        <v>182</v>
      </c>
      <c r="S341" t="s">
        <v>92</v>
      </c>
      <c r="T341" t="s">
        <v>2193</v>
      </c>
      <c r="U341" t="s">
        <v>12</v>
      </c>
      <c r="V341" t="s">
        <v>12</v>
      </c>
      <c r="W341" t="s">
        <v>12</v>
      </c>
      <c r="AA341" t="s">
        <v>12</v>
      </c>
      <c r="AB341" t="s">
        <v>92</v>
      </c>
      <c r="AC341" t="s">
        <v>12</v>
      </c>
      <c r="AD341" t="s">
        <v>92</v>
      </c>
      <c r="AE341" t="s">
        <v>92</v>
      </c>
      <c r="AF341" t="s">
        <v>2194</v>
      </c>
    </row>
    <row r="342" spans="1:32" x14ac:dyDescent="0.45">
      <c r="A342" t="s">
        <v>2195</v>
      </c>
      <c r="B342" t="s">
        <v>2184</v>
      </c>
      <c r="C342" t="s">
        <v>2179</v>
      </c>
      <c r="D342" t="s">
        <v>2185</v>
      </c>
      <c r="E342" t="s">
        <v>2186</v>
      </c>
      <c r="F342" t="s">
        <v>2187</v>
      </c>
      <c r="H342" t="s">
        <v>2188</v>
      </c>
      <c r="I342" t="s">
        <v>2189</v>
      </c>
      <c r="J342" t="s">
        <v>92</v>
      </c>
      <c r="K342" t="s">
        <v>12</v>
      </c>
      <c r="L342" t="s">
        <v>12</v>
      </c>
      <c r="M342" t="s">
        <v>182</v>
      </c>
      <c r="N342" t="s">
        <v>12</v>
      </c>
      <c r="O342" t="s">
        <v>12</v>
      </c>
      <c r="P342" t="s">
        <v>12</v>
      </c>
      <c r="Q342" t="s">
        <v>92</v>
      </c>
      <c r="R342" t="s">
        <v>182</v>
      </c>
      <c r="S342" t="s">
        <v>92</v>
      </c>
      <c r="T342" t="s">
        <v>2196</v>
      </c>
      <c r="U342" t="s">
        <v>12</v>
      </c>
      <c r="V342" t="s">
        <v>12</v>
      </c>
      <c r="W342" t="s">
        <v>12</v>
      </c>
      <c r="AA342" t="s">
        <v>12</v>
      </c>
      <c r="AB342" t="s">
        <v>92</v>
      </c>
      <c r="AC342" t="s">
        <v>12</v>
      </c>
      <c r="AD342" t="s">
        <v>92</v>
      </c>
      <c r="AE342" t="s">
        <v>119</v>
      </c>
      <c r="AF342" t="s">
        <v>2197</v>
      </c>
    </row>
    <row r="343" spans="1:32" x14ac:dyDescent="0.45">
      <c r="A343" t="s">
        <v>2198</v>
      </c>
      <c r="B343" t="s">
        <v>2199</v>
      </c>
      <c r="C343" t="s">
        <v>2200</v>
      </c>
      <c r="D343" t="s">
        <v>2201</v>
      </c>
      <c r="E343" t="s">
        <v>590</v>
      </c>
      <c r="F343" t="s">
        <v>2202</v>
      </c>
      <c r="H343" t="s">
        <v>2203</v>
      </c>
      <c r="J343" t="s">
        <v>92</v>
      </c>
      <c r="K343" t="s">
        <v>12</v>
      </c>
      <c r="L343" t="s">
        <v>12</v>
      </c>
      <c r="M343" t="s">
        <v>182</v>
      </c>
      <c r="N343" t="s">
        <v>12</v>
      </c>
      <c r="O343" t="s">
        <v>12</v>
      </c>
      <c r="P343" t="s">
        <v>12</v>
      </c>
      <c r="Q343" t="s">
        <v>92</v>
      </c>
      <c r="R343" t="s">
        <v>182</v>
      </c>
      <c r="S343" t="s">
        <v>92</v>
      </c>
      <c r="T343" t="s">
        <v>2198</v>
      </c>
      <c r="U343" t="s">
        <v>12</v>
      </c>
      <c r="V343" t="s">
        <v>12</v>
      </c>
      <c r="W343" t="s">
        <v>2204</v>
      </c>
      <c r="Z343" t="s">
        <v>610</v>
      </c>
      <c r="AA343" t="s">
        <v>92</v>
      </c>
      <c r="AB343" t="s">
        <v>92</v>
      </c>
      <c r="AC343" t="s">
        <v>12</v>
      </c>
      <c r="AD343" t="s">
        <v>92</v>
      </c>
      <c r="AE343" t="s">
        <v>119</v>
      </c>
      <c r="AF343" t="s">
        <v>2205</v>
      </c>
    </row>
    <row r="344" spans="1:32" x14ac:dyDescent="0.45">
      <c r="A344" t="s">
        <v>2206</v>
      </c>
      <c r="B344" t="s">
        <v>2199</v>
      </c>
      <c r="C344" t="s">
        <v>2200</v>
      </c>
      <c r="D344" t="s">
        <v>2201</v>
      </c>
      <c r="E344" t="s">
        <v>590</v>
      </c>
      <c r="F344" t="s">
        <v>2202</v>
      </c>
      <c r="H344" t="s">
        <v>2203</v>
      </c>
      <c r="J344" t="s">
        <v>92</v>
      </c>
      <c r="K344" t="s">
        <v>12</v>
      </c>
      <c r="L344" t="s">
        <v>12</v>
      </c>
      <c r="M344" t="s">
        <v>182</v>
      </c>
      <c r="N344" t="s">
        <v>12</v>
      </c>
      <c r="O344" t="s">
        <v>12</v>
      </c>
      <c r="P344" t="s">
        <v>12</v>
      </c>
      <c r="Q344" t="s">
        <v>92</v>
      </c>
      <c r="R344" t="s">
        <v>182</v>
      </c>
      <c r="S344" t="s">
        <v>92</v>
      </c>
      <c r="T344" t="s">
        <v>2206</v>
      </c>
      <c r="U344" t="s">
        <v>12</v>
      </c>
      <c r="V344" t="s">
        <v>12</v>
      </c>
      <c r="W344" t="s">
        <v>2204</v>
      </c>
      <c r="Z344" t="s">
        <v>610</v>
      </c>
      <c r="AA344" t="s">
        <v>12</v>
      </c>
      <c r="AB344" t="s">
        <v>92</v>
      </c>
      <c r="AC344" t="s">
        <v>12</v>
      </c>
      <c r="AD344" t="s">
        <v>92</v>
      </c>
      <c r="AE344" t="s">
        <v>119</v>
      </c>
      <c r="AF344" t="s">
        <v>2207</v>
      </c>
    </row>
    <row r="345" spans="1:32" x14ac:dyDescent="0.45">
      <c r="A345" t="s">
        <v>2208</v>
      </c>
      <c r="B345" t="s">
        <v>2199</v>
      </c>
      <c r="C345" t="s">
        <v>2200</v>
      </c>
      <c r="D345" t="s">
        <v>2201</v>
      </c>
      <c r="E345" t="s">
        <v>590</v>
      </c>
      <c r="F345" t="s">
        <v>2202</v>
      </c>
      <c r="H345" t="s">
        <v>2203</v>
      </c>
      <c r="J345" t="s">
        <v>92</v>
      </c>
      <c r="K345" t="s">
        <v>12</v>
      </c>
      <c r="L345" t="s">
        <v>12</v>
      </c>
      <c r="M345" t="s">
        <v>182</v>
      </c>
      <c r="N345" t="s">
        <v>12</v>
      </c>
      <c r="O345" t="s">
        <v>12</v>
      </c>
      <c r="P345" t="s">
        <v>12</v>
      </c>
      <c r="Q345" t="s">
        <v>92</v>
      </c>
      <c r="R345" t="s">
        <v>182</v>
      </c>
      <c r="S345" t="s">
        <v>92</v>
      </c>
      <c r="T345" t="s">
        <v>2208</v>
      </c>
      <c r="U345" t="s">
        <v>12</v>
      </c>
      <c r="V345" t="s">
        <v>12</v>
      </c>
      <c r="W345" t="s">
        <v>2204</v>
      </c>
      <c r="Z345" t="s">
        <v>610</v>
      </c>
      <c r="AA345" t="s">
        <v>12</v>
      </c>
      <c r="AB345" t="s">
        <v>92</v>
      </c>
      <c r="AC345" t="s">
        <v>12</v>
      </c>
      <c r="AD345" t="s">
        <v>92</v>
      </c>
      <c r="AE345" t="s">
        <v>119</v>
      </c>
      <c r="AF345" t="s">
        <v>2209</v>
      </c>
    </row>
    <row r="346" spans="1:32" x14ac:dyDescent="0.45">
      <c r="A346" t="s">
        <v>2210</v>
      </c>
      <c r="B346" t="s">
        <v>2211</v>
      </c>
      <c r="C346" t="s">
        <v>2212</v>
      </c>
      <c r="D346" t="s">
        <v>2213</v>
      </c>
      <c r="E346" t="s">
        <v>1155</v>
      </c>
      <c r="F346" t="s">
        <v>2214</v>
      </c>
      <c r="H346" t="s">
        <v>2215</v>
      </c>
      <c r="I346" t="s">
        <v>2216</v>
      </c>
      <c r="J346" t="s">
        <v>92</v>
      </c>
      <c r="K346" t="s">
        <v>12</v>
      </c>
      <c r="L346" t="s">
        <v>12</v>
      </c>
      <c r="M346" t="s">
        <v>182</v>
      </c>
      <c r="N346" t="s">
        <v>12</v>
      </c>
      <c r="O346" t="s">
        <v>12</v>
      </c>
      <c r="P346" t="s">
        <v>12</v>
      </c>
      <c r="Q346" t="s">
        <v>92</v>
      </c>
      <c r="R346" t="s">
        <v>182</v>
      </c>
      <c r="S346" t="s">
        <v>92</v>
      </c>
      <c r="T346" t="s">
        <v>2210</v>
      </c>
      <c r="U346" t="s">
        <v>12</v>
      </c>
      <c r="V346" t="s">
        <v>12</v>
      </c>
      <c r="W346" t="s">
        <v>12</v>
      </c>
      <c r="AA346" t="s">
        <v>92</v>
      </c>
      <c r="AB346" t="s">
        <v>92</v>
      </c>
      <c r="AC346" t="s">
        <v>12</v>
      </c>
      <c r="AD346" t="s">
        <v>92</v>
      </c>
      <c r="AE346" t="s">
        <v>119</v>
      </c>
      <c r="AF346" t="s">
        <v>2217</v>
      </c>
    </row>
    <row r="347" spans="1:32" x14ac:dyDescent="0.45">
      <c r="A347" t="s">
        <v>2218</v>
      </c>
      <c r="B347" t="s">
        <v>2219</v>
      </c>
      <c r="C347" t="s">
        <v>2220</v>
      </c>
      <c r="D347" t="s">
        <v>2219</v>
      </c>
      <c r="E347" t="s">
        <v>1155</v>
      </c>
      <c r="F347" t="s">
        <v>2214</v>
      </c>
      <c r="H347" t="s">
        <v>2215</v>
      </c>
      <c r="I347" t="s">
        <v>2216</v>
      </c>
      <c r="J347" t="s">
        <v>92</v>
      </c>
      <c r="K347" t="s">
        <v>12</v>
      </c>
      <c r="L347" t="s">
        <v>12</v>
      </c>
      <c r="M347" t="s">
        <v>182</v>
      </c>
      <c r="N347" t="s">
        <v>12</v>
      </c>
      <c r="O347" t="s">
        <v>12</v>
      </c>
      <c r="P347" t="s">
        <v>12</v>
      </c>
      <c r="Q347" t="s">
        <v>92</v>
      </c>
      <c r="R347" t="s">
        <v>182</v>
      </c>
      <c r="S347" t="s">
        <v>92</v>
      </c>
      <c r="T347" t="s">
        <v>2210</v>
      </c>
      <c r="U347" t="s">
        <v>12</v>
      </c>
      <c r="V347" t="s">
        <v>12</v>
      </c>
      <c r="W347" t="s">
        <v>12</v>
      </c>
      <c r="AA347" t="s">
        <v>92</v>
      </c>
      <c r="AB347" t="s">
        <v>92</v>
      </c>
      <c r="AC347" t="s">
        <v>12</v>
      </c>
      <c r="AD347" t="s">
        <v>92</v>
      </c>
      <c r="AE347" t="s">
        <v>119</v>
      </c>
      <c r="AF347" t="s">
        <v>2221</v>
      </c>
    </row>
    <row r="348" spans="1:32" x14ac:dyDescent="0.45">
      <c r="A348" t="s">
        <v>2222</v>
      </c>
      <c r="B348" t="s">
        <v>2223</v>
      </c>
      <c r="C348" t="s">
        <v>2224</v>
      </c>
      <c r="D348" t="s">
        <v>2223</v>
      </c>
      <c r="E348" t="s">
        <v>1155</v>
      </c>
      <c r="F348" t="s">
        <v>2214</v>
      </c>
      <c r="J348" t="s">
        <v>92</v>
      </c>
      <c r="K348" t="s">
        <v>12</v>
      </c>
      <c r="L348" t="s">
        <v>12</v>
      </c>
      <c r="M348" t="s">
        <v>182</v>
      </c>
      <c r="N348" t="s">
        <v>12</v>
      </c>
      <c r="O348" t="s">
        <v>12</v>
      </c>
      <c r="P348" t="s">
        <v>12</v>
      </c>
      <c r="Q348" t="s">
        <v>92</v>
      </c>
      <c r="R348" t="s">
        <v>182</v>
      </c>
      <c r="S348" t="s">
        <v>92</v>
      </c>
      <c r="T348" t="s">
        <v>2222</v>
      </c>
      <c r="U348" t="s">
        <v>12</v>
      </c>
      <c r="V348" t="s">
        <v>12</v>
      </c>
      <c r="W348" t="s">
        <v>12</v>
      </c>
      <c r="AA348" t="s">
        <v>92</v>
      </c>
      <c r="AB348" t="s">
        <v>92</v>
      </c>
      <c r="AC348" t="s">
        <v>12</v>
      </c>
      <c r="AD348" t="s">
        <v>92</v>
      </c>
      <c r="AE348" t="s">
        <v>119</v>
      </c>
      <c r="AF348" t="s">
        <v>2225</v>
      </c>
    </row>
    <row r="349" spans="1:32" x14ac:dyDescent="0.45">
      <c r="A349" t="s">
        <v>2226</v>
      </c>
      <c r="B349" t="s">
        <v>2227</v>
      </c>
      <c r="C349" t="s">
        <v>2228</v>
      </c>
      <c r="D349" t="s">
        <v>2229</v>
      </c>
      <c r="E349" t="s">
        <v>1416</v>
      </c>
      <c r="F349" t="s">
        <v>2230</v>
      </c>
      <c r="G349" t="s">
        <v>2231</v>
      </c>
      <c r="H349" t="s">
        <v>2232</v>
      </c>
      <c r="I349" t="s">
        <v>2233</v>
      </c>
      <c r="J349" t="s">
        <v>92</v>
      </c>
      <c r="K349" t="s">
        <v>12</v>
      </c>
      <c r="L349" t="s">
        <v>12</v>
      </c>
      <c r="M349" t="s">
        <v>182</v>
      </c>
      <c r="N349" t="s">
        <v>12</v>
      </c>
      <c r="O349" t="s">
        <v>12</v>
      </c>
      <c r="P349" t="s">
        <v>12</v>
      </c>
      <c r="Q349" t="s">
        <v>92</v>
      </c>
      <c r="R349" t="s">
        <v>182</v>
      </c>
      <c r="S349" t="s">
        <v>92</v>
      </c>
      <c r="T349" t="s">
        <v>2226</v>
      </c>
      <c r="U349" t="s">
        <v>12</v>
      </c>
      <c r="V349" t="s">
        <v>12</v>
      </c>
      <c r="W349" t="s">
        <v>1914</v>
      </c>
      <c r="AA349" t="s">
        <v>92</v>
      </c>
      <c r="AB349" t="s">
        <v>92</v>
      </c>
      <c r="AC349" t="s">
        <v>12</v>
      </c>
      <c r="AD349" t="s">
        <v>92</v>
      </c>
      <c r="AE349" t="s">
        <v>119</v>
      </c>
      <c r="AF349" t="s">
        <v>2234</v>
      </c>
    </row>
    <row r="350" spans="1:32" x14ac:dyDescent="0.45">
      <c r="A350" t="s">
        <v>2235</v>
      </c>
      <c r="B350" t="s">
        <v>2236</v>
      </c>
      <c r="C350" t="s">
        <v>2237</v>
      </c>
      <c r="D350" t="s">
        <v>2238</v>
      </c>
      <c r="E350" t="s">
        <v>2239</v>
      </c>
      <c r="F350" t="s">
        <v>2240</v>
      </c>
      <c r="H350" t="s">
        <v>2241</v>
      </c>
      <c r="J350" t="s">
        <v>92</v>
      </c>
      <c r="K350" t="s">
        <v>12</v>
      </c>
      <c r="L350" t="s">
        <v>12</v>
      </c>
      <c r="M350" t="s">
        <v>182</v>
      </c>
      <c r="N350" t="s">
        <v>12</v>
      </c>
      <c r="O350" t="s">
        <v>12</v>
      </c>
      <c r="P350" t="s">
        <v>12</v>
      </c>
      <c r="Q350" t="s">
        <v>92</v>
      </c>
      <c r="R350" t="s">
        <v>182</v>
      </c>
      <c r="S350" t="s">
        <v>92</v>
      </c>
      <c r="T350" t="s">
        <v>2235</v>
      </c>
      <c r="U350" t="s">
        <v>12</v>
      </c>
      <c r="V350" t="s">
        <v>12</v>
      </c>
      <c r="W350" t="s">
        <v>12</v>
      </c>
      <c r="AA350" t="s">
        <v>12</v>
      </c>
      <c r="AB350" t="s">
        <v>92</v>
      </c>
      <c r="AC350" t="s">
        <v>12</v>
      </c>
      <c r="AD350" t="s">
        <v>92</v>
      </c>
      <c r="AE350" t="s">
        <v>119</v>
      </c>
      <c r="AF350" t="s">
        <v>2242</v>
      </c>
    </row>
    <row r="351" spans="1:32" x14ac:dyDescent="0.45">
      <c r="A351" t="s">
        <v>2243</v>
      </c>
      <c r="B351" t="s">
        <v>2236</v>
      </c>
      <c r="C351" t="s">
        <v>2237</v>
      </c>
      <c r="D351" t="s">
        <v>2238</v>
      </c>
      <c r="E351" t="s">
        <v>2239</v>
      </c>
      <c r="F351" t="s">
        <v>2240</v>
      </c>
      <c r="H351" t="s">
        <v>2241</v>
      </c>
      <c r="J351" t="s">
        <v>92</v>
      </c>
      <c r="K351" t="s">
        <v>12</v>
      </c>
      <c r="L351" t="s">
        <v>12</v>
      </c>
      <c r="M351" t="s">
        <v>182</v>
      </c>
      <c r="N351" t="s">
        <v>12</v>
      </c>
      <c r="O351" t="s">
        <v>12</v>
      </c>
      <c r="P351" t="s">
        <v>12</v>
      </c>
      <c r="Q351" t="s">
        <v>92</v>
      </c>
      <c r="R351" t="s">
        <v>182</v>
      </c>
      <c r="S351" t="s">
        <v>92</v>
      </c>
      <c r="T351" t="s">
        <v>2243</v>
      </c>
      <c r="U351" t="s">
        <v>12</v>
      </c>
      <c r="V351" t="s">
        <v>12</v>
      </c>
      <c r="W351" t="s">
        <v>12</v>
      </c>
      <c r="AA351" t="s">
        <v>12</v>
      </c>
      <c r="AB351" t="s">
        <v>92</v>
      </c>
      <c r="AC351" t="s">
        <v>12</v>
      </c>
      <c r="AD351" t="s">
        <v>92</v>
      </c>
      <c r="AE351" t="s">
        <v>169</v>
      </c>
      <c r="AF351" t="s">
        <v>2244</v>
      </c>
    </row>
    <row r="352" spans="1:32" x14ac:dyDescent="0.45">
      <c r="A352" t="s">
        <v>2245</v>
      </c>
      <c r="B352" t="s">
        <v>2246</v>
      </c>
      <c r="C352" t="s">
        <v>2247</v>
      </c>
      <c r="D352" t="s">
        <v>2246</v>
      </c>
      <c r="E352" t="s">
        <v>2248</v>
      </c>
      <c r="F352" t="s">
        <v>2249</v>
      </c>
      <c r="H352" t="s">
        <v>2250</v>
      </c>
      <c r="I352" t="s">
        <v>2251</v>
      </c>
      <c r="J352" t="s">
        <v>92</v>
      </c>
      <c r="K352" t="s">
        <v>12</v>
      </c>
      <c r="L352" t="s">
        <v>12</v>
      </c>
      <c r="M352" t="s">
        <v>182</v>
      </c>
      <c r="N352" t="s">
        <v>12</v>
      </c>
      <c r="O352" t="s">
        <v>12</v>
      </c>
      <c r="P352" t="s">
        <v>12</v>
      </c>
      <c r="Q352" t="s">
        <v>92</v>
      </c>
      <c r="R352" t="s">
        <v>182</v>
      </c>
      <c r="S352" t="s">
        <v>92</v>
      </c>
      <c r="T352" t="s">
        <v>2245</v>
      </c>
      <c r="U352" t="s">
        <v>12</v>
      </c>
      <c r="V352" t="s">
        <v>12</v>
      </c>
      <c r="W352" t="s">
        <v>2252</v>
      </c>
      <c r="AA352" t="s">
        <v>92</v>
      </c>
      <c r="AB352" t="s">
        <v>92</v>
      </c>
      <c r="AC352" t="s">
        <v>12</v>
      </c>
      <c r="AD352" t="s">
        <v>92</v>
      </c>
      <c r="AE352" t="s">
        <v>119</v>
      </c>
      <c r="AF352" t="s">
        <v>2253</v>
      </c>
    </row>
    <row r="353" spans="1:32" x14ac:dyDescent="0.45">
      <c r="A353" t="s">
        <v>2254</v>
      </c>
      <c r="B353" t="s">
        <v>2255</v>
      </c>
      <c r="C353" t="s">
        <v>2256</v>
      </c>
      <c r="D353" t="s">
        <v>2257</v>
      </c>
      <c r="E353" t="s">
        <v>2258</v>
      </c>
      <c r="F353" t="s">
        <v>2259</v>
      </c>
      <c r="H353" t="s">
        <v>2260</v>
      </c>
      <c r="I353" t="s">
        <v>2261</v>
      </c>
      <c r="J353" t="s">
        <v>92</v>
      </c>
      <c r="K353" t="s">
        <v>12</v>
      </c>
      <c r="L353" t="s">
        <v>12</v>
      </c>
      <c r="M353" t="s">
        <v>182</v>
      </c>
      <c r="N353" t="s">
        <v>12</v>
      </c>
      <c r="O353" t="s">
        <v>12</v>
      </c>
      <c r="P353" t="s">
        <v>12</v>
      </c>
      <c r="Q353" t="s">
        <v>92</v>
      </c>
      <c r="R353" t="s">
        <v>182</v>
      </c>
      <c r="S353" t="s">
        <v>92</v>
      </c>
      <c r="T353" t="s">
        <v>2254</v>
      </c>
      <c r="U353" t="s">
        <v>12</v>
      </c>
      <c r="V353" t="s">
        <v>12</v>
      </c>
      <c r="W353" t="s">
        <v>12</v>
      </c>
      <c r="AA353" t="s">
        <v>12</v>
      </c>
      <c r="AB353" t="s">
        <v>92</v>
      </c>
      <c r="AC353" t="s">
        <v>12</v>
      </c>
      <c r="AD353" t="s">
        <v>92</v>
      </c>
      <c r="AE353" t="s">
        <v>119</v>
      </c>
      <c r="AF353" t="s">
        <v>2262</v>
      </c>
    </row>
    <row r="354" spans="1:32" x14ac:dyDescent="0.45">
      <c r="A354" t="s">
        <v>2263</v>
      </c>
      <c r="B354" t="s">
        <v>2264</v>
      </c>
      <c r="C354" t="s">
        <v>2265</v>
      </c>
      <c r="D354" t="s">
        <v>2266</v>
      </c>
      <c r="J354" t="s">
        <v>92</v>
      </c>
      <c r="K354" t="s">
        <v>12</v>
      </c>
      <c r="L354" t="s">
        <v>12</v>
      </c>
      <c r="M354" t="s">
        <v>182</v>
      </c>
      <c r="N354" t="s">
        <v>12</v>
      </c>
      <c r="O354" t="s">
        <v>12</v>
      </c>
      <c r="P354" t="s">
        <v>12</v>
      </c>
      <c r="Q354" t="s">
        <v>92</v>
      </c>
      <c r="R354" t="s">
        <v>182</v>
      </c>
      <c r="S354" t="s">
        <v>92</v>
      </c>
      <c r="T354" t="s">
        <v>2263</v>
      </c>
      <c r="U354" t="s">
        <v>12</v>
      </c>
      <c r="V354" t="s">
        <v>12</v>
      </c>
      <c r="W354" t="s">
        <v>2252</v>
      </c>
      <c r="AA354" t="s">
        <v>12</v>
      </c>
      <c r="AB354" t="s">
        <v>92</v>
      </c>
      <c r="AC354" t="s">
        <v>12</v>
      </c>
      <c r="AD354" t="s">
        <v>92</v>
      </c>
      <c r="AE354" t="s">
        <v>119</v>
      </c>
      <c r="AF354" t="s">
        <v>2267</v>
      </c>
    </row>
    <row r="355" spans="1:32" x14ac:dyDescent="0.45">
      <c r="A355" t="s">
        <v>2268</v>
      </c>
      <c r="B355" t="s">
        <v>2269</v>
      </c>
      <c r="C355" t="s">
        <v>2270</v>
      </c>
      <c r="D355" t="s">
        <v>2269</v>
      </c>
      <c r="E355" t="s">
        <v>2271</v>
      </c>
      <c r="F355" t="s">
        <v>2272</v>
      </c>
      <c r="I355" t="s">
        <v>2273</v>
      </c>
      <c r="J355" t="s">
        <v>92</v>
      </c>
      <c r="K355" t="s">
        <v>12</v>
      </c>
      <c r="L355" t="s">
        <v>12</v>
      </c>
      <c r="M355" t="s">
        <v>182</v>
      </c>
      <c r="N355" t="s">
        <v>12</v>
      </c>
      <c r="O355" t="s">
        <v>12</v>
      </c>
      <c r="P355" t="s">
        <v>12</v>
      </c>
      <c r="Q355" t="s">
        <v>92</v>
      </c>
      <c r="R355" t="s">
        <v>182</v>
      </c>
      <c r="S355" t="s">
        <v>92</v>
      </c>
      <c r="T355" t="s">
        <v>2268</v>
      </c>
      <c r="U355" t="s">
        <v>12</v>
      </c>
      <c r="V355" t="s">
        <v>12</v>
      </c>
      <c r="W355" t="s">
        <v>2274</v>
      </c>
      <c r="AA355" t="s">
        <v>92</v>
      </c>
      <c r="AB355" t="s">
        <v>92</v>
      </c>
      <c r="AC355" t="s">
        <v>12</v>
      </c>
      <c r="AD355" t="s">
        <v>92</v>
      </c>
      <c r="AE355" t="s">
        <v>130</v>
      </c>
      <c r="AF355" t="s">
        <v>2275</v>
      </c>
    </row>
    <row r="356" spans="1:32" x14ac:dyDescent="0.45">
      <c r="A356" t="s">
        <v>2276</v>
      </c>
      <c r="B356" t="s">
        <v>2277</v>
      </c>
      <c r="C356" t="s">
        <v>2278</v>
      </c>
      <c r="D356" t="s">
        <v>2279</v>
      </c>
      <c r="E356" t="s">
        <v>2280</v>
      </c>
      <c r="F356" t="s">
        <v>2281</v>
      </c>
      <c r="H356" t="s">
        <v>2282</v>
      </c>
      <c r="I356" t="s">
        <v>2283</v>
      </c>
      <c r="J356" t="s">
        <v>92</v>
      </c>
      <c r="K356" t="s">
        <v>12</v>
      </c>
      <c r="L356" t="s">
        <v>12</v>
      </c>
      <c r="M356" t="s">
        <v>182</v>
      </c>
      <c r="N356" t="s">
        <v>12</v>
      </c>
      <c r="O356" t="s">
        <v>12</v>
      </c>
      <c r="P356" t="s">
        <v>12</v>
      </c>
      <c r="Q356" t="s">
        <v>92</v>
      </c>
      <c r="R356" t="s">
        <v>182</v>
      </c>
      <c r="S356" t="s">
        <v>92</v>
      </c>
      <c r="T356" t="s">
        <v>2276</v>
      </c>
      <c r="U356" t="s">
        <v>12</v>
      </c>
      <c r="V356" t="s">
        <v>12</v>
      </c>
      <c r="W356" t="s">
        <v>12</v>
      </c>
      <c r="AA356" t="s">
        <v>92</v>
      </c>
      <c r="AB356" t="s">
        <v>92</v>
      </c>
      <c r="AC356" t="s">
        <v>12</v>
      </c>
      <c r="AD356" t="s">
        <v>92</v>
      </c>
      <c r="AE356" t="s">
        <v>130</v>
      </c>
      <c r="AF356" t="s">
        <v>2284</v>
      </c>
    </row>
    <row r="357" spans="1:32" x14ac:dyDescent="0.45">
      <c r="A357" t="s">
        <v>2285</v>
      </c>
      <c r="B357" t="s">
        <v>2277</v>
      </c>
      <c r="C357" t="s">
        <v>2278</v>
      </c>
      <c r="D357" t="s">
        <v>2279</v>
      </c>
      <c r="E357" t="s">
        <v>2280</v>
      </c>
      <c r="F357" t="s">
        <v>2281</v>
      </c>
      <c r="H357" t="s">
        <v>2282</v>
      </c>
      <c r="I357" t="s">
        <v>2283</v>
      </c>
      <c r="J357" t="s">
        <v>92</v>
      </c>
      <c r="K357" t="s">
        <v>12</v>
      </c>
      <c r="L357" t="s">
        <v>12</v>
      </c>
      <c r="M357" t="s">
        <v>182</v>
      </c>
      <c r="N357" t="s">
        <v>12</v>
      </c>
      <c r="O357" t="s">
        <v>12</v>
      </c>
      <c r="P357" t="s">
        <v>12</v>
      </c>
      <c r="Q357" t="s">
        <v>92</v>
      </c>
      <c r="R357" t="s">
        <v>182</v>
      </c>
      <c r="S357" t="s">
        <v>92</v>
      </c>
      <c r="T357" t="s">
        <v>2276</v>
      </c>
      <c r="U357" t="s">
        <v>12</v>
      </c>
      <c r="V357" t="s">
        <v>12</v>
      </c>
      <c r="W357" t="s">
        <v>12</v>
      </c>
      <c r="AA357" t="s">
        <v>92</v>
      </c>
      <c r="AB357" t="s">
        <v>92</v>
      </c>
      <c r="AC357" t="s">
        <v>12</v>
      </c>
      <c r="AD357" t="s">
        <v>92</v>
      </c>
      <c r="AE357" t="s">
        <v>130</v>
      </c>
      <c r="AF357" t="s">
        <v>2286</v>
      </c>
    </row>
    <row r="358" spans="1:32" x14ac:dyDescent="0.45">
      <c r="A358" t="s">
        <v>2287</v>
      </c>
      <c r="B358" t="s">
        <v>2288</v>
      </c>
      <c r="C358" t="s">
        <v>2289</v>
      </c>
      <c r="D358" t="s">
        <v>2290</v>
      </c>
      <c r="E358" t="s">
        <v>2291</v>
      </c>
      <c r="F358" t="s">
        <v>2292</v>
      </c>
      <c r="H358" t="s">
        <v>2293</v>
      </c>
      <c r="I358" t="s">
        <v>2293</v>
      </c>
      <c r="J358" t="s">
        <v>92</v>
      </c>
      <c r="K358" t="s">
        <v>12</v>
      </c>
      <c r="L358" t="s">
        <v>12</v>
      </c>
      <c r="M358" t="s">
        <v>182</v>
      </c>
      <c r="N358" t="s">
        <v>12</v>
      </c>
      <c r="O358" t="s">
        <v>12</v>
      </c>
      <c r="P358" t="s">
        <v>12</v>
      </c>
      <c r="Q358" t="s">
        <v>92</v>
      </c>
      <c r="R358" t="s">
        <v>182</v>
      </c>
      <c r="S358" t="s">
        <v>92</v>
      </c>
      <c r="T358" t="s">
        <v>2287</v>
      </c>
      <c r="U358" t="s">
        <v>12</v>
      </c>
      <c r="V358" t="s">
        <v>12</v>
      </c>
      <c r="W358" t="s">
        <v>2294</v>
      </c>
      <c r="AA358" t="s">
        <v>92</v>
      </c>
      <c r="AB358" t="s">
        <v>92</v>
      </c>
      <c r="AC358" t="s">
        <v>12</v>
      </c>
      <c r="AD358" t="s">
        <v>92</v>
      </c>
      <c r="AE358" t="s">
        <v>119</v>
      </c>
      <c r="AF358" t="s">
        <v>2295</v>
      </c>
    </row>
    <row r="359" spans="1:32" x14ac:dyDescent="0.45">
      <c r="A359" t="s">
        <v>2296</v>
      </c>
      <c r="B359" t="s">
        <v>2288</v>
      </c>
      <c r="C359" t="s">
        <v>2289</v>
      </c>
      <c r="D359" t="s">
        <v>2290</v>
      </c>
      <c r="E359" t="s">
        <v>2291</v>
      </c>
      <c r="F359" t="s">
        <v>2292</v>
      </c>
      <c r="H359" t="s">
        <v>2293</v>
      </c>
      <c r="I359" t="s">
        <v>2293</v>
      </c>
      <c r="J359" t="s">
        <v>92</v>
      </c>
      <c r="K359" t="s">
        <v>12</v>
      </c>
      <c r="L359" t="s">
        <v>12</v>
      </c>
      <c r="M359" t="s">
        <v>182</v>
      </c>
      <c r="N359" t="s">
        <v>12</v>
      </c>
      <c r="O359" t="s">
        <v>12</v>
      </c>
      <c r="P359" t="s">
        <v>12</v>
      </c>
      <c r="Q359" t="s">
        <v>92</v>
      </c>
      <c r="R359" t="s">
        <v>182</v>
      </c>
      <c r="S359" t="s">
        <v>92</v>
      </c>
      <c r="T359" t="s">
        <v>2296</v>
      </c>
      <c r="U359" t="s">
        <v>12</v>
      </c>
      <c r="V359" t="s">
        <v>12</v>
      </c>
      <c r="W359" t="s">
        <v>2294</v>
      </c>
      <c r="AA359" t="s">
        <v>92</v>
      </c>
      <c r="AB359" t="s">
        <v>92</v>
      </c>
      <c r="AC359" t="s">
        <v>12</v>
      </c>
      <c r="AD359" t="s">
        <v>92</v>
      </c>
      <c r="AE359" t="s">
        <v>119</v>
      </c>
      <c r="AF359" t="s">
        <v>2297</v>
      </c>
    </row>
    <row r="360" spans="1:32" x14ac:dyDescent="0.45">
      <c r="A360" t="s">
        <v>2298</v>
      </c>
      <c r="B360" t="s">
        <v>2299</v>
      </c>
      <c r="C360" t="s">
        <v>2300</v>
      </c>
      <c r="D360" t="s">
        <v>2299</v>
      </c>
      <c r="E360" t="s">
        <v>2301</v>
      </c>
      <c r="F360" t="s">
        <v>2302</v>
      </c>
      <c r="H360" t="s">
        <v>2303</v>
      </c>
      <c r="J360" t="s">
        <v>92</v>
      </c>
      <c r="K360" t="s">
        <v>12</v>
      </c>
      <c r="L360" t="s">
        <v>12</v>
      </c>
      <c r="M360" t="s">
        <v>182</v>
      </c>
      <c r="N360" t="s">
        <v>12</v>
      </c>
      <c r="O360" t="s">
        <v>12</v>
      </c>
      <c r="P360" t="s">
        <v>12</v>
      </c>
      <c r="Q360" t="s">
        <v>92</v>
      </c>
      <c r="R360" t="s">
        <v>182</v>
      </c>
      <c r="S360" t="s">
        <v>92</v>
      </c>
      <c r="T360" t="s">
        <v>2298</v>
      </c>
      <c r="U360" t="s">
        <v>12</v>
      </c>
      <c r="V360" t="s">
        <v>12</v>
      </c>
      <c r="W360" t="s">
        <v>12</v>
      </c>
      <c r="AA360" t="s">
        <v>92</v>
      </c>
      <c r="AB360" t="s">
        <v>92</v>
      </c>
      <c r="AC360" t="s">
        <v>12</v>
      </c>
      <c r="AD360" t="s">
        <v>92</v>
      </c>
      <c r="AE360" t="s">
        <v>119</v>
      </c>
      <c r="AF360" t="s">
        <v>2304</v>
      </c>
    </row>
    <row r="361" spans="1:32" x14ac:dyDescent="0.45">
      <c r="A361" t="s">
        <v>2305</v>
      </c>
      <c r="B361" t="s">
        <v>2306</v>
      </c>
      <c r="C361" t="s">
        <v>610</v>
      </c>
      <c r="D361" t="s">
        <v>2307</v>
      </c>
      <c r="J361" t="s">
        <v>12</v>
      </c>
      <c r="K361" t="s">
        <v>12</v>
      </c>
      <c r="L361" t="s">
        <v>12</v>
      </c>
      <c r="M361" t="s">
        <v>182</v>
      </c>
      <c r="N361" t="s">
        <v>12</v>
      </c>
      <c r="O361" t="s">
        <v>12</v>
      </c>
      <c r="P361" t="s">
        <v>12</v>
      </c>
      <c r="Q361" t="s">
        <v>12</v>
      </c>
      <c r="R361" t="s">
        <v>182</v>
      </c>
      <c r="S361" t="s">
        <v>92</v>
      </c>
      <c r="T361" t="s">
        <v>2305</v>
      </c>
      <c r="U361" t="s">
        <v>12</v>
      </c>
      <c r="V361" t="s">
        <v>12</v>
      </c>
      <c r="W361" t="s">
        <v>2308</v>
      </c>
      <c r="Z361" t="s">
        <v>610</v>
      </c>
      <c r="AA361" t="s">
        <v>12</v>
      </c>
      <c r="AB361" t="s">
        <v>92</v>
      </c>
      <c r="AC361" t="s">
        <v>12</v>
      </c>
      <c r="AD361" t="s">
        <v>92</v>
      </c>
      <c r="AE361" t="s">
        <v>119</v>
      </c>
      <c r="AF361" t="s">
        <v>2309</v>
      </c>
    </row>
    <row r="362" spans="1:32" x14ac:dyDescent="0.45">
      <c r="A362" t="s">
        <v>2310</v>
      </c>
      <c r="B362" t="s">
        <v>2306</v>
      </c>
      <c r="C362" t="s">
        <v>610</v>
      </c>
      <c r="D362"/>
      <c r="J362" t="s">
        <v>12</v>
      </c>
      <c r="K362" t="s">
        <v>12</v>
      </c>
      <c r="L362" t="s">
        <v>12</v>
      </c>
      <c r="M362" t="s">
        <v>182</v>
      </c>
      <c r="N362" t="s">
        <v>12</v>
      </c>
      <c r="O362" t="s">
        <v>12</v>
      </c>
      <c r="P362" t="s">
        <v>12</v>
      </c>
      <c r="Q362" t="s">
        <v>12</v>
      </c>
      <c r="R362" t="s">
        <v>182</v>
      </c>
      <c r="S362" t="s">
        <v>92</v>
      </c>
      <c r="T362" t="s">
        <v>2310</v>
      </c>
      <c r="U362" t="s">
        <v>12</v>
      </c>
      <c r="V362" t="s">
        <v>12</v>
      </c>
      <c r="W362" t="s">
        <v>2311</v>
      </c>
      <c r="AA362" t="s">
        <v>12</v>
      </c>
      <c r="AB362" t="s">
        <v>92</v>
      </c>
      <c r="AC362" t="s">
        <v>12</v>
      </c>
      <c r="AD362" t="s">
        <v>92</v>
      </c>
      <c r="AE362" t="s">
        <v>119</v>
      </c>
      <c r="AF362" t="s">
        <v>2312</v>
      </c>
    </row>
    <row r="363" spans="1:32" x14ac:dyDescent="0.45">
      <c r="A363" t="s">
        <v>252</v>
      </c>
      <c r="B363" t="s">
        <v>2306</v>
      </c>
      <c r="C363" t="s">
        <v>610</v>
      </c>
      <c r="D363"/>
      <c r="J363" t="s">
        <v>12</v>
      </c>
      <c r="K363" t="s">
        <v>12</v>
      </c>
      <c r="L363" t="s">
        <v>12</v>
      </c>
      <c r="M363" t="s">
        <v>182</v>
      </c>
      <c r="N363" t="s">
        <v>12</v>
      </c>
      <c r="O363" t="s">
        <v>12</v>
      </c>
      <c r="P363" t="s">
        <v>12</v>
      </c>
      <c r="Q363" t="s">
        <v>12</v>
      </c>
      <c r="R363" t="s">
        <v>182</v>
      </c>
      <c r="S363" t="s">
        <v>92</v>
      </c>
      <c r="T363" t="s">
        <v>252</v>
      </c>
      <c r="U363" t="s">
        <v>12</v>
      </c>
      <c r="V363" t="s">
        <v>12</v>
      </c>
      <c r="W363" t="s">
        <v>2313</v>
      </c>
      <c r="AA363" t="s">
        <v>12</v>
      </c>
      <c r="AB363" t="s">
        <v>92</v>
      </c>
      <c r="AC363" t="s">
        <v>12</v>
      </c>
      <c r="AD363" t="s">
        <v>92</v>
      </c>
      <c r="AE363" t="s">
        <v>119</v>
      </c>
      <c r="AF363" t="s">
        <v>2314</v>
      </c>
    </row>
    <row r="364" spans="1:32" x14ac:dyDescent="0.45">
      <c r="A364" t="s">
        <v>2315</v>
      </c>
      <c r="B364" t="s">
        <v>2316</v>
      </c>
      <c r="C364" t="s">
        <v>610</v>
      </c>
      <c r="D364"/>
      <c r="J364" t="s">
        <v>12</v>
      </c>
      <c r="K364" t="s">
        <v>12</v>
      </c>
      <c r="L364" t="s">
        <v>12</v>
      </c>
      <c r="M364" t="s">
        <v>12</v>
      </c>
      <c r="N364" t="s">
        <v>12</v>
      </c>
      <c r="O364" t="s">
        <v>12</v>
      </c>
      <c r="P364" t="s">
        <v>12</v>
      </c>
      <c r="Q364" t="s">
        <v>12</v>
      </c>
      <c r="R364" t="s">
        <v>182</v>
      </c>
      <c r="S364" t="s">
        <v>92</v>
      </c>
      <c r="T364" t="s">
        <v>2315</v>
      </c>
      <c r="U364" t="s">
        <v>12</v>
      </c>
      <c r="V364" t="s">
        <v>12</v>
      </c>
      <c r="W364" t="s">
        <v>2317</v>
      </c>
      <c r="AA364" t="s">
        <v>12</v>
      </c>
      <c r="AB364" t="s">
        <v>92</v>
      </c>
      <c r="AC364" t="s">
        <v>12</v>
      </c>
      <c r="AD364" t="s">
        <v>92</v>
      </c>
      <c r="AE364" t="s">
        <v>119</v>
      </c>
      <c r="AF364" t="s">
        <v>2318</v>
      </c>
    </row>
    <row r="365" spans="1:32" x14ac:dyDescent="0.45">
      <c r="A365" t="s">
        <v>2319</v>
      </c>
      <c r="B365" t="s">
        <v>2316</v>
      </c>
      <c r="C365" t="s">
        <v>610</v>
      </c>
      <c r="D365"/>
      <c r="J365" t="s">
        <v>12</v>
      </c>
      <c r="K365" t="s">
        <v>12</v>
      </c>
      <c r="L365" t="s">
        <v>12</v>
      </c>
      <c r="M365" t="s">
        <v>12</v>
      </c>
      <c r="N365" t="s">
        <v>12</v>
      </c>
      <c r="O365" t="s">
        <v>12</v>
      </c>
      <c r="P365" t="s">
        <v>12</v>
      </c>
      <c r="Q365" t="s">
        <v>12</v>
      </c>
      <c r="R365" t="s">
        <v>182</v>
      </c>
      <c r="S365" t="s">
        <v>92</v>
      </c>
      <c r="T365" t="s">
        <v>2319</v>
      </c>
      <c r="U365" t="s">
        <v>12</v>
      </c>
      <c r="V365" t="s">
        <v>12</v>
      </c>
      <c r="W365" t="s">
        <v>2320</v>
      </c>
      <c r="AA365" t="s">
        <v>12</v>
      </c>
      <c r="AB365" t="s">
        <v>92</v>
      </c>
      <c r="AC365" t="s">
        <v>12</v>
      </c>
      <c r="AD365" t="s">
        <v>92</v>
      </c>
      <c r="AE365" t="s">
        <v>119</v>
      </c>
      <c r="AF365" t="s">
        <v>2321</v>
      </c>
    </row>
    <row r="366" spans="1:32" x14ac:dyDescent="0.45">
      <c r="A366" t="s">
        <v>2322</v>
      </c>
      <c r="B366" t="s">
        <v>2316</v>
      </c>
      <c r="C366" t="s">
        <v>610</v>
      </c>
      <c r="D366"/>
      <c r="J366" t="s">
        <v>12</v>
      </c>
      <c r="K366" t="s">
        <v>12</v>
      </c>
      <c r="L366" t="s">
        <v>12</v>
      </c>
      <c r="M366" t="s">
        <v>12</v>
      </c>
      <c r="N366" t="s">
        <v>12</v>
      </c>
      <c r="O366" t="s">
        <v>12</v>
      </c>
      <c r="P366" t="s">
        <v>12</v>
      </c>
      <c r="Q366" t="s">
        <v>12</v>
      </c>
      <c r="R366" t="s">
        <v>182</v>
      </c>
      <c r="S366" t="s">
        <v>92</v>
      </c>
      <c r="T366" t="s">
        <v>2322</v>
      </c>
      <c r="U366" t="s">
        <v>12</v>
      </c>
      <c r="V366" t="s">
        <v>12</v>
      </c>
      <c r="W366" t="s">
        <v>2323</v>
      </c>
      <c r="AA366" t="s">
        <v>12</v>
      </c>
      <c r="AB366" t="s">
        <v>92</v>
      </c>
      <c r="AC366" t="s">
        <v>12</v>
      </c>
      <c r="AD366" t="s">
        <v>92</v>
      </c>
      <c r="AE366" t="s">
        <v>119</v>
      </c>
      <c r="AF366" t="s">
        <v>2324</v>
      </c>
    </row>
    <row r="367" spans="1:32" x14ac:dyDescent="0.45">
      <c r="A367" t="s">
        <v>2325</v>
      </c>
      <c r="B367" t="s">
        <v>2326</v>
      </c>
      <c r="C367" t="s">
        <v>2327</v>
      </c>
      <c r="D367" t="s">
        <v>2328</v>
      </c>
      <c r="E367" t="s">
        <v>2329</v>
      </c>
      <c r="F367" t="s">
        <v>2330</v>
      </c>
      <c r="H367" t="s">
        <v>2331</v>
      </c>
      <c r="I367" t="s">
        <v>2332</v>
      </c>
      <c r="J367" t="s">
        <v>92</v>
      </c>
      <c r="K367" t="s">
        <v>12</v>
      </c>
      <c r="L367" t="s">
        <v>12</v>
      </c>
      <c r="M367" t="s">
        <v>182</v>
      </c>
      <c r="N367" t="s">
        <v>12</v>
      </c>
      <c r="O367" t="s">
        <v>12</v>
      </c>
      <c r="P367" t="s">
        <v>12</v>
      </c>
      <c r="Q367" t="s">
        <v>92</v>
      </c>
      <c r="R367" t="s">
        <v>182</v>
      </c>
      <c r="S367" t="s">
        <v>92</v>
      </c>
      <c r="T367" t="s">
        <v>2325</v>
      </c>
      <c r="U367" t="s">
        <v>12</v>
      </c>
      <c r="V367" t="s">
        <v>12</v>
      </c>
      <c r="W367" t="s">
        <v>12</v>
      </c>
      <c r="Z367" t="s">
        <v>610</v>
      </c>
      <c r="AA367" t="s">
        <v>12</v>
      </c>
      <c r="AB367" t="s">
        <v>92</v>
      </c>
      <c r="AC367" t="s">
        <v>12</v>
      </c>
      <c r="AD367" t="s">
        <v>92</v>
      </c>
      <c r="AE367" t="s">
        <v>119</v>
      </c>
      <c r="AF367" t="s">
        <v>2333</v>
      </c>
    </row>
    <row r="368" spans="1:32" x14ac:dyDescent="0.45">
      <c r="A368" t="s">
        <v>2334</v>
      </c>
      <c r="B368" t="s">
        <v>2335</v>
      </c>
      <c r="C368" t="s">
        <v>2336</v>
      </c>
      <c r="D368" t="s">
        <v>2337</v>
      </c>
      <c r="E368" t="s">
        <v>2329</v>
      </c>
      <c r="F368" t="s">
        <v>2330</v>
      </c>
      <c r="H368" t="s">
        <v>2331</v>
      </c>
      <c r="I368" t="s">
        <v>2338</v>
      </c>
      <c r="J368" t="s">
        <v>92</v>
      </c>
      <c r="K368" t="s">
        <v>12</v>
      </c>
      <c r="L368" t="s">
        <v>12</v>
      </c>
      <c r="M368" t="s">
        <v>182</v>
      </c>
      <c r="N368" t="s">
        <v>12</v>
      </c>
      <c r="O368" t="s">
        <v>12</v>
      </c>
      <c r="P368" t="s">
        <v>12</v>
      </c>
      <c r="Q368" t="s">
        <v>12</v>
      </c>
      <c r="R368" t="s">
        <v>182</v>
      </c>
      <c r="S368" t="s">
        <v>92</v>
      </c>
      <c r="T368" t="s">
        <v>2334</v>
      </c>
      <c r="U368" t="s">
        <v>12</v>
      </c>
      <c r="V368" t="s">
        <v>12</v>
      </c>
      <c r="W368" t="s">
        <v>12</v>
      </c>
      <c r="AA368" t="s">
        <v>12</v>
      </c>
      <c r="AB368" t="s">
        <v>92</v>
      </c>
      <c r="AC368" t="s">
        <v>12</v>
      </c>
      <c r="AD368" t="s">
        <v>92</v>
      </c>
      <c r="AE368" t="s">
        <v>143</v>
      </c>
      <c r="AF368" t="s">
        <v>2339</v>
      </c>
    </row>
    <row r="369" spans="1:32" x14ac:dyDescent="0.45">
      <c r="A369" t="s">
        <v>2340</v>
      </c>
      <c r="B369" t="s">
        <v>2341</v>
      </c>
      <c r="C369" t="s">
        <v>2342</v>
      </c>
      <c r="D369" t="s">
        <v>2343</v>
      </c>
      <c r="E369" t="s">
        <v>2344</v>
      </c>
      <c r="F369" t="s">
        <v>2345</v>
      </c>
      <c r="H369" t="s">
        <v>2346</v>
      </c>
      <c r="I369" t="s">
        <v>2347</v>
      </c>
      <c r="J369" t="s">
        <v>92</v>
      </c>
      <c r="K369" t="s">
        <v>12</v>
      </c>
      <c r="L369" t="s">
        <v>12</v>
      </c>
      <c r="M369" t="s">
        <v>182</v>
      </c>
      <c r="N369" t="s">
        <v>12</v>
      </c>
      <c r="O369" t="s">
        <v>12</v>
      </c>
      <c r="P369" t="s">
        <v>12</v>
      </c>
      <c r="Q369" t="s">
        <v>92</v>
      </c>
      <c r="R369" t="s">
        <v>182</v>
      </c>
      <c r="S369" t="s">
        <v>92</v>
      </c>
      <c r="T369" t="s">
        <v>2340</v>
      </c>
      <c r="U369" t="s">
        <v>12</v>
      </c>
      <c r="V369" t="s">
        <v>12</v>
      </c>
      <c r="W369" t="s">
        <v>1378</v>
      </c>
      <c r="AA369" t="s">
        <v>92</v>
      </c>
      <c r="AB369" t="s">
        <v>92</v>
      </c>
      <c r="AC369" t="s">
        <v>12</v>
      </c>
      <c r="AD369" t="s">
        <v>92</v>
      </c>
      <c r="AE369" t="s">
        <v>119</v>
      </c>
      <c r="AF369" t="s">
        <v>2348</v>
      </c>
    </row>
    <row r="370" spans="1:32" x14ac:dyDescent="0.45">
      <c r="A370" t="s">
        <v>2349</v>
      </c>
      <c r="B370" t="s">
        <v>2341</v>
      </c>
      <c r="C370" t="s">
        <v>2342</v>
      </c>
      <c r="D370" t="s">
        <v>2343</v>
      </c>
      <c r="E370" t="s">
        <v>2344</v>
      </c>
      <c r="F370" t="s">
        <v>2345</v>
      </c>
      <c r="H370" t="s">
        <v>2346</v>
      </c>
      <c r="I370" t="s">
        <v>2347</v>
      </c>
      <c r="J370" t="s">
        <v>92</v>
      </c>
      <c r="K370" t="s">
        <v>12</v>
      </c>
      <c r="L370" t="s">
        <v>12</v>
      </c>
      <c r="M370" t="s">
        <v>182</v>
      </c>
      <c r="N370" t="s">
        <v>12</v>
      </c>
      <c r="O370" t="s">
        <v>12</v>
      </c>
      <c r="P370" t="s">
        <v>12</v>
      </c>
      <c r="Q370" t="s">
        <v>92</v>
      </c>
      <c r="R370" t="s">
        <v>182</v>
      </c>
      <c r="S370" t="s">
        <v>92</v>
      </c>
      <c r="T370" t="s">
        <v>2349</v>
      </c>
      <c r="U370" t="s">
        <v>12</v>
      </c>
      <c r="V370" t="s">
        <v>12</v>
      </c>
      <c r="W370" t="s">
        <v>1378</v>
      </c>
      <c r="AA370" t="s">
        <v>12</v>
      </c>
      <c r="AB370" t="s">
        <v>92</v>
      </c>
      <c r="AC370" t="s">
        <v>12</v>
      </c>
      <c r="AD370" t="s">
        <v>92</v>
      </c>
      <c r="AE370" t="s">
        <v>119</v>
      </c>
      <c r="AF370" t="s">
        <v>2350</v>
      </c>
    </row>
    <row r="371" spans="1:32" x14ac:dyDescent="0.45">
      <c r="A371" t="s">
        <v>2351</v>
      </c>
      <c r="B371" t="s">
        <v>2352</v>
      </c>
      <c r="C371" t="s">
        <v>2353</v>
      </c>
      <c r="D371" t="s">
        <v>2352</v>
      </c>
      <c r="E371" t="s">
        <v>2354</v>
      </c>
      <c r="F371" t="s">
        <v>2355</v>
      </c>
      <c r="H371" t="s">
        <v>2356</v>
      </c>
      <c r="J371" t="s">
        <v>12</v>
      </c>
      <c r="K371" t="s">
        <v>12</v>
      </c>
      <c r="L371" t="s">
        <v>12</v>
      </c>
      <c r="M371" t="s">
        <v>182</v>
      </c>
      <c r="N371" t="s">
        <v>12</v>
      </c>
      <c r="O371" t="s">
        <v>12</v>
      </c>
      <c r="P371" t="s">
        <v>12</v>
      </c>
      <c r="Q371" t="s">
        <v>92</v>
      </c>
      <c r="R371" t="s">
        <v>182</v>
      </c>
      <c r="S371" t="s">
        <v>92</v>
      </c>
      <c r="T371" t="s">
        <v>2351</v>
      </c>
      <c r="U371" t="s">
        <v>12</v>
      </c>
      <c r="V371" t="s">
        <v>12</v>
      </c>
      <c r="W371" t="s">
        <v>12</v>
      </c>
      <c r="AA371" t="s">
        <v>92</v>
      </c>
      <c r="AB371" t="s">
        <v>92</v>
      </c>
      <c r="AC371" t="s">
        <v>12</v>
      </c>
      <c r="AD371" t="s">
        <v>92</v>
      </c>
      <c r="AE371" t="s">
        <v>119</v>
      </c>
      <c r="AF371" t="s">
        <v>2357</v>
      </c>
    </row>
    <row r="372" spans="1:32" x14ac:dyDescent="0.45">
      <c r="A372" t="s">
        <v>2358</v>
      </c>
      <c r="B372" t="s">
        <v>2359</v>
      </c>
      <c r="C372" t="s">
        <v>2360</v>
      </c>
      <c r="D372" t="s">
        <v>2359</v>
      </c>
      <c r="E372" t="s">
        <v>622</v>
      </c>
      <c r="F372" t="s">
        <v>2361</v>
      </c>
      <c r="H372" t="s">
        <v>2362</v>
      </c>
      <c r="J372" t="s">
        <v>92</v>
      </c>
      <c r="K372" t="s">
        <v>12</v>
      </c>
      <c r="L372" t="s">
        <v>12</v>
      </c>
      <c r="M372" t="s">
        <v>182</v>
      </c>
      <c r="N372" t="s">
        <v>12</v>
      </c>
      <c r="O372" t="s">
        <v>12</v>
      </c>
      <c r="P372" t="s">
        <v>12</v>
      </c>
      <c r="Q372" t="s">
        <v>92</v>
      </c>
      <c r="R372" t="s">
        <v>182</v>
      </c>
      <c r="S372" t="s">
        <v>92</v>
      </c>
      <c r="T372" t="s">
        <v>2358</v>
      </c>
      <c r="U372" t="s">
        <v>12</v>
      </c>
      <c r="V372" t="s">
        <v>12</v>
      </c>
      <c r="W372" t="s">
        <v>2363</v>
      </c>
      <c r="AA372" t="s">
        <v>92</v>
      </c>
      <c r="AB372" t="s">
        <v>92</v>
      </c>
      <c r="AC372" t="s">
        <v>12</v>
      </c>
      <c r="AD372" t="s">
        <v>92</v>
      </c>
      <c r="AE372" t="s">
        <v>119</v>
      </c>
      <c r="AF372" t="s">
        <v>2364</v>
      </c>
    </row>
    <row r="373" spans="1:32" x14ac:dyDescent="0.45">
      <c r="A373" t="s">
        <v>2365</v>
      </c>
      <c r="B373" t="s">
        <v>2366</v>
      </c>
      <c r="C373" t="s">
        <v>2367</v>
      </c>
      <c r="D373" t="s">
        <v>2359</v>
      </c>
      <c r="E373" t="s">
        <v>622</v>
      </c>
      <c r="F373" t="s">
        <v>2361</v>
      </c>
      <c r="H373" t="s">
        <v>2362</v>
      </c>
      <c r="J373" t="s">
        <v>92</v>
      </c>
      <c r="K373" t="s">
        <v>12</v>
      </c>
      <c r="L373" t="s">
        <v>12</v>
      </c>
      <c r="M373" t="s">
        <v>182</v>
      </c>
      <c r="N373" t="s">
        <v>12</v>
      </c>
      <c r="O373" t="s">
        <v>12</v>
      </c>
      <c r="P373" t="s">
        <v>12</v>
      </c>
      <c r="Q373" t="s">
        <v>92</v>
      </c>
      <c r="R373" t="s">
        <v>182</v>
      </c>
      <c r="S373" t="s">
        <v>92</v>
      </c>
      <c r="T373" t="s">
        <v>2365</v>
      </c>
      <c r="U373" t="s">
        <v>12</v>
      </c>
      <c r="V373" t="s">
        <v>12</v>
      </c>
      <c r="W373" t="s">
        <v>2363</v>
      </c>
      <c r="AA373" t="s">
        <v>92</v>
      </c>
      <c r="AB373" t="s">
        <v>92</v>
      </c>
      <c r="AC373" t="s">
        <v>12</v>
      </c>
      <c r="AD373" t="s">
        <v>92</v>
      </c>
      <c r="AE373" t="s">
        <v>119</v>
      </c>
      <c r="AF373" t="s">
        <v>2368</v>
      </c>
    </row>
    <row r="374" spans="1:32" x14ac:dyDescent="0.45">
      <c r="A374" t="s">
        <v>2369</v>
      </c>
      <c r="B374" t="s">
        <v>2370</v>
      </c>
      <c r="C374" t="s">
        <v>2371</v>
      </c>
      <c r="D374" t="s">
        <v>2372</v>
      </c>
      <c r="E374" t="s">
        <v>2373</v>
      </c>
      <c r="F374" t="s">
        <v>2374</v>
      </c>
      <c r="H374" t="s">
        <v>2375</v>
      </c>
      <c r="I374" t="s">
        <v>2376</v>
      </c>
      <c r="J374" t="s">
        <v>92</v>
      </c>
      <c r="K374" t="s">
        <v>12</v>
      </c>
      <c r="L374" t="s">
        <v>12</v>
      </c>
      <c r="M374" t="s">
        <v>182</v>
      </c>
      <c r="N374" t="s">
        <v>12</v>
      </c>
      <c r="O374" t="s">
        <v>12</v>
      </c>
      <c r="P374" t="s">
        <v>12</v>
      </c>
      <c r="Q374" t="s">
        <v>92</v>
      </c>
      <c r="R374" t="s">
        <v>182</v>
      </c>
      <c r="S374" t="s">
        <v>92</v>
      </c>
      <c r="T374" t="s">
        <v>2369</v>
      </c>
      <c r="U374" t="s">
        <v>12</v>
      </c>
      <c r="V374" t="s">
        <v>12</v>
      </c>
      <c r="W374" t="s">
        <v>1697</v>
      </c>
      <c r="AA374" t="s">
        <v>92</v>
      </c>
      <c r="AB374" t="s">
        <v>92</v>
      </c>
      <c r="AC374" t="s">
        <v>12</v>
      </c>
      <c r="AD374" t="s">
        <v>92</v>
      </c>
      <c r="AE374" t="s">
        <v>119</v>
      </c>
      <c r="AF374" t="s">
        <v>2377</v>
      </c>
    </row>
    <row r="375" spans="1:32" x14ac:dyDescent="0.45">
      <c r="A375" t="s">
        <v>2378</v>
      </c>
      <c r="B375" t="s">
        <v>2379</v>
      </c>
      <c r="C375" t="s">
        <v>2380</v>
      </c>
      <c r="D375" t="s">
        <v>2381</v>
      </c>
      <c r="E375" t="s">
        <v>2382</v>
      </c>
      <c r="F375" t="s">
        <v>2383</v>
      </c>
      <c r="G375" t="s">
        <v>2384</v>
      </c>
      <c r="H375" t="s">
        <v>2385</v>
      </c>
      <c r="I375" t="s">
        <v>2386</v>
      </c>
      <c r="J375" t="s">
        <v>92</v>
      </c>
      <c r="K375" t="s">
        <v>12</v>
      </c>
      <c r="L375" t="s">
        <v>12</v>
      </c>
      <c r="M375" t="s">
        <v>182</v>
      </c>
      <c r="N375" t="s">
        <v>12</v>
      </c>
      <c r="O375" t="s">
        <v>12</v>
      </c>
      <c r="P375" t="s">
        <v>12</v>
      </c>
      <c r="Q375" t="s">
        <v>92</v>
      </c>
      <c r="R375" t="s">
        <v>182</v>
      </c>
      <c r="S375" t="s">
        <v>92</v>
      </c>
      <c r="T375" t="s">
        <v>2378</v>
      </c>
      <c r="U375" t="s">
        <v>12</v>
      </c>
      <c r="V375" t="s">
        <v>12</v>
      </c>
      <c r="W375" t="s">
        <v>1697</v>
      </c>
      <c r="AA375" t="s">
        <v>12</v>
      </c>
      <c r="AB375" t="s">
        <v>92</v>
      </c>
      <c r="AC375" t="s">
        <v>12</v>
      </c>
      <c r="AD375" t="s">
        <v>92</v>
      </c>
      <c r="AE375" t="s">
        <v>119</v>
      </c>
      <c r="AF375" t="s">
        <v>2387</v>
      </c>
    </row>
    <row r="376" spans="1:32" x14ac:dyDescent="0.45">
      <c r="A376" t="s">
        <v>2388</v>
      </c>
      <c r="B376" t="s">
        <v>2389</v>
      </c>
      <c r="C376" t="s">
        <v>2390</v>
      </c>
      <c r="D376" t="s">
        <v>2389</v>
      </c>
      <c r="E376" t="s">
        <v>1725</v>
      </c>
      <c r="F376" t="s">
        <v>2391</v>
      </c>
      <c r="H376" t="s">
        <v>2392</v>
      </c>
      <c r="I376" t="s">
        <v>2393</v>
      </c>
      <c r="J376" t="s">
        <v>92</v>
      </c>
      <c r="K376" t="s">
        <v>12</v>
      </c>
      <c r="L376" t="s">
        <v>12</v>
      </c>
      <c r="M376" t="s">
        <v>182</v>
      </c>
      <c r="N376" t="s">
        <v>12</v>
      </c>
      <c r="O376" t="s">
        <v>12</v>
      </c>
      <c r="P376" t="s">
        <v>12</v>
      </c>
      <c r="Q376" t="s">
        <v>92</v>
      </c>
      <c r="R376" t="s">
        <v>182</v>
      </c>
      <c r="S376" t="s">
        <v>92</v>
      </c>
      <c r="T376" t="s">
        <v>2388</v>
      </c>
      <c r="U376" t="s">
        <v>12</v>
      </c>
      <c r="V376" t="s">
        <v>12</v>
      </c>
      <c r="W376" t="s">
        <v>12</v>
      </c>
      <c r="AA376" t="s">
        <v>92</v>
      </c>
      <c r="AB376" t="s">
        <v>92</v>
      </c>
      <c r="AC376" t="s">
        <v>12</v>
      </c>
      <c r="AD376" t="s">
        <v>92</v>
      </c>
      <c r="AE376" t="s">
        <v>166</v>
      </c>
      <c r="AF376" t="s">
        <v>2394</v>
      </c>
    </row>
    <row r="377" spans="1:32" x14ac:dyDescent="0.45">
      <c r="A377" t="s">
        <v>2395</v>
      </c>
      <c r="B377" t="s">
        <v>2396</v>
      </c>
      <c r="C377" t="s">
        <v>2397</v>
      </c>
      <c r="D377" t="s">
        <v>2389</v>
      </c>
      <c r="E377" t="s">
        <v>1725</v>
      </c>
      <c r="F377" t="s">
        <v>2391</v>
      </c>
      <c r="H377" t="s">
        <v>2392</v>
      </c>
      <c r="I377" t="s">
        <v>2393</v>
      </c>
      <c r="J377" t="s">
        <v>92</v>
      </c>
      <c r="K377" t="s">
        <v>12</v>
      </c>
      <c r="L377" t="s">
        <v>12</v>
      </c>
      <c r="M377" t="s">
        <v>182</v>
      </c>
      <c r="N377" t="s">
        <v>12</v>
      </c>
      <c r="O377" t="s">
        <v>12</v>
      </c>
      <c r="P377" t="s">
        <v>12</v>
      </c>
      <c r="Q377" t="s">
        <v>92</v>
      </c>
      <c r="R377" t="s">
        <v>182</v>
      </c>
      <c r="S377" t="s">
        <v>92</v>
      </c>
      <c r="T377" t="s">
        <v>2388</v>
      </c>
      <c r="U377" t="s">
        <v>12</v>
      </c>
      <c r="V377" t="s">
        <v>12</v>
      </c>
      <c r="W377" t="s">
        <v>12</v>
      </c>
      <c r="AA377" t="s">
        <v>92</v>
      </c>
      <c r="AB377" t="s">
        <v>92</v>
      </c>
      <c r="AC377" t="s">
        <v>12</v>
      </c>
      <c r="AD377" t="s">
        <v>92</v>
      </c>
      <c r="AE377" t="s">
        <v>119</v>
      </c>
      <c r="AF377" t="s">
        <v>2398</v>
      </c>
    </row>
    <row r="378" spans="1:32" x14ac:dyDescent="0.45">
      <c r="A378" t="s">
        <v>2399</v>
      </c>
      <c r="B378" t="s">
        <v>2400</v>
      </c>
      <c r="C378" t="s">
        <v>2401</v>
      </c>
      <c r="D378" t="s">
        <v>2400</v>
      </c>
      <c r="E378" t="s">
        <v>2402</v>
      </c>
      <c r="F378" t="s">
        <v>2403</v>
      </c>
      <c r="H378" t="s">
        <v>2404</v>
      </c>
      <c r="I378" t="s">
        <v>2405</v>
      </c>
      <c r="J378" t="s">
        <v>92</v>
      </c>
      <c r="K378" t="s">
        <v>12</v>
      </c>
      <c r="L378" t="s">
        <v>12</v>
      </c>
      <c r="M378" t="s">
        <v>182</v>
      </c>
      <c r="N378" t="s">
        <v>12</v>
      </c>
      <c r="O378" t="s">
        <v>12</v>
      </c>
      <c r="P378" t="s">
        <v>12</v>
      </c>
      <c r="Q378" t="s">
        <v>92</v>
      </c>
      <c r="R378" t="s">
        <v>182</v>
      </c>
      <c r="S378" t="s">
        <v>92</v>
      </c>
      <c r="T378" t="s">
        <v>2399</v>
      </c>
      <c r="U378" t="s">
        <v>12</v>
      </c>
      <c r="V378" t="s">
        <v>12</v>
      </c>
      <c r="W378" t="s">
        <v>2406</v>
      </c>
      <c r="AA378" t="s">
        <v>92</v>
      </c>
      <c r="AB378" t="s">
        <v>92</v>
      </c>
      <c r="AC378" t="s">
        <v>12</v>
      </c>
      <c r="AD378" t="s">
        <v>92</v>
      </c>
      <c r="AE378" t="s">
        <v>130</v>
      </c>
      <c r="AF378" t="s">
        <v>2407</v>
      </c>
    </row>
    <row r="379" spans="1:32" x14ac:dyDescent="0.45">
      <c r="A379" t="s">
        <v>2408</v>
      </c>
      <c r="B379" t="s">
        <v>2400</v>
      </c>
      <c r="C379" t="s">
        <v>2401</v>
      </c>
      <c r="D379" t="s">
        <v>2400</v>
      </c>
      <c r="E379" t="s">
        <v>2402</v>
      </c>
      <c r="F379" t="s">
        <v>2403</v>
      </c>
      <c r="H379" t="s">
        <v>2404</v>
      </c>
      <c r="I379" t="s">
        <v>2405</v>
      </c>
      <c r="J379" t="s">
        <v>92</v>
      </c>
      <c r="K379" t="s">
        <v>12</v>
      </c>
      <c r="L379" t="s">
        <v>12</v>
      </c>
      <c r="M379" t="s">
        <v>182</v>
      </c>
      <c r="N379" t="s">
        <v>12</v>
      </c>
      <c r="O379" t="s">
        <v>12</v>
      </c>
      <c r="P379" t="s">
        <v>12</v>
      </c>
      <c r="Q379" t="s">
        <v>92</v>
      </c>
      <c r="R379" t="s">
        <v>182</v>
      </c>
      <c r="S379" t="s">
        <v>92</v>
      </c>
      <c r="T379" t="s">
        <v>2408</v>
      </c>
      <c r="U379" t="s">
        <v>12</v>
      </c>
      <c r="V379" t="s">
        <v>12</v>
      </c>
      <c r="W379" t="s">
        <v>2406</v>
      </c>
      <c r="AA379" t="s">
        <v>92</v>
      </c>
      <c r="AB379" t="s">
        <v>92</v>
      </c>
      <c r="AC379" t="s">
        <v>12</v>
      </c>
      <c r="AD379" t="s">
        <v>92</v>
      </c>
      <c r="AE379" t="s">
        <v>119</v>
      </c>
      <c r="AF379" t="s">
        <v>2409</v>
      </c>
    </row>
    <row r="380" spans="1:32" x14ac:dyDescent="0.45">
      <c r="A380" t="s">
        <v>2410</v>
      </c>
      <c r="B380" t="s">
        <v>2411</v>
      </c>
      <c r="C380" t="s">
        <v>2412</v>
      </c>
      <c r="D380" t="s">
        <v>2411</v>
      </c>
      <c r="E380" t="s">
        <v>2413</v>
      </c>
      <c r="F380" t="s">
        <v>2414</v>
      </c>
      <c r="H380" t="s">
        <v>2415</v>
      </c>
      <c r="I380" t="s">
        <v>2416</v>
      </c>
      <c r="J380" t="s">
        <v>92</v>
      </c>
      <c r="K380" t="s">
        <v>12</v>
      </c>
      <c r="L380" t="s">
        <v>12</v>
      </c>
      <c r="M380" t="s">
        <v>182</v>
      </c>
      <c r="N380" t="s">
        <v>12</v>
      </c>
      <c r="O380" t="s">
        <v>12</v>
      </c>
      <c r="P380" t="s">
        <v>12</v>
      </c>
      <c r="Q380" t="s">
        <v>92</v>
      </c>
      <c r="R380" t="s">
        <v>182</v>
      </c>
      <c r="S380" t="s">
        <v>92</v>
      </c>
      <c r="T380" t="s">
        <v>2410</v>
      </c>
      <c r="U380" t="s">
        <v>12</v>
      </c>
      <c r="V380" t="s">
        <v>12</v>
      </c>
      <c r="W380" t="s">
        <v>12</v>
      </c>
      <c r="AA380" t="s">
        <v>92</v>
      </c>
      <c r="AB380" t="s">
        <v>92</v>
      </c>
      <c r="AC380" t="s">
        <v>12</v>
      </c>
      <c r="AD380" t="s">
        <v>92</v>
      </c>
      <c r="AE380" t="s">
        <v>119</v>
      </c>
      <c r="AF380" t="s">
        <v>2417</v>
      </c>
    </row>
    <row r="381" spans="1:32" x14ac:dyDescent="0.45">
      <c r="A381" t="s">
        <v>2418</v>
      </c>
      <c r="B381" t="s">
        <v>2419</v>
      </c>
      <c r="C381" t="s">
        <v>2420</v>
      </c>
      <c r="D381" t="s">
        <v>2419</v>
      </c>
      <c r="E381" t="s">
        <v>2413</v>
      </c>
      <c r="F381" t="s">
        <v>2414</v>
      </c>
      <c r="H381" t="s">
        <v>2415</v>
      </c>
      <c r="I381" t="s">
        <v>2416</v>
      </c>
      <c r="J381" t="s">
        <v>92</v>
      </c>
      <c r="K381" t="s">
        <v>12</v>
      </c>
      <c r="L381" t="s">
        <v>12</v>
      </c>
      <c r="M381" t="s">
        <v>182</v>
      </c>
      <c r="N381" t="s">
        <v>12</v>
      </c>
      <c r="O381" t="s">
        <v>12</v>
      </c>
      <c r="P381" t="s">
        <v>12</v>
      </c>
      <c r="Q381" t="s">
        <v>92</v>
      </c>
      <c r="R381" t="s">
        <v>182</v>
      </c>
      <c r="S381" t="s">
        <v>92</v>
      </c>
      <c r="T381" t="s">
        <v>2418</v>
      </c>
      <c r="U381" t="s">
        <v>12</v>
      </c>
      <c r="V381" t="s">
        <v>12</v>
      </c>
      <c r="W381" t="s">
        <v>12</v>
      </c>
      <c r="AA381" t="s">
        <v>92</v>
      </c>
      <c r="AB381" t="s">
        <v>92</v>
      </c>
      <c r="AC381" t="s">
        <v>12</v>
      </c>
      <c r="AD381" t="s">
        <v>92</v>
      </c>
      <c r="AE381" t="s">
        <v>119</v>
      </c>
      <c r="AF381" t="s">
        <v>2421</v>
      </c>
    </row>
    <row r="382" spans="1:32" x14ac:dyDescent="0.45">
      <c r="A382" t="s">
        <v>2422</v>
      </c>
      <c r="B382" t="s">
        <v>2423</v>
      </c>
      <c r="C382" t="s">
        <v>2424</v>
      </c>
      <c r="D382" t="s">
        <v>2423</v>
      </c>
      <c r="E382" t="s">
        <v>2413</v>
      </c>
      <c r="F382" t="s">
        <v>2414</v>
      </c>
      <c r="H382" t="s">
        <v>2415</v>
      </c>
      <c r="I382" t="s">
        <v>2416</v>
      </c>
      <c r="J382" t="s">
        <v>92</v>
      </c>
      <c r="K382" t="s">
        <v>12</v>
      </c>
      <c r="L382" t="s">
        <v>12</v>
      </c>
      <c r="M382" t="s">
        <v>182</v>
      </c>
      <c r="N382" t="s">
        <v>12</v>
      </c>
      <c r="O382" t="s">
        <v>12</v>
      </c>
      <c r="P382" t="s">
        <v>12</v>
      </c>
      <c r="Q382" t="s">
        <v>92</v>
      </c>
      <c r="R382" t="s">
        <v>182</v>
      </c>
      <c r="S382" t="s">
        <v>92</v>
      </c>
      <c r="T382" t="s">
        <v>2422</v>
      </c>
      <c r="U382" t="s">
        <v>12</v>
      </c>
      <c r="V382" t="s">
        <v>12</v>
      </c>
      <c r="W382" t="s">
        <v>12</v>
      </c>
      <c r="AA382" t="s">
        <v>92</v>
      </c>
      <c r="AB382" t="s">
        <v>92</v>
      </c>
      <c r="AC382" t="s">
        <v>12</v>
      </c>
      <c r="AD382" t="s">
        <v>92</v>
      </c>
      <c r="AE382" t="s">
        <v>119</v>
      </c>
      <c r="AF382" t="s">
        <v>2425</v>
      </c>
    </row>
    <row r="383" spans="1:32" x14ac:dyDescent="0.45">
      <c r="A383" t="s">
        <v>2426</v>
      </c>
      <c r="B383" t="s">
        <v>2427</v>
      </c>
      <c r="C383" t="s">
        <v>2428</v>
      </c>
      <c r="D383" t="s">
        <v>2427</v>
      </c>
      <c r="E383" t="s">
        <v>2413</v>
      </c>
      <c r="F383" t="s">
        <v>2414</v>
      </c>
      <c r="H383" t="s">
        <v>2415</v>
      </c>
      <c r="I383" t="s">
        <v>2416</v>
      </c>
      <c r="J383" t="s">
        <v>92</v>
      </c>
      <c r="K383" t="s">
        <v>12</v>
      </c>
      <c r="L383" t="s">
        <v>12</v>
      </c>
      <c r="M383" t="s">
        <v>182</v>
      </c>
      <c r="N383" t="s">
        <v>12</v>
      </c>
      <c r="O383" t="s">
        <v>12</v>
      </c>
      <c r="P383" t="s">
        <v>12</v>
      </c>
      <c r="Q383" t="s">
        <v>92</v>
      </c>
      <c r="R383" t="s">
        <v>182</v>
      </c>
      <c r="S383" t="s">
        <v>92</v>
      </c>
      <c r="T383" t="s">
        <v>2426</v>
      </c>
      <c r="U383" t="s">
        <v>12</v>
      </c>
      <c r="V383" t="s">
        <v>12</v>
      </c>
      <c r="W383" t="s">
        <v>12</v>
      </c>
      <c r="AA383" t="s">
        <v>92</v>
      </c>
      <c r="AB383" t="s">
        <v>92</v>
      </c>
      <c r="AC383" t="s">
        <v>12</v>
      </c>
      <c r="AD383" t="s">
        <v>92</v>
      </c>
      <c r="AE383" t="s">
        <v>119</v>
      </c>
      <c r="AF383" t="s">
        <v>2429</v>
      </c>
    </row>
    <row r="384" spans="1:32" x14ac:dyDescent="0.45">
      <c r="A384" t="s">
        <v>2430</v>
      </c>
      <c r="B384" t="s">
        <v>2431</v>
      </c>
      <c r="C384" t="s">
        <v>2432</v>
      </c>
      <c r="D384" t="s">
        <v>2431</v>
      </c>
      <c r="E384" t="s">
        <v>2413</v>
      </c>
      <c r="F384" t="s">
        <v>2414</v>
      </c>
      <c r="H384" t="s">
        <v>2415</v>
      </c>
      <c r="I384" t="s">
        <v>2416</v>
      </c>
      <c r="J384" t="s">
        <v>92</v>
      </c>
      <c r="K384" t="s">
        <v>12</v>
      </c>
      <c r="L384" t="s">
        <v>12</v>
      </c>
      <c r="M384" t="s">
        <v>182</v>
      </c>
      <c r="N384" t="s">
        <v>12</v>
      </c>
      <c r="O384" t="s">
        <v>12</v>
      </c>
      <c r="P384" t="s">
        <v>12</v>
      </c>
      <c r="Q384" t="s">
        <v>92</v>
      </c>
      <c r="R384" t="s">
        <v>182</v>
      </c>
      <c r="S384" t="s">
        <v>92</v>
      </c>
      <c r="T384" t="s">
        <v>2410</v>
      </c>
      <c r="U384" t="s">
        <v>12</v>
      </c>
      <c r="V384" t="s">
        <v>12</v>
      </c>
      <c r="W384" t="s">
        <v>12</v>
      </c>
      <c r="AA384" t="s">
        <v>92</v>
      </c>
      <c r="AB384" t="s">
        <v>92</v>
      </c>
      <c r="AC384" t="s">
        <v>12</v>
      </c>
      <c r="AD384" t="s">
        <v>92</v>
      </c>
      <c r="AE384" t="s">
        <v>119</v>
      </c>
      <c r="AF384" t="s">
        <v>2433</v>
      </c>
    </row>
    <row r="385" spans="1:32" x14ac:dyDescent="0.45">
      <c r="A385" t="s">
        <v>2434</v>
      </c>
      <c r="B385" t="s">
        <v>2435</v>
      </c>
      <c r="C385" t="s">
        <v>2436</v>
      </c>
      <c r="D385" t="s">
        <v>2437</v>
      </c>
      <c r="E385" t="s">
        <v>2438</v>
      </c>
      <c r="F385" t="s">
        <v>2439</v>
      </c>
      <c r="H385" t="s">
        <v>2440</v>
      </c>
      <c r="I385" t="s">
        <v>2441</v>
      </c>
      <c r="J385" t="s">
        <v>92</v>
      </c>
      <c r="K385" t="s">
        <v>12</v>
      </c>
      <c r="L385" t="s">
        <v>12</v>
      </c>
      <c r="M385" t="s">
        <v>182</v>
      </c>
      <c r="N385" t="s">
        <v>12</v>
      </c>
      <c r="O385" t="s">
        <v>12</v>
      </c>
      <c r="P385" t="s">
        <v>12</v>
      </c>
      <c r="Q385" t="s">
        <v>92</v>
      </c>
      <c r="R385" t="s">
        <v>182</v>
      </c>
      <c r="S385" t="s">
        <v>92</v>
      </c>
      <c r="T385" t="s">
        <v>2434</v>
      </c>
      <c r="U385" t="s">
        <v>12</v>
      </c>
      <c r="V385" t="s">
        <v>12</v>
      </c>
      <c r="W385" t="s">
        <v>2442</v>
      </c>
      <c r="AA385" t="s">
        <v>92</v>
      </c>
      <c r="AB385" t="s">
        <v>92</v>
      </c>
      <c r="AC385" t="s">
        <v>12</v>
      </c>
      <c r="AD385" t="s">
        <v>92</v>
      </c>
      <c r="AE385" t="s">
        <v>119</v>
      </c>
      <c r="AF385" t="s">
        <v>2443</v>
      </c>
    </row>
    <row r="386" spans="1:32" x14ac:dyDescent="0.45">
      <c r="A386" t="s">
        <v>2444</v>
      </c>
      <c r="B386" t="s">
        <v>2445</v>
      </c>
      <c r="C386" t="s">
        <v>2446</v>
      </c>
      <c r="D386" t="s">
        <v>50</v>
      </c>
      <c r="E386" t="s">
        <v>2447</v>
      </c>
      <c r="F386" t="s">
        <v>2448</v>
      </c>
      <c r="H386" t="s">
        <v>2449</v>
      </c>
      <c r="I386" t="s">
        <v>2450</v>
      </c>
      <c r="J386" t="s">
        <v>92</v>
      </c>
      <c r="K386" t="s">
        <v>12</v>
      </c>
      <c r="L386" t="s">
        <v>12</v>
      </c>
      <c r="M386" t="s">
        <v>182</v>
      </c>
      <c r="N386" t="s">
        <v>12</v>
      </c>
      <c r="O386" t="s">
        <v>12</v>
      </c>
      <c r="P386" t="s">
        <v>12</v>
      </c>
      <c r="Q386" t="s">
        <v>92</v>
      </c>
      <c r="R386" t="s">
        <v>182</v>
      </c>
      <c r="S386" t="s">
        <v>92</v>
      </c>
      <c r="T386" t="s">
        <v>2444</v>
      </c>
      <c r="U386" t="s">
        <v>12</v>
      </c>
      <c r="V386" t="s">
        <v>12</v>
      </c>
      <c r="W386" t="s">
        <v>2120</v>
      </c>
      <c r="AA386" t="s">
        <v>12</v>
      </c>
      <c r="AB386" t="s">
        <v>92</v>
      </c>
      <c r="AC386" t="s">
        <v>12</v>
      </c>
      <c r="AD386" t="s">
        <v>92</v>
      </c>
      <c r="AE386" t="s">
        <v>119</v>
      </c>
      <c r="AF386" t="s">
        <v>2451</v>
      </c>
    </row>
    <row r="387" spans="1:32" x14ac:dyDescent="0.45">
      <c r="A387" t="s">
        <v>2452</v>
      </c>
      <c r="B387" t="s">
        <v>2453</v>
      </c>
      <c r="C387" t="s">
        <v>2454</v>
      </c>
      <c r="D387" t="s">
        <v>2453</v>
      </c>
      <c r="E387" t="s">
        <v>608</v>
      </c>
      <c r="F387" t="s">
        <v>2455</v>
      </c>
      <c r="H387" t="s">
        <v>2456</v>
      </c>
      <c r="I387" t="s">
        <v>2457</v>
      </c>
      <c r="J387" t="s">
        <v>92</v>
      </c>
      <c r="K387" t="s">
        <v>12</v>
      </c>
      <c r="L387" t="s">
        <v>12</v>
      </c>
      <c r="M387" t="s">
        <v>182</v>
      </c>
      <c r="N387" t="s">
        <v>12</v>
      </c>
      <c r="O387" t="s">
        <v>12</v>
      </c>
      <c r="P387" t="s">
        <v>12</v>
      </c>
      <c r="Q387" t="s">
        <v>92</v>
      </c>
      <c r="R387" t="s">
        <v>182</v>
      </c>
      <c r="S387" t="s">
        <v>92</v>
      </c>
      <c r="T387" t="s">
        <v>2452</v>
      </c>
      <c r="U387" t="s">
        <v>12</v>
      </c>
      <c r="V387" t="s">
        <v>12</v>
      </c>
      <c r="W387" t="s">
        <v>2458</v>
      </c>
      <c r="AA387" t="s">
        <v>12</v>
      </c>
      <c r="AB387" t="s">
        <v>92</v>
      </c>
      <c r="AC387" t="s">
        <v>12</v>
      </c>
      <c r="AD387" t="s">
        <v>92</v>
      </c>
      <c r="AE387" t="s">
        <v>119</v>
      </c>
      <c r="AF387" t="s">
        <v>2459</v>
      </c>
    </row>
    <row r="388" spans="1:32" x14ac:dyDescent="0.45">
      <c r="A388" t="s">
        <v>2460</v>
      </c>
      <c r="B388" t="s">
        <v>2453</v>
      </c>
      <c r="C388" t="s">
        <v>2454</v>
      </c>
      <c r="D388" t="s">
        <v>2453</v>
      </c>
      <c r="E388" t="s">
        <v>608</v>
      </c>
      <c r="F388" t="s">
        <v>2455</v>
      </c>
      <c r="H388" t="s">
        <v>2456</v>
      </c>
      <c r="I388" t="s">
        <v>2457</v>
      </c>
      <c r="J388" t="s">
        <v>92</v>
      </c>
      <c r="K388" t="s">
        <v>12</v>
      </c>
      <c r="L388" t="s">
        <v>12</v>
      </c>
      <c r="M388" t="s">
        <v>182</v>
      </c>
      <c r="N388" t="s">
        <v>12</v>
      </c>
      <c r="O388" t="s">
        <v>12</v>
      </c>
      <c r="P388" t="s">
        <v>12</v>
      </c>
      <c r="Q388" t="s">
        <v>92</v>
      </c>
      <c r="R388" t="s">
        <v>182</v>
      </c>
      <c r="S388" t="s">
        <v>92</v>
      </c>
      <c r="T388" t="s">
        <v>2460</v>
      </c>
      <c r="U388" t="s">
        <v>12</v>
      </c>
      <c r="V388" t="s">
        <v>12</v>
      </c>
      <c r="W388" t="s">
        <v>2458</v>
      </c>
      <c r="AA388" t="s">
        <v>12</v>
      </c>
      <c r="AB388" t="s">
        <v>92</v>
      </c>
      <c r="AC388" t="s">
        <v>12</v>
      </c>
      <c r="AD388" t="s">
        <v>92</v>
      </c>
      <c r="AE388" t="s">
        <v>119</v>
      </c>
      <c r="AF388" t="s">
        <v>2461</v>
      </c>
    </row>
    <row r="389" spans="1:32" x14ac:dyDescent="0.45">
      <c r="A389" t="s">
        <v>2462</v>
      </c>
      <c r="B389" t="s">
        <v>2463</v>
      </c>
      <c r="C389" t="s">
        <v>2464</v>
      </c>
      <c r="D389" t="s">
        <v>2463</v>
      </c>
      <c r="E389" t="s">
        <v>2465</v>
      </c>
      <c r="F389" t="s">
        <v>2466</v>
      </c>
      <c r="H389" t="s">
        <v>2467</v>
      </c>
      <c r="I389" t="s">
        <v>2468</v>
      </c>
      <c r="J389" t="s">
        <v>92</v>
      </c>
      <c r="K389" t="s">
        <v>12</v>
      </c>
      <c r="L389" t="s">
        <v>12</v>
      </c>
      <c r="M389" t="s">
        <v>182</v>
      </c>
      <c r="N389" t="s">
        <v>12</v>
      </c>
      <c r="O389" t="s">
        <v>12</v>
      </c>
      <c r="P389" t="s">
        <v>12</v>
      </c>
      <c r="Q389" t="s">
        <v>92</v>
      </c>
      <c r="R389" t="s">
        <v>182</v>
      </c>
      <c r="S389" t="s">
        <v>92</v>
      </c>
      <c r="T389" t="s">
        <v>2462</v>
      </c>
      <c r="U389" t="s">
        <v>12</v>
      </c>
      <c r="V389" t="s">
        <v>12</v>
      </c>
      <c r="W389" t="s">
        <v>2469</v>
      </c>
      <c r="AA389" t="s">
        <v>12</v>
      </c>
      <c r="AB389" t="s">
        <v>92</v>
      </c>
      <c r="AC389" t="s">
        <v>12</v>
      </c>
      <c r="AD389" t="s">
        <v>92</v>
      </c>
      <c r="AE389" t="s">
        <v>119</v>
      </c>
      <c r="AF389" t="s">
        <v>2470</v>
      </c>
    </row>
    <row r="390" spans="1:32" x14ac:dyDescent="0.45">
      <c r="A390" t="s">
        <v>2471</v>
      </c>
      <c r="B390" t="s">
        <v>2472</v>
      </c>
      <c r="C390" t="s">
        <v>2473</v>
      </c>
      <c r="D390" t="s">
        <v>2472</v>
      </c>
      <c r="E390" t="s">
        <v>2474</v>
      </c>
      <c r="F390" t="s">
        <v>2475</v>
      </c>
      <c r="H390" t="s">
        <v>2476</v>
      </c>
      <c r="I390" t="s">
        <v>2476</v>
      </c>
      <c r="J390" t="s">
        <v>92</v>
      </c>
      <c r="K390" t="s">
        <v>12</v>
      </c>
      <c r="L390" t="s">
        <v>12</v>
      </c>
      <c r="M390" t="s">
        <v>182</v>
      </c>
      <c r="N390" t="s">
        <v>12</v>
      </c>
      <c r="O390" t="s">
        <v>12</v>
      </c>
      <c r="P390" t="s">
        <v>12</v>
      </c>
      <c r="Q390" t="s">
        <v>92</v>
      </c>
      <c r="R390" t="s">
        <v>182</v>
      </c>
      <c r="S390" t="s">
        <v>92</v>
      </c>
      <c r="T390" t="s">
        <v>2471</v>
      </c>
      <c r="U390" t="s">
        <v>12</v>
      </c>
      <c r="V390" t="s">
        <v>12</v>
      </c>
      <c r="W390" t="s">
        <v>381</v>
      </c>
      <c r="AA390" t="s">
        <v>92</v>
      </c>
      <c r="AB390" t="s">
        <v>92</v>
      </c>
      <c r="AC390" t="s">
        <v>12</v>
      </c>
      <c r="AD390" t="s">
        <v>92</v>
      </c>
      <c r="AE390" t="s">
        <v>119</v>
      </c>
      <c r="AF390" t="s">
        <v>2477</v>
      </c>
    </row>
    <row r="391" spans="1:32" x14ac:dyDescent="0.45">
      <c r="A391" t="s">
        <v>2478</v>
      </c>
      <c r="B391" t="s">
        <v>2479</v>
      </c>
      <c r="C391" t="s">
        <v>2480</v>
      </c>
      <c r="D391" t="s">
        <v>2481</v>
      </c>
      <c r="E391" t="s">
        <v>2482</v>
      </c>
      <c r="F391" t="s">
        <v>2483</v>
      </c>
      <c r="H391" t="s">
        <v>2484</v>
      </c>
      <c r="I391" t="s">
        <v>2484</v>
      </c>
      <c r="J391" t="s">
        <v>92</v>
      </c>
      <c r="K391" t="s">
        <v>12</v>
      </c>
      <c r="L391" t="s">
        <v>12</v>
      </c>
      <c r="M391" t="s">
        <v>182</v>
      </c>
      <c r="N391" t="s">
        <v>12</v>
      </c>
      <c r="O391" t="s">
        <v>12</v>
      </c>
      <c r="P391" t="s">
        <v>12</v>
      </c>
      <c r="Q391" t="s">
        <v>92</v>
      </c>
      <c r="R391" t="s">
        <v>182</v>
      </c>
      <c r="S391" t="s">
        <v>92</v>
      </c>
      <c r="T391" t="s">
        <v>2478</v>
      </c>
      <c r="U391" t="s">
        <v>12</v>
      </c>
      <c r="V391" t="s">
        <v>12</v>
      </c>
      <c r="W391" t="s">
        <v>12</v>
      </c>
      <c r="AA391" t="s">
        <v>92</v>
      </c>
      <c r="AB391" t="s">
        <v>92</v>
      </c>
      <c r="AC391" t="s">
        <v>12</v>
      </c>
      <c r="AD391" t="s">
        <v>92</v>
      </c>
      <c r="AE391" t="s">
        <v>114</v>
      </c>
      <c r="AF391" t="s">
        <v>2485</v>
      </c>
    </row>
    <row r="392" spans="1:32" x14ac:dyDescent="0.45">
      <c r="A392" t="s">
        <v>2486</v>
      </c>
      <c r="B392" t="s">
        <v>2479</v>
      </c>
      <c r="C392" t="s">
        <v>2480</v>
      </c>
      <c r="D392" t="s">
        <v>2481</v>
      </c>
      <c r="E392" t="s">
        <v>2482</v>
      </c>
      <c r="F392" t="s">
        <v>2483</v>
      </c>
      <c r="H392" t="s">
        <v>2484</v>
      </c>
      <c r="I392" t="s">
        <v>2484</v>
      </c>
      <c r="J392" t="s">
        <v>92</v>
      </c>
      <c r="K392" t="s">
        <v>12</v>
      </c>
      <c r="L392" t="s">
        <v>12</v>
      </c>
      <c r="M392" t="s">
        <v>182</v>
      </c>
      <c r="N392" t="s">
        <v>12</v>
      </c>
      <c r="O392" t="s">
        <v>12</v>
      </c>
      <c r="P392" t="s">
        <v>12</v>
      </c>
      <c r="Q392" t="s">
        <v>92</v>
      </c>
      <c r="R392" t="s">
        <v>182</v>
      </c>
      <c r="S392" t="s">
        <v>92</v>
      </c>
      <c r="T392" t="s">
        <v>2486</v>
      </c>
      <c r="U392" t="s">
        <v>12</v>
      </c>
      <c r="V392" t="s">
        <v>12</v>
      </c>
      <c r="W392" t="s">
        <v>12</v>
      </c>
      <c r="AA392" t="s">
        <v>92</v>
      </c>
      <c r="AB392" t="s">
        <v>92</v>
      </c>
      <c r="AC392" t="s">
        <v>12</v>
      </c>
      <c r="AD392" t="s">
        <v>92</v>
      </c>
      <c r="AE392" t="s">
        <v>119</v>
      </c>
      <c r="AF392" t="s">
        <v>2487</v>
      </c>
    </row>
    <row r="393" spans="1:32" x14ac:dyDescent="0.45">
      <c r="A393" t="s">
        <v>2488</v>
      </c>
      <c r="B393" t="s">
        <v>2489</v>
      </c>
      <c r="C393" t="s">
        <v>2490</v>
      </c>
      <c r="D393" t="s">
        <v>2481</v>
      </c>
      <c r="E393" t="s">
        <v>2482</v>
      </c>
      <c r="F393" t="s">
        <v>2483</v>
      </c>
      <c r="H393" t="s">
        <v>2484</v>
      </c>
      <c r="I393" t="s">
        <v>2484</v>
      </c>
      <c r="J393" t="s">
        <v>92</v>
      </c>
      <c r="K393" t="s">
        <v>12</v>
      </c>
      <c r="L393" t="s">
        <v>12</v>
      </c>
      <c r="M393" t="s">
        <v>182</v>
      </c>
      <c r="N393" t="s">
        <v>12</v>
      </c>
      <c r="O393" t="s">
        <v>12</v>
      </c>
      <c r="P393" t="s">
        <v>12</v>
      </c>
      <c r="Q393" t="s">
        <v>92</v>
      </c>
      <c r="R393" t="s">
        <v>182</v>
      </c>
      <c r="S393" t="s">
        <v>92</v>
      </c>
      <c r="T393" t="s">
        <v>2488</v>
      </c>
      <c r="U393" t="s">
        <v>12</v>
      </c>
      <c r="V393" t="s">
        <v>12</v>
      </c>
      <c r="W393" t="s">
        <v>12</v>
      </c>
      <c r="AA393" t="s">
        <v>92</v>
      </c>
      <c r="AB393" t="s">
        <v>92</v>
      </c>
      <c r="AC393" t="s">
        <v>12</v>
      </c>
      <c r="AD393" t="s">
        <v>92</v>
      </c>
      <c r="AE393" t="s">
        <v>119</v>
      </c>
      <c r="AF393" t="s">
        <v>2491</v>
      </c>
    </row>
    <row r="394" spans="1:32" x14ac:dyDescent="0.45">
      <c r="A394" t="s">
        <v>183</v>
      </c>
      <c r="B394" t="s">
        <v>50</v>
      </c>
      <c r="C394" t="s">
        <v>2492</v>
      </c>
      <c r="D394" t="s">
        <v>50</v>
      </c>
      <c r="E394" t="s">
        <v>2493</v>
      </c>
      <c r="F394" t="s">
        <v>2494</v>
      </c>
      <c r="H394" t="s">
        <v>2449</v>
      </c>
      <c r="I394" t="s">
        <v>2450</v>
      </c>
      <c r="J394" t="s">
        <v>92</v>
      </c>
      <c r="K394" t="s">
        <v>12</v>
      </c>
      <c r="L394" t="s">
        <v>12</v>
      </c>
      <c r="M394" t="s">
        <v>182</v>
      </c>
      <c r="N394" t="s">
        <v>12</v>
      </c>
      <c r="O394" t="s">
        <v>12</v>
      </c>
      <c r="P394" t="s">
        <v>12</v>
      </c>
      <c r="Q394" t="s">
        <v>92</v>
      </c>
      <c r="R394" t="s">
        <v>182</v>
      </c>
      <c r="S394" t="s">
        <v>92</v>
      </c>
      <c r="T394" t="s">
        <v>183</v>
      </c>
      <c r="U394" t="s">
        <v>12</v>
      </c>
      <c r="V394" t="s">
        <v>12</v>
      </c>
      <c r="W394" t="s">
        <v>2120</v>
      </c>
      <c r="AA394" t="s">
        <v>92</v>
      </c>
      <c r="AB394" t="s">
        <v>92</v>
      </c>
      <c r="AC394" t="s">
        <v>12</v>
      </c>
      <c r="AD394" t="s">
        <v>92</v>
      </c>
      <c r="AE394" t="s">
        <v>166</v>
      </c>
      <c r="AF394" t="s">
        <v>2495</v>
      </c>
    </row>
    <row r="395" spans="1:32" x14ac:dyDescent="0.45">
      <c r="A395" t="s">
        <v>2496</v>
      </c>
      <c r="B395" t="s">
        <v>2497</v>
      </c>
      <c r="C395" t="s">
        <v>2498</v>
      </c>
      <c r="D395" t="s">
        <v>2499</v>
      </c>
      <c r="E395" t="s">
        <v>2493</v>
      </c>
      <c r="F395" t="s">
        <v>2494</v>
      </c>
      <c r="H395" t="s">
        <v>2449</v>
      </c>
      <c r="I395" t="s">
        <v>2450</v>
      </c>
      <c r="J395" t="s">
        <v>92</v>
      </c>
      <c r="K395" t="s">
        <v>12</v>
      </c>
      <c r="L395" t="s">
        <v>12</v>
      </c>
      <c r="M395" t="s">
        <v>182</v>
      </c>
      <c r="N395" t="s">
        <v>12</v>
      </c>
      <c r="O395" t="s">
        <v>12</v>
      </c>
      <c r="P395" t="s">
        <v>12</v>
      </c>
      <c r="Q395" t="s">
        <v>92</v>
      </c>
      <c r="R395" t="s">
        <v>182</v>
      </c>
      <c r="S395" t="s">
        <v>92</v>
      </c>
      <c r="T395" t="s">
        <v>2496</v>
      </c>
      <c r="U395" t="s">
        <v>12</v>
      </c>
      <c r="V395" t="s">
        <v>12</v>
      </c>
      <c r="W395" t="s">
        <v>2120</v>
      </c>
      <c r="AA395" t="s">
        <v>92</v>
      </c>
      <c r="AB395" t="s">
        <v>92</v>
      </c>
      <c r="AC395" t="s">
        <v>12</v>
      </c>
      <c r="AD395" t="s">
        <v>92</v>
      </c>
      <c r="AE395" t="s">
        <v>119</v>
      </c>
      <c r="AF395" t="s">
        <v>2500</v>
      </c>
    </row>
    <row r="396" spans="1:32" x14ac:dyDescent="0.45">
      <c r="A396" t="s">
        <v>2501</v>
      </c>
      <c r="B396" t="s">
        <v>2502</v>
      </c>
      <c r="C396" t="s">
        <v>2503</v>
      </c>
      <c r="D396" t="s">
        <v>2502</v>
      </c>
      <c r="E396" t="s">
        <v>2504</v>
      </c>
      <c r="F396" t="s">
        <v>2505</v>
      </c>
      <c r="H396" t="s">
        <v>2506</v>
      </c>
      <c r="I396" t="s">
        <v>2507</v>
      </c>
      <c r="J396" t="s">
        <v>92</v>
      </c>
      <c r="K396" t="s">
        <v>12</v>
      </c>
      <c r="L396" t="s">
        <v>12</v>
      </c>
      <c r="M396" t="s">
        <v>182</v>
      </c>
      <c r="N396" t="s">
        <v>12</v>
      </c>
      <c r="O396" t="s">
        <v>12</v>
      </c>
      <c r="P396" t="s">
        <v>12</v>
      </c>
      <c r="Q396" t="s">
        <v>92</v>
      </c>
      <c r="R396" t="s">
        <v>182</v>
      </c>
      <c r="S396" t="s">
        <v>92</v>
      </c>
      <c r="T396" t="s">
        <v>2501</v>
      </c>
      <c r="U396" t="s">
        <v>12</v>
      </c>
      <c r="V396" t="s">
        <v>12</v>
      </c>
      <c r="W396" t="s">
        <v>1591</v>
      </c>
      <c r="AA396" t="s">
        <v>92</v>
      </c>
      <c r="AB396" t="s">
        <v>92</v>
      </c>
      <c r="AC396" t="s">
        <v>12</v>
      </c>
      <c r="AD396" t="s">
        <v>92</v>
      </c>
      <c r="AE396" t="s">
        <v>166</v>
      </c>
      <c r="AF396" t="s">
        <v>2508</v>
      </c>
    </row>
    <row r="397" spans="1:32" x14ac:dyDescent="0.45">
      <c r="A397" t="s">
        <v>2509</v>
      </c>
      <c r="B397" t="s">
        <v>2510</v>
      </c>
      <c r="C397" t="s">
        <v>2511</v>
      </c>
      <c r="D397" t="s">
        <v>2512</v>
      </c>
      <c r="E397" t="s">
        <v>1041</v>
      </c>
      <c r="F397" t="s">
        <v>2513</v>
      </c>
      <c r="H397" t="s">
        <v>2514</v>
      </c>
      <c r="I397" t="s">
        <v>2514</v>
      </c>
      <c r="J397" t="s">
        <v>92</v>
      </c>
      <c r="K397" t="s">
        <v>12</v>
      </c>
      <c r="L397" t="s">
        <v>12</v>
      </c>
      <c r="M397" t="s">
        <v>182</v>
      </c>
      <c r="N397" t="s">
        <v>12</v>
      </c>
      <c r="O397" t="s">
        <v>12</v>
      </c>
      <c r="P397" t="s">
        <v>12</v>
      </c>
      <c r="Q397" t="s">
        <v>92</v>
      </c>
      <c r="R397" t="s">
        <v>182</v>
      </c>
      <c r="S397" t="s">
        <v>92</v>
      </c>
      <c r="T397" t="s">
        <v>2509</v>
      </c>
      <c r="U397" t="s">
        <v>12</v>
      </c>
      <c r="V397" t="s">
        <v>12</v>
      </c>
      <c r="W397" t="s">
        <v>2515</v>
      </c>
      <c r="AA397" t="s">
        <v>92</v>
      </c>
      <c r="AB397" t="s">
        <v>92</v>
      </c>
      <c r="AC397" t="s">
        <v>12</v>
      </c>
      <c r="AD397" t="s">
        <v>92</v>
      </c>
      <c r="AE397" t="s">
        <v>119</v>
      </c>
      <c r="AF397" t="s">
        <v>2516</v>
      </c>
    </row>
    <row r="398" spans="1:32" x14ac:dyDescent="0.45">
      <c r="A398" t="s">
        <v>2517</v>
      </c>
      <c r="B398" t="s">
        <v>2518</v>
      </c>
      <c r="C398" t="s">
        <v>2519</v>
      </c>
      <c r="D398" t="s">
        <v>2518</v>
      </c>
      <c r="E398" t="s">
        <v>2520</v>
      </c>
      <c r="F398" t="s">
        <v>2521</v>
      </c>
      <c r="G398" t="s">
        <v>2522</v>
      </c>
      <c r="H398" t="s">
        <v>2523</v>
      </c>
      <c r="J398" t="s">
        <v>92</v>
      </c>
      <c r="K398" t="s">
        <v>12</v>
      </c>
      <c r="L398" t="s">
        <v>12</v>
      </c>
      <c r="M398" t="s">
        <v>182</v>
      </c>
      <c r="N398" t="s">
        <v>12</v>
      </c>
      <c r="O398" t="s">
        <v>12</v>
      </c>
      <c r="P398" t="s">
        <v>12</v>
      </c>
      <c r="Q398" t="s">
        <v>92</v>
      </c>
      <c r="R398" t="s">
        <v>182</v>
      </c>
      <c r="S398" t="s">
        <v>92</v>
      </c>
      <c r="T398" t="s">
        <v>2517</v>
      </c>
      <c r="U398" t="s">
        <v>12</v>
      </c>
      <c r="V398" t="s">
        <v>12</v>
      </c>
      <c r="W398" t="s">
        <v>648</v>
      </c>
      <c r="AA398" t="s">
        <v>92</v>
      </c>
      <c r="AB398" t="s">
        <v>92</v>
      </c>
      <c r="AC398" t="s">
        <v>12</v>
      </c>
      <c r="AD398" t="s">
        <v>92</v>
      </c>
      <c r="AE398" t="s">
        <v>119</v>
      </c>
      <c r="AF398" t="s">
        <v>2524</v>
      </c>
    </row>
    <row r="399" spans="1:32" x14ac:dyDescent="0.45">
      <c r="A399" t="s">
        <v>2525</v>
      </c>
      <c r="B399" t="s">
        <v>2526</v>
      </c>
      <c r="C399" t="s">
        <v>2527</v>
      </c>
      <c r="D399" t="s">
        <v>2526</v>
      </c>
      <c r="F399" t="s">
        <v>2528</v>
      </c>
      <c r="H399" t="s">
        <v>2529</v>
      </c>
      <c r="J399" t="s">
        <v>92</v>
      </c>
      <c r="K399" t="s">
        <v>12</v>
      </c>
      <c r="L399" t="s">
        <v>12</v>
      </c>
      <c r="M399" t="s">
        <v>182</v>
      </c>
      <c r="N399" t="s">
        <v>12</v>
      </c>
      <c r="O399" t="s">
        <v>12</v>
      </c>
      <c r="P399" t="s">
        <v>12</v>
      </c>
      <c r="Q399" t="s">
        <v>92</v>
      </c>
      <c r="R399" t="s">
        <v>182</v>
      </c>
      <c r="S399" t="s">
        <v>92</v>
      </c>
      <c r="T399" t="s">
        <v>2525</v>
      </c>
      <c r="U399" t="s">
        <v>12</v>
      </c>
      <c r="V399" t="s">
        <v>12</v>
      </c>
      <c r="W399" t="s">
        <v>12</v>
      </c>
      <c r="AA399" t="s">
        <v>92</v>
      </c>
      <c r="AB399" t="s">
        <v>92</v>
      </c>
      <c r="AC399" t="s">
        <v>12</v>
      </c>
      <c r="AD399" t="s">
        <v>92</v>
      </c>
      <c r="AE399" t="s">
        <v>119</v>
      </c>
      <c r="AF399" t="s">
        <v>2530</v>
      </c>
    </row>
    <row r="400" spans="1:32" x14ac:dyDescent="0.45">
      <c r="A400" t="s">
        <v>2531</v>
      </c>
      <c r="B400" t="s">
        <v>2532</v>
      </c>
      <c r="C400" t="s">
        <v>2533</v>
      </c>
      <c r="D400" t="s">
        <v>2532</v>
      </c>
      <c r="E400" t="s">
        <v>1694</v>
      </c>
      <c r="F400" t="s">
        <v>2534</v>
      </c>
      <c r="H400" t="s">
        <v>2535</v>
      </c>
      <c r="J400" t="s">
        <v>92</v>
      </c>
      <c r="K400" t="s">
        <v>12</v>
      </c>
      <c r="L400" t="s">
        <v>12</v>
      </c>
      <c r="M400" t="s">
        <v>182</v>
      </c>
      <c r="N400" t="s">
        <v>12</v>
      </c>
      <c r="O400" t="s">
        <v>12</v>
      </c>
      <c r="P400" t="s">
        <v>12</v>
      </c>
      <c r="Q400" t="s">
        <v>92</v>
      </c>
      <c r="R400" t="s">
        <v>182</v>
      </c>
      <c r="S400" t="s">
        <v>92</v>
      </c>
      <c r="T400" t="s">
        <v>2531</v>
      </c>
      <c r="U400" t="s">
        <v>12</v>
      </c>
      <c r="V400" t="s">
        <v>12</v>
      </c>
      <c r="W400" t="s">
        <v>1697</v>
      </c>
      <c r="AA400" t="s">
        <v>92</v>
      </c>
      <c r="AB400" t="s">
        <v>92</v>
      </c>
      <c r="AC400" t="s">
        <v>12</v>
      </c>
      <c r="AD400" t="s">
        <v>92</v>
      </c>
      <c r="AE400" t="s">
        <v>166</v>
      </c>
      <c r="AF400" t="s">
        <v>2536</v>
      </c>
    </row>
    <row r="401" spans="1:32" x14ac:dyDescent="0.45">
      <c r="A401" t="s">
        <v>2537</v>
      </c>
      <c r="B401" t="s">
        <v>2538</v>
      </c>
      <c r="C401" t="s">
        <v>2539</v>
      </c>
      <c r="D401" t="s">
        <v>2540</v>
      </c>
      <c r="E401" t="s">
        <v>2248</v>
      </c>
      <c r="F401" t="s">
        <v>2541</v>
      </c>
      <c r="H401" t="s">
        <v>2542</v>
      </c>
      <c r="I401" t="s">
        <v>2543</v>
      </c>
      <c r="J401" t="s">
        <v>92</v>
      </c>
      <c r="K401" t="s">
        <v>12</v>
      </c>
      <c r="L401" t="s">
        <v>12</v>
      </c>
      <c r="M401" t="s">
        <v>182</v>
      </c>
      <c r="N401" t="s">
        <v>12</v>
      </c>
      <c r="O401" t="s">
        <v>12</v>
      </c>
      <c r="P401" t="s">
        <v>12</v>
      </c>
      <c r="Q401" t="s">
        <v>92</v>
      </c>
      <c r="R401" t="s">
        <v>182</v>
      </c>
      <c r="S401" t="s">
        <v>92</v>
      </c>
      <c r="T401" t="s">
        <v>2537</v>
      </c>
      <c r="U401" t="s">
        <v>12</v>
      </c>
      <c r="V401" t="s">
        <v>12</v>
      </c>
      <c r="W401" t="s">
        <v>2252</v>
      </c>
      <c r="AA401" t="s">
        <v>92</v>
      </c>
      <c r="AB401" t="s">
        <v>92</v>
      </c>
      <c r="AC401" t="s">
        <v>12</v>
      </c>
      <c r="AD401" t="s">
        <v>92</v>
      </c>
      <c r="AE401" t="s">
        <v>166</v>
      </c>
      <c r="AF401" t="s">
        <v>2544</v>
      </c>
    </row>
    <row r="402" spans="1:32" x14ac:dyDescent="0.45">
      <c r="A402" t="s">
        <v>2545</v>
      </c>
      <c r="B402" t="s">
        <v>2546</v>
      </c>
      <c r="C402" t="s">
        <v>2547</v>
      </c>
      <c r="D402" t="s">
        <v>2546</v>
      </c>
      <c r="E402" t="s">
        <v>560</v>
      </c>
      <c r="F402" t="s">
        <v>2548</v>
      </c>
      <c r="H402" t="s">
        <v>2549</v>
      </c>
      <c r="J402" t="s">
        <v>92</v>
      </c>
      <c r="K402" t="s">
        <v>12</v>
      </c>
      <c r="L402" t="s">
        <v>12</v>
      </c>
      <c r="M402" t="s">
        <v>182</v>
      </c>
      <c r="N402" t="s">
        <v>12</v>
      </c>
      <c r="O402" t="s">
        <v>12</v>
      </c>
      <c r="P402" t="s">
        <v>12</v>
      </c>
      <c r="Q402" t="s">
        <v>92</v>
      </c>
      <c r="R402" t="s">
        <v>182</v>
      </c>
      <c r="S402" t="s">
        <v>92</v>
      </c>
      <c r="T402" t="s">
        <v>2545</v>
      </c>
      <c r="U402" t="s">
        <v>12</v>
      </c>
      <c r="V402" t="s">
        <v>12</v>
      </c>
      <c r="W402" t="s">
        <v>12</v>
      </c>
      <c r="AA402" t="s">
        <v>92</v>
      </c>
      <c r="AB402" t="s">
        <v>92</v>
      </c>
      <c r="AC402" t="s">
        <v>12</v>
      </c>
      <c r="AD402" t="s">
        <v>92</v>
      </c>
      <c r="AE402" t="s">
        <v>166</v>
      </c>
      <c r="AF402" t="s">
        <v>2550</v>
      </c>
    </row>
    <row r="403" spans="1:32" x14ac:dyDescent="0.45">
      <c r="A403" t="s">
        <v>2551</v>
      </c>
      <c r="B403" t="s">
        <v>2552</v>
      </c>
      <c r="C403" t="s">
        <v>2553</v>
      </c>
      <c r="D403" t="s">
        <v>2554</v>
      </c>
      <c r="E403" t="s">
        <v>2555</v>
      </c>
      <c r="F403" t="s">
        <v>2556</v>
      </c>
      <c r="H403" t="s">
        <v>2557</v>
      </c>
      <c r="I403" t="s">
        <v>2558</v>
      </c>
      <c r="J403" t="s">
        <v>92</v>
      </c>
      <c r="K403" t="s">
        <v>12</v>
      </c>
      <c r="L403" t="s">
        <v>12</v>
      </c>
      <c r="M403" t="s">
        <v>182</v>
      </c>
      <c r="N403" t="s">
        <v>12</v>
      </c>
      <c r="O403" t="s">
        <v>12</v>
      </c>
      <c r="P403" t="s">
        <v>12</v>
      </c>
      <c r="Q403" t="s">
        <v>92</v>
      </c>
      <c r="R403" t="s">
        <v>182</v>
      </c>
      <c r="S403" t="s">
        <v>92</v>
      </c>
      <c r="T403" t="s">
        <v>2551</v>
      </c>
      <c r="U403" t="s">
        <v>12</v>
      </c>
      <c r="V403" t="s">
        <v>12</v>
      </c>
      <c r="W403" t="s">
        <v>12</v>
      </c>
      <c r="AA403" t="s">
        <v>92</v>
      </c>
      <c r="AB403" t="s">
        <v>92</v>
      </c>
      <c r="AC403" t="s">
        <v>12</v>
      </c>
      <c r="AD403" t="s">
        <v>92</v>
      </c>
      <c r="AE403" t="s">
        <v>119</v>
      </c>
      <c r="AF403" t="s">
        <v>2559</v>
      </c>
    </row>
    <row r="404" spans="1:32" x14ac:dyDescent="0.45">
      <c r="A404" t="s">
        <v>2560</v>
      </c>
      <c r="B404" t="s">
        <v>2561</v>
      </c>
      <c r="C404" t="s">
        <v>2562</v>
      </c>
      <c r="D404" t="s">
        <v>2563</v>
      </c>
      <c r="E404" t="s">
        <v>2564</v>
      </c>
      <c r="F404" t="s">
        <v>2565</v>
      </c>
      <c r="J404" t="s">
        <v>92</v>
      </c>
      <c r="K404" t="s">
        <v>12</v>
      </c>
      <c r="L404" t="s">
        <v>12</v>
      </c>
      <c r="M404" t="s">
        <v>182</v>
      </c>
      <c r="N404" t="s">
        <v>12</v>
      </c>
      <c r="O404" t="s">
        <v>12</v>
      </c>
      <c r="P404" t="s">
        <v>12</v>
      </c>
      <c r="Q404" t="s">
        <v>92</v>
      </c>
      <c r="R404" t="s">
        <v>182</v>
      </c>
      <c r="S404" t="s">
        <v>92</v>
      </c>
      <c r="T404" t="s">
        <v>2560</v>
      </c>
      <c r="U404" t="s">
        <v>12</v>
      </c>
      <c r="V404" t="s">
        <v>12</v>
      </c>
      <c r="W404" t="s">
        <v>12</v>
      </c>
      <c r="AA404" t="s">
        <v>92</v>
      </c>
      <c r="AB404" t="s">
        <v>92</v>
      </c>
      <c r="AC404" t="s">
        <v>12</v>
      </c>
      <c r="AD404" t="s">
        <v>92</v>
      </c>
      <c r="AE404" t="s">
        <v>119</v>
      </c>
      <c r="AF404" t="s">
        <v>2566</v>
      </c>
    </row>
    <row r="405" spans="1:32" x14ac:dyDescent="0.45">
      <c r="A405" t="s">
        <v>2567</v>
      </c>
      <c r="B405" t="s">
        <v>2568</v>
      </c>
      <c r="C405" t="s">
        <v>2569</v>
      </c>
      <c r="D405" t="s">
        <v>2570</v>
      </c>
      <c r="E405" t="s">
        <v>1352</v>
      </c>
      <c r="F405" t="s">
        <v>2571</v>
      </c>
      <c r="J405" t="s">
        <v>92</v>
      </c>
      <c r="K405" t="s">
        <v>12</v>
      </c>
      <c r="L405" t="s">
        <v>12</v>
      </c>
      <c r="M405" t="s">
        <v>182</v>
      </c>
      <c r="N405" t="s">
        <v>12</v>
      </c>
      <c r="O405" t="s">
        <v>12</v>
      </c>
      <c r="P405" t="s">
        <v>12</v>
      </c>
      <c r="Q405" t="s">
        <v>92</v>
      </c>
      <c r="R405" t="s">
        <v>182</v>
      </c>
      <c r="S405" t="s">
        <v>92</v>
      </c>
      <c r="T405" t="s">
        <v>2567</v>
      </c>
      <c r="U405" t="s">
        <v>12</v>
      </c>
      <c r="V405" t="s">
        <v>12</v>
      </c>
      <c r="W405" t="s">
        <v>12</v>
      </c>
      <c r="AA405" t="s">
        <v>92</v>
      </c>
      <c r="AB405" t="s">
        <v>92</v>
      </c>
      <c r="AC405" t="s">
        <v>12</v>
      </c>
      <c r="AD405" t="s">
        <v>92</v>
      </c>
      <c r="AE405" t="s">
        <v>119</v>
      </c>
      <c r="AF405" t="s">
        <v>2572</v>
      </c>
    </row>
    <row r="406" spans="1:32" x14ac:dyDescent="0.45">
      <c r="A406" t="s">
        <v>2573</v>
      </c>
      <c r="B406" t="s">
        <v>2574</v>
      </c>
      <c r="C406" t="s">
        <v>2575</v>
      </c>
      <c r="D406" t="s">
        <v>2576</v>
      </c>
      <c r="E406" t="s">
        <v>2577</v>
      </c>
      <c r="F406" t="s">
        <v>2578</v>
      </c>
      <c r="J406" t="s">
        <v>92</v>
      </c>
      <c r="K406" t="s">
        <v>12</v>
      </c>
      <c r="L406" t="s">
        <v>12</v>
      </c>
      <c r="M406" t="s">
        <v>182</v>
      </c>
      <c r="N406" t="s">
        <v>12</v>
      </c>
      <c r="O406" t="s">
        <v>12</v>
      </c>
      <c r="P406" t="s">
        <v>12</v>
      </c>
      <c r="Q406" t="s">
        <v>92</v>
      </c>
      <c r="R406" t="s">
        <v>182</v>
      </c>
      <c r="S406" t="s">
        <v>92</v>
      </c>
      <c r="T406" t="s">
        <v>2573</v>
      </c>
      <c r="U406" t="s">
        <v>12</v>
      </c>
      <c r="V406" t="s">
        <v>12</v>
      </c>
      <c r="W406" t="s">
        <v>12</v>
      </c>
      <c r="AA406" t="s">
        <v>92</v>
      </c>
      <c r="AB406" t="s">
        <v>92</v>
      </c>
      <c r="AC406" t="s">
        <v>12</v>
      </c>
      <c r="AD406" t="s">
        <v>92</v>
      </c>
      <c r="AE406" t="s">
        <v>119</v>
      </c>
      <c r="AF406" t="s">
        <v>2579</v>
      </c>
    </row>
    <row r="407" spans="1:32" x14ac:dyDescent="0.45">
      <c r="A407" t="s">
        <v>2580</v>
      </c>
      <c r="B407" t="s">
        <v>2581</v>
      </c>
      <c r="C407" t="s">
        <v>2582</v>
      </c>
      <c r="D407" t="s">
        <v>2583</v>
      </c>
      <c r="E407" t="s">
        <v>2584</v>
      </c>
      <c r="F407" t="s">
        <v>2585</v>
      </c>
      <c r="J407" t="s">
        <v>92</v>
      </c>
      <c r="K407" t="s">
        <v>12</v>
      </c>
      <c r="L407" t="s">
        <v>12</v>
      </c>
      <c r="M407" t="s">
        <v>182</v>
      </c>
      <c r="N407" t="s">
        <v>12</v>
      </c>
      <c r="O407" t="s">
        <v>12</v>
      </c>
      <c r="P407" t="s">
        <v>12</v>
      </c>
      <c r="Q407" t="s">
        <v>92</v>
      </c>
      <c r="R407" t="s">
        <v>182</v>
      </c>
      <c r="S407" t="s">
        <v>92</v>
      </c>
      <c r="T407" t="s">
        <v>2580</v>
      </c>
      <c r="U407" t="s">
        <v>12</v>
      </c>
      <c r="V407" t="s">
        <v>12</v>
      </c>
      <c r="W407" t="s">
        <v>12</v>
      </c>
      <c r="AA407" t="s">
        <v>92</v>
      </c>
      <c r="AB407" t="s">
        <v>92</v>
      </c>
      <c r="AC407" t="s">
        <v>12</v>
      </c>
      <c r="AD407" t="s">
        <v>92</v>
      </c>
      <c r="AE407" t="s">
        <v>119</v>
      </c>
      <c r="AF407" t="s">
        <v>2586</v>
      </c>
    </row>
    <row r="408" spans="1:32" x14ac:dyDescent="0.45">
      <c r="A408" t="s">
        <v>2587</v>
      </c>
      <c r="B408" t="s">
        <v>2588</v>
      </c>
      <c r="C408" t="s">
        <v>2589</v>
      </c>
      <c r="D408" t="s">
        <v>2590</v>
      </c>
      <c r="E408" t="s">
        <v>512</v>
      </c>
      <c r="F408" t="s">
        <v>2591</v>
      </c>
      <c r="J408" t="s">
        <v>92</v>
      </c>
      <c r="K408" t="s">
        <v>12</v>
      </c>
      <c r="L408" t="s">
        <v>12</v>
      </c>
      <c r="M408" t="s">
        <v>182</v>
      </c>
      <c r="N408" t="s">
        <v>12</v>
      </c>
      <c r="O408" t="s">
        <v>12</v>
      </c>
      <c r="P408" t="s">
        <v>12</v>
      </c>
      <c r="Q408" t="s">
        <v>92</v>
      </c>
      <c r="R408" t="s">
        <v>182</v>
      </c>
      <c r="S408" t="s">
        <v>92</v>
      </c>
      <c r="T408" t="s">
        <v>2587</v>
      </c>
      <c r="U408" t="s">
        <v>12</v>
      </c>
      <c r="V408" t="s">
        <v>12</v>
      </c>
      <c r="W408" t="s">
        <v>12</v>
      </c>
      <c r="AA408" t="s">
        <v>92</v>
      </c>
      <c r="AB408" t="s">
        <v>92</v>
      </c>
      <c r="AC408" t="s">
        <v>12</v>
      </c>
      <c r="AD408" t="s">
        <v>92</v>
      </c>
      <c r="AE408" t="s">
        <v>119</v>
      </c>
      <c r="AF408" t="s">
        <v>2592</v>
      </c>
    </row>
    <row r="409" spans="1:32" x14ac:dyDescent="0.45">
      <c r="A409" t="s">
        <v>2593</v>
      </c>
      <c r="B409" t="s">
        <v>2594</v>
      </c>
      <c r="C409" t="s">
        <v>2595</v>
      </c>
      <c r="D409" t="s">
        <v>2594</v>
      </c>
      <c r="F409" t="s">
        <v>2596</v>
      </c>
      <c r="H409" t="s">
        <v>2597</v>
      </c>
      <c r="I409" t="s">
        <v>2598</v>
      </c>
      <c r="J409" t="s">
        <v>92</v>
      </c>
      <c r="K409" t="s">
        <v>12</v>
      </c>
      <c r="L409" t="s">
        <v>12</v>
      </c>
      <c r="M409" t="s">
        <v>182</v>
      </c>
      <c r="N409" t="s">
        <v>12</v>
      </c>
      <c r="O409" t="s">
        <v>12</v>
      </c>
      <c r="P409" t="s">
        <v>12</v>
      </c>
      <c r="Q409" t="s">
        <v>92</v>
      </c>
      <c r="R409" t="s">
        <v>182</v>
      </c>
      <c r="S409" t="s">
        <v>92</v>
      </c>
      <c r="T409" t="s">
        <v>2593</v>
      </c>
      <c r="U409" t="s">
        <v>12</v>
      </c>
      <c r="V409" t="s">
        <v>12</v>
      </c>
      <c r="W409" t="s">
        <v>12</v>
      </c>
      <c r="AA409" t="s">
        <v>92</v>
      </c>
      <c r="AB409" t="s">
        <v>92</v>
      </c>
      <c r="AC409" t="s">
        <v>12</v>
      </c>
      <c r="AD409" t="s">
        <v>92</v>
      </c>
      <c r="AE409" t="s">
        <v>169</v>
      </c>
      <c r="AF409" t="s">
        <v>2599</v>
      </c>
    </row>
    <row r="410" spans="1:32" x14ac:dyDescent="0.45">
      <c r="A410" t="s">
        <v>2600</v>
      </c>
      <c r="B410" t="s">
        <v>2601</v>
      </c>
      <c r="C410" t="s">
        <v>2602</v>
      </c>
      <c r="D410" t="s">
        <v>2603</v>
      </c>
      <c r="E410" t="s">
        <v>1403</v>
      </c>
      <c r="F410" t="s">
        <v>2604</v>
      </c>
      <c r="H410" t="s">
        <v>2605</v>
      </c>
      <c r="I410" t="s">
        <v>2606</v>
      </c>
      <c r="J410" t="s">
        <v>92</v>
      </c>
      <c r="K410" t="s">
        <v>12</v>
      </c>
      <c r="L410" t="s">
        <v>12</v>
      </c>
      <c r="M410" t="s">
        <v>182</v>
      </c>
      <c r="N410" t="s">
        <v>12</v>
      </c>
      <c r="O410" t="s">
        <v>12</v>
      </c>
      <c r="P410" t="s">
        <v>12</v>
      </c>
      <c r="Q410" t="s">
        <v>92</v>
      </c>
      <c r="R410" t="s">
        <v>182</v>
      </c>
      <c r="S410" t="s">
        <v>92</v>
      </c>
      <c r="T410" t="s">
        <v>2600</v>
      </c>
      <c r="U410" t="s">
        <v>12</v>
      </c>
      <c r="V410" t="s">
        <v>12</v>
      </c>
      <c r="W410" t="s">
        <v>2607</v>
      </c>
      <c r="AA410" t="s">
        <v>92</v>
      </c>
      <c r="AB410" t="s">
        <v>92</v>
      </c>
      <c r="AC410" t="s">
        <v>12</v>
      </c>
      <c r="AD410" t="s">
        <v>92</v>
      </c>
      <c r="AE410" t="s">
        <v>119</v>
      </c>
      <c r="AF410" t="s">
        <v>2608</v>
      </c>
    </row>
    <row r="411" spans="1:32" x14ac:dyDescent="0.45">
      <c r="A411" t="s">
        <v>2609</v>
      </c>
      <c r="B411" t="s">
        <v>2610</v>
      </c>
      <c r="C411" t="s">
        <v>2611</v>
      </c>
      <c r="D411" t="s">
        <v>2610</v>
      </c>
      <c r="E411" t="s">
        <v>2612</v>
      </c>
      <c r="F411" t="s">
        <v>2613</v>
      </c>
      <c r="H411" t="s">
        <v>2614</v>
      </c>
      <c r="I411" t="s">
        <v>2615</v>
      </c>
      <c r="J411" t="s">
        <v>92</v>
      </c>
      <c r="K411" t="s">
        <v>12</v>
      </c>
      <c r="L411" t="s">
        <v>12</v>
      </c>
      <c r="M411" t="s">
        <v>182</v>
      </c>
      <c r="N411" t="s">
        <v>12</v>
      </c>
      <c r="O411" t="s">
        <v>12</v>
      </c>
      <c r="P411" t="s">
        <v>12</v>
      </c>
      <c r="Q411" t="s">
        <v>92</v>
      </c>
      <c r="R411" t="s">
        <v>182</v>
      </c>
      <c r="S411" t="s">
        <v>92</v>
      </c>
      <c r="T411" t="s">
        <v>2609</v>
      </c>
      <c r="U411" t="s">
        <v>12</v>
      </c>
      <c r="V411" t="s">
        <v>12</v>
      </c>
      <c r="W411" t="s">
        <v>12</v>
      </c>
      <c r="AA411" t="s">
        <v>92</v>
      </c>
      <c r="AB411" t="s">
        <v>92</v>
      </c>
      <c r="AC411" t="s">
        <v>12</v>
      </c>
      <c r="AD411" t="s">
        <v>92</v>
      </c>
      <c r="AE411" t="s">
        <v>119</v>
      </c>
      <c r="AF411" t="s">
        <v>2616</v>
      </c>
    </row>
    <row r="412" spans="1:32" x14ac:dyDescent="0.45">
      <c r="A412" t="s">
        <v>2617</v>
      </c>
      <c r="B412" t="s">
        <v>2610</v>
      </c>
      <c r="C412" t="s">
        <v>2611</v>
      </c>
      <c r="D412" t="s">
        <v>2618</v>
      </c>
      <c r="E412" t="s">
        <v>2612</v>
      </c>
      <c r="F412" t="s">
        <v>2613</v>
      </c>
      <c r="H412" t="s">
        <v>2614</v>
      </c>
      <c r="I412" t="s">
        <v>2615</v>
      </c>
      <c r="J412" t="s">
        <v>92</v>
      </c>
      <c r="K412" t="s">
        <v>12</v>
      </c>
      <c r="L412" t="s">
        <v>12</v>
      </c>
      <c r="M412" t="s">
        <v>182</v>
      </c>
      <c r="N412" t="s">
        <v>12</v>
      </c>
      <c r="O412" t="s">
        <v>12</v>
      </c>
      <c r="P412" t="s">
        <v>12</v>
      </c>
      <c r="Q412" t="s">
        <v>92</v>
      </c>
      <c r="R412" t="s">
        <v>182</v>
      </c>
      <c r="S412" t="s">
        <v>92</v>
      </c>
      <c r="T412" t="s">
        <v>2609</v>
      </c>
      <c r="U412" t="s">
        <v>12</v>
      </c>
      <c r="V412" t="s">
        <v>12</v>
      </c>
      <c r="W412" t="s">
        <v>12</v>
      </c>
      <c r="AA412" t="s">
        <v>92</v>
      </c>
      <c r="AB412" t="s">
        <v>92</v>
      </c>
      <c r="AC412" t="s">
        <v>12</v>
      </c>
      <c r="AD412" t="s">
        <v>92</v>
      </c>
      <c r="AE412" t="s">
        <v>119</v>
      </c>
      <c r="AF412" t="s">
        <v>2619</v>
      </c>
    </row>
    <row r="413" spans="1:32" x14ac:dyDescent="0.45">
      <c r="A413" t="s">
        <v>2620</v>
      </c>
      <c r="B413" t="s">
        <v>2621</v>
      </c>
      <c r="C413" t="s">
        <v>2622</v>
      </c>
      <c r="D413" t="s">
        <v>2621</v>
      </c>
      <c r="E413" t="s">
        <v>2623</v>
      </c>
      <c r="F413" t="s">
        <v>2624</v>
      </c>
      <c r="H413" t="s">
        <v>2625</v>
      </c>
      <c r="I413" t="s">
        <v>2626</v>
      </c>
      <c r="J413" t="s">
        <v>92</v>
      </c>
      <c r="K413" t="s">
        <v>12</v>
      </c>
      <c r="L413" t="s">
        <v>12</v>
      </c>
      <c r="M413" t="s">
        <v>182</v>
      </c>
      <c r="N413" t="s">
        <v>12</v>
      </c>
      <c r="O413" t="s">
        <v>12</v>
      </c>
      <c r="P413" t="s">
        <v>12</v>
      </c>
      <c r="Q413" t="s">
        <v>92</v>
      </c>
      <c r="R413" t="s">
        <v>182</v>
      </c>
      <c r="S413" t="s">
        <v>92</v>
      </c>
      <c r="T413" t="s">
        <v>2620</v>
      </c>
      <c r="U413" t="s">
        <v>12</v>
      </c>
      <c r="V413" t="s">
        <v>12</v>
      </c>
      <c r="W413" t="s">
        <v>12</v>
      </c>
      <c r="AA413" t="s">
        <v>92</v>
      </c>
      <c r="AB413" t="s">
        <v>92</v>
      </c>
      <c r="AC413" t="s">
        <v>12</v>
      </c>
      <c r="AD413" t="s">
        <v>92</v>
      </c>
      <c r="AE413" t="s">
        <v>119</v>
      </c>
      <c r="AF413" t="s">
        <v>2627</v>
      </c>
    </row>
    <row r="414" spans="1:32" x14ac:dyDescent="0.45">
      <c r="A414" t="s">
        <v>2628</v>
      </c>
      <c r="B414" t="s">
        <v>2629</v>
      </c>
      <c r="C414" t="s">
        <v>2630</v>
      </c>
      <c r="D414" t="s">
        <v>2629</v>
      </c>
      <c r="E414" t="s">
        <v>2623</v>
      </c>
      <c r="F414" t="s">
        <v>2624</v>
      </c>
      <c r="H414" t="s">
        <v>2625</v>
      </c>
      <c r="I414" t="s">
        <v>2626</v>
      </c>
      <c r="J414" t="s">
        <v>92</v>
      </c>
      <c r="K414" t="s">
        <v>12</v>
      </c>
      <c r="L414" t="s">
        <v>12</v>
      </c>
      <c r="M414" t="s">
        <v>182</v>
      </c>
      <c r="N414" t="s">
        <v>12</v>
      </c>
      <c r="O414" t="s">
        <v>12</v>
      </c>
      <c r="P414" t="s">
        <v>12</v>
      </c>
      <c r="Q414" t="s">
        <v>92</v>
      </c>
      <c r="R414" t="s">
        <v>182</v>
      </c>
      <c r="S414" t="s">
        <v>92</v>
      </c>
      <c r="T414" t="s">
        <v>2620</v>
      </c>
      <c r="U414" t="s">
        <v>12</v>
      </c>
      <c r="V414" t="s">
        <v>12</v>
      </c>
      <c r="W414" t="s">
        <v>12</v>
      </c>
      <c r="AA414" t="s">
        <v>92</v>
      </c>
      <c r="AB414" t="s">
        <v>92</v>
      </c>
      <c r="AC414" t="s">
        <v>12</v>
      </c>
      <c r="AD414" t="s">
        <v>92</v>
      </c>
      <c r="AE414" t="s">
        <v>119</v>
      </c>
      <c r="AF414" t="s">
        <v>2631</v>
      </c>
    </row>
    <row r="415" spans="1:32" x14ac:dyDescent="0.45">
      <c r="A415" t="s">
        <v>2632</v>
      </c>
      <c r="B415" t="s">
        <v>2621</v>
      </c>
      <c r="C415" t="s">
        <v>2622</v>
      </c>
      <c r="D415" t="s">
        <v>2629</v>
      </c>
      <c r="E415" t="s">
        <v>2623</v>
      </c>
      <c r="F415" t="s">
        <v>2624</v>
      </c>
      <c r="H415" t="s">
        <v>2625</v>
      </c>
      <c r="I415" t="s">
        <v>2626</v>
      </c>
      <c r="J415" t="s">
        <v>92</v>
      </c>
      <c r="K415" t="s">
        <v>12</v>
      </c>
      <c r="L415" t="s">
        <v>12</v>
      </c>
      <c r="M415" t="s">
        <v>182</v>
      </c>
      <c r="N415" t="s">
        <v>12</v>
      </c>
      <c r="O415" t="s">
        <v>12</v>
      </c>
      <c r="P415" t="s">
        <v>12</v>
      </c>
      <c r="Q415" t="s">
        <v>92</v>
      </c>
      <c r="R415" t="s">
        <v>182</v>
      </c>
      <c r="S415" t="s">
        <v>92</v>
      </c>
      <c r="T415" t="s">
        <v>2620</v>
      </c>
      <c r="U415" t="s">
        <v>12</v>
      </c>
      <c r="V415" t="s">
        <v>12</v>
      </c>
      <c r="W415" t="s">
        <v>12</v>
      </c>
      <c r="AA415" t="s">
        <v>92</v>
      </c>
      <c r="AB415" t="s">
        <v>92</v>
      </c>
      <c r="AC415" t="s">
        <v>12</v>
      </c>
      <c r="AD415" t="s">
        <v>92</v>
      </c>
      <c r="AE415" t="s">
        <v>119</v>
      </c>
      <c r="AF415" t="s">
        <v>2633</v>
      </c>
    </row>
    <row r="416" spans="1:32" x14ac:dyDescent="0.45">
      <c r="A416" t="s">
        <v>196</v>
      </c>
      <c r="B416" t="s">
        <v>2634</v>
      </c>
      <c r="C416" t="s">
        <v>2635</v>
      </c>
      <c r="D416" t="s">
        <v>2634</v>
      </c>
      <c r="E416" t="s">
        <v>2636</v>
      </c>
      <c r="F416" t="s">
        <v>2637</v>
      </c>
      <c r="G416" t="s">
        <v>2638</v>
      </c>
      <c r="H416" t="s">
        <v>2639</v>
      </c>
      <c r="I416" t="s">
        <v>2640</v>
      </c>
      <c r="J416" t="s">
        <v>92</v>
      </c>
      <c r="K416" t="s">
        <v>12</v>
      </c>
      <c r="L416" t="s">
        <v>12</v>
      </c>
      <c r="M416" t="s">
        <v>182</v>
      </c>
      <c r="N416" t="s">
        <v>12</v>
      </c>
      <c r="O416" t="s">
        <v>12</v>
      </c>
      <c r="P416" t="s">
        <v>12</v>
      </c>
      <c r="Q416" t="s">
        <v>12</v>
      </c>
      <c r="R416" t="s">
        <v>182</v>
      </c>
      <c r="S416" t="s">
        <v>92</v>
      </c>
      <c r="T416" t="s">
        <v>196</v>
      </c>
      <c r="U416" t="s">
        <v>12</v>
      </c>
      <c r="V416" t="s">
        <v>12</v>
      </c>
      <c r="W416" t="s">
        <v>1938</v>
      </c>
      <c r="AA416" t="s">
        <v>92</v>
      </c>
      <c r="AB416" t="s">
        <v>92</v>
      </c>
      <c r="AC416" t="s">
        <v>12</v>
      </c>
      <c r="AD416" t="s">
        <v>92</v>
      </c>
      <c r="AE416" t="s">
        <v>130</v>
      </c>
      <c r="AF416" t="s">
        <v>2641</v>
      </c>
    </row>
    <row r="417" spans="1:32" x14ac:dyDescent="0.45">
      <c r="A417" t="s">
        <v>197</v>
      </c>
      <c r="B417" t="s">
        <v>2642</v>
      </c>
      <c r="C417" t="s">
        <v>2643</v>
      </c>
      <c r="D417" t="s">
        <v>2644</v>
      </c>
      <c r="E417" t="s">
        <v>2645</v>
      </c>
      <c r="F417" t="s">
        <v>2646</v>
      </c>
      <c r="G417" t="s">
        <v>2647</v>
      </c>
      <c r="H417" t="s">
        <v>2648</v>
      </c>
      <c r="I417" t="s">
        <v>2649</v>
      </c>
      <c r="J417" t="s">
        <v>92</v>
      </c>
      <c r="K417" t="s">
        <v>12</v>
      </c>
      <c r="L417" t="s">
        <v>12</v>
      </c>
      <c r="M417" t="s">
        <v>182</v>
      </c>
      <c r="N417" t="s">
        <v>12</v>
      </c>
      <c r="O417" t="s">
        <v>12</v>
      </c>
      <c r="P417" t="s">
        <v>12</v>
      </c>
      <c r="Q417" t="s">
        <v>12</v>
      </c>
      <c r="R417" t="s">
        <v>182</v>
      </c>
      <c r="S417" t="s">
        <v>92</v>
      </c>
      <c r="T417" t="s">
        <v>197</v>
      </c>
      <c r="U417" t="s">
        <v>12</v>
      </c>
      <c r="V417" t="s">
        <v>12</v>
      </c>
      <c r="W417" t="s">
        <v>1938</v>
      </c>
      <c r="AA417" t="s">
        <v>92</v>
      </c>
      <c r="AB417" t="s">
        <v>92</v>
      </c>
      <c r="AC417" t="s">
        <v>12</v>
      </c>
      <c r="AD417" t="s">
        <v>92</v>
      </c>
      <c r="AE417" t="s">
        <v>119</v>
      </c>
      <c r="AF417" t="s">
        <v>2650</v>
      </c>
    </row>
    <row r="418" spans="1:32" x14ac:dyDescent="0.45">
      <c r="A418" t="s">
        <v>137</v>
      </c>
      <c r="B418" t="s">
        <v>2651</v>
      </c>
      <c r="C418" t="s">
        <v>2652</v>
      </c>
      <c r="D418" t="s">
        <v>28</v>
      </c>
      <c r="E418" t="s">
        <v>2653</v>
      </c>
      <c r="F418" t="s">
        <v>2654</v>
      </c>
      <c r="H418" t="s">
        <v>2655</v>
      </c>
      <c r="I418" t="s">
        <v>2656</v>
      </c>
      <c r="J418" t="s">
        <v>92</v>
      </c>
      <c r="K418" t="s">
        <v>12</v>
      </c>
      <c r="L418" t="s">
        <v>12</v>
      </c>
      <c r="M418" t="s">
        <v>182</v>
      </c>
      <c r="N418" t="s">
        <v>12</v>
      </c>
      <c r="O418" t="s">
        <v>12</v>
      </c>
      <c r="P418" t="s">
        <v>12</v>
      </c>
      <c r="Q418" t="s">
        <v>92</v>
      </c>
      <c r="R418" t="s">
        <v>182</v>
      </c>
      <c r="S418" t="s">
        <v>92</v>
      </c>
      <c r="T418" t="s">
        <v>137</v>
      </c>
      <c r="U418" t="s">
        <v>12</v>
      </c>
      <c r="V418" t="s">
        <v>12</v>
      </c>
      <c r="W418" t="s">
        <v>657</v>
      </c>
      <c r="AA418" t="s">
        <v>92</v>
      </c>
      <c r="AB418" t="s">
        <v>92</v>
      </c>
      <c r="AC418" t="s">
        <v>12</v>
      </c>
      <c r="AD418" t="s">
        <v>92</v>
      </c>
      <c r="AE418" t="s">
        <v>169</v>
      </c>
      <c r="AF418" t="s">
        <v>2657</v>
      </c>
    </row>
    <row r="419" spans="1:32" x14ac:dyDescent="0.45">
      <c r="A419" t="s">
        <v>2658</v>
      </c>
      <c r="B419" t="s">
        <v>2659</v>
      </c>
      <c r="C419" t="s">
        <v>2660</v>
      </c>
      <c r="D419" t="s">
        <v>2661</v>
      </c>
      <c r="E419" t="s">
        <v>2653</v>
      </c>
      <c r="F419" t="s">
        <v>2654</v>
      </c>
      <c r="H419" t="s">
        <v>2655</v>
      </c>
      <c r="J419" t="s">
        <v>92</v>
      </c>
      <c r="K419" t="s">
        <v>12</v>
      </c>
      <c r="L419" t="s">
        <v>12</v>
      </c>
      <c r="M419" t="s">
        <v>182</v>
      </c>
      <c r="N419" t="s">
        <v>12</v>
      </c>
      <c r="O419" t="s">
        <v>12</v>
      </c>
      <c r="P419" t="s">
        <v>12</v>
      </c>
      <c r="Q419" t="s">
        <v>92</v>
      </c>
      <c r="R419" t="s">
        <v>182</v>
      </c>
      <c r="S419" t="s">
        <v>92</v>
      </c>
      <c r="T419" t="s">
        <v>2658</v>
      </c>
      <c r="U419" t="s">
        <v>12</v>
      </c>
      <c r="V419" t="s">
        <v>12</v>
      </c>
      <c r="W419" t="s">
        <v>657</v>
      </c>
      <c r="AA419" t="s">
        <v>92</v>
      </c>
      <c r="AB419" t="s">
        <v>92</v>
      </c>
      <c r="AC419" t="s">
        <v>12</v>
      </c>
      <c r="AD419" t="s">
        <v>92</v>
      </c>
      <c r="AE419" t="s">
        <v>119</v>
      </c>
      <c r="AF419" t="s">
        <v>2662</v>
      </c>
    </row>
    <row r="420" spans="1:32" x14ac:dyDescent="0.45">
      <c r="A420" t="s">
        <v>140</v>
      </c>
      <c r="B420" t="s">
        <v>2663</v>
      </c>
      <c r="C420" t="s">
        <v>2664</v>
      </c>
      <c r="D420" t="s">
        <v>2663</v>
      </c>
      <c r="E420" t="s">
        <v>2653</v>
      </c>
      <c r="F420" t="s">
        <v>2654</v>
      </c>
      <c r="H420" t="s">
        <v>2655</v>
      </c>
      <c r="J420" t="s">
        <v>92</v>
      </c>
      <c r="K420" t="s">
        <v>12</v>
      </c>
      <c r="L420" t="s">
        <v>12</v>
      </c>
      <c r="M420" t="s">
        <v>182</v>
      </c>
      <c r="N420" t="s">
        <v>12</v>
      </c>
      <c r="O420" t="s">
        <v>12</v>
      </c>
      <c r="P420" t="s">
        <v>12</v>
      </c>
      <c r="Q420" t="s">
        <v>92</v>
      </c>
      <c r="R420" t="s">
        <v>182</v>
      </c>
      <c r="S420" t="s">
        <v>92</v>
      </c>
      <c r="T420" t="s">
        <v>140</v>
      </c>
      <c r="U420" t="s">
        <v>12</v>
      </c>
      <c r="V420" t="s">
        <v>12</v>
      </c>
      <c r="W420" t="s">
        <v>657</v>
      </c>
      <c r="AA420" t="s">
        <v>92</v>
      </c>
      <c r="AB420" t="s">
        <v>92</v>
      </c>
      <c r="AC420" t="s">
        <v>12</v>
      </c>
      <c r="AD420" t="s">
        <v>92</v>
      </c>
      <c r="AE420" t="s">
        <v>119</v>
      </c>
      <c r="AF420" t="s">
        <v>2665</v>
      </c>
    </row>
    <row r="421" spans="1:32" x14ac:dyDescent="0.45">
      <c r="A421" t="s">
        <v>2666</v>
      </c>
      <c r="B421" t="s">
        <v>2667</v>
      </c>
      <c r="C421" t="s">
        <v>2668</v>
      </c>
      <c r="D421" t="s">
        <v>2667</v>
      </c>
      <c r="E421" t="s">
        <v>2653</v>
      </c>
      <c r="F421" t="s">
        <v>2654</v>
      </c>
      <c r="H421" t="s">
        <v>2655</v>
      </c>
      <c r="J421" t="s">
        <v>92</v>
      </c>
      <c r="K421" t="s">
        <v>12</v>
      </c>
      <c r="L421" t="s">
        <v>12</v>
      </c>
      <c r="M421" t="s">
        <v>182</v>
      </c>
      <c r="N421" t="s">
        <v>12</v>
      </c>
      <c r="O421" t="s">
        <v>12</v>
      </c>
      <c r="P421" t="s">
        <v>12</v>
      </c>
      <c r="Q421" t="s">
        <v>92</v>
      </c>
      <c r="R421" t="s">
        <v>182</v>
      </c>
      <c r="S421" t="s">
        <v>92</v>
      </c>
      <c r="T421" t="s">
        <v>2666</v>
      </c>
      <c r="U421" t="s">
        <v>12</v>
      </c>
      <c r="V421" t="s">
        <v>12</v>
      </c>
      <c r="W421" t="s">
        <v>657</v>
      </c>
      <c r="AA421" t="s">
        <v>92</v>
      </c>
      <c r="AB421" t="s">
        <v>92</v>
      </c>
      <c r="AC421" t="s">
        <v>12</v>
      </c>
      <c r="AD421" t="s">
        <v>92</v>
      </c>
      <c r="AE421" t="s">
        <v>119</v>
      </c>
      <c r="AF421" t="s">
        <v>2669</v>
      </c>
    </row>
    <row r="422" spans="1:32" x14ac:dyDescent="0.45">
      <c r="A422" t="s">
        <v>141</v>
      </c>
      <c r="B422" t="s">
        <v>2670</v>
      </c>
      <c r="C422" t="s">
        <v>2671</v>
      </c>
      <c r="D422" t="s">
        <v>2670</v>
      </c>
      <c r="E422" t="s">
        <v>2653</v>
      </c>
      <c r="F422" t="s">
        <v>2654</v>
      </c>
      <c r="H422" t="s">
        <v>2655</v>
      </c>
      <c r="J422" t="s">
        <v>92</v>
      </c>
      <c r="K422" t="s">
        <v>12</v>
      </c>
      <c r="L422" t="s">
        <v>12</v>
      </c>
      <c r="M422" t="s">
        <v>182</v>
      </c>
      <c r="N422" t="s">
        <v>12</v>
      </c>
      <c r="O422" t="s">
        <v>12</v>
      </c>
      <c r="P422" t="s">
        <v>12</v>
      </c>
      <c r="Q422" t="s">
        <v>92</v>
      </c>
      <c r="R422" t="s">
        <v>182</v>
      </c>
      <c r="S422" t="s">
        <v>92</v>
      </c>
      <c r="T422" t="s">
        <v>141</v>
      </c>
      <c r="U422" t="s">
        <v>12</v>
      </c>
      <c r="V422" t="s">
        <v>12</v>
      </c>
      <c r="W422" t="s">
        <v>657</v>
      </c>
      <c r="AA422" t="s">
        <v>92</v>
      </c>
      <c r="AB422" t="s">
        <v>92</v>
      </c>
      <c r="AC422" t="s">
        <v>12</v>
      </c>
      <c r="AD422" t="s">
        <v>92</v>
      </c>
      <c r="AE422" t="s">
        <v>169</v>
      </c>
      <c r="AF422" t="s">
        <v>2672</v>
      </c>
    </row>
    <row r="423" spans="1:32" x14ac:dyDescent="0.45">
      <c r="A423" t="s">
        <v>2673</v>
      </c>
      <c r="B423" t="s">
        <v>2674</v>
      </c>
      <c r="C423" t="s">
        <v>2675</v>
      </c>
      <c r="D423" t="s">
        <v>2674</v>
      </c>
      <c r="E423" t="s">
        <v>2653</v>
      </c>
      <c r="F423" t="s">
        <v>2654</v>
      </c>
      <c r="H423" t="s">
        <v>2655</v>
      </c>
      <c r="J423" t="s">
        <v>92</v>
      </c>
      <c r="K423" t="s">
        <v>12</v>
      </c>
      <c r="L423" t="s">
        <v>12</v>
      </c>
      <c r="M423" t="s">
        <v>182</v>
      </c>
      <c r="N423" t="s">
        <v>12</v>
      </c>
      <c r="O423" t="s">
        <v>12</v>
      </c>
      <c r="P423" t="s">
        <v>12</v>
      </c>
      <c r="Q423" t="s">
        <v>92</v>
      </c>
      <c r="R423" t="s">
        <v>182</v>
      </c>
      <c r="S423" t="s">
        <v>92</v>
      </c>
      <c r="T423" t="s">
        <v>2673</v>
      </c>
      <c r="U423" t="s">
        <v>12</v>
      </c>
      <c r="V423" t="s">
        <v>12</v>
      </c>
      <c r="W423" t="s">
        <v>657</v>
      </c>
      <c r="AA423" t="s">
        <v>92</v>
      </c>
      <c r="AB423" t="s">
        <v>92</v>
      </c>
      <c r="AC423" t="s">
        <v>12</v>
      </c>
      <c r="AD423" t="s">
        <v>92</v>
      </c>
      <c r="AE423" t="s">
        <v>119</v>
      </c>
      <c r="AF423" t="s">
        <v>2676</v>
      </c>
    </row>
    <row r="424" spans="1:32" x14ac:dyDescent="0.45">
      <c r="A424" t="s">
        <v>2677</v>
      </c>
      <c r="B424" t="s">
        <v>2678</v>
      </c>
      <c r="C424" t="s">
        <v>2679</v>
      </c>
      <c r="D424" t="s">
        <v>2678</v>
      </c>
      <c r="J424" t="s">
        <v>12</v>
      </c>
      <c r="K424" t="s">
        <v>12</v>
      </c>
      <c r="L424" t="s">
        <v>12</v>
      </c>
      <c r="M424" t="s">
        <v>12</v>
      </c>
      <c r="N424" t="s">
        <v>12</v>
      </c>
      <c r="O424" t="s">
        <v>12</v>
      </c>
      <c r="P424" t="s">
        <v>12</v>
      </c>
      <c r="Q424" t="s">
        <v>12</v>
      </c>
      <c r="R424" t="s">
        <v>12</v>
      </c>
      <c r="S424" t="s">
        <v>92</v>
      </c>
      <c r="T424" t="s">
        <v>2677</v>
      </c>
      <c r="U424" t="s">
        <v>12</v>
      </c>
      <c r="V424" t="s">
        <v>12</v>
      </c>
      <c r="W424" t="s">
        <v>12</v>
      </c>
      <c r="AA424" t="s">
        <v>12</v>
      </c>
      <c r="AB424" t="s">
        <v>92</v>
      </c>
      <c r="AC424" t="s">
        <v>12</v>
      </c>
      <c r="AD424" t="s">
        <v>92</v>
      </c>
      <c r="AE424" t="s">
        <v>119</v>
      </c>
      <c r="AF424" t="s">
        <v>2680</v>
      </c>
    </row>
    <row r="425" spans="1:32" x14ac:dyDescent="0.45">
      <c r="A425" t="s">
        <v>2681</v>
      </c>
      <c r="B425" t="s">
        <v>2682</v>
      </c>
      <c r="C425" t="s">
        <v>2683</v>
      </c>
      <c r="D425" t="s">
        <v>2684</v>
      </c>
      <c r="E425" t="s">
        <v>2685</v>
      </c>
      <c r="F425" t="s">
        <v>2686</v>
      </c>
      <c r="H425" t="s">
        <v>2687</v>
      </c>
      <c r="I425" t="s">
        <v>2688</v>
      </c>
      <c r="J425" t="s">
        <v>92</v>
      </c>
      <c r="K425" t="s">
        <v>12</v>
      </c>
      <c r="L425" t="s">
        <v>12</v>
      </c>
      <c r="M425" t="s">
        <v>182</v>
      </c>
      <c r="N425" t="s">
        <v>12</v>
      </c>
      <c r="O425" t="s">
        <v>12</v>
      </c>
      <c r="P425" t="s">
        <v>12</v>
      </c>
      <c r="Q425" t="s">
        <v>92</v>
      </c>
      <c r="R425" t="s">
        <v>182</v>
      </c>
      <c r="S425" t="s">
        <v>92</v>
      </c>
      <c r="T425" t="s">
        <v>2681</v>
      </c>
      <c r="U425" t="s">
        <v>12</v>
      </c>
      <c r="V425" t="s">
        <v>12</v>
      </c>
      <c r="W425" t="s">
        <v>12</v>
      </c>
      <c r="AA425" t="s">
        <v>92</v>
      </c>
      <c r="AB425" t="s">
        <v>92</v>
      </c>
      <c r="AC425" t="s">
        <v>12</v>
      </c>
      <c r="AD425" t="s">
        <v>92</v>
      </c>
      <c r="AE425" t="s">
        <v>119</v>
      </c>
      <c r="AF425" t="s">
        <v>2689</v>
      </c>
    </row>
    <row r="426" spans="1:32" x14ac:dyDescent="0.45">
      <c r="A426" t="s">
        <v>2690</v>
      </c>
      <c r="B426" t="s">
        <v>2691</v>
      </c>
      <c r="C426" t="s">
        <v>2692</v>
      </c>
      <c r="D426" t="s">
        <v>2693</v>
      </c>
      <c r="F426" t="s">
        <v>2694</v>
      </c>
      <c r="H426" t="s">
        <v>2695</v>
      </c>
      <c r="I426" t="s">
        <v>2696</v>
      </c>
      <c r="J426" t="s">
        <v>92</v>
      </c>
      <c r="K426" t="s">
        <v>12</v>
      </c>
      <c r="L426" t="s">
        <v>12</v>
      </c>
      <c r="M426" t="s">
        <v>182</v>
      </c>
      <c r="N426" t="s">
        <v>12</v>
      </c>
      <c r="O426" t="s">
        <v>12</v>
      </c>
      <c r="P426" t="s">
        <v>12</v>
      </c>
      <c r="Q426" t="s">
        <v>92</v>
      </c>
      <c r="R426" t="s">
        <v>182</v>
      </c>
      <c r="S426" t="s">
        <v>92</v>
      </c>
      <c r="T426" t="s">
        <v>2690</v>
      </c>
      <c r="U426" t="s">
        <v>12</v>
      </c>
      <c r="V426" t="s">
        <v>12</v>
      </c>
      <c r="W426" t="s">
        <v>2697</v>
      </c>
      <c r="AA426" t="s">
        <v>92</v>
      </c>
      <c r="AB426" t="s">
        <v>92</v>
      </c>
      <c r="AC426" t="s">
        <v>12</v>
      </c>
      <c r="AD426" t="s">
        <v>92</v>
      </c>
      <c r="AE426" t="s">
        <v>119</v>
      </c>
      <c r="AF426" t="s">
        <v>2698</v>
      </c>
    </row>
    <row r="427" spans="1:32" x14ac:dyDescent="0.45">
      <c r="A427" t="s">
        <v>2699</v>
      </c>
      <c r="B427" t="s">
        <v>2700</v>
      </c>
      <c r="C427" t="s">
        <v>2701</v>
      </c>
      <c r="D427" t="s">
        <v>2700</v>
      </c>
      <c r="E427" t="s">
        <v>2702</v>
      </c>
      <c r="F427" t="s">
        <v>2703</v>
      </c>
      <c r="H427" t="s">
        <v>2704</v>
      </c>
      <c r="J427" t="s">
        <v>92</v>
      </c>
      <c r="K427" t="s">
        <v>12</v>
      </c>
      <c r="L427" t="s">
        <v>12</v>
      </c>
      <c r="M427" t="s">
        <v>182</v>
      </c>
      <c r="N427" t="s">
        <v>12</v>
      </c>
      <c r="O427" t="s">
        <v>12</v>
      </c>
      <c r="P427" t="s">
        <v>12</v>
      </c>
      <c r="Q427" t="s">
        <v>92</v>
      </c>
      <c r="R427" t="s">
        <v>182</v>
      </c>
      <c r="S427" t="s">
        <v>92</v>
      </c>
      <c r="T427" t="s">
        <v>2699</v>
      </c>
      <c r="U427" t="s">
        <v>12</v>
      </c>
      <c r="V427" t="s">
        <v>12</v>
      </c>
      <c r="W427" t="s">
        <v>12</v>
      </c>
      <c r="AA427" t="s">
        <v>92</v>
      </c>
      <c r="AB427" t="s">
        <v>92</v>
      </c>
      <c r="AC427" t="s">
        <v>12</v>
      </c>
      <c r="AD427" t="s">
        <v>92</v>
      </c>
      <c r="AE427" t="s">
        <v>119</v>
      </c>
      <c r="AF427" t="s">
        <v>2705</v>
      </c>
    </row>
    <row r="428" spans="1:32" x14ac:dyDescent="0.45">
      <c r="A428" t="s">
        <v>2706</v>
      </c>
      <c r="B428" t="s">
        <v>2707</v>
      </c>
      <c r="C428" t="s">
        <v>2708</v>
      </c>
      <c r="D428" t="s">
        <v>2707</v>
      </c>
      <c r="E428" t="s">
        <v>2709</v>
      </c>
      <c r="F428" t="s">
        <v>2710</v>
      </c>
      <c r="H428" t="s">
        <v>2711</v>
      </c>
      <c r="I428" t="s">
        <v>2712</v>
      </c>
      <c r="J428" t="s">
        <v>92</v>
      </c>
      <c r="K428" t="s">
        <v>12</v>
      </c>
      <c r="L428" t="s">
        <v>12</v>
      </c>
      <c r="M428" t="s">
        <v>182</v>
      </c>
      <c r="N428" t="s">
        <v>12</v>
      </c>
      <c r="O428" t="s">
        <v>12</v>
      </c>
      <c r="P428" t="s">
        <v>12</v>
      </c>
      <c r="Q428" t="s">
        <v>92</v>
      </c>
      <c r="R428" t="s">
        <v>182</v>
      </c>
      <c r="S428" t="s">
        <v>92</v>
      </c>
      <c r="T428" t="s">
        <v>2706</v>
      </c>
      <c r="U428" t="s">
        <v>12</v>
      </c>
      <c r="V428" t="s">
        <v>12</v>
      </c>
      <c r="W428" t="s">
        <v>1424</v>
      </c>
      <c r="AA428" t="s">
        <v>92</v>
      </c>
      <c r="AB428" t="s">
        <v>92</v>
      </c>
      <c r="AC428" t="s">
        <v>12</v>
      </c>
      <c r="AD428" t="s">
        <v>92</v>
      </c>
      <c r="AE428" t="s">
        <v>119</v>
      </c>
      <c r="AF428" t="s">
        <v>2713</v>
      </c>
    </row>
    <row r="429" spans="1:32" x14ac:dyDescent="0.45">
      <c r="A429" t="s">
        <v>2714</v>
      </c>
      <c r="B429" t="s">
        <v>2715</v>
      </c>
      <c r="C429" t="s">
        <v>2716</v>
      </c>
      <c r="D429" t="s">
        <v>2707</v>
      </c>
      <c r="E429" t="s">
        <v>2709</v>
      </c>
      <c r="F429" t="s">
        <v>2710</v>
      </c>
      <c r="H429" t="s">
        <v>2711</v>
      </c>
      <c r="I429" t="s">
        <v>2712</v>
      </c>
      <c r="J429" t="s">
        <v>92</v>
      </c>
      <c r="K429" t="s">
        <v>12</v>
      </c>
      <c r="L429" t="s">
        <v>12</v>
      </c>
      <c r="M429" t="s">
        <v>182</v>
      </c>
      <c r="N429" t="s">
        <v>12</v>
      </c>
      <c r="O429" t="s">
        <v>12</v>
      </c>
      <c r="P429" t="s">
        <v>12</v>
      </c>
      <c r="Q429" t="s">
        <v>92</v>
      </c>
      <c r="R429" t="s">
        <v>182</v>
      </c>
      <c r="S429" t="s">
        <v>92</v>
      </c>
      <c r="T429" t="s">
        <v>2714</v>
      </c>
      <c r="U429" t="s">
        <v>12</v>
      </c>
      <c r="V429" t="s">
        <v>12</v>
      </c>
      <c r="W429" t="s">
        <v>1424</v>
      </c>
      <c r="AA429" t="s">
        <v>92</v>
      </c>
      <c r="AB429" t="s">
        <v>92</v>
      </c>
      <c r="AC429" t="s">
        <v>12</v>
      </c>
      <c r="AD429" t="s">
        <v>92</v>
      </c>
      <c r="AE429" t="s">
        <v>119</v>
      </c>
      <c r="AF429" t="s">
        <v>2717</v>
      </c>
    </row>
    <row r="430" spans="1:32" x14ac:dyDescent="0.45">
      <c r="A430" t="s">
        <v>2718</v>
      </c>
      <c r="B430" t="s">
        <v>2719</v>
      </c>
      <c r="C430" t="s">
        <v>2720</v>
      </c>
      <c r="D430" t="s">
        <v>2721</v>
      </c>
      <c r="E430" t="s">
        <v>2248</v>
      </c>
      <c r="F430" t="s">
        <v>2722</v>
      </c>
      <c r="G430" t="s">
        <v>2723</v>
      </c>
      <c r="H430" t="s">
        <v>2724</v>
      </c>
      <c r="I430" t="s">
        <v>2725</v>
      </c>
      <c r="J430" t="s">
        <v>92</v>
      </c>
      <c r="K430" t="s">
        <v>12</v>
      </c>
      <c r="L430" t="s">
        <v>12</v>
      </c>
      <c r="M430" t="s">
        <v>182</v>
      </c>
      <c r="N430" t="s">
        <v>12</v>
      </c>
      <c r="O430" t="s">
        <v>12</v>
      </c>
      <c r="P430" t="s">
        <v>12</v>
      </c>
      <c r="Q430" t="s">
        <v>92</v>
      </c>
      <c r="R430" t="s">
        <v>182</v>
      </c>
      <c r="S430" t="s">
        <v>92</v>
      </c>
      <c r="T430" t="s">
        <v>2718</v>
      </c>
      <c r="U430" t="s">
        <v>12</v>
      </c>
      <c r="V430" t="s">
        <v>12</v>
      </c>
      <c r="W430" t="s">
        <v>1697</v>
      </c>
      <c r="AA430" t="s">
        <v>92</v>
      </c>
      <c r="AB430" t="s">
        <v>92</v>
      </c>
      <c r="AC430" t="s">
        <v>12</v>
      </c>
      <c r="AD430" t="s">
        <v>92</v>
      </c>
      <c r="AE430" t="s">
        <v>130</v>
      </c>
      <c r="AF430" t="s">
        <v>2726</v>
      </c>
    </row>
    <row r="431" spans="1:32" x14ac:dyDescent="0.45">
      <c r="A431" t="s">
        <v>2727</v>
      </c>
      <c r="B431" t="s">
        <v>2728</v>
      </c>
      <c r="C431" t="s">
        <v>2729</v>
      </c>
      <c r="D431" t="s">
        <v>2730</v>
      </c>
      <c r="E431" t="s">
        <v>2731</v>
      </c>
      <c r="F431" t="s">
        <v>2732</v>
      </c>
      <c r="G431" t="s">
        <v>2733</v>
      </c>
      <c r="H431" t="s">
        <v>2734</v>
      </c>
      <c r="I431" t="s">
        <v>2734</v>
      </c>
      <c r="J431" t="s">
        <v>92</v>
      </c>
      <c r="K431" t="s">
        <v>12</v>
      </c>
      <c r="L431" t="s">
        <v>12</v>
      </c>
      <c r="M431" t="s">
        <v>182</v>
      </c>
      <c r="N431" t="s">
        <v>12</v>
      </c>
      <c r="O431" t="s">
        <v>12</v>
      </c>
      <c r="P431" t="s">
        <v>12</v>
      </c>
      <c r="Q431" t="s">
        <v>92</v>
      </c>
      <c r="R431" t="s">
        <v>182</v>
      </c>
      <c r="S431" t="s">
        <v>92</v>
      </c>
      <c r="T431" t="s">
        <v>2727</v>
      </c>
      <c r="U431" t="s">
        <v>12</v>
      </c>
      <c r="V431" t="s">
        <v>12</v>
      </c>
      <c r="W431" t="s">
        <v>12</v>
      </c>
      <c r="AA431" t="s">
        <v>92</v>
      </c>
      <c r="AB431" t="s">
        <v>92</v>
      </c>
      <c r="AC431" t="s">
        <v>12</v>
      </c>
      <c r="AD431" t="s">
        <v>92</v>
      </c>
      <c r="AE431" t="s">
        <v>130</v>
      </c>
      <c r="AF431" t="s">
        <v>2735</v>
      </c>
    </row>
    <row r="432" spans="1:32" x14ac:dyDescent="0.45">
      <c r="A432" t="s">
        <v>2736</v>
      </c>
      <c r="B432" t="s">
        <v>2737</v>
      </c>
      <c r="C432" t="s">
        <v>2738</v>
      </c>
      <c r="D432" t="s">
        <v>2737</v>
      </c>
      <c r="E432" t="s">
        <v>2739</v>
      </c>
      <c r="F432" t="s">
        <v>2740</v>
      </c>
      <c r="H432" t="s">
        <v>2741</v>
      </c>
      <c r="I432" t="s">
        <v>2742</v>
      </c>
      <c r="J432" t="s">
        <v>92</v>
      </c>
      <c r="K432" t="s">
        <v>12</v>
      </c>
      <c r="L432" t="s">
        <v>12</v>
      </c>
      <c r="M432" t="s">
        <v>182</v>
      </c>
      <c r="N432" t="s">
        <v>12</v>
      </c>
      <c r="O432" t="s">
        <v>12</v>
      </c>
      <c r="P432" t="s">
        <v>12</v>
      </c>
      <c r="Q432" t="s">
        <v>92</v>
      </c>
      <c r="R432" t="s">
        <v>182</v>
      </c>
      <c r="S432" t="s">
        <v>92</v>
      </c>
      <c r="T432" t="s">
        <v>2736</v>
      </c>
      <c r="U432" t="s">
        <v>12</v>
      </c>
      <c r="V432" t="s">
        <v>12</v>
      </c>
      <c r="W432" t="s">
        <v>12</v>
      </c>
      <c r="AA432" t="s">
        <v>12</v>
      </c>
      <c r="AB432" t="s">
        <v>12</v>
      </c>
      <c r="AC432" t="s">
        <v>12</v>
      </c>
      <c r="AD432" t="s">
        <v>92</v>
      </c>
      <c r="AE432" t="s">
        <v>166</v>
      </c>
      <c r="AF432" t="s">
        <v>2743</v>
      </c>
    </row>
    <row r="433" spans="1:32" x14ac:dyDescent="0.45">
      <c r="A433" t="s">
        <v>204</v>
      </c>
      <c r="B433" t="s">
        <v>2744</v>
      </c>
      <c r="C433" t="s">
        <v>2745</v>
      </c>
      <c r="D433" t="s">
        <v>2746</v>
      </c>
      <c r="E433" t="s">
        <v>2747</v>
      </c>
      <c r="F433" t="s">
        <v>2748</v>
      </c>
      <c r="H433" t="s">
        <v>2749</v>
      </c>
      <c r="I433" t="s">
        <v>2750</v>
      </c>
      <c r="J433" t="s">
        <v>92</v>
      </c>
      <c r="K433" t="s">
        <v>12</v>
      </c>
      <c r="L433" t="s">
        <v>12</v>
      </c>
      <c r="M433" t="s">
        <v>182</v>
      </c>
      <c r="N433" t="s">
        <v>12</v>
      </c>
      <c r="O433" t="s">
        <v>12</v>
      </c>
      <c r="P433" t="s">
        <v>12</v>
      </c>
      <c r="Q433" t="s">
        <v>92</v>
      </c>
      <c r="R433" t="s">
        <v>12</v>
      </c>
      <c r="S433" t="s">
        <v>92</v>
      </c>
      <c r="T433" t="s">
        <v>204</v>
      </c>
      <c r="U433" t="s">
        <v>12</v>
      </c>
      <c r="V433" t="s">
        <v>12</v>
      </c>
      <c r="W433" t="s">
        <v>1697</v>
      </c>
      <c r="AA433" t="s">
        <v>12</v>
      </c>
      <c r="AB433" t="s">
        <v>12</v>
      </c>
      <c r="AC433" t="s">
        <v>12</v>
      </c>
      <c r="AD433" t="s">
        <v>92</v>
      </c>
      <c r="AE433" t="s">
        <v>119</v>
      </c>
      <c r="AF433" t="s">
        <v>2751</v>
      </c>
    </row>
    <row r="434" spans="1:32" x14ac:dyDescent="0.45">
      <c r="A434" t="s">
        <v>2752</v>
      </c>
      <c r="B434" t="s">
        <v>2753</v>
      </c>
      <c r="C434" t="s">
        <v>2754</v>
      </c>
      <c r="D434" t="s">
        <v>2755</v>
      </c>
      <c r="E434" t="s">
        <v>2747</v>
      </c>
      <c r="F434" t="s">
        <v>2748</v>
      </c>
      <c r="H434" t="s">
        <v>2749</v>
      </c>
      <c r="I434" t="s">
        <v>2750</v>
      </c>
      <c r="J434" t="s">
        <v>92</v>
      </c>
      <c r="K434" t="s">
        <v>12</v>
      </c>
      <c r="L434" t="s">
        <v>12</v>
      </c>
      <c r="M434" t="s">
        <v>182</v>
      </c>
      <c r="N434" t="s">
        <v>12</v>
      </c>
      <c r="O434" t="s">
        <v>12</v>
      </c>
      <c r="P434" t="s">
        <v>12</v>
      </c>
      <c r="Q434" t="s">
        <v>92</v>
      </c>
      <c r="R434" t="s">
        <v>12</v>
      </c>
      <c r="S434" t="s">
        <v>92</v>
      </c>
      <c r="T434" t="s">
        <v>2752</v>
      </c>
      <c r="U434" t="s">
        <v>12</v>
      </c>
      <c r="V434" t="s">
        <v>12</v>
      </c>
      <c r="W434" t="s">
        <v>12</v>
      </c>
      <c r="AA434" t="s">
        <v>92</v>
      </c>
      <c r="AB434" t="s">
        <v>12</v>
      </c>
      <c r="AC434" t="s">
        <v>12</v>
      </c>
      <c r="AD434" t="s">
        <v>92</v>
      </c>
      <c r="AE434" t="s">
        <v>119</v>
      </c>
      <c r="AF434" t="s">
        <v>2756</v>
      </c>
    </row>
    <row r="435" spans="1:32" x14ac:dyDescent="0.45">
      <c r="A435" t="s">
        <v>2757</v>
      </c>
      <c r="B435" t="s">
        <v>2758</v>
      </c>
      <c r="C435" t="s">
        <v>2759</v>
      </c>
      <c r="D435" t="s">
        <v>2760</v>
      </c>
      <c r="E435" t="s">
        <v>2747</v>
      </c>
      <c r="F435" t="s">
        <v>2748</v>
      </c>
      <c r="H435" t="s">
        <v>2749</v>
      </c>
      <c r="I435" t="s">
        <v>2750</v>
      </c>
      <c r="J435" t="s">
        <v>92</v>
      </c>
      <c r="K435" t="s">
        <v>12</v>
      </c>
      <c r="L435" t="s">
        <v>12</v>
      </c>
      <c r="M435" t="s">
        <v>182</v>
      </c>
      <c r="N435" t="s">
        <v>12</v>
      </c>
      <c r="O435" t="s">
        <v>12</v>
      </c>
      <c r="P435" t="s">
        <v>12</v>
      </c>
      <c r="Q435" t="s">
        <v>92</v>
      </c>
      <c r="R435" t="s">
        <v>12</v>
      </c>
      <c r="S435" t="s">
        <v>92</v>
      </c>
      <c r="T435" t="s">
        <v>2757</v>
      </c>
      <c r="U435" t="s">
        <v>12</v>
      </c>
      <c r="V435" t="s">
        <v>12</v>
      </c>
      <c r="W435" t="s">
        <v>12</v>
      </c>
      <c r="AA435" t="s">
        <v>92</v>
      </c>
      <c r="AB435" t="s">
        <v>12</v>
      </c>
      <c r="AC435" t="s">
        <v>12</v>
      </c>
      <c r="AD435" t="s">
        <v>92</v>
      </c>
      <c r="AE435" t="s">
        <v>119</v>
      </c>
      <c r="AF435" t="s">
        <v>2761</v>
      </c>
    </row>
    <row r="436" spans="1:32" x14ac:dyDescent="0.45">
      <c r="A436" t="s">
        <v>2762</v>
      </c>
      <c r="B436" t="s">
        <v>2763</v>
      </c>
      <c r="C436" t="s">
        <v>2764</v>
      </c>
      <c r="D436" t="s">
        <v>2765</v>
      </c>
      <c r="E436" t="s">
        <v>2747</v>
      </c>
      <c r="F436" t="s">
        <v>2748</v>
      </c>
      <c r="H436" t="s">
        <v>2749</v>
      </c>
      <c r="I436" t="s">
        <v>2750</v>
      </c>
      <c r="J436" t="s">
        <v>92</v>
      </c>
      <c r="K436" t="s">
        <v>12</v>
      </c>
      <c r="L436" t="s">
        <v>12</v>
      </c>
      <c r="M436" t="s">
        <v>182</v>
      </c>
      <c r="N436" t="s">
        <v>12</v>
      </c>
      <c r="O436" t="s">
        <v>12</v>
      </c>
      <c r="P436" t="s">
        <v>12</v>
      </c>
      <c r="Q436" t="s">
        <v>92</v>
      </c>
      <c r="R436" t="s">
        <v>12</v>
      </c>
      <c r="S436" t="s">
        <v>92</v>
      </c>
      <c r="T436" t="s">
        <v>2762</v>
      </c>
      <c r="U436" t="s">
        <v>12</v>
      </c>
      <c r="V436" t="s">
        <v>12</v>
      </c>
      <c r="W436" t="s">
        <v>12</v>
      </c>
      <c r="AA436" t="s">
        <v>12</v>
      </c>
      <c r="AB436" t="s">
        <v>12</v>
      </c>
      <c r="AC436" t="s">
        <v>12</v>
      </c>
      <c r="AD436" t="s">
        <v>92</v>
      </c>
      <c r="AE436" t="s">
        <v>119</v>
      </c>
      <c r="AF436" t="s">
        <v>2766</v>
      </c>
    </row>
    <row r="437" spans="1:32" x14ac:dyDescent="0.45">
      <c r="A437" t="s">
        <v>2767</v>
      </c>
      <c r="B437" t="s">
        <v>2768</v>
      </c>
      <c r="C437" t="s">
        <v>2764</v>
      </c>
      <c r="D437" t="s">
        <v>2769</v>
      </c>
      <c r="E437" t="s">
        <v>2747</v>
      </c>
      <c r="F437" t="s">
        <v>2748</v>
      </c>
      <c r="H437" t="s">
        <v>2749</v>
      </c>
      <c r="I437" t="s">
        <v>2750</v>
      </c>
      <c r="J437" t="s">
        <v>92</v>
      </c>
      <c r="K437" t="s">
        <v>12</v>
      </c>
      <c r="L437" t="s">
        <v>12</v>
      </c>
      <c r="M437" t="s">
        <v>182</v>
      </c>
      <c r="N437" t="s">
        <v>12</v>
      </c>
      <c r="O437" t="s">
        <v>12</v>
      </c>
      <c r="P437" t="s">
        <v>12</v>
      </c>
      <c r="Q437" t="s">
        <v>92</v>
      </c>
      <c r="R437" t="s">
        <v>12</v>
      </c>
      <c r="S437" t="s">
        <v>92</v>
      </c>
      <c r="T437" t="s">
        <v>2767</v>
      </c>
      <c r="U437" t="s">
        <v>12</v>
      </c>
      <c r="V437" t="s">
        <v>12</v>
      </c>
      <c r="W437" t="s">
        <v>12</v>
      </c>
      <c r="AA437" t="s">
        <v>92</v>
      </c>
      <c r="AB437" t="s">
        <v>12</v>
      </c>
      <c r="AC437" t="s">
        <v>12</v>
      </c>
      <c r="AD437" t="s">
        <v>92</v>
      </c>
      <c r="AE437" t="s">
        <v>119</v>
      </c>
      <c r="AF437" t="s">
        <v>2770</v>
      </c>
    </row>
    <row r="438" spans="1:32" x14ac:dyDescent="0.45">
      <c r="A438" t="s">
        <v>2771</v>
      </c>
      <c r="B438" t="s">
        <v>2772</v>
      </c>
      <c r="C438" t="s">
        <v>2773</v>
      </c>
      <c r="D438" t="s">
        <v>2774</v>
      </c>
      <c r="E438" t="s">
        <v>2747</v>
      </c>
      <c r="F438" t="s">
        <v>2748</v>
      </c>
      <c r="H438" t="s">
        <v>2749</v>
      </c>
      <c r="I438" t="s">
        <v>2750</v>
      </c>
      <c r="J438" t="s">
        <v>92</v>
      </c>
      <c r="K438" t="s">
        <v>12</v>
      </c>
      <c r="L438" t="s">
        <v>12</v>
      </c>
      <c r="M438" t="s">
        <v>182</v>
      </c>
      <c r="N438" t="s">
        <v>12</v>
      </c>
      <c r="O438" t="s">
        <v>12</v>
      </c>
      <c r="P438" t="s">
        <v>12</v>
      </c>
      <c r="Q438" t="s">
        <v>92</v>
      </c>
      <c r="R438" t="s">
        <v>12</v>
      </c>
      <c r="S438" t="s">
        <v>92</v>
      </c>
      <c r="T438" t="s">
        <v>2771</v>
      </c>
      <c r="U438" t="s">
        <v>12</v>
      </c>
      <c r="V438" t="s">
        <v>12</v>
      </c>
      <c r="W438" t="s">
        <v>12</v>
      </c>
      <c r="AA438" t="s">
        <v>92</v>
      </c>
      <c r="AB438" t="s">
        <v>92</v>
      </c>
      <c r="AC438" t="s">
        <v>12</v>
      </c>
      <c r="AD438" t="s">
        <v>92</v>
      </c>
      <c r="AE438" t="s">
        <v>119</v>
      </c>
      <c r="AF438" t="s">
        <v>2775</v>
      </c>
    </row>
    <row r="439" spans="1:32" x14ac:dyDescent="0.45">
      <c r="A439" t="s">
        <v>2776</v>
      </c>
      <c r="B439" t="s">
        <v>2777</v>
      </c>
      <c r="C439" t="s">
        <v>2778</v>
      </c>
      <c r="D439" t="s">
        <v>2774</v>
      </c>
      <c r="E439" t="s">
        <v>2747</v>
      </c>
      <c r="F439" t="s">
        <v>2748</v>
      </c>
      <c r="H439" t="s">
        <v>2749</v>
      </c>
      <c r="I439" t="s">
        <v>2750</v>
      </c>
      <c r="J439" t="s">
        <v>92</v>
      </c>
      <c r="K439" t="s">
        <v>12</v>
      </c>
      <c r="L439" t="s">
        <v>12</v>
      </c>
      <c r="M439" t="s">
        <v>182</v>
      </c>
      <c r="N439" t="s">
        <v>12</v>
      </c>
      <c r="O439" t="s">
        <v>12</v>
      </c>
      <c r="P439" t="s">
        <v>12</v>
      </c>
      <c r="Q439" t="s">
        <v>92</v>
      </c>
      <c r="R439" t="s">
        <v>12</v>
      </c>
      <c r="S439" t="s">
        <v>92</v>
      </c>
      <c r="T439" t="s">
        <v>2776</v>
      </c>
      <c r="U439" t="s">
        <v>12</v>
      </c>
      <c r="V439" t="s">
        <v>12</v>
      </c>
      <c r="W439" t="s">
        <v>12</v>
      </c>
      <c r="AA439" t="s">
        <v>92</v>
      </c>
      <c r="AB439" t="s">
        <v>12</v>
      </c>
      <c r="AC439" t="s">
        <v>12</v>
      </c>
      <c r="AD439" t="s">
        <v>92</v>
      </c>
      <c r="AE439" t="s">
        <v>119</v>
      </c>
      <c r="AF439" t="s">
        <v>2779</v>
      </c>
    </row>
    <row r="440" spans="1:32" x14ac:dyDescent="0.45">
      <c r="A440" t="s">
        <v>2780</v>
      </c>
      <c r="B440" t="s">
        <v>2781</v>
      </c>
      <c r="C440" t="s">
        <v>2778</v>
      </c>
      <c r="D440" t="s">
        <v>2782</v>
      </c>
      <c r="E440" t="s">
        <v>2747</v>
      </c>
      <c r="F440" t="s">
        <v>2748</v>
      </c>
      <c r="H440" t="s">
        <v>2749</v>
      </c>
      <c r="I440" t="s">
        <v>2750</v>
      </c>
      <c r="J440" t="s">
        <v>92</v>
      </c>
      <c r="K440" t="s">
        <v>12</v>
      </c>
      <c r="L440" t="s">
        <v>12</v>
      </c>
      <c r="M440" t="s">
        <v>182</v>
      </c>
      <c r="N440" t="s">
        <v>12</v>
      </c>
      <c r="O440" t="s">
        <v>12</v>
      </c>
      <c r="P440" t="s">
        <v>12</v>
      </c>
      <c r="Q440" t="s">
        <v>92</v>
      </c>
      <c r="R440" t="s">
        <v>12</v>
      </c>
      <c r="S440" t="s">
        <v>92</v>
      </c>
      <c r="T440" t="s">
        <v>2780</v>
      </c>
      <c r="U440" t="s">
        <v>12</v>
      </c>
      <c r="V440" t="s">
        <v>12</v>
      </c>
      <c r="W440" t="s">
        <v>12</v>
      </c>
      <c r="AA440" t="s">
        <v>92</v>
      </c>
      <c r="AB440" t="s">
        <v>12</v>
      </c>
      <c r="AC440" t="s">
        <v>12</v>
      </c>
      <c r="AD440" t="s">
        <v>92</v>
      </c>
      <c r="AE440" t="s">
        <v>119</v>
      </c>
      <c r="AF440" t="s">
        <v>2783</v>
      </c>
    </row>
    <row r="441" spans="1:32" x14ac:dyDescent="0.45">
      <c r="A441" t="s">
        <v>2784</v>
      </c>
      <c r="B441" t="s">
        <v>2785</v>
      </c>
      <c r="C441" t="s">
        <v>2786</v>
      </c>
      <c r="D441" t="s">
        <v>2787</v>
      </c>
      <c r="E441" t="s">
        <v>2788</v>
      </c>
      <c r="F441" t="s">
        <v>2789</v>
      </c>
      <c r="G441" t="s">
        <v>2790</v>
      </c>
      <c r="H441" t="s">
        <v>2791</v>
      </c>
      <c r="I441" t="s">
        <v>2791</v>
      </c>
      <c r="J441" t="s">
        <v>92</v>
      </c>
      <c r="K441" t="s">
        <v>12</v>
      </c>
      <c r="L441" t="s">
        <v>12</v>
      </c>
      <c r="M441" t="s">
        <v>182</v>
      </c>
      <c r="N441" t="s">
        <v>12</v>
      </c>
      <c r="O441" t="s">
        <v>12</v>
      </c>
      <c r="P441" t="s">
        <v>12</v>
      </c>
      <c r="Q441" t="s">
        <v>92</v>
      </c>
      <c r="R441" t="s">
        <v>182</v>
      </c>
      <c r="S441" t="s">
        <v>92</v>
      </c>
      <c r="T441" t="s">
        <v>2784</v>
      </c>
      <c r="U441" t="s">
        <v>12</v>
      </c>
      <c r="V441" t="s">
        <v>12</v>
      </c>
      <c r="W441" t="s">
        <v>12</v>
      </c>
      <c r="AA441" t="s">
        <v>92</v>
      </c>
      <c r="AB441" t="s">
        <v>92</v>
      </c>
      <c r="AC441" t="s">
        <v>12</v>
      </c>
      <c r="AD441" t="s">
        <v>92</v>
      </c>
      <c r="AE441" t="s">
        <v>166</v>
      </c>
      <c r="AF441" t="s">
        <v>2792</v>
      </c>
    </row>
    <row r="442" spans="1:32" x14ac:dyDescent="0.45">
      <c r="A442" t="s">
        <v>2793</v>
      </c>
      <c r="B442" t="s">
        <v>2794</v>
      </c>
      <c r="C442" t="s">
        <v>2795</v>
      </c>
      <c r="D442" t="s">
        <v>2794</v>
      </c>
      <c r="E442" t="s">
        <v>1416</v>
      </c>
      <c r="F442" t="s">
        <v>2796</v>
      </c>
      <c r="H442" t="s">
        <v>2797</v>
      </c>
      <c r="I442" t="s">
        <v>2798</v>
      </c>
      <c r="J442" t="s">
        <v>92</v>
      </c>
      <c r="K442" t="s">
        <v>12</v>
      </c>
      <c r="L442" t="s">
        <v>12</v>
      </c>
      <c r="M442" t="s">
        <v>182</v>
      </c>
      <c r="N442" t="s">
        <v>12</v>
      </c>
      <c r="O442" t="s">
        <v>12</v>
      </c>
      <c r="P442" t="s">
        <v>12</v>
      </c>
      <c r="Q442" t="s">
        <v>92</v>
      </c>
      <c r="R442" t="s">
        <v>182</v>
      </c>
      <c r="S442" t="s">
        <v>92</v>
      </c>
      <c r="T442" t="s">
        <v>2793</v>
      </c>
      <c r="U442" t="s">
        <v>12</v>
      </c>
      <c r="V442" t="s">
        <v>12</v>
      </c>
      <c r="W442" t="s">
        <v>1420</v>
      </c>
      <c r="AA442" t="s">
        <v>92</v>
      </c>
      <c r="AB442" t="s">
        <v>92</v>
      </c>
      <c r="AC442" t="s">
        <v>12</v>
      </c>
      <c r="AD442" t="s">
        <v>92</v>
      </c>
      <c r="AE442" t="s">
        <v>119</v>
      </c>
      <c r="AF442" t="s">
        <v>2799</v>
      </c>
    </row>
    <row r="443" spans="1:32" x14ac:dyDescent="0.45">
      <c r="A443" t="s">
        <v>2800</v>
      </c>
      <c r="B443" t="s">
        <v>2801</v>
      </c>
      <c r="C443" t="s">
        <v>2802</v>
      </c>
      <c r="D443" t="s">
        <v>2794</v>
      </c>
      <c r="E443" t="s">
        <v>1416</v>
      </c>
      <c r="F443" t="s">
        <v>2796</v>
      </c>
      <c r="H443" t="s">
        <v>2797</v>
      </c>
      <c r="I443" t="s">
        <v>2798</v>
      </c>
      <c r="J443" t="s">
        <v>92</v>
      </c>
      <c r="K443" t="s">
        <v>12</v>
      </c>
      <c r="L443" t="s">
        <v>12</v>
      </c>
      <c r="M443" t="s">
        <v>182</v>
      </c>
      <c r="N443" t="s">
        <v>12</v>
      </c>
      <c r="O443" t="s">
        <v>12</v>
      </c>
      <c r="P443" t="s">
        <v>12</v>
      </c>
      <c r="Q443" t="s">
        <v>92</v>
      </c>
      <c r="R443" t="s">
        <v>182</v>
      </c>
      <c r="S443" t="s">
        <v>92</v>
      </c>
      <c r="T443" t="s">
        <v>2800</v>
      </c>
      <c r="U443" t="s">
        <v>12</v>
      </c>
      <c r="V443" t="s">
        <v>12</v>
      </c>
      <c r="W443" t="s">
        <v>1420</v>
      </c>
      <c r="AA443" t="s">
        <v>92</v>
      </c>
      <c r="AB443" t="s">
        <v>92</v>
      </c>
      <c r="AC443" t="s">
        <v>12</v>
      </c>
      <c r="AD443" t="s">
        <v>92</v>
      </c>
      <c r="AE443" t="s">
        <v>119</v>
      </c>
      <c r="AF443" t="s">
        <v>2803</v>
      </c>
    </row>
    <row r="444" spans="1:32" x14ac:dyDescent="0.45">
      <c r="A444" t="s">
        <v>2804</v>
      </c>
      <c r="B444" t="s">
        <v>2805</v>
      </c>
      <c r="C444" t="s">
        <v>2806</v>
      </c>
      <c r="D444" t="s">
        <v>2807</v>
      </c>
      <c r="E444" t="s">
        <v>2808</v>
      </c>
      <c r="F444" t="s">
        <v>2809</v>
      </c>
      <c r="H444" t="s">
        <v>2810</v>
      </c>
      <c r="I444" t="s">
        <v>2811</v>
      </c>
      <c r="J444" t="s">
        <v>92</v>
      </c>
      <c r="K444" t="s">
        <v>12</v>
      </c>
      <c r="L444" t="s">
        <v>12</v>
      </c>
      <c r="M444" t="s">
        <v>182</v>
      </c>
      <c r="N444" t="s">
        <v>12</v>
      </c>
      <c r="O444" t="s">
        <v>12</v>
      </c>
      <c r="P444" t="s">
        <v>12</v>
      </c>
      <c r="Q444" t="s">
        <v>92</v>
      </c>
      <c r="R444" t="s">
        <v>182</v>
      </c>
      <c r="S444" t="s">
        <v>92</v>
      </c>
      <c r="T444" t="s">
        <v>2804</v>
      </c>
      <c r="U444" t="s">
        <v>12</v>
      </c>
      <c r="V444" t="s">
        <v>12</v>
      </c>
      <c r="W444" t="s">
        <v>1646</v>
      </c>
      <c r="AA444" t="s">
        <v>92</v>
      </c>
      <c r="AB444" t="s">
        <v>92</v>
      </c>
      <c r="AC444" t="s">
        <v>12</v>
      </c>
      <c r="AD444" t="s">
        <v>92</v>
      </c>
      <c r="AE444" t="s">
        <v>119</v>
      </c>
      <c r="AF444" t="s">
        <v>2812</v>
      </c>
    </row>
    <row r="445" spans="1:32" x14ac:dyDescent="0.45">
      <c r="A445" t="s">
        <v>2813</v>
      </c>
      <c r="B445" t="s">
        <v>2814</v>
      </c>
      <c r="C445" t="s">
        <v>2815</v>
      </c>
      <c r="D445" t="s">
        <v>2816</v>
      </c>
      <c r="E445" t="s">
        <v>1749</v>
      </c>
      <c r="F445" t="s">
        <v>2817</v>
      </c>
      <c r="H445" t="s">
        <v>1752</v>
      </c>
      <c r="I445" t="s">
        <v>1757</v>
      </c>
      <c r="J445" t="s">
        <v>92</v>
      </c>
      <c r="K445" t="s">
        <v>12</v>
      </c>
      <c r="L445" t="s">
        <v>12</v>
      </c>
      <c r="M445" t="s">
        <v>182</v>
      </c>
      <c r="N445" t="s">
        <v>12</v>
      </c>
      <c r="O445" t="s">
        <v>12</v>
      </c>
      <c r="P445" t="s">
        <v>12</v>
      </c>
      <c r="Q445" t="s">
        <v>92</v>
      </c>
      <c r="R445" t="s">
        <v>182</v>
      </c>
      <c r="S445" t="s">
        <v>92</v>
      </c>
      <c r="T445" t="s">
        <v>2813</v>
      </c>
      <c r="U445" t="s">
        <v>12</v>
      </c>
      <c r="V445" t="s">
        <v>12</v>
      </c>
      <c r="W445" t="s">
        <v>12</v>
      </c>
      <c r="AA445" t="s">
        <v>92</v>
      </c>
      <c r="AB445" t="s">
        <v>92</v>
      </c>
      <c r="AC445" t="s">
        <v>12</v>
      </c>
      <c r="AD445" t="s">
        <v>92</v>
      </c>
      <c r="AE445" t="s">
        <v>119</v>
      </c>
      <c r="AF445" t="s">
        <v>2818</v>
      </c>
    </row>
    <row r="446" spans="1:32" x14ac:dyDescent="0.45">
      <c r="A446" t="s">
        <v>2819</v>
      </c>
      <c r="B446" t="s">
        <v>2820</v>
      </c>
      <c r="C446" t="s">
        <v>2821</v>
      </c>
      <c r="D446" t="s">
        <v>2820</v>
      </c>
      <c r="E446" t="s">
        <v>2822</v>
      </c>
      <c r="F446" t="s">
        <v>2823</v>
      </c>
      <c r="H446" t="s">
        <v>2824</v>
      </c>
      <c r="I446" t="s">
        <v>2825</v>
      </c>
      <c r="J446" t="s">
        <v>92</v>
      </c>
      <c r="K446" t="s">
        <v>12</v>
      </c>
      <c r="L446" t="s">
        <v>12</v>
      </c>
      <c r="M446" t="s">
        <v>182</v>
      </c>
      <c r="N446" t="s">
        <v>12</v>
      </c>
      <c r="O446" t="s">
        <v>12</v>
      </c>
      <c r="P446" t="s">
        <v>12</v>
      </c>
      <c r="Q446" t="s">
        <v>92</v>
      </c>
      <c r="R446" t="s">
        <v>182</v>
      </c>
      <c r="S446" t="s">
        <v>92</v>
      </c>
      <c r="T446" t="s">
        <v>2819</v>
      </c>
      <c r="U446" t="s">
        <v>12</v>
      </c>
      <c r="V446" t="s">
        <v>12</v>
      </c>
      <c r="W446" t="s">
        <v>12</v>
      </c>
      <c r="AA446" t="s">
        <v>92</v>
      </c>
      <c r="AB446" t="s">
        <v>92</v>
      </c>
      <c r="AC446" t="s">
        <v>12</v>
      </c>
      <c r="AD446" t="s">
        <v>92</v>
      </c>
      <c r="AE446" t="s">
        <v>119</v>
      </c>
      <c r="AF446" t="s">
        <v>2826</v>
      </c>
    </row>
    <row r="447" spans="1:32" x14ac:dyDescent="0.45">
      <c r="A447" t="s">
        <v>2827</v>
      </c>
      <c r="B447" t="s">
        <v>2828</v>
      </c>
      <c r="C447" t="s">
        <v>2829</v>
      </c>
      <c r="D447" t="s">
        <v>2828</v>
      </c>
      <c r="E447" t="s">
        <v>1416</v>
      </c>
      <c r="F447" t="s">
        <v>2830</v>
      </c>
      <c r="G447" t="s">
        <v>2831</v>
      </c>
      <c r="H447" t="s">
        <v>2832</v>
      </c>
      <c r="I447" t="s">
        <v>2832</v>
      </c>
      <c r="J447" t="s">
        <v>92</v>
      </c>
      <c r="K447" t="s">
        <v>12</v>
      </c>
      <c r="L447" t="s">
        <v>12</v>
      </c>
      <c r="M447" t="s">
        <v>182</v>
      </c>
      <c r="N447" t="s">
        <v>12</v>
      </c>
      <c r="O447" t="s">
        <v>12</v>
      </c>
      <c r="P447" t="s">
        <v>12</v>
      </c>
      <c r="Q447" t="s">
        <v>92</v>
      </c>
      <c r="R447" t="s">
        <v>182</v>
      </c>
      <c r="S447" t="s">
        <v>92</v>
      </c>
      <c r="T447" t="s">
        <v>2827</v>
      </c>
      <c r="U447" t="s">
        <v>12</v>
      </c>
      <c r="V447" t="s">
        <v>12</v>
      </c>
      <c r="W447" t="s">
        <v>1571</v>
      </c>
      <c r="AA447" t="s">
        <v>92</v>
      </c>
      <c r="AB447" t="s">
        <v>92</v>
      </c>
      <c r="AC447" t="s">
        <v>12</v>
      </c>
      <c r="AD447" t="s">
        <v>92</v>
      </c>
      <c r="AE447" t="s">
        <v>119</v>
      </c>
      <c r="AF447" t="s">
        <v>2833</v>
      </c>
    </row>
    <row r="448" spans="1:32" x14ac:dyDescent="0.45">
      <c r="A448" t="s">
        <v>2834</v>
      </c>
      <c r="B448" t="s">
        <v>2835</v>
      </c>
      <c r="C448" t="s">
        <v>2836</v>
      </c>
      <c r="D448" t="s">
        <v>2835</v>
      </c>
      <c r="E448" t="s">
        <v>1416</v>
      </c>
      <c r="F448" t="s">
        <v>2830</v>
      </c>
      <c r="G448" t="s">
        <v>2831</v>
      </c>
      <c r="H448" t="s">
        <v>2837</v>
      </c>
      <c r="J448" t="s">
        <v>92</v>
      </c>
      <c r="K448" t="s">
        <v>12</v>
      </c>
      <c r="L448" t="s">
        <v>12</v>
      </c>
      <c r="M448" t="s">
        <v>182</v>
      </c>
      <c r="N448" t="s">
        <v>12</v>
      </c>
      <c r="O448" t="s">
        <v>12</v>
      </c>
      <c r="P448" t="s">
        <v>12</v>
      </c>
      <c r="Q448" t="s">
        <v>92</v>
      </c>
      <c r="R448" t="s">
        <v>182</v>
      </c>
      <c r="S448" t="s">
        <v>92</v>
      </c>
      <c r="T448" t="s">
        <v>2834</v>
      </c>
      <c r="U448" t="s">
        <v>12</v>
      </c>
      <c r="V448" t="s">
        <v>12</v>
      </c>
      <c r="W448" t="s">
        <v>1424</v>
      </c>
      <c r="AA448" t="s">
        <v>92</v>
      </c>
      <c r="AB448" t="s">
        <v>92</v>
      </c>
      <c r="AC448" t="s">
        <v>12</v>
      </c>
      <c r="AD448" t="s">
        <v>92</v>
      </c>
      <c r="AE448" t="s">
        <v>166</v>
      </c>
      <c r="AF448" t="s">
        <v>2838</v>
      </c>
    </row>
    <row r="449" spans="1:32" x14ac:dyDescent="0.45">
      <c r="A449" t="s">
        <v>2839</v>
      </c>
      <c r="B449" t="s">
        <v>2840</v>
      </c>
      <c r="C449" t="s">
        <v>2841</v>
      </c>
      <c r="D449" t="s">
        <v>2840</v>
      </c>
      <c r="E449" t="s">
        <v>2842</v>
      </c>
      <c r="F449" t="s">
        <v>2843</v>
      </c>
      <c r="H449" t="s">
        <v>2844</v>
      </c>
      <c r="I449" t="s">
        <v>2845</v>
      </c>
      <c r="J449" t="s">
        <v>92</v>
      </c>
      <c r="K449" t="s">
        <v>12</v>
      </c>
      <c r="L449" t="s">
        <v>12</v>
      </c>
      <c r="M449" t="s">
        <v>182</v>
      </c>
      <c r="N449" t="s">
        <v>12</v>
      </c>
      <c r="O449" t="s">
        <v>12</v>
      </c>
      <c r="P449" t="s">
        <v>12</v>
      </c>
      <c r="Q449" t="s">
        <v>92</v>
      </c>
      <c r="R449" t="s">
        <v>182</v>
      </c>
      <c r="S449" t="s">
        <v>92</v>
      </c>
      <c r="T449" t="s">
        <v>2839</v>
      </c>
      <c r="U449" t="s">
        <v>12</v>
      </c>
      <c r="V449" t="s">
        <v>12</v>
      </c>
      <c r="W449" t="s">
        <v>12</v>
      </c>
      <c r="AA449" t="s">
        <v>92</v>
      </c>
      <c r="AB449" t="s">
        <v>92</v>
      </c>
      <c r="AC449" t="s">
        <v>12</v>
      </c>
      <c r="AD449" t="s">
        <v>92</v>
      </c>
      <c r="AE449" t="s">
        <v>119</v>
      </c>
      <c r="AF449" t="s">
        <v>2846</v>
      </c>
    </row>
    <row r="450" spans="1:32" x14ac:dyDescent="0.45">
      <c r="A450" t="s">
        <v>207</v>
      </c>
      <c r="B450" t="s">
        <v>62</v>
      </c>
      <c r="C450" t="s">
        <v>2847</v>
      </c>
      <c r="D450" t="s">
        <v>62</v>
      </c>
      <c r="F450" t="s">
        <v>2848</v>
      </c>
      <c r="G450" t="s">
        <v>2849</v>
      </c>
      <c r="H450" t="s">
        <v>2850</v>
      </c>
      <c r="I450" t="s">
        <v>2851</v>
      </c>
      <c r="J450" t="s">
        <v>92</v>
      </c>
      <c r="K450" t="s">
        <v>12</v>
      </c>
      <c r="L450" t="s">
        <v>12</v>
      </c>
      <c r="M450" t="s">
        <v>182</v>
      </c>
      <c r="N450" t="s">
        <v>12</v>
      </c>
      <c r="O450" t="s">
        <v>12</v>
      </c>
      <c r="P450" t="s">
        <v>12</v>
      </c>
      <c r="Q450" t="s">
        <v>92</v>
      </c>
      <c r="R450" t="s">
        <v>182</v>
      </c>
      <c r="S450" t="s">
        <v>92</v>
      </c>
      <c r="T450" t="s">
        <v>207</v>
      </c>
      <c r="U450" t="s">
        <v>12</v>
      </c>
      <c r="V450" t="s">
        <v>12</v>
      </c>
      <c r="W450" t="s">
        <v>2852</v>
      </c>
      <c r="AA450" t="s">
        <v>92</v>
      </c>
      <c r="AB450" t="s">
        <v>92</v>
      </c>
      <c r="AC450" t="s">
        <v>12</v>
      </c>
      <c r="AD450" t="s">
        <v>92</v>
      </c>
      <c r="AE450" t="s">
        <v>166</v>
      </c>
      <c r="AF450" t="s">
        <v>2853</v>
      </c>
    </row>
    <row r="451" spans="1:32" x14ac:dyDescent="0.45">
      <c r="A451" t="s">
        <v>2854</v>
      </c>
      <c r="B451" t="s">
        <v>2855</v>
      </c>
      <c r="C451" t="s">
        <v>2856</v>
      </c>
      <c r="D451" t="s">
        <v>2857</v>
      </c>
      <c r="F451" t="s">
        <v>2858</v>
      </c>
      <c r="H451" t="s">
        <v>2859</v>
      </c>
      <c r="I451" t="s">
        <v>2860</v>
      </c>
      <c r="J451" t="s">
        <v>92</v>
      </c>
      <c r="K451" t="s">
        <v>12</v>
      </c>
      <c r="L451" t="s">
        <v>12</v>
      </c>
      <c r="M451" t="s">
        <v>182</v>
      </c>
      <c r="N451" t="s">
        <v>12</v>
      </c>
      <c r="O451" t="s">
        <v>12</v>
      </c>
      <c r="P451" t="s">
        <v>12</v>
      </c>
      <c r="Q451" t="s">
        <v>92</v>
      </c>
      <c r="R451" t="s">
        <v>182</v>
      </c>
      <c r="S451" t="s">
        <v>92</v>
      </c>
      <c r="T451" t="s">
        <v>2854</v>
      </c>
      <c r="U451" t="s">
        <v>12</v>
      </c>
      <c r="V451" t="s">
        <v>12</v>
      </c>
      <c r="W451" t="s">
        <v>2861</v>
      </c>
      <c r="AA451" t="s">
        <v>92</v>
      </c>
      <c r="AB451" t="s">
        <v>92</v>
      </c>
      <c r="AC451" t="s">
        <v>12</v>
      </c>
      <c r="AD451" t="s">
        <v>92</v>
      </c>
      <c r="AE451" t="s">
        <v>143</v>
      </c>
      <c r="AF451" t="s">
        <v>2862</v>
      </c>
    </row>
    <row r="452" spans="1:32" x14ac:dyDescent="0.45">
      <c r="A452" t="s">
        <v>2863</v>
      </c>
      <c r="B452" t="s">
        <v>2864</v>
      </c>
      <c r="C452" t="s">
        <v>2865</v>
      </c>
      <c r="D452" t="s">
        <v>2866</v>
      </c>
      <c r="E452" t="s">
        <v>2867</v>
      </c>
      <c r="F452" t="s">
        <v>2868</v>
      </c>
      <c r="H452" t="s">
        <v>2869</v>
      </c>
      <c r="I452" t="s">
        <v>2870</v>
      </c>
      <c r="J452" t="s">
        <v>92</v>
      </c>
      <c r="K452" t="s">
        <v>12</v>
      </c>
      <c r="L452" t="s">
        <v>12</v>
      </c>
      <c r="M452" t="s">
        <v>182</v>
      </c>
      <c r="N452" t="s">
        <v>12</v>
      </c>
      <c r="O452" t="s">
        <v>12</v>
      </c>
      <c r="P452" t="s">
        <v>12</v>
      </c>
      <c r="Q452" t="s">
        <v>92</v>
      </c>
      <c r="R452" t="s">
        <v>182</v>
      </c>
      <c r="S452" t="s">
        <v>92</v>
      </c>
      <c r="T452" t="s">
        <v>2863</v>
      </c>
      <c r="U452" t="s">
        <v>12</v>
      </c>
      <c r="V452" t="s">
        <v>12</v>
      </c>
      <c r="W452" t="s">
        <v>2852</v>
      </c>
      <c r="AA452" t="s">
        <v>92</v>
      </c>
      <c r="AB452" t="s">
        <v>92</v>
      </c>
      <c r="AC452" t="s">
        <v>12</v>
      </c>
      <c r="AD452" t="s">
        <v>92</v>
      </c>
      <c r="AE452" t="s">
        <v>119</v>
      </c>
      <c r="AF452" t="s">
        <v>2871</v>
      </c>
    </row>
    <row r="453" spans="1:32" x14ac:dyDescent="0.45">
      <c r="A453" t="s">
        <v>2872</v>
      </c>
      <c r="B453" t="s">
        <v>2873</v>
      </c>
      <c r="C453" t="s">
        <v>2874</v>
      </c>
      <c r="D453" t="s">
        <v>2873</v>
      </c>
      <c r="E453" t="s">
        <v>2875</v>
      </c>
      <c r="F453" t="s">
        <v>2876</v>
      </c>
      <c r="H453" t="s">
        <v>2877</v>
      </c>
      <c r="I453" t="s">
        <v>2878</v>
      </c>
      <c r="J453" t="s">
        <v>92</v>
      </c>
      <c r="K453" t="s">
        <v>12</v>
      </c>
      <c r="L453" t="s">
        <v>12</v>
      </c>
      <c r="M453" t="s">
        <v>182</v>
      </c>
      <c r="N453" t="s">
        <v>12</v>
      </c>
      <c r="O453" t="s">
        <v>12</v>
      </c>
      <c r="P453" t="s">
        <v>12</v>
      </c>
      <c r="Q453" t="s">
        <v>92</v>
      </c>
      <c r="R453" t="s">
        <v>182</v>
      </c>
      <c r="S453" t="s">
        <v>92</v>
      </c>
      <c r="T453" t="s">
        <v>2872</v>
      </c>
      <c r="U453" t="s">
        <v>12</v>
      </c>
      <c r="V453" t="s">
        <v>12</v>
      </c>
      <c r="W453" t="s">
        <v>12</v>
      </c>
      <c r="AA453" t="s">
        <v>92</v>
      </c>
      <c r="AB453" t="s">
        <v>92</v>
      </c>
      <c r="AC453" t="s">
        <v>12</v>
      </c>
      <c r="AD453" t="s">
        <v>92</v>
      </c>
      <c r="AE453" t="s">
        <v>119</v>
      </c>
      <c r="AF453" t="s">
        <v>2879</v>
      </c>
    </row>
    <row r="454" spans="1:32" x14ac:dyDescent="0.45">
      <c r="A454" t="s">
        <v>2880</v>
      </c>
      <c r="B454" t="s">
        <v>2881</v>
      </c>
      <c r="C454" t="s">
        <v>2882</v>
      </c>
      <c r="D454" t="s">
        <v>2883</v>
      </c>
      <c r="E454" t="s">
        <v>1403</v>
      </c>
      <c r="F454" t="s">
        <v>2884</v>
      </c>
      <c r="H454" t="s">
        <v>2885</v>
      </c>
      <c r="I454" t="s">
        <v>2885</v>
      </c>
      <c r="J454" t="s">
        <v>92</v>
      </c>
      <c r="K454" t="s">
        <v>12</v>
      </c>
      <c r="L454" t="s">
        <v>12</v>
      </c>
      <c r="M454" t="s">
        <v>182</v>
      </c>
      <c r="N454" t="s">
        <v>12</v>
      </c>
      <c r="O454" t="s">
        <v>12</v>
      </c>
      <c r="P454" t="s">
        <v>12</v>
      </c>
      <c r="Q454" t="s">
        <v>92</v>
      </c>
      <c r="R454" t="s">
        <v>182</v>
      </c>
      <c r="S454" t="s">
        <v>92</v>
      </c>
      <c r="T454" t="s">
        <v>2880</v>
      </c>
      <c r="U454" t="s">
        <v>12</v>
      </c>
      <c r="V454" t="s">
        <v>12</v>
      </c>
      <c r="W454" t="s">
        <v>1407</v>
      </c>
      <c r="AA454" t="s">
        <v>92</v>
      </c>
      <c r="AB454" t="s">
        <v>92</v>
      </c>
      <c r="AC454" t="s">
        <v>12</v>
      </c>
      <c r="AD454" t="s">
        <v>92</v>
      </c>
      <c r="AE454" t="s">
        <v>119</v>
      </c>
      <c r="AF454" t="s">
        <v>2886</v>
      </c>
    </row>
    <row r="455" spans="1:32" x14ac:dyDescent="0.45">
      <c r="A455" t="s">
        <v>2887</v>
      </c>
      <c r="B455" t="s">
        <v>2888</v>
      </c>
      <c r="C455" t="s">
        <v>2889</v>
      </c>
      <c r="D455" t="s">
        <v>2888</v>
      </c>
      <c r="E455" t="s">
        <v>2890</v>
      </c>
      <c r="F455" t="s">
        <v>2891</v>
      </c>
      <c r="H455" t="s">
        <v>2892</v>
      </c>
      <c r="I455" t="s">
        <v>2893</v>
      </c>
      <c r="J455" t="s">
        <v>92</v>
      </c>
      <c r="K455" t="s">
        <v>12</v>
      </c>
      <c r="L455" t="s">
        <v>12</v>
      </c>
      <c r="M455" t="s">
        <v>182</v>
      </c>
      <c r="N455" t="s">
        <v>12</v>
      </c>
      <c r="O455" t="s">
        <v>12</v>
      </c>
      <c r="P455" t="s">
        <v>12</v>
      </c>
      <c r="Q455" t="s">
        <v>92</v>
      </c>
      <c r="R455" t="s">
        <v>205</v>
      </c>
      <c r="S455" t="s">
        <v>92</v>
      </c>
      <c r="T455" t="s">
        <v>2887</v>
      </c>
      <c r="U455" t="s">
        <v>12</v>
      </c>
      <c r="V455" t="s">
        <v>12</v>
      </c>
      <c r="W455" t="s">
        <v>1681</v>
      </c>
      <c r="AA455" t="s">
        <v>92</v>
      </c>
      <c r="AB455" t="s">
        <v>92</v>
      </c>
      <c r="AC455" t="s">
        <v>12</v>
      </c>
      <c r="AD455" t="s">
        <v>92</v>
      </c>
      <c r="AE455" t="s">
        <v>143</v>
      </c>
      <c r="AF455" t="s">
        <v>2894</v>
      </c>
    </row>
    <row r="456" spans="1:32" x14ac:dyDescent="0.45">
      <c r="A456" t="s">
        <v>2895</v>
      </c>
      <c r="B456" t="s">
        <v>2896</v>
      </c>
      <c r="C456" t="s">
        <v>2897</v>
      </c>
      <c r="D456" t="s">
        <v>2896</v>
      </c>
      <c r="E456" t="s">
        <v>2890</v>
      </c>
      <c r="F456" t="s">
        <v>2898</v>
      </c>
      <c r="H456" t="s">
        <v>2893</v>
      </c>
      <c r="J456" t="s">
        <v>92</v>
      </c>
      <c r="K456" t="s">
        <v>12</v>
      </c>
      <c r="L456" t="s">
        <v>12</v>
      </c>
      <c r="M456" t="s">
        <v>182</v>
      </c>
      <c r="N456" t="s">
        <v>12</v>
      </c>
      <c r="O456" t="s">
        <v>12</v>
      </c>
      <c r="P456" t="s">
        <v>12</v>
      </c>
      <c r="Q456" t="s">
        <v>92</v>
      </c>
      <c r="R456" t="s">
        <v>205</v>
      </c>
      <c r="S456" t="s">
        <v>92</v>
      </c>
      <c r="T456" t="s">
        <v>2895</v>
      </c>
      <c r="U456" t="s">
        <v>12</v>
      </c>
      <c r="V456" t="s">
        <v>12</v>
      </c>
      <c r="W456" t="s">
        <v>1681</v>
      </c>
      <c r="AA456" t="s">
        <v>92</v>
      </c>
      <c r="AB456" t="s">
        <v>92</v>
      </c>
      <c r="AC456" t="s">
        <v>12</v>
      </c>
      <c r="AD456" t="s">
        <v>92</v>
      </c>
      <c r="AE456" t="s">
        <v>143</v>
      </c>
      <c r="AF456" t="s">
        <v>2899</v>
      </c>
    </row>
    <row r="457" spans="1:32" x14ac:dyDescent="0.45">
      <c r="A457" t="s">
        <v>2900</v>
      </c>
      <c r="B457" t="s">
        <v>2901</v>
      </c>
      <c r="C457" t="s">
        <v>2902</v>
      </c>
      <c r="D457" t="s">
        <v>2903</v>
      </c>
      <c r="E457" t="s">
        <v>2904</v>
      </c>
      <c r="F457" t="s">
        <v>2905</v>
      </c>
      <c r="H457" t="s">
        <v>2906</v>
      </c>
      <c r="I457" t="s">
        <v>2907</v>
      </c>
      <c r="J457" t="s">
        <v>92</v>
      </c>
      <c r="K457" t="s">
        <v>12</v>
      </c>
      <c r="L457" t="s">
        <v>12</v>
      </c>
      <c r="M457" t="s">
        <v>182</v>
      </c>
      <c r="N457" t="s">
        <v>12</v>
      </c>
      <c r="O457" t="s">
        <v>12</v>
      </c>
      <c r="P457" t="s">
        <v>12</v>
      </c>
      <c r="Q457" t="s">
        <v>92</v>
      </c>
      <c r="R457" t="s">
        <v>182</v>
      </c>
      <c r="S457" t="s">
        <v>92</v>
      </c>
      <c r="T457" t="s">
        <v>2900</v>
      </c>
      <c r="U457" t="s">
        <v>12</v>
      </c>
      <c r="V457" t="s">
        <v>12</v>
      </c>
      <c r="W457" t="s">
        <v>12</v>
      </c>
      <c r="AA457" t="s">
        <v>92</v>
      </c>
      <c r="AB457" t="s">
        <v>92</v>
      </c>
      <c r="AC457" t="s">
        <v>12</v>
      </c>
      <c r="AD457" t="s">
        <v>92</v>
      </c>
      <c r="AE457" t="s">
        <v>119</v>
      </c>
      <c r="AF457" t="s">
        <v>2908</v>
      </c>
    </row>
    <row r="458" spans="1:32" x14ac:dyDescent="0.45">
      <c r="A458" t="s">
        <v>2909</v>
      </c>
      <c r="B458" t="s">
        <v>2910</v>
      </c>
      <c r="C458" t="s">
        <v>2911</v>
      </c>
      <c r="D458" t="s">
        <v>2912</v>
      </c>
      <c r="E458" t="s">
        <v>2904</v>
      </c>
      <c r="F458" t="s">
        <v>2905</v>
      </c>
      <c r="H458" t="s">
        <v>2906</v>
      </c>
      <c r="I458" t="s">
        <v>2907</v>
      </c>
      <c r="J458" t="s">
        <v>92</v>
      </c>
      <c r="K458" t="s">
        <v>12</v>
      </c>
      <c r="L458" t="s">
        <v>12</v>
      </c>
      <c r="M458" t="s">
        <v>182</v>
      </c>
      <c r="N458" t="s">
        <v>12</v>
      </c>
      <c r="O458" t="s">
        <v>12</v>
      </c>
      <c r="P458" t="s">
        <v>12</v>
      </c>
      <c r="Q458" t="s">
        <v>92</v>
      </c>
      <c r="R458" t="s">
        <v>182</v>
      </c>
      <c r="S458" t="s">
        <v>92</v>
      </c>
      <c r="T458" t="s">
        <v>2909</v>
      </c>
      <c r="U458" t="s">
        <v>12</v>
      </c>
      <c r="V458" t="s">
        <v>12</v>
      </c>
      <c r="W458" t="s">
        <v>12</v>
      </c>
      <c r="AA458" t="s">
        <v>92</v>
      </c>
      <c r="AB458" t="s">
        <v>92</v>
      </c>
      <c r="AC458" t="s">
        <v>12</v>
      </c>
      <c r="AD458" t="s">
        <v>92</v>
      </c>
      <c r="AE458" t="s">
        <v>119</v>
      </c>
      <c r="AF458" t="s">
        <v>2913</v>
      </c>
    </row>
    <row r="459" spans="1:32" x14ac:dyDescent="0.45">
      <c r="A459" t="s">
        <v>2914</v>
      </c>
      <c r="B459" t="s">
        <v>2915</v>
      </c>
      <c r="C459" t="s">
        <v>2916</v>
      </c>
      <c r="D459" t="s">
        <v>2917</v>
      </c>
      <c r="E459" t="s">
        <v>2904</v>
      </c>
      <c r="F459" t="s">
        <v>2905</v>
      </c>
      <c r="H459" t="s">
        <v>2906</v>
      </c>
      <c r="I459" t="s">
        <v>2907</v>
      </c>
      <c r="J459" t="s">
        <v>92</v>
      </c>
      <c r="K459" t="s">
        <v>12</v>
      </c>
      <c r="L459" t="s">
        <v>12</v>
      </c>
      <c r="M459" t="s">
        <v>182</v>
      </c>
      <c r="N459" t="s">
        <v>12</v>
      </c>
      <c r="O459" t="s">
        <v>12</v>
      </c>
      <c r="P459" t="s">
        <v>12</v>
      </c>
      <c r="Q459" t="s">
        <v>92</v>
      </c>
      <c r="R459" t="s">
        <v>182</v>
      </c>
      <c r="S459" t="s">
        <v>92</v>
      </c>
      <c r="T459" t="s">
        <v>2914</v>
      </c>
      <c r="U459" t="s">
        <v>12</v>
      </c>
      <c r="V459" t="s">
        <v>12</v>
      </c>
      <c r="W459" t="s">
        <v>12</v>
      </c>
      <c r="AA459" t="s">
        <v>92</v>
      </c>
      <c r="AB459" t="s">
        <v>92</v>
      </c>
      <c r="AC459" t="s">
        <v>12</v>
      </c>
      <c r="AD459" t="s">
        <v>92</v>
      </c>
      <c r="AE459" t="s">
        <v>119</v>
      </c>
      <c r="AF459" t="s">
        <v>2918</v>
      </c>
    </row>
    <row r="460" spans="1:32" x14ac:dyDescent="0.45">
      <c r="A460" t="s">
        <v>2919</v>
      </c>
      <c r="B460" t="s">
        <v>2920</v>
      </c>
      <c r="C460" t="s">
        <v>2921</v>
      </c>
      <c r="D460" t="s">
        <v>2920</v>
      </c>
      <c r="E460" t="s">
        <v>2922</v>
      </c>
      <c r="F460" t="s">
        <v>2923</v>
      </c>
      <c r="H460" t="s">
        <v>2924</v>
      </c>
      <c r="I460" t="s">
        <v>2925</v>
      </c>
      <c r="J460" t="s">
        <v>92</v>
      </c>
      <c r="K460" t="s">
        <v>12</v>
      </c>
      <c r="L460" t="s">
        <v>12</v>
      </c>
      <c r="M460" t="s">
        <v>182</v>
      </c>
      <c r="N460" t="s">
        <v>12</v>
      </c>
      <c r="O460" t="s">
        <v>12</v>
      </c>
      <c r="P460" t="s">
        <v>12</v>
      </c>
      <c r="Q460" t="s">
        <v>92</v>
      </c>
      <c r="R460" t="s">
        <v>182</v>
      </c>
      <c r="S460" t="s">
        <v>92</v>
      </c>
      <c r="T460" t="s">
        <v>2919</v>
      </c>
      <c r="U460" t="s">
        <v>12</v>
      </c>
      <c r="V460" t="s">
        <v>12</v>
      </c>
      <c r="W460" t="s">
        <v>1420</v>
      </c>
      <c r="Z460" t="s">
        <v>610</v>
      </c>
      <c r="AA460" t="s">
        <v>12</v>
      </c>
      <c r="AB460" t="s">
        <v>92</v>
      </c>
      <c r="AC460" t="s">
        <v>12</v>
      </c>
      <c r="AD460" t="s">
        <v>92</v>
      </c>
      <c r="AE460" t="s">
        <v>166</v>
      </c>
      <c r="AF460" t="s">
        <v>2926</v>
      </c>
    </row>
    <row r="461" spans="1:32" x14ac:dyDescent="0.45">
      <c r="A461" t="s">
        <v>2927</v>
      </c>
      <c r="B461" t="s">
        <v>2928</v>
      </c>
      <c r="C461" t="s">
        <v>2929</v>
      </c>
      <c r="D461" t="s">
        <v>2930</v>
      </c>
      <c r="E461" t="s">
        <v>2922</v>
      </c>
      <c r="F461" t="s">
        <v>2923</v>
      </c>
      <c r="H461" t="s">
        <v>2924</v>
      </c>
      <c r="I461" t="s">
        <v>2924</v>
      </c>
      <c r="J461" t="s">
        <v>92</v>
      </c>
      <c r="K461" t="s">
        <v>12</v>
      </c>
      <c r="L461" t="s">
        <v>12</v>
      </c>
      <c r="M461" t="s">
        <v>182</v>
      </c>
      <c r="N461" t="s">
        <v>12</v>
      </c>
      <c r="O461" t="s">
        <v>12</v>
      </c>
      <c r="P461" t="s">
        <v>12</v>
      </c>
      <c r="Q461" t="s">
        <v>92</v>
      </c>
      <c r="R461" t="s">
        <v>182</v>
      </c>
      <c r="S461" t="s">
        <v>92</v>
      </c>
      <c r="T461" t="s">
        <v>2927</v>
      </c>
      <c r="U461" t="s">
        <v>12</v>
      </c>
      <c r="V461" t="s">
        <v>12</v>
      </c>
      <c r="W461" t="s">
        <v>1420</v>
      </c>
      <c r="Z461" t="s">
        <v>610</v>
      </c>
      <c r="AA461" t="s">
        <v>12</v>
      </c>
      <c r="AB461" t="s">
        <v>92</v>
      </c>
      <c r="AC461" t="s">
        <v>12</v>
      </c>
      <c r="AD461" t="s">
        <v>92</v>
      </c>
      <c r="AE461" t="s">
        <v>119</v>
      </c>
      <c r="AF461" t="s">
        <v>2931</v>
      </c>
    </row>
    <row r="462" spans="1:32" x14ac:dyDescent="0.45">
      <c r="A462" t="s">
        <v>2932</v>
      </c>
      <c r="B462" t="s">
        <v>2933</v>
      </c>
      <c r="C462" t="s">
        <v>2934</v>
      </c>
      <c r="D462" t="s">
        <v>2933</v>
      </c>
      <c r="E462" t="s">
        <v>1367</v>
      </c>
      <c r="F462" t="s">
        <v>2935</v>
      </c>
      <c r="H462" t="s">
        <v>2936</v>
      </c>
      <c r="I462" t="s">
        <v>2937</v>
      </c>
      <c r="J462" t="s">
        <v>92</v>
      </c>
      <c r="K462" t="s">
        <v>12</v>
      </c>
      <c r="L462" t="s">
        <v>12</v>
      </c>
      <c r="M462" t="s">
        <v>182</v>
      </c>
      <c r="N462" t="s">
        <v>12</v>
      </c>
      <c r="O462" t="s">
        <v>12</v>
      </c>
      <c r="P462" t="s">
        <v>12</v>
      </c>
      <c r="Q462" t="s">
        <v>92</v>
      </c>
      <c r="R462" t="s">
        <v>182</v>
      </c>
      <c r="S462" t="s">
        <v>92</v>
      </c>
      <c r="T462" t="s">
        <v>2932</v>
      </c>
      <c r="U462" t="s">
        <v>12</v>
      </c>
      <c r="V462" t="s">
        <v>12</v>
      </c>
      <c r="W462" t="s">
        <v>1356</v>
      </c>
      <c r="AA462" t="s">
        <v>92</v>
      </c>
      <c r="AB462" t="s">
        <v>92</v>
      </c>
      <c r="AC462" t="s">
        <v>12</v>
      </c>
      <c r="AD462" t="s">
        <v>92</v>
      </c>
      <c r="AE462" t="s">
        <v>92</v>
      </c>
      <c r="AF462" t="s">
        <v>2938</v>
      </c>
    </row>
    <row r="463" spans="1:32" x14ac:dyDescent="0.45">
      <c r="A463" t="s">
        <v>2939</v>
      </c>
      <c r="B463" t="s">
        <v>2940</v>
      </c>
      <c r="C463" t="s">
        <v>2941</v>
      </c>
      <c r="D463" t="s">
        <v>2940</v>
      </c>
      <c r="E463" t="s">
        <v>2942</v>
      </c>
      <c r="F463" t="s">
        <v>2943</v>
      </c>
      <c r="H463" t="s">
        <v>2944</v>
      </c>
      <c r="I463" t="s">
        <v>2945</v>
      </c>
      <c r="J463" t="s">
        <v>92</v>
      </c>
      <c r="K463" t="s">
        <v>12</v>
      </c>
      <c r="L463" t="s">
        <v>12</v>
      </c>
      <c r="M463" t="s">
        <v>182</v>
      </c>
      <c r="N463" t="s">
        <v>12</v>
      </c>
      <c r="O463" t="s">
        <v>12</v>
      </c>
      <c r="P463" t="s">
        <v>12</v>
      </c>
      <c r="Q463" t="s">
        <v>92</v>
      </c>
      <c r="R463" t="s">
        <v>182</v>
      </c>
      <c r="S463" t="s">
        <v>92</v>
      </c>
      <c r="T463" t="s">
        <v>2939</v>
      </c>
      <c r="U463" t="s">
        <v>12</v>
      </c>
      <c r="V463" t="s">
        <v>12</v>
      </c>
      <c r="W463" t="s">
        <v>1614</v>
      </c>
      <c r="AA463" t="s">
        <v>92</v>
      </c>
      <c r="AB463" t="s">
        <v>92</v>
      </c>
      <c r="AC463" t="s">
        <v>12</v>
      </c>
      <c r="AD463" t="s">
        <v>92</v>
      </c>
      <c r="AE463" t="s">
        <v>169</v>
      </c>
      <c r="AF463" t="s">
        <v>2946</v>
      </c>
    </row>
    <row r="464" spans="1:32" x14ac:dyDescent="0.45">
      <c r="A464" t="s">
        <v>2947</v>
      </c>
      <c r="B464" t="s">
        <v>2948</v>
      </c>
      <c r="C464" t="s">
        <v>2949</v>
      </c>
      <c r="D464" t="s">
        <v>2950</v>
      </c>
      <c r="E464" t="s">
        <v>2239</v>
      </c>
      <c r="F464" t="s">
        <v>2951</v>
      </c>
      <c r="H464" t="s">
        <v>2952</v>
      </c>
      <c r="I464" t="s">
        <v>2952</v>
      </c>
      <c r="J464" t="s">
        <v>92</v>
      </c>
      <c r="K464" t="s">
        <v>12</v>
      </c>
      <c r="L464" t="s">
        <v>12</v>
      </c>
      <c r="M464" t="s">
        <v>182</v>
      </c>
      <c r="N464" t="s">
        <v>12</v>
      </c>
      <c r="O464" t="s">
        <v>12</v>
      </c>
      <c r="P464" t="s">
        <v>12</v>
      </c>
      <c r="Q464" t="s">
        <v>92</v>
      </c>
      <c r="R464" t="s">
        <v>182</v>
      </c>
      <c r="S464" t="s">
        <v>92</v>
      </c>
      <c r="T464" t="s">
        <v>2947</v>
      </c>
      <c r="U464" t="s">
        <v>12</v>
      </c>
      <c r="V464" t="s">
        <v>12</v>
      </c>
      <c r="W464" t="s">
        <v>2953</v>
      </c>
      <c r="AA464" t="s">
        <v>92</v>
      </c>
      <c r="AB464" t="s">
        <v>92</v>
      </c>
      <c r="AC464" t="s">
        <v>12</v>
      </c>
      <c r="AD464" t="s">
        <v>92</v>
      </c>
      <c r="AE464" t="s">
        <v>119</v>
      </c>
      <c r="AF464" t="s">
        <v>2954</v>
      </c>
    </row>
    <row r="465" spans="1:32" x14ac:dyDescent="0.45">
      <c r="A465" t="s">
        <v>2955</v>
      </c>
      <c r="B465" t="s">
        <v>2956</v>
      </c>
      <c r="C465" t="s">
        <v>2957</v>
      </c>
      <c r="D465" t="s">
        <v>2956</v>
      </c>
      <c r="E465" t="s">
        <v>385</v>
      </c>
      <c r="F465" t="s">
        <v>2958</v>
      </c>
      <c r="G465" t="s">
        <v>2959</v>
      </c>
      <c r="H465" t="s">
        <v>2960</v>
      </c>
      <c r="J465" t="s">
        <v>92</v>
      </c>
      <c r="K465" t="s">
        <v>12</v>
      </c>
      <c r="L465" t="s">
        <v>12</v>
      </c>
      <c r="M465" t="s">
        <v>182</v>
      </c>
      <c r="N465" t="s">
        <v>12</v>
      </c>
      <c r="O465" t="s">
        <v>12</v>
      </c>
      <c r="P465" t="s">
        <v>12</v>
      </c>
      <c r="Q465" t="s">
        <v>92</v>
      </c>
      <c r="R465" t="s">
        <v>182</v>
      </c>
      <c r="S465" t="s">
        <v>92</v>
      </c>
      <c r="T465" t="s">
        <v>2955</v>
      </c>
      <c r="U465" t="s">
        <v>12</v>
      </c>
      <c r="V465" t="s">
        <v>12</v>
      </c>
      <c r="W465" t="s">
        <v>12</v>
      </c>
      <c r="AA465" t="s">
        <v>92</v>
      </c>
      <c r="AB465" t="s">
        <v>92</v>
      </c>
      <c r="AC465" t="s">
        <v>12</v>
      </c>
      <c r="AD465" t="s">
        <v>92</v>
      </c>
      <c r="AE465" t="s">
        <v>119</v>
      </c>
      <c r="AF465" t="s">
        <v>2961</v>
      </c>
    </row>
    <row r="466" spans="1:32" x14ac:dyDescent="0.45">
      <c r="A466" t="s">
        <v>2962</v>
      </c>
      <c r="B466" t="s">
        <v>2963</v>
      </c>
      <c r="C466" t="s">
        <v>2964</v>
      </c>
      <c r="D466" t="s">
        <v>2965</v>
      </c>
      <c r="E466" t="s">
        <v>2280</v>
      </c>
      <c r="F466" t="s">
        <v>2966</v>
      </c>
      <c r="G466" t="s">
        <v>2967</v>
      </c>
      <c r="H466" t="s">
        <v>2968</v>
      </c>
      <c r="I466" t="s">
        <v>2968</v>
      </c>
      <c r="J466" t="s">
        <v>92</v>
      </c>
      <c r="K466" t="s">
        <v>12</v>
      </c>
      <c r="L466" t="s">
        <v>12</v>
      </c>
      <c r="M466" t="s">
        <v>182</v>
      </c>
      <c r="N466" t="s">
        <v>12</v>
      </c>
      <c r="O466" t="s">
        <v>12</v>
      </c>
      <c r="P466" t="s">
        <v>12</v>
      </c>
      <c r="Q466" t="s">
        <v>92</v>
      </c>
      <c r="R466" t="s">
        <v>182</v>
      </c>
      <c r="S466" t="s">
        <v>92</v>
      </c>
      <c r="T466" t="s">
        <v>2962</v>
      </c>
      <c r="U466" t="s">
        <v>12</v>
      </c>
      <c r="V466" t="s">
        <v>12</v>
      </c>
      <c r="W466" t="s">
        <v>910</v>
      </c>
      <c r="AA466" t="s">
        <v>92</v>
      </c>
      <c r="AB466" t="s">
        <v>92</v>
      </c>
      <c r="AC466" t="s">
        <v>12</v>
      </c>
      <c r="AD466" t="s">
        <v>92</v>
      </c>
      <c r="AE466" t="s">
        <v>119</v>
      </c>
      <c r="AF466" t="s">
        <v>2969</v>
      </c>
    </row>
    <row r="467" spans="1:32" x14ac:dyDescent="0.45">
      <c r="A467" t="s">
        <v>2970</v>
      </c>
      <c r="B467" t="s">
        <v>2971</v>
      </c>
      <c r="C467" t="s">
        <v>2972</v>
      </c>
      <c r="D467" t="s">
        <v>2973</v>
      </c>
      <c r="E467" t="s">
        <v>2280</v>
      </c>
      <c r="F467" t="s">
        <v>2966</v>
      </c>
      <c r="G467" t="s">
        <v>2967</v>
      </c>
      <c r="H467" t="s">
        <v>2968</v>
      </c>
      <c r="I467" t="s">
        <v>2968</v>
      </c>
      <c r="J467" t="s">
        <v>92</v>
      </c>
      <c r="K467" t="s">
        <v>12</v>
      </c>
      <c r="L467" t="s">
        <v>12</v>
      </c>
      <c r="M467" t="s">
        <v>182</v>
      </c>
      <c r="N467" t="s">
        <v>12</v>
      </c>
      <c r="O467" t="s">
        <v>12</v>
      </c>
      <c r="P467" t="s">
        <v>12</v>
      </c>
      <c r="Q467" t="s">
        <v>92</v>
      </c>
      <c r="R467" t="s">
        <v>182</v>
      </c>
      <c r="S467" t="s">
        <v>92</v>
      </c>
      <c r="T467" t="s">
        <v>2970</v>
      </c>
      <c r="U467" t="s">
        <v>12</v>
      </c>
      <c r="V467" t="s">
        <v>12</v>
      </c>
      <c r="W467" t="s">
        <v>152</v>
      </c>
      <c r="AA467" t="s">
        <v>92</v>
      </c>
      <c r="AB467" t="s">
        <v>92</v>
      </c>
      <c r="AC467" t="s">
        <v>12</v>
      </c>
      <c r="AD467" t="s">
        <v>92</v>
      </c>
      <c r="AE467" t="s">
        <v>119</v>
      </c>
      <c r="AF467" t="s">
        <v>2974</v>
      </c>
    </row>
    <row r="468" spans="1:32" x14ac:dyDescent="0.45">
      <c r="A468" t="s">
        <v>2975</v>
      </c>
      <c r="B468" t="s">
        <v>2976</v>
      </c>
      <c r="C468" t="s">
        <v>2977</v>
      </c>
      <c r="D468" t="s">
        <v>2978</v>
      </c>
      <c r="E468" t="s">
        <v>2280</v>
      </c>
      <c r="F468" t="s">
        <v>2979</v>
      </c>
      <c r="H468" t="s">
        <v>2980</v>
      </c>
      <c r="I468" t="s">
        <v>2981</v>
      </c>
      <c r="J468" t="s">
        <v>92</v>
      </c>
      <c r="K468" t="s">
        <v>12</v>
      </c>
      <c r="L468" t="s">
        <v>12</v>
      </c>
      <c r="M468" t="s">
        <v>182</v>
      </c>
      <c r="N468" t="s">
        <v>12</v>
      </c>
      <c r="O468" t="s">
        <v>12</v>
      </c>
      <c r="P468" t="s">
        <v>12</v>
      </c>
      <c r="Q468" t="s">
        <v>92</v>
      </c>
      <c r="R468" t="s">
        <v>182</v>
      </c>
      <c r="S468" t="s">
        <v>92</v>
      </c>
      <c r="T468" t="s">
        <v>2975</v>
      </c>
      <c r="U468" t="s">
        <v>12</v>
      </c>
      <c r="V468" t="s">
        <v>12</v>
      </c>
      <c r="W468" t="s">
        <v>2982</v>
      </c>
      <c r="AA468" t="s">
        <v>92</v>
      </c>
      <c r="AB468" t="s">
        <v>92</v>
      </c>
      <c r="AC468" t="s">
        <v>12</v>
      </c>
      <c r="AD468" t="s">
        <v>92</v>
      </c>
      <c r="AE468" t="s">
        <v>119</v>
      </c>
      <c r="AF468" t="s">
        <v>2983</v>
      </c>
    </row>
    <row r="469" spans="1:32" x14ac:dyDescent="0.45">
      <c r="A469" t="s">
        <v>2984</v>
      </c>
      <c r="B469" t="s">
        <v>2976</v>
      </c>
      <c r="C469" t="s">
        <v>2977</v>
      </c>
      <c r="D469" t="s">
        <v>2978</v>
      </c>
      <c r="E469" t="s">
        <v>2280</v>
      </c>
      <c r="F469" t="s">
        <v>2979</v>
      </c>
      <c r="H469" t="s">
        <v>2968</v>
      </c>
      <c r="J469" t="s">
        <v>92</v>
      </c>
      <c r="K469" t="s">
        <v>12</v>
      </c>
      <c r="L469" t="s">
        <v>12</v>
      </c>
      <c r="M469" t="s">
        <v>182</v>
      </c>
      <c r="N469" t="s">
        <v>12</v>
      </c>
      <c r="O469" t="s">
        <v>12</v>
      </c>
      <c r="P469" t="s">
        <v>12</v>
      </c>
      <c r="Q469" t="s">
        <v>92</v>
      </c>
      <c r="R469" t="s">
        <v>182</v>
      </c>
      <c r="S469" t="s">
        <v>92</v>
      </c>
      <c r="T469" t="s">
        <v>2984</v>
      </c>
      <c r="U469" t="s">
        <v>12</v>
      </c>
      <c r="V469" t="s">
        <v>12</v>
      </c>
      <c r="W469" t="s">
        <v>152</v>
      </c>
      <c r="AA469" t="s">
        <v>92</v>
      </c>
      <c r="AB469" t="s">
        <v>92</v>
      </c>
      <c r="AC469" t="s">
        <v>92</v>
      </c>
      <c r="AD469" t="s">
        <v>92</v>
      </c>
      <c r="AE469" t="s">
        <v>166</v>
      </c>
      <c r="AF469" t="s">
        <v>2985</v>
      </c>
    </row>
    <row r="470" spans="1:32" x14ac:dyDescent="0.45">
      <c r="A470" t="s">
        <v>2986</v>
      </c>
      <c r="B470" t="s">
        <v>2987</v>
      </c>
      <c r="C470" t="s">
        <v>2988</v>
      </c>
      <c r="D470" t="s">
        <v>2989</v>
      </c>
      <c r="E470" t="s">
        <v>2280</v>
      </c>
      <c r="F470" t="s">
        <v>2979</v>
      </c>
      <c r="H470" t="s">
        <v>2968</v>
      </c>
      <c r="J470" t="s">
        <v>92</v>
      </c>
      <c r="K470" t="s">
        <v>12</v>
      </c>
      <c r="L470" t="s">
        <v>12</v>
      </c>
      <c r="M470" t="s">
        <v>182</v>
      </c>
      <c r="N470" t="s">
        <v>12</v>
      </c>
      <c r="O470" t="s">
        <v>12</v>
      </c>
      <c r="P470" t="s">
        <v>12</v>
      </c>
      <c r="Q470" t="s">
        <v>92</v>
      </c>
      <c r="R470" t="s">
        <v>182</v>
      </c>
      <c r="S470" t="s">
        <v>92</v>
      </c>
      <c r="T470" t="s">
        <v>2986</v>
      </c>
      <c r="U470" t="s">
        <v>12</v>
      </c>
      <c r="V470" t="s">
        <v>12</v>
      </c>
      <c r="W470" t="s">
        <v>910</v>
      </c>
      <c r="AA470" t="s">
        <v>92</v>
      </c>
      <c r="AB470" t="s">
        <v>92</v>
      </c>
      <c r="AC470" t="s">
        <v>12</v>
      </c>
      <c r="AD470" t="s">
        <v>92</v>
      </c>
      <c r="AE470" t="s">
        <v>143</v>
      </c>
      <c r="AF470" t="s">
        <v>2990</v>
      </c>
    </row>
    <row r="471" spans="1:32" x14ac:dyDescent="0.45">
      <c r="A471" t="s">
        <v>2991</v>
      </c>
      <c r="B471" t="s">
        <v>2992</v>
      </c>
      <c r="C471" t="s">
        <v>2993</v>
      </c>
      <c r="D471" t="s">
        <v>2994</v>
      </c>
      <c r="J471" t="s">
        <v>92</v>
      </c>
      <c r="K471" t="s">
        <v>12</v>
      </c>
      <c r="L471" t="s">
        <v>12</v>
      </c>
      <c r="M471" t="s">
        <v>182</v>
      </c>
      <c r="N471" t="s">
        <v>12</v>
      </c>
      <c r="O471" t="s">
        <v>12</v>
      </c>
      <c r="P471" t="s">
        <v>12</v>
      </c>
      <c r="Q471" t="s">
        <v>92</v>
      </c>
      <c r="R471" t="s">
        <v>182</v>
      </c>
      <c r="S471" t="s">
        <v>92</v>
      </c>
      <c r="T471" t="s">
        <v>2991</v>
      </c>
      <c r="U471" t="s">
        <v>12</v>
      </c>
      <c r="V471" t="s">
        <v>12</v>
      </c>
      <c r="W471" t="s">
        <v>152</v>
      </c>
      <c r="AA471" t="s">
        <v>92</v>
      </c>
      <c r="AB471" t="s">
        <v>92</v>
      </c>
      <c r="AC471" t="s">
        <v>12</v>
      </c>
      <c r="AD471" t="s">
        <v>92</v>
      </c>
      <c r="AE471" t="s">
        <v>119</v>
      </c>
      <c r="AF471" t="s">
        <v>2995</v>
      </c>
    </row>
    <row r="472" spans="1:32" x14ac:dyDescent="0.45">
      <c r="A472" t="s">
        <v>2996</v>
      </c>
      <c r="B472" t="s">
        <v>2997</v>
      </c>
      <c r="C472" t="s">
        <v>2998</v>
      </c>
      <c r="D472" t="s">
        <v>2999</v>
      </c>
      <c r="E472" t="s">
        <v>3000</v>
      </c>
      <c r="F472" t="s">
        <v>3001</v>
      </c>
      <c r="H472" t="s">
        <v>3002</v>
      </c>
      <c r="J472" t="s">
        <v>92</v>
      </c>
      <c r="K472" t="s">
        <v>12</v>
      </c>
      <c r="L472" t="s">
        <v>12</v>
      </c>
      <c r="M472" t="s">
        <v>182</v>
      </c>
      <c r="N472" t="s">
        <v>12</v>
      </c>
      <c r="O472" t="s">
        <v>12</v>
      </c>
      <c r="P472" t="s">
        <v>12</v>
      </c>
      <c r="Q472" t="s">
        <v>92</v>
      </c>
      <c r="R472" t="s">
        <v>182</v>
      </c>
      <c r="S472" t="s">
        <v>92</v>
      </c>
      <c r="T472" t="s">
        <v>2996</v>
      </c>
      <c r="U472" t="s">
        <v>12</v>
      </c>
      <c r="V472" t="s">
        <v>12</v>
      </c>
      <c r="W472" t="s">
        <v>1930</v>
      </c>
      <c r="AA472" t="s">
        <v>92</v>
      </c>
      <c r="AB472" t="s">
        <v>92</v>
      </c>
      <c r="AC472" t="s">
        <v>12</v>
      </c>
      <c r="AD472" t="s">
        <v>92</v>
      </c>
      <c r="AE472" t="s">
        <v>119</v>
      </c>
      <c r="AF472" t="s">
        <v>3003</v>
      </c>
    </row>
    <row r="473" spans="1:32" x14ac:dyDescent="0.45">
      <c r="A473" t="s">
        <v>3004</v>
      </c>
      <c r="B473" t="s">
        <v>2997</v>
      </c>
      <c r="C473" t="s">
        <v>2998</v>
      </c>
      <c r="D473" t="s">
        <v>2999</v>
      </c>
      <c r="E473" t="s">
        <v>3000</v>
      </c>
      <c r="F473" t="s">
        <v>3001</v>
      </c>
      <c r="H473" t="s">
        <v>3002</v>
      </c>
      <c r="J473" t="s">
        <v>92</v>
      </c>
      <c r="K473" t="s">
        <v>12</v>
      </c>
      <c r="L473" t="s">
        <v>12</v>
      </c>
      <c r="M473" t="s">
        <v>182</v>
      </c>
      <c r="N473" t="s">
        <v>12</v>
      </c>
      <c r="O473" t="s">
        <v>12</v>
      </c>
      <c r="P473" t="s">
        <v>12</v>
      </c>
      <c r="Q473" t="s">
        <v>92</v>
      </c>
      <c r="R473" t="s">
        <v>182</v>
      </c>
      <c r="S473" t="s">
        <v>92</v>
      </c>
      <c r="T473" t="s">
        <v>3004</v>
      </c>
      <c r="U473" t="s">
        <v>12</v>
      </c>
      <c r="V473" t="s">
        <v>12</v>
      </c>
      <c r="W473" t="s">
        <v>1930</v>
      </c>
      <c r="AA473" t="s">
        <v>92</v>
      </c>
      <c r="AB473" t="s">
        <v>92</v>
      </c>
      <c r="AC473" t="s">
        <v>12</v>
      </c>
      <c r="AD473" t="s">
        <v>92</v>
      </c>
      <c r="AE473" t="s">
        <v>109</v>
      </c>
      <c r="AF473" t="s">
        <v>3005</v>
      </c>
    </row>
    <row r="474" spans="1:32" x14ac:dyDescent="0.45">
      <c r="A474" t="s">
        <v>3006</v>
      </c>
      <c r="B474" t="s">
        <v>3007</v>
      </c>
      <c r="C474" t="s">
        <v>3008</v>
      </c>
      <c r="D474" t="s">
        <v>2999</v>
      </c>
      <c r="E474" t="s">
        <v>3000</v>
      </c>
      <c r="F474" t="s">
        <v>3001</v>
      </c>
      <c r="H474" t="s">
        <v>3002</v>
      </c>
      <c r="J474" t="s">
        <v>92</v>
      </c>
      <c r="K474" t="s">
        <v>12</v>
      </c>
      <c r="L474" t="s">
        <v>12</v>
      </c>
      <c r="M474" t="s">
        <v>182</v>
      </c>
      <c r="N474" t="s">
        <v>12</v>
      </c>
      <c r="O474" t="s">
        <v>12</v>
      </c>
      <c r="P474" t="s">
        <v>12</v>
      </c>
      <c r="Q474" t="s">
        <v>92</v>
      </c>
      <c r="R474" t="s">
        <v>182</v>
      </c>
      <c r="S474" t="s">
        <v>92</v>
      </c>
      <c r="T474" t="s">
        <v>3006</v>
      </c>
      <c r="U474" t="s">
        <v>12</v>
      </c>
      <c r="V474" t="s">
        <v>12</v>
      </c>
      <c r="W474" t="s">
        <v>1930</v>
      </c>
      <c r="AA474" t="s">
        <v>92</v>
      </c>
      <c r="AB474" t="s">
        <v>92</v>
      </c>
      <c r="AC474" t="s">
        <v>12</v>
      </c>
      <c r="AD474" t="s">
        <v>92</v>
      </c>
      <c r="AE474" t="s">
        <v>166</v>
      </c>
      <c r="AF474" t="s">
        <v>3009</v>
      </c>
    </row>
    <row r="475" spans="1:32" x14ac:dyDescent="0.45">
      <c r="A475" t="s">
        <v>3010</v>
      </c>
      <c r="B475" t="s">
        <v>3011</v>
      </c>
      <c r="C475" t="s">
        <v>3012</v>
      </c>
      <c r="D475" t="s">
        <v>3011</v>
      </c>
      <c r="J475" t="s">
        <v>92</v>
      </c>
      <c r="K475" t="s">
        <v>12</v>
      </c>
      <c r="L475" t="s">
        <v>12</v>
      </c>
      <c r="M475" t="s">
        <v>182</v>
      </c>
      <c r="N475" t="s">
        <v>12</v>
      </c>
      <c r="O475" t="s">
        <v>12</v>
      </c>
      <c r="P475" t="s">
        <v>12</v>
      </c>
      <c r="Q475" t="s">
        <v>92</v>
      </c>
      <c r="R475" t="s">
        <v>182</v>
      </c>
      <c r="S475" t="s">
        <v>92</v>
      </c>
      <c r="T475" t="s">
        <v>3010</v>
      </c>
      <c r="U475" t="s">
        <v>12</v>
      </c>
      <c r="V475" t="s">
        <v>12</v>
      </c>
      <c r="W475" t="s">
        <v>12</v>
      </c>
      <c r="Z475" t="s">
        <v>610</v>
      </c>
      <c r="AA475" t="s">
        <v>92</v>
      </c>
      <c r="AB475" t="s">
        <v>92</v>
      </c>
      <c r="AC475" t="s">
        <v>12</v>
      </c>
      <c r="AD475" t="s">
        <v>92</v>
      </c>
      <c r="AE475" t="s">
        <v>119</v>
      </c>
      <c r="AF475" t="s">
        <v>3013</v>
      </c>
    </row>
    <row r="476" spans="1:32" x14ac:dyDescent="0.45">
      <c r="A476" t="s">
        <v>3014</v>
      </c>
      <c r="B476" t="s">
        <v>3015</v>
      </c>
      <c r="C476" t="s">
        <v>3016</v>
      </c>
      <c r="D476" t="s">
        <v>3017</v>
      </c>
      <c r="E476" t="s">
        <v>1041</v>
      </c>
      <c r="F476" t="s">
        <v>3018</v>
      </c>
      <c r="H476" t="s">
        <v>3019</v>
      </c>
      <c r="I476" t="s">
        <v>3020</v>
      </c>
      <c r="J476" t="s">
        <v>92</v>
      </c>
      <c r="K476" t="s">
        <v>12</v>
      </c>
      <c r="L476" t="s">
        <v>12</v>
      </c>
      <c r="M476" t="s">
        <v>182</v>
      </c>
      <c r="N476" t="s">
        <v>12</v>
      </c>
      <c r="O476" t="s">
        <v>12</v>
      </c>
      <c r="P476" t="s">
        <v>12</v>
      </c>
      <c r="Q476" t="s">
        <v>92</v>
      </c>
      <c r="R476" t="s">
        <v>182</v>
      </c>
      <c r="S476" t="s">
        <v>92</v>
      </c>
      <c r="T476" t="s">
        <v>3014</v>
      </c>
      <c r="U476" t="s">
        <v>12</v>
      </c>
      <c r="V476" t="s">
        <v>12</v>
      </c>
      <c r="W476" t="s">
        <v>2515</v>
      </c>
      <c r="AA476" t="s">
        <v>92</v>
      </c>
      <c r="AB476" t="s">
        <v>92</v>
      </c>
      <c r="AC476" t="s">
        <v>12</v>
      </c>
      <c r="AD476" t="s">
        <v>92</v>
      </c>
      <c r="AE476" t="s">
        <v>119</v>
      </c>
      <c r="AF476" t="s">
        <v>3021</v>
      </c>
    </row>
    <row r="477" spans="1:32" x14ac:dyDescent="0.45">
      <c r="A477" t="s">
        <v>3022</v>
      </c>
      <c r="B477" t="s">
        <v>3023</v>
      </c>
      <c r="C477" t="s">
        <v>3024</v>
      </c>
      <c r="D477" t="s">
        <v>3025</v>
      </c>
      <c r="E477" t="s">
        <v>3026</v>
      </c>
      <c r="F477" t="s">
        <v>3027</v>
      </c>
      <c r="H477" t="s">
        <v>3028</v>
      </c>
      <c r="J477" t="s">
        <v>92</v>
      </c>
      <c r="K477" t="s">
        <v>12</v>
      </c>
      <c r="L477" t="s">
        <v>12</v>
      </c>
      <c r="M477" t="s">
        <v>182</v>
      </c>
      <c r="N477" t="s">
        <v>12</v>
      </c>
      <c r="O477" t="s">
        <v>12</v>
      </c>
      <c r="P477" t="s">
        <v>12</v>
      </c>
      <c r="Q477" t="s">
        <v>92</v>
      </c>
      <c r="R477" t="s">
        <v>182</v>
      </c>
      <c r="S477" t="s">
        <v>92</v>
      </c>
      <c r="T477" t="s">
        <v>3022</v>
      </c>
      <c r="U477" t="s">
        <v>12</v>
      </c>
      <c r="V477" t="s">
        <v>12</v>
      </c>
      <c r="W477" t="s">
        <v>3029</v>
      </c>
      <c r="AA477" t="s">
        <v>92</v>
      </c>
      <c r="AB477" t="s">
        <v>92</v>
      </c>
      <c r="AC477" t="s">
        <v>12</v>
      </c>
      <c r="AD477" t="s">
        <v>92</v>
      </c>
      <c r="AE477" t="s">
        <v>112</v>
      </c>
      <c r="AF477" t="s">
        <v>3030</v>
      </c>
    </row>
    <row r="478" spans="1:32" x14ac:dyDescent="0.45">
      <c r="A478" t="s">
        <v>3031</v>
      </c>
      <c r="B478" t="s">
        <v>3032</v>
      </c>
      <c r="C478" t="s">
        <v>3033</v>
      </c>
      <c r="D478" t="s">
        <v>3032</v>
      </c>
      <c r="E478" t="s">
        <v>2890</v>
      </c>
      <c r="F478" t="s">
        <v>3034</v>
      </c>
      <c r="H478" t="s">
        <v>3035</v>
      </c>
      <c r="J478" t="s">
        <v>92</v>
      </c>
      <c r="K478" t="s">
        <v>12</v>
      </c>
      <c r="L478" t="s">
        <v>12</v>
      </c>
      <c r="M478" t="s">
        <v>182</v>
      </c>
      <c r="N478" t="s">
        <v>12</v>
      </c>
      <c r="O478" t="s">
        <v>12</v>
      </c>
      <c r="P478" t="s">
        <v>12</v>
      </c>
      <c r="Q478" t="s">
        <v>92</v>
      </c>
      <c r="R478" t="s">
        <v>182</v>
      </c>
      <c r="S478" t="s">
        <v>92</v>
      </c>
      <c r="T478" t="s">
        <v>3031</v>
      </c>
      <c r="U478" t="s">
        <v>12</v>
      </c>
      <c r="V478" t="s">
        <v>12</v>
      </c>
      <c r="W478" t="s">
        <v>1681</v>
      </c>
      <c r="AA478" t="s">
        <v>92</v>
      </c>
      <c r="AB478" t="s">
        <v>92</v>
      </c>
      <c r="AC478" t="s">
        <v>12</v>
      </c>
      <c r="AD478" t="s">
        <v>92</v>
      </c>
      <c r="AE478" t="s">
        <v>119</v>
      </c>
      <c r="AF478" t="s">
        <v>3036</v>
      </c>
    </row>
    <row r="479" spans="1:32" x14ac:dyDescent="0.45">
      <c r="A479" t="s">
        <v>142</v>
      </c>
      <c r="B479" t="s">
        <v>31</v>
      </c>
      <c r="C479" t="s">
        <v>3037</v>
      </c>
      <c r="D479" t="s">
        <v>31</v>
      </c>
      <c r="E479" t="s">
        <v>2239</v>
      </c>
      <c r="F479" t="s">
        <v>3038</v>
      </c>
      <c r="G479" t="s">
        <v>3039</v>
      </c>
      <c r="H479" t="s">
        <v>3040</v>
      </c>
      <c r="J479" t="s">
        <v>92</v>
      </c>
      <c r="K479" t="s">
        <v>12</v>
      </c>
      <c r="L479" t="s">
        <v>12</v>
      </c>
      <c r="M479" t="s">
        <v>182</v>
      </c>
      <c r="N479" t="s">
        <v>12</v>
      </c>
      <c r="O479" t="s">
        <v>12</v>
      </c>
      <c r="P479" t="s">
        <v>12</v>
      </c>
      <c r="Q479" t="s">
        <v>92</v>
      </c>
      <c r="R479" t="s">
        <v>182</v>
      </c>
      <c r="S479" t="s">
        <v>92</v>
      </c>
      <c r="T479" t="s">
        <v>142</v>
      </c>
      <c r="U479" t="s">
        <v>12</v>
      </c>
      <c r="V479" t="s">
        <v>12</v>
      </c>
      <c r="W479" t="s">
        <v>657</v>
      </c>
      <c r="AA479" t="s">
        <v>92</v>
      </c>
      <c r="AB479" t="s">
        <v>92</v>
      </c>
      <c r="AC479" t="s">
        <v>12</v>
      </c>
      <c r="AD479" t="s">
        <v>92</v>
      </c>
      <c r="AE479" t="s">
        <v>119</v>
      </c>
      <c r="AF479" t="s">
        <v>3041</v>
      </c>
    </row>
    <row r="480" spans="1:32" x14ac:dyDescent="0.45">
      <c r="A480" t="s">
        <v>3042</v>
      </c>
      <c r="B480" t="s">
        <v>3043</v>
      </c>
      <c r="C480" t="s">
        <v>3044</v>
      </c>
      <c r="D480" t="s">
        <v>3043</v>
      </c>
      <c r="E480" t="s">
        <v>2239</v>
      </c>
      <c r="F480" t="s">
        <v>3038</v>
      </c>
      <c r="G480" t="s">
        <v>3039</v>
      </c>
      <c r="H480" t="s">
        <v>3040</v>
      </c>
      <c r="J480" t="s">
        <v>92</v>
      </c>
      <c r="K480" t="s">
        <v>12</v>
      </c>
      <c r="L480" t="s">
        <v>12</v>
      </c>
      <c r="M480" t="s">
        <v>182</v>
      </c>
      <c r="N480" t="s">
        <v>12</v>
      </c>
      <c r="O480" t="s">
        <v>12</v>
      </c>
      <c r="P480" t="s">
        <v>12</v>
      </c>
      <c r="Q480" t="s">
        <v>92</v>
      </c>
      <c r="R480" t="s">
        <v>182</v>
      </c>
      <c r="S480" t="s">
        <v>92</v>
      </c>
      <c r="T480" t="s">
        <v>3042</v>
      </c>
      <c r="U480" t="s">
        <v>12</v>
      </c>
      <c r="V480" t="s">
        <v>12</v>
      </c>
      <c r="W480" t="s">
        <v>657</v>
      </c>
      <c r="AA480" t="s">
        <v>92</v>
      </c>
      <c r="AB480" t="s">
        <v>92</v>
      </c>
      <c r="AC480" t="s">
        <v>12</v>
      </c>
      <c r="AD480" t="s">
        <v>92</v>
      </c>
      <c r="AE480" t="s">
        <v>119</v>
      </c>
      <c r="AF480" t="s">
        <v>3045</v>
      </c>
    </row>
    <row r="481" spans="1:32" x14ac:dyDescent="0.45">
      <c r="A481" t="s">
        <v>3046</v>
      </c>
      <c r="B481" t="s">
        <v>3047</v>
      </c>
      <c r="C481" t="s">
        <v>3048</v>
      </c>
      <c r="D481" t="s">
        <v>3049</v>
      </c>
      <c r="E481" t="s">
        <v>3050</v>
      </c>
      <c r="F481" t="s">
        <v>3051</v>
      </c>
      <c r="G481" t="s">
        <v>3052</v>
      </c>
      <c r="H481" t="s">
        <v>3053</v>
      </c>
      <c r="I481" t="s">
        <v>3054</v>
      </c>
      <c r="J481" t="s">
        <v>92</v>
      </c>
      <c r="K481" t="s">
        <v>12</v>
      </c>
      <c r="L481" t="s">
        <v>12</v>
      </c>
      <c r="M481" t="s">
        <v>182</v>
      </c>
      <c r="N481" t="s">
        <v>12</v>
      </c>
      <c r="O481" t="s">
        <v>12</v>
      </c>
      <c r="P481" t="s">
        <v>12</v>
      </c>
      <c r="Q481" t="s">
        <v>92</v>
      </c>
      <c r="R481" t="s">
        <v>182</v>
      </c>
      <c r="S481" t="s">
        <v>92</v>
      </c>
      <c r="T481" t="s">
        <v>3046</v>
      </c>
      <c r="U481" t="s">
        <v>12</v>
      </c>
      <c r="V481" t="s">
        <v>12</v>
      </c>
      <c r="W481" t="s">
        <v>12</v>
      </c>
      <c r="Z481" t="s">
        <v>610</v>
      </c>
      <c r="AA481" t="s">
        <v>92</v>
      </c>
      <c r="AB481" t="s">
        <v>92</v>
      </c>
      <c r="AC481" t="s">
        <v>12</v>
      </c>
      <c r="AD481" t="s">
        <v>92</v>
      </c>
      <c r="AE481" t="s">
        <v>166</v>
      </c>
      <c r="AF481" t="s">
        <v>3055</v>
      </c>
    </row>
    <row r="482" spans="1:32" x14ac:dyDescent="0.45">
      <c r="A482" t="s">
        <v>3056</v>
      </c>
      <c r="B482" t="s">
        <v>3057</v>
      </c>
      <c r="C482" t="s">
        <v>3058</v>
      </c>
      <c r="D482" t="s">
        <v>3057</v>
      </c>
      <c r="E482" t="s">
        <v>3059</v>
      </c>
      <c r="F482" t="s">
        <v>3060</v>
      </c>
      <c r="H482" t="s">
        <v>3061</v>
      </c>
      <c r="I482" t="s">
        <v>3061</v>
      </c>
      <c r="J482" t="s">
        <v>92</v>
      </c>
      <c r="K482" t="s">
        <v>12</v>
      </c>
      <c r="L482" t="s">
        <v>12</v>
      </c>
      <c r="M482" t="s">
        <v>182</v>
      </c>
      <c r="N482" t="s">
        <v>12</v>
      </c>
      <c r="O482" t="s">
        <v>12</v>
      </c>
      <c r="P482" t="s">
        <v>12</v>
      </c>
      <c r="Q482" t="s">
        <v>92</v>
      </c>
      <c r="R482" t="s">
        <v>182</v>
      </c>
      <c r="S482" t="s">
        <v>92</v>
      </c>
      <c r="T482" t="s">
        <v>3056</v>
      </c>
      <c r="U482" t="s">
        <v>12</v>
      </c>
      <c r="V482" t="s">
        <v>12</v>
      </c>
      <c r="W482" t="s">
        <v>100</v>
      </c>
      <c r="AA482" t="s">
        <v>92</v>
      </c>
      <c r="AB482" t="s">
        <v>92</v>
      </c>
      <c r="AC482" t="s">
        <v>12</v>
      </c>
      <c r="AD482" t="s">
        <v>92</v>
      </c>
      <c r="AE482" t="s">
        <v>119</v>
      </c>
      <c r="AF482" t="s">
        <v>3062</v>
      </c>
    </row>
    <row r="483" spans="1:32" x14ac:dyDescent="0.45">
      <c r="A483" t="s">
        <v>3063</v>
      </c>
      <c r="B483" t="s">
        <v>3064</v>
      </c>
      <c r="C483" t="s">
        <v>3065</v>
      </c>
      <c r="D483" t="s">
        <v>3066</v>
      </c>
      <c r="E483" t="s">
        <v>3067</v>
      </c>
      <c r="G483" t="s">
        <v>3068</v>
      </c>
      <c r="H483" t="s">
        <v>3069</v>
      </c>
      <c r="I483" t="s">
        <v>3070</v>
      </c>
      <c r="J483" t="s">
        <v>92</v>
      </c>
      <c r="K483" t="s">
        <v>12</v>
      </c>
      <c r="L483" t="s">
        <v>12</v>
      </c>
      <c r="M483" t="s">
        <v>182</v>
      </c>
      <c r="N483" t="s">
        <v>12</v>
      </c>
      <c r="O483" t="s">
        <v>12</v>
      </c>
      <c r="P483" t="s">
        <v>12</v>
      </c>
      <c r="Q483" t="s">
        <v>92</v>
      </c>
      <c r="R483" t="s">
        <v>182</v>
      </c>
      <c r="S483" t="s">
        <v>92</v>
      </c>
      <c r="T483" t="s">
        <v>3063</v>
      </c>
      <c r="U483" t="s">
        <v>12</v>
      </c>
      <c r="V483" t="s">
        <v>12</v>
      </c>
      <c r="W483" t="s">
        <v>910</v>
      </c>
      <c r="AA483" t="s">
        <v>92</v>
      </c>
      <c r="AB483" t="s">
        <v>12</v>
      </c>
      <c r="AC483" t="s">
        <v>12</v>
      </c>
      <c r="AD483" t="s">
        <v>92</v>
      </c>
      <c r="AE483" t="s">
        <v>119</v>
      </c>
      <c r="AF483" t="s">
        <v>3071</v>
      </c>
    </row>
    <row r="484" spans="1:32" x14ac:dyDescent="0.45">
      <c r="A484" t="s">
        <v>3072</v>
      </c>
      <c r="B484" t="s">
        <v>3073</v>
      </c>
      <c r="C484" t="s">
        <v>3074</v>
      </c>
      <c r="D484" t="s">
        <v>3075</v>
      </c>
      <c r="E484" t="s">
        <v>3067</v>
      </c>
      <c r="G484" t="s">
        <v>3068</v>
      </c>
      <c r="H484" t="s">
        <v>3069</v>
      </c>
      <c r="I484" t="s">
        <v>3070</v>
      </c>
      <c r="J484" t="s">
        <v>92</v>
      </c>
      <c r="K484" t="s">
        <v>12</v>
      </c>
      <c r="L484" t="s">
        <v>12</v>
      </c>
      <c r="M484" t="s">
        <v>182</v>
      </c>
      <c r="N484" t="s">
        <v>12</v>
      </c>
      <c r="O484" t="s">
        <v>12</v>
      </c>
      <c r="P484" t="s">
        <v>12</v>
      </c>
      <c r="Q484" t="s">
        <v>92</v>
      </c>
      <c r="R484" t="s">
        <v>182</v>
      </c>
      <c r="S484" t="s">
        <v>92</v>
      </c>
      <c r="T484" t="s">
        <v>3072</v>
      </c>
      <c r="U484" t="s">
        <v>12</v>
      </c>
      <c r="V484" t="s">
        <v>12</v>
      </c>
      <c r="W484" t="s">
        <v>910</v>
      </c>
      <c r="AA484" t="s">
        <v>92</v>
      </c>
      <c r="AB484" t="s">
        <v>12</v>
      </c>
      <c r="AC484" t="s">
        <v>12</v>
      </c>
      <c r="AD484" t="s">
        <v>92</v>
      </c>
      <c r="AE484" t="s">
        <v>119</v>
      </c>
      <c r="AF484" t="s">
        <v>3076</v>
      </c>
    </row>
    <row r="485" spans="1:32" x14ac:dyDescent="0.45">
      <c r="A485" t="s">
        <v>3077</v>
      </c>
      <c r="B485" t="s">
        <v>3078</v>
      </c>
      <c r="C485" t="s">
        <v>3079</v>
      </c>
      <c r="D485" t="s">
        <v>3078</v>
      </c>
      <c r="E485" t="s">
        <v>3080</v>
      </c>
      <c r="F485" t="s">
        <v>3081</v>
      </c>
      <c r="H485" t="s">
        <v>3082</v>
      </c>
      <c r="J485" t="s">
        <v>92</v>
      </c>
      <c r="K485" t="s">
        <v>12</v>
      </c>
      <c r="L485" t="s">
        <v>12</v>
      </c>
      <c r="M485" t="s">
        <v>182</v>
      </c>
      <c r="N485" t="s">
        <v>12</v>
      </c>
      <c r="O485" t="s">
        <v>12</v>
      </c>
      <c r="P485" t="s">
        <v>12</v>
      </c>
      <c r="Q485" t="s">
        <v>92</v>
      </c>
      <c r="R485" t="s">
        <v>182</v>
      </c>
      <c r="S485" t="s">
        <v>92</v>
      </c>
      <c r="T485" t="s">
        <v>3077</v>
      </c>
      <c r="U485" t="s">
        <v>12</v>
      </c>
      <c r="V485" t="s">
        <v>12</v>
      </c>
      <c r="W485" t="s">
        <v>657</v>
      </c>
      <c r="AA485" t="s">
        <v>12</v>
      </c>
      <c r="AB485" t="s">
        <v>12</v>
      </c>
      <c r="AC485" t="s">
        <v>12</v>
      </c>
      <c r="AD485" t="s">
        <v>92</v>
      </c>
      <c r="AE485" t="s">
        <v>166</v>
      </c>
      <c r="AF485" t="s">
        <v>3083</v>
      </c>
    </row>
    <row r="486" spans="1:32" x14ac:dyDescent="0.45">
      <c r="A486" t="s">
        <v>181</v>
      </c>
      <c r="B486" t="s">
        <v>3084</v>
      </c>
      <c r="C486" t="s">
        <v>3085</v>
      </c>
      <c r="D486" t="s">
        <v>49</v>
      </c>
      <c r="E486" t="s">
        <v>3086</v>
      </c>
      <c r="F486" t="s">
        <v>3087</v>
      </c>
      <c r="H486" t="s">
        <v>3088</v>
      </c>
      <c r="I486" t="s">
        <v>3089</v>
      </c>
      <c r="J486" t="s">
        <v>92</v>
      </c>
      <c r="K486" t="s">
        <v>12</v>
      </c>
      <c r="L486" t="s">
        <v>12</v>
      </c>
      <c r="M486" t="s">
        <v>182</v>
      </c>
      <c r="N486" t="s">
        <v>12</v>
      </c>
      <c r="O486" t="s">
        <v>12</v>
      </c>
      <c r="P486" t="s">
        <v>12</v>
      </c>
      <c r="Q486" t="s">
        <v>92</v>
      </c>
      <c r="R486" t="s">
        <v>182</v>
      </c>
      <c r="S486" t="s">
        <v>92</v>
      </c>
      <c r="T486" t="s">
        <v>181</v>
      </c>
      <c r="U486" t="s">
        <v>12</v>
      </c>
      <c r="V486" t="s">
        <v>12</v>
      </c>
      <c r="W486" t="s">
        <v>1141</v>
      </c>
      <c r="AA486" t="s">
        <v>92</v>
      </c>
      <c r="AB486" t="s">
        <v>92</v>
      </c>
      <c r="AC486" t="s">
        <v>12</v>
      </c>
      <c r="AD486" t="s">
        <v>92</v>
      </c>
      <c r="AE486" t="s">
        <v>166</v>
      </c>
      <c r="AF486" t="s">
        <v>3090</v>
      </c>
    </row>
    <row r="487" spans="1:32" x14ac:dyDescent="0.45">
      <c r="A487" t="s">
        <v>3091</v>
      </c>
      <c r="B487" t="s">
        <v>3092</v>
      </c>
      <c r="C487" t="s">
        <v>3093</v>
      </c>
      <c r="D487" t="s">
        <v>3094</v>
      </c>
      <c r="E487" t="s">
        <v>3095</v>
      </c>
      <c r="F487" t="s">
        <v>3096</v>
      </c>
      <c r="H487" t="s">
        <v>3097</v>
      </c>
      <c r="J487" t="s">
        <v>92</v>
      </c>
      <c r="K487" t="s">
        <v>12</v>
      </c>
      <c r="L487" t="s">
        <v>12</v>
      </c>
      <c r="M487" t="s">
        <v>182</v>
      </c>
      <c r="N487" t="s">
        <v>12</v>
      </c>
      <c r="O487" t="s">
        <v>12</v>
      </c>
      <c r="P487" t="s">
        <v>12</v>
      </c>
      <c r="Q487" t="s">
        <v>92</v>
      </c>
      <c r="R487" t="s">
        <v>182</v>
      </c>
      <c r="S487" t="s">
        <v>92</v>
      </c>
      <c r="T487" t="s">
        <v>3091</v>
      </c>
      <c r="U487" t="s">
        <v>12</v>
      </c>
      <c r="V487" t="s">
        <v>12</v>
      </c>
      <c r="W487" t="s">
        <v>92</v>
      </c>
      <c r="AA487" t="s">
        <v>92</v>
      </c>
      <c r="AB487" t="s">
        <v>12</v>
      </c>
      <c r="AC487" t="s">
        <v>12</v>
      </c>
      <c r="AD487" t="s">
        <v>92</v>
      </c>
      <c r="AE487" t="s">
        <v>119</v>
      </c>
      <c r="AF487" t="s">
        <v>3098</v>
      </c>
    </row>
    <row r="488" spans="1:32" x14ac:dyDescent="0.45">
      <c r="A488" t="s">
        <v>3099</v>
      </c>
      <c r="B488" t="s">
        <v>3100</v>
      </c>
      <c r="C488" t="s">
        <v>3101</v>
      </c>
      <c r="D488" t="s">
        <v>3100</v>
      </c>
      <c r="E488" t="s">
        <v>3102</v>
      </c>
      <c r="F488" t="s">
        <v>3103</v>
      </c>
      <c r="H488" t="s">
        <v>3104</v>
      </c>
      <c r="J488" t="s">
        <v>92</v>
      </c>
      <c r="K488" t="s">
        <v>12</v>
      </c>
      <c r="L488" t="s">
        <v>12</v>
      </c>
      <c r="M488" t="s">
        <v>182</v>
      </c>
      <c r="N488" t="s">
        <v>12</v>
      </c>
      <c r="O488" t="s">
        <v>12</v>
      </c>
      <c r="P488" t="s">
        <v>12</v>
      </c>
      <c r="Q488" t="s">
        <v>92</v>
      </c>
      <c r="R488" t="s">
        <v>182</v>
      </c>
      <c r="S488" t="s">
        <v>92</v>
      </c>
      <c r="T488" t="s">
        <v>3099</v>
      </c>
      <c r="U488" t="s">
        <v>12</v>
      </c>
      <c r="V488" t="s">
        <v>12</v>
      </c>
      <c r="W488" t="s">
        <v>92</v>
      </c>
      <c r="AA488" t="s">
        <v>92</v>
      </c>
      <c r="AB488" t="s">
        <v>12</v>
      </c>
      <c r="AC488" t="s">
        <v>12</v>
      </c>
      <c r="AD488" t="s">
        <v>92</v>
      </c>
      <c r="AE488" t="s">
        <v>119</v>
      </c>
      <c r="AF488" t="s">
        <v>3105</v>
      </c>
    </row>
    <row r="489" spans="1:32" x14ac:dyDescent="0.45">
      <c r="A489" t="s">
        <v>3106</v>
      </c>
      <c r="B489" t="s">
        <v>3107</v>
      </c>
      <c r="C489" t="s">
        <v>3108</v>
      </c>
      <c r="D489" t="s">
        <v>3107</v>
      </c>
      <c r="E489" t="s">
        <v>1416</v>
      </c>
      <c r="F489" t="s">
        <v>3109</v>
      </c>
      <c r="H489" t="s">
        <v>3110</v>
      </c>
      <c r="J489" t="s">
        <v>92</v>
      </c>
      <c r="K489" t="s">
        <v>12</v>
      </c>
      <c r="L489" t="s">
        <v>12</v>
      </c>
      <c r="M489" t="s">
        <v>182</v>
      </c>
      <c r="N489" t="s">
        <v>12</v>
      </c>
      <c r="O489" t="s">
        <v>12</v>
      </c>
      <c r="P489" t="s">
        <v>12</v>
      </c>
      <c r="Q489" t="s">
        <v>92</v>
      </c>
      <c r="R489" t="s">
        <v>182</v>
      </c>
      <c r="S489" t="s">
        <v>92</v>
      </c>
      <c r="T489" t="s">
        <v>3106</v>
      </c>
      <c r="U489" t="s">
        <v>12</v>
      </c>
      <c r="V489" t="s">
        <v>12</v>
      </c>
      <c r="W489" t="s">
        <v>92</v>
      </c>
      <c r="AA489" t="s">
        <v>92</v>
      </c>
      <c r="AB489" t="s">
        <v>92</v>
      </c>
      <c r="AC489" t="s">
        <v>12</v>
      </c>
      <c r="AD489" t="s">
        <v>92</v>
      </c>
      <c r="AE489" t="s">
        <v>166</v>
      </c>
      <c r="AF489" t="s">
        <v>3111</v>
      </c>
    </row>
    <row r="490" spans="1:32" x14ac:dyDescent="0.45">
      <c r="A490" t="s">
        <v>3112</v>
      </c>
      <c r="B490" t="s">
        <v>3113</v>
      </c>
      <c r="C490" t="s">
        <v>3114</v>
      </c>
      <c r="D490" t="s">
        <v>3113</v>
      </c>
      <c r="E490" t="s">
        <v>3115</v>
      </c>
      <c r="F490" t="s">
        <v>3116</v>
      </c>
      <c r="G490" t="s">
        <v>3117</v>
      </c>
      <c r="H490" t="s">
        <v>3118</v>
      </c>
      <c r="J490" t="s">
        <v>92</v>
      </c>
      <c r="K490" t="s">
        <v>12</v>
      </c>
      <c r="L490" t="s">
        <v>12</v>
      </c>
      <c r="M490" t="s">
        <v>182</v>
      </c>
      <c r="N490" t="s">
        <v>12</v>
      </c>
      <c r="O490" t="s">
        <v>12</v>
      </c>
      <c r="P490" t="s">
        <v>12</v>
      </c>
      <c r="Q490" t="s">
        <v>92</v>
      </c>
      <c r="R490" t="s">
        <v>182</v>
      </c>
      <c r="S490" t="s">
        <v>92</v>
      </c>
      <c r="T490" t="s">
        <v>3112</v>
      </c>
      <c r="U490" t="s">
        <v>12</v>
      </c>
      <c r="V490" t="s">
        <v>12</v>
      </c>
      <c r="W490" t="s">
        <v>12</v>
      </c>
      <c r="AA490" t="s">
        <v>92</v>
      </c>
      <c r="AB490" t="s">
        <v>92</v>
      </c>
      <c r="AC490" t="s">
        <v>12</v>
      </c>
      <c r="AD490" t="s">
        <v>92</v>
      </c>
      <c r="AE490" t="s">
        <v>166</v>
      </c>
      <c r="AF490" t="s">
        <v>3119</v>
      </c>
    </row>
    <row r="491" spans="1:32" x14ac:dyDescent="0.45">
      <c r="A491" t="s">
        <v>3120</v>
      </c>
      <c r="B491" t="s">
        <v>3121</v>
      </c>
      <c r="C491" t="s">
        <v>3122</v>
      </c>
      <c r="D491" t="s">
        <v>3121</v>
      </c>
      <c r="E491" t="s">
        <v>3123</v>
      </c>
      <c r="F491" t="s">
        <v>3124</v>
      </c>
      <c r="H491" t="s">
        <v>3125</v>
      </c>
      <c r="I491" t="s">
        <v>3126</v>
      </c>
      <c r="J491" t="s">
        <v>92</v>
      </c>
      <c r="K491" t="s">
        <v>12</v>
      </c>
      <c r="L491" t="s">
        <v>12</v>
      </c>
      <c r="M491" t="s">
        <v>182</v>
      </c>
      <c r="N491" t="s">
        <v>12</v>
      </c>
      <c r="O491" t="s">
        <v>12</v>
      </c>
      <c r="P491" t="s">
        <v>12</v>
      </c>
      <c r="Q491" t="s">
        <v>92</v>
      </c>
      <c r="R491" t="s">
        <v>182</v>
      </c>
      <c r="S491" t="s">
        <v>92</v>
      </c>
      <c r="T491" t="s">
        <v>3120</v>
      </c>
      <c r="U491" t="s">
        <v>12</v>
      </c>
      <c r="V491" t="s">
        <v>12</v>
      </c>
      <c r="W491" t="s">
        <v>12</v>
      </c>
      <c r="AA491" t="s">
        <v>92</v>
      </c>
      <c r="AB491" t="s">
        <v>92</v>
      </c>
      <c r="AC491" t="s">
        <v>12</v>
      </c>
      <c r="AD491" t="s">
        <v>92</v>
      </c>
      <c r="AE491" t="s">
        <v>119</v>
      </c>
      <c r="AF491" t="s">
        <v>3127</v>
      </c>
    </row>
    <row r="492" spans="1:32" x14ac:dyDescent="0.45">
      <c r="A492" t="s">
        <v>3128</v>
      </c>
      <c r="B492" t="s">
        <v>3129</v>
      </c>
      <c r="C492" t="s">
        <v>3130</v>
      </c>
      <c r="D492" t="s">
        <v>3131</v>
      </c>
      <c r="E492" t="s">
        <v>1749</v>
      </c>
      <c r="F492" t="s">
        <v>3132</v>
      </c>
      <c r="H492" t="s">
        <v>3133</v>
      </c>
      <c r="J492" t="s">
        <v>92</v>
      </c>
      <c r="K492" t="s">
        <v>12</v>
      </c>
      <c r="L492" t="s">
        <v>12</v>
      </c>
      <c r="M492" t="s">
        <v>182</v>
      </c>
      <c r="N492" t="s">
        <v>12</v>
      </c>
      <c r="O492" t="s">
        <v>12</v>
      </c>
      <c r="P492" t="s">
        <v>12</v>
      </c>
      <c r="Q492" t="s">
        <v>92</v>
      </c>
      <c r="R492" t="s">
        <v>182</v>
      </c>
      <c r="S492" t="s">
        <v>92</v>
      </c>
      <c r="T492" t="s">
        <v>3128</v>
      </c>
      <c r="U492" t="s">
        <v>12</v>
      </c>
      <c r="V492" t="s">
        <v>12</v>
      </c>
      <c r="W492" t="s">
        <v>92</v>
      </c>
      <c r="AA492" t="s">
        <v>92</v>
      </c>
      <c r="AB492" t="s">
        <v>12</v>
      </c>
      <c r="AC492" t="s">
        <v>12</v>
      </c>
      <c r="AD492" t="s">
        <v>92</v>
      </c>
      <c r="AE492" t="s">
        <v>119</v>
      </c>
      <c r="AF492" t="s">
        <v>3134</v>
      </c>
    </row>
    <row r="493" spans="1:32" x14ac:dyDescent="0.45">
      <c r="A493" t="s">
        <v>3135</v>
      </c>
      <c r="B493" t="s">
        <v>3129</v>
      </c>
      <c r="C493" t="s">
        <v>3130</v>
      </c>
      <c r="D493" t="s">
        <v>3136</v>
      </c>
      <c r="E493" t="s">
        <v>1749</v>
      </c>
      <c r="F493" t="s">
        <v>3132</v>
      </c>
      <c r="H493" t="s">
        <v>3133</v>
      </c>
      <c r="J493" t="s">
        <v>92</v>
      </c>
      <c r="K493" t="s">
        <v>12</v>
      </c>
      <c r="L493" t="s">
        <v>12</v>
      </c>
      <c r="M493" t="s">
        <v>182</v>
      </c>
      <c r="N493" t="s">
        <v>12</v>
      </c>
      <c r="O493" t="s">
        <v>12</v>
      </c>
      <c r="P493" t="s">
        <v>12</v>
      </c>
      <c r="Q493" t="s">
        <v>92</v>
      </c>
      <c r="R493" t="s">
        <v>182</v>
      </c>
      <c r="S493" t="s">
        <v>92</v>
      </c>
      <c r="T493" t="s">
        <v>3135</v>
      </c>
      <c r="U493" t="s">
        <v>12</v>
      </c>
      <c r="V493" t="s">
        <v>12</v>
      </c>
      <c r="W493" t="s">
        <v>92</v>
      </c>
      <c r="AA493" t="s">
        <v>92</v>
      </c>
      <c r="AB493" t="s">
        <v>92</v>
      </c>
      <c r="AC493" t="s">
        <v>12</v>
      </c>
      <c r="AD493" t="s">
        <v>92</v>
      </c>
      <c r="AE493" t="s">
        <v>166</v>
      </c>
      <c r="AF493" t="s">
        <v>3137</v>
      </c>
    </row>
    <row r="494" spans="1:32" x14ac:dyDescent="0.45">
      <c r="A494" t="s">
        <v>3138</v>
      </c>
      <c r="B494" t="s">
        <v>3139</v>
      </c>
      <c r="C494" t="s">
        <v>3140</v>
      </c>
      <c r="D494" t="s">
        <v>3139</v>
      </c>
      <c r="E494" t="s">
        <v>635</v>
      </c>
      <c r="F494" t="s">
        <v>3141</v>
      </c>
      <c r="H494" t="s">
        <v>3142</v>
      </c>
      <c r="I494" t="s">
        <v>3143</v>
      </c>
      <c r="J494" t="s">
        <v>92</v>
      </c>
      <c r="K494" t="s">
        <v>12</v>
      </c>
      <c r="L494" t="s">
        <v>12</v>
      </c>
      <c r="M494" t="s">
        <v>182</v>
      </c>
      <c r="N494" t="s">
        <v>12</v>
      </c>
      <c r="O494" t="s">
        <v>12</v>
      </c>
      <c r="P494" t="s">
        <v>12</v>
      </c>
      <c r="Q494" t="s">
        <v>92</v>
      </c>
      <c r="R494" t="s">
        <v>182</v>
      </c>
      <c r="S494" t="s">
        <v>92</v>
      </c>
      <c r="T494" t="s">
        <v>3138</v>
      </c>
      <c r="U494" t="s">
        <v>12</v>
      </c>
      <c r="V494" t="s">
        <v>12</v>
      </c>
      <c r="W494" t="s">
        <v>92</v>
      </c>
      <c r="AA494" t="s">
        <v>12</v>
      </c>
      <c r="AB494" t="s">
        <v>92</v>
      </c>
      <c r="AC494" t="s">
        <v>12</v>
      </c>
      <c r="AD494" t="s">
        <v>92</v>
      </c>
      <c r="AE494" t="s">
        <v>166</v>
      </c>
      <c r="AF494" t="s">
        <v>3144</v>
      </c>
    </row>
    <row r="495" spans="1:32" x14ac:dyDescent="0.45">
      <c r="A495" t="s">
        <v>165</v>
      </c>
      <c r="B495" t="s">
        <v>40</v>
      </c>
      <c r="C495" t="s">
        <v>3145</v>
      </c>
      <c r="D495" t="s">
        <v>40</v>
      </c>
      <c r="E495" t="s">
        <v>3146</v>
      </c>
      <c r="F495" t="s">
        <v>3147</v>
      </c>
      <c r="H495" t="s">
        <v>3148</v>
      </c>
      <c r="J495" t="s">
        <v>92</v>
      </c>
      <c r="K495" t="s">
        <v>12</v>
      </c>
      <c r="L495" t="s">
        <v>12</v>
      </c>
      <c r="M495" t="s">
        <v>182</v>
      </c>
      <c r="N495" t="s">
        <v>12</v>
      </c>
      <c r="O495" t="s">
        <v>12</v>
      </c>
      <c r="P495" t="s">
        <v>12</v>
      </c>
      <c r="Q495" t="s">
        <v>92</v>
      </c>
      <c r="R495" t="s">
        <v>182</v>
      </c>
      <c r="S495" t="s">
        <v>92</v>
      </c>
      <c r="T495" t="s">
        <v>165</v>
      </c>
      <c r="U495" t="s">
        <v>12</v>
      </c>
      <c r="V495" t="s">
        <v>12</v>
      </c>
      <c r="W495" t="s">
        <v>1714</v>
      </c>
      <c r="AA495" t="s">
        <v>92</v>
      </c>
      <c r="AB495" t="s">
        <v>92</v>
      </c>
      <c r="AC495" t="s">
        <v>12</v>
      </c>
      <c r="AD495" t="s">
        <v>92</v>
      </c>
      <c r="AE495" t="s">
        <v>130</v>
      </c>
      <c r="AF495" t="s">
        <v>3149</v>
      </c>
    </row>
    <row r="496" spans="1:32" x14ac:dyDescent="0.45">
      <c r="A496" t="s">
        <v>3150</v>
      </c>
      <c r="B496" t="s">
        <v>3151</v>
      </c>
      <c r="C496" t="s">
        <v>2360</v>
      </c>
      <c r="D496" t="s">
        <v>3151</v>
      </c>
      <c r="E496" t="s">
        <v>3152</v>
      </c>
      <c r="F496" t="s">
        <v>3153</v>
      </c>
      <c r="H496" t="s">
        <v>3154</v>
      </c>
      <c r="I496" t="s">
        <v>3155</v>
      </c>
      <c r="J496" t="s">
        <v>92</v>
      </c>
      <c r="K496" t="s">
        <v>12</v>
      </c>
      <c r="L496" t="s">
        <v>12</v>
      </c>
      <c r="M496" t="s">
        <v>182</v>
      </c>
      <c r="N496" t="s">
        <v>12</v>
      </c>
      <c r="O496" t="s">
        <v>12</v>
      </c>
      <c r="P496" t="s">
        <v>12</v>
      </c>
      <c r="Q496" t="s">
        <v>92</v>
      </c>
      <c r="R496" t="s">
        <v>182</v>
      </c>
      <c r="S496" t="s">
        <v>92</v>
      </c>
      <c r="T496" t="s">
        <v>3150</v>
      </c>
      <c r="U496" t="s">
        <v>12</v>
      </c>
      <c r="V496" t="s">
        <v>12</v>
      </c>
      <c r="W496" t="s">
        <v>1266</v>
      </c>
      <c r="AA496" t="s">
        <v>92</v>
      </c>
      <c r="AB496" t="s">
        <v>92</v>
      </c>
      <c r="AC496" t="s">
        <v>12</v>
      </c>
      <c r="AD496" t="s">
        <v>92</v>
      </c>
      <c r="AE496" t="s">
        <v>119</v>
      </c>
      <c r="AF496" t="s">
        <v>3156</v>
      </c>
    </row>
    <row r="497" spans="1:32" x14ac:dyDescent="0.45">
      <c r="A497" t="s">
        <v>3157</v>
      </c>
      <c r="B497" t="s">
        <v>3158</v>
      </c>
      <c r="C497" t="s">
        <v>3159</v>
      </c>
      <c r="D497" t="s">
        <v>3160</v>
      </c>
      <c r="E497" t="s">
        <v>3152</v>
      </c>
      <c r="F497" t="s">
        <v>3153</v>
      </c>
      <c r="H497" t="s">
        <v>3154</v>
      </c>
      <c r="I497" t="s">
        <v>3155</v>
      </c>
      <c r="J497" t="s">
        <v>92</v>
      </c>
      <c r="K497" t="s">
        <v>12</v>
      </c>
      <c r="L497" t="s">
        <v>12</v>
      </c>
      <c r="M497" t="s">
        <v>182</v>
      </c>
      <c r="N497" t="s">
        <v>12</v>
      </c>
      <c r="O497" t="s">
        <v>12</v>
      </c>
      <c r="P497" t="s">
        <v>12</v>
      </c>
      <c r="Q497" t="s">
        <v>92</v>
      </c>
      <c r="R497" t="s">
        <v>182</v>
      </c>
      <c r="S497" t="s">
        <v>92</v>
      </c>
      <c r="T497" t="s">
        <v>3157</v>
      </c>
      <c r="U497" t="s">
        <v>12</v>
      </c>
      <c r="V497" t="s">
        <v>12</v>
      </c>
      <c r="W497" t="s">
        <v>92</v>
      </c>
      <c r="AA497" t="s">
        <v>92</v>
      </c>
      <c r="AB497" t="s">
        <v>92</v>
      </c>
      <c r="AC497" t="s">
        <v>12</v>
      </c>
      <c r="AD497" t="s">
        <v>92</v>
      </c>
      <c r="AE497" t="s">
        <v>119</v>
      </c>
      <c r="AF497" t="s">
        <v>3161</v>
      </c>
    </row>
    <row r="498" spans="1:32" x14ac:dyDescent="0.45">
      <c r="A498" t="s">
        <v>3162</v>
      </c>
      <c r="B498" t="s">
        <v>3163</v>
      </c>
      <c r="C498" t="s">
        <v>3164</v>
      </c>
      <c r="D498" t="s">
        <v>3163</v>
      </c>
      <c r="E498" t="s">
        <v>3165</v>
      </c>
      <c r="F498" t="s">
        <v>3166</v>
      </c>
      <c r="H498" t="s">
        <v>3167</v>
      </c>
      <c r="J498" t="s">
        <v>92</v>
      </c>
      <c r="K498" t="s">
        <v>12</v>
      </c>
      <c r="L498" t="s">
        <v>12</v>
      </c>
      <c r="M498" t="s">
        <v>182</v>
      </c>
      <c r="N498" t="s">
        <v>12</v>
      </c>
      <c r="O498" t="s">
        <v>12</v>
      </c>
      <c r="P498" t="s">
        <v>12</v>
      </c>
      <c r="Q498" t="s">
        <v>92</v>
      </c>
      <c r="R498" t="s">
        <v>182</v>
      </c>
      <c r="S498" t="s">
        <v>92</v>
      </c>
      <c r="T498" t="s">
        <v>3162</v>
      </c>
      <c r="U498" t="s">
        <v>12</v>
      </c>
      <c r="V498" t="s">
        <v>12</v>
      </c>
      <c r="W498" t="s">
        <v>12</v>
      </c>
      <c r="AA498" t="s">
        <v>92</v>
      </c>
      <c r="AB498" t="s">
        <v>92</v>
      </c>
      <c r="AC498" t="s">
        <v>12</v>
      </c>
      <c r="AD498" t="s">
        <v>92</v>
      </c>
      <c r="AE498" t="s">
        <v>166</v>
      </c>
      <c r="AF498" t="s">
        <v>3168</v>
      </c>
    </row>
    <row r="499" spans="1:32" x14ac:dyDescent="0.45">
      <c r="A499" t="s">
        <v>3169</v>
      </c>
      <c r="B499" t="s">
        <v>3170</v>
      </c>
      <c r="C499" t="s">
        <v>3171</v>
      </c>
      <c r="D499" t="s">
        <v>3172</v>
      </c>
      <c r="E499" t="s">
        <v>3173</v>
      </c>
      <c r="F499" t="s">
        <v>3174</v>
      </c>
      <c r="H499" t="s">
        <v>3175</v>
      </c>
      <c r="I499" t="s">
        <v>3176</v>
      </c>
      <c r="J499" t="s">
        <v>92</v>
      </c>
      <c r="K499" t="s">
        <v>12</v>
      </c>
      <c r="L499" t="s">
        <v>12</v>
      </c>
      <c r="M499" t="s">
        <v>182</v>
      </c>
      <c r="N499" t="s">
        <v>12</v>
      </c>
      <c r="O499" t="s">
        <v>12</v>
      </c>
      <c r="P499" t="s">
        <v>12</v>
      </c>
      <c r="Q499" t="s">
        <v>92</v>
      </c>
      <c r="R499" t="s">
        <v>182</v>
      </c>
      <c r="S499" t="s">
        <v>92</v>
      </c>
      <c r="T499" t="s">
        <v>3169</v>
      </c>
      <c r="U499" t="s">
        <v>12</v>
      </c>
      <c r="V499" t="s">
        <v>12</v>
      </c>
      <c r="W499" t="s">
        <v>3169</v>
      </c>
      <c r="AA499" t="s">
        <v>92</v>
      </c>
      <c r="AB499" t="s">
        <v>92</v>
      </c>
      <c r="AC499" t="s">
        <v>12</v>
      </c>
      <c r="AD499" t="s">
        <v>92</v>
      </c>
      <c r="AE499" t="s">
        <v>166</v>
      </c>
      <c r="AF499" t="s">
        <v>3177</v>
      </c>
    </row>
    <row r="500" spans="1:32" x14ac:dyDescent="0.45">
      <c r="A500" t="s">
        <v>3178</v>
      </c>
      <c r="B500" t="s">
        <v>3179</v>
      </c>
      <c r="C500" t="s">
        <v>3180</v>
      </c>
      <c r="D500" t="s">
        <v>3179</v>
      </c>
      <c r="E500" t="s">
        <v>3181</v>
      </c>
      <c r="F500" t="s">
        <v>3182</v>
      </c>
      <c r="H500" t="s">
        <v>3183</v>
      </c>
      <c r="J500" t="s">
        <v>92</v>
      </c>
      <c r="K500" t="s">
        <v>12</v>
      </c>
      <c r="L500" t="s">
        <v>12</v>
      </c>
      <c r="M500" t="s">
        <v>182</v>
      </c>
      <c r="N500" t="s">
        <v>12</v>
      </c>
      <c r="O500" t="s">
        <v>12</v>
      </c>
      <c r="P500" t="s">
        <v>12</v>
      </c>
      <c r="Q500" t="s">
        <v>92</v>
      </c>
      <c r="R500" t="s">
        <v>182</v>
      </c>
      <c r="S500" t="s">
        <v>92</v>
      </c>
      <c r="T500" t="s">
        <v>3178</v>
      </c>
      <c r="U500" t="s">
        <v>12</v>
      </c>
      <c r="V500" t="s">
        <v>12</v>
      </c>
      <c r="W500" t="s">
        <v>12</v>
      </c>
      <c r="AA500" t="s">
        <v>92</v>
      </c>
      <c r="AB500" t="s">
        <v>92</v>
      </c>
      <c r="AC500" t="s">
        <v>12</v>
      </c>
      <c r="AD500" t="s">
        <v>92</v>
      </c>
      <c r="AE500" t="s">
        <v>166</v>
      </c>
      <c r="AF500" t="s">
        <v>3184</v>
      </c>
    </row>
    <row r="501" spans="1:32" x14ac:dyDescent="0.45">
      <c r="A501" t="s">
        <v>3185</v>
      </c>
      <c r="B501" t="s">
        <v>3186</v>
      </c>
      <c r="C501" t="s">
        <v>3187</v>
      </c>
      <c r="D501" t="s">
        <v>3188</v>
      </c>
      <c r="E501" t="s">
        <v>1375</v>
      </c>
      <c r="F501" t="s">
        <v>3189</v>
      </c>
      <c r="G501" t="s">
        <v>3190</v>
      </c>
      <c r="H501" t="s">
        <v>3191</v>
      </c>
      <c r="J501" t="s">
        <v>92</v>
      </c>
      <c r="K501" t="s">
        <v>12</v>
      </c>
      <c r="L501" t="s">
        <v>12</v>
      </c>
      <c r="M501" t="s">
        <v>182</v>
      </c>
      <c r="N501" t="s">
        <v>12</v>
      </c>
      <c r="O501" t="s">
        <v>12</v>
      </c>
      <c r="P501" t="s">
        <v>12</v>
      </c>
      <c r="Q501" t="s">
        <v>92</v>
      </c>
      <c r="R501" t="s">
        <v>182</v>
      </c>
      <c r="S501" t="s">
        <v>92</v>
      </c>
      <c r="T501" t="s">
        <v>3185</v>
      </c>
      <c r="U501" t="s">
        <v>12</v>
      </c>
      <c r="V501" t="s">
        <v>12</v>
      </c>
      <c r="W501" t="s">
        <v>12</v>
      </c>
      <c r="AA501" t="s">
        <v>92</v>
      </c>
      <c r="AB501" t="s">
        <v>92</v>
      </c>
      <c r="AC501" t="s">
        <v>12</v>
      </c>
      <c r="AD501" t="s">
        <v>92</v>
      </c>
      <c r="AE501" t="s">
        <v>130</v>
      </c>
      <c r="AF501" t="s">
        <v>3192</v>
      </c>
    </row>
    <row r="502" spans="1:32" x14ac:dyDescent="0.45">
      <c r="A502" t="s">
        <v>3193</v>
      </c>
      <c r="B502" t="s">
        <v>3194</v>
      </c>
      <c r="C502" t="s">
        <v>3195</v>
      </c>
      <c r="D502" t="s">
        <v>3194</v>
      </c>
      <c r="E502" t="s">
        <v>3196</v>
      </c>
      <c r="F502" t="s">
        <v>3197</v>
      </c>
      <c r="H502" t="s">
        <v>3198</v>
      </c>
      <c r="I502" t="s">
        <v>3198</v>
      </c>
      <c r="J502" t="s">
        <v>92</v>
      </c>
      <c r="K502" t="s">
        <v>12</v>
      </c>
      <c r="L502" t="s">
        <v>12</v>
      </c>
      <c r="M502" t="s">
        <v>182</v>
      </c>
      <c r="N502" t="s">
        <v>12</v>
      </c>
      <c r="O502" t="s">
        <v>12</v>
      </c>
      <c r="P502" t="s">
        <v>12</v>
      </c>
      <c r="Q502" t="s">
        <v>92</v>
      </c>
      <c r="R502" t="s">
        <v>182</v>
      </c>
      <c r="S502" t="s">
        <v>92</v>
      </c>
      <c r="T502" t="s">
        <v>3193</v>
      </c>
      <c r="U502" t="s">
        <v>12</v>
      </c>
      <c r="V502" t="s">
        <v>12</v>
      </c>
      <c r="W502" t="s">
        <v>12</v>
      </c>
      <c r="AA502" t="s">
        <v>92</v>
      </c>
      <c r="AB502" t="s">
        <v>92</v>
      </c>
      <c r="AC502" t="s">
        <v>12</v>
      </c>
      <c r="AD502" t="s">
        <v>92</v>
      </c>
      <c r="AE502" t="s">
        <v>119</v>
      </c>
      <c r="AF502" t="s">
        <v>3199</v>
      </c>
    </row>
    <row r="503" spans="1:32" x14ac:dyDescent="0.45">
      <c r="A503" t="s">
        <v>3200</v>
      </c>
      <c r="B503" t="s">
        <v>3201</v>
      </c>
      <c r="C503" t="s">
        <v>3202</v>
      </c>
      <c r="D503" t="s">
        <v>3203</v>
      </c>
      <c r="E503" t="s">
        <v>3204</v>
      </c>
      <c r="F503" t="s">
        <v>3205</v>
      </c>
      <c r="H503" t="s">
        <v>3206</v>
      </c>
      <c r="I503" t="s">
        <v>3207</v>
      </c>
      <c r="J503" t="s">
        <v>92</v>
      </c>
      <c r="K503" t="s">
        <v>12</v>
      </c>
      <c r="L503" t="s">
        <v>12</v>
      </c>
      <c r="M503" t="s">
        <v>182</v>
      </c>
      <c r="N503" t="s">
        <v>12</v>
      </c>
      <c r="O503" t="s">
        <v>12</v>
      </c>
      <c r="P503" t="s">
        <v>12</v>
      </c>
      <c r="Q503" t="s">
        <v>92</v>
      </c>
      <c r="R503" t="s">
        <v>182</v>
      </c>
      <c r="S503" t="s">
        <v>92</v>
      </c>
      <c r="T503" t="s">
        <v>3200</v>
      </c>
      <c r="U503" t="s">
        <v>12</v>
      </c>
      <c r="V503" t="s">
        <v>12</v>
      </c>
      <c r="W503" t="s">
        <v>2982</v>
      </c>
      <c r="AA503" t="s">
        <v>92</v>
      </c>
      <c r="AB503" t="s">
        <v>12</v>
      </c>
      <c r="AC503" t="s">
        <v>12</v>
      </c>
      <c r="AD503" t="s">
        <v>92</v>
      </c>
      <c r="AE503" t="s">
        <v>143</v>
      </c>
      <c r="AF503" t="s">
        <v>3208</v>
      </c>
    </row>
    <row r="504" spans="1:32" x14ac:dyDescent="0.45">
      <c r="A504" t="s">
        <v>3209</v>
      </c>
      <c r="B504" t="s">
        <v>3210</v>
      </c>
      <c r="C504" t="s">
        <v>3211</v>
      </c>
      <c r="D504" t="s">
        <v>3203</v>
      </c>
      <c r="E504" t="s">
        <v>3204</v>
      </c>
      <c r="F504" t="s">
        <v>3205</v>
      </c>
      <c r="H504" t="s">
        <v>3212</v>
      </c>
      <c r="J504" t="s">
        <v>92</v>
      </c>
      <c r="K504" t="s">
        <v>12</v>
      </c>
      <c r="L504" t="s">
        <v>12</v>
      </c>
      <c r="M504" t="s">
        <v>182</v>
      </c>
      <c r="N504" t="s">
        <v>12</v>
      </c>
      <c r="O504" t="s">
        <v>12</v>
      </c>
      <c r="P504" t="s">
        <v>12</v>
      </c>
      <c r="Q504" t="s">
        <v>92</v>
      </c>
      <c r="R504" t="s">
        <v>182</v>
      </c>
      <c r="S504" t="s">
        <v>92</v>
      </c>
      <c r="T504" t="s">
        <v>3209</v>
      </c>
      <c r="U504" t="s">
        <v>12</v>
      </c>
      <c r="V504" t="s">
        <v>12</v>
      </c>
      <c r="W504" t="s">
        <v>2982</v>
      </c>
      <c r="AA504" t="s">
        <v>92</v>
      </c>
      <c r="AB504" t="s">
        <v>12</v>
      </c>
      <c r="AC504" t="s">
        <v>12</v>
      </c>
      <c r="AD504" t="s">
        <v>92</v>
      </c>
      <c r="AE504" t="s">
        <v>143</v>
      </c>
      <c r="AF504" t="s">
        <v>3213</v>
      </c>
    </row>
    <row r="505" spans="1:32" x14ac:dyDescent="0.45">
      <c r="A505" t="s">
        <v>3214</v>
      </c>
      <c r="B505" t="s">
        <v>3215</v>
      </c>
      <c r="C505" t="s">
        <v>3216</v>
      </c>
      <c r="D505" t="s">
        <v>3215</v>
      </c>
      <c r="E505" t="s">
        <v>3217</v>
      </c>
      <c r="F505" t="s">
        <v>3218</v>
      </c>
      <c r="H505" t="s">
        <v>3219</v>
      </c>
      <c r="J505" t="s">
        <v>92</v>
      </c>
      <c r="K505" t="s">
        <v>12</v>
      </c>
      <c r="L505" t="s">
        <v>12</v>
      </c>
      <c r="M505" t="s">
        <v>182</v>
      </c>
      <c r="N505" t="s">
        <v>12</v>
      </c>
      <c r="O505" t="s">
        <v>12</v>
      </c>
      <c r="P505" t="s">
        <v>12</v>
      </c>
      <c r="Q505" t="s">
        <v>92</v>
      </c>
      <c r="R505" t="s">
        <v>182</v>
      </c>
      <c r="S505" t="s">
        <v>92</v>
      </c>
      <c r="T505" t="s">
        <v>3214</v>
      </c>
      <c r="U505" t="s">
        <v>12</v>
      </c>
      <c r="V505" t="s">
        <v>12</v>
      </c>
      <c r="W505" t="s">
        <v>657</v>
      </c>
      <c r="AA505" t="s">
        <v>92</v>
      </c>
      <c r="AB505" t="s">
        <v>92</v>
      </c>
      <c r="AC505" t="s">
        <v>12</v>
      </c>
      <c r="AD505" t="s">
        <v>92</v>
      </c>
      <c r="AE505" t="s">
        <v>119</v>
      </c>
      <c r="AF505" t="s">
        <v>3220</v>
      </c>
    </row>
    <row r="506" spans="1:32" x14ac:dyDescent="0.45">
      <c r="A506" t="s">
        <v>168</v>
      </c>
      <c r="B506" t="s">
        <v>41</v>
      </c>
      <c r="C506" t="s">
        <v>3221</v>
      </c>
      <c r="D506" t="s">
        <v>41</v>
      </c>
      <c r="E506" t="s">
        <v>1430</v>
      </c>
      <c r="F506" t="s">
        <v>3222</v>
      </c>
      <c r="H506" t="s">
        <v>3223</v>
      </c>
      <c r="J506" t="s">
        <v>92</v>
      </c>
      <c r="K506" t="s">
        <v>12</v>
      </c>
      <c r="L506" t="s">
        <v>12</v>
      </c>
      <c r="M506" t="s">
        <v>182</v>
      </c>
      <c r="N506" t="s">
        <v>12</v>
      </c>
      <c r="O506" t="s">
        <v>12</v>
      </c>
      <c r="P506" t="s">
        <v>12</v>
      </c>
      <c r="Q506" t="s">
        <v>92</v>
      </c>
      <c r="R506" t="s">
        <v>182</v>
      </c>
      <c r="S506" t="s">
        <v>92</v>
      </c>
      <c r="T506" t="s">
        <v>168</v>
      </c>
      <c r="U506" t="s">
        <v>12</v>
      </c>
      <c r="V506" t="s">
        <v>12</v>
      </c>
      <c r="W506" t="s">
        <v>1714</v>
      </c>
      <c r="Z506" t="s">
        <v>610</v>
      </c>
      <c r="AA506" t="s">
        <v>92</v>
      </c>
      <c r="AB506" t="s">
        <v>92</v>
      </c>
      <c r="AC506" t="s">
        <v>12</v>
      </c>
      <c r="AD506" t="s">
        <v>92</v>
      </c>
      <c r="AE506" t="s">
        <v>119</v>
      </c>
      <c r="AF506" t="s">
        <v>3224</v>
      </c>
    </row>
    <row r="507" spans="1:32" x14ac:dyDescent="0.45">
      <c r="A507" t="s">
        <v>111</v>
      </c>
      <c r="B507" t="s">
        <v>17</v>
      </c>
      <c r="C507" t="s">
        <v>3225</v>
      </c>
      <c r="D507" t="s">
        <v>17</v>
      </c>
      <c r="E507" t="s">
        <v>2555</v>
      </c>
      <c r="F507" t="s">
        <v>3226</v>
      </c>
      <c r="H507" t="s">
        <v>3227</v>
      </c>
      <c r="I507" t="s">
        <v>3228</v>
      </c>
      <c r="J507" t="s">
        <v>92</v>
      </c>
      <c r="K507" t="s">
        <v>12</v>
      </c>
      <c r="L507" t="s">
        <v>12</v>
      </c>
      <c r="M507" t="s">
        <v>182</v>
      </c>
      <c r="N507" t="s">
        <v>12</v>
      </c>
      <c r="O507" t="s">
        <v>12</v>
      </c>
      <c r="P507" t="s">
        <v>12</v>
      </c>
      <c r="Q507" t="s">
        <v>92</v>
      </c>
      <c r="R507" t="s">
        <v>182</v>
      </c>
      <c r="S507" t="s">
        <v>92</v>
      </c>
      <c r="T507" t="s">
        <v>111</v>
      </c>
      <c r="U507" t="s">
        <v>12</v>
      </c>
      <c r="V507" t="s">
        <v>12</v>
      </c>
      <c r="W507" t="s">
        <v>12</v>
      </c>
      <c r="AA507" t="s">
        <v>92</v>
      </c>
      <c r="AB507" t="s">
        <v>92</v>
      </c>
      <c r="AC507" t="s">
        <v>12</v>
      </c>
      <c r="AD507" t="s">
        <v>92</v>
      </c>
      <c r="AE507" t="s">
        <v>166</v>
      </c>
      <c r="AF507" t="s">
        <v>3229</v>
      </c>
    </row>
    <row r="508" spans="1:32" x14ac:dyDescent="0.45">
      <c r="A508" t="s">
        <v>3230</v>
      </c>
      <c r="B508" t="s">
        <v>3231</v>
      </c>
      <c r="C508" t="s">
        <v>3232</v>
      </c>
      <c r="D508" t="s">
        <v>3231</v>
      </c>
      <c r="E508" t="s">
        <v>3233</v>
      </c>
      <c r="F508" t="s">
        <v>3234</v>
      </c>
      <c r="H508" t="s">
        <v>3235</v>
      </c>
      <c r="J508" t="s">
        <v>92</v>
      </c>
      <c r="K508" t="s">
        <v>12</v>
      </c>
      <c r="L508" t="s">
        <v>12</v>
      </c>
      <c r="M508" t="s">
        <v>182</v>
      </c>
      <c r="N508" t="s">
        <v>12</v>
      </c>
      <c r="O508" t="s">
        <v>12</v>
      </c>
      <c r="P508" t="s">
        <v>12</v>
      </c>
      <c r="Q508" t="s">
        <v>92</v>
      </c>
      <c r="R508" t="s">
        <v>182</v>
      </c>
      <c r="S508" t="s">
        <v>92</v>
      </c>
      <c r="T508" t="s">
        <v>3230</v>
      </c>
      <c r="U508" t="s">
        <v>12</v>
      </c>
      <c r="V508" t="s">
        <v>12</v>
      </c>
      <c r="W508" t="s">
        <v>12</v>
      </c>
      <c r="AA508" t="s">
        <v>92</v>
      </c>
      <c r="AB508" t="s">
        <v>92</v>
      </c>
      <c r="AC508" t="s">
        <v>12</v>
      </c>
      <c r="AD508" t="s">
        <v>92</v>
      </c>
      <c r="AE508" t="s">
        <v>119</v>
      </c>
      <c r="AF508" t="s">
        <v>3236</v>
      </c>
    </row>
    <row r="509" spans="1:32" x14ac:dyDescent="0.45">
      <c r="A509" t="s">
        <v>3237</v>
      </c>
      <c r="B509" t="s">
        <v>3238</v>
      </c>
      <c r="C509" t="s">
        <v>3239</v>
      </c>
      <c r="D509" t="s">
        <v>3238</v>
      </c>
      <c r="E509" t="s">
        <v>3240</v>
      </c>
      <c r="F509" t="s">
        <v>3241</v>
      </c>
      <c r="H509" t="s">
        <v>3242</v>
      </c>
      <c r="J509" t="s">
        <v>92</v>
      </c>
      <c r="K509" t="s">
        <v>12</v>
      </c>
      <c r="L509" t="s">
        <v>12</v>
      </c>
      <c r="M509" t="s">
        <v>182</v>
      </c>
      <c r="N509" t="s">
        <v>12</v>
      </c>
      <c r="O509" t="s">
        <v>12</v>
      </c>
      <c r="P509" t="s">
        <v>12</v>
      </c>
      <c r="Q509" t="s">
        <v>92</v>
      </c>
      <c r="R509" t="s">
        <v>182</v>
      </c>
      <c r="S509" t="s">
        <v>92</v>
      </c>
      <c r="T509" t="s">
        <v>3237</v>
      </c>
      <c r="U509" t="s">
        <v>12</v>
      </c>
      <c r="V509" t="s">
        <v>12</v>
      </c>
      <c r="W509" t="s">
        <v>12</v>
      </c>
      <c r="AA509" t="s">
        <v>92</v>
      </c>
      <c r="AB509" t="s">
        <v>92</v>
      </c>
      <c r="AC509" t="s">
        <v>12</v>
      </c>
      <c r="AD509" t="s">
        <v>92</v>
      </c>
      <c r="AE509" t="s">
        <v>130</v>
      </c>
      <c r="AF509" t="s">
        <v>3243</v>
      </c>
    </row>
    <row r="510" spans="1:32" x14ac:dyDescent="0.45">
      <c r="A510" t="s">
        <v>206</v>
      </c>
      <c r="B510" t="s">
        <v>3244</v>
      </c>
      <c r="C510" t="s">
        <v>3245</v>
      </c>
      <c r="D510" t="s">
        <v>61</v>
      </c>
      <c r="E510" t="s">
        <v>1559</v>
      </c>
      <c r="F510" t="s">
        <v>3246</v>
      </c>
      <c r="H510" t="s">
        <v>3247</v>
      </c>
      <c r="I510" t="s">
        <v>3247</v>
      </c>
      <c r="J510" t="s">
        <v>92</v>
      </c>
      <c r="K510" t="s">
        <v>12</v>
      </c>
      <c r="L510" t="s">
        <v>12</v>
      </c>
      <c r="M510" t="s">
        <v>182</v>
      </c>
      <c r="N510" t="s">
        <v>12</v>
      </c>
      <c r="O510" t="s">
        <v>12</v>
      </c>
      <c r="P510" t="s">
        <v>12</v>
      </c>
      <c r="Q510" t="s">
        <v>92</v>
      </c>
      <c r="R510" t="s">
        <v>182</v>
      </c>
      <c r="S510" t="s">
        <v>92</v>
      </c>
      <c r="T510" t="s">
        <v>206</v>
      </c>
      <c r="U510" t="s">
        <v>12</v>
      </c>
      <c r="V510" t="s">
        <v>12</v>
      </c>
      <c r="W510" t="s">
        <v>1697</v>
      </c>
      <c r="AA510" t="s">
        <v>92</v>
      </c>
      <c r="AB510" t="s">
        <v>92</v>
      </c>
      <c r="AC510" t="s">
        <v>12</v>
      </c>
      <c r="AD510" t="s">
        <v>92</v>
      </c>
      <c r="AE510" t="s">
        <v>119</v>
      </c>
      <c r="AF510" t="s">
        <v>3248</v>
      </c>
    </row>
    <row r="511" spans="1:32" x14ac:dyDescent="0.45">
      <c r="A511" t="s">
        <v>3249</v>
      </c>
      <c r="B511" t="s">
        <v>3250</v>
      </c>
      <c r="C511" t="s">
        <v>3251</v>
      </c>
      <c r="D511" t="s">
        <v>3250</v>
      </c>
      <c r="E511" t="s">
        <v>3252</v>
      </c>
      <c r="F511" t="s">
        <v>3253</v>
      </c>
      <c r="G511" t="s">
        <v>3254</v>
      </c>
      <c r="H511" t="s">
        <v>3255</v>
      </c>
      <c r="I511" t="s">
        <v>3256</v>
      </c>
      <c r="J511" t="s">
        <v>92</v>
      </c>
      <c r="K511" t="s">
        <v>12</v>
      </c>
      <c r="L511" t="s">
        <v>12</v>
      </c>
      <c r="M511" t="s">
        <v>182</v>
      </c>
      <c r="N511" t="s">
        <v>12</v>
      </c>
      <c r="O511" t="s">
        <v>12</v>
      </c>
      <c r="P511" t="s">
        <v>12</v>
      </c>
      <c r="Q511" t="s">
        <v>92</v>
      </c>
      <c r="R511" t="s">
        <v>182</v>
      </c>
      <c r="S511" t="s">
        <v>92</v>
      </c>
      <c r="T511" t="s">
        <v>3249</v>
      </c>
      <c r="U511" t="s">
        <v>12</v>
      </c>
      <c r="V511" t="s">
        <v>12</v>
      </c>
      <c r="W511" t="s">
        <v>1492</v>
      </c>
      <c r="AA511" t="s">
        <v>92</v>
      </c>
      <c r="AB511" t="s">
        <v>92</v>
      </c>
      <c r="AC511" t="s">
        <v>12</v>
      </c>
      <c r="AD511" t="s">
        <v>92</v>
      </c>
      <c r="AE511" t="s">
        <v>119</v>
      </c>
      <c r="AF511" t="s">
        <v>3257</v>
      </c>
    </row>
    <row r="512" spans="1:32" x14ac:dyDescent="0.45">
      <c r="A512" t="s">
        <v>3258</v>
      </c>
      <c r="B512" t="s">
        <v>3259</v>
      </c>
      <c r="C512" t="s">
        <v>3260</v>
      </c>
      <c r="D512" t="s">
        <v>3259</v>
      </c>
      <c r="E512" t="s">
        <v>3252</v>
      </c>
      <c r="F512" t="s">
        <v>3253</v>
      </c>
      <c r="G512" t="s">
        <v>3254</v>
      </c>
      <c r="H512" t="s">
        <v>3255</v>
      </c>
      <c r="I512" t="s">
        <v>3256</v>
      </c>
      <c r="J512" t="s">
        <v>92</v>
      </c>
      <c r="K512" t="s">
        <v>12</v>
      </c>
      <c r="L512" t="s">
        <v>12</v>
      </c>
      <c r="M512" t="s">
        <v>182</v>
      </c>
      <c r="N512" t="s">
        <v>12</v>
      </c>
      <c r="O512" t="s">
        <v>12</v>
      </c>
      <c r="P512" t="s">
        <v>12</v>
      </c>
      <c r="Q512" t="s">
        <v>92</v>
      </c>
      <c r="R512" t="s">
        <v>182</v>
      </c>
      <c r="S512" t="s">
        <v>92</v>
      </c>
      <c r="T512" t="s">
        <v>3258</v>
      </c>
      <c r="U512" t="s">
        <v>12</v>
      </c>
      <c r="V512" t="s">
        <v>12</v>
      </c>
      <c r="W512" t="s">
        <v>1492</v>
      </c>
      <c r="AA512" t="s">
        <v>92</v>
      </c>
      <c r="AB512" t="s">
        <v>92</v>
      </c>
      <c r="AC512" t="s">
        <v>12</v>
      </c>
      <c r="AD512" t="s">
        <v>92</v>
      </c>
      <c r="AE512" t="s">
        <v>119</v>
      </c>
      <c r="AF512" t="s">
        <v>3261</v>
      </c>
    </row>
    <row r="513" spans="1:32" x14ac:dyDescent="0.45">
      <c r="A513" t="s">
        <v>209</v>
      </c>
      <c r="B513" t="s">
        <v>3262</v>
      </c>
      <c r="C513" t="s">
        <v>3263</v>
      </c>
      <c r="D513" t="s">
        <v>63</v>
      </c>
      <c r="E513" t="s">
        <v>2248</v>
      </c>
      <c r="F513" t="s">
        <v>3264</v>
      </c>
      <c r="G513" t="s">
        <v>3265</v>
      </c>
      <c r="H513" t="s">
        <v>3266</v>
      </c>
      <c r="I513" t="s">
        <v>3267</v>
      </c>
      <c r="J513" t="s">
        <v>92</v>
      </c>
      <c r="K513" t="s">
        <v>12</v>
      </c>
      <c r="L513" t="s">
        <v>12</v>
      </c>
      <c r="M513" t="s">
        <v>182</v>
      </c>
      <c r="N513" t="s">
        <v>12</v>
      </c>
      <c r="O513" t="s">
        <v>12</v>
      </c>
      <c r="P513" t="s">
        <v>12</v>
      </c>
      <c r="Q513" t="s">
        <v>92</v>
      </c>
      <c r="R513" t="s">
        <v>182</v>
      </c>
      <c r="S513" t="s">
        <v>92</v>
      </c>
      <c r="T513" t="s">
        <v>209</v>
      </c>
      <c r="U513" t="s">
        <v>12</v>
      </c>
      <c r="V513" t="s">
        <v>12</v>
      </c>
      <c r="W513" t="s">
        <v>2852</v>
      </c>
      <c r="AA513" t="s">
        <v>92</v>
      </c>
      <c r="AB513" t="s">
        <v>12</v>
      </c>
      <c r="AC513" t="s">
        <v>12</v>
      </c>
      <c r="AD513" t="s">
        <v>92</v>
      </c>
      <c r="AE513" t="s">
        <v>119</v>
      </c>
      <c r="AF513" t="s">
        <v>3268</v>
      </c>
    </row>
    <row r="514" spans="1:32" x14ac:dyDescent="0.45">
      <c r="A514" t="s">
        <v>3269</v>
      </c>
      <c r="B514" t="s">
        <v>3270</v>
      </c>
      <c r="C514" t="s">
        <v>3271</v>
      </c>
      <c r="D514" t="s">
        <v>3272</v>
      </c>
      <c r="E514" t="s">
        <v>3273</v>
      </c>
      <c r="F514" t="s">
        <v>3274</v>
      </c>
      <c r="H514" t="s">
        <v>3275</v>
      </c>
      <c r="J514" t="s">
        <v>92</v>
      </c>
      <c r="K514" t="s">
        <v>12</v>
      </c>
      <c r="L514" t="s">
        <v>12</v>
      </c>
      <c r="M514" t="s">
        <v>182</v>
      </c>
      <c r="N514" t="s">
        <v>12</v>
      </c>
      <c r="O514" t="s">
        <v>12</v>
      </c>
      <c r="P514" t="s">
        <v>12</v>
      </c>
      <c r="Q514" t="s">
        <v>92</v>
      </c>
      <c r="R514" t="s">
        <v>182</v>
      </c>
      <c r="S514" t="s">
        <v>92</v>
      </c>
      <c r="T514" t="s">
        <v>3269</v>
      </c>
      <c r="U514" t="s">
        <v>12</v>
      </c>
      <c r="V514" t="s">
        <v>12</v>
      </c>
      <c r="W514" t="s">
        <v>790</v>
      </c>
      <c r="AA514" t="s">
        <v>92</v>
      </c>
      <c r="AB514" t="s">
        <v>92</v>
      </c>
      <c r="AC514" t="s">
        <v>12</v>
      </c>
      <c r="AD514" t="s">
        <v>92</v>
      </c>
      <c r="AE514" t="s">
        <v>119</v>
      </c>
      <c r="AF514" t="s">
        <v>3276</v>
      </c>
    </row>
    <row r="515" spans="1:32" x14ac:dyDescent="0.45">
      <c r="A515" t="s">
        <v>3277</v>
      </c>
      <c r="B515" t="s">
        <v>3278</v>
      </c>
      <c r="C515" t="s">
        <v>3279</v>
      </c>
      <c r="D515" t="s">
        <v>3280</v>
      </c>
      <c r="E515" t="s">
        <v>1317</v>
      </c>
      <c r="F515" t="s">
        <v>3281</v>
      </c>
      <c r="H515" t="s">
        <v>3282</v>
      </c>
      <c r="J515" t="s">
        <v>92</v>
      </c>
      <c r="K515" t="s">
        <v>12</v>
      </c>
      <c r="L515" t="s">
        <v>12</v>
      </c>
      <c r="M515" t="s">
        <v>182</v>
      </c>
      <c r="N515" t="s">
        <v>12</v>
      </c>
      <c r="O515" t="s">
        <v>12</v>
      </c>
      <c r="P515" t="s">
        <v>12</v>
      </c>
      <c r="Q515" t="s">
        <v>92</v>
      </c>
      <c r="R515" t="s">
        <v>182</v>
      </c>
      <c r="S515" t="s">
        <v>92</v>
      </c>
      <c r="T515" t="s">
        <v>3277</v>
      </c>
      <c r="U515" t="s">
        <v>12</v>
      </c>
      <c r="V515" t="s">
        <v>12</v>
      </c>
      <c r="W515" t="s">
        <v>790</v>
      </c>
      <c r="AA515" t="s">
        <v>92</v>
      </c>
      <c r="AB515" t="s">
        <v>92</v>
      </c>
      <c r="AC515" t="s">
        <v>12</v>
      </c>
      <c r="AD515" t="s">
        <v>92</v>
      </c>
      <c r="AE515" t="s">
        <v>119</v>
      </c>
      <c r="AF515" t="s">
        <v>3283</v>
      </c>
    </row>
    <row r="516" spans="1:32" x14ac:dyDescent="0.45">
      <c r="A516" t="s">
        <v>3284</v>
      </c>
      <c r="B516" t="s">
        <v>3285</v>
      </c>
      <c r="C516" t="s">
        <v>3286</v>
      </c>
      <c r="D516" t="s">
        <v>3287</v>
      </c>
      <c r="J516" t="s">
        <v>92</v>
      </c>
      <c r="K516" t="s">
        <v>12</v>
      </c>
      <c r="L516" t="s">
        <v>12</v>
      </c>
      <c r="M516" t="s">
        <v>182</v>
      </c>
      <c r="N516" t="s">
        <v>12</v>
      </c>
      <c r="O516" t="s">
        <v>12</v>
      </c>
      <c r="P516" t="s">
        <v>12</v>
      </c>
      <c r="Q516" t="s">
        <v>92</v>
      </c>
      <c r="R516" t="s">
        <v>182</v>
      </c>
      <c r="S516" t="s">
        <v>92</v>
      </c>
      <c r="T516" t="s">
        <v>3284</v>
      </c>
      <c r="U516" t="s">
        <v>12</v>
      </c>
      <c r="V516" t="s">
        <v>12</v>
      </c>
      <c r="W516" t="s">
        <v>12</v>
      </c>
      <c r="AA516" t="s">
        <v>92</v>
      </c>
      <c r="AB516" t="s">
        <v>12</v>
      </c>
      <c r="AC516" t="s">
        <v>12</v>
      </c>
      <c r="AD516" t="s">
        <v>92</v>
      </c>
      <c r="AE516" t="s">
        <v>130</v>
      </c>
      <c r="AF516" t="s">
        <v>3288</v>
      </c>
    </row>
    <row r="517" spans="1:32" x14ac:dyDescent="0.45">
      <c r="A517" t="s">
        <v>3289</v>
      </c>
      <c r="B517" t="s">
        <v>3290</v>
      </c>
      <c r="C517" t="s">
        <v>3291</v>
      </c>
      <c r="D517" t="s">
        <v>3290</v>
      </c>
      <c r="E517" t="s">
        <v>3292</v>
      </c>
      <c r="F517" t="s">
        <v>3293</v>
      </c>
      <c r="H517" t="s">
        <v>3294</v>
      </c>
      <c r="J517" t="s">
        <v>92</v>
      </c>
      <c r="K517" t="s">
        <v>12</v>
      </c>
      <c r="L517" t="s">
        <v>12</v>
      </c>
      <c r="M517" t="s">
        <v>182</v>
      </c>
      <c r="N517" t="s">
        <v>12</v>
      </c>
      <c r="O517" t="s">
        <v>12</v>
      </c>
      <c r="P517" t="s">
        <v>12</v>
      </c>
      <c r="Q517" t="s">
        <v>92</v>
      </c>
      <c r="R517" t="s">
        <v>182</v>
      </c>
      <c r="S517" t="s">
        <v>92</v>
      </c>
      <c r="T517" t="s">
        <v>3289</v>
      </c>
      <c r="U517" t="s">
        <v>12</v>
      </c>
      <c r="V517" t="s">
        <v>12</v>
      </c>
      <c r="W517" t="s">
        <v>790</v>
      </c>
      <c r="AA517" t="s">
        <v>92</v>
      </c>
      <c r="AB517" t="s">
        <v>92</v>
      </c>
      <c r="AC517" t="s">
        <v>12</v>
      </c>
      <c r="AD517" t="s">
        <v>92</v>
      </c>
      <c r="AE517" t="s">
        <v>119</v>
      </c>
      <c r="AF517" t="s">
        <v>3295</v>
      </c>
    </row>
    <row r="518" spans="1:32" x14ac:dyDescent="0.45">
      <c r="A518" t="s">
        <v>3296</v>
      </c>
      <c r="B518" t="s">
        <v>3290</v>
      </c>
      <c r="C518" t="s">
        <v>3291</v>
      </c>
      <c r="D518" t="s">
        <v>3290</v>
      </c>
      <c r="E518" t="s">
        <v>3292</v>
      </c>
      <c r="H518" t="s">
        <v>3294</v>
      </c>
      <c r="J518" t="s">
        <v>92</v>
      </c>
      <c r="K518" t="s">
        <v>12</v>
      </c>
      <c r="L518" t="s">
        <v>12</v>
      </c>
      <c r="M518" t="s">
        <v>182</v>
      </c>
      <c r="N518" t="s">
        <v>12</v>
      </c>
      <c r="O518" t="s">
        <v>12</v>
      </c>
      <c r="P518" t="s">
        <v>12</v>
      </c>
      <c r="Q518" t="s">
        <v>92</v>
      </c>
      <c r="R518" t="s">
        <v>182</v>
      </c>
      <c r="S518" t="s">
        <v>92</v>
      </c>
      <c r="T518" t="s">
        <v>3296</v>
      </c>
      <c r="U518" t="s">
        <v>12</v>
      </c>
      <c r="V518" t="s">
        <v>12</v>
      </c>
      <c r="W518" t="s">
        <v>794</v>
      </c>
      <c r="AA518" t="s">
        <v>92</v>
      </c>
      <c r="AB518" t="s">
        <v>92</v>
      </c>
      <c r="AC518" t="s">
        <v>12</v>
      </c>
      <c r="AD518" t="s">
        <v>92</v>
      </c>
      <c r="AE518" t="s">
        <v>130</v>
      </c>
      <c r="AF518" t="s">
        <v>3297</v>
      </c>
    </row>
    <row r="519" spans="1:32" x14ac:dyDescent="0.45">
      <c r="A519" t="s">
        <v>3298</v>
      </c>
      <c r="B519" t="s">
        <v>3299</v>
      </c>
      <c r="C519" t="s">
        <v>3300</v>
      </c>
      <c r="D519" t="s">
        <v>3299</v>
      </c>
      <c r="E519" t="s">
        <v>3301</v>
      </c>
      <c r="F519" t="s">
        <v>3302</v>
      </c>
      <c r="H519" t="s">
        <v>3303</v>
      </c>
      <c r="I519" t="s">
        <v>3304</v>
      </c>
      <c r="J519" t="s">
        <v>92</v>
      </c>
      <c r="K519" t="s">
        <v>12</v>
      </c>
      <c r="L519" t="s">
        <v>12</v>
      </c>
      <c r="M519" t="s">
        <v>182</v>
      </c>
      <c r="N519" t="s">
        <v>12</v>
      </c>
      <c r="O519" t="s">
        <v>12</v>
      </c>
      <c r="P519" t="s">
        <v>12</v>
      </c>
      <c r="Q519" t="s">
        <v>92</v>
      </c>
      <c r="R519" t="s">
        <v>182</v>
      </c>
      <c r="S519" t="s">
        <v>92</v>
      </c>
      <c r="T519" t="s">
        <v>3298</v>
      </c>
      <c r="U519" t="s">
        <v>12</v>
      </c>
      <c r="V519" t="s">
        <v>12</v>
      </c>
      <c r="W519" t="s">
        <v>12</v>
      </c>
      <c r="AA519" t="s">
        <v>92</v>
      </c>
      <c r="AB519" t="s">
        <v>92</v>
      </c>
      <c r="AC519" t="s">
        <v>12</v>
      </c>
      <c r="AD519" t="s">
        <v>92</v>
      </c>
      <c r="AE519" t="s">
        <v>119</v>
      </c>
      <c r="AF519" t="s">
        <v>3305</v>
      </c>
    </row>
    <row r="520" spans="1:32" x14ac:dyDescent="0.45">
      <c r="A520" t="s">
        <v>113</v>
      </c>
      <c r="B520" t="s">
        <v>18</v>
      </c>
      <c r="C520" t="s">
        <v>3306</v>
      </c>
      <c r="D520" t="s">
        <v>18</v>
      </c>
      <c r="E520" t="s">
        <v>3307</v>
      </c>
      <c r="F520" t="s">
        <v>3308</v>
      </c>
      <c r="H520" t="s">
        <v>3309</v>
      </c>
      <c r="I520" t="s">
        <v>3310</v>
      </c>
      <c r="J520" t="s">
        <v>92</v>
      </c>
      <c r="K520" t="s">
        <v>12</v>
      </c>
      <c r="L520" t="s">
        <v>12</v>
      </c>
      <c r="M520" t="s">
        <v>182</v>
      </c>
      <c r="N520" t="s">
        <v>12</v>
      </c>
      <c r="O520" t="s">
        <v>12</v>
      </c>
      <c r="P520" t="s">
        <v>12</v>
      </c>
      <c r="Q520" t="s">
        <v>92</v>
      </c>
      <c r="R520" t="s">
        <v>182</v>
      </c>
      <c r="S520" t="s">
        <v>92</v>
      </c>
      <c r="T520" t="s">
        <v>113</v>
      </c>
      <c r="U520" t="s">
        <v>12</v>
      </c>
      <c r="V520" t="s">
        <v>12</v>
      </c>
      <c r="W520" t="s">
        <v>381</v>
      </c>
      <c r="AA520" t="s">
        <v>92</v>
      </c>
      <c r="AB520" t="s">
        <v>92</v>
      </c>
      <c r="AC520" t="s">
        <v>12</v>
      </c>
      <c r="AD520" t="s">
        <v>92</v>
      </c>
      <c r="AE520" t="s">
        <v>119</v>
      </c>
      <c r="AF520" t="s">
        <v>3311</v>
      </c>
    </row>
    <row r="521" spans="1:32" x14ac:dyDescent="0.45">
      <c r="A521" t="s">
        <v>3312</v>
      </c>
      <c r="B521" t="s">
        <v>3313</v>
      </c>
      <c r="C521" t="s">
        <v>3314</v>
      </c>
      <c r="D521" t="s">
        <v>3315</v>
      </c>
      <c r="E521" t="s">
        <v>3307</v>
      </c>
      <c r="F521" t="s">
        <v>3316</v>
      </c>
      <c r="H521" t="s">
        <v>3317</v>
      </c>
      <c r="J521" t="s">
        <v>92</v>
      </c>
      <c r="K521" t="s">
        <v>12</v>
      </c>
      <c r="L521" t="s">
        <v>12</v>
      </c>
      <c r="M521" t="s">
        <v>182</v>
      </c>
      <c r="N521" t="s">
        <v>12</v>
      </c>
      <c r="O521" t="s">
        <v>12</v>
      </c>
      <c r="P521" t="s">
        <v>12</v>
      </c>
      <c r="Q521" t="s">
        <v>92</v>
      </c>
      <c r="R521" t="s">
        <v>182</v>
      </c>
      <c r="S521" t="s">
        <v>92</v>
      </c>
      <c r="T521" t="s">
        <v>3312</v>
      </c>
      <c r="U521" t="s">
        <v>12</v>
      </c>
      <c r="V521" t="s">
        <v>12</v>
      </c>
      <c r="W521" t="s">
        <v>389</v>
      </c>
      <c r="AA521" t="s">
        <v>92</v>
      </c>
      <c r="AB521" t="s">
        <v>92</v>
      </c>
      <c r="AC521" t="s">
        <v>12</v>
      </c>
      <c r="AD521" t="s">
        <v>92</v>
      </c>
      <c r="AE521" t="s">
        <v>119</v>
      </c>
      <c r="AF521" t="s">
        <v>3318</v>
      </c>
    </row>
    <row r="522" spans="1:32" x14ac:dyDescent="0.45">
      <c r="A522" t="s">
        <v>3319</v>
      </c>
      <c r="B522" t="s">
        <v>3320</v>
      </c>
      <c r="C522" t="s">
        <v>3321</v>
      </c>
      <c r="D522" t="s">
        <v>3322</v>
      </c>
      <c r="E522" t="s">
        <v>3323</v>
      </c>
      <c r="F522" t="s">
        <v>3324</v>
      </c>
      <c r="H522" t="s">
        <v>3325</v>
      </c>
      <c r="J522" t="s">
        <v>92</v>
      </c>
      <c r="K522" t="s">
        <v>12</v>
      </c>
      <c r="L522" t="s">
        <v>12</v>
      </c>
      <c r="M522" t="s">
        <v>182</v>
      </c>
      <c r="N522" t="s">
        <v>12</v>
      </c>
      <c r="O522" t="s">
        <v>12</v>
      </c>
      <c r="P522" t="s">
        <v>12</v>
      </c>
      <c r="Q522" t="s">
        <v>92</v>
      </c>
      <c r="R522" t="s">
        <v>182</v>
      </c>
      <c r="S522" t="s">
        <v>92</v>
      </c>
      <c r="T522" t="s">
        <v>3319</v>
      </c>
      <c r="U522" t="s">
        <v>12</v>
      </c>
      <c r="V522" t="s">
        <v>12</v>
      </c>
      <c r="W522" t="s">
        <v>2697</v>
      </c>
      <c r="AA522" t="s">
        <v>92</v>
      </c>
      <c r="AB522" t="s">
        <v>92</v>
      </c>
      <c r="AC522" t="s">
        <v>12</v>
      </c>
      <c r="AD522" t="s">
        <v>92</v>
      </c>
      <c r="AE522" t="s">
        <v>119</v>
      </c>
      <c r="AF522" t="s">
        <v>3326</v>
      </c>
    </row>
    <row r="523" spans="1:32" x14ac:dyDescent="0.45">
      <c r="A523" t="s">
        <v>3327</v>
      </c>
      <c r="B523" t="s">
        <v>3328</v>
      </c>
      <c r="C523" t="s">
        <v>3329</v>
      </c>
      <c r="D523" t="s">
        <v>3330</v>
      </c>
      <c r="E523" t="s">
        <v>3323</v>
      </c>
      <c r="F523" t="s">
        <v>3324</v>
      </c>
      <c r="H523" t="s">
        <v>3325</v>
      </c>
      <c r="J523" t="s">
        <v>92</v>
      </c>
      <c r="K523" t="s">
        <v>12</v>
      </c>
      <c r="L523" t="s">
        <v>12</v>
      </c>
      <c r="M523" t="s">
        <v>182</v>
      </c>
      <c r="N523" t="s">
        <v>12</v>
      </c>
      <c r="O523" t="s">
        <v>12</v>
      </c>
      <c r="P523" t="s">
        <v>12</v>
      </c>
      <c r="Q523" t="s">
        <v>92</v>
      </c>
      <c r="R523" t="s">
        <v>182</v>
      </c>
      <c r="S523" t="s">
        <v>92</v>
      </c>
      <c r="T523" t="s">
        <v>3327</v>
      </c>
      <c r="U523" t="s">
        <v>12</v>
      </c>
      <c r="V523" t="s">
        <v>12</v>
      </c>
      <c r="W523" t="s">
        <v>2697</v>
      </c>
      <c r="AA523" t="s">
        <v>92</v>
      </c>
      <c r="AB523" t="s">
        <v>92</v>
      </c>
      <c r="AC523" t="s">
        <v>12</v>
      </c>
      <c r="AD523" t="s">
        <v>92</v>
      </c>
      <c r="AE523" t="s">
        <v>119</v>
      </c>
      <c r="AF523" t="s">
        <v>3331</v>
      </c>
    </row>
    <row r="524" spans="1:32" x14ac:dyDescent="0.45">
      <c r="A524" t="s">
        <v>198</v>
      </c>
      <c r="B524" t="s">
        <v>3332</v>
      </c>
      <c r="C524" t="s">
        <v>3333</v>
      </c>
      <c r="D524" t="s">
        <v>57</v>
      </c>
      <c r="F524" t="s">
        <v>3334</v>
      </c>
      <c r="H524" t="s">
        <v>3335</v>
      </c>
      <c r="J524" t="s">
        <v>92</v>
      </c>
      <c r="K524" t="s">
        <v>12</v>
      </c>
      <c r="L524" t="s">
        <v>12</v>
      </c>
      <c r="M524" t="s">
        <v>182</v>
      </c>
      <c r="N524" t="s">
        <v>12</v>
      </c>
      <c r="O524" t="s">
        <v>12</v>
      </c>
      <c r="P524" t="s">
        <v>12</v>
      </c>
      <c r="Q524" t="s">
        <v>92</v>
      </c>
      <c r="R524" t="s">
        <v>182</v>
      </c>
      <c r="S524" t="s">
        <v>92</v>
      </c>
      <c r="T524" t="s">
        <v>198</v>
      </c>
      <c r="U524" t="s">
        <v>12</v>
      </c>
      <c r="V524" t="s">
        <v>12</v>
      </c>
      <c r="W524" t="s">
        <v>1001</v>
      </c>
      <c r="Z524" t="s">
        <v>3336</v>
      </c>
      <c r="AA524" t="s">
        <v>92</v>
      </c>
      <c r="AB524" t="s">
        <v>12</v>
      </c>
      <c r="AC524" t="s">
        <v>12</v>
      </c>
      <c r="AD524" t="s">
        <v>92</v>
      </c>
      <c r="AE524" t="s">
        <v>119</v>
      </c>
      <c r="AF524" t="s">
        <v>3337</v>
      </c>
    </row>
    <row r="525" spans="1:32" x14ac:dyDescent="0.45">
      <c r="A525" t="s">
        <v>3338</v>
      </c>
      <c r="B525" t="s">
        <v>2933</v>
      </c>
      <c r="C525" t="s">
        <v>2934</v>
      </c>
      <c r="D525" t="s">
        <v>2933</v>
      </c>
      <c r="E525" t="s">
        <v>1367</v>
      </c>
      <c r="F525" t="s">
        <v>2935</v>
      </c>
      <c r="H525" t="s">
        <v>2936</v>
      </c>
      <c r="I525" t="s">
        <v>2937</v>
      </c>
      <c r="J525" t="s">
        <v>92</v>
      </c>
      <c r="K525" t="s">
        <v>12</v>
      </c>
      <c r="L525" t="s">
        <v>12</v>
      </c>
      <c r="M525" t="s">
        <v>182</v>
      </c>
      <c r="N525" t="s">
        <v>12</v>
      </c>
      <c r="O525" t="s">
        <v>12</v>
      </c>
      <c r="P525" t="s">
        <v>12</v>
      </c>
      <c r="Q525" t="s">
        <v>92</v>
      </c>
      <c r="R525" t="s">
        <v>182</v>
      </c>
      <c r="S525" t="s">
        <v>92</v>
      </c>
      <c r="T525" t="s">
        <v>3338</v>
      </c>
      <c r="U525" t="s">
        <v>12</v>
      </c>
      <c r="V525" t="s">
        <v>12</v>
      </c>
      <c r="W525" t="s">
        <v>1356</v>
      </c>
      <c r="AA525" t="s">
        <v>92</v>
      </c>
      <c r="AB525" t="s">
        <v>92</v>
      </c>
      <c r="AC525" t="s">
        <v>12</v>
      </c>
      <c r="AD525" t="s">
        <v>92</v>
      </c>
      <c r="AE525" t="s">
        <v>119</v>
      </c>
      <c r="AF525" t="s">
        <v>3339</v>
      </c>
    </row>
    <row r="526" spans="1:32" x14ac:dyDescent="0.45">
      <c r="A526" t="s">
        <v>3340</v>
      </c>
      <c r="B526" t="s">
        <v>3341</v>
      </c>
      <c r="C526" t="s">
        <v>3342</v>
      </c>
      <c r="D526" t="s">
        <v>3341</v>
      </c>
      <c r="E526" t="s">
        <v>3343</v>
      </c>
      <c r="F526" t="s">
        <v>3344</v>
      </c>
      <c r="H526" t="s">
        <v>3345</v>
      </c>
      <c r="I526" t="s">
        <v>3346</v>
      </c>
      <c r="J526" t="s">
        <v>92</v>
      </c>
      <c r="K526" t="s">
        <v>12</v>
      </c>
      <c r="L526" t="s">
        <v>12</v>
      </c>
      <c r="M526" t="s">
        <v>182</v>
      </c>
      <c r="N526" t="s">
        <v>12</v>
      </c>
      <c r="O526" t="s">
        <v>12</v>
      </c>
      <c r="P526" t="s">
        <v>12</v>
      </c>
      <c r="Q526" t="s">
        <v>92</v>
      </c>
      <c r="R526" t="s">
        <v>182</v>
      </c>
      <c r="S526" t="s">
        <v>92</v>
      </c>
      <c r="T526" t="s">
        <v>3340</v>
      </c>
      <c r="U526" t="s">
        <v>12</v>
      </c>
      <c r="V526" t="s">
        <v>12</v>
      </c>
      <c r="W526" t="s">
        <v>12</v>
      </c>
      <c r="AA526" t="s">
        <v>92</v>
      </c>
      <c r="AB526" t="s">
        <v>92</v>
      </c>
      <c r="AC526" t="s">
        <v>12</v>
      </c>
      <c r="AD526" t="s">
        <v>92</v>
      </c>
      <c r="AE526" t="s">
        <v>119</v>
      </c>
      <c r="AF526" t="s">
        <v>3347</v>
      </c>
    </row>
    <row r="527" spans="1:32" x14ac:dyDescent="0.45">
      <c r="A527" t="s">
        <v>172</v>
      </c>
      <c r="B527" t="s">
        <v>43</v>
      </c>
      <c r="C527" t="s">
        <v>3348</v>
      </c>
      <c r="D527" t="s">
        <v>43</v>
      </c>
      <c r="E527" t="s">
        <v>3349</v>
      </c>
      <c r="F527" t="s">
        <v>3350</v>
      </c>
      <c r="G527" t="s">
        <v>3351</v>
      </c>
      <c r="H527" t="s">
        <v>3352</v>
      </c>
      <c r="J527" t="s">
        <v>92</v>
      </c>
      <c r="K527" t="s">
        <v>12</v>
      </c>
      <c r="L527" t="s">
        <v>12</v>
      </c>
      <c r="M527" t="s">
        <v>182</v>
      </c>
      <c r="N527" t="s">
        <v>12</v>
      </c>
      <c r="O527" t="s">
        <v>12</v>
      </c>
      <c r="P527" t="s">
        <v>12</v>
      </c>
      <c r="Q527" t="s">
        <v>92</v>
      </c>
      <c r="R527" t="s">
        <v>182</v>
      </c>
      <c r="S527" t="s">
        <v>92</v>
      </c>
      <c r="T527" t="s">
        <v>172</v>
      </c>
      <c r="U527" t="s">
        <v>12</v>
      </c>
      <c r="V527" t="s">
        <v>12</v>
      </c>
      <c r="W527" t="s">
        <v>1420</v>
      </c>
      <c r="AA527" t="s">
        <v>92</v>
      </c>
      <c r="AB527" t="s">
        <v>92</v>
      </c>
      <c r="AC527" t="s">
        <v>12</v>
      </c>
      <c r="AD527" t="s">
        <v>92</v>
      </c>
      <c r="AE527" t="s">
        <v>119</v>
      </c>
      <c r="AF527" t="s">
        <v>3353</v>
      </c>
    </row>
    <row r="528" spans="1:32" x14ac:dyDescent="0.45">
      <c r="A528" t="s">
        <v>3354</v>
      </c>
      <c r="B528" t="s">
        <v>3355</v>
      </c>
      <c r="C528" t="s">
        <v>3356</v>
      </c>
      <c r="D528" t="s">
        <v>3355</v>
      </c>
      <c r="E528" t="s">
        <v>3357</v>
      </c>
      <c r="F528" t="s">
        <v>3358</v>
      </c>
      <c r="H528" t="s">
        <v>3359</v>
      </c>
      <c r="I528" t="s">
        <v>3360</v>
      </c>
      <c r="J528" t="s">
        <v>92</v>
      </c>
      <c r="K528" t="s">
        <v>12</v>
      </c>
      <c r="L528" t="s">
        <v>12</v>
      </c>
      <c r="M528" t="s">
        <v>182</v>
      </c>
      <c r="N528" t="s">
        <v>12</v>
      </c>
      <c r="O528" t="s">
        <v>12</v>
      </c>
      <c r="P528" t="s">
        <v>12</v>
      </c>
      <c r="Q528" t="s">
        <v>92</v>
      </c>
      <c r="R528" t="s">
        <v>182</v>
      </c>
      <c r="S528" t="s">
        <v>92</v>
      </c>
      <c r="T528" t="s">
        <v>3354</v>
      </c>
      <c r="U528" t="s">
        <v>12</v>
      </c>
      <c r="V528" t="s">
        <v>12</v>
      </c>
      <c r="W528" t="s">
        <v>1320</v>
      </c>
      <c r="AA528" t="s">
        <v>92</v>
      </c>
      <c r="AB528" t="s">
        <v>92</v>
      </c>
      <c r="AC528" t="s">
        <v>12</v>
      </c>
      <c r="AD528" t="s">
        <v>92</v>
      </c>
      <c r="AE528" t="s">
        <v>130</v>
      </c>
      <c r="AF528" t="s">
        <v>3361</v>
      </c>
    </row>
    <row r="529" spans="1:32" x14ac:dyDescent="0.45">
      <c r="A529" t="s">
        <v>215</v>
      </c>
      <c r="B529" t="s">
        <v>67</v>
      </c>
      <c r="C529" t="s">
        <v>3362</v>
      </c>
      <c r="D529" t="s">
        <v>67</v>
      </c>
      <c r="E529" t="s">
        <v>491</v>
      </c>
      <c r="F529" t="s">
        <v>3363</v>
      </c>
      <c r="H529" t="s">
        <v>3364</v>
      </c>
      <c r="J529" t="s">
        <v>92</v>
      </c>
      <c r="K529" t="s">
        <v>12</v>
      </c>
      <c r="L529" t="s">
        <v>12</v>
      </c>
      <c r="M529" t="s">
        <v>182</v>
      </c>
      <c r="N529" t="s">
        <v>12</v>
      </c>
      <c r="O529" t="s">
        <v>12</v>
      </c>
      <c r="P529" t="s">
        <v>12</v>
      </c>
      <c r="Q529" t="s">
        <v>92</v>
      </c>
      <c r="R529" t="s">
        <v>182</v>
      </c>
      <c r="S529" t="s">
        <v>92</v>
      </c>
      <c r="T529" t="s">
        <v>215</v>
      </c>
      <c r="U529" t="s">
        <v>12</v>
      </c>
      <c r="V529" t="s">
        <v>12</v>
      </c>
      <c r="W529" t="s">
        <v>215</v>
      </c>
      <c r="AA529" t="s">
        <v>92</v>
      </c>
      <c r="AB529" t="s">
        <v>92</v>
      </c>
      <c r="AC529" t="s">
        <v>12</v>
      </c>
      <c r="AD529" t="s">
        <v>92</v>
      </c>
      <c r="AE529" t="s">
        <v>119</v>
      </c>
      <c r="AF529" t="s">
        <v>3365</v>
      </c>
    </row>
    <row r="530" spans="1:32" x14ac:dyDescent="0.45">
      <c r="A530" t="s">
        <v>3366</v>
      </c>
      <c r="B530" t="s">
        <v>3367</v>
      </c>
      <c r="C530" t="s">
        <v>3368</v>
      </c>
      <c r="D530" t="s">
        <v>3369</v>
      </c>
      <c r="F530" t="s">
        <v>3370</v>
      </c>
      <c r="H530" t="s">
        <v>3371</v>
      </c>
      <c r="I530" t="s">
        <v>3372</v>
      </c>
      <c r="J530" t="s">
        <v>92</v>
      </c>
      <c r="K530" t="s">
        <v>12</v>
      </c>
      <c r="L530" t="s">
        <v>12</v>
      </c>
      <c r="M530" t="s">
        <v>182</v>
      </c>
      <c r="N530" t="s">
        <v>12</v>
      </c>
      <c r="O530" t="s">
        <v>12</v>
      </c>
      <c r="P530" t="s">
        <v>12</v>
      </c>
      <c r="Q530" t="s">
        <v>92</v>
      </c>
      <c r="R530" t="s">
        <v>182</v>
      </c>
      <c r="S530" t="s">
        <v>92</v>
      </c>
      <c r="T530" t="s">
        <v>3366</v>
      </c>
      <c r="U530" t="s">
        <v>12</v>
      </c>
      <c r="V530" t="s">
        <v>12</v>
      </c>
      <c r="W530" t="s">
        <v>1976</v>
      </c>
      <c r="AA530" t="s">
        <v>12</v>
      </c>
      <c r="AB530" t="s">
        <v>92</v>
      </c>
      <c r="AC530" t="s">
        <v>12</v>
      </c>
      <c r="AD530" t="s">
        <v>92</v>
      </c>
      <c r="AE530" t="s">
        <v>112</v>
      </c>
      <c r="AF530" t="s">
        <v>3373</v>
      </c>
    </row>
    <row r="531" spans="1:32" x14ac:dyDescent="0.45">
      <c r="A531" t="s">
        <v>3374</v>
      </c>
      <c r="B531" t="s">
        <v>3375</v>
      </c>
      <c r="C531" t="s">
        <v>3376</v>
      </c>
      <c r="D531" t="s">
        <v>3375</v>
      </c>
      <c r="E531" t="s">
        <v>377</v>
      </c>
      <c r="F531" t="s">
        <v>3377</v>
      </c>
      <c r="H531" t="s">
        <v>3378</v>
      </c>
      <c r="I531" t="s">
        <v>3378</v>
      </c>
      <c r="J531" t="s">
        <v>92</v>
      </c>
      <c r="K531" t="s">
        <v>12</v>
      </c>
      <c r="L531" t="s">
        <v>12</v>
      </c>
      <c r="M531" t="s">
        <v>182</v>
      </c>
      <c r="N531" t="s">
        <v>12</v>
      </c>
      <c r="O531" t="s">
        <v>12</v>
      </c>
      <c r="P531" t="s">
        <v>12</v>
      </c>
      <c r="Q531" t="s">
        <v>92</v>
      </c>
      <c r="R531" t="s">
        <v>182</v>
      </c>
      <c r="S531" t="s">
        <v>92</v>
      </c>
      <c r="T531" t="s">
        <v>3374</v>
      </c>
      <c r="U531" t="s">
        <v>12</v>
      </c>
      <c r="V531" t="s">
        <v>12</v>
      </c>
      <c r="W531" t="s">
        <v>3379</v>
      </c>
      <c r="AA531" t="s">
        <v>12</v>
      </c>
      <c r="AB531" t="s">
        <v>92</v>
      </c>
      <c r="AC531" t="s">
        <v>12</v>
      </c>
      <c r="AD531" t="s">
        <v>92</v>
      </c>
      <c r="AE531" t="s">
        <v>112</v>
      </c>
      <c r="AF531" t="s">
        <v>3380</v>
      </c>
    </row>
    <row r="532" spans="1:32" x14ac:dyDescent="0.45">
      <c r="A532" t="s">
        <v>179</v>
      </c>
      <c r="B532" t="s">
        <v>48</v>
      </c>
      <c r="C532" t="s">
        <v>3381</v>
      </c>
      <c r="D532" t="s">
        <v>48</v>
      </c>
      <c r="E532" t="s">
        <v>3382</v>
      </c>
      <c r="F532" t="s">
        <v>3383</v>
      </c>
      <c r="G532" t="s">
        <v>3384</v>
      </c>
      <c r="H532" t="s">
        <v>3385</v>
      </c>
      <c r="I532" t="s">
        <v>3385</v>
      </c>
      <c r="J532" t="s">
        <v>92</v>
      </c>
      <c r="K532" t="s">
        <v>12</v>
      </c>
      <c r="L532" t="s">
        <v>12</v>
      </c>
      <c r="M532" t="s">
        <v>182</v>
      </c>
      <c r="N532" t="s">
        <v>12</v>
      </c>
      <c r="O532" t="s">
        <v>12</v>
      </c>
      <c r="P532" t="s">
        <v>12</v>
      </c>
      <c r="Q532" t="s">
        <v>92</v>
      </c>
      <c r="R532" t="s">
        <v>182</v>
      </c>
      <c r="S532" t="s">
        <v>92</v>
      </c>
      <c r="T532" t="s">
        <v>179</v>
      </c>
      <c r="U532" t="s">
        <v>12</v>
      </c>
      <c r="V532" t="s">
        <v>12</v>
      </c>
      <c r="W532" t="s">
        <v>1681</v>
      </c>
      <c r="AA532" t="s">
        <v>92</v>
      </c>
      <c r="AB532" t="s">
        <v>92</v>
      </c>
      <c r="AC532" t="s">
        <v>12</v>
      </c>
      <c r="AD532" t="s">
        <v>92</v>
      </c>
      <c r="AE532" t="s">
        <v>119</v>
      </c>
      <c r="AF532" t="s">
        <v>3386</v>
      </c>
    </row>
    <row r="533" spans="1:32" x14ac:dyDescent="0.45">
      <c r="A533" t="s">
        <v>3387</v>
      </c>
      <c r="B533" t="s">
        <v>3388</v>
      </c>
      <c r="C533" t="s">
        <v>3389</v>
      </c>
      <c r="D533" t="s">
        <v>3388</v>
      </c>
      <c r="E533" t="s">
        <v>3390</v>
      </c>
      <c r="F533" t="s">
        <v>3383</v>
      </c>
      <c r="G533" t="s">
        <v>3384</v>
      </c>
      <c r="H533" t="s">
        <v>3385</v>
      </c>
      <c r="I533" t="s">
        <v>3385</v>
      </c>
      <c r="J533" t="s">
        <v>92</v>
      </c>
      <c r="K533" t="s">
        <v>12</v>
      </c>
      <c r="L533" t="s">
        <v>12</v>
      </c>
      <c r="M533" t="s">
        <v>182</v>
      </c>
      <c r="N533" t="s">
        <v>12</v>
      </c>
      <c r="O533" t="s">
        <v>12</v>
      </c>
      <c r="P533" t="s">
        <v>12</v>
      </c>
      <c r="Q533" t="s">
        <v>92</v>
      </c>
      <c r="R533" t="s">
        <v>182</v>
      </c>
      <c r="S533" t="s">
        <v>92</v>
      </c>
      <c r="T533" t="s">
        <v>3387</v>
      </c>
      <c r="U533" t="s">
        <v>12</v>
      </c>
      <c r="V533" t="s">
        <v>12</v>
      </c>
      <c r="W533" t="s">
        <v>1141</v>
      </c>
      <c r="AA533" t="s">
        <v>92</v>
      </c>
      <c r="AB533" t="s">
        <v>92</v>
      </c>
      <c r="AC533" t="s">
        <v>12</v>
      </c>
      <c r="AD533" t="s">
        <v>92</v>
      </c>
      <c r="AE533" t="s">
        <v>166</v>
      </c>
      <c r="AF533" t="s">
        <v>3391</v>
      </c>
    </row>
    <row r="534" spans="1:32" x14ac:dyDescent="0.45">
      <c r="A534" t="s">
        <v>3392</v>
      </c>
      <c r="B534" t="s">
        <v>3393</v>
      </c>
      <c r="C534" t="s">
        <v>3394</v>
      </c>
      <c r="D534" t="s">
        <v>3393</v>
      </c>
      <c r="E534" t="s">
        <v>2890</v>
      </c>
      <c r="F534" t="s">
        <v>3395</v>
      </c>
      <c r="H534" t="s">
        <v>3396</v>
      </c>
      <c r="I534" t="s">
        <v>3396</v>
      </c>
      <c r="J534" t="s">
        <v>92</v>
      </c>
      <c r="K534" t="s">
        <v>12</v>
      </c>
      <c r="L534" t="s">
        <v>12</v>
      </c>
      <c r="M534" t="s">
        <v>182</v>
      </c>
      <c r="N534" t="s">
        <v>12</v>
      </c>
      <c r="O534" t="s">
        <v>12</v>
      </c>
      <c r="P534" t="s">
        <v>12</v>
      </c>
      <c r="Q534" t="s">
        <v>92</v>
      </c>
      <c r="R534" t="s">
        <v>182</v>
      </c>
      <c r="S534" t="s">
        <v>92</v>
      </c>
      <c r="T534" t="s">
        <v>3392</v>
      </c>
      <c r="U534" t="s">
        <v>12</v>
      </c>
      <c r="V534" t="s">
        <v>12</v>
      </c>
      <c r="W534" t="s">
        <v>1681</v>
      </c>
      <c r="AA534" t="s">
        <v>92</v>
      </c>
      <c r="AB534" t="s">
        <v>92</v>
      </c>
      <c r="AC534" t="s">
        <v>12</v>
      </c>
      <c r="AD534" t="s">
        <v>92</v>
      </c>
      <c r="AE534" t="s">
        <v>112</v>
      </c>
      <c r="AF534" t="s">
        <v>3397</v>
      </c>
    </row>
    <row r="535" spans="1:32" x14ac:dyDescent="0.45">
      <c r="A535" t="s">
        <v>3398</v>
      </c>
      <c r="B535" t="s">
        <v>3399</v>
      </c>
      <c r="C535" t="s">
        <v>3400</v>
      </c>
      <c r="D535" t="s">
        <v>3401</v>
      </c>
      <c r="J535" t="s">
        <v>92</v>
      </c>
      <c r="K535" t="s">
        <v>12</v>
      </c>
      <c r="L535" t="s">
        <v>12</v>
      </c>
      <c r="M535" t="s">
        <v>182</v>
      </c>
      <c r="N535" t="s">
        <v>12</v>
      </c>
      <c r="O535" t="s">
        <v>12</v>
      </c>
      <c r="P535" t="s">
        <v>12</v>
      </c>
      <c r="Q535" t="s">
        <v>92</v>
      </c>
      <c r="R535" t="s">
        <v>182</v>
      </c>
      <c r="S535" t="s">
        <v>92</v>
      </c>
      <c r="T535" t="s">
        <v>3398</v>
      </c>
      <c r="U535" t="s">
        <v>12</v>
      </c>
      <c r="V535" t="s">
        <v>12</v>
      </c>
      <c r="W535" t="s">
        <v>3398</v>
      </c>
      <c r="AA535" t="s">
        <v>92</v>
      </c>
      <c r="AB535" t="s">
        <v>92</v>
      </c>
      <c r="AC535" t="s">
        <v>12</v>
      </c>
      <c r="AD535" t="s">
        <v>92</v>
      </c>
      <c r="AE535" t="s">
        <v>119</v>
      </c>
      <c r="AF535" t="s">
        <v>3402</v>
      </c>
    </row>
    <row r="536" spans="1:32" x14ac:dyDescent="0.45">
      <c r="A536" t="s">
        <v>3403</v>
      </c>
      <c r="B536" t="s">
        <v>3404</v>
      </c>
      <c r="C536" t="s">
        <v>3405</v>
      </c>
      <c r="D536" t="s">
        <v>3406</v>
      </c>
      <c r="J536" t="s">
        <v>92</v>
      </c>
      <c r="K536" t="s">
        <v>12</v>
      </c>
      <c r="L536" t="s">
        <v>12</v>
      </c>
      <c r="M536" t="s">
        <v>182</v>
      </c>
      <c r="N536" t="s">
        <v>12</v>
      </c>
      <c r="O536" t="s">
        <v>12</v>
      </c>
      <c r="P536" t="s">
        <v>12</v>
      </c>
      <c r="Q536" t="s">
        <v>92</v>
      </c>
      <c r="R536" t="s">
        <v>182</v>
      </c>
      <c r="S536" t="s">
        <v>92</v>
      </c>
      <c r="T536" t="s">
        <v>3403</v>
      </c>
      <c r="U536" t="s">
        <v>12</v>
      </c>
      <c r="V536" t="s">
        <v>12</v>
      </c>
      <c r="W536" t="s">
        <v>3403</v>
      </c>
      <c r="AA536" t="s">
        <v>92</v>
      </c>
      <c r="AB536" t="s">
        <v>92</v>
      </c>
      <c r="AC536" t="s">
        <v>12</v>
      </c>
      <c r="AD536" t="s">
        <v>92</v>
      </c>
      <c r="AE536" t="s">
        <v>119</v>
      </c>
      <c r="AF536" t="s">
        <v>3407</v>
      </c>
    </row>
    <row r="537" spans="1:32" x14ac:dyDescent="0.45">
      <c r="A537" t="s">
        <v>3408</v>
      </c>
      <c r="B537" t="s">
        <v>3409</v>
      </c>
      <c r="C537" t="s">
        <v>3410</v>
      </c>
      <c r="D537" t="s">
        <v>3411</v>
      </c>
      <c r="J537" t="s">
        <v>92</v>
      </c>
      <c r="K537" t="s">
        <v>12</v>
      </c>
      <c r="L537" t="s">
        <v>12</v>
      </c>
      <c r="M537" t="s">
        <v>182</v>
      </c>
      <c r="N537" t="s">
        <v>12</v>
      </c>
      <c r="O537" t="s">
        <v>12</v>
      </c>
      <c r="P537" t="s">
        <v>12</v>
      </c>
      <c r="Q537" t="s">
        <v>92</v>
      </c>
      <c r="R537" t="s">
        <v>182</v>
      </c>
      <c r="S537" t="s">
        <v>92</v>
      </c>
      <c r="T537" t="s">
        <v>3408</v>
      </c>
      <c r="U537" t="s">
        <v>12</v>
      </c>
      <c r="V537" t="s">
        <v>12</v>
      </c>
      <c r="W537" t="s">
        <v>3408</v>
      </c>
      <c r="AA537" t="s">
        <v>709</v>
      </c>
      <c r="AB537" t="s">
        <v>92</v>
      </c>
      <c r="AC537" t="s">
        <v>12</v>
      </c>
      <c r="AD537" t="s">
        <v>92</v>
      </c>
      <c r="AE537" t="s">
        <v>119</v>
      </c>
      <c r="AF537" t="s">
        <v>3412</v>
      </c>
    </row>
    <row r="538" spans="1:32" x14ac:dyDescent="0.45">
      <c r="A538" t="s">
        <v>220</v>
      </c>
      <c r="B538" t="s">
        <v>3413</v>
      </c>
      <c r="C538" t="s">
        <v>3414</v>
      </c>
      <c r="D538" t="s">
        <v>3415</v>
      </c>
      <c r="J538" t="s">
        <v>92</v>
      </c>
      <c r="K538" t="s">
        <v>12</v>
      </c>
      <c r="L538" t="s">
        <v>12</v>
      </c>
      <c r="M538" t="s">
        <v>182</v>
      </c>
      <c r="N538" t="s">
        <v>12</v>
      </c>
      <c r="O538" t="s">
        <v>12</v>
      </c>
      <c r="P538" t="s">
        <v>12</v>
      </c>
      <c r="Q538" t="s">
        <v>92</v>
      </c>
      <c r="R538" t="s">
        <v>182</v>
      </c>
      <c r="S538" t="s">
        <v>92</v>
      </c>
      <c r="T538" t="s">
        <v>220</v>
      </c>
      <c r="U538" t="s">
        <v>12</v>
      </c>
      <c r="V538" t="s">
        <v>12</v>
      </c>
      <c r="W538" t="s">
        <v>220</v>
      </c>
      <c r="AA538" t="s">
        <v>709</v>
      </c>
      <c r="AB538" t="s">
        <v>92</v>
      </c>
      <c r="AC538" t="s">
        <v>12</v>
      </c>
      <c r="AD538" t="s">
        <v>92</v>
      </c>
      <c r="AE538" t="s">
        <v>119</v>
      </c>
      <c r="AF538" t="s">
        <v>3416</v>
      </c>
    </row>
    <row r="539" spans="1:32" x14ac:dyDescent="0.45">
      <c r="A539" t="s">
        <v>224</v>
      </c>
      <c r="B539" t="s">
        <v>3417</v>
      </c>
      <c r="C539" t="s">
        <v>3418</v>
      </c>
      <c r="D539" t="s">
        <v>3419</v>
      </c>
      <c r="J539" t="s">
        <v>92</v>
      </c>
      <c r="K539" t="s">
        <v>12</v>
      </c>
      <c r="L539" t="s">
        <v>12</v>
      </c>
      <c r="M539" t="s">
        <v>182</v>
      </c>
      <c r="N539" t="s">
        <v>12</v>
      </c>
      <c r="O539" t="s">
        <v>12</v>
      </c>
      <c r="P539" t="s">
        <v>12</v>
      </c>
      <c r="Q539" t="s">
        <v>92</v>
      </c>
      <c r="R539" t="s">
        <v>182</v>
      </c>
      <c r="S539" t="s">
        <v>92</v>
      </c>
      <c r="T539" t="s">
        <v>224</v>
      </c>
      <c r="U539" t="s">
        <v>12</v>
      </c>
      <c r="V539" t="s">
        <v>12</v>
      </c>
      <c r="W539" t="s">
        <v>224</v>
      </c>
      <c r="AA539" t="s">
        <v>709</v>
      </c>
      <c r="AB539" t="s">
        <v>92</v>
      </c>
      <c r="AC539" t="s">
        <v>12</v>
      </c>
      <c r="AD539" t="s">
        <v>92</v>
      </c>
      <c r="AE539" t="s">
        <v>119</v>
      </c>
      <c r="AF539" t="s">
        <v>3420</v>
      </c>
    </row>
    <row r="540" spans="1:32" x14ac:dyDescent="0.45">
      <c r="A540" t="s">
        <v>739</v>
      </c>
      <c r="B540" t="s">
        <v>3421</v>
      </c>
      <c r="C540" t="s">
        <v>3421</v>
      </c>
      <c r="D540" t="s">
        <v>3421</v>
      </c>
      <c r="E540" t="s">
        <v>2280</v>
      </c>
      <c r="F540" t="s">
        <v>2979</v>
      </c>
      <c r="H540" t="s">
        <v>2968</v>
      </c>
      <c r="J540" t="s">
        <v>92</v>
      </c>
      <c r="K540" t="s">
        <v>12</v>
      </c>
      <c r="L540" t="s">
        <v>12</v>
      </c>
      <c r="M540" t="s">
        <v>182</v>
      </c>
      <c r="N540" t="s">
        <v>12</v>
      </c>
      <c r="O540" t="s">
        <v>12</v>
      </c>
      <c r="P540" t="s">
        <v>12</v>
      </c>
      <c r="Q540" t="s">
        <v>92</v>
      </c>
      <c r="R540" t="s">
        <v>182</v>
      </c>
      <c r="S540" t="s">
        <v>92</v>
      </c>
      <c r="T540" t="s">
        <v>739</v>
      </c>
      <c r="U540" t="s">
        <v>12</v>
      </c>
      <c r="V540" t="s">
        <v>12</v>
      </c>
      <c r="W540" t="s">
        <v>739</v>
      </c>
      <c r="AA540" t="s">
        <v>92</v>
      </c>
      <c r="AB540" t="s">
        <v>92</v>
      </c>
      <c r="AC540" t="s">
        <v>12</v>
      </c>
      <c r="AD540" t="s">
        <v>92</v>
      </c>
      <c r="AE540" t="s">
        <v>119</v>
      </c>
      <c r="AF540" t="s">
        <v>3422</v>
      </c>
    </row>
    <row r="541" spans="1:32" x14ac:dyDescent="0.45">
      <c r="A541" t="s">
        <v>3423</v>
      </c>
      <c r="B541" t="s">
        <v>3424</v>
      </c>
      <c r="C541" t="s">
        <v>3425</v>
      </c>
      <c r="D541" t="s">
        <v>3424</v>
      </c>
      <c r="J541" t="s">
        <v>92</v>
      </c>
      <c r="K541" t="s">
        <v>12</v>
      </c>
      <c r="L541" t="s">
        <v>12</v>
      </c>
      <c r="M541" t="s">
        <v>182</v>
      </c>
      <c r="N541" t="s">
        <v>12</v>
      </c>
      <c r="O541" t="s">
        <v>12</v>
      </c>
      <c r="P541" t="s">
        <v>12</v>
      </c>
      <c r="Q541" t="s">
        <v>92</v>
      </c>
      <c r="R541" t="s">
        <v>182</v>
      </c>
      <c r="S541" t="s">
        <v>92</v>
      </c>
      <c r="T541" t="s">
        <v>3423</v>
      </c>
      <c r="U541" t="s">
        <v>12</v>
      </c>
      <c r="V541" t="s">
        <v>12</v>
      </c>
      <c r="W541" t="s">
        <v>3423</v>
      </c>
      <c r="AA541" t="s">
        <v>92</v>
      </c>
      <c r="AB541" t="s">
        <v>92</v>
      </c>
      <c r="AC541" t="s">
        <v>12</v>
      </c>
      <c r="AD541" t="s">
        <v>92</v>
      </c>
      <c r="AE541" t="s">
        <v>143</v>
      </c>
      <c r="AF541" t="s">
        <v>3426</v>
      </c>
    </row>
    <row r="542" spans="1:32" x14ac:dyDescent="0.45">
      <c r="A542" t="s">
        <v>3427</v>
      </c>
      <c r="B542" t="s">
        <v>3428</v>
      </c>
      <c r="C542" t="s">
        <v>3429</v>
      </c>
      <c r="D542" t="s">
        <v>3430</v>
      </c>
      <c r="H542" t="s">
        <v>3431</v>
      </c>
      <c r="I542" t="s">
        <v>3432</v>
      </c>
      <c r="J542" t="s">
        <v>92</v>
      </c>
      <c r="K542" t="s">
        <v>12</v>
      </c>
      <c r="L542" t="s">
        <v>12</v>
      </c>
      <c r="M542" t="s">
        <v>182</v>
      </c>
      <c r="N542" t="s">
        <v>12</v>
      </c>
      <c r="O542" t="s">
        <v>12</v>
      </c>
      <c r="P542" t="s">
        <v>12</v>
      </c>
      <c r="Q542" t="s">
        <v>92</v>
      </c>
      <c r="R542" t="s">
        <v>182</v>
      </c>
      <c r="S542" t="s">
        <v>92</v>
      </c>
      <c r="T542" t="s">
        <v>3427</v>
      </c>
      <c r="U542" t="s">
        <v>12</v>
      </c>
      <c r="V542" t="s">
        <v>12</v>
      </c>
      <c r="W542" t="s">
        <v>3427</v>
      </c>
      <c r="AA542" t="s">
        <v>709</v>
      </c>
      <c r="AB542" t="s">
        <v>92</v>
      </c>
      <c r="AC542" t="s">
        <v>12</v>
      </c>
      <c r="AD542" t="s">
        <v>92</v>
      </c>
      <c r="AE542" t="s">
        <v>143</v>
      </c>
      <c r="AF542" t="s">
        <v>3433</v>
      </c>
    </row>
    <row r="543" spans="1:32" x14ac:dyDescent="0.45">
      <c r="A543" t="s">
        <v>3434</v>
      </c>
      <c r="B543" t="s">
        <v>3435</v>
      </c>
      <c r="C543" t="s">
        <v>3436</v>
      </c>
      <c r="D543" t="s">
        <v>3437</v>
      </c>
      <c r="J543" t="s">
        <v>92</v>
      </c>
      <c r="K543" t="s">
        <v>12</v>
      </c>
      <c r="L543" t="s">
        <v>12</v>
      </c>
      <c r="M543" t="s">
        <v>182</v>
      </c>
      <c r="N543" t="s">
        <v>12</v>
      </c>
      <c r="O543" t="s">
        <v>12</v>
      </c>
      <c r="P543" t="s">
        <v>12</v>
      </c>
      <c r="Q543" t="s">
        <v>92</v>
      </c>
      <c r="R543" t="s">
        <v>182</v>
      </c>
      <c r="S543" t="s">
        <v>92</v>
      </c>
      <c r="T543" t="s">
        <v>3434</v>
      </c>
      <c r="U543" t="s">
        <v>12</v>
      </c>
      <c r="V543" t="s">
        <v>12</v>
      </c>
      <c r="W543" t="s">
        <v>3434</v>
      </c>
      <c r="AA543" t="s">
        <v>709</v>
      </c>
      <c r="AB543" t="s">
        <v>92</v>
      </c>
      <c r="AC543" t="s">
        <v>12</v>
      </c>
      <c r="AD543" t="s">
        <v>92</v>
      </c>
      <c r="AE543" t="s">
        <v>119</v>
      </c>
      <c r="AF543" t="s">
        <v>3438</v>
      </c>
    </row>
    <row r="544" spans="1:32" x14ac:dyDescent="0.45">
      <c r="A544" t="s">
        <v>3439</v>
      </c>
      <c r="B544" t="s">
        <v>3440</v>
      </c>
      <c r="C544" t="s">
        <v>3441</v>
      </c>
      <c r="D544" t="s">
        <v>3440</v>
      </c>
      <c r="J544" t="s">
        <v>92</v>
      </c>
      <c r="K544" t="s">
        <v>12</v>
      </c>
      <c r="L544" t="s">
        <v>12</v>
      </c>
      <c r="M544" t="s">
        <v>182</v>
      </c>
      <c r="N544" t="s">
        <v>12</v>
      </c>
      <c r="O544" t="s">
        <v>12</v>
      </c>
      <c r="P544" t="s">
        <v>12</v>
      </c>
      <c r="Q544" t="s">
        <v>92</v>
      </c>
      <c r="R544" t="s">
        <v>182</v>
      </c>
      <c r="S544" t="s">
        <v>92</v>
      </c>
      <c r="T544" t="s">
        <v>3439</v>
      </c>
      <c r="U544" t="s">
        <v>12</v>
      </c>
      <c r="V544" t="s">
        <v>12</v>
      </c>
      <c r="W544" t="s">
        <v>1574</v>
      </c>
      <c r="AA544" t="s">
        <v>709</v>
      </c>
      <c r="AB544" t="s">
        <v>92</v>
      </c>
      <c r="AC544" t="s">
        <v>12</v>
      </c>
      <c r="AD544" t="s">
        <v>92</v>
      </c>
      <c r="AE544" t="s">
        <v>119</v>
      </c>
      <c r="AF544" t="s">
        <v>3442</v>
      </c>
    </row>
    <row r="545" spans="1:32" x14ac:dyDescent="0.45">
      <c r="A545" t="s">
        <v>910</v>
      </c>
      <c r="B545" t="s">
        <v>3443</v>
      </c>
      <c r="C545" t="s">
        <v>3444</v>
      </c>
      <c r="D545" t="s">
        <v>3445</v>
      </c>
      <c r="E545" t="s">
        <v>385</v>
      </c>
      <c r="F545" t="s">
        <v>3446</v>
      </c>
      <c r="H545" t="s">
        <v>3447</v>
      </c>
      <c r="J545" t="s">
        <v>92</v>
      </c>
      <c r="K545" t="s">
        <v>12</v>
      </c>
      <c r="L545" t="s">
        <v>12</v>
      </c>
      <c r="M545" t="s">
        <v>182</v>
      </c>
      <c r="N545" t="s">
        <v>12</v>
      </c>
      <c r="O545" t="s">
        <v>12</v>
      </c>
      <c r="P545" t="s">
        <v>12</v>
      </c>
      <c r="Q545" t="s">
        <v>92</v>
      </c>
      <c r="R545" t="s">
        <v>182</v>
      </c>
      <c r="S545" t="s">
        <v>92</v>
      </c>
      <c r="T545" t="s">
        <v>910</v>
      </c>
      <c r="U545" t="s">
        <v>12</v>
      </c>
      <c r="V545" t="s">
        <v>12</v>
      </c>
      <c r="W545" t="s">
        <v>910</v>
      </c>
      <c r="AA545" t="s">
        <v>92</v>
      </c>
      <c r="AB545" t="s">
        <v>92</v>
      </c>
      <c r="AC545" t="s">
        <v>12</v>
      </c>
      <c r="AD545" t="s">
        <v>92</v>
      </c>
      <c r="AE545" t="s">
        <v>119</v>
      </c>
      <c r="AF545" t="s">
        <v>3448</v>
      </c>
    </row>
    <row r="546" spans="1:32" x14ac:dyDescent="0.45">
      <c r="A546" t="s">
        <v>2982</v>
      </c>
      <c r="B546" t="s">
        <v>3449</v>
      </c>
      <c r="C546" t="s">
        <v>3450</v>
      </c>
      <c r="D546" t="s">
        <v>3451</v>
      </c>
      <c r="J546" t="s">
        <v>92</v>
      </c>
      <c r="K546" t="s">
        <v>12</v>
      </c>
      <c r="L546" t="s">
        <v>12</v>
      </c>
      <c r="M546" t="s">
        <v>182</v>
      </c>
      <c r="N546" t="s">
        <v>12</v>
      </c>
      <c r="O546" t="s">
        <v>12</v>
      </c>
      <c r="P546" t="s">
        <v>12</v>
      </c>
      <c r="Q546" t="s">
        <v>92</v>
      </c>
      <c r="R546" t="s">
        <v>182</v>
      </c>
      <c r="S546" t="s">
        <v>92</v>
      </c>
      <c r="T546" t="s">
        <v>224</v>
      </c>
      <c r="U546" t="s">
        <v>12</v>
      </c>
      <c r="V546" t="s">
        <v>12</v>
      </c>
      <c r="W546" t="s">
        <v>224</v>
      </c>
      <c r="AA546" t="s">
        <v>709</v>
      </c>
      <c r="AB546" t="s">
        <v>92</v>
      </c>
      <c r="AC546" t="s">
        <v>12</v>
      </c>
      <c r="AD546" t="s">
        <v>92</v>
      </c>
      <c r="AE546" t="s">
        <v>143</v>
      </c>
      <c r="AF546" t="s">
        <v>3452</v>
      </c>
    </row>
    <row r="547" spans="1:32" x14ac:dyDescent="0.45">
      <c r="A547" t="s">
        <v>3453</v>
      </c>
      <c r="B547" t="s">
        <v>3454</v>
      </c>
      <c r="C547" t="s">
        <v>3455</v>
      </c>
      <c r="D547" t="s">
        <v>3454</v>
      </c>
      <c r="E547" t="s">
        <v>3456</v>
      </c>
      <c r="F547" t="s">
        <v>3457</v>
      </c>
      <c r="H547" t="s">
        <v>3458</v>
      </c>
      <c r="J547" t="s">
        <v>92</v>
      </c>
      <c r="K547" t="s">
        <v>12</v>
      </c>
      <c r="L547" t="s">
        <v>12</v>
      </c>
      <c r="M547" t="s">
        <v>182</v>
      </c>
      <c r="N547" t="s">
        <v>12</v>
      </c>
      <c r="O547" t="s">
        <v>12</v>
      </c>
      <c r="P547" t="s">
        <v>12</v>
      </c>
      <c r="Q547" t="s">
        <v>92</v>
      </c>
      <c r="R547" t="s">
        <v>182</v>
      </c>
      <c r="S547" t="s">
        <v>92</v>
      </c>
      <c r="T547" t="s">
        <v>3453</v>
      </c>
      <c r="U547" t="s">
        <v>12</v>
      </c>
      <c r="V547" t="s">
        <v>12</v>
      </c>
      <c r="W547" t="s">
        <v>3453</v>
      </c>
      <c r="AA547" t="s">
        <v>92</v>
      </c>
      <c r="AB547" t="s">
        <v>92</v>
      </c>
      <c r="AC547" t="s">
        <v>12</v>
      </c>
      <c r="AD547" t="s">
        <v>92</v>
      </c>
      <c r="AE547" t="s">
        <v>119</v>
      </c>
      <c r="AF547" t="s">
        <v>3459</v>
      </c>
    </row>
    <row r="548" spans="1:32" x14ac:dyDescent="0.45">
      <c r="A548" t="s">
        <v>3460</v>
      </c>
      <c r="B548" t="s">
        <v>3461</v>
      </c>
      <c r="C548" t="s">
        <v>3462</v>
      </c>
      <c r="D548" t="s">
        <v>3463</v>
      </c>
      <c r="E548" t="s">
        <v>2890</v>
      </c>
      <c r="F548" t="s">
        <v>3464</v>
      </c>
      <c r="H548" t="s">
        <v>3465</v>
      </c>
      <c r="J548" t="s">
        <v>92</v>
      </c>
      <c r="K548" t="s">
        <v>12</v>
      </c>
      <c r="L548" t="s">
        <v>12</v>
      </c>
      <c r="M548" t="s">
        <v>182</v>
      </c>
      <c r="N548" t="s">
        <v>12</v>
      </c>
      <c r="O548" t="s">
        <v>12</v>
      </c>
      <c r="P548" t="s">
        <v>12</v>
      </c>
      <c r="Q548" t="s">
        <v>92</v>
      </c>
      <c r="R548" t="s">
        <v>182</v>
      </c>
      <c r="S548" t="s">
        <v>92</v>
      </c>
      <c r="T548" t="s">
        <v>3460</v>
      </c>
      <c r="U548" t="s">
        <v>12</v>
      </c>
      <c r="V548" t="s">
        <v>12</v>
      </c>
      <c r="W548" t="s">
        <v>3460</v>
      </c>
      <c r="AA548" t="s">
        <v>92</v>
      </c>
      <c r="AB548" t="s">
        <v>92</v>
      </c>
      <c r="AC548" t="s">
        <v>12</v>
      </c>
      <c r="AD548" t="s">
        <v>92</v>
      </c>
      <c r="AE548" t="s">
        <v>119</v>
      </c>
      <c r="AF548" t="s">
        <v>3466</v>
      </c>
    </row>
    <row r="549" spans="1:32" x14ac:dyDescent="0.45">
      <c r="A549" t="s">
        <v>3467</v>
      </c>
      <c r="B549" t="s">
        <v>3468</v>
      </c>
      <c r="C549" t="s">
        <v>3469</v>
      </c>
      <c r="D549" t="s">
        <v>3470</v>
      </c>
      <c r="J549" t="s">
        <v>92</v>
      </c>
      <c r="K549" t="s">
        <v>12</v>
      </c>
      <c r="L549" t="s">
        <v>12</v>
      </c>
      <c r="M549" t="s">
        <v>182</v>
      </c>
      <c r="N549" t="s">
        <v>12</v>
      </c>
      <c r="O549" t="s">
        <v>12</v>
      </c>
      <c r="P549" t="s">
        <v>12</v>
      </c>
      <c r="Q549" t="s">
        <v>92</v>
      </c>
      <c r="R549" t="s">
        <v>182</v>
      </c>
      <c r="S549" t="s">
        <v>92</v>
      </c>
      <c r="T549" t="s">
        <v>220</v>
      </c>
      <c r="U549" t="s">
        <v>12</v>
      </c>
      <c r="V549" t="s">
        <v>12</v>
      </c>
      <c r="W549" t="s">
        <v>1574</v>
      </c>
      <c r="AA549" t="s">
        <v>709</v>
      </c>
      <c r="AB549" t="s">
        <v>92</v>
      </c>
      <c r="AC549" t="s">
        <v>12</v>
      </c>
      <c r="AD549" t="s">
        <v>119</v>
      </c>
      <c r="AE549" t="s">
        <v>143</v>
      </c>
      <c r="AF549" t="s">
        <v>3471</v>
      </c>
    </row>
    <row r="550" spans="1:32" x14ac:dyDescent="0.45">
      <c r="A550" t="s">
        <v>3472</v>
      </c>
      <c r="B550" t="s">
        <v>3473</v>
      </c>
      <c r="C550" t="s">
        <v>3474</v>
      </c>
      <c r="D550" t="s">
        <v>3473</v>
      </c>
      <c r="E550" t="s">
        <v>3475</v>
      </c>
      <c r="F550" t="s">
        <v>3476</v>
      </c>
      <c r="H550" t="s">
        <v>3477</v>
      </c>
      <c r="I550" t="s">
        <v>3478</v>
      </c>
      <c r="J550" t="s">
        <v>92</v>
      </c>
      <c r="K550" t="s">
        <v>12</v>
      </c>
      <c r="L550" t="s">
        <v>12</v>
      </c>
      <c r="M550" t="s">
        <v>182</v>
      </c>
      <c r="N550" t="s">
        <v>12</v>
      </c>
      <c r="O550" t="s">
        <v>12</v>
      </c>
      <c r="P550" t="s">
        <v>12</v>
      </c>
      <c r="Q550" t="s">
        <v>92</v>
      </c>
      <c r="R550" t="s">
        <v>182</v>
      </c>
      <c r="S550" t="s">
        <v>92</v>
      </c>
      <c r="T550" t="s">
        <v>3472</v>
      </c>
      <c r="U550" t="s">
        <v>12</v>
      </c>
      <c r="V550" t="s">
        <v>12</v>
      </c>
      <c r="W550" t="s">
        <v>3460</v>
      </c>
      <c r="AA550" t="s">
        <v>92</v>
      </c>
      <c r="AB550" t="s">
        <v>92</v>
      </c>
      <c r="AC550" t="s">
        <v>12</v>
      </c>
      <c r="AD550" t="s">
        <v>92</v>
      </c>
      <c r="AE550" t="s">
        <v>119</v>
      </c>
      <c r="AF550" t="s">
        <v>3479</v>
      </c>
    </row>
    <row r="551" spans="1:32" x14ac:dyDescent="0.45">
      <c r="A551" t="s">
        <v>1434</v>
      </c>
      <c r="B551" t="s">
        <v>3480</v>
      </c>
      <c r="C551" t="s">
        <v>3481</v>
      </c>
      <c r="D551" t="s">
        <v>3482</v>
      </c>
      <c r="E551" t="s">
        <v>3483</v>
      </c>
      <c r="F551" t="s">
        <v>3484</v>
      </c>
      <c r="H551" t="s">
        <v>3485</v>
      </c>
      <c r="I551" t="s">
        <v>3486</v>
      </c>
      <c r="J551" t="s">
        <v>92</v>
      </c>
      <c r="K551" t="s">
        <v>12</v>
      </c>
      <c r="L551" t="s">
        <v>12</v>
      </c>
      <c r="M551" t="s">
        <v>182</v>
      </c>
      <c r="N551" t="s">
        <v>12</v>
      </c>
      <c r="O551" t="s">
        <v>12</v>
      </c>
      <c r="P551" t="s">
        <v>12</v>
      </c>
      <c r="Q551" t="s">
        <v>92</v>
      </c>
      <c r="R551" t="s">
        <v>182</v>
      </c>
      <c r="S551" t="s">
        <v>92</v>
      </c>
      <c r="T551" t="s">
        <v>1434</v>
      </c>
      <c r="U551" t="s">
        <v>12</v>
      </c>
      <c r="V551" t="s">
        <v>12</v>
      </c>
      <c r="W551" t="s">
        <v>1434</v>
      </c>
      <c r="AA551" t="s">
        <v>92</v>
      </c>
      <c r="AB551" t="s">
        <v>12</v>
      </c>
      <c r="AC551" t="s">
        <v>12</v>
      </c>
      <c r="AD551" t="s">
        <v>92</v>
      </c>
      <c r="AE551" t="s">
        <v>119</v>
      </c>
      <c r="AF551" t="s">
        <v>3487</v>
      </c>
    </row>
    <row r="552" spans="1:32" x14ac:dyDescent="0.45">
      <c r="A552" t="s">
        <v>3488</v>
      </c>
      <c r="B552" t="s">
        <v>3489</v>
      </c>
      <c r="C552" t="s">
        <v>3490</v>
      </c>
      <c r="D552" t="s">
        <v>3491</v>
      </c>
      <c r="E552" t="s">
        <v>3483</v>
      </c>
      <c r="F552" t="s">
        <v>3484</v>
      </c>
      <c r="H552" t="s">
        <v>3485</v>
      </c>
      <c r="I552" t="s">
        <v>3486</v>
      </c>
      <c r="J552" t="s">
        <v>92</v>
      </c>
      <c r="K552" t="s">
        <v>12</v>
      </c>
      <c r="L552" t="s">
        <v>12</v>
      </c>
      <c r="M552" t="s">
        <v>182</v>
      </c>
      <c r="N552" t="s">
        <v>12</v>
      </c>
      <c r="O552" t="s">
        <v>12</v>
      </c>
      <c r="P552" t="s">
        <v>12</v>
      </c>
      <c r="Q552" t="s">
        <v>92</v>
      </c>
      <c r="R552" t="s">
        <v>182</v>
      </c>
      <c r="S552" t="s">
        <v>92</v>
      </c>
      <c r="T552" t="s">
        <v>3488</v>
      </c>
      <c r="U552" t="s">
        <v>12</v>
      </c>
      <c r="V552" t="s">
        <v>12</v>
      </c>
      <c r="W552" t="s">
        <v>3488</v>
      </c>
      <c r="AA552" t="s">
        <v>92</v>
      </c>
      <c r="AB552" t="s">
        <v>12</v>
      </c>
      <c r="AC552" t="s">
        <v>12</v>
      </c>
      <c r="AD552" t="s">
        <v>92</v>
      </c>
      <c r="AE552" t="s">
        <v>119</v>
      </c>
      <c r="AF552" t="s">
        <v>3492</v>
      </c>
    </row>
    <row r="553" spans="1:32" x14ac:dyDescent="0.45">
      <c r="A553" t="s">
        <v>3493</v>
      </c>
      <c r="B553" t="s">
        <v>3494</v>
      </c>
      <c r="C553" t="s">
        <v>3495</v>
      </c>
      <c r="D553" t="s">
        <v>3494</v>
      </c>
      <c r="E553" t="s">
        <v>3483</v>
      </c>
      <c r="F553" t="s">
        <v>3484</v>
      </c>
      <c r="H553" t="s">
        <v>3485</v>
      </c>
      <c r="I553" t="s">
        <v>3486</v>
      </c>
      <c r="J553" t="s">
        <v>92</v>
      </c>
      <c r="K553" t="s">
        <v>12</v>
      </c>
      <c r="L553" t="s">
        <v>12</v>
      </c>
      <c r="M553" t="s">
        <v>182</v>
      </c>
      <c r="N553" t="s">
        <v>12</v>
      </c>
      <c r="O553" t="s">
        <v>12</v>
      </c>
      <c r="P553" t="s">
        <v>12</v>
      </c>
      <c r="Q553" t="s">
        <v>92</v>
      </c>
      <c r="R553" t="s">
        <v>182</v>
      </c>
      <c r="S553" t="s">
        <v>92</v>
      </c>
      <c r="T553" t="s">
        <v>3493</v>
      </c>
      <c r="U553" t="s">
        <v>12</v>
      </c>
      <c r="V553" t="s">
        <v>12</v>
      </c>
      <c r="W553" t="s">
        <v>3493</v>
      </c>
      <c r="AA553" t="s">
        <v>92</v>
      </c>
      <c r="AB553" t="s">
        <v>12</v>
      </c>
      <c r="AC553" t="s">
        <v>12</v>
      </c>
      <c r="AD553" t="s">
        <v>92</v>
      </c>
      <c r="AE553" t="s">
        <v>119</v>
      </c>
      <c r="AF553" t="s">
        <v>3496</v>
      </c>
    </row>
    <row r="554" spans="1:32" x14ac:dyDescent="0.45">
      <c r="A554" t="s">
        <v>3497</v>
      </c>
      <c r="B554" t="s">
        <v>3498</v>
      </c>
      <c r="C554" t="s">
        <v>3499</v>
      </c>
      <c r="D554" t="s">
        <v>3500</v>
      </c>
      <c r="E554" t="s">
        <v>3483</v>
      </c>
      <c r="F554" t="s">
        <v>3484</v>
      </c>
      <c r="H554" t="s">
        <v>3485</v>
      </c>
      <c r="I554" t="s">
        <v>3486</v>
      </c>
      <c r="J554" t="s">
        <v>92</v>
      </c>
      <c r="K554" t="s">
        <v>12</v>
      </c>
      <c r="L554" t="s">
        <v>12</v>
      </c>
      <c r="M554" t="s">
        <v>182</v>
      </c>
      <c r="N554" t="s">
        <v>12</v>
      </c>
      <c r="O554" t="s">
        <v>12</v>
      </c>
      <c r="P554" t="s">
        <v>12</v>
      </c>
      <c r="Q554" t="s">
        <v>92</v>
      </c>
      <c r="R554" t="s">
        <v>182</v>
      </c>
      <c r="S554" t="s">
        <v>92</v>
      </c>
      <c r="T554" t="s">
        <v>3497</v>
      </c>
      <c r="U554" t="s">
        <v>12</v>
      </c>
      <c r="V554" t="s">
        <v>12</v>
      </c>
      <c r="W554" t="s">
        <v>3493</v>
      </c>
      <c r="AA554" t="s">
        <v>92</v>
      </c>
      <c r="AB554" t="s">
        <v>12</v>
      </c>
      <c r="AC554" t="s">
        <v>12</v>
      </c>
      <c r="AD554" t="s">
        <v>92</v>
      </c>
      <c r="AE554" t="s">
        <v>119</v>
      </c>
      <c r="AF554" t="s">
        <v>3501</v>
      </c>
    </row>
    <row r="555" spans="1:32" x14ac:dyDescent="0.45">
      <c r="A555" t="s">
        <v>3502</v>
      </c>
      <c r="B555" t="s">
        <v>3440</v>
      </c>
      <c r="C555" t="s">
        <v>3441</v>
      </c>
      <c r="D555" t="s">
        <v>3440</v>
      </c>
      <c r="J555" t="s">
        <v>92</v>
      </c>
      <c r="K555" t="s">
        <v>12</v>
      </c>
      <c r="L555" t="s">
        <v>12</v>
      </c>
      <c r="M555" t="s">
        <v>182</v>
      </c>
      <c r="N555" t="s">
        <v>12</v>
      </c>
      <c r="O555" t="s">
        <v>12</v>
      </c>
      <c r="P555" t="s">
        <v>12</v>
      </c>
      <c r="Q555" t="s">
        <v>92</v>
      </c>
      <c r="R555" t="s">
        <v>182</v>
      </c>
      <c r="S555" t="s">
        <v>92</v>
      </c>
      <c r="T555" t="s">
        <v>3502</v>
      </c>
      <c r="U555" t="s">
        <v>12</v>
      </c>
      <c r="V555" t="s">
        <v>12</v>
      </c>
      <c r="W555" t="s">
        <v>3502</v>
      </c>
      <c r="AA555" t="s">
        <v>92</v>
      </c>
      <c r="AB555" t="s">
        <v>92</v>
      </c>
      <c r="AC555" t="s">
        <v>12</v>
      </c>
      <c r="AD555" t="s">
        <v>92</v>
      </c>
      <c r="AE555" t="s">
        <v>143</v>
      </c>
      <c r="AF555" t="s">
        <v>3503</v>
      </c>
    </row>
    <row r="556" spans="1:32" x14ac:dyDescent="0.45">
      <c r="A556" t="s">
        <v>3504</v>
      </c>
      <c r="B556" t="s">
        <v>3428</v>
      </c>
      <c r="C556" t="s">
        <v>3429</v>
      </c>
      <c r="D556" t="s">
        <v>3430</v>
      </c>
      <c r="H556" t="s">
        <v>3431</v>
      </c>
      <c r="I556" t="s">
        <v>3432</v>
      </c>
      <c r="J556" t="s">
        <v>92</v>
      </c>
      <c r="K556" t="s">
        <v>12</v>
      </c>
      <c r="L556" t="s">
        <v>12</v>
      </c>
      <c r="M556" t="s">
        <v>182</v>
      </c>
      <c r="N556" t="s">
        <v>12</v>
      </c>
      <c r="O556" t="s">
        <v>12</v>
      </c>
      <c r="P556" t="s">
        <v>12</v>
      </c>
      <c r="Q556" t="s">
        <v>92</v>
      </c>
      <c r="R556" t="s">
        <v>182</v>
      </c>
      <c r="S556" t="s">
        <v>92</v>
      </c>
      <c r="T556" t="s">
        <v>3504</v>
      </c>
      <c r="U556" t="s">
        <v>12</v>
      </c>
      <c r="V556" t="s">
        <v>12</v>
      </c>
      <c r="W556" t="s">
        <v>3504</v>
      </c>
      <c r="AA556" t="s">
        <v>709</v>
      </c>
      <c r="AB556" t="s">
        <v>92</v>
      </c>
      <c r="AC556" t="s">
        <v>12</v>
      </c>
      <c r="AD556" t="s">
        <v>92</v>
      </c>
      <c r="AE556" t="s">
        <v>143</v>
      </c>
      <c r="AF556" t="s">
        <v>3505</v>
      </c>
    </row>
    <row r="557" spans="1:32" x14ac:dyDescent="0.45">
      <c r="A557" t="s">
        <v>234</v>
      </c>
      <c r="B557" t="s">
        <v>3506</v>
      </c>
      <c r="C557" t="s">
        <v>3507</v>
      </c>
      <c r="D557" t="s">
        <v>75</v>
      </c>
      <c r="E557" t="s">
        <v>3483</v>
      </c>
      <c r="F557" t="s">
        <v>3484</v>
      </c>
      <c r="H557" t="s">
        <v>3485</v>
      </c>
      <c r="I557" t="s">
        <v>3486</v>
      </c>
      <c r="J557" t="s">
        <v>92</v>
      </c>
      <c r="K557" t="s">
        <v>12</v>
      </c>
      <c r="L557" t="s">
        <v>12</v>
      </c>
      <c r="M557" t="s">
        <v>182</v>
      </c>
      <c r="N557" t="s">
        <v>12</v>
      </c>
      <c r="O557" t="s">
        <v>12</v>
      </c>
      <c r="P557" t="s">
        <v>12</v>
      </c>
      <c r="Q557" t="s">
        <v>92</v>
      </c>
      <c r="R557" t="s">
        <v>182</v>
      </c>
      <c r="S557" t="s">
        <v>92</v>
      </c>
      <c r="T557" t="s">
        <v>234</v>
      </c>
      <c r="U557" t="s">
        <v>12</v>
      </c>
      <c r="V557" t="s">
        <v>12</v>
      </c>
      <c r="W557" t="s">
        <v>234</v>
      </c>
      <c r="AA557" t="s">
        <v>92</v>
      </c>
      <c r="AB557" t="s">
        <v>12</v>
      </c>
      <c r="AC557" t="s">
        <v>12</v>
      </c>
      <c r="AD557" t="s">
        <v>119</v>
      </c>
      <c r="AE557" t="s">
        <v>119</v>
      </c>
      <c r="AF557" t="s">
        <v>3508</v>
      </c>
    </row>
    <row r="558" spans="1:32" x14ac:dyDescent="0.45">
      <c r="A558" t="s">
        <v>237</v>
      </c>
      <c r="B558" t="s">
        <v>3509</v>
      </c>
      <c r="C558" t="s">
        <v>3490</v>
      </c>
      <c r="D558" t="s">
        <v>76</v>
      </c>
      <c r="E558" t="s">
        <v>3483</v>
      </c>
      <c r="F558" t="s">
        <v>3484</v>
      </c>
      <c r="H558" t="s">
        <v>3485</v>
      </c>
      <c r="I558" t="s">
        <v>3486</v>
      </c>
      <c r="J558" t="s">
        <v>92</v>
      </c>
      <c r="K558" t="s">
        <v>12</v>
      </c>
      <c r="L558" t="s">
        <v>12</v>
      </c>
      <c r="M558" t="s">
        <v>182</v>
      </c>
      <c r="N558" t="s">
        <v>12</v>
      </c>
      <c r="O558" t="s">
        <v>12</v>
      </c>
      <c r="P558" t="s">
        <v>12</v>
      </c>
      <c r="Q558" t="s">
        <v>92</v>
      </c>
      <c r="R558" t="s">
        <v>182</v>
      </c>
      <c r="S558" t="s">
        <v>92</v>
      </c>
      <c r="T558" t="s">
        <v>237</v>
      </c>
      <c r="U558" t="s">
        <v>12</v>
      </c>
      <c r="V558" t="s">
        <v>12</v>
      </c>
      <c r="W558" t="s">
        <v>237</v>
      </c>
      <c r="AA558" t="s">
        <v>92</v>
      </c>
      <c r="AB558" t="s">
        <v>12</v>
      </c>
      <c r="AC558" t="s">
        <v>12</v>
      </c>
      <c r="AD558" t="s">
        <v>92</v>
      </c>
      <c r="AE558" t="s">
        <v>143</v>
      </c>
      <c r="AF558" t="s">
        <v>3510</v>
      </c>
    </row>
    <row r="559" spans="1:32" x14ac:dyDescent="0.45">
      <c r="A559" t="s">
        <v>3511</v>
      </c>
      <c r="B559" t="s">
        <v>3512</v>
      </c>
      <c r="C559" t="s">
        <v>3495</v>
      </c>
      <c r="D559" t="s">
        <v>3512</v>
      </c>
      <c r="E559" t="s">
        <v>3483</v>
      </c>
      <c r="F559" t="s">
        <v>3484</v>
      </c>
      <c r="H559" t="s">
        <v>3485</v>
      </c>
      <c r="I559" t="s">
        <v>3486</v>
      </c>
      <c r="J559" t="s">
        <v>92</v>
      </c>
      <c r="K559" t="s">
        <v>12</v>
      </c>
      <c r="L559" t="s">
        <v>12</v>
      </c>
      <c r="M559" t="s">
        <v>182</v>
      </c>
      <c r="N559" t="s">
        <v>12</v>
      </c>
      <c r="O559" t="s">
        <v>12</v>
      </c>
      <c r="P559" t="s">
        <v>12</v>
      </c>
      <c r="Q559" t="s">
        <v>92</v>
      </c>
      <c r="R559" t="s">
        <v>182</v>
      </c>
      <c r="S559" t="s">
        <v>92</v>
      </c>
      <c r="T559" t="s">
        <v>3511</v>
      </c>
      <c r="U559" t="s">
        <v>12</v>
      </c>
      <c r="V559" t="s">
        <v>12</v>
      </c>
      <c r="W559" t="s">
        <v>3511</v>
      </c>
      <c r="AA559" t="s">
        <v>92</v>
      </c>
      <c r="AB559" t="s">
        <v>12</v>
      </c>
      <c r="AC559" t="s">
        <v>12</v>
      </c>
      <c r="AD559" t="s">
        <v>92</v>
      </c>
      <c r="AE559" t="s">
        <v>143</v>
      </c>
      <c r="AF559" t="s">
        <v>3513</v>
      </c>
    </row>
    <row r="560" spans="1:32" x14ac:dyDescent="0.45">
      <c r="A560" t="s">
        <v>3514</v>
      </c>
      <c r="B560" t="s">
        <v>3515</v>
      </c>
      <c r="C560" t="s">
        <v>3499</v>
      </c>
      <c r="D560" t="s">
        <v>3516</v>
      </c>
      <c r="E560" t="s">
        <v>3483</v>
      </c>
      <c r="F560" t="s">
        <v>3484</v>
      </c>
      <c r="H560" t="s">
        <v>3485</v>
      </c>
      <c r="I560" t="s">
        <v>3486</v>
      </c>
      <c r="J560" t="s">
        <v>92</v>
      </c>
      <c r="K560" t="s">
        <v>12</v>
      </c>
      <c r="L560" t="s">
        <v>12</v>
      </c>
      <c r="M560" t="s">
        <v>182</v>
      </c>
      <c r="N560" t="s">
        <v>12</v>
      </c>
      <c r="O560" t="s">
        <v>12</v>
      </c>
      <c r="P560" t="s">
        <v>12</v>
      </c>
      <c r="Q560" t="s">
        <v>92</v>
      </c>
      <c r="R560" t="s">
        <v>182</v>
      </c>
      <c r="S560" t="s">
        <v>92</v>
      </c>
      <c r="T560" t="s">
        <v>3514</v>
      </c>
      <c r="U560" t="s">
        <v>12</v>
      </c>
      <c r="V560" t="s">
        <v>12</v>
      </c>
      <c r="W560" t="s">
        <v>3514</v>
      </c>
      <c r="AA560" t="s">
        <v>92</v>
      </c>
      <c r="AB560" t="s">
        <v>12</v>
      </c>
      <c r="AC560" t="s">
        <v>12</v>
      </c>
      <c r="AD560" t="s">
        <v>92</v>
      </c>
      <c r="AE560" t="s">
        <v>119</v>
      </c>
      <c r="AF560" t="s">
        <v>3517</v>
      </c>
    </row>
    <row r="561" spans="1:32" x14ac:dyDescent="0.45">
      <c r="A561" t="s">
        <v>3518</v>
      </c>
      <c r="B561" t="s">
        <v>3519</v>
      </c>
      <c r="C561" t="s">
        <v>3065</v>
      </c>
      <c r="D561" t="s">
        <v>3520</v>
      </c>
      <c r="E561" t="s">
        <v>3067</v>
      </c>
      <c r="G561" t="s">
        <v>3068</v>
      </c>
      <c r="H561" t="s">
        <v>3069</v>
      </c>
      <c r="I561" t="s">
        <v>3070</v>
      </c>
      <c r="J561" t="s">
        <v>92</v>
      </c>
      <c r="K561" t="s">
        <v>12</v>
      </c>
      <c r="L561" t="s">
        <v>12</v>
      </c>
      <c r="M561" t="s">
        <v>182</v>
      </c>
      <c r="N561" t="s">
        <v>12</v>
      </c>
      <c r="O561" t="s">
        <v>12</v>
      </c>
      <c r="P561" t="s">
        <v>12</v>
      </c>
      <c r="Q561" t="s">
        <v>92</v>
      </c>
      <c r="R561" t="s">
        <v>182</v>
      </c>
      <c r="S561" t="s">
        <v>92</v>
      </c>
      <c r="T561" t="s">
        <v>3518</v>
      </c>
      <c r="U561" t="s">
        <v>12</v>
      </c>
      <c r="V561" t="s">
        <v>12</v>
      </c>
      <c r="W561" t="s">
        <v>3518</v>
      </c>
      <c r="X561" t="s">
        <v>1046</v>
      </c>
      <c r="Y561" t="s">
        <v>3521</v>
      </c>
      <c r="Z561" t="s">
        <v>610</v>
      </c>
      <c r="AA561" t="s">
        <v>92</v>
      </c>
      <c r="AB561" t="s">
        <v>92</v>
      </c>
      <c r="AC561" t="s">
        <v>12</v>
      </c>
      <c r="AD561" t="s">
        <v>92</v>
      </c>
      <c r="AE561" t="s">
        <v>119</v>
      </c>
      <c r="AF561" t="s">
        <v>3522</v>
      </c>
    </row>
    <row r="562" spans="1:32" x14ac:dyDescent="0.45">
      <c r="A562" t="s">
        <v>3523</v>
      </c>
      <c r="B562" t="s">
        <v>3524</v>
      </c>
      <c r="C562" t="s">
        <v>3525</v>
      </c>
      <c r="D562" t="s">
        <v>3526</v>
      </c>
      <c r="E562" t="s">
        <v>3067</v>
      </c>
      <c r="G562" t="s">
        <v>3068</v>
      </c>
      <c r="H562" t="s">
        <v>3069</v>
      </c>
      <c r="I562" t="s">
        <v>3070</v>
      </c>
      <c r="J562" t="s">
        <v>92</v>
      </c>
      <c r="K562" t="s">
        <v>12</v>
      </c>
      <c r="L562" t="s">
        <v>12</v>
      </c>
      <c r="M562" t="s">
        <v>182</v>
      </c>
      <c r="N562" t="s">
        <v>12</v>
      </c>
      <c r="O562" t="s">
        <v>12</v>
      </c>
      <c r="P562" t="s">
        <v>12</v>
      </c>
      <c r="Q562" t="s">
        <v>92</v>
      </c>
      <c r="R562" t="s">
        <v>182</v>
      </c>
      <c r="S562" t="s">
        <v>92</v>
      </c>
      <c r="T562" t="s">
        <v>3523</v>
      </c>
      <c r="U562" t="s">
        <v>12</v>
      </c>
      <c r="V562" t="s">
        <v>12</v>
      </c>
      <c r="W562" t="s">
        <v>3523</v>
      </c>
      <c r="AA562" t="s">
        <v>92</v>
      </c>
      <c r="AB562" t="s">
        <v>92</v>
      </c>
      <c r="AC562" t="s">
        <v>12</v>
      </c>
      <c r="AD562" t="s">
        <v>92</v>
      </c>
      <c r="AE562" t="s">
        <v>143</v>
      </c>
      <c r="AF562" t="s">
        <v>3527</v>
      </c>
    </row>
    <row r="563" spans="1:32" x14ac:dyDescent="0.45">
      <c r="A563" t="s">
        <v>238</v>
      </c>
      <c r="B563" t="s">
        <v>77</v>
      </c>
      <c r="C563" t="s">
        <v>1477</v>
      </c>
      <c r="D563" t="s">
        <v>77</v>
      </c>
      <c r="E563" t="s">
        <v>470</v>
      </c>
      <c r="F563" t="s">
        <v>1478</v>
      </c>
      <c r="H563" t="s">
        <v>1479</v>
      </c>
      <c r="I563" t="s">
        <v>1480</v>
      </c>
      <c r="J563" t="s">
        <v>92</v>
      </c>
      <c r="K563" t="s">
        <v>12</v>
      </c>
      <c r="L563" t="s">
        <v>12</v>
      </c>
      <c r="M563" t="s">
        <v>182</v>
      </c>
      <c r="N563" t="s">
        <v>12</v>
      </c>
      <c r="O563" t="s">
        <v>12</v>
      </c>
      <c r="P563" t="s">
        <v>12</v>
      </c>
      <c r="Q563" t="s">
        <v>92</v>
      </c>
      <c r="R563" t="s">
        <v>182</v>
      </c>
      <c r="S563" t="s">
        <v>92</v>
      </c>
      <c r="T563" t="s">
        <v>238</v>
      </c>
      <c r="U563" t="s">
        <v>12</v>
      </c>
      <c r="V563" t="s">
        <v>12</v>
      </c>
      <c r="W563" t="s">
        <v>238</v>
      </c>
      <c r="AA563" t="s">
        <v>92</v>
      </c>
      <c r="AB563" t="s">
        <v>92</v>
      </c>
      <c r="AC563" t="s">
        <v>12</v>
      </c>
      <c r="AD563" t="s">
        <v>92</v>
      </c>
      <c r="AE563" t="s">
        <v>143</v>
      </c>
      <c r="AF563" t="s">
        <v>3528</v>
      </c>
    </row>
    <row r="564" spans="1:32" x14ac:dyDescent="0.45">
      <c r="A564" t="s">
        <v>3529</v>
      </c>
      <c r="B564" t="s">
        <v>3530</v>
      </c>
      <c r="C564" t="s">
        <v>1477</v>
      </c>
      <c r="D564" t="s">
        <v>3530</v>
      </c>
      <c r="H564" t="s">
        <v>1479</v>
      </c>
      <c r="I564" t="s">
        <v>1480</v>
      </c>
      <c r="J564" t="s">
        <v>92</v>
      </c>
      <c r="K564" t="s">
        <v>12</v>
      </c>
      <c r="L564" t="s">
        <v>12</v>
      </c>
      <c r="M564" t="s">
        <v>182</v>
      </c>
      <c r="N564" t="s">
        <v>12</v>
      </c>
      <c r="O564" t="s">
        <v>12</v>
      </c>
      <c r="P564" t="s">
        <v>12</v>
      </c>
      <c r="Q564" t="s">
        <v>92</v>
      </c>
      <c r="R564" t="s">
        <v>182</v>
      </c>
      <c r="S564" t="s">
        <v>92</v>
      </c>
      <c r="T564" t="s">
        <v>3529</v>
      </c>
      <c r="U564" t="s">
        <v>12</v>
      </c>
      <c r="V564" t="s">
        <v>12</v>
      </c>
      <c r="W564" t="s">
        <v>3529</v>
      </c>
      <c r="AA564" t="s">
        <v>92</v>
      </c>
      <c r="AB564" t="s">
        <v>92</v>
      </c>
      <c r="AC564" t="s">
        <v>12</v>
      </c>
      <c r="AD564" t="s">
        <v>92</v>
      </c>
      <c r="AE564" t="s">
        <v>143</v>
      </c>
      <c r="AF564" t="s">
        <v>3531</v>
      </c>
    </row>
    <row r="565" spans="1:32" x14ac:dyDescent="0.45">
      <c r="A565" t="s">
        <v>240</v>
      </c>
      <c r="B565" t="s">
        <v>78</v>
      </c>
      <c r="C565" t="s">
        <v>1629</v>
      </c>
      <c r="D565" t="s">
        <v>78</v>
      </c>
      <c r="E565" t="s">
        <v>1630</v>
      </c>
      <c r="F565" t="s">
        <v>1631</v>
      </c>
      <c r="H565" t="s">
        <v>1632</v>
      </c>
      <c r="I565" t="s">
        <v>1633</v>
      </c>
      <c r="J565" t="s">
        <v>92</v>
      </c>
      <c r="K565" t="s">
        <v>12</v>
      </c>
      <c r="L565" t="s">
        <v>12</v>
      </c>
      <c r="M565" t="s">
        <v>182</v>
      </c>
      <c r="N565" t="s">
        <v>12</v>
      </c>
      <c r="O565" t="s">
        <v>12</v>
      </c>
      <c r="P565" t="s">
        <v>12</v>
      </c>
      <c r="Q565" t="s">
        <v>92</v>
      </c>
      <c r="R565" t="s">
        <v>182</v>
      </c>
      <c r="S565" t="s">
        <v>92</v>
      </c>
      <c r="T565" t="s">
        <v>240</v>
      </c>
      <c r="U565" t="s">
        <v>12</v>
      </c>
      <c r="V565" t="s">
        <v>12</v>
      </c>
      <c r="W565" t="s">
        <v>240</v>
      </c>
      <c r="AA565" t="s">
        <v>12</v>
      </c>
      <c r="AB565" t="s">
        <v>92</v>
      </c>
      <c r="AC565" t="s">
        <v>12</v>
      </c>
      <c r="AD565" t="s">
        <v>92</v>
      </c>
      <c r="AE565" t="s">
        <v>143</v>
      </c>
      <c r="AF565" t="s">
        <v>3532</v>
      </c>
    </row>
    <row r="566" spans="1:32" x14ac:dyDescent="0.45">
      <c r="A566" t="s">
        <v>3533</v>
      </c>
      <c r="B566" t="s">
        <v>3534</v>
      </c>
      <c r="C566" t="s">
        <v>3535</v>
      </c>
      <c r="D566" t="s">
        <v>3534</v>
      </c>
      <c r="E566" t="s">
        <v>3536</v>
      </c>
      <c r="F566" t="s">
        <v>3537</v>
      </c>
      <c r="H566" t="s">
        <v>3538</v>
      </c>
      <c r="J566" t="s">
        <v>92</v>
      </c>
      <c r="K566" t="s">
        <v>12</v>
      </c>
      <c r="L566" t="s">
        <v>12</v>
      </c>
      <c r="M566" t="s">
        <v>182</v>
      </c>
      <c r="N566" t="s">
        <v>12</v>
      </c>
      <c r="O566" t="s">
        <v>12</v>
      </c>
      <c r="P566" t="s">
        <v>12</v>
      </c>
      <c r="Q566" t="s">
        <v>92</v>
      </c>
      <c r="R566" t="s">
        <v>182</v>
      </c>
      <c r="S566" t="s">
        <v>92</v>
      </c>
      <c r="T566" t="s">
        <v>3533</v>
      </c>
      <c r="U566" t="s">
        <v>12</v>
      </c>
      <c r="V566" t="s">
        <v>12</v>
      </c>
      <c r="W566" t="s">
        <v>3533</v>
      </c>
      <c r="AA566" t="s">
        <v>92</v>
      </c>
      <c r="AB566" t="s">
        <v>92</v>
      </c>
      <c r="AC566" t="s">
        <v>12</v>
      </c>
      <c r="AD566" t="s">
        <v>92</v>
      </c>
      <c r="AE566" t="s">
        <v>143</v>
      </c>
      <c r="AF566" t="s">
        <v>3539</v>
      </c>
    </row>
    <row r="567" spans="1:32" x14ac:dyDescent="0.45">
      <c r="A567" t="s">
        <v>243</v>
      </c>
      <c r="B567" t="s">
        <v>3540</v>
      </c>
      <c r="C567" t="s">
        <v>3541</v>
      </c>
      <c r="D567" t="s">
        <v>79</v>
      </c>
      <c r="E567" t="s">
        <v>1430</v>
      </c>
      <c r="F567" t="s">
        <v>1431</v>
      </c>
      <c r="H567" t="s">
        <v>1432</v>
      </c>
      <c r="I567" t="s">
        <v>1433</v>
      </c>
      <c r="J567" t="s">
        <v>92</v>
      </c>
      <c r="K567" t="s">
        <v>12</v>
      </c>
      <c r="L567" t="s">
        <v>12</v>
      </c>
      <c r="M567" t="s">
        <v>182</v>
      </c>
      <c r="N567" t="s">
        <v>12</v>
      </c>
      <c r="O567" t="s">
        <v>12</v>
      </c>
      <c r="P567" t="s">
        <v>12</v>
      </c>
      <c r="Q567" t="s">
        <v>92</v>
      </c>
      <c r="R567" t="s">
        <v>182</v>
      </c>
      <c r="S567" t="s">
        <v>92</v>
      </c>
      <c r="T567" t="s">
        <v>243</v>
      </c>
      <c r="U567" t="s">
        <v>12</v>
      </c>
      <c r="V567" t="s">
        <v>12</v>
      </c>
      <c r="W567" t="s">
        <v>243</v>
      </c>
      <c r="AA567" t="s">
        <v>92</v>
      </c>
      <c r="AB567" t="s">
        <v>92</v>
      </c>
      <c r="AC567" t="s">
        <v>12</v>
      </c>
      <c r="AD567" t="s">
        <v>92</v>
      </c>
      <c r="AE567" t="s">
        <v>143</v>
      </c>
      <c r="AF567" t="s">
        <v>3542</v>
      </c>
    </row>
    <row r="568" spans="1:32" x14ac:dyDescent="0.45">
      <c r="A568" t="s">
        <v>3543</v>
      </c>
      <c r="B568" t="s">
        <v>3544</v>
      </c>
      <c r="C568" t="s">
        <v>3541</v>
      </c>
      <c r="D568" t="s">
        <v>3544</v>
      </c>
      <c r="H568" t="s">
        <v>1432</v>
      </c>
      <c r="I568" t="s">
        <v>1433</v>
      </c>
      <c r="J568" t="s">
        <v>92</v>
      </c>
      <c r="K568" t="s">
        <v>12</v>
      </c>
      <c r="L568" t="s">
        <v>12</v>
      </c>
      <c r="M568" t="s">
        <v>182</v>
      </c>
      <c r="N568" t="s">
        <v>12</v>
      </c>
      <c r="O568" t="s">
        <v>12</v>
      </c>
      <c r="P568" t="s">
        <v>12</v>
      </c>
      <c r="Q568" t="s">
        <v>92</v>
      </c>
      <c r="R568" t="s">
        <v>182</v>
      </c>
      <c r="S568" t="s">
        <v>92</v>
      </c>
      <c r="T568" t="s">
        <v>3543</v>
      </c>
      <c r="U568" t="s">
        <v>12</v>
      </c>
      <c r="V568" t="s">
        <v>12</v>
      </c>
      <c r="W568" t="s">
        <v>3543</v>
      </c>
      <c r="AA568" t="s">
        <v>92</v>
      </c>
      <c r="AB568" t="s">
        <v>92</v>
      </c>
      <c r="AC568" t="s">
        <v>12</v>
      </c>
      <c r="AD568" t="s">
        <v>92</v>
      </c>
      <c r="AE568" t="s">
        <v>143</v>
      </c>
      <c r="AF568" t="s">
        <v>3545</v>
      </c>
    </row>
    <row r="569" spans="1:32" x14ac:dyDescent="0.45">
      <c r="A569" t="s">
        <v>245</v>
      </c>
      <c r="B569" t="s">
        <v>3546</v>
      </c>
      <c r="C569" t="s">
        <v>3547</v>
      </c>
      <c r="D569" t="s">
        <v>80</v>
      </c>
      <c r="E569" t="s">
        <v>3548</v>
      </c>
      <c r="F569" t="s">
        <v>3549</v>
      </c>
      <c r="H569" t="s">
        <v>3550</v>
      </c>
      <c r="I569" t="s">
        <v>3551</v>
      </c>
      <c r="J569" t="s">
        <v>92</v>
      </c>
      <c r="K569" t="s">
        <v>12</v>
      </c>
      <c r="L569" t="s">
        <v>12</v>
      </c>
      <c r="M569" t="s">
        <v>182</v>
      </c>
      <c r="N569" t="s">
        <v>12</v>
      </c>
      <c r="O569" t="s">
        <v>12</v>
      </c>
      <c r="P569" t="s">
        <v>12</v>
      </c>
      <c r="Q569" t="s">
        <v>92</v>
      </c>
      <c r="R569" t="s">
        <v>182</v>
      </c>
      <c r="S569" t="s">
        <v>92</v>
      </c>
      <c r="T569" t="s">
        <v>245</v>
      </c>
      <c r="U569" t="s">
        <v>12</v>
      </c>
      <c r="V569" t="s">
        <v>12</v>
      </c>
      <c r="W569" t="s">
        <v>245</v>
      </c>
      <c r="AA569" t="s">
        <v>12</v>
      </c>
      <c r="AB569" t="s">
        <v>92</v>
      </c>
      <c r="AC569" t="s">
        <v>12</v>
      </c>
      <c r="AD569" t="s">
        <v>92</v>
      </c>
      <c r="AE569" t="s">
        <v>109</v>
      </c>
      <c r="AF569" t="s">
        <v>3552</v>
      </c>
    </row>
    <row r="570" spans="1:32" x14ac:dyDescent="0.45">
      <c r="A570" t="s">
        <v>3553</v>
      </c>
      <c r="B570" t="s">
        <v>3554</v>
      </c>
      <c r="C570" t="s">
        <v>3555</v>
      </c>
      <c r="D570" t="s">
        <v>3554</v>
      </c>
      <c r="E570" t="s">
        <v>2645</v>
      </c>
      <c r="F570" t="s">
        <v>3556</v>
      </c>
      <c r="H570" t="s">
        <v>3557</v>
      </c>
      <c r="I570" t="s">
        <v>3558</v>
      </c>
      <c r="J570" t="s">
        <v>92</v>
      </c>
      <c r="K570" t="s">
        <v>12</v>
      </c>
      <c r="L570" t="s">
        <v>12</v>
      </c>
      <c r="M570" t="s">
        <v>182</v>
      </c>
      <c r="N570" t="s">
        <v>12</v>
      </c>
      <c r="O570" t="s">
        <v>12</v>
      </c>
      <c r="P570" t="s">
        <v>12</v>
      </c>
      <c r="Q570" t="s">
        <v>92</v>
      </c>
      <c r="R570" t="s">
        <v>182</v>
      </c>
      <c r="S570" t="s">
        <v>92</v>
      </c>
      <c r="T570" t="s">
        <v>3553</v>
      </c>
      <c r="U570" t="s">
        <v>12</v>
      </c>
      <c r="V570" t="s">
        <v>12</v>
      </c>
      <c r="W570" t="s">
        <v>3553</v>
      </c>
      <c r="AA570" t="s">
        <v>92</v>
      </c>
      <c r="AB570" t="s">
        <v>92</v>
      </c>
      <c r="AC570" t="s">
        <v>12</v>
      </c>
      <c r="AD570" t="s">
        <v>92</v>
      </c>
      <c r="AE570" t="s">
        <v>109</v>
      </c>
      <c r="AF570" t="s">
        <v>3559</v>
      </c>
    </row>
    <row r="571" spans="1:32" x14ac:dyDescent="0.45">
      <c r="A571" t="s">
        <v>3560</v>
      </c>
      <c r="B571" t="s">
        <v>3561</v>
      </c>
      <c r="C571" t="s">
        <v>3562</v>
      </c>
      <c r="D571" t="s">
        <v>3563</v>
      </c>
      <c r="E571" t="s">
        <v>545</v>
      </c>
      <c r="F571" t="s">
        <v>3564</v>
      </c>
      <c r="H571" t="s">
        <v>3565</v>
      </c>
      <c r="J571" t="s">
        <v>92</v>
      </c>
      <c r="K571" t="s">
        <v>12</v>
      </c>
      <c r="L571" t="s">
        <v>12</v>
      </c>
      <c r="M571" t="s">
        <v>182</v>
      </c>
      <c r="N571" t="s">
        <v>12</v>
      </c>
      <c r="O571" t="s">
        <v>12</v>
      </c>
      <c r="P571" t="s">
        <v>12</v>
      </c>
      <c r="Q571" t="s">
        <v>92</v>
      </c>
      <c r="R571" t="s">
        <v>182</v>
      </c>
      <c r="S571" t="s">
        <v>92</v>
      </c>
      <c r="T571" t="s">
        <v>3560</v>
      </c>
      <c r="U571" t="s">
        <v>12</v>
      </c>
      <c r="V571" t="s">
        <v>12</v>
      </c>
      <c r="W571" t="s">
        <v>3560</v>
      </c>
      <c r="AA571" t="s">
        <v>12</v>
      </c>
      <c r="AB571" t="s">
        <v>92</v>
      </c>
      <c r="AC571" t="s">
        <v>12</v>
      </c>
      <c r="AD571" t="s">
        <v>92</v>
      </c>
      <c r="AE571" t="s">
        <v>109</v>
      </c>
      <c r="AF571" t="s">
        <v>3566</v>
      </c>
    </row>
    <row r="572" spans="1:32" x14ac:dyDescent="0.45">
      <c r="A572" t="s">
        <v>3567</v>
      </c>
      <c r="B572" t="s">
        <v>3355</v>
      </c>
      <c r="C572" t="s">
        <v>3356</v>
      </c>
      <c r="D572" t="s">
        <v>3355</v>
      </c>
      <c r="E572" t="s">
        <v>3357</v>
      </c>
      <c r="F572" t="s">
        <v>3568</v>
      </c>
      <c r="H572" t="s">
        <v>3359</v>
      </c>
      <c r="I572" t="s">
        <v>3360</v>
      </c>
      <c r="J572" t="s">
        <v>92</v>
      </c>
      <c r="K572" t="s">
        <v>12</v>
      </c>
      <c r="L572" t="s">
        <v>12</v>
      </c>
      <c r="M572" t="s">
        <v>182</v>
      </c>
      <c r="N572" t="s">
        <v>12</v>
      </c>
      <c r="O572" t="s">
        <v>12</v>
      </c>
      <c r="P572" t="s">
        <v>12</v>
      </c>
      <c r="Q572" t="s">
        <v>92</v>
      </c>
      <c r="R572" t="s">
        <v>182</v>
      </c>
      <c r="S572" t="s">
        <v>92</v>
      </c>
      <c r="T572" t="s">
        <v>3567</v>
      </c>
      <c r="U572" t="s">
        <v>12</v>
      </c>
      <c r="V572" t="s">
        <v>12</v>
      </c>
      <c r="W572" t="s">
        <v>3567</v>
      </c>
      <c r="AA572" t="s">
        <v>92</v>
      </c>
      <c r="AB572" t="s">
        <v>92</v>
      </c>
      <c r="AC572" t="s">
        <v>12</v>
      </c>
      <c r="AD572" t="s">
        <v>92</v>
      </c>
      <c r="AE572" t="s">
        <v>143</v>
      </c>
      <c r="AF572" t="s">
        <v>3569</v>
      </c>
    </row>
    <row r="573" spans="1:32" x14ac:dyDescent="0.45">
      <c r="A573" t="s">
        <v>3570</v>
      </c>
      <c r="B573" t="s">
        <v>3571</v>
      </c>
      <c r="C573" t="s">
        <v>3572</v>
      </c>
      <c r="D573" t="s">
        <v>3571</v>
      </c>
      <c r="E573" t="s">
        <v>3573</v>
      </c>
      <c r="F573" t="s">
        <v>3574</v>
      </c>
      <c r="H573" t="s">
        <v>3575</v>
      </c>
      <c r="J573" t="s">
        <v>92</v>
      </c>
      <c r="K573" t="s">
        <v>12</v>
      </c>
      <c r="L573" t="s">
        <v>12</v>
      </c>
      <c r="M573" t="s">
        <v>182</v>
      </c>
      <c r="N573" t="s">
        <v>12</v>
      </c>
      <c r="O573" t="s">
        <v>12</v>
      </c>
      <c r="P573" t="s">
        <v>12</v>
      </c>
      <c r="Q573" t="s">
        <v>92</v>
      </c>
      <c r="R573" t="s">
        <v>182</v>
      </c>
      <c r="S573" t="s">
        <v>92</v>
      </c>
      <c r="T573" t="s">
        <v>3570</v>
      </c>
      <c r="U573" t="s">
        <v>12</v>
      </c>
      <c r="V573" t="s">
        <v>12</v>
      </c>
      <c r="W573" t="s">
        <v>3570</v>
      </c>
      <c r="AA573" t="s">
        <v>92</v>
      </c>
      <c r="AB573" t="s">
        <v>92</v>
      </c>
      <c r="AC573" t="s">
        <v>12</v>
      </c>
      <c r="AD573" t="s">
        <v>92</v>
      </c>
      <c r="AE573" t="s">
        <v>119</v>
      </c>
      <c r="AF573" t="s">
        <v>3576</v>
      </c>
    </row>
    <row r="574" spans="1:32" x14ac:dyDescent="0.45">
      <c r="A574" t="s">
        <v>3577</v>
      </c>
      <c r="B574" t="s">
        <v>3578</v>
      </c>
      <c r="C574" t="s">
        <v>3579</v>
      </c>
      <c r="D574" t="s">
        <v>3578</v>
      </c>
      <c r="E574" t="s">
        <v>3580</v>
      </c>
      <c r="F574" t="s">
        <v>3581</v>
      </c>
      <c r="H574" t="s">
        <v>3582</v>
      </c>
      <c r="J574" t="s">
        <v>92</v>
      </c>
      <c r="K574" t="s">
        <v>12</v>
      </c>
      <c r="L574" t="s">
        <v>12</v>
      </c>
      <c r="M574" t="s">
        <v>182</v>
      </c>
      <c r="N574" t="s">
        <v>12</v>
      </c>
      <c r="O574" t="s">
        <v>12</v>
      </c>
      <c r="P574" t="s">
        <v>12</v>
      </c>
      <c r="Q574" t="s">
        <v>92</v>
      </c>
      <c r="R574" t="s">
        <v>182</v>
      </c>
      <c r="S574" t="s">
        <v>92</v>
      </c>
      <c r="T574" t="s">
        <v>3577</v>
      </c>
      <c r="U574" t="s">
        <v>12</v>
      </c>
      <c r="V574" t="s">
        <v>12</v>
      </c>
      <c r="W574" t="s">
        <v>3577</v>
      </c>
      <c r="AA574" t="s">
        <v>12</v>
      </c>
      <c r="AB574" t="s">
        <v>92</v>
      </c>
      <c r="AC574" t="s">
        <v>12</v>
      </c>
      <c r="AD574" t="s">
        <v>92</v>
      </c>
      <c r="AE574" t="s">
        <v>119</v>
      </c>
      <c r="AF574" t="s">
        <v>3583</v>
      </c>
    </row>
    <row r="575" spans="1:32" x14ac:dyDescent="0.45">
      <c r="A575" t="s">
        <v>247</v>
      </c>
      <c r="B575" t="s">
        <v>3584</v>
      </c>
      <c r="C575" t="s">
        <v>3585</v>
      </c>
      <c r="D575" t="s">
        <v>3584</v>
      </c>
      <c r="E575" t="s">
        <v>1559</v>
      </c>
      <c r="F575" t="s">
        <v>3586</v>
      </c>
      <c r="H575" t="s">
        <v>3587</v>
      </c>
      <c r="J575" t="s">
        <v>92</v>
      </c>
      <c r="K575" t="s">
        <v>12</v>
      </c>
      <c r="L575" t="s">
        <v>12</v>
      </c>
      <c r="M575" t="s">
        <v>182</v>
      </c>
      <c r="N575" t="s">
        <v>12</v>
      </c>
      <c r="O575" t="s">
        <v>12</v>
      </c>
      <c r="P575" t="s">
        <v>12</v>
      </c>
      <c r="Q575" t="s">
        <v>92</v>
      </c>
      <c r="R575" t="s">
        <v>182</v>
      </c>
      <c r="S575" t="s">
        <v>92</v>
      </c>
      <c r="T575" t="s">
        <v>247</v>
      </c>
      <c r="U575" t="s">
        <v>12</v>
      </c>
      <c r="V575" t="s">
        <v>12</v>
      </c>
      <c r="W575" t="s">
        <v>247</v>
      </c>
      <c r="AA575" t="s">
        <v>92</v>
      </c>
      <c r="AB575" t="s">
        <v>92</v>
      </c>
      <c r="AC575" t="s">
        <v>12</v>
      </c>
      <c r="AD575" t="s">
        <v>92</v>
      </c>
      <c r="AE575" t="s">
        <v>109</v>
      </c>
      <c r="AF575" t="s">
        <v>3588</v>
      </c>
    </row>
    <row r="576" spans="1:32" x14ac:dyDescent="0.45">
      <c r="A576" t="s">
        <v>248</v>
      </c>
      <c r="B576" t="s">
        <v>3589</v>
      </c>
      <c r="C576" t="s">
        <v>3590</v>
      </c>
      <c r="D576" t="s">
        <v>3589</v>
      </c>
      <c r="E576" t="s">
        <v>399</v>
      </c>
      <c r="F576" t="s">
        <v>3591</v>
      </c>
      <c r="H576" t="s">
        <v>3592</v>
      </c>
      <c r="J576" t="s">
        <v>92</v>
      </c>
      <c r="K576" t="s">
        <v>12</v>
      </c>
      <c r="L576" t="s">
        <v>12</v>
      </c>
      <c r="M576" t="s">
        <v>182</v>
      </c>
      <c r="N576" t="s">
        <v>12</v>
      </c>
      <c r="O576" t="s">
        <v>12</v>
      </c>
      <c r="P576" t="s">
        <v>12</v>
      </c>
      <c r="Q576" t="s">
        <v>92</v>
      </c>
      <c r="R576" t="s">
        <v>182</v>
      </c>
      <c r="S576" t="s">
        <v>92</v>
      </c>
      <c r="T576" t="s">
        <v>248</v>
      </c>
      <c r="U576" t="s">
        <v>12</v>
      </c>
      <c r="V576" t="s">
        <v>12</v>
      </c>
      <c r="W576" t="s">
        <v>248</v>
      </c>
      <c r="AA576" t="s">
        <v>92</v>
      </c>
      <c r="AB576" t="s">
        <v>92</v>
      </c>
      <c r="AC576" t="s">
        <v>12</v>
      </c>
      <c r="AD576" t="s">
        <v>92</v>
      </c>
      <c r="AE576" t="s">
        <v>109</v>
      </c>
      <c r="AF576" t="s">
        <v>3593</v>
      </c>
    </row>
    <row r="577" spans="1:32" x14ac:dyDescent="0.45">
      <c r="A577" t="s">
        <v>249</v>
      </c>
      <c r="B577" t="s">
        <v>3594</v>
      </c>
      <c r="C577" t="s">
        <v>3595</v>
      </c>
      <c r="D577" t="s">
        <v>3594</v>
      </c>
      <c r="E577" t="s">
        <v>3596</v>
      </c>
      <c r="F577" t="s">
        <v>3597</v>
      </c>
      <c r="H577" t="s">
        <v>3598</v>
      </c>
      <c r="J577" t="s">
        <v>92</v>
      </c>
      <c r="K577" t="s">
        <v>12</v>
      </c>
      <c r="L577" t="s">
        <v>12</v>
      </c>
      <c r="M577" t="s">
        <v>182</v>
      </c>
      <c r="N577" t="s">
        <v>12</v>
      </c>
      <c r="O577" t="s">
        <v>12</v>
      </c>
      <c r="P577" t="s">
        <v>12</v>
      </c>
      <c r="Q577" t="s">
        <v>92</v>
      </c>
      <c r="R577" t="s">
        <v>182</v>
      </c>
      <c r="S577" t="s">
        <v>92</v>
      </c>
      <c r="T577" t="s">
        <v>249</v>
      </c>
      <c r="U577" t="s">
        <v>12</v>
      </c>
      <c r="V577" t="s">
        <v>12</v>
      </c>
      <c r="W577" t="s">
        <v>249</v>
      </c>
      <c r="AA577" t="s">
        <v>92</v>
      </c>
      <c r="AB577" t="s">
        <v>92</v>
      </c>
      <c r="AC577" t="s">
        <v>12</v>
      </c>
      <c r="AD577" t="s">
        <v>92</v>
      </c>
      <c r="AE577" t="s">
        <v>109</v>
      </c>
      <c r="AF577" t="s">
        <v>3599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20"/>
  <sheetViews>
    <sheetView topLeftCell="A161" workbookViewId="0">
      <selection activeCell="D160" sqref="D160"/>
    </sheetView>
  </sheetViews>
  <sheetFormatPr defaultRowHeight="18" x14ac:dyDescent="0.45"/>
  <cols>
    <col min="3" max="4" width="14" style="1" customWidth="1"/>
  </cols>
  <sheetData>
    <row r="1" spans="1:21" x14ac:dyDescent="0.45">
      <c r="A1" t="s">
        <v>3600</v>
      </c>
      <c r="B1" t="s">
        <v>3601</v>
      </c>
      <c r="C1" t="s">
        <v>3602</v>
      </c>
      <c r="D1" t="s">
        <v>3603</v>
      </c>
      <c r="E1" t="s">
        <v>3604</v>
      </c>
      <c r="F1" t="s">
        <v>3605</v>
      </c>
      <c r="G1" t="s">
        <v>3606</v>
      </c>
      <c r="H1" t="s">
        <v>3607</v>
      </c>
      <c r="I1" t="s">
        <v>3608</v>
      </c>
      <c r="J1" t="s">
        <v>3609</v>
      </c>
      <c r="K1" t="s">
        <v>3610</v>
      </c>
      <c r="L1" t="s">
        <v>3611</v>
      </c>
      <c r="M1" t="s">
        <v>3612</v>
      </c>
      <c r="N1" t="s">
        <v>3613</v>
      </c>
      <c r="O1" t="s">
        <v>3614</v>
      </c>
      <c r="P1" t="s">
        <v>3615</v>
      </c>
      <c r="Q1" t="s">
        <v>3616</v>
      </c>
      <c r="R1" t="s">
        <v>3617</v>
      </c>
      <c r="S1" t="s">
        <v>3618</v>
      </c>
      <c r="T1" t="s">
        <v>3619</v>
      </c>
      <c r="U1" t="s">
        <v>3620</v>
      </c>
    </row>
    <row r="2" spans="1:21" x14ac:dyDescent="0.45">
      <c r="A2">
        <v>1</v>
      </c>
      <c r="B2">
        <v>1</v>
      </c>
      <c r="C2" t="s">
        <v>2</v>
      </c>
      <c r="D2" t="s">
        <v>0</v>
      </c>
      <c r="E2">
        <v>0</v>
      </c>
      <c r="F2">
        <v>2</v>
      </c>
      <c r="G2">
        <v>0</v>
      </c>
      <c r="H2">
        <v>1</v>
      </c>
      <c r="I2">
        <v>24</v>
      </c>
      <c r="K2">
        <v>0</v>
      </c>
      <c r="M2">
        <v>0</v>
      </c>
      <c r="O2">
        <v>0</v>
      </c>
      <c r="P2">
        <v>88</v>
      </c>
      <c r="Q2">
        <v>0</v>
      </c>
      <c r="R2">
        <v>1</v>
      </c>
      <c r="S2">
        <v>0</v>
      </c>
      <c r="T2">
        <v>2</v>
      </c>
      <c r="U2" s="79">
        <v>45905.46875</v>
      </c>
    </row>
    <row r="3" spans="1:21" x14ac:dyDescent="0.45">
      <c r="A3">
        <v>2</v>
      </c>
      <c r="B3">
        <v>0</v>
      </c>
      <c r="C3" t="s">
        <v>3621</v>
      </c>
      <c r="D3" t="s">
        <v>3622</v>
      </c>
      <c r="E3">
        <v>0</v>
      </c>
      <c r="F3">
        <v>0</v>
      </c>
      <c r="G3">
        <v>0</v>
      </c>
      <c r="H3">
        <v>1</v>
      </c>
      <c r="I3">
        <v>12</v>
      </c>
      <c r="K3">
        <v>0</v>
      </c>
      <c r="M3">
        <v>0</v>
      </c>
      <c r="O3">
        <v>0</v>
      </c>
      <c r="P3">
        <v>30</v>
      </c>
      <c r="Q3">
        <v>0</v>
      </c>
      <c r="R3">
        <v>1</v>
      </c>
      <c r="S3">
        <v>0</v>
      </c>
      <c r="T3">
        <v>2</v>
      </c>
      <c r="U3" s="79">
        <v>45905.46875</v>
      </c>
    </row>
    <row r="4" spans="1:21" x14ac:dyDescent="0.45">
      <c r="A4">
        <v>3</v>
      </c>
      <c r="B4">
        <v>1</v>
      </c>
      <c r="C4" t="s">
        <v>3623</v>
      </c>
      <c r="D4" t="s">
        <v>3624</v>
      </c>
      <c r="E4">
        <v>0</v>
      </c>
      <c r="F4">
        <v>3</v>
      </c>
      <c r="G4">
        <v>0</v>
      </c>
      <c r="H4">
        <v>1</v>
      </c>
      <c r="I4">
        <v>12</v>
      </c>
      <c r="K4">
        <v>0</v>
      </c>
      <c r="M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</v>
      </c>
      <c r="U4" s="79">
        <v>45905.490972222222</v>
      </c>
    </row>
    <row r="5" spans="1:21" x14ac:dyDescent="0.45">
      <c r="A5">
        <v>4</v>
      </c>
      <c r="B5">
        <v>0</v>
      </c>
      <c r="C5" t="s">
        <v>3625</v>
      </c>
      <c r="D5" t="s">
        <v>3626</v>
      </c>
      <c r="E5">
        <v>0</v>
      </c>
      <c r="F5">
        <v>4</v>
      </c>
      <c r="G5">
        <v>0</v>
      </c>
      <c r="H5">
        <v>1</v>
      </c>
      <c r="I5">
        <v>12</v>
      </c>
      <c r="K5">
        <v>0</v>
      </c>
      <c r="M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 s="79">
        <v>45905.490972222222</v>
      </c>
    </row>
    <row r="6" spans="1:21" x14ac:dyDescent="0.45">
      <c r="A6">
        <v>13</v>
      </c>
      <c r="B6">
        <v>1</v>
      </c>
      <c r="C6" t="s">
        <v>2</v>
      </c>
      <c r="D6" t="s">
        <v>3627</v>
      </c>
      <c r="E6">
        <v>0</v>
      </c>
      <c r="F6">
        <v>14</v>
      </c>
      <c r="G6">
        <v>0</v>
      </c>
      <c r="H6">
        <v>1</v>
      </c>
      <c r="I6">
        <v>24</v>
      </c>
      <c r="J6" t="s">
        <v>3628</v>
      </c>
      <c r="K6">
        <v>1</v>
      </c>
      <c r="M6">
        <v>0</v>
      </c>
      <c r="O6">
        <v>0</v>
      </c>
      <c r="P6">
        <v>71</v>
      </c>
      <c r="Q6">
        <v>0</v>
      </c>
      <c r="R6">
        <v>1</v>
      </c>
      <c r="S6">
        <v>0</v>
      </c>
      <c r="T6">
        <v>2</v>
      </c>
      <c r="U6" s="79">
        <v>45905.469444444447</v>
      </c>
    </row>
    <row r="7" spans="1:21" x14ac:dyDescent="0.45">
      <c r="A7">
        <v>14</v>
      </c>
      <c r="B7">
        <v>0</v>
      </c>
      <c r="C7" t="s">
        <v>3621</v>
      </c>
      <c r="D7" t="s">
        <v>3629</v>
      </c>
      <c r="E7">
        <v>0</v>
      </c>
      <c r="F7">
        <v>0</v>
      </c>
      <c r="G7">
        <v>0</v>
      </c>
      <c r="H7">
        <v>1</v>
      </c>
      <c r="I7">
        <v>12</v>
      </c>
      <c r="K7">
        <v>0</v>
      </c>
      <c r="M7">
        <v>0</v>
      </c>
      <c r="O7">
        <v>0</v>
      </c>
      <c r="P7">
        <v>30</v>
      </c>
      <c r="Q7">
        <v>0</v>
      </c>
      <c r="R7">
        <v>1</v>
      </c>
      <c r="S7">
        <v>0</v>
      </c>
      <c r="T7">
        <v>2</v>
      </c>
      <c r="U7" s="79">
        <v>45905.469444444447</v>
      </c>
    </row>
    <row r="8" spans="1:21" x14ac:dyDescent="0.45">
      <c r="A8">
        <v>15</v>
      </c>
      <c r="B8">
        <v>1</v>
      </c>
      <c r="C8" t="s">
        <v>3630</v>
      </c>
      <c r="D8" t="s">
        <v>3631</v>
      </c>
      <c r="E8">
        <v>0</v>
      </c>
      <c r="F8">
        <v>16</v>
      </c>
      <c r="G8">
        <v>0</v>
      </c>
      <c r="H8">
        <v>1</v>
      </c>
      <c r="I8">
        <v>24</v>
      </c>
      <c r="J8" t="s">
        <v>3632</v>
      </c>
      <c r="K8">
        <v>1</v>
      </c>
      <c r="M8">
        <v>0</v>
      </c>
      <c r="O8">
        <v>0</v>
      </c>
      <c r="P8">
        <v>71</v>
      </c>
      <c r="Q8">
        <v>0</v>
      </c>
      <c r="R8">
        <v>1</v>
      </c>
      <c r="S8">
        <v>0</v>
      </c>
      <c r="T8">
        <v>2</v>
      </c>
      <c r="U8" s="79">
        <v>45905.470138888893</v>
      </c>
    </row>
    <row r="9" spans="1:21" x14ac:dyDescent="0.45">
      <c r="A9">
        <v>16</v>
      </c>
      <c r="B9">
        <v>0</v>
      </c>
      <c r="C9" t="s">
        <v>3621</v>
      </c>
      <c r="D9" t="s">
        <v>3633</v>
      </c>
      <c r="E9">
        <v>0</v>
      </c>
      <c r="F9">
        <v>0</v>
      </c>
      <c r="G9">
        <v>0</v>
      </c>
      <c r="H9">
        <v>0</v>
      </c>
      <c r="I9">
        <v>12</v>
      </c>
      <c r="K9">
        <v>0</v>
      </c>
      <c r="M9">
        <v>0</v>
      </c>
      <c r="O9">
        <v>0</v>
      </c>
      <c r="P9">
        <v>30</v>
      </c>
      <c r="Q9">
        <v>0</v>
      </c>
      <c r="R9">
        <v>1</v>
      </c>
      <c r="S9">
        <v>0</v>
      </c>
      <c r="T9">
        <v>2</v>
      </c>
      <c r="U9" s="79">
        <v>45905.470138888893</v>
      </c>
    </row>
    <row r="10" spans="1:21" x14ac:dyDescent="0.45">
      <c r="A10">
        <v>22</v>
      </c>
      <c r="B10">
        <v>1</v>
      </c>
      <c r="C10" t="s">
        <v>3634</v>
      </c>
      <c r="D10" t="s">
        <v>3635</v>
      </c>
      <c r="E10">
        <v>0</v>
      </c>
      <c r="F10">
        <v>23</v>
      </c>
      <c r="G10">
        <v>1</v>
      </c>
      <c r="H10">
        <v>2</v>
      </c>
      <c r="I10">
        <v>0</v>
      </c>
      <c r="J10" t="s">
        <v>3635</v>
      </c>
      <c r="K10">
        <v>0</v>
      </c>
      <c r="L10" t="s">
        <v>3636</v>
      </c>
      <c r="M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 s="79">
        <v>45905.491666666669</v>
      </c>
    </row>
    <row r="11" spans="1:21" x14ac:dyDescent="0.45">
      <c r="A11">
        <v>23</v>
      </c>
      <c r="B11">
        <v>1</v>
      </c>
      <c r="C11" t="s">
        <v>3637</v>
      </c>
      <c r="D11" t="s">
        <v>3637</v>
      </c>
      <c r="E11">
        <v>0</v>
      </c>
      <c r="F11">
        <v>0</v>
      </c>
      <c r="G11">
        <v>1</v>
      </c>
      <c r="H11">
        <v>0</v>
      </c>
      <c r="I11">
        <v>0</v>
      </c>
      <c r="K11">
        <v>0</v>
      </c>
      <c r="M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 s="79">
        <v>45905.491666666669</v>
      </c>
    </row>
    <row r="12" spans="1:21" x14ac:dyDescent="0.45">
      <c r="A12">
        <v>24</v>
      </c>
      <c r="B12">
        <v>1</v>
      </c>
      <c r="C12" t="s">
        <v>3638</v>
      </c>
      <c r="D12" t="s">
        <v>3639</v>
      </c>
      <c r="E12">
        <v>0</v>
      </c>
      <c r="F12">
        <v>25</v>
      </c>
      <c r="G12">
        <v>1</v>
      </c>
      <c r="H12">
        <v>1</v>
      </c>
      <c r="I12">
        <v>30</v>
      </c>
      <c r="K12">
        <v>0</v>
      </c>
      <c r="M12">
        <v>0</v>
      </c>
      <c r="O12">
        <v>0</v>
      </c>
      <c r="P12">
        <v>76</v>
      </c>
      <c r="Q12">
        <v>0</v>
      </c>
      <c r="R12">
        <v>1</v>
      </c>
      <c r="S12">
        <v>0</v>
      </c>
      <c r="T12">
        <v>2</v>
      </c>
      <c r="U12" s="79">
        <v>45905.470138888893</v>
      </c>
    </row>
    <row r="13" spans="1:21" x14ac:dyDescent="0.45">
      <c r="A13">
        <v>25</v>
      </c>
      <c r="B13">
        <v>1</v>
      </c>
      <c r="C13" t="s">
        <v>3640</v>
      </c>
      <c r="D13" t="s">
        <v>3639</v>
      </c>
      <c r="E13">
        <v>0</v>
      </c>
      <c r="F13">
        <v>25</v>
      </c>
      <c r="G13">
        <v>1</v>
      </c>
      <c r="H13">
        <v>1</v>
      </c>
      <c r="I13">
        <v>30</v>
      </c>
      <c r="K13">
        <v>0</v>
      </c>
      <c r="M13">
        <v>0</v>
      </c>
      <c r="O13">
        <v>0</v>
      </c>
      <c r="P13">
        <v>76</v>
      </c>
      <c r="Q13">
        <v>0</v>
      </c>
      <c r="R13">
        <v>1</v>
      </c>
      <c r="S13">
        <v>0</v>
      </c>
      <c r="T13">
        <v>2</v>
      </c>
      <c r="U13" s="79">
        <v>45905.470833333333</v>
      </c>
    </row>
    <row r="14" spans="1:21" x14ac:dyDescent="0.45">
      <c r="A14">
        <v>26</v>
      </c>
      <c r="B14">
        <v>1</v>
      </c>
      <c r="C14" t="s">
        <v>3641</v>
      </c>
      <c r="D14" t="s">
        <v>3641</v>
      </c>
      <c r="E14">
        <v>0</v>
      </c>
      <c r="F14">
        <v>0</v>
      </c>
      <c r="G14">
        <v>1</v>
      </c>
      <c r="H14">
        <v>0</v>
      </c>
      <c r="I14">
        <v>0</v>
      </c>
      <c r="K14">
        <v>0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 s="79">
        <v>45905.491666666669</v>
      </c>
    </row>
    <row r="15" spans="1:21" x14ac:dyDescent="0.45">
      <c r="A15">
        <v>27</v>
      </c>
      <c r="B15">
        <v>1</v>
      </c>
      <c r="C15" t="s">
        <v>3642</v>
      </c>
      <c r="D15" t="s">
        <v>3642</v>
      </c>
      <c r="E15">
        <v>0</v>
      </c>
      <c r="F15">
        <v>0</v>
      </c>
      <c r="G15">
        <v>1</v>
      </c>
      <c r="H15">
        <v>0</v>
      </c>
      <c r="I15">
        <v>0</v>
      </c>
      <c r="K15">
        <v>0</v>
      </c>
      <c r="M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 s="79">
        <v>45905.492361111108</v>
      </c>
    </row>
    <row r="16" spans="1:21" x14ac:dyDescent="0.45">
      <c r="A16">
        <v>28</v>
      </c>
      <c r="B16">
        <v>1</v>
      </c>
      <c r="C16" t="s">
        <v>3643</v>
      </c>
      <c r="D16" t="s">
        <v>3643</v>
      </c>
      <c r="E16">
        <v>0</v>
      </c>
      <c r="F16">
        <v>0</v>
      </c>
      <c r="G16">
        <v>1</v>
      </c>
      <c r="H16">
        <v>0</v>
      </c>
      <c r="I16">
        <v>0</v>
      </c>
      <c r="K16">
        <v>0</v>
      </c>
      <c r="M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 s="79">
        <v>45905.492361111108</v>
      </c>
    </row>
    <row r="17" spans="1:21" x14ac:dyDescent="0.45">
      <c r="A17">
        <v>29</v>
      </c>
      <c r="B17">
        <v>1</v>
      </c>
      <c r="C17" t="s">
        <v>3644</v>
      </c>
      <c r="D17" t="s">
        <v>3644</v>
      </c>
      <c r="E17">
        <v>0</v>
      </c>
      <c r="F17">
        <v>0</v>
      </c>
      <c r="G17">
        <v>1</v>
      </c>
      <c r="H17">
        <v>0</v>
      </c>
      <c r="I17">
        <v>0</v>
      </c>
      <c r="K17">
        <v>0</v>
      </c>
      <c r="M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 s="79">
        <v>45905.492361111108</v>
      </c>
    </row>
    <row r="18" spans="1:21" x14ac:dyDescent="0.45">
      <c r="A18">
        <v>30</v>
      </c>
      <c r="B18">
        <v>0</v>
      </c>
      <c r="C18" t="s">
        <v>3645</v>
      </c>
      <c r="D18" t="s">
        <v>3645</v>
      </c>
      <c r="E18">
        <v>0</v>
      </c>
      <c r="F18">
        <v>31</v>
      </c>
      <c r="G18">
        <v>1</v>
      </c>
      <c r="H18">
        <v>0</v>
      </c>
      <c r="I18">
        <v>0</v>
      </c>
      <c r="K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 s="79">
        <v>45905.493055555547</v>
      </c>
    </row>
    <row r="19" spans="1:21" x14ac:dyDescent="0.45">
      <c r="A19">
        <v>31</v>
      </c>
      <c r="B19">
        <v>0</v>
      </c>
      <c r="C19" t="s">
        <v>3646</v>
      </c>
      <c r="D19" t="s">
        <v>3646</v>
      </c>
      <c r="E19">
        <v>0</v>
      </c>
      <c r="F19">
        <v>0</v>
      </c>
      <c r="G19">
        <v>1</v>
      </c>
      <c r="H19">
        <v>0</v>
      </c>
      <c r="I19">
        <v>0</v>
      </c>
      <c r="K19">
        <v>0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 s="79">
        <v>45905.493055555547</v>
      </c>
    </row>
    <row r="20" spans="1:21" x14ac:dyDescent="0.45">
      <c r="A20">
        <v>33</v>
      </c>
      <c r="B20">
        <v>1</v>
      </c>
      <c r="C20" t="s">
        <v>3647</v>
      </c>
      <c r="D20" t="s">
        <v>3648</v>
      </c>
      <c r="E20">
        <v>0</v>
      </c>
      <c r="F20">
        <v>34</v>
      </c>
      <c r="G20">
        <v>1</v>
      </c>
      <c r="H20">
        <v>1</v>
      </c>
      <c r="I20">
        <v>24</v>
      </c>
      <c r="K20">
        <v>0</v>
      </c>
      <c r="M20">
        <v>0</v>
      </c>
      <c r="O20">
        <v>0</v>
      </c>
      <c r="P20">
        <v>88</v>
      </c>
      <c r="Q20">
        <v>0</v>
      </c>
      <c r="R20">
        <v>1</v>
      </c>
      <c r="S20">
        <v>0</v>
      </c>
      <c r="T20">
        <v>2</v>
      </c>
      <c r="U20" s="79">
        <v>45905.493055555547</v>
      </c>
    </row>
    <row r="21" spans="1:21" x14ac:dyDescent="0.45">
      <c r="A21">
        <v>34</v>
      </c>
      <c r="B21">
        <v>0</v>
      </c>
      <c r="C21" t="s">
        <v>3649</v>
      </c>
      <c r="D21" t="s">
        <v>3650</v>
      </c>
      <c r="E21">
        <v>0</v>
      </c>
      <c r="F21">
        <v>0</v>
      </c>
      <c r="G21">
        <v>1</v>
      </c>
      <c r="H21">
        <v>1</v>
      </c>
      <c r="I21">
        <v>12</v>
      </c>
      <c r="K21">
        <v>0</v>
      </c>
      <c r="M21">
        <v>0</v>
      </c>
      <c r="O21">
        <v>0</v>
      </c>
      <c r="P21">
        <v>30</v>
      </c>
      <c r="Q21">
        <v>0</v>
      </c>
      <c r="R21">
        <v>1</v>
      </c>
      <c r="S21">
        <v>0</v>
      </c>
      <c r="T21">
        <v>2</v>
      </c>
      <c r="U21" s="79">
        <v>45905.493750000001</v>
      </c>
    </row>
    <row r="22" spans="1:21" x14ac:dyDescent="0.45">
      <c r="A22">
        <v>35</v>
      </c>
      <c r="B22">
        <v>1</v>
      </c>
      <c r="C22" t="s">
        <v>3647</v>
      </c>
      <c r="D22" t="s">
        <v>3651</v>
      </c>
      <c r="E22">
        <v>0</v>
      </c>
      <c r="F22">
        <v>36</v>
      </c>
      <c r="G22">
        <v>1</v>
      </c>
      <c r="H22">
        <v>1</v>
      </c>
      <c r="I22">
        <v>24</v>
      </c>
      <c r="K22">
        <v>0</v>
      </c>
      <c r="M22">
        <v>0</v>
      </c>
      <c r="O22">
        <v>0</v>
      </c>
      <c r="P22">
        <v>71</v>
      </c>
      <c r="Q22">
        <v>0</v>
      </c>
      <c r="R22">
        <v>1</v>
      </c>
      <c r="S22">
        <v>0</v>
      </c>
      <c r="T22">
        <v>2</v>
      </c>
      <c r="U22" s="79">
        <v>45905.493750000001</v>
      </c>
    </row>
    <row r="23" spans="1:21" x14ac:dyDescent="0.45">
      <c r="A23">
        <v>36</v>
      </c>
      <c r="B23">
        <v>0</v>
      </c>
      <c r="C23" t="s">
        <v>3649</v>
      </c>
      <c r="D23" t="s">
        <v>3652</v>
      </c>
      <c r="E23">
        <v>0</v>
      </c>
      <c r="F23">
        <v>0</v>
      </c>
      <c r="G23">
        <v>1</v>
      </c>
      <c r="H23">
        <v>1</v>
      </c>
      <c r="I23">
        <v>12</v>
      </c>
      <c r="K23">
        <v>0</v>
      </c>
      <c r="M23">
        <v>0</v>
      </c>
      <c r="O23">
        <v>0</v>
      </c>
      <c r="P23">
        <v>30</v>
      </c>
      <c r="Q23">
        <v>0</v>
      </c>
      <c r="R23">
        <v>1</v>
      </c>
      <c r="S23">
        <v>0</v>
      </c>
      <c r="T23">
        <v>2</v>
      </c>
      <c r="U23" s="79">
        <v>45905.493750000001</v>
      </c>
    </row>
    <row r="24" spans="1:21" x14ac:dyDescent="0.45">
      <c r="A24">
        <v>37</v>
      </c>
      <c r="B24">
        <v>1</v>
      </c>
      <c r="C24" t="s">
        <v>6</v>
      </c>
      <c r="D24" t="s">
        <v>4</v>
      </c>
      <c r="E24">
        <v>0</v>
      </c>
      <c r="F24">
        <v>38</v>
      </c>
      <c r="G24">
        <v>1</v>
      </c>
      <c r="H24">
        <v>1</v>
      </c>
      <c r="I24">
        <v>69</v>
      </c>
      <c r="J24" t="s">
        <v>3636</v>
      </c>
      <c r="K24">
        <v>0</v>
      </c>
      <c r="M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2</v>
      </c>
      <c r="U24" s="79">
        <v>45905.493750000001</v>
      </c>
    </row>
    <row r="25" spans="1:21" x14ac:dyDescent="0.45">
      <c r="A25">
        <v>38</v>
      </c>
      <c r="B25">
        <v>0</v>
      </c>
      <c r="C25" t="s">
        <v>3653</v>
      </c>
      <c r="D25" t="s">
        <v>3654</v>
      </c>
      <c r="E25">
        <v>0</v>
      </c>
      <c r="F25">
        <v>0</v>
      </c>
      <c r="G25">
        <v>1</v>
      </c>
      <c r="H25">
        <v>1</v>
      </c>
      <c r="I25">
        <v>0</v>
      </c>
      <c r="K25">
        <v>0</v>
      </c>
      <c r="M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2</v>
      </c>
      <c r="U25" s="79">
        <v>45905.493750000001</v>
      </c>
    </row>
    <row r="26" spans="1:21" x14ac:dyDescent="0.45">
      <c r="A26">
        <v>39</v>
      </c>
      <c r="B26">
        <v>1</v>
      </c>
      <c r="C26" t="s">
        <v>3655</v>
      </c>
      <c r="D26" t="s">
        <v>3656</v>
      </c>
      <c r="E26">
        <v>0</v>
      </c>
      <c r="F26">
        <v>40</v>
      </c>
      <c r="G26">
        <v>1</v>
      </c>
      <c r="H26">
        <v>1</v>
      </c>
      <c r="I26">
        <v>18</v>
      </c>
      <c r="J26" t="s">
        <v>3657</v>
      </c>
      <c r="K26">
        <v>0</v>
      </c>
      <c r="M26">
        <v>0</v>
      </c>
      <c r="O26">
        <v>0</v>
      </c>
      <c r="P26">
        <v>65</v>
      </c>
      <c r="Q26">
        <v>0</v>
      </c>
      <c r="R26">
        <v>1</v>
      </c>
      <c r="S26">
        <v>0</v>
      </c>
      <c r="T26">
        <v>2</v>
      </c>
      <c r="U26" s="79">
        <v>45905.494444444441</v>
      </c>
    </row>
    <row r="27" spans="1:21" x14ac:dyDescent="0.45">
      <c r="A27">
        <v>40</v>
      </c>
      <c r="B27">
        <v>0</v>
      </c>
      <c r="C27" t="s">
        <v>3658</v>
      </c>
      <c r="D27" t="s">
        <v>3658</v>
      </c>
      <c r="E27">
        <v>0</v>
      </c>
      <c r="F27">
        <v>0</v>
      </c>
      <c r="G27">
        <v>1</v>
      </c>
      <c r="H27">
        <v>1</v>
      </c>
      <c r="I27">
        <v>0</v>
      </c>
      <c r="K27">
        <v>0</v>
      </c>
      <c r="M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2</v>
      </c>
      <c r="U27" s="79">
        <v>45905.494444444441</v>
      </c>
    </row>
    <row r="28" spans="1:21" x14ac:dyDescent="0.45">
      <c r="A28">
        <v>41</v>
      </c>
      <c r="B28">
        <v>1</v>
      </c>
      <c r="C28" t="s">
        <v>3659</v>
      </c>
      <c r="D28" t="s">
        <v>3660</v>
      </c>
      <c r="E28">
        <v>0</v>
      </c>
      <c r="F28">
        <v>42</v>
      </c>
      <c r="G28">
        <v>1</v>
      </c>
      <c r="H28">
        <v>1</v>
      </c>
      <c r="I28">
        <v>24</v>
      </c>
      <c r="K28">
        <v>0</v>
      </c>
      <c r="M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2</v>
      </c>
      <c r="U28" s="79">
        <v>45905.494444444441</v>
      </c>
    </row>
    <row r="29" spans="1:21" x14ac:dyDescent="0.45">
      <c r="A29">
        <v>42</v>
      </c>
      <c r="B29">
        <v>0</v>
      </c>
      <c r="C29" t="s">
        <v>3661</v>
      </c>
      <c r="D29" t="s">
        <v>3661</v>
      </c>
      <c r="E29">
        <v>0</v>
      </c>
      <c r="F29">
        <v>0</v>
      </c>
      <c r="G29">
        <v>1</v>
      </c>
      <c r="H29">
        <v>1</v>
      </c>
      <c r="I29">
        <v>0</v>
      </c>
      <c r="K29">
        <v>0</v>
      </c>
      <c r="M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2</v>
      </c>
      <c r="U29" s="79">
        <v>45905.494444444441</v>
      </c>
    </row>
    <row r="30" spans="1:21" x14ac:dyDescent="0.45">
      <c r="A30">
        <v>43</v>
      </c>
      <c r="B30">
        <v>1</v>
      </c>
      <c r="C30" t="s">
        <v>3662</v>
      </c>
      <c r="D30" t="s">
        <v>3663</v>
      </c>
      <c r="E30">
        <v>0</v>
      </c>
      <c r="F30">
        <v>44</v>
      </c>
      <c r="G30">
        <v>1</v>
      </c>
      <c r="H30">
        <v>1</v>
      </c>
      <c r="I30">
        <v>24</v>
      </c>
      <c r="K30">
        <v>0</v>
      </c>
      <c r="M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2</v>
      </c>
      <c r="U30" s="79">
        <v>45905.494444444441</v>
      </c>
    </row>
    <row r="31" spans="1:21" x14ac:dyDescent="0.45">
      <c r="A31">
        <v>44</v>
      </c>
      <c r="B31">
        <v>0</v>
      </c>
      <c r="C31" t="s">
        <v>3664</v>
      </c>
      <c r="D31" t="s">
        <v>3664</v>
      </c>
      <c r="E31">
        <v>0</v>
      </c>
      <c r="F31">
        <v>0</v>
      </c>
      <c r="G31">
        <v>1</v>
      </c>
      <c r="H31">
        <v>1</v>
      </c>
      <c r="I31">
        <v>0</v>
      </c>
      <c r="K31">
        <v>0</v>
      </c>
      <c r="M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2</v>
      </c>
      <c r="U31" s="79">
        <v>45905.495138888888</v>
      </c>
    </row>
    <row r="32" spans="1:21" x14ac:dyDescent="0.45">
      <c r="A32">
        <v>45</v>
      </c>
      <c r="B32">
        <v>1</v>
      </c>
      <c r="C32" t="s">
        <v>3665</v>
      </c>
      <c r="D32" t="s">
        <v>3666</v>
      </c>
      <c r="E32">
        <v>0</v>
      </c>
      <c r="F32">
        <v>46</v>
      </c>
      <c r="G32">
        <v>1</v>
      </c>
      <c r="H32">
        <v>1</v>
      </c>
      <c r="I32">
        <v>18</v>
      </c>
      <c r="K32">
        <v>0</v>
      </c>
      <c r="M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2</v>
      </c>
      <c r="U32" s="79">
        <v>45905.548611111109</v>
      </c>
    </row>
    <row r="33" spans="1:21" x14ac:dyDescent="0.45">
      <c r="A33">
        <v>46</v>
      </c>
      <c r="B33">
        <v>0</v>
      </c>
      <c r="C33" t="s">
        <v>3667</v>
      </c>
      <c r="D33" t="s">
        <v>3667</v>
      </c>
      <c r="E33">
        <v>0</v>
      </c>
      <c r="F33">
        <v>0</v>
      </c>
      <c r="G33">
        <v>1</v>
      </c>
      <c r="H33">
        <v>1</v>
      </c>
      <c r="I33">
        <v>0</v>
      </c>
      <c r="K33">
        <v>0</v>
      </c>
      <c r="M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2</v>
      </c>
      <c r="U33" s="79">
        <v>45905.548611111109</v>
      </c>
    </row>
    <row r="34" spans="1:21" x14ac:dyDescent="0.45">
      <c r="A34">
        <v>49</v>
      </c>
      <c r="B34">
        <v>1</v>
      </c>
      <c r="C34" t="s">
        <v>3668</v>
      </c>
      <c r="D34" t="s">
        <v>3669</v>
      </c>
      <c r="E34">
        <v>0</v>
      </c>
      <c r="F34">
        <v>50</v>
      </c>
      <c r="G34">
        <v>1</v>
      </c>
      <c r="H34">
        <v>2</v>
      </c>
      <c r="I34">
        <v>0</v>
      </c>
      <c r="J34" t="s">
        <v>3628</v>
      </c>
      <c r="K34">
        <v>1</v>
      </c>
      <c r="L34" t="s">
        <v>3670</v>
      </c>
      <c r="M34">
        <v>0</v>
      </c>
      <c r="N34" t="s">
        <v>3636</v>
      </c>
      <c r="O34">
        <v>0</v>
      </c>
      <c r="Q34">
        <v>0</v>
      </c>
      <c r="S34">
        <v>0</v>
      </c>
      <c r="T34">
        <v>2</v>
      </c>
      <c r="U34" s="79">
        <v>45905.597916666673</v>
      </c>
    </row>
    <row r="35" spans="1:21" x14ac:dyDescent="0.45">
      <c r="A35">
        <v>50</v>
      </c>
      <c r="B35">
        <v>0</v>
      </c>
      <c r="C35" t="s">
        <v>3671</v>
      </c>
      <c r="D35" t="s">
        <v>3671</v>
      </c>
      <c r="E35">
        <v>0</v>
      </c>
      <c r="F35">
        <v>0</v>
      </c>
      <c r="G35">
        <v>1</v>
      </c>
      <c r="H35">
        <v>2</v>
      </c>
      <c r="I35">
        <v>0</v>
      </c>
      <c r="K35">
        <v>0</v>
      </c>
      <c r="M35">
        <v>0</v>
      </c>
      <c r="O35">
        <v>0</v>
      </c>
      <c r="Q35">
        <v>0</v>
      </c>
      <c r="S35">
        <v>0</v>
      </c>
      <c r="T35">
        <v>2</v>
      </c>
      <c r="U35" s="79">
        <v>45905.594444444447</v>
      </c>
    </row>
    <row r="36" spans="1:21" x14ac:dyDescent="0.45">
      <c r="A36">
        <v>52</v>
      </c>
      <c r="B36">
        <v>1</v>
      </c>
      <c r="C36" t="s">
        <v>3672</v>
      </c>
      <c r="D36" t="s">
        <v>3673</v>
      </c>
      <c r="E36">
        <v>0</v>
      </c>
      <c r="F36">
        <v>53</v>
      </c>
      <c r="G36">
        <v>1</v>
      </c>
      <c r="H36">
        <v>2</v>
      </c>
      <c r="I36">
        <v>0</v>
      </c>
      <c r="J36" t="s">
        <v>3628</v>
      </c>
      <c r="K36">
        <v>1</v>
      </c>
      <c r="L36" t="s">
        <v>3670</v>
      </c>
      <c r="M36">
        <v>0</v>
      </c>
      <c r="N36" t="s">
        <v>3636</v>
      </c>
      <c r="O36">
        <v>0</v>
      </c>
      <c r="Q36">
        <v>0</v>
      </c>
      <c r="S36">
        <v>0</v>
      </c>
      <c r="T36">
        <v>2</v>
      </c>
      <c r="U36" s="79">
        <v>45905.594444444447</v>
      </c>
    </row>
    <row r="37" spans="1:21" x14ac:dyDescent="0.45">
      <c r="A37">
        <v>53</v>
      </c>
      <c r="B37">
        <v>0</v>
      </c>
      <c r="C37" t="s">
        <v>3674</v>
      </c>
      <c r="D37" t="s">
        <v>3674</v>
      </c>
      <c r="E37">
        <v>0</v>
      </c>
      <c r="F37">
        <v>0</v>
      </c>
      <c r="G37">
        <v>1</v>
      </c>
      <c r="H37">
        <v>2</v>
      </c>
      <c r="I37">
        <v>0</v>
      </c>
      <c r="J37" t="s">
        <v>3628</v>
      </c>
      <c r="K37">
        <v>1</v>
      </c>
      <c r="L37" t="s">
        <v>3670</v>
      </c>
      <c r="M37">
        <v>0</v>
      </c>
      <c r="N37" t="s">
        <v>3636</v>
      </c>
      <c r="O37">
        <v>0</v>
      </c>
      <c r="Q37">
        <v>0</v>
      </c>
      <c r="S37">
        <v>0</v>
      </c>
      <c r="T37">
        <v>2</v>
      </c>
      <c r="U37" s="79">
        <v>45905.594444444447</v>
      </c>
    </row>
    <row r="38" spans="1:21" x14ac:dyDescent="0.45">
      <c r="A38">
        <v>55</v>
      </c>
      <c r="B38">
        <v>1</v>
      </c>
      <c r="C38" t="s">
        <v>3675</v>
      </c>
      <c r="D38" t="s">
        <v>3676</v>
      </c>
      <c r="E38">
        <v>0</v>
      </c>
      <c r="F38">
        <v>56</v>
      </c>
      <c r="G38">
        <v>1</v>
      </c>
      <c r="H38">
        <v>2</v>
      </c>
      <c r="I38">
        <v>0</v>
      </c>
      <c r="J38" t="s">
        <v>3676</v>
      </c>
      <c r="K38">
        <v>0</v>
      </c>
      <c r="L38" t="s">
        <v>3636</v>
      </c>
      <c r="M38">
        <v>0</v>
      </c>
      <c r="O38">
        <v>0</v>
      </c>
      <c r="Q38">
        <v>0</v>
      </c>
      <c r="S38">
        <v>0</v>
      </c>
      <c r="T38">
        <v>2</v>
      </c>
      <c r="U38" s="79">
        <v>45905.594444444447</v>
      </c>
    </row>
    <row r="39" spans="1:21" x14ac:dyDescent="0.45">
      <c r="A39">
        <v>56</v>
      </c>
      <c r="B39">
        <v>0</v>
      </c>
      <c r="C39" t="s">
        <v>3677</v>
      </c>
      <c r="D39" t="s">
        <v>3677</v>
      </c>
      <c r="E39">
        <v>0</v>
      </c>
      <c r="F39">
        <v>0</v>
      </c>
      <c r="G39">
        <v>1</v>
      </c>
      <c r="H39">
        <v>2</v>
      </c>
      <c r="I39">
        <v>0</v>
      </c>
      <c r="J39" t="s">
        <v>3676</v>
      </c>
      <c r="K39">
        <v>0</v>
      </c>
      <c r="L39" t="s">
        <v>3636</v>
      </c>
      <c r="M39">
        <v>0</v>
      </c>
      <c r="N39" t="s">
        <v>3678</v>
      </c>
      <c r="O39">
        <v>0</v>
      </c>
      <c r="Q39">
        <v>0</v>
      </c>
      <c r="S39">
        <v>0</v>
      </c>
      <c r="T39">
        <v>2</v>
      </c>
      <c r="U39" s="79">
        <v>45905.594444444447</v>
      </c>
    </row>
    <row r="40" spans="1:21" x14ac:dyDescent="0.45">
      <c r="A40">
        <v>58</v>
      </c>
      <c r="B40">
        <v>1</v>
      </c>
      <c r="C40" t="s">
        <v>3679</v>
      </c>
      <c r="D40" t="s">
        <v>3680</v>
      </c>
      <c r="E40">
        <v>0</v>
      </c>
      <c r="F40">
        <v>59</v>
      </c>
      <c r="G40">
        <v>1</v>
      </c>
      <c r="H40">
        <v>2</v>
      </c>
      <c r="I40">
        <v>0</v>
      </c>
      <c r="J40" t="s">
        <v>3681</v>
      </c>
      <c r="K40">
        <v>0</v>
      </c>
      <c r="L40" t="s">
        <v>3680</v>
      </c>
      <c r="M40">
        <v>0</v>
      </c>
      <c r="O40">
        <v>0</v>
      </c>
      <c r="Q40">
        <v>0</v>
      </c>
      <c r="S40">
        <v>0</v>
      </c>
      <c r="T40">
        <v>2</v>
      </c>
      <c r="U40" s="79">
        <v>45905.594444444447</v>
      </c>
    </row>
    <row r="41" spans="1:21" x14ac:dyDescent="0.45">
      <c r="A41">
        <v>59</v>
      </c>
      <c r="B41">
        <v>0</v>
      </c>
      <c r="C41" t="s">
        <v>3682</v>
      </c>
      <c r="D41" t="s">
        <v>3682</v>
      </c>
      <c r="E41">
        <v>0</v>
      </c>
      <c r="F41">
        <v>0</v>
      </c>
      <c r="G41">
        <v>1</v>
      </c>
      <c r="H41">
        <v>2</v>
      </c>
      <c r="I41">
        <v>0</v>
      </c>
      <c r="J41" t="s">
        <v>3678</v>
      </c>
      <c r="K41">
        <v>0</v>
      </c>
      <c r="L41" t="s">
        <v>3680</v>
      </c>
      <c r="M41">
        <v>0</v>
      </c>
      <c r="O41">
        <v>0</v>
      </c>
      <c r="Q41">
        <v>0</v>
      </c>
      <c r="S41">
        <v>0</v>
      </c>
      <c r="T41">
        <v>2</v>
      </c>
      <c r="U41" s="79">
        <v>45905.594444444447</v>
      </c>
    </row>
    <row r="42" spans="1:21" x14ac:dyDescent="0.45">
      <c r="A42">
        <v>60</v>
      </c>
      <c r="B42">
        <v>1</v>
      </c>
      <c r="C42" t="s">
        <v>3683</v>
      </c>
      <c r="D42" t="s">
        <v>3684</v>
      </c>
      <c r="E42">
        <v>0</v>
      </c>
      <c r="F42">
        <v>61</v>
      </c>
      <c r="G42">
        <v>1</v>
      </c>
      <c r="H42">
        <v>2</v>
      </c>
      <c r="I42">
        <v>21</v>
      </c>
      <c r="J42" t="s">
        <v>3628</v>
      </c>
      <c r="K42">
        <v>1</v>
      </c>
      <c r="L42" t="s">
        <v>3680</v>
      </c>
      <c r="M42">
        <v>0</v>
      </c>
      <c r="N42" t="s">
        <v>3685</v>
      </c>
      <c r="O42">
        <v>0</v>
      </c>
      <c r="P42">
        <v>200</v>
      </c>
      <c r="Q42">
        <v>0</v>
      </c>
      <c r="R42">
        <v>1</v>
      </c>
      <c r="S42">
        <v>0</v>
      </c>
      <c r="T42">
        <v>2</v>
      </c>
      <c r="U42" s="79">
        <v>45905.595833333333</v>
      </c>
    </row>
    <row r="43" spans="1:21" x14ac:dyDescent="0.45">
      <c r="A43">
        <v>61</v>
      </c>
      <c r="B43">
        <v>0</v>
      </c>
      <c r="C43" t="s">
        <v>3686</v>
      </c>
      <c r="D43" t="s">
        <v>3686</v>
      </c>
      <c r="E43">
        <v>0</v>
      </c>
      <c r="F43">
        <v>0</v>
      </c>
      <c r="G43">
        <v>1</v>
      </c>
      <c r="H43">
        <v>2</v>
      </c>
      <c r="I43">
        <v>0</v>
      </c>
      <c r="J43" t="s">
        <v>3628</v>
      </c>
      <c r="K43">
        <v>1</v>
      </c>
      <c r="L43" t="s">
        <v>3680</v>
      </c>
      <c r="M43">
        <v>0</v>
      </c>
      <c r="N43" t="s">
        <v>3685</v>
      </c>
      <c r="O43">
        <v>0</v>
      </c>
      <c r="Q43">
        <v>0</v>
      </c>
      <c r="S43">
        <v>0</v>
      </c>
      <c r="T43">
        <v>2</v>
      </c>
      <c r="U43" s="79">
        <v>45905.595833333333</v>
      </c>
    </row>
    <row r="44" spans="1:21" x14ac:dyDescent="0.45">
      <c r="A44">
        <v>62</v>
      </c>
      <c r="B44">
        <v>1</v>
      </c>
      <c r="C44" t="s">
        <v>10</v>
      </c>
      <c r="D44" t="s">
        <v>8</v>
      </c>
      <c r="E44">
        <v>0</v>
      </c>
      <c r="F44">
        <v>63</v>
      </c>
      <c r="G44">
        <v>1</v>
      </c>
      <c r="H44">
        <v>1</v>
      </c>
      <c r="I44">
        <v>20</v>
      </c>
      <c r="K44">
        <v>0</v>
      </c>
      <c r="M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2</v>
      </c>
      <c r="U44" s="79">
        <v>45905.595833333333</v>
      </c>
    </row>
    <row r="45" spans="1:21" x14ac:dyDescent="0.45">
      <c r="A45">
        <v>63</v>
      </c>
      <c r="B45">
        <v>0</v>
      </c>
      <c r="C45" t="s">
        <v>3687</v>
      </c>
      <c r="D45" t="s">
        <v>3687</v>
      </c>
      <c r="E45">
        <v>0</v>
      </c>
      <c r="F45">
        <v>0</v>
      </c>
      <c r="G45">
        <v>1</v>
      </c>
      <c r="H45">
        <v>2</v>
      </c>
      <c r="I45">
        <v>15</v>
      </c>
      <c r="K45">
        <v>0</v>
      </c>
      <c r="M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2</v>
      </c>
      <c r="U45" s="79">
        <v>45905.595833333333</v>
      </c>
    </row>
    <row r="46" spans="1:21" x14ac:dyDescent="0.45">
      <c r="A46">
        <v>64</v>
      </c>
      <c r="B46">
        <v>1</v>
      </c>
      <c r="C46" t="s">
        <v>3688</v>
      </c>
      <c r="D46" t="s">
        <v>3689</v>
      </c>
      <c r="E46">
        <v>0</v>
      </c>
      <c r="F46">
        <v>65</v>
      </c>
      <c r="G46">
        <v>1</v>
      </c>
      <c r="H46">
        <v>2</v>
      </c>
      <c r="I46">
        <v>0</v>
      </c>
      <c r="K46">
        <v>0</v>
      </c>
      <c r="M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</v>
      </c>
      <c r="U46" s="79">
        <v>45905.595833333333</v>
      </c>
    </row>
    <row r="47" spans="1:21" x14ac:dyDescent="0.45">
      <c r="A47">
        <v>65</v>
      </c>
      <c r="B47">
        <v>0</v>
      </c>
      <c r="C47" t="s">
        <v>3690</v>
      </c>
      <c r="D47" t="s">
        <v>3690</v>
      </c>
      <c r="E47">
        <v>0</v>
      </c>
      <c r="F47">
        <v>0</v>
      </c>
      <c r="G47">
        <v>1</v>
      </c>
      <c r="H47">
        <v>1</v>
      </c>
      <c r="I47">
        <v>0</v>
      </c>
      <c r="K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</v>
      </c>
      <c r="U47" s="79">
        <v>45905.550694444442</v>
      </c>
    </row>
    <row r="48" spans="1:21" x14ac:dyDescent="0.45">
      <c r="A48">
        <v>66</v>
      </c>
      <c r="B48">
        <v>1</v>
      </c>
      <c r="C48" t="s">
        <v>3691</v>
      </c>
      <c r="D48" t="s">
        <v>3692</v>
      </c>
      <c r="E48">
        <v>0</v>
      </c>
      <c r="F48">
        <v>67</v>
      </c>
      <c r="G48">
        <v>1</v>
      </c>
      <c r="H48">
        <v>2</v>
      </c>
      <c r="I48">
        <v>0</v>
      </c>
      <c r="J48" t="s">
        <v>3693</v>
      </c>
      <c r="K48">
        <v>0</v>
      </c>
      <c r="L48" t="s">
        <v>3694</v>
      </c>
      <c r="M48">
        <v>0</v>
      </c>
      <c r="N48" t="s">
        <v>3695</v>
      </c>
      <c r="O48">
        <v>0</v>
      </c>
      <c r="P48" t="s">
        <v>3696</v>
      </c>
      <c r="Q48">
        <v>0</v>
      </c>
      <c r="R48" t="s">
        <v>3697</v>
      </c>
      <c r="S48">
        <v>0</v>
      </c>
      <c r="T48">
        <v>2</v>
      </c>
      <c r="U48" s="79">
        <v>45905.551388888889</v>
      </c>
    </row>
    <row r="49" spans="1:21" x14ac:dyDescent="0.45">
      <c r="A49">
        <v>67</v>
      </c>
      <c r="B49">
        <v>0</v>
      </c>
      <c r="C49" t="s">
        <v>3698</v>
      </c>
      <c r="D49" t="s">
        <v>3698</v>
      </c>
      <c r="E49">
        <v>0</v>
      </c>
      <c r="F49">
        <v>0</v>
      </c>
      <c r="G49">
        <v>1</v>
      </c>
      <c r="H49">
        <v>2</v>
      </c>
      <c r="I49">
        <v>0</v>
      </c>
      <c r="J49" t="s">
        <v>3636</v>
      </c>
      <c r="K49">
        <v>0</v>
      </c>
      <c r="M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 s="79">
        <v>45905.551388888889</v>
      </c>
    </row>
    <row r="50" spans="1:21" x14ac:dyDescent="0.45">
      <c r="A50">
        <v>90</v>
      </c>
      <c r="B50">
        <v>1</v>
      </c>
      <c r="C50" t="s">
        <v>3699</v>
      </c>
      <c r="D50" t="s">
        <v>3700</v>
      </c>
      <c r="E50">
        <v>0</v>
      </c>
      <c r="F50">
        <v>0</v>
      </c>
      <c r="G50">
        <v>1</v>
      </c>
      <c r="H50">
        <v>2</v>
      </c>
      <c r="I50">
        <v>0</v>
      </c>
      <c r="J50" t="s">
        <v>3700</v>
      </c>
      <c r="K50">
        <v>0</v>
      </c>
      <c r="L50" t="s">
        <v>3681</v>
      </c>
      <c r="M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</v>
      </c>
      <c r="U50" s="79">
        <v>45905.552083333343</v>
      </c>
    </row>
    <row r="51" spans="1:21" x14ac:dyDescent="0.45">
      <c r="A51">
        <v>91</v>
      </c>
      <c r="B51">
        <v>0</v>
      </c>
      <c r="C51" t="s">
        <v>3701</v>
      </c>
      <c r="D51" t="s">
        <v>3701</v>
      </c>
      <c r="E51">
        <v>0</v>
      </c>
      <c r="F51">
        <v>0</v>
      </c>
      <c r="G51">
        <v>1</v>
      </c>
      <c r="H51">
        <v>2</v>
      </c>
      <c r="I51">
        <v>0</v>
      </c>
      <c r="J51" t="s">
        <v>3700</v>
      </c>
      <c r="K51">
        <v>0</v>
      </c>
      <c r="L51" t="s">
        <v>3681</v>
      </c>
      <c r="M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 s="79">
        <v>45905.552083333343</v>
      </c>
    </row>
    <row r="52" spans="1:21" x14ac:dyDescent="0.45">
      <c r="A52">
        <v>93</v>
      </c>
      <c r="B52">
        <v>1</v>
      </c>
      <c r="C52" t="s">
        <v>3702</v>
      </c>
      <c r="D52" t="s">
        <v>3703</v>
      </c>
      <c r="E52">
        <v>0</v>
      </c>
      <c r="F52">
        <v>94</v>
      </c>
      <c r="G52">
        <v>1</v>
      </c>
      <c r="H52">
        <v>2</v>
      </c>
      <c r="I52">
        <v>0</v>
      </c>
      <c r="J52" t="s">
        <v>3703</v>
      </c>
      <c r="K52">
        <v>1</v>
      </c>
      <c r="M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</v>
      </c>
      <c r="U52" s="79">
        <v>45905.552083333343</v>
      </c>
    </row>
    <row r="53" spans="1:21" x14ac:dyDescent="0.45">
      <c r="A53">
        <v>94</v>
      </c>
      <c r="B53">
        <v>0</v>
      </c>
      <c r="C53" t="s">
        <v>3704</v>
      </c>
      <c r="D53" t="s">
        <v>3704</v>
      </c>
      <c r="E53">
        <v>0</v>
      </c>
      <c r="F53">
        <v>0</v>
      </c>
      <c r="G53">
        <v>1</v>
      </c>
      <c r="H53">
        <v>2</v>
      </c>
      <c r="I53">
        <v>0</v>
      </c>
      <c r="J53" t="s">
        <v>3703</v>
      </c>
      <c r="K53">
        <v>1</v>
      </c>
      <c r="L53" t="s">
        <v>3636</v>
      </c>
      <c r="M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 s="79">
        <v>45905.552083333343</v>
      </c>
    </row>
    <row r="54" spans="1:21" x14ac:dyDescent="0.45">
      <c r="A54">
        <v>96</v>
      </c>
      <c r="B54">
        <v>1</v>
      </c>
      <c r="C54" t="s">
        <v>3705</v>
      </c>
      <c r="D54" t="s">
        <v>3628</v>
      </c>
      <c r="E54">
        <v>0</v>
      </c>
      <c r="F54">
        <v>97</v>
      </c>
      <c r="G54">
        <v>1</v>
      </c>
      <c r="H54">
        <v>2</v>
      </c>
      <c r="I54">
        <v>0</v>
      </c>
      <c r="J54" t="s">
        <v>3628</v>
      </c>
      <c r="K54">
        <v>1</v>
      </c>
      <c r="M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 s="79">
        <v>45905.552777777782</v>
      </c>
    </row>
    <row r="55" spans="1:21" x14ac:dyDescent="0.45">
      <c r="A55">
        <v>97</v>
      </c>
      <c r="B55">
        <v>0</v>
      </c>
      <c r="C55" t="s">
        <v>3706</v>
      </c>
      <c r="D55" t="s">
        <v>3706</v>
      </c>
      <c r="E55">
        <v>0</v>
      </c>
      <c r="F55">
        <v>0</v>
      </c>
      <c r="G55">
        <v>1</v>
      </c>
      <c r="H55">
        <v>2</v>
      </c>
      <c r="I55">
        <v>0</v>
      </c>
      <c r="K55">
        <v>0</v>
      </c>
      <c r="M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</v>
      </c>
      <c r="U55" s="79">
        <v>45905.552777777782</v>
      </c>
    </row>
    <row r="56" spans="1:21" x14ac:dyDescent="0.45">
      <c r="A56">
        <v>98</v>
      </c>
      <c r="B56">
        <v>1</v>
      </c>
      <c r="C56" t="s">
        <v>3707</v>
      </c>
      <c r="D56" t="s">
        <v>97</v>
      </c>
      <c r="E56">
        <v>0</v>
      </c>
      <c r="F56">
        <v>99</v>
      </c>
      <c r="G56">
        <v>1</v>
      </c>
      <c r="H56">
        <v>1</v>
      </c>
      <c r="I56">
        <v>0</v>
      </c>
      <c r="K56">
        <v>0</v>
      </c>
      <c r="M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</v>
      </c>
      <c r="U56" s="79">
        <v>45905.552777777782</v>
      </c>
    </row>
    <row r="57" spans="1:21" x14ac:dyDescent="0.45">
      <c r="A57">
        <v>99</v>
      </c>
      <c r="B57">
        <v>0</v>
      </c>
      <c r="C57" t="s">
        <v>3708</v>
      </c>
      <c r="D57" t="s">
        <v>3708</v>
      </c>
      <c r="E57">
        <v>0</v>
      </c>
      <c r="F57">
        <v>0</v>
      </c>
      <c r="G57">
        <v>1</v>
      </c>
      <c r="H57">
        <v>1</v>
      </c>
      <c r="I57">
        <v>0</v>
      </c>
      <c r="K57">
        <v>0</v>
      </c>
      <c r="M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 s="79">
        <v>45905.552777777782</v>
      </c>
    </row>
    <row r="58" spans="1:21" x14ac:dyDescent="0.45">
      <c r="A58">
        <v>100</v>
      </c>
      <c r="B58">
        <v>1</v>
      </c>
      <c r="C58" t="s">
        <v>3709</v>
      </c>
      <c r="D58" t="s">
        <v>3709</v>
      </c>
      <c r="E58">
        <v>0</v>
      </c>
      <c r="F58">
        <v>101</v>
      </c>
      <c r="G58">
        <v>1</v>
      </c>
      <c r="H58">
        <v>1</v>
      </c>
      <c r="I58">
        <v>0</v>
      </c>
      <c r="K58">
        <v>0</v>
      </c>
      <c r="M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 s="79">
        <v>45905.552777777782</v>
      </c>
    </row>
    <row r="59" spans="1:21" x14ac:dyDescent="0.45">
      <c r="A59">
        <v>101</v>
      </c>
      <c r="B59">
        <v>0</v>
      </c>
      <c r="C59" t="s">
        <v>3710</v>
      </c>
      <c r="D59" t="s">
        <v>3710</v>
      </c>
      <c r="E59">
        <v>0</v>
      </c>
      <c r="F59">
        <v>0</v>
      </c>
      <c r="G59">
        <v>1</v>
      </c>
      <c r="H59">
        <v>1</v>
      </c>
      <c r="I59">
        <v>0</v>
      </c>
      <c r="K59">
        <v>0</v>
      </c>
      <c r="M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 s="79">
        <v>45905.552777777782</v>
      </c>
    </row>
    <row r="60" spans="1:21" x14ac:dyDescent="0.45">
      <c r="A60">
        <v>102</v>
      </c>
      <c r="B60">
        <v>1</v>
      </c>
      <c r="C60" t="s">
        <v>3711</v>
      </c>
      <c r="D60" t="s">
        <v>3712</v>
      </c>
      <c r="E60">
        <v>0</v>
      </c>
      <c r="F60">
        <v>103</v>
      </c>
      <c r="G60">
        <v>1</v>
      </c>
      <c r="H60">
        <v>2</v>
      </c>
      <c r="I60">
        <v>0</v>
      </c>
      <c r="K60">
        <v>0</v>
      </c>
      <c r="M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</v>
      </c>
      <c r="U60" s="79">
        <v>45905.552777777782</v>
      </c>
    </row>
    <row r="61" spans="1:21" x14ac:dyDescent="0.45">
      <c r="A61">
        <v>103</v>
      </c>
      <c r="B61">
        <v>0</v>
      </c>
      <c r="C61" t="s">
        <v>3713</v>
      </c>
      <c r="D61" t="s">
        <v>3713</v>
      </c>
      <c r="E61">
        <v>0</v>
      </c>
      <c r="F61">
        <v>0</v>
      </c>
      <c r="G61">
        <v>1</v>
      </c>
      <c r="H61">
        <v>2</v>
      </c>
      <c r="I61">
        <v>0</v>
      </c>
      <c r="K61">
        <v>0</v>
      </c>
      <c r="M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</v>
      </c>
      <c r="U61" s="79">
        <v>45905.552777777782</v>
      </c>
    </row>
    <row r="62" spans="1:21" x14ac:dyDescent="0.45">
      <c r="A62">
        <v>104</v>
      </c>
      <c r="B62">
        <v>1</v>
      </c>
      <c r="C62" t="s">
        <v>3714</v>
      </c>
      <c r="D62" t="s">
        <v>3715</v>
      </c>
      <c r="E62">
        <v>0</v>
      </c>
      <c r="F62">
        <v>105</v>
      </c>
      <c r="G62">
        <v>1</v>
      </c>
      <c r="H62">
        <v>2</v>
      </c>
      <c r="I62">
        <v>0</v>
      </c>
      <c r="K62">
        <v>0</v>
      </c>
      <c r="M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</v>
      </c>
      <c r="U62" s="79">
        <v>45905.552777777782</v>
      </c>
    </row>
    <row r="63" spans="1:21" x14ac:dyDescent="0.45">
      <c r="A63">
        <v>105</v>
      </c>
      <c r="B63">
        <v>0</v>
      </c>
      <c r="C63" t="s">
        <v>3716</v>
      </c>
      <c r="D63" t="s">
        <v>3716</v>
      </c>
      <c r="E63">
        <v>0</v>
      </c>
      <c r="F63">
        <v>0</v>
      </c>
      <c r="G63">
        <v>1</v>
      </c>
      <c r="H63">
        <v>2</v>
      </c>
      <c r="I63">
        <v>0</v>
      </c>
      <c r="K63">
        <v>0</v>
      </c>
      <c r="M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</v>
      </c>
      <c r="U63" s="79">
        <v>45905.553472222222</v>
      </c>
    </row>
    <row r="64" spans="1:21" x14ac:dyDescent="0.45">
      <c r="A64">
        <v>106</v>
      </c>
      <c r="B64">
        <v>1</v>
      </c>
      <c r="C64" t="s">
        <v>3717</v>
      </c>
      <c r="D64" t="s">
        <v>3718</v>
      </c>
      <c r="E64">
        <v>0</v>
      </c>
      <c r="F64">
        <v>107</v>
      </c>
      <c r="G64">
        <v>1</v>
      </c>
      <c r="H64">
        <v>2</v>
      </c>
      <c r="I64">
        <v>0</v>
      </c>
      <c r="K64">
        <v>0</v>
      </c>
      <c r="M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</v>
      </c>
      <c r="U64" s="79">
        <v>45905.553472222222</v>
      </c>
    </row>
    <row r="65" spans="1:21" x14ac:dyDescent="0.45">
      <c r="A65">
        <v>107</v>
      </c>
      <c r="B65">
        <v>0</v>
      </c>
      <c r="C65" t="s">
        <v>3719</v>
      </c>
      <c r="D65" t="s">
        <v>3719</v>
      </c>
      <c r="E65">
        <v>0</v>
      </c>
      <c r="F65">
        <v>0</v>
      </c>
      <c r="G65">
        <v>1</v>
      </c>
      <c r="H65">
        <v>2</v>
      </c>
      <c r="I65">
        <v>0</v>
      </c>
      <c r="K65">
        <v>0</v>
      </c>
      <c r="M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</v>
      </c>
      <c r="U65" s="79">
        <v>45905.553472222222</v>
      </c>
    </row>
    <row r="66" spans="1:21" x14ac:dyDescent="0.45">
      <c r="A66">
        <v>108</v>
      </c>
      <c r="B66">
        <v>1</v>
      </c>
      <c r="C66" t="s">
        <v>3720</v>
      </c>
      <c r="D66" t="s">
        <v>3721</v>
      </c>
      <c r="E66">
        <v>0</v>
      </c>
      <c r="F66">
        <v>109</v>
      </c>
      <c r="G66">
        <v>3</v>
      </c>
      <c r="H66">
        <v>0</v>
      </c>
      <c r="I66">
        <v>0</v>
      </c>
      <c r="K66">
        <v>0</v>
      </c>
      <c r="M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 s="79">
        <v>45905.553472222222</v>
      </c>
    </row>
    <row r="67" spans="1:21" x14ac:dyDescent="0.45">
      <c r="A67">
        <v>109</v>
      </c>
      <c r="B67">
        <v>0</v>
      </c>
      <c r="C67" t="s">
        <v>3722</v>
      </c>
      <c r="D67" t="s">
        <v>3722</v>
      </c>
      <c r="E67">
        <v>0</v>
      </c>
      <c r="F67">
        <v>0</v>
      </c>
      <c r="G67">
        <v>3</v>
      </c>
      <c r="H67">
        <v>0</v>
      </c>
      <c r="I67">
        <v>0</v>
      </c>
      <c r="K67">
        <v>0</v>
      </c>
      <c r="M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</v>
      </c>
      <c r="U67" s="79">
        <v>45905.553472222222</v>
      </c>
    </row>
    <row r="68" spans="1:21" x14ac:dyDescent="0.45">
      <c r="A68">
        <v>112</v>
      </c>
      <c r="B68">
        <v>1</v>
      </c>
      <c r="C68" t="s">
        <v>3723</v>
      </c>
      <c r="D68" t="s">
        <v>3724</v>
      </c>
      <c r="E68">
        <v>0</v>
      </c>
      <c r="F68">
        <v>113</v>
      </c>
      <c r="G68">
        <v>3</v>
      </c>
      <c r="H68">
        <v>0</v>
      </c>
      <c r="I68">
        <v>0</v>
      </c>
      <c r="K68">
        <v>0</v>
      </c>
      <c r="M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 s="79">
        <v>45905.553472222222</v>
      </c>
    </row>
    <row r="69" spans="1:21" x14ac:dyDescent="0.45">
      <c r="A69">
        <v>113</v>
      </c>
      <c r="B69">
        <v>0</v>
      </c>
      <c r="C69" t="s">
        <v>3725</v>
      </c>
      <c r="D69" t="s">
        <v>3725</v>
      </c>
      <c r="E69">
        <v>0</v>
      </c>
      <c r="F69">
        <v>0</v>
      </c>
      <c r="G69">
        <v>3</v>
      </c>
      <c r="H69">
        <v>0</v>
      </c>
      <c r="I69">
        <v>0</v>
      </c>
      <c r="K69">
        <v>0</v>
      </c>
      <c r="M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 s="79">
        <v>45905.553472222222</v>
      </c>
    </row>
    <row r="70" spans="1:21" x14ac:dyDescent="0.45">
      <c r="A70">
        <v>114</v>
      </c>
      <c r="B70">
        <v>1</v>
      </c>
      <c r="C70" t="s">
        <v>94</v>
      </c>
      <c r="D70" t="s">
        <v>94</v>
      </c>
      <c r="E70">
        <v>0</v>
      </c>
      <c r="F70">
        <v>484</v>
      </c>
      <c r="G70">
        <v>3</v>
      </c>
      <c r="H70">
        <v>0</v>
      </c>
      <c r="I70">
        <v>0</v>
      </c>
      <c r="K70">
        <v>0</v>
      </c>
      <c r="M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</v>
      </c>
      <c r="U70" s="79">
        <v>45905.554166666669</v>
      </c>
    </row>
    <row r="71" spans="1:21" x14ac:dyDescent="0.45">
      <c r="A71">
        <v>115</v>
      </c>
      <c r="B71">
        <v>1</v>
      </c>
      <c r="C71" t="s">
        <v>3726</v>
      </c>
      <c r="D71" t="s">
        <v>3726</v>
      </c>
      <c r="E71">
        <v>0</v>
      </c>
      <c r="F71">
        <v>0</v>
      </c>
      <c r="G71">
        <v>3</v>
      </c>
      <c r="H71">
        <v>0</v>
      </c>
      <c r="I71">
        <v>0</v>
      </c>
      <c r="J71" t="s">
        <v>3726</v>
      </c>
      <c r="K71">
        <v>0</v>
      </c>
      <c r="M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 s="79">
        <v>45905.554166666669</v>
      </c>
    </row>
    <row r="72" spans="1:21" x14ac:dyDescent="0.45">
      <c r="A72">
        <v>116</v>
      </c>
      <c r="B72">
        <v>0</v>
      </c>
      <c r="C72" t="s">
        <v>3727</v>
      </c>
      <c r="D72" t="s">
        <v>3727</v>
      </c>
      <c r="E72">
        <v>0</v>
      </c>
      <c r="F72">
        <v>0</v>
      </c>
      <c r="G72">
        <v>3</v>
      </c>
      <c r="H72">
        <v>2</v>
      </c>
      <c r="I72">
        <v>0</v>
      </c>
      <c r="J72" t="s">
        <v>3727</v>
      </c>
      <c r="K72">
        <v>0</v>
      </c>
      <c r="M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  <c r="U72" s="79">
        <v>45905.554166666669</v>
      </c>
    </row>
    <row r="73" spans="1:21" x14ac:dyDescent="0.45">
      <c r="A73">
        <v>117</v>
      </c>
      <c r="B73">
        <v>1</v>
      </c>
      <c r="C73" t="s">
        <v>3728</v>
      </c>
      <c r="D73" t="s">
        <v>3728</v>
      </c>
      <c r="E73">
        <v>0</v>
      </c>
      <c r="F73">
        <v>0</v>
      </c>
      <c r="G73">
        <v>3</v>
      </c>
      <c r="H73">
        <v>0</v>
      </c>
      <c r="I73">
        <v>0</v>
      </c>
      <c r="K73">
        <v>0</v>
      </c>
      <c r="M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</v>
      </c>
      <c r="U73" s="79">
        <v>45905.554166666669</v>
      </c>
    </row>
    <row r="74" spans="1:21" x14ac:dyDescent="0.45">
      <c r="A74">
        <v>118</v>
      </c>
      <c r="B74">
        <v>1</v>
      </c>
      <c r="C74" t="s">
        <v>3729</v>
      </c>
      <c r="D74" t="s">
        <v>3729</v>
      </c>
      <c r="E74">
        <v>0</v>
      </c>
      <c r="F74">
        <v>0</v>
      </c>
      <c r="G74">
        <v>3</v>
      </c>
      <c r="H74">
        <v>0</v>
      </c>
      <c r="I74">
        <v>0</v>
      </c>
      <c r="K74">
        <v>0</v>
      </c>
      <c r="M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</v>
      </c>
      <c r="U74" s="79">
        <v>45905.554166666669</v>
      </c>
    </row>
    <row r="75" spans="1:21" x14ac:dyDescent="0.45">
      <c r="A75">
        <v>119</v>
      </c>
      <c r="B75">
        <v>1</v>
      </c>
      <c r="C75" t="s">
        <v>3730</v>
      </c>
      <c r="D75" t="s">
        <v>3730</v>
      </c>
      <c r="E75">
        <v>0</v>
      </c>
      <c r="F75">
        <v>0</v>
      </c>
      <c r="G75">
        <v>3</v>
      </c>
      <c r="H75">
        <v>0</v>
      </c>
      <c r="I75">
        <v>0</v>
      </c>
      <c r="K75">
        <v>0</v>
      </c>
      <c r="M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 s="79">
        <v>45905.554166666669</v>
      </c>
    </row>
    <row r="76" spans="1:21" x14ac:dyDescent="0.45">
      <c r="A76">
        <v>120</v>
      </c>
      <c r="B76">
        <v>1</v>
      </c>
      <c r="C76" t="s">
        <v>3731</v>
      </c>
      <c r="D76" t="s">
        <v>3731</v>
      </c>
      <c r="E76">
        <v>0</v>
      </c>
      <c r="F76">
        <v>0</v>
      </c>
      <c r="G76">
        <v>3</v>
      </c>
      <c r="H76">
        <v>0</v>
      </c>
      <c r="I76">
        <v>0</v>
      </c>
      <c r="K76">
        <v>0</v>
      </c>
      <c r="M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 s="79">
        <v>45905.554166666669</v>
      </c>
    </row>
    <row r="77" spans="1:21" x14ac:dyDescent="0.45">
      <c r="A77">
        <v>121</v>
      </c>
      <c r="B77">
        <v>1</v>
      </c>
      <c r="C77" t="s">
        <v>3732</v>
      </c>
      <c r="D77" t="s">
        <v>3732</v>
      </c>
      <c r="E77">
        <v>0</v>
      </c>
      <c r="F77">
        <v>0</v>
      </c>
      <c r="G77">
        <v>3</v>
      </c>
      <c r="H77">
        <v>0</v>
      </c>
      <c r="I77">
        <v>0</v>
      </c>
      <c r="K77">
        <v>0</v>
      </c>
      <c r="M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 s="79">
        <v>45905.554166666669</v>
      </c>
    </row>
    <row r="78" spans="1:21" x14ac:dyDescent="0.45">
      <c r="A78">
        <v>122</v>
      </c>
      <c r="B78">
        <v>1</v>
      </c>
      <c r="C78" t="s">
        <v>3733</v>
      </c>
      <c r="D78" t="s">
        <v>3733</v>
      </c>
      <c r="E78">
        <v>0</v>
      </c>
      <c r="F78">
        <v>0</v>
      </c>
      <c r="G78">
        <v>3</v>
      </c>
      <c r="H78">
        <v>0</v>
      </c>
      <c r="I78">
        <v>0</v>
      </c>
      <c r="K78">
        <v>0</v>
      </c>
      <c r="M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 s="79">
        <v>45905.554166666669</v>
      </c>
    </row>
    <row r="79" spans="1:21" x14ac:dyDescent="0.45">
      <c r="A79">
        <v>123</v>
      </c>
      <c r="B79">
        <v>0</v>
      </c>
      <c r="C79" t="s">
        <v>3734</v>
      </c>
      <c r="D79" t="s">
        <v>3734</v>
      </c>
      <c r="E79">
        <v>0</v>
      </c>
      <c r="F79">
        <v>0</v>
      </c>
      <c r="G79">
        <v>1</v>
      </c>
      <c r="H79">
        <v>0</v>
      </c>
      <c r="I79">
        <v>0</v>
      </c>
      <c r="K79">
        <v>0</v>
      </c>
      <c r="M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</v>
      </c>
      <c r="U79" s="79">
        <v>45905.554166666669</v>
      </c>
    </row>
    <row r="80" spans="1:21" x14ac:dyDescent="0.45">
      <c r="A80">
        <v>127</v>
      </c>
      <c r="B80">
        <v>1</v>
      </c>
      <c r="C80" t="s">
        <v>3735</v>
      </c>
      <c r="D80" t="s">
        <v>3735</v>
      </c>
      <c r="E80">
        <v>0</v>
      </c>
      <c r="F80">
        <v>0</v>
      </c>
      <c r="G80">
        <v>3</v>
      </c>
      <c r="H80">
        <v>0</v>
      </c>
      <c r="I80">
        <v>0</v>
      </c>
      <c r="K80">
        <v>0</v>
      </c>
      <c r="M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</v>
      </c>
      <c r="U80" s="79">
        <v>45905.554166666669</v>
      </c>
    </row>
    <row r="81" spans="1:21" x14ac:dyDescent="0.45">
      <c r="A81">
        <v>128</v>
      </c>
      <c r="B81">
        <v>1</v>
      </c>
      <c r="C81" t="s">
        <v>3736</v>
      </c>
      <c r="D81" t="s">
        <v>3736</v>
      </c>
      <c r="E81">
        <v>0</v>
      </c>
      <c r="F81">
        <v>0</v>
      </c>
      <c r="G81">
        <v>3</v>
      </c>
      <c r="H81">
        <v>0</v>
      </c>
      <c r="I81">
        <v>0</v>
      </c>
      <c r="K81">
        <v>0</v>
      </c>
      <c r="M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</v>
      </c>
      <c r="U81" s="79">
        <v>45905.554861111108</v>
      </c>
    </row>
    <row r="82" spans="1:21" x14ac:dyDescent="0.45">
      <c r="A82">
        <v>129</v>
      </c>
      <c r="B82">
        <v>1</v>
      </c>
      <c r="C82" t="s">
        <v>3737</v>
      </c>
      <c r="D82" t="s">
        <v>3737</v>
      </c>
      <c r="E82">
        <v>0</v>
      </c>
      <c r="F82">
        <v>0</v>
      </c>
      <c r="G82">
        <v>1</v>
      </c>
      <c r="H82">
        <v>1</v>
      </c>
      <c r="I82">
        <v>69</v>
      </c>
      <c r="K82">
        <v>0</v>
      </c>
      <c r="M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2</v>
      </c>
      <c r="U82" s="79">
        <v>45905.554861111108</v>
      </c>
    </row>
    <row r="83" spans="1:21" x14ac:dyDescent="0.45">
      <c r="A83">
        <v>130</v>
      </c>
      <c r="B83">
        <v>1</v>
      </c>
      <c r="C83" t="s">
        <v>3738</v>
      </c>
      <c r="D83" t="s">
        <v>3738</v>
      </c>
      <c r="E83">
        <v>0</v>
      </c>
      <c r="F83">
        <v>0</v>
      </c>
      <c r="G83">
        <v>3</v>
      </c>
      <c r="H83">
        <v>0</v>
      </c>
      <c r="I83">
        <v>0</v>
      </c>
      <c r="K83">
        <v>0</v>
      </c>
      <c r="M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 s="79">
        <v>45905.554861111108</v>
      </c>
    </row>
    <row r="84" spans="1:21" x14ac:dyDescent="0.45">
      <c r="A84">
        <v>131</v>
      </c>
      <c r="B84">
        <v>1</v>
      </c>
      <c r="C84" t="s">
        <v>3739</v>
      </c>
      <c r="D84" t="s">
        <v>3739</v>
      </c>
      <c r="E84">
        <v>0</v>
      </c>
      <c r="F84">
        <v>0</v>
      </c>
      <c r="G84">
        <v>3</v>
      </c>
      <c r="H84">
        <v>0</v>
      </c>
      <c r="I84">
        <v>0</v>
      </c>
      <c r="K84">
        <v>0</v>
      </c>
      <c r="M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</v>
      </c>
      <c r="U84" s="79">
        <v>45905.554861111108</v>
      </c>
    </row>
    <row r="85" spans="1:21" x14ac:dyDescent="0.45">
      <c r="A85">
        <v>132</v>
      </c>
      <c r="B85">
        <v>1</v>
      </c>
      <c r="C85" t="s">
        <v>3740</v>
      </c>
      <c r="D85" t="s">
        <v>3740</v>
      </c>
      <c r="E85">
        <v>0</v>
      </c>
      <c r="F85">
        <v>0</v>
      </c>
      <c r="G85">
        <v>2</v>
      </c>
      <c r="H85">
        <v>0</v>
      </c>
      <c r="I85">
        <v>0</v>
      </c>
      <c r="K85">
        <v>0</v>
      </c>
      <c r="M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2</v>
      </c>
      <c r="U85" s="79">
        <v>45905.554861111108</v>
      </c>
    </row>
    <row r="86" spans="1:21" x14ac:dyDescent="0.45">
      <c r="A86">
        <v>134</v>
      </c>
      <c r="B86">
        <v>1</v>
      </c>
      <c r="C86" t="s">
        <v>3741</v>
      </c>
      <c r="D86" t="s">
        <v>3741</v>
      </c>
      <c r="E86">
        <v>0</v>
      </c>
      <c r="F86">
        <v>604</v>
      </c>
      <c r="G86">
        <v>1</v>
      </c>
      <c r="H86">
        <v>1</v>
      </c>
      <c r="I86">
        <v>0</v>
      </c>
      <c r="K86">
        <v>0</v>
      </c>
      <c r="M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</v>
      </c>
      <c r="U86" s="79">
        <v>45905.555555555547</v>
      </c>
    </row>
    <row r="87" spans="1:21" x14ac:dyDescent="0.45">
      <c r="A87">
        <v>136</v>
      </c>
      <c r="B87">
        <v>1</v>
      </c>
      <c r="C87" t="s">
        <v>3742</v>
      </c>
      <c r="D87" t="s">
        <v>3742</v>
      </c>
      <c r="E87">
        <v>0</v>
      </c>
      <c r="F87">
        <v>522</v>
      </c>
      <c r="G87">
        <v>1</v>
      </c>
      <c r="H87">
        <v>2</v>
      </c>
      <c r="I87">
        <v>0</v>
      </c>
      <c r="J87" t="s">
        <v>3742</v>
      </c>
      <c r="K87">
        <v>1</v>
      </c>
      <c r="M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 s="79">
        <v>45905.555555555547</v>
      </c>
    </row>
    <row r="88" spans="1:21" x14ac:dyDescent="0.45">
      <c r="A88">
        <v>137</v>
      </c>
      <c r="B88">
        <v>1</v>
      </c>
      <c r="C88" t="s">
        <v>3743</v>
      </c>
      <c r="D88" t="s">
        <v>3743</v>
      </c>
      <c r="E88">
        <v>0</v>
      </c>
      <c r="F88">
        <v>492</v>
      </c>
      <c r="G88">
        <v>1</v>
      </c>
      <c r="H88">
        <v>2</v>
      </c>
      <c r="I88">
        <v>0</v>
      </c>
      <c r="J88" t="s">
        <v>3628</v>
      </c>
      <c r="K88">
        <v>1</v>
      </c>
      <c r="L88" t="s">
        <v>3680</v>
      </c>
      <c r="M88">
        <v>0</v>
      </c>
      <c r="N88" t="s">
        <v>3636</v>
      </c>
      <c r="O88">
        <v>0</v>
      </c>
      <c r="P88" t="s">
        <v>3678</v>
      </c>
      <c r="Q88">
        <v>0</v>
      </c>
      <c r="R88" t="s">
        <v>3744</v>
      </c>
      <c r="S88">
        <v>0</v>
      </c>
      <c r="T88">
        <v>2</v>
      </c>
      <c r="U88" s="79">
        <v>44216.600694444453</v>
      </c>
    </row>
    <row r="89" spans="1:21" x14ac:dyDescent="0.45">
      <c r="A89">
        <v>138</v>
      </c>
      <c r="B89">
        <v>1</v>
      </c>
      <c r="C89" t="s">
        <v>3745</v>
      </c>
      <c r="D89" t="s">
        <v>3745</v>
      </c>
      <c r="E89">
        <v>0</v>
      </c>
      <c r="F89">
        <v>0</v>
      </c>
      <c r="G89">
        <v>1</v>
      </c>
      <c r="H89">
        <v>0</v>
      </c>
      <c r="I89">
        <v>0</v>
      </c>
      <c r="K89">
        <v>0</v>
      </c>
      <c r="M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2</v>
      </c>
      <c r="U89" s="79">
        <v>45905.556250000001</v>
      </c>
    </row>
    <row r="90" spans="1:21" x14ac:dyDescent="0.45">
      <c r="A90">
        <v>140</v>
      </c>
      <c r="B90">
        <v>1</v>
      </c>
      <c r="C90" t="s">
        <v>3746</v>
      </c>
      <c r="D90" t="s">
        <v>3746</v>
      </c>
      <c r="E90">
        <v>0</v>
      </c>
      <c r="F90">
        <v>0</v>
      </c>
      <c r="G90">
        <v>2</v>
      </c>
      <c r="H90">
        <v>0</v>
      </c>
      <c r="I90">
        <v>0</v>
      </c>
      <c r="K90">
        <v>0</v>
      </c>
      <c r="M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</v>
      </c>
      <c r="U90" s="79">
        <v>45905.556250000001</v>
      </c>
    </row>
    <row r="91" spans="1:21" x14ac:dyDescent="0.45">
      <c r="A91">
        <v>141</v>
      </c>
      <c r="B91">
        <v>1</v>
      </c>
      <c r="C91" t="s">
        <v>3747</v>
      </c>
      <c r="D91" t="s">
        <v>3747</v>
      </c>
      <c r="E91">
        <v>0</v>
      </c>
      <c r="F91">
        <v>0</v>
      </c>
      <c r="G91">
        <v>0</v>
      </c>
      <c r="H91">
        <v>2</v>
      </c>
      <c r="I91">
        <v>0</v>
      </c>
      <c r="J91" t="s">
        <v>3747</v>
      </c>
      <c r="K91">
        <v>0</v>
      </c>
      <c r="M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 s="79">
        <v>45905.556250000001</v>
      </c>
    </row>
    <row r="92" spans="1:21" x14ac:dyDescent="0.45">
      <c r="A92">
        <v>148</v>
      </c>
      <c r="B92">
        <v>1</v>
      </c>
      <c r="C92" t="s">
        <v>3748</v>
      </c>
      <c r="D92" t="s">
        <v>3748</v>
      </c>
      <c r="E92">
        <v>0</v>
      </c>
      <c r="F92">
        <v>0</v>
      </c>
      <c r="G92">
        <v>2</v>
      </c>
      <c r="H92">
        <v>0</v>
      </c>
      <c r="I92">
        <v>0</v>
      </c>
      <c r="K92">
        <v>0</v>
      </c>
      <c r="M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 s="79">
        <v>45905.556250000001</v>
      </c>
    </row>
    <row r="93" spans="1:21" x14ac:dyDescent="0.45">
      <c r="A93">
        <v>149</v>
      </c>
      <c r="B93">
        <v>1</v>
      </c>
      <c r="C93" t="s">
        <v>3749</v>
      </c>
      <c r="D93" t="s">
        <v>3749</v>
      </c>
      <c r="E93">
        <v>0</v>
      </c>
      <c r="F93">
        <v>0</v>
      </c>
      <c r="G93">
        <v>1</v>
      </c>
      <c r="H93">
        <v>0</v>
      </c>
      <c r="I93">
        <v>0</v>
      </c>
      <c r="K93">
        <v>0</v>
      </c>
      <c r="M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 s="79">
        <v>45905.556250000001</v>
      </c>
    </row>
    <row r="94" spans="1:21" x14ac:dyDescent="0.45">
      <c r="A94">
        <v>150</v>
      </c>
      <c r="B94">
        <v>1</v>
      </c>
      <c r="C94" t="s">
        <v>3750</v>
      </c>
      <c r="D94" t="s">
        <v>3750</v>
      </c>
      <c r="E94">
        <v>0</v>
      </c>
      <c r="F94">
        <v>491</v>
      </c>
      <c r="G94">
        <v>1</v>
      </c>
      <c r="H94">
        <v>2</v>
      </c>
      <c r="I94">
        <v>0</v>
      </c>
      <c r="K94">
        <v>0</v>
      </c>
      <c r="M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</v>
      </c>
      <c r="U94" s="79">
        <v>45905.556944444441</v>
      </c>
    </row>
    <row r="95" spans="1:21" x14ac:dyDescent="0.45">
      <c r="A95">
        <v>151</v>
      </c>
      <c r="B95">
        <v>0</v>
      </c>
      <c r="C95" t="s">
        <v>3751</v>
      </c>
      <c r="D95" t="s">
        <v>3751</v>
      </c>
      <c r="E95">
        <v>0</v>
      </c>
      <c r="F95">
        <v>0</v>
      </c>
      <c r="G95">
        <v>2</v>
      </c>
      <c r="H95">
        <v>0</v>
      </c>
      <c r="I95">
        <v>0</v>
      </c>
      <c r="K95">
        <v>0</v>
      </c>
      <c r="M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</v>
      </c>
      <c r="U95" s="79">
        <v>45905.556944444441</v>
      </c>
    </row>
    <row r="96" spans="1:21" x14ac:dyDescent="0.45">
      <c r="A96">
        <v>152</v>
      </c>
      <c r="B96">
        <v>1</v>
      </c>
      <c r="C96" t="s">
        <v>3752</v>
      </c>
      <c r="D96" t="s">
        <v>3752</v>
      </c>
      <c r="E96">
        <v>0</v>
      </c>
      <c r="F96">
        <v>503</v>
      </c>
      <c r="G96">
        <v>1</v>
      </c>
      <c r="H96">
        <v>0</v>
      </c>
      <c r="I96">
        <v>0</v>
      </c>
      <c r="K96">
        <v>0</v>
      </c>
      <c r="M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</v>
      </c>
      <c r="U96" s="79">
        <v>45905.556944444441</v>
      </c>
    </row>
    <row r="97" spans="1:21" x14ac:dyDescent="0.45">
      <c r="A97">
        <v>153</v>
      </c>
      <c r="B97">
        <v>0</v>
      </c>
      <c r="C97" t="s">
        <v>3753</v>
      </c>
      <c r="D97" t="s">
        <v>3753</v>
      </c>
      <c r="E97">
        <v>0</v>
      </c>
      <c r="F97">
        <v>0</v>
      </c>
      <c r="G97">
        <v>2</v>
      </c>
      <c r="H97">
        <v>0</v>
      </c>
      <c r="I97">
        <v>0</v>
      </c>
      <c r="K97">
        <v>0</v>
      </c>
      <c r="M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</v>
      </c>
      <c r="U97" s="79">
        <v>45905.556944444441</v>
      </c>
    </row>
    <row r="98" spans="1:21" x14ac:dyDescent="0.45">
      <c r="A98">
        <v>154</v>
      </c>
      <c r="B98">
        <v>0</v>
      </c>
      <c r="C98" t="s">
        <v>3754</v>
      </c>
      <c r="D98" t="s">
        <v>3754</v>
      </c>
      <c r="E98">
        <v>0</v>
      </c>
      <c r="F98">
        <v>0</v>
      </c>
      <c r="G98">
        <v>2</v>
      </c>
      <c r="H98">
        <v>0</v>
      </c>
      <c r="I98">
        <v>0</v>
      </c>
      <c r="K98">
        <v>0</v>
      </c>
      <c r="M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</v>
      </c>
      <c r="U98" s="79">
        <v>45905.556944444441</v>
      </c>
    </row>
    <row r="99" spans="1:21" x14ac:dyDescent="0.45">
      <c r="A99">
        <v>155</v>
      </c>
      <c r="B99">
        <v>0</v>
      </c>
      <c r="C99" t="s">
        <v>3755</v>
      </c>
      <c r="D99" t="s">
        <v>3755</v>
      </c>
      <c r="E99">
        <v>0</v>
      </c>
      <c r="F99">
        <v>0</v>
      </c>
      <c r="G99">
        <v>2</v>
      </c>
      <c r="H99">
        <v>0</v>
      </c>
      <c r="I99">
        <v>0</v>
      </c>
      <c r="K99">
        <v>0</v>
      </c>
      <c r="M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</v>
      </c>
      <c r="U99" s="79">
        <v>45905.556944444441</v>
      </c>
    </row>
    <row r="100" spans="1:21" x14ac:dyDescent="0.45">
      <c r="A100">
        <v>156</v>
      </c>
      <c r="B100">
        <v>0</v>
      </c>
      <c r="C100" t="s">
        <v>3756</v>
      </c>
      <c r="D100" t="s">
        <v>3756</v>
      </c>
      <c r="E100">
        <v>0</v>
      </c>
      <c r="F100">
        <v>0</v>
      </c>
      <c r="G100">
        <v>1</v>
      </c>
      <c r="H100">
        <v>0</v>
      </c>
      <c r="I100">
        <v>0</v>
      </c>
      <c r="K100">
        <v>0</v>
      </c>
      <c r="M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</v>
      </c>
      <c r="U100" s="79">
        <v>45905.556944444441</v>
      </c>
    </row>
    <row r="101" spans="1:21" x14ac:dyDescent="0.45">
      <c r="A101">
        <v>157</v>
      </c>
      <c r="B101">
        <v>1</v>
      </c>
      <c r="C101" t="s">
        <v>3757</v>
      </c>
      <c r="D101" t="s">
        <v>3757</v>
      </c>
      <c r="E101">
        <v>0</v>
      </c>
      <c r="F101">
        <v>0</v>
      </c>
      <c r="G101">
        <v>1</v>
      </c>
      <c r="H101">
        <v>0</v>
      </c>
      <c r="I101">
        <v>0</v>
      </c>
      <c r="K101">
        <v>0</v>
      </c>
      <c r="M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 s="79">
        <v>45905.556944444441</v>
      </c>
    </row>
    <row r="102" spans="1:21" x14ac:dyDescent="0.45">
      <c r="A102">
        <v>158</v>
      </c>
      <c r="B102">
        <v>1</v>
      </c>
      <c r="C102" t="s">
        <v>3758</v>
      </c>
      <c r="D102" t="s">
        <v>3758</v>
      </c>
      <c r="E102">
        <v>0</v>
      </c>
      <c r="F102">
        <v>0</v>
      </c>
      <c r="G102">
        <v>1</v>
      </c>
      <c r="H102">
        <v>0</v>
      </c>
      <c r="I102">
        <v>0</v>
      </c>
      <c r="K102">
        <v>0</v>
      </c>
      <c r="M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</v>
      </c>
      <c r="U102" s="79">
        <v>45905.556944444441</v>
      </c>
    </row>
    <row r="103" spans="1:21" x14ac:dyDescent="0.45">
      <c r="A103">
        <v>159</v>
      </c>
      <c r="B103">
        <v>1</v>
      </c>
      <c r="C103" t="s">
        <v>3759</v>
      </c>
      <c r="D103" t="s">
        <v>3759</v>
      </c>
      <c r="E103">
        <v>0</v>
      </c>
      <c r="F103">
        <v>0</v>
      </c>
      <c r="G103">
        <v>1</v>
      </c>
      <c r="H103">
        <v>0</v>
      </c>
      <c r="I103">
        <v>0</v>
      </c>
      <c r="K103">
        <v>0</v>
      </c>
      <c r="M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</v>
      </c>
      <c r="U103" s="79">
        <v>45905.556944444441</v>
      </c>
    </row>
    <row r="104" spans="1:21" x14ac:dyDescent="0.45">
      <c r="A104">
        <v>160</v>
      </c>
      <c r="B104">
        <v>1</v>
      </c>
      <c r="C104" t="s">
        <v>3760</v>
      </c>
      <c r="D104" t="s">
        <v>3761</v>
      </c>
      <c r="E104">
        <v>0</v>
      </c>
      <c r="F104">
        <v>482</v>
      </c>
      <c r="G104">
        <v>1</v>
      </c>
      <c r="H104">
        <v>0</v>
      </c>
      <c r="I104">
        <v>0</v>
      </c>
      <c r="K104">
        <v>0</v>
      </c>
      <c r="M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2</v>
      </c>
      <c r="U104" s="79">
        <v>45905.557638888888</v>
      </c>
    </row>
    <row r="105" spans="1:21" x14ac:dyDescent="0.45">
      <c r="A105">
        <v>162</v>
      </c>
      <c r="B105">
        <v>1</v>
      </c>
      <c r="C105" t="s">
        <v>3762</v>
      </c>
      <c r="D105" t="s">
        <v>3762</v>
      </c>
      <c r="E105">
        <v>0</v>
      </c>
      <c r="F105">
        <v>0</v>
      </c>
      <c r="G105">
        <v>1</v>
      </c>
      <c r="H105">
        <v>0</v>
      </c>
      <c r="I105">
        <v>42</v>
      </c>
      <c r="K105">
        <v>0</v>
      </c>
      <c r="M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2</v>
      </c>
      <c r="U105" s="79">
        <v>45905.557638888888</v>
      </c>
    </row>
    <row r="106" spans="1:21" x14ac:dyDescent="0.45">
      <c r="A106">
        <v>163</v>
      </c>
      <c r="B106">
        <v>0</v>
      </c>
      <c r="C106" t="s">
        <v>3763</v>
      </c>
      <c r="D106" t="s">
        <v>3763</v>
      </c>
      <c r="E106">
        <v>0</v>
      </c>
      <c r="F106">
        <v>0</v>
      </c>
      <c r="G106">
        <v>2</v>
      </c>
      <c r="H106">
        <v>0</v>
      </c>
      <c r="I106">
        <v>42</v>
      </c>
      <c r="K106">
        <v>0</v>
      </c>
      <c r="M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2</v>
      </c>
      <c r="U106" s="79">
        <v>45905.557638888888</v>
      </c>
    </row>
    <row r="107" spans="1:21" x14ac:dyDescent="0.45">
      <c r="A107">
        <v>164</v>
      </c>
      <c r="B107">
        <v>1</v>
      </c>
      <c r="C107" t="s">
        <v>3764</v>
      </c>
      <c r="D107" t="s">
        <v>3764</v>
      </c>
      <c r="E107">
        <v>0</v>
      </c>
      <c r="F107">
        <v>0</v>
      </c>
      <c r="G107">
        <v>1</v>
      </c>
      <c r="H107">
        <v>0</v>
      </c>
      <c r="I107">
        <v>0</v>
      </c>
      <c r="K107">
        <v>0</v>
      </c>
      <c r="M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</v>
      </c>
      <c r="U107" s="79">
        <v>45905.558333333327</v>
      </c>
    </row>
    <row r="108" spans="1:21" x14ac:dyDescent="0.45">
      <c r="A108">
        <v>165</v>
      </c>
      <c r="B108">
        <v>0</v>
      </c>
      <c r="C108" t="s">
        <v>3765</v>
      </c>
      <c r="D108" t="s">
        <v>3765</v>
      </c>
      <c r="E108">
        <v>0</v>
      </c>
      <c r="F108">
        <v>0</v>
      </c>
      <c r="G108">
        <v>2</v>
      </c>
      <c r="H108">
        <v>0</v>
      </c>
      <c r="I108">
        <v>0</v>
      </c>
      <c r="K108">
        <v>0</v>
      </c>
      <c r="M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</v>
      </c>
      <c r="U108" s="79">
        <v>45905.558333333327</v>
      </c>
    </row>
    <row r="109" spans="1:21" x14ac:dyDescent="0.45">
      <c r="A109">
        <v>166</v>
      </c>
      <c r="B109">
        <v>1</v>
      </c>
      <c r="C109" t="s">
        <v>3766</v>
      </c>
      <c r="D109" t="s">
        <v>3766</v>
      </c>
      <c r="E109">
        <v>0</v>
      </c>
      <c r="F109">
        <v>0</v>
      </c>
      <c r="G109">
        <v>1</v>
      </c>
      <c r="H109">
        <v>0</v>
      </c>
      <c r="I109">
        <v>0</v>
      </c>
      <c r="K109">
        <v>0</v>
      </c>
      <c r="M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</v>
      </c>
      <c r="U109" s="79">
        <v>45905.558333333327</v>
      </c>
    </row>
    <row r="110" spans="1:21" x14ac:dyDescent="0.45">
      <c r="A110">
        <v>167</v>
      </c>
      <c r="B110">
        <v>1</v>
      </c>
      <c r="C110" t="s">
        <v>97</v>
      </c>
      <c r="D110" t="s">
        <v>97</v>
      </c>
      <c r="E110">
        <v>0</v>
      </c>
      <c r="F110">
        <v>0</v>
      </c>
      <c r="G110">
        <v>1</v>
      </c>
      <c r="H110">
        <v>0</v>
      </c>
      <c r="I110">
        <v>80</v>
      </c>
      <c r="K110">
        <v>0</v>
      </c>
      <c r="M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2</v>
      </c>
      <c r="U110" s="79">
        <v>45905.559027777781</v>
      </c>
    </row>
    <row r="111" spans="1:21" x14ac:dyDescent="0.45">
      <c r="A111">
        <v>168</v>
      </c>
      <c r="B111">
        <v>1</v>
      </c>
      <c r="C111" t="s">
        <v>3767</v>
      </c>
      <c r="D111" t="s">
        <v>3767</v>
      </c>
      <c r="E111">
        <v>0</v>
      </c>
      <c r="F111">
        <v>0</v>
      </c>
      <c r="G111">
        <v>1</v>
      </c>
      <c r="H111">
        <v>0</v>
      </c>
      <c r="I111">
        <v>42</v>
      </c>
      <c r="K111">
        <v>0</v>
      </c>
      <c r="M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2</v>
      </c>
      <c r="U111" s="79">
        <v>45905.559027777781</v>
      </c>
    </row>
    <row r="112" spans="1:21" x14ac:dyDescent="0.45">
      <c r="A112">
        <v>169</v>
      </c>
      <c r="B112">
        <v>1</v>
      </c>
      <c r="C112" t="s">
        <v>3768</v>
      </c>
      <c r="D112" t="s">
        <v>3769</v>
      </c>
      <c r="E112">
        <v>0</v>
      </c>
      <c r="F112">
        <v>0</v>
      </c>
      <c r="G112">
        <v>1</v>
      </c>
      <c r="H112">
        <v>1</v>
      </c>
      <c r="I112">
        <v>80</v>
      </c>
      <c r="K112">
        <v>0</v>
      </c>
      <c r="M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2</v>
      </c>
      <c r="U112" s="79">
        <v>45905.559027777781</v>
      </c>
    </row>
    <row r="113" spans="1:21" x14ac:dyDescent="0.45">
      <c r="A113">
        <v>172</v>
      </c>
      <c r="B113">
        <v>0</v>
      </c>
      <c r="C113" t="s">
        <v>3770</v>
      </c>
      <c r="D113" t="s">
        <v>3770</v>
      </c>
      <c r="E113">
        <v>0</v>
      </c>
      <c r="F113">
        <v>0</v>
      </c>
      <c r="G113">
        <v>2</v>
      </c>
      <c r="H113">
        <v>0</v>
      </c>
      <c r="I113">
        <v>0</v>
      </c>
      <c r="K113">
        <v>0</v>
      </c>
      <c r="M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</v>
      </c>
      <c r="U113" s="79">
        <v>45905.559027777781</v>
      </c>
    </row>
    <row r="114" spans="1:21" x14ac:dyDescent="0.45">
      <c r="A114">
        <v>173</v>
      </c>
      <c r="B114">
        <v>1</v>
      </c>
      <c r="C114" t="s">
        <v>3771</v>
      </c>
      <c r="D114" t="s">
        <v>3771</v>
      </c>
      <c r="E114">
        <v>0</v>
      </c>
      <c r="F114">
        <v>0</v>
      </c>
      <c r="G114">
        <v>1</v>
      </c>
      <c r="H114">
        <v>0</v>
      </c>
      <c r="I114">
        <v>0</v>
      </c>
      <c r="K114">
        <v>0</v>
      </c>
      <c r="M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</v>
      </c>
      <c r="U114" s="79">
        <v>45905.559027777781</v>
      </c>
    </row>
    <row r="115" spans="1:21" x14ac:dyDescent="0.45">
      <c r="A115">
        <v>174</v>
      </c>
      <c r="B115">
        <v>0</v>
      </c>
      <c r="C115" t="s">
        <v>3772</v>
      </c>
      <c r="D115" t="s">
        <v>3772</v>
      </c>
      <c r="E115">
        <v>0</v>
      </c>
      <c r="F115">
        <v>0</v>
      </c>
      <c r="G115">
        <v>2</v>
      </c>
      <c r="H115">
        <v>0</v>
      </c>
      <c r="I115">
        <v>0</v>
      </c>
      <c r="K115">
        <v>0</v>
      </c>
      <c r="M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</v>
      </c>
      <c r="U115" s="79">
        <v>45905.55972222222</v>
      </c>
    </row>
    <row r="116" spans="1:21" x14ac:dyDescent="0.45">
      <c r="A116">
        <v>175</v>
      </c>
      <c r="B116">
        <v>1</v>
      </c>
      <c r="C116" t="s">
        <v>3773</v>
      </c>
      <c r="D116" t="s">
        <v>3773</v>
      </c>
      <c r="E116">
        <v>0</v>
      </c>
      <c r="F116">
        <v>191</v>
      </c>
      <c r="G116">
        <v>1</v>
      </c>
      <c r="H116">
        <v>2</v>
      </c>
      <c r="I116">
        <v>0</v>
      </c>
      <c r="J116" t="s">
        <v>3773</v>
      </c>
      <c r="K116">
        <v>0</v>
      </c>
      <c r="L116" t="s">
        <v>3636</v>
      </c>
      <c r="M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</v>
      </c>
      <c r="U116" s="79">
        <v>45905.55972222222</v>
      </c>
    </row>
    <row r="117" spans="1:21" x14ac:dyDescent="0.45">
      <c r="A117">
        <v>193</v>
      </c>
      <c r="B117">
        <v>1</v>
      </c>
      <c r="C117" t="s">
        <v>915</v>
      </c>
      <c r="D117" t="s">
        <v>915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M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</v>
      </c>
      <c r="U117" s="79">
        <v>45905.55972222222</v>
      </c>
    </row>
    <row r="118" spans="1:21" x14ac:dyDescent="0.45">
      <c r="A118">
        <v>194</v>
      </c>
      <c r="B118">
        <v>1</v>
      </c>
      <c r="C118" t="s">
        <v>3774</v>
      </c>
      <c r="D118" t="s">
        <v>3774</v>
      </c>
      <c r="E118">
        <v>0</v>
      </c>
      <c r="F118">
        <v>194</v>
      </c>
      <c r="G118">
        <v>0</v>
      </c>
      <c r="H118">
        <v>0</v>
      </c>
      <c r="I118">
        <v>0</v>
      </c>
      <c r="K118">
        <v>0</v>
      </c>
      <c r="M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</v>
      </c>
      <c r="U118" s="79">
        <v>45905.55972222222</v>
      </c>
    </row>
    <row r="119" spans="1:21" x14ac:dyDescent="0.45">
      <c r="A119">
        <v>195</v>
      </c>
      <c r="B119">
        <v>1</v>
      </c>
      <c r="C119" t="s">
        <v>3775</v>
      </c>
      <c r="D119" t="s">
        <v>3775</v>
      </c>
      <c r="E119">
        <v>0</v>
      </c>
      <c r="F119">
        <v>0</v>
      </c>
      <c r="G119">
        <v>0</v>
      </c>
      <c r="H119">
        <v>0</v>
      </c>
      <c r="I119">
        <v>0</v>
      </c>
      <c r="K119">
        <v>0</v>
      </c>
      <c r="M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</v>
      </c>
      <c r="U119" s="79">
        <v>45905.55972222222</v>
      </c>
    </row>
    <row r="120" spans="1:21" x14ac:dyDescent="0.45">
      <c r="A120">
        <v>196</v>
      </c>
      <c r="B120">
        <v>1</v>
      </c>
      <c r="C120" t="s">
        <v>3776</v>
      </c>
      <c r="D120" t="s">
        <v>3776</v>
      </c>
      <c r="E120">
        <v>3500</v>
      </c>
      <c r="F120">
        <v>0</v>
      </c>
      <c r="G120">
        <v>1</v>
      </c>
      <c r="H120">
        <v>0</v>
      </c>
      <c r="I120">
        <v>0</v>
      </c>
      <c r="K120">
        <v>0</v>
      </c>
      <c r="M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</v>
      </c>
      <c r="U120" s="79">
        <v>45905.55972222222</v>
      </c>
    </row>
    <row r="121" spans="1:21" x14ac:dyDescent="0.45">
      <c r="A121">
        <v>197</v>
      </c>
      <c r="B121">
        <v>1</v>
      </c>
      <c r="C121" t="s">
        <v>3777</v>
      </c>
      <c r="D121" t="s">
        <v>3777</v>
      </c>
      <c r="E121">
        <v>0</v>
      </c>
      <c r="F121">
        <v>0</v>
      </c>
      <c r="G121">
        <v>1</v>
      </c>
      <c r="H121">
        <v>0</v>
      </c>
      <c r="I121">
        <v>0</v>
      </c>
      <c r="K121">
        <v>0</v>
      </c>
      <c r="M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</v>
      </c>
      <c r="U121" s="79">
        <v>45905.55972222222</v>
      </c>
    </row>
    <row r="122" spans="1:21" x14ac:dyDescent="0.45">
      <c r="A122">
        <v>198</v>
      </c>
      <c r="B122">
        <v>1</v>
      </c>
      <c r="C122" t="s">
        <v>3778</v>
      </c>
      <c r="D122" t="s">
        <v>3778</v>
      </c>
      <c r="E122">
        <v>0</v>
      </c>
      <c r="F122">
        <v>0</v>
      </c>
      <c r="G122">
        <v>1</v>
      </c>
      <c r="H122">
        <v>0</v>
      </c>
      <c r="I122">
        <v>0</v>
      </c>
      <c r="K122">
        <v>0</v>
      </c>
      <c r="M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</v>
      </c>
      <c r="U122" s="79">
        <v>45905.55972222222</v>
      </c>
    </row>
    <row r="123" spans="1:21" x14ac:dyDescent="0.45">
      <c r="A123">
        <v>199</v>
      </c>
      <c r="B123">
        <v>1</v>
      </c>
      <c r="C123" t="s">
        <v>3779</v>
      </c>
      <c r="D123" t="s">
        <v>3780</v>
      </c>
      <c r="E123">
        <v>0</v>
      </c>
      <c r="F123">
        <v>480</v>
      </c>
      <c r="G123">
        <v>1</v>
      </c>
      <c r="H123">
        <v>1</v>
      </c>
      <c r="I123">
        <v>18</v>
      </c>
      <c r="K123">
        <v>0</v>
      </c>
      <c r="M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2</v>
      </c>
      <c r="U123" s="79">
        <v>45905.560416666667</v>
      </c>
    </row>
    <row r="124" spans="1:21" x14ac:dyDescent="0.45">
      <c r="A124">
        <v>200</v>
      </c>
      <c r="B124">
        <v>1</v>
      </c>
      <c r="C124" t="s">
        <v>3632</v>
      </c>
      <c r="D124" t="s">
        <v>3632</v>
      </c>
      <c r="E124">
        <v>0</v>
      </c>
      <c r="F124">
        <v>0</v>
      </c>
      <c r="G124">
        <v>2</v>
      </c>
      <c r="H124">
        <v>2</v>
      </c>
      <c r="I124">
        <v>0</v>
      </c>
      <c r="J124" t="s">
        <v>3628</v>
      </c>
      <c r="K124">
        <v>1</v>
      </c>
      <c r="M124">
        <v>0</v>
      </c>
      <c r="O124">
        <v>0</v>
      </c>
      <c r="Q124">
        <v>0</v>
      </c>
      <c r="S124">
        <v>0</v>
      </c>
      <c r="T124">
        <v>2</v>
      </c>
      <c r="U124" s="79">
        <v>45905.575694444437</v>
      </c>
    </row>
    <row r="125" spans="1:21" x14ac:dyDescent="0.45">
      <c r="A125">
        <v>201</v>
      </c>
      <c r="B125">
        <v>2</v>
      </c>
      <c r="C125" t="s">
        <v>3781</v>
      </c>
      <c r="D125" t="s">
        <v>3781</v>
      </c>
      <c r="E125">
        <v>0</v>
      </c>
      <c r="F125">
        <v>0</v>
      </c>
      <c r="G125">
        <v>2</v>
      </c>
      <c r="H125">
        <v>2</v>
      </c>
      <c r="I125">
        <v>0</v>
      </c>
      <c r="J125" t="s">
        <v>3782</v>
      </c>
      <c r="K125">
        <v>0</v>
      </c>
      <c r="M125">
        <v>0</v>
      </c>
      <c r="O125">
        <v>0</v>
      </c>
      <c r="Q125">
        <v>0</v>
      </c>
      <c r="S125">
        <v>0</v>
      </c>
      <c r="T125">
        <v>2</v>
      </c>
      <c r="U125" s="79">
        <v>45905.575694444437</v>
      </c>
    </row>
    <row r="126" spans="1:21" x14ac:dyDescent="0.45">
      <c r="A126">
        <v>202</v>
      </c>
      <c r="B126">
        <v>2</v>
      </c>
      <c r="C126" t="s">
        <v>3783</v>
      </c>
      <c r="D126" t="s">
        <v>3783</v>
      </c>
      <c r="E126">
        <v>0</v>
      </c>
      <c r="F126">
        <v>0</v>
      </c>
      <c r="G126">
        <v>2</v>
      </c>
      <c r="H126">
        <v>2</v>
      </c>
      <c r="I126">
        <v>0</v>
      </c>
      <c r="J126" t="s">
        <v>3784</v>
      </c>
      <c r="K126">
        <v>0</v>
      </c>
      <c r="M126">
        <v>0</v>
      </c>
      <c r="O126">
        <v>0</v>
      </c>
      <c r="Q126">
        <v>0</v>
      </c>
      <c r="S126">
        <v>0</v>
      </c>
      <c r="T126">
        <v>2</v>
      </c>
      <c r="U126" s="79">
        <v>45905.576388888891</v>
      </c>
    </row>
    <row r="127" spans="1:21" x14ac:dyDescent="0.45">
      <c r="A127">
        <v>203</v>
      </c>
      <c r="B127">
        <v>2</v>
      </c>
      <c r="C127" t="s">
        <v>3785</v>
      </c>
      <c r="D127" t="s">
        <v>3785</v>
      </c>
      <c r="E127">
        <v>0</v>
      </c>
      <c r="F127">
        <v>0</v>
      </c>
      <c r="G127">
        <v>2</v>
      </c>
      <c r="H127">
        <v>2</v>
      </c>
      <c r="I127">
        <v>0</v>
      </c>
      <c r="J127" t="s">
        <v>3785</v>
      </c>
      <c r="K127">
        <v>0</v>
      </c>
      <c r="M127">
        <v>0</v>
      </c>
      <c r="O127">
        <v>0</v>
      </c>
      <c r="Q127">
        <v>0</v>
      </c>
      <c r="S127">
        <v>0</v>
      </c>
      <c r="T127">
        <v>2</v>
      </c>
      <c r="U127" s="79">
        <v>45905.576388888891</v>
      </c>
    </row>
    <row r="128" spans="1:21" x14ac:dyDescent="0.45">
      <c r="A128">
        <v>204</v>
      </c>
      <c r="B128">
        <v>2</v>
      </c>
      <c r="C128" t="s">
        <v>3786</v>
      </c>
      <c r="D128" t="s">
        <v>3786</v>
      </c>
      <c r="E128">
        <v>0</v>
      </c>
      <c r="F128">
        <v>0</v>
      </c>
      <c r="G128">
        <v>2</v>
      </c>
      <c r="H128">
        <v>2</v>
      </c>
      <c r="I128">
        <v>0</v>
      </c>
      <c r="J128" t="s">
        <v>3786</v>
      </c>
      <c r="K128">
        <v>0</v>
      </c>
      <c r="M128">
        <v>0</v>
      </c>
      <c r="O128">
        <v>0</v>
      </c>
      <c r="Q128">
        <v>0</v>
      </c>
      <c r="S128">
        <v>0</v>
      </c>
      <c r="T128">
        <v>2</v>
      </c>
      <c r="U128" s="79">
        <v>45905.576388888891</v>
      </c>
    </row>
    <row r="129" spans="1:21" x14ac:dyDescent="0.45">
      <c r="A129">
        <v>205</v>
      </c>
      <c r="B129">
        <v>2</v>
      </c>
      <c r="C129" t="s">
        <v>3787</v>
      </c>
      <c r="D129" t="s">
        <v>3787</v>
      </c>
      <c r="E129">
        <v>0</v>
      </c>
      <c r="F129">
        <v>0</v>
      </c>
      <c r="G129">
        <v>2</v>
      </c>
      <c r="H129">
        <v>2</v>
      </c>
      <c r="I129">
        <v>0</v>
      </c>
      <c r="J129" t="s">
        <v>3787</v>
      </c>
      <c r="K129">
        <v>0</v>
      </c>
      <c r="M129">
        <v>0</v>
      </c>
      <c r="O129">
        <v>0</v>
      </c>
      <c r="Q129">
        <v>0</v>
      </c>
      <c r="S129">
        <v>0</v>
      </c>
      <c r="T129">
        <v>2</v>
      </c>
      <c r="U129" s="79">
        <v>45905.576388888891</v>
      </c>
    </row>
    <row r="130" spans="1:21" x14ac:dyDescent="0.45">
      <c r="A130">
        <v>206</v>
      </c>
      <c r="B130">
        <v>2</v>
      </c>
      <c r="C130" t="s">
        <v>3788</v>
      </c>
      <c r="D130" t="s">
        <v>3788</v>
      </c>
      <c r="E130">
        <v>0</v>
      </c>
      <c r="F130">
        <v>0</v>
      </c>
      <c r="G130">
        <v>2</v>
      </c>
      <c r="H130">
        <v>2</v>
      </c>
      <c r="I130">
        <v>0</v>
      </c>
      <c r="J130" t="s">
        <v>3789</v>
      </c>
      <c r="K130">
        <v>0</v>
      </c>
      <c r="M130">
        <v>0</v>
      </c>
      <c r="O130">
        <v>0</v>
      </c>
      <c r="Q130">
        <v>0</v>
      </c>
      <c r="S130">
        <v>0</v>
      </c>
      <c r="T130">
        <v>2</v>
      </c>
      <c r="U130" s="79">
        <v>45905.576388888891</v>
      </c>
    </row>
    <row r="131" spans="1:21" x14ac:dyDescent="0.45">
      <c r="A131">
        <v>207</v>
      </c>
      <c r="B131">
        <v>2</v>
      </c>
      <c r="C131" t="s">
        <v>3790</v>
      </c>
      <c r="D131" t="s">
        <v>3790</v>
      </c>
      <c r="E131">
        <v>0</v>
      </c>
      <c r="F131">
        <v>0</v>
      </c>
      <c r="G131">
        <v>2</v>
      </c>
      <c r="H131">
        <v>2</v>
      </c>
      <c r="I131">
        <v>0</v>
      </c>
      <c r="J131" t="s">
        <v>3789</v>
      </c>
      <c r="K131">
        <v>0</v>
      </c>
      <c r="M131">
        <v>0</v>
      </c>
      <c r="O131">
        <v>0</v>
      </c>
      <c r="Q131">
        <v>0</v>
      </c>
      <c r="S131">
        <v>0</v>
      </c>
      <c r="T131">
        <v>2</v>
      </c>
      <c r="U131" s="79">
        <v>45905.576388888891</v>
      </c>
    </row>
    <row r="132" spans="1:21" x14ac:dyDescent="0.45">
      <c r="A132">
        <v>208</v>
      </c>
      <c r="B132">
        <v>2</v>
      </c>
      <c r="C132" t="s">
        <v>3791</v>
      </c>
      <c r="D132" t="s">
        <v>3791</v>
      </c>
      <c r="E132">
        <v>0</v>
      </c>
      <c r="F132">
        <v>0</v>
      </c>
      <c r="G132">
        <v>2</v>
      </c>
      <c r="H132">
        <v>2</v>
      </c>
      <c r="I132">
        <v>0</v>
      </c>
      <c r="J132" t="s">
        <v>3789</v>
      </c>
      <c r="K132">
        <v>0</v>
      </c>
      <c r="M132">
        <v>0</v>
      </c>
      <c r="O132">
        <v>0</v>
      </c>
      <c r="Q132">
        <v>0</v>
      </c>
      <c r="S132">
        <v>0</v>
      </c>
      <c r="T132">
        <v>2</v>
      </c>
      <c r="U132" s="79">
        <v>45905.576388888891</v>
      </c>
    </row>
    <row r="133" spans="1:21" x14ac:dyDescent="0.45">
      <c r="A133">
        <v>209</v>
      </c>
      <c r="B133">
        <v>2</v>
      </c>
      <c r="C133" t="s">
        <v>3792</v>
      </c>
      <c r="D133" t="s">
        <v>3792</v>
      </c>
      <c r="E133">
        <v>0</v>
      </c>
      <c r="F133">
        <v>0</v>
      </c>
      <c r="G133">
        <v>2</v>
      </c>
      <c r="H133">
        <v>2</v>
      </c>
      <c r="I133">
        <v>0</v>
      </c>
      <c r="J133" t="s">
        <v>3789</v>
      </c>
      <c r="K133">
        <v>0</v>
      </c>
      <c r="M133">
        <v>0</v>
      </c>
      <c r="O133">
        <v>0</v>
      </c>
      <c r="Q133">
        <v>0</v>
      </c>
      <c r="S133">
        <v>0</v>
      </c>
      <c r="T133">
        <v>2</v>
      </c>
      <c r="U133" s="79">
        <v>45905.57708333333</v>
      </c>
    </row>
    <row r="134" spans="1:21" x14ac:dyDescent="0.45">
      <c r="A134">
        <v>210</v>
      </c>
      <c r="B134">
        <v>2</v>
      </c>
      <c r="C134" t="s">
        <v>3793</v>
      </c>
      <c r="D134" t="s">
        <v>3793</v>
      </c>
      <c r="E134">
        <v>0</v>
      </c>
      <c r="F134">
        <v>0</v>
      </c>
      <c r="G134">
        <v>2</v>
      </c>
      <c r="H134">
        <v>2</v>
      </c>
      <c r="I134">
        <v>0</v>
      </c>
      <c r="J134" t="s">
        <v>3789</v>
      </c>
      <c r="K134">
        <v>0</v>
      </c>
      <c r="M134">
        <v>0</v>
      </c>
      <c r="O134">
        <v>0</v>
      </c>
      <c r="Q134">
        <v>0</v>
      </c>
      <c r="S134">
        <v>0</v>
      </c>
      <c r="T134">
        <v>2</v>
      </c>
      <c r="U134" s="79">
        <v>45905.576388888891</v>
      </c>
    </row>
    <row r="135" spans="1:21" x14ac:dyDescent="0.45">
      <c r="A135">
        <v>211</v>
      </c>
      <c r="B135">
        <v>2</v>
      </c>
      <c r="C135" t="s">
        <v>3794</v>
      </c>
      <c r="D135" t="s">
        <v>3794</v>
      </c>
      <c r="E135">
        <v>0</v>
      </c>
      <c r="F135">
        <v>0</v>
      </c>
      <c r="G135">
        <v>2</v>
      </c>
      <c r="H135">
        <v>2</v>
      </c>
      <c r="I135">
        <v>0</v>
      </c>
      <c r="J135" t="s">
        <v>3789</v>
      </c>
      <c r="K135">
        <v>0</v>
      </c>
      <c r="M135">
        <v>0</v>
      </c>
      <c r="O135">
        <v>0</v>
      </c>
      <c r="Q135">
        <v>0</v>
      </c>
      <c r="S135">
        <v>0</v>
      </c>
      <c r="T135">
        <v>2</v>
      </c>
      <c r="U135" s="79">
        <v>45905.576388888891</v>
      </c>
    </row>
    <row r="136" spans="1:21" x14ac:dyDescent="0.45">
      <c r="A136">
        <v>212</v>
      </c>
      <c r="B136">
        <v>2</v>
      </c>
      <c r="C136" t="s">
        <v>3795</v>
      </c>
      <c r="D136" t="s">
        <v>3796</v>
      </c>
      <c r="E136">
        <v>0</v>
      </c>
      <c r="F136">
        <v>0</v>
      </c>
      <c r="G136">
        <v>2</v>
      </c>
      <c r="H136">
        <v>2</v>
      </c>
      <c r="I136">
        <v>0</v>
      </c>
      <c r="J136" t="s">
        <v>3789</v>
      </c>
      <c r="K136">
        <v>0</v>
      </c>
      <c r="M136">
        <v>0</v>
      </c>
      <c r="O136">
        <v>0</v>
      </c>
      <c r="Q136">
        <v>0</v>
      </c>
      <c r="S136">
        <v>0</v>
      </c>
      <c r="T136">
        <v>2</v>
      </c>
      <c r="U136" s="79">
        <v>45905.57708333333</v>
      </c>
    </row>
    <row r="137" spans="1:21" x14ac:dyDescent="0.45">
      <c r="A137">
        <v>213</v>
      </c>
      <c r="B137">
        <v>2</v>
      </c>
      <c r="C137" t="s">
        <v>3797</v>
      </c>
      <c r="D137" t="s">
        <v>3797</v>
      </c>
      <c r="E137">
        <v>0</v>
      </c>
      <c r="F137">
        <v>0</v>
      </c>
      <c r="G137">
        <v>2</v>
      </c>
      <c r="H137">
        <v>2</v>
      </c>
      <c r="I137">
        <v>0</v>
      </c>
      <c r="J137" t="s">
        <v>3797</v>
      </c>
      <c r="K137">
        <v>0</v>
      </c>
      <c r="M137">
        <v>0</v>
      </c>
      <c r="O137">
        <v>0</v>
      </c>
      <c r="Q137">
        <v>0</v>
      </c>
      <c r="S137">
        <v>0</v>
      </c>
      <c r="T137">
        <v>2</v>
      </c>
      <c r="U137" s="79">
        <v>45905.57708333333</v>
      </c>
    </row>
    <row r="138" spans="1:21" x14ac:dyDescent="0.45">
      <c r="A138">
        <v>214</v>
      </c>
      <c r="B138">
        <v>2</v>
      </c>
      <c r="C138" t="s">
        <v>3766</v>
      </c>
      <c r="D138" t="s">
        <v>3766</v>
      </c>
      <c r="E138">
        <v>0</v>
      </c>
      <c r="F138">
        <v>0</v>
      </c>
      <c r="G138">
        <v>2</v>
      </c>
      <c r="H138">
        <v>2</v>
      </c>
      <c r="I138">
        <v>0</v>
      </c>
      <c r="J138" t="s">
        <v>3766</v>
      </c>
      <c r="K138">
        <v>0</v>
      </c>
      <c r="M138">
        <v>0</v>
      </c>
      <c r="O138">
        <v>0</v>
      </c>
      <c r="Q138">
        <v>0</v>
      </c>
      <c r="S138">
        <v>0</v>
      </c>
      <c r="T138">
        <v>2</v>
      </c>
      <c r="U138" s="79">
        <v>45905.57708333333</v>
      </c>
    </row>
    <row r="139" spans="1:21" x14ac:dyDescent="0.45">
      <c r="A139">
        <v>215</v>
      </c>
      <c r="B139">
        <v>2</v>
      </c>
      <c r="C139" t="s">
        <v>3798</v>
      </c>
      <c r="D139" t="s">
        <v>3798</v>
      </c>
      <c r="E139">
        <v>0</v>
      </c>
      <c r="F139">
        <v>0</v>
      </c>
      <c r="G139">
        <v>2</v>
      </c>
      <c r="H139">
        <v>2</v>
      </c>
      <c r="I139">
        <v>0</v>
      </c>
      <c r="J139" t="s">
        <v>3798</v>
      </c>
      <c r="K139">
        <v>0</v>
      </c>
      <c r="M139">
        <v>0</v>
      </c>
      <c r="O139">
        <v>0</v>
      </c>
      <c r="Q139">
        <v>0</v>
      </c>
      <c r="S139">
        <v>0</v>
      </c>
      <c r="T139">
        <v>2</v>
      </c>
      <c r="U139" s="79">
        <v>45905.57708333333</v>
      </c>
    </row>
    <row r="140" spans="1:21" x14ac:dyDescent="0.45">
      <c r="A140">
        <v>216</v>
      </c>
      <c r="B140">
        <v>2</v>
      </c>
      <c r="C140" t="s">
        <v>3799</v>
      </c>
      <c r="D140" t="s">
        <v>3799</v>
      </c>
      <c r="E140">
        <v>0</v>
      </c>
      <c r="F140">
        <v>0</v>
      </c>
      <c r="G140">
        <v>2</v>
      </c>
      <c r="H140">
        <v>2</v>
      </c>
      <c r="I140">
        <v>0</v>
      </c>
      <c r="J140" t="s">
        <v>3799</v>
      </c>
      <c r="K140">
        <v>0</v>
      </c>
      <c r="M140">
        <v>0</v>
      </c>
      <c r="O140">
        <v>0</v>
      </c>
      <c r="Q140">
        <v>0</v>
      </c>
      <c r="S140">
        <v>0</v>
      </c>
      <c r="T140">
        <v>2</v>
      </c>
      <c r="U140" s="79">
        <v>45905.57708333333</v>
      </c>
    </row>
    <row r="141" spans="1:21" x14ac:dyDescent="0.45">
      <c r="A141">
        <v>217</v>
      </c>
      <c r="B141">
        <v>2</v>
      </c>
      <c r="C141" t="s">
        <v>3800</v>
      </c>
      <c r="D141" t="s">
        <v>3801</v>
      </c>
      <c r="E141">
        <v>0</v>
      </c>
      <c r="F141">
        <v>0</v>
      </c>
      <c r="G141">
        <v>2</v>
      </c>
      <c r="H141">
        <v>2</v>
      </c>
      <c r="I141">
        <v>0</v>
      </c>
      <c r="J141" t="s">
        <v>3801</v>
      </c>
      <c r="K141">
        <v>0</v>
      </c>
      <c r="M141">
        <v>0</v>
      </c>
      <c r="O141">
        <v>0</v>
      </c>
      <c r="Q141">
        <v>0</v>
      </c>
      <c r="S141">
        <v>0</v>
      </c>
      <c r="T141">
        <v>2</v>
      </c>
      <c r="U141" s="79">
        <v>45905.57708333333</v>
      </c>
    </row>
    <row r="142" spans="1:21" x14ac:dyDescent="0.45">
      <c r="A142">
        <v>218</v>
      </c>
      <c r="B142">
        <v>2</v>
      </c>
      <c r="C142" t="s">
        <v>3800</v>
      </c>
      <c r="D142" t="s">
        <v>3802</v>
      </c>
      <c r="E142">
        <v>0</v>
      </c>
      <c r="F142">
        <v>0</v>
      </c>
      <c r="G142">
        <v>2</v>
      </c>
      <c r="H142">
        <v>2</v>
      </c>
      <c r="I142">
        <v>0</v>
      </c>
      <c r="J142" t="s">
        <v>3802</v>
      </c>
      <c r="K142">
        <v>0</v>
      </c>
      <c r="M142">
        <v>0</v>
      </c>
      <c r="O142">
        <v>0</v>
      </c>
      <c r="Q142">
        <v>0</v>
      </c>
      <c r="S142">
        <v>0</v>
      </c>
      <c r="T142">
        <v>2</v>
      </c>
      <c r="U142" s="79">
        <v>45905.577777777777</v>
      </c>
    </row>
    <row r="143" spans="1:21" x14ac:dyDescent="0.45">
      <c r="A143">
        <v>219</v>
      </c>
      <c r="B143">
        <v>2</v>
      </c>
      <c r="C143" t="s">
        <v>3803</v>
      </c>
      <c r="D143" t="s">
        <v>3803</v>
      </c>
      <c r="E143">
        <v>0</v>
      </c>
      <c r="F143">
        <v>0</v>
      </c>
      <c r="G143">
        <v>2</v>
      </c>
      <c r="H143">
        <v>2</v>
      </c>
      <c r="I143">
        <v>0</v>
      </c>
      <c r="J143" t="s">
        <v>3804</v>
      </c>
      <c r="K143">
        <v>0</v>
      </c>
      <c r="M143">
        <v>0</v>
      </c>
      <c r="O143">
        <v>0</v>
      </c>
      <c r="Q143">
        <v>0</v>
      </c>
      <c r="S143">
        <v>0</v>
      </c>
      <c r="T143">
        <v>2</v>
      </c>
      <c r="U143" s="79">
        <v>45905.577777777777</v>
      </c>
    </row>
    <row r="144" spans="1:21" x14ac:dyDescent="0.45">
      <c r="A144">
        <v>220</v>
      </c>
      <c r="B144">
        <v>2</v>
      </c>
      <c r="C144" t="s">
        <v>3636</v>
      </c>
      <c r="D144" t="s">
        <v>3636</v>
      </c>
      <c r="E144">
        <v>0</v>
      </c>
      <c r="F144">
        <v>0</v>
      </c>
      <c r="G144">
        <v>2</v>
      </c>
      <c r="H144">
        <v>2</v>
      </c>
      <c r="I144">
        <v>0</v>
      </c>
      <c r="J144" t="s">
        <v>3636</v>
      </c>
      <c r="K144">
        <v>0</v>
      </c>
      <c r="M144">
        <v>0</v>
      </c>
      <c r="O144">
        <v>0</v>
      </c>
      <c r="Q144">
        <v>0</v>
      </c>
      <c r="S144">
        <v>0</v>
      </c>
      <c r="T144">
        <v>2</v>
      </c>
      <c r="U144" s="79">
        <v>45905.577777777777</v>
      </c>
    </row>
    <row r="145" spans="1:21" x14ac:dyDescent="0.45">
      <c r="A145">
        <v>221</v>
      </c>
      <c r="B145">
        <v>2</v>
      </c>
      <c r="C145" t="s">
        <v>3678</v>
      </c>
      <c r="D145" t="s">
        <v>3678</v>
      </c>
      <c r="E145">
        <v>0</v>
      </c>
      <c r="F145">
        <v>0</v>
      </c>
      <c r="G145">
        <v>2</v>
      </c>
      <c r="H145">
        <v>2</v>
      </c>
      <c r="I145">
        <v>0</v>
      </c>
      <c r="J145" t="s">
        <v>3678</v>
      </c>
      <c r="K145">
        <v>0</v>
      </c>
      <c r="M145">
        <v>0</v>
      </c>
      <c r="O145">
        <v>0</v>
      </c>
      <c r="Q145">
        <v>0</v>
      </c>
      <c r="S145">
        <v>0</v>
      </c>
      <c r="T145">
        <v>2</v>
      </c>
      <c r="U145" s="79">
        <v>45905.577777777777</v>
      </c>
    </row>
    <row r="146" spans="1:21" x14ac:dyDescent="0.45">
      <c r="A146">
        <v>222</v>
      </c>
      <c r="B146">
        <v>2</v>
      </c>
      <c r="C146" t="s">
        <v>3805</v>
      </c>
      <c r="D146" t="s">
        <v>3805</v>
      </c>
      <c r="E146">
        <v>0</v>
      </c>
      <c r="F146">
        <v>0</v>
      </c>
      <c r="G146">
        <v>2</v>
      </c>
      <c r="H146">
        <v>2</v>
      </c>
      <c r="I146">
        <v>0</v>
      </c>
      <c r="J146" t="s">
        <v>3805</v>
      </c>
      <c r="K146">
        <v>0</v>
      </c>
      <c r="M146">
        <v>0</v>
      </c>
      <c r="O146">
        <v>0</v>
      </c>
      <c r="Q146">
        <v>0</v>
      </c>
      <c r="S146">
        <v>0</v>
      </c>
      <c r="T146">
        <v>2</v>
      </c>
      <c r="U146" s="79">
        <v>45905.577777777777</v>
      </c>
    </row>
    <row r="147" spans="1:21" x14ac:dyDescent="0.45">
      <c r="A147">
        <v>223</v>
      </c>
      <c r="B147">
        <v>2</v>
      </c>
      <c r="C147" t="s">
        <v>3806</v>
      </c>
      <c r="D147" t="s">
        <v>3806</v>
      </c>
      <c r="E147">
        <v>0</v>
      </c>
      <c r="F147">
        <v>0</v>
      </c>
      <c r="G147">
        <v>2</v>
      </c>
      <c r="H147">
        <v>2</v>
      </c>
      <c r="I147">
        <v>0</v>
      </c>
      <c r="J147" t="s">
        <v>3807</v>
      </c>
      <c r="K147">
        <v>0</v>
      </c>
      <c r="M147">
        <v>0</v>
      </c>
      <c r="O147">
        <v>0</v>
      </c>
      <c r="Q147">
        <v>0</v>
      </c>
      <c r="S147">
        <v>0</v>
      </c>
      <c r="T147">
        <v>2</v>
      </c>
      <c r="U147" s="79">
        <v>45905.577777777777</v>
      </c>
    </row>
    <row r="148" spans="1:21" x14ac:dyDescent="0.45">
      <c r="A148">
        <v>225</v>
      </c>
      <c r="B148">
        <v>2</v>
      </c>
      <c r="C148" t="s">
        <v>3680</v>
      </c>
      <c r="D148" t="s">
        <v>3680</v>
      </c>
      <c r="E148">
        <v>0</v>
      </c>
      <c r="F148">
        <v>0</v>
      </c>
      <c r="G148">
        <v>2</v>
      </c>
      <c r="H148">
        <v>2</v>
      </c>
      <c r="I148">
        <v>0</v>
      </c>
      <c r="J148" t="s">
        <v>3680</v>
      </c>
      <c r="K148">
        <v>0</v>
      </c>
      <c r="L148" t="s">
        <v>3681</v>
      </c>
      <c r="M148">
        <v>0</v>
      </c>
      <c r="O148">
        <v>0</v>
      </c>
      <c r="Q148">
        <v>0</v>
      </c>
      <c r="S148">
        <v>0</v>
      </c>
      <c r="T148">
        <v>2</v>
      </c>
      <c r="U148" s="79">
        <v>45905.577777777777</v>
      </c>
    </row>
    <row r="149" spans="1:21" x14ac:dyDescent="0.45">
      <c r="A149">
        <v>226</v>
      </c>
      <c r="B149">
        <v>2</v>
      </c>
      <c r="D149" t="s">
        <v>2306</v>
      </c>
      <c r="E149">
        <v>0</v>
      </c>
      <c r="F149">
        <v>0</v>
      </c>
      <c r="G149">
        <v>2</v>
      </c>
      <c r="H149">
        <v>2</v>
      </c>
      <c r="I149">
        <v>0</v>
      </c>
      <c r="J149" t="s">
        <v>3808</v>
      </c>
      <c r="K149">
        <v>0</v>
      </c>
      <c r="M149">
        <v>0</v>
      </c>
      <c r="O149">
        <v>0</v>
      </c>
      <c r="Q149">
        <v>0</v>
      </c>
      <c r="S149">
        <v>0</v>
      </c>
      <c r="T149">
        <v>2</v>
      </c>
      <c r="U149" s="79">
        <v>45905.577777777777</v>
      </c>
    </row>
    <row r="150" spans="1:21" x14ac:dyDescent="0.45">
      <c r="A150">
        <v>227</v>
      </c>
      <c r="B150">
        <v>2</v>
      </c>
      <c r="C150" t="s">
        <v>3809</v>
      </c>
      <c r="D150" t="s">
        <v>3809</v>
      </c>
      <c r="E150">
        <v>0</v>
      </c>
      <c r="F150">
        <v>0</v>
      </c>
      <c r="G150">
        <v>2</v>
      </c>
      <c r="H150">
        <v>2</v>
      </c>
      <c r="I150">
        <v>0</v>
      </c>
      <c r="J150" t="s">
        <v>3809</v>
      </c>
      <c r="K150">
        <v>0</v>
      </c>
      <c r="M150">
        <v>0</v>
      </c>
      <c r="O150">
        <v>0</v>
      </c>
      <c r="Q150">
        <v>0</v>
      </c>
      <c r="S150">
        <v>0</v>
      </c>
      <c r="T150">
        <v>2</v>
      </c>
      <c r="U150" s="79">
        <v>45905.577777777777</v>
      </c>
    </row>
    <row r="151" spans="1:21" x14ac:dyDescent="0.45">
      <c r="A151">
        <v>230</v>
      </c>
      <c r="B151">
        <v>1</v>
      </c>
      <c r="C151" t="s">
        <v>3810</v>
      </c>
      <c r="D151" t="s">
        <v>3810</v>
      </c>
      <c r="E151">
        <v>0</v>
      </c>
      <c r="F151">
        <v>0</v>
      </c>
      <c r="G151">
        <v>3</v>
      </c>
      <c r="H151">
        <v>2</v>
      </c>
      <c r="I151">
        <v>0</v>
      </c>
      <c r="J151" t="s">
        <v>3811</v>
      </c>
      <c r="K151">
        <v>0</v>
      </c>
      <c r="M151">
        <v>0</v>
      </c>
      <c r="O151">
        <v>0</v>
      </c>
      <c r="Q151">
        <v>0</v>
      </c>
      <c r="S151">
        <v>0</v>
      </c>
      <c r="T151">
        <v>2</v>
      </c>
      <c r="U151" s="79">
        <v>45905.578472222223</v>
      </c>
    </row>
    <row r="152" spans="1:21" x14ac:dyDescent="0.45">
      <c r="A152">
        <v>231</v>
      </c>
      <c r="B152">
        <v>1</v>
      </c>
      <c r="C152" t="s">
        <v>3812</v>
      </c>
      <c r="D152" t="s">
        <v>3812</v>
      </c>
      <c r="E152">
        <v>0</v>
      </c>
      <c r="F152">
        <v>0</v>
      </c>
      <c r="G152">
        <v>3</v>
      </c>
      <c r="H152">
        <v>2</v>
      </c>
      <c r="I152">
        <v>0</v>
      </c>
      <c r="J152" t="s">
        <v>3813</v>
      </c>
      <c r="K152">
        <v>0</v>
      </c>
      <c r="M152">
        <v>0</v>
      </c>
      <c r="O152">
        <v>0</v>
      </c>
      <c r="Q152">
        <v>0</v>
      </c>
      <c r="S152">
        <v>0</v>
      </c>
      <c r="T152">
        <v>2</v>
      </c>
      <c r="U152" s="79">
        <v>45905.578472222223</v>
      </c>
    </row>
    <row r="153" spans="1:21" x14ac:dyDescent="0.45">
      <c r="A153">
        <v>232</v>
      </c>
      <c r="B153">
        <v>1</v>
      </c>
      <c r="C153" t="s">
        <v>3814</v>
      </c>
      <c r="D153" t="s">
        <v>3814</v>
      </c>
      <c r="E153">
        <v>0</v>
      </c>
      <c r="F153">
        <v>0</v>
      </c>
      <c r="G153">
        <v>3</v>
      </c>
      <c r="H153">
        <v>2</v>
      </c>
      <c r="I153">
        <v>0</v>
      </c>
      <c r="J153" t="s">
        <v>3815</v>
      </c>
      <c r="K153">
        <v>0</v>
      </c>
      <c r="M153">
        <v>0</v>
      </c>
      <c r="O153">
        <v>0</v>
      </c>
      <c r="Q153">
        <v>0</v>
      </c>
      <c r="S153">
        <v>0</v>
      </c>
      <c r="T153">
        <v>2</v>
      </c>
      <c r="U153" s="79">
        <v>45905.578472222223</v>
      </c>
    </row>
    <row r="154" spans="1:21" x14ac:dyDescent="0.45">
      <c r="A154">
        <v>233</v>
      </c>
      <c r="B154">
        <v>1</v>
      </c>
      <c r="C154" t="s">
        <v>3816</v>
      </c>
      <c r="D154" t="s">
        <v>3816</v>
      </c>
      <c r="E154">
        <v>0</v>
      </c>
      <c r="F154">
        <v>0</v>
      </c>
      <c r="G154">
        <v>3</v>
      </c>
      <c r="H154">
        <v>2</v>
      </c>
      <c r="I154">
        <v>0</v>
      </c>
      <c r="J154" t="s">
        <v>3817</v>
      </c>
      <c r="K154">
        <v>0</v>
      </c>
      <c r="M154">
        <v>0</v>
      </c>
      <c r="O154">
        <v>0</v>
      </c>
      <c r="Q154">
        <v>0</v>
      </c>
      <c r="S154">
        <v>0</v>
      </c>
      <c r="T154">
        <v>2</v>
      </c>
      <c r="U154" s="79">
        <v>45905.578472222223</v>
      </c>
    </row>
    <row r="155" spans="1:21" x14ac:dyDescent="0.45">
      <c r="A155">
        <v>234</v>
      </c>
      <c r="B155">
        <v>1</v>
      </c>
      <c r="C155" t="s">
        <v>3818</v>
      </c>
      <c r="D155" t="s">
        <v>3818</v>
      </c>
      <c r="E155">
        <v>0</v>
      </c>
      <c r="F155">
        <v>0</v>
      </c>
      <c r="G155">
        <v>3</v>
      </c>
      <c r="H155">
        <v>2</v>
      </c>
      <c r="I155">
        <v>0</v>
      </c>
      <c r="J155" t="s">
        <v>3819</v>
      </c>
      <c r="K155">
        <v>0</v>
      </c>
      <c r="M155">
        <v>0</v>
      </c>
      <c r="O155">
        <v>0</v>
      </c>
      <c r="Q155">
        <v>0</v>
      </c>
      <c r="S155">
        <v>0</v>
      </c>
      <c r="T155">
        <v>2</v>
      </c>
      <c r="U155" s="79">
        <v>45905.578472222223</v>
      </c>
    </row>
    <row r="156" spans="1:21" x14ac:dyDescent="0.45">
      <c r="A156">
        <v>235</v>
      </c>
      <c r="B156">
        <v>1</v>
      </c>
      <c r="C156" t="s">
        <v>3820</v>
      </c>
      <c r="D156" t="s">
        <v>3820</v>
      </c>
      <c r="E156">
        <v>0</v>
      </c>
      <c r="F156">
        <v>0</v>
      </c>
      <c r="G156">
        <v>3</v>
      </c>
      <c r="H156">
        <v>2</v>
      </c>
      <c r="I156">
        <v>0</v>
      </c>
      <c r="J156" t="s">
        <v>3821</v>
      </c>
      <c r="K156">
        <v>0</v>
      </c>
      <c r="M156">
        <v>0</v>
      </c>
      <c r="O156">
        <v>0</v>
      </c>
      <c r="Q156">
        <v>0</v>
      </c>
      <c r="S156">
        <v>0</v>
      </c>
      <c r="T156">
        <v>2</v>
      </c>
      <c r="U156" s="79">
        <v>45905.578472222223</v>
      </c>
    </row>
    <row r="157" spans="1:21" x14ac:dyDescent="0.45">
      <c r="A157">
        <v>236</v>
      </c>
      <c r="B157">
        <v>1</v>
      </c>
      <c r="C157" t="s">
        <v>3822</v>
      </c>
      <c r="D157" t="s">
        <v>3822</v>
      </c>
      <c r="E157">
        <v>0</v>
      </c>
      <c r="F157">
        <v>237</v>
      </c>
      <c r="G157">
        <v>1</v>
      </c>
      <c r="H157">
        <v>2</v>
      </c>
      <c r="I157">
        <v>0</v>
      </c>
      <c r="J157" t="s">
        <v>3823</v>
      </c>
      <c r="K157">
        <v>0</v>
      </c>
      <c r="L157" t="s">
        <v>3824</v>
      </c>
      <c r="M157">
        <v>0</v>
      </c>
      <c r="N157" t="s">
        <v>3636</v>
      </c>
      <c r="O157">
        <v>0</v>
      </c>
      <c r="Q157">
        <v>0</v>
      </c>
      <c r="S157">
        <v>0</v>
      </c>
      <c r="T157">
        <v>2</v>
      </c>
      <c r="U157" s="79">
        <v>45905.578472222223</v>
      </c>
    </row>
    <row r="158" spans="1:21" x14ac:dyDescent="0.45">
      <c r="A158">
        <v>237</v>
      </c>
      <c r="B158">
        <v>1</v>
      </c>
      <c r="C158" t="s">
        <v>3822</v>
      </c>
      <c r="D158" t="s">
        <v>3822</v>
      </c>
      <c r="E158">
        <v>0</v>
      </c>
      <c r="F158">
        <v>237</v>
      </c>
      <c r="G158">
        <v>1</v>
      </c>
      <c r="H158">
        <v>2</v>
      </c>
      <c r="I158">
        <v>0</v>
      </c>
      <c r="J158" t="s">
        <v>3823</v>
      </c>
      <c r="K158">
        <v>0</v>
      </c>
      <c r="L158" t="s">
        <v>3824</v>
      </c>
      <c r="M158">
        <v>0</v>
      </c>
      <c r="N158" t="s">
        <v>3636</v>
      </c>
      <c r="O158">
        <v>0</v>
      </c>
      <c r="Q158">
        <v>0</v>
      </c>
      <c r="S158">
        <v>0</v>
      </c>
      <c r="T158">
        <v>2</v>
      </c>
      <c r="U158" s="79">
        <v>45905.578472222223</v>
      </c>
    </row>
    <row r="159" spans="1:21" x14ac:dyDescent="0.45">
      <c r="A159">
        <v>238</v>
      </c>
      <c r="B159">
        <v>2</v>
      </c>
      <c r="C159" t="s">
        <v>3825</v>
      </c>
      <c r="D159" t="s">
        <v>3825</v>
      </c>
      <c r="E159">
        <v>0</v>
      </c>
      <c r="F159">
        <v>239</v>
      </c>
      <c r="G159">
        <v>2</v>
      </c>
      <c r="H159">
        <v>0</v>
      </c>
      <c r="I159">
        <v>0</v>
      </c>
      <c r="J159" t="s">
        <v>3825</v>
      </c>
      <c r="K159">
        <v>0</v>
      </c>
      <c r="L159" t="s">
        <v>3681</v>
      </c>
      <c r="M159">
        <v>0</v>
      </c>
      <c r="O159">
        <v>0</v>
      </c>
      <c r="Q159">
        <v>0</v>
      </c>
      <c r="S159">
        <v>0</v>
      </c>
      <c r="T159">
        <v>2</v>
      </c>
      <c r="U159" s="79">
        <v>45905.578472222223</v>
      </c>
    </row>
    <row r="160" spans="1:21" x14ac:dyDescent="0.45">
      <c r="A160">
        <v>240</v>
      </c>
      <c r="B160">
        <v>2</v>
      </c>
      <c r="C160" t="s">
        <v>3826</v>
      </c>
      <c r="D160" t="s">
        <v>3826</v>
      </c>
      <c r="E160">
        <v>0</v>
      </c>
      <c r="F160">
        <v>241</v>
      </c>
      <c r="G160">
        <v>2</v>
      </c>
      <c r="H160">
        <v>2</v>
      </c>
      <c r="I160">
        <v>0</v>
      </c>
      <c r="J160" t="s">
        <v>3628</v>
      </c>
      <c r="K160">
        <v>1</v>
      </c>
      <c r="L160" t="s">
        <v>3827</v>
      </c>
      <c r="M160">
        <v>0</v>
      </c>
      <c r="N160" t="s">
        <v>3828</v>
      </c>
      <c r="O160">
        <v>0</v>
      </c>
      <c r="P160" t="s">
        <v>3829</v>
      </c>
      <c r="Q160">
        <v>0</v>
      </c>
      <c r="R160" t="s">
        <v>3681</v>
      </c>
      <c r="S160">
        <v>0</v>
      </c>
      <c r="T160">
        <v>7</v>
      </c>
      <c r="U160" s="79">
        <v>45824.580555555563</v>
      </c>
    </row>
    <row r="161" spans="1:21" x14ac:dyDescent="0.45">
      <c r="A161">
        <v>241</v>
      </c>
      <c r="B161">
        <v>2</v>
      </c>
      <c r="C161" t="s">
        <v>3830</v>
      </c>
      <c r="D161" t="s">
        <v>3830</v>
      </c>
      <c r="E161">
        <v>0</v>
      </c>
      <c r="F161">
        <v>0</v>
      </c>
      <c r="G161">
        <v>2</v>
      </c>
      <c r="H161">
        <v>2</v>
      </c>
      <c r="I161">
        <v>0</v>
      </c>
      <c r="J161" t="s">
        <v>3830</v>
      </c>
      <c r="K161">
        <v>0</v>
      </c>
      <c r="M161">
        <v>0</v>
      </c>
      <c r="O161">
        <v>0</v>
      </c>
      <c r="Q161">
        <v>0</v>
      </c>
      <c r="S161">
        <v>0</v>
      </c>
      <c r="T161">
        <v>2</v>
      </c>
      <c r="U161" s="79">
        <v>45905.57916666667</v>
      </c>
    </row>
    <row r="162" spans="1:21" x14ac:dyDescent="0.45">
      <c r="A162">
        <v>242</v>
      </c>
      <c r="B162">
        <v>2</v>
      </c>
      <c r="C162" t="s">
        <v>3831</v>
      </c>
      <c r="D162" t="s">
        <v>3831</v>
      </c>
      <c r="E162">
        <v>0</v>
      </c>
      <c r="F162">
        <v>0</v>
      </c>
      <c r="G162">
        <v>2</v>
      </c>
      <c r="H162">
        <v>2</v>
      </c>
      <c r="I162">
        <v>0</v>
      </c>
      <c r="J162" t="s">
        <v>3831</v>
      </c>
      <c r="K162">
        <v>0</v>
      </c>
      <c r="M162">
        <v>0</v>
      </c>
      <c r="O162">
        <v>0</v>
      </c>
      <c r="Q162">
        <v>0</v>
      </c>
      <c r="S162">
        <v>0</v>
      </c>
      <c r="T162">
        <v>2</v>
      </c>
      <c r="U162" s="79">
        <v>45905.57916666667</v>
      </c>
    </row>
    <row r="163" spans="1:21" x14ac:dyDescent="0.45">
      <c r="A163">
        <v>243</v>
      </c>
      <c r="B163">
        <v>2</v>
      </c>
      <c r="C163" t="s">
        <v>3832</v>
      </c>
      <c r="D163" t="s">
        <v>3832</v>
      </c>
      <c r="E163">
        <v>0</v>
      </c>
      <c r="F163">
        <v>0</v>
      </c>
      <c r="G163">
        <v>2</v>
      </c>
      <c r="H163">
        <v>2</v>
      </c>
      <c r="I163">
        <v>0</v>
      </c>
      <c r="J163" t="s">
        <v>3832</v>
      </c>
      <c r="K163">
        <v>0</v>
      </c>
      <c r="M163">
        <v>0</v>
      </c>
      <c r="O163">
        <v>0</v>
      </c>
      <c r="Q163">
        <v>0</v>
      </c>
      <c r="S163">
        <v>0</v>
      </c>
      <c r="T163">
        <v>2</v>
      </c>
      <c r="U163" s="79">
        <v>45905.57916666667</v>
      </c>
    </row>
    <row r="164" spans="1:21" x14ac:dyDescent="0.45">
      <c r="A164">
        <v>244</v>
      </c>
      <c r="B164">
        <v>2</v>
      </c>
      <c r="C164" t="s">
        <v>3833</v>
      </c>
      <c r="D164" t="s">
        <v>3833</v>
      </c>
      <c r="E164">
        <v>0</v>
      </c>
      <c r="F164">
        <v>0</v>
      </c>
      <c r="G164">
        <v>2</v>
      </c>
      <c r="H164">
        <v>2</v>
      </c>
      <c r="I164">
        <v>0</v>
      </c>
      <c r="J164" t="s">
        <v>3833</v>
      </c>
      <c r="K164">
        <v>0</v>
      </c>
      <c r="M164">
        <v>0</v>
      </c>
      <c r="O164">
        <v>0</v>
      </c>
      <c r="Q164">
        <v>0</v>
      </c>
      <c r="S164">
        <v>0</v>
      </c>
      <c r="T164">
        <v>2</v>
      </c>
      <c r="U164" s="79">
        <v>45905.57916666667</v>
      </c>
    </row>
    <row r="165" spans="1:21" x14ac:dyDescent="0.45">
      <c r="A165">
        <v>245</v>
      </c>
      <c r="B165">
        <v>2</v>
      </c>
      <c r="C165" t="s">
        <v>3834</v>
      </c>
      <c r="D165" t="s">
        <v>3834</v>
      </c>
      <c r="E165">
        <v>0</v>
      </c>
      <c r="F165">
        <v>0</v>
      </c>
      <c r="G165">
        <v>2</v>
      </c>
      <c r="H165">
        <v>2</v>
      </c>
      <c r="I165">
        <v>0</v>
      </c>
      <c r="J165" t="s">
        <v>3834</v>
      </c>
      <c r="K165">
        <v>0</v>
      </c>
      <c r="M165">
        <v>0</v>
      </c>
      <c r="O165">
        <v>0</v>
      </c>
      <c r="Q165">
        <v>0</v>
      </c>
      <c r="S165">
        <v>0</v>
      </c>
      <c r="T165">
        <v>2</v>
      </c>
      <c r="U165" s="79">
        <v>45905.57916666667</v>
      </c>
    </row>
    <row r="166" spans="1:21" x14ac:dyDescent="0.45">
      <c r="A166">
        <v>246</v>
      </c>
      <c r="B166">
        <v>2</v>
      </c>
      <c r="C166" t="s">
        <v>3835</v>
      </c>
      <c r="D166" t="s">
        <v>3835</v>
      </c>
      <c r="E166">
        <v>0</v>
      </c>
      <c r="F166">
        <v>0</v>
      </c>
      <c r="G166">
        <v>2</v>
      </c>
      <c r="H166">
        <v>2</v>
      </c>
      <c r="I166">
        <v>0</v>
      </c>
      <c r="J166" t="s">
        <v>3835</v>
      </c>
      <c r="K166">
        <v>0</v>
      </c>
      <c r="M166">
        <v>0</v>
      </c>
      <c r="O166">
        <v>0</v>
      </c>
      <c r="Q166">
        <v>0</v>
      </c>
      <c r="S166">
        <v>0</v>
      </c>
      <c r="T166">
        <v>2</v>
      </c>
      <c r="U166" s="79">
        <v>45905.57916666667</v>
      </c>
    </row>
    <row r="167" spans="1:21" x14ac:dyDescent="0.45">
      <c r="A167">
        <v>247</v>
      </c>
      <c r="B167">
        <v>2</v>
      </c>
      <c r="C167" t="s">
        <v>3836</v>
      </c>
      <c r="D167" t="s">
        <v>3836</v>
      </c>
      <c r="E167">
        <v>0</v>
      </c>
      <c r="F167">
        <v>0</v>
      </c>
      <c r="G167">
        <v>2</v>
      </c>
      <c r="H167">
        <v>2</v>
      </c>
      <c r="I167">
        <v>0</v>
      </c>
      <c r="J167" t="s">
        <v>3836</v>
      </c>
      <c r="K167">
        <v>0</v>
      </c>
      <c r="M167">
        <v>0</v>
      </c>
      <c r="O167">
        <v>0</v>
      </c>
      <c r="Q167">
        <v>0</v>
      </c>
      <c r="S167">
        <v>0</v>
      </c>
      <c r="T167">
        <v>2</v>
      </c>
      <c r="U167" s="79">
        <v>45905.57916666667</v>
      </c>
    </row>
    <row r="168" spans="1:21" x14ac:dyDescent="0.45">
      <c r="A168">
        <v>248</v>
      </c>
      <c r="B168">
        <v>2</v>
      </c>
      <c r="C168" t="s">
        <v>3837</v>
      </c>
      <c r="D168" t="s">
        <v>3837</v>
      </c>
      <c r="E168">
        <v>0</v>
      </c>
      <c r="F168">
        <v>0</v>
      </c>
      <c r="G168">
        <v>2</v>
      </c>
      <c r="H168">
        <v>2</v>
      </c>
      <c r="I168">
        <v>0</v>
      </c>
      <c r="J168" t="s">
        <v>3837</v>
      </c>
      <c r="K168">
        <v>0</v>
      </c>
      <c r="M168">
        <v>0</v>
      </c>
      <c r="O168">
        <v>0</v>
      </c>
      <c r="Q168">
        <v>0</v>
      </c>
      <c r="S168">
        <v>0</v>
      </c>
      <c r="T168">
        <v>2</v>
      </c>
      <c r="U168" s="79">
        <v>45905.57916666667</v>
      </c>
    </row>
    <row r="169" spans="1:21" x14ac:dyDescent="0.45">
      <c r="A169">
        <v>250</v>
      </c>
      <c r="B169">
        <v>2</v>
      </c>
      <c r="C169" t="s">
        <v>3838</v>
      </c>
      <c r="D169" t="s">
        <v>3838</v>
      </c>
      <c r="E169">
        <v>0</v>
      </c>
      <c r="F169">
        <v>0</v>
      </c>
      <c r="G169">
        <v>2</v>
      </c>
      <c r="H169">
        <v>2</v>
      </c>
      <c r="I169">
        <v>0</v>
      </c>
      <c r="J169" t="s">
        <v>3628</v>
      </c>
      <c r="K169">
        <v>1</v>
      </c>
      <c r="L169" t="s">
        <v>3680</v>
      </c>
      <c r="M169">
        <v>0</v>
      </c>
      <c r="N169" t="s">
        <v>3839</v>
      </c>
      <c r="O169">
        <v>0</v>
      </c>
      <c r="P169" t="s">
        <v>3840</v>
      </c>
      <c r="Q169">
        <v>0</v>
      </c>
      <c r="R169" t="s">
        <v>3841</v>
      </c>
      <c r="S169">
        <v>0</v>
      </c>
      <c r="T169">
        <v>2</v>
      </c>
      <c r="U169" s="79">
        <v>44280.711805555547</v>
      </c>
    </row>
    <row r="170" spans="1:21" x14ac:dyDescent="0.45">
      <c r="A170">
        <v>251</v>
      </c>
      <c r="B170">
        <v>2</v>
      </c>
      <c r="C170" t="s">
        <v>3842</v>
      </c>
      <c r="D170" t="s">
        <v>3842</v>
      </c>
      <c r="E170">
        <v>0</v>
      </c>
      <c r="F170">
        <v>0</v>
      </c>
      <c r="G170">
        <v>2</v>
      </c>
      <c r="H170">
        <v>2</v>
      </c>
      <c r="I170">
        <v>0</v>
      </c>
      <c r="J170" t="s">
        <v>3842</v>
      </c>
      <c r="K170">
        <v>0</v>
      </c>
      <c r="M170">
        <v>0</v>
      </c>
      <c r="O170">
        <v>0</v>
      </c>
      <c r="Q170">
        <v>0</v>
      </c>
      <c r="S170">
        <v>0</v>
      </c>
      <c r="T170">
        <v>2</v>
      </c>
      <c r="U170" s="79">
        <v>45905.579861111109</v>
      </c>
    </row>
    <row r="171" spans="1:21" x14ac:dyDescent="0.45">
      <c r="A171">
        <v>252</v>
      </c>
      <c r="B171">
        <v>2</v>
      </c>
      <c r="C171" t="s">
        <v>3843</v>
      </c>
      <c r="D171" t="s">
        <v>3843</v>
      </c>
      <c r="E171">
        <v>0</v>
      </c>
      <c r="F171">
        <v>0</v>
      </c>
      <c r="G171">
        <v>2</v>
      </c>
      <c r="H171">
        <v>2</v>
      </c>
      <c r="I171">
        <v>0</v>
      </c>
      <c r="J171" t="s">
        <v>3843</v>
      </c>
      <c r="K171">
        <v>0</v>
      </c>
      <c r="M171">
        <v>0</v>
      </c>
      <c r="O171">
        <v>0</v>
      </c>
      <c r="Q171">
        <v>0</v>
      </c>
      <c r="S171">
        <v>0</v>
      </c>
      <c r="T171">
        <v>2</v>
      </c>
      <c r="U171" s="79">
        <v>45905.579861111109</v>
      </c>
    </row>
    <row r="172" spans="1:21" x14ac:dyDescent="0.45">
      <c r="A172">
        <v>253</v>
      </c>
      <c r="B172">
        <v>2</v>
      </c>
      <c r="C172" t="s">
        <v>3844</v>
      </c>
      <c r="D172" t="s">
        <v>3844</v>
      </c>
      <c r="E172">
        <v>0</v>
      </c>
      <c r="F172">
        <v>0</v>
      </c>
      <c r="G172">
        <v>2</v>
      </c>
      <c r="H172">
        <v>2</v>
      </c>
      <c r="I172">
        <v>0</v>
      </c>
      <c r="J172" t="s">
        <v>3844</v>
      </c>
      <c r="K172">
        <v>0</v>
      </c>
      <c r="M172">
        <v>0</v>
      </c>
      <c r="O172">
        <v>0</v>
      </c>
      <c r="Q172">
        <v>0</v>
      </c>
      <c r="S172">
        <v>0</v>
      </c>
      <c r="T172">
        <v>2</v>
      </c>
      <c r="U172" s="79">
        <v>45905.579861111109</v>
      </c>
    </row>
    <row r="173" spans="1:21" x14ac:dyDescent="0.45">
      <c r="A173">
        <v>254</v>
      </c>
      <c r="B173">
        <v>2</v>
      </c>
      <c r="C173" t="s">
        <v>3845</v>
      </c>
      <c r="D173" t="s">
        <v>3845</v>
      </c>
      <c r="E173">
        <v>0</v>
      </c>
      <c r="F173">
        <v>0</v>
      </c>
      <c r="G173">
        <v>2</v>
      </c>
      <c r="H173">
        <v>2</v>
      </c>
      <c r="I173">
        <v>0</v>
      </c>
      <c r="J173" t="s">
        <v>3845</v>
      </c>
      <c r="K173">
        <v>0</v>
      </c>
      <c r="M173">
        <v>0</v>
      </c>
      <c r="O173">
        <v>0</v>
      </c>
      <c r="Q173">
        <v>0</v>
      </c>
      <c r="S173">
        <v>0</v>
      </c>
      <c r="T173">
        <v>2</v>
      </c>
      <c r="U173" s="79">
        <v>45905.579861111109</v>
      </c>
    </row>
    <row r="174" spans="1:21" x14ac:dyDescent="0.45">
      <c r="A174">
        <v>255</v>
      </c>
      <c r="B174">
        <v>2</v>
      </c>
      <c r="C174" t="s">
        <v>3846</v>
      </c>
      <c r="D174" t="s">
        <v>3846</v>
      </c>
      <c r="E174">
        <v>0</v>
      </c>
      <c r="F174">
        <v>0</v>
      </c>
      <c r="G174">
        <v>2</v>
      </c>
      <c r="H174">
        <v>2</v>
      </c>
      <c r="I174">
        <v>0</v>
      </c>
      <c r="J174" t="s">
        <v>3847</v>
      </c>
      <c r="K174">
        <v>0</v>
      </c>
      <c r="M174">
        <v>0</v>
      </c>
      <c r="O174">
        <v>0</v>
      </c>
      <c r="Q174">
        <v>0</v>
      </c>
      <c r="S174">
        <v>0</v>
      </c>
      <c r="T174">
        <v>2</v>
      </c>
      <c r="U174" s="79">
        <v>45905.579861111109</v>
      </c>
    </row>
    <row r="175" spans="1:21" x14ac:dyDescent="0.45">
      <c r="A175">
        <v>256</v>
      </c>
      <c r="B175">
        <v>2</v>
      </c>
      <c r="C175" t="s">
        <v>3848</v>
      </c>
      <c r="D175" t="s">
        <v>3848</v>
      </c>
      <c r="E175">
        <v>0</v>
      </c>
      <c r="F175">
        <v>0</v>
      </c>
      <c r="G175">
        <v>2</v>
      </c>
      <c r="H175">
        <v>2</v>
      </c>
      <c r="I175">
        <v>0</v>
      </c>
      <c r="J175" t="s">
        <v>3848</v>
      </c>
      <c r="K175">
        <v>0</v>
      </c>
      <c r="M175">
        <v>0</v>
      </c>
      <c r="O175">
        <v>0</v>
      </c>
      <c r="Q175">
        <v>0</v>
      </c>
      <c r="S175">
        <v>0</v>
      </c>
      <c r="T175">
        <v>2</v>
      </c>
      <c r="U175" s="79">
        <v>45905.579861111109</v>
      </c>
    </row>
    <row r="176" spans="1:21" x14ac:dyDescent="0.45">
      <c r="A176">
        <v>257</v>
      </c>
      <c r="B176">
        <v>2</v>
      </c>
      <c r="C176" t="s">
        <v>3849</v>
      </c>
      <c r="D176" t="s">
        <v>3849</v>
      </c>
      <c r="E176">
        <v>0</v>
      </c>
      <c r="F176">
        <v>0</v>
      </c>
      <c r="G176">
        <v>2</v>
      </c>
      <c r="H176">
        <v>2</v>
      </c>
      <c r="I176">
        <v>0</v>
      </c>
      <c r="J176" t="s">
        <v>3849</v>
      </c>
      <c r="K176">
        <v>0</v>
      </c>
      <c r="M176">
        <v>0</v>
      </c>
      <c r="O176">
        <v>0</v>
      </c>
      <c r="Q176">
        <v>0</v>
      </c>
      <c r="S176">
        <v>0</v>
      </c>
      <c r="T176">
        <v>2</v>
      </c>
      <c r="U176" s="79">
        <v>45905.579861111109</v>
      </c>
    </row>
    <row r="177" spans="1:21" x14ac:dyDescent="0.45">
      <c r="A177">
        <v>258</v>
      </c>
      <c r="B177">
        <v>2</v>
      </c>
      <c r="C177" t="s">
        <v>3777</v>
      </c>
      <c r="D177" t="s">
        <v>3777</v>
      </c>
      <c r="E177">
        <v>0</v>
      </c>
      <c r="F177">
        <v>0</v>
      </c>
      <c r="G177">
        <v>2</v>
      </c>
      <c r="H177">
        <v>2</v>
      </c>
      <c r="I177">
        <v>0</v>
      </c>
      <c r="J177" t="s">
        <v>3777</v>
      </c>
      <c r="K177">
        <v>0</v>
      </c>
      <c r="M177">
        <v>0</v>
      </c>
      <c r="O177">
        <v>0</v>
      </c>
      <c r="Q177">
        <v>0</v>
      </c>
      <c r="S177">
        <v>0</v>
      </c>
      <c r="T177">
        <v>2</v>
      </c>
      <c r="U177" s="79">
        <v>45905.579861111109</v>
      </c>
    </row>
    <row r="178" spans="1:21" x14ac:dyDescent="0.45">
      <c r="A178">
        <v>259</v>
      </c>
      <c r="B178">
        <v>2</v>
      </c>
      <c r="C178" t="s">
        <v>3778</v>
      </c>
      <c r="D178" t="s">
        <v>3778</v>
      </c>
      <c r="E178">
        <v>0</v>
      </c>
      <c r="F178">
        <v>0</v>
      </c>
      <c r="G178">
        <v>2</v>
      </c>
      <c r="H178">
        <v>2</v>
      </c>
      <c r="I178">
        <v>0</v>
      </c>
      <c r="J178" t="s">
        <v>3778</v>
      </c>
      <c r="K178">
        <v>0</v>
      </c>
      <c r="M178">
        <v>0</v>
      </c>
      <c r="O178">
        <v>0</v>
      </c>
      <c r="Q178">
        <v>0</v>
      </c>
      <c r="S178">
        <v>0</v>
      </c>
      <c r="T178">
        <v>2</v>
      </c>
      <c r="U178" s="79">
        <v>45905.579861111109</v>
      </c>
    </row>
    <row r="179" spans="1:21" x14ac:dyDescent="0.45">
      <c r="A179">
        <v>260</v>
      </c>
      <c r="B179">
        <v>2</v>
      </c>
      <c r="C179" t="s">
        <v>3840</v>
      </c>
      <c r="D179" t="s">
        <v>3840</v>
      </c>
      <c r="E179">
        <v>0</v>
      </c>
      <c r="F179">
        <v>0</v>
      </c>
      <c r="G179">
        <v>2</v>
      </c>
      <c r="H179">
        <v>2</v>
      </c>
      <c r="I179">
        <v>0</v>
      </c>
      <c r="J179" t="s">
        <v>3840</v>
      </c>
      <c r="K179">
        <v>0</v>
      </c>
      <c r="M179">
        <v>0</v>
      </c>
      <c r="O179">
        <v>0</v>
      </c>
      <c r="Q179">
        <v>0</v>
      </c>
      <c r="S179">
        <v>0</v>
      </c>
      <c r="T179">
        <v>2</v>
      </c>
      <c r="U179" s="79">
        <v>45905.580555555563</v>
      </c>
    </row>
    <row r="180" spans="1:21" x14ac:dyDescent="0.45">
      <c r="A180">
        <v>261</v>
      </c>
      <c r="B180">
        <v>2</v>
      </c>
      <c r="C180" t="s">
        <v>3841</v>
      </c>
      <c r="D180" t="s">
        <v>3841</v>
      </c>
      <c r="E180">
        <v>0</v>
      </c>
      <c r="F180">
        <v>0</v>
      </c>
      <c r="G180">
        <v>2</v>
      </c>
      <c r="H180">
        <v>2</v>
      </c>
      <c r="I180">
        <v>0</v>
      </c>
      <c r="J180" t="s">
        <v>3841</v>
      </c>
      <c r="K180">
        <v>0</v>
      </c>
      <c r="M180">
        <v>0</v>
      </c>
      <c r="O180">
        <v>0</v>
      </c>
      <c r="Q180">
        <v>0</v>
      </c>
      <c r="S180">
        <v>0</v>
      </c>
      <c r="T180">
        <v>2</v>
      </c>
      <c r="U180" s="79">
        <v>45905.580555555563</v>
      </c>
    </row>
    <row r="181" spans="1:21" x14ac:dyDescent="0.45">
      <c r="A181">
        <v>262</v>
      </c>
      <c r="B181">
        <v>2</v>
      </c>
      <c r="C181" t="s">
        <v>3850</v>
      </c>
      <c r="D181" t="s">
        <v>3850</v>
      </c>
      <c r="E181">
        <v>0</v>
      </c>
      <c r="F181">
        <v>0</v>
      </c>
      <c r="G181">
        <v>2</v>
      </c>
      <c r="H181">
        <v>2</v>
      </c>
      <c r="I181">
        <v>0</v>
      </c>
      <c r="J181" t="s">
        <v>3680</v>
      </c>
      <c r="K181">
        <v>0</v>
      </c>
      <c r="M181">
        <v>0</v>
      </c>
      <c r="O181">
        <v>0</v>
      </c>
      <c r="Q181">
        <v>0</v>
      </c>
      <c r="S181">
        <v>0</v>
      </c>
      <c r="T181">
        <v>2</v>
      </c>
      <c r="U181" s="79">
        <v>45905.580555555563</v>
      </c>
    </row>
    <row r="182" spans="1:21" x14ac:dyDescent="0.45">
      <c r="A182">
        <v>301</v>
      </c>
      <c r="B182">
        <v>2</v>
      </c>
      <c r="C182" t="s">
        <v>3851</v>
      </c>
      <c r="D182" t="s">
        <v>3851</v>
      </c>
      <c r="E182">
        <v>0</v>
      </c>
      <c r="F182">
        <v>0</v>
      </c>
      <c r="G182">
        <v>2</v>
      </c>
      <c r="H182">
        <v>2</v>
      </c>
      <c r="I182">
        <v>0</v>
      </c>
      <c r="K182">
        <v>0</v>
      </c>
      <c r="M182">
        <v>0</v>
      </c>
      <c r="O182">
        <v>0</v>
      </c>
      <c r="Q182">
        <v>0</v>
      </c>
      <c r="S182">
        <v>0</v>
      </c>
      <c r="T182">
        <v>2</v>
      </c>
      <c r="U182" s="79">
        <v>45905.580555555563</v>
      </c>
    </row>
    <row r="183" spans="1:21" x14ac:dyDescent="0.45">
      <c r="A183">
        <v>302</v>
      </c>
      <c r="B183">
        <v>2</v>
      </c>
      <c r="C183" t="s">
        <v>3852</v>
      </c>
      <c r="D183" t="s">
        <v>3852</v>
      </c>
      <c r="E183">
        <v>0</v>
      </c>
      <c r="F183">
        <v>0</v>
      </c>
      <c r="G183">
        <v>2</v>
      </c>
      <c r="H183">
        <v>2</v>
      </c>
      <c r="I183">
        <v>0</v>
      </c>
      <c r="K183">
        <v>0</v>
      </c>
      <c r="M183">
        <v>0</v>
      </c>
      <c r="O183">
        <v>0</v>
      </c>
      <c r="Q183">
        <v>0</v>
      </c>
      <c r="S183">
        <v>0</v>
      </c>
      <c r="T183">
        <v>2</v>
      </c>
      <c r="U183" s="79">
        <v>45905.580555555563</v>
      </c>
    </row>
    <row r="184" spans="1:21" x14ac:dyDescent="0.45">
      <c r="A184">
        <v>303</v>
      </c>
      <c r="B184">
        <v>2</v>
      </c>
      <c r="C184" t="s">
        <v>3853</v>
      </c>
      <c r="D184" t="s">
        <v>3853</v>
      </c>
      <c r="E184">
        <v>0</v>
      </c>
      <c r="F184">
        <v>0</v>
      </c>
      <c r="G184">
        <v>2</v>
      </c>
      <c r="H184">
        <v>2</v>
      </c>
      <c r="I184">
        <v>0</v>
      </c>
      <c r="K184">
        <v>0</v>
      </c>
      <c r="M184">
        <v>0</v>
      </c>
      <c r="O184">
        <v>0</v>
      </c>
      <c r="Q184">
        <v>0</v>
      </c>
      <c r="S184">
        <v>0</v>
      </c>
      <c r="T184">
        <v>2</v>
      </c>
      <c r="U184" s="79">
        <v>45905.580555555563</v>
      </c>
    </row>
    <row r="185" spans="1:21" x14ac:dyDescent="0.45">
      <c r="A185">
        <v>304</v>
      </c>
      <c r="B185">
        <v>2</v>
      </c>
      <c r="C185" t="s">
        <v>3854</v>
      </c>
      <c r="D185" t="s">
        <v>3854</v>
      </c>
      <c r="E185">
        <v>0</v>
      </c>
      <c r="F185">
        <v>0</v>
      </c>
      <c r="G185">
        <v>2</v>
      </c>
      <c r="H185">
        <v>2</v>
      </c>
      <c r="I185">
        <v>0</v>
      </c>
      <c r="K185">
        <v>0</v>
      </c>
      <c r="M185">
        <v>0</v>
      </c>
      <c r="O185">
        <v>0</v>
      </c>
      <c r="Q185">
        <v>0</v>
      </c>
      <c r="S185">
        <v>0</v>
      </c>
      <c r="T185">
        <v>2</v>
      </c>
      <c r="U185" s="79">
        <v>45905.580555555563</v>
      </c>
    </row>
    <row r="186" spans="1:21" x14ac:dyDescent="0.45">
      <c r="A186">
        <v>305</v>
      </c>
      <c r="B186">
        <v>2</v>
      </c>
      <c r="C186" t="s">
        <v>3855</v>
      </c>
      <c r="D186" t="s">
        <v>3855</v>
      </c>
      <c r="E186">
        <v>0</v>
      </c>
      <c r="F186">
        <v>0</v>
      </c>
      <c r="G186">
        <v>2</v>
      </c>
      <c r="H186">
        <v>2</v>
      </c>
      <c r="I186">
        <v>0</v>
      </c>
      <c r="K186">
        <v>0</v>
      </c>
      <c r="M186">
        <v>0</v>
      </c>
      <c r="O186">
        <v>0</v>
      </c>
      <c r="Q186">
        <v>0</v>
      </c>
      <c r="S186">
        <v>0</v>
      </c>
      <c r="T186">
        <v>2</v>
      </c>
      <c r="U186" s="79">
        <v>45905.580555555563</v>
      </c>
    </row>
    <row r="187" spans="1:21" x14ac:dyDescent="0.45">
      <c r="A187">
        <v>306</v>
      </c>
      <c r="B187">
        <v>2</v>
      </c>
      <c r="C187" t="s">
        <v>3856</v>
      </c>
      <c r="D187" t="s">
        <v>3856</v>
      </c>
      <c r="E187">
        <v>0</v>
      </c>
      <c r="F187">
        <v>0</v>
      </c>
      <c r="G187">
        <v>2</v>
      </c>
      <c r="H187">
        <v>2</v>
      </c>
      <c r="I187">
        <v>0</v>
      </c>
      <c r="K187">
        <v>0</v>
      </c>
      <c r="M187">
        <v>0</v>
      </c>
      <c r="O187">
        <v>0</v>
      </c>
      <c r="Q187">
        <v>0</v>
      </c>
      <c r="S187">
        <v>0</v>
      </c>
      <c r="T187">
        <v>2</v>
      </c>
      <c r="U187" s="79">
        <v>45905.580555555563</v>
      </c>
    </row>
    <row r="188" spans="1:21" x14ac:dyDescent="0.45">
      <c r="A188">
        <v>307</v>
      </c>
      <c r="B188">
        <v>2</v>
      </c>
      <c r="C188" t="s">
        <v>3809</v>
      </c>
      <c r="D188" t="s">
        <v>3809</v>
      </c>
      <c r="E188">
        <v>0</v>
      </c>
      <c r="F188">
        <v>0</v>
      </c>
      <c r="G188">
        <v>2</v>
      </c>
      <c r="H188">
        <v>2</v>
      </c>
      <c r="I188">
        <v>0</v>
      </c>
      <c r="K188">
        <v>0</v>
      </c>
      <c r="M188">
        <v>0</v>
      </c>
      <c r="O188">
        <v>0</v>
      </c>
      <c r="Q188">
        <v>0</v>
      </c>
      <c r="S188">
        <v>0</v>
      </c>
      <c r="T188">
        <v>2</v>
      </c>
      <c r="U188" s="79">
        <v>45905.580555555563</v>
      </c>
    </row>
    <row r="189" spans="1:21" x14ac:dyDescent="0.45">
      <c r="A189">
        <v>308</v>
      </c>
      <c r="B189">
        <v>2</v>
      </c>
      <c r="C189" t="s">
        <v>3678</v>
      </c>
      <c r="D189" t="s">
        <v>3678</v>
      </c>
      <c r="E189">
        <v>0</v>
      </c>
      <c r="F189">
        <v>0</v>
      </c>
      <c r="G189">
        <v>2</v>
      </c>
      <c r="H189">
        <v>2</v>
      </c>
      <c r="I189">
        <v>0</v>
      </c>
      <c r="K189">
        <v>0</v>
      </c>
      <c r="M189">
        <v>0</v>
      </c>
      <c r="O189">
        <v>0</v>
      </c>
      <c r="Q189">
        <v>0</v>
      </c>
      <c r="S189">
        <v>0</v>
      </c>
      <c r="T189">
        <v>2</v>
      </c>
      <c r="U189" s="79">
        <v>45905.581944444442</v>
      </c>
    </row>
    <row r="190" spans="1:21" x14ac:dyDescent="0.45">
      <c r="A190">
        <v>309</v>
      </c>
      <c r="B190">
        <v>2</v>
      </c>
      <c r="C190" t="s">
        <v>3857</v>
      </c>
      <c r="D190" t="s">
        <v>3857</v>
      </c>
      <c r="E190">
        <v>0</v>
      </c>
      <c r="F190">
        <v>0</v>
      </c>
      <c r="G190">
        <v>2</v>
      </c>
      <c r="H190">
        <v>2</v>
      </c>
      <c r="I190">
        <v>0</v>
      </c>
      <c r="K190">
        <v>0</v>
      </c>
      <c r="M190">
        <v>0</v>
      </c>
      <c r="O190">
        <v>0</v>
      </c>
      <c r="Q190">
        <v>0</v>
      </c>
      <c r="S190">
        <v>0</v>
      </c>
      <c r="T190">
        <v>2</v>
      </c>
      <c r="U190" s="79">
        <v>45905.581944444442</v>
      </c>
    </row>
    <row r="191" spans="1:21" x14ac:dyDescent="0.45">
      <c r="A191">
        <v>310</v>
      </c>
      <c r="B191">
        <v>2</v>
      </c>
      <c r="C191" t="s">
        <v>3858</v>
      </c>
      <c r="D191" t="s">
        <v>3858</v>
      </c>
      <c r="E191">
        <v>0</v>
      </c>
      <c r="F191">
        <v>0</v>
      </c>
      <c r="G191">
        <v>2</v>
      </c>
      <c r="H191">
        <v>2</v>
      </c>
      <c r="I191">
        <v>0</v>
      </c>
      <c r="K191">
        <v>0</v>
      </c>
      <c r="M191">
        <v>0</v>
      </c>
      <c r="O191">
        <v>0</v>
      </c>
      <c r="Q191">
        <v>0</v>
      </c>
      <c r="S191">
        <v>0</v>
      </c>
      <c r="T191">
        <v>2</v>
      </c>
      <c r="U191" s="79">
        <v>45905.581944444442</v>
      </c>
    </row>
    <row r="192" spans="1:21" x14ac:dyDescent="0.45">
      <c r="A192">
        <v>311</v>
      </c>
      <c r="B192">
        <v>2</v>
      </c>
      <c r="C192" t="s">
        <v>3859</v>
      </c>
      <c r="D192" t="s">
        <v>3859</v>
      </c>
      <c r="E192">
        <v>0</v>
      </c>
      <c r="F192">
        <v>0</v>
      </c>
      <c r="G192">
        <v>2</v>
      </c>
      <c r="H192">
        <v>2</v>
      </c>
      <c r="I192">
        <v>0</v>
      </c>
      <c r="K192">
        <v>0</v>
      </c>
      <c r="M192">
        <v>0</v>
      </c>
      <c r="O192">
        <v>0</v>
      </c>
      <c r="Q192">
        <v>0</v>
      </c>
      <c r="S192">
        <v>0</v>
      </c>
      <c r="T192">
        <v>2</v>
      </c>
      <c r="U192" s="79">
        <v>45905.582638888889</v>
      </c>
    </row>
    <row r="193" spans="1:21" x14ac:dyDescent="0.45">
      <c r="A193">
        <v>312</v>
      </c>
      <c r="B193">
        <v>2</v>
      </c>
      <c r="C193" t="s">
        <v>3860</v>
      </c>
      <c r="D193" t="s">
        <v>3860</v>
      </c>
      <c r="E193">
        <v>0</v>
      </c>
      <c r="F193">
        <v>0</v>
      </c>
      <c r="G193">
        <v>2</v>
      </c>
      <c r="H193">
        <v>2</v>
      </c>
      <c r="I193">
        <v>0</v>
      </c>
      <c r="K193">
        <v>0</v>
      </c>
      <c r="M193">
        <v>0</v>
      </c>
      <c r="O193">
        <v>0</v>
      </c>
      <c r="Q193">
        <v>0</v>
      </c>
      <c r="S193">
        <v>0</v>
      </c>
      <c r="T193">
        <v>2</v>
      </c>
      <c r="U193" s="79">
        <v>45905.582638888889</v>
      </c>
    </row>
    <row r="194" spans="1:21" x14ac:dyDescent="0.45">
      <c r="A194">
        <v>313</v>
      </c>
      <c r="B194">
        <v>2</v>
      </c>
      <c r="C194" t="s">
        <v>3861</v>
      </c>
      <c r="D194" t="s">
        <v>3861</v>
      </c>
      <c r="E194">
        <v>0</v>
      </c>
      <c r="F194">
        <v>0</v>
      </c>
      <c r="G194">
        <v>2</v>
      </c>
      <c r="H194">
        <v>2</v>
      </c>
      <c r="I194">
        <v>0</v>
      </c>
      <c r="K194">
        <v>0</v>
      </c>
      <c r="M194">
        <v>0</v>
      </c>
      <c r="O194">
        <v>0</v>
      </c>
      <c r="Q194">
        <v>0</v>
      </c>
      <c r="S194">
        <v>0</v>
      </c>
      <c r="T194">
        <v>2</v>
      </c>
      <c r="U194" s="79">
        <v>45905.582638888889</v>
      </c>
    </row>
    <row r="195" spans="1:21" x14ac:dyDescent="0.45">
      <c r="A195">
        <v>314</v>
      </c>
      <c r="B195">
        <v>2</v>
      </c>
      <c r="C195" t="s">
        <v>3862</v>
      </c>
      <c r="D195" t="s">
        <v>3862</v>
      </c>
      <c r="E195">
        <v>0</v>
      </c>
      <c r="F195">
        <v>0</v>
      </c>
      <c r="G195">
        <v>2</v>
      </c>
      <c r="H195">
        <v>2</v>
      </c>
      <c r="I195">
        <v>0</v>
      </c>
      <c r="K195">
        <v>0</v>
      </c>
      <c r="M195">
        <v>0</v>
      </c>
      <c r="O195">
        <v>0</v>
      </c>
      <c r="Q195">
        <v>0</v>
      </c>
      <c r="S195">
        <v>0</v>
      </c>
      <c r="T195">
        <v>2</v>
      </c>
      <c r="U195" s="79">
        <v>45905.584027777782</v>
      </c>
    </row>
    <row r="196" spans="1:21" x14ac:dyDescent="0.45">
      <c r="A196">
        <v>315</v>
      </c>
      <c r="B196">
        <v>2</v>
      </c>
      <c r="C196" t="s">
        <v>3863</v>
      </c>
      <c r="D196" t="s">
        <v>3863</v>
      </c>
      <c r="E196">
        <v>0</v>
      </c>
      <c r="F196">
        <v>0</v>
      </c>
      <c r="G196">
        <v>2</v>
      </c>
      <c r="H196">
        <v>2</v>
      </c>
      <c r="I196">
        <v>0</v>
      </c>
      <c r="K196">
        <v>0</v>
      </c>
      <c r="M196">
        <v>0</v>
      </c>
      <c r="O196">
        <v>0</v>
      </c>
      <c r="Q196">
        <v>0</v>
      </c>
      <c r="S196">
        <v>0</v>
      </c>
      <c r="T196">
        <v>2</v>
      </c>
      <c r="U196" s="79">
        <v>45905.584027777782</v>
      </c>
    </row>
    <row r="197" spans="1:21" x14ac:dyDescent="0.45">
      <c r="A197">
        <v>316</v>
      </c>
      <c r="B197">
        <v>2</v>
      </c>
      <c r="C197" t="s">
        <v>3864</v>
      </c>
      <c r="D197" t="s">
        <v>3864</v>
      </c>
      <c r="E197">
        <v>0</v>
      </c>
      <c r="F197">
        <v>0</v>
      </c>
      <c r="G197">
        <v>2</v>
      </c>
      <c r="H197">
        <v>2</v>
      </c>
      <c r="I197">
        <v>0</v>
      </c>
      <c r="K197">
        <v>0</v>
      </c>
      <c r="M197">
        <v>0</v>
      </c>
      <c r="O197">
        <v>0</v>
      </c>
      <c r="Q197">
        <v>0</v>
      </c>
      <c r="S197">
        <v>0</v>
      </c>
      <c r="T197">
        <v>2</v>
      </c>
      <c r="U197" s="79">
        <v>45905.584027777782</v>
      </c>
    </row>
    <row r="198" spans="1:21" x14ac:dyDescent="0.45">
      <c r="A198">
        <v>403</v>
      </c>
      <c r="B198">
        <v>1</v>
      </c>
      <c r="C198" t="s">
        <v>3865</v>
      </c>
      <c r="D198" t="s">
        <v>3865</v>
      </c>
      <c r="E198">
        <v>0</v>
      </c>
      <c r="F198">
        <v>0</v>
      </c>
      <c r="G198">
        <v>3</v>
      </c>
      <c r="H198">
        <v>0</v>
      </c>
      <c r="I198">
        <v>0</v>
      </c>
      <c r="K198">
        <v>0</v>
      </c>
      <c r="M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</v>
      </c>
      <c r="U198" s="79">
        <v>45905.56527777778</v>
      </c>
    </row>
    <row r="199" spans="1:21" x14ac:dyDescent="0.45">
      <c r="A199">
        <v>410</v>
      </c>
      <c r="B199">
        <v>1</v>
      </c>
      <c r="C199" t="s">
        <v>3866</v>
      </c>
      <c r="D199" t="s">
        <v>3867</v>
      </c>
      <c r="E199">
        <v>0</v>
      </c>
      <c r="F199">
        <v>411</v>
      </c>
      <c r="G199">
        <v>1</v>
      </c>
      <c r="H199">
        <v>1</v>
      </c>
      <c r="I199">
        <v>18</v>
      </c>
      <c r="J199" t="s">
        <v>3799</v>
      </c>
      <c r="K199">
        <v>0</v>
      </c>
      <c r="M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2</v>
      </c>
      <c r="U199" s="79">
        <v>45905.565972222219</v>
      </c>
    </row>
    <row r="200" spans="1:21" x14ac:dyDescent="0.45">
      <c r="A200">
        <v>411</v>
      </c>
      <c r="B200">
        <v>1</v>
      </c>
      <c r="C200" t="s">
        <v>3868</v>
      </c>
      <c r="D200" t="s">
        <v>3868</v>
      </c>
      <c r="E200">
        <v>0</v>
      </c>
      <c r="F200">
        <v>411</v>
      </c>
      <c r="G200">
        <v>1</v>
      </c>
      <c r="H200">
        <v>1</v>
      </c>
      <c r="I200">
        <v>18</v>
      </c>
      <c r="J200" t="s">
        <v>3799</v>
      </c>
      <c r="K200">
        <v>0</v>
      </c>
      <c r="M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2</v>
      </c>
      <c r="U200" s="79">
        <v>45905.565972222219</v>
      </c>
    </row>
    <row r="201" spans="1:21" x14ac:dyDescent="0.45">
      <c r="A201">
        <v>412</v>
      </c>
      <c r="B201">
        <v>0</v>
      </c>
      <c r="C201" t="s">
        <v>3869</v>
      </c>
      <c r="D201" t="s">
        <v>3869</v>
      </c>
      <c r="E201">
        <v>0</v>
      </c>
      <c r="F201">
        <v>0</v>
      </c>
      <c r="G201">
        <v>1</v>
      </c>
      <c r="H201">
        <v>0</v>
      </c>
      <c r="I201">
        <v>0</v>
      </c>
      <c r="K201">
        <v>0</v>
      </c>
      <c r="M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</v>
      </c>
      <c r="U201" s="79">
        <v>45905.565972222219</v>
      </c>
    </row>
    <row r="202" spans="1:21" x14ac:dyDescent="0.45">
      <c r="A202">
        <v>413</v>
      </c>
      <c r="B202">
        <v>0</v>
      </c>
      <c r="C202" t="s">
        <v>3870</v>
      </c>
      <c r="D202" t="s">
        <v>3870</v>
      </c>
      <c r="E202">
        <v>0</v>
      </c>
      <c r="F202">
        <v>0</v>
      </c>
      <c r="G202">
        <v>0</v>
      </c>
      <c r="H202">
        <v>0</v>
      </c>
      <c r="I202">
        <v>0</v>
      </c>
      <c r="K202">
        <v>0</v>
      </c>
      <c r="M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</v>
      </c>
      <c r="U202" s="79">
        <v>45905.565972222219</v>
      </c>
    </row>
    <row r="203" spans="1:21" x14ac:dyDescent="0.45">
      <c r="A203">
        <v>414</v>
      </c>
      <c r="B203">
        <v>2</v>
      </c>
      <c r="C203" t="s">
        <v>3805</v>
      </c>
      <c r="D203" t="s">
        <v>3805</v>
      </c>
      <c r="E203">
        <v>0</v>
      </c>
      <c r="F203">
        <v>0</v>
      </c>
      <c r="G203">
        <v>4</v>
      </c>
      <c r="H203">
        <v>0</v>
      </c>
      <c r="I203">
        <v>0</v>
      </c>
      <c r="K203">
        <v>0</v>
      </c>
      <c r="M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</v>
      </c>
      <c r="U203" s="79">
        <v>45905.565972222219</v>
      </c>
    </row>
    <row r="204" spans="1:21" x14ac:dyDescent="0.45">
      <c r="A204">
        <v>415</v>
      </c>
      <c r="B204">
        <v>0</v>
      </c>
      <c r="C204" t="s">
        <v>3871</v>
      </c>
      <c r="D204" t="s">
        <v>3871</v>
      </c>
      <c r="E204">
        <v>0</v>
      </c>
      <c r="F204">
        <v>0</v>
      </c>
      <c r="G204">
        <v>0</v>
      </c>
      <c r="H204">
        <v>0</v>
      </c>
      <c r="I204">
        <v>0</v>
      </c>
      <c r="K204">
        <v>0</v>
      </c>
      <c r="M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</v>
      </c>
      <c r="U204" s="79">
        <v>45905.565972222219</v>
      </c>
    </row>
    <row r="205" spans="1:21" x14ac:dyDescent="0.45">
      <c r="A205">
        <v>416</v>
      </c>
      <c r="B205">
        <v>0</v>
      </c>
      <c r="C205" t="s">
        <v>3872</v>
      </c>
      <c r="D205" t="s">
        <v>3872</v>
      </c>
      <c r="E205">
        <v>0</v>
      </c>
      <c r="F205">
        <v>0</v>
      </c>
      <c r="G205">
        <v>0</v>
      </c>
      <c r="H205">
        <v>0</v>
      </c>
      <c r="I205">
        <v>0</v>
      </c>
      <c r="K205">
        <v>0</v>
      </c>
      <c r="M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</v>
      </c>
      <c r="U205" s="79">
        <v>45905.565972222219</v>
      </c>
    </row>
    <row r="206" spans="1:21" x14ac:dyDescent="0.45">
      <c r="A206">
        <v>417</v>
      </c>
      <c r="B206">
        <v>0</v>
      </c>
      <c r="C206" t="s">
        <v>3873</v>
      </c>
      <c r="D206" t="s">
        <v>3873</v>
      </c>
      <c r="E206">
        <v>0</v>
      </c>
      <c r="F206">
        <v>0</v>
      </c>
      <c r="G206">
        <v>0</v>
      </c>
      <c r="H206">
        <v>0</v>
      </c>
      <c r="I206">
        <v>0</v>
      </c>
      <c r="K206">
        <v>0</v>
      </c>
      <c r="M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</v>
      </c>
      <c r="U206" s="79">
        <v>45905.565972222219</v>
      </c>
    </row>
    <row r="207" spans="1:21" x14ac:dyDescent="0.45">
      <c r="A207">
        <v>418</v>
      </c>
      <c r="B207">
        <v>0</v>
      </c>
      <c r="C207" t="s">
        <v>3874</v>
      </c>
      <c r="D207" t="s">
        <v>3874</v>
      </c>
      <c r="E207">
        <v>0</v>
      </c>
      <c r="F207">
        <v>0</v>
      </c>
      <c r="G207">
        <v>0</v>
      </c>
      <c r="H207">
        <v>0</v>
      </c>
      <c r="I207">
        <v>0</v>
      </c>
      <c r="K207">
        <v>0</v>
      </c>
      <c r="M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</v>
      </c>
      <c r="U207" s="79">
        <v>45905.565972222219</v>
      </c>
    </row>
    <row r="208" spans="1:21" x14ac:dyDescent="0.45">
      <c r="A208">
        <v>419</v>
      </c>
      <c r="B208">
        <v>0</v>
      </c>
      <c r="C208" t="s">
        <v>3875</v>
      </c>
      <c r="D208" t="s">
        <v>3875</v>
      </c>
      <c r="E208">
        <v>0</v>
      </c>
      <c r="F208">
        <v>0</v>
      </c>
      <c r="G208">
        <v>0</v>
      </c>
      <c r="H208">
        <v>0</v>
      </c>
      <c r="I208">
        <v>0</v>
      </c>
      <c r="K208">
        <v>0</v>
      </c>
      <c r="M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</v>
      </c>
      <c r="U208" s="79">
        <v>45905.565972222219</v>
      </c>
    </row>
    <row r="209" spans="1:21" x14ac:dyDescent="0.45">
      <c r="A209">
        <v>420</v>
      </c>
      <c r="B209">
        <v>1</v>
      </c>
      <c r="C209" t="s">
        <v>3876</v>
      </c>
      <c r="D209" t="s">
        <v>3877</v>
      </c>
      <c r="E209">
        <v>0</v>
      </c>
      <c r="F209">
        <v>421</v>
      </c>
      <c r="G209">
        <v>1</v>
      </c>
      <c r="H209">
        <v>2</v>
      </c>
      <c r="I209">
        <v>0</v>
      </c>
      <c r="J209" t="s">
        <v>3877</v>
      </c>
      <c r="K209">
        <v>0</v>
      </c>
      <c r="L209" t="s">
        <v>3878</v>
      </c>
      <c r="M209">
        <v>0</v>
      </c>
      <c r="N209" t="s">
        <v>3681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2</v>
      </c>
      <c r="U209" s="79">
        <v>45905.585416666669</v>
      </c>
    </row>
    <row r="210" spans="1:21" x14ac:dyDescent="0.45">
      <c r="A210">
        <v>421</v>
      </c>
      <c r="B210">
        <v>1</v>
      </c>
      <c r="C210" t="s">
        <v>3879</v>
      </c>
      <c r="D210" t="s">
        <v>3877</v>
      </c>
      <c r="E210">
        <v>0</v>
      </c>
      <c r="F210">
        <v>0</v>
      </c>
      <c r="G210">
        <v>1</v>
      </c>
      <c r="H210">
        <v>2</v>
      </c>
      <c r="I210">
        <v>0</v>
      </c>
      <c r="J210" t="s">
        <v>3877</v>
      </c>
      <c r="K210">
        <v>0</v>
      </c>
      <c r="L210" t="s">
        <v>3680</v>
      </c>
      <c r="M210">
        <v>0</v>
      </c>
      <c r="N210" t="s">
        <v>3681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2</v>
      </c>
      <c r="U210" s="79">
        <v>45905.566666666673</v>
      </c>
    </row>
    <row r="211" spans="1:21" x14ac:dyDescent="0.45">
      <c r="A211">
        <v>422</v>
      </c>
      <c r="B211">
        <v>0</v>
      </c>
      <c r="C211" t="s">
        <v>3680</v>
      </c>
      <c r="D211" t="s">
        <v>3680</v>
      </c>
      <c r="E211">
        <v>0</v>
      </c>
      <c r="F211">
        <v>0</v>
      </c>
      <c r="G211">
        <v>0</v>
      </c>
      <c r="H211">
        <v>0</v>
      </c>
      <c r="I211">
        <v>0</v>
      </c>
      <c r="K211">
        <v>0</v>
      </c>
      <c r="M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</v>
      </c>
      <c r="U211" s="79">
        <v>45905.585416666669</v>
      </c>
    </row>
    <row r="212" spans="1:21" x14ac:dyDescent="0.45">
      <c r="A212">
        <v>425</v>
      </c>
      <c r="B212">
        <v>0</v>
      </c>
      <c r="C212" t="s">
        <v>3880</v>
      </c>
      <c r="D212" t="s">
        <v>3880</v>
      </c>
      <c r="E212">
        <v>0</v>
      </c>
      <c r="F212">
        <v>0</v>
      </c>
      <c r="G212">
        <v>0</v>
      </c>
      <c r="H212">
        <v>0</v>
      </c>
      <c r="I212">
        <v>0</v>
      </c>
      <c r="K212">
        <v>0</v>
      </c>
      <c r="M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 s="79">
        <v>45905.566666666673</v>
      </c>
    </row>
    <row r="213" spans="1:21" x14ac:dyDescent="0.45">
      <c r="A213">
        <v>426</v>
      </c>
      <c r="B213">
        <v>0</v>
      </c>
      <c r="C213" t="s">
        <v>3881</v>
      </c>
      <c r="D213" t="s">
        <v>3881</v>
      </c>
      <c r="E213">
        <v>0</v>
      </c>
      <c r="F213">
        <v>0</v>
      </c>
      <c r="G213">
        <v>0</v>
      </c>
      <c r="H213">
        <v>0</v>
      </c>
      <c r="I213">
        <v>0</v>
      </c>
      <c r="K213">
        <v>0</v>
      </c>
      <c r="M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</v>
      </c>
      <c r="U213" s="79">
        <v>45905.566666666673</v>
      </c>
    </row>
    <row r="214" spans="1:21" x14ac:dyDescent="0.45">
      <c r="A214">
        <v>427</v>
      </c>
      <c r="B214">
        <v>0</v>
      </c>
      <c r="C214" t="s">
        <v>3882</v>
      </c>
      <c r="D214" t="s">
        <v>3883</v>
      </c>
      <c r="E214">
        <v>0</v>
      </c>
      <c r="F214">
        <v>0</v>
      </c>
      <c r="G214">
        <v>0</v>
      </c>
      <c r="H214">
        <v>0</v>
      </c>
      <c r="I214">
        <v>0</v>
      </c>
      <c r="K214">
        <v>0</v>
      </c>
      <c r="M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 s="79">
        <v>45905.566666666673</v>
      </c>
    </row>
    <row r="215" spans="1:21" x14ac:dyDescent="0.45">
      <c r="A215">
        <v>430</v>
      </c>
      <c r="B215">
        <v>1</v>
      </c>
      <c r="C215" t="s">
        <v>3884</v>
      </c>
      <c r="D215" t="s">
        <v>3884</v>
      </c>
      <c r="E215">
        <v>0</v>
      </c>
      <c r="F215">
        <v>431</v>
      </c>
      <c r="G215">
        <v>1</v>
      </c>
      <c r="H215">
        <v>2</v>
      </c>
      <c r="I215">
        <v>0</v>
      </c>
      <c r="J215" t="s">
        <v>3628</v>
      </c>
      <c r="K215">
        <v>1</v>
      </c>
      <c r="M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</v>
      </c>
      <c r="U215" s="79">
        <v>45905.566666666673</v>
      </c>
    </row>
    <row r="216" spans="1:21" x14ac:dyDescent="0.45">
      <c r="A216">
        <v>431</v>
      </c>
      <c r="B216">
        <v>1</v>
      </c>
      <c r="C216" t="s">
        <v>3715</v>
      </c>
      <c r="D216" t="s">
        <v>3884</v>
      </c>
      <c r="E216">
        <v>0</v>
      </c>
      <c r="F216">
        <v>431</v>
      </c>
      <c r="G216">
        <v>1</v>
      </c>
      <c r="H216">
        <v>2</v>
      </c>
      <c r="I216">
        <v>0</v>
      </c>
      <c r="J216" t="s">
        <v>3628</v>
      </c>
      <c r="K216">
        <v>1</v>
      </c>
      <c r="M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</v>
      </c>
      <c r="U216" s="79">
        <v>45905.567361111112</v>
      </c>
    </row>
    <row r="217" spans="1:21" x14ac:dyDescent="0.45">
      <c r="A217">
        <v>433</v>
      </c>
      <c r="B217">
        <v>0</v>
      </c>
      <c r="C217" t="s">
        <v>3885</v>
      </c>
      <c r="D217" t="s">
        <v>3885</v>
      </c>
      <c r="E217">
        <v>0</v>
      </c>
      <c r="F217">
        <v>0</v>
      </c>
      <c r="G217">
        <v>0</v>
      </c>
      <c r="H217">
        <v>0</v>
      </c>
      <c r="I217">
        <v>0</v>
      </c>
      <c r="K217">
        <v>0</v>
      </c>
      <c r="M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2</v>
      </c>
      <c r="U217" s="79">
        <v>45905.567361111112</v>
      </c>
    </row>
    <row r="218" spans="1:21" x14ac:dyDescent="0.45">
      <c r="A218">
        <v>434</v>
      </c>
      <c r="B218">
        <v>1</v>
      </c>
      <c r="C218" t="s">
        <v>3886</v>
      </c>
      <c r="D218" t="s">
        <v>3886</v>
      </c>
      <c r="E218">
        <v>0</v>
      </c>
      <c r="F218">
        <v>0</v>
      </c>
      <c r="G218">
        <v>1</v>
      </c>
      <c r="H218">
        <v>0</v>
      </c>
      <c r="I218">
        <v>0</v>
      </c>
      <c r="K218">
        <v>0</v>
      </c>
      <c r="M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</v>
      </c>
      <c r="U218" s="79">
        <v>45905.567361111112</v>
      </c>
    </row>
    <row r="219" spans="1:21" x14ac:dyDescent="0.45">
      <c r="A219">
        <v>435</v>
      </c>
      <c r="B219">
        <v>0</v>
      </c>
      <c r="C219" t="s">
        <v>3887</v>
      </c>
      <c r="D219" t="s">
        <v>3887</v>
      </c>
      <c r="E219">
        <v>0</v>
      </c>
      <c r="F219">
        <v>0</v>
      </c>
      <c r="G219">
        <v>0</v>
      </c>
      <c r="H219">
        <v>0</v>
      </c>
      <c r="I219">
        <v>0</v>
      </c>
      <c r="K219">
        <v>0</v>
      </c>
      <c r="M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</v>
      </c>
      <c r="U219" s="79">
        <v>45905.567361111112</v>
      </c>
    </row>
    <row r="220" spans="1:21" x14ac:dyDescent="0.45">
      <c r="A220">
        <v>436</v>
      </c>
      <c r="B220">
        <v>0</v>
      </c>
      <c r="C220" t="s">
        <v>3888</v>
      </c>
      <c r="D220" t="s">
        <v>3888</v>
      </c>
      <c r="E220">
        <v>0</v>
      </c>
      <c r="F220">
        <v>0</v>
      </c>
      <c r="G220">
        <v>0</v>
      </c>
      <c r="H220">
        <v>0</v>
      </c>
      <c r="I220">
        <v>0</v>
      </c>
      <c r="K220">
        <v>0</v>
      </c>
      <c r="M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</v>
      </c>
      <c r="U220" s="79">
        <v>45905.567361111112</v>
      </c>
    </row>
    <row r="221" spans="1:21" x14ac:dyDescent="0.45">
      <c r="A221">
        <v>438</v>
      </c>
      <c r="B221">
        <v>0</v>
      </c>
      <c r="C221" t="s">
        <v>3889</v>
      </c>
      <c r="D221" t="s">
        <v>3889</v>
      </c>
      <c r="E221">
        <v>0</v>
      </c>
      <c r="F221">
        <v>0</v>
      </c>
      <c r="G221">
        <v>0</v>
      </c>
      <c r="H221">
        <v>0</v>
      </c>
      <c r="I221">
        <v>0</v>
      </c>
      <c r="K221">
        <v>0</v>
      </c>
      <c r="M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</v>
      </c>
      <c r="U221" s="79">
        <v>45905.567361111112</v>
      </c>
    </row>
    <row r="222" spans="1:21" x14ac:dyDescent="0.45">
      <c r="A222">
        <v>449</v>
      </c>
      <c r="B222">
        <v>1</v>
      </c>
      <c r="C222" t="s">
        <v>3890</v>
      </c>
      <c r="D222" t="s">
        <v>3890</v>
      </c>
      <c r="E222">
        <v>0</v>
      </c>
      <c r="F222">
        <v>450</v>
      </c>
      <c r="G222">
        <v>1</v>
      </c>
      <c r="H222">
        <v>2</v>
      </c>
      <c r="I222">
        <v>0</v>
      </c>
      <c r="J222" t="s">
        <v>3636</v>
      </c>
      <c r="K222">
        <v>0</v>
      </c>
      <c r="L222" t="s">
        <v>3809</v>
      </c>
      <c r="M222">
        <v>0</v>
      </c>
      <c r="N222" t="s">
        <v>3891</v>
      </c>
      <c r="O222">
        <v>0</v>
      </c>
      <c r="P222" t="s">
        <v>3892</v>
      </c>
      <c r="Q222">
        <v>0</v>
      </c>
      <c r="R222">
        <v>0</v>
      </c>
      <c r="S222">
        <v>0</v>
      </c>
      <c r="T222">
        <v>2</v>
      </c>
      <c r="U222" s="79">
        <v>45905.568055555559</v>
      </c>
    </row>
    <row r="223" spans="1:21" x14ac:dyDescent="0.45">
      <c r="A223">
        <v>450</v>
      </c>
      <c r="B223">
        <v>1</v>
      </c>
      <c r="C223" t="s">
        <v>3890</v>
      </c>
      <c r="D223" t="s">
        <v>3893</v>
      </c>
      <c r="E223">
        <v>0</v>
      </c>
      <c r="F223">
        <v>0</v>
      </c>
      <c r="G223">
        <v>1</v>
      </c>
      <c r="H223">
        <v>2</v>
      </c>
      <c r="I223">
        <v>0</v>
      </c>
      <c r="K223">
        <v>0</v>
      </c>
      <c r="M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</v>
      </c>
      <c r="U223" s="79">
        <v>45905.568055555559</v>
      </c>
    </row>
    <row r="224" spans="1:21" x14ac:dyDescent="0.45">
      <c r="A224">
        <v>451</v>
      </c>
      <c r="B224">
        <v>0</v>
      </c>
      <c r="C224" t="s">
        <v>3894</v>
      </c>
      <c r="D224" t="s">
        <v>3895</v>
      </c>
      <c r="E224">
        <v>0</v>
      </c>
      <c r="F224">
        <v>0</v>
      </c>
      <c r="G224">
        <v>0</v>
      </c>
      <c r="H224">
        <v>0</v>
      </c>
      <c r="I224">
        <v>0</v>
      </c>
      <c r="K224">
        <v>0</v>
      </c>
      <c r="M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</v>
      </c>
      <c r="U224" s="79">
        <v>45905.568055555559</v>
      </c>
    </row>
    <row r="225" spans="1:21" x14ac:dyDescent="0.45">
      <c r="A225">
        <v>452</v>
      </c>
      <c r="B225">
        <v>0</v>
      </c>
      <c r="C225" t="s">
        <v>3896</v>
      </c>
      <c r="D225" t="s">
        <v>3897</v>
      </c>
      <c r="E225">
        <v>0</v>
      </c>
      <c r="F225">
        <v>0</v>
      </c>
      <c r="G225">
        <v>0</v>
      </c>
      <c r="H225">
        <v>0</v>
      </c>
      <c r="I225">
        <v>0</v>
      </c>
      <c r="K225">
        <v>0</v>
      </c>
      <c r="M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</v>
      </c>
      <c r="U225" s="79">
        <v>45905.568055555559</v>
      </c>
    </row>
    <row r="226" spans="1:21" x14ac:dyDescent="0.45">
      <c r="A226">
        <v>453</v>
      </c>
      <c r="B226">
        <v>0</v>
      </c>
      <c r="C226" t="s">
        <v>3898</v>
      </c>
      <c r="D226" t="s">
        <v>3898</v>
      </c>
      <c r="E226">
        <v>0</v>
      </c>
      <c r="F226">
        <v>0</v>
      </c>
      <c r="G226">
        <v>0</v>
      </c>
      <c r="H226">
        <v>0</v>
      </c>
      <c r="I226">
        <v>0</v>
      </c>
      <c r="K226">
        <v>0</v>
      </c>
      <c r="M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</v>
      </c>
      <c r="U226" s="79">
        <v>45905.568055555559</v>
      </c>
    </row>
    <row r="227" spans="1:21" x14ac:dyDescent="0.45">
      <c r="A227">
        <v>454</v>
      </c>
      <c r="B227">
        <v>1</v>
      </c>
      <c r="C227" t="s">
        <v>3899</v>
      </c>
      <c r="D227" t="s">
        <v>3899</v>
      </c>
      <c r="E227">
        <v>0</v>
      </c>
      <c r="F227">
        <v>0</v>
      </c>
      <c r="G227">
        <v>1</v>
      </c>
      <c r="H227">
        <v>0</v>
      </c>
      <c r="I227">
        <v>0</v>
      </c>
      <c r="K227">
        <v>0</v>
      </c>
      <c r="M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</v>
      </c>
      <c r="U227" s="79">
        <v>45905.568055555559</v>
      </c>
    </row>
    <row r="228" spans="1:21" x14ac:dyDescent="0.45">
      <c r="A228">
        <v>455</v>
      </c>
      <c r="B228">
        <v>0</v>
      </c>
      <c r="C228" t="s">
        <v>3900</v>
      </c>
      <c r="D228" t="s">
        <v>3900</v>
      </c>
      <c r="E228">
        <v>0</v>
      </c>
      <c r="F228">
        <v>0</v>
      </c>
      <c r="G228">
        <v>0</v>
      </c>
      <c r="H228">
        <v>0</v>
      </c>
      <c r="I228">
        <v>0</v>
      </c>
      <c r="K228">
        <v>0</v>
      </c>
      <c r="M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</v>
      </c>
      <c r="U228" s="79">
        <v>45905.568055555559</v>
      </c>
    </row>
    <row r="229" spans="1:21" x14ac:dyDescent="0.45">
      <c r="A229">
        <v>456</v>
      </c>
      <c r="B229">
        <v>0</v>
      </c>
      <c r="C229" t="s">
        <v>3901</v>
      </c>
      <c r="D229" t="s">
        <v>3901</v>
      </c>
      <c r="E229">
        <v>0</v>
      </c>
      <c r="F229">
        <v>0</v>
      </c>
      <c r="G229">
        <v>0</v>
      </c>
      <c r="H229">
        <v>0</v>
      </c>
      <c r="I229">
        <v>0</v>
      </c>
      <c r="K229">
        <v>0</v>
      </c>
      <c r="M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</v>
      </c>
      <c r="U229" s="79">
        <v>45905.568055555559</v>
      </c>
    </row>
    <row r="230" spans="1:21" x14ac:dyDescent="0.45">
      <c r="A230">
        <v>457</v>
      </c>
      <c r="B230">
        <v>1</v>
      </c>
      <c r="C230" t="s">
        <v>3902</v>
      </c>
      <c r="D230" t="s">
        <v>3902</v>
      </c>
      <c r="E230">
        <v>0</v>
      </c>
      <c r="F230">
        <v>603</v>
      </c>
      <c r="G230">
        <v>1</v>
      </c>
      <c r="H230">
        <v>0</v>
      </c>
      <c r="I230">
        <v>42</v>
      </c>
      <c r="K230">
        <v>0</v>
      </c>
      <c r="M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2</v>
      </c>
      <c r="U230" s="79">
        <v>45905.568055555559</v>
      </c>
    </row>
    <row r="231" spans="1:21" x14ac:dyDescent="0.45">
      <c r="A231">
        <v>458</v>
      </c>
      <c r="B231">
        <v>0</v>
      </c>
      <c r="C231" t="s">
        <v>3903</v>
      </c>
      <c r="D231" t="s">
        <v>3903</v>
      </c>
      <c r="E231">
        <v>0</v>
      </c>
      <c r="F231">
        <v>0</v>
      </c>
      <c r="G231">
        <v>0</v>
      </c>
      <c r="H231">
        <v>0</v>
      </c>
      <c r="I231">
        <v>0</v>
      </c>
      <c r="K231">
        <v>0</v>
      </c>
      <c r="M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</v>
      </c>
      <c r="U231" s="79">
        <v>45905.568055555559</v>
      </c>
    </row>
    <row r="232" spans="1:21" x14ac:dyDescent="0.45">
      <c r="A232">
        <v>459</v>
      </c>
      <c r="B232">
        <v>0</v>
      </c>
      <c r="C232" t="s">
        <v>3904</v>
      </c>
      <c r="D232" t="s">
        <v>3904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0</v>
      </c>
      <c r="M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</v>
      </c>
      <c r="U232" s="79">
        <v>45905.568749999999</v>
      </c>
    </row>
    <row r="233" spans="1:21" x14ac:dyDescent="0.45">
      <c r="A233">
        <v>460</v>
      </c>
      <c r="B233">
        <v>1</v>
      </c>
      <c r="C233" t="s">
        <v>3905</v>
      </c>
      <c r="D233" t="s">
        <v>3906</v>
      </c>
      <c r="E233">
        <v>0</v>
      </c>
      <c r="F233">
        <v>463</v>
      </c>
      <c r="G233">
        <v>1</v>
      </c>
      <c r="H233">
        <v>0</v>
      </c>
      <c r="I233">
        <v>0</v>
      </c>
      <c r="J233" t="s">
        <v>97</v>
      </c>
      <c r="K233">
        <v>0</v>
      </c>
      <c r="L233" t="s">
        <v>3696</v>
      </c>
      <c r="M233">
        <v>0</v>
      </c>
      <c r="N233" t="s">
        <v>3697</v>
      </c>
      <c r="O233">
        <v>0</v>
      </c>
      <c r="P233" t="s">
        <v>3907</v>
      </c>
      <c r="Q233">
        <v>0</v>
      </c>
      <c r="R233" t="s">
        <v>3908</v>
      </c>
      <c r="S233">
        <v>0</v>
      </c>
      <c r="T233">
        <v>2</v>
      </c>
      <c r="U233" s="79">
        <v>45097.559027777781</v>
      </c>
    </row>
    <row r="234" spans="1:21" x14ac:dyDescent="0.45">
      <c r="A234">
        <v>461</v>
      </c>
      <c r="B234">
        <v>0</v>
      </c>
      <c r="C234" t="s">
        <v>3909</v>
      </c>
      <c r="D234" t="s">
        <v>3909</v>
      </c>
      <c r="E234">
        <v>0</v>
      </c>
      <c r="F234">
        <v>0</v>
      </c>
      <c r="G234">
        <v>0</v>
      </c>
      <c r="H234">
        <v>0</v>
      </c>
      <c r="I234">
        <v>0</v>
      </c>
      <c r="K234">
        <v>0</v>
      </c>
      <c r="M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</v>
      </c>
      <c r="U234" s="79">
        <v>45905.568749999999</v>
      </c>
    </row>
    <row r="235" spans="1:21" x14ac:dyDescent="0.45">
      <c r="A235">
        <v>462</v>
      </c>
      <c r="B235">
        <v>0</v>
      </c>
      <c r="C235" t="s">
        <v>3910</v>
      </c>
      <c r="D235" t="s">
        <v>3910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0</v>
      </c>
      <c r="M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</v>
      </c>
      <c r="U235" s="79">
        <v>45905.568749999999</v>
      </c>
    </row>
    <row r="236" spans="1:21" x14ac:dyDescent="0.45">
      <c r="A236">
        <v>463</v>
      </c>
      <c r="B236">
        <v>1</v>
      </c>
      <c r="C236" t="s">
        <v>3911</v>
      </c>
      <c r="D236" t="s">
        <v>3906</v>
      </c>
      <c r="E236">
        <v>0</v>
      </c>
      <c r="F236">
        <v>0</v>
      </c>
      <c r="G236">
        <v>1</v>
      </c>
      <c r="H236">
        <v>0</v>
      </c>
      <c r="I236">
        <v>0</v>
      </c>
      <c r="K236">
        <v>0</v>
      </c>
      <c r="M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 s="79">
        <v>45905.568749999999</v>
      </c>
    </row>
    <row r="237" spans="1:21" x14ac:dyDescent="0.45">
      <c r="A237">
        <v>464</v>
      </c>
      <c r="B237">
        <v>1</v>
      </c>
      <c r="C237" t="s">
        <v>3912</v>
      </c>
      <c r="D237" t="s">
        <v>3913</v>
      </c>
      <c r="E237">
        <v>0</v>
      </c>
      <c r="F237">
        <v>465</v>
      </c>
      <c r="G237">
        <v>1</v>
      </c>
      <c r="H237">
        <v>1</v>
      </c>
      <c r="I237">
        <v>20</v>
      </c>
      <c r="K237">
        <v>0</v>
      </c>
      <c r="M237">
        <v>0</v>
      </c>
      <c r="O237">
        <v>0</v>
      </c>
      <c r="P237">
        <v>0</v>
      </c>
      <c r="Q237">
        <v>0</v>
      </c>
      <c r="R237">
        <v>3</v>
      </c>
      <c r="S237">
        <v>0</v>
      </c>
      <c r="T237">
        <v>2</v>
      </c>
      <c r="U237" s="79">
        <v>45905.568749999999</v>
      </c>
    </row>
    <row r="238" spans="1:21" x14ac:dyDescent="0.45">
      <c r="A238">
        <v>465</v>
      </c>
      <c r="B238">
        <v>1</v>
      </c>
      <c r="C238" t="s">
        <v>3914</v>
      </c>
      <c r="D238" t="s">
        <v>3914</v>
      </c>
      <c r="E238">
        <v>0</v>
      </c>
      <c r="F238">
        <v>0</v>
      </c>
      <c r="G238">
        <v>1</v>
      </c>
      <c r="H238">
        <v>1</v>
      </c>
      <c r="I238">
        <v>15</v>
      </c>
      <c r="K238">
        <v>0</v>
      </c>
      <c r="M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2</v>
      </c>
      <c r="U238" s="79">
        <v>45905.568749999999</v>
      </c>
    </row>
    <row r="239" spans="1:21" x14ac:dyDescent="0.45">
      <c r="A239">
        <v>466</v>
      </c>
      <c r="B239">
        <v>1</v>
      </c>
      <c r="C239" t="s">
        <v>3915</v>
      </c>
      <c r="D239" t="s">
        <v>3915</v>
      </c>
      <c r="E239">
        <v>0</v>
      </c>
      <c r="F239">
        <v>0</v>
      </c>
      <c r="G239">
        <v>0</v>
      </c>
      <c r="H239">
        <v>0</v>
      </c>
      <c r="I239">
        <v>0</v>
      </c>
      <c r="K239">
        <v>0</v>
      </c>
      <c r="M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</v>
      </c>
      <c r="U239" s="79">
        <v>45905.568749999999</v>
      </c>
    </row>
    <row r="240" spans="1:21" x14ac:dyDescent="0.45">
      <c r="A240">
        <v>467</v>
      </c>
      <c r="B240">
        <v>1</v>
      </c>
      <c r="C240" t="s">
        <v>3916</v>
      </c>
      <c r="D240" t="s">
        <v>3916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0</v>
      </c>
      <c r="M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</v>
      </c>
      <c r="U240" s="79">
        <v>45905.568749999999</v>
      </c>
    </row>
    <row r="241" spans="1:21" x14ac:dyDescent="0.45">
      <c r="A241">
        <v>468</v>
      </c>
      <c r="B241">
        <v>1</v>
      </c>
      <c r="C241" t="s">
        <v>3917</v>
      </c>
      <c r="D241" t="s">
        <v>3917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0</v>
      </c>
      <c r="M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</v>
      </c>
      <c r="U241" s="79">
        <v>45905.568749999999</v>
      </c>
    </row>
    <row r="242" spans="1:21" x14ac:dyDescent="0.45">
      <c r="A242">
        <v>469</v>
      </c>
      <c r="B242">
        <v>0</v>
      </c>
      <c r="C242" t="s">
        <v>3918</v>
      </c>
      <c r="D242" t="s">
        <v>3918</v>
      </c>
      <c r="E242">
        <v>0</v>
      </c>
      <c r="F242">
        <v>0</v>
      </c>
      <c r="G242">
        <v>0</v>
      </c>
      <c r="H242">
        <v>0</v>
      </c>
      <c r="I242">
        <v>0</v>
      </c>
      <c r="K242">
        <v>0</v>
      </c>
      <c r="M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</v>
      </c>
      <c r="U242" s="79">
        <v>45905.568749999999</v>
      </c>
    </row>
    <row r="243" spans="1:21" x14ac:dyDescent="0.45">
      <c r="A243">
        <v>470</v>
      </c>
      <c r="B243">
        <v>1</v>
      </c>
      <c r="C243" t="s">
        <v>3919</v>
      </c>
      <c r="D243" t="s">
        <v>3920</v>
      </c>
      <c r="E243">
        <v>0</v>
      </c>
      <c r="F243">
        <v>471</v>
      </c>
      <c r="G243">
        <v>1</v>
      </c>
      <c r="H243">
        <v>2</v>
      </c>
      <c r="I243">
        <v>0</v>
      </c>
      <c r="J243" t="s">
        <v>3921</v>
      </c>
      <c r="K243">
        <v>0</v>
      </c>
      <c r="L243" t="s">
        <v>3636</v>
      </c>
      <c r="M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</v>
      </c>
      <c r="U243" s="79">
        <v>45905.569444444453</v>
      </c>
    </row>
    <row r="244" spans="1:21" x14ac:dyDescent="0.45">
      <c r="A244">
        <v>471</v>
      </c>
      <c r="B244">
        <v>0</v>
      </c>
      <c r="C244" t="s">
        <v>3922</v>
      </c>
      <c r="D244" t="s">
        <v>3923</v>
      </c>
      <c r="E244">
        <v>0</v>
      </c>
      <c r="F244">
        <v>0</v>
      </c>
      <c r="G244">
        <v>0</v>
      </c>
      <c r="H244">
        <v>0</v>
      </c>
      <c r="I244">
        <v>0</v>
      </c>
      <c r="K244">
        <v>0</v>
      </c>
      <c r="M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</v>
      </c>
      <c r="U244" s="79">
        <v>45905.569444444453</v>
      </c>
    </row>
    <row r="245" spans="1:21" x14ac:dyDescent="0.45">
      <c r="A245">
        <v>472</v>
      </c>
      <c r="B245">
        <v>0</v>
      </c>
      <c r="C245" t="s">
        <v>3924</v>
      </c>
      <c r="D245" t="s">
        <v>3924</v>
      </c>
      <c r="E245">
        <v>0</v>
      </c>
      <c r="F245">
        <v>0</v>
      </c>
      <c r="G245">
        <v>0</v>
      </c>
      <c r="H245">
        <v>0</v>
      </c>
      <c r="I245">
        <v>0</v>
      </c>
      <c r="K245">
        <v>0</v>
      </c>
      <c r="M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</v>
      </c>
      <c r="U245" s="79">
        <v>45905.569444444453</v>
      </c>
    </row>
    <row r="246" spans="1:21" x14ac:dyDescent="0.45">
      <c r="A246">
        <v>474</v>
      </c>
      <c r="B246">
        <v>1</v>
      </c>
      <c r="C246" t="s">
        <v>3925</v>
      </c>
      <c r="D246" t="s">
        <v>3926</v>
      </c>
      <c r="E246">
        <v>0</v>
      </c>
      <c r="F246">
        <v>0</v>
      </c>
      <c r="G246">
        <v>1</v>
      </c>
      <c r="H246">
        <v>0</v>
      </c>
      <c r="I246">
        <v>0</v>
      </c>
      <c r="K246">
        <v>0</v>
      </c>
      <c r="M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</v>
      </c>
      <c r="U246" s="79">
        <v>45905.569444444453</v>
      </c>
    </row>
    <row r="247" spans="1:21" x14ac:dyDescent="0.45">
      <c r="A247">
        <v>475</v>
      </c>
      <c r="B247">
        <v>1</v>
      </c>
      <c r="C247" t="s">
        <v>3927</v>
      </c>
      <c r="D247" t="s">
        <v>3928</v>
      </c>
      <c r="E247">
        <v>0</v>
      </c>
      <c r="F247">
        <v>0</v>
      </c>
      <c r="G247">
        <v>1</v>
      </c>
      <c r="H247">
        <v>0</v>
      </c>
      <c r="I247">
        <v>0</v>
      </c>
      <c r="K247">
        <v>0</v>
      </c>
      <c r="M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</v>
      </c>
      <c r="U247" s="79">
        <v>45905.569444444453</v>
      </c>
    </row>
    <row r="248" spans="1:21" x14ac:dyDescent="0.45">
      <c r="A248">
        <v>476</v>
      </c>
      <c r="B248">
        <v>1</v>
      </c>
      <c r="C248" t="s">
        <v>3814</v>
      </c>
      <c r="D248" t="s">
        <v>3929</v>
      </c>
      <c r="E248">
        <v>0</v>
      </c>
      <c r="F248">
        <v>0</v>
      </c>
      <c r="G248">
        <v>1</v>
      </c>
      <c r="H248">
        <v>0</v>
      </c>
      <c r="I248">
        <v>0</v>
      </c>
      <c r="K248">
        <v>0</v>
      </c>
      <c r="M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 s="79">
        <v>45905.569444444453</v>
      </c>
    </row>
    <row r="249" spans="1:21" x14ac:dyDescent="0.45">
      <c r="A249">
        <v>477</v>
      </c>
      <c r="B249">
        <v>1</v>
      </c>
      <c r="C249" t="s">
        <v>3930</v>
      </c>
      <c r="D249" t="s">
        <v>3930</v>
      </c>
      <c r="E249">
        <v>0</v>
      </c>
      <c r="F249">
        <v>0</v>
      </c>
      <c r="G249">
        <v>1</v>
      </c>
      <c r="H249">
        <v>0</v>
      </c>
      <c r="I249">
        <v>0</v>
      </c>
      <c r="K249">
        <v>0</v>
      </c>
      <c r="M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2</v>
      </c>
      <c r="U249" s="79">
        <v>45905.569444444453</v>
      </c>
    </row>
    <row r="250" spans="1:21" x14ac:dyDescent="0.45">
      <c r="A250">
        <v>478</v>
      </c>
      <c r="B250">
        <v>1</v>
      </c>
      <c r="C250" t="s">
        <v>3931</v>
      </c>
      <c r="D250" t="s">
        <v>3931</v>
      </c>
      <c r="E250">
        <v>0</v>
      </c>
      <c r="F250">
        <v>0</v>
      </c>
      <c r="G250">
        <v>1</v>
      </c>
      <c r="H250">
        <v>0</v>
      </c>
      <c r="I250">
        <v>0</v>
      </c>
      <c r="K250">
        <v>0</v>
      </c>
      <c r="M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</v>
      </c>
      <c r="U250" s="79">
        <v>45905.569444444453</v>
      </c>
    </row>
    <row r="251" spans="1:21" x14ac:dyDescent="0.45">
      <c r="A251">
        <v>479</v>
      </c>
      <c r="B251">
        <v>1</v>
      </c>
      <c r="C251" t="s">
        <v>3820</v>
      </c>
      <c r="D251" t="s">
        <v>3820</v>
      </c>
      <c r="E251">
        <v>0</v>
      </c>
      <c r="F251">
        <v>0</v>
      </c>
      <c r="G251">
        <v>1</v>
      </c>
      <c r="H251">
        <v>0</v>
      </c>
      <c r="I251">
        <v>0</v>
      </c>
      <c r="K251">
        <v>0</v>
      </c>
      <c r="M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</v>
      </c>
      <c r="U251" s="79">
        <v>45905.569444444453</v>
      </c>
    </row>
    <row r="252" spans="1:21" x14ac:dyDescent="0.45">
      <c r="A252">
        <v>480</v>
      </c>
      <c r="B252">
        <v>1</v>
      </c>
      <c r="C252" t="s">
        <v>3932</v>
      </c>
      <c r="D252" t="s">
        <v>3933</v>
      </c>
      <c r="E252">
        <v>0</v>
      </c>
      <c r="F252">
        <v>0</v>
      </c>
      <c r="G252">
        <v>1</v>
      </c>
      <c r="H252">
        <v>1</v>
      </c>
      <c r="I252">
        <v>18</v>
      </c>
      <c r="K252">
        <v>0</v>
      </c>
      <c r="M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2</v>
      </c>
      <c r="U252" s="79">
        <v>45905.569444444453</v>
      </c>
    </row>
    <row r="253" spans="1:21" x14ac:dyDescent="0.45">
      <c r="A253">
        <v>481</v>
      </c>
      <c r="B253">
        <v>1</v>
      </c>
      <c r="C253" t="s">
        <v>3735</v>
      </c>
      <c r="D253" t="s">
        <v>3735</v>
      </c>
      <c r="E253">
        <v>0</v>
      </c>
      <c r="F253">
        <v>0</v>
      </c>
      <c r="G253">
        <v>3</v>
      </c>
      <c r="H253">
        <v>0</v>
      </c>
      <c r="I253">
        <v>0</v>
      </c>
      <c r="K253">
        <v>0</v>
      </c>
      <c r="M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</v>
      </c>
      <c r="U253" s="79">
        <v>45905.569444444453</v>
      </c>
    </row>
    <row r="254" spans="1:21" x14ac:dyDescent="0.45">
      <c r="A254">
        <v>483</v>
      </c>
      <c r="B254">
        <v>1</v>
      </c>
      <c r="C254" t="s">
        <v>3934</v>
      </c>
      <c r="D254" t="s">
        <v>3934</v>
      </c>
      <c r="E254">
        <v>0</v>
      </c>
      <c r="F254">
        <v>0</v>
      </c>
      <c r="G254">
        <v>1</v>
      </c>
      <c r="H254">
        <v>0</v>
      </c>
      <c r="I254">
        <v>0</v>
      </c>
      <c r="K254">
        <v>0</v>
      </c>
      <c r="M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</v>
      </c>
      <c r="U254" s="79">
        <v>45905.570138888892</v>
      </c>
    </row>
    <row r="255" spans="1:21" x14ac:dyDescent="0.45">
      <c r="A255">
        <v>488</v>
      </c>
      <c r="B255">
        <v>1</v>
      </c>
      <c r="C255" t="s">
        <v>3935</v>
      </c>
      <c r="D255" t="s">
        <v>3935</v>
      </c>
      <c r="E255">
        <v>0</v>
      </c>
      <c r="F255">
        <v>0</v>
      </c>
      <c r="G255">
        <v>1</v>
      </c>
      <c r="H255">
        <v>0</v>
      </c>
      <c r="I255">
        <v>0</v>
      </c>
      <c r="K255">
        <v>0</v>
      </c>
      <c r="M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</v>
      </c>
      <c r="U255" s="79">
        <v>45905.570138888892</v>
      </c>
    </row>
    <row r="256" spans="1:21" x14ac:dyDescent="0.45">
      <c r="A256">
        <v>489</v>
      </c>
      <c r="B256">
        <v>1</v>
      </c>
      <c r="C256" t="s">
        <v>3936</v>
      </c>
      <c r="D256" t="s">
        <v>3936</v>
      </c>
      <c r="E256">
        <v>0</v>
      </c>
      <c r="F256">
        <v>0</v>
      </c>
      <c r="G256">
        <v>1</v>
      </c>
      <c r="H256">
        <v>0</v>
      </c>
      <c r="I256">
        <v>0</v>
      </c>
      <c r="K256">
        <v>0</v>
      </c>
      <c r="M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</v>
      </c>
      <c r="U256" s="79">
        <v>45905.570138888892</v>
      </c>
    </row>
    <row r="257" spans="1:21" x14ac:dyDescent="0.45">
      <c r="A257">
        <v>490</v>
      </c>
      <c r="B257">
        <v>1</v>
      </c>
      <c r="C257" t="s">
        <v>3937</v>
      </c>
      <c r="D257" t="s">
        <v>3937</v>
      </c>
      <c r="E257">
        <v>0</v>
      </c>
      <c r="F257">
        <v>602</v>
      </c>
      <c r="G257">
        <v>3</v>
      </c>
      <c r="H257">
        <v>1</v>
      </c>
      <c r="I257">
        <v>0</v>
      </c>
      <c r="K257">
        <v>0</v>
      </c>
      <c r="M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</v>
      </c>
      <c r="U257" s="79">
        <v>45905.570138888892</v>
      </c>
    </row>
    <row r="258" spans="1:21" x14ac:dyDescent="0.45">
      <c r="A258">
        <v>491</v>
      </c>
      <c r="B258">
        <v>0</v>
      </c>
      <c r="C258" t="s">
        <v>3750</v>
      </c>
      <c r="D258" t="s">
        <v>3750</v>
      </c>
      <c r="E258">
        <v>0</v>
      </c>
      <c r="F258">
        <v>0</v>
      </c>
      <c r="G258">
        <v>0</v>
      </c>
      <c r="H258">
        <v>0</v>
      </c>
      <c r="I258">
        <v>0</v>
      </c>
      <c r="K258">
        <v>0</v>
      </c>
      <c r="M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</v>
      </c>
      <c r="U258" s="79">
        <v>45905.570138888892</v>
      </c>
    </row>
    <row r="259" spans="1:21" x14ac:dyDescent="0.45">
      <c r="A259">
        <v>493</v>
      </c>
      <c r="B259">
        <v>0</v>
      </c>
      <c r="C259" t="s">
        <v>3938</v>
      </c>
      <c r="D259" t="s">
        <v>3938</v>
      </c>
      <c r="E259">
        <v>0</v>
      </c>
      <c r="F259">
        <v>0</v>
      </c>
      <c r="G259">
        <v>0</v>
      </c>
      <c r="H259">
        <v>0</v>
      </c>
      <c r="I259">
        <v>0</v>
      </c>
      <c r="K259">
        <v>0</v>
      </c>
      <c r="M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</v>
      </c>
      <c r="U259" s="79">
        <v>45905.570138888892</v>
      </c>
    </row>
    <row r="260" spans="1:21" x14ac:dyDescent="0.45">
      <c r="A260">
        <v>494</v>
      </c>
      <c r="B260">
        <v>1</v>
      </c>
      <c r="C260" t="s">
        <v>3939</v>
      </c>
      <c r="D260" t="s">
        <v>3939</v>
      </c>
      <c r="E260">
        <v>0</v>
      </c>
      <c r="F260">
        <v>495</v>
      </c>
      <c r="G260">
        <v>3</v>
      </c>
      <c r="H260">
        <v>0</v>
      </c>
      <c r="I260">
        <v>0</v>
      </c>
      <c r="K260">
        <v>0</v>
      </c>
      <c r="M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</v>
      </c>
      <c r="U260" s="79">
        <v>45905.570138888892</v>
      </c>
    </row>
    <row r="261" spans="1:21" x14ac:dyDescent="0.45">
      <c r="A261">
        <v>495</v>
      </c>
      <c r="B261">
        <v>1</v>
      </c>
      <c r="C261" t="s">
        <v>3940</v>
      </c>
      <c r="D261" t="s">
        <v>3941</v>
      </c>
      <c r="E261">
        <v>0</v>
      </c>
      <c r="F261">
        <v>0</v>
      </c>
      <c r="G261">
        <v>3</v>
      </c>
      <c r="H261">
        <v>0</v>
      </c>
      <c r="I261">
        <v>0</v>
      </c>
      <c r="K261">
        <v>0</v>
      </c>
      <c r="M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</v>
      </c>
      <c r="U261" s="79">
        <v>45905.570138888892</v>
      </c>
    </row>
    <row r="262" spans="1:21" x14ac:dyDescent="0.45">
      <c r="A262">
        <v>496</v>
      </c>
      <c r="B262">
        <v>1</v>
      </c>
      <c r="C262" t="s">
        <v>3942</v>
      </c>
      <c r="D262" t="s">
        <v>3943</v>
      </c>
      <c r="E262">
        <v>0</v>
      </c>
      <c r="F262">
        <v>497</v>
      </c>
      <c r="G262">
        <v>3</v>
      </c>
      <c r="H262">
        <v>0</v>
      </c>
      <c r="I262">
        <v>0</v>
      </c>
      <c r="K262">
        <v>0</v>
      </c>
      <c r="M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2</v>
      </c>
      <c r="U262" s="79">
        <v>45905.570138888892</v>
      </c>
    </row>
    <row r="263" spans="1:21" x14ac:dyDescent="0.45">
      <c r="A263">
        <v>497</v>
      </c>
      <c r="B263">
        <v>1</v>
      </c>
      <c r="C263" t="s">
        <v>3944</v>
      </c>
      <c r="D263" t="s">
        <v>3944</v>
      </c>
      <c r="E263">
        <v>0</v>
      </c>
      <c r="F263">
        <v>0</v>
      </c>
      <c r="G263">
        <v>3</v>
      </c>
      <c r="H263">
        <v>0</v>
      </c>
      <c r="I263">
        <v>0</v>
      </c>
      <c r="K263">
        <v>0</v>
      </c>
      <c r="M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</v>
      </c>
      <c r="U263" s="79">
        <v>45905.570138888892</v>
      </c>
    </row>
    <row r="264" spans="1:21" x14ac:dyDescent="0.45">
      <c r="A264">
        <v>500</v>
      </c>
      <c r="B264">
        <v>1</v>
      </c>
      <c r="C264" t="s">
        <v>3945</v>
      </c>
      <c r="D264" t="s">
        <v>3945</v>
      </c>
      <c r="E264">
        <v>370</v>
      </c>
      <c r="F264">
        <v>0</v>
      </c>
      <c r="G264">
        <v>0</v>
      </c>
      <c r="H264">
        <v>1</v>
      </c>
      <c r="I264">
        <v>24</v>
      </c>
      <c r="K264">
        <v>0</v>
      </c>
      <c r="M264">
        <v>0</v>
      </c>
      <c r="O264">
        <v>0</v>
      </c>
      <c r="P264">
        <v>88</v>
      </c>
      <c r="Q264">
        <v>0</v>
      </c>
      <c r="R264">
        <v>1</v>
      </c>
      <c r="S264">
        <v>0</v>
      </c>
      <c r="T264">
        <v>2</v>
      </c>
      <c r="U264" s="79">
        <v>45905.570833333331</v>
      </c>
    </row>
    <row r="265" spans="1:21" x14ac:dyDescent="0.45">
      <c r="A265">
        <v>501</v>
      </c>
      <c r="B265">
        <v>1</v>
      </c>
      <c r="C265" t="s">
        <v>3946</v>
      </c>
      <c r="D265" t="s">
        <v>3946</v>
      </c>
      <c r="E265">
        <v>300</v>
      </c>
      <c r="F265">
        <v>0</v>
      </c>
      <c r="G265">
        <v>0</v>
      </c>
      <c r="H265">
        <v>1</v>
      </c>
      <c r="I265">
        <v>24</v>
      </c>
      <c r="K265">
        <v>0</v>
      </c>
      <c r="M265">
        <v>0</v>
      </c>
      <c r="O265">
        <v>0</v>
      </c>
      <c r="P265">
        <v>88</v>
      </c>
      <c r="Q265">
        <v>0</v>
      </c>
      <c r="R265">
        <v>1</v>
      </c>
      <c r="S265">
        <v>0</v>
      </c>
      <c r="T265">
        <v>2</v>
      </c>
      <c r="U265" s="79">
        <v>45905.570833333331</v>
      </c>
    </row>
    <row r="266" spans="1:21" x14ac:dyDescent="0.45">
      <c r="A266">
        <v>502</v>
      </c>
      <c r="B266">
        <v>0</v>
      </c>
      <c r="C266" t="s">
        <v>1046</v>
      </c>
      <c r="D266" t="s">
        <v>1046</v>
      </c>
      <c r="E266">
        <v>0</v>
      </c>
      <c r="F266">
        <v>503</v>
      </c>
      <c r="G266">
        <v>0</v>
      </c>
      <c r="H266">
        <v>0</v>
      </c>
      <c r="I266">
        <v>0</v>
      </c>
      <c r="K266">
        <v>0</v>
      </c>
      <c r="M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</v>
      </c>
      <c r="U266" s="79">
        <v>45905.570833333331</v>
      </c>
    </row>
    <row r="267" spans="1:21" x14ac:dyDescent="0.45">
      <c r="A267">
        <v>504</v>
      </c>
      <c r="B267">
        <v>1</v>
      </c>
      <c r="C267" t="s">
        <v>3947</v>
      </c>
      <c r="D267" t="s">
        <v>3947</v>
      </c>
      <c r="E267">
        <v>0</v>
      </c>
      <c r="F267">
        <v>0</v>
      </c>
      <c r="G267">
        <v>1</v>
      </c>
      <c r="H267">
        <v>0</v>
      </c>
      <c r="I267">
        <v>0</v>
      </c>
      <c r="K267">
        <v>0</v>
      </c>
      <c r="M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</v>
      </c>
      <c r="U267" s="79">
        <v>45905.570833333331</v>
      </c>
    </row>
    <row r="268" spans="1:21" x14ac:dyDescent="0.45">
      <c r="A268">
        <v>505</v>
      </c>
      <c r="B268">
        <v>1</v>
      </c>
      <c r="C268" t="s">
        <v>3948</v>
      </c>
      <c r="D268" t="s">
        <v>3948</v>
      </c>
      <c r="E268">
        <v>0</v>
      </c>
      <c r="F268">
        <v>0</v>
      </c>
      <c r="G268">
        <v>1</v>
      </c>
      <c r="H268">
        <v>0</v>
      </c>
      <c r="I268">
        <v>0</v>
      </c>
      <c r="K268">
        <v>0</v>
      </c>
      <c r="M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</v>
      </c>
      <c r="U268" s="79">
        <v>45905.570833333331</v>
      </c>
    </row>
    <row r="269" spans="1:21" x14ac:dyDescent="0.45">
      <c r="A269">
        <v>506</v>
      </c>
      <c r="B269">
        <v>0</v>
      </c>
      <c r="C269" t="s">
        <v>3949</v>
      </c>
      <c r="D269" t="s">
        <v>3950</v>
      </c>
      <c r="E269">
        <v>0</v>
      </c>
      <c r="F269">
        <v>507</v>
      </c>
      <c r="G269">
        <v>1</v>
      </c>
      <c r="H269">
        <v>0</v>
      </c>
      <c r="I269">
        <v>0</v>
      </c>
      <c r="K269">
        <v>0</v>
      </c>
      <c r="M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2</v>
      </c>
      <c r="U269" s="79">
        <v>45905.571527777778</v>
      </c>
    </row>
    <row r="270" spans="1:21" x14ac:dyDescent="0.45">
      <c r="A270">
        <v>507</v>
      </c>
      <c r="B270">
        <v>0</v>
      </c>
      <c r="C270" t="s">
        <v>3951</v>
      </c>
      <c r="D270" t="s">
        <v>3951</v>
      </c>
      <c r="E270">
        <v>0</v>
      </c>
      <c r="F270">
        <v>0</v>
      </c>
      <c r="G270">
        <v>1</v>
      </c>
      <c r="H270">
        <v>0</v>
      </c>
      <c r="I270">
        <v>0</v>
      </c>
      <c r="K270">
        <v>0</v>
      </c>
      <c r="M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2</v>
      </c>
      <c r="U270" s="79">
        <v>45905.571527777778</v>
      </c>
    </row>
    <row r="271" spans="1:21" x14ac:dyDescent="0.45">
      <c r="A271">
        <v>508</v>
      </c>
      <c r="B271">
        <v>1</v>
      </c>
      <c r="C271" t="s">
        <v>3952</v>
      </c>
      <c r="D271" t="s">
        <v>3953</v>
      </c>
      <c r="E271">
        <v>0</v>
      </c>
      <c r="F271">
        <v>0</v>
      </c>
      <c r="G271">
        <v>0</v>
      </c>
      <c r="H271">
        <v>0</v>
      </c>
      <c r="I271">
        <v>24</v>
      </c>
      <c r="K271">
        <v>0</v>
      </c>
      <c r="M271">
        <v>0</v>
      </c>
      <c r="O271">
        <v>0</v>
      </c>
      <c r="P271">
        <v>88</v>
      </c>
      <c r="Q271">
        <v>0</v>
      </c>
      <c r="R271">
        <v>1</v>
      </c>
      <c r="S271">
        <v>0</v>
      </c>
      <c r="T271">
        <v>2</v>
      </c>
      <c r="U271" s="79">
        <v>45905.571527777778</v>
      </c>
    </row>
    <row r="272" spans="1:21" x14ac:dyDescent="0.45">
      <c r="A272">
        <v>509</v>
      </c>
      <c r="B272">
        <v>0</v>
      </c>
      <c r="C272" t="s">
        <v>3954</v>
      </c>
      <c r="D272" t="s">
        <v>3954</v>
      </c>
      <c r="E272">
        <v>0</v>
      </c>
      <c r="F272">
        <v>0</v>
      </c>
      <c r="G272">
        <v>1</v>
      </c>
      <c r="H272">
        <v>0</v>
      </c>
      <c r="I272">
        <v>0</v>
      </c>
      <c r="K272">
        <v>0</v>
      </c>
      <c r="M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</v>
      </c>
      <c r="U272" s="79">
        <v>45905.587500000001</v>
      </c>
    </row>
    <row r="273" spans="1:21" x14ac:dyDescent="0.45">
      <c r="A273">
        <v>522</v>
      </c>
      <c r="B273">
        <v>1</v>
      </c>
      <c r="C273" t="s">
        <v>3742</v>
      </c>
      <c r="D273" t="s">
        <v>3742</v>
      </c>
      <c r="E273">
        <v>0</v>
      </c>
      <c r="F273">
        <v>0</v>
      </c>
      <c r="G273">
        <v>0</v>
      </c>
      <c r="H273">
        <v>0</v>
      </c>
      <c r="I273">
        <v>0</v>
      </c>
      <c r="K273">
        <v>0</v>
      </c>
      <c r="M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</v>
      </c>
      <c r="U273" s="79">
        <v>45905.571527777778</v>
      </c>
    </row>
    <row r="274" spans="1:21" x14ac:dyDescent="0.45">
      <c r="A274">
        <v>523</v>
      </c>
      <c r="B274">
        <v>1</v>
      </c>
      <c r="C274" t="s">
        <v>3955</v>
      </c>
      <c r="D274" t="s">
        <v>3955</v>
      </c>
      <c r="E274">
        <v>0</v>
      </c>
      <c r="F274">
        <v>0</v>
      </c>
      <c r="G274">
        <v>1</v>
      </c>
      <c r="H274">
        <v>0</v>
      </c>
      <c r="I274">
        <v>0</v>
      </c>
      <c r="K274">
        <v>0</v>
      </c>
      <c r="M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</v>
      </c>
      <c r="U274" s="79">
        <v>45905.571527777778</v>
      </c>
    </row>
    <row r="275" spans="1:21" x14ac:dyDescent="0.45">
      <c r="A275">
        <v>534</v>
      </c>
      <c r="B275">
        <v>1</v>
      </c>
      <c r="C275" t="s">
        <v>13</v>
      </c>
      <c r="D275" t="s">
        <v>11</v>
      </c>
      <c r="E275">
        <v>0</v>
      </c>
      <c r="F275">
        <v>535</v>
      </c>
      <c r="G275">
        <v>0</v>
      </c>
      <c r="H275">
        <v>2</v>
      </c>
      <c r="I275">
        <v>0</v>
      </c>
      <c r="J275" t="s">
        <v>3628</v>
      </c>
      <c r="K275">
        <v>1</v>
      </c>
      <c r="L275" t="s">
        <v>3680</v>
      </c>
      <c r="M275">
        <v>0</v>
      </c>
      <c r="N275" t="s">
        <v>3636</v>
      </c>
      <c r="O275">
        <v>0</v>
      </c>
      <c r="P275" t="s">
        <v>3840</v>
      </c>
      <c r="Q275">
        <v>0</v>
      </c>
      <c r="R275" t="s">
        <v>3841</v>
      </c>
      <c r="S275">
        <v>0</v>
      </c>
      <c r="T275">
        <v>2</v>
      </c>
      <c r="U275" s="79">
        <v>45737.613194444442</v>
      </c>
    </row>
    <row r="276" spans="1:21" x14ac:dyDescent="0.45">
      <c r="A276">
        <v>535</v>
      </c>
      <c r="B276">
        <v>1</v>
      </c>
      <c r="C276" t="s">
        <v>3956</v>
      </c>
      <c r="D276" t="s">
        <v>3957</v>
      </c>
      <c r="E276">
        <v>0</v>
      </c>
      <c r="F276">
        <v>0</v>
      </c>
      <c r="G276">
        <v>1</v>
      </c>
      <c r="H276">
        <v>2</v>
      </c>
      <c r="I276">
        <v>0</v>
      </c>
      <c r="K276">
        <v>0</v>
      </c>
      <c r="M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</v>
      </c>
      <c r="U276" s="79">
        <v>45905.571527777778</v>
      </c>
    </row>
    <row r="277" spans="1:21" x14ac:dyDescent="0.45">
      <c r="A277">
        <v>536</v>
      </c>
      <c r="B277">
        <v>1</v>
      </c>
      <c r="C277" t="s">
        <v>3958</v>
      </c>
      <c r="D277" t="s">
        <v>3958</v>
      </c>
      <c r="E277">
        <v>0</v>
      </c>
      <c r="F277">
        <v>0</v>
      </c>
      <c r="G277">
        <v>0</v>
      </c>
      <c r="H277">
        <v>0</v>
      </c>
      <c r="I277">
        <v>0</v>
      </c>
      <c r="K277">
        <v>0</v>
      </c>
      <c r="M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</v>
      </c>
      <c r="U277" s="79">
        <v>45905.571527777778</v>
      </c>
    </row>
    <row r="278" spans="1:21" x14ac:dyDescent="0.45">
      <c r="A278">
        <v>537</v>
      </c>
      <c r="B278">
        <v>1</v>
      </c>
      <c r="C278" t="s">
        <v>3959</v>
      </c>
      <c r="D278" t="s">
        <v>3959</v>
      </c>
      <c r="E278">
        <v>0</v>
      </c>
      <c r="F278">
        <v>0</v>
      </c>
      <c r="G278">
        <v>0</v>
      </c>
      <c r="H278">
        <v>0</v>
      </c>
      <c r="I278">
        <v>0</v>
      </c>
      <c r="K278">
        <v>0</v>
      </c>
      <c r="M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</v>
      </c>
      <c r="U278" s="79">
        <v>45905.571527777778</v>
      </c>
    </row>
    <row r="279" spans="1:21" x14ac:dyDescent="0.45">
      <c r="A279">
        <v>538</v>
      </c>
      <c r="B279">
        <v>1</v>
      </c>
      <c r="C279" t="s">
        <v>3960</v>
      </c>
      <c r="D279" t="s">
        <v>3960</v>
      </c>
      <c r="E279">
        <v>0</v>
      </c>
      <c r="F279">
        <v>0</v>
      </c>
      <c r="G279">
        <v>0</v>
      </c>
      <c r="H279">
        <v>0</v>
      </c>
      <c r="I279">
        <v>0</v>
      </c>
      <c r="K279">
        <v>0</v>
      </c>
      <c r="M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</v>
      </c>
      <c r="U279" s="79">
        <v>45905.572222222218</v>
      </c>
    </row>
    <row r="280" spans="1:21" x14ac:dyDescent="0.45">
      <c r="A280">
        <v>539</v>
      </c>
      <c r="B280">
        <v>1</v>
      </c>
      <c r="C280" t="s">
        <v>3961</v>
      </c>
      <c r="D280" t="s">
        <v>3961</v>
      </c>
      <c r="E280">
        <v>0</v>
      </c>
      <c r="F280">
        <v>0</v>
      </c>
      <c r="G280">
        <v>1</v>
      </c>
      <c r="H280">
        <v>0</v>
      </c>
      <c r="I280">
        <v>0</v>
      </c>
      <c r="K280">
        <v>0</v>
      </c>
      <c r="M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</v>
      </c>
      <c r="U280" s="79">
        <v>45905.572222222218</v>
      </c>
    </row>
    <row r="281" spans="1:21" x14ac:dyDescent="0.45">
      <c r="A281">
        <v>540</v>
      </c>
      <c r="B281">
        <v>1</v>
      </c>
      <c r="C281" t="s">
        <v>3962</v>
      </c>
      <c r="D281" t="s">
        <v>3962</v>
      </c>
      <c r="E281">
        <v>0</v>
      </c>
      <c r="F281">
        <v>0</v>
      </c>
      <c r="G281">
        <v>1</v>
      </c>
      <c r="H281">
        <v>0</v>
      </c>
      <c r="I281">
        <v>0</v>
      </c>
      <c r="K281">
        <v>0</v>
      </c>
      <c r="M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</v>
      </c>
      <c r="U281" s="79">
        <v>45905.572222222218</v>
      </c>
    </row>
    <row r="282" spans="1:21" x14ac:dyDescent="0.45">
      <c r="A282">
        <v>543</v>
      </c>
      <c r="B282">
        <v>1</v>
      </c>
      <c r="C282" t="s">
        <v>2316</v>
      </c>
      <c r="D282" t="s">
        <v>2316</v>
      </c>
      <c r="E282">
        <v>0</v>
      </c>
      <c r="F282">
        <v>0</v>
      </c>
      <c r="G282">
        <v>1</v>
      </c>
      <c r="H282">
        <v>2</v>
      </c>
      <c r="I282">
        <v>0</v>
      </c>
      <c r="J282" t="s">
        <v>3799</v>
      </c>
      <c r="K282">
        <v>0</v>
      </c>
      <c r="M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</v>
      </c>
      <c r="U282" s="79">
        <v>45905.572222222218</v>
      </c>
    </row>
    <row r="283" spans="1:21" x14ac:dyDescent="0.45">
      <c r="A283">
        <v>544</v>
      </c>
      <c r="B283">
        <v>1</v>
      </c>
      <c r="C283" t="s">
        <v>3963</v>
      </c>
      <c r="D283" t="s">
        <v>3964</v>
      </c>
      <c r="E283">
        <v>0</v>
      </c>
      <c r="F283">
        <v>545</v>
      </c>
      <c r="G283">
        <v>3</v>
      </c>
      <c r="H283">
        <v>0</v>
      </c>
      <c r="I283">
        <v>0</v>
      </c>
      <c r="K283">
        <v>0</v>
      </c>
      <c r="M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2</v>
      </c>
      <c r="U283" s="79">
        <v>45905.572222222218</v>
      </c>
    </row>
    <row r="284" spans="1:21" x14ac:dyDescent="0.45">
      <c r="A284">
        <v>545</v>
      </c>
      <c r="B284">
        <v>1</v>
      </c>
      <c r="C284" t="s">
        <v>3965</v>
      </c>
      <c r="D284" t="s">
        <v>3966</v>
      </c>
      <c r="E284">
        <v>0</v>
      </c>
      <c r="F284">
        <v>545</v>
      </c>
      <c r="G284">
        <v>3</v>
      </c>
      <c r="H284">
        <v>0</v>
      </c>
      <c r="I284">
        <v>0</v>
      </c>
      <c r="K284">
        <v>0</v>
      </c>
      <c r="M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2</v>
      </c>
      <c r="U284" s="79">
        <v>45905.572222222218</v>
      </c>
    </row>
    <row r="285" spans="1:21" x14ac:dyDescent="0.45">
      <c r="A285">
        <v>548</v>
      </c>
      <c r="B285">
        <v>1</v>
      </c>
      <c r="C285" t="s">
        <v>3967</v>
      </c>
      <c r="D285" t="s">
        <v>3968</v>
      </c>
      <c r="E285">
        <v>0</v>
      </c>
      <c r="F285">
        <v>549</v>
      </c>
      <c r="G285">
        <v>1</v>
      </c>
      <c r="H285">
        <v>2</v>
      </c>
      <c r="I285">
        <v>16</v>
      </c>
      <c r="J285" t="s">
        <v>3680</v>
      </c>
      <c r="K285">
        <v>0</v>
      </c>
      <c r="M285">
        <v>0</v>
      </c>
      <c r="O285">
        <v>0</v>
      </c>
      <c r="P285">
        <v>100</v>
      </c>
      <c r="Q285">
        <v>0</v>
      </c>
      <c r="R285">
        <v>1</v>
      </c>
      <c r="S285">
        <v>0</v>
      </c>
      <c r="T285">
        <v>2</v>
      </c>
      <c r="U285" s="79">
        <v>45905.572222222218</v>
      </c>
    </row>
    <row r="286" spans="1:21" x14ac:dyDescent="0.45">
      <c r="A286">
        <v>549</v>
      </c>
      <c r="B286">
        <v>1</v>
      </c>
      <c r="C286" t="s">
        <v>3969</v>
      </c>
      <c r="D286" t="s">
        <v>3969</v>
      </c>
      <c r="E286">
        <v>0</v>
      </c>
      <c r="F286">
        <v>549</v>
      </c>
      <c r="G286">
        <v>1</v>
      </c>
      <c r="H286">
        <v>2</v>
      </c>
      <c r="I286">
        <v>0</v>
      </c>
      <c r="J286" t="s">
        <v>3680</v>
      </c>
      <c r="K286">
        <v>0</v>
      </c>
      <c r="M286">
        <v>0</v>
      </c>
      <c r="O286">
        <v>0</v>
      </c>
      <c r="P286">
        <v>100</v>
      </c>
      <c r="Q286">
        <v>0</v>
      </c>
      <c r="R286">
        <v>1</v>
      </c>
      <c r="S286">
        <v>0</v>
      </c>
      <c r="T286">
        <v>2</v>
      </c>
      <c r="U286" s="79">
        <v>45905.572222222218</v>
      </c>
    </row>
    <row r="287" spans="1:21" x14ac:dyDescent="0.45">
      <c r="A287">
        <v>552</v>
      </c>
      <c r="B287">
        <v>1</v>
      </c>
      <c r="C287" t="s">
        <v>3970</v>
      </c>
      <c r="D287" t="s">
        <v>3970</v>
      </c>
      <c r="E287">
        <v>0</v>
      </c>
      <c r="F287">
        <v>0</v>
      </c>
      <c r="G287">
        <v>1</v>
      </c>
      <c r="H287">
        <v>0</v>
      </c>
      <c r="I287">
        <v>0</v>
      </c>
      <c r="K287">
        <v>0</v>
      </c>
      <c r="M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</v>
      </c>
      <c r="U287" s="79">
        <v>45905.587500000001</v>
      </c>
    </row>
    <row r="288" spans="1:21" x14ac:dyDescent="0.45">
      <c r="A288">
        <v>553</v>
      </c>
      <c r="B288">
        <v>1</v>
      </c>
      <c r="C288" t="s">
        <v>3971</v>
      </c>
      <c r="D288" t="s">
        <v>3971</v>
      </c>
      <c r="E288">
        <v>0</v>
      </c>
      <c r="F288">
        <v>554</v>
      </c>
      <c r="G288">
        <v>1</v>
      </c>
      <c r="H288">
        <v>2</v>
      </c>
      <c r="I288">
        <v>30</v>
      </c>
      <c r="J288" t="s">
        <v>3972</v>
      </c>
      <c r="K288">
        <v>0</v>
      </c>
      <c r="L288" t="s">
        <v>3681</v>
      </c>
      <c r="M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</v>
      </c>
      <c r="U288" s="79">
        <v>45905.587500000001</v>
      </c>
    </row>
    <row r="289" spans="1:21" x14ac:dyDescent="0.45">
      <c r="A289">
        <v>554</v>
      </c>
      <c r="B289">
        <v>1</v>
      </c>
      <c r="C289" t="s">
        <v>3971</v>
      </c>
      <c r="D289" t="s">
        <v>3971</v>
      </c>
      <c r="E289">
        <v>0</v>
      </c>
      <c r="F289">
        <v>0</v>
      </c>
      <c r="G289">
        <v>1</v>
      </c>
      <c r="H289">
        <v>0</v>
      </c>
      <c r="I289">
        <v>0</v>
      </c>
      <c r="K289">
        <v>0</v>
      </c>
      <c r="M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</v>
      </c>
      <c r="U289" s="79">
        <v>45905.587500000001</v>
      </c>
    </row>
    <row r="290" spans="1:21" x14ac:dyDescent="0.45">
      <c r="A290">
        <v>555</v>
      </c>
      <c r="B290">
        <v>1</v>
      </c>
      <c r="C290" t="s">
        <v>3973</v>
      </c>
      <c r="D290" t="s">
        <v>3826</v>
      </c>
      <c r="E290">
        <v>0</v>
      </c>
      <c r="F290">
        <v>556</v>
      </c>
      <c r="G290">
        <v>1</v>
      </c>
      <c r="H290">
        <v>2</v>
      </c>
      <c r="I290">
        <v>0</v>
      </c>
      <c r="J290" t="s">
        <v>3628</v>
      </c>
      <c r="K290">
        <v>1</v>
      </c>
      <c r="L290" t="s">
        <v>3827</v>
      </c>
      <c r="M290">
        <v>0</v>
      </c>
      <c r="N290" t="s">
        <v>3828</v>
      </c>
      <c r="O290">
        <v>0</v>
      </c>
      <c r="P290" t="s">
        <v>3829</v>
      </c>
      <c r="Q290">
        <v>0</v>
      </c>
      <c r="R290" t="s">
        <v>3681</v>
      </c>
      <c r="S290">
        <v>0</v>
      </c>
      <c r="T290">
        <v>2</v>
      </c>
      <c r="U290" s="79">
        <v>45877.693749999999</v>
      </c>
    </row>
    <row r="291" spans="1:21" x14ac:dyDescent="0.45">
      <c r="A291">
        <v>556</v>
      </c>
      <c r="B291">
        <v>1</v>
      </c>
      <c r="C291" t="s">
        <v>3974</v>
      </c>
      <c r="D291" t="s">
        <v>3974</v>
      </c>
      <c r="E291">
        <v>0</v>
      </c>
      <c r="F291">
        <v>556</v>
      </c>
      <c r="G291">
        <v>1</v>
      </c>
      <c r="H291">
        <v>2</v>
      </c>
      <c r="I291">
        <v>0</v>
      </c>
      <c r="K291">
        <v>0</v>
      </c>
      <c r="M291">
        <v>0</v>
      </c>
      <c r="O291">
        <v>0</v>
      </c>
      <c r="Q291">
        <v>0</v>
      </c>
      <c r="S291">
        <v>0</v>
      </c>
      <c r="T291">
        <v>2</v>
      </c>
      <c r="U291" s="79">
        <v>45877.693749999999</v>
      </c>
    </row>
    <row r="292" spans="1:21" x14ac:dyDescent="0.45">
      <c r="A292">
        <v>557</v>
      </c>
      <c r="B292">
        <v>0</v>
      </c>
      <c r="C292" t="s">
        <v>3975</v>
      </c>
      <c r="D292" t="s">
        <v>3975</v>
      </c>
      <c r="E292">
        <v>0</v>
      </c>
      <c r="F292">
        <v>0</v>
      </c>
      <c r="G292">
        <v>0</v>
      </c>
      <c r="H292">
        <v>0</v>
      </c>
      <c r="I292">
        <v>0</v>
      </c>
      <c r="K292">
        <v>0</v>
      </c>
      <c r="M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</v>
      </c>
      <c r="U292" s="79">
        <v>45905.588194444441</v>
      </c>
    </row>
    <row r="293" spans="1:21" x14ac:dyDescent="0.45">
      <c r="A293">
        <v>558</v>
      </c>
      <c r="B293">
        <v>1</v>
      </c>
      <c r="C293" t="s">
        <v>3976</v>
      </c>
      <c r="D293" t="s">
        <v>3976</v>
      </c>
      <c r="E293">
        <v>0</v>
      </c>
      <c r="F293">
        <v>0</v>
      </c>
      <c r="G293">
        <v>1</v>
      </c>
      <c r="H293">
        <v>0</v>
      </c>
      <c r="I293">
        <v>80</v>
      </c>
      <c r="K293">
        <v>0</v>
      </c>
      <c r="M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2</v>
      </c>
      <c r="U293" s="79">
        <v>45905.588194444441</v>
      </c>
    </row>
    <row r="294" spans="1:21" x14ac:dyDescent="0.45">
      <c r="A294">
        <v>559</v>
      </c>
      <c r="B294">
        <v>1</v>
      </c>
      <c r="C294" t="s">
        <v>3977</v>
      </c>
      <c r="D294" t="s">
        <v>3977</v>
      </c>
      <c r="E294">
        <v>0</v>
      </c>
      <c r="F294">
        <v>0</v>
      </c>
      <c r="G294">
        <v>1</v>
      </c>
      <c r="H294">
        <v>0</v>
      </c>
      <c r="I294">
        <v>80</v>
      </c>
      <c r="K294">
        <v>0</v>
      </c>
      <c r="M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2</v>
      </c>
      <c r="U294" s="79">
        <v>45905.588194444441</v>
      </c>
    </row>
    <row r="295" spans="1:21" x14ac:dyDescent="0.45">
      <c r="A295">
        <v>560</v>
      </c>
      <c r="B295">
        <v>1</v>
      </c>
      <c r="C295" t="s">
        <v>3978</v>
      </c>
      <c r="D295" t="s">
        <v>3978</v>
      </c>
      <c r="E295">
        <v>0</v>
      </c>
      <c r="F295">
        <v>0</v>
      </c>
      <c r="G295">
        <v>1</v>
      </c>
      <c r="H295">
        <v>0</v>
      </c>
      <c r="I295">
        <v>80</v>
      </c>
      <c r="K295">
        <v>0</v>
      </c>
      <c r="M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</v>
      </c>
      <c r="U295" s="79">
        <v>45905.588194444441</v>
      </c>
    </row>
    <row r="296" spans="1:21" x14ac:dyDescent="0.45">
      <c r="A296">
        <v>561</v>
      </c>
      <c r="B296">
        <v>1</v>
      </c>
      <c r="C296" t="s">
        <v>3979</v>
      </c>
      <c r="D296" t="s">
        <v>3979</v>
      </c>
      <c r="E296">
        <v>0</v>
      </c>
      <c r="F296">
        <v>0</v>
      </c>
      <c r="G296">
        <v>1</v>
      </c>
      <c r="H296">
        <v>0</v>
      </c>
      <c r="I296">
        <v>80</v>
      </c>
      <c r="K296">
        <v>0</v>
      </c>
      <c r="M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</v>
      </c>
      <c r="U296" s="79">
        <v>45905.588194444441</v>
      </c>
    </row>
    <row r="297" spans="1:21" x14ac:dyDescent="0.45">
      <c r="A297">
        <v>562</v>
      </c>
      <c r="B297">
        <v>1</v>
      </c>
      <c r="C297" t="s">
        <v>3980</v>
      </c>
      <c r="D297" t="s">
        <v>3980</v>
      </c>
      <c r="E297">
        <v>0</v>
      </c>
      <c r="F297">
        <v>0</v>
      </c>
      <c r="G297">
        <v>1</v>
      </c>
      <c r="H297">
        <v>0</v>
      </c>
      <c r="I297">
        <v>0</v>
      </c>
      <c r="K297">
        <v>0</v>
      </c>
      <c r="M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</v>
      </c>
      <c r="U297" s="79">
        <v>45905.588194444441</v>
      </c>
    </row>
    <row r="298" spans="1:21" x14ac:dyDescent="0.45">
      <c r="A298">
        <v>563</v>
      </c>
      <c r="B298">
        <v>1</v>
      </c>
      <c r="C298" t="s">
        <v>3981</v>
      </c>
      <c r="D298" t="s">
        <v>3982</v>
      </c>
      <c r="E298">
        <v>0</v>
      </c>
      <c r="F298">
        <v>564</v>
      </c>
      <c r="G298">
        <v>0</v>
      </c>
      <c r="H298">
        <v>0</v>
      </c>
      <c r="I298">
        <v>0</v>
      </c>
      <c r="K298">
        <v>0</v>
      </c>
      <c r="M298">
        <v>0</v>
      </c>
      <c r="O298">
        <v>0</v>
      </c>
      <c r="Q298">
        <v>0</v>
      </c>
      <c r="S298">
        <v>0</v>
      </c>
      <c r="T298">
        <v>2</v>
      </c>
      <c r="U298" s="79">
        <v>45370.57708333333</v>
      </c>
    </row>
    <row r="299" spans="1:21" x14ac:dyDescent="0.45">
      <c r="A299">
        <v>564</v>
      </c>
      <c r="B299">
        <v>1</v>
      </c>
      <c r="C299" t="s">
        <v>3983</v>
      </c>
      <c r="D299" t="s">
        <v>3983</v>
      </c>
      <c r="E299">
        <v>0</v>
      </c>
      <c r="F299">
        <v>0</v>
      </c>
      <c r="G299">
        <v>0</v>
      </c>
      <c r="H299">
        <v>0</v>
      </c>
      <c r="I299">
        <v>0</v>
      </c>
      <c r="K299">
        <v>0</v>
      </c>
      <c r="M299">
        <v>0</v>
      </c>
      <c r="O299">
        <v>0</v>
      </c>
      <c r="Q299">
        <v>0</v>
      </c>
      <c r="S299">
        <v>0</v>
      </c>
      <c r="T299">
        <v>2</v>
      </c>
      <c r="U299" s="79">
        <v>45877.722916666673</v>
      </c>
    </row>
    <row r="300" spans="1:21" x14ac:dyDescent="0.45">
      <c r="A300">
        <v>570</v>
      </c>
      <c r="B300">
        <v>1</v>
      </c>
      <c r="C300" t="s">
        <v>3984</v>
      </c>
      <c r="D300" t="s">
        <v>3984</v>
      </c>
      <c r="E300">
        <v>0</v>
      </c>
      <c r="F300">
        <v>0</v>
      </c>
      <c r="G300">
        <v>3</v>
      </c>
      <c r="H300">
        <v>2</v>
      </c>
      <c r="I300">
        <v>0</v>
      </c>
      <c r="J300" t="s">
        <v>3811</v>
      </c>
      <c r="K300">
        <v>0</v>
      </c>
      <c r="M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</v>
      </c>
      <c r="U300" s="79">
        <v>45905.588888888888</v>
      </c>
    </row>
    <row r="301" spans="1:21" x14ac:dyDescent="0.45">
      <c r="A301">
        <v>571</v>
      </c>
      <c r="B301">
        <v>1</v>
      </c>
      <c r="C301" t="s">
        <v>3985</v>
      </c>
      <c r="D301" t="s">
        <v>3986</v>
      </c>
      <c r="E301">
        <v>0</v>
      </c>
      <c r="F301">
        <v>0</v>
      </c>
      <c r="G301">
        <v>3</v>
      </c>
      <c r="H301">
        <v>2</v>
      </c>
      <c r="I301">
        <v>0</v>
      </c>
      <c r="J301" t="s">
        <v>3987</v>
      </c>
      <c r="K301">
        <v>0</v>
      </c>
      <c r="M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</v>
      </c>
      <c r="U301" s="79">
        <v>45905.588888888888</v>
      </c>
    </row>
    <row r="302" spans="1:21" x14ac:dyDescent="0.45">
      <c r="A302">
        <v>572</v>
      </c>
      <c r="B302">
        <v>1</v>
      </c>
      <c r="C302" t="s">
        <v>3988</v>
      </c>
      <c r="D302" t="s">
        <v>3988</v>
      </c>
      <c r="E302">
        <v>0</v>
      </c>
      <c r="F302">
        <v>0</v>
      </c>
      <c r="G302">
        <v>3</v>
      </c>
      <c r="H302">
        <v>2</v>
      </c>
      <c r="I302">
        <v>0</v>
      </c>
      <c r="J302" t="s">
        <v>3989</v>
      </c>
      <c r="K302">
        <v>0</v>
      </c>
      <c r="M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</v>
      </c>
      <c r="U302" s="79">
        <v>45905.588888888888</v>
      </c>
    </row>
    <row r="303" spans="1:21" x14ac:dyDescent="0.45">
      <c r="A303">
        <v>573</v>
      </c>
      <c r="B303">
        <v>1</v>
      </c>
      <c r="C303" t="s">
        <v>3990</v>
      </c>
      <c r="D303" t="s">
        <v>3990</v>
      </c>
      <c r="E303">
        <v>0</v>
      </c>
      <c r="F303">
        <v>0</v>
      </c>
      <c r="G303">
        <v>3</v>
      </c>
      <c r="H303">
        <v>2</v>
      </c>
      <c r="I303">
        <v>0</v>
      </c>
      <c r="J303" t="s">
        <v>3991</v>
      </c>
      <c r="K303">
        <v>0</v>
      </c>
      <c r="M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</v>
      </c>
      <c r="U303" s="79">
        <v>45905.588888888888</v>
      </c>
    </row>
    <row r="304" spans="1:21" x14ac:dyDescent="0.45">
      <c r="A304">
        <v>574</v>
      </c>
      <c r="B304">
        <v>1</v>
      </c>
      <c r="C304" t="s">
        <v>3992</v>
      </c>
      <c r="D304" t="s">
        <v>3992</v>
      </c>
      <c r="E304">
        <v>0</v>
      </c>
      <c r="F304">
        <v>0</v>
      </c>
      <c r="G304">
        <v>3</v>
      </c>
      <c r="H304">
        <v>2</v>
      </c>
      <c r="I304">
        <v>0</v>
      </c>
      <c r="J304" t="s">
        <v>3993</v>
      </c>
      <c r="K304">
        <v>0</v>
      </c>
      <c r="M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</v>
      </c>
      <c r="U304" s="79">
        <v>45905.588888888888</v>
      </c>
    </row>
    <row r="305" spans="1:21" x14ac:dyDescent="0.45">
      <c r="A305">
        <v>575</v>
      </c>
      <c r="B305">
        <v>1</v>
      </c>
      <c r="C305" t="s">
        <v>3957</v>
      </c>
      <c r="D305" t="s">
        <v>3994</v>
      </c>
      <c r="E305">
        <v>0</v>
      </c>
      <c r="F305">
        <v>576</v>
      </c>
      <c r="G305">
        <v>0</v>
      </c>
      <c r="H305">
        <v>2</v>
      </c>
      <c r="I305">
        <v>0</v>
      </c>
      <c r="J305" t="s">
        <v>3628</v>
      </c>
      <c r="K305">
        <v>1</v>
      </c>
      <c r="L305" t="s">
        <v>3680</v>
      </c>
      <c r="M305">
        <v>0</v>
      </c>
      <c r="N305" t="s">
        <v>3636</v>
      </c>
      <c r="O305">
        <v>0</v>
      </c>
      <c r="P305" t="s">
        <v>3840</v>
      </c>
      <c r="Q305">
        <v>0</v>
      </c>
      <c r="R305" t="s">
        <v>3841</v>
      </c>
      <c r="S305">
        <v>0</v>
      </c>
      <c r="T305">
        <v>2</v>
      </c>
      <c r="U305" s="79">
        <v>45737.614583333343</v>
      </c>
    </row>
    <row r="306" spans="1:21" x14ac:dyDescent="0.45">
      <c r="A306">
        <v>576</v>
      </c>
      <c r="B306">
        <v>1</v>
      </c>
      <c r="C306" t="s">
        <v>3995</v>
      </c>
      <c r="D306" t="s">
        <v>3995</v>
      </c>
      <c r="E306">
        <v>0</v>
      </c>
      <c r="F306">
        <v>0</v>
      </c>
      <c r="G306">
        <v>1</v>
      </c>
      <c r="H306">
        <v>2</v>
      </c>
      <c r="I306">
        <v>0</v>
      </c>
      <c r="J306" t="s">
        <v>3628</v>
      </c>
      <c r="K306">
        <v>1</v>
      </c>
      <c r="L306" t="s">
        <v>3996</v>
      </c>
      <c r="M306">
        <v>0</v>
      </c>
      <c r="N306" t="s">
        <v>3680</v>
      </c>
      <c r="O306">
        <v>0</v>
      </c>
      <c r="Q306">
        <v>0</v>
      </c>
      <c r="S306">
        <v>0</v>
      </c>
      <c r="T306">
        <v>2</v>
      </c>
      <c r="U306" s="79">
        <v>45748.4</v>
      </c>
    </row>
    <row r="307" spans="1:21" x14ac:dyDescent="0.45">
      <c r="A307">
        <v>602</v>
      </c>
      <c r="B307">
        <v>0</v>
      </c>
      <c r="C307" t="s">
        <v>3997</v>
      </c>
      <c r="D307" t="s">
        <v>3997</v>
      </c>
      <c r="E307">
        <v>0</v>
      </c>
      <c r="F307">
        <v>0</v>
      </c>
      <c r="G307">
        <v>3</v>
      </c>
      <c r="H307">
        <v>0</v>
      </c>
      <c r="I307">
        <v>0</v>
      </c>
      <c r="K307">
        <v>0</v>
      </c>
      <c r="M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</v>
      </c>
      <c r="U307" s="79">
        <v>45905.589583333327</v>
      </c>
    </row>
    <row r="308" spans="1:21" x14ac:dyDescent="0.45">
      <c r="A308">
        <v>603</v>
      </c>
      <c r="B308">
        <v>1</v>
      </c>
      <c r="C308" t="s">
        <v>3902</v>
      </c>
      <c r="D308" t="s">
        <v>3902</v>
      </c>
      <c r="E308">
        <v>0</v>
      </c>
      <c r="F308">
        <v>0</v>
      </c>
      <c r="G308">
        <v>1</v>
      </c>
      <c r="H308">
        <v>0</v>
      </c>
      <c r="I308">
        <v>0</v>
      </c>
      <c r="K308">
        <v>0</v>
      </c>
      <c r="M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</v>
      </c>
      <c r="U308" s="79">
        <v>45905.589583333327</v>
      </c>
    </row>
    <row r="309" spans="1:21" x14ac:dyDescent="0.45">
      <c r="A309">
        <v>604</v>
      </c>
      <c r="B309">
        <v>1</v>
      </c>
      <c r="C309" t="s">
        <v>3998</v>
      </c>
      <c r="D309" t="s">
        <v>3998</v>
      </c>
      <c r="E309">
        <v>0</v>
      </c>
      <c r="F309">
        <v>0</v>
      </c>
      <c r="G309">
        <v>1</v>
      </c>
      <c r="H309">
        <v>0</v>
      </c>
      <c r="I309">
        <v>0</v>
      </c>
      <c r="K309">
        <v>0</v>
      </c>
      <c r="M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</v>
      </c>
      <c r="U309" s="79">
        <v>45905.589583333327</v>
      </c>
    </row>
    <row r="310" spans="1:21" x14ac:dyDescent="0.45">
      <c r="A310">
        <v>605</v>
      </c>
      <c r="B310">
        <v>1</v>
      </c>
      <c r="C310" t="s">
        <v>3999</v>
      </c>
      <c r="D310" t="s">
        <v>3999</v>
      </c>
      <c r="E310">
        <v>0</v>
      </c>
      <c r="F310">
        <v>606</v>
      </c>
      <c r="G310">
        <v>1</v>
      </c>
      <c r="H310">
        <v>0</v>
      </c>
      <c r="I310">
        <v>0</v>
      </c>
      <c r="K310">
        <v>0</v>
      </c>
      <c r="M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</v>
      </c>
      <c r="U310" s="79">
        <v>45905.589583333327</v>
      </c>
    </row>
    <row r="311" spans="1:21" x14ac:dyDescent="0.45">
      <c r="A311">
        <v>606</v>
      </c>
      <c r="B311">
        <v>1</v>
      </c>
      <c r="C311" t="s">
        <v>3999</v>
      </c>
      <c r="D311" t="s">
        <v>3999</v>
      </c>
      <c r="E311">
        <v>0</v>
      </c>
      <c r="F311">
        <v>0</v>
      </c>
      <c r="G311">
        <v>1</v>
      </c>
      <c r="H311">
        <v>0</v>
      </c>
      <c r="I311">
        <v>0</v>
      </c>
      <c r="K311">
        <v>0</v>
      </c>
      <c r="M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</v>
      </c>
      <c r="U311" s="79">
        <v>45905.589583333327</v>
      </c>
    </row>
    <row r="312" spans="1:21" x14ac:dyDescent="0.45">
      <c r="A312">
        <v>607</v>
      </c>
      <c r="B312">
        <v>1</v>
      </c>
      <c r="C312" t="s">
        <v>4000</v>
      </c>
      <c r="D312" t="s">
        <v>4000</v>
      </c>
      <c r="E312">
        <v>0</v>
      </c>
      <c r="F312">
        <v>608</v>
      </c>
      <c r="G312">
        <v>0</v>
      </c>
      <c r="H312">
        <v>1</v>
      </c>
      <c r="I312">
        <v>0</v>
      </c>
      <c r="J312" t="s">
        <v>3628</v>
      </c>
      <c r="K312">
        <v>1</v>
      </c>
      <c r="L312" t="s">
        <v>3680</v>
      </c>
      <c r="M312">
        <v>0</v>
      </c>
      <c r="N312" t="s">
        <v>3636</v>
      </c>
      <c r="O312">
        <v>0</v>
      </c>
      <c r="P312" t="s">
        <v>3840</v>
      </c>
      <c r="Q312">
        <v>0</v>
      </c>
      <c r="R312" t="s">
        <v>3841</v>
      </c>
      <c r="S312">
        <v>0</v>
      </c>
      <c r="T312">
        <v>7</v>
      </c>
      <c r="U312" s="79">
        <v>45097.661805555559</v>
      </c>
    </row>
    <row r="313" spans="1:21" x14ac:dyDescent="0.45">
      <c r="A313">
        <v>608</v>
      </c>
      <c r="B313">
        <v>1</v>
      </c>
      <c r="C313" t="s">
        <v>4000</v>
      </c>
      <c r="D313" t="s">
        <v>4000</v>
      </c>
      <c r="E313">
        <v>0</v>
      </c>
      <c r="F313">
        <v>0</v>
      </c>
      <c r="G313">
        <v>1</v>
      </c>
      <c r="H313">
        <v>2</v>
      </c>
      <c r="I313">
        <v>0</v>
      </c>
      <c r="K313">
        <v>0</v>
      </c>
      <c r="M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</v>
      </c>
      <c r="U313" s="79">
        <v>45905.589583333327</v>
      </c>
    </row>
    <row r="314" spans="1:21" x14ac:dyDescent="0.45">
      <c r="A314">
        <v>609</v>
      </c>
      <c r="B314">
        <v>1</v>
      </c>
      <c r="C314" t="s">
        <v>4001</v>
      </c>
      <c r="D314" t="s">
        <v>4001</v>
      </c>
      <c r="E314">
        <v>0</v>
      </c>
      <c r="F314">
        <v>610</v>
      </c>
      <c r="G314">
        <v>0</v>
      </c>
      <c r="H314">
        <v>1</v>
      </c>
      <c r="I314">
        <v>0</v>
      </c>
      <c r="J314" t="s">
        <v>3628</v>
      </c>
      <c r="K314">
        <v>1</v>
      </c>
      <c r="L314" t="s">
        <v>3680</v>
      </c>
      <c r="M314">
        <v>0</v>
      </c>
      <c r="N314" t="s">
        <v>3636</v>
      </c>
      <c r="O314">
        <v>0</v>
      </c>
      <c r="P314" t="s">
        <v>3840</v>
      </c>
      <c r="Q314">
        <v>0</v>
      </c>
      <c r="R314" t="s">
        <v>3841</v>
      </c>
      <c r="S314">
        <v>0</v>
      </c>
      <c r="T314">
        <v>7</v>
      </c>
      <c r="U314" s="79">
        <v>45097.662499999999</v>
      </c>
    </row>
    <row r="315" spans="1:21" x14ac:dyDescent="0.45">
      <c r="A315">
        <v>610</v>
      </c>
      <c r="B315">
        <v>1</v>
      </c>
      <c r="C315" t="s">
        <v>4001</v>
      </c>
      <c r="D315" t="s">
        <v>4001</v>
      </c>
      <c r="E315">
        <v>0</v>
      </c>
      <c r="F315">
        <v>0</v>
      </c>
      <c r="G315">
        <v>1</v>
      </c>
      <c r="H315">
        <v>2</v>
      </c>
      <c r="I315">
        <v>0</v>
      </c>
      <c r="K315">
        <v>0</v>
      </c>
      <c r="M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</v>
      </c>
      <c r="U315" s="79">
        <v>45905.589583333327</v>
      </c>
    </row>
    <row r="316" spans="1:21" x14ac:dyDescent="0.45">
      <c r="A316">
        <v>611</v>
      </c>
      <c r="B316">
        <v>1</v>
      </c>
      <c r="C316" t="s">
        <v>4002</v>
      </c>
      <c r="D316" t="s">
        <v>4002</v>
      </c>
      <c r="E316">
        <v>0</v>
      </c>
      <c r="F316">
        <v>612</v>
      </c>
      <c r="G316">
        <v>0</v>
      </c>
      <c r="H316">
        <v>1</v>
      </c>
      <c r="I316">
        <v>0</v>
      </c>
      <c r="K316">
        <v>0</v>
      </c>
      <c r="M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</v>
      </c>
      <c r="U316" s="79">
        <v>45905.589583333327</v>
      </c>
    </row>
    <row r="317" spans="1:21" x14ac:dyDescent="0.45">
      <c r="A317">
        <v>612</v>
      </c>
      <c r="B317">
        <v>1</v>
      </c>
      <c r="C317" t="s">
        <v>4002</v>
      </c>
      <c r="D317" t="s">
        <v>4002</v>
      </c>
      <c r="E317">
        <v>0</v>
      </c>
      <c r="F317">
        <v>0</v>
      </c>
      <c r="G317">
        <v>1</v>
      </c>
      <c r="H317">
        <v>2</v>
      </c>
      <c r="I317">
        <v>0</v>
      </c>
      <c r="K317">
        <v>0</v>
      </c>
      <c r="M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</v>
      </c>
      <c r="U317" s="79">
        <v>45905.589583333327</v>
      </c>
    </row>
    <row r="318" spans="1:21" x14ac:dyDescent="0.45">
      <c r="A318">
        <v>613</v>
      </c>
      <c r="B318">
        <v>1</v>
      </c>
      <c r="C318" t="s">
        <v>3830</v>
      </c>
      <c r="D318" t="s">
        <v>3830</v>
      </c>
      <c r="E318">
        <v>0</v>
      </c>
      <c r="F318">
        <v>0</v>
      </c>
      <c r="G318">
        <v>1</v>
      </c>
      <c r="H318">
        <v>0</v>
      </c>
      <c r="I318">
        <v>42</v>
      </c>
      <c r="K318">
        <v>0</v>
      </c>
      <c r="M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</v>
      </c>
      <c r="U318" s="79">
        <v>45905.589583333327</v>
      </c>
    </row>
    <row r="319" spans="1:21" x14ac:dyDescent="0.45">
      <c r="A319">
        <v>614</v>
      </c>
      <c r="B319">
        <v>1</v>
      </c>
      <c r="C319" t="s">
        <v>4003</v>
      </c>
      <c r="D319" t="s">
        <v>4003</v>
      </c>
      <c r="E319">
        <v>0</v>
      </c>
      <c r="F319">
        <v>0</v>
      </c>
      <c r="G319">
        <v>1</v>
      </c>
      <c r="H319">
        <v>1</v>
      </c>
      <c r="I319">
        <v>80</v>
      </c>
      <c r="K319">
        <v>0</v>
      </c>
      <c r="M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</v>
      </c>
      <c r="U319" s="79">
        <v>45905.589583333327</v>
      </c>
    </row>
    <row r="320" spans="1:21" x14ac:dyDescent="0.45">
      <c r="A320">
        <v>615</v>
      </c>
      <c r="B320">
        <v>0</v>
      </c>
      <c r="C320" t="s">
        <v>4004</v>
      </c>
      <c r="D320" t="s">
        <v>4004</v>
      </c>
      <c r="E320">
        <v>0</v>
      </c>
      <c r="F320">
        <v>0</v>
      </c>
      <c r="G320">
        <v>0</v>
      </c>
      <c r="H320">
        <v>0</v>
      </c>
      <c r="I320">
        <v>0</v>
      </c>
      <c r="K320">
        <v>0</v>
      </c>
      <c r="M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2</v>
      </c>
      <c r="U320" s="79">
        <v>45905.590277777781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7"/>
  <sheetViews>
    <sheetView topLeftCell="A112" zoomScale="70" zoomScaleNormal="70" workbookViewId="0">
      <selection activeCell="A120" sqref="A120:A145"/>
    </sheetView>
  </sheetViews>
  <sheetFormatPr defaultRowHeight="18" x14ac:dyDescent="0.45"/>
  <cols>
    <col min="1" max="1" width="26.69921875" style="1" customWidth="1"/>
    <col min="2" max="11" width="8.796875" style="4" customWidth="1"/>
    <col min="12" max="20" width="11.3984375" style="32" customWidth="1"/>
    <col min="21" max="21" width="11.3984375" style="32" hidden="1" customWidth="1"/>
    <col min="22" max="22" width="32.796875" style="33" customWidth="1"/>
    <col min="23" max="23" width="27.69921875" style="1" customWidth="1"/>
  </cols>
  <sheetData>
    <row r="1" spans="1:23" x14ac:dyDescent="0.45">
      <c r="A1"/>
      <c r="L1" s="4"/>
      <c r="M1" s="4"/>
      <c r="N1" s="4"/>
      <c r="O1" s="4"/>
      <c r="P1" s="4"/>
      <c r="Q1" s="4"/>
      <c r="R1" s="4" t="str">
        <f t="array" ref="R1">IF(R5&lt;&gt;"",
IF(AND(SUMPRODUCT(--ISNUMBER(SEARCH(LEFT(R5,LEN(R5)-2),SUBSTITUTE(SUBSTITUTE(貼り付け用!$L$3:$Z$3,"　","")," ",""))))&gt;0,
LEN(LEFT(R5,LEN(R5)-2))&gt;2),1,0),"")</f>
        <v/>
      </c>
      <c r="S1" s="4" t="str">
        <f t="array" ref="S1">IF(S5&lt;&gt;"",
IF(AND(SUMPRODUCT(--ISNUMBER(SEARCH(LEFT(S5,LEN(S5)-2),SUBSTITUTE(SUBSTITUTE(貼り付け用!$L$3:$Z$3,"　","")," ",""))))&gt;0,
LEN(LEFT(S5,LEN(S5)-2))&gt;2),1,0),"")</f>
        <v/>
      </c>
      <c r="T1" s="4"/>
      <c r="U1" s="4"/>
      <c r="V1" s="5"/>
      <c r="W1"/>
    </row>
    <row r="2" spans="1:23" s="6" customFormat="1" ht="26.4" customHeight="1" x14ac:dyDescent="0.45">
      <c r="A2" s="6" t="str">
        <f>貼り付け用!A2&amp;"　"&amp;貼り付け用!B2&amp;"　"&amp;貼り付け用!C2</f>
        <v>日付 令和07年11月19日　水曜日　</v>
      </c>
      <c r="B2" s="7"/>
      <c r="C2" s="7"/>
      <c r="D2" s="7"/>
      <c r="E2" s="7"/>
      <c r="F2" s="7"/>
      <c r="G2" s="7"/>
      <c r="H2" s="7"/>
      <c r="I2" s="8" t="s">
        <v>85</v>
      </c>
      <c r="J2" s="8"/>
      <c r="K2" s="8" t="s">
        <v>86</v>
      </c>
      <c r="L2" s="8"/>
      <c r="M2" s="8" t="s">
        <v>85</v>
      </c>
      <c r="N2" s="7"/>
      <c r="O2"/>
      <c r="P2"/>
      <c r="Q2"/>
      <c r="R2" t="s">
        <v>89</v>
      </c>
      <c r="S2"/>
      <c r="T2" t="s">
        <v>90</v>
      </c>
      <c r="U2" t="s">
        <v>90</v>
      </c>
      <c r="V2" s="9" t="str">
        <f>貼り付け用!T2&amp;"　"&amp;貼り付け用!U2&amp;"　"&amp;貼り付け用!V2&amp;"　"&amp;貼り付け用!W2</f>
        <v>　2025年11月18日 PAGE　1　</v>
      </c>
    </row>
    <row r="3" spans="1:23" x14ac:dyDescent="0.45">
      <c r="A3" s="10"/>
      <c r="B3" s="11" t="s">
        <v>3</v>
      </c>
      <c r="C3" s="12" t="s">
        <v>3</v>
      </c>
      <c r="D3" s="11" t="s">
        <v>7</v>
      </c>
      <c r="E3" s="13" t="s">
        <v>7</v>
      </c>
      <c r="F3" s="12" t="s">
        <v>7</v>
      </c>
      <c r="G3" s="11" t="s">
        <v>0</v>
      </c>
      <c r="H3" s="13" t="s">
        <v>0</v>
      </c>
      <c r="I3" s="13" t="s">
        <v>0</v>
      </c>
      <c r="J3" s="13" t="s">
        <v>0</v>
      </c>
      <c r="K3" s="12" t="s">
        <v>0</v>
      </c>
      <c r="L3" s="14" t="str">
        <f>IF(COUNTIF(注文弁当の抽出!A2,"*おやつ*"),"",注文弁当の抽出!A2)</f>
        <v>パンカップ　</v>
      </c>
      <c r="M3" s="14" t="str">
        <f>IF(L3&lt;&gt;"",IF(COUNTIF(注文弁当の抽出!A3,"*おやつ*"),"",注文弁当の抽出!A3),"")</f>
        <v>ピクニック</v>
      </c>
      <c r="N3" s="14" t="str">
        <f>IF(M3&lt;&gt;"",IF(COUNTIF(注文弁当の抽出!A4,"*おやつ*"),"",注文弁当の抽出!A4),"")</f>
        <v>配膳スマ</v>
      </c>
      <c r="O3" s="14" t="str">
        <f>IF(N3&lt;&gt;"",IF(COUNTIF(注文弁当の抽出!A5,"*おやつ*"),"",注文弁当の抽出!A5),"")</f>
        <v>どんぶり給</v>
      </c>
      <c r="P3" s="14">
        <f>IF(O3&lt;&gt;"",IF(COUNTIF(注文弁当の抽出!A6,"*おやつ*"),"",注文弁当の抽出!A6),"")</f>
        <v>0</v>
      </c>
      <c r="Q3" s="14">
        <f>IF(P3&lt;&gt;"",IF(COUNTIF(注文弁当の抽出!A7,"*おやつ*"),"",注文弁当の抽出!A7),"")</f>
        <v>0</v>
      </c>
      <c r="R3" s="14">
        <f>IF(Q3&lt;&gt;"",IF(COUNTIF(注文弁当の抽出!A8,"*おやつ*"),"",注文弁当の抽出!A8),"")</f>
        <v>0</v>
      </c>
      <c r="S3" s="14">
        <f>IF(R3&lt;&gt;"",IF(COUNTIF(注文弁当の抽出!A9,"*おやつ*"),"",注文弁当の抽出!A9),"")</f>
        <v>0</v>
      </c>
      <c r="T3" s="15" t="s">
        <v>94</v>
      </c>
      <c r="U3" s="16"/>
      <c r="V3" s="17"/>
      <c r="W3" s="18"/>
    </row>
    <row r="4" spans="1:23" x14ac:dyDescent="0.45">
      <c r="A4" s="51" t="s">
        <v>95</v>
      </c>
      <c r="B4" s="48" t="s">
        <v>96</v>
      </c>
      <c r="C4" s="48" t="s">
        <v>96</v>
      </c>
      <c r="D4" s="48" t="s">
        <v>96</v>
      </c>
      <c r="E4" s="48" t="s">
        <v>97</v>
      </c>
      <c r="F4" s="48" t="s">
        <v>98</v>
      </c>
      <c r="G4" s="48" t="s">
        <v>96</v>
      </c>
      <c r="H4" s="48" t="s">
        <v>96</v>
      </c>
      <c r="I4" s="48" t="s">
        <v>97</v>
      </c>
      <c r="J4" s="48" t="s">
        <v>97</v>
      </c>
      <c r="K4" s="48" t="s">
        <v>98</v>
      </c>
      <c r="L4" s="15"/>
      <c r="M4" s="15"/>
      <c r="N4" s="15"/>
      <c r="O4" s="15"/>
      <c r="P4" s="15"/>
      <c r="Q4" s="15"/>
      <c r="R4" s="15"/>
      <c r="S4" s="15"/>
      <c r="T4" s="15"/>
      <c r="U4" s="19"/>
      <c r="V4" s="49"/>
      <c r="W4" s="20"/>
    </row>
    <row r="5" spans="1:23" x14ac:dyDescent="0.45">
      <c r="A5" s="45"/>
      <c r="B5" s="48">
        <v>100</v>
      </c>
      <c r="C5" s="48">
        <v>150</v>
      </c>
      <c r="D5" s="48">
        <v>120</v>
      </c>
      <c r="E5" s="48" t="s">
        <v>102</v>
      </c>
      <c r="F5" s="48"/>
      <c r="G5" s="48">
        <v>120</v>
      </c>
      <c r="H5" s="48">
        <v>100</v>
      </c>
      <c r="I5" s="48" t="s">
        <v>102</v>
      </c>
      <c r="J5" s="48" t="s">
        <v>103</v>
      </c>
      <c r="K5" s="48"/>
      <c r="L5" s="15"/>
      <c r="M5" s="15"/>
      <c r="N5" s="15"/>
      <c r="O5" s="15"/>
      <c r="P5" s="15"/>
      <c r="Q5" s="15"/>
      <c r="R5" s="15"/>
      <c r="S5" s="15"/>
      <c r="T5" s="15"/>
      <c r="U5" s="47"/>
      <c r="V5" s="49"/>
      <c r="W5" s="20"/>
    </row>
    <row r="6" spans="1:23" x14ac:dyDescent="0.45">
      <c r="A6" s="10" t="str">
        <f t="array" aca="1" ref="A6" ca="1">INDEX(
INDIRECT("貼り付け用!A"&amp;MATCH("園名",貼り付け用!$A:$A,0)+1&amp;":A300"),
MATCH(1,(ISNUMBER(--INDIRECT("貼り付け用!A"&amp;MATCH("園名",貼り付け用!$A:$A,0)+1&amp;":A300")))*(INDIRECT("貼り付け用!A"&amp;MATCH("園名",貼り付け用!$A:$A,0)+1&amp;":A300")&lt;&gt;""),0))</f>
        <v>5100</v>
      </c>
      <c r="B6" s="50" t="str">
        <f ca="1">IF($A6&lt;&gt;"",IF(VLOOKUP($A6,貼り付け用!$A$1:$BA$300,COLUMN(),FALSE)=0,"",VLOOKUP($A6,貼り付け用!$A$1:$BA$300,COLUMN(),FALSE)),"")</f>
        <v>92</v>
      </c>
      <c r="C6" s="50" t="str">
        <f ca="1">IF($A6&lt;&gt;"",IF(VLOOKUP($A6,貼り付け用!$A$1:$BA$300,COLUMN(),FALSE)=0,"",VLOOKUP($A6,貼り付け用!$A$1:$BA$300,COLUMN(),FALSE)),"")</f>
        <v>48</v>
      </c>
      <c r="D6" s="50" t="str">
        <f ca="1">IF($A6&lt;&gt;"",IF(VLOOKUP($A6,貼り付け用!$A$1:$BA$300,COLUMN(),FALSE)=0,"",VLOOKUP($A6,貼り付け用!$A$1:$BA$300,COLUMN(),FALSE)),"")</f>
        <v/>
      </c>
      <c r="E6" s="50" t="str">
        <f ca="1">IF($A6&lt;&gt;"",IF(VLOOKUP($A6,貼り付け用!$A$1:$BA$300,COLUMN(),FALSE)=0,"",VLOOKUP($A6,貼り付け用!$A$1:$BA$300,COLUMN(),FALSE)),"")</f>
        <v/>
      </c>
      <c r="F6" s="50" t="str">
        <f ca="1">IF($A6&lt;&gt;"",IF(VLOOKUP($A6,貼り付け用!$A$1:$BA$300,COLUMN(),FALSE)=0,"",VLOOKUP($A6,貼り付け用!$A$1:$BA$300,COLUMN(),FALSE)),"")</f>
        <v/>
      </c>
      <c r="G6" s="50" t="str">
        <f ca="1">IF($A6&lt;&gt;"",IF(VLOOKUP($A6,貼り付け用!$A$1:$BA$300,COLUMN(),FALSE)=0,"",VLOOKUP($A6,貼り付け用!$A$1:$BA$300,COLUMN(),FALSE)),"")</f>
        <v/>
      </c>
      <c r="H6" s="50" t="str">
        <f ca="1">IF($A6&lt;&gt;"",IF(VLOOKUP($A6,貼り付け用!$A$1:$BA$300,COLUMN(),FALSE)=0,"",VLOOKUP($A6,貼り付け用!$A$1:$BA$300,COLUMN(),FALSE)),"")</f>
        <v/>
      </c>
      <c r="I6" s="50" t="str">
        <f ca="1">IF($A6&lt;&gt;"",IF(VLOOKUP($A6,貼り付け用!$A$1:$BA$300,COLUMN(),FALSE)=0,"",VLOOKUP($A6,貼り付け用!$A$1:$BA$300,COLUMN(),FALSE)),"")</f>
        <v/>
      </c>
      <c r="J6" s="50" t="str">
        <f ca="1">IF($A6&lt;&gt;"",IF(VLOOKUP($A6,貼り付け用!$A$1:$BA$300,COLUMN(),FALSE)=0,"",VLOOKUP($A6,貼り付け用!$A$1:$BA$300,COLUMN(),FALSE)),"")</f>
        <v/>
      </c>
      <c r="K6" s="50" t="str">
        <f ca="1">IF($A6&lt;&gt;"",IF(VLOOKUP($A6,貼り付け用!$A$1:$BA$300,COLUMN(),FALSE)=0,"",VLOOKUP($A6,貼り付け用!$A$1:$BA$300,COLUMN(),FALSE)),"")</f>
        <v/>
      </c>
      <c r="L6" s="50" t="str">
        <f ca="1">IF($A6&lt;&gt;"",
IF(COLUMN(貼り付け用!L6)&gt;MATCH("おやつ",貼り付け用!$3:$3,0),"",
IF(VLOOKUP($A6,貼り付け用!$A$1:$BA$300,COLUMN(),FALSE)=0,"",VLOOKUP($A6,貼り付け用!$A$1:$BA$300,COLUMN(),FALSE))),"")</f>
        <v/>
      </c>
      <c r="M6" s="50" t="str">
        <f ca="1">IF($A6&lt;&gt;"",
IF(COLUMN(貼り付け用!M6)&gt;MATCH("おやつ",貼り付け用!$3:$3,0),"",
IF(VLOOKUP($A6,貼り付け用!$A$1:$BA$300,COLUMN(),FALSE)=0,"",VLOOKUP($A6,貼り付け用!$A$1:$BA$300,COLUMN(),FALSE))),"")</f>
        <v/>
      </c>
      <c r="N6" s="50" t="str">
        <f ca="1">IF($A6&lt;&gt;"",
IF(COLUMN(貼り付け用!N6)&gt;MATCH("おやつ",貼り付け用!$3:$3,0),"",
IF(VLOOKUP($A6,貼り付け用!$A$1:$BA$300,COLUMN(),FALSE)=0,"",VLOOKUP($A6,貼り付け用!$A$1:$BA$300,COLUMN(),FALSE))),"")</f>
        <v/>
      </c>
      <c r="O6" s="50" t="str">
        <f ca="1">IF($A6&lt;&gt;"",
IF(COLUMN(貼り付け用!O6)&gt;MATCH("おやつ",貼り付け用!$3:$3,0),"",
IF(VLOOKUP($A6,貼り付け用!$A$1:$BA$300,COLUMN(),FALSE)=0,"",VLOOKUP($A6,貼り付け用!$A$1:$BA$300,COLUMN(),FALSE))),"")</f>
        <v/>
      </c>
      <c r="P6" s="50" t="str">
        <f ca="1">IF($A6&lt;&gt;"",
IF(COLUMN(貼り付け用!P6)&gt;MATCH("おやつ",貼り付け用!$3:$3,0),"",
IF(VLOOKUP($A6,貼り付け用!$A$1:$BA$300,COLUMN(),FALSE)=0,"",VLOOKUP($A6,貼り付け用!$A$1:$BA$300,COLUMN(),FALSE))),"")</f>
        <v/>
      </c>
      <c r="Q6" s="50" t="str">
        <f ca="1">IF($A6&lt;&gt;"",
IF(COLUMN(貼り付け用!Q6)&gt;MATCH("おやつ",貼り付け用!$3:$3,0),"",
IF(VLOOKUP($A6,貼り付け用!$A$1:$BA$300,COLUMN(),FALSE)=0,"",VLOOKUP($A6,貼り付け用!$A$1:$BA$300,COLUMN(),FALSE))),"")</f>
        <v/>
      </c>
      <c r="R6" s="50" t="str">
        <f ca="1">IF($A6&lt;&gt;"",
IF(COLUMN(貼り付け用!R6)&gt;MATCH("おやつ",貼り付け用!$3:$3,0),"",
IF(VLOOKUP($A6,貼り付け用!$A$1:$BA$300,COLUMN(),FALSE)=0,"",VLOOKUP($A6,貼り付け用!$A$1:$BA$300,COLUMN(),FALSE))),"")</f>
        <v/>
      </c>
      <c r="S6" s="50" t="str">
        <f ca="1">IF($A6&lt;&gt;"",
IF(COLUMN(貼り付け用!S6)&gt;MATCH("おやつ",貼り付け用!$3:$3,0),"",
IF(VLOOKUP($A6,貼り付け用!$A$1:$BA$300,COLUMN(),FALSE)=0,"",VLOOKUP($A6,貼り付け用!$A$1:$BA$300,COLUMN(),FALSE))),"")</f>
        <v/>
      </c>
      <c r="T6" s="50" t="str">
        <f ca="1">IF(COLUMN(貼り付け用!T6)&gt;MATCH("おやつ",貼り付け用!$3:$3,0),"",
IF(VLOOKUP($A6,貼り付け用!$A$1:$BA$300,COLUMN(),FALSE)=0,"",VLOOKUP($A6,貼り付け用!$A$1:$BA$300,COLUMN(),FALSE)))</f>
        <v/>
      </c>
      <c r="U6" s="50" t="str">
        <f ca="1">IF(J6&lt;&gt;"",
IF(COLUMN(貼り付け用!U6)&gt;MATCH("おやつ",貼り付け用!$3:$3,0),"",
IF(VLOOKUP($A6,貼り付け用!$A$1:$BA$300,COLUMN(),FALSE)=0,"",VLOOKUP($A6,貼り付け用!$A$1:$BA$300,COLUMN(),FALSE))),"")</f>
        <v/>
      </c>
      <c r="V6" s="21" t="str">
        <f ca="1">IF(A6&lt;&gt;"",
IF(VLOOKUP($A6,貼り付け用!$A$1:$BA$300,MATCH("おやつ",貼り付け用!$3:$3,0)+1,FALSE)=0,"",VLOOKUP($A6,貼り付け用!$A$1:$BA$300,MATCH("おやつ",貼り付け用!$3:$3,0)+1,FALSE)),"")</f>
        <v>ｱﾚ小3/大0</v>
      </c>
      <c r="W6" s="50" t="str">
        <f ca="1">IF(A6&lt;&gt;"",
IF(VLOOKUP($A6,貼り付け用!$A$1:$BA$300,MATCH("おやつ",貼り付け用!$3:$3,0)+2,FALSE)=0,"",VLOOKUP($A6,貼り付け用!$A$1:$BA$300,MATCH("おやつ",貼り付け用!$3:$3,0)+2,FALSE)),"")</f>
        <v/>
      </c>
    </row>
    <row r="7" spans="1:23" x14ac:dyDescent="0.45">
      <c r="A7" s="22" t="str">
        <f t="array" aca="1" ref="A7" ca="1">INDEX(
INDIRECT("貼り付け用!A"&amp;MATCH("園名",貼り付け用!$A:$A,0)+1&amp;":A300"),
MATCH(1,(ISNUMBER(--INDIRECT("貼り付け用!A"&amp;MATCH("園名",貼り付け用!$A:$A,0)+1&amp;":A300")))*(INDIRECT("貼り付け用!A"&amp;MATCH("園名",貼り付け用!$A:$A,0)+1&amp;":A300")&lt;&gt;""),0)+1)</f>
        <v>雙葉小学校 web</v>
      </c>
      <c r="B7" s="45" t="str">
        <f ca="1">IF($A7&lt;&gt;"",IF(VLOOKUP($A7,貼り付け用!$A$1:$BA$300,COLUMN(),FALSE)=0,"",VLOOKUP($A7,貼り付け用!$A$1:$BA$300,COLUMN(),FALSE)),"")</f>
        <v/>
      </c>
      <c r="C7" s="45" t="str">
        <f ca="1">IF($A7&lt;&gt;"",IF(VLOOKUP($A7,貼り付け用!$A$1:$BA$300,COLUMN(),FALSE)=0,"",VLOOKUP($A7,貼り付け用!$A$1:$BA$300,COLUMN(),FALSE)),"")</f>
        <v/>
      </c>
      <c r="D7" s="45" t="str">
        <f ca="1">IF($A7&lt;&gt;"",IF(VLOOKUP($A7,貼り付け用!$A$1:$BA$300,COLUMN(),FALSE)=0,"",VLOOKUP($A7,貼り付け用!$A$1:$BA$300,COLUMN(),FALSE)),"")</f>
        <v/>
      </c>
      <c r="E7" s="45" t="str">
        <f ca="1">IF($A7&lt;&gt;"",IF(VLOOKUP($A7,貼り付け用!$A$1:$BA$300,COLUMN(),FALSE)=0,"",VLOOKUP($A7,貼り付け用!$A$1:$BA$300,COLUMN(),FALSE)),"")</f>
        <v/>
      </c>
      <c r="F7" s="45" t="str">
        <f ca="1">IF($A7&lt;&gt;"",IF(VLOOKUP($A7,貼り付け用!$A$1:$BA$300,COLUMN(),FALSE)=0,"",VLOOKUP($A7,貼り付け用!$A$1:$BA$300,COLUMN(),FALSE)),"")</f>
        <v/>
      </c>
      <c r="G7" s="45" t="str">
        <f ca="1">IF($A7&lt;&gt;"",IF(VLOOKUP($A7,貼り付け用!$A$1:$BA$300,COLUMN(),FALSE)=0,"",VLOOKUP($A7,貼り付け用!$A$1:$BA$300,COLUMN(),FALSE)),"")</f>
        <v/>
      </c>
      <c r="H7" s="45" t="str">
        <f ca="1">IF($A7&lt;&gt;"",IF(VLOOKUP($A7,貼り付け用!$A$1:$BA$300,COLUMN(),FALSE)=0,"",VLOOKUP($A7,貼り付け用!$A$1:$BA$300,COLUMN(),FALSE)),"")</f>
        <v/>
      </c>
      <c r="I7" s="45" t="str">
        <f ca="1">IF($A7&lt;&gt;"",IF(VLOOKUP($A7,貼り付け用!$A$1:$BA$300,COLUMN(),FALSE)=0,"",VLOOKUP($A7,貼り付け用!$A$1:$BA$300,COLUMN(),FALSE)),"")</f>
        <v/>
      </c>
      <c r="J7" s="45" t="str">
        <f ca="1">IF($A7&lt;&gt;"",IF(VLOOKUP($A7,貼り付け用!$A$1:$BA$300,COLUMN(),FALSE)=0,"",VLOOKUP($A7,貼り付け用!$A$1:$BA$300,COLUMN(),FALSE)),"")</f>
        <v/>
      </c>
      <c r="K7" s="45" t="str">
        <f ca="1">IF($A7&lt;&gt;"",IF(VLOOKUP($A7,貼り付け用!$A$1:$BA$300,COLUMN(),FALSE)=0,"",VLOOKUP($A7,貼り付け用!$A$1:$BA$300,COLUMN(),FALSE)),"")</f>
        <v/>
      </c>
      <c r="L7" s="45" t="str">
        <f ca="1">IF($A7&lt;&gt;"",
IF(COLUMN(貼り付け用!L7)&gt;MATCH("おやつ",貼り付け用!$3:$3,0),"",
IF(VLOOKUP($A7,貼り付け用!$A$1:$BA$300,COLUMN(),FALSE)=0,"",VLOOKUP($A7,貼り付け用!$A$1:$BA$300,COLUMN(),FALSE))),"")</f>
        <v/>
      </c>
      <c r="M7" s="45" t="str">
        <f ca="1">IF($A7&lt;&gt;"",
IF(COLUMN(貼り付け用!M7)&gt;MATCH("おやつ",貼り付け用!$3:$3,0),"",
IF(VLOOKUP($A7,貼り付け用!$A$1:$BA$300,COLUMN(),FALSE)=0,"",VLOOKUP($A7,貼り付け用!$A$1:$BA$300,COLUMN(),FALSE))),"")</f>
        <v/>
      </c>
      <c r="N7" s="45" t="str">
        <f ca="1">IF($A7&lt;&gt;"",
IF(COLUMN(貼り付け用!N7)&gt;MATCH("おやつ",貼り付け用!$3:$3,0),"",
IF(VLOOKUP($A7,貼り付け用!$A$1:$BA$300,COLUMN(),FALSE)=0,"",VLOOKUP($A7,貼り付け用!$A$1:$BA$300,COLUMN(),FALSE))),"")</f>
        <v/>
      </c>
      <c r="O7" s="45" t="str">
        <f ca="1">IF($A7&lt;&gt;"",
IF(COLUMN(貼り付け用!O7)&gt;MATCH("おやつ",貼り付け用!$3:$3,0),"",
IF(VLOOKUP($A7,貼り付け用!$A$1:$BA$300,COLUMN(),FALSE)=0,"",VLOOKUP($A7,貼り付け用!$A$1:$BA$300,COLUMN(),FALSE))),"")</f>
        <v/>
      </c>
      <c r="P7" s="45" t="str">
        <f ca="1">IF($A7&lt;&gt;"",
IF(COLUMN(貼り付け用!P7)&gt;MATCH("おやつ",貼り付け用!$3:$3,0),"",
IF(VLOOKUP($A7,貼り付け用!$A$1:$BA$300,COLUMN(),FALSE)=0,"",VLOOKUP($A7,貼り付け用!$A$1:$BA$300,COLUMN(),FALSE))),"")</f>
        <v/>
      </c>
      <c r="Q7" s="45" t="str">
        <f ca="1">IF($A7&lt;&gt;"",
IF(COLUMN(貼り付け用!Q7)&gt;MATCH("おやつ",貼り付け用!$3:$3,0),"",
IF(VLOOKUP($A7,貼り付け用!$A$1:$BA$300,COLUMN(),FALSE)=0,"",VLOOKUP($A7,貼り付け用!$A$1:$BA$300,COLUMN(),FALSE))),"")</f>
        <v/>
      </c>
      <c r="R7" s="45" t="str">
        <f ca="1">IF($A7&lt;&gt;"",
IF(COLUMN(貼り付け用!R7)&gt;MATCH("おやつ",貼り付け用!$3:$3,0),"",
IF(VLOOKUP($A7,貼り付け用!$A$1:$BA$300,COLUMN(),FALSE)=0,"",VLOOKUP($A7,貼り付け用!$A$1:$BA$300,COLUMN(),FALSE))),"")</f>
        <v/>
      </c>
      <c r="S7" s="45" t="str">
        <f ca="1">IF($A7&lt;&gt;"",
IF(COLUMN(貼り付け用!S7)&gt;MATCH("おやつ",貼り付け用!$3:$3,0),"",
IF(VLOOKUP($A7,貼り付け用!$A$1:$BA$300,COLUMN(),FALSE)=0,"",VLOOKUP($A7,貼り付け用!$A$1:$BA$300,COLUMN(),FALSE))),"")</f>
        <v/>
      </c>
      <c r="T7" s="45" t="str">
        <f ca="1">IF(COLUMN(貼り付け用!T7)&gt;MATCH("おやつ",貼り付け用!$3:$3,0),"",
IF(VLOOKUP($A7,貼り付け用!$A$1:$BA$300,COLUMN(),FALSE)=0,"",VLOOKUP($A7,貼り付け用!$A$1:$BA$300,COLUMN(),FALSE)))</f>
        <v/>
      </c>
      <c r="U7" s="45" t="str">
        <f ca="1">IF(J7&lt;&gt;"",
IF(COLUMN(貼り付け用!U7)&gt;MATCH("おやつ",貼り付け用!$3:$3,0),"",
IF(VLOOKUP($A7,貼り付け用!$A$1:$BA$300,COLUMN(),FALSE)=0,"",VLOOKUP($A7,貼り付け用!$A$1:$BA$300,COLUMN(),FALSE))),"")</f>
        <v/>
      </c>
      <c r="V7" s="21" t="str">
        <f ca="1">IF(A7&lt;&gt;"",
IF(VLOOKUP($A7,貼り付け用!$A$1:$BA$300,MATCH("おやつ",貼り付け用!$3:$3,0)+1,FALSE)=0,"",VLOOKUP($A7,貼り付け用!$A$1:$BA$300,MATCH("おやつ",貼り付け用!$3:$3,0)+1,FALSE)),"")</f>
        <v/>
      </c>
      <c r="W7" s="50" t="str">
        <f ca="1">IF(A7&lt;&gt;"",
IF(VLOOKUP($A7,貼り付け用!$A$1:$BA$300,MATCH("おやつ",貼り付け用!$3:$3,0)+2,FALSE)=0,"",VLOOKUP($A7,貼り付け用!$A$1:$BA$300,MATCH("おやつ",貼り付け用!$3:$3,0)+2,FALSE)),"")</f>
        <v/>
      </c>
    </row>
    <row r="8" spans="1:23" x14ac:dyDescent="0.45">
      <c r="A8" s="10" t="str">
        <f>IF(貼り付け用!$A$6&lt;&gt;"",
IF(ROW(A7)+1&gt;=MATCH("*【合計】*", 貼り付け用!$A:$A, 0),
"",
IF(貼り付け用!A8&lt;&gt;"",貼り付け用!A8,"")),
IF(ROW(A8)+1&gt;=MATCH("*【合計】*", 貼り付け用!$A:$A, 0),
"",
IF(貼り付け用!A9&lt;&gt;"",貼り付け用!A9,"")))</f>
        <v>5102</v>
      </c>
      <c r="B8" s="50" t="str">
        <f>IF($A8&lt;&gt;"",IF(VLOOKUP($A8,貼り付け用!$A$1:$BA$300,COLUMN(),FALSE)=0,"",VLOOKUP($A8,貼り付け用!$A$1:$BA$300,COLUMN(),FALSE)),"")</f>
        <v/>
      </c>
      <c r="C8" s="50" t="str">
        <f>IF($A8&lt;&gt;"",IF(VLOOKUP($A8,貼り付け用!$A$1:$BA$300,COLUMN(),FALSE)=0,"",VLOOKUP($A8,貼り付け用!$A$1:$BA$300,COLUMN(),FALSE)),"")</f>
        <v>8</v>
      </c>
      <c r="D8" s="50" t="str">
        <f>IF($A8&lt;&gt;"",IF(VLOOKUP($A8,貼り付け用!$A$1:$BA$300,COLUMN(),FALSE)=0,"",VLOOKUP($A8,貼り付け用!$A$1:$BA$300,COLUMN(),FALSE)),"")</f>
        <v/>
      </c>
      <c r="E8" s="50" t="str">
        <f>IF($A8&lt;&gt;"",IF(VLOOKUP($A8,貼り付け用!$A$1:$BA$300,COLUMN(),FALSE)=0,"",VLOOKUP($A8,貼り付け用!$A$1:$BA$300,COLUMN(),FALSE)),"")</f>
        <v/>
      </c>
      <c r="F8" s="50" t="str">
        <f>IF($A8&lt;&gt;"",IF(VLOOKUP($A8,貼り付け用!$A$1:$BA$300,COLUMN(),FALSE)=0,"",VLOOKUP($A8,貼り付け用!$A$1:$BA$300,COLUMN(),FALSE)),"")</f>
        <v/>
      </c>
      <c r="G8" s="50" t="str">
        <f>IF($A8&lt;&gt;"",IF(VLOOKUP($A8,貼り付け用!$A$1:$BA$300,COLUMN(),FALSE)=0,"",VLOOKUP($A8,貼り付け用!$A$1:$BA$300,COLUMN(),FALSE)),"")</f>
        <v/>
      </c>
      <c r="H8" s="50" t="str">
        <f>IF($A8&lt;&gt;"",IF(VLOOKUP($A8,貼り付け用!$A$1:$BA$300,COLUMN(),FALSE)=0,"",VLOOKUP($A8,貼り付け用!$A$1:$BA$300,COLUMN(),FALSE)),"")</f>
        <v/>
      </c>
      <c r="I8" s="50" t="str">
        <f>IF($A8&lt;&gt;"",IF(VLOOKUP($A8,貼り付け用!$A$1:$BA$300,COLUMN(),FALSE)=0,"",VLOOKUP($A8,貼り付け用!$A$1:$BA$300,COLUMN(),FALSE)),"")</f>
        <v/>
      </c>
      <c r="J8" s="50" t="str">
        <f>IF($A8&lt;&gt;"",IF(VLOOKUP($A8,貼り付け用!$A$1:$BA$300,COLUMN(),FALSE)=0,"",VLOOKUP($A8,貼り付け用!$A$1:$BA$300,COLUMN(),FALSE)),"")</f>
        <v/>
      </c>
      <c r="K8" s="50" t="str">
        <f>IF($A8&lt;&gt;"",IF(VLOOKUP($A8,貼り付け用!$A$1:$BA$300,COLUMN(),FALSE)=0,"",VLOOKUP($A8,貼り付け用!$A$1:$BA$300,COLUMN(),FALSE)),"")</f>
        <v/>
      </c>
      <c r="L8" s="50" t="str">
        <f>IF($A8&lt;&gt;"",
IF(COLUMN(貼り付け用!L8)&gt;MATCH("おやつ",貼り付け用!$3:$3,0),"",
IF(VLOOKUP($A8,貼り付け用!$A$1:$BA$300,COLUMN(),FALSE)=0,"",VLOOKUP($A8,貼り付け用!$A$1:$BA$300,COLUMN(),FALSE))),"")</f>
        <v/>
      </c>
      <c r="M8" s="50" t="str">
        <f>IF($A8&lt;&gt;"",
IF(COLUMN(貼り付け用!M8)&gt;MATCH("おやつ",貼り付け用!$3:$3,0),"",
IF(VLOOKUP($A8,貼り付け用!$A$1:$BA$300,COLUMN(),FALSE)=0,"",VLOOKUP($A8,貼り付け用!$A$1:$BA$300,COLUMN(),FALSE))),"")</f>
        <v/>
      </c>
      <c r="N8" s="50" t="str">
        <f>IF($A8&lt;&gt;"",
IF(COLUMN(貼り付け用!N8)&gt;MATCH("おやつ",貼り付け用!$3:$3,0),"",
IF(VLOOKUP($A8,貼り付け用!$A$1:$BA$300,COLUMN(),FALSE)=0,"",VLOOKUP($A8,貼り付け用!$A$1:$BA$300,COLUMN(),FALSE))),"")</f>
        <v/>
      </c>
      <c r="O8" s="50" t="str">
        <f>IF($A8&lt;&gt;"",
IF(COLUMN(貼り付け用!O8)&gt;MATCH("おやつ",貼り付け用!$3:$3,0),"",
IF(VLOOKUP($A8,貼り付け用!$A$1:$BA$300,COLUMN(),FALSE)=0,"",VLOOKUP($A8,貼り付け用!$A$1:$BA$300,COLUMN(),FALSE))),"")</f>
        <v/>
      </c>
      <c r="P8" s="50" t="str">
        <f>IF($A8&lt;&gt;"",
IF(COLUMN(貼り付け用!P8)&gt;MATCH("おやつ",貼り付け用!$3:$3,0),"",
IF(VLOOKUP($A8,貼り付け用!$A$1:$BA$300,COLUMN(),FALSE)=0,"",VLOOKUP($A8,貼り付け用!$A$1:$BA$300,COLUMN(),FALSE))),"")</f>
        <v/>
      </c>
      <c r="Q8" s="50" t="str">
        <f>IF($A8&lt;&gt;"",
IF(COLUMN(貼り付け用!Q8)&gt;MATCH("おやつ",貼り付け用!$3:$3,0),"",
IF(VLOOKUP($A8,貼り付け用!$A$1:$BA$300,COLUMN(),FALSE)=0,"",VLOOKUP($A8,貼り付け用!$A$1:$BA$300,COLUMN(),FALSE))),"")</f>
        <v/>
      </c>
      <c r="R8" s="50" t="str">
        <f>IF($A8&lt;&gt;"",
IF(COLUMN(貼り付け用!R8)&gt;MATCH("おやつ",貼り付け用!$3:$3,0),"",
IF(VLOOKUP($A8,貼り付け用!$A$1:$BA$300,COLUMN(),FALSE)=0,"",VLOOKUP($A8,貼り付け用!$A$1:$BA$300,COLUMN(),FALSE))),"")</f>
        <v/>
      </c>
      <c r="S8" s="50" t="str">
        <f>IF($A8&lt;&gt;"",
IF(COLUMN(貼り付け用!S8)&gt;MATCH("おやつ",貼り付け用!$3:$3,0),"",
IF(VLOOKUP($A8,貼り付け用!$A$1:$BA$300,COLUMN(),FALSE)=0,"",VLOOKUP($A8,貼り付け用!$A$1:$BA$300,COLUMN(),FALSE))),"")</f>
        <v/>
      </c>
      <c r="T8" s="50" t="str">
        <f>IF(COLUMN(貼り付け用!T8)&gt;MATCH("おやつ",貼り付け用!$3:$3,0),"",
IF(VLOOKUP($A8,貼り付け用!$A$1:$BA$300,COLUMN(),FALSE)=0,"",VLOOKUP($A8,貼り付け用!$A$1:$BA$300,COLUMN(),FALSE)))</f>
        <v/>
      </c>
      <c r="U8" s="23"/>
      <c r="V8" s="21" t="str">
        <f>IF(A8&lt;&gt;"",
IF(VLOOKUP($A8,貼り付け用!$A$1:$BA$300,MATCH("おやつ",貼り付け用!$3:$3,0)+1,FALSE)=0,"",VLOOKUP($A8,貼り付け用!$A$1:$BA$300,MATCH("おやつ",貼り付け用!$3:$3,0)+1,FALSE)),"")</f>
        <v>現金集金あり（個数未定）</v>
      </c>
      <c r="W8" s="50" t="str">
        <f>IF(A8&lt;&gt;"",
IF(VLOOKUP($A8,貼り付け用!$A$1:$BA$300,MATCH("おやつ",貼り付け用!$3:$3,0)+2,FALSE)=0,"",VLOOKUP($A8,貼り付け用!$A$1:$BA$300,MATCH("おやつ",貼り付け用!$3:$3,0)+2,FALSE)),"")</f>
        <v/>
      </c>
    </row>
    <row r="9" spans="1:23" x14ac:dyDescent="0.45">
      <c r="A9" s="22" t="str">
        <f>IF(貼り付け用!$A$6&lt;&gt;"",
IF(ROW(A8)+1&gt;=MATCH("*【合計】*", 貼り付け用!$A:$A, 0),"",
IF(貼り付け用!A9&lt;&gt;"",貼り付け用!A9,"")),
IF(ROW(A9)+1&gt;=MATCH("*【合計】*", 貼り付け用!$A:$A, 0),"",
IF(貼り付け用!A10&lt;&gt;"",貼り付け用!A10,"")))</f>
        <v>雙葉小学校 先生</v>
      </c>
      <c r="B9" s="45" t="str">
        <f>IF($A9&lt;&gt;"",IF(VLOOKUP($A9,貼り付け用!$A$1:$BA$300,COLUMN(),FALSE)=0,"",VLOOKUP($A9,貼り付け用!$A$1:$BA$300,COLUMN(),FALSE)),"")</f>
        <v/>
      </c>
      <c r="C9" s="45" t="str">
        <f>IF($A9&lt;&gt;"",IF(VLOOKUP($A9,貼り付け用!$A$1:$BA$300,COLUMN(),FALSE)=0,"",VLOOKUP($A9,貼り付け用!$A$1:$BA$300,COLUMN(),FALSE)),"")</f>
        <v/>
      </c>
      <c r="D9" s="45" t="str">
        <f>IF($A9&lt;&gt;"",IF(VLOOKUP($A9,貼り付け用!$A$1:$BA$300,COLUMN(),FALSE)=0,"",VLOOKUP($A9,貼り付け用!$A$1:$BA$300,COLUMN(),FALSE)),"")</f>
        <v/>
      </c>
      <c r="E9" s="45" t="str">
        <f>IF($A9&lt;&gt;"",IF(VLOOKUP($A9,貼り付け用!$A$1:$BA$300,COLUMN(),FALSE)=0,"",VLOOKUP($A9,貼り付け用!$A$1:$BA$300,COLUMN(),FALSE)),"")</f>
        <v/>
      </c>
      <c r="F9" s="45" t="str">
        <f>IF($A9&lt;&gt;"",IF(VLOOKUP($A9,貼り付け用!$A$1:$BA$300,COLUMN(),FALSE)=0,"",VLOOKUP($A9,貼り付け用!$A$1:$BA$300,COLUMN(),FALSE)),"")</f>
        <v/>
      </c>
      <c r="G9" s="45" t="str">
        <f>IF($A9&lt;&gt;"",IF(VLOOKUP($A9,貼り付け用!$A$1:$BA$300,COLUMN(),FALSE)=0,"",VLOOKUP($A9,貼り付け用!$A$1:$BA$300,COLUMN(),FALSE)),"")</f>
        <v/>
      </c>
      <c r="H9" s="45" t="str">
        <f>IF($A9&lt;&gt;"",IF(VLOOKUP($A9,貼り付け用!$A$1:$BA$300,COLUMN(),FALSE)=0,"",VLOOKUP($A9,貼り付け用!$A$1:$BA$300,COLUMN(),FALSE)),"")</f>
        <v/>
      </c>
      <c r="I9" s="45" t="str">
        <f>IF($A9&lt;&gt;"",IF(VLOOKUP($A9,貼り付け用!$A$1:$BA$300,COLUMN(),FALSE)=0,"",VLOOKUP($A9,貼り付け用!$A$1:$BA$300,COLUMN(),FALSE)),"")</f>
        <v/>
      </c>
      <c r="J9" s="45" t="str">
        <f>IF($A9&lt;&gt;"",IF(VLOOKUP($A9,貼り付け用!$A$1:$BA$300,COLUMN(),FALSE)=0,"",VLOOKUP($A9,貼り付け用!$A$1:$BA$300,COLUMN(),FALSE)),"")</f>
        <v/>
      </c>
      <c r="K9" s="45" t="str">
        <f>IF($A9&lt;&gt;"",IF(VLOOKUP($A9,貼り付け用!$A$1:$BA$300,COLUMN(),FALSE)=0,"",VLOOKUP($A9,貼り付け用!$A$1:$BA$300,COLUMN(),FALSE)),"")</f>
        <v/>
      </c>
      <c r="L9" s="45" t="str">
        <f>IF($A9&lt;&gt;"",
IF(COLUMN(貼り付け用!L9)&gt;MATCH("おやつ",貼り付け用!$3:$3,0),"",
IF(VLOOKUP($A9,貼り付け用!$A$1:$BA$300,COLUMN(),FALSE)=0,"",VLOOKUP($A9,貼り付け用!$A$1:$BA$300,COLUMN(),FALSE))),"")</f>
        <v/>
      </c>
      <c r="M9" s="45" t="str">
        <f>IF($A9&lt;&gt;"",
IF(COLUMN(貼り付け用!M9)&gt;MATCH("おやつ",貼り付け用!$3:$3,0),"",
IF(VLOOKUP($A9,貼り付け用!$A$1:$BA$300,COLUMN(),FALSE)=0,"",VLOOKUP($A9,貼り付け用!$A$1:$BA$300,COLUMN(),FALSE))),"")</f>
        <v/>
      </c>
      <c r="N9" s="45" t="str">
        <f>IF($A9&lt;&gt;"",
IF(COLUMN(貼り付け用!N9)&gt;MATCH("おやつ",貼り付け用!$3:$3,0),"",
IF(VLOOKUP($A9,貼り付け用!$A$1:$BA$300,COLUMN(),FALSE)=0,"",VLOOKUP($A9,貼り付け用!$A$1:$BA$300,COLUMN(),FALSE))),"")</f>
        <v/>
      </c>
      <c r="O9" s="45" t="str">
        <f>IF($A9&lt;&gt;"",
IF(COLUMN(貼り付け用!O9)&gt;MATCH("おやつ",貼り付け用!$3:$3,0),"",
IF(VLOOKUP($A9,貼り付け用!$A$1:$BA$300,COLUMN(),FALSE)=0,"",VLOOKUP($A9,貼り付け用!$A$1:$BA$300,COLUMN(),FALSE))),"")</f>
        <v/>
      </c>
      <c r="P9" s="45" t="str">
        <f>IF($A9&lt;&gt;"",
IF(COLUMN(貼り付け用!P9)&gt;MATCH("おやつ",貼り付け用!$3:$3,0),"",
IF(VLOOKUP($A9,貼り付け用!$A$1:$BA$300,COLUMN(),FALSE)=0,"",VLOOKUP($A9,貼り付け用!$A$1:$BA$300,COLUMN(),FALSE))),"")</f>
        <v/>
      </c>
      <c r="Q9" s="45" t="str">
        <f>IF($A9&lt;&gt;"",
IF(COLUMN(貼り付け用!Q9)&gt;MATCH("おやつ",貼り付け用!$3:$3,0),"",
IF(VLOOKUP($A9,貼り付け用!$A$1:$BA$300,COLUMN(),FALSE)=0,"",VLOOKUP($A9,貼り付け用!$A$1:$BA$300,COLUMN(),FALSE))),"")</f>
        <v/>
      </c>
      <c r="R9" s="45" t="str">
        <f>IF($A9&lt;&gt;"",
IF(COLUMN(貼り付け用!R9)&gt;MATCH("おやつ",貼り付け用!$3:$3,0),"",
IF(VLOOKUP($A9,貼り付け用!$A$1:$BA$300,COLUMN(),FALSE)=0,"",VLOOKUP($A9,貼り付け用!$A$1:$BA$300,COLUMN(),FALSE))),"")</f>
        <v/>
      </c>
      <c r="S9" s="45" t="str">
        <f>IF($A9&lt;&gt;"",
IF(COLUMN(貼り付け用!S9)&gt;MATCH("おやつ",貼り付け用!$3:$3,0),"",
IF(VLOOKUP($A9,貼り付け用!$A$1:$BA$300,COLUMN(),FALSE)=0,"",VLOOKUP($A9,貼り付け用!$A$1:$BA$300,COLUMN(),FALSE))),"")</f>
        <v/>
      </c>
      <c r="T9" s="45" t="str">
        <f>IF(COLUMN(貼り付け用!T9)&gt;MATCH("おやつ",貼り付け用!$3:$3,0),"",
IF(VLOOKUP($A9,貼り付け用!$A$1:$BA$300,COLUMN(),FALSE)=0,"",VLOOKUP($A9,貼り付け用!$A$1:$BA$300,COLUMN(),FALSE)))</f>
        <v/>
      </c>
      <c r="U9" s="24"/>
      <c r="V9" s="21" t="str">
        <f>IF(A9&lt;&gt;"",
IF(VLOOKUP($A9,貼り付け用!$A$1:$BA$300,MATCH("おやつ",貼り付け用!$3:$3,0)+1,FALSE)=0,"",VLOOKUP($A9,貼り付け用!$A$1:$BA$300,MATCH("おやつ",貼り付け用!$3:$3,0)+1,FALSE)),"")</f>
        <v/>
      </c>
      <c r="W9" s="50" t="str">
        <f>IF(A9&lt;&gt;"",
IF(VLOOKUP($A9,貼り付け用!$A$1:$BA$300,MATCH("おやつ",貼り付け用!$3:$3,0)+2,FALSE)=0,"",VLOOKUP($A9,貼り付け用!$A$1:$BA$300,MATCH("おやつ",貼り付け用!$3:$3,0)+2,FALSE)),"")</f>
        <v/>
      </c>
    </row>
    <row r="10" spans="1:23" x14ac:dyDescent="0.45">
      <c r="A10" s="10" t="str">
        <f>IF(貼り付け用!$A$6&lt;&gt;"",
IF(ROW(A9)+1&gt;=MATCH("*【合計】*", 貼り付け用!$A:$A, 0),
"",
IF(貼り付け用!A10&lt;&gt;"",貼り付け用!A10,"")),
IF(ROW(A10)+1&gt;=MATCH("*【合計】*", 貼り付け用!$A:$A, 0),
"",
IF(貼り付け用!A11&lt;&gt;"",貼り付け用!A11,"")))</f>
        <v>18600</v>
      </c>
      <c r="B10" s="50" t="str">
        <f>IF($A10&lt;&gt;"",IF(VLOOKUP($A10,貼り付け用!$A$1:$BA$300,COLUMN(),FALSE)=0,"",VLOOKUP($A10,貼り付け用!$A$1:$BA$300,COLUMN(),FALSE)),"")</f>
        <v/>
      </c>
      <c r="C10" s="50" t="str">
        <f>IF($A10&lt;&gt;"",IF(VLOOKUP($A10,貼り付け用!$A$1:$BA$300,COLUMN(),FALSE)=0,"",VLOOKUP($A10,貼り付け用!$A$1:$BA$300,COLUMN(),FALSE)),"")</f>
        <v/>
      </c>
      <c r="D10" s="50" t="str">
        <f>IF($A10&lt;&gt;"",IF(VLOOKUP($A10,貼り付け用!$A$1:$BA$300,COLUMN(),FALSE)=0,"",VLOOKUP($A10,貼り付け用!$A$1:$BA$300,COLUMN(),FALSE)),"")</f>
        <v/>
      </c>
      <c r="E10" s="50" t="str">
        <f>IF($A10&lt;&gt;"",IF(VLOOKUP($A10,貼り付け用!$A$1:$BA$300,COLUMN(),FALSE)=0,"",VLOOKUP($A10,貼り付け用!$A$1:$BA$300,COLUMN(),FALSE)),"")</f>
        <v/>
      </c>
      <c r="F10" s="50" t="str">
        <f>IF($A10&lt;&gt;"",IF(VLOOKUP($A10,貼り付け用!$A$1:$BA$300,COLUMN(),FALSE)=0,"",VLOOKUP($A10,貼り付け用!$A$1:$BA$300,COLUMN(),FALSE)),"")</f>
        <v/>
      </c>
      <c r="G10" s="50" t="str">
        <f>IF($A10&lt;&gt;"",IF(VLOOKUP($A10,貼り付け用!$A$1:$BA$300,COLUMN(),FALSE)=0,"",VLOOKUP($A10,貼り付け用!$A$1:$BA$300,COLUMN(),FALSE)),"")</f>
        <v>4</v>
      </c>
      <c r="H10" s="50" t="str">
        <f>IF($A10&lt;&gt;"",IF(VLOOKUP($A10,貼り付け用!$A$1:$BA$300,COLUMN(),FALSE)=0,"",VLOOKUP($A10,貼り付け用!$A$1:$BA$300,COLUMN(),FALSE)),"")</f>
        <v/>
      </c>
      <c r="I10" s="50" t="str">
        <f>IF($A10&lt;&gt;"",IF(VLOOKUP($A10,貼り付け用!$A$1:$BA$300,COLUMN(),FALSE)=0,"",VLOOKUP($A10,貼り付け用!$A$1:$BA$300,COLUMN(),FALSE)),"")</f>
        <v/>
      </c>
      <c r="J10" s="50" t="str">
        <f>IF($A10&lt;&gt;"",IF(VLOOKUP($A10,貼り付け用!$A$1:$BA$300,COLUMN(),FALSE)=0,"",VLOOKUP($A10,貼り付け用!$A$1:$BA$300,COLUMN(),FALSE)),"")</f>
        <v/>
      </c>
      <c r="K10" s="50" t="str">
        <f>IF($A10&lt;&gt;"",IF(VLOOKUP($A10,貼り付け用!$A$1:$BA$300,COLUMN(),FALSE)=0,"",VLOOKUP($A10,貼り付け用!$A$1:$BA$300,COLUMN(),FALSE)),"")</f>
        <v/>
      </c>
      <c r="L10" s="50" t="str">
        <f>IF($A10&lt;&gt;"",
IF(COLUMN(貼り付け用!L10)&gt;MATCH("おやつ",貼り付け用!$3:$3,0),"",
IF(VLOOKUP($A10,貼り付け用!$A$1:$BA$300,COLUMN(),FALSE)=0,"",VLOOKUP($A10,貼り付け用!$A$1:$BA$300,COLUMN(),FALSE))),"")</f>
        <v/>
      </c>
      <c r="M10" s="50" t="str">
        <f>IF($A10&lt;&gt;"",
IF(COLUMN(貼り付け用!M10)&gt;MATCH("おやつ",貼り付け用!$3:$3,0),"",
IF(VLOOKUP($A10,貼り付け用!$A$1:$BA$300,COLUMN(),FALSE)=0,"",VLOOKUP($A10,貼り付け用!$A$1:$BA$300,COLUMN(),FALSE))),"")</f>
        <v/>
      </c>
      <c r="N10" s="50" t="str">
        <f>IF($A10&lt;&gt;"",
IF(COLUMN(貼り付け用!N10)&gt;MATCH("おやつ",貼り付け用!$3:$3,0),"",
IF(VLOOKUP($A10,貼り付け用!$A$1:$BA$300,COLUMN(),FALSE)=0,"",VLOOKUP($A10,貼り付け用!$A$1:$BA$300,COLUMN(),FALSE))),"")</f>
        <v/>
      </c>
      <c r="O10" s="50" t="str">
        <f>IF($A10&lt;&gt;"",
IF(COLUMN(貼り付け用!O10)&gt;MATCH("おやつ",貼り付け用!$3:$3,0),"",
IF(VLOOKUP($A10,貼り付け用!$A$1:$BA$300,COLUMN(),FALSE)=0,"",VLOOKUP($A10,貼り付け用!$A$1:$BA$300,COLUMN(),FALSE))),"")</f>
        <v/>
      </c>
      <c r="P10" s="50" t="str">
        <f>IF($A10&lt;&gt;"",
IF(COLUMN(貼り付け用!P10)&gt;MATCH("おやつ",貼り付け用!$3:$3,0),"",
IF(VLOOKUP($A10,貼り付け用!$A$1:$BA$300,COLUMN(),FALSE)=0,"",VLOOKUP($A10,貼り付け用!$A$1:$BA$300,COLUMN(),FALSE))),"")</f>
        <v/>
      </c>
      <c r="Q10" s="50" t="str">
        <f>IF($A10&lt;&gt;"",
IF(COLUMN(貼り付け用!Q10)&gt;MATCH("おやつ",貼り付け用!$3:$3,0),"",
IF(VLOOKUP($A10,貼り付け用!$A$1:$BA$300,COLUMN(),FALSE)=0,"",VLOOKUP($A10,貼り付け用!$A$1:$BA$300,COLUMN(),FALSE))),"")</f>
        <v/>
      </c>
      <c r="R10" s="50" t="str">
        <f>IF($A10&lt;&gt;"",
IF(COLUMN(貼り付け用!R10)&gt;MATCH("おやつ",貼り付け用!$3:$3,0),"",
IF(VLOOKUP($A10,貼り付け用!$A$1:$BA$300,COLUMN(),FALSE)=0,"",VLOOKUP($A10,貼り付け用!$A$1:$BA$300,COLUMN(),FALSE))),"")</f>
        <v/>
      </c>
      <c r="S10" s="50" t="str">
        <f>IF($A10&lt;&gt;"",
IF(COLUMN(貼り付け用!S10)&gt;MATCH("おやつ",貼り付け用!$3:$3,0),"",
IF(VLOOKUP($A10,貼り付け用!$A$1:$BA$300,COLUMN(),FALSE)=0,"",VLOOKUP($A10,貼り付け用!$A$1:$BA$300,COLUMN(),FALSE))),"")</f>
        <v/>
      </c>
      <c r="T10" s="50" t="str">
        <f>IF(COLUMN(貼り付け用!T10)&gt;MATCH("おやつ",貼り付け用!$3:$3,0),"",
IF(VLOOKUP($A10,貼り付け用!$A$1:$BA$300,COLUMN(),FALSE)=0,"",VLOOKUP($A10,貼り付け用!$A$1:$BA$300,COLUMN(),FALSE)))</f>
        <v/>
      </c>
      <c r="U10" s="23"/>
      <c r="V10" s="21" t="str">
        <f>IF(A10&lt;&gt;"",
IF(VLOOKUP($A10,貼り付け用!$A$1:$BA$300,MATCH("おやつ",貼り付け用!$3:$3,0)+1,FALSE)=0,"",VLOOKUP($A10,貼り付け用!$A$1:$BA$300,MATCH("おやつ",貼り付け用!$3:$3,0)+1,FALSE)),"")</f>
        <v/>
      </c>
      <c r="W10" s="50" t="str">
        <f>IF(A10&lt;&gt;"",
IF(VLOOKUP($A10,貼り付け用!$A$1:$BA$300,MATCH("おやつ",貼り付け用!$3:$3,0)+2,FALSE)=0,"",VLOOKUP($A10,貼り付け用!$A$1:$BA$300,MATCH("おやつ",貼り付け用!$3:$3,0)+2,FALSE)),"")</f>
        <v/>
      </c>
    </row>
    <row r="11" spans="1:23" x14ac:dyDescent="0.45">
      <c r="A11" s="22" t="str">
        <f>IF(貼り付け用!$A$6&lt;&gt;"",
IF(ROW(A10)+1&gt;=MATCH("*【合計】*", 貼り付け用!$A:$A, 0),"",
IF(貼り付け用!A11&lt;&gt;"",貼り付け用!A11,"")),
IF(ROW(A11)+1&gt;=MATCH("*【合計】*", 貼り付け用!$A:$A, 0),"",
IF(貼り付け用!A12&lt;&gt;"",貼り付け用!A12,"")))</f>
        <v>シンキングキッズ</v>
      </c>
      <c r="B11" s="45" t="str">
        <f>IF($A11&lt;&gt;"",IF(VLOOKUP($A11,貼り付け用!$A$1:$BA$300,COLUMN(),FALSE)=0,"",VLOOKUP($A11,貼り付け用!$A$1:$BA$300,COLUMN(),FALSE)),"")</f>
        <v/>
      </c>
      <c r="C11" s="45" t="str">
        <f>IF($A11&lt;&gt;"",IF(VLOOKUP($A11,貼り付け用!$A$1:$BA$300,COLUMN(),FALSE)=0,"",VLOOKUP($A11,貼り付け用!$A$1:$BA$300,COLUMN(),FALSE)),"")</f>
        <v/>
      </c>
      <c r="D11" s="45" t="str">
        <f>IF($A11&lt;&gt;"",IF(VLOOKUP($A11,貼り付け用!$A$1:$BA$300,COLUMN(),FALSE)=0,"",VLOOKUP($A11,貼り付け用!$A$1:$BA$300,COLUMN(),FALSE)),"")</f>
        <v/>
      </c>
      <c r="E11" s="45" t="str">
        <f>IF($A11&lt;&gt;"",IF(VLOOKUP($A11,貼り付け用!$A$1:$BA$300,COLUMN(),FALSE)=0,"",VLOOKUP($A11,貼り付け用!$A$1:$BA$300,COLUMN(),FALSE)),"")</f>
        <v/>
      </c>
      <c r="F11" s="45" t="str">
        <f>IF($A11&lt;&gt;"",IF(VLOOKUP($A11,貼り付け用!$A$1:$BA$300,COLUMN(),FALSE)=0,"",VLOOKUP($A11,貼り付け用!$A$1:$BA$300,COLUMN(),FALSE)),"")</f>
        <v/>
      </c>
      <c r="G11" s="45" t="str">
        <f>IF($A11&lt;&gt;"",IF(VLOOKUP($A11,貼り付け用!$A$1:$BA$300,COLUMN(),FALSE)=0,"",VLOOKUP($A11,貼り付け用!$A$1:$BA$300,COLUMN(),FALSE)),"")</f>
        <v/>
      </c>
      <c r="H11" s="45" t="str">
        <f>IF($A11&lt;&gt;"",IF(VLOOKUP($A11,貼り付け用!$A$1:$BA$300,COLUMN(),FALSE)=0,"",VLOOKUP($A11,貼り付け用!$A$1:$BA$300,COLUMN(),FALSE)),"")</f>
        <v/>
      </c>
      <c r="I11" s="45" t="str">
        <f>IF($A11&lt;&gt;"",IF(VLOOKUP($A11,貼り付け用!$A$1:$BA$300,COLUMN(),FALSE)=0,"",VLOOKUP($A11,貼り付け用!$A$1:$BA$300,COLUMN(),FALSE)),"")</f>
        <v/>
      </c>
      <c r="J11" s="45" t="str">
        <f>IF($A11&lt;&gt;"",IF(VLOOKUP($A11,貼り付け用!$A$1:$BA$300,COLUMN(),FALSE)=0,"",VLOOKUP($A11,貼り付け用!$A$1:$BA$300,COLUMN(),FALSE)),"")</f>
        <v/>
      </c>
      <c r="K11" s="45" t="str">
        <f>IF($A11&lt;&gt;"",IF(VLOOKUP($A11,貼り付け用!$A$1:$BA$300,COLUMN(),FALSE)=0,"",VLOOKUP($A11,貼り付け用!$A$1:$BA$300,COLUMN(),FALSE)),"")</f>
        <v/>
      </c>
      <c r="L11" s="45" t="str">
        <f>IF($A11&lt;&gt;"",
IF(COLUMN(貼り付け用!L11)&gt;MATCH("おやつ",貼り付け用!$3:$3,0),"",
IF(VLOOKUP($A11,貼り付け用!$A$1:$BA$300,COLUMN(),FALSE)=0,"",VLOOKUP($A11,貼り付け用!$A$1:$BA$300,COLUMN(),FALSE))),"")</f>
        <v/>
      </c>
      <c r="M11" s="45" t="str">
        <f>IF($A11&lt;&gt;"",
IF(COLUMN(貼り付け用!M11)&gt;MATCH("おやつ",貼り付け用!$3:$3,0),"",
IF(VLOOKUP($A11,貼り付け用!$A$1:$BA$300,COLUMN(),FALSE)=0,"",VLOOKUP($A11,貼り付け用!$A$1:$BA$300,COLUMN(),FALSE))),"")</f>
        <v/>
      </c>
      <c r="N11" s="45" t="str">
        <f>IF($A11&lt;&gt;"",
IF(COLUMN(貼り付け用!N11)&gt;MATCH("おやつ",貼り付け用!$3:$3,0),"",
IF(VLOOKUP($A11,貼り付け用!$A$1:$BA$300,COLUMN(),FALSE)=0,"",VLOOKUP($A11,貼り付け用!$A$1:$BA$300,COLUMN(),FALSE))),"")</f>
        <v/>
      </c>
      <c r="O11" s="45" t="str">
        <f>IF($A11&lt;&gt;"",
IF(COLUMN(貼り付け用!O11)&gt;MATCH("おやつ",貼り付け用!$3:$3,0),"",
IF(VLOOKUP($A11,貼り付け用!$A$1:$BA$300,COLUMN(),FALSE)=0,"",VLOOKUP($A11,貼り付け用!$A$1:$BA$300,COLUMN(),FALSE))),"")</f>
        <v/>
      </c>
      <c r="P11" s="45" t="str">
        <f>IF($A11&lt;&gt;"",
IF(COLUMN(貼り付け用!P11)&gt;MATCH("おやつ",貼り付け用!$3:$3,0),"",
IF(VLOOKUP($A11,貼り付け用!$A$1:$BA$300,COLUMN(),FALSE)=0,"",VLOOKUP($A11,貼り付け用!$A$1:$BA$300,COLUMN(),FALSE))),"")</f>
        <v/>
      </c>
      <c r="Q11" s="45" t="str">
        <f>IF($A11&lt;&gt;"",
IF(COLUMN(貼り付け用!Q11)&gt;MATCH("おやつ",貼り付け用!$3:$3,0),"",
IF(VLOOKUP($A11,貼り付け用!$A$1:$BA$300,COLUMN(),FALSE)=0,"",VLOOKUP($A11,貼り付け用!$A$1:$BA$300,COLUMN(),FALSE))),"")</f>
        <v/>
      </c>
      <c r="R11" s="45" t="str">
        <f>IF($A11&lt;&gt;"",
IF(COLUMN(貼り付け用!R11)&gt;MATCH("おやつ",貼り付け用!$3:$3,0),"",
IF(VLOOKUP($A11,貼り付け用!$A$1:$BA$300,COLUMN(),FALSE)=0,"",VLOOKUP($A11,貼り付け用!$A$1:$BA$300,COLUMN(),FALSE))),"")</f>
        <v/>
      </c>
      <c r="S11" s="45" t="str">
        <f>IF($A11&lt;&gt;"",
IF(COLUMN(貼り付け用!S11)&gt;MATCH("おやつ",貼り付け用!$3:$3,0),"",
IF(VLOOKUP($A11,貼り付け用!$A$1:$BA$300,COLUMN(),FALSE)=0,"",VLOOKUP($A11,貼り付け用!$A$1:$BA$300,COLUMN(),FALSE))),"")</f>
        <v/>
      </c>
      <c r="T11" s="45" t="str">
        <f>IF(COLUMN(貼り付け用!T11)&gt;MATCH("おやつ",貼り付け用!$3:$3,0),"",
IF(VLOOKUP($A11,貼り付け用!$A$1:$BA$300,COLUMN(),FALSE)=0,"",VLOOKUP($A11,貼り付け用!$A$1:$BA$300,COLUMN(),FALSE)))</f>
        <v/>
      </c>
      <c r="U11" s="24"/>
      <c r="V11" s="21" t="str">
        <f>IF(A11&lt;&gt;"",
IF(VLOOKUP($A11,貼り付け用!$A$1:$BA$300,MATCH("おやつ",貼り付け用!$3:$3,0)+1,FALSE)=0,"",VLOOKUP($A11,貼り付け用!$A$1:$BA$300,MATCH("おやつ",貼り付け用!$3:$3,0)+1,FALSE)),"")</f>
        <v/>
      </c>
      <c r="W11" s="50" t="str">
        <f>IF(A11&lt;&gt;"",
IF(VLOOKUP($A11,貼り付け用!$A$1:$BA$300,MATCH("おやつ",貼り付け用!$3:$3,0)+2,FALSE)=0,"",VLOOKUP($A11,貼り付け用!$A$1:$BA$300,MATCH("おやつ",貼り付け用!$3:$3,0)+2,FALSE)),"")</f>
        <v/>
      </c>
    </row>
    <row r="12" spans="1:23" x14ac:dyDescent="0.45">
      <c r="A12" s="10" t="str">
        <f>IF(貼り付け用!$A$6&lt;&gt;"",
IF(ROW(A11)+1&gt;=MATCH("*【合計】*", 貼り付け用!$A:$A, 0),
"",
IF(貼り付け用!A12&lt;&gt;"",貼り付け用!A12,"")),
IF(ROW(A12)+1&gt;=MATCH("*【合計】*", 貼り付け用!$A:$A, 0),
"",
IF(貼り付け用!A13&lt;&gt;"",貼り付け用!A13,"")))</f>
        <v>19700</v>
      </c>
      <c r="B12" s="50" t="str">
        <f>IF($A12&lt;&gt;"",IF(VLOOKUP($A12,貼り付け用!$A$1:$BA$300,COLUMN(),FALSE)=0,"",VLOOKUP($A12,貼り付け用!$A$1:$BA$300,COLUMN(),FALSE)),"")</f>
        <v/>
      </c>
      <c r="C12" s="50" t="str">
        <f>IF($A12&lt;&gt;"",IF(VLOOKUP($A12,貼り付け用!$A$1:$BA$300,COLUMN(),FALSE)=0,"",VLOOKUP($A12,貼り付け用!$A$1:$BA$300,COLUMN(),FALSE)),"")</f>
        <v/>
      </c>
      <c r="D12" s="50" t="str">
        <f>IF($A12&lt;&gt;"",IF(VLOOKUP($A12,貼り付け用!$A$1:$BA$300,COLUMN(),FALSE)=0,"",VLOOKUP($A12,貼り付け用!$A$1:$BA$300,COLUMN(),FALSE)),"")</f>
        <v/>
      </c>
      <c r="E12" s="50" t="str">
        <f>IF($A12&lt;&gt;"",IF(VLOOKUP($A12,貼り付け用!$A$1:$BA$300,COLUMN(),FALSE)=0,"",VLOOKUP($A12,貼り付け用!$A$1:$BA$300,COLUMN(),FALSE)),"")</f>
        <v/>
      </c>
      <c r="F12" s="50" t="str">
        <f>IF($A12&lt;&gt;"",IF(VLOOKUP($A12,貼り付け用!$A$1:$BA$300,COLUMN(),FALSE)=0,"",VLOOKUP($A12,貼り付け用!$A$1:$BA$300,COLUMN(),FALSE)),"")</f>
        <v/>
      </c>
      <c r="G12" s="50" t="str">
        <f>IF($A12&lt;&gt;"",IF(VLOOKUP($A12,貼り付け用!$A$1:$BA$300,COLUMN(),FALSE)=0,"",VLOOKUP($A12,貼り付け用!$A$1:$BA$300,COLUMN(),FALSE)),"")</f>
        <v>9</v>
      </c>
      <c r="H12" s="50" t="str">
        <f>IF($A12&lt;&gt;"",IF(VLOOKUP($A12,貼り付け用!$A$1:$BA$300,COLUMN(),FALSE)=0,"",VLOOKUP($A12,貼り付け用!$A$1:$BA$300,COLUMN(),FALSE)),"")</f>
        <v/>
      </c>
      <c r="I12" s="50" t="str">
        <f>IF($A12&lt;&gt;"",IF(VLOOKUP($A12,貼り付け用!$A$1:$BA$300,COLUMN(),FALSE)=0,"",VLOOKUP($A12,貼り付け用!$A$1:$BA$300,COLUMN(),FALSE)),"")</f>
        <v/>
      </c>
      <c r="J12" s="50" t="str">
        <f>IF($A12&lt;&gt;"",IF(VLOOKUP($A12,貼り付け用!$A$1:$BA$300,COLUMN(),FALSE)=0,"",VLOOKUP($A12,貼り付け用!$A$1:$BA$300,COLUMN(),FALSE)),"")</f>
        <v/>
      </c>
      <c r="K12" s="50" t="str">
        <f>IF($A12&lt;&gt;"",IF(VLOOKUP($A12,貼り付け用!$A$1:$BA$300,COLUMN(),FALSE)=0,"",VLOOKUP($A12,貼り付け用!$A$1:$BA$300,COLUMN(),FALSE)),"")</f>
        <v/>
      </c>
      <c r="L12" s="50" t="str">
        <f>IF($A12&lt;&gt;"",
IF(COLUMN(貼り付け用!L12)&gt;MATCH("おやつ",貼り付け用!$3:$3,0),"",
IF(VLOOKUP($A12,貼り付け用!$A$1:$BA$300,COLUMN(),FALSE)=0,"",VLOOKUP($A12,貼り付け用!$A$1:$BA$300,COLUMN(),FALSE))),"")</f>
        <v/>
      </c>
      <c r="M12" s="50" t="str">
        <f>IF($A12&lt;&gt;"",
IF(COLUMN(貼り付け用!M12)&gt;MATCH("おやつ",貼り付け用!$3:$3,0),"",
IF(VLOOKUP($A12,貼り付け用!$A$1:$BA$300,COLUMN(),FALSE)=0,"",VLOOKUP($A12,貼り付け用!$A$1:$BA$300,COLUMN(),FALSE))),"")</f>
        <v/>
      </c>
      <c r="N12" s="50" t="str">
        <f>IF($A12&lt;&gt;"",
IF(COLUMN(貼り付け用!N12)&gt;MATCH("おやつ",貼り付け用!$3:$3,0),"",
IF(VLOOKUP($A12,貼り付け用!$A$1:$BA$300,COLUMN(),FALSE)=0,"",VLOOKUP($A12,貼り付け用!$A$1:$BA$300,COLUMN(),FALSE))),"")</f>
        <v/>
      </c>
      <c r="O12" s="50" t="str">
        <f>IF($A12&lt;&gt;"",
IF(COLUMN(貼り付け用!O12)&gt;MATCH("おやつ",貼り付け用!$3:$3,0),"",
IF(VLOOKUP($A12,貼り付け用!$A$1:$BA$300,COLUMN(),FALSE)=0,"",VLOOKUP($A12,貼り付け用!$A$1:$BA$300,COLUMN(),FALSE))),"")</f>
        <v/>
      </c>
      <c r="P12" s="50" t="str">
        <f>IF($A12&lt;&gt;"",
IF(COLUMN(貼り付け用!P12)&gt;MATCH("おやつ",貼り付け用!$3:$3,0),"",
IF(VLOOKUP($A12,貼り付け用!$A$1:$BA$300,COLUMN(),FALSE)=0,"",VLOOKUP($A12,貼り付け用!$A$1:$BA$300,COLUMN(),FALSE))),"")</f>
        <v/>
      </c>
      <c r="Q12" s="50" t="str">
        <f>IF($A12&lt;&gt;"",
IF(COLUMN(貼り付け用!Q12)&gt;MATCH("おやつ",貼り付け用!$3:$3,0),"",
IF(VLOOKUP($A12,貼り付け用!$A$1:$BA$300,COLUMN(),FALSE)=0,"",VLOOKUP($A12,貼り付け用!$A$1:$BA$300,COLUMN(),FALSE))),"")</f>
        <v/>
      </c>
      <c r="R12" s="50" t="str">
        <f>IF($A12&lt;&gt;"",
IF(COLUMN(貼り付け用!R12)&gt;MATCH("おやつ",貼り付け用!$3:$3,0),"",
IF(VLOOKUP($A12,貼り付け用!$A$1:$BA$300,COLUMN(),FALSE)=0,"",VLOOKUP($A12,貼り付け用!$A$1:$BA$300,COLUMN(),FALSE))),"")</f>
        <v/>
      </c>
      <c r="S12" s="50" t="str">
        <f>IF($A12&lt;&gt;"",
IF(COLUMN(貼り付け用!S12)&gt;MATCH("おやつ",貼り付け用!$3:$3,0),"",
IF(VLOOKUP($A12,貼り付け用!$A$1:$BA$300,COLUMN(),FALSE)=0,"",VLOOKUP($A12,貼り付け用!$A$1:$BA$300,COLUMN(),FALSE))),"")</f>
        <v/>
      </c>
      <c r="T12" s="50" t="str">
        <f>IF(COLUMN(貼り付け用!T12)&gt;MATCH("おやつ",貼り付け用!$3:$3,0),"",
IF(VLOOKUP($A12,貼り付け用!$A$1:$BA$300,COLUMN(),FALSE)=0,"",VLOOKUP($A12,貼り付け用!$A$1:$BA$300,COLUMN(),FALSE)))</f>
        <v/>
      </c>
      <c r="U12" s="23"/>
      <c r="V12" s="21" t="str">
        <f>IF(A12&lt;&gt;"",
IF(VLOOKUP($A12,貼り付け用!$A$1:$BA$300,MATCH("おやつ",貼り付け用!$3:$3,0)+1,FALSE)=0,"",VLOOKUP($A12,貼り付け用!$A$1:$BA$300,MATCH("おやつ",貼り付け用!$3:$3,0)+1,FALSE)),"")</f>
        <v/>
      </c>
      <c r="W12" s="50" t="str">
        <f>IF(A12&lt;&gt;"",
IF(VLOOKUP($A12,貼り付け用!$A$1:$BA$300,MATCH("おやつ",貼り付け用!$3:$3,0)+2,FALSE)=0,"",VLOOKUP($A12,貼り付け用!$A$1:$BA$300,MATCH("おやつ",貼り付け用!$3:$3,0)+2,FALSE)),"")</f>
        <v/>
      </c>
    </row>
    <row r="13" spans="1:23" x14ac:dyDescent="0.45">
      <c r="A13" s="22" t="str">
        <f>IF(貼り付け用!$A$6&lt;&gt;"",
IF(ROW(A12)+1&gt;=MATCH("*【合計】*", 貼り付け用!$A:$A, 0),"",
IF(貼り付け用!A13&lt;&gt;"",貼り付け用!A13,"")),
IF(ROW(A13)+1&gt;=MATCH("*【合計】*", 貼り付け用!$A:$A, 0),"",
IF(貼り付け用!A14&lt;&gt;"",貼り付け用!A14,"")))</f>
        <v>なないろキッズ</v>
      </c>
      <c r="B13" s="45" t="str">
        <f>IF($A13&lt;&gt;"",IF(VLOOKUP($A13,貼り付け用!$A$1:$BA$300,COLUMN(),FALSE)=0,"",VLOOKUP($A13,貼り付け用!$A$1:$BA$300,COLUMN(),FALSE)),"")</f>
        <v/>
      </c>
      <c r="C13" s="45" t="str">
        <f>IF($A13&lt;&gt;"",IF(VLOOKUP($A13,貼り付け用!$A$1:$BA$300,COLUMN(),FALSE)=0,"",VLOOKUP($A13,貼り付け用!$A$1:$BA$300,COLUMN(),FALSE)),"")</f>
        <v/>
      </c>
      <c r="D13" s="45" t="str">
        <f>IF($A13&lt;&gt;"",IF(VLOOKUP($A13,貼り付け用!$A$1:$BA$300,COLUMN(),FALSE)=0,"",VLOOKUP($A13,貼り付け用!$A$1:$BA$300,COLUMN(),FALSE)),"")</f>
        <v/>
      </c>
      <c r="E13" s="45" t="str">
        <f>IF($A13&lt;&gt;"",IF(VLOOKUP($A13,貼り付け用!$A$1:$BA$300,COLUMN(),FALSE)=0,"",VLOOKUP($A13,貼り付け用!$A$1:$BA$300,COLUMN(),FALSE)),"")</f>
        <v/>
      </c>
      <c r="F13" s="45" t="str">
        <f>IF($A13&lt;&gt;"",IF(VLOOKUP($A13,貼り付け用!$A$1:$BA$300,COLUMN(),FALSE)=0,"",VLOOKUP($A13,貼り付け用!$A$1:$BA$300,COLUMN(),FALSE)),"")</f>
        <v/>
      </c>
      <c r="G13" s="45" t="str">
        <f>IF($A13&lt;&gt;"",IF(VLOOKUP($A13,貼り付け用!$A$1:$BA$300,COLUMN(),FALSE)=0,"",VLOOKUP($A13,貼り付け用!$A$1:$BA$300,COLUMN(),FALSE)),"")</f>
        <v/>
      </c>
      <c r="H13" s="45" t="str">
        <f>IF($A13&lt;&gt;"",IF(VLOOKUP($A13,貼り付け用!$A$1:$BA$300,COLUMN(),FALSE)=0,"",VLOOKUP($A13,貼り付け用!$A$1:$BA$300,COLUMN(),FALSE)),"")</f>
        <v/>
      </c>
      <c r="I13" s="45" t="str">
        <f>IF($A13&lt;&gt;"",IF(VLOOKUP($A13,貼り付け用!$A$1:$BA$300,COLUMN(),FALSE)=0,"",VLOOKUP($A13,貼り付け用!$A$1:$BA$300,COLUMN(),FALSE)),"")</f>
        <v/>
      </c>
      <c r="J13" s="45" t="str">
        <f>IF($A13&lt;&gt;"",IF(VLOOKUP($A13,貼り付け用!$A$1:$BA$300,COLUMN(),FALSE)=0,"",VLOOKUP($A13,貼り付け用!$A$1:$BA$300,COLUMN(),FALSE)),"")</f>
        <v/>
      </c>
      <c r="K13" s="45" t="str">
        <f>IF($A13&lt;&gt;"",IF(VLOOKUP($A13,貼り付け用!$A$1:$BA$300,COLUMN(),FALSE)=0,"",VLOOKUP($A13,貼り付け用!$A$1:$BA$300,COLUMN(),FALSE)),"")</f>
        <v/>
      </c>
      <c r="L13" s="45" t="str">
        <f>IF($A13&lt;&gt;"",
IF(COLUMN(貼り付け用!L13)&gt;MATCH("おやつ",貼り付け用!$3:$3,0),"",
IF(VLOOKUP($A13,貼り付け用!$A$1:$BA$300,COLUMN(),FALSE)=0,"",VLOOKUP($A13,貼り付け用!$A$1:$BA$300,COLUMN(),FALSE))),"")</f>
        <v/>
      </c>
      <c r="M13" s="45" t="str">
        <f>IF($A13&lt;&gt;"",
IF(COLUMN(貼り付け用!M13)&gt;MATCH("おやつ",貼り付け用!$3:$3,0),"",
IF(VLOOKUP($A13,貼り付け用!$A$1:$BA$300,COLUMN(),FALSE)=0,"",VLOOKUP($A13,貼り付け用!$A$1:$BA$300,COLUMN(),FALSE))),"")</f>
        <v/>
      </c>
      <c r="N13" s="45" t="str">
        <f>IF($A13&lt;&gt;"",
IF(COLUMN(貼り付け用!N13)&gt;MATCH("おやつ",貼り付け用!$3:$3,0),"",
IF(VLOOKUP($A13,貼り付け用!$A$1:$BA$300,COLUMN(),FALSE)=0,"",VLOOKUP($A13,貼り付け用!$A$1:$BA$300,COLUMN(),FALSE))),"")</f>
        <v/>
      </c>
      <c r="O13" s="45" t="str">
        <f>IF($A13&lt;&gt;"",
IF(COLUMN(貼り付け用!O13)&gt;MATCH("おやつ",貼り付け用!$3:$3,0),"",
IF(VLOOKUP($A13,貼り付け用!$A$1:$BA$300,COLUMN(),FALSE)=0,"",VLOOKUP($A13,貼り付け用!$A$1:$BA$300,COLUMN(),FALSE))),"")</f>
        <v/>
      </c>
      <c r="P13" s="45" t="str">
        <f>IF($A13&lt;&gt;"",
IF(COLUMN(貼り付け用!P13)&gt;MATCH("おやつ",貼り付け用!$3:$3,0),"",
IF(VLOOKUP($A13,貼り付け用!$A$1:$BA$300,COLUMN(),FALSE)=0,"",VLOOKUP($A13,貼り付け用!$A$1:$BA$300,COLUMN(),FALSE))),"")</f>
        <v/>
      </c>
      <c r="Q13" s="45" t="str">
        <f>IF($A13&lt;&gt;"",
IF(COLUMN(貼り付け用!Q13)&gt;MATCH("おやつ",貼り付け用!$3:$3,0),"",
IF(VLOOKUP($A13,貼り付け用!$A$1:$BA$300,COLUMN(),FALSE)=0,"",VLOOKUP($A13,貼り付け用!$A$1:$BA$300,COLUMN(),FALSE))),"")</f>
        <v/>
      </c>
      <c r="R13" s="45" t="str">
        <f>IF($A13&lt;&gt;"",
IF(COLUMN(貼り付け用!R13)&gt;MATCH("おやつ",貼り付け用!$3:$3,0),"",
IF(VLOOKUP($A13,貼り付け用!$A$1:$BA$300,COLUMN(),FALSE)=0,"",VLOOKUP($A13,貼り付け用!$A$1:$BA$300,COLUMN(),FALSE))),"")</f>
        <v/>
      </c>
      <c r="S13" s="45" t="str">
        <f>IF($A13&lt;&gt;"",
IF(COLUMN(貼り付け用!S13)&gt;MATCH("おやつ",貼り付け用!$3:$3,0),"",
IF(VLOOKUP($A13,貼り付け用!$A$1:$BA$300,COLUMN(),FALSE)=0,"",VLOOKUP($A13,貼り付け用!$A$1:$BA$300,COLUMN(),FALSE))),"")</f>
        <v/>
      </c>
      <c r="T13" s="45" t="str">
        <f>IF(COLUMN(貼り付け用!T13)&gt;MATCH("おやつ",貼り付け用!$3:$3,0),"",
IF(VLOOKUP($A13,貼り付け用!$A$1:$BA$300,COLUMN(),FALSE)=0,"",VLOOKUP($A13,貼り付け用!$A$1:$BA$300,COLUMN(),FALSE)))</f>
        <v/>
      </c>
      <c r="U13" s="24"/>
      <c r="V13" s="21" t="str">
        <f>IF(A13&lt;&gt;"",
IF(VLOOKUP($A13,貼り付け用!$A$1:$BA$300,MATCH("おやつ",貼り付け用!$3:$3,0)+1,FALSE)=0,"",VLOOKUP($A13,貼り付け用!$A$1:$BA$300,MATCH("おやつ",貼り付け用!$3:$3,0)+1,FALSE)),"")</f>
        <v/>
      </c>
      <c r="W13" s="50" t="str">
        <f>IF(A13&lt;&gt;"",
IF(VLOOKUP($A13,貼り付け用!$A$1:$BA$300,MATCH("おやつ",貼り付け用!$3:$3,0)+2,FALSE)=0,"",VLOOKUP($A13,貼り付け用!$A$1:$BA$300,MATCH("おやつ",貼り付け用!$3:$3,0)+2,FALSE)),"")</f>
        <v/>
      </c>
    </row>
    <row r="14" spans="1:23" x14ac:dyDescent="0.45">
      <c r="A14" s="10" t="str">
        <f>IF(貼り付け用!$A$6&lt;&gt;"",
IF(ROW(A13)+1&gt;=MATCH("*【合計】*", 貼り付け用!$A:$A, 0),
"",
IF(貼り付け用!A14&lt;&gt;"",貼り付け用!A14,"")),
IF(ROW(A14)+1&gt;=MATCH("*【合計】*", 貼り付け用!$A:$A, 0),
"",
IF(貼り付け用!A15&lt;&gt;"",貼り付け用!A15,"")))</f>
        <v>200</v>
      </c>
      <c r="B14" s="50" t="str">
        <f>IF($A14&lt;&gt;"",IF(VLOOKUP($A14,貼り付け用!$A$1:$BA$300,COLUMN(),FALSE)=0,"",VLOOKUP($A14,貼り付け用!$A$1:$BA$300,COLUMN(),FALSE)),"")</f>
        <v/>
      </c>
      <c r="C14" s="50" t="str">
        <f>IF($A14&lt;&gt;"",IF(VLOOKUP($A14,貼り付け用!$A$1:$BA$300,COLUMN(),FALSE)=0,"",VLOOKUP($A14,貼り付け用!$A$1:$BA$300,COLUMN(),FALSE)),"")</f>
        <v/>
      </c>
      <c r="D14" s="50" t="str">
        <f>IF($A14&lt;&gt;"",IF(VLOOKUP($A14,貼り付け用!$A$1:$BA$300,COLUMN(),FALSE)=0,"",VLOOKUP($A14,貼り付け用!$A$1:$BA$300,COLUMN(),FALSE)),"")</f>
        <v/>
      </c>
      <c r="E14" s="50" t="str">
        <f>IF($A14&lt;&gt;"",IF(VLOOKUP($A14,貼り付け用!$A$1:$BA$300,COLUMN(),FALSE)=0,"",VLOOKUP($A14,貼り付け用!$A$1:$BA$300,COLUMN(),FALSE)),"")</f>
        <v/>
      </c>
      <c r="F14" s="50" t="str">
        <f>IF($A14&lt;&gt;"",IF(VLOOKUP($A14,貼り付け用!$A$1:$BA$300,COLUMN(),FALSE)=0,"",VLOOKUP($A14,貼り付け用!$A$1:$BA$300,COLUMN(),FALSE)),"")</f>
        <v>52</v>
      </c>
      <c r="G14" s="50" t="str">
        <f>IF($A14&lt;&gt;"",IF(VLOOKUP($A14,貼り付け用!$A$1:$BA$300,COLUMN(),FALSE)=0,"",VLOOKUP($A14,貼り付け用!$A$1:$BA$300,COLUMN(),FALSE)),"")</f>
        <v/>
      </c>
      <c r="H14" s="50" t="str">
        <f>IF($A14&lt;&gt;"",IF(VLOOKUP($A14,貼り付け用!$A$1:$BA$300,COLUMN(),FALSE)=0,"",VLOOKUP($A14,貼り付け用!$A$1:$BA$300,COLUMN(),FALSE)),"")</f>
        <v/>
      </c>
      <c r="I14" s="50" t="str">
        <f>IF($A14&lt;&gt;"",IF(VLOOKUP($A14,貼り付け用!$A$1:$BA$300,COLUMN(),FALSE)=0,"",VLOOKUP($A14,貼り付け用!$A$1:$BA$300,COLUMN(),FALSE)),"")</f>
        <v/>
      </c>
      <c r="J14" s="50" t="str">
        <f>IF($A14&lt;&gt;"",IF(VLOOKUP($A14,貼り付け用!$A$1:$BA$300,COLUMN(),FALSE)=0,"",VLOOKUP($A14,貼り付け用!$A$1:$BA$300,COLUMN(),FALSE)),"")</f>
        <v/>
      </c>
      <c r="K14" s="50" t="str">
        <f>IF($A14&lt;&gt;"",IF(VLOOKUP($A14,貼り付け用!$A$1:$BA$300,COLUMN(),FALSE)=0,"",VLOOKUP($A14,貼り付け用!$A$1:$BA$300,COLUMN(),FALSE)),"")</f>
        <v/>
      </c>
      <c r="L14" s="50" t="str">
        <f>IF($A14&lt;&gt;"",
IF(COLUMN(貼り付け用!L14)&gt;MATCH("おやつ",貼り付け用!$3:$3,0),"",
IF(VLOOKUP($A14,貼り付け用!$A$1:$BA$300,COLUMN(),FALSE)=0,"",VLOOKUP($A14,貼り付け用!$A$1:$BA$300,COLUMN(),FALSE))),"")</f>
        <v/>
      </c>
      <c r="M14" s="50" t="str">
        <f>IF($A14&lt;&gt;"",
IF(COLUMN(貼り付け用!M14)&gt;MATCH("おやつ",貼り付け用!$3:$3,0),"",
IF(VLOOKUP($A14,貼り付け用!$A$1:$BA$300,COLUMN(),FALSE)=0,"",VLOOKUP($A14,貼り付け用!$A$1:$BA$300,COLUMN(),FALSE))),"")</f>
        <v>1</v>
      </c>
      <c r="N14" s="50" t="str">
        <f>IF($A14&lt;&gt;"",
IF(COLUMN(貼り付け用!N14)&gt;MATCH("おやつ",貼り付け用!$3:$3,0),"",
IF(VLOOKUP($A14,貼り付け用!$A$1:$BA$300,COLUMN(),FALSE)=0,"",VLOOKUP($A14,貼り付け用!$A$1:$BA$300,COLUMN(),FALSE))),"")</f>
        <v/>
      </c>
      <c r="O14" s="50" t="str">
        <f>IF($A14&lt;&gt;"",
IF(COLUMN(貼り付け用!O14)&gt;MATCH("おやつ",貼り付け用!$3:$3,0),"",
IF(VLOOKUP($A14,貼り付け用!$A$1:$BA$300,COLUMN(),FALSE)=0,"",VLOOKUP($A14,貼り付け用!$A$1:$BA$300,COLUMN(),FALSE))),"")</f>
        <v/>
      </c>
      <c r="P14" s="50" t="str">
        <f>IF($A14&lt;&gt;"",
IF(COLUMN(貼り付け用!P14)&gt;MATCH("おやつ",貼り付け用!$3:$3,0),"",
IF(VLOOKUP($A14,貼り付け用!$A$1:$BA$300,COLUMN(),FALSE)=0,"",VLOOKUP($A14,貼り付け用!$A$1:$BA$300,COLUMN(),FALSE))),"")</f>
        <v/>
      </c>
      <c r="Q14" s="50" t="str">
        <f>IF($A14&lt;&gt;"",
IF(COLUMN(貼り付け用!Q14)&gt;MATCH("おやつ",貼り付け用!$3:$3,0),"",
IF(VLOOKUP($A14,貼り付け用!$A$1:$BA$300,COLUMN(),FALSE)=0,"",VLOOKUP($A14,貼り付け用!$A$1:$BA$300,COLUMN(),FALSE))),"")</f>
        <v/>
      </c>
      <c r="R14" s="50" t="str">
        <f>IF($A14&lt;&gt;"",
IF(COLUMN(貼り付け用!R14)&gt;MATCH("おやつ",貼り付け用!$3:$3,0),"",
IF(VLOOKUP($A14,貼り付け用!$A$1:$BA$300,COLUMN(),FALSE)=0,"",VLOOKUP($A14,貼り付け用!$A$1:$BA$300,COLUMN(),FALSE))),"")</f>
        <v/>
      </c>
      <c r="S14" s="50" t="str">
        <f>IF($A14&lt;&gt;"",
IF(COLUMN(貼り付け用!S14)&gt;MATCH("おやつ",貼り付け用!$3:$3,0),"",
IF(VLOOKUP($A14,貼り付け用!$A$1:$BA$300,COLUMN(),FALSE)=0,"",VLOOKUP($A14,貼り付け用!$A$1:$BA$300,COLUMN(),FALSE))),"")</f>
        <v/>
      </c>
      <c r="T14" s="50" t="str">
        <f>IF(COLUMN(貼り付け用!T14)&gt;MATCH("おやつ",貼り付け用!$3:$3,0),"",
IF(VLOOKUP($A14,貼り付け用!$A$1:$BA$300,COLUMN(),FALSE)=0,"",VLOOKUP($A14,貼り付け用!$A$1:$BA$300,COLUMN(),FALSE)))</f>
        <v/>
      </c>
      <c r="U14" s="23"/>
      <c r="V14" s="21" t="str">
        <f>IF(A14&lt;&gt;"",
IF(VLOOKUP($A14,貼り付け用!$A$1:$BA$300,MATCH("おやつ",貼り付け用!$3:$3,0)+1,FALSE)=0,"",VLOOKUP($A14,貼り付け用!$A$1:$BA$300,MATCH("おやつ",貼り付け用!$3:$3,0)+1,FALSE)),"")</f>
        <v>ﾋﾟｸｱﾚ0 10：00まで納品</v>
      </c>
      <c r="W14" s="50" t="str">
        <f>IF(A14&lt;&gt;"",
IF(VLOOKUP($A14,貼り付け用!$A$1:$BA$300,MATCH("おやつ",貼り付け用!$3:$3,0)+2,FALSE)=0,"",VLOOKUP($A14,貼り付け用!$A$1:$BA$300,MATCH("おやつ",貼り付け用!$3:$3,0)+2,FALSE)),"")</f>
        <v/>
      </c>
    </row>
    <row r="15" spans="1:23" x14ac:dyDescent="0.45">
      <c r="A15" s="22" t="str">
        <f>IF(貼り付け用!$A$6&lt;&gt;"",
IF(ROW(A14)+1&gt;=MATCH("*【合計】*", 貼り付け用!$A:$A, 0),"",
IF(貼り付け用!A15&lt;&gt;"",貼り付け用!A15,"")),
IF(ROW(A15)+1&gt;=MATCH("*【合計】*", 貼り付け用!$A:$A, 0),"",
IF(貼り付け用!A16&lt;&gt;"",貼り付け用!A16,"")))</f>
        <v>博多南 週3ｺｰｽ</v>
      </c>
      <c r="B15" s="45" t="str">
        <f>IF($A15&lt;&gt;"",IF(VLOOKUP($A15,貼り付け用!$A$1:$BA$300,COLUMN(),FALSE)=0,"",VLOOKUP($A15,貼り付け用!$A$1:$BA$300,COLUMN(),FALSE)),"")</f>
        <v/>
      </c>
      <c r="C15" s="45" t="str">
        <f>IF($A15&lt;&gt;"",IF(VLOOKUP($A15,貼り付け用!$A$1:$BA$300,COLUMN(),FALSE)=0,"",VLOOKUP($A15,貼り付け用!$A$1:$BA$300,COLUMN(),FALSE)),"")</f>
        <v/>
      </c>
      <c r="D15" s="45" t="str">
        <f>IF($A15&lt;&gt;"",IF(VLOOKUP($A15,貼り付け用!$A$1:$BA$300,COLUMN(),FALSE)=0,"",VLOOKUP($A15,貼り付け用!$A$1:$BA$300,COLUMN(),FALSE)),"")</f>
        <v/>
      </c>
      <c r="E15" s="45" t="str">
        <f>IF($A15&lt;&gt;"",IF(VLOOKUP($A15,貼り付け用!$A$1:$BA$300,COLUMN(),FALSE)=0,"",VLOOKUP($A15,貼り付け用!$A$1:$BA$300,COLUMN(),FALSE)),"")</f>
        <v/>
      </c>
      <c r="F15" s="45" t="str">
        <f>IF($A15&lt;&gt;"",IF(VLOOKUP($A15,貼り付け用!$A$1:$BA$300,COLUMN(),FALSE)=0,"",VLOOKUP($A15,貼り付け用!$A$1:$BA$300,COLUMN(),FALSE)),"")</f>
        <v>12</v>
      </c>
      <c r="G15" s="45" t="str">
        <f>IF($A15&lt;&gt;"",IF(VLOOKUP($A15,貼り付け用!$A$1:$BA$300,COLUMN(),FALSE)=0,"",VLOOKUP($A15,貼り付け用!$A$1:$BA$300,COLUMN(),FALSE)),"")</f>
        <v/>
      </c>
      <c r="H15" s="45" t="str">
        <f>IF($A15&lt;&gt;"",IF(VLOOKUP($A15,貼り付け用!$A$1:$BA$300,COLUMN(),FALSE)=0,"",VLOOKUP($A15,貼り付け用!$A$1:$BA$300,COLUMN(),FALSE)),"")</f>
        <v/>
      </c>
      <c r="I15" s="45" t="str">
        <f>IF($A15&lt;&gt;"",IF(VLOOKUP($A15,貼り付け用!$A$1:$BA$300,COLUMN(),FALSE)=0,"",VLOOKUP($A15,貼り付け用!$A$1:$BA$300,COLUMN(),FALSE)),"")</f>
        <v/>
      </c>
      <c r="J15" s="45" t="str">
        <f>IF($A15&lt;&gt;"",IF(VLOOKUP($A15,貼り付け用!$A$1:$BA$300,COLUMN(),FALSE)=0,"",VLOOKUP($A15,貼り付け用!$A$1:$BA$300,COLUMN(),FALSE)),"")</f>
        <v/>
      </c>
      <c r="K15" s="45" t="str">
        <f>IF($A15&lt;&gt;"",IF(VLOOKUP($A15,貼り付け用!$A$1:$BA$300,COLUMN(),FALSE)=0,"",VLOOKUP($A15,貼り付け用!$A$1:$BA$300,COLUMN(),FALSE)),"")</f>
        <v/>
      </c>
      <c r="L15" s="45" t="str">
        <f>IF($A15&lt;&gt;"",
IF(COLUMN(貼り付け用!L15)&gt;MATCH("おやつ",貼り付け用!$3:$3,0),"",
IF(VLOOKUP($A15,貼り付け用!$A$1:$BA$300,COLUMN(),FALSE)=0,"",VLOOKUP($A15,貼り付け用!$A$1:$BA$300,COLUMN(),FALSE))),"")</f>
        <v/>
      </c>
      <c r="M15" s="45" t="str">
        <f>IF($A15&lt;&gt;"",
IF(COLUMN(貼り付け用!M15)&gt;MATCH("おやつ",貼り付け用!$3:$3,0),"",
IF(VLOOKUP($A15,貼り付け用!$A$1:$BA$300,COLUMN(),FALSE)=0,"",VLOOKUP($A15,貼り付け用!$A$1:$BA$300,COLUMN(),FALSE))),"")</f>
        <v>2</v>
      </c>
      <c r="N15" s="45" t="str">
        <f>IF($A15&lt;&gt;"",
IF(COLUMN(貼り付け用!N15)&gt;MATCH("おやつ",貼り付け用!$3:$3,0),"",
IF(VLOOKUP($A15,貼り付け用!$A$1:$BA$300,COLUMN(),FALSE)=0,"",VLOOKUP($A15,貼り付け用!$A$1:$BA$300,COLUMN(),FALSE))),"")</f>
        <v/>
      </c>
      <c r="O15" s="45" t="str">
        <f>IF($A15&lt;&gt;"",
IF(COLUMN(貼り付け用!O15)&gt;MATCH("おやつ",貼り付け用!$3:$3,0),"",
IF(VLOOKUP($A15,貼り付け用!$A$1:$BA$300,COLUMN(),FALSE)=0,"",VLOOKUP($A15,貼り付け用!$A$1:$BA$300,COLUMN(),FALSE))),"")</f>
        <v/>
      </c>
      <c r="P15" s="45" t="str">
        <f>IF($A15&lt;&gt;"",
IF(COLUMN(貼り付け用!P15)&gt;MATCH("おやつ",貼り付け用!$3:$3,0),"",
IF(VLOOKUP($A15,貼り付け用!$A$1:$BA$300,COLUMN(),FALSE)=0,"",VLOOKUP($A15,貼り付け用!$A$1:$BA$300,COLUMN(),FALSE))),"")</f>
        <v/>
      </c>
      <c r="Q15" s="45" t="str">
        <f>IF($A15&lt;&gt;"",
IF(COLUMN(貼り付け用!Q15)&gt;MATCH("おやつ",貼り付け用!$3:$3,0),"",
IF(VLOOKUP($A15,貼り付け用!$A$1:$BA$300,COLUMN(),FALSE)=0,"",VLOOKUP($A15,貼り付け用!$A$1:$BA$300,COLUMN(),FALSE))),"")</f>
        <v/>
      </c>
      <c r="R15" s="45" t="str">
        <f>IF($A15&lt;&gt;"",
IF(COLUMN(貼り付け用!R15)&gt;MATCH("おやつ",貼り付け用!$3:$3,0),"",
IF(VLOOKUP($A15,貼り付け用!$A$1:$BA$300,COLUMN(),FALSE)=0,"",VLOOKUP($A15,貼り付け用!$A$1:$BA$300,COLUMN(),FALSE))),"")</f>
        <v/>
      </c>
      <c r="S15" s="45" t="str">
        <f>IF($A15&lt;&gt;"",
IF(COLUMN(貼り付け用!S15)&gt;MATCH("おやつ",貼り付け用!$3:$3,0),"",
IF(VLOOKUP($A15,貼り付け用!$A$1:$BA$300,COLUMN(),FALSE)=0,"",VLOOKUP($A15,貼り付け用!$A$1:$BA$300,COLUMN(),FALSE))),"")</f>
        <v/>
      </c>
      <c r="T15" s="45" t="str">
        <f>IF(COLUMN(貼り付け用!T15)&gt;MATCH("おやつ",貼り付け用!$3:$3,0),"",
IF(VLOOKUP($A15,貼り付け用!$A$1:$BA$300,COLUMN(),FALSE)=0,"",VLOOKUP($A15,貼り付け用!$A$1:$BA$300,COLUMN(),FALSE)))</f>
        <v/>
      </c>
      <c r="U15" s="24"/>
      <c r="V15" s="21" t="str">
        <f>IF(A15&lt;&gt;"",
IF(VLOOKUP($A15,貼り付け用!$A$1:$BA$300,MATCH("おやつ",貼り付け用!$3:$3,0)+1,FALSE)=0,"",VLOOKUP($A15,貼り付け用!$A$1:$BA$300,MATCH("おやつ",貼り付け用!$3:$3,0)+1,FALSE)),"")</f>
        <v/>
      </c>
      <c r="W15" s="50" t="str">
        <f>IF(A15&lt;&gt;"",
IF(VLOOKUP($A15,貼り付け用!$A$1:$BA$300,MATCH("おやつ",貼り付け用!$3:$3,0)+2,FALSE)=0,"",VLOOKUP($A15,貼り付け用!$A$1:$BA$300,MATCH("おやつ",貼り付け用!$3:$3,0)+2,FALSE)),"")</f>
        <v/>
      </c>
    </row>
    <row r="16" spans="1:23" x14ac:dyDescent="0.45">
      <c r="A16" s="10" t="str">
        <f>IF(貼り付け用!$A$6&lt;&gt;"",
IF(ROW(A15)+1&gt;=MATCH("*【合計】*", 貼り付け用!$A:$A, 0),
"",
IF(貼り付け用!A16&lt;&gt;"",貼り付け用!A16,"")),
IF(ROW(A16)+1&gt;=MATCH("*【合計】*", 貼り付け用!$A:$A, 0),
"",
IF(貼り付け用!A17&lt;&gt;"",貼り付け用!A17,"")))</f>
        <v>206</v>
      </c>
      <c r="B16" s="50" t="str">
        <f>IF($A16&lt;&gt;"",IF(VLOOKUP($A16,貼り付け用!$A$1:$BA$300,COLUMN(),FALSE)=0,"",VLOOKUP($A16,貼り付け用!$A$1:$BA$300,COLUMN(),FALSE)),"")</f>
        <v/>
      </c>
      <c r="C16" s="50" t="str">
        <f>IF($A16&lt;&gt;"",IF(VLOOKUP($A16,貼り付け用!$A$1:$BA$300,COLUMN(),FALSE)=0,"",VLOOKUP($A16,貼り付け用!$A$1:$BA$300,COLUMN(),FALSE)),"")</f>
        <v/>
      </c>
      <c r="D16" s="50" t="str">
        <f>IF($A16&lt;&gt;"",IF(VLOOKUP($A16,貼り付け用!$A$1:$BA$300,COLUMN(),FALSE)=0,"",VLOOKUP($A16,貼り付け用!$A$1:$BA$300,COLUMN(),FALSE)),"")</f>
        <v/>
      </c>
      <c r="E16" s="50" t="str">
        <f>IF($A16&lt;&gt;"",IF(VLOOKUP($A16,貼り付け用!$A$1:$BA$300,COLUMN(),FALSE)=0,"",VLOOKUP($A16,貼り付け用!$A$1:$BA$300,COLUMN(),FALSE)),"")</f>
        <v/>
      </c>
      <c r="F16" s="50" t="str">
        <f>IF($A16&lt;&gt;"",IF(VLOOKUP($A16,貼り付け用!$A$1:$BA$300,COLUMN(),FALSE)=0,"",VLOOKUP($A16,貼り付け用!$A$1:$BA$300,COLUMN(),FALSE)),"")</f>
        <v>154</v>
      </c>
      <c r="G16" s="50" t="str">
        <f>IF($A16&lt;&gt;"",IF(VLOOKUP($A16,貼り付け用!$A$1:$BA$300,COLUMN(),FALSE)=0,"",VLOOKUP($A16,貼り付け用!$A$1:$BA$300,COLUMN(),FALSE)),"")</f>
        <v/>
      </c>
      <c r="H16" s="50" t="str">
        <f>IF($A16&lt;&gt;"",IF(VLOOKUP($A16,貼り付け用!$A$1:$BA$300,COLUMN(),FALSE)=0,"",VLOOKUP($A16,貼り付け用!$A$1:$BA$300,COLUMN(),FALSE)),"")</f>
        <v/>
      </c>
      <c r="I16" s="50" t="str">
        <f>IF($A16&lt;&gt;"",IF(VLOOKUP($A16,貼り付け用!$A$1:$BA$300,COLUMN(),FALSE)=0,"",VLOOKUP($A16,貼り付け用!$A$1:$BA$300,COLUMN(),FALSE)),"")</f>
        <v/>
      </c>
      <c r="J16" s="50" t="str">
        <f>IF($A16&lt;&gt;"",IF(VLOOKUP($A16,貼り付け用!$A$1:$BA$300,COLUMN(),FALSE)=0,"",VLOOKUP($A16,貼り付け用!$A$1:$BA$300,COLUMN(),FALSE)),"")</f>
        <v/>
      </c>
      <c r="K16" s="50" t="str">
        <f>IF($A16&lt;&gt;"",IF(VLOOKUP($A16,貼り付け用!$A$1:$BA$300,COLUMN(),FALSE)=0,"",VLOOKUP($A16,貼り付け用!$A$1:$BA$300,COLUMN(),FALSE)),"")</f>
        <v/>
      </c>
      <c r="L16" s="50" t="str">
        <f>IF($A16&lt;&gt;"",
IF(COLUMN(貼り付け用!L16)&gt;MATCH("おやつ",貼り付け用!$3:$3,0),"",
IF(VLOOKUP($A16,貼り付け用!$A$1:$BA$300,COLUMN(),FALSE)=0,"",VLOOKUP($A16,貼り付け用!$A$1:$BA$300,COLUMN(),FALSE))),"")</f>
        <v/>
      </c>
      <c r="M16" s="50" t="str">
        <f>IF($A16&lt;&gt;"",
IF(COLUMN(貼り付け用!M16)&gt;MATCH("おやつ",貼り付け用!$3:$3,0),"",
IF(VLOOKUP($A16,貼り付け用!$A$1:$BA$300,COLUMN(),FALSE)=0,"",VLOOKUP($A16,貼り付け用!$A$1:$BA$300,COLUMN(),FALSE))),"")</f>
        <v>36</v>
      </c>
      <c r="N16" s="50" t="str">
        <f>IF($A16&lt;&gt;"",
IF(COLUMN(貼り付け用!N16)&gt;MATCH("おやつ",貼り付け用!$3:$3,0),"",
IF(VLOOKUP($A16,貼り付け用!$A$1:$BA$300,COLUMN(),FALSE)=0,"",VLOOKUP($A16,貼り付け用!$A$1:$BA$300,COLUMN(),FALSE))),"")</f>
        <v/>
      </c>
      <c r="O16" s="50" t="str">
        <f>IF($A16&lt;&gt;"",
IF(COLUMN(貼り付け用!O16)&gt;MATCH("おやつ",貼り付け用!$3:$3,0),"",
IF(VLOOKUP($A16,貼り付け用!$A$1:$BA$300,COLUMN(),FALSE)=0,"",VLOOKUP($A16,貼り付け用!$A$1:$BA$300,COLUMN(),FALSE))),"")</f>
        <v/>
      </c>
      <c r="P16" s="50" t="str">
        <f>IF($A16&lt;&gt;"",
IF(COLUMN(貼り付け用!P16)&gt;MATCH("おやつ",貼り付け用!$3:$3,0),"",
IF(VLOOKUP($A16,貼り付け用!$A$1:$BA$300,COLUMN(),FALSE)=0,"",VLOOKUP($A16,貼り付け用!$A$1:$BA$300,COLUMN(),FALSE))),"")</f>
        <v/>
      </c>
      <c r="Q16" s="50" t="str">
        <f>IF($A16&lt;&gt;"",
IF(COLUMN(貼り付け用!Q16)&gt;MATCH("おやつ",貼り付け用!$3:$3,0),"",
IF(VLOOKUP($A16,貼り付け用!$A$1:$BA$300,COLUMN(),FALSE)=0,"",VLOOKUP($A16,貼り付け用!$A$1:$BA$300,COLUMN(),FALSE))),"")</f>
        <v/>
      </c>
      <c r="R16" s="50" t="str">
        <f>IF($A16&lt;&gt;"",
IF(COLUMN(貼り付け用!R16)&gt;MATCH("おやつ",貼り付け用!$3:$3,0),"",
IF(VLOOKUP($A16,貼り付け用!$A$1:$BA$300,COLUMN(),FALSE)=0,"",VLOOKUP($A16,貼り付け用!$A$1:$BA$300,COLUMN(),FALSE))),"")</f>
        <v/>
      </c>
      <c r="S16" s="50" t="str">
        <f>IF($A16&lt;&gt;"",
IF(COLUMN(貼り付け用!S16)&gt;MATCH("おやつ",貼り付け用!$3:$3,0),"",
IF(VLOOKUP($A16,貼り付け用!$A$1:$BA$300,COLUMN(),FALSE)=0,"",VLOOKUP($A16,貼り付け用!$A$1:$BA$300,COLUMN(),FALSE))),"")</f>
        <v/>
      </c>
      <c r="T16" s="50" t="str">
        <f>IF(COLUMN(貼り付け用!T16)&gt;MATCH("おやつ",貼り付け用!$3:$3,0),"",
IF(VLOOKUP($A16,貼り付け用!$A$1:$BA$300,COLUMN(),FALSE)=0,"",VLOOKUP($A16,貼り付け用!$A$1:$BA$300,COLUMN(),FALSE)))</f>
        <v/>
      </c>
      <c r="U16" s="23"/>
      <c r="V16" s="21" t="str">
        <f>IF(A16&lt;&gt;"",
IF(VLOOKUP($A16,貼り付け用!$A$1:$BA$300,MATCH("おやつ",貼り付け用!$3:$3,0)+1,FALSE)=0,"",VLOOKUP($A16,貼り付け用!$A$1:$BA$300,MATCH("おやつ",貼り付け用!$3:$3,0)+1,FALSE)),"")</f>
        <v>ﾋﾟｸｱﾚ0 10：00まで納品</v>
      </c>
      <c r="W16" s="50" t="str">
        <f>IF(A16&lt;&gt;"",
IF(VLOOKUP($A16,貼り付け用!$A$1:$BA$300,MATCH("おやつ",貼り付け用!$3:$3,0)+2,FALSE)=0,"",VLOOKUP($A16,貼り付け用!$A$1:$BA$300,MATCH("おやつ",貼り付け用!$3:$3,0)+2,FALSE)),"")</f>
        <v/>
      </c>
    </row>
    <row r="17" spans="1:23" x14ac:dyDescent="0.45">
      <c r="A17" s="22" t="str">
        <f>IF(貼り付け用!$A$6&lt;&gt;"",
IF(ROW(A16)+1&gt;=MATCH("*【合計】*", 貼り付け用!$A:$A, 0),"",
IF(貼り付け用!A17&lt;&gt;"",貼り付け用!A17,"")),
IF(ROW(A17)+1&gt;=MATCH("*【合計】*", 貼り付け用!$A:$A, 0),"",
IF(貼り付け用!A18&lt;&gt;"",貼り付け用!A18,"")))</f>
        <v>博多南 週5ｺｰｽ</v>
      </c>
      <c r="B17" s="45" t="str">
        <f>IF($A17&lt;&gt;"",IF(VLOOKUP($A17,貼り付け用!$A$1:$BA$300,COLUMN(),FALSE)=0,"",VLOOKUP($A17,貼り付け用!$A$1:$BA$300,COLUMN(),FALSE)),"")</f>
        <v/>
      </c>
      <c r="C17" s="45" t="str">
        <f>IF($A17&lt;&gt;"",IF(VLOOKUP($A17,貼り付け用!$A$1:$BA$300,COLUMN(),FALSE)=0,"",VLOOKUP($A17,貼り付け用!$A$1:$BA$300,COLUMN(),FALSE)),"")</f>
        <v/>
      </c>
      <c r="D17" s="45" t="str">
        <f>IF($A17&lt;&gt;"",IF(VLOOKUP($A17,貼り付け用!$A$1:$BA$300,COLUMN(),FALSE)=0,"",VLOOKUP($A17,貼り付け用!$A$1:$BA$300,COLUMN(),FALSE)),"")</f>
        <v/>
      </c>
      <c r="E17" s="45" t="str">
        <f>IF($A17&lt;&gt;"",IF(VLOOKUP($A17,貼り付け用!$A$1:$BA$300,COLUMN(),FALSE)=0,"",VLOOKUP($A17,貼り付け用!$A$1:$BA$300,COLUMN(),FALSE)),"")</f>
        <v/>
      </c>
      <c r="F17" s="45" t="str">
        <f>IF($A17&lt;&gt;"",IF(VLOOKUP($A17,貼り付け用!$A$1:$BA$300,COLUMN(),FALSE)=0,"",VLOOKUP($A17,貼り付け用!$A$1:$BA$300,COLUMN(),FALSE)),"")</f>
        <v/>
      </c>
      <c r="G17" s="45" t="str">
        <f>IF($A17&lt;&gt;"",IF(VLOOKUP($A17,貼り付け用!$A$1:$BA$300,COLUMN(),FALSE)=0,"",VLOOKUP($A17,貼り付け用!$A$1:$BA$300,COLUMN(),FALSE)),"")</f>
        <v/>
      </c>
      <c r="H17" s="45" t="str">
        <f>IF($A17&lt;&gt;"",IF(VLOOKUP($A17,貼り付け用!$A$1:$BA$300,COLUMN(),FALSE)=0,"",VLOOKUP($A17,貼り付け用!$A$1:$BA$300,COLUMN(),FALSE)),"")</f>
        <v/>
      </c>
      <c r="I17" s="45" t="str">
        <f>IF($A17&lt;&gt;"",IF(VLOOKUP($A17,貼り付け用!$A$1:$BA$300,COLUMN(),FALSE)=0,"",VLOOKUP($A17,貼り付け用!$A$1:$BA$300,COLUMN(),FALSE)),"")</f>
        <v/>
      </c>
      <c r="J17" s="45" t="str">
        <f>IF($A17&lt;&gt;"",IF(VLOOKUP($A17,貼り付け用!$A$1:$BA$300,COLUMN(),FALSE)=0,"",VLOOKUP($A17,貼り付け用!$A$1:$BA$300,COLUMN(),FALSE)),"")</f>
        <v/>
      </c>
      <c r="K17" s="45" t="str">
        <f>IF($A17&lt;&gt;"",IF(VLOOKUP($A17,貼り付け用!$A$1:$BA$300,COLUMN(),FALSE)=0,"",VLOOKUP($A17,貼り付け用!$A$1:$BA$300,COLUMN(),FALSE)),"")</f>
        <v/>
      </c>
      <c r="L17" s="45" t="str">
        <f>IF($A17&lt;&gt;"",
IF(COLUMN(貼り付け用!L17)&gt;MATCH("おやつ",貼り付け用!$3:$3,0),"",
IF(VLOOKUP($A17,貼り付け用!$A$1:$BA$300,COLUMN(),FALSE)=0,"",VLOOKUP($A17,貼り付け用!$A$1:$BA$300,COLUMN(),FALSE))),"")</f>
        <v/>
      </c>
      <c r="M17" s="45" t="str">
        <f>IF($A17&lt;&gt;"",
IF(COLUMN(貼り付け用!M17)&gt;MATCH("おやつ",貼り付け用!$3:$3,0),"",
IF(VLOOKUP($A17,貼り付け用!$A$1:$BA$300,COLUMN(),FALSE)=0,"",VLOOKUP($A17,貼り付け用!$A$1:$BA$300,COLUMN(),FALSE))),"")</f>
        <v/>
      </c>
      <c r="N17" s="45" t="str">
        <f>IF($A17&lt;&gt;"",
IF(COLUMN(貼り付け用!N17)&gt;MATCH("おやつ",貼り付け用!$3:$3,0),"",
IF(VLOOKUP($A17,貼り付け用!$A$1:$BA$300,COLUMN(),FALSE)=0,"",VLOOKUP($A17,貼り付け用!$A$1:$BA$300,COLUMN(),FALSE))),"")</f>
        <v/>
      </c>
      <c r="O17" s="45" t="str">
        <f>IF($A17&lt;&gt;"",
IF(COLUMN(貼り付け用!O17)&gt;MATCH("おやつ",貼り付け用!$3:$3,0),"",
IF(VLOOKUP($A17,貼り付け用!$A$1:$BA$300,COLUMN(),FALSE)=0,"",VLOOKUP($A17,貼り付け用!$A$1:$BA$300,COLUMN(),FALSE))),"")</f>
        <v/>
      </c>
      <c r="P17" s="45" t="str">
        <f>IF($A17&lt;&gt;"",
IF(COLUMN(貼り付け用!P17)&gt;MATCH("おやつ",貼り付け用!$3:$3,0),"",
IF(VLOOKUP($A17,貼り付け用!$A$1:$BA$300,COLUMN(),FALSE)=0,"",VLOOKUP($A17,貼り付け用!$A$1:$BA$300,COLUMN(),FALSE))),"")</f>
        <v/>
      </c>
      <c r="Q17" s="45" t="str">
        <f>IF($A17&lt;&gt;"",
IF(COLUMN(貼り付け用!Q17)&gt;MATCH("おやつ",貼り付け用!$3:$3,0),"",
IF(VLOOKUP($A17,貼り付け用!$A$1:$BA$300,COLUMN(),FALSE)=0,"",VLOOKUP($A17,貼り付け用!$A$1:$BA$300,COLUMN(),FALSE))),"")</f>
        <v/>
      </c>
      <c r="R17" s="45" t="str">
        <f>IF($A17&lt;&gt;"",
IF(COLUMN(貼り付け用!R17)&gt;MATCH("おやつ",貼り付け用!$3:$3,0),"",
IF(VLOOKUP($A17,貼り付け用!$A$1:$BA$300,COLUMN(),FALSE)=0,"",VLOOKUP($A17,貼り付け用!$A$1:$BA$300,COLUMN(),FALSE))),"")</f>
        <v/>
      </c>
      <c r="S17" s="45" t="str">
        <f>IF($A17&lt;&gt;"",
IF(COLUMN(貼り付け用!S17)&gt;MATCH("おやつ",貼り付け用!$3:$3,0),"",
IF(VLOOKUP($A17,貼り付け用!$A$1:$BA$300,COLUMN(),FALSE)=0,"",VLOOKUP($A17,貼り付け用!$A$1:$BA$300,COLUMN(),FALSE))),"")</f>
        <v/>
      </c>
      <c r="T17" s="45" t="str">
        <f>IF(COLUMN(貼り付け用!T17)&gt;MATCH("おやつ",貼り付け用!$3:$3,0),"",
IF(VLOOKUP($A17,貼り付け用!$A$1:$BA$300,COLUMN(),FALSE)=0,"",VLOOKUP($A17,貼り付け用!$A$1:$BA$300,COLUMN(),FALSE)))</f>
        <v/>
      </c>
      <c r="U17" s="24"/>
      <c r="V17" s="21" t="str">
        <f>IF(A17&lt;&gt;"",
IF(VLOOKUP($A17,貼り付け用!$A$1:$BA$300,MATCH("おやつ",貼り付け用!$3:$3,0)+1,FALSE)=0,"",VLOOKUP($A17,貼り付け用!$A$1:$BA$300,MATCH("おやつ",貼り付け用!$3:$3,0)+1,FALSE)),"")</f>
        <v/>
      </c>
      <c r="W17" s="50" t="str">
        <f>IF(A17&lt;&gt;"",
IF(VLOOKUP($A17,貼り付け用!$A$1:$BA$300,MATCH("おやつ",貼り付け用!$3:$3,0)+2,FALSE)=0,"",VLOOKUP($A17,貼り付け用!$A$1:$BA$300,MATCH("おやつ",貼り付け用!$3:$3,0)+2,FALSE)),"")</f>
        <v/>
      </c>
    </row>
    <row r="18" spans="1:23" x14ac:dyDescent="0.45">
      <c r="A18" s="10" t="str">
        <f>IF(貼り付け用!$A$6&lt;&gt;"",
IF(ROW(A17)+1&gt;=MATCH("*【合計】*", 貼り付け用!$A:$A, 0),
"",
IF(貼り付け用!A18&lt;&gt;"",貼り付け用!A18,"")),
IF(ROW(A18)+1&gt;=MATCH("*【合計】*", 貼り付け用!$A:$A, 0),
"",
IF(貼り付け用!A19&lt;&gt;"",貼り付け用!A19,"")))</f>
        <v>207</v>
      </c>
      <c r="B18" s="50" t="str">
        <f>IF($A18&lt;&gt;"",IF(VLOOKUP($A18,貼り付け用!$A$1:$BA$300,COLUMN(),FALSE)=0,"",VLOOKUP($A18,貼り付け用!$A$1:$BA$300,COLUMN(),FALSE)),"")</f>
        <v/>
      </c>
      <c r="C18" s="50" t="str">
        <f>IF($A18&lt;&gt;"",IF(VLOOKUP($A18,貼り付け用!$A$1:$BA$300,COLUMN(),FALSE)=0,"",VLOOKUP($A18,貼り付け用!$A$1:$BA$300,COLUMN(),FALSE)),"")</f>
        <v/>
      </c>
      <c r="D18" s="50" t="str">
        <f>IF($A18&lt;&gt;"",IF(VLOOKUP($A18,貼り付け用!$A$1:$BA$300,COLUMN(),FALSE)=0,"",VLOOKUP($A18,貼り付け用!$A$1:$BA$300,COLUMN(),FALSE)),"")</f>
        <v/>
      </c>
      <c r="E18" s="50" t="str">
        <f>IF($A18&lt;&gt;"",IF(VLOOKUP($A18,貼り付け用!$A$1:$BA$300,COLUMN(),FALSE)=0,"",VLOOKUP($A18,貼り付け用!$A$1:$BA$300,COLUMN(),FALSE)),"")</f>
        <v/>
      </c>
      <c r="F18" s="50" t="str">
        <f>IF($A18&lt;&gt;"",IF(VLOOKUP($A18,貼り付け用!$A$1:$BA$300,COLUMN(),FALSE)=0,"",VLOOKUP($A18,貼り付け用!$A$1:$BA$300,COLUMN(),FALSE)),"")</f>
        <v/>
      </c>
      <c r="G18" s="50" t="str">
        <f>IF($A18&lt;&gt;"",IF(VLOOKUP($A18,貼り付け用!$A$1:$BA$300,COLUMN(),FALSE)=0,"",VLOOKUP($A18,貼り付け用!$A$1:$BA$300,COLUMN(),FALSE)),"")</f>
        <v/>
      </c>
      <c r="H18" s="50" t="str">
        <f>IF($A18&lt;&gt;"",IF(VLOOKUP($A18,貼り付け用!$A$1:$BA$300,COLUMN(),FALSE)=0,"",VLOOKUP($A18,貼り付け用!$A$1:$BA$300,COLUMN(),FALSE)),"")</f>
        <v/>
      </c>
      <c r="I18" s="50" t="str">
        <f>IF($A18&lt;&gt;"",IF(VLOOKUP($A18,貼り付け用!$A$1:$BA$300,COLUMN(),FALSE)=0,"",VLOOKUP($A18,貼り付け用!$A$1:$BA$300,COLUMN(),FALSE)),"")</f>
        <v/>
      </c>
      <c r="J18" s="50" t="str">
        <f>IF($A18&lt;&gt;"",IF(VLOOKUP($A18,貼り付け用!$A$1:$BA$300,COLUMN(),FALSE)=0,"",VLOOKUP($A18,貼り付け用!$A$1:$BA$300,COLUMN(),FALSE)),"")</f>
        <v/>
      </c>
      <c r="K18" s="50" t="str">
        <f>IF($A18&lt;&gt;"",IF(VLOOKUP($A18,貼り付け用!$A$1:$BA$300,COLUMN(),FALSE)=0,"",VLOOKUP($A18,貼り付け用!$A$1:$BA$300,COLUMN(),FALSE)),"")</f>
        <v/>
      </c>
      <c r="L18" s="50" t="str">
        <f>IF($A18&lt;&gt;"",
IF(COLUMN(貼り付け用!L18)&gt;MATCH("おやつ",貼り付け用!$3:$3,0),"",
IF(VLOOKUP($A18,貼り付け用!$A$1:$BA$300,COLUMN(),FALSE)=0,"",VLOOKUP($A18,貼り付け用!$A$1:$BA$300,COLUMN(),FALSE))),"")</f>
        <v/>
      </c>
      <c r="M18" s="50" t="str">
        <f>IF($A18&lt;&gt;"",
IF(COLUMN(貼り付け用!M18)&gt;MATCH("おやつ",貼り付け用!$3:$3,0),"",
IF(VLOOKUP($A18,貼り付け用!$A$1:$BA$300,COLUMN(),FALSE)=0,"",VLOOKUP($A18,貼り付け用!$A$1:$BA$300,COLUMN(),FALSE))),"")</f>
        <v/>
      </c>
      <c r="N18" s="50" t="str">
        <f>IF($A18&lt;&gt;"",
IF(COLUMN(貼り付け用!N18)&gt;MATCH("おやつ",貼り付け用!$3:$3,0),"",
IF(VLOOKUP($A18,貼り付け用!$A$1:$BA$300,COLUMN(),FALSE)=0,"",VLOOKUP($A18,貼り付け用!$A$1:$BA$300,COLUMN(),FALSE))),"")</f>
        <v/>
      </c>
      <c r="O18" s="50" t="str">
        <f>IF($A18&lt;&gt;"",
IF(COLUMN(貼り付け用!O18)&gt;MATCH("おやつ",貼り付け用!$3:$3,0),"",
IF(VLOOKUP($A18,貼り付け用!$A$1:$BA$300,COLUMN(),FALSE)=0,"",VLOOKUP($A18,貼り付け用!$A$1:$BA$300,COLUMN(),FALSE))),"")</f>
        <v/>
      </c>
      <c r="P18" s="50" t="str">
        <f>IF($A18&lt;&gt;"",
IF(COLUMN(貼り付け用!P18)&gt;MATCH("おやつ",貼り付け用!$3:$3,0),"",
IF(VLOOKUP($A18,貼り付け用!$A$1:$BA$300,COLUMN(),FALSE)=0,"",VLOOKUP($A18,貼り付け用!$A$1:$BA$300,COLUMN(),FALSE))),"")</f>
        <v/>
      </c>
      <c r="Q18" s="50" t="str">
        <f>IF($A18&lt;&gt;"",
IF(COLUMN(貼り付け用!Q18)&gt;MATCH("おやつ",貼り付け用!$3:$3,0),"",
IF(VLOOKUP($A18,貼り付け用!$A$1:$BA$300,COLUMN(),FALSE)=0,"",VLOOKUP($A18,貼り付け用!$A$1:$BA$300,COLUMN(),FALSE))),"")</f>
        <v/>
      </c>
      <c r="R18" s="50" t="str">
        <f>IF($A18&lt;&gt;"",
IF(COLUMN(貼り付け用!R18)&gt;MATCH("おやつ",貼り付け用!$3:$3,0),"",
IF(VLOOKUP($A18,貼り付け用!$A$1:$BA$300,COLUMN(),FALSE)=0,"",VLOOKUP($A18,貼り付け用!$A$1:$BA$300,COLUMN(),FALSE))),"")</f>
        <v/>
      </c>
      <c r="S18" s="50" t="str">
        <f>IF($A18&lt;&gt;"",
IF(COLUMN(貼り付け用!S18)&gt;MATCH("おやつ",貼り付け用!$3:$3,0),"",
IF(VLOOKUP($A18,貼り付け用!$A$1:$BA$300,COLUMN(),FALSE)=0,"",VLOOKUP($A18,貼り付け用!$A$1:$BA$300,COLUMN(),FALSE))),"")</f>
        <v/>
      </c>
      <c r="T18" s="50" t="str">
        <f>IF(COLUMN(貼り付け用!T18)&gt;MATCH("おやつ",貼り付け用!$3:$3,0),"",
IF(VLOOKUP($A18,貼り付け用!$A$1:$BA$300,COLUMN(),FALSE)=0,"",VLOOKUP($A18,貼り付け用!$A$1:$BA$300,COLUMN(),FALSE)))</f>
        <v/>
      </c>
      <c r="U18" s="23"/>
      <c r="V18" s="21" t="str">
        <f>IF(A18&lt;&gt;"",
IF(VLOOKUP($A18,貼り付け用!$A$1:$BA$300,MATCH("おやつ",貼り付け用!$3:$3,0)+1,FALSE)=0,"",VLOOKUP($A18,貼り付け用!$A$1:$BA$300,MATCH("おやつ",貼り付け用!$3:$3,0)+1,FALSE)),"")</f>
        <v/>
      </c>
      <c r="W18" s="50" t="str">
        <f>IF(A18&lt;&gt;"",
IF(VLOOKUP($A18,貼り付け用!$A$1:$BA$300,MATCH("おやつ",貼り付け用!$3:$3,0)+2,FALSE)=0,"",VLOOKUP($A18,貼り付け用!$A$1:$BA$300,MATCH("おやつ",貼り付け用!$3:$3,0)+2,FALSE)),"")</f>
        <v/>
      </c>
    </row>
    <row r="19" spans="1:23" x14ac:dyDescent="0.45">
      <c r="A19" s="22" t="str">
        <f>IF(貼り付け用!$A$6&lt;&gt;"",
IF(ROW(A18)+1&gt;=MATCH("*【合計】*", 貼り付け用!$A:$A, 0),"",
IF(貼り付け用!A19&lt;&gt;"",貼り付け用!A19,"")),
IF(ROW(A19)+1&gt;=MATCH("*【合計】*", 貼り付け用!$A:$A, 0),"",
IF(貼り付け用!A20&lt;&gt;"",貼り付け用!A20,"")))</f>
        <v>博多南（補助教員） web</v>
      </c>
      <c r="B19" s="45" t="str">
        <f>IF($A19&lt;&gt;"",IF(VLOOKUP($A19,貼り付け用!$A$1:$BA$300,COLUMN(),FALSE)=0,"",VLOOKUP($A19,貼り付け用!$A$1:$BA$300,COLUMN(),FALSE)),"")</f>
        <v/>
      </c>
      <c r="C19" s="45" t="str">
        <f>IF($A19&lt;&gt;"",IF(VLOOKUP($A19,貼り付け用!$A$1:$BA$300,COLUMN(),FALSE)=0,"",VLOOKUP($A19,貼り付け用!$A$1:$BA$300,COLUMN(),FALSE)),"")</f>
        <v/>
      </c>
      <c r="D19" s="45" t="str">
        <f>IF($A19&lt;&gt;"",IF(VLOOKUP($A19,貼り付け用!$A$1:$BA$300,COLUMN(),FALSE)=0,"",VLOOKUP($A19,貼り付け用!$A$1:$BA$300,COLUMN(),FALSE)),"")</f>
        <v>4</v>
      </c>
      <c r="E19" s="45" t="str">
        <f>IF($A19&lt;&gt;"",IF(VLOOKUP($A19,貼り付け用!$A$1:$BA$300,COLUMN(),FALSE)=0,"",VLOOKUP($A19,貼り付け用!$A$1:$BA$300,COLUMN(),FALSE)),"")</f>
        <v/>
      </c>
      <c r="F19" s="45" t="str">
        <f>IF($A19&lt;&gt;"",IF(VLOOKUP($A19,貼り付け用!$A$1:$BA$300,COLUMN(),FALSE)=0,"",VLOOKUP($A19,貼り付け用!$A$1:$BA$300,COLUMN(),FALSE)),"")</f>
        <v/>
      </c>
      <c r="G19" s="45" t="str">
        <f>IF($A19&lt;&gt;"",IF(VLOOKUP($A19,貼り付け用!$A$1:$BA$300,COLUMN(),FALSE)=0,"",VLOOKUP($A19,貼り付け用!$A$1:$BA$300,COLUMN(),FALSE)),"")</f>
        <v/>
      </c>
      <c r="H19" s="45" t="str">
        <f>IF($A19&lt;&gt;"",IF(VLOOKUP($A19,貼り付け用!$A$1:$BA$300,COLUMN(),FALSE)=0,"",VLOOKUP($A19,貼り付け用!$A$1:$BA$300,COLUMN(),FALSE)),"")</f>
        <v/>
      </c>
      <c r="I19" s="45" t="str">
        <f>IF($A19&lt;&gt;"",IF(VLOOKUP($A19,貼り付け用!$A$1:$BA$300,COLUMN(),FALSE)=0,"",VLOOKUP($A19,貼り付け用!$A$1:$BA$300,COLUMN(),FALSE)),"")</f>
        <v/>
      </c>
      <c r="J19" s="45" t="str">
        <f>IF($A19&lt;&gt;"",IF(VLOOKUP($A19,貼り付け用!$A$1:$BA$300,COLUMN(),FALSE)=0,"",VLOOKUP($A19,貼り付け用!$A$1:$BA$300,COLUMN(),FALSE)),"")</f>
        <v/>
      </c>
      <c r="K19" s="45" t="str">
        <f>IF($A19&lt;&gt;"",IF(VLOOKUP($A19,貼り付け用!$A$1:$BA$300,COLUMN(),FALSE)=0,"",VLOOKUP($A19,貼り付け用!$A$1:$BA$300,COLUMN(),FALSE)),"")</f>
        <v/>
      </c>
      <c r="L19" s="45" t="str">
        <f>IF($A19&lt;&gt;"",
IF(COLUMN(貼り付け用!L19)&gt;MATCH("おやつ",貼り付け用!$3:$3,0),"",
IF(VLOOKUP($A19,貼り付け用!$A$1:$BA$300,COLUMN(),FALSE)=0,"",VLOOKUP($A19,貼り付け用!$A$1:$BA$300,COLUMN(),FALSE))),"")</f>
        <v/>
      </c>
      <c r="M19" s="45" t="str">
        <f>IF($A19&lt;&gt;"",
IF(COLUMN(貼り付け用!M19)&gt;MATCH("おやつ",貼り付け用!$3:$3,0),"",
IF(VLOOKUP($A19,貼り付け用!$A$1:$BA$300,COLUMN(),FALSE)=0,"",VLOOKUP($A19,貼り付け用!$A$1:$BA$300,COLUMN(),FALSE))),"")</f>
        <v/>
      </c>
      <c r="N19" s="45" t="str">
        <f>IF($A19&lt;&gt;"",
IF(COLUMN(貼り付け用!N19)&gt;MATCH("おやつ",貼り付け用!$3:$3,0),"",
IF(VLOOKUP($A19,貼り付け用!$A$1:$BA$300,COLUMN(),FALSE)=0,"",VLOOKUP($A19,貼り付け用!$A$1:$BA$300,COLUMN(),FALSE))),"")</f>
        <v/>
      </c>
      <c r="O19" s="45" t="str">
        <f>IF($A19&lt;&gt;"",
IF(COLUMN(貼り付け用!O19)&gt;MATCH("おやつ",貼り付け用!$3:$3,0),"",
IF(VLOOKUP($A19,貼り付け用!$A$1:$BA$300,COLUMN(),FALSE)=0,"",VLOOKUP($A19,貼り付け用!$A$1:$BA$300,COLUMN(),FALSE))),"")</f>
        <v/>
      </c>
      <c r="P19" s="45" t="str">
        <f>IF($A19&lt;&gt;"",
IF(COLUMN(貼り付け用!P19)&gt;MATCH("おやつ",貼り付け用!$3:$3,0),"",
IF(VLOOKUP($A19,貼り付け用!$A$1:$BA$300,COLUMN(),FALSE)=0,"",VLOOKUP($A19,貼り付け用!$A$1:$BA$300,COLUMN(),FALSE))),"")</f>
        <v/>
      </c>
      <c r="Q19" s="45" t="str">
        <f>IF($A19&lt;&gt;"",
IF(COLUMN(貼り付け用!Q19)&gt;MATCH("おやつ",貼り付け用!$3:$3,0),"",
IF(VLOOKUP($A19,貼り付け用!$A$1:$BA$300,COLUMN(),FALSE)=0,"",VLOOKUP($A19,貼り付け用!$A$1:$BA$300,COLUMN(),FALSE))),"")</f>
        <v/>
      </c>
      <c r="R19" s="45" t="str">
        <f>IF($A19&lt;&gt;"",
IF(COLUMN(貼り付け用!R19)&gt;MATCH("おやつ",貼り付け用!$3:$3,0),"",
IF(VLOOKUP($A19,貼り付け用!$A$1:$BA$300,COLUMN(),FALSE)=0,"",VLOOKUP($A19,貼り付け用!$A$1:$BA$300,COLUMN(),FALSE))),"")</f>
        <v/>
      </c>
      <c r="S19" s="45" t="str">
        <f>IF($A19&lt;&gt;"",
IF(COLUMN(貼り付け用!S19)&gt;MATCH("おやつ",貼り付け用!$3:$3,0),"",
IF(VLOOKUP($A19,貼り付け用!$A$1:$BA$300,COLUMN(),FALSE)=0,"",VLOOKUP($A19,貼り付け用!$A$1:$BA$300,COLUMN(),FALSE))),"")</f>
        <v/>
      </c>
      <c r="T19" s="45" t="str">
        <f>IF(COLUMN(貼り付け用!T19)&gt;MATCH("おやつ",貼り付け用!$3:$3,0),"",
IF(VLOOKUP($A19,貼り付け用!$A$1:$BA$300,COLUMN(),FALSE)=0,"",VLOOKUP($A19,貼り付け用!$A$1:$BA$300,COLUMN(),FALSE)))</f>
        <v/>
      </c>
      <c r="U19" s="24"/>
      <c r="V19" s="21" t="str">
        <f>IF(A19&lt;&gt;"",
IF(VLOOKUP($A19,貼り付け用!$A$1:$BA$300,MATCH("おやつ",貼り付け用!$3:$3,0)+1,FALSE)=0,"",VLOOKUP($A19,貼り付け用!$A$1:$BA$300,MATCH("おやつ",貼り付け用!$3:$3,0)+1,FALSE)),"")</f>
        <v/>
      </c>
      <c r="W19" s="50" t="str">
        <f>IF(A19&lt;&gt;"",
IF(VLOOKUP($A19,貼り付け用!$A$1:$BA$300,MATCH("おやつ",貼り付け用!$3:$3,0)+2,FALSE)=0,"",VLOOKUP($A19,貼り付け用!$A$1:$BA$300,MATCH("おやつ",貼り付け用!$3:$3,0)+2,FALSE)),"")</f>
        <v/>
      </c>
    </row>
    <row r="20" spans="1:23" x14ac:dyDescent="0.45">
      <c r="A20" s="10" t="str">
        <f>IF(貼り付け用!$A$6&lt;&gt;"",
IF(ROW(A19)+1&gt;=MATCH("*【合計】*", 貼り付け用!$A:$A, 0),
"",
IF(貼り付け用!A20&lt;&gt;"",貼り付け用!A20,"")),
IF(ROW(A20)+1&gt;=MATCH("*【合計】*", 貼り付け用!$A:$A, 0),
"",
IF(貼り付け用!A21&lt;&gt;"",貼り付け用!A21,"")))</f>
        <v>400</v>
      </c>
      <c r="B20" s="50" t="str">
        <f>IF($A20&lt;&gt;"",IF(VLOOKUP($A20,貼り付け用!$A$1:$BA$300,COLUMN(),FALSE)=0,"",VLOOKUP($A20,貼り付け用!$A$1:$BA$300,COLUMN(),FALSE)),"")</f>
        <v/>
      </c>
      <c r="C20" s="50" t="str">
        <f>IF($A20&lt;&gt;"",IF(VLOOKUP($A20,貼り付け用!$A$1:$BA$300,COLUMN(),FALSE)=0,"",VLOOKUP($A20,貼り付け用!$A$1:$BA$300,COLUMN(),FALSE)),"")</f>
        <v/>
      </c>
      <c r="D20" s="50" t="str">
        <f>IF($A20&lt;&gt;"",IF(VLOOKUP($A20,貼り付け用!$A$1:$BA$300,COLUMN(),FALSE)=0,"",VLOOKUP($A20,貼り付け用!$A$1:$BA$300,COLUMN(),FALSE)),"")</f>
        <v/>
      </c>
      <c r="E20" s="50" t="str">
        <f>IF($A20&lt;&gt;"",IF(VLOOKUP($A20,貼り付け用!$A$1:$BA$300,COLUMN(),FALSE)=0,"",VLOOKUP($A20,貼り付け用!$A$1:$BA$300,COLUMN(),FALSE)),"")</f>
        <v/>
      </c>
      <c r="F20" s="50" t="str">
        <f>IF($A20&lt;&gt;"",IF(VLOOKUP($A20,貼り付け用!$A$1:$BA$300,COLUMN(),FALSE)=0,"",VLOOKUP($A20,貼り付け用!$A$1:$BA$300,COLUMN(),FALSE)),"")</f>
        <v>139</v>
      </c>
      <c r="G20" s="50" t="str">
        <f>IF($A20&lt;&gt;"",IF(VLOOKUP($A20,貼り付け用!$A$1:$BA$300,COLUMN(),FALSE)=0,"",VLOOKUP($A20,貼り付け用!$A$1:$BA$300,COLUMN(),FALSE)),"")</f>
        <v/>
      </c>
      <c r="H20" s="50" t="str">
        <f>IF($A20&lt;&gt;"",IF(VLOOKUP($A20,貼り付け用!$A$1:$BA$300,COLUMN(),FALSE)=0,"",VLOOKUP($A20,貼り付け用!$A$1:$BA$300,COLUMN(),FALSE)),"")</f>
        <v/>
      </c>
      <c r="I20" s="50" t="str">
        <f>IF($A20&lt;&gt;"",IF(VLOOKUP($A20,貼り付け用!$A$1:$BA$300,COLUMN(),FALSE)=0,"",VLOOKUP($A20,貼り付け用!$A$1:$BA$300,COLUMN(),FALSE)),"")</f>
        <v/>
      </c>
      <c r="J20" s="50" t="str">
        <f>IF($A20&lt;&gt;"",IF(VLOOKUP($A20,貼り付け用!$A$1:$BA$300,COLUMN(),FALSE)=0,"",VLOOKUP($A20,貼り付け用!$A$1:$BA$300,COLUMN(),FALSE)),"")</f>
        <v/>
      </c>
      <c r="K20" s="50" t="str">
        <f>IF($A20&lt;&gt;"",IF(VLOOKUP($A20,貼り付け用!$A$1:$BA$300,COLUMN(),FALSE)=0,"",VLOOKUP($A20,貼り付け用!$A$1:$BA$300,COLUMN(),FALSE)),"")</f>
        <v/>
      </c>
      <c r="L20" s="50" t="str">
        <f>IF($A20&lt;&gt;"",
IF(COLUMN(貼り付け用!L20)&gt;MATCH("おやつ",貼り付け用!$3:$3,0),"",
IF(VLOOKUP($A20,貼り付け用!$A$1:$BA$300,COLUMN(),FALSE)=0,"",VLOOKUP($A20,貼り付け用!$A$1:$BA$300,COLUMN(),FALSE))),"")</f>
        <v/>
      </c>
      <c r="M20" s="50" t="str">
        <f>IF($A20&lt;&gt;"",
IF(COLUMN(貼り付け用!M20)&gt;MATCH("おやつ",貼り付け用!$3:$3,0),"",
IF(VLOOKUP($A20,貼り付け用!$A$1:$BA$300,COLUMN(),FALSE)=0,"",VLOOKUP($A20,貼り付け用!$A$1:$BA$300,COLUMN(),FALSE))),"")</f>
        <v/>
      </c>
      <c r="N20" s="50" t="str">
        <f>IF($A20&lt;&gt;"",
IF(COLUMN(貼り付け用!N20)&gt;MATCH("おやつ",貼り付け用!$3:$3,0),"",
IF(VLOOKUP($A20,貼り付け用!$A$1:$BA$300,COLUMN(),FALSE)=0,"",VLOOKUP($A20,貼り付け用!$A$1:$BA$300,COLUMN(),FALSE))),"")</f>
        <v/>
      </c>
      <c r="O20" s="50" t="str">
        <f>IF($A20&lt;&gt;"",
IF(COLUMN(貼り付け用!O20)&gt;MATCH("おやつ",貼り付け用!$3:$3,0),"",
IF(VLOOKUP($A20,貼り付け用!$A$1:$BA$300,COLUMN(),FALSE)=0,"",VLOOKUP($A20,貼り付け用!$A$1:$BA$300,COLUMN(),FALSE))),"")</f>
        <v/>
      </c>
      <c r="P20" s="50" t="str">
        <f>IF($A20&lt;&gt;"",
IF(COLUMN(貼り付け用!P20)&gt;MATCH("おやつ",貼り付け用!$3:$3,0),"",
IF(VLOOKUP($A20,貼り付け用!$A$1:$BA$300,COLUMN(),FALSE)=0,"",VLOOKUP($A20,貼り付け用!$A$1:$BA$300,COLUMN(),FALSE))),"")</f>
        <v/>
      </c>
      <c r="Q20" s="50" t="str">
        <f>IF($A20&lt;&gt;"",
IF(COLUMN(貼り付け用!Q20)&gt;MATCH("おやつ",貼り付け用!$3:$3,0),"",
IF(VLOOKUP($A20,貼り付け用!$A$1:$BA$300,COLUMN(),FALSE)=0,"",VLOOKUP($A20,貼り付け用!$A$1:$BA$300,COLUMN(),FALSE))),"")</f>
        <v/>
      </c>
      <c r="R20" s="50" t="str">
        <f>IF($A20&lt;&gt;"",
IF(COLUMN(貼り付け用!R20)&gt;MATCH("おやつ",貼り付け用!$3:$3,0),"",
IF(VLOOKUP($A20,貼り付け用!$A$1:$BA$300,COLUMN(),FALSE)=0,"",VLOOKUP($A20,貼り付け用!$A$1:$BA$300,COLUMN(),FALSE))),"")</f>
        <v/>
      </c>
      <c r="S20" s="50" t="str">
        <f>IF($A20&lt;&gt;"",
IF(COLUMN(貼り付け用!S20)&gt;MATCH("おやつ",貼り付け用!$3:$3,0),"",
IF(VLOOKUP($A20,貼り付け用!$A$1:$BA$300,COLUMN(),FALSE)=0,"",VLOOKUP($A20,貼り付け用!$A$1:$BA$300,COLUMN(),FALSE))),"")</f>
        <v/>
      </c>
      <c r="T20" s="50" t="str">
        <f>IF(COLUMN(貼り付け用!T20)&gt;MATCH("おやつ",貼り付け用!$3:$3,0),"",
IF(VLOOKUP($A20,貼り付け用!$A$1:$BA$300,COLUMN(),FALSE)=0,"",VLOOKUP($A20,貼り付け用!$A$1:$BA$300,COLUMN(),FALSE)))</f>
        <v/>
      </c>
      <c r="U20" s="23"/>
      <c r="V20" s="21" t="str">
        <f>IF(A20&lt;&gt;"",
IF(VLOOKUP($A20,貼り付け用!$A$1:$BA$300,MATCH("おやつ",貼り付け用!$3:$3,0)+1,FALSE)=0,"",VLOOKUP($A20,貼り付け用!$A$1:$BA$300,MATCH("おやつ",貼り付け用!$3:$3,0)+1,FALSE)),"")</f>
        <v>別注（味王）あり</v>
      </c>
      <c r="W20" s="50" t="str">
        <f>IF(A20&lt;&gt;"",
IF(VLOOKUP($A20,貼り付け用!$A$1:$BA$300,MATCH("おやつ",貼り付け用!$3:$3,0)+2,FALSE)=0,"",VLOOKUP($A20,貼り付け用!$A$1:$BA$300,MATCH("おやつ",貼り付け用!$3:$3,0)+2,FALSE)),"")</f>
        <v/>
      </c>
    </row>
    <row r="21" spans="1:23" x14ac:dyDescent="0.45">
      <c r="A21" s="22" t="str">
        <f>IF(貼り付け用!$A$6&lt;&gt;"",
IF(ROW(A20)+1&gt;=MATCH("*【合計】*", 貼り付け用!$A:$A, 0),"",
IF(貼り付け用!A21&lt;&gt;"",貼り付け用!A21,"")),
IF(ROW(A21)+1&gt;=MATCH("*【合計】*", 貼り付け用!$A:$A, 0),"",
IF(貼り付け用!A22&lt;&gt;"",貼り付け用!A22,"")))</f>
        <v>博多中央 週3ｺｰｽ</v>
      </c>
      <c r="B21" s="45" t="str">
        <f>IF($A21&lt;&gt;"",IF(VLOOKUP($A21,貼り付け用!$A$1:$BA$300,COLUMN(),FALSE)=0,"",VLOOKUP($A21,貼り付け用!$A$1:$BA$300,COLUMN(),FALSE)),"")</f>
        <v/>
      </c>
      <c r="C21" s="45" t="str">
        <f>IF($A21&lt;&gt;"",IF(VLOOKUP($A21,貼り付け用!$A$1:$BA$300,COLUMN(),FALSE)=0,"",VLOOKUP($A21,貼り付け用!$A$1:$BA$300,COLUMN(),FALSE)),"")</f>
        <v/>
      </c>
      <c r="D21" s="45" t="str">
        <f>IF($A21&lt;&gt;"",IF(VLOOKUP($A21,貼り付け用!$A$1:$BA$300,COLUMN(),FALSE)=0,"",VLOOKUP($A21,貼り付け用!$A$1:$BA$300,COLUMN(),FALSE)),"")</f>
        <v/>
      </c>
      <c r="E21" s="45" t="str">
        <f>IF($A21&lt;&gt;"",IF(VLOOKUP($A21,貼り付け用!$A$1:$BA$300,COLUMN(),FALSE)=0,"",VLOOKUP($A21,貼り付け用!$A$1:$BA$300,COLUMN(),FALSE)),"")</f>
        <v/>
      </c>
      <c r="F21" s="45" t="str">
        <f>IF($A21&lt;&gt;"",IF(VLOOKUP($A21,貼り付け用!$A$1:$BA$300,COLUMN(),FALSE)=0,"",VLOOKUP($A21,貼り付け用!$A$1:$BA$300,COLUMN(),FALSE)),"")</f>
        <v>20</v>
      </c>
      <c r="G21" s="45" t="str">
        <f>IF($A21&lt;&gt;"",IF(VLOOKUP($A21,貼り付け用!$A$1:$BA$300,COLUMN(),FALSE)=0,"",VLOOKUP($A21,貼り付け用!$A$1:$BA$300,COLUMN(),FALSE)),"")</f>
        <v/>
      </c>
      <c r="H21" s="45" t="str">
        <f>IF($A21&lt;&gt;"",IF(VLOOKUP($A21,貼り付け用!$A$1:$BA$300,COLUMN(),FALSE)=0,"",VLOOKUP($A21,貼り付け用!$A$1:$BA$300,COLUMN(),FALSE)),"")</f>
        <v/>
      </c>
      <c r="I21" s="45" t="str">
        <f>IF($A21&lt;&gt;"",IF(VLOOKUP($A21,貼り付け用!$A$1:$BA$300,COLUMN(),FALSE)=0,"",VLOOKUP($A21,貼り付け用!$A$1:$BA$300,COLUMN(),FALSE)),"")</f>
        <v/>
      </c>
      <c r="J21" s="45" t="str">
        <f>IF($A21&lt;&gt;"",IF(VLOOKUP($A21,貼り付け用!$A$1:$BA$300,COLUMN(),FALSE)=0,"",VLOOKUP($A21,貼り付け用!$A$1:$BA$300,COLUMN(),FALSE)),"")</f>
        <v/>
      </c>
      <c r="K21" s="45" t="str">
        <f>IF($A21&lt;&gt;"",IF(VLOOKUP($A21,貼り付け用!$A$1:$BA$300,COLUMN(),FALSE)=0,"",VLOOKUP($A21,貼り付け用!$A$1:$BA$300,COLUMN(),FALSE)),"")</f>
        <v/>
      </c>
      <c r="L21" s="45" t="str">
        <f>IF($A21&lt;&gt;"",
IF(COLUMN(貼り付け用!L21)&gt;MATCH("おやつ",貼り付け用!$3:$3,0),"",
IF(VLOOKUP($A21,貼り付け用!$A$1:$BA$300,COLUMN(),FALSE)=0,"",VLOOKUP($A21,貼り付け用!$A$1:$BA$300,COLUMN(),FALSE))),"")</f>
        <v/>
      </c>
      <c r="M21" s="45" t="str">
        <f>IF($A21&lt;&gt;"",
IF(COLUMN(貼り付け用!M21)&gt;MATCH("おやつ",貼り付け用!$3:$3,0),"",
IF(VLOOKUP($A21,貼り付け用!$A$1:$BA$300,COLUMN(),FALSE)=0,"",VLOOKUP($A21,貼り付け用!$A$1:$BA$300,COLUMN(),FALSE))),"")</f>
        <v/>
      </c>
      <c r="N21" s="45" t="str">
        <f>IF($A21&lt;&gt;"",
IF(COLUMN(貼り付け用!N21)&gt;MATCH("おやつ",貼り付け用!$3:$3,0),"",
IF(VLOOKUP($A21,貼り付け用!$A$1:$BA$300,COLUMN(),FALSE)=0,"",VLOOKUP($A21,貼り付け用!$A$1:$BA$300,COLUMN(),FALSE))),"")</f>
        <v/>
      </c>
      <c r="O21" s="45" t="str">
        <f>IF($A21&lt;&gt;"",
IF(COLUMN(貼り付け用!O21)&gt;MATCH("おやつ",貼り付け用!$3:$3,0),"",
IF(VLOOKUP($A21,貼り付け用!$A$1:$BA$300,COLUMN(),FALSE)=0,"",VLOOKUP($A21,貼り付け用!$A$1:$BA$300,COLUMN(),FALSE))),"")</f>
        <v/>
      </c>
      <c r="P21" s="45" t="str">
        <f>IF($A21&lt;&gt;"",
IF(COLUMN(貼り付け用!P21)&gt;MATCH("おやつ",貼り付け用!$3:$3,0),"",
IF(VLOOKUP($A21,貼り付け用!$A$1:$BA$300,COLUMN(),FALSE)=0,"",VLOOKUP($A21,貼り付け用!$A$1:$BA$300,COLUMN(),FALSE))),"")</f>
        <v/>
      </c>
      <c r="Q21" s="45" t="str">
        <f>IF($A21&lt;&gt;"",
IF(COLUMN(貼り付け用!Q21)&gt;MATCH("おやつ",貼り付け用!$3:$3,0),"",
IF(VLOOKUP($A21,貼り付け用!$A$1:$BA$300,COLUMN(),FALSE)=0,"",VLOOKUP($A21,貼り付け用!$A$1:$BA$300,COLUMN(),FALSE))),"")</f>
        <v/>
      </c>
      <c r="R21" s="45" t="str">
        <f>IF($A21&lt;&gt;"",
IF(COLUMN(貼り付け用!R21)&gt;MATCH("おやつ",貼り付け用!$3:$3,0),"",
IF(VLOOKUP($A21,貼り付け用!$A$1:$BA$300,COLUMN(),FALSE)=0,"",VLOOKUP($A21,貼り付け用!$A$1:$BA$300,COLUMN(),FALSE))),"")</f>
        <v/>
      </c>
      <c r="S21" s="45" t="str">
        <f>IF($A21&lt;&gt;"",
IF(COLUMN(貼り付け用!S21)&gt;MATCH("おやつ",貼り付け用!$3:$3,0),"",
IF(VLOOKUP($A21,貼り付け用!$A$1:$BA$300,COLUMN(),FALSE)=0,"",VLOOKUP($A21,貼り付け用!$A$1:$BA$300,COLUMN(),FALSE))),"")</f>
        <v/>
      </c>
      <c r="T21" s="45" t="str">
        <f>IF(COLUMN(貼り付け用!T21)&gt;MATCH("おやつ",貼り付け用!$3:$3,0),"",
IF(VLOOKUP($A21,貼り付け用!$A$1:$BA$300,COLUMN(),FALSE)=0,"",VLOOKUP($A21,貼り付け用!$A$1:$BA$300,COLUMN(),FALSE)))</f>
        <v/>
      </c>
      <c r="U21" s="24"/>
      <c r="V21" s="21" t="str">
        <f>IF(A21&lt;&gt;"",
IF(VLOOKUP($A21,貼り付け用!$A$1:$BA$300,MATCH("おやつ",貼り付け用!$3:$3,0)+1,FALSE)=0,"",VLOOKUP($A21,貼り付け用!$A$1:$BA$300,MATCH("おやつ",貼り付け用!$3:$3,0)+1,FALSE)),"")</f>
        <v/>
      </c>
      <c r="W21" s="50" t="str">
        <f>IF(A21&lt;&gt;"",
IF(VLOOKUP($A21,貼り付け用!$A$1:$BA$300,MATCH("おやつ",貼り付け用!$3:$3,0)+2,FALSE)=0,"",VLOOKUP($A21,貼り付け用!$A$1:$BA$300,MATCH("おやつ",貼り付け用!$3:$3,0)+2,FALSE)),"")</f>
        <v/>
      </c>
    </row>
    <row r="22" spans="1:23" x14ac:dyDescent="0.45">
      <c r="A22" s="10" t="str">
        <f>IF(貼り付け用!$A$6&lt;&gt;"",
IF(ROW(A21)+1&gt;=MATCH("*【合計】*", 貼り付け用!$A:$A, 0),
"",
IF(貼り付け用!A22&lt;&gt;"",貼り付け用!A22,"")),
IF(ROW(A22)+1&gt;=MATCH("*【合計】*", 貼り付け用!$A:$A, 0),
"",
IF(貼り付け用!A23&lt;&gt;"",貼り付け用!A23,"")))</f>
        <v>406</v>
      </c>
      <c r="B22" s="50" t="str">
        <f>IF($A22&lt;&gt;"",IF(VLOOKUP($A22,貼り付け用!$A$1:$BA$300,COLUMN(),FALSE)=0,"",VLOOKUP($A22,貼り付け用!$A$1:$BA$300,COLUMN(),FALSE)),"")</f>
        <v/>
      </c>
      <c r="C22" s="50" t="str">
        <f>IF($A22&lt;&gt;"",IF(VLOOKUP($A22,貼り付け用!$A$1:$BA$300,COLUMN(),FALSE)=0,"",VLOOKUP($A22,貼り付け用!$A$1:$BA$300,COLUMN(),FALSE)),"")</f>
        <v/>
      </c>
      <c r="D22" s="50" t="str">
        <f>IF($A22&lt;&gt;"",IF(VLOOKUP($A22,貼り付け用!$A$1:$BA$300,COLUMN(),FALSE)=0,"",VLOOKUP($A22,貼り付け用!$A$1:$BA$300,COLUMN(),FALSE)),"")</f>
        <v/>
      </c>
      <c r="E22" s="50" t="str">
        <f>IF($A22&lt;&gt;"",IF(VLOOKUP($A22,貼り付け用!$A$1:$BA$300,COLUMN(),FALSE)=0,"",VLOOKUP($A22,貼り付け用!$A$1:$BA$300,COLUMN(),FALSE)),"")</f>
        <v/>
      </c>
      <c r="F22" s="50" t="str">
        <f>IF($A22&lt;&gt;"",IF(VLOOKUP($A22,貼り付け用!$A$1:$BA$300,COLUMN(),FALSE)=0,"",VLOOKUP($A22,貼り付け用!$A$1:$BA$300,COLUMN(),FALSE)),"")</f>
        <v>179</v>
      </c>
      <c r="G22" s="50" t="str">
        <f>IF($A22&lt;&gt;"",IF(VLOOKUP($A22,貼り付け用!$A$1:$BA$300,COLUMN(),FALSE)=0,"",VLOOKUP($A22,貼り付け用!$A$1:$BA$300,COLUMN(),FALSE)),"")</f>
        <v/>
      </c>
      <c r="H22" s="50" t="str">
        <f>IF($A22&lt;&gt;"",IF(VLOOKUP($A22,貼り付け用!$A$1:$BA$300,COLUMN(),FALSE)=0,"",VLOOKUP($A22,貼り付け用!$A$1:$BA$300,COLUMN(),FALSE)),"")</f>
        <v/>
      </c>
      <c r="I22" s="50" t="str">
        <f>IF($A22&lt;&gt;"",IF(VLOOKUP($A22,貼り付け用!$A$1:$BA$300,COLUMN(),FALSE)=0,"",VLOOKUP($A22,貼り付け用!$A$1:$BA$300,COLUMN(),FALSE)),"")</f>
        <v/>
      </c>
      <c r="J22" s="50" t="str">
        <f>IF($A22&lt;&gt;"",IF(VLOOKUP($A22,貼り付け用!$A$1:$BA$300,COLUMN(),FALSE)=0,"",VLOOKUP($A22,貼り付け用!$A$1:$BA$300,COLUMN(),FALSE)),"")</f>
        <v/>
      </c>
      <c r="K22" s="50" t="str">
        <f>IF($A22&lt;&gt;"",IF(VLOOKUP($A22,貼り付け用!$A$1:$BA$300,COLUMN(),FALSE)=0,"",VLOOKUP($A22,貼り付け用!$A$1:$BA$300,COLUMN(),FALSE)),"")</f>
        <v/>
      </c>
      <c r="L22" s="50" t="str">
        <f>IF($A22&lt;&gt;"",
IF(COLUMN(貼り付け用!L22)&gt;MATCH("おやつ",貼り付け用!$3:$3,0),"",
IF(VLOOKUP($A22,貼り付け用!$A$1:$BA$300,COLUMN(),FALSE)=0,"",VLOOKUP($A22,貼り付け用!$A$1:$BA$300,COLUMN(),FALSE))),"")</f>
        <v/>
      </c>
      <c r="M22" s="50" t="str">
        <f>IF($A22&lt;&gt;"",
IF(COLUMN(貼り付け用!M22)&gt;MATCH("おやつ",貼り付け用!$3:$3,0),"",
IF(VLOOKUP($A22,貼り付け用!$A$1:$BA$300,COLUMN(),FALSE)=0,"",VLOOKUP($A22,貼り付け用!$A$1:$BA$300,COLUMN(),FALSE))),"")</f>
        <v/>
      </c>
      <c r="N22" s="50" t="str">
        <f>IF($A22&lt;&gt;"",
IF(COLUMN(貼り付け用!N22)&gt;MATCH("おやつ",貼り付け用!$3:$3,0),"",
IF(VLOOKUP($A22,貼り付け用!$A$1:$BA$300,COLUMN(),FALSE)=0,"",VLOOKUP($A22,貼り付け用!$A$1:$BA$300,COLUMN(),FALSE))),"")</f>
        <v/>
      </c>
      <c r="O22" s="50" t="str">
        <f>IF($A22&lt;&gt;"",
IF(COLUMN(貼り付け用!O22)&gt;MATCH("おやつ",貼り付け用!$3:$3,0),"",
IF(VLOOKUP($A22,貼り付け用!$A$1:$BA$300,COLUMN(),FALSE)=0,"",VLOOKUP($A22,貼り付け用!$A$1:$BA$300,COLUMN(),FALSE))),"")</f>
        <v/>
      </c>
      <c r="P22" s="50" t="str">
        <f>IF($A22&lt;&gt;"",
IF(COLUMN(貼り付け用!P22)&gt;MATCH("おやつ",貼り付け用!$3:$3,0),"",
IF(VLOOKUP($A22,貼り付け用!$A$1:$BA$300,COLUMN(),FALSE)=0,"",VLOOKUP($A22,貼り付け用!$A$1:$BA$300,COLUMN(),FALSE))),"")</f>
        <v/>
      </c>
      <c r="Q22" s="50" t="str">
        <f>IF($A22&lt;&gt;"",
IF(COLUMN(貼り付け用!Q22)&gt;MATCH("おやつ",貼り付け用!$3:$3,0),"",
IF(VLOOKUP($A22,貼り付け用!$A$1:$BA$300,COLUMN(),FALSE)=0,"",VLOOKUP($A22,貼り付け用!$A$1:$BA$300,COLUMN(),FALSE))),"")</f>
        <v/>
      </c>
      <c r="R22" s="50" t="str">
        <f>IF($A22&lt;&gt;"",
IF(COLUMN(貼り付け用!R22)&gt;MATCH("おやつ",貼り付け用!$3:$3,0),"",
IF(VLOOKUP($A22,貼り付け用!$A$1:$BA$300,COLUMN(),FALSE)=0,"",VLOOKUP($A22,貼り付け用!$A$1:$BA$300,COLUMN(),FALSE))),"")</f>
        <v/>
      </c>
      <c r="S22" s="50" t="str">
        <f>IF($A22&lt;&gt;"",
IF(COLUMN(貼り付け用!S22)&gt;MATCH("おやつ",貼り付け用!$3:$3,0),"",
IF(VLOOKUP($A22,貼り付け用!$A$1:$BA$300,COLUMN(),FALSE)=0,"",VLOOKUP($A22,貼り付け用!$A$1:$BA$300,COLUMN(),FALSE))),"")</f>
        <v/>
      </c>
      <c r="T22" s="50" t="str">
        <f>IF(COLUMN(貼り付け用!T22)&gt;MATCH("おやつ",貼り付け用!$3:$3,0),"",
IF(VLOOKUP($A22,貼り付け用!$A$1:$BA$300,COLUMN(),FALSE)=0,"",VLOOKUP($A22,貼り付け用!$A$1:$BA$300,COLUMN(),FALSE)))</f>
        <v/>
      </c>
      <c r="U22" s="23"/>
      <c r="V22" s="21" t="str">
        <f>IF(A22&lt;&gt;"",
IF(VLOOKUP($A22,貼り付け用!$A$1:$BA$300,MATCH("おやつ",貼り付け用!$3:$3,0)+1,FALSE)=0,"",VLOOKUP($A22,貼り付け用!$A$1:$BA$300,MATCH("おやつ",貼り付け用!$3:$3,0)+1,FALSE)),"")</f>
        <v/>
      </c>
      <c r="W22" s="50" t="str">
        <f>IF(A22&lt;&gt;"",
IF(VLOOKUP($A22,貼り付け用!$A$1:$BA$300,MATCH("おやつ",貼り付け用!$3:$3,0)+2,FALSE)=0,"",VLOOKUP($A22,貼り付け用!$A$1:$BA$300,MATCH("おやつ",貼り付け用!$3:$3,0)+2,FALSE)),"")</f>
        <v/>
      </c>
    </row>
    <row r="23" spans="1:23" x14ac:dyDescent="0.45">
      <c r="A23" s="22" t="str">
        <f>IF(貼り付け用!$A$6&lt;&gt;"",
IF(ROW(A22)+1&gt;=MATCH("*【合計】*", 貼り付け用!$A:$A, 0),"",
IF(貼り付け用!A23&lt;&gt;"",貼り付け用!A23,"")),
IF(ROW(A23)+1&gt;=MATCH("*【合計】*", 貼り付け用!$A:$A, 0),"",
IF(貼り付け用!A24&lt;&gt;"",貼り付け用!A24,"")))</f>
        <v>博多中央 週5ｺｰｽ</v>
      </c>
      <c r="B23" s="45" t="str">
        <f>IF($A23&lt;&gt;"",IF(VLOOKUP($A23,貼り付け用!$A$1:$BA$300,COLUMN(),FALSE)=0,"",VLOOKUP($A23,貼り付け用!$A$1:$BA$300,COLUMN(),FALSE)),"")</f>
        <v/>
      </c>
      <c r="C23" s="45" t="str">
        <f>IF($A23&lt;&gt;"",IF(VLOOKUP($A23,貼り付け用!$A$1:$BA$300,COLUMN(),FALSE)=0,"",VLOOKUP($A23,貼り付け用!$A$1:$BA$300,COLUMN(),FALSE)),"")</f>
        <v/>
      </c>
      <c r="D23" s="45" t="str">
        <f>IF($A23&lt;&gt;"",IF(VLOOKUP($A23,貼り付け用!$A$1:$BA$300,COLUMN(),FALSE)=0,"",VLOOKUP($A23,貼り付け用!$A$1:$BA$300,COLUMN(),FALSE)),"")</f>
        <v/>
      </c>
      <c r="E23" s="45" t="str">
        <f>IF($A23&lt;&gt;"",IF(VLOOKUP($A23,貼り付け用!$A$1:$BA$300,COLUMN(),FALSE)=0,"",VLOOKUP($A23,貼り付け用!$A$1:$BA$300,COLUMN(),FALSE)),"")</f>
        <v/>
      </c>
      <c r="F23" s="45" t="str">
        <f>IF($A23&lt;&gt;"",IF(VLOOKUP($A23,貼り付け用!$A$1:$BA$300,COLUMN(),FALSE)=0,"",VLOOKUP($A23,貼り付け用!$A$1:$BA$300,COLUMN(),FALSE)),"")</f>
        <v/>
      </c>
      <c r="G23" s="45" t="str">
        <f>IF($A23&lt;&gt;"",IF(VLOOKUP($A23,貼り付け用!$A$1:$BA$300,COLUMN(),FALSE)=0,"",VLOOKUP($A23,貼り付け用!$A$1:$BA$300,COLUMN(),FALSE)),"")</f>
        <v/>
      </c>
      <c r="H23" s="45" t="str">
        <f>IF($A23&lt;&gt;"",IF(VLOOKUP($A23,貼り付け用!$A$1:$BA$300,COLUMN(),FALSE)=0,"",VLOOKUP($A23,貼り付け用!$A$1:$BA$300,COLUMN(),FALSE)),"")</f>
        <v/>
      </c>
      <c r="I23" s="45" t="str">
        <f>IF($A23&lt;&gt;"",IF(VLOOKUP($A23,貼り付け用!$A$1:$BA$300,COLUMN(),FALSE)=0,"",VLOOKUP($A23,貼り付け用!$A$1:$BA$300,COLUMN(),FALSE)),"")</f>
        <v/>
      </c>
      <c r="J23" s="45" t="str">
        <f>IF($A23&lt;&gt;"",IF(VLOOKUP($A23,貼り付け用!$A$1:$BA$300,COLUMN(),FALSE)=0,"",VLOOKUP($A23,貼り付け用!$A$1:$BA$300,COLUMN(),FALSE)),"")</f>
        <v/>
      </c>
      <c r="K23" s="45" t="str">
        <f>IF($A23&lt;&gt;"",IF(VLOOKUP($A23,貼り付け用!$A$1:$BA$300,COLUMN(),FALSE)=0,"",VLOOKUP($A23,貼り付け用!$A$1:$BA$300,COLUMN(),FALSE)),"")</f>
        <v/>
      </c>
      <c r="L23" s="45" t="str">
        <f>IF($A23&lt;&gt;"",
IF(COLUMN(貼り付け用!L23)&gt;MATCH("おやつ",貼り付け用!$3:$3,0),"",
IF(VLOOKUP($A23,貼り付け用!$A$1:$BA$300,COLUMN(),FALSE)=0,"",VLOOKUP($A23,貼り付け用!$A$1:$BA$300,COLUMN(),FALSE))),"")</f>
        <v/>
      </c>
      <c r="M23" s="45" t="str">
        <f>IF($A23&lt;&gt;"",
IF(COLUMN(貼り付け用!M23)&gt;MATCH("おやつ",貼り付け用!$3:$3,0),"",
IF(VLOOKUP($A23,貼り付け用!$A$1:$BA$300,COLUMN(),FALSE)=0,"",VLOOKUP($A23,貼り付け用!$A$1:$BA$300,COLUMN(),FALSE))),"")</f>
        <v/>
      </c>
      <c r="N23" s="45" t="str">
        <f>IF($A23&lt;&gt;"",
IF(COLUMN(貼り付け用!N23)&gt;MATCH("おやつ",貼り付け用!$3:$3,0),"",
IF(VLOOKUP($A23,貼り付け用!$A$1:$BA$300,COLUMN(),FALSE)=0,"",VLOOKUP($A23,貼り付け用!$A$1:$BA$300,COLUMN(),FALSE))),"")</f>
        <v/>
      </c>
      <c r="O23" s="45" t="str">
        <f>IF($A23&lt;&gt;"",
IF(COLUMN(貼り付け用!O23)&gt;MATCH("おやつ",貼り付け用!$3:$3,0),"",
IF(VLOOKUP($A23,貼り付け用!$A$1:$BA$300,COLUMN(),FALSE)=0,"",VLOOKUP($A23,貼り付け用!$A$1:$BA$300,COLUMN(),FALSE))),"")</f>
        <v/>
      </c>
      <c r="P23" s="45" t="str">
        <f>IF($A23&lt;&gt;"",
IF(COLUMN(貼り付け用!P23)&gt;MATCH("おやつ",貼り付け用!$3:$3,0),"",
IF(VLOOKUP($A23,貼り付け用!$A$1:$BA$300,COLUMN(),FALSE)=0,"",VLOOKUP($A23,貼り付け用!$A$1:$BA$300,COLUMN(),FALSE))),"")</f>
        <v/>
      </c>
      <c r="Q23" s="45" t="str">
        <f>IF($A23&lt;&gt;"",
IF(COLUMN(貼り付け用!Q23)&gt;MATCH("おやつ",貼り付け用!$3:$3,0),"",
IF(VLOOKUP($A23,貼り付け用!$A$1:$BA$300,COLUMN(),FALSE)=0,"",VLOOKUP($A23,貼り付け用!$A$1:$BA$300,COLUMN(),FALSE))),"")</f>
        <v/>
      </c>
      <c r="R23" s="45" t="str">
        <f>IF($A23&lt;&gt;"",
IF(COLUMN(貼り付け用!R23)&gt;MATCH("おやつ",貼り付け用!$3:$3,0),"",
IF(VLOOKUP($A23,貼り付け用!$A$1:$BA$300,COLUMN(),FALSE)=0,"",VLOOKUP($A23,貼り付け用!$A$1:$BA$300,COLUMN(),FALSE))),"")</f>
        <v/>
      </c>
      <c r="S23" s="45" t="str">
        <f>IF($A23&lt;&gt;"",
IF(COLUMN(貼り付け用!S23)&gt;MATCH("おやつ",貼り付け用!$3:$3,0),"",
IF(VLOOKUP($A23,貼り付け用!$A$1:$BA$300,COLUMN(),FALSE)=0,"",VLOOKUP($A23,貼り付け用!$A$1:$BA$300,COLUMN(),FALSE))),"")</f>
        <v/>
      </c>
      <c r="T23" s="45" t="str">
        <f>IF(COLUMN(貼り付け用!T23)&gt;MATCH("おやつ",貼り付け用!$3:$3,0),"",
IF(VLOOKUP($A23,貼り付け用!$A$1:$BA$300,COLUMN(),FALSE)=0,"",VLOOKUP($A23,貼り付け用!$A$1:$BA$300,COLUMN(),FALSE)))</f>
        <v/>
      </c>
      <c r="U23" s="24"/>
      <c r="V23" s="21" t="str">
        <f>IF(A23&lt;&gt;"",
IF(VLOOKUP($A23,貼り付け用!$A$1:$BA$300,MATCH("おやつ",貼り付け用!$3:$3,0)+1,FALSE)=0,"",VLOOKUP($A23,貼り付け用!$A$1:$BA$300,MATCH("おやつ",貼り付け用!$3:$3,0)+1,FALSE)),"")</f>
        <v/>
      </c>
      <c r="W23" s="50" t="str">
        <f>IF(A23&lt;&gt;"",
IF(VLOOKUP($A23,貼り付け用!$A$1:$BA$300,MATCH("おやつ",貼り付け用!$3:$3,0)+2,FALSE)=0,"",VLOOKUP($A23,貼り付け用!$A$1:$BA$300,MATCH("おやつ",貼り付け用!$3:$3,0)+2,FALSE)),"")</f>
        <v/>
      </c>
    </row>
    <row r="24" spans="1:23" x14ac:dyDescent="0.45">
      <c r="A24" s="10" t="str">
        <f>IF(貼り付け用!$A$6&lt;&gt;"",
IF(ROW(A23)+1&gt;=MATCH("*【合計】*", 貼り付け用!$A:$A, 0),
"",
IF(貼り付け用!A24&lt;&gt;"",貼り付け用!A24,"")),
IF(ROW(A24)+1&gt;=MATCH("*【合計】*", 貼り付け用!$A:$A, 0),
"",
IF(貼り付け用!A25&lt;&gt;"",貼り付け用!A25,"")))</f>
        <v>407</v>
      </c>
      <c r="B24" s="50" t="str">
        <f>IF($A24&lt;&gt;"",IF(VLOOKUP($A24,貼り付け用!$A$1:$BA$300,COLUMN(),FALSE)=0,"",VLOOKUP($A24,貼り付け用!$A$1:$BA$300,COLUMN(),FALSE)),"")</f>
        <v/>
      </c>
      <c r="C24" s="50" t="str">
        <f>IF($A24&lt;&gt;"",IF(VLOOKUP($A24,貼り付け用!$A$1:$BA$300,COLUMN(),FALSE)=0,"",VLOOKUP($A24,貼り付け用!$A$1:$BA$300,COLUMN(),FALSE)),"")</f>
        <v/>
      </c>
      <c r="D24" s="50" t="str">
        <f>IF($A24&lt;&gt;"",IF(VLOOKUP($A24,貼り付け用!$A$1:$BA$300,COLUMN(),FALSE)=0,"",VLOOKUP($A24,貼り付け用!$A$1:$BA$300,COLUMN(),FALSE)),"")</f>
        <v/>
      </c>
      <c r="E24" s="50" t="str">
        <f>IF($A24&lt;&gt;"",IF(VLOOKUP($A24,貼り付け用!$A$1:$BA$300,COLUMN(),FALSE)=0,"",VLOOKUP($A24,貼り付け用!$A$1:$BA$300,COLUMN(),FALSE)),"")</f>
        <v/>
      </c>
      <c r="F24" s="50" t="str">
        <f>IF($A24&lt;&gt;"",IF(VLOOKUP($A24,貼り付け用!$A$1:$BA$300,COLUMN(),FALSE)=0,"",VLOOKUP($A24,貼り付け用!$A$1:$BA$300,COLUMN(),FALSE)),"")</f>
        <v/>
      </c>
      <c r="G24" s="50" t="str">
        <f>IF($A24&lt;&gt;"",IF(VLOOKUP($A24,貼り付け用!$A$1:$BA$300,COLUMN(),FALSE)=0,"",VLOOKUP($A24,貼り付け用!$A$1:$BA$300,COLUMN(),FALSE)),"")</f>
        <v/>
      </c>
      <c r="H24" s="50" t="str">
        <f>IF($A24&lt;&gt;"",IF(VLOOKUP($A24,貼り付け用!$A$1:$BA$300,COLUMN(),FALSE)=0,"",VLOOKUP($A24,貼り付け用!$A$1:$BA$300,COLUMN(),FALSE)),"")</f>
        <v/>
      </c>
      <c r="I24" s="50" t="str">
        <f>IF($A24&lt;&gt;"",IF(VLOOKUP($A24,貼り付け用!$A$1:$BA$300,COLUMN(),FALSE)=0,"",VLOOKUP($A24,貼り付け用!$A$1:$BA$300,COLUMN(),FALSE)),"")</f>
        <v/>
      </c>
      <c r="J24" s="50" t="str">
        <f>IF($A24&lt;&gt;"",IF(VLOOKUP($A24,貼り付け用!$A$1:$BA$300,COLUMN(),FALSE)=0,"",VLOOKUP($A24,貼り付け用!$A$1:$BA$300,COLUMN(),FALSE)),"")</f>
        <v/>
      </c>
      <c r="K24" s="50" t="str">
        <f>IF($A24&lt;&gt;"",IF(VLOOKUP($A24,貼り付け用!$A$1:$BA$300,COLUMN(),FALSE)=0,"",VLOOKUP($A24,貼り付け用!$A$1:$BA$300,COLUMN(),FALSE)),"")</f>
        <v/>
      </c>
      <c r="L24" s="50" t="str">
        <f>IF($A24&lt;&gt;"",
IF(COLUMN(貼り付け用!L24)&gt;MATCH("おやつ",貼り付け用!$3:$3,0),"",
IF(VLOOKUP($A24,貼り付け用!$A$1:$BA$300,COLUMN(),FALSE)=0,"",VLOOKUP($A24,貼り付け用!$A$1:$BA$300,COLUMN(),FALSE))),"")</f>
        <v/>
      </c>
      <c r="M24" s="50" t="str">
        <f>IF($A24&lt;&gt;"",
IF(COLUMN(貼り付け用!M24)&gt;MATCH("おやつ",貼り付け用!$3:$3,0),"",
IF(VLOOKUP($A24,貼り付け用!$A$1:$BA$300,COLUMN(),FALSE)=0,"",VLOOKUP($A24,貼り付け用!$A$1:$BA$300,COLUMN(),FALSE))),"")</f>
        <v/>
      </c>
      <c r="N24" s="50" t="str">
        <f>IF($A24&lt;&gt;"",
IF(COLUMN(貼り付け用!N24)&gt;MATCH("おやつ",貼り付け用!$3:$3,0),"",
IF(VLOOKUP($A24,貼り付け用!$A$1:$BA$300,COLUMN(),FALSE)=0,"",VLOOKUP($A24,貼り付け用!$A$1:$BA$300,COLUMN(),FALSE))),"")</f>
        <v/>
      </c>
      <c r="O24" s="50" t="str">
        <f>IF($A24&lt;&gt;"",
IF(COLUMN(貼り付け用!O24)&gt;MATCH("おやつ",貼り付け用!$3:$3,0),"",
IF(VLOOKUP($A24,貼り付け用!$A$1:$BA$300,COLUMN(),FALSE)=0,"",VLOOKUP($A24,貼り付け用!$A$1:$BA$300,COLUMN(),FALSE))),"")</f>
        <v/>
      </c>
      <c r="P24" s="50" t="str">
        <f>IF($A24&lt;&gt;"",
IF(COLUMN(貼り付け用!P24)&gt;MATCH("おやつ",貼り付け用!$3:$3,0),"",
IF(VLOOKUP($A24,貼り付け用!$A$1:$BA$300,COLUMN(),FALSE)=0,"",VLOOKUP($A24,貼り付け用!$A$1:$BA$300,COLUMN(),FALSE))),"")</f>
        <v/>
      </c>
      <c r="Q24" s="50" t="str">
        <f>IF($A24&lt;&gt;"",
IF(COLUMN(貼り付け用!Q24)&gt;MATCH("おやつ",貼り付け用!$3:$3,0),"",
IF(VLOOKUP($A24,貼り付け用!$A$1:$BA$300,COLUMN(),FALSE)=0,"",VLOOKUP($A24,貼り付け用!$A$1:$BA$300,COLUMN(),FALSE))),"")</f>
        <v/>
      </c>
      <c r="R24" s="50" t="str">
        <f>IF($A24&lt;&gt;"",
IF(COLUMN(貼り付け用!R24)&gt;MATCH("おやつ",貼り付け用!$3:$3,0),"",
IF(VLOOKUP($A24,貼り付け用!$A$1:$BA$300,COLUMN(),FALSE)=0,"",VLOOKUP($A24,貼り付け用!$A$1:$BA$300,COLUMN(),FALSE))),"")</f>
        <v/>
      </c>
      <c r="S24" s="50" t="str">
        <f>IF($A24&lt;&gt;"",
IF(COLUMN(貼り付け用!S24)&gt;MATCH("おやつ",貼り付け用!$3:$3,0),"",
IF(VLOOKUP($A24,貼り付け用!$A$1:$BA$300,COLUMN(),FALSE)=0,"",VLOOKUP($A24,貼り付け用!$A$1:$BA$300,COLUMN(),FALSE))),"")</f>
        <v/>
      </c>
      <c r="T24" s="50" t="str">
        <f>IF(COLUMN(貼り付け用!T24)&gt;MATCH("おやつ",貼り付け用!$3:$3,0),"",
IF(VLOOKUP($A24,貼り付け用!$A$1:$BA$300,COLUMN(),FALSE)=0,"",VLOOKUP($A24,貼り付け用!$A$1:$BA$300,COLUMN(),FALSE)))</f>
        <v/>
      </c>
      <c r="U24" s="23"/>
      <c r="V24" s="21" t="str">
        <f>IF(A24&lt;&gt;"",
IF(VLOOKUP($A24,貼り付け用!$A$1:$BA$300,MATCH("おやつ",貼り付け用!$3:$3,0)+1,FALSE)=0,"",VLOOKUP($A24,貼り付け用!$A$1:$BA$300,MATCH("おやつ",貼り付け用!$3:$3,0)+1,FALSE)),"")</f>
        <v/>
      </c>
      <c r="W24" s="50" t="str">
        <f>IF(A24&lt;&gt;"",
IF(VLOOKUP($A24,貼り付け用!$A$1:$BA$300,MATCH("おやつ",貼り付け用!$3:$3,0)+2,FALSE)=0,"",VLOOKUP($A24,貼り付け用!$A$1:$BA$300,MATCH("おやつ",貼り付け用!$3:$3,0)+2,FALSE)),"")</f>
        <v/>
      </c>
    </row>
    <row r="25" spans="1:23" x14ac:dyDescent="0.45">
      <c r="A25" s="22" t="str">
        <f>IF(貼り付け用!$A$6&lt;&gt;"",
IF(ROW(A24)+1&gt;=MATCH("*【合計】*", 貼り付け用!$A:$A, 0),"",
IF(貼り付け用!A25&lt;&gt;"",貼り付け用!A25,"")),
IF(ROW(A25)+1&gt;=MATCH("*【合計】*", 貼り付け用!$A:$A, 0),"",
IF(貼り付け用!A26&lt;&gt;"",貼り付け用!A26,"")))</f>
        <v>博多中央（補助教員） web</v>
      </c>
      <c r="B25" s="45" t="str">
        <f>IF($A25&lt;&gt;"",IF(VLOOKUP($A25,貼り付け用!$A$1:$BA$300,COLUMN(),FALSE)=0,"",VLOOKUP($A25,貼り付け用!$A$1:$BA$300,COLUMN(),FALSE)),"")</f>
        <v/>
      </c>
      <c r="C25" s="45" t="str">
        <f>IF($A25&lt;&gt;"",IF(VLOOKUP($A25,貼り付け用!$A$1:$BA$300,COLUMN(),FALSE)=0,"",VLOOKUP($A25,貼り付け用!$A$1:$BA$300,COLUMN(),FALSE)),"")</f>
        <v/>
      </c>
      <c r="D25" s="45" t="str">
        <f>IF($A25&lt;&gt;"",IF(VLOOKUP($A25,貼り付け用!$A$1:$BA$300,COLUMN(),FALSE)=0,"",VLOOKUP($A25,貼り付け用!$A$1:$BA$300,COLUMN(),FALSE)),"")</f>
        <v>5</v>
      </c>
      <c r="E25" s="45" t="str">
        <f>IF($A25&lt;&gt;"",IF(VLOOKUP($A25,貼り付け用!$A$1:$BA$300,COLUMN(),FALSE)=0,"",VLOOKUP($A25,貼り付け用!$A$1:$BA$300,COLUMN(),FALSE)),"")</f>
        <v/>
      </c>
      <c r="F25" s="45" t="str">
        <f>IF($A25&lt;&gt;"",IF(VLOOKUP($A25,貼り付け用!$A$1:$BA$300,COLUMN(),FALSE)=0,"",VLOOKUP($A25,貼り付け用!$A$1:$BA$300,COLUMN(),FALSE)),"")</f>
        <v/>
      </c>
      <c r="G25" s="45" t="str">
        <f>IF($A25&lt;&gt;"",IF(VLOOKUP($A25,貼り付け用!$A$1:$BA$300,COLUMN(),FALSE)=0,"",VLOOKUP($A25,貼り付け用!$A$1:$BA$300,COLUMN(),FALSE)),"")</f>
        <v/>
      </c>
      <c r="H25" s="45" t="str">
        <f>IF($A25&lt;&gt;"",IF(VLOOKUP($A25,貼り付け用!$A$1:$BA$300,COLUMN(),FALSE)=0,"",VLOOKUP($A25,貼り付け用!$A$1:$BA$300,COLUMN(),FALSE)),"")</f>
        <v/>
      </c>
      <c r="I25" s="45" t="str">
        <f>IF($A25&lt;&gt;"",IF(VLOOKUP($A25,貼り付け用!$A$1:$BA$300,COLUMN(),FALSE)=0,"",VLOOKUP($A25,貼り付け用!$A$1:$BA$300,COLUMN(),FALSE)),"")</f>
        <v/>
      </c>
      <c r="J25" s="45" t="str">
        <f>IF($A25&lt;&gt;"",IF(VLOOKUP($A25,貼り付け用!$A$1:$BA$300,COLUMN(),FALSE)=0,"",VLOOKUP($A25,貼り付け用!$A$1:$BA$300,COLUMN(),FALSE)),"")</f>
        <v/>
      </c>
      <c r="K25" s="45" t="str">
        <f>IF($A25&lt;&gt;"",IF(VLOOKUP($A25,貼り付け用!$A$1:$BA$300,COLUMN(),FALSE)=0,"",VLOOKUP($A25,貼り付け用!$A$1:$BA$300,COLUMN(),FALSE)),"")</f>
        <v/>
      </c>
      <c r="L25" s="45" t="str">
        <f>IF($A25&lt;&gt;"",
IF(COLUMN(貼り付け用!L25)&gt;MATCH("おやつ",貼り付け用!$3:$3,0),"",
IF(VLOOKUP($A25,貼り付け用!$A$1:$BA$300,COLUMN(),FALSE)=0,"",VLOOKUP($A25,貼り付け用!$A$1:$BA$300,COLUMN(),FALSE))),"")</f>
        <v/>
      </c>
      <c r="M25" s="45" t="str">
        <f>IF($A25&lt;&gt;"",
IF(COLUMN(貼り付け用!M25)&gt;MATCH("おやつ",貼り付け用!$3:$3,0),"",
IF(VLOOKUP($A25,貼り付け用!$A$1:$BA$300,COLUMN(),FALSE)=0,"",VLOOKUP($A25,貼り付け用!$A$1:$BA$300,COLUMN(),FALSE))),"")</f>
        <v/>
      </c>
      <c r="N25" s="45" t="str">
        <f>IF($A25&lt;&gt;"",
IF(COLUMN(貼り付け用!N25)&gt;MATCH("おやつ",貼り付け用!$3:$3,0),"",
IF(VLOOKUP($A25,貼り付け用!$A$1:$BA$300,COLUMN(),FALSE)=0,"",VLOOKUP($A25,貼り付け用!$A$1:$BA$300,COLUMN(),FALSE))),"")</f>
        <v/>
      </c>
      <c r="O25" s="45" t="str">
        <f>IF($A25&lt;&gt;"",
IF(COLUMN(貼り付け用!O25)&gt;MATCH("おやつ",貼り付け用!$3:$3,0),"",
IF(VLOOKUP($A25,貼り付け用!$A$1:$BA$300,COLUMN(),FALSE)=0,"",VLOOKUP($A25,貼り付け用!$A$1:$BA$300,COLUMN(),FALSE))),"")</f>
        <v/>
      </c>
      <c r="P25" s="45" t="str">
        <f>IF($A25&lt;&gt;"",
IF(COLUMN(貼り付け用!P25)&gt;MATCH("おやつ",貼り付け用!$3:$3,0),"",
IF(VLOOKUP($A25,貼り付け用!$A$1:$BA$300,COLUMN(),FALSE)=0,"",VLOOKUP($A25,貼り付け用!$A$1:$BA$300,COLUMN(),FALSE))),"")</f>
        <v/>
      </c>
      <c r="Q25" s="45" t="str">
        <f>IF($A25&lt;&gt;"",
IF(COLUMN(貼り付け用!Q25)&gt;MATCH("おやつ",貼り付け用!$3:$3,0),"",
IF(VLOOKUP($A25,貼り付け用!$A$1:$BA$300,COLUMN(),FALSE)=0,"",VLOOKUP($A25,貼り付け用!$A$1:$BA$300,COLUMN(),FALSE))),"")</f>
        <v/>
      </c>
      <c r="R25" s="45" t="str">
        <f>IF($A25&lt;&gt;"",
IF(COLUMN(貼り付け用!R25)&gt;MATCH("おやつ",貼り付け用!$3:$3,0),"",
IF(VLOOKUP($A25,貼り付け用!$A$1:$BA$300,COLUMN(),FALSE)=0,"",VLOOKUP($A25,貼り付け用!$A$1:$BA$300,COLUMN(),FALSE))),"")</f>
        <v/>
      </c>
      <c r="S25" s="45" t="str">
        <f>IF($A25&lt;&gt;"",
IF(COLUMN(貼り付け用!S25)&gt;MATCH("おやつ",貼り付け用!$3:$3,0),"",
IF(VLOOKUP($A25,貼り付け用!$A$1:$BA$300,COLUMN(),FALSE)=0,"",VLOOKUP($A25,貼り付け用!$A$1:$BA$300,COLUMN(),FALSE))),"")</f>
        <v/>
      </c>
      <c r="T25" s="45" t="str">
        <f>IF(COLUMN(貼り付け用!T25)&gt;MATCH("おやつ",貼り付け用!$3:$3,0),"",
IF(VLOOKUP($A25,貼り付け用!$A$1:$BA$300,COLUMN(),FALSE)=0,"",VLOOKUP($A25,貼り付け用!$A$1:$BA$300,COLUMN(),FALSE)))</f>
        <v/>
      </c>
      <c r="U25" s="24"/>
      <c r="V25" s="21" t="str">
        <f>IF(A25&lt;&gt;"",
IF(VLOOKUP($A25,貼り付け用!$A$1:$BA$300,MATCH("おやつ",貼り付け用!$3:$3,0)+1,FALSE)=0,"",VLOOKUP($A25,貼り付け用!$A$1:$BA$300,MATCH("おやつ",貼り付け用!$3:$3,0)+1,FALSE)),"")</f>
        <v/>
      </c>
      <c r="W25" s="50" t="str">
        <f>IF(A25&lt;&gt;"",
IF(VLOOKUP($A25,貼り付け用!$A$1:$BA$300,MATCH("おやつ",貼り付け用!$3:$3,0)+2,FALSE)=0,"",VLOOKUP($A25,貼り付け用!$A$1:$BA$300,MATCH("おやつ",貼り付け用!$3:$3,0)+2,FALSE)),"")</f>
        <v/>
      </c>
    </row>
    <row r="26" spans="1:23" x14ac:dyDescent="0.45">
      <c r="A26" s="10" t="str">
        <f>IF(貼り付け用!$A$6&lt;&gt;"",
IF(ROW(A25)+1&gt;=MATCH("*【合計】*", 貼り付け用!$A:$A, 0),
"",
IF(貼り付け用!A26&lt;&gt;"",貼り付け用!A26,"")),
IF(ROW(A26)+1&gt;=MATCH("*【合計】*", 貼り付け用!$A:$A, 0),
"",
IF(貼り付け用!A27&lt;&gt;"",貼り付け用!A27,"")))</f>
        <v>500</v>
      </c>
      <c r="B26" s="50" t="str">
        <f>IF($A26&lt;&gt;"",IF(VLOOKUP($A26,貼り付け用!$A$1:$BA$300,COLUMN(),FALSE)=0,"",VLOOKUP($A26,貼り付け用!$A$1:$BA$300,COLUMN(),FALSE)),"")</f>
        <v/>
      </c>
      <c r="C26" s="50" t="str">
        <f>IF($A26&lt;&gt;"",IF(VLOOKUP($A26,貼り付け用!$A$1:$BA$300,COLUMN(),FALSE)=0,"",VLOOKUP($A26,貼り付け用!$A$1:$BA$300,COLUMN(),FALSE)),"")</f>
        <v/>
      </c>
      <c r="D26" s="50" t="str">
        <f>IF($A26&lt;&gt;"",IF(VLOOKUP($A26,貼り付け用!$A$1:$BA$300,COLUMN(),FALSE)=0,"",VLOOKUP($A26,貼り付け用!$A$1:$BA$300,COLUMN(),FALSE)),"")</f>
        <v/>
      </c>
      <c r="E26" s="50" t="str">
        <f>IF($A26&lt;&gt;"",IF(VLOOKUP($A26,貼り付け用!$A$1:$BA$300,COLUMN(),FALSE)=0,"",VLOOKUP($A26,貼り付け用!$A$1:$BA$300,COLUMN(),FALSE)),"")</f>
        <v/>
      </c>
      <c r="F26" s="50" t="str">
        <f>IF($A26&lt;&gt;"",IF(VLOOKUP($A26,貼り付け用!$A$1:$BA$300,COLUMN(),FALSE)=0,"",VLOOKUP($A26,貼り付け用!$A$1:$BA$300,COLUMN(),FALSE)),"")</f>
        <v>69</v>
      </c>
      <c r="G26" s="50" t="str">
        <f>IF($A26&lt;&gt;"",IF(VLOOKUP($A26,貼り付け用!$A$1:$BA$300,COLUMN(),FALSE)=0,"",VLOOKUP($A26,貼り付け用!$A$1:$BA$300,COLUMN(),FALSE)),"")</f>
        <v/>
      </c>
      <c r="H26" s="50" t="str">
        <f>IF($A26&lt;&gt;"",IF(VLOOKUP($A26,貼り付け用!$A$1:$BA$300,COLUMN(),FALSE)=0,"",VLOOKUP($A26,貼り付け用!$A$1:$BA$300,COLUMN(),FALSE)),"")</f>
        <v/>
      </c>
      <c r="I26" s="50" t="str">
        <f>IF($A26&lt;&gt;"",IF(VLOOKUP($A26,貼り付け用!$A$1:$BA$300,COLUMN(),FALSE)=0,"",VLOOKUP($A26,貼り付け用!$A$1:$BA$300,COLUMN(),FALSE)),"")</f>
        <v/>
      </c>
      <c r="J26" s="50" t="str">
        <f>IF($A26&lt;&gt;"",IF(VLOOKUP($A26,貼り付け用!$A$1:$BA$300,COLUMN(),FALSE)=0,"",VLOOKUP($A26,貼り付け用!$A$1:$BA$300,COLUMN(),FALSE)),"")</f>
        <v/>
      </c>
      <c r="K26" s="50" t="str">
        <f>IF($A26&lt;&gt;"",IF(VLOOKUP($A26,貼り付け用!$A$1:$BA$300,COLUMN(),FALSE)=0,"",VLOOKUP($A26,貼り付け用!$A$1:$BA$300,COLUMN(),FALSE)),"")</f>
        <v/>
      </c>
      <c r="L26" s="50" t="str">
        <f>IF($A26&lt;&gt;"",
IF(COLUMN(貼り付け用!L26)&gt;MATCH("おやつ",貼り付け用!$3:$3,0),"",
IF(VLOOKUP($A26,貼り付け用!$A$1:$BA$300,COLUMN(),FALSE)=0,"",VLOOKUP($A26,貼り付け用!$A$1:$BA$300,COLUMN(),FALSE))),"")</f>
        <v/>
      </c>
      <c r="M26" s="50" t="str">
        <f>IF($A26&lt;&gt;"",
IF(COLUMN(貼り付け用!M26)&gt;MATCH("おやつ",貼り付け用!$3:$3,0),"",
IF(VLOOKUP($A26,貼り付け用!$A$1:$BA$300,COLUMN(),FALSE)=0,"",VLOOKUP($A26,貼り付け用!$A$1:$BA$300,COLUMN(),FALSE))),"")</f>
        <v/>
      </c>
      <c r="N26" s="50" t="str">
        <f>IF($A26&lt;&gt;"",
IF(COLUMN(貼り付け用!N26)&gt;MATCH("おやつ",貼り付け用!$3:$3,0),"",
IF(VLOOKUP($A26,貼り付け用!$A$1:$BA$300,COLUMN(),FALSE)=0,"",VLOOKUP($A26,貼り付け用!$A$1:$BA$300,COLUMN(),FALSE))),"")</f>
        <v/>
      </c>
      <c r="O26" s="50" t="str">
        <f>IF($A26&lt;&gt;"",
IF(COLUMN(貼り付け用!O26)&gt;MATCH("おやつ",貼り付け用!$3:$3,0),"",
IF(VLOOKUP($A26,貼り付け用!$A$1:$BA$300,COLUMN(),FALSE)=0,"",VLOOKUP($A26,貼り付け用!$A$1:$BA$300,COLUMN(),FALSE))),"")</f>
        <v/>
      </c>
      <c r="P26" s="50" t="str">
        <f>IF($A26&lt;&gt;"",
IF(COLUMN(貼り付け用!P26)&gt;MATCH("おやつ",貼り付け用!$3:$3,0),"",
IF(VLOOKUP($A26,貼り付け用!$A$1:$BA$300,COLUMN(),FALSE)=0,"",VLOOKUP($A26,貼り付け用!$A$1:$BA$300,COLUMN(),FALSE))),"")</f>
        <v/>
      </c>
      <c r="Q26" s="50" t="str">
        <f>IF($A26&lt;&gt;"",
IF(COLUMN(貼り付け用!Q26)&gt;MATCH("おやつ",貼り付け用!$3:$3,0),"",
IF(VLOOKUP($A26,貼り付け用!$A$1:$BA$300,COLUMN(),FALSE)=0,"",VLOOKUP($A26,貼り付け用!$A$1:$BA$300,COLUMN(),FALSE))),"")</f>
        <v/>
      </c>
      <c r="R26" s="50" t="str">
        <f>IF($A26&lt;&gt;"",
IF(COLUMN(貼り付け用!R26)&gt;MATCH("おやつ",貼り付け用!$3:$3,0),"",
IF(VLOOKUP($A26,貼り付け用!$A$1:$BA$300,COLUMN(),FALSE)=0,"",VLOOKUP($A26,貼り付け用!$A$1:$BA$300,COLUMN(),FALSE))),"")</f>
        <v/>
      </c>
      <c r="S26" s="50" t="str">
        <f>IF($A26&lt;&gt;"",
IF(COLUMN(貼り付け用!S26)&gt;MATCH("おやつ",貼り付け用!$3:$3,0),"",
IF(VLOOKUP($A26,貼り付け用!$A$1:$BA$300,COLUMN(),FALSE)=0,"",VLOOKUP($A26,貼り付け用!$A$1:$BA$300,COLUMN(),FALSE))),"")</f>
        <v/>
      </c>
      <c r="T26" s="50" t="str">
        <f>IF(COLUMN(貼り付け用!T26)&gt;MATCH("おやつ",貼り付け用!$3:$3,0),"",
IF(VLOOKUP($A26,貼り付け用!$A$1:$BA$300,COLUMN(),FALSE)=0,"",VLOOKUP($A26,貼り付け用!$A$1:$BA$300,COLUMN(),FALSE)))</f>
        <v/>
      </c>
      <c r="U26" s="23"/>
      <c r="V26" s="21" t="str">
        <f>IF(A26&lt;&gt;"",
IF(VLOOKUP($A26,貼り付け用!$A$1:$BA$300,MATCH("おやつ",貼り付け用!$3:$3,0)+1,FALSE)=0,"",VLOOKUP($A26,貼り付け用!$A$1:$BA$300,MATCH("おやつ",貼り付け用!$3:$3,0)+1,FALSE)),"")</f>
        <v/>
      </c>
      <c r="W26" s="50" t="str">
        <f>IF(A26&lt;&gt;"",
IF(VLOOKUP($A26,貼り付け用!$A$1:$BA$300,MATCH("おやつ",貼り付け用!$3:$3,0)+2,FALSE)=0,"",VLOOKUP($A26,貼り付け用!$A$1:$BA$300,MATCH("おやつ",貼り付け用!$3:$3,0)+2,FALSE)),"")</f>
        <v/>
      </c>
    </row>
    <row r="27" spans="1:23" x14ac:dyDescent="0.45">
      <c r="A27" s="22" t="str">
        <f>IF(貼り付け用!$A$6&lt;&gt;"",
IF(ROW(A26)+1&gt;=MATCH("*【合計】*", 貼り付け用!$A:$A, 0),"",
IF(貼り付け用!A27&lt;&gt;"",貼り付け用!A27,"")),
IF(ROW(A27)+1&gt;=MATCH("*【合計】*", 貼り付け用!$A:$A, 0),"",
IF(貼り付け用!A28&lt;&gt;"",貼り付け用!A28,"")))</f>
        <v>博多 週3ｺｰｽ</v>
      </c>
      <c r="B27" s="45" t="str">
        <f>IF($A27&lt;&gt;"",IF(VLOOKUP($A27,貼り付け用!$A$1:$BA$300,COLUMN(),FALSE)=0,"",VLOOKUP($A27,貼り付け用!$A$1:$BA$300,COLUMN(),FALSE)),"")</f>
        <v/>
      </c>
      <c r="C27" s="45" t="str">
        <f>IF($A27&lt;&gt;"",IF(VLOOKUP($A27,貼り付け用!$A$1:$BA$300,COLUMN(),FALSE)=0,"",VLOOKUP($A27,貼り付け用!$A$1:$BA$300,COLUMN(),FALSE)),"")</f>
        <v/>
      </c>
      <c r="D27" s="45" t="str">
        <f>IF($A27&lt;&gt;"",IF(VLOOKUP($A27,貼り付け用!$A$1:$BA$300,COLUMN(),FALSE)=0,"",VLOOKUP($A27,貼り付け用!$A$1:$BA$300,COLUMN(),FALSE)),"")</f>
        <v/>
      </c>
      <c r="E27" s="45" t="str">
        <f>IF($A27&lt;&gt;"",IF(VLOOKUP($A27,貼り付け用!$A$1:$BA$300,COLUMN(),FALSE)=0,"",VLOOKUP($A27,貼り付け用!$A$1:$BA$300,COLUMN(),FALSE)),"")</f>
        <v/>
      </c>
      <c r="F27" s="45" t="str">
        <f>IF($A27&lt;&gt;"",IF(VLOOKUP($A27,貼り付け用!$A$1:$BA$300,COLUMN(),FALSE)=0,"",VLOOKUP($A27,貼り付け用!$A$1:$BA$300,COLUMN(),FALSE)),"")</f>
        <v>22</v>
      </c>
      <c r="G27" s="45" t="str">
        <f>IF($A27&lt;&gt;"",IF(VLOOKUP($A27,貼り付け用!$A$1:$BA$300,COLUMN(),FALSE)=0,"",VLOOKUP($A27,貼り付け用!$A$1:$BA$300,COLUMN(),FALSE)),"")</f>
        <v/>
      </c>
      <c r="H27" s="45" t="str">
        <f>IF($A27&lt;&gt;"",IF(VLOOKUP($A27,貼り付け用!$A$1:$BA$300,COLUMN(),FALSE)=0,"",VLOOKUP($A27,貼り付け用!$A$1:$BA$300,COLUMN(),FALSE)),"")</f>
        <v/>
      </c>
      <c r="I27" s="45" t="str">
        <f>IF($A27&lt;&gt;"",IF(VLOOKUP($A27,貼り付け用!$A$1:$BA$300,COLUMN(),FALSE)=0,"",VLOOKUP($A27,貼り付け用!$A$1:$BA$300,COLUMN(),FALSE)),"")</f>
        <v/>
      </c>
      <c r="J27" s="45" t="str">
        <f>IF($A27&lt;&gt;"",IF(VLOOKUP($A27,貼り付け用!$A$1:$BA$300,COLUMN(),FALSE)=0,"",VLOOKUP($A27,貼り付け用!$A$1:$BA$300,COLUMN(),FALSE)),"")</f>
        <v/>
      </c>
      <c r="K27" s="45" t="str">
        <f>IF($A27&lt;&gt;"",IF(VLOOKUP($A27,貼り付け用!$A$1:$BA$300,COLUMN(),FALSE)=0,"",VLOOKUP($A27,貼り付け用!$A$1:$BA$300,COLUMN(),FALSE)),"")</f>
        <v/>
      </c>
      <c r="L27" s="45" t="str">
        <f>IF($A27&lt;&gt;"",
IF(COLUMN(貼り付け用!L27)&gt;MATCH("おやつ",貼り付け用!$3:$3,0),"",
IF(VLOOKUP($A27,貼り付け用!$A$1:$BA$300,COLUMN(),FALSE)=0,"",VLOOKUP($A27,貼り付け用!$A$1:$BA$300,COLUMN(),FALSE))),"")</f>
        <v/>
      </c>
      <c r="M27" s="45" t="str">
        <f>IF($A27&lt;&gt;"",
IF(COLUMN(貼り付け用!M27)&gt;MATCH("おやつ",貼り付け用!$3:$3,0),"",
IF(VLOOKUP($A27,貼り付け用!$A$1:$BA$300,COLUMN(),FALSE)=0,"",VLOOKUP($A27,貼り付け用!$A$1:$BA$300,COLUMN(),FALSE))),"")</f>
        <v/>
      </c>
      <c r="N27" s="45" t="str">
        <f>IF($A27&lt;&gt;"",
IF(COLUMN(貼り付け用!N27)&gt;MATCH("おやつ",貼り付け用!$3:$3,0),"",
IF(VLOOKUP($A27,貼り付け用!$A$1:$BA$300,COLUMN(),FALSE)=0,"",VLOOKUP($A27,貼り付け用!$A$1:$BA$300,COLUMN(),FALSE))),"")</f>
        <v/>
      </c>
      <c r="O27" s="45" t="str">
        <f>IF($A27&lt;&gt;"",
IF(COLUMN(貼り付け用!O27)&gt;MATCH("おやつ",貼り付け用!$3:$3,0),"",
IF(VLOOKUP($A27,貼り付け用!$A$1:$BA$300,COLUMN(),FALSE)=0,"",VLOOKUP($A27,貼り付け用!$A$1:$BA$300,COLUMN(),FALSE))),"")</f>
        <v/>
      </c>
      <c r="P27" s="45" t="str">
        <f>IF($A27&lt;&gt;"",
IF(COLUMN(貼り付け用!P27)&gt;MATCH("おやつ",貼り付け用!$3:$3,0),"",
IF(VLOOKUP($A27,貼り付け用!$A$1:$BA$300,COLUMN(),FALSE)=0,"",VLOOKUP($A27,貼り付け用!$A$1:$BA$300,COLUMN(),FALSE))),"")</f>
        <v/>
      </c>
      <c r="Q27" s="45" t="str">
        <f>IF($A27&lt;&gt;"",
IF(COLUMN(貼り付け用!Q27)&gt;MATCH("おやつ",貼り付け用!$3:$3,0),"",
IF(VLOOKUP($A27,貼り付け用!$A$1:$BA$300,COLUMN(),FALSE)=0,"",VLOOKUP($A27,貼り付け用!$A$1:$BA$300,COLUMN(),FALSE))),"")</f>
        <v/>
      </c>
      <c r="R27" s="45" t="str">
        <f>IF($A27&lt;&gt;"",
IF(COLUMN(貼り付け用!R27)&gt;MATCH("おやつ",貼り付け用!$3:$3,0),"",
IF(VLOOKUP($A27,貼り付け用!$A$1:$BA$300,COLUMN(),FALSE)=0,"",VLOOKUP($A27,貼り付け用!$A$1:$BA$300,COLUMN(),FALSE))),"")</f>
        <v/>
      </c>
      <c r="S27" s="45" t="str">
        <f>IF($A27&lt;&gt;"",
IF(COLUMN(貼り付け用!S27)&gt;MATCH("おやつ",貼り付け用!$3:$3,0),"",
IF(VLOOKUP($A27,貼り付け用!$A$1:$BA$300,COLUMN(),FALSE)=0,"",VLOOKUP($A27,貼り付け用!$A$1:$BA$300,COLUMN(),FALSE))),"")</f>
        <v/>
      </c>
      <c r="T27" s="45" t="str">
        <f>IF(COLUMN(貼り付け用!T27)&gt;MATCH("おやつ",貼り付け用!$3:$3,0),"",
IF(VLOOKUP($A27,貼り付け用!$A$1:$BA$300,COLUMN(),FALSE)=0,"",VLOOKUP($A27,貼り付け用!$A$1:$BA$300,COLUMN(),FALSE)))</f>
        <v/>
      </c>
      <c r="U27" s="24"/>
      <c r="V27" s="21" t="str">
        <f>IF(A27&lt;&gt;"",
IF(VLOOKUP($A27,貼り付け用!$A$1:$BA$300,MATCH("おやつ",貼り付け用!$3:$3,0)+1,FALSE)=0,"",VLOOKUP($A27,貼り付け用!$A$1:$BA$300,MATCH("おやつ",貼り付け用!$3:$3,0)+1,FALSE)),"")</f>
        <v/>
      </c>
      <c r="W27" s="50" t="str">
        <f>IF(A27&lt;&gt;"",
IF(VLOOKUP($A27,貼り付け用!$A$1:$BA$300,MATCH("おやつ",貼り付け用!$3:$3,0)+2,FALSE)=0,"",VLOOKUP($A27,貼り付け用!$A$1:$BA$300,MATCH("おやつ",貼り付け用!$3:$3,0)+2,FALSE)),"")</f>
        <v/>
      </c>
    </row>
    <row r="28" spans="1:23" x14ac:dyDescent="0.45">
      <c r="A28" s="10" t="str">
        <f>IF(貼り付け用!$A$6&lt;&gt;"",
IF(ROW(A27)+1&gt;=MATCH("*【合計】*", 貼り付け用!$A:$A, 0),
"",
IF(貼り付け用!A28&lt;&gt;"",貼り付け用!A28,"")),
IF(ROW(A28)+1&gt;=MATCH("*【合計】*", 貼り付け用!$A:$A, 0),
"",
IF(貼り付け用!A29&lt;&gt;"",貼り付け用!A29,"")))</f>
        <v>506</v>
      </c>
      <c r="B28" s="50" t="str">
        <f>IF($A28&lt;&gt;"",IF(VLOOKUP($A28,貼り付け用!$A$1:$BA$300,COLUMN(),FALSE)=0,"",VLOOKUP($A28,貼り付け用!$A$1:$BA$300,COLUMN(),FALSE)),"")</f>
        <v/>
      </c>
      <c r="C28" s="50" t="str">
        <f>IF($A28&lt;&gt;"",IF(VLOOKUP($A28,貼り付け用!$A$1:$BA$300,COLUMN(),FALSE)=0,"",VLOOKUP($A28,貼り付け用!$A$1:$BA$300,COLUMN(),FALSE)),"")</f>
        <v/>
      </c>
      <c r="D28" s="50" t="str">
        <f>IF($A28&lt;&gt;"",IF(VLOOKUP($A28,貼り付け用!$A$1:$BA$300,COLUMN(),FALSE)=0,"",VLOOKUP($A28,貼り付け用!$A$1:$BA$300,COLUMN(),FALSE)),"")</f>
        <v/>
      </c>
      <c r="E28" s="50" t="str">
        <f>IF($A28&lt;&gt;"",IF(VLOOKUP($A28,貼り付け用!$A$1:$BA$300,COLUMN(),FALSE)=0,"",VLOOKUP($A28,貼り付け用!$A$1:$BA$300,COLUMN(),FALSE)),"")</f>
        <v/>
      </c>
      <c r="F28" s="50" t="str">
        <f>IF($A28&lt;&gt;"",IF(VLOOKUP($A28,貼り付け用!$A$1:$BA$300,COLUMN(),FALSE)=0,"",VLOOKUP($A28,貼り付け用!$A$1:$BA$300,COLUMN(),FALSE)),"")</f>
        <v>360</v>
      </c>
      <c r="G28" s="50" t="str">
        <f>IF($A28&lt;&gt;"",IF(VLOOKUP($A28,貼り付け用!$A$1:$BA$300,COLUMN(),FALSE)=0,"",VLOOKUP($A28,貼り付け用!$A$1:$BA$300,COLUMN(),FALSE)),"")</f>
        <v/>
      </c>
      <c r="H28" s="50" t="str">
        <f>IF($A28&lt;&gt;"",IF(VLOOKUP($A28,貼り付け用!$A$1:$BA$300,COLUMN(),FALSE)=0,"",VLOOKUP($A28,貼り付け用!$A$1:$BA$300,COLUMN(),FALSE)),"")</f>
        <v/>
      </c>
      <c r="I28" s="50" t="str">
        <f>IF($A28&lt;&gt;"",IF(VLOOKUP($A28,貼り付け用!$A$1:$BA$300,COLUMN(),FALSE)=0,"",VLOOKUP($A28,貼り付け用!$A$1:$BA$300,COLUMN(),FALSE)),"")</f>
        <v/>
      </c>
      <c r="J28" s="50" t="str">
        <f>IF($A28&lt;&gt;"",IF(VLOOKUP($A28,貼り付け用!$A$1:$BA$300,COLUMN(),FALSE)=0,"",VLOOKUP($A28,貼り付け用!$A$1:$BA$300,COLUMN(),FALSE)),"")</f>
        <v/>
      </c>
      <c r="K28" s="50" t="str">
        <f>IF($A28&lt;&gt;"",IF(VLOOKUP($A28,貼り付け用!$A$1:$BA$300,COLUMN(),FALSE)=0,"",VLOOKUP($A28,貼り付け用!$A$1:$BA$300,COLUMN(),FALSE)),"")</f>
        <v/>
      </c>
      <c r="L28" s="50" t="str">
        <f>IF($A28&lt;&gt;"",
IF(COLUMN(貼り付け用!L28)&gt;MATCH("おやつ",貼り付け用!$3:$3,0),"",
IF(VLOOKUP($A28,貼り付け用!$A$1:$BA$300,COLUMN(),FALSE)=0,"",VLOOKUP($A28,貼り付け用!$A$1:$BA$300,COLUMN(),FALSE))),"")</f>
        <v/>
      </c>
      <c r="M28" s="50" t="str">
        <f>IF($A28&lt;&gt;"",
IF(COLUMN(貼り付け用!M28)&gt;MATCH("おやつ",貼り付け用!$3:$3,0),"",
IF(VLOOKUP($A28,貼り付け用!$A$1:$BA$300,COLUMN(),FALSE)=0,"",VLOOKUP($A28,貼り付け用!$A$1:$BA$300,COLUMN(),FALSE))),"")</f>
        <v/>
      </c>
      <c r="N28" s="50" t="str">
        <f>IF($A28&lt;&gt;"",
IF(COLUMN(貼り付け用!N28)&gt;MATCH("おやつ",貼り付け用!$3:$3,0),"",
IF(VLOOKUP($A28,貼り付け用!$A$1:$BA$300,COLUMN(),FALSE)=0,"",VLOOKUP($A28,貼り付け用!$A$1:$BA$300,COLUMN(),FALSE))),"")</f>
        <v/>
      </c>
      <c r="O28" s="50" t="str">
        <f>IF($A28&lt;&gt;"",
IF(COLUMN(貼り付け用!O28)&gt;MATCH("おやつ",貼り付け用!$3:$3,0),"",
IF(VLOOKUP($A28,貼り付け用!$A$1:$BA$300,COLUMN(),FALSE)=0,"",VLOOKUP($A28,貼り付け用!$A$1:$BA$300,COLUMN(),FALSE))),"")</f>
        <v/>
      </c>
      <c r="P28" s="50" t="str">
        <f>IF($A28&lt;&gt;"",
IF(COLUMN(貼り付け用!P28)&gt;MATCH("おやつ",貼り付け用!$3:$3,0),"",
IF(VLOOKUP($A28,貼り付け用!$A$1:$BA$300,COLUMN(),FALSE)=0,"",VLOOKUP($A28,貼り付け用!$A$1:$BA$300,COLUMN(),FALSE))),"")</f>
        <v/>
      </c>
      <c r="Q28" s="50" t="str">
        <f>IF($A28&lt;&gt;"",
IF(COLUMN(貼り付け用!Q28)&gt;MATCH("おやつ",貼り付け用!$3:$3,0),"",
IF(VLOOKUP($A28,貼り付け用!$A$1:$BA$300,COLUMN(),FALSE)=0,"",VLOOKUP($A28,貼り付け用!$A$1:$BA$300,COLUMN(),FALSE))),"")</f>
        <v/>
      </c>
      <c r="R28" s="50" t="str">
        <f>IF($A28&lt;&gt;"",
IF(COLUMN(貼り付け用!R28)&gt;MATCH("おやつ",貼り付け用!$3:$3,0),"",
IF(VLOOKUP($A28,貼り付け用!$A$1:$BA$300,COLUMN(),FALSE)=0,"",VLOOKUP($A28,貼り付け用!$A$1:$BA$300,COLUMN(),FALSE))),"")</f>
        <v/>
      </c>
      <c r="S28" s="50" t="str">
        <f>IF($A28&lt;&gt;"",
IF(COLUMN(貼り付け用!S28)&gt;MATCH("おやつ",貼り付け用!$3:$3,0),"",
IF(VLOOKUP($A28,貼り付け用!$A$1:$BA$300,COLUMN(),FALSE)=0,"",VLOOKUP($A28,貼り付け用!$A$1:$BA$300,COLUMN(),FALSE))),"")</f>
        <v/>
      </c>
      <c r="T28" s="50" t="str">
        <f>IF(COLUMN(貼り付け用!T28)&gt;MATCH("おやつ",貼り付け用!$3:$3,0),"",
IF(VLOOKUP($A28,貼り付け用!$A$1:$BA$300,COLUMN(),FALSE)=0,"",VLOOKUP($A28,貼り付け用!$A$1:$BA$300,COLUMN(),FALSE)))</f>
        <v/>
      </c>
      <c r="U28" s="23"/>
      <c r="V28" s="21" t="str">
        <f>IF(A28&lt;&gt;"",
IF(VLOOKUP($A28,貼り付け用!$A$1:$BA$300,MATCH("おやつ",貼り付け用!$3:$3,0)+1,FALSE)=0,"",VLOOKUP($A28,貼り付け用!$A$1:$BA$300,MATCH("おやつ",貼り付け用!$3:$3,0)+1,FALSE)),"")</f>
        <v/>
      </c>
      <c r="W28" s="50" t="str">
        <f>IF(A28&lt;&gt;"",
IF(VLOOKUP($A28,貼り付け用!$A$1:$BA$300,MATCH("おやつ",貼り付け用!$3:$3,0)+2,FALSE)=0,"",VLOOKUP($A28,貼り付け用!$A$1:$BA$300,MATCH("おやつ",貼り付け用!$3:$3,0)+2,FALSE)),"")</f>
        <v/>
      </c>
    </row>
    <row r="29" spans="1:23" x14ac:dyDescent="0.45">
      <c r="A29" s="22" t="str">
        <f>IF(貼り付け用!$A$6&lt;&gt;"",
IF(ROW(A28)+1&gt;=MATCH("*【合計】*", 貼り付け用!$A:$A, 0),"",
IF(貼り付け用!A29&lt;&gt;"",貼り付け用!A29,"")),
IF(ROW(A29)+1&gt;=MATCH("*【合計】*", 貼り付け用!$A:$A, 0),"",
IF(貼り付け用!A30&lt;&gt;"",貼り付け用!A30,"")))</f>
        <v>博多 週5ｺｰｽ</v>
      </c>
      <c r="B29" s="45" t="str">
        <f>IF($A29&lt;&gt;"",IF(VLOOKUP($A29,貼り付け用!$A$1:$BA$300,COLUMN(),FALSE)=0,"",VLOOKUP($A29,貼り付け用!$A$1:$BA$300,COLUMN(),FALSE)),"")</f>
        <v/>
      </c>
      <c r="C29" s="45" t="str">
        <f>IF($A29&lt;&gt;"",IF(VLOOKUP($A29,貼り付け用!$A$1:$BA$300,COLUMN(),FALSE)=0,"",VLOOKUP($A29,貼り付け用!$A$1:$BA$300,COLUMN(),FALSE)),"")</f>
        <v/>
      </c>
      <c r="D29" s="45" t="str">
        <f>IF($A29&lt;&gt;"",IF(VLOOKUP($A29,貼り付け用!$A$1:$BA$300,COLUMN(),FALSE)=0,"",VLOOKUP($A29,貼り付け用!$A$1:$BA$300,COLUMN(),FALSE)),"")</f>
        <v/>
      </c>
      <c r="E29" s="45" t="str">
        <f>IF($A29&lt;&gt;"",IF(VLOOKUP($A29,貼り付け用!$A$1:$BA$300,COLUMN(),FALSE)=0,"",VLOOKUP($A29,貼り付け用!$A$1:$BA$300,COLUMN(),FALSE)),"")</f>
        <v/>
      </c>
      <c r="F29" s="45" t="str">
        <f>IF($A29&lt;&gt;"",IF(VLOOKUP($A29,貼り付け用!$A$1:$BA$300,COLUMN(),FALSE)=0,"",VLOOKUP($A29,貼り付け用!$A$1:$BA$300,COLUMN(),FALSE)),"")</f>
        <v/>
      </c>
      <c r="G29" s="45" t="str">
        <f>IF($A29&lt;&gt;"",IF(VLOOKUP($A29,貼り付け用!$A$1:$BA$300,COLUMN(),FALSE)=0,"",VLOOKUP($A29,貼り付け用!$A$1:$BA$300,COLUMN(),FALSE)),"")</f>
        <v/>
      </c>
      <c r="H29" s="45" t="str">
        <f>IF($A29&lt;&gt;"",IF(VLOOKUP($A29,貼り付け用!$A$1:$BA$300,COLUMN(),FALSE)=0,"",VLOOKUP($A29,貼り付け用!$A$1:$BA$300,COLUMN(),FALSE)),"")</f>
        <v/>
      </c>
      <c r="I29" s="45" t="str">
        <f>IF($A29&lt;&gt;"",IF(VLOOKUP($A29,貼り付け用!$A$1:$BA$300,COLUMN(),FALSE)=0,"",VLOOKUP($A29,貼り付け用!$A$1:$BA$300,COLUMN(),FALSE)),"")</f>
        <v/>
      </c>
      <c r="J29" s="45" t="str">
        <f>IF($A29&lt;&gt;"",IF(VLOOKUP($A29,貼り付け用!$A$1:$BA$300,COLUMN(),FALSE)=0,"",VLOOKUP($A29,貼り付け用!$A$1:$BA$300,COLUMN(),FALSE)),"")</f>
        <v/>
      </c>
      <c r="K29" s="45" t="str">
        <f>IF($A29&lt;&gt;"",IF(VLOOKUP($A29,貼り付け用!$A$1:$BA$300,COLUMN(),FALSE)=0,"",VLOOKUP($A29,貼り付け用!$A$1:$BA$300,COLUMN(),FALSE)),"")</f>
        <v/>
      </c>
      <c r="L29" s="45" t="str">
        <f>IF($A29&lt;&gt;"",
IF(COLUMN(貼り付け用!L29)&gt;MATCH("おやつ",貼り付け用!$3:$3,0),"",
IF(VLOOKUP($A29,貼り付け用!$A$1:$BA$300,COLUMN(),FALSE)=0,"",VLOOKUP($A29,貼り付け用!$A$1:$BA$300,COLUMN(),FALSE))),"")</f>
        <v/>
      </c>
      <c r="M29" s="45" t="str">
        <f>IF($A29&lt;&gt;"",
IF(COLUMN(貼り付け用!M29)&gt;MATCH("おやつ",貼り付け用!$3:$3,0),"",
IF(VLOOKUP($A29,貼り付け用!$A$1:$BA$300,COLUMN(),FALSE)=0,"",VLOOKUP($A29,貼り付け用!$A$1:$BA$300,COLUMN(),FALSE))),"")</f>
        <v/>
      </c>
      <c r="N29" s="45" t="str">
        <f>IF($A29&lt;&gt;"",
IF(COLUMN(貼り付け用!N29)&gt;MATCH("おやつ",貼り付け用!$3:$3,0),"",
IF(VLOOKUP($A29,貼り付け用!$A$1:$BA$300,COLUMN(),FALSE)=0,"",VLOOKUP($A29,貼り付け用!$A$1:$BA$300,COLUMN(),FALSE))),"")</f>
        <v/>
      </c>
      <c r="O29" s="45" t="str">
        <f>IF($A29&lt;&gt;"",
IF(COLUMN(貼り付け用!O29)&gt;MATCH("おやつ",貼り付け用!$3:$3,0),"",
IF(VLOOKUP($A29,貼り付け用!$A$1:$BA$300,COLUMN(),FALSE)=0,"",VLOOKUP($A29,貼り付け用!$A$1:$BA$300,COLUMN(),FALSE))),"")</f>
        <v/>
      </c>
      <c r="P29" s="45" t="str">
        <f>IF($A29&lt;&gt;"",
IF(COLUMN(貼り付け用!P29)&gt;MATCH("おやつ",貼り付け用!$3:$3,0),"",
IF(VLOOKUP($A29,貼り付け用!$A$1:$BA$300,COLUMN(),FALSE)=0,"",VLOOKUP($A29,貼り付け用!$A$1:$BA$300,COLUMN(),FALSE))),"")</f>
        <v/>
      </c>
      <c r="Q29" s="45" t="str">
        <f>IF($A29&lt;&gt;"",
IF(COLUMN(貼り付け用!Q29)&gt;MATCH("おやつ",貼り付け用!$3:$3,0),"",
IF(VLOOKUP($A29,貼り付け用!$A$1:$BA$300,COLUMN(),FALSE)=0,"",VLOOKUP($A29,貼り付け用!$A$1:$BA$300,COLUMN(),FALSE))),"")</f>
        <v/>
      </c>
      <c r="R29" s="45" t="str">
        <f>IF($A29&lt;&gt;"",
IF(COLUMN(貼り付け用!R29)&gt;MATCH("おやつ",貼り付け用!$3:$3,0),"",
IF(VLOOKUP($A29,貼り付け用!$A$1:$BA$300,COLUMN(),FALSE)=0,"",VLOOKUP($A29,貼り付け用!$A$1:$BA$300,COLUMN(),FALSE))),"")</f>
        <v/>
      </c>
      <c r="S29" s="45" t="str">
        <f>IF($A29&lt;&gt;"",
IF(COLUMN(貼り付け用!S29)&gt;MATCH("おやつ",貼り付け用!$3:$3,0),"",
IF(VLOOKUP($A29,貼り付け用!$A$1:$BA$300,COLUMN(),FALSE)=0,"",VLOOKUP($A29,貼り付け用!$A$1:$BA$300,COLUMN(),FALSE))),"")</f>
        <v/>
      </c>
      <c r="T29" s="45" t="str">
        <f>IF(COLUMN(貼り付け用!T29)&gt;MATCH("おやつ",貼り付け用!$3:$3,0),"",
IF(VLOOKUP($A29,貼り付け用!$A$1:$BA$300,COLUMN(),FALSE)=0,"",VLOOKUP($A29,貼り付け用!$A$1:$BA$300,COLUMN(),FALSE)))</f>
        <v/>
      </c>
      <c r="U29" s="24"/>
      <c r="V29" s="21" t="str">
        <f>IF(A29&lt;&gt;"",
IF(VLOOKUP($A29,貼り付け用!$A$1:$BA$300,MATCH("おやつ",貼り付け用!$3:$3,0)+1,FALSE)=0,"",VLOOKUP($A29,貼り付け用!$A$1:$BA$300,MATCH("おやつ",貼り付け用!$3:$3,0)+1,FALSE)),"")</f>
        <v/>
      </c>
      <c r="W29" s="50" t="str">
        <f>IF(A29&lt;&gt;"",
IF(VLOOKUP($A29,貼り付け用!$A$1:$BA$300,MATCH("おやつ",貼り付け用!$3:$3,0)+2,FALSE)=0,"",VLOOKUP($A29,貼り付け用!$A$1:$BA$300,MATCH("おやつ",貼り付け用!$3:$3,0)+2,FALSE)),"")</f>
        <v/>
      </c>
    </row>
    <row r="30" spans="1:23" x14ac:dyDescent="0.45">
      <c r="A30" s="10" t="str">
        <f>IF(貼り付け用!$A$6&lt;&gt;"",
IF(ROW(A29)+1&gt;=MATCH("*【合計】*", 貼り付け用!$A:$A, 0),
"",
IF(貼り付け用!A30&lt;&gt;"",貼り付け用!A30,"")),
IF(ROW(A30)+1&gt;=MATCH("*【合計】*", 貼り付け用!$A:$A, 0),
"",
IF(貼り付け用!A31&lt;&gt;"",貼り付け用!A31,"")))</f>
        <v>507</v>
      </c>
      <c r="B30" s="50" t="str">
        <f>IF($A30&lt;&gt;"",IF(VLOOKUP($A30,貼り付け用!$A$1:$BA$300,COLUMN(),FALSE)=0,"",VLOOKUP($A30,貼り付け用!$A$1:$BA$300,COLUMN(),FALSE)),"")</f>
        <v/>
      </c>
      <c r="C30" s="50" t="str">
        <f>IF($A30&lt;&gt;"",IF(VLOOKUP($A30,貼り付け用!$A$1:$BA$300,COLUMN(),FALSE)=0,"",VLOOKUP($A30,貼り付け用!$A$1:$BA$300,COLUMN(),FALSE)),"")</f>
        <v/>
      </c>
      <c r="D30" s="50" t="str">
        <f>IF($A30&lt;&gt;"",IF(VLOOKUP($A30,貼り付け用!$A$1:$BA$300,COLUMN(),FALSE)=0,"",VLOOKUP($A30,貼り付け用!$A$1:$BA$300,COLUMN(),FALSE)),"")</f>
        <v/>
      </c>
      <c r="E30" s="50" t="str">
        <f>IF($A30&lt;&gt;"",IF(VLOOKUP($A30,貼り付け用!$A$1:$BA$300,COLUMN(),FALSE)=0,"",VLOOKUP($A30,貼り付け用!$A$1:$BA$300,COLUMN(),FALSE)),"")</f>
        <v/>
      </c>
      <c r="F30" s="50" t="str">
        <f>IF($A30&lt;&gt;"",IF(VLOOKUP($A30,貼り付け用!$A$1:$BA$300,COLUMN(),FALSE)=0,"",VLOOKUP($A30,貼り付け用!$A$1:$BA$300,COLUMN(),FALSE)),"")</f>
        <v/>
      </c>
      <c r="G30" s="50" t="str">
        <f>IF($A30&lt;&gt;"",IF(VLOOKUP($A30,貼り付け用!$A$1:$BA$300,COLUMN(),FALSE)=0,"",VLOOKUP($A30,貼り付け用!$A$1:$BA$300,COLUMN(),FALSE)),"")</f>
        <v/>
      </c>
      <c r="H30" s="50" t="str">
        <f>IF($A30&lt;&gt;"",IF(VLOOKUP($A30,貼り付け用!$A$1:$BA$300,COLUMN(),FALSE)=0,"",VLOOKUP($A30,貼り付け用!$A$1:$BA$300,COLUMN(),FALSE)),"")</f>
        <v/>
      </c>
      <c r="I30" s="50" t="str">
        <f>IF($A30&lt;&gt;"",IF(VLOOKUP($A30,貼り付け用!$A$1:$BA$300,COLUMN(),FALSE)=0,"",VLOOKUP($A30,貼り付け用!$A$1:$BA$300,COLUMN(),FALSE)),"")</f>
        <v/>
      </c>
      <c r="J30" s="50" t="str">
        <f>IF($A30&lt;&gt;"",IF(VLOOKUP($A30,貼り付け用!$A$1:$BA$300,COLUMN(),FALSE)=0,"",VLOOKUP($A30,貼り付け用!$A$1:$BA$300,COLUMN(),FALSE)),"")</f>
        <v/>
      </c>
      <c r="K30" s="50" t="str">
        <f>IF($A30&lt;&gt;"",IF(VLOOKUP($A30,貼り付け用!$A$1:$BA$300,COLUMN(),FALSE)=0,"",VLOOKUP($A30,貼り付け用!$A$1:$BA$300,COLUMN(),FALSE)),"")</f>
        <v/>
      </c>
      <c r="L30" s="50" t="str">
        <f>IF($A30&lt;&gt;"",
IF(COLUMN(貼り付け用!L30)&gt;MATCH("おやつ",貼り付け用!$3:$3,0),"",
IF(VLOOKUP($A30,貼り付け用!$A$1:$BA$300,COLUMN(),FALSE)=0,"",VLOOKUP($A30,貼り付け用!$A$1:$BA$300,COLUMN(),FALSE))),"")</f>
        <v/>
      </c>
      <c r="M30" s="50" t="str">
        <f>IF($A30&lt;&gt;"",
IF(COLUMN(貼り付け用!M30)&gt;MATCH("おやつ",貼り付け用!$3:$3,0),"",
IF(VLOOKUP($A30,貼り付け用!$A$1:$BA$300,COLUMN(),FALSE)=0,"",VLOOKUP($A30,貼り付け用!$A$1:$BA$300,COLUMN(),FALSE))),"")</f>
        <v/>
      </c>
      <c r="N30" s="50" t="str">
        <f>IF($A30&lt;&gt;"",
IF(COLUMN(貼り付け用!N30)&gt;MATCH("おやつ",貼り付け用!$3:$3,0),"",
IF(VLOOKUP($A30,貼り付け用!$A$1:$BA$300,COLUMN(),FALSE)=0,"",VLOOKUP($A30,貼り付け用!$A$1:$BA$300,COLUMN(),FALSE))),"")</f>
        <v/>
      </c>
      <c r="O30" s="50" t="str">
        <f>IF($A30&lt;&gt;"",
IF(COLUMN(貼り付け用!O30)&gt;MATCH("おやつ",貼り付け用!$3:$3,0),"",
IF(VLOOKUP($A30,貼り付け用!$A$1:$BA$300,COLUMN(),FALSE)=0,"",VLOOKUP($A30,貼り付け用!$A$1:$BA$300,COLUMN(),FALSE))),"")</f>
        <v/>
      </c>
      <c r="P30" s="50" t="str">
        <f>IF($A30&lt;&gt;"",
IF(COLUMN(貼り付け用!P30)&gt;MATCH("おやつ",貼り付け用!$3:$3,0),"",
IF(VLOOKUP($A30,貼り付け用!$A$1:$BA$300,COLUMN(),FALSE)=0,"",VLOOKUP($A30,貼り付け用!$A$1:$BA$300,COLUMN(),FALSE))),"")</f>
        <v/>
      </c>
      <c r="Q30" s="50" t="str">
        <f>IF($A30&lt;&gt;"",
IF(COLUMN(貼り付け用!Q30)&gt;MATCH("おやつ",貼り付け用!$3:$3,0),"",
IF(VLOOKUP($A30,貼り付け用!$A$1:$BA$300,COLUMN(),FALSE)=0,"",VLOOKUP($A30,貼り付け用!$A$1:$BA$300,COLUMN(),FALSE))),"")</f>
        <v/>
      </c>
      <c r="R30" s="50" t="str">
        <f>IF($A30&lt;&gt;"",
IF(COLUMN(貼り付け用!R30)&gt;MATCH("おやつ",貼り付け用!$3:$3,0),"",
IF(VLOOKUP($A30,貼り付け用!$A$1:$BA$300,COLUMN(),FALSE)=0,"",VLOOKUP($A30,貼り付け用!$A$1:$BA$300,COLUMN(),FALSE))),"")</f>
        <v/>
      </c>
      <c r="S30" s="50" t="str">
        <f>IF($A30&lt;&gt;"",
IF(COLUMN(貼り付け用!S30)&gt;MATCH("おやつ",貼り付け用!$3:$3,0),"",
IF(VLOOKUP($A30,貼り付け用!$A$1:$BA$300,COLUMN(),FALSE)=0,"",VLOOKUP($A30,貼り付け用!$A$1:$BA$300,COLUMN(),FALSE))),"")</f>
        <v/>
      </c>
      <c r="T30" s="50" t="str">
        <f>IF(COLUMN(貼り付け用!T30)&gt;MATCH("おやつ",貼り付け用!$3:$3,0),"",
IF(VLOOKUP($A30,貼り付け用!$A$1:$BA$300,COLUMN(),FALSE)=0,"",VLOOKUP($A30,貼り付け用!$A$1:$BA$300,COLUMN(),FALSE)))</f>
        <v/>
      </c>
      <c r="U30" s="23"/>
      <c r="V30" s="21" t="str">
        <f>IF(A30&lt;&gt;"",
IF(VLOOKUP($A30,貼り付け用!$A$1:$BA$300,MATCH("おやつ",貼り付け用!$3:$3,0)+1,FALSE)=0,"",VLOOKUP($A30,貼り付け用!$A$1:$BA$300,MATCH("おやつ",貼り付け用!$3:$3,0)+1,FALSE)),"")</f>
        <v/>
      </c>
      <c r="W30" s="50" t="str">
        <f>IF(A30&lt;&gt;"",
IF(VLOOKUP($A30,貼り付け用!$A$1:$BA$300,MATCH("おやつ",貼り付け用!$3:$3,0)+2,FALSE)=0,"",VLOOKUP($A30,貼り付け用!$A$1:$BA$300,MATCH("おやつ",貼り付け用!$3:$3,0)+2,FALSE)),"")</f>
        <v/>
      </c>
    </row>
    <row r="31" spans="1:23" x14ac:dyDescent="0.45">
      <c r="A31" s="22" t="str">
        <f>IF(貼り付け用!$A$6&lt;&gt;"",
IF(ROW(A30)+1&gt;=MATCH("*【合計】*", 貼り付け用!$A:$A, 0),"",
IF(貼り付け用!A31&lt;&gt;"",貼り付け用!A31,"")),
IF(ROW(A31)+1&gt;=MATCH("*【合計】*", 貼り付け用!$A:$A, 0),"",
IF(貼り付け用!A32&lt;&gt;"",貼り付け用!A32,"")))</f>
        <v>博多（補助教員） web</v>
      </c>
      <c r="B31" s="45" t="str">
        <f>IF($A31&lt;&gt;"",IF(VLOOKUP($A31,貼り付け用!$A$1:$BA$300,COLUMN(),FALSE)=0,"",VLOOKUP($A31,貼り付け用!$A$1:$BA$300,COLUMN(),FALSE)),"")</f>
        <v/>
      </c>
      <c r="C31" s="45" t="str">
        <f>IF($A31&lt;&gt;"",IF(VLOOKUP($A31,貼り付け用!$A$1:$BA$300,COLUMN(),FALSE)=0,"",VLOOKUP($A31,貼り付け用!$A$1:$BA$300,COLUMN(),FALSE)),"")</f>
        <v/>
      </c>
      <c r="D31" s="45" t="str">
        <f>IF($A31&lt;&gt;"",IF(VLOOKUP($A31,貼り付け用!$A$1:$BA$300,COLUMN(),FALSE)=0,"",VLOOKUP($A31,貼り付け用!$A$1:$BA$300,COLUMN(),FALSE)),"")</f>
        <v>13</v>
      </c>
      <c r="E31" s="45" t="str">
        <f>IF($A31&lt;&gt;"",IF(VLOOKUP($A31,貼り付け用!$A$1:$BA$300,COLUMN(),FALSE)=0,"",VLOOKUP($A31,貼り付け用!$A$1:$BA$300,COLUMN(),FALSE)),"")</f>
        <v/>
      </c>
      <c r="F31" s="45" t="str">
        <f>IF($A31&lt;&gt;"",IF(VLOOKUP($A31,貼り付け用!$A$1:$BA$300,COLUMN(),FALSE)=0,"",VLOOKUP($A31,貼り付け用!$A$1:$BA$300,COLUMN(),FALSE)),"")</f>
        <v/>
      </c>
      <c r="G31" s="45" t="str">
        <f>IF($A31&lt;&gt;"",IF(VLOOKUP($A31,貼り付け用!$A$1:$BA$300,COLUMN(),FALSE)=0,"",VLOOKUP($A31,貼り付け用!$A$1:$BA$300,COLUMN(),FALSE)),"")</f>
        <v/>
      </c>
      <c r="H31" s="45" t="str">
        <f>IF($A31&lt;&gt;"",IF(VLOOKUP($A31,貼り付け用!$A$1:$BA$300,COLUMN(),FALSE)=0,"",VLOOKUP($A31,貼り付け用!$A$1:$BA$300,COLUMN(),FALSE)),"")</f>
        <v/>
      </c>
      <c r="I31" s="45" t="str">
        <f>IF($A31&lt;&gt;"",IF(VLOOKUP($A31,貼り付け用!$A$1:$BA$300,COLUMN(),FALSE)=0,"",VLOOKUP($A31,貼り付け用!$A$1:$BA$300,COLUMN(),FALSE)),"")</f>
        <v/>
      </c>
      <c r="J31" s="45" t="str">
        <f>IF($A31&lt;&gt;"",IF(VLOOKUP($A31,貼り付け用!$A$1:$BA$300,COLUMN(),FALSE)=0,"",VLOOKUP($A31,貼り付け用!$A$1:$BA$300,COLUMN(),FALSE)),"")</f>
        <v/>
      </c>
      <c r="K31" s="45" t="str">
        <f>IF($A31&lt;&gt;"",IF(VLOOKUP($A31,貼り付け用!$A$1:$BA$300,COLUMN(),FALSE)=0,"",VLOOKUP($A31,貼り付け用!$A$1:$BA$300,COLUMN(),FALSE)),"")</f>
        <v/>
      </c>
      <c r="L31" s="45" t="str">
        <f>IF($A31&lt;&gt;"",
IF(COLUMN(貼り付け用!L31)&gt;MATCH("おやつ",貼り付け用!$3:$3,0),"",
IF(VLOOKUP($A31,貼り付け用!$A$1:$BA$300,COLUMN(),FALSE)=0,"",VLOOKUP($A31,貼り付け用!$A$1:$BA$300,COLUMN(),FALSE))),"")</f>
        <v/>
      </c>
      <c r="M31" s="45" t="str">
        <f>IF($A31&lt;&gt;"",
IF(COLUMN(貼り付け用!M31)&gt;MATCH("おやつ",貼り付け用!$3:$3,0),"",
IF(VLOOKUP($A31,貼り付け用!$A$1:$BA$300,COLUMN(),FALSE)=0,"",VLOOKUP($A31,貼り付け用!$A$1:$BA$300,COLUMN(),FALSE))),"")</f>
        <v/>
      </c>
      <c r="N31" s="45" t="str">
        <f>IF($A31&lt;&gt;"",
IF(COLUMN(貼り付け用!N31)&gt;MATCH("おやつ",貼り付け用!$3:$3,0),"",
IF(VLOOKUP($A31,貼り付け用!$A$1:$BA$300,COLUMN(),FALSE)=0,"",VLOOKUP($A31,貼り付け用!$A$1:$BA$300,COLUMN(),FALSE))),"")</f>
        <v/>
      </c>
      <c r="O31" s="45" t="str">
        <f>IF($A31&lt;&gt;"",
IF(COLUMN(貼り付け用!O31)&gt;MATCH("おやつ",貼り付け用!$3:$3,0),"",
IF(VLOOKUP($A31,貼り付け用!$A$1:$BA$300,COLUMN(),FALSE)=0,"",VLOOKUP($A31,貼り付け用!$A$1:$BA$300,COLUMN(),FALSE))),"")</f>
        <v/>
      </c>
      <c r="P31" s="45" t="str">
        <f>IF($A31&lt;&gt;"",
IF(COLUMN(貼り付け用!P31)&gt;MATCH("おやつ",貼り付け用!$3:$3,0),"",
IF(VLOOKUP($A31,貼り付け用!$A$1:$BA$300,COLUMN(),FALSE)=0,"",VLOOKUP($A31,貼り付け用!$A$1:$BA$300,COLUMN(),FALSE))),"")</f>
        <v/>
      </c>
      <c r="Q31" s="45" t="str">
        <f>IF($A31&lt;&gt;"",
IF(COLUMN(貼り付け用!Q31)&gt;MATCH("おやつ",貼り付け用!$3:$3,0),"",
IF(VLOOKUP($A31,貼り付け用!$A$1:$BA$300,COLUMN(),FALSE)=0,"",VLOOKUP($A31,貼り付け用!$A$1:$BA$300,COLUMN(),FALSE))),"")</f>
        <v/>
      </c>
      <c r="R31" s="45" t="str">
        <f>IF($A31&lt;&gt;"",
IF(COLUMN(貼り付け用!R31)&gt;MATCH("おやつ",貼り付け用!$3:$3,0),"",
IF(VLOOKUP($A31,貼り付け用!$A$1:$BA$300,COLUMN(),FALSE)=0,"",VLOOKUP($A31,貼り付け用!$A$1:$BA$300,COLUMN(),FALSE))),"")</f>
        <v/>
      </c>
      <c r="S31" s="45" t="str">
        <f>IF($A31&lt;&gt;"",
IF(COLUMN(貼り付け用!S31)&gt;MATCH("おやつ",貼り付け用!$3:$3,0),"",
IF(VLOOKUP($A31,貼り付け用!$A$1:$BA$300,COLUMN(),FALSE)=0,"",VLOOKUP($A31,貼り付け用!$A$1:$BA$300,COLUMN(),FALSE))),"")</f>
        <v/>
      </c>
      <c r="T31" s="45" t="str">
        <f>IF(COLUMN(貼り付け用!T31)&gt;MATCH("おやつ",貼り付け用!$3:$3,0),"",
IF(VLOOKUP($A31,貼り付け用!$A$1:$BA$300,COLUMN(),FALSE)=0,"",VLOOKUP($A31,貼り付け用!$A$1:$BA$300,COLUMN(),FALSE)))</f>
        <v/>
      </c>
      <c r="U31" s="24"/>
      <c r="V31" s="21" t="str">
        <f>IF(A31&lt;&gt;"",
IF(VLOOKUP($A31,貼り付け用!$A$1:$BA$300,MATCH("おやつ",貼り付け用!$3:$3,0)+1,FALSE)=0,"",VLOOKUP($A31,貼り付け用!$A$1:$BA$300,MATCH("おやつ",貼り付け用!$3:$3,0)+1,FALSE)),"")</f>
        <v/>
      </c>
      <c r="W31" s="50" t="str">
        <f>IF(A31&lt;&gt;"",
IF(VLOOKUP($A31,貼り付け用!$A$1:$BA$300,MATCH("おやつ",貼り付け用!$3:$3,0)+2,FALSE)=0,"",VLOOKUP($A31,貼り付け用!$A$1:$BA$300,MATCH("おやつ",貼り付け用!$3:$3,0)+2,FALSE)),"")</f>
        <v/>
      </c>
    </row>
    <row r="32" spans="1:23" x14ac:dyDescent="0.45">
      <c r="A32" s="10" t="str">
        <f>IF(貼り付け用!$A$6&lt;&gt;"",
IF(ROW(A31)+1&gt;=MATCH("*【合計】*", 貼り付け用!$A:$A, 0),
"",
IF(貼り付け用!A32&lt;&gt;"",貼り付け用!A32,"")),
IF(ROW(A32)+1&gt;=MATCH("*【合計】*", 貼り付け用!$A:$A, 0),
"",
IF(貼り付け用!A33&lt;&gt;"",貼り付け用!A33,"")))</f>
        <v>13000</v>
      </c>
      <c r="B32" s="50" t="str">
        <f>IF($A32&lt;&gt;"",IF(VLOOKUP($A32,貼り付け用!$A$1:$BA$300,COLUMN(),FALSE)=0,"",VLOOKUP($A32,貼り付け用!$A$1:$BA$300,COLUMN(),FALSE)),"")</f>
        <v/>
      </c>
      <c r="C32" s="50" t="str">
        <f>IF($A32&lt;&gt;"",IF(VLOOKUP($A32,貼り付け用!$A$1:$BA$300,COLUMN(),FALSE)=0,"",VLOOKUP($A32,貼り付け用!$A$1:$BA$300,COLUMN(),FALSE)),"")</f>
        <v/>
      </c>
      <c r="D32" s="50" t="str">
        <f>IF($A32&lt;&gt;"",IF(VLOOKUP($A32,貼り付け用!$A$1:$BA$300,COLUMN(),FALSE)=0,"",VLOOKUP($A32,貼り付け用!$A$1:$BA$300,COLUMN(),FALSE)),"")</f>
        <v/>
      </c>
      <c r="E32" s="50" t="str">
        <f>IF($A32&lt;&gt;"",IF(VLOOKUP($A32,貼り付け用!$A$1:$BA$300,COLUMN(),FALSE)=0,"",VLOOKUP($A32,貼り付け用!$A$1:$BA$300,COLUMN(),FALSE)),"")</f>
        <v/>
      </c>
      <c r="F32" s="50" t="str">
        <f>IF($A32&lt;&gt;"",IF(VLOOKUP($A32,貼り付け用!$A$1:$BA$300,COLUMN(),FALSE)=0,"",VLOOKUP($A32,貼り付け用!$A$1:$BA$300,COLUMN(),FALSE)),"")</f>
        <v/>
      </c>
      <c r="G32" s="50" t="str">
        <f>IF($A32&lt;&gt;"",IF(VLOOKUP($A32,貼り付け用!$A$1:$BA$300,COLUMN(),FALSE)=0,"",VLOOKUP($A32,貼り付け用!$A$1:$BA$300,COLUMN(),FALSE)),"")</f>
        <v/>
      </c>
      <c r="H32" s="50" t="str">
        <f>IF($A32&lt;&gt;"",IF(VLOOKUP($A32,貼り付け用!$A$1:$BA$300,COLUMN(),FALSE)=0,"",VLOOKUP($A32,貼り付け用!$A$1:$BA$300,COLUMN(),FALSE)),"")</f>
        <v/>
      </c>
      <c r="I32" s="50" t="str">
        <f>IF($A32&lt;&gt;"",IF(VLOOKUP($A32,貼り付け用!$A$1:$BA$300,COLUMN(),FALSE)=0,"",VLOOKUP($A32,貼り付け用!$A$1:$BA$300,COLUMN(),FALSE)),"")</f>
        <v/>
      </c>
      <c r="J32" s="50" t="str">
        <f>IF($A32&lt;&gt;"",IF(VLOOKUP($A32,貼り付け用!$A$1:$BA$300,COLUMN(),FALSE)=0,"",VLOOKUP($A32,貼り付け用!$A$1:$BA$300,COLUMN(),FALSE)),"")</f>
        <v/>
      </c>
      <c r="K32" s="50" t="str">
        <f>IF($A32&lt;&gt;"",IF(VLOOKUP($A32,貼り付け用!$A$1:$BA$300,COLUMN(),FALSE)=0,"",VLOOKUP($A32,貼り付け用!$A$1:$BA$300,COLUMN(),FALSE)),"")</f>
        <v/>
      </c>
      <c r="L32" s="50" t="str">
        <f>IF($A32&lt;&gt;"",
IF(COLUMN(貼り付け用!L32)&gt;MATCH("おやつ",貼り付け用!$3:$3,0),"",
IF(VLOOKUP($A32,貼り付け用!$A$1:$BA$300,COLUMN(),FALSE)=0,"",VLOOKUP($A32,貼り付け用!$A$1:$BA$300,COLUMN(),FALSE))),"")</f>
        <v>61</v>
      </c>
      <c r="M32" s="50" t="str">
        <f>IF($A32&lt;&gt;"",
IF(COLUMN(貼り付け用!M32)&gt;MATCH("おやつ",貼り付け用!$3:$3,0),"",
IF(VLOOKUP($A32,貼り付け用!$A$1:$BA$300,COLUMN(),FALSE)=0,"",VLOOKUP($A32,貼り付け用!$A$1:$BA$300,COLUMN(),FALSE))),"")</f>
        <v/>
      </c>
      <c r="N32" s="50" t="str">
        <f>IF($A32&lt;&gt;"",
IF(COLUMN(貼り付け用!N32)&gt;MATCH("おやつ",貼り付け用!$3:$3,0),"",
IF(VLOOKUP($A32,貼り付け用!$A$1:$BA$300,COLUMN(),FALSE)=0,"",VLOOKUP($A32,貼り付け用!$A$1:$BA$300,COLUMN(),FALSE))),"")</f>
        <v/>
      </c>
      <c r="O32" s="50" t="str">
        <f>IF($A32&lt;&gt;"",
IF(COLUMN(貼り付け用!O32)&gt;MATCH("おやつ",貼り付け用!$3:$3,0),"",
IF(VLOOKUP($A32,貼り付け用!$A$1:$BA$300,COLUMN(),FALSE)=0,"",VLOOKUP($A32,貼り付け用!$A$1:$BA$300,COLUMN(),FALSE))),"")</f>
        <v/>
      </c>
      <c r="P32" s="50" t="str">
        <f>IF($A32&lt;&gt;"",
IF(COLUMN(貼り付け用!P32)&gt;MATCH("おやつ",貼り付け用!$3:$3,0),"",
IF(VLOOKUP($A32,貼り付け用!$A$1:$BA$300,COLUMN(),FALSE)=0,"",VLOOKUP($A32,貼り付け用!$A$1:$BA$300,COLUMN(),FALSE))),"")</f>
        <v/>
      </c>
      <c r="Q32" s="50" t="str">
        <f>IF($A32&lt;&gt;"",
IF(COLUMN(貼り付け用!Q32)&gt;MATCH("おやつ",貼り付け用!$3:$3,0),"",
IF(VLOOKUP($A32,貼り付け用!$A$1:$BA$300,COLUMN(),FALSE)=0,"",VLOOKUP($A32,貼り付け用!$A$1:$BA$300,COLUMN(),FALSE))),"")</f>
        <v/>
      </c>
      <c r="R32" s="50" t="str">
        <f>IF($A32&lt;&gt;"",
IF(COLUMN(貼り付け用!R32)&gt;MATCH("おやつ",貼り付け用!$3:$3,0),"",
IF(VLOOKUP($A32,貼り付け用!$A$1:$BA$300,COLUMN(),FALSE)=0,"",VLOOKUP($A32,貼り付け用!$A$1:$BA$300,COLUMN(),FALSE))),"")</f>
        <v/>
      </c>
      <c r="S32" s="50" t="str">
        <f>IF($A32&lt;&gt;"",
IF(COLUMN(貼り付け用!S32)&gt;MATCH("おやつ",貼り付け用!$3:$3,0),"",
IF(VLOOKUP($A32,貼り付け用!$A$1:$BA$300,COLUMN(),FALSE)=0,"",VLOOKUP($A32,貼り付け用!$A$1:$BA$300,COLUMN(),FALSE))),"")</f>
        <v/>
      </c>
      <c r="T32" s="50" t="str">
        <f>IF(COLUMN(貼り付け用!T32)&gt;MATCH("おやつ",貼り付け用!$3:$3,0),"",
IF(VLOOKUP($A32,貼り付け用!$A$1:$BA$300,COLUMN(),FALSE)=0,"",VLOOKUP($A32,貼り付け用!$A$1:$BA$300,COLUMN(),FALSE)))</f>
        <v/>
      </c>
      <c r="U32" s="23"/>
      <c r="V32" s="21" t="str">
        <f>IF(A32&lt;&gt;"",
IF(VLOOKUP($A32,貼り付け用!$A$1:$BA$300,MATCH("おやつ",貼り付け用!$3:$3,0)+1,FALSE)=0,"",VLOOKUP($A32,貼り付け用!$A$1:$BA$300,MATCH("おやつ",貼り付け用!$3:$3,0)+1,FALSE)),"")</f>
        <v>牛乳1Ｌ×7本 カップ</v>
      </c>
      <c r="W32" s="50" t="str">
        <f>IF(A32&lt;&gt;"",
IF(VLOOKUP($A32,貼り付け用!$A$1:$BA$300,MATCH("おやつ",貼り付け用!$3:$3,0)+2,FALSE)=0,"",VLOOKUP($A32,貼り付け用!$A$1:$BA$300,MATCH("おやつ",貼り付け用!$3:$3,0)+2,FALSE)),"")</f>
        <v/>
      </c>
    </row>
    <row r="33" spans="1:23" x14ac:dyDescent="0.45">
      <c r="A33" s="22" t="str">
        <f>IF(貼り付け用!$A$6&lt;&gt;"",
IF(ROW(A32)+1&gt;=MATCH("*【合計】*", 貼り付け用!$A:$A, 0),"",
IF(貼り付け用!A33&lt;&gt;"",貼り付け用!A33,"")),
IF(ROW(A33)+1&gt;=MATCH("*【合計】*", 貼り付け用!$A:$A, 0),"",
IF(貼り付け用!A34&lt;&gt;"",貼り付け用!A34,"")))</f>
        <v>奈良屋幼稚園</v>
      </c>
      <c r="B33" s="45" t="str">
        <f>IF($A33&lt;&gt;"",IF(VLOOKUP($A33,貼り付け用!$A$1:$BA$300,COLUMN(),FALSE)=0,"",VLOOKUP($A33,貼り付け用!$A$1:$BA$300,COLUMN(),FALSE)),"")</f>
        <v/>
      </c>
      <c r="C33" s="45" t="str">
        <f>IF($A33&lt;&gt;"",IF(VLOOKUP($A33,貼り付け用!$A$1:$BA$300,COLUMN(),FALSE)=0,"",VLOOKUP($A33,貼り付け用!$A$1:$BA$300,COLUMN(),FALSE)),"")</f>
        <v/>
      </c>
      <c r="D33" s="45" t="str">
        <f>IF($A33&lt;&gt;"",IF(VLOOKUP($A33,貼り付け用!$A$1:$BA$300,COLUMN(),FALSE)=0,"",VLOOKUP($A33,貼り付け用!$A$1:$BA$300,COLUMN(),FALSE)),"")</f>
        <v/>
      </c>
      <c r="E33" s="45" t="str">
        <f>IF($A33&lt;&gt;"",IF(VLOOKUP($A33,貼り付け用!$A$1:$BA$300,COLUMN(),FALSE)=0,"",VLOOKUP($A33,貼り付け用!$A$1:$BA$300,COLUMN(),FALSE)),"")</f>
        <v/>
      </c>
      <c r="F33" s="45" t="str">
        <f>IF($A33&lt;&gt;"",IF(VLOOKUP($A33,貼り付け用!$A$1:$BA$300,COLUMN(),FALSE)=0,"",VLOOKUP($A33,貼り付け用!$A$1:$BA$300,COLUMN(),FALSE)),"")</f>
        <v/>
      </c>
      <c r="G33" s="45" t="str">
        <f>IF($A33&lt;&gt;"",IF(VLOOKUP($A33,貼り付け用!$A$1:$BA$300,COLUMN(),FALSE)=0,"",VLOOKUP($A33,貼り付け用!$A$1:$BA$300,COLUMN(),FALSE)),"")</f>
        <v/>
      </c>
      <c r="H33" s="45" t="str">
        <f>IF($A33&lt;&gt;"",IF(VLOOKUP($A33,貼り付け用!$A$1:$BA$300,COLUMN(),FALSE)=0,"",VLOOKUP($A33,貼り付け用!$A$1:$BA$300,COLUMN(),FALSE)),"")</f>
        <v/>
      </c>
      <c r="I33" s="45" t="str">
        <f>IF($A33&lt;&gt;"",IF(VLOOKUP($A33,貼り付け用!$A$1:$BA$300,COLUMN(),FALSE)=0,"",VLOOKUP($A33,貼り付け用!$A$1:$BA$300,COLUMN(),FALSE)),"")</f>
        <v/>
      </c>
      <c r="J33" s="45" t="str">
        <f>IF($A33&lt;&gt;"",IF(VLOOKUP($A33,貼り付け用!$A$1:$BA$300,COLUMN(),FALSE)=0,"",VLOOKUP($A33,貼り付け用!$A$1:$BA$300,COLUMN(),FALSE)),"")</f>
        <v/>
      </c>
      <c r="K33" s="45" t="str">
        <f>IF($A33&lt;&gt;"",IF(VLOOKUP($A33,貼り付け用!$A$1:$BA$300,COLUMN(),FALSE)=0,"",VLOOKUP($A33,貼り付け用!$A$1:$BA$300,COLUMN(),FALSE)),"")</f>
        <v/>
      </c>
      <c r="L33" s="45" t="str">
        <f>IF($A33&lt;&gt;"",
IF(COLUMN(貼り付け用!L33)&gt;MATCH("おやつ",貼り付け用!$3:$3,0),"",
IF(VLOOKUP($A33,貼り付け用!$A$1:$BA$300,COLUMN(),FALSE)=0,"",VLOOKUP($A33,貼り付け用!$A$1:$BA$300,COLUMN(),FALSE))),"")</f>
        <v/>
      </c>
      <c r="M33" s="45" t="str">
        <f>IF($A33&lt;&gt;"",
IF(COLUMN(貼り付け用!M33)&gt;MATCH("おやつ",貼り付け用!$3:$3,0),"",
IF(VLOOKUP($A33,貼り付け用!$A$1:$BA$300,COLUMN(),FALSE)=0,"",VLOOKUP($A33,貼り付け用!$A$1:$BA$300,COLUMN(),FALSE))),"")</f>
        <v/>
      </c>
      <c r="N33" s="45" t="str">
        <f>IF($A33&lt;&gt;"",
IF(COLUMN(貼り付け用!N33)&gt;MATCH("おやつ",貼り付け用!$3:$3,0),"",
IF(VLOOKUP($A33,貼り付け用!$A$1:$BA$300,COLUMN(),FALSE)=0,"",VLOOKUP($A33,貼り付け用!$A$1:$BA$300,COLUMN(),FALSE))),"")</f>
        <v/>
      </c>
      <c r="O33" s="45" t="str">
        <f>IF($A33&lt;&gt;"",
IF(COLUMN(貼り付け用!O33)&gt;MATCH("おやつ",貼り付け用!$3:$3,0),"",
IF(VLOOKUP($A33,貼り付け用!$A$1:$BA$300,COLUMN(),FALSE)=0,"",VLOOKUP($A33,貼り付け用!$A$1:$BA$300,COLUMN(),FALSE))),"")</f>
        <v/>
      </c>
      <c r="P33" s="45" t="str">
        <f>IF($A33&lt;&gt;"",
IF(COLUMN(貼り付け用!P33)&gt;MATCH("おやつ",貼り付け用!$3:$3,0),"",
IF(VLOOKUP($A33,貼り付け用!$A$1:$BA$300,COLUMN(),FALSE)=0,"",VLOOKUP($A33,貼り付け用!$A$1:$BA$300,COLUMN(),FALSE))),"")</f>
        <v/>
      </c>
      <c r="Q33" s="45" t="str">
        <f>IF($A33&lt;&gt;"",
IF(COLUMN(貼り付け用!Q33)&gt;MATCH("おやつ",貼り付け用!$3:$3,0),"",
IF(VLOOKUP($A33,貼り付け用!$A$1:$BA$300,COLUMN(),FALSE)=0,"",VLOOKUP($A33,貼り付け用!$A$1:$BA$300,COLUMN(),FALSE))),"")</f>
        <v/>
      </c>
      <c r="R33" s="45" t="str">
        <f>IF($A33&lt;&gt;"",
IF(COLUMN(貼り付け用!R33)&gt;MATCH("おやつ",貼り付け用!$3:$3,0),"",
IF(VLOOKUP($A33,貼り付け用!$A$1:$BA$300,COLUMN(),FALSE)=0,"",VLOOKUP($A33,貼り付け用!$A$1:$BA$300,COLUMN(),FALSE))),"")</f>
        <v/>
      </c>
      <c r="S33" s="45" t="str">
        <f>IF($A33&lt;&gt;"",
IF(COLUMN(貼り付け用!S33)&gt;MATCH("おやつ",貼り付け用!$3:$3,0),"",
IF(VLOOKUP($A33,貼り付け用!$A$1:$BA$300,COLUMN(),FALSE)=0,"",VLOOKUP($A33,貼り付け用!$A$1:$BA$300,COLUMN(),FALSE))),"")</f>
        <v/>
      </c>
      <c r="T33" s="45" t="str">
        <f>IF(COLUMN(貼り付け用!T33)&gt;MATCH("おやつ",貼り付け用!$3:$3,0),"",
IF(VLOOKUP($A33,貼り付け用!$A$1:$BA$300,COLUMN(),FALSE)=0,"",VLOOKUP($A33,貼り付け用!$A$1:$BA$300,COLUMN(),FALSE)))</f>
        <v/>
      </c>
      <c r="U33" s="24"/>
      <c r="V33" s="21" t="str">
        <f>IF(A33&lt;&gt;"",
IF(VLOOKUP($A33,貼り付け用!$A$1:$BA$300,MATCH("おやつ",貼り付け用!$3:$3,0)+1,FALSE)=0,"",VLOOKUP($A33,貼り付け用!$A$1:$BA$300,MATCH("おやつ",貼り付け用!$3:$3,0)+1,FALSE)),"")</f>
        <v/>
      </c>
      <c r="W33" s="50" t="str">
        <f>IF(A33&lt;&gt;"",
IF(VLOOKUP($A33,貼り付け用!$A$1:$BA$300,MATCH("おやつ",貼り付け用!$3:$3,0)+2,FALSE)=0,"",VLOOKUP($A33,貼り付け用!$A$1:$BA$300,MATCH("おやつ",貼り付け用!$3:$3,0)+2,FALSE)),"")</f>
        <v/>
      </c>
    </row>
    <row r="34" spans="1:23" x14ac:dyDescent="0.45">
      <c r="A34" s="10" t="str">
        <f>IF(貼り付け用!$A$6&lt;&gt;"",
IF(ROW(A33)+1&gt;=MATCH("*【合計】*", 貼り付け用!$A:$A, 0),
"",
IF(貼り付け用!A34&lt;&gt;"",貼り付け用!A34,"")),
IF(ROW(A34)+1&gt;=MATCH("*【合計】*", 貼り付け用!$A:$A, 0),
"",
IF(貼り付け用!A35&lt;&gt;"",貼り付け用!A35,"")))</f>
        <v>13002</v>
      </c>
      <c r="B34" s="50" t="str">
        <f>IF($A34&lt;&gt;"",IF(VLOOKUP($A34,貼り付け用!$A$1:$BA$300,COLUMN(),FALSE)=0,"",VLOOKUP($A34,貼り付け用!$A$1:$BA$300,COLUMN(),FALSE)),"")</f>
        <v/>
      </c>
      <c r="C34" s="50" t="str">
        <f>IF($A34&lt;&gt;"",IF(VLOOKUP($A34,貼り付け用!$A$1:$BA$300,COLUMN(),FALSE)=0,"",VLOOKUP($A34,貼り付け用!$A$1:$BA$300,COLUMN(),FALSE)),"")</f>
        <v/>
      </c>
      <c r="D34" s="50" t="str">
        <f>IF($A34&lt;&gt;"",IF(VLOOKUP($A34,貼り付け用!$A$1:$BA$300,COLUMN(),FALSE)=0,"",VLOOKUP($A34,貼り付け用!$A$1:$BA$300,COLUMN(),FALSE)),"")</f>
        <v/>
      </c>
      <c r="E34" s="50" t="str">
        <f>IF($A34&lt;&gt;"",IF(VLOOKUP($A34,貼り付け用!$A$1:$BA$300,COLUMN(),FALSE)=0,"",VLOOKUP($A34,貼り付け用!$A$1:$BA$300,COLUMN(),FALSE)),"")</f>
        <v/>
      </c>
      <c r="F34" s="50" t="str">
        <f>IF($A34&lt;&gt;"",IF(VLOOKUP($A34,貼り付け用!$A$1:$BA$300,COLUMN(),FALSE)=0,"",VLOOKUP($A34,貼り付け用!$A$1:$BA$300,COLUMN(),FALSE)),"")</f>
        <v/>
      </c>
      <c r="G34" s="50" t="str">
        <f>IF($A34&lt;&gt;"",IF(VLOOKUP($A34,貼り付け用!$A$1:$BA$300,COLUMN(),FALSE)=0,"",VLOOKUP($A34,貼り付け用!$A$1:$BA$300,COLUMN(),FALSE)),"")</f>
        <v/>
      </c>
      <c r="H34" s="50" t="str">
        <f>IF($A34&lt;&gt;"",IF(VLOOKUP($A34,貼り付け用!$A$1:$BA$300,COLUMN(),FALSE)=0,"",VLOOKUP($A34,貼り付け用!$A$1:$BA$300,COLUMN(),FALSE)),"")</f>
        <v/>
      </c>
      <c r="I34" s="50" t="str">
        <f>IF($A34&lt;&gt;"",IF(VLOOKUP($A34,貼り付け用!$A$1:$BA$300,COLUMN(),FALSE)=0,"",VLOOKUP($A34,貼り付け用!$A$1:$BA$300,COLUMN(),FALSE)),"")</f>
        <v/>
      </c>
      <c r="J34" s="50" t="str">
        <f>IF($A34&lt;&gt;"",IF(VLOOKUP($A34,貼り付け用!$A$1:$BA$300,COLUMN(),FALSE)=0,"",VLOOKUP($A34,貼り付け用!$A$1:$BA$300,COLUMN(),FALSE)),"")</f>
        <v/>
      </c>
      <c r="K34" s="50" t="str">
        <f>IF($A34&lt;&gt;"",IF(VLOOKUP($A34,貼り付け用!$A$1:$BA$300,COLUMN(),FALSE)=0,"",VLOOKUP($A34,貼り付け用!$A$1:$BA$300,COLUMN(),FALSE)),"")</f>
        <v/>
      </c>
      <c r="L34" s="50" t="str">
        <f>IF($A34&lt;&gt;"",
IF(COLUMN(貼り付け用!L34)&gt;MATCH("おやつ",貼り付け用!$3:$3,0),"",
IF(VLOOKUP($A34,貼り付け用!$A$1:$BA$300,COLUMN(),FALSE)=0,"",VLOOKUP($A34,貼り付け用!$A$1:$BA$300,COLUMN(),FALSE))),"")</f>
        <v>1</v>
      </c>
      <c r="M34" s="50" t="str">
        <f>IF($A34&lt;&gt;"",
IF(COLUMN(貼り付け用!M34)&gt;MATCH("おやつ",貼り付け用!$3:$3,0),"",
IF(VLOOKUP($A34,貼り付け用!$A$1:$BA$300,COLUMN(),FALSE)=0,"",VLOOKUP($A34,貼り付け用!$A$1:$BA$300,COLUMN(),FALSE))),"")</f>
        <v/>
      </c>
      <c r="N34" s="50" t="str">
        <f>IF($A34&lt;&gt;"",
IF(COLUMN(貼り付け用!N34)&gt;MATCH("おやつ",貼り付け用!$3:$3,0),"",
IF(VLOOKUP($A34,貼り付け用!$A$1:$BA$300,COLUMN(),FALSE)=0,"",VLOOKUP($A34,貼り付け用!$A$1:$BA$300,COLUMN(),FALSE))),"")</f>
        <v/>
      </c>
      <c r="O34" s="50" t="str">
        <f>IF($A34&lt;&gt;"",
IF(COLUMN(貼り付け用!O34)&gt;MATCH("おやつ",貼り付け用!$3:$3,0),"",
IF(VLOOKUP($A34,貼り付け用!$A$1:$BA$300,COLUMN(),FALSE)=0,"",VLOOKUP($A34,貼り付け用!$A$1:$BA$300,COLUMN(),FALSE))),"")</f>
        <v/>
      </c>
      <c r="P34" s="50" t="str">
        <f>IF($A34&lt;&gt;"",
IF(COLUMN(貼り付け用!P34)&gt;MATCH("おやつ",貼り付け用!$3:$3,0),"",
IF(VLOOKUP($A34,貼り付け用!$A$1:$BA$300,COLUMN(),FALSE)=0,"",VLOOKUP($A34,貼り付け用!$A$1:$BA$300,COLUMN(),FALSE))),"")</f>
        <v/>
      </c>
      <c r="Q34" s="50" t="str">
        <f>IF($A34&lt;&gt;"",
IF(COLUMN(貼り付け用!Q34)&gt;MATCH("おやつ",貼り付け用!$3:$3,0),"",
IF(VLOOKUP($A34,貼り付け用!$A$1:$BA$300,COLUMN(),FALSE)=0,"",VLOOKUP($A34,貼り付け用!$A$1:$BA$300,COLUMN(),FALSE))),"")</f>
        <v/>
      </c>
      <c r="R34" s="50" t="str">
        <f>IF($A34&lt;&gt;"",
IF(COLUMN(貼り付け用!R34)&gt;MATCH("おやつ",貼り付け用!$3:$3,0),"",
IF(VLOOKUP($A34,貼り付け用!$A$1:$BA$300,COLUMN(),FALSE)=0,"",VLOOKUP($A34,貼り付け用!$A$1:$BA$300,COLUMN(),FALSE))),"")</f>
        <v/>
      </c>
      <c r="S34" s="50" t="str">
        <f>IF($A34&lt;&gt;"",
IF(COLUMN(貼り付け用!S34)&gt;MATCH("おやつ",貼り付け用!$3:$3,0),"",
IF(VLOOKUP($A34,貼り付け用!$A$1:$BA$300,COLUMN(),FALSE)=0,"",VLOOKUP($A34,貼り付け用!$A$1:$BA$300,COLUMN(),FALSE))),"")</f>
        <v/>
      </c>
      <c r="T34" s="50" t="str">
        <f>IF(COLUMN(貼り付け用!T34)&gt;MATCH("おやつ",貼り付け用!$3:$3,0),"",
IF(VLOOKUP($A34,貼り付け用!$A$1:$BA$300,COLUMN(),FALSE)=0,"",VLOOKUP($A34,貼り付け用!$A$1:$BA$300,COLUMN(),FALSE)))</f>
        <v/>
      </c>
      <c r="U34" s="23"/>
      <c r="V34" s="21" t="str">
        <f>IF(A34&lt;&gt;"",
IF(VLOOKUP($A34,貼り付け用!$A$1:$BA$300,MATCH("おやつ",貼り付け用!$3:$3,0)+1,FALSE)=0,"",VLOOKUP($A34,貼り付け用!$A$1:$BA$300,MATCH("おやつ",貼り付け用!$3:$3,0)+1,FALSE)),"")</f>
        <v/>
      </c>
      <c r="W34" s="50" t="str">
        <f>IF(A34&lt;&gt;"",
IF(VLOOKUP($A34,貼り付け用!$A$1:$BA$300,MATCH("おやつ",貼り付け用!$3:$3,0)+2,FALSE)=0,"",VLOOKUP($A34,貼り付け用!$A$1:$BA$300,MATCH("おやつ",貼り付け用!$3:$3,0)+2,FALSE)),"")</f>
        <v/>
      </c>
    </row>
    <row r="35" spans="1:23" x14ac:dyDescent="0.45">
      <c r="A35" s="22" t="str">
        <f>IF(貼り付け用!$A$6&lt;&gt;"",
IF(ROW(A34)+1&gt;=MATCH("*【合計】*", 貼り付け用!$A:$A, 0),"",
IF(貼り付け用!A35&lt;&gt;"",貼り付け用!A35,"")),
IF(ROW(A35)+1&gt;=MATCH("*【合計】*", 貼り付け用!$A:$A, 0),"",
IF(貼り付け用!A36&lt;&gt;"",貼り付け用!A36,"")))</f>
        <v>奈良屋幼稚園 奥田先生</v>
      </c>
      <c r="B35" s="45" t="str">
        <f>IF($A35&lt;&gt;"",IF(VLOOKUP($A35,貼り付け用!$A$1:$BA$300,COLUMN(),FALSE)=0,"",VLOOKUP($A35,貼り付け用!$A$1:$BA$300,COLUMN(),FALSE)),"")</f>
        <v/>
      </c>
      <c r="C35" s="45" t="str">
        <f>IF($A35&lt;&gt;"",IF(VLOOKUP($A35,貼り付け用!$A$1:$BA$300,COLUMN(),FALSE)=0,"",VLOOKUP($A35,貼り付け用!$A$1:$BA$300,COLUMN(),FALSE)),"")</f>
        <v/>
      </c>
      <c r="D35" s="45" t="str">
        <f>IF($A35&lt;&gt;"",IF(VLOOKUP($A35,貼り付け用!$A$1:$BA$300,COLUMN(),FALSE)=0,"",VLOOKUP($A35,貼り付け用!$A$1:$BA$300,COLUMN(),FALSE)),"")</f>
        <v/>
      </c>
      <c r="E35" s="45" t="str">
        <f>IF($A35&lt;&gt;"",IF(VLOOKUP($A35,貼り付け用!$A$1:$BA$300,COLUMN(),FALSE)=0,"",VLOOKUP($A35,貼り付け用!$A$1:$BA$300,COLUMN(),FALSE)),"")</f>
        <v/>
      </c>
      <c r="F35" s="45" t="str">
        <f>IF($A35&lt;&gt;"",IF(VLOOKUP($A35,貼り付け用!$A$1:$BA$300,COLUMN(),FALSE)=0,"",VLOOKUP($A35,貼り付け用!$A$1:$BA$300,COLUMN(),FALSE)),"")</f>
        <v/>
      </c>
      <c r="G35" s="45" t="str">
        <f>IF($A35&lt;&gt;"",IF(VLOOKUP($A35,貼り付け用!$A$1:$BA$300,COLUMN(),FALSE)=0,"",VLOOKUP($A35,貼り付け用!$A$1:$BA$300,COLUMN(),FALSE)),"")</f>
        <v/>
      </c>
      <c r="H35" s="45" t="str">
        <f>IF($A35&lt;&gt;"",IF(VLOOKUP($A35,貼り付け用!$A$1:$BA$300,COLUMN(),FALSE)=0,"",VLOOKUP($A35,貼り付け用!$A$1:$BA$300,COLUMN(),FALSE)),"")</f>
        <v/>
      </c>
      <c r="I35" s="45" t="str">
        <f>IF($A35&lt;&gt;"",IF(VLOOKUP($A35,貼り付け用!$A$1:$BA$300,COLUMN(),FALSE)=0,"",VLOOKUP($A35,貼り付け用!$A$1:$BA$300,COLUMN(),FALSE)),"")</f>
        <v/>
      </c>
      <c r="J35" s="45" t="str">
        <f>IF($A35&lt;&gt;"",IF(VLOOKUP($A35,貼り付け用!$A$1:$BA$300,COLUMN(),FALSE)=0,"",VLOOKUP($A35,貼り付け用!$A$1:$BA$300,COLUMN(),FALSE)),"")</f>
        <v/>
      </c>
      <c r="K35" s="45" t="str">
        <f>IF($A35&lt;&gt;"",IF(VLOOKUP($A35,貼り付け用!$A$1:$BA$300,COLUMN(),FALSE)=0,"",VLOOKUP($A35,貼り付け用!$A$1:$BA$300,COLUMN(),FALSE)),"")</f>
        <v/>
      </c>
      <c r="L35" s="45" t="str">
        <f>IF($A35&lt;&gt;"",
IF(COLUMN(貼り付け用!L35)&gt;MATCH("おやつ",貼り付け用!$3:$3,0),"",
IF(VLOOKUP($A35,貼り付け用!$A$1:$BA$300,COLUMN(),FALSE)=0,"",VLOOKUP($A35,貼り付け用!$A$1:$BA$300,COLUMN(),FALSE))),"")</f>
        <v/>
      </c>
      <c r="M35" s="45" t="str">
        <f>IF($A35&lt;&gt;"",
IF(COLUMN(貼り付け用!M35)&gt;MATCH("おやつ",貼り付け用!$3:$3,0),"",
IF(VLOOKUP($A35,貼り付け用!$A$1:$BA$300,COLUMN(),FALSE)=0,"",VLOOKUP($A35,貼り付け用!$A$1:$BA$300,COLUMN(),FALSE))),"")</f>
        <v/>
      </c>
      <c r="N35" s="45" t="str">
        <f>IF($A35&lt;&gt;"",
IF(COLUMN(貼り付け用!N35)&gt;MATCH("おやつ",貼り付け用!$3:$3,0),"",
IF(VLOOKUP($A35,貼り付け用!$A$1:$BA$300,COLUMN(),FALSE)=0,"",VLOOKUP($A35,貼り付け用!$A$1:$BA$300,COLUMN(),FALSE))),"")</f>
        <v/>
      </c>
      <c r="O35" s="45" t="str">
        <f>IF($A35&lt;&gt;"",
IF(COLUMN(貼り付け用!O35)&gt;MATCH("おやつ",貼り付け用!$3:$3,0),"",
IF(VLOOKUP($A35,貼り付け用!$A$1:$BA$300,COLUMN(),FALSE)=0,"",VLOOKUP($A35,貼り付け用!$A$1:$BA$300,COLUMN(),FALSE))),"")</f>
        <v/>
      </c>
      <c r="P35" s="45" t="str">
        <f>IF($A35&lt;&gt;"",
IF(COLUMN(貼り付け用!P35)&gt;MATCH("おやつ",貼り付け用!$3:$3,0),"",
IF(VLOOKUP($A35,貼り付け用!$A$1:$BA$300,COLUMN(),FALSE)=0,"",VLOOKUP($A35,貼り付け用!$A$1:$BA$300,COLUMN(),FALSE))),"")</f>
        <v/>
      </c>
      <c r="Q35" s="45" t="str">
        <f>IF($A35&lt;&gt;"",
IF(COLUMN(貼り付け用!Q35)&gt;MATCH("おやつ",貼り付け用!$3:$3,0),"",
IF(VLOOKUP($A35,貼り付け用!$A$1:$BA$300,COLUMN(),FALSE)=0,"",VLOOKUP($A35,貼り付け用!$A$1:$BA$300,COLUMN(),FALSE))),"")</f>
        <v/>
      </c>
      <c r="R35" s="45" t="str">
        <f>IF($A35&lt;&gt;"",
IF(COLUMN(貼り付け用!R35)&gt;MATCH("おやつ",貼り付け用!$3:$3,0),"",
IF(VLOOKUP($A35,貼り付け用!$A$1:$BA$300,COLUMN(),FALSE)=0,"",VLOOKUP($A35,貼り付け用!$A$1:$BA$300,COLUMN(),FALSE))),"")</f>
        <v/>
      </c>
      <c r="S35" s="45" t="str">
        <f>IF($A35&lt;&gt;"",
IF(COLUMN(貼り付け用!S35)&gt;MATCH("おやつ",貼り付け用!$3:$3,0),"",
IF(VLOOKUP($A35,貼り付け用!$A$1:$BA$300,COLUMN(),FALSE)=0,"",VLOOKUP($A35,貼り付け用!$A$1:$BA$300,COLUMN(),FALSE))),"")</f>
        <v/>
      </c>
      <c r="T35" s="45" t="str">
        <f>IF(COLUMN(貼り付け用!T35)&gt;MATCH("おやつ",貼り付け用!$3:$3,0),"",
IF(VLOOKUP($A35,貼り付け用!$A$1:$BA$300,COLUMN(),FALSE)=0,"",VLOOKUP($A35,貼り付け用!$A$1:$BA$300,COLUMN(),FALSE)))</f>
        <v/>
      </c>
      <c r="U35" s="24"/>
      <c r="V35" s="21" t="str">
        <f>IF(A35&lt;&gt;"",
IF(VLOOKUP($A35,貼り付け用!$A$1:$BA$300,MATCH("おやつ",貼り付け用!$3:$3,0)+1,FALSE)=0,"",VLOOKUP($A35,貼り付け用!$A$1:$BA$300,MATCH("おやつ",貼り付け用!$3:$3,0)+1,FALSE)),"")</f>
        <v/>
      </c>
      <c r="W35" s="50" t="str">
        <f>IF(A35&lt;&gt;"",
IF(VLOOKUP($A35,貼り付け用!$A$1:$BA$300,MATCH("おやつ",貼り付け用!$3:$3,0)+2,FALSE)=0,"",VLOOKUP($A35,貼り付け用!$A$1:$BA$300,MATCH("おやつ",貼り付け用!$3:$3,0)+2,FALSE)),"")</f>
        <v/>
      </c>
    </row>
    <row r="36" spans="1:23" x14ac:dyDescent="0.45">
      <c r="A36" s="10" t="str">
        <f>IF(貼り付け用!$A$6&lt;&gt;"",
IF(ROW(A35)+1&gt;=MATCH("*【合計】*", 貼り付け用!$A:$A, 0),
"",
IF(貼り付け用!A36&lt;&gt;"",貼り付け用!A36,"")),
IF(ROW(A36)+1&gt;=MATCH("*【合計】*", 貼り付け用!$A:$A, 0),
"",
IF(貼り付け用!A37&lt;&gt;"",貼り付け用!A37,"")))</f>
        <v>13004</v>
      </c>
      <c r="B36" s="50" t="str">
        <f>IF($A36&lt;&gt;"",IF(VLOOKUP($A36,貼り付け用!$A$1:$BA$300,COLUMN(),FALSE)=0,"",VLOOKUP($A36,貼り付け用!$A$1:$BA$300,COLUMN(),FALSE)),"")</f>
        <v/>
      </c>
      <c r="C36" s="50" t="str">
        <f>IF($A36&lt;&gt;"",IF(VLOOKUP($A36,貼り付け用!$A$1:$BA$300,COLUMN(),FALSE)=0,"",VLOOKUP($A36,貼り付け用!$A$1:$BA$300,COLUMN(),FALSE)),"")</f>
        <v/>
      </c>
      <c r="D36" s="50" t="str">
        <f>IF($A36&lt;&gt;"",IF(VLOOKUP($A36,貼り付け用!$A$1:$BA$300,COLUMN(),FALSE)=0,"",VLOOKUP($A36,貼り付け用!$A$1:$BA$300,COLUMN(),FALSE)),"")</f>
        <v/>
      </c>
      <c r="E36" s="50" t="str">
        <f>IF($A36&lt;&gt;"",IF(VLOOKUP($A36,貼り付け用!$A$1:$BA$300,COLUMN(),FALSE)=0,"",VLOOKUP($A36,貼り付け用!$A$1:$BA$300,COLUMN(),FALSE)),"")</f>
        <v/>
      </c>
      <c r="F36" s="50" t="str">
        <f>IF($A36&lt;&gt;"",IF(VLOOKUP($A36,貼り付け用!$A$1:$BA$300,COLUMN(),FALSE)=0,"",VLOOKUP($A36,貼り付け用!$A$1:$BA$300,COLUMN(),FALSE)),"")</f>
        <v/>
      </c>
      <c r="G36" s="50" t="str">
        <f>IF($A36&lt;&gt;"",IF(VLOOKUP($A36,貼り付け用!$A$1:$BA$300,COLUMN(),FALSE)=0,"",VLOOKUP($A36,貼り付け用!$A$1:$BA$300,COLUMN(),FALSE)),"")</f>
        <v/>
      </c>
      <c r="H36" s="50" t="str">
        <f>IF($A36&lt;&gt;"",IF(VLOOKUP($A36,貼り付け用!$A$1:$BA$300,COLUMN(),FALSE)=0,"",VLOOKUP($A36,貼り付け用!$A$1:$BA$300,COLUMN(),FALSE)),"")</f>
        <v/>
      </c>
      <c r="I36" s="50" t="str">
        <f>IF($A36&lt;&gt;"",IF(VLOOKUP($A36,貼り付け用!$A$1:$BA$300,COLUMN(),FALSE)=0,"",VLOOKUP($A36,貼り付け用!$A$1:$BA$300,COLUMN(),FALSE)),"")</f>
        <v/>
      </c>
      <c r="J36" s="50" t="str">
        <f>IF($A36&lt;&gt;"",IF(VLOOKUP($A36,貼り付け用!$A$1:$BA$300,COLUMN(),FALSE)=0,"",VLOOKUP($A36,貼り付け用!$A$1:$BA$300,COLUMN(),FALSE)),"")</f>
        <v/>
      </c>
      <c r="K36" s="50" t="str">
        <f>IF($A36&lt;&gt;"",IF(VLOOKUP($A36,貼り付け用!$A$1:$BA$300,COLUMN(),FALSE)=0,"",VLOOKUP($A36,貼り付け用!$A$1:$BA$300,COLUMN(),FALSE)),"")</f>
        <v/>
      </c>
      <c r="L36" s="50" t="str">
        <f>IF($A36&lt;&gt;"",
IF(COLUMN(貼り付け用!L36)&gt;MATCH("おやつ",貼り付け用!$3:$3,0),"",
IF(VLOOKUP($A36,貼り付け用!$A$1:$BA$300,COLUMN(),FALSE)=0,"",VLOOKUP($A36,貼り付け用!$A$1:$BA$300,COLUMN(),FALSE))),"")</f>
        <v>5</v>
      </c>
      <c r="M36" s="50" t="str">
        <f>IF($A36&lt;&gt;"",
IF(COLUMN(貼り付け用!M36)&gt;MATCH("おやつ",貼り付け用!$3:$3,0),"",
IF(VLOOKUP($A36,貼り付け用!$A$1:$BA$300,COLUMN(),FALSE)=0,"",VLOOKUP($A36,貼り付け用!$A$1:$BA$300,COLUMN(),FALSE))),"")</f>
        <v/>
      </c>
      <c r="N36" s="50" t="str">
        <f>IF($A36&lt;&gt;"",
IF(COLUMN(貼り付け用!N36)&gt;MATCH("おやつ",貼り付け用!$3:$3,0),"",
IF(VLOOKUP($A36,貼り付け用!$A$1:$BA$300,COLUMN(),FALSE)=0,"",VLOOKUP($A36,貼り付け用!$A$1:$BA$300,COLUMN(),FALSE))),"")</f>
        <v/>
      </c>
      <c r="O36" s="50" t="str">
        <f>IF($A36&lt;&gt;"",
IF(COLUMN(貼り付け用!O36)&gt;MATCH("おやつ",貼り付け用!$3:$3,0),"",
IF(VLOOKUP($A36,貼り付け用!$A$1:$BA$300,COLUMN(),FALSE)=0,"",VLOOKUP($A36,貼り付け用!$A$1:$BA$300,COLUMN(),FALSE))),"")</f>
        <v/>
      </c>
      <c r="P36" s="50" t="str">
        <f>IF($A36&lt;&gt;"",
IF(COLUMN(貼り付け用!P36)&gt;MATCH("おやつ",貼り付け用!$3:$3,0),"",
IF(VLOOKUP($A36,貼り付け用!$A$1:$BA$300,COLUMN(),FALSE)=0,"",VLOOKUP($A36,貼り付け用!$A$1:$BA$300,COLUMN(),FALSE))),"")</f>
        <v/>
      </c>
      <c r="Q36" s="50" t="str">
        <f>IF($A36&lt;&gt;"",
IF(COLUMN(貼り付け用!Q36)&gt;MATCH("おやつ",貼り付け用!$3:$3,0),"",
IF(VLOOKUP($A36,貼り付け用!$A$1:$BA$300,COLUMN(),FALSE)=0,"",VLOOKUP($A36,貼り付け用!$A$1:$BA$300,COLUMN(),FALSE))),"")</f>
        <v/>
      </c>
      <c r="R36" s="50" t="str">
        <f>IF($A36&lt;&gt;"",
IF(COLUMN(貼り付け用!R36)&gt;MATCH("おやつ",貼り付け用!$3:$3,0),"",
IF(VLOOKUP($A36,貼り付け用!$A$1:$BA$300,COLUMN(),FALSE)=0,"",VLOOKUP($A36,貼り付け用!$A$1:$BA$300,COLUMN(),FALSE))),"")</f>
        <v/>
      </c>
      <c r="S36" s="50" t="str">
        <f>IF($A36&lt;&gt;"",
IF(COLUMN(貼り付け用!S36)&gt;MATCH("おやつ",貼り付け用!$3:$3,0),"",
IF(VLOOKUP($A36,貼り付け用!$A$1:$BA$300,COLUMN(),FALSE)=0,"",VLOOKUP($A36,貼り付け用!$A$1:$BA$300,COLUMN(),FALSE))),"")</f>
        <v/>
      </c>
      <c r="T36" s="50" t="str">
        <f>IF(COLUMN(貼り付け用!T36)&gt;MATCH("おやつ",貼り付け用!$3:$3,0),"",
IF(VLOOKUP($A36,貼り付け用!$A$1:$BA$300,COLUMN(),FALSE)=0,"",VLOOKUP($A36,貼り付け用!$A$1:$BA$300,COLUMN(),FALSE)))</f>
        <v/>
      </c>
      <c r="U36" s="23"/>
      <c r="V36" s="21" t="str">
        <f>IF(A36&lt;&gt;"",
IF(VLOOKUP($A36,貼り付け用!$A$1:$BA$300,MATCH("おやつ",貼り付け用!$3:$3,0)+1,FALSE)=0,"",VLOOKUP($A36,貼り付け用!$A$1:$BA$300,MATCH("おやつ",貼り付け用!$3:$3,0)+1,FALSE)),"")</f>
        <v/>
      </c>
      <c r="W36" s="50" t="str">
        <f>IF(A36&lt;&gt;"",
IF(VLOOKUP($A36,貼り付け用!$A$1:$BA$300,MATCH("おやつ",貼り付け用!$3:$3,0)+2,FALSE)=0,"",VLOOKUP($A36,貼り付け用!$A$1:$BA$300,MATCH("おやつ",貼り付け用!$3:$3,0)+2,FALSE)),"")</f>
        <v/>
      </c>
    </row>
    <row r="37" spans="1:23" x14ac:dyDescent="0.45">
      <c r="A37" s="22" t="str">
        <f>IF(貼り付け用!$A$6&lt;&gt;"",
IF(ROW(A36)+1&gt;=MATCH("*【合計】*", 貼り付け用!$A:$A, 0),"",
IF(貼り付け用!A37&lt;&gt;"",貼り付け用!A37,"")),
IF(ROW(A37)+1&gt;=MATCH("*【合計】*", 貼り付け用!$A:$A, 0),"",
IF(貼り付け用!A38&lt;&gt;"",貼り付け用!A38,"")))</f>
        <v>奈良屋幼稚園 先生</v>
      </c>
      <c r="B37" s="45" t="str">
        <f>IF($A37&lt;&gt;"",IF(VLOOKUP($A37,貼り付け用!$A$1:$BA$300,COLUMN(),FALSE)=0,"",VLOOKUP($A37,貼り付け用!$A$1:$BA$300,COLUMN(),FALSE)),"")</f>
        <v/>
      </c>
      <c r="C37" s="45" t="str">
        <f>IF($A37&lt;&gt;"",IF(VLOOKUP($A37,貼り付け用!$A$1:$BA$300,COLUMN(),FALSE)=0,"",VLOOKUP($A37,貼り付け用!$A$1:$BA$300,COLUMN(),FALSE)),"")</f>
        <v/>
      </c>
      <c r="D37" s="45" t="str">
        <f>IF($A37&lt;&gt;"",IF(VLOOKUP($A37,貼り付け用!$A$1:$BA$300,COLUMN(),FALSE)=0,"",VLOOKUP($A37,貼り付け用!$A$1:$BA$300,COLUMN(),FALSE)),"")</f>
        <v/>
      </c>
      <c r="E37" s="45" t="str">
        <f>IF($A37&lt;&gt;"",IF(VLOOKUP($A37,貼り付け用!$A$1:$BA$300,COLUMN(),FALSE)=0,"",VLOOKUP($A37,貼り付け用!$A$1:$BA$300,COLUMN(),FALSE)),"")</f>
        <v/>
      </c>
      <c r="F37" s="45" t="str">
        <f>IF($A37&lt;&gt;"",IF(VLOOKUP($A37,貼り付け用!$A$1:$BA$300,COLUMN(),FALSE)=0,"",VLOOKUP($A37,貼り付け用!$A$1:$BA$300,COLUMN(),FALSE)),"")</f>
        <v/>
      </c>
      <c r="G37" s="45" t="str">
        <f>IF($A37&lt;&gt;"",IF(VLOOKUP($A37,貼り付け用!$A$1:$BA$300,COLUMN(),FALSE)=0,"",VLOOKUP($A37,貼り付け用!$A$1:$BA$300,COLUMN(),FALSE)),"")</f>
        <v/>
      </c>
      <c r="H37" s="45" t="str">
        <f>IF($A37&lt;&gt;"",IF(VLOOKUP($A37,貼り付け用!$A$1:$BA$300,COLUMN(),FALSE)=0,"",VLOOKUP($A37,貼り付け用!$A$1:$BA$300,COLUMN(),FALSE)),"")</f>
        <v/>
      </c>
      <c r="I37" s="45" t="str">
        <f>IF($A37&lt;&gt;"",IF(VLOOKUP($A37,貼り付け用!$A$1:$BA$300,COLUMN(),FALSE)=0,"",VLOOKUP($A37,貼り付け用!$A$1:$BA$300,COLUMN(),FALSE)),"")</f>
        <v/>
      </c>
      <c r="J37" s="45" t="str">
        <f>IF($A37&lt;&gt;"",IF(VLOOKUP($A37,貼り付け用!$A$1:$BA$300,COLUMN(),FALSE)=0,"",VLOOKUP($A37,貼り付け用!$A$1:$BA$300,COLUMN(),FALSE)),"")</f>
        <v/>
      </c>
      <c r="K37" s="45" t="str">
        <f>IF($A37&lt;&gt;"",IF(VLOOKUP($A37,貼り付け用!$A$1:$BA$300,COLUMN(),FALSE)=0,"",VLOOKUP($A37,貼り付け用!$A$1:$BA$300,COLUMN(),FALSE)),"")</f>
        <v/>
      </c>
      <c r="L37" s="45" t="str">
        <f>IF($A37&lt;&gt;"",
IF(COLUMN(貼り付け用!L37)&gt;MATCH("おやつ",貼り付け用!$3:$3,0),"",
IF(VLOOKUP($A37,貼り付け用!$A$1:$BA$300,COLUMN(),FALSE)=0,"",VLOOKUP($A37,貼り付け用!$A$1:$BA$300,COLUMN(),FALSE))),"")</f>
        <v/>
      </c>
      <c r="M37" s="45" t="str">
        <f>IF($A37&lt;&gt;"",
IF(COLUMN(貼り付け用!M37)&gt;MATCH("おやつ",貼り付け用!$3:$3,0),"",
IF(VLOOKUP($A37,貼り付け用!$A$1:$BA$300,COLUMN(),FALSE)=0,"",VLOOKUP($A37,貼り付け用!$A$1:$BA$300,COLUMN(),FALSE))),"")</f>
        <v/>
      </c>
      <c r="N37" s="45" t="str">
        <f>IF($A37&lt;&gt;"",
IF(COLUMN(貼り付け用!N37)&gt;MATCH("おやつ",貼り付け用!$3:$3,0),"",
IF(VLOOKUP($A37,貼り付け用!$A$1:$BA$300,COLUMN(),FALSE)=0,"",VLOOKUP($A37,貼り付け用!$A$1:$BA$300,COLUMN(),FALSE))),"")</f>
        <v/>
      </c>
      <c r="O37" s="45" t="str">
        <f>IF($A37&lt;&gt;"",
IF(COLUMN(貼り付け用!O37)&gt;MATCH("おやつ",貼り付け用!$3:$3,0),"",
IF(VLOOKUP($A37,貼り付け用!$A$1:$BA$300,COLUMN(),FALSE)=0,"",VLOOKUP($A37,貼り付け用!$A$1:$BA$300,COLUMN(),FALSE))),"")</f>
        <v/>
      </c>
      <c r="P37" s="45" t="str">
        <f>IF($A37&lt;&gt;"",
IF(COLUMN(貼り付け用!P37)&gt;MATCH("おやつ",貼り付け用!$3:$3,0),"",
IF(VLOOKUP($A37,貼り付け用!$A$1:$BA$300,COLUMN(),FALSE)=0,"",VLOOKUP($A37,貼り付け用!$A$1:$BA$300,COLUMN(),FALSE))),"")</f>
        <v/>
      </c>
      <c r="Q37" s="45" t="str">
        <f>IF($A37&lt;&gt;"",
IF(COLUMN(貼り付け用!Q37)&gt;MATCH("おやつ",貼り付け用!$3:$3,0),"",
IF(VLOOKUP($A37,貼り付け用!$A$1:$BA$300,COLUMN(),FALSE)=0,"",VLOOKUP($A37,貼り付け用!$A$1:$BA$300,COLUMN(),FALSE))),"")</f>
        <v/>
      </c>
      <c r="R37" s="45" t="str">
        <f>IF($A37&lt;&gt;"",
IF(COLUMN(貼り付け用!R37)&gt;MATCH("おやつ",貼り付け用!$3:$3,0),"",
IF(VLOOKUP($A37,貼り付け用!$A$1:$BA$300,COLUMN(),FALSE)=0,"",VLOOKUP($A37,貼り付け用!$A$1:$BA$300,COLUMN(),FALSE))),"")</f>
        <v/>
      </c>
      <c r="S37" s="45" t="str">
        <f>IF($A37&lt;&gt;"",
IF(COLUMN(貼り付け用!S37)&gt;MATCH("おやつ",貼り付け用!$3:$3,0),"",
IF(VLOOKUP($A37,貼り付け用!$A$1:$BA$300,COLUMN(),FALSE)=0,"",VLOOKUP($A37,貼り付け用!$A$1:$BA$300,COLUMN(),FALSE))),"")</f>
        <v/>
      </c>
      <c r="T37" s="45" t="str">
        <f>IF(COLUMN(貼り付け用!T37)&gt;MATCH("おやつ",貼り付け用!$3:$3,0),"",
IF(VLOOKUP($A37,貼り付け用!$A$1:$BA$300,COLUMN(),FALSE)=0,"",VLOOKUP($A37,貼り付け用!$A$1:$BA$300,COLUMN(),FALSE)))</f>
        <v/>
      </c>
      <c r="U37" s="24"/>
      <c r="V37" s="21" t="str">
        <f>IF(A37&lt;&gt;"",
IF(VLOOKUP($A37,貼り付け用!$A$1:$BA$300,MATCH("おやつ",貼り付け用!$3:$3,0)+1,FALSE)=0,"",VLOOKUP($A37,貼り付け用!$A$1:$BA$300,MATCH("おやつ",貼り付け用!$3:$3,0)+1,FALSE)),"")</f>
        <v/>
      </c>
      <c r="W37" s="50" t="str">
        <f>IF(A37&lt;&gt;"",
IF(VLOOKUP($A37,貼り付け用!$A$1:$BA$300,MATCH("おやつ",貼り付け用!$3:$3,0)+2,FALSE)=0,"",VLOOKUP($A37,貼り付け用!$A$1:$BA$300,MATCH("おやつ",貼り付け用!$3:$3,0)+2,FALSE)),"")</f>
        <v/>
      </c>
    </row>
    <row r="38" spans="1:23" x14ac:dyDescent="0.45">
      <c r="A38" s="10" t="str">
        <f>IF(貼り付け用!$A$6&lt;&gt;"",
IF(ROW(A37)+1&gt;=MATCH("*【合計】*", 貼り付け用!$A:$A, 0),
"",
IF(貼り付け用!A38&lt;&gt;"",貼り付け用!A38,"")),
IF(ROW(A38)+1&gt;=MATCH("*【合計】*", 貼り付け用!$A:$A, 0),
"",
IF(貼り付け用!A39&lt;&gt;"",貼り付け用!A39,"")))</f>
        <v>16300</v>
      </c>
      <c r="B38" s="50" t="str">
        <f>IF($A38&lt;&gt;"",IF(VLOOKUP($A38,貼り付け用!$A$1:$BA$300,COLUMN(),FALSE)=0,"",VLOOKUP($A38,貼り付け用!$A$1:$BA$300,COLUMN(),FALSE)),"")</f>
        <v/>
      </c>
      <c r="C38" s="50" t="str">
        <f>IF($A38&lt;&gt;"",IF(VLOOKUP($A38,貼り付け用!$A$1:$BA$300,COLUMN(),FALSE)=0,"",VLOOKUP($A38,貼り付け用!$A$1:$BA$300,COLUMN(),FALSE)),"")</f>
        <v/>
      </c>
      <c r="D38" s="50" t="str">
        <f>IF($A38&lt;&gt;"",IF(VLOOKUP($A38,貼り付け用!$A$1:$BA$300,COLUMN(),FALSE)=0,"",VLOOKUP($A38,貼り付け用!$A$1:$BA$300,COLUMN(),FALSE)),"")</f>
        <v/>
      </c>
      <c r="E38" s="50" t="str">
        <f>IF($A38&lt;&gt;"",IF(VLOOKUP($A38,貼り付け用!$A$1:$BA$300,COLUMN(),FALSE)=0,"",VLOOKUP($A38,貼り付け用!$A$1:$BA$300,COLUMN(),FALSE)),"")</f>
        <v/>
      </c>
      <c r="F38" s="50" t="str">
        <f>IF($A38&lt;&gt;"",IF(VLOOKUP($A38,貼り付け用!$A$1:$BA$300,COLUMN(),FALSE)=0,"",VLOOKUP($A38,貼り付け用!$A$1:$BA$300,COLUMN(),FALSE)),"")</f>
        <v/>
      </c>
      <c r="G38" s="50" t="str">
        <f>IF($A38&lt;&gt;"",IF(VLOOKUP($A38,貼り付け用!$A$1:$BA$300,COLUMN(),FALSE)=0,"",VLOOKUP($A38,貼り付け用!$A$1:$BA$300,COLUMN(),FALSE)),"")</f>
        <v>7</v>
      </c>
      <c r="H38" s="50" t="str">
        <f>IF($A38&lt;&gt;"",IF(VLOOKUP($A38,貼り付け用!$A$1:$BA$300,COLUMN(),FALSE)=0,"",VLOOKUP($A38,貼り付け用!$A$1:$BA$300,COLUMN(),FALSE)),"")</f>
        <v/>
      </c>
      <c r="I38" s="50" t="str">
        <f>IF($A38&lt;&gt;"",IF(VLOOKUP($A38,貼り付け用!$A$1:$BA$300,COLUMN(),FALSE)=0,"",VLOOKUP($A38,貼り付け用!$A$1:$BA$300,COLUMN(),FALSE)),"")</f>
        <v/>
      </c>
      <c r="J38" s="50" t="str">
        <f>IF($A38&lt;&gt;"",IF(VLOOKUP($A38,貼り付け用!$A$1:$BA$300,COLUMN(),FALSE)=0,"",VLOOKUP($A38,貼り付け用!$A$1:$BA$300,COLUMN(),FALSE)),"")</f>
        <v/>
      </c>
      <c r="K38" s="50" t="str">
        <f>IF($A38&lt;&gt;"",IF(VLOOKUP($A38,貼り付け用!$A$1:$BA$300,COLUMN(),FALSE)=0,"",VLOOKUP($A38,貼り付け用!$A$1:$BA$300,COLUMN(),FALSE)),"")</f>
        <v/>
      </c>
      <c r="L38" s="50" t="str">
        <f>IF($A38&lt;&gt;"",
IF(COLUMN(貼り付け用!L38)&gt;MATCH("おやつ",貼り付け用!$3:$3,0),"",
IF(VLOOKUP($A38,貼り付け用!$A$1:$BA$300,COLUMN(),FALSE)=0,"",VLOOKUP($A38,貼り付け用!$A$1:$BA$300,COLUMN(),FALSE))),"")</f>
        <v/>
      </c>
      <c r="M38" s="50" t="str">
        <f>IF($A38&lt;&gt;"",
IF(COLUMN(貼り付け用!M38)&gt;MATCH("おやつ",貼り付け用!$3:$3,0),"",
IF(VLOOKUP($A38,貼り付け用!$A$1:$BA$300,COLUMN(),FALSE)=0,"",VLOOKUP($A38,貼り付け用!$A$1:$BA$300,COLUMN(),FALSE))),"")</f>
        <v/>
      </c>
      <c r="N38" s="50" t="str">
        <f>IF($A38&lt;&gt;"",
IF(COLUMN(貼り付け用!N38)&gt;MATCH("おやつ",貼り付け用!$3:$3,0),"",
IF(VLOOKUP($A38,貼り付け用!$A$1:$BA$300,COLUMN(),FALSE)=0,"",VLOOKUP($A38,貼り付け用!$A$1:$BA$300,COLUMN(),FALSE))),"")</f>
        <v/>
      </c>
      <c r="O38" s="50" t="str">
        <f>IF($A38&lt;&gt;"",
IF(COLUMN(貼り付け用!O38)&gt;MATCH("おやつ",貼り付け用!$3:$3,0),"",
IF(VLOOKUP($A38,貼り付け用!$A$1:$BA$300,COLUMN(),FALSE)=0,"",VLOOKUP($A38,貼り付け用!$A$1:$BA$300,COLUMN(),FALSE))),"")</f>
        <v/>
      </c>
      <c r="P38" s="50" t="str">
        <f>IF($A38&lt;&gt;"",
IF(COLUMN(貼り付け用!P38)&gt;MATCH("おやつ",貼り付け用!$3:$3,0),"",
IF(VLOOKUP($A38,貼り付け用!$A$1:$BA$300,COLUMN(),FALSE)=0,"",VLOOKUP($A38,貼り付け用!$A$1:$BA$300,COLUMN(),FALSE))),"")</f>
        <v/>
      </c>
      <c r="Q38" s="50" t="str">
        <f>IF($A38&lt;&gt;"",
IF(COLUMN(貼り付け用!Q38)&gt;MATCH("おやつ",貼り付け用!$3:$3,0),"",
IF(VLOOKUP($A38,貼り付け用!$A$1:$BA$300,COLUMN(),FALSE)=0,"",VLOOKUP($A38,貼り付け用!$A$1:$BA$300,COLUMN(),FALSE))),"")</f>
        <v/>
      </c>
      <c r="R38" s="50" t="str">
        <f>IF($A38&lt;&gt;"",
IF(COLUMN(貼り付け用!R38)&gt;MATCH("おやつ",貼り付け用!$3:$3,0),"",
IF(VLOOKUP($A38,貼り付け用!$A$1:$BA$300,COLUMN(),FALSE)=0,"",VLOOKUP($A38,貼り付け用!$A$1:$BA$300,COLUMN(),FALSE))),"")</f>
        <v/>
      </c>
      <c r="S38" s="50" t="str">
        <f>IF($A38&lt;&gt;"",
IF(COLUMN(貼り付け用!S38)&gt;MATCH("おやつ",貼り付け用!$3:$3,0),"",
IF(VLOOKUP($A38,貼り付け用!$A$1:$BA$300,COLUMN(),FALSE)=0,"",VLOOKUP($A38,貼り付け用!$A$1:$BA$300,COLUMN(),FALSE))),"")</f>
        <v/>
      </c>
      <c r="T38" s="50" t="str">
        <f>IF(COLUMN(貼り付け用!T38)&gt;MATCH("おやつ",貼り付け用!$3:$3,0),"",
IF(VLOOKUP($A38,貼り付け用!$A$1:$BA$300,COLUMN(),FALSE)=0,"",VLOOKUP($A38,貼り付け用!$A$1:$BA$300,COLUMN(),FALSE)))</f>
        <v/>
      </c>
      <c r="U38" s="23"/>
      <c r="V38" s="21" t="str">
        <f>IF(A38&lt;&gt;"",
IF(VLOOKUP($A38,貼り付け用!$A$1:$BA$300,MATCH("おやつ",貼り付け用!$3:$3,0)+1,FALSE)=0,"",VLOOKUP($A38,貼り付け用!$A$1:$BA$300,MATCH("おやつ",貼り付け用!$3:$3,0)+1,FALSE)),"")</f>
        <v/>
      </c>
      <c r="W38" s="50" t="str">
        <f>IF(A38&lt;&gt;"",
IF(VLOOKUP($A38,貼り付け用!$A$1:$BA$300,MATCH("おやつ",貼り付け用!$3:$3,0)+2,FALSE)=0,"",VLOOKUP($A38,貼り付け用!$A$1:$BA$300,MATCH("おやつ",貼り付け用!$3:$3,0)+2,FALSE)),"")</f>
        <v/>
      </c>
    </row>
    <row r="39" spans="1:23" x14ac:dyDescent="0.45">
      <c r="A39" s="22" t="str">
        <f>IF(貼り付け用!$A$6&lt;&gt;"",
IF(ROW(A38)+1&gt;=MATCH("*【合計】*", 貼り付け用!$A:$A, 0),"",
IF(貼り付け用!A39&lt;&gt;"",貼り付け用!A39,"")),
IF(ROW(A39)+1&gt;=MATCH("*【合計】*", 貼り付け用!$A:$A, 0),"",
IF(貼り付け用!A40&lt;&gt;"",貼り付け用!A40,"")))</f>
        <v>スマイルキッズ</v>
      </c>
      <c r="B39" s="45" t="str">
        <f>IF($A39&lt;&gt;"",IF(VLOOKUP($A39,貼り付け用!$A$1:$BA$300,COLUMN(),FALSE)=0,"",VLOOKUP($A39,貼り付け用!$A$1:$BA$300,COLUMN(),FALSE)),"")</f>
        <v/>
      </c>
      <c r="C39" s="45" t="str">
        <f>IF($A39&lt;&gt;"",IF(VLOOKUP($A39,貼り付け用!$A$1:$BA$300,COLUMN(),FALSE)=0,"",VLOOKUP($A39,貼り付け用!$A$1:$BA$300,COLUMN(),FALSE)),"")</f>
        <v/>
      </c>
      <c r="D39" s="45" t="str">
        <f>IF($A39&lt;&gt;"",IF(VLOOKUP($A39,貼り付け用!$A$1:$BA$300,COLUMN(),FALSE)=0,"",VLOOKUP($A39,貼り付け用!$A$1:$BA$300,COLUMN(),FALSE)),"")</f>
        <v/>
      </c>
      <c r="E39" s="45" t="str">
        <f>IF($A39&lt;&gt;"",IF(VLOOKUP($A39,貼り付け用!$A$1:$BA$300,COLUMN(),FALSE)=0,"",VLOOKUP($A39,貼り付け用!$A$1:$BA$300,COLUMN(),FALSE)),"")</f>
        <v/>
      </c>
      <c r="F39" s="45" t="str">
        <f>IF($A39&lt;&gt;"",IF(VLOOKUP($A39,貼り付け用!$A$1:$BA$300,COLUMN(),FALSE)=0,"",VLOOKUP($A39,貼り付け用!$A$1:$BA$300,COLUMN(),FALSE)),"")</f>
        <v/>
      </c>
      <c r="G39" s="45" t="str">
        <f>IF($A39&lt;&gt;"",IF(VLOOKUP($A39,貼り付け用!$A$1:$BA$300,COLUMN(),FALSE)=0,"",VLOOKUP($A39,貼り付け用!$A$1:$BA$300,COLUMN(),FALSE)),"")</f>
        <v/>
      </c>
      <c r="H39" s="45" t="str">
        <f>IF($A39&lt;&gt;"",IF(VLOOKUP($A39,貼り付け用!$A$1:$BA$300,COLUMN(),FALSE)=0,"",VLOOKUP($A39,貼り付け用!$A$1:$BA$300,COLUMN(),FALSE)),"")</f>
        <v/>
      </c>
      <c r="I39" s="45" t="str">
        <f>IF($A39&lt;&gt;"",IF(VLOOKUP($A39,貼り付け用!$A$1:$BA$300,COLUMN(),FALSE)=0,"",VLOOKUP($A39,貼り付け用!$A$1:$BA$300,COLUMN(),FALSE)),"")</f>
        <v/>
      </c>
      <c r="J39" s="45" t="str">
        <f>IF($A39&lt;&gt;"",IF(VLOOKUP($A39,貼り付け用!$A$1:$BA$300,COLUMN(),FALSE)=0,"",VLOOKUP($A39,貼り付け用!$A$1:$BA$300,COLUMN(),FALSE)),"")</f>
        <v/>
      </c>
      <c r="K39" s="45" t="str">
        <f>IF($A39&lt;&gt;"",IF(VLOOKUP($A39,貼り付け用!$A$1:$BA$300,COLUMN(),FALSE)=0,"",VLOOKUP($A39,貼り付け用!$A$1:$BA$300,COLUMN(),FALSE)),"")</f>
        <v/>
      </c>
      <c r="L39" s="45" t="str">
        <f>IF($A39&lt;&gt;"",
IF(COLUMN(貼り付け用!L39)&gt;MATCH("おやつ",貼り付け用!$3:$3,0),"",
IF(VLOOKUP($A39,貼り付け用!$A$1:$BA$300,COLUMN(),FALSE)=0,"",VLOOKUP($A39,貼り付け用!$A$1:$BA$300,COLUMN(),FALSE))),"")</f>
        <v/>
      </c>
      <c r="M39" s="45" t="str">
        <f>IF($A39&lt;&gt;"",
IF(COLUMN(貼り付け用!M39)&gt;MATCH("おやつ",貼り付け用!$3:$3,0),"",
IF(VLOOKUP($A39,貼り付け用!$A$1:$BA$300,COLUMN(),FALSE)=0,"",VLOOKUP($A39,貼り付け用!$A$1:$BA$300,COLUMN(),FALSE))),"")</f>
        <v/>
      </c>
      <c r="N39" s="45" t="str">
        <f>IF($A39&lt;&gt;"",
IF(COLUMN(貼り付け用!N39)&gt;MATCH("おやつ",貼り付け用!$3:$3,0),"",
IF(VLOOKUP($A39,貼り付け用!$A$1:$BA$300,COLUMN(),FALSE)=0,"",VLOOKUP($A39,貼り付け用!$A$1:$BA$300,COLUMN(),FALSE))),"")</f>
        <v/>
      </c>
      <c r="O39" s="45" t="str">
        <f>IF($A39&lt;&gt;"",
IF(COLUMN(貼り付け用!O39)&gt;MATCH("おやつ",貼り付け用!$3:$3,0),"",
IF(VLOOKUP($A39,貼り付け用!$A$1:$BA$300,COLUMN(),FALSE)=0,"",VLOOKUP($A39,貼り付け用!$A$1:$BA$300,COLUMN(),FALSE))),"")</f>
        <v/>
      </c>
      <c r="P39" s="45" t="str">
        <f>IF($A39&lt;&gt;"",
IF(COLUMN(貼り付け用!P39)&gt;MATCH("おやつ",貼り付け用!$3:$3,0),"",
IF(VLOOKUP($A39,貼り付け用!$A$1:$BA$300,COLUMN(),FALSE)=0,"",VLOOKUP($A39,貼り付け用!$A$1:$BA$300,COLUMN(),FALSE))),"")</f>
        <v/>
      </c>
      <c r="Q39" s="45" t="str">
        <f>IF($A39&lt;&gt;"",
IF(COLUMN(貼り付け用!Q39)&gt;MATCH("おやつ",貼り付け用!$3:$3,0),"",
IF(VLOOKUP($A39,貼り付け用!$A$1:$BA$300,COLUMN(),FALSE)=0,"",VLOOKUP($A39,貼り付け用!$A$1:$BA$300,COLUMN(),FALSE))),"")</f>
        <v/>
      </c>
      <c r="R39" s="45" t="str">
        <f>IF($A39&lt;&gt;"",
IF(COLUMN(貼り付け用!R39)&gt;MATCH("おやつ",貼り付け用!$3:$3,0),"",
IF(VLOOKUP($A39,貼り付け用!$A$1:$BA$300,COLUMN(),FALSE)=0,"",VLOOKUP($A39,貼り付け用!$A$1:$BA$300,COLUMN(),FALSE))),"")</f>
        <v/>
      </c>
      <c r="S39" s="45" t="str">
        <f>IF($A39&lt;&gt;"",
IF(COLUMN(貼り付け用!S39)&gt;MATCH("おやつ",貼り付け用!$3:$3,0),"",
IF(VLOOKUP($A39,貼り付け用!$A$1:$BA$300,COLUMN(),FALSE)=0,"",VLOOKUP($A39,貼り付け用!$A$1:$BA$300,COLUMN(),FALSE))),"")</f>
        <v/>
      </c>
      <c r="T39" s="45" t="str">
        <f>IF(COLUMN(貼り付け用!T39)&gt;MATCH("おやつ",貼り付け用!$3:$3,0),"",
IF(VLOOKUP($A39,貼り付け用!$A$1:$BA$300,COLUMN(),FALSE)=0,"",VLOOKUP($A39,貼り付け用!$A$1:$BA$300,COLUMN(),FALSE)))</f>
        <v/>
      </c>
      <c r="U39" s="24"/>
      <c r="V39" s="21" t="str">
        <f>IF(A39&lt;&gt;"",
IF(VLOOKUP($A39,貼り付け用!$A$1:$BA$300,MATCH("おやつ",貼り付け用!$3:$3,0)+1,FALSE)=0,"",VLOOKUP($A39,貼り付け用!$A$1:$BA$300,MATCH("おやつ",貼り付け用!$3:$3,0)+1,FALSE)),"")</f>
        <v/>
      </c>
      <c r="W39" s="50" t="str">
        <f>IF(A39&lt;&gt;"",
IF(VLOOKUP($A39,貼り付け用!$A$1:$BA$300,MATCH("おやつ",貼り付け用!$3:$3,0)+2,FALSE)=0,"",VLOOKUP($A39,貼り付け用!$A$1:$BA$300,MATCH("おやつ",貼り付け用!$3:$3,0)+2,FALSE)),"")</f>
        <v/>
      </c>
    </row>
    <row r="40" spans="1:23" x14ac:dyDescent="0.45">
      <c r="A40" s="10" t="str">
        <f>IF(貼り付け用!$A$6&lt;&gt;"",
IF(ROW(A39)+1&gt;=MATCH("*【合計】*", 貼り付け用!$A:$A, 0),
"",
IF(貼り付け用!A40&lt;&gt;"",貼り付け用!A40,"")),
IF(ROW(A40)+1&gt;=MATCH("*【合計】*", 貼り付け用!$A:$A, 0),
"",
IF(貼り付け用!A41&lt;&gt;"",貼り付け用!A41,"")))</f>
        <v>600</v>
      </c>
      <c r="B40" s="50" t="str">
        <f>IF($A40&lt;&gt;"",IF(VLOOKUP($A40,貼り付け用!$A$1:$BA$300,COLUMN(),FALSE)=0,"",VLOOKUP($A40,貼り付け用!$A$1:$BA$300,COLUMN(),FALSE)),"")</f>
        <v/>
      </c>
      <c r="C40" s="50" t="str">
        <f>IF($A40&lt;&gt;"",IF(VLOOKUP($A40,貼り付け用!$A$1:$BA$300,COLUMN(),FALSE)=0,"",VLOOKUP($A40,貼り付け用!$A$1:$BA$300,COLUMN(),FALSE)),"")</f>
        <v/>
      </c>
      <c r="D40" s="50" t="str">
        <f>IF($A40&lt;&gt;"",IF(VLOOKUP($A40,貼り付け用!$A$1:$BA$300,COLUMN(),FALSE)=0,"",VLOOKUP($A40,貼り付け用!$A$1:$BA$300,COLUMN(),FALSE)),"")</f>
        <v/>
      </c>
      <c r="E40" s="50" t="str">
        <f>IF($A40&lt;&gt;"",IF(VLOOKUP($A40,貼り付け用!$A$1:$BA$300,COLUMN(),FALSE)=0,"",VLOOKUP($A40,貼り付け用!$A$1:$BA$300,COLUMN(),FALSE)),"")</f>
        <v/>
      </c>
      <c r="F40" s="50" t="str">
        <f>IF($A40&lt;&gt;"",IF(VLOOKUP($A40,貼り付け用!$A$1:$BA$300,COLUMN(),FALSE)=0,"",VLOOKUP($A40,貼り付け用!$A$1:$BA$300,COLUMN(),FALSE)),"")</f>
        <v/>
      </c>
      <c r="G40" s="50" t="str">
        <f>IF($A40&lt;&gt;"",IF(VLOOKUP($A40,貼り付け用!$A$1:$BA$300,COLUMN(),FALSE)=0,"",VLOOKUP($A40,貼り付け用!$A$1:$BA$300,COLUMN(),FALSE)),"")</f>
        <v/>
      </c>
      <c r="H40" s="50" t="str">
        <f>IF($A40&lt;&gt;"",IF(VLOOKUP($A40,貼り付け用!$A$1:$BA$300,COLUMN(),FALSE)=0,"",VLOOKUP($A40,貼り付け用!$A$1:$BA$300,COLUMN(),FALSE)),"")</f>
        <v/>
      </c>
      <c r="I40" s="50" t="str">
        <f>IF($A40&lt;&gt;"",IF(VLOOKUP($A40,貼り付け用!$A$1:$BA$300,COLUMN(),FALSE)=0,"",VLOOKUP($A40,貼り付け用!$A$1:$BA$300,COLUMN(),FALSE)),"")</f>
        <v/>
      </c>
      <c r="J40" s="50" t="str">
        <f>IF($A40&lt;&gt;"",IF(VLOOKUP($A40,貼り付け用!$A$1:$BA$300,COLUMN(),FALSE)=0,"",VLOOKUP($A40,貼り付け用!$A$1:$BA$300,COLUMN(),FALSE)),"")</f>
        <v/>
      </c>
      <c r="K40" s="50" t="str">
        <f>IF($A40&lt;&gt;"",IF(VLOOKUP($A40,貼り付け用!$A$1:$BA$300,COLUMN(),FALSE)=0,"",VLOOKUP($A40,貼り付け用!$A$1:$BA$300,COLUMN(),FALSE)),"")</f>
        <v/>
      </c>
      <c r="L40" s="50" t="str">
        <f>IF($A40&lt;&gt;"",
IF(COLUMN(貼り付け用!L40)&gt;MATCH("おやつ",貼り付け用!$3:$3,0),"",
IF(VLOOKUP($A40,貼り付け用!$A$1:$BA$300,COLUMN(),FALSE)=0,"",VLOOKUP($A40,貼り付け用!$A$1:$BA$300,COLUMN(),FALSE))),"")</f>
        <v/>
      </c>
      <c r="M40" s="50" t="str">
        <f>IF($A40&lt;&gt;"",
IF(COLUMN(貼り付け用!M40)&gt;MATCH("おやつ",貼り付け用!$3:$3,0),"",
IF(VLOOKUP($A40,貼り付け用!$A$1:$BA$300,COLUMN(),FALSE)=0,"",VLOOKUP($A40,貼り付け用!$A$1:$BA$300,COLUMN(),FALSE))),"")</f>
        <v/>
      </c>
      <c r="N40" s="50" t="str">
        <f>IF($A40&lt;&gt;"",
IF(COLUMN(貼り付け用!N40)&gt;MATCH("おやつ",貼り付け用!$3:$3,0),"",
IF(VLOOKUP($A40,貼り付け用!$A$1:$BA$300,COLUMN(),FALSE)=0,"",VLOOKUP($A40,貼り付け用!$A$1:$BA$300,COLUMN(),FALSE))),"")</f>
        <v/>
      </c>
      <c r="O40" s="50" t="str">
        <f>IF($A40&lt;&gt;"",
IF(COLUMN(貼り付け用!O40)&gt;MATCH("おやつ",貼り付け用!$3:$3,0),"",
IF(VLOOKUP($A40,貼り付け用!$A$1:$BA$300,COLUMN(),FALSE)=0,"",VLOOKUP($A40,貼り付け用!$A$1:$BA$300,COLUMN(),FALSE))),"")</f>
        <v>108</v>
      </c>
      <c r="P40" s="50" t="str">
        <f>IF($A40&lt;&gt;"",
IF(COLUMN(貼り付け用!P40)&gt;MATCH("おやつ",貼り付け用!$3:$3,0),"",
IF(VLOOKUP($A40,貼り付け用!$A$1:$BA$300,COLUMN(),FALSE)=0,"",VLOOKUP($A40,貼り付け用!$A$1:$BA$300,COLUMN(),FALSE))),"")</f>
        <v/>
      </c>
      <c r="Q40" s="50" t="str">
        <f>IF($A40&lt;&gt;"",
IF(COLUMN(貼り付け用!Q40)&gt;MATCH("おやつ",貼り付け用!$3:$3,0),"",
IF(VLOOKUP($A40,貼り付け用!$A$1:$BA$300,COLUMN(),FALSE)=0,"",VLOOKUP($A40,貼り付け用!$A$1:$BA$300,COLUMN(),FALSE))),"")</f>
        <v/>
      </c>
      <c r="R40" s="50" t="str">
        <f>IF($A40&lt;&gt;"",
IF(COLUMN(貼り付け用!R40)&gt;MATCH("おやつ",貼り付け用!$3:$3,0),"",
IF(VLOOKUP($A40,貼り付け用!$A$1:$BA$300,COLUMN(),FALSE)=0,"",VLOOKUP($A40,貼り付け用!$A$1:$BA$300,COLUMN(),FALSE))),"")</f>
        <v/>
      </c>
      <c r="S40" s="50" t="str">
        <f>IF($A40&lt;&gt;"",
IF(COLUMN(貼り付け用!S40)&gt;MATCH("おやつ",貼り付け用!$3:$3,0),"",
IF(VLOOKUP($A40,貼り付け用!$A$1:$BA$300,COLUMN(),FALSE)=0,"",VLOOKUP($A40,貼り付け用!$A$1:$BA$300,COLUMN(),FALSE))),"")</f>
        <v/>
      </c>
      <c r="T40" s="50" t="str">
        <f>IF(COLUMN(貼り付け用!T40)&gt;MATCH("おやつ",貼り付け用!$3:$3,0),"",
IF(VLOOKUP($A40,貼り付け用!$A$1:$BA$300,COLUMN(),FALSE)=0,"",VLOOKUP($A40,貼り付け用!$A$1:$BA$300,COLUMN(),FALSE)))</f>
        <v/>
      </c>
      <c r="U40" s="23"/>
      <c r="V40" s="21" t="str">
        <f>IF(A40&lt;&gt;"",
IF(VLOOKUP($A40,貼り付け用!$A$1:$BA$300,MATCH("おやつ",貼り付け用!$3:$3,0)+1,FALSE)=0,"",VLOOKUP($A40,貼り付け用!$A$1:$BA$300,MATCH("おやつ",貼り付け用!$3:$3,0)+1,FALSE)),"")</f>
        <v>スープ付き</v>
      </c>
      <c r="W40" s="50" t="str">
        <f>IF(A40&lt;&gt;"",
IF(VLOOKUP($A40,貼り付け用!$A$1:$BA$300,MATCH("おやつ",貼り付け用!$3:$3,0)+2,FALSE)=0,"",VLOOKUP($A40,貼り付け用!$A$1:$BA$300,MATCH("おやつ",貼り付け用!$3:$3,0)+2,FALSE)),"")</f>
        <v/>
      </c>
    </row>
    <row r="41" spans="1:23" x14ac:dyDescent="0.45">
      <c r="A41" s="22" t="str">
        <f>IF(貼り付け用!$A$6&lt;&gt;"",
IF(ROW(A40)+1&gt;=MATCH("*【合計】*", 貼り付け用!$A:$A, 0),"",
IF(貼り付け用!A41&lt;&gt;"",貼り付け用!A41,"")),
IF(ROW(A41)+1&gt;=MATCH("*【合計】*", 貼り付け用!$A:$A, 0),"",
IF(貼り付け用!A42&lt;&gt;"",貼り付け用!A42,"")))</f>
        <v>博多第一 週3ｺｰｽ</v>
      </c>
      <c r="B41" s="45" t="str">
        <f>IF($A41&lt;&gt;"",IF(VLOOKUP($A41,貼り付け用!$A$1:$BA$300,COLUMN(),FALSE)=0,"",VLOOKUP($A41,貼り付け用!$A$1:$BA$300,COLUMN(),FALSE)),"")</f>
        <v/>
      </c>
      <c r="C41" s="45" t="str">
        <f>IF($A41&lt;&gt;"",IF(VLOOKUP($A41,貼り付け用!$A$1:$BA$300,COLUMN(),FALSE)=0,"",VLOOKUP($A41,貼り付け用!$A$1:$BA$300,COLUMN(),FALSE)),"")</f>
        <v/>
      </c>
      <c r="D41" s="45" t="str">
        <f>IF($A41&lt;&gt;"",IF(VLOOKUP($A41,貼り付け用!$A$1:$BA$300,COLUMN(),FALSE)=0,"",VLOOKUP($A41,貼り付け用!$A$1:$BA$300,COLUMN(),FALSE)),"")</f>
        <v/>
      </c>
      <c r="E41" s="45" t="str">
        <f>IF($A41&lt;&gt;"",IF(VLOOKUP($A41,貼り付け用!$A$1:$BA$300,COLUMN(),FALSE)=0,"",VLOOKUP($A41,貼り付け用!$A$1:$BA$300,COLUMN(),FALSE)),"")</f>
        <v/>
      </c>
      <c r="F41" s="45" t="str">
        <f>IF($A41&lt;&gt;"",IF(VLOOKUP($A41,貼り付け用!$A$1:$BA$300,COLUMN(),FALSE)=0,"",VLOOKUP($A41,貼り付け用!$A$1:$BA$300,COLUMN(),FALSE)),"")</f>
        <v/>
      </c>
      <c r="G41" s="45" t="str">
        <f>IF($A41&lt;&gt;"",IF(VLOOKUP($A41,貼り付け用!$A$1:$BA$300,COLUMN(),FALSE)=0,"",VLOOKUP($A41,貼り付け用!$A$1:$BA$300,COLUMN(),FALSE)),"")</f>
        <v/>
      </c>
      <c r="H41" s="45" t="str">
        <f>IF($A41&lt;&gt;"",IF(VLOOKUP($A41,貼り付け用!$A$1:$BA$300,COLUMN(),FALSE)=0,"",VLOOKUP($A41,貼り付け用!$A$1:$BA$300,COLUMN(),FALSE)),"")</f>
        <v/>
      </c>
      <c r="I41" s="45" t="str">
        <f>IF($A41&lt;&gt;"",IF(VLOOKUP($A41,貼り付け用!$A$1:$BA$300,COLUMN(),FALSE)=0,"",VLOOKUP($A41,貼り付け用!$A$1:$BA$300,COLUMN(),FALSE)),"")</f>
        <v/>
      </c>
      <c r="J41" s="45" t="str">
        <f>IF($A41&lt;&gt;"",IF(VLOOKUP($A41,貼り付け用!$A$1:$BA$300,COLUMN(),FALSE)=0,"",VLOOKUP($A41,貼り付け用!$A$1:$BA$300,COLUMN(),FALSE)),"")</f>
        <v/>
      </c>
      <c r="K41" s="45" t="str">
        <f>IF($A41&lt;&gt;"",IF(VLOOKUP($A41,貼り付け用!$A$1:$BA$300,COLUMN(),FALSE)=0,"",VLOOKUP($A41,貼り付け用!$A$1:$BA$300,COLUMN(),FALSE)),"")</f>
        <v/>
      </c>
      <c r="L41" s="45" t="str">
        <f>IF($A41&lt;&gt;"",
IF(COLUMN(貼り付け用!L41)&gt;MATCH("おやつ",貼り付け用!$3:$3,0),"",
IF(VLOOKUP($A41,貼り付け用!$A$1:$BA$300,COLUMN(),FALSE)=0,"",VLOOKUP($A41,貼り付け用!$A$1:$BA$300,COLUMN(),FALSE))),"")</f>
        <v/>
      </c>
      <c r="M41" s="45" t="str">
        <f>IF($A41&lt;&gt;"",
IF(COLUMN(貼り付け用!M41)&gt;MATCH("おやつ",貼り付け用!$3:$3,0),"",
IF(VLOOKUP($A41,貼り付け用!$A$1:$BA$300,COLUMN(),FALSE)=0,"",VLOOKUP($A41,貼り付け用!$A$1:$BA$300,COLUMN(),FALSE))),"")</f>
        <v/>
      </c>
      <c r="N41" s="45" t="str">
        <f>IF($A41&lt;&gt;"",
IF(COLUMN(貼り付け用!N41)&gt;MATCH("おやつ",貼り付け用!$3:$3,0),"",
IF(VLOOKUP($A41,貼り付け用!$A$1:$BA$300,COLUMN(),FALSE)=0,"",VLOOKUP($A41,貼り付け用!$A$1:$BA$300,COLUMN(),FALSE))),"")</f>
        <v/>
      </c>
      <c r="O41" s="45" t="str">
        <f>IF($A41&lt;&gt;"",
IF(COLUMN(貼り付け用!O41)&gt;MATCH("おやつ",貼り付け用!$3:$3,0),"",
IF(VLOOKUP($A41,貼り付け用!$A$1:$BA$300,COLUMN(),FALSE)=0,"",VLOOKUP($A41,貼り付け用!$A$1:$BA$300,COLUMN(),FALSE))),"")</f>
        <v>17</v>
      </c>
      <c r="P41" s="45" t="str">
        <f>IF($A41&lt;&gt;"",
IF(COLUMN(貼り付け用!P41)&gt;MATCH("おやつ",貼り付け用!$3:$3,0),"",
IF(VLOOKUP($A41,貼り付け用!$A$1:$BA$300,COLUMN(),FALSE)=0,"",VLOOKUP($A41,貼り付け用!$A$1:$BA$300,COLUMN(),FALSE))),"")</f>
        <v/>
      </c>
      <c r="Q41" s="45" t="str">
        <f>IF($A41&lt;&gt;"",
IF(COLUMN(貼り付け用!Q41)&gt;MATCH("おやつ",貼り付け用!$3:$3,0),"",
IF(VLOOKUP($A41,貼り付け用!$A$1:$BA$300,COLUMN(),FALSE)=0,"",VLOOKUP($A41,貼り付け用!$A$1:$BA$300,COLUMN(),FALSE))),"")</f>
        <v/>
      </c>
      <c r="R41" s="45" t="str">
        <f>IF($A41&lt;&gt;"",
IF(COLUMN(貼り付け用!R41)&gt;MATCH("おやつ",貼り付け用!$3:$3,0),"",
IF(VLOOKUP($A41,貼り付け用!$A$1:$BA$300,COLUMN(),FALSE)=0,"",VLOOKUP($A41,貼り付け用!$A$1:$BA$300,COLUMN(),FALSE))),"")</f>
        <v/>
      </c>
      <c r="S41" s="45" t="str">
        <f>IF($A41&lt;&gt;"",
IF(COLUMN(貼り付け用!S41)&gt;MATCH("おやつ",貼り付け用!$3:$3,0),"",
IF(VLOOKUP($A41,貼り付け用!$A$1:$BA$300,COLUMN(),FALSE)=0,"",VLOOKUP($A41,貼り付け用!$A$1:$BA$300,COLUMN(),FALSE))),"")</f>
        <v/>
      </c>
      <c r="T41" s="45" t="str">
        <f>IF(COLUMN(貼り付け用!T41)&gt;MATCH("おやつ",貼り付け用!$3:$3,0),"",
IF(VLOOKUP($A41,貼り付け用!$A$1:$BA$300,COLUMN(),FALSE)=0,"",VLOOKUP($A41,貼り付け用!$A$1:$BA$300,COLUMN(),FALSE)))</f>
        <v/>
      </c>
      <c r="U41" s="24"/>
      <c r="V41" s="21" t="str">
        <f>IF(A41&lt;&gt;"",
IF(VLOOKUP($A41,貼り付け用!$A$1:$BA$300,MATCH("おやつ",貼り付け用!$3:$3,0)+1,FALSE)=0,"",VLOOKUP($A41,貼り付け用!$A$1:$BA$300,MATCH("おやつ",貼り付け用!$3:$3,0)+1,FALSE)),"")</f>
        <v/>
      </c>
      <c r="W41" s="50" t="str">
        <f>IF(A41&lt;&gt;"",
IF(VLOOKUP($A41,貼り付け用!$A$1:$BA$300,MATCH("おやつ",貼り付け用!$3:$3,0)+2,FALSE)=0,"",VLOOKUP($A41,貼り付け用!$A$1:$BA$300,MATCH("おやつ",貼り付け用!$3:$3,0)+2,FALSE)),"")</f>
        <v/>
      </c>
    </row>
    <row r="42" spans="1:23" x14ac:dyDescent="0.45">
      <c r="A42" s="10" t="str">
        <f>IF(貼り付け用!$A$6&lt;&gt;"",
IF(ROW(A41)+1&gt;=MATCH("*【合計】*", 貼り付け用!$A:$A, 0),
"",
IF(貼り付け用!A42&lt;&gt;"",貼り付け用!A42,"")),
IF(ROW(A42)+1&gt;=MATCH("*【合計】*", 貼り付け用!$A:$A, 0),
"",
IF(貼り付け用!A43&lt;&gt;"",貼り付け用!A43,"")))</f>
        <v>606</v>
      </c>
      <c r="B42" s="50" t="str">
        <f>IF($A42&lt;&gt;"",IF(VLOOKUP($A42,貼り付け用!$A$1:$BA$300,COLUMN(),FALSE)=0,"",VLOOKUP($A42,貼り付け用!$A$1:$BA$300,COLUMN(),FALSE)),"")</f>
        <v/>
      </c>
      <c r="C42" s="50" t="str">
        <f>IF($A42&lt;&gt;"",IF(VLOOKUP($A42,貼り付け用!$A$1:$BA$300,COLUMN(),FALSE)=0,"",VLOOKUP($A42,貼り付け用!$A$1:$BA$300,COLUMN(),FALSE)),"")</f>
        <v/>
      </c>
      <c r="D42" s="50" t="str">
        <f>IF($A42&lt;&gt;"",IF(VLOOKUP($A42,貼り付け用!$A$1:$BA$300,COLUMN(),FALSE)=0,"",VLOOKUP($A42,貼り付け用!$A$1:$BA$300,COLUMN(),FALSE)),"")</f>
        <v/>
      </c>
      <c r="E42" s="50" t="str">
        <f>IF($A42&lt;&gt;"",IF(VLOOKUP($A42,貼り付け用!$A$1:$BA$300,COLUMN(),FALSE)=0,"",VLOOKUP($A42,貼り付け用!$A$1:$BA$300,COLUMN(),FALSE)),"")</f>
        <v/>
      </c>
      <c r="F42" s="50" t="str">
        <f>IF($A42&lt;&gt;"",IF(VLOOKUP($A42,貼り付け用!$A$1:$BA$300,COLUMN(),FALSE)=0,"",VLOOKUP($A42,貼り付け用!$A$1:$BA$300,COLUMN(),FALSE)),"")</f>
        <v/>
      </c>
      <c r="G42" s="50" t="str">
        <f>IF($A42&lt;&gt;"",IF(VLOOKUP($A42,貼り付け用!$A$1:$BA$300,COLUMN(),FALSE)=0,"",VLOOKUP($A42,貼り付け用!$A$1:$BA$300,COLUMN(),FALSE)),"")</f>
        <v/>
      </c>
      <c r="H42" s="50" t="str">
        <f>IF($A42&lt;&gt;"",IF(VLOOKUP($A42,貼り付け用!$A$1:$BA$300,COLUMN(),FALSE)=0,"",VLOOKUP($A42,貼り付け用!$A$1:$BA$300,COLUMN(),FALSE)),"")</f>
        <v/>
      </c>
      <c r="I42" s="50" t="str">
        <f>IF($A42&lt;&gt;"",IF(VLOOKUP($A42,貼り付け用!$A$1:$BA$300,COLUMN(),FALSE)=0,"",VLOOKUP($A42,貼り付け用!$A$1:$BA$300,COLUMN(),FALSE)),"")</f>
        <v/>
      </c>
      <c r="J42" s="50" t="str">
        <f>IF($A42&lt;&gt;"",IF(VLOOKUP($A42,貼り付け用!$A$1:$BA$300,COLUMN(),FALSE)=0,"",VLOOKUP($A42,貼り付け用!$A$1:$BA$300,COLUMN(),FALSE)),"")</f>
        <v/>
      </c>
      <c r="K42" s="50" t="str">
        <f>IF($A42&lt;&gt;"",IF(VLOOKUP($A42,貼り付け用!$A$1:$BA$300,COLUMN(),FALSE)=0,"",VLOOKUP($A42,貼り付け用!$A$1:$BA$300,COLUMN(),FALSE)),"")</f>
        <v/>
      </c>
      <c r="L42" s="50" t="str">
        <f>IF($A42&lt;&gt;"",
IF(COLUMN(貼り付け用!L42)&gt;MATCH("おやつ",貼り付け用!$3:$3,0),"",
IF(VLOOKUP($A42,貼り付け用!$A$1:$BA$300,COLUMN(),FALSE)=0,"",VLOOKUP($A42,貼り付け用!$A$1:$BA$300,COLUMN(),FALSE))),"")</f>
        <v/>
      </c>
      <c r="M42" s="50" t="str">
        <f>IF($A42&lt;&gt;"",
IF(COLUMN(貼り付け用!M42)&gt;MATCH("おやつ",貼り付け用!$3:$3,0),"",
IF(VLOOKUP($A42,貼り付け用!$A$1:$BA$300,COLUMN(),FALSE)=0,"",VLOOKUP($A42,貼り付け用!$A$1:$BA$300,COLUMN(),FALSE))),"")</f>
        <v/>
      </c>
      <c r="N42" s="50" t="str">
        <f>IF($A42&lt;&gt;"",
IF(COLUMN(貼り付け用!N42)&gt;MATCH("おやつ",貼り付け用!$3:$3,0),"",
IF(VLOOKUP($A42,貼り付け用!$A$1:$BA$300,COLUMN(),FALSE)=0,"",VLOOKUP($A42,貼り付け用!$A$1:$BA$300,COLUMN(),FALSE))),"")</f>
        <v/>
      </c>
      <c r="O42" s="50" t="str">
        <f>IF($A42&lt;&gt;"",
IF(COLUMN(貼り付け用!O42)&gt;MATCH("おやつ",貼り付け用!$3:$3,0),"",
IF(VLOOKUP($A42,貼り付け用!$A$1:$BA$300,COLUMN(),FALSE)=0,"",VLOOKUP($A42,貼り付け用!$A$1:$BA$300,COLUMN(),FALSE))),"")</f>
        <v>236</v>
      </c>
      <c r="P42" s="50" t="str">
        <f>IF($A42&lt;&gt;"",
IF(COLUMN(貼り付け用!P42)&gt;MATCH("おやつ",貼り付け用!$3:$3,0),"",
IF(VLOOKUP($A42,貼り付け用!$A$1:$BA$300,COLUMN(),FALSE)=0,"",VLOOKUP($A42,貼り付け用!$A$1:$BA$300,COLUMN(),FALSE))),"")</f>
        <v/>
      </c>
      <c r="Q42" s="50" t="str">
        <f>IF($A42&lt;&gt;"",
IF(COLUMN(貼り付け用!Q42)&gt;MATCH("おやつ",貼り付け用!$3:$3,0),"",
IF(VLOOKUP($A42,貼り付け用!$A$1:$BA$300,COLUMN(),FALSE)=0,"",VLOOKUP($A42,貼り付け用!$A$1:$BA$300,COLUMN(),FALSE))),"")</f>
        <v/>
      </c>
      <c r="R42" s="50" t="str">
        <f>IF($A42&lt;&gt;"",
IF(COLUMN(貼り付け用!R42)&gt;MATCH("おやつ",貼り付け用!$3:$3,0),"",
IF(VLOOKUP($A42,貼り付け用!$A$1:$BA$300,COLUMN(),FALSE)=0,"",VLOOKUP($A42,貼り付け用!$A$1:$BA$300,COLUMN(),FALSE))),"")</f>
        <v/>
      </c>
      <c r="S42" s="50" t="str">
        <f>IF($A42&lt;&gt;"",
IF(COLUMN(貼り付け用!S42)&gt;MATCH("おやつ",貼り付け用!$3:$3,0),"",
IF(VLOOKUP($A42,貼り付け用!$A$1:$BA$300,COLUMN(),FALSE)=0,"",VLOOKUP($A42,貼り付け用!$A$1:$BA$300,COLUMN(),FALSE))),"")</f>
        <v/>
      </c>
      <c r="T42" s="50" t="str">
        <f>IF(COLUMN(貼り付け用!T42)&gt;MATCH("おやつ",貼り付け用!$3:$3,0),"",
IF(VLOOKUP($A42,貼り付け用!$A$1:$BA$300,COLUMN(),FALSE)=0,"",VLOOKUP($A42,貼り付け用!$A$1:$BA$300,COLUMN(),FALSE)))</f>
        <v/>
      </c>
      <c r="U42" s="23"/>
      <c r="V42" s="21" t="str">
        <f>IF(A42&lt;&gt;"",
IF(VLOOKUP($A42,貼り付け用!$A$1:$BA$300,MATCH("おやつ",貼り付け用!$3:$3,0)+1,FALSE)=0,"",VLOOKUP($A42,貼り付け用!$A$1:$BA$300,MATCH("おやつ",貼り付け用!$3:$3,0)+1,FALSE)),"")</f>
        <v>スープ付き</v>
      </c>
      <c r="W42" s="50" t="str">
        <f>IF(A42&lt;&gt;"",
IF(VLOOKUP($A42,貼り付け用!$A$1:$BA$300,MATCH("おやつ",貼り付け用!$3:$3,0)+2,FALSE)=0,"",VLOOKUP($A42,貼り付け用!$A$1:$BA$300,MATCH("おやつ",貼り付け用!$3:$3,0)+2,FALSE)),"")</f>
        <v/>
      </c>
    </row>
    <row r="43" spans="1:23" x14ac:dyDescent="0.45">
      <c r="A43" s="22" t="str">
        <f>IF(貼り付け用!$A$6&lt;&gt;"",
IF(ROW(A42)+1&gt;=MATCH("*【合計】*", 貼り付け用!$A:$A, 0),"",
IF(貼り付け用!A43&lt;&gt;"",貼り付け用!A43,"")),
IF(ROW(A43)+1&gt;=MATCH("*【合計】*", 貼り付け用!$A:$A, 0),"",
IF(貼り付け用!A44&lt;&gt;"",貼り付け用!A44,"")))</f>
        <v>博多第一 週5ｺｰｽ</v>
      </c>
      <c r="B43" s="45" t="str">
        <f>IF($A43&lt;&gt;"",IF(VLOOKUP($A43,貼り付け用!$A$1:$BA$300,COLUMN(),FALSE)=0,"",VLOOKUP($A43,貼り付け用!$A$1:$BA$300,COLUMN(),FALSE)),"")</f>
        <v/>
      </c>
      <c r="C43" s="45" t="str">
        <f>IF($A43&lt;&gt;"",IF(VLOOKUP($A43,貼り付け用!$A$1:$BA$300,COLUMN(),FALSE)=0,"",VLOOKUP($A43,貼り付け用!$A$1:$BA$300,COLUMN(),FALSE)),"")</f>
        <v/>
      </c>
      <c r="D43" s="45" t="str">
        <f>IF($A43&lt;&gt;"",IF(VLOOKUP($A43,貼り付け用!$A$1:$BA$300,COLUMN(),FALSE)=0,"",VLOOKUP($A43,貼り付け用!$A$1:$BA$300,COLUMN(),FALSE)),"")</f>
        <v/>
      </c>
      <c r="E43" s="45" t="str">
        <f>IF($A43&lt;&gt;"",IF(VLOOKUP($A43,貼り付け用!$A$1:$BA$300,COLUMN(),FALSE)=0,"",VLOOKUP($A43,貼り付け用!$A$1:$BA$300,COLUMN(),FALSE)),"")</f>
        <v/>
      </c>
      <c r="F43" s="45" t="str">
        <f>IF($A43&lt;&gt;"",IF(VLOOKUP($A43,貼り付け用!$A$1:$BA$300,COLUMN(),FALSE)=0,"",VLOOKUP($A43,貼り付け用!$A$1:$BA$300,COLUMN(),FALSE)),"")</f>
        <v/>
      </c>
      <c r="G43" s="45" t="str">
        <f>IF($A43&lt;&gt;"",IF(VLOOKUP($A43,貼り付け用!$A$1:$BA$300,COLUMN(),FALSE)=0,"",VLOOKUP($A43,貼り付け用!$A$1:$BA$300,COLUMN(),FALSE)),"")</f>
        <v/>
      </c>
      <c r="H43" s="45" t="str">
        <f>IF($A43&lt;&gt;"",IF(VLOOKUP($A43,貼り付け用!$A$1:$BA$300,COLUMN(),FALSE)=0,"",VLOOKUP($A43,貼り付け用!$A$1:$BA$300,COLUMN(),FALSE)),"")</f>
        <v/>
      </c>
      <c r="I43" s="45" t="str">
        <f>IF($A43&lt;&gt;"",IF(VLOOKUP($A43,貼り付け用!$A$1:$BA$300,COLUMN(),FALSE)=0,"",VLOOKUP($A43,貼り付け用!$A$1:$BA$300,COLUMN(),FALSE)),"")</f>
        <v/>
      </c>
      <c r="J43" s="45" t="str">
        <f>IF($A43&lt;&gt;"",IF(VLOOKUP($A43,貼り付け用!$A$1:$BA$300,COLUMN(),FALSE)=0,"",VLOOKUP($A43,貼り付け用!$A$1:$BA$300,COLUMN(),FALSE)),"")</f>
        <v/>
      </c>
      <c r="K43" s="45" t="str">
        <f>IF($A43&lt;&gt;"",IF(VLOOKUP($A43,貼り付け用!$A$1:$BA$300,COLUMN(),FALSE)=0,"",VLOOKUP($A43,貼り付け用!$A$1:$BA$300,COLUMN(),FALSE)),"")</f>
        <v/>
      </c>
      <c r="L43" s="45" t="str">
        <f>IF($A43&lt;&gt;"",
IF(COLUMN(貼り付け用!L43)&gt;MATCH("おやつ",貼り付け用!$3:$3,0),"",
IF(VLOOKUP($A43,貼り付け用!$A$1:$BA$300,COLUMN(),FALSE)=0,"",VLOOKUP($A43,貼り付け用!$A$1:$BA$300,COLUMN(),FALSE))),"")</f>
        <v/>
      </c>
      <c r="M43" s="45" t="str">
        <f>IF($A43&lt;&gt;"",
IF(COLUMN(貼り付け用!M43)&gt;MATCH("おやつ",貼り付け用!$3:$3,0),"",
IF(VLOOKUP($A43,貼り付け用!$A$1:$BA$300,COLUMN(),FALSE)=0,"",VLOOKUP($A43,貼り付け用!$A$1:$BA$300,COLUMN(),FALSE))),"")</f>
        <v/>
      </c>
      <c r="N43" s="45" t="str">
        <f>IF($A43&lt;&gt;"",
IF(COLUMN(貼り付け用!N43)&gt;MATCH("おやつ",貼り付け用!$3:$3,0),"",
IF(VLOOKUP($A43,貼り付け用!$A$1:$BA$300,COLUMN(),FALSE)=0,"",VLOOKUP($A43,貼り付け用!$A$1:$BA$300,COLUMN(),FALSE))),"")</f>
        <v/>
      </c>
      <c r="O43" s="45" t="str">
        <f>IF($A43&lt;&gt;"",
IF(COLUMN(貼り付け用!O43)&gt;MATCH("おやつ",貼り付け用!$3:$3,0),"",
IF(VLOOKUP($A43,貼り付け用!$A$1:$BA$300,COLUMN(),FALSE)=0,"",VLOOKUP($A43,貼り付け用!$A$1:$BA$300,COLUMN(),FALSE))),"")</f>
        <v/>
      </c>
      <c r="P43" s="45" t="str">
        <f>IF($A43&lt;&gt;"",
IF(COLUMN(貼り付け用!P43)&gt;MATCH("おやつ",貼り付け用!$3:$3,0),"",
IF(VLOOKUP($A43,貼り付け用!$A$1:$BA$300,COLUMN(),FALSE)=0,"",VLOOKUP($A43,貼り付け用!$A$1:$BA$300,COLUMN(),FALSE))),"")</f>
        <v/>
      </c>
      <c r="Q43" s="45" t="str">
        <f>IF($A43&lt;&gt;"",
IF(COLUMN(貼り付け用!Q43)&gt;MATCH("おやつ",貼り付け用!$3:$3,0),"",
IF(VLOOKUP($A43,貼り付け用!$A$1:$BA$300,COLUMN(),FALSE)=0,"",VLOOKUP($A43,貼り付け用!$A$1:$BA$300,COLUMN(),FALSE))),"")</f>
        <v/>
      </c>
      <c r="R43" s="45" t="str">
        <f>IF($A43&lt;&gt;"",
IF(COLUMN(貼り付け用!R43)&gt;MATCH("おやつ",貼り付け用!$3:$3,0),"",
IF(VLOOKUP($A43,貼り付け用!$A$1:$BA$300,COLUMN(),FALSE)=0,"",VLOOKUP($A43,貼り付け用!$A$1:$BA$300,COLUMN(),FALSE))),"")</f>
        <v/>
      </c>
      <c r="S43" s="45" t="str">
        <f>IF($A43&lt;&gt;"",
IF(COLUMN(貼り付け用!S43)&gt;MATCH("おやつ",貼り付け用!$3:$3,0),"",
IF(VLOOKUP($A43,貼り付け用!$A$1:$BA$300,COLUMN(),FALSE)=0,"",VLOOKUP($A43,貼り付け用!$A$1:$BA$300,COLUMN(),FALSE))),"")</f>
        <v/>
      </c>
      <c r="T43" s="45" t="str">
        <f>IF(COLUMN(貼り付け用!T43)&gt;MATCH("おやつ",貼り付け用!$3:$3,0),"",
IF(VLOOKUP($A43,貼り付け用!$A$1:$BA$300,COLUMN(),FALSE)=0,"",VLOOKUP($A43,貼り付け用!$A$1:$BA$300,COLUMN(),FALSE)))</f>
        <v/>
      </c>
      <c r="U43" s="24"/>
      <c r="V43" s="21" t="str">
        <f>IF(A43&lt;&gt;"",
IF(VLOOKUP($A43,貼り付け用!$A$1:$BA$300,MATCH("おやつ",貼り付け用!$3:$3,0)+1,FALSE)=0,"",VLOOKUP($A43,貼り付け用!$A$1:$BA$300,MATCH("おやつ",貼り付け用!$3:$3,0)+1,FALSE)),"")</f>
        <v/>
      </c>
      <c r="W43" s="50" t="str">
        <f>IF(A43&lt;&gt;"",
IF(VLOOKUP($A43,貼り付け用!$A$1:$BA$300,MATCH("おやつ",貼り付け用!$3:$3,0)+2,FALSE)=0,"",VLOOKUP($A43,貼り付け用!$A$1:$BA$300,MATCH("おやつ",貼り付け用!$3:$3,0)+2,FALSE)),"")</f>
        <v/>
      </c>
    </row>
    <row r="44" spans="1:23" x14ac:dyDescent="0.45">
      <c r="A44" s="10" t="str">
        <f>IF(貼り付け用!$A$6&lt;&gt;"",
IF(ROW(A43)+1&gt;=MATCH("*【合計】*", 貼り付け用!$A:$A, 0),
"",
IF(貼り付け用!A44&lt;&gt;"",貼り付け用!A44,"")),
IF(ROW(A44)+1&gt;=MATCH("*【合計】*", 貼り付け用!$A:$A, 0),
"",
IF(貼り付け用!A45&lt;&gt;"",貼り付け用!A45,"")))</f>
        <v>607</v>
      </c>
      <c r="B44" s="50" t="str">
        <f>IF($A44&lt;&gt;"",IF(VLOOKUP($A44,貼り付け用!$A$1:$BA$300,COLUMN(),FALSE)=0,"",VLOOKUP($A44,貼り付け用!$A$1:$BA$300,COLUMN(),FALSE)),"")</f>
        <v/>
      </c>
      <c r="C44" s="50" t="str">
        <f>IF($A44&lt;&gt;"",IF(VLOOKUP($A44,貼り付け用!$A$1:$BA$300,COLUMN(),FALSE)=0,"",VLOOKUP($A44,貼り付け用!$A$1:$BA$300,COLUMN(),FALSE)),"")</f>
        <v/>
      </c>
      <c r="D44" s="50" t="str">
        <f>IF($A44&lt;&gt;"",IF(VLOOKUP($A44,貼り付け用!$A$1:$BA$300,COLUMN(),FALSE)=0,"",VLOOKUP($A44,貼り付け用!$A$1:$BA$300,COLUMN(),FALSE)),"")</f>
        <v/>
      </c>
      <c r="E44" s="50" t="str">
        <f>IF($A44&lt;&gt;"",IF(VLOOKUP($A44,貼り付け用!$A$1:$BA$300,COLUMN(),FALSE)=0,"",VLOOKUP($A44,貼り付け用!$A$1:$BA$300,COLUMN(),FALSE)),"")</f>
        <v/>
      </c>
      <c r="F44" s="50" t="str">
        <f>IF($A44&lt;&gt;"",IF(VLOOKUP($A44,貼り付け用!$A$1:$BA$300,COLUMN(),FALSE)=0,"",VLOOKUP($A44,貼り付け用!$A$1:$BA$300,COLUMN(),FALSE)),"")</f>
        <v/>
      </c>
      <c r="G44" s="50" t="str">
        <f>IF($A44&lt;&gt;"",IF(VLOOKUP($A44,貼り付け用!$A$1:$BA$300,COLUMN(),FALSE)=0,"",VLOOKUP($A44,貼り付け用!$A$1:$BA$300,COLUMN(),FALSE)),"")</f>
        <v/>
      </c>
      <c r="H44" s="50" t="str">
        <f>IF($A44&lt;&gt;"",IF(VLOOKUP($A44,貼り付け用!$A$1:$BA$300,COLUMN(),FALSE)=0,"",VLOOKUP($A44,貼り付け用!$A$1:$BA$300,COLUMN(),FALSE)),"")</f>
        <v/>
      </c>
      <c r="I44" s="50" t="str">
        <f>IF($A44&lt;&gt;"",IF(VLOOKUP($A44,貼り付け用!$A$1:$BA$300,COLUMN(),FALSE)=0,"",VLOOKUP($A44,貼り付け用!$A$1:$BA$300,COLUMN(),FALSE)),"")</f>
        <v/>
      </c>
      <c r="J44" s="50" t="str">
        <f>IF($A44&lt;&gt;"",IF(VLOOKUP($A44,貼り付け用!$A$1:$BA$300,COLUMN(),FALSE)=0,"",VLOOKUP($A44,貼り付け用!$A$1:$BA$300,COLUMN(),FALSE)),"")</f>
        <v/>
      </c>
      <c r="K44" s="50" t="str">
        <f>IF($A44&lt;&gt;"",IF(VLOOKUP($A44,貼り付け用!$A$1:$BA$300,COLUMN(),FALSE)=0,"",VLOOKUP($A44,貼り付け用!$A$1:$BA$300,COLUMN(),FALSE)),"")</f>
        <v/>
      </c>
      <c r="L44" s="50" t="str">
        <f>IF($A44&lt;&gt;"",
IF(COLUMN(貼り付け用!L44)&gt;MATCH("おやつ",貼り付け用!$3:$3,0),"",
IF(VLOOKUP($A44,貼り付け用!$A$1:$BA$300,COLUMN(),FALSE)=0,"",VLOOKUP($A44,貼り付け用!$A$1:$BA$300,COLUMN(),FALSE))),"")</f>
        <v/>
      </c>
      <c r="M44" s="50" t="str">
        <f>IF($A44&lt;&gt;"",
IF(COLUMN(貼り付け用!M44)&gt;MATCH("おやつ",貼り付け用!$3:$3,0),"",
IF(VLOOKUP($A44,貼り付け用!$A$1:$BA$300,COLUMN(),FALSE)=0,"",VLOOKUP($A44,貼り付け用!$A$1:$BA$300,COLUMN(),FALSE))),"")</f>
        <v/>
      </c>
      <c r="N44" s="50" t="str">
        <f>IF($A44&lt;&gt;"",
IF(COLUMN(貼り付け用!N44)&gt;MATCH("おやつ",貼り付け用!$3:$3,0),"",
IF(VLOOKUP($A44,貼り付け用!$A$1:$BA$300,COLUMN(),FALSE)=0,"",VLOOKUP($A44,貼り付け用!$A$1:$BA$300,COLUMN(),FALSE))),"")</f>
        <v/>
      </c>
      <c r="O44" s="50" t="str">
        <f>IF($A44&lt;&gt;"",
IF(COLUMN(貼り付け用!O44)&gt;MATCH("おやつ",貼り付け用!$3:$3,0),"",
IF(VLOOKUP($A44,貼り付け用!$A$1:$BA$300,COLUMN(),FALSE)=0,"",VLOOKUP($A44,貼り付け用!$A$1:$BA$300,COLUMN(),FALSE))),"")</f>
        <v/>
      </c>
      <c r="P44" s="50" t="str">
        <f>IF($A44&lt;&gt;"",
IF(COLUMN(貼り付け用!P44)&gt;MATCH("おやつ",貼り付け用!$3:$3,0),"",
IF(VLOOKUP($A44,貼り付け用!$A$1:$BA$300,COLUMN(),FALSE)=0,"",VLOOKUP($A44,貼り付け用!$A$1:$BA$300,COLUMN(),FALSE))),"")</f>
        <v/>
      </c>
      <c r="Q44" s="50" t="str">
        <f>IF($A44&lt;&gt;"",
IF(COLUMN(貼り付け用!Q44)&gt;MATCH("おやつ",貼り付け用!$3:$3,0),"",
IF(VLOOKUP($A44,貼り付け用!$A$1:$BA$300,COLUMN(),FALSE)=0,"",VLOOKUP($A44,貼り付け用!$A$1:$BA$300,COLUMN(),FALSE))),"")</f>
        <v/>
      </c>
      <c r="R44" s="50" t="str">
        <f>IF($A44&lt;&gt;"",
IF(COLUMN(貼り付け用!R44)&gt;MATCH("おやつ",貼り付け用!$3:$3,0),"",
IF(VLOOKUP($A44,貼り付け用!$A$1:$BA$300,COLUMN(),FALSE)=0,"",VLOOKUP($A44,貼り付け用!$A$1:$BA$300,COLUMN(),FALSE))),"")</f>
        <v/>
      </c>
      <c r="S44" s="50" t="str">
        <f>IF($A44&lt;&gt;"",
IF(COLUMN(貼り付け用!S44)&gt;MATCH("おやつ",貼り付け用!$3:$3,0),"",
IF(VLOOKUP($A44,貼り付け用!$A$1:$BA$300,COLUMN(),FALSE)=0,"",VLOOKUP($A44,貼り付け用!$A$1:$BA$300,COLUMN(),FALSE))),"")</f>
        <v/>
      </c>
      <c r="T44" s="50" t="str">
        <f>IF(COLUMN(貼り付け用!T44)&gt;MATCH("おやつ",貼り付け用!$3:$3,0),"",
IF(VLOOKUP($A44,貼り付け用!$A$1:$BA$300,COLUMN(),FALSE)=0,"",VLOOKUP($A44,貼り付け用!$A$1:$BA$300,COLUMN(),FALSE)))</f>
        <v/>
      </c>
      <c r="U44" s="23"/>
      <c r="V44" s="21" t="str">
        <f>IF(A44&lt;&gt;"",
IF(VLOOKUP($A44,貼り付け用!$A$1:$BA$300,MATCH("おやつ",貼り付け用!$3:$3,0)+1,FALSE)=0,"",VLOOKUP($A44,貼り付け用!$A$1:$BA$300,MATCH("おやつ",貼り付け用!$3:$3,0)+1,FALSE)),"")</f>
        <v/>
      </c>
      <c r="W44" s="50" t="str">
        <f>IF(A44&lt;&gt;"",
IF(VLOOKUP($A44,貼り付け用!$A$1:$BA$300,MATCH("おやつ",貼り付け用!$3:$3,0)+2,FALSE)=0,"",VLOOKUP($A44,貼り付け用!$A$1:$BA$300,MATCH("おやつ",貼り付け用!$3:$3,0)+2,FALSE)),"")</f>
        <v/>
      </c>
    </row>
    <row r="45" spans="1:23" x14ac:dyDescent="0.45">
      <c r="A45" s="22" t="str">
        <f>IF(貼り付け用!$A$6&lt;&gt;"",
IF(ROW(A44)+1&gt;=MATCH("*【合計】*", 貼り付け用!$A:$A, 0),"",
IF(貼り付け用!A45&lt;&gt;"",貼り付け用!A45,"")),
IF(ROW(A45)+1&gt;=MATCH("*【合計】*", 貼り付け用!$A:$A, 0),"",
IF(貼り付け用!A46&lt;&gt;"",貼り付け用!A46,"")))</f>
        <v>博多第一（補助教員） web</v>
      </c>
      <c r="B45" s="45" t="str">
        <f>IF($A45&lt;&gt;"",IF(VLOOKUP($A45,貼り付け用!$A$1:$BA$300,COLUMN(),FALSE)=0,"",VLOOKUP($A45,貼り付け用!$A$1:$BA$300,COLUMN(),FALSE)),"")</f>
        <v/>
      </c>
      <c r="C45" s="45" t="str">
        <f>IF($A45&lt;&gt;"",IF(VLOOKUP($A45,貼り付け用!$A$1:$BA$300,COLUMN(),FALSE)=0,"",VLOOKUP($A45,貼り付け用!$A$1:$BA$300,COLUMN(),FALSE)),"")</f>
        <v/>
      </c>
      <c r="D45" s="45" t="str">
        <f>IF($A45&lt;&gt;"",IF(VLOOKUP($A45,貼り付け用!$A$1:$BA$300,COLUMN(),FALSE)=0,"",VLOOKUP($A45,貼り付け用!$A$1:$BA$300,COLUMN(),FALSE)),"")</f>
        <v>13</v>
      </c>
      <c r="E45" s="45" t="str">
        <f>IF($A45&lt;&gt;"",IF(VLOOKUP($A45,貼り付け用!$A$1:$BA$300,COLUMN(),FALSE)=0,"",VLOOKUP($A45,貼り付け用!$A$1:$BA$300,COLUMN(),FALSE)),"")</f>
        <v/>
      </c>
      <c r="F45" s="45" t="str">
        <f>IF($A45&lt;&gt;"",IF(VLOOKUP($A45,貼り付け用!$A$1:$BA$300,COLUMN(),FALSE)=0,"",VLOOKUP($A45,貼り付け用!$A$1:$BA$300,COLUMN(),FALSE)),"")</f>
        <v/>
      </c>
      <c r="G45" s="45" t="str">
        <f>IF($A45&lt;&gt;"",IF(VLOOKUP($A45,貼り付け用!$A$1:$BA$300,COLUMN(),FALSE)=0,"",VLOOKUP($A45,貼り付け用!$A$1:$BA$300,COLUMN(),FALSE)),"")</f>
        <v/>
      </c>
      <c r="H45" s="45" t="str">
        <f>IF($A45&lt;&gt;"",IF(VLOOKUP($A45,貼り付け用!$A$1:$BA$300,COLUMN(),FALSE)=0,"",VLOOKUP($A45,貼り付け用!$A$1:$BA$300,COLUMN(),FALSE)),"")</f>
        <v/>
      </c>
      <c r="I45" s="45" t="str">
        <f>IF($A45&lt;&gt;"",IF(VLOOKUP($A45,貼り付け用!$A$1:$BA$300,COLUMN(),FALSE)=0,"",VLOOKUP($A45,貼り付け用!$A$1:$BA$300,COLUMN(),FALSE)),"")</f>
        <v/>
      </c>
      <c r="J45" s="45" t="str">
        <f>IF($A45&lt;&gt;"",IF(VLOOKUP($A45,貼り付け用!$A$1:$BA$300,COLUMN(),FALSE)=0,"",VLOOKUP($A45,貼り付け用!$A$1:$BA$300,COLUMN(),FALSE)),"")</f>
        <v/>
      </c>
      <c r="K45" s="45" t="str">
        <f>IF($A45&lt;&gt;"",IF(VLOOKUP($A45,貼り付け用!$A$1:$BA$300,COLUMN(),FALSE)=0,"",VLOOKUP($A45,貼り付け用!$A$1:$BA$300,COLUMN(),FALSE)),"")</f>
        <v/>
      </c>
      <c r="L45" s="45" t="str">
        <f>IF($A45&lt;&gt;"",
IF(COLUMN(貼り付け用!L45)&gt;MATCH("おやつ",貼り付け用!$3:$3,0),"",
IF(VLOOKUP($A45,貼り付け用!$A$1:$BA$300,COLUMN(),FALSE)=0,"",VLOOKUP($A45,貼り付け用!$A$1:$BA$300,COLUMN(),FALSE))),"")</f>
        <v/>
      </c>
      <c r="M45" s="45" t="str">
        <f>IF($A45&lt;&gt;"",
IF(COLUMN(貼り付け用!M45)&gt;MATCH("おやつ",貼り付け用!$3:$3,0),"",
IF(VLOOKUP($A45,貼り付け用!$A$1:$BA$300,COLUMN(),FALSE)=0,"",VLOOKUP($A45,貼り付け用!$A$1:$BA$300,COLUMN(),FALSE))),"")</f>
        <v/>
      </c>
      <c r="N45" s="45" t="str">
        <f>IF($A45&lt;&gt;"",
IF(COLUMN(貼り付け用!N45)&gt;MATCH("おやつ",貼り付け用!$3:$3,0),"",
IF(VLOOKUP($A45,貼り付け用!$A$1:$BA$300,COLUMN(),FALSE)=0,"",VLOOKUP($A45,貼り付け用!$A$1:$BA$300,COLUMN(),FALSE))),"")</f>
        <v/>
      </c>
      <c r="O45" s="45" t="str">
        <f>IF($A45&lt;&gt;"",
IF(COLUMN(貼り付け用!O45)&gt;MATCH("おやつ",貼り付け用!$3:$3,0),"",
IF(VLOOKUP($A45,貼り付け用!$A$1:$BA$300,COLUMN(),FALSE)=0,"",VLOOKUP($A45,貼り付け用!$A$1:$BA$300,COLUMN(),FALSE))),"")</f>
        <v/>
      </c>
      <c r="P45" s="45" t="str">
        <f>IF($A45&lt;&gt;"",
IF(COLUMN(貼り付け用!P45)&gt;MATCH("おやつ",貼り付け用!$3:$3,0),"",
IF(VLOOKUP($A45,貼り付け用!$A$1:$BA$300,COLUMN(),FALSE)=0,"",VLOOKUP($A45,貼り付け用!$A$1:$BA$300,COLUMN(),FALSE))),"")</f>
        <v/>
      </c>
      <c r="Q45" s="45" t="str">
        <f>IF($A45&lt;&gt;"",
IF(COLUMN(貼り付け用!Q45)&gt;MATCH("おやつ",貼り付け用!$3:$3,0),"",
IF(VLOOKUP($A45,貼り付け用!$A$1:$BA$300,COLUMN(),FALSE)=0,"",VLOOKUP($A45,貼り付け用!$A$1:$BA$300,COLUMN(),FALSE))),"")</f>
        <v/>
      </c>
      <c r="R45" s="45" t="str">
        <f>IF($A45&lt;&gt;"",
IF(COLUMN(貼り付け用!R45)&gt;MATCH("おやつ",貼り付け用!$3:$3,0),"",
IF(VLOOKUP($A45,貼り付け用!$A$1:$BA$300,COLUMN(),FALSE)=0,"",VLOOKUP($A45,貼り付け用!$A$1:$BA$300,COLUMN(),FALSE))),"")</f>
        <v/>
      </c>
      <c r="S45" s="45" t="str">
        <f>IF($A45&lt;&gt;"",
IF(COLUMN(貼り付け用!S45)&gt;MATCH("おやつ",貼り付け用!$3:$3,0),"",
IF(VLOOKUP($A45,貼り付け用!$A$1:$BA$300,COLUMN(),FALSE)=0,"",VLOOKUP($A45,貼り付け用!$A$1:$BA$300,COLUMN(),FALSE))),"")</f>
        <v/>
      </c>
      <c r="T45" s="45" t="str">
        <f>IF(COLUMN(貼り付け用!T45)&gt;MATCH("おやつ",貼り付け用!$3:$3,0),"",
IF(VLOOKUP($A45,貼り付け用!$A$1:$BA$300,COLUMN(),FALSE)=0,"",VLOOKUP($A45,貼り付け用!$A$1:$BA$300,COLUMN(),FALSE)))</f>
        <v/>
      </c>
      <c r="U45" s="24"/>
      <c r="V45" s="21" t="str">
        <f>IF(A45&lt;&gt;"",
IF(VLOOKUP($A45,貼り付け用!$A$1:$BA$300,MATCH("おやつ",貼り付け用!$3:$3,0)+1,FALSE)=0,"",VLOOKUP($A45,貼り付け用!$A$1:$BA$300,MATCH("おやつ",貼り付け用!$3:$3,0)+1,FALSE)),"")</f>
        <v/>
      </c>
      <c r="W45" s="50" t="str">
        <f>IF(A45&lt;&gt;"",
IF(VLOOKUP($A45,貼り付け用!$A$1:$BA$300,MATCH("おやつ",貼り付け用!$3:$3,0)+2,FALSE)=0,"",VLOOKUP($A45,貼り付け用!$A$1:$BA$300,MATCH("おやつ",貼り付け用!$3:$3,0)+2,FALSE)),"")</f>
        <v/>
      </c>
    </row>
    <row r="46" spans="1:23" x14ac:dyDescent="0.45">
      <c r="A46" s="10" t="str">
        <f>IF(貼り付け用!$A$6&lt;&gt;"",
IF(ROW(A45)+1&gt;=MATCH("*【合計】*", 貼り付け用!$A:$A, 0),
"",
IF(貼り付け用!A46&lt;&gt;"",貼り付け用!A46,"")),
IF(ROW(A46)+1&gt;=MATCH("*【合計】*", 貼り付け用!$A:$A, 0),
"",
IF(貼り付け用!A47&lt;&gt;"",貼り付け用!A47,"")))</f>
        <v>700</v>
      </c>
      <c r="B46" s="50" t="str">
        <f>IF($A46&lt;&gt;"",IF(VLOOKUP($A46,貼り付け用!$A$1:$BA$300,COLUMN(),FALSE)=0,"",VLOOKUP($A46,貼り付け用!$A$1:$BA$300,COLUMN(),FALSE)),"")</f>
        <v/>
      </c>
      <c r="C46" s="50" t="str">
        <f>IF($A46&lt;&gt;"",IF(VLOOKUP($A46,貼り付け用!$A$1:$BA$300,COLUMN(),FALSE)=0,"",VLOOKUP($A46,貼り付け用!$A$1:$BA$300,COLUMN(),FALSE)),"")</f>
        <v/>
      </c>
      <c r="D46" s="50" t="str">
        <f>IF($A46&lt;&gt;"",IF(VLOOKUP($A46,貼り付け用!$A$1:$BA$300,COLUMN(),FALSE)=0,"",VLOOKUP($A46,貼り付け用!$A$1:$BA$300,COLUMN(),FALSE)),"")</f>
        <v/>
      </c>
      <c r="E46" s="50" t="str">
        <f>IF($A46&lt;&gt;"",IF(VLOOKUP($A46,貼り付け用!$A$1:$BA$300,COLUMN(),FALSE)=0,"",VLOOKUP($A46,貼り付け用!$A$1:$BA$300,COLUMN(),FALSE)),"")</f>
        <v/>
      </c>
      <c r="F46" s="50" t="str">
        <f>IF($A46&lt;&gt;"",IF(VLOOKUP($A46,貼り付け用!$A$1:$BA$300,COLUMN(),FALSE)=0,"",VLOOKUP($A46,貼り付け用!$A$1:$BA$300,COLUMN(),FALSE)),"")</f>
        <v/>
      </c>
      <c r="G46" s="50" t="str">
        <f>IF($A46&lt;&gt;"",IF(VLOOKUP($A46,貼り付け用!$A$1:$BA$300,COLUMN(),FALSE)=0,"",VLOOKUP($A46,貼り付け用!$A$1:$BA$300,COLUMN(),FALSE)),"")</f>
        <v/>
      </c>
      <c r="H46" s="50" t="str">
        <f>IF($A46&lt;&gt;"",IF(VLOOKUP($A46,貼り付け用!$A$1:$BA$300,COLUMN(),FALSE)=0,"",VLOOKUP($A46,貼り付け用!$A$1:$BA$300,COLUMN(),FALSE)),"")</f>
        <v/>
      </c>
      <c r="I46" s="50" t="str">
        <f>IF($A46&lt;&gt;"",IF(VLOOKUP($A46,貼り付け用!$A$1:$BA$300,COLUMN(),FALSE)=0,"",VLOOKUP($A46,貼り付け用!$A$1:$BA$300,COLUMN(),FALSE)),"")</f>
        <v/>
      </c>
      <c r="J46" s="50" t="str">
        <f>IF($A46&lt;&gt;"",IF(VLOOKUP($A46,貼り付け用!$A$1:$BA$300,COLUMN(),FALSE)=0,"",VLOOKUP($A46,貼り付け用!$A$1:$BA$300,COLUMN(),FALSE)),"")</f>
        <v/>
      </c>
      <c r="K46" s="50" t="str">
        <f>IF($A46&lt;&gt;"",IF(VLOOKUP($A46,貼り付け用!$A$1:$BA$300,COLUMN(),FALSE)=0,"",VLOOKUP($A46,貼り付け用!$A$1:$BA$300,COLUMN(),FALSE)),"")</f>
        <v/>
      </c>
      <c r="L46" s="50" t="str">
        <f>IF($A46&lt;&gt;"",
IF(COLUMN(貼り付け用!L46)&gt;MATCH("おやつ",貼り付け用!$3:$3,0),"",
IF(VLOOKUP($A46,貼り付け用!$A$1:$BA$300,COLUMN(),FALSE)=0,"",VLOOKUP($A46,貼り付け用!$A$1:$BA$300,COLUMN(),FALSE))),"")</f>
        <v/>
      </c>
      <c r="M46" s="50" t="str">
        <f>IF($A46&lt;&gt;"",
IF(COLUMN(貼り付け用!M46)&gt;MATCH("おやつ",貼り付け用!$3:$3,0),"",
IF(VLOOKUP($A46,貼り付け用!$A$1:$BA$300,COLUMN(),FALSE)=0,"",VLOOKUP($A46,貼り付け用!$A$1:$BA$300,COLUMN(),FALSE))),"")</f>
        <v>90</v>
      </c>
      <c r="N46" s="50" t="str">
        <f>IF($A46&lt;&gt;"",
IF(COLUMN(貼り付け用!N46)&gt;MATCH("おやつ",貼り付け用!$3:$3,0),"",
IF(VLOOKUP($A46,貼り付け用!$A$1:$BA$300,COLUMN(),FALSE)=0,"",VLOOKUP($A46,貼り付け用!$A$1:$BA$300,COLUMN(),FALSE))),"")</f>
        <v/>
      </c>
      <c r="O46" s="50" t="str">
        <f>IF($A46&lt;&gt;"",
IF(COLUMN(貼り付け用!O46)&gt;MATCH("おやつ",貼り付け用!$3:$3,0),"",
IF(VLOOKUP($A46,貼り付け用!$A$1:$BA$300,COLUMN(),FALSE)=0,"",VLOOKUP($A46,貼り付け用!$A$1:$BA$300,COLUMN(),FALSE))),"")</f>
        <v/>
      </c>
      <c r="P46" s="50" t="str">
        <f>IF($A46&lt;&gt;"",
IF(COLUMN(貼り付け用!P46)&gt;MATCH("おやつ",貼り付け用!$3:$3,0),"",
IF(VLOOKUP($A46,貼り付け用!$A$1:$BA$300,COLUMN(),FALSE)=0,"",VLOOKUP($A46,貼り付け用!$A$1:$BA$300,COLUMN(),FALSE))),"")</f>
        <v/>
      </c>
      <c r="Q46" s="50" t="str">
        <f>IF($A46&lt;&gt;"",
IF(COLUMN(貼り付け用!Q46)&gt;MATCH("おやつ",貼り付け用!$3:$3,0),"",
IF(VLOOKUP($A46,貼り付け用!$A$1:$BA$300,COLUMN(),FALSE)=0,"",VLOOKUP($A46,貼り付け用!$A$1:$BA$300,COLUMN(),FALSE))),"")</f>
        <v/>
      </c>
      <c r="R46" s="50" t="str">
        <f>IF($A46&lt;&gt;"",
IF(COLUMN(貼り付け用!R46)&gt;MATCH("おやつ",貼り付け用!$3:$3,0),"",
IF(VLOOKUP($A46,貼り付け用!$A$1:$BA$300,COLUMN(),FALSE)=0,"",VLOOKUP($A46,貼り付け用!$A$1:$BA$300,COLUMN(),FALSE))),"")</f>
        <v/>
      </c>
      <c r="S46" s="50" t="str">
        <f>IF($A46&lt;&gt;"",
IF(COLUMN(貼り付け用!S46)&gt;MATCH("おやつ",貼り付け用!$3:$3,0),"",
IF(VLOOKUP($A46,貼り付け用!$A$1:$BA$300,COLUMN(),FALSE)=0,"",VLOOKUP($A46,貼り付け用!$A$1:$BA$300,COLUMN(),FALSE))),"")</f>
        <v/>
      </c>
      <c r="T46" s="50" t="str">
        <f>IF(COLUMN(貼り付け用!T46)&gt;MATCH("おやつ",貼り付け用!$3:$3,0),"",
IF(VLOOKUP($A46,貼り付け用!$A$1:$BA$300,COLUMN(),FALSE)=0,"",VLOOKUP($A46,貼り付け用!$A$1:$BA$300,COLUMN(),FALSE)))</f>
        <v/>
      </c>
      <c r="U46" s="23"/>
      <c r="V46" s="21" t="str">
        <f>IF(A46&lt;&gt;"",
IF(VLOOKUP($A46,貼り付け用!$A$1:$BA$300,MATCH("おやつ",貼り付け用!$3:$3,0)+1,FALSE)=0,"",VLOOKUP($A46,貼り付け用!$A$1:$BA$300,MATCH("おやつ",貼り付け用!$3:$3,0)+1,FALSE)),"")</f>
        <v>通常時間納品</v>
      </c>
      <c r="W46" s="50" t="str">
        <f>IF(A46&lt;&gt;"",
IF(VLOOKUP($A46,貼り付け用!$A$1:$BA$300,MATCH("おやつ",貼り付け用!$3:$3,0)+2,FALSE)=0,"",VLOOKUP($A46,貼り付け用!$A$1:$BA$300,MATCH("おやつ",貼り付け用!$3:$3,0)+2,FALSE)),"")</f>
        <v/>
      </c>
    </row>
    <row r="47" spans="1:23" x14ac:dyDescent="0.45">
      <c r="A47" s="22" t="str">
        <f>IF(貼り付け用!$A$6&lt;&gt;"",
IF(ROW(A46)+1&gt;=MATCH("*【合計】*", 貼り付け用!$A:$A, 0),"",
IF(貼り付け用!A47&lt;&gt;"",貼り付け用!A47,"")),
IF(ROW(A47)+1&gt;=MATCH("*【合計】*", 貼り付け用!$A:$A, 0),"",
IF(貼り付け用!A48&lt;&gt;"",貼り付け用!A48,"")))</f>
        <v>博多第二 週3ｺｰｽ</v>
      </c>
      <c r="B47" s="45" t="str">
        <f>IF($A47&lt;&gt;"",IF(VLOOKUP($A47,貼り付け用!$A$1:$BA$300,COLUMN(),FALSE)=0,"",VLOOKUP($A47,貼り付け用!$A$1:$BA$300,COLUMN(),FALSE)),"")</f>
        <v/>
      </c>
      <c r="C47" s="45" t="str">
        <f>IF($A47&lt;&gt;"",IF(VLOOKUP($A47,貼り付け用!$A$1:$BA$300,COLUMN(),FALSE)=0,"",VLOOKUP($A47,貼り付け用!$A$1:$BA$300,COLUMN(),FALSE)),"")</f>
        <v/>
      </c>
      <c r="D47" s="45" t="str">
        <f>IF($A47&lt;&gt;"",IF(VLOOKUP($A47,貼り付け用!$A$1:$BA$300,COLUMN(),FALSE)=0,"",VLOOKUP($A47,貼り付け用!$A$1:$BA$300,COLUMN(),FALSE)),"")</f>
        <v/>
      </c>
      <c r="E47" s="45" t="str">
        <f>IF($A47&lt;&gt;"",IF(VLOOKUP($A47,貼り付け用!$A$1:$BA$300,COLUMN(),FALSE)=0,"",VLOOKUP($A47,貼り付け用!$A$1:$BA$300,COLUMN(),FALSE)),"")</f>
        <v/>
      </c>
      <c r="F47" s="45" t="str">
        <f>IF($A47&lt;&gt;"",IF(VLOOKUP($A47,貼り付け用!$A$1:$BA$300,COLUMN(),FALSE)=0,"",VLOOKUP($A47,貼り付け用!$A$1:$BA$300,COLUMN(),FALSE)),"")</f>
        <v/>
      </c>
      <c r="G47" s="45" t="str">
        <f>IF($A47&lt;&gt;"",IF(VLOOKUP($A47,貼り付け用!$A$1:$BA$300,COLUMN(),FALSE)=0,"",VLOOKUP($A47,貼り付け用!$A$1:$BA$300,COLUMN(),FALSE)),"")</f>
        <v/>
      </c>
      <c r="H47" s="45" t="str">
        <f>IF($A47&lt;&gt;"",IF(VLOOKUP($A47,貼り付け用!$A$1:$BA$300,COLUMN(),FALSE)=0,"",VLOOKUP($A47,貼り付け用!$A$1:$BA$300,COLUMN(),FALSE)),"")</f>
        <v/>
      </c>
      <c r="I47" s="45" t="str">
        <f>IF($A47&lt;&gt;"",IF(VLOOKUP($A47,貼り付け用!$A$1:$BA$300,COLUMN(),FALSE)=0,"",VLOOKUP($A47,貼り付け用!$A$1:$BA$300,COLUMN(),FALSE)),"")</f>
        <v/>
      </c>
      <c r="J47" s="45" t="str">
        <f>IF($A47&lt;&gt;"",IF(VLOOKUP($A47,貼り付け用!$A$1:$BA$300,COLUMN(),FALSE)=0,"",VLOOKUP($A47,貼り付け用!$A$1:$BA$300,COLUMN(),FALSE)),"")</f>
        <v/>
      </c>
      <c r="K47" s="45" t="str">
        <f>IF($A47&lt;&gt;"",IF(VLOOKUP($A47,貼り付け用!$A$1:$BA$300,COLUMN(),FALSE)=0,"",VLOOKUP($A47,貼り付け用!$A$1:$BA$300,COLUMN(),FALSE)),"")</f>
        <v/>
      </c>
      <c r="L47" s="45" t="str">
        <f>IF($A47&lt;&gt;"",
IF(COLUMN(貼り付け用!L47)&gt;MATCH("おやつ",貼り付け用!$3:$3,0),"",
IF(VLOOKUP($A47,貼り付け用!$A$1:$BA$300,COLUMN(),FALSE)=0,"",VLOOKUP($A47,貼り付け用!$A$1:$BA$300,COLUMN(),FALSE))),"")</f>
        <v/>
      </c>
      <c r="M47" s="45" t="str">
        <f>IF($A47&lt;&gt;"",
IF(COLUMN(貼り付け用!M47)&gt;MATCH("おやつ",貼り付け用!$3:$3,0),"",
IF(VLOOKUP($A47,貼り付け用!$A$1:$BA$300,COLUMN(),FALSE)=0,"",VLOOKUP($A47,貼り付け用!$A$1:$BA$300,COLUMN(),FALSE))),"")</f>
        <v>15</v>
      </c>
      <c r="N47" s="45" t="str">
        <f>IF($A47&lt;&gt;"",
IF(COLUMN(貼り付け用!N47)&gt;MATCH("おやつ",貼り付け用!$3:$3,0),"",
IF(VLOOKUP($A47,貼り付け用!$A$1:$BA$300,COLUMN(),FALSE)=0,"",VLOOKUP($A47,貼り付け用!$A$1:$BA$300,COLUMN(),FALSE))),"")</f>
        <v/>
      </c>
      <c r="O47" s="45" t="str">
        <f>IF($A47&lt;&gt;"",
IF(COLUMN(貼り付け用!O47)&gt;MATCH("おやつ",貼り付け用!$3:$3,0),"",
IF(VLOOKUP($A47,貼り付け用!$A$1:$BA$300,COLUMN(),FALSE)=0,"",VLOOKUP($A47,貼り付け用!$A$1:$BA$300,COLUMN(),FALSE))),"")</f>
        <v/>
      </c>
      <c r="P47" s="45" t="str">
        <f>IF($A47&lt;&gt;"",
IF(COLUMN(貼り付け用!P47)&gt;MATCH("おやつ",貼り付け用!$3:$3,0),"",
IF(VLOOKUP($A47,貼り付け用!$A$1:$BA$300,COLUMN(),FALSE)=0,"",VLOOKUP($A47,貼り付け用!$A$1:$BA$300,COLUMN(),FALSE))),"")</f>
        <v/>
      </c>
      <c r="Q47" s="45" t="str">
        <f>IF($A47&lt;&gt;"",
IF(COLUMN(貼り付け用!Q47)&gt;MATCH("おやつ",貼り付け用!$3:$3,0),"",
IF(VLOOKUP($A47,貼り付け用!$A$1:$BA$300,COLUMN(),FALSE)=0,"",VLOOKUP($A47,貼り付け用!$A$1:$BA$300,COLUMN(),FALSE))),"")</f>
        <v/>
      </c>
      <c r="R47" s="45" t="str">
        <f>IF($A47&lt;&gt;"",
IF(COLUMN(貼り付け用!R47)&gt;MATCH("おやつ",貼り付け用!$3:$3,0),"",
IF(VLOOKUP($A47,貼り付け用!$A$1:$BA$300,COLUMN(),FALSE)=0,"",VLOOKUP($A47,貼り付け用!$A$1:$BA$300,COLUMN(),FALSE))),"")</f>
        <v/>
      </c>
      <c r="S47" s="45" t="str">
        <f>IF($A47&lt;&gt;"",
IF(COLUMN(貼り付け用!S47)&gt;MATCH("おやつ",貼り付け用!$3:$3,0),"",
IF(VLOOKUP($A47,貼り付け用!$A$1:$BA$300,COLUMN(),FALSE)=0,"",VLOOKUP($A47,貼り付け用!$A$1:$BA$300,COLUMN(),FALSE))),"")</f>
        <v/>
      </c>
      <c r="T47" s="45" t="str">
        <f>IF(COLUMN(貼り付け用!T47)&gt;MATCH("おやつ",貼り付け用!$3:$3,0),"",
IF(VLOOKUP($A47,貼り付け用!$A$1:$BA$300,COLUMN(),FALSE)=0,"",VLOOKUP($A47,貼り付け用!$A$1:$BA$300,COLUMN(),FALSE)))</f>
        <v/>
      </c>
      <c r="U47" s="24"/>
      <c r="V47" s="21" t="str">
        <f>IF(A47&lt;&gt;"",
IF(VLOOKUP($A47,貼り付け用!$A$1:$BA$300,MATCH("おやつ",貼り付け用!$3:$3,0)+1,FALSE)=0,"",VLOOKUP($A47,貼り付け用!$A$1:$BA$300,MATCH("おやつ",貼り付け用!$3:$3,0)+1,FALSE)),"")</f>
        <v/>
      </c>
      <c r="W47" s="50" t="str">
        <f>IF(A47&lt;&gt;"",
IF(VLOOKUP($A47,貼り付け用!$A$1:$BA$300,MATCH("おやつ",貼り付け用!$3:$3,0)+2,FALSE)=0,"",VLOOKUP($A47,貼り付け用!$A$1:$BA$300,MATCH("おやつ",貼り付け用!$3:$3,0)+2,FALSE)),"")</f>
        <v/>
      </c>
    </row>
    <row r="48" spans="1:23" x14ac:dyDescent="0.45">
      <c r="A48" s="10" t="str">
        <f>IF(貼り付け用!$A$6&lt;&gt;"",
IF(ROW(A47)+1&gt;=MATCH("*【合計】*", 貼り付け用!$A:$A, 0),
"",
IF(貼り付け用!A48&lt;&gt;"",貼り付け用!A48,"")),
IF(ROW(A48)+1&gt;=MATCH("*【合計】*", 貼り付け用!$A:$A, 0),
"",
IF(貼り付け用!A49&lt;&gt;"",貼り付け用!A49,"")))</f>
        <v>706</v>
      </c>
      <c r="B48" s="50" t="str">
        <f>IF($A48&lt;&gt;"",IF(VLOOKUP($A48,貼り付け用!$A$1:$BA$300,COLUMN(),FALSE)=0,"",VLOOKUP($A48,貼り付け用!$A$1:$BA$300,COLUMN(),FALSE)),"")</f>
        <v/>
      </c>
      <c r="C48" s="50" t="str">
        <f>IF($A48&lt;&gt;"",IF(VLOOKUP($A48,貼り付け用!$A$1:$BA$300,COLUMN(),FALSE)=0,"",VLOOKUP($A48,貼り付け用!$A$1:$BA$300,COLUMN(),FALSE)),"")</f>
        <v/>
      </c>
      <c r="D48" s="50" t="str">
        <f>IF($A48&lt;&gt;"",IF(VLOOKUP($A48,貼り付け用!$A$1:$BA$300,COLUMN(),FALSE)=0,"",VLOOKUP($A48,貼り付け用!$A$1:$BA$300,COLUMN(),FALSE)),"")</f>
        <v/>
      </c>
      <c r="E48" s="50" t="str">
        <f>IF($A48&lt;&gt;"",IF(VLOOKUP($A48,貼り付け用!$A$1:$BA$300,COLUMN(),FALSE)=0,"",VLOOKUP($A48,貼り付け用!$A$1:$BA$300,COLUMN(),FALSE)),"")</f>
        <v/>
      </c>
      <c r="F48" s="50" t="str">
        <f>IF($A48&lt;&gt;"",IF(VLOOKUP($A48,貼り付け用!$A$1:$BA$300,COLUMN(),FALSE)=0,"",VLOOKUP($A48,貼り付け用!$A$1:$BA$300,COLUMN(),FALSE)),"")</f>
        <v/>
      </c>
      <c r="G48" s="50" t="str">
        <f>IF($A48&lt;&gt;"",IF(VLOOKUP($A48,貼り付け用!$A$1:$BA$300,COLUMN(),FALSE)=0,"",VLOOKUP($A48,貼り付け用!$A$1:$BA$300,COLUMN(),FALSE)),"")</f>
        <v/>
      </c>
      <c r="H48" s="50" t="str">
        <f>IF($A48&lt;&gt;"",IF(VLOOKUP($A48,貼り付け用!$A$1:$BA$300,COLUMN(),FALSE)=0,"",VLOOKUP($A48,貼り付け用!$A$1:$BA$300,COLUMN(),FALSE)),"")</f>
        <v/>
      </c>
      <c r="I48" s="50" t="str">
        <f>IF($A48&lt;&gt;"",IF(VLOOKUP($A48,貼り付け用!$A$1:$BA$300,COLUMN(),FALSE)=0,"",VLOOKUP($A48,貼り付け用!$A$1:$BA$300,COLUMN(),FALSE)),"")</f>
        <v/>
      </c>
      <c r="J48" s="50" t="str">
        <f>IF($A48&lt;&gt;"",IF(VLOOKUP($A48,貼り付け用!$A$1:$BA$300,COLUMN(),FALSE)=0,"",VLOOKUP($A48,貼り付け用!$A$1:$BA$300,COLUMN(),FALSE)),"")</f>
        <v/>
      </c>
      <c r="K48" s="50" t="str">
        <f>IF($A48&lt;&gt;"",IF(VLOOKUP($A48,貼り付け用!$A$1:$BA$300,COLUMN(),FALSE)=0,"",VLOOKUP($A48,貼り付け用!$A$1:$BA$300,COLUMN(),FALSE)),"")</f>
        <v/>
      </c>
      <c r="L48" s="50" t="str">
        <f>IF($A48&lt;&gt;"",
IF(COLUMN(貼り付け用!L48)&gt;MATCH("おやつ",貼り付け用!$3:$3,0),"",
IF(VLOOKUP($A48,貼り付け用!$A$1:$BA$300,COLUMN(),FALSE)=0,"",VLOOKUP($A48,貼り付け用!$A$1:$BA$300,COLUMN(),FALSE))),"")</f>
        <v/>
      </c>
      <c r="M48" s="50" t="str">
        <f>IF($A48&lt;&gt;"",
IF(COLUMN(貼り付け用!M48)&gt;MATCH("おやつ",貼り付け用!$3:$3,0),"",
IF(VLOOKUP($A48,貼り付け用!$A$1:$BA$300,COLUMN(),FALSE)=0,"",VLOOKUP($A48,貼り付け用!$A$1:$BA$300,COLUMN(),FALSE))),"")</f>
        <v>141</v>
      </c>
      <c r="N48" s="50" t="str">
        <f>IF($A48&lt;&gt;"",
IF(COLUMN(貼り付け用!N48)&gt;MATCH("おやつ",貼り付け用!$3:$3,0),"",
IF(VLOOKUP($A48,貼り付け用!$A$1:$BA$300,COLUMN(),FALSE)=0,"",VLOOKUP($A48,貼り付け用!$A$1:$BA$300,COLUMN(),FALSE))),"")</f>
        <v/>
      </c>
      <c r="O48" s="50" t="str">
        <f>IF($A48&lt;&gt;"",
IF(COLUMN(貼り付け用!O48)&gt;MATCH("おやつ",貼り付け用!$3:$3,0),"",
IF(VLOOKUP($A48,貼り付け用!$A$1:$BA$300,COLUMN(),FALSE)=0,"",VLOOKUP($A48,貼り付け用!$A$1:$BA$300,COLUMN(),FALSE))),"")</f>
        <v/>
      </c>
      <c r="P48" s="50" t="str">
        <f>IF($A48&lt;&gt;"",
IF(COLUMN(貼り付け用!P48)&gt;MATCH("おやつ",貼り付け用!$3:$3,0),"",
IF(VLOOKUP($A48,貼り付け用!$A$1:$BA$300,COLUMN(),FALSE)=0,"",VLOOKUP($A48,貼り付け用!$A$1:$BA$300,COLUMN(),FALSE))),"")</f>
        <v/>
      </c>
      <c r="Q48" s="50" t="str">
        <f>IF($A48&lt;&gt;"",
IF(COLUMN(貼り付け用!Q48)&gt;MATCH("おやつ",貼り付け用!$3:$3,0),"",
IF(VLOOKUP($A48,貼り付け用!$A$1:$BA$300,COLUMN(),FALSE)=0,"",VLOOKUP($A48,貼り付け用!$A$1:$BA$300,COLUMN(),FALSE))),"")</f>
        <v/>
      </c>
      <c r="R48" s="50" t="str">
        <f>IF($A48&lt;&gt;"",
IF(COLUMN(貼り付け用!R48)&gt;MATCH("おやつ",貼り付け用!$3:$3,0),"",
IF(VLOOKUP($A48,貼り付け用!$A$1:$BA$300,COLUMN(),FALSE)=0,"",VLOOKUP($A48,貼り付け用!$A$1:$BA$300,COLUMN(),FALSE))),"")</f>
        <v/>
      </c>
      <c r="S48" s="50" t="str">
        <f>IF($A48&lt;&gt;"",
IF(COLUMN(貼り付け用!S48)&gt;MATCH("おやつ",貼り付け用!$3:$3,0),"",
IF(VLOOKUP($A48,貼り付け用!$A$1:$BA$300,COLUMN(),FALSE)=0,"",VLOOKUP($A48,貼り付け用!$A$1:$BA$300,COLUMN(),FALSE))),"")</f>
        <v/>
      </c>
      <c r="T48" s="50" t="str">
        <f>IF(COLUMN(貼り付け用!T48)&gt;MATCH("おやつ",貼り付け用!$3:$3,0),"",
IF(VLOOKUP($A48,貼り付け用!$A$1:$BA$300,COLUMN(),FALSE)=0,"",VLOOKUP($A48,貼り付け用!$A$1:$BA$300,COLUMN(),FALSE)))</f>
        <v/>
      </c>
      <c r="U48" s="23"/>
      <c r="V48" s="21" t="str">
        <f>IF(A48&lt;&gt;"",
IF(VLOOKUP($A48,貼り付け用!$A$1:$BA$300,MATCH("おやつ",貼り付け用!$3:$3,0)+1,FALSE)=0,"",VLOOKUP($A48,貼り付け用!$A$1:$BA$300,MATCH("おやつ",貼り付け用!$3:$3,0)+1,FALSE)),"")</f>
        <v>通常時間納品</v>
      </c>
      <c r="W48" s="50" t="str">
        <f>IF(A48&lt;&gt;"",
IF(VLOOKUP($A48,貼り付け用!$A$1:$BA$300,MATCH("おやつ",貼り付け用!$3:$3,0)+2,FALSE)=0,"",VLOOKUP($A48,貼り付け用!$A$1:$BA$300,MATCH("おやつ",貼り付け用!$3:$3,0)+2,FALSE)),"")</f>
        <v/>
      </c>
    </row>
    <row r="49" spans="1:23" x14ac:dyDescent="0.45">
      <c r="A49" s="22" t="str">
        <f>IF(貼り付け用!$A$6&lt;&gt;"",
IF(ROW(A48)+1&gt;=MATCH("*【合計】*", 貼り付け用!$A:$A, 0),"",
IF(貼り付け用!A49&lt;&gt;"",貼り付け用!A49,"")),
IF(ROW(A49)+1&gt;=MATCH("*【合計】*", 貼り付け用!$A:$A, 0),"",
IF(貼り付け用!A50&lt;&gt;"",貼り付け用!A50,"")))</f>
        <v>博多第二 週5ｺｰｽ</v>
      </c>
      <c r="B49" s="45" t="str">
        <f>IF($A49&lt;&gt;"",IF(VLOOKUP($A49,貼り付け用!$A$1:$BA$300,COLUMN(),FALSE)=0,"",VLOOKUP($A49,貼り付け用!$A$1:$BA$300,COLUMN(),FALSE)),"")</f>
        <v/>
      </c>
      <c r="C49" s="45" t="str">
        <f>IF($A49&lt;&gt;"",IF(VLOOKUP($A49,貼り付け用!$A$1:$BA$300,COLUMN(),FALSE)=0,"",VLOOKUP($A49,貼り付け用!$A$1:$BA$300,COLUMN(),FALSE)),"")</f>
        <v/>
      </c>
      <c r="D49" s="45" t="str">
        <f>IF($A49&lt;&gt;"",IF(VLOOKUP($A49,貼り付け用!$A$1:$BA$300,COLUMN(),FALSE)=0,"",VLOOKUP($A49,貼り付け用!$A$1:$BA$300,COLUMN(),FALSE)),"")</f>
        <v/>
      </c>
      <c r="E49" s="45" t="str">
        <f>IF($A49&lt;&gt;"",IF(VLOOKUP($A49,貼り付け用!$A$1:$BA$300,COLUMN(),FALSE)=0,"",VLOOKUP($A49,貼り付け用!$A$1:$BA$300,COLUMN(),FALSE)),"")</f>
        <v/>
      </c>
      <c r="F49" s="45" t="str">
        <f>IF($A49&lt;&gt;"",IF(VLOOKUP($A49,貼り付け用!$A$1:$BA$300,COLUMN(),FALSE)=0,"",VLOOKUP($A49,貼り付け用!$A$1:$BA$300,COLUMN(),FALSE)),"")</f>
        <v/>
      </c>
      <c r="G49" s="45" t="str">
        <f>IF($A49&lt;&gt;"",IF(VLOOKUP($A49,貼り付け用!$A$1:$BA$300,COLUMN(),FALSE)=0,"",VLOOKUP($A49,貼り付け用!$A$1:$BA$300,COLUMN(),FALSE)),"")</f>
        <v/>
      </c>
      <c r="H49" s="45" t="str">
        <f>IF($A49&lt;&gt;"",IF(VLOOKUP($A49,貼り付け用!$A$1:$BA$300,COLUMN(),FALSE)=0,"",VLOOKUP($A49,貼り付け用!$A$1:$BA$300,COLUMN(),FALSE)),"")</f>
        <v/>
      </c>
      <c r="I49" s="45" t="str">
        <f>IF($A49&lt;&gt;"",IF(VLOOKUP($A49,貼り付け用!$A$1:$BA$300,COLUMN(),FALSE)=0,"",VLOOKUP($A49,貼り付け用!$A$1:$BA$300,COLUMN(),FALSE)),"")</f>
        <v/>
      </c>
      <c r="J49" s="45" t="str">
        <f>IF($A49&lt;&gt;"",IF(VLOOKUP($A49,貼り付け用!$A$1:$BA$300,COLUMN(),FALSE)=0,"",VLOOKUP($A49,貼り付け用!$A$1:$BA$300,COLUMN(),FALSE)),"")</f>
        <v/>
      </c>
      <c r="K49" s="45" t="str">
        <f>IF($A49&lt;&gt;"",IF(VLOOKUP($A49,貼り付け用!$A$1:$BA$300,COLUMN(),FALSE)=0,"",VLOOKUP($A49,貼り付け用!$A$1:$BA$300,COLUMN(),FALSE)),"")</f>
        <v/>
      </c>
      <c r="L49" s="45" t="str">
        <f>IF($A49&lt;&gt;"",
IF(COLUMN(貼り付け用!L49)&gt;MATCH("おやつ",貼り付け用!$3:$3,0),"",
IF(VLOOKUP($A49,貼り付け用!$A$1:$BA$300,COLUMN(),FALSE)=0,"",VLOOKUP($A49,貼り付け用!$A$1:$BA$300,COLUMN(),FALSE))),"")</f>
        <v/>
      </c>
      <c r="M49" s="45" t="str">
        <f>IF($A49&lt;&gt;"",
IF(COLUMN(貼り付け用!M49)&gt;MATCH("おやつ",貼り付け用!$3:$3,0),"",
IF(VLOOKUP($A49,貼り付け用!$A$1:$BA$300,COLUMN(),FALSE)=0,"",VLOOKUP($A49,貼り付け用!$A$1:$BA$300,COLUMN(),FALSE))),"")</f>
        <v/>
      </c>
      <c r="N49" s="45" t="str">
        <f>IF($A49&lt;&gt;"",
IF(COLUMN(貼り付け用!N49)&gt;MATCH("おやつ",貼り付け用!$3:$3,0),"",
IF(VLOOKUP($A49,貼り付け用!$A$1:$BA$300,COLUMN(),FALSE)=0,"",VLOOKUP($A49,貼り付け用!$A$1:$BA$300,COLUMN(),FALSE))),"")</f>
        <v/>
      </c>
      <c r="O49" s="45" t="str">
        <f>IF($A49&lt;&gt;"",
IF(COLUMN(貼り付け用!O49)&gt;MATCH("おやつ",貼り付け用!$3:$3,0),"",
IF(VLOOKUP($A49,貼り付け用!$A$1:$BA$300,COLUMN(),FALSE)=0,"",VLOOKUP($A49,貼り付け用!$A$1:$BA$300,COLUMN(),FALSE))),"")</f>
        <v/>
      </c>
      <c r="P49" s="45" t="str">
        <f>IF($A49&lt;&gt;"",
IF(COLUMN(貼り付け用!P49)&gt;MATCH("おやつ",貼り付け用!$3:$3,0),"",
IF(VLOOKUP($A49,貼り付け用!$A$1:$BA$300,COLUMN(),FALSE)=0,"",VLOOKUP($A49,貼り付け用!$A$1:$BA$300,COLUMN(),FALSE))),"")</f>
        <v/>
      </c>
      <c r="Q49" s="45" t="str">
        <f>IF($A49&lt;&gt;"",
IF(COLUMN(貼り付け用!Q49)&gt;MATCH("おやつ",貼り付け用!$3:$3,0),"",
IF(VLOOKUP($A49,貼り付け用!$A$1:$BA$300,COLUMN(),FALSE)=0,"",VLOOKUP($A49,貼り付け用!$A$1:$BA$300,COLUMN(),FALSE))),"")</f>
        <v/>
      </c>
      <c r="R49" s="45" t="str">
        <f>IF($A49&lt;&gt;"",
IF(COLUMN(貼り付け用!R49)&gt;MATCH("おやつ",貼り付け用!$3:$3,0),"",
IF(VLOOKUP($A49,貼り付け用!$A$1:$BA$300,COLUMN(),FALSE)=0,"",VLOOKUP($A49,貼り付け用!$A$1:$BA$300,COLUMN(),FALSE))),"")</f>
        <v/>
      </c>
      <c r="S49" s="45" t="str">
        <f>IF($A49&lt;&gt;"",
IF(COLUMN(貼り付け用!S49)&gt;MATCH("おやつ",貼り付け用!$3:$3,0),"",
IF(VLOOKUP($A49,貼り付け用!$A$1:$BA$300,COLUMN(),FALSE)=0,"",VLOOKUP($A49,貼り付け用!$A$1:$BA$300,COLUMN(),FALSE))),"")</f>
        <v/>
      </c>
      <c r="T49" s="45" t="str">
        <f>IF(COLUMN(貼り付け用!T49)&gt;MATCH("おやつ",貼り付け用!$3:$3,0),"",
IF(VLOOKUP($A49,貼り付け用!$A$1:$BA$300,COLUMN(),FALSE)=0,"",VLOOKUP($A49,貼り付け用!$A$1:$BA$300,COLUMN(),FALSE)))</f>
        <v/>
      </c>
      <c r="U49" s="24"/>
      <c r="V49" s="21" t="str">
        <f>IF(A49&lt;&gt;"",
IF(VLOOKUP($A49,貼り付け用!$A$1:$BA$300,MATCH("おやつ",貼り付け用!$3:$3,0)+1,FALSE)=0,"",VLOOKUP($A49,貼り付け用!$A$1:$BA$300,MATCH("おやつ",貼り付け用!$3:$3,0)+1,FALSE)),"")</f>
        <v/>
      </c>
      <c r="W49" s="50" t="str">
        <f>IF(A49&lt;&gt;"",
IF(VLOOKUP($A49,貼り付け用!$A$1:$BA$300,MATCH("おやつ",貼り付け用!$3:$3,0)+2,FALSE)=0,"",VLOOKUP($A49,貼り付け用!$A$1:$BA$300,MATCH("おやつ",貼り付け用!$3:$3,0)+2,FALSE)),"")</f>
        <v/>
      </c>
    </row>
    <row r="50" spans="1:23" x14ac:dyDescent="0.45">
      <c r="A50" s="10" t="str">
        <f>IF(貼り付け用!$A$6&lt;&gt;"",
IF(ROW(A49)+1&gt;=MATCH("*【合計】*", 貼り付け用!$A:$A, 0),
"",
IF(貼り付け用!A50&lt;&gt;"",貼り付け用!A50,"")),
IF(ROW(A50)+1&gt;=MATCH("*【合計】*", 貼り付け用!$A:$A, 0),
"",
IF(貼り付け用!A51&lt;&gt;"",貼り付け用!A51,"")))</f>
        <v>707</v>
      </c>
      <c r="B50" s="50" t="str">
        <f>IF($A50&lt;&gt;"",IF(VLOOKUP($A50,貼り付け用!$A$1:$BA$300,COLUMN(),FALSE)=0,"",VLOOKUP($A50,貼り付け用!$A$1:$BA$300,COLUMN(),FALSE)),"")</f>
        <v/>
      </c>
      <c r="C50" s="50" t="str">
        <f>IF($A50&lt;&gt;"",IF(VLOOKUP($A50,貼り付け用!$A$1:$BA$300,COLUMN(),FALSE)=0,"",VLOOKUP($A50,貼り付け用!$A$1:$BA$300,COLUMN(),FALSE)),"")</f>
        <v/>
      </c>
      <c r="D50" s="50" t="str">
        <f>IF($A50&lt;&gt;"",IF(VLOOKUP($A50,貼り付け用!$A$1:$BA$300,COLUMN(),FALSE)=0,"",VLOOKUP($A50,貼り付け用!$A$1:$BA$300,COLUMN(),FALSE)),"")</f>
        <v/>
      </c>
      <c r="E50" s="50" t="str">
        <f>IF($A50&lt;&gt;"",IF(VLOOKUP($A50,貼り付け用!$A$1:$BA$300,COLUMN(),FALSE)=0,"",VLOOKUP($A50,貼り付け用!$A$1:$BA$300,COLUMN(),FALSE)),"")</f>
        <v/>
      </c>
      <c r="F50" s="50" t="str">
        <f>IF($A50&lt;&gt;"",IF(VLOOKUP($A50,貼り付け用!$A$1:$BA$300,COLUMN(),FALSE)=0,"",VLOOKUP($A50,貼り付け用!$A$1:$BA$300,COLUMN(),FALSE)),"")</f>
        <v/>
      </c>
      <c r="G50" s="50" t="str">
        <f>IF($A50&lt;&gt;"",IF(VLOOKUP($A50,貼り付け用!$A$1:$BA$300,COLUMN(),FALSE)=0,"",VLOOKUP($A50,貼り付け用!$A$1:$BA$300,COLUMN(),FALSE)),"")</f>
        <v/>
      </c>
      <c r="H50" s="50" t="str">
        <f>IF($A50&lt;&gt;"",IF(VLOOKUP($A50,貼り付け用!$A$1:$BA$300,COLUMN(),FALSE)=0,"",VLOOKUP($A50,貼り付け用!$A$1:$BA$300,COLUMN(),FALSE)),"")</f>
        <v/>
      </c>
      <c r="I50" s="50" t="str">
        <f>IF($A50&lt;&gt;"",IF(VLOOKUP($A50,貼り付け用!$A$1:$BA$300,COLUMN(),FALSE)=0,"",VLOOKUP($A50,貼り付け用!$A$1:$BA$300,COLUMN(),FALSE)),"")</f>
        <v/>
      </c>
      <c r="J50" s="50" t="str">
        <f>IF($A50&lt;&gt;"",IF(VLOOKUP($A50,貼り付け用!$A$1:$BA$300,COLUMN(),FALSE)=0,"",VLOOKUP($A50,貼り付け用!$A$1:$BA$300,COLUMN(),FALSE)),"")</f>
        <v/>
      </c>
      <c r="K50" s="50" t="str">
        <f>IF($A50&lt;&gt;"",IF(VLOOKUP($A50,貼り付け用!$A$1:$BA$300,COLUMN(),FALSE)=0,"",VLOOKUP($A50,貼り付け用!$A$1:$BA$300,COLUMN(),FALSE)),"")</f>
        <v/>
      </c>
      <c r="L50" s="50" t="str">
        <f>IF($A50&lt;&gt;"",
IF(COLUMN(貼り付け用!L50)&gt;MATCH("おやつ",貼り付け用!$3:$3,0),"",
IF(VLOOKUP($A50,貼り付け用!$A$1:$BA$300,COLUMN(),FALSE)=0,"",VLOOKUP($A50,貼り付け用!$A$1:$BA$300,COLUMN(),FALSE))),"")</f>
        <v/>
      </c>
      <c r="M50" s="50" t="str">
        <f>IF($A50&lt;&gt;"",
IF(COLUMN(貼り付け用!M50)&gt;MATCH("おやつ",貼り付け用!$3:$3,0),"",
IF(VLOOKUP($A50,貼り付け用!$A$1:$BA$300,COLUMN(),FALSE)=0,"",VLOOKUP($A50,貼り付け用!$A$1:$BA$300,COLUMN(),FALSE))),"")</f>
        <v/>
      </c>
      <c r="N50" s="50" t="str">
        <f>IF($A50&lt;&gt;"",
IF(COLUMN(貼り付け用!N50)&gt;MATCH("おやつ",貼り付け用!$3:$3,0),"",
IF(VLOOKUP($A50,貼り付け用!$A$1:$BA$300,COLUMN(),FALSE)=0,"",VLOOKUP($A50,貼り付け用!$A$1:$BA$300,COLUMN(),FALSE))),"")</f>
        <v/>
      </c>
      <c r="O50" s="50" t="str">
        <f>IF($A50&lt;&gt;"",
IF(COLUMN(貼り付け用!O50)&gt;MATCH("おやつ",貼り付け用!$3:$3,0),"",
IF(VLOOKUP($A50,貼り付け用!$A$1:$BA$300,COLUMN(),FALSE)=0,"",VLOOKUP($A50,貼り付け用!$A$1:$BA$300,COLUMN(),FALSE))),"")</f>
        <v/>
      </c>
      <c r="P50" s="50" t="str">
        <f>IF($A50&lt;&gt;"",
IF(COLUMN(貼り付け用!P50)&gt;MATCH("おやつ",貼り付け用!$3:$3,0),"",
IF(VLOOKUP($A50,貼り付け用!$A$1:$BA$300,COLUMN(),FALSE)=0,"",VLOOKUP($A50,貼り付け用!$A$1:$BA$300,COLUMN(),FALSE))),"")</f>
        <v/>
      </c>
      <c r="Q50" s="50" t="str">
        <f>IF($A50&lt;&gt;"",
IF(COLUMN(貼り付け用!Q50)&gt;MATCH("おやつ",貼り付け用!$3:$3,0),"",
IF(VLOOKUP($A50,貼り付け用!$A$1:$BA$300,COLUMN(),FALSE)=0,"",VLOOKUP($A50,貼り付け用!$A$1:$BA$300,COLUMN(),FALSE))),"")</f>
        <v/>
      </c>
      <c r="R50" s="50" t="str">
        <f>IF($A50&lt;&gt;"",
IF(COLUMN(貼り付け用!R50)&gt;MATCH("おやつ",貼り付け用!$3:$3,0),"",
IF(VLOOKUP($A50,貼り付け用!$A$1:$BA$300,COLUMN(),FALSE)=0,"",VLOOKUP($A50,貼り付け用!$A$1:$BA$300,COLUMN(),FALSE))),"")</f>
        <v/>
      </c>
      <c r="S50" s="50" t="str">
        <f>IF($A50&lt;&gt;"",
IF(COLUMN(貼り付け用!S50)&gt;MATCH("おやつ",貼り付け用!$3:$3,0),"",
IF(VLOOKUP($A50,貼り付け用!$A$1:$BA$300,COLUMN(),FALSE)=0,"",VLOOKUP($A50,貼り付け用!$A$1:$BA$300,COLUMN(),FALSE))),"")</f>
        <v/>
      </c>
      <c r="T50" s="50" t="str">
        <f>IF(COLUMN(貼り付け用!T50)&gt;MATCH("おやつ",貼り付け用!$3:$3,0),"",
IF(VLOOKUP($A50,貼り付け用!$A$1:$BA$300,COLUMN(),FALSE)=0,"",VLOOKUP($A50,貼り付け用!$A$1:$BA$300,COLUMN(),FALSE)))</f>
        <v/>
      </c>
      <c r="U50" s="23"/>
      <c r="V50" s="21" t="str">
        <f>IF(A50&lt;&gt;"",
IF(VLOOKUP($A50,貼り付け用!$A$1:$BA$300,MATCH("おやつ",貼り付け用!$3:$3,0)+1,FALSE)=0,"",VLOOKUP($A50,貼り付け用!$A$1:$BA$300,MATCH("おやつ",貼り付け用!$3:$3,0)+1,FALSE)),"")</f>
        <v/>
      </c>
      <c r="W50" s="50" t="str">
        <f>IF(A50&lt;&gt;"",
IF(VLOOKUP($A50,貼り付け用!$A$1:$BA$300,MATCH("おやつ",貼り付け用!$3:$3,0)+2,FALSE)=0,"",VLOOKUP($A50,貼り付け用!$A$1:$BA$300,MATCH("おやつ",貼り付け用!$3:$3,0)+2,FALSE)),"")</f>
        <v/>
      </c>
    </row>
    <row r="51" spans="1:23" x14ac:dyDescent="0.45">
      <c r="A51" s="22" t="str">
        <f>IF(貼り付け用!$A$6&lt;&gt;"",
IF(ROW(A50)+1&gt;=MATCH("*【合計】*", 貼り付け用!$A:$A, 0),"",
IF(貼り付け用!A51&lt;&gt;"",貼り付け用!A51,"")),
IF(ROW(A51)+1&gt;=MATCH("*【合計】*", 貼り付け用!$A:$A, 0),"",
IF(貼り付け用!A52&lt;&gt;"",貼り付け用!A52,"")))</f>
        <v>博多第二（補助教員） web</v>
      </c>
      <c r="B51" s="45" t="str">
        <f>IF($A51&lt;&gt;"",IF(VLOOKUP($A51,貼り付け用!$A$1:$BA$300,COLUMN(),FALSE)=0,"",VLOOKUP($A51,貼り付け用!$A$1:$BA$300,COLUMN(),FALSE)),"")</f>
        <v/>
      </c>
      <c r="C51" s="45" t="str">
        <f>IF($A51&lt;&gt;"",IF(VLOOKUP($A51,貼り付け用!$A$1:$BA$300,COLUMN(),FALSE)=0,"",VLOOKUP($A51,貼り付け用!$A$1:$BA$300,COLUMN(),FALSE)),"")</f>
        <v/>
      </c>
      <c r="D51" s="45" t="str">
        <f>IF($A51&lt;&gt;"",IF(VLOOKUP($A51,貼り付け用!$A$1:$BA$300,COLUMN(),FALSE)=0,"",VLOOKUP($A51,貼り付け用!$A$1:$BA$300,COLUMN(),FALSE)),"")</f>
        <v>1</v>
      </c>
      <c r="E51" s="45" t="str">
        <f>IF($A51&lt;&gt;"",IF(VLOOKUP($A51,貼り付け用!$A$1:$BA$300,COLUMN(),FALSE)=0,"",VLOOKUP($A51,貼り付け用!$A$1:$BA$300,COLUMN(),FALSE)),"")</f>
        <v/>
      </c>
      <c r="F51" s="45" t="str">
        <f>IF($A51&lt;&gt;"",IF(VLOOKUP($A51,貼り付け用!$A$1:$BA$300,COLUMN(),FALSE)=0,"",VLOOKUP($A51,貼り付け用!$A$1:$BA$300,COLUMN(),FALSE)),"")</f>
        <v/>
      </c>
      <c r="G51" s="45" t="str">
        <f>IF($A51&lt;&gt;"",IF(VLOOKUP($A51,貼り付け用!$A$1:$BA$300,COLUMN(),FALSE)=0,"",VLOOKUP($A51,貼り付け用!$A$1:$BA$300,COLUMN(),FALSE)),"")</f>
        <v/>
      </c>
      <c r="H51" s="45" t="str">
        <f>IF($A51&lt;&gt;"",IF(VLOOKUP($A51,貼り付け用!$A$1:$BA$300,COLUMN(),FALSE)=0,"",VLOOKUP($A51,貼り付け用!$A$1:$BA$300,COLUMN(),FALSE)),"")</f>
        <v/>
      </c>
      <c r="I51" s="45" t="str">
        <f>IF($A51&lt;&gt;"",IF(VLOOKUP($A51,貼り付け用!$A$1:$BA$300,COLUMN(),FALSE)=0,"",VLOOKUP($A51,貼り付け用!$A$1:$BA$300,COLUMN(),FALSE)),"")</f>
        <v/>
      </c>
      <c r="J51" s="45" t="str">
        <f>IF($A51&lt;&gt;"",IF(VLOOKUP($A51,貼り付け用!$A$1:$BA$300,COLUMN(),FALSE)=0,"",VLOOKUP($A51,貼り付け用!$A$1:$BA$300,COLUMN(),FALSE)),"")</f>
        <v/>
      </c>
      <c r="K51" s="45" t="str">
        <f>IF($A51&lt;&gt;"",IF(VLOOKUP($A51,貼り付け用!$A$1:$BA$300,COLUMN(),FALSE)=0,"",VLOOKUP($A51,貼り付け用!$A$1:$BA$300,COLUMN(),FALSE)),"")</f>
        <v/>
      </c>
      <c r="L51" s="45" t="str">
        <f>IF($A51&lt;&gt;"",
IF(COLUMN(貼り付け用!L51)&gt;MATCH("おやつ",貼り付け用!$3:$3,0),"",
IF(VLOOKUP($A51,貼り付け用!$A$1:$BA$300,COLUMN(),FALSE)=0,"",VLOOKUP($A51,貼り付け用!$A$1:$BA$300,COLUMN(),FALSE))),"")</f>
        <v/>
      </c>
      <c r="M51" s="45" t="str">
        <f>IF($A51&lt;&gt;"",
IF(COLUMN(貼り付け用!M51)&gt;MATCH("おやつ",貼り付け用!$3:$3,0),"",
IF(VLOOKUP($A51,貼り付け用!$A$1:$BA$300,COLUMN(),FALSE)=0,"",VLOOKUP($A51,貼り付け用!$A$1:$BA$300,COLUMN(),FALSE))),"")</f>
        <v/>
      </c>
      <c r="N51" s="45" t="str">
        <f>IF($A51&lt;&gt;"",
IF(COLUMN(貼り付け用!N51)&gt;MATCH("おやつ",貼り付け用!$3:$3,0),"",
IF(VLOOKUP($A51,貼り付け用!$A$1:$BA$300,COLUMN(),FALSE)=0,"",VLOOKUP($A51,貼り付け用!$A$1:$BA$300,COLUMN(),FALSE))),"")</f>
        <v/>
      </c>
      <c r="O51" s="45" t="str">
        <f>IF($A51&lt;&gt;"",
IF(COLUMN(貼り付け用!O51)&gt;MATCH("おやつ",貼り付け用!$3:$3,0),"",
IF(VLOOKUP($A51,貼り付け用!$A$1:$BA$300,COLUMN(),FALSE)=0,"",VLOOKUP($A51,貼り付け用!$A$1:$BA$300,COLUMN(),FALSE))),"")</f>
        <v/>
      </c>
      <c r="P51" s="45" t="str">
        <f>IF($A51&lt;&gt;"",
IF(COLUMN(貼り付け用!P51)&gt;MATCH("おやつ",貼り付け用!$3:$3,0),"",
IF(VLOOKUP($A51,貼り付け用!$A$1:$BA$300,COLUMN(),FALSE)=0,"",VLOOKUP($A51,貼り付け用!$A$1:$BA$300,COLUMN(),FALSE))),"")</f>
        <v/>
      </c>
      <c r="Q51" s="45" t="str">
        <f>IF($A51&lt;&gt;"",
IF(COLUMN(貼り付け用!Q51)&gt;MATCH("おやつ",貼り付け用!$3:$3,0),"",
IF(VLOOKUP($A51,貼り付け用!$A$1:$BA$300,COLUMN(),FALSE)=0,"",VLOOKUP($A51,貼り付け用!$A$1:$BA$300,COLUMN(),FALSE))),"")</f>
        <v/>
      </c>
      <c r="R51" s="45" t="str">
        <f>IF($A51&lt;&gt;"",
IF(COLUMN(貼り付け用!R51)&gt;MATCH("おやつ",貼り付け用!$3:$3,0),"",
IF(VLOOKUP($A51,貼り付け用!$A$1:$BA$300,COLUMN(),FALSE)=0,"",VLOOKUP($A51,貼り付け用!$A$1:$BA$300,COLUMN(),FALSE))),"")</f>
        <v/>
      </c>
      <c r="S51" s="45" t="str">
        <f>IF($A51&lt;&gt;"",
IF(COLUMN(貼り付け用!S51)&gt;MATCH("おやつ",貼り付け用!$3:$3,0),"",
IF(VLOOKUP($A51,貼り付け用!$A$1:$BA$300,COLUMN(),FALSE)=0,"",VLOOKUP($A51,貼り付け用!$A$1:$BA$300,COLUMN(),FALSE))),"")</f>
        <v/>
      </c>
      <c r="T51" s="45" t="str">
        <f>IF(COLUMN(貼り付け用!T51)&gt;MATCH("おやつ",貼り付け用!$3:$3,0),"",
IF(VLOOKUP($A51,貼り付け用!$A$1:$BA$300,COLUMN(),FALSE)=0,"",VLOOKUP($A51,貼り付け用!$A$1:$BA$300,COLUMN(),FALSE)))</f>
        <v/>
      </c>
      <c r="U51" s="24"/>
      <c r="V51" s="21" t="str">
        <f>IF(A51&lt;&gt;"",
IF(VLOOKUP($A51,貼り付け用!$A$1:$BA$300,MATCH("おやつ",貼り付け用!$3:$3,0)+1,FALSE)=0,"",VLOOKUP($A51,貼り付け用!$A$1:$BA$300,MATCH("おやつ",貼り付け用!$3:$3,0)+1,FALSE)),"")</f>
        <v/>
      </c>
      <c r="W51" s="50" t="str">
        <f>IF(A51&lt;&gt;"",
IF(VLOOKUP($A51,貼り付け用!$A$1:$BA$300,MATCH("おやつ",貼り付け用!$3:$3,0)+2,FALSE)=0,"",VLOOKUP($A51,貼り付け用!$A$1:$BA$300,MATCH("おやつ",貼り付け用!$3:$3,0)+2,FALSE)),"")</f>
        <v/>
      </c>
    </row>
    <row r="52" spans="1:23" x14ac:dyDescent="0.45">
      <c r="A52" s="10" t="str">
        <f>IF(貼り付け用!$A$6&lt;&gt;"",
IF(ROW(A51)+1&gt;=MATCH("*【合計】*", 貼り付け用!$A:$A, 0),
"",
IF(貼り付け用!A52&lt;&gt;"",貼り付け用!A52,"")),
IF(ROW(A52)+1&gt;=MATCH("*【合計】*", 貼り付け用!$A:$A, 0),
"",
IF(貼り付け用!A53&lt;&gt;"",貼り付け用!A53,"")))</f>
        <v>2100</v>
      </c>
      <c r="B52" s="50" t="str">
        <f>IF($A52&lt;&gt;"",IF(VLOOKUP($A52,貼り付け用!$A$1:$BA$300,COLUMN(),FALSE)=0,"",VLOOKUP($A52,貼り付け用!$A$1:$BA$300,COLUMN(),FALSE)),"")</f>
        <v/>
      </c>
      <c r="C52" s="50" t="str">
        <f>IF($A52&lt;&gt;"",IF(VLOOKUP($A52,貼り付け用!$A$1:$BA$300,COLUMN(),FALSE)=0,"",VLOOKUP($A52,貼り付け用!$A$1:$BA$300,COLUMN(),FALSE)),"")</f>
        <v/>
      </c>
      <c r="D52" s="50" t="str">
        <f>IF($A52&lt;&gt;"",IF(VLOOKUP($A52,貼り付け用!$A$1:$BA$300,COLUMN(),FALSE)=0,"",VLOOKUP($A52,貼り付け用!$A$1:$BA$300,COLUMN(),FALSE)),"")</f>
        <v/>
      </c>
      <c r="E52" s="50" t="str">
        <f>IF($A52&lt;&gt;"",IF(VLOOKUP($A52,貼り付け用!$A$1:$BA$300,COLUMN(),FALSE)=0,"",VLOOKUP($A52,貼り付け用!$A$1:$BA$300,COLUMN(),FALSE)),"")</f>
        <v/>
      </c>
      <c r="F52" s="50" t="str">
        <f>IF($A52&lt;&gt;"",IF(VLOOKUP($A52,貼り付け用!$A$1:$BA$300,COLUMN(),FALSE)=0,"",VLOOKUP($A52,貼り付け用!$A$1:$BA$300,COLUMN(),FALSE)),"")</f>
        <v/>
      </c>
      <c r="G52" s="50" t="str">
        <f>IF($A52&lt;&gt;"",IF(VLOOKUP($A52,貼り付け用!$A$1:$BA$300,COLUMN(),FALSE)=0,"",VLOOKUP($A52,貼り付け用!$A$1:$BA$300,COLUMN(),FALSE)),"")</f>
        <v>122</v>
      </c>
      <c r="H52" s="50" t="str">
        <f>IF($A52&lt;&gt;"",IF(VLOOKUP($A52,貼り付け用!$A$1:$BA$300,COLUMN(),FALSE)=0,"",VLOOKUP($A52,貼り付け用!$A$1:$BA$300,COLUMN(),FALSE)),"")</f>
        <v/>
      </c>
      <c r="I52" s="50" t="str">
        <f>IF($A52&lt;&gt;"",IF(VLOOKUP($A52,貼り付け用!$A$1:$BA$300,COLUMN(),FALSE)=0,"",VLOOKUP($A52,貼り付け用!$A$1:$BA$300,COLUMN(),FALSE)),"")</f>
        <v/>
      </c>
      <c r="J52" s="50" t="str">
        <f>IF($A52&lt;&gt;"",IF(VLOOKUP($A52,貼り付け用!$A$1:$BA$300,COLUMN(),FALSE)=0,"",VLOOKUP($A52,貼り付け用!$A$1:$BA$300,COLUMN(),FALSE)),"")</f>
        <v/>
      </c>
      <c r="K52" s="50" t="str">
        <f>IF($A52&lt;&gt;"",IF(VLOOKUP($A52,貼り付け用!$A$1:$BA$300,COLUMN(),FALSE)=0,"",VLOOKUP($A52,貼り付け用!$A$1:$BA$300,COLUMN(),FALSE)),"")</f>
        <v/>
      </c>
      <c r="L52" s="50" t="str">
        <f>IF($A52&lt;&gt;"",
IF(COLUMN(貼り付け用!L52)&gt;MATCH("おやつ",貼り付け用!$3:$3,0),"",
IF(VLOOKUP($A52,貼り付け用!$A$1:$BA$300,COLUMN(),FALSE)=0,"",VLOOKUP($A52,貼り付け用!$A$1:$BA$300,COLUMN(),FALSE))),"")</f>
        <v/>
      </c>
      <c r="M52" s="50" t="str">
        <f>IF($A52&lt;&gt;"",
IF(COLUMN(貼り付け用!M52)&gt;MATCH("おやつ",貼り付け用!$3:$3,0),"",
IF(VLOOKUP($A52,貼り付け用!$A$1:$BA$300,COLUMN(),FALSE)=0,"",VLOOKUP($A52,貼り付け用!$A$1:$BA$300,COLUMN(),FALSE))),"")</f>
        <v/>
      </c>
      <c r="N52" s="50" t="str">
        <f>IF($A52&lt;&gt;"",
IF(COLUMN(貼り付け用!N52)&gt;MATCH("おやつ",貼り付け用!$3:$3,0),"",
IF(VLOOKUP($A52,貼り付け用!$A$1:$BA$300,COLUMN(),FALSE)=0,"",VLOOKUP($A52,貼り付け用!$A$1:$BA$300,COLUMN(),FALSE))),"")</f>
        <v/>
      </c>
      <c r="O52" s="50" t="str">
        <f>IF($A52&lt;&gt;"",
IF(COLUMN(貼り付け用!O52)&gt;MATCH("おやつ",貼り付け用!$3:$3,0),"",
IF(VLOOKUP($A52,貼り付け用!$A$1:$BA$300,COLUMN(),FALSE)=0,"",VLOOKUP($A52,貼り付け用!$A$1:$BA$300,COLUMN(),FALSE))),"")</f>
        <v/>
      </c>
      <c r="P52" s="50" t="str">
        <f>IF($A52&lt;&gt;"",
IF(COLUMN(貼り付け用!P52)&gt;MATCH("おやつ",貼り付け用!$3:$3,0),"",
IF(VLOOKUP($A52,貼り付け用!$A$1:$BA$300,COLUMN(),FALSE)=0,"",VLOOKUP($A52,貼り付け用!$A$1:$BA$300,COLUMN(),FALSE))),"")</f>
        <v/>
      </c>
      <c r="Q52" s="50" t="str">
        <f>IF($A52&lt;&gt;"",
IF(COLUMN(貼り付け用!Q52)&gt;MATCH("おやつ",貼り付け用!$3:$3,0),"",
IF(VLOOKUP($A52,貼り付け用!$A$1:$BA$300,COLUMN(),FALSE)=0,"",VLOOKUP($A52,貼り付け用!$A$1:$BA$300,COLUMN(),FALSE))),"")</f>
        <v/>
      </c>
      <c r="R52" s="50" t="str">
        <f>IF($A52&lt;&gt;"",
IF(COLUMN(貼り付け用!R52)&gt;MATCH("おやつ",貼り付け用!$3:$3,0),"",
IF(VLOOKUP($A52,貼り付け用!$A$1:$BA$300,COLUMN(),FALSE)=0,"",VLOOKUP($A52,貼り付け用!$A$1:$BA$300,COLUMN(),FALSE))),"")</f>
        <v/>
      </c>
      <c r="S52" s="50" t="str">
        <f>IF($A52&lt;&gt;"",
IF(COLUMN(貼り付け用!S52)&gt;MATCH("おやつ",貼り付け用!$3:$3,0),"",
IF(VLOOKUP($A52,貼り付け用!$A$1:$BA$300,COLUMN(),FALSE)=0,"",VLOOKUP($A52,貼り付け用!$A$1:$BA$300,COLUMN(),FALSE))),"")</f>
        <v/>
      </c>
      <c r="T52" s="50" t="str">
        <f>IF(COLUMN(貼り付け用!T52)&gt;MATCH("おやつ",貼り付け用!$3:$3,0),"",
IF(VLOOKUP($A52,貼り付け用!$A$1:$BA$300,COLUMN(),FALSE)=0,"",VLOOKUP($A52,貼り付け用!$A$1:$BA$300,COLUMN(),FALSE)))</f>
        <v/>
      </c>
      <c r="U52" s="23"/>
      <c r="V52" s="21" t="str">
        <f>IF(A52&lt;&gt;"",
IF(VLOOKUP($A52,貼り付け用!$A$1:$BA$300,MATCH("おやつ",貼り付け用!$3:$3,0)+1,FALSE)=0,"",VLOOKUP($A52,貼り付け用!$A$1:$BA$300,MATCH("おやつ",貼り付け用!$3:$3,0)+1,FALSE)),"")</f>
        <v/>
      </c>
      <c r="W52" s="50" t="str">
        <f>IF(A52&lt;&gt;"",
IF(VLOOKUP($A52,貼り付け用!$A$1:$BA$300,MATCH("おやつ",貼り付け用!$3:$3,0)+2,FALSE)=0,"",VLOOKUP($A52,貼り付け用!$A$1:$BA$300,MATCH("おやつ",貼り付け用!$3:$3,0)+2,FALSE)),"")</f>
        <v/>
      </c>
    </row>
    <row r="53" spans="1:23" x14ac:dyDescent="0.45">
      <c r="A53" s="22" t="str">
        <f>IF(貼り付け用!$A$6&lt;&gt;"",
IF(ROW(A52)+1&gt;=MATCH("*【合計】*", 貼り付け用!$A:$A, 0),"",
IF(貼り付け用!A53&lt;&gt;"",貼り付け用!A53,"")),
IF(ROW(A53)+1&gt;=MATCH("*【合計】*", 貼り付け用!$A:$A, 0),"",
IF(貼り付け用!A54&lt;&gt;"",貼り付け用!A54,"")))</f>
        <v>志免幼稚園</v>
      </c>
      <c r="B53" s="45" t="str">
        <f>IF($A53&lt;&gt;"",IF(VLOOKUP($A53,貼り付け用!$A$1:$BA$300,COLUMN(),FALSE)=0,"",VLOOKUP($A53,貼り付け用!$A$1:$BA$300,COLUMN(),FALSE)),"")</f>
        <v/>
      </c>
      <c r="C53" s="45" t="str">
        <f>IF($A53&lt;&gt;"",IF(VLOOKUP($A53,貼り付け用!$A$1:$BA$300,COLUMN(),FALSE)=0,"",VLOOKUP($A53,貼り付け用!$A$1:$BA$300,COLUMN(),FALSE)),"")</f>
        <v/>
      </c>
      <c r="D53" s="45" t="str">
        <f>IF($A53&lt;&gt;"",IF(VLOOKUP($A53,貼り付け用!$A$1:$BA$300,COLUMN(),FALSE)=0,"",VLOOKUP($A53,貼り付け用!$A$1:$BA$300,COLUMN(),FALSE)),"")</f>
        <v/>
      </c>
      <c r="E53" s="45" t="str">
        <f>IF($A53&lt;&gt;"",IF(VLOOKUP($A53,貼り付け用!$A$1:$BA$300,COLUMN(),FALSE)=0,"",VLOOKUP($A53,貼り付け用!$A$1:$BA$300,COLUMN(),FALSE)),"")</f>
        <v/>
      </c>
      <c r="F53" s="45" t="str">
        <f>IF($A53&lt;&gt;"",IF(VLOOKUP($A53,貼り付け用!$A$1:$BA$300,COLUMN(),FALSE)=0,"",VLOOKUP($A53,貼り付け用!$A$1:$BA$300,COLUMN(),FALSE)),"")</f>
        <v/>
      </c>
      <c r="G53" s="45" t="str">
        <f>IF($A53&lt;&gt;"",IF(VLOOKUP($A53,貼り付け用!$A$1:$BA$300,COLUMN(),FALSE)=0,"",VLOOKUP($A53,貼り付け用!$A$1:$BA$300,COLUMN(),FALSE)),"")</f>
        <v>16</v>
      </c>
      <c r="H53" s="45" t="str">
        <f>IF($A53&lt;&gt;"",IF(VLOOKUP($A53,貼り付け用!$A$1:$BA$300,COLUMN(),FALSE)=0,"",VLOOKUP($A53,貼り付け用!$A$1:$BA$300,COLUMN(),FALSE)),"")</f>
        <v/>
      </c>
      <c r="I53" s="45" t="str">
        <f>IF($A53&lt;&gt;"",IF(VLOOKUP($A53,貼り付け用!$A$1:$BA$300,COLUMN(),FALSE)=0,"",VLOOKUP($A53,貼り付け用!$A$1:$BA$300,COLUMN(),FALSE)),"")</f>
        <v/>
      </c>
      <c r="J53" s="45" t="str">
        <f>IF($A53&lt;&gt;"",IF(VLOOKUP($A53,貼り付け用!$A$1:$BA$300,COLUMN(),FALSE)=0,"",VLOOKUP($A53,貼り付け用!$A$1:$BA$300,COLUMN(),FALSE)),"")</f>
        <v/>
      </c>
      <c r="K53" s="45" t="str">
        <f>IF($A53&lt;&gt;"",IF(VLOOKUP($A53,貼り付け用!$A$1:$BA$300,COLUMN(),FALSE)=0,"",VLOOKUP($A53,貼り付け用!$A$1:$BA$300,COLUMN(),FALSE)),"")</f>
        <v/>
      </c>
      <c r="L53" s="45" t="str">
        <f>IF($A53&lt;&gt;"",
IF(COLUMN(貼り付け用!L53)&gt;MATCH("おやつ",貼り付け用!$3:$3,0),"",
IF(VLOOKUP($A53,貼り付け用!$A$1:$BA$300,COLUMN(),FALSE)=0,"",VLOOKUP($A53,貼り付け用!$A$1:$BA$300,COLUMN(),FALSE))),"")</f>
        <v/>
      </c>
      <c r="M53" s="45" t="str">
        <f>IF($A53&lt;&gt;"",
IF(COLUMN(貼り付け用!M53)&gt;MATCH("おやつ",貼り付け用!$3:$3,0),"",
IF(VLOOKUP($A53,貼り付け用!$A$1:$BA$300,COLUMN(),FALSE)=0,"",VLOOKUP($A53,貼り付け用!$A$1:$BA$300,COLUMN(),FALSE))),"")</f>
        <v/>
      </c>
      <c r="N53" s="45" t="str">
        <f>IF($A53&lt;&gt;"",
IF(COLUMN(貼り付け用!N53)&gt;MATCH("おやつ",貼り付け用!$3:$3,0),"",
IF(VLOOKUP($A53,貼り付け用!$A$1:$BA$300,COLUMN(),FALSE)=0,"",VLOOKUP($A53,貼り付け用!$A$1:$BA$300,COLUMN(),FALSE))),"")</f>
        <v/>
      </c>
      <c r="O53" s="45" t="str">
        <f>IF($A53&lt;&gt;"",
IF(COLUMN(貼り付け用!O53)&gt;MATCH("おやつ",貼り付け用!$3:$3,0),"",
IF(VLOOKUP($A53,貼り付け用!$A$1:$BA$300,COLUMN(),FALSE)=0,"",VLOOKUP($A53,貼り付け用!$A$1:$BA$300,COLUMN(),FALSE))),"")</f>
        <v/>
      </c>
      <c r="P53" s="45" t="str">
        <f>IF($A53&lt;&gt;"",
IF(COLUMN(貼り付け用!P53)&gt;MATCH("おやつ",貼り付け用!$3:$3,0),"",
IF(VLOOKUP($A53,貼り付け用!$A$1:$BA$300,COLUMN(),FALSE)=0,"",VLOOKUP($A53,貼り付け用!$A$1:$BA$300,COLUMN(),FALSE))),"")</f>
        <v/>
      </c>
      <c r="Q53" s="45" t="str">
        <f>IF($A53&lt;&gt;"",
IF(COLUMN(貼り付け用!Q53)&gt;MATCH("おやつ",貼り付け用!$3:$3,0),"",
IF(VLOOKUP($A53,貼り付け用!$A$1:$BA$300,COLUMN(),FALSE)=0,"",VLOOKUP($A53,貼り付け用!$A$1:$BA$300,COLUMN(),FALSE))),"")</f>
        <v/>
      </c>
      <c r="R53" s="45" t="str">
        <f>IF($A53&lt;&gt;"",
IF(COLUMN(貼り付け用!R53)&gt;MATCH("おやつ",貼り付け用!$3:$3,0),"",
IF(VLOOKUP($A53,貼り付け用!$A$1:$BA$300,COLUMN(),FALSE)=0,"",VLOOKUP($A53,貼り付け用!$A$1:$BA$300,COLUMN(),FALSE))),"")</f>
        <v/>
      </c>
      <c r="S53" s="45" t="str">
        <f>IF($A53&lt;&gt;"",
IF(COLUMN(貼り付け用!S53)&gt;MATCH("おやつ",貼り付け用!$3:$3,0),"",
IF(VLOOKUP($A53,貼り付け用!$A$1:$BA$300,COLUMN(),FALSE)=0,"",VLOOKUP($A53,貼り付け用!$A$1:$BA$300,COLUMN(),FALSE))),"")</f>
        <v/>
      </c>
      <c r="T53" s="45" t="str">
        <f>IF(COLUMN(貼り付け用!T53)&gt;MATCH("おやつ",貼り付け用!$3:$3,0),"",
IF(VLOOKUP($A53,貼り付け用!$A$1:$BA$300,COLUMN(),FALSE)=0,"",VLOOKUP($A53,貼り付け用!$A$1:$BA$300,COLUMN(),FALSE)))</f>
        <v/>
      </c>
      <c r="U53" s="24"/>
      <c r="V53" s="21" t="str">
        <f>IF(A53&lt;&gt;"",
IF(VLOOKUP($A53,貼り付け用!$A$1:$BA$300,MATCH("おやつ",貼り付け用!$3:$3,0)+1,FALSE)=0,"",VLOOKUP($A53,貼り付け用!$A$1:$BA$300,MATCH("おやつ",貼り付け用!$3:$3,0)+1,FALSE)),"")</f>
        <v/>
      </c>
      <c r="W53" s="50" t="str">
        <f>IF(A53&lt;&gt;"",
IF(VLOOKUP($A53,貼り付け用!$A$1:$BA$300,MATCH("おやつ",貼り付け用!$3:$3,0)+2,FALSE)=0,"",VLOOKUP($A53,貼り付け用!$A$1:$BA$300,MATCH("おやつ",貼り付け用!$3:$3,0)+2,FALSE)),"")</f>
        <v/>
      </c>
    </row>
    <row r="54" spans="1:23" x14ac:dyDescent="0.45">
      <c r="A54" s="10" t="str">
        <f>IF(貼り付け用!$A$6&lt;&gt;"",
IF(ROW(A53)+1&gt;=MATCH("*【合計】*", 貼り付け用!$A:$A, 0),
"",
IF(貼り付け用!A54&lt;&gt;"",貼り付け用!A54,"")),
IF(ROW(A54)+1&gt;=MATCH("*【合計】*", 貼り付け用!$A:$A, 0),
"",
IF(貼り付け用!A55&lt;&gt;"",貼り付け用!A55,"")))</f>
        <v>2200</v>
      </c>
      <c r="B54" s="50" t="str">
        <f>IF($A54&lt;&gt;"",IF(VLOOKUP($A54,貼り付け用!$A$1:$BA$300,COLUMN(),FALSE)=0,"",VLOOKUP($A54,貼り付け用!$A$1:$BA$300,COLUMN(),FALSE)),"")</f>
        <v/>
      </c>
      <c r="C54" s="50" t="str">
        <f>IF($A54&lt;&gt;"",IF(VLOOKUP($A54,貼り付け用!$A$1:$BA$300,COLUMN(),FALSE)=0,"",VLOOKUP($A54,貼り付け用!$A$1:$BA$300,COLUMN(),FALSE)),"")</f>
        <v/>
      </c>
      <c r="D54" s="50" t="str">
        <f>IF($A54&lt;&gt;"",IF(VLOOKUP($A54,貼り付け用!$A$1:$BA$300,COLUMN(),FALSE)=0,"",VLOOKUP($A54,貼り付け用!$A$1:$BA$300,COLUMN(),FALSE)),"")</f>
        <v/>
      </c>
      <c r="E54" s="50" t="str">
        <f>IF($A54&lt;&gt;"",IF(VLOOKUP($A54,貼り付け用!$A$1:$BA$300,COLUMN(),FALSE)=0,"",VLOOKUP($A54,貼り付け用!$A$1:$BA$300,COLUMN(),FALSE)),"")</f>
        <v/>
      </c>
      <c r="F54" s="50" t="str">
        <f>IF($A54&lt;&gt;"",IF(VLOOKUP($A54,貼り付け用!$A$1:$BA$300,COLUMN(),FALSE)=0,"",VLOOKUP($A54,貼り付け用!$A$1:$BA$300,COLUMN(),FALSE)),"")</f>
        <v/>
      </c>
      <c r="G54" s="50" t="str">
        <f>IF($A54&lt;&gt;"",IF(VLOOKUP($A54,貼り付け用!$A$1:$BA$300,COLUMN(),FALSE)=0,"",VLOOKUP($A54,貼り付け用!$A$1:$BA$300,COLUMN(),FALSE)),"")</f>
        <v/>
      </c>
      <c r="H54" s="50" t="str">
        <f>IF($A54&lt;&gt;"",IF(VLOOKUP($A54,貼り付け用!$A$1:$BA$300,COLUMN(),FALSE)=0,"",VLOOKUP($A54,貼り付け用!$A$1:$BA$300,COLUMN(),FALSE)),"")</f>
        <v/>
      </c>
      <c r="I54" s="50" t="str">
        <f>IF($A54&lt;&gt;"",IF(VLOOKUP($A54,貼り付け用!$A$1:$BA$300,COLUMN(),FALSE)=0,"",VLOOKUP($A54,貼り付け用!$A$1:$BA$300,COLUMN(),FALSE)),"")</f>
        <v/>
      </c>
      <c r="J54" s="50" t="str">
        <f>IF($A54&lt;&gt;"",IF(VLOOKUP($A54,貼り付け用!$A$1:$BA$300,COLUMN(),FALSE)=0,"",VLOOKUP($A54,貼り付け用!$A$1:$BA$300,COLUMN(),FALSE)),"")</f>
        <v/>
      </c>
      <c r="K54" s="50" t="str">
        <f>IF($A54&lt;&gt;"",IF(VLOOKUP($A54,貼り付け用!$A$1:$BA$300,COLUMN(),FALSE)=0,"",VLOOKUP($A54,貼り付け用!$A$1:$BA$300,COLUMN(),FALSE)),"")</f>
        <v/>
      </c>
      <c r="L54" s="50" t="str">
        <f>IF($A54&lt;&gt;"",
IF(COLUMN(貼り付け用!L54)&gt;MATCH("おやつ",貼り付け用!$3:$3,0),"",
IF(VLOOKUP($A54,貼り付け用!$A$1:$BA$300,COLUMN(),FALSE)=0,"",VLOOKUP($A54,貼り付け用!$A$1:$BA$300,COLUMN(),FALSE))),"")</f>
        <v/>
      </c>
      <c r="M54" s="50" t="str">
        <f>IF($A54&lt;&gt;"",
IF(COLUMN(貼り付け用!M54)&gt;MATCH("おやつ",貼り付け用!$3:$3,0),"",
IF(VLOOKUP($A54,貼り付け用!$A$1:$BA$300,COLUMN(),FALSE)=0,"",VLOOKUP($A54,貼り付け用!$A$1:$BA$300,COLUMN(),FALSE))),"")</f>
        <v/>
      </c>
      <c r="N54" s="50" t="str">
        <f>IF($A54&lt;&gt;"",
IF(COLUMN(貼り付け用!N54)&gt;MATCH("おやつ",貼り付け用!$3:$3,0),"",
IF(VLOOKUP($A54,貼り付け用!$A$1:$BA$300,COLUMN(),FALSE)=0,"",VLOOKUP($A54,貼り付け用!$A$1:$BA$300,COLUMN(),FALSE))),"")</f>
        <v>219</v>
      </c>
      <c r="O54" s="50" t="str">
        <f>IF($A54&lt;&gt;"",
IF(COLUMN(貼り付け用!O54)&gt;MATCH("おやつ",貼り付け用!$3:$3,0),"",
IF(VLOOKUP($A54,貼り付け用!$A$1:$BA$300,COLUMN(),FALSE)=0,"",VLOOKUP($A54,貼り付け用!$A$1:$BA$300,COLUMN(),FALSE))),"")</f>
        <v/>
      </c>
      <c r="P54" s="50" t="str">
        <f>IF($A54&lt;&gt;"",
IF(COLUMN(貼り付け用!P54)&gt;MATCH("おやつ",貼り付け用!$3:$3,0),"",
IF(VLOOKUP($A54,貼り付け用!$A$1:$BA$300,COLUMN(),FALSE)=0,"",VLOOKUP($A54,貼り付け用!$A$1:$BA$300,COLUMN(),FALSE))),"")</f>
        <v/>
      </c>
      <c r="Q54" s="50" t="str">
        <f>IF($A54&lt;&gt;"",
IF(COLUMN(貼り付け用!Q54)&gt;MATCH("おやつ",貼り付け用!$3:$3,0),"",
IF(VLOOKUP($A54,貼り付け用!$A$1:$BA$300,COLUMN(),FALSE)=0,"",VLOOKUP($A54,貼り付け用!$A$1:$BA$300,COLUMN(),FALSE))),"")</f>
        <v/>
      </c>
      <c r="R54" s="50" t="str">
        <f>IF($A54&lt;&gt;"",
IF(COLUMN(貼り付け用!R54)&gt;MATCH("おやつ",貼り付け用!$3:$3,0),"",
IF(VLOOKUP($A54,貼り付け用!$A$1:$BA$300,COLUMN(),FALSE)=0,"",VLOOKUP($A54,貼り付け用!$A$1:$BA$300,COLUMN(),FALSE))),"")</f>
        <v/>
      </c>
      <c r="S54" s="50" t="str">
        <f>IF($A54&lt;&gt;"",
IF(COLUMN(貼り付け用!S54)&gt;MATCH("おやつ",貼り付け用!$3:$3,0),"",
IF(VLOOKUP($A54,貼り付け用!$A$1:$BA$300,COLUMN(),FALSE)=0,"",VLOOKUP($A54,貼り付け用!$A$1:$BA$300,COLUMN(),FALSE))),"")</f>
        <v/>
      </c>
      <c r="T54" s="50" t="str">
        <f>IF(COLUMN(貼り付け用!T54)&gt;MATCH("おやつ",貼り付け用!$3:$3,0),"",
IF(VLOOKUP($A54,貼り付け用!$A$1:$BA$300,COLUMN(),FALSE)=0,"",VLOOKUP($A54,貼り付け用!$A$1:$BA$300,COLUMN(),FALSE)))</f>
        <v/>
      </c>
      <c r="U54" s="23"/>
      <c r="V54" s="21" t="str">
        <f>IF(A54&lt;&gt;"",
IF(VLOOKUP($A54,貼り付け用!$A$1:$BA$300,MATCH("おやつ",貼り付け用!$3:$3,0)+1,FALSE)=0,"",VLOOKUP($A54,貼り付け用!$A$1:$BA$300,MATCH("おやつ",貼り付け用!$3:$3,0)+1,FALSE)),"")</f>
        <v>先生+2</v>
      </c>
      <c r="W54" s="50" t="str">
        <f>IF(A54&lt;&gt;"",
IF(VLOOKUP($A54,貼り付け用!$A$1:$BA$300,MATCH("おやつ",貼り付け用!$3:$3,0)+2,FALSE)=0,"",VLOOKUP($A54,貼り付け用!$A$1:$BA$300,MATCH("おやつ",貼り付け用!$3:$3,0)+2,FALSE)),"")</f>
        <v/>
      </c>
    </row>
    <row r="55" spans="1:23" x14ac:dyDescent="0.45">
      <c r="A55" s="22" t="str">
        <f>IF(貼り付け用!$A$6&lt;&gt;"",
IF(ROW(A54)+1&gt;=MATCH("*【合計】*", 貼り付け用!$A:$A, 0),"",
IF(貼り付け用!A55&lt;&gt;"",貼り付け用!A55,"")),
IF(ROW(A55)+1&gt;=MATCH("*【合計】*", 貼り付け用!$A:$A, 0),"",
IF(貼り付け用!A56&lt;&gt;"",貼り付け用!A56,"")))</f>
        <v>志免中央幼稚園</v>
      </c>
      <c r="B55" s="45" t="str">
        <f>IF($A55&lt;&gt;"",IF(VLOOKUP($A55,貼り付け用!$A$1:$BA$300,COLUMN(),FALSE)=0,"",VLOOKUP($A55,貼り付け用!$A$1:$BA$300,COLUMN(),FALSE)),"")</f>
        <v/>
      </c>
      <c r="C55" s="45" t="str">
        <f>IF($A55&lt;&gt;"",IF(VLOOKUP($A55,貼り付け用!$A$1:$BA$300,COLUMN(),FALSE)=0,"",VLOOKUP($A55,貼り付け用!$A$1:$BA$300,COLUMN(),FALSE)),"")</f>
        <v/>
      </c>
      <c r="D55" s="45" t="str">
        <f>IF($A55&lt;&gt;"",IF(VLOOKUP($A55,貼り付け用!$A$1:$BA$300,COLUMN(),FALSE)=0,"",VLOOKUP($A55,貼り付け用!$A$1:$BA$300,COLUMN(),FALSE)),"")</f>
        <v/>
      </c>
      <c r="E55" s="45" t="str">
        <f>IF($A55&lt;&gt;"",IF(VLOOKUP($A55,貼り付け用!$A$1:$BA$300,COLUMN(),FALSE)=0,"",VLOOKUP($A55,貼り付け用!$A$1:$BA$300,COLUMN(),FALSE)),"")</f>
        <v/>
      </c>
      <c r="F55" s="45" t="str">
        <f>IF($A55&lt;&gt;"",IF(VLOOKUP($A55,貼り付け用!$A$1:$BA$300,COLUMN(),FALSE)=0,"",VLOOKUP($A55,貼り付け用!$A$1:$BA$300,COLUMN(),FALSE)),"")</f>
        <v/>
      </c>
      <c r="G55" s="45" t="str">
        <f>IF($A55&lt;&gt;"",IF(VLOOKUP($A55,貼り付け用!$A$1:$BA$300,COLUMN(),FALSE)=0,"",VLOOKUP($A55,貼り付け用!$A$1:$BA$300,COLUMN(),FALSE)),"")</f>
        <v/>
      </c>
      <c r="H55" s="45" t="str">
        <f>IF($A55&lt;&gt;"",IF(VLOOKUP($A55,貼り付け用!$A$1:$BA$300,COLUMN(),FALSE)=0,"",VLOOKUP($A55,貼り付け用!$A$1:$BA$300,COLUMN(),FALSE)),"")</f>
        <v/>
      </c>
      <c r="I55" s="45" t="str">
        <f>IF($A55&lt;&gt;"",IF(VLOOKUP($A55,貼り付け用!$A$1:$BA$300,COLUMN(),FALSE)=0,"",VLOOKUP($A55,貼り付け用!$A$1:$BA$300,COLUMN(),FALSE)),"")</f>
        <v/>
      </c>
      <c r="J55" s="45" t="str">
        <f>IF($A55&lt;&gt;"",IF(VLOOKUP($A55,貼り付け用!$A$1:$BA$300,COLUMN(),FALSE)=0,"",VLOOKUP($A55,貼り付け用!$A$1:$BA$300,COLUMN(),FALSE)),"")</f>
        <v/>
      </c>
      <c r="K55" s="45" t="str">
        <f>IF($A55&lt;&gt;"",IF(VLOOKUP($A55,貼り付け用!$A$1:$BA$300,COLUMN(),FALSE)=0,"",VLOOKUP($A55,貼り付け用!$A$1:$BA$300,COLUMN(),FALSE)),"")</f>
        <v/>
      </c>
      <c r="L55" s="45" t="str">
        <f>IF($A55&lt;&gt;"",
IF(COLUMN(貼り付け用!L55)&gt;MATCH("おやつ",貼り付け用!$3:$3,0),"",
IF(VLOOKUP($A55,貼り付け用!$A$1:$BA$300,COLUMN(),FALSE)=0,"",VLOOKUP($A55,貼り付け用!$A$1:$BA$300,COLUMN(),FALSE))),"")</f>
        <v/>
      </c>
      <c r="M55" s="45" t="str">
        <f>IF($A55&lt;&gt;"",
IF(COLUMN(貼り付け用!M55)&gt;MATCH("おやつ",貼り付け用!$3:$3,0),"",
IF(VLOOKUP($A55,貼り付け用!$A$1:$BA$300,COLUMN(),FALSE)=0,"",VLOOKUP($A55,貼り付け用!$A$1:$BA$300,COLUMN(),FALSE))),"")</f>
        <v/>
      </c>
      <c r="N55" s="45" t="str">
        <f>IF($A55&lt;&gt;"",
IF(COLUMN(貼り付け用!N55)&gt;MATCH("おやつ",貼り付け用!$3:$3,0),"",
IF(VLOOKUP($A55,貼り付け用!$A$1:$BA$300,COLUMN(),FALSE)=0,"",VLOOKUP($A55,貼り付け用!$A$1:$BA$300,COLUMN(),FALSE))),"")</f>
        <v>29</v>
      </c>
      <c r="O55" s="45" t="str">
        <f>IF($A55&lt;&gt;"",
IF(COLUMN(貼り付け用!O55)&gt;MATCH("おやつ",貼り付け用!$3:$3,0),"",
IF(VLOOKUP($A55,貼り付け用!$A$1:$BA$300,COLUMN(),FALSE)=0,"",VLOOKUP($A55,貼り付け用!$A$1:$BA$300,COLUMN(),FALSE))),"")</f>
        <v/>
      </c>
      <c r="P55" s="45" t="str">
        <f>IF($A55&lt;&gt;"",
IF(COLUMN(貼り付け用!P55)&gt;MATCH("おやつ",貼り付け用!$3:$3,0),"",
IF(VLOOKUP($A55,貼り付け用!$A$1:$BA$300,COLUMN(),FALSE)=0,"",VLOOKUP($A55,貼り付け用!$A$1:$BA$300,COLUMN(),FALSE))),"")</f>
        <v/>
      </c>
      <c r="Q55" s="45" t="str">
        <f>IF($A55&lt;&gt;"",
IF(COLUMN(貼り付け用!Q55)&gt;MATCH("おやつ",貼り付け用!$3:$3,0),"",
IF(VLOOKUP($A55,貼り付け用!$A$1:$BA$300,COLUMN(),FALSE)=0,"",VLOOKUP($A55,貼り付け用!$A$1:$BA$300,COLUMN(),FALSE))),"")</f>
        <v/>
      </c>
      <c r="R55" s="45" t="str">
        <f>IF($A55&lt;&gt;"",
IF(COLUMN(貼り付け用!R55)&gt;MATCH("おやつ",貼り付け用!$3:$3,0),"",
IF(VLOOKUP($A55,貼り付け用!$A$1:$BA$300,COLUMN(),FALSE)=0,"",VLOOKUP($A55,貼り付け用!$A$1:$BA$300,COLUMN(),FALSE))),"")</f>
        <v/>
      </c>
      <c r="S55" s="45" t="str">
        <f>IF($A55&lt;&gt;"",
IF(COLUMN(貼り付け用!S55)&gt;MATCH("おやつ",貼り付け用!$3:$3,0),"",
IF(VLOOKUP($A55,貼り付け用!$A$1:$BA$300,COLUMN(),FALSE)=0,"",VLOOKUP($A55,貼り付け用!$A$1:$BA$300,COLUMN(),FALSE))),"")</f>
        <v/>
      </c>
      <c r="T55" s="45" t="str">
        <f>IF(COLUMN(貼り付け用!T55)&gt;MATCH("おやつ",貼り付け用!$3:$3,0),"",
IF(VLOOKUP($A55,貼り付け用!$A$1:$BA$300,COLUMN(),FALSE)=0,"",VLOOKUP($A55,貼り付け用!$A$1:$BA$300,COLUMN(),FALSE)))</f>
        <v/>
      </c>
      <c r="U55" s="24"/>
      <c r="V55" s="21" t="str">
        <f>IF(A55&lt;&gt;"",
IF(VLOOKUP($A55,貼り付け用!$A$1:$BA$300,MATCH("おやつ",貼り付け用!$3:$3,0)+1,FALSE)=0,"",VLOOKUP($A55,貼り付け用!$A$1:$BA$300,MATCH("おやつ",貼り付け用!$3:$3,0)+1,FALSE)),"")</f>
        <v/>
      </c>
      <c r="W55" s="50" t="str">
        <f>IF(A55&lt;&gt;"",
IF(VLOOKUP($A55,貼り付け用!$A$1:$BA$300,MATCH("おやつ",貼り付け用!$3:$3,0)+2,FALSE)=0,"",VLOOKUP($A55,貼り付け用!$A$1:$BA$300,MATCH("おやつ",貼り付け用!$3:$3,0)+2,FALSE)),"")</f>
        <v/>
      </c>
    </row>
    <row r="56" spans="1:23" x14ac:dyDescent="0.45">
      <c r="A56" s="10" t="str">
        <f>IF(貼り付け用!$A$6&lt;&gt;"",
IF(ROW(A55)+1&gt;=MATCH("*【合計】*", 貼り付け用!$A:$A, 0),
"",
IF(貼り付け用!A56&lt;&gt;"",貼り付け用!A56,"")),
IF(ROW(A56)+1&gt;=MATCH("*【合計】*", 貼り付け用!$A:$A, 0),
"",
IF(貼り付け用!A57&lt;&gt;"",貼り付け用!A57,"")))</f>
        <v>17600</v>
      </c>
      <c r="B56" s="50" t="str">
        <f>IF($A56&lt;&gt;"",IF(VLOOKUP($A56,貼り付け用!$A$1:$BA$300,COLUMN(),FALSE)=0,"",VLOOKUP($A56,貼り付け用!$A$1:$BA$300,COLUMN(),FALSE)),"")</f>
        <v/>
      </c>
      <c r="C56" s="50" t="str">
        <f>IF($A56&lt;&gt;"",IF(VLOOKUP($A56,貼り付け用!$A$1:$BA$300,COLUMN(),FALSE)=0,"",VLOOKUP($A56,貼り付け用!$A$1:$BA$300,COLUMN(),FALSE)),"")</f>
        <v/>
      </c>
      <c r="D56" s="50" t="str">
        <f>IF($A56&lt;&gt;"",IF(VLOOKUP($A56,貼り付け用!$A$1:$BA$300,COLUMN(),FALSE)=0,"",VLOOKUP($A56,貼り付け用!$A$1:$BA$300,COLUMN(),FALSE)),"")</f>
        <v/>
      </c>
      <c r="E56" s="50" t="str">
        <f>IF($A56&lt;&gt;"",IF(VLOOKUP($A56,貼り付け用!$A$1:$BA$300,COLUMN(),FALSE)=0,"",VLOOKUP($A56,貼り付け用!$A$1:$BA$300,COLUMN(),FALSE)),"")</f>
        <v/>
      </c>
      <c r="F56" s="50" t="str">
        <f>IF($A56&lt;&gt;"",IF(VLOOKUP($A56,貼り付け用!$A$1:$BA$300,COLUMN(),FALSE)=0,"",VLOOKUP($A56,貼り付け用!$A$1:$BA$300,COLUMN(),FALSE)),"")</f>
        <v/>
      </c>
      <c r="G56" s="50" t="str">
        <f>IF($A56&lt;&gt;"",IF(VLOOKUP($A56,貼り付け用!$A$1:$BA$300,COLUMN(),FALSE)=0,"",VLOOKUP($A56,貼り付け用!$A$1:$BA$300,COLUMN(),FALSE)),"")</f>
        <v>6</v>
      </c>
      <c r="H56" s="50" t="str">
        <f>IF($A56&lt;&gt;"",IF(VLOOKUP($A56,貼り付け用!$A$1:$BA$300,COLUMN(),FALSE)=0,"",VLOOKUP($A56,貼り付け用!$A$1:$BA$300,COLUMN(),FALSE)),"")</f>
        <v/>
      </c>
      <c r="I56" s="50" t="str">
        <f>IF($A56&lt;&gt;"",IF(VLOOKUP($A56,貼り付け用!$A$1:$BA$300,COLUMN(),FALSE)=0,"",VLOOKUP($A56,貼り付け用!$A$1:$BA$300,COLUMN(),FALSE)),"")</f>
        <v/>
      </c>
      <c r="J56" s="50" t="str">
        <f>IF($A56&lt;&gt;"",IF(VLOOKUP($A56,貼り付け用!$A$1:$BA$300,COLUMN(),FALSE)=0,"",VLOOKUP($A56,貼り付け用!$A$1:$BA$300,COLUMN(),FALSE)),"")</f>
        <v/>
      </c>
      <c r="K56" s="50" t="str">
        <f>IF($A56&lt;&gt;"",IF(VLOOKUP($A56,貼り付け用!$A$1:$BA$300,COLUMN(),FALSE)=0,"",VLOOKUP($A56,貼り付け用!$A$1:$BA$300,COLUMN(),FALSE)),"")</f>
        <v/>
      </c>
      <c r="L56" s="50" t="str">
        <f>IF($A56&lt;&gt;"",
IF(COLUMN(貼り付け用!L56)&gt;MATCH("おやつ",貼り付け用!$3:$3,0),"",
IF(VLOOKUP($A56,貼り付け用!$A$1:$BA$300,COLUMN(),FALSE)=0,"",VLOOKUP($A56,貼り付け用!$A$1:$BA$300,COLUMN(),FALSE))),"")</f>
        <v/>
      </c>
      <c r="M56" s="50" t="str">
        <f>IF($A56&lt;&gt;"",
IF(COLUMN(貼り付け用!M56)&gt;MATCH("おやつ",貼り付け用!$3:$3,0),"",
IF(VLOOKUP($A56,貼り付け用!$A$1:$BA$300,COLUMN(),FALSE)=0,"",VLOOKUP($A56,貼り付け用!$A$1:$BA$300,COLUMN(),FALSE))),"")</f>
        <v/>
      </c>
      <c r="N56" s="50" t="str">
        <f>IF($A56&lt;&gt;"",
IF(COLUMN(貼り付け用!N56)&gt;MATCH("おやつ",貼り付け用!$3:$3,0),"",
IF(VLOOKUP($A56,貼り付け用!$A$1:$BA$300,COLUMN(),FALSE)=0,"",VLOOKUP($A56,貼り付け用!$A$1:$BA$300,COLUMN(),FALSE))),"")</f>
        <v/>
      </c>
      <c r="O56" s="50" t="str">
        <f>IF($A56&lt;&gt;"",
IF(COLUMN(貼り付け用!O56)&gt;MATCH("おやつ",貼り付け用!$3:$3,0),"",
IF(VLOOKUP($A56,貼り付け用!$A$1:$BA$300,COLUMN(),FALSE)=0,"",VLOOKUP($A56,貼り付け用!$A$1:$BA$300,COLUMN(),FALSE))),"")</f>
        <v/>
      </c>
      <c r="P56" s="50" t="str">
        <f>IF($A56&lt;&gt;"",
IF(COLUMN(貼り付け用!P56)&gt;MATCH("おやつ",貼り付け用!$3:$3,0),"",
IF(VLOOKUP($A56,貼り付け用!$A$1:$BA$300,COLUMN(),FALSE)=0,"",VLOOKUP($A56,貼り付け用!$A$1:$BA$300,COLUMN(),FALSE))),"")</f>
        <v/>
      </c>
      <c r="Q56" s="50" t="str">
        <f>IF($A56&lt;&gt;"",
IF(COLUMN(貼り付け用!Q56)&gt;MATCH("おやつ",貼り付け用!$3:$3,0),"",
IF(VLOOKUP($A56,貼り付け用!$A$1:$BA$300,COLUMN(),FALSE)=0,"",VLOOKUP($A56,貼り付け用!$A$1:$BA$300,COLUMN(),FALSE))),"")</f>
        <v/>
      </c>
      <c r="R56" s="50" t="str">
        <f>IF($A56&lt;&gt;"",
IF(COLUMN(貼り付け用!R56)&gt;MATCH("おやつ",貼り付け用!$3:$3,0),"",
IF(VLOOKUP($A56,貼り付け用!$A$1:$BA$300,COLUMN(),FALSE)=0,"",VLOOKUP($A56,貼り付け用!$A$1:$BA$300,COLUMN(),FALSE))),"")</f>
        <v/>
      </c>
      <c r="S56" s="50" t="str">
        <f>IF($A56&lt;&gt;"",
IF(COLUMN(貼り付け用!S56)&gt;MATCH("おやつ",貼り付け用!$3:$3,0),"",
IF(VLOOKUP($A56,貼り付け用!$A$1:$BA$300,COLUMN(),FALSE)=0,"",VLOOKUP($A56,貼り付け用!$A$1:$BA$300,COLUMN(),FALSE))),"")</f>
        <v/>
      </c>
      <c r="T56" s="50" t="str">
        <f>IF(COLUMN(貼り付け用!T56)&gt;MATCH("おやつ",貼り付け用!$3:$3,0),"",
IF(VLOOKUP($A56,貼り付け用!$A$1:$BA$300,COLUMN(),FALSE)=0,"",VLOOKUP($A56,貼り付け用!$A$1:$BA$300,COLUMN(),FALSE)))</f>
        <v/>
      </c>
      <c r="U56" s="23"/>
      <c r="V56" s="21" t="str">
        <f>IF(A56&lt;&gt;"",
IF(VLOOKUP($A56,貼り付け用!$A$1:$BA$300,MATCH("おやつ",貼り付け用!$3:$3,0)+1,FALSE)=0,"",VLOOKUP($A56,貼り付け用!$A$1:$BA$300,MATCH("おやつ",貼り付け用!$3:$3,0)+1,FALSE)),"")</f>
        <v>ｱﾚ0</v>
      </c>
      <c r="W56" s="50" t="str">
        <f>IF(A56&lt;&gt;"",
IF(VLOOKUP($A56,貼り付け用!$A$1:$BA$300,MATCH("おやつ",貼り付け用!$3:$3,0)+2,FALSE)=0,"",VLOOKUP($A56,貼り付け用!$A$1:$BA$300,MATCH("おやつ",貼り付け用!$3:$3,0)+2,FALSE)),"")</f>
        <v/>
      </c>
    </row>
    <row r="57" spans="1:23" x14ac:dyDescent="0.45">
      <c r="A57" s="22" t="str">
        <f>IF(貼り付け用!$A$6&lt;&gt;"",
IF(ROW(A56)+1&gt;=MATCH("*【合計】*", 貼り付け用!$A:$A, 0),"",
IF(貼り付け用!A57&lt;&gt;"",貼り付け用!A57,"")),
IF(ROW(A57)+1&gt;=MATCH("*【合計】*", 貼り付け用!$A:$A, 0),"",
IF(貼り付け用!A58&lt;&gt;"",貼り付け用!A58,"")))</f>
        <v>シャインスターキッズ</v>
      </c>
      <c r="B57" s="45" t="str">
        <f>IF($A57&lt;&gt;"",IF(VLOOKUP($A57,貼り付け用!$A$1:$BA$300,COLUMN(),FALSE)=0,"",VLOOKUP($A57,貼り付け用!$A$1:$BA$300,COLUMN(),FALSE)),"")</f>
        <v/>
      </c>
      <c r="C57" s="45" t="str">
        <f>IF($A57&lt;&gt;"",IF(VLOOKUP($A57,貼り付け用!$A$1:$BA$300,COLUMN(),FALSE)=0,"",VLOOKUP($A57,貼り付け用!$A$1:$BA$300,COLUMN(),FALSE)),"")</f>
        <v/>
      </c>
      <c r="D57" s="45" t="str">
        <f>IF($A57&lt;&gt;"",IF(VLOOKUP($A57,貼り付け用!$A$1:$BA$300,COLUMN(),FALSE)=0,"",VLOOKUP($A57,貼り付け用!$A$1:$BA$300,COLUMN(),FALSE)),"")</f>
        <v/>
      </c>
      <c r="E57" s="45" t="str">
        <f>IF($A57&lt;&gt;"",IF(VLOOKUP($A57,貼り付け用!$A$1:$BA$300,COLUMN(),FALSE)=0,"",VLOOKUP($A57,貼り付け用!$A$1:$BA$300,COLUMN(),FALSE)),"")</f>
        <v/>
      </c>
      <c r="F57" s="45" t="str">
        <f>IF($A57&lt;&gt;"",IF(VLOOKUP($A57,貼り付け用!$A$1:$BA$300,COLUMN(),FALSE)=0,"",VLOOKUP($A57,貼り付け用!$A$1:$BA$300,COLUMN(),FALSE)),"")</f>
        <v/>
      </c>
      <c r="G57" s="45" t="str">
        <f>IF($A57&lt;&gt;"",IF(VLOOKUP($A57,貼り付け用!$A$1:$BA$300,COLUMN(),FALSE)=0,"",VLOOKUP($A57,貼り付け用!$A$1:$BA$300,COLUMN(),FALSE)),"")</f>
        <v>1</v>
      </c>
      <c r="H57" s="45" t="str">
        <f>IF($A57&lt;&gt;"",IF(VLOOKUP($A57,貼り付け用!$A$1:$BA$300,COLUMN(),FALSE)=0,"",VLOOKUP($A57,貼り付け用!$A$1:$BA$300,COLUMN(),FALSE)),"")</f>
        <v/>
      </c>
      <c r="I57" s="45" t="str">
        <f>IF($A57&lt;&gt;"",IF(VLOOKUP($A57,貼り付け用!$A$1:$BA$300,COLUMN(),FALSE)=0,"",VLOOKUP($A57,貼り付け用!$A$1:$BA$300,COLUMN(),FALSE)),"")</f>
        <v/>
      </c>
      <c r="J57" s="45" t="str">
        <f>IF($A57&lt;&gt;"",IF(VLOOKUP($A57,貼り付け用!$A$1:$BA$300,COLUMN(),FALSE)=0,"",VLOOKUP($A57,貼り付け用!$A$1:$BA$300,COLUMN(),FALSE)),"")</f>
        <v/>
      </c>
      <c r="K57" s="45" t="str">
        <f>IF($A57&lt;&gt;"",IF(VLOOKUP($A57,貼り付け用!$A$1:$BA$300,COLUMN(),FALSE)=0,"",VLOOKUP($A57,貼り付け用!$A$1:$BA$300,COLUMN(),FALSE)),"")</f>
        <v/>
      </c>
      <c r="L57" s="45" t="str">
        <f>IF($A57&lt;&gt;"",
IF(COLUMN(貼り付け用!L57)&gt;MATCH("おやつ",貼り付け用!$3:$3,0),"",
IF(VLOOKUP($A57,貼り付け用!$A$1:$BA$300,COLUMN(),FALSE)=0,"",VLOOKUP($A57,貼り付け用!$A$1:$BA$300,COLUMN(),FALSE))),"")</f>
        <v/>
      </c>
      <c r="M57" s="45" t="str">
        <f>IF($A57&lt;&gt;"",
IF(COLUMN(貼り付け用!M57)&gt;MATCH("おやつ",貼り付け用!$3:$3,0),"",
IF(VLOOKUP($A57,貼り付け用!$A$1:$BA$300,COLUMN(),FALSE)=0,"",VLOOKUP($A57,貼り付け用!$A$1:$BA$300,COLUMN(),FALSE))),"")</f>
        <v/>
      </c>
      <c r="N57" s="45" t="str">
        <f>IF($A57&lt;&gt;"",
IF(COLUMN(貼り付け用!N57)&gt;MATCH("おやつ",貼り付け用!$3:$3,0),"",
IF(VLOOKUP($A57,貼り付け用!$A$1:$BA$300,COLUMN(),FALSE)=0,"",VLOOKUP($A57,貼り付け用!$A$1:$BA$300,COLUMN(),FALSE))),"")</f>
        <v/>
      </c>
      <c r="O57" s="45" t="str">
        <f>IF($A57&lt;&gt;"",
IF(COLUMN(貼り付け用!O57)&gt;MATCH("おやつ",貼り付け用!$3:$3,0),"",
IF(VLOOKUP($A57,貼り付け用!$A$1:$BA$300,COLUMN(),FALSE)=0,"",VLOOKUP($A57,貼り付け用!$A$1:$BA$300,COLUMN(),FALSE))),"")</f>
        <v/>
      </c>
      <c r="P57" s="45" t="str">
        <f>IF($A57&lt;&gt;"",
IF(COLUMN(貼り付け用!P57)&gt;MATCH("おやつ",貼り付け用!$3:$3,0),"",
IF(VLOOKUP($A57,貼り付け用!$A$1:$BA$300,COLUMN(),FALSE)=0,"",VLOOKUP($A57,貼り付け用!$A$1:$BA$300,COLUMN(),FALSE))),"")</f>
        <v/>
      </c>
      <c r="Q57" s="45" t="str">
        <f>IF($A57&lt;&gt;"",
IF(COLUMN(貼り付け用!Q57)&gt;MATCH("おやつ",貼り付け用!$3:$3,0),"",
IF(VLOOKUP($A57,貼り付け用!$A$1:$BA$300,COLUMN(),FALSE)=0,"",VLOOKUP($A57,貼り付け用!$A$1:$BA$300,COLUMN(),FALSE))),"")</f>
        <v/>
      </c>
      <c r="R57" s="45" t="str">
        <f>IF($A57&lt;&gt;"",
IF(COLUMN(貼り付け用!R57)&gt;MATCH("おやつ",貼り付け用!$3:$3,0),"",
IF(VLOOKUP($A57,貼り付け用!$A$1:$BA$300,COLUMN(),FALSE)=0,"",VLOOKUP($A57,貼り付け用!$A$1:$BA$300,COLUMN(),FALSE))),"")</f>
        <v/>
      </c>
      <c r="S57" s="45" t="str">
        <f>IF($A57&lt;&gt;"",
IF(COLUMN(貼り付け用!S57)&gt;MATCH("おやつ",貼り付け用!$3:$3,0),"",
IF(VLOOKUP($A57,貼り付け用!$A$1:$BA$300,COLUMN(),FALSE)=0,"",VLOOKUP($A57,貼り付け用!$A$1:$BA$300,COLUMN(),FALSE))),"")</f>
        <v/>
      </c>
      <c r="T57" s="45" t="str">
        <f>IF(COLUMN(貼り付け用!T57)&gt;MATCH("おやつ",貼り付け用!$3:$3,0),"",
IF(VLOOKUP($A57,貼り付け用!$A$1:$BA$300,COLUMN(),FALSE)=0,"",VLOOKUP($A57,貼り付け用!$A$1:$BA$300,COLUMN(),FALSE)))</f>
        <v/>
      </c>
      <c r="U57" s="24"/>
      <c r="V57" s="21" t="str">
        <f>IF(A57&lt;&gt;"",
IF(VLOOKUP($A57,貼り付け用!$A$1:$BA$300,MATCH("おやつ",貼り付け用!$3:$3,0)+1,FALSE)=0,"",VLOOKUP($A57,貼り付け用!$A$1:$BA$300,MATCH("おやつ",貼り付け用!$3:$3,0)+1,FALSE)),"")</f>
        <v/>
      </c>
      <c r="W57" s="50" t="str">
        <f>IF(A57&lt;&gt;"",
IF(VLOOKUP($A57,貼り付け用!$A$1:$BA$300,MATCH("おやつ",貼り付け用!$3:$3,0)+2,FALSE)=0,"",VLOOKUP($A57,貼り付け用!$A$1:$BA$300,MATCH("おやつ",貼り付け用!$3:$3,0)+2,FALSE)),"")</f>
        <v/>
      </c>
    </row>
    <row r="58" spans="1:23" x14ac:dyDescent="0.45">
      <c r="A58" s="10" t="str">
        <f>IF(貼り付け用!$A$6&lt;&gt;"",
IF(ROW(A57)+1&gt;=MATCH("*【合計】*", 貼り付け用!$A:$A, 0),
"",
IF(貼り付け用!A58&lt;&gt;"",貼り付け用!A58,"")),
IF(ROW(A58)+1&gt;=MATCH("*【合計】*", 貼り付け用!$A:$A, 0),
"",
IF(貼り付け用!A59&lt;&gt;"",貼り付け用!A59,"")))</f>
        <v>18500</v>
      </c>
      <c r="B58" s="50" t="str">
        <f>IF($A58&lt;&gt;"",IF(VLOOKUP($A58,貼り付け用!$A$1:$BA$300,COLUMN(),FALSE)=0,"",VLOOKUP($A58,貼り付け用!$A$1:$BA$300,COLUMN(),FALSE)),"")</f>
        <v/>
      </c>
      <c r="C58" s="50" t="str">
        <f>IF($A58&lt;&gt;"",IF(VLOOKUP($A58,貼り付け用!$A$1:$BA$300,COLUMN(),FALSE)=0,"",VLOOKUP($A58,貼り付け用!$A$1:$BA$300,COLUMN(),FALSE)),"")</f>
        <v/>
      </c>
      <c r="D58" s="50" t="str">
        <f>IF($A58&lt;&gt;"",IF(VLOOKUP($A58,貼り付け用!$A$1:$BA$300,COLUMN(),FALSE)=0,"",VLOOKUP($A58,貼り付け用!$A$1:$BA$300,COLUMN(),FALSE)),"")</f>
        <v/>
      </c>
      <c r="E58" s="50" t="str">
        <f>IF($A58&lt;&gt;"",IF(VLOOKUP($A58,貼り付け用!$A$1:$BA$300,COLUMN(),FALSE)=0,"",VLOOKUP($A58,貼り付け用!$A$1:$BA$300,COLUMN(),FALSE)),"")</f>
        <v/>
      </c>
      <c r="F58" s="50" t="str">
        <f>IF($A58&lt;&gt;"",IF(VLOOKUP($A58,貼り付け用!$A$1:$BA$300,COLUMN(),FALSE)=0,"",VLOOKUP($A58,貼り付け用!$A$1:$BA$300,COLUMN(),FALSE)),"")</f>
        <v/>
      </c>
      <c r="G58" s="50" t="str">
        <f>IF($A58&lt;&gt;"",IF(VLOOKUP($A58,貼り付け用!$A$1:$BA$300,COLUMN(),FALSE)=0,"",VLOOKUP($A58,貼り付け用!$A$1:$BA$300,COLUMN(),FALSE)),"")</f>
        <v>3</v>
      </c>
      <c r="H58" s="50" t="str">
        <f>IF($A58&lt;&gt;"",IF(VLOOKUP($A58,貼り付け用!$A$1:$BA$300,COLUMN(),FALSE)=0,"",VLOOKUP($A58,貼り付け用!$A$1:$BA$300,COLUMN(),FALSE)),"")</f>
        <v/>
      </c>
      <c r="I58" s="50" t="str">
        <f>IF($A58&lt;&gt;"",IF(VLOOKUP($A58,貼り付け用!$A$1:$BA$300,COLUMN(),FALSE)=0,"",VLOOKUP($A58,貼り付け用!$A$1:$BA$300,COLUMN(),FALSE)),"")</f>
        <v/>
      </c>
      <c r="J58" s="50" t="str">
        <f>IF($A58&lt;&gt;"",IF(VLOOKUP($A58,貼り付け用!$A$1:$BA$300,COLUMN(),FALSE)=0,"",VLOOKUP($A58,貼り付け用!$A$1:$BA$300,COLUMN(),FALSE)),"")</f>
        <v/>
      </c>
      <c r="K58" s="50" t="str">
        <f>IF($A58&lt;&gt;"",IF(VLOOKUP($A58,貼り付け用!$A$1:$BA$300,COLUMN(),FALSE)=0,"",VLOOKUP($A58,貼り付け用!$A$1:$BA$300,COLUMN(),FALSE)),"")</f>
        <v/>
      </c>
      <c r="L58" s="50" t="str">
        <f>IF($A58&lt;&gt;"",
IF(COLUMN(貼り付け用!L58)&gt;MATCH("おやつ",貼り付け用!$3:$3,0),"",
IF(VLOOKUP($A58,貼り付け用!$A$1:$BA$300,COLUMN(),FALSE)=0,"",VLOOKUP($A58,貼り付け用!$A$1:$BA$300,COLUMN(),FALSE))),"")</f>
        <v/>
      </c>
      <c r="M58" s="50" t="str">
        <f>IF($A58&lt;&gt;"",
IF(COLUMN(貼り付け用!M58)&gt;MATCH("おやつ",貼り付け用!$3:$3,0),"",
IF(VLOOKUP($A58,貼り付け用!$A$1:$BA$300,COLUMN(),FALSE)=0,"",VLOOKUP($A58,貼り付け用!$A$1:$BA$300,COLUMN(),FALSE))),"")</f>
        <v/>
      </c>
      <c r="N58" s="50" t="str">
        <f>IF($A58&lt;&gt;"",
IF(COLUMN(貼り付け用!N58)&gt;MATCH("おやつ",貼り付け用!$3:$3,0),"",
IF(VLOOKUP($A58,貼り付け用!$A$1:$BA$300,COLUMN(),FALSE)=0,"",VLOOKUP($A58,貼り付け用!$A$1:$BA$300,COLUMN(),FALSE))),"")</f>
        <v/>
      </c>
      <c r="O58" s="50" t="str">
        <f>IF($A58&lt;&gt;"",
IF(COLUMN(貼り付け用!O58)&gt;MATCH("おやつ",貼り付け用!$3:$3,0),"",
IF(VLOOKUP($A58,貼り付け用!$A$1:$BA$300,COLUMN(),FALSE)=0,"",VLOOKUP($A58,貼り付け用!$A$1:$BA$300,COLUMN(),FALSE))),"")</f>
        <v/>
      </c>
      <c r="P58" s="50" t="str">
        <f>IF($A58&lt;&gt;"",
IF(COLUMN(貼り付け用!P58)&gt;MATCH("おやつ",貼り付け用!$3:$3,0),"",
IF(VLOOKUP($A58,貼り付け用!$A$1:$BA$300,COLUMN(),FALSE)=0,"",VLOOKUP($A58,貼り付け用!$A$1:$BA$300,COLUMN(),FALSE))),"")</f>
        <v/>
      </c>
      <c r="Q58" s="50" t="str">
        <f>IF($A58&lt;&gt;"",
IF(COLUMN(貼り付け用!Q58)&gt;MATCH("おやつ",貼り付け用!$3:$3,0),"",
IF(VLOOKUP($A58,貼り付け用!$A$1:$BA$300,COLUMN(),FALSE)=0,"",VLOOKUP($A58,貼り付け用!$A$1:$BA$300,COLUMN(),FALSE))),"")</f>
        <v/>
      </c>
      <c r="R58" s="50" t="str">
        <f>IF($A58&lt;&gt;"",
IF(COLUMN(貼り付け用!R58)&gt;MATCH("おやつ",貼り付け用!$3:$3,0),"",
IF(VLOOKUP($A58,貼り付け用!$A$1:$BA$300,COLUMN(),FALSE)=0,"",VLOOKUP($A58,貼り付け用!$A$1:$BA$300,COLUMN(),FALSE))),"")</f>
        <v/>
      </c>
      <c r="S58" s="50" t="str">
        <f>IF($A58&lt;&gt;"",
IF(COLUMN(貼り付け用!S58)&gt;MATCH("おやつ",貼り付け用!$3:$3,0),"",
IF(VLOOKUP($A58,貼り付け用!$A$1:$BA$300,COLUMN(),FALSE)=0,"",VLOOKUP($A58,貼り付け用!$A$1:$BA$300,COLUMN(),FALSE))),"")</f>
        <v/>
      </c>
      <c r="T58" s="50" t="str">
        <f>IF(COLUMN(貼り付け用!T58)&gt;MATCH("おやつ",貼り付け用!$3:$3,0),"",
IF(VLOOKUP($A58,貼り付け用!$A$1:$BA$300,COLUMN(),FALSE)=0,"",VLOOKUP($A58,貼り付け用!$A$1:$BA$300,COLUMN(),FALSE)))</f>
        <v/>
      </c>
      <c r="U58" s="23"/>
      <c r="V58" s="21" t="str">
        <f>IF(A58&lt;&gt;"",
IF(VLOOKUP($A58,貼り付け用!$A$1:$BA$300,MATCH("おやつ",貼り付け用!$3:$3,0)+1,FALSE)=0,"",VLOOKUP($A58,貼り付け用!$A$1:$BA$300,MATCH("おやつ",貼り付け用!$3:$3,0)+1,FALSE)),"")</f>
        <v>ｱﾚ0</v>
      </c>
      <c r="W58" s="50" t="str">
        <f>IF(A58&lt;&gt;"",
IF(VLOOKUP($A58,貼り付け用!$A$1:$BA$300,MATCH("おやつ",貼り付け用!$3:$3,0)+2,FALSE)=0,"",VLOOKUP($A58,貼り付け用!$A$1:$BA$300,MATCH("おやつ",貼り付け用!$3:$3,0)+2,FALSE)),"")</f>
        <v/>
      </c>
    </row>
    <row r="59" spans="1:23" x14ac:dyDescent="0.45">
      <c r="A59" s="22" t="str">
        <f>IF(貼り付け用!$A$6&lt;&gt;"",
IF(ROW(A58)+1&gt;=MATCH("*【合計】*", 貼り付け用!$A:$A, 0),"",
IF(貼り付け用!A59&lt;&gt;"",貼り付け用!A59,"")),
IF(ROW(A59)+1&gt;=MATCH("*【合計】*", 貼り付け用!$A:$A, 0),"",
IF(貼り付け用!A60&lt;&gt;"",貼り付け用!A60,"")))</f>
        <v>ことばの森プリスクール</v>
      </c>
      <c r="B59" s="45" t="str">
        <f>IF($A59&lt;&gt;"",IF(VLOOKUP($A59,貼り付け用!$A$1:$BA$300,COLUMN(),FALSE)=0,"",VLOOKUP($A59,貼り付け用!$A$1:$BA$300,COLUMN(),FALSE)),"")</f>
        <v/>
      </c>
      <c r="C59" s="45" t="str">
        <f>IF($A59&lt;&gt;"",IF(VLOOKUP($A59,貼り付け用!$A$1:$BA$300,COLUMN(),FALSE)=0,"",VLOOKUP($A59,貼り付け用!$A$1:$BA$300,COLUMN(),FALSE)),"")</f>
        <v/>
      </c>
      <c r="D59" s="45" t="str">
        <f>IF($A59&lt;&gt;"",IF(VLOOKUP($A59,貼り付け用!$A$1:$BA$300,COLUMN(),FALSE)=0,"",VLOOKUP($A59,貼り付け用!$A$1:$BA$300,COLUMN(),FALSE)),"")</f>
        <v/>
      </c>
      <c r="E59" s="45" t="str">
        <f>IF($A59&lt;&gt;"",IF(VLOOKUP($A59,貼り付け用!$A$1:$BA$300,COLUMN(),FALSE)=0,"",VLOOKUP($A59,貼り付け用!$A$1:$BA$300,COLUMN(),FALSE)),"")</f>
        <v/>
      </c>
      <c r="F59" s="45" t="str">
        <f>IF($A59&lt;&gt;"",IF(VLOOKUP($A59,貼り付け用!$A$1:$BA$300,COLUMN(),FALSE)=0,"",VLOOKUP($A59,貼り付け用!$A$1:$BA$300,COLUMN(),FALSE)),"")</f>
        <v/>
      </c>
      <c r="G59" s="45" t="str">
        <f>IF($A59&lt;&gt;"",IF(VLOOKUP($A59,貼り付け用!$A$1:$BA$300,COLUMN(),FALSE)=0,"",VLOOKUP($A59,貼り付け用!$A$1:$BA$300,COLUMN(),FALSE)),"")</f>
        <v/>
      </c>
      <c r="H59" s="45" t="str">
        <f>IF($A59&lt;&gt;"",IF(VLOOKUP($A59,貼り付け用!$A$1:$BA$300,COLUMN(),FALSE)=0,"",VLOOKUP($A59,貼り付け用!$A$1:$BA$300,COLUMN(),FALSE)),"")</f>
        <v/>
      </c>
      <c r="I59" s="45" t="str">
        <f>IF($A59&lt;&gt;"",IF(VLOOKUP($A59,貼り付け用!$A$1:$BA$300,COLUMN(),FALSE)=0,"",VLOOKUP($A59,貼り付け用!$A$1:$BA$300,COLUMN(),FALSE)),"")</f>
        <v/>
      </c>
      <c r="J59" s="45" t="str">
        <f>IF($A59&lt;&gt;"",IF(VLOOKUP($A59,貼り付け用!$A$1:$BA$300,COLUMN(),FALSE)=0,"",VLOOKUP($A59,貼り付け用!$A$1:$BA$300,COLUMN(),FALSE)),"")</f>
        <v/>
      </c>
      <c r="K59" s="45" t="str">
        <f>IF($A59&lt;&gt;"",IF(VLOOKUP($A59,貼り付け用!$A$1:$BA$300,COLUMN(),FALSE)=0,"",VLOOKUP($A59,貼り付け用!$A$1:$BA$300,COLUMN(),FALSE)),"")</f>
        <v/>
      </c>
      <c r="L59" s="45" t="str">
        <f>IF($A59&lt;&gt;"",
IF(COLUMN(貼り付け用!L59)&gt;MATCH("おやつ",貼り付け用!$3:$3,0),"",
IF(VLOOKUP($A59,貼り付け用!$A$1:$BA$300,COLUMN(),FALSE)=0,"",VLOOKUP($A59,貼り付け用!$A$1:$BA$300,COLUMN(),FALSE))),"")</f>
        <v/>
      </c>
      <c r="M59" s="45" t="str">
        <f>IF($A59&lt;&gt;"",
IF(COLUMN(貼り付け用!M59)&gt;MATCH("おやつ",貼り付け用!$3:$3,0),"",
IF(VLOOKUP($A59,貼り付け用!$A$1:$BA$300,COLUMN(),FALSE)=0,"",VLOOKUP($A59,貼り付け用!$A$1:$BA$300,COLUMN(),FALSE))),"")</f>
        <v/>
      </c>
      <c r="N59" s="45" t="str">
        <f>IF($A59&lt;&gt;"",
IF(COLUMN(貼り付け用!N59)&gt;MATCH("おやつ",貼り付け用!$3:$3,0),"",
IF(VLOOKUP($A59,貼り付け用!$A$1:$BA$300,COLUMN(),FALSE)=0,"",VLOOKUP($A59,貼り付け用!$A$1:$BA$300,COLUMN(),FALSE))),"")</f>
        <v/>
      </c>
      <c r="O59" s="45" t="str">
        <f>IF($A59&lt;&gt;"",
IF(COLUMN(貼り付け用!O59)&gt;MATCH("おやつ",貼り付け用!$3:$3,0),"",
IF(VLOOKUP($A59,貼り付け用!$A$1:$BA$300,COLUMN(),FALSE)=0,"",VLOOKUP($A59,貼り付け用!$A$1:$BA$300,COLUMN(),FALSE))),"")</f>
        <v/>
      </c>
      <c r="P59" s="45" t="str">
        <f>IF($A59&lt;&gt;"",
IF(COLUMN(貼り付け用!P59)&gt;MATCH("おやつ",貼り付け用!$3:$3,0),"",
IF(VLOOKUP($A59,貼り付け用!$A$1:$BA$300,COLUMN(),FALSE)=0,"",VLOOKUP($A59,貼り付け用!$A$1:$BA$300,COLUMN(),FALSE))),"")</f>
        <v/>
      </c>
      <c r="Q59" s="45" t="str">
        <f>IF($A59&lt;&gt;"",
IF(COLUMN(貼り付け用!Q59)&gt;MATCH("おやつ",貼り付け用!$3:$3,0),"",
IF(VLOOKUP($A59,貼り付け用!$A$1:$BA$300,COLUMN(),FALSE)=0,"",VLOOKUP($A59,貼り付け用!$A$1:$BA$300,COLUMN(),FALSE))),"")</f>
        <v/>
      </c>
      <c r="R59" s="45" t="str">
        <f>IF($A59&lt;&gt;"",
IF(COLUMN(貼り付け用!R59)&gt;MATCH("おやつ",貼り付け用!$3:$3,0),"",
IF(VLOOKUP($A59,貼り付け用!$A$1:$BA$300,COLUMN(),FALSE)=0,"",VLOOKUP($A59,貼り付け用!$A$1:$BA$300,COLUMN(),FALSE))),"")</f>
        <v/>
      </c>
      <c r="S59" s="45" t="str">
        <f>IF($A59&lt;&gt;"",
IF(COLUMN(貼り付け用!S59)&gt;MATCH("おやつ",貼り付け用!$3:$3,0),"",
IF(VLOOKUP($A59,貼り付け用!$A$1:$BA$300,COLUMN(),FALSE)=0,"",VLOOKUP($A59,貼り付け用!$A$1:$BA$300,COLUMN(),FALSE))),"")</f>
        <v/>
      </c>
      <c r="T59" s="45" t="str">
        <f>IF(COLUMN(貼り付け用!T59)&gt;MATCH("おやつ",貼り付け用!$3:$3,0),"",
IF(VLOOKUP($A59,貼り付け用!$A$1:$BA$300,COLUMN(),FALSE)=0,"",VLOOKUP($A59,貼り付け用!$A$1:$BA$300,COLUMN(),FALSE)))</f>
        <v/>
      </c>
      <c r="U59" s="24"/>
      <c r="V59" s="21" t="str">
        <f>IF(A59&lt;&gt;"",
IF(VLOOKUP($A59,貼り付け用!$A$1:$BA$300,MATCH("おやつ",貼り付け用!$3:$3,0)+1,FALSE)=0,"",VLOOKUP($A59,貼り付け用!$A$1:$BA$300,MATCH("おやつ",貼り付け用!$3:$3,0)+1,FALSE)),"")</f>
        <v/>
      </c>
      <c r="W59" s="50" t="str">
        <f>IF(A59&lt;&gt;"",
IF(VLOOKUP($A59,貼り付け用!$A$1:$BA$300,MATCH("おやつ",貼り付け用!$3:$3,0)+2,FALSE)=0,"",VLOOKUP($A59,貼り付け用!$A$1:$BA$300,MATCH("おやつ",貼り付け用!$3:$3,0)+2,FALSE)),"")</f>
        <v/>
      </c>
    </row>
    <row r="60" spans="1:23" x14ac:dyDescent="0.45">
      <c r="A60" s="10" t="str">
        <f>IF(貼り付け用!$A$6&lt;&gt;"",
IF(ROW(A59)+1&gt;=MATCH("*【合計】*", 貼り付け用!$A:$A, 0),
"",
IF(貼り付け用!A60&lt;&gt;"",貼り付け用!A60,"")),
IF(ROW(A60)+1&gt;=MATCH("*【合計】*", 貼り付け用!$A:$A, 0),
"",
IF(貼り付け用!A61&lt;&gt;"",貼り付け用!A61,"")))</f>
        <v>8000</v>
      </c>
      <c r="B60" s="50" t="str">
        <f>IF($A60&lt;&gt;"",IF(VLOOKUP($A60,貼り付け用!$A$1:$BA$300,COLUMN(),FALSE)=0,"",VLOOKUP($A60,貼り付け用!$A$1:$BA$300,COLUMN(),FALSE)),"")</f>
        <v/>
      </c>
      <c r="C60" s="50" t="str">
        <f>IF($A60&lt;&gt;"",IF(VLOOKUP($A60,貼り付け用!$A$1:$BA$300,COLUMN(),FALSE)=0,"",VLOOKUP($A60,貼り付け用!$A$1:$BA$300,COLUMN(),FALSE)),"")</f>
        <v/>
      </c>
      <c r="D60" s="50" t="str">
        <f>IF($A60&lt;&gt;"",IF(VLOOKUP($A60,貼り付け用!$A$1:$BA$300,COLUMN(),FALSE)=0,"",VLOOKUP($A60,貼り付け用!$A$1:$BA$300,COLUMN(),FALSE)),"")</f>
        <v/>
      </c>
      <c r="E60" s="50" t="str">
        <f>IF($A60&lt;&gt;"",IF(VLOOKUP($A60,貼り付け用!$A$1:$BA$300,COLUMN(),FALSE)=0,"",VLOOKUP($A60,貼り付け用!$A$1:$BA$300,COLUMN(),FALSE)),"")</f>
        <v/>
      </c>
      <c r="F60" s="50" t="str">
        <f>IF($A60&lt;&gt;"",IF(VLOOKUP($A60,貼り付け用!$A$1:$BA$300,COLUMN(),FALSE)=0,"",VLOOKUP($A60,貼り付け用!$A$1:$BA$300,COLUMN(),FALSE)),"")</f>
        <v/>
      </c>
      <c r="G60" s="50" t="str">
        <f>IF($A60&lt;&gt;"",IF(VLOOKUP($A60,貼り付け用!$A$1:$BA$300,COLUMN(),FALSE)=0,"",VLOOKUP($A60,貼り付け用!$A$1:$BA$300,COLUMN(),FALSE)),"")</f>
        <v>26</v>
      </c>
      <c r="H60" s="50" t="str">
        <f>IF($A60&lt;&gt;"",IF(VLOOKUP($A60,貼り付け用!$A$1:$BA$300,COLUMN(),FALSE)=0,"",VLOOKUP($A60,貼り付け用!$A$1:$BA$300,COLUMN(),FALSE)),"")</f>
        <v/>
      </c>
      <c r="I60" s="50" t="str">
        <f>IF($A60&lt;&gt;"",IF(VLOOKUP($A60,貼り付け用!$A$1:$BA$300,COLUMN(),FALSE)=0,"",VLOOKUP($A60,貼り付け用!$A$1:$BA$300,COLUMN(),FALSE)),"")</f>
        <v/>
      </c>
      <c r="J60" s="50" t="str">
        <f>IF($A60&lt;&gt;"",IF(VLOOKUP($A60,貼り付け用!$A$1:$BA$300,COLUMN(),FALSE)=0,"",VLOOKUP($A60,貼り付け用!$A$1:$BA$300,COLUMN(),FALSE)),"")</f>
        <v/>
      </c>
      <c r="K60" s="50" t="str">
        <f>IF($A60&lt;&gt;"",IF(VLOOKUP($A60,貼り付け用!$A$1:$BA$300,COLUMN(),FALSE)=0,"",VLOOKUP($A60,貼り付け用!$A$1:$BA$300,COLUMN(),FALSE)),"")</f>
        <v/>
      </c>
      <c r="L60" s="50" t="str">
        <f>IF($A60&lt;&gt;"",
IF(COLUMN(貼り付け用!L60)&gt;MATCH("おやつ",貼り付け用!$3:$3,0),"",
IF(VLOOKUP($A60,貼り付け用!$A$1:$BA$300,COLUMN(),FALSE)=0,"",VLOOKUP($A60,貼り付け用!$A$1:$BA$300,COLUMN(),FALSE))),"")</f>
        <v/>
      </c>
      <c r="M60" s="50" t="str">
        <f>IF($A60&lt;&gt;"",
IF(COLUMN(貼り付け用!M60)&gt;MATCH("おやつ",貼り付け用!$3:$3,0),"",
IF(VLOOKUP($A60,貼り付け用!$A$1:$BA$300,COLUMN(),FALSE)=0,"",VLOOKUP($A60,貼り付け用!$A$1:$BA$300,COLUMN(),FALSE))),"")</f>
        <v/>
      </c>
      <c r="N60" s="50" t="str">
        <f>IF($A60&lt;&gt;"",
IF(COLUMN(貼り付け用!N60)&gt;MATCH("おやつ",貼り付け用!$3:$3,0),"",
IF(VLOOKUP($A60,貼り付け用!$A$1:$BA$300,COLUMN(),FALSE)=0,"",VLOOKUP($A60,貼り付け用!$A$1:$BA$300,COLUMN(),FALSE))),"")</f>
        <v/>
      </c>
      <c r="O60" s="50" t="str">
        <f>IF($A60&lt;&gt;"",
IF(COLUMN(貼り付け用!O60)&gt;MATCH("おやつ",貼り付け用!$3:$3,0),"",
IF(VLOOKUP($A60,貼り付け用!$A$1:$BA$300,COLUMN(),FALSE)=0,"",VLOOKUP($A60,貼り付け用!$A$1:$BA$300,COLUMN(),FALSE))),"")</f>
        <v/>
      </c>
      <c r="P60" s="50" t="str">
        <f>IF($A60&lt;&gt;"",
IF(COLUMN(貼り付け用!P60)&gt;MATCH("おやつ",貼り付け用!$3:$3,0),"",
IF(VLOOKUP($A60,貼り付け用!$A$1:$BA$300,COLUMN(),FALSE)=0,"",VLOOKUP($A60,貼り付け用!$A$1:$BA$300,COLUMN(),FALSE))),"")</f>
        <v/>
      </c>
      <c r="Q60" s="50" t="str">
        <f>IF($A60&lt;&gt;"",
IF(COLUMN(貼り付け用!Q60)&gt;MATCH("おやつ",貼り付け用!$3:$3,0),"",
IF(VLOOKUP($A60,貼り付け用!$A$1:$BA$300,COLUMN(),FALSE)=0,"",VLOOKUP($A60,貼り付け用!$A$1:$BA$300,COLUMN(),FALSE))),"")</f>
        <v/>
      </c>
      <c r="R60" s="50" t="str">
        <f>IF($A60&lt;&gt;"",
IF(COLUMN(貼り付け用!R60)&gt;MATCH("おやつ",貼り付け用!$3:$3,0),"",
IF(VLOOKUP($A60,貼り付け用!$A$1:$BA$300,COLUMN(),FALSE)=0,"",VLOOKUP($A60,貼り付け用!$A$1:$BA$300,COLUMN(),FALSE))),"")</f>
        <v/>
      </c>
      <c r="S60" s="50" t="str">
        <f>IF($A60&lt;&gt;"",
IF(COLUMN(貼り付け用!S60)&gt;MATCH("おやつ",貼り付け用!$3:$3,0),"",
IF(VLOOKUP($A60,貼り付け用!$A$1:$BA$300,COLUMN(),FALSE)=0,"",VLOOKUP($A60,貼り付け用!$A$1:$BA$300,COLUMN(),FALSE))),"")</f>
        <v/>
      </c>
      <c r="T60" s="50" t="str">
        <f>IF(COLUMN(貼り付け用!T60)&gt;MATCH("おやつ",貼り付け用!$3:$3,0),"",
IF(VLOOKUP($A60,貼り付け用!$A$1:$BA$300,COLUMN(),FALSE)=0,"",VLOOKUP($A60,貼り付け用!$A$1:$BA$300,COLUMN(),FALSE)))</f>
        <v/>
      </c>
      <c r="U60" s="23"/>
      <c r="V60" s="21" t="str">
        <f>IF(A60&lt;&gt;"",
IF(VLOOKUP($A60,貼り付け用!$A$1:$BA$300,MATCH("おやつ",貼り付け用!$3:$3,0)+1,FALSE)=0,"",VLOOKUP($A60,貼り付け用!$A$1:$BA$300,MATCH("おやつ",貼り付け用!$3:$3,0)+1,FALSE)),"")</f>
        <v/>
      </c>
      <c r="W60" s="50" t="str">
        <f>IF(A60&lt;&gt;"",
IF(VLOOKUP($A60,貼り付け用!$A$1:$BA$300,MATCH("おやつ",貼り付け用!$3:$3,0)+2,FALSE)=0,"",VLOOKUP($A60,貼り付け用!$A$1:$BA$300,MATCH("おやつ",貼り付け用!$3:$3,0)+2,FALSE)),"")</f>
        <v/>
      </c>
    </row>
    <row r="61" spans="1:23" x14ac:dyDescent="0.45">
      <c r="A61" s="22" t="str">
        <f>IF(貼り付け用!$A$6&lt;&gt;"",
IF(ROW(A60)+1&gt;=MATCH("*【合計】*", 貼り付け用!$A:$A, 0),"",
IF(貼り付け用!A61&lt;&gt;"",貼り付け用!A61,"")),
IF(ROW(A61)+1&gt;=MATCH("*【合計】*", 貼り付け用!$A:$A, 0),"",
IF(貼り付け用!A62&lt;&gt;"",貼り付け用!A62,"")))</f>
        <v>かしはら幼稚園</v>
      </c>
      <c r="B61" s="45" t="str">
        <f>IF($A61&lt;&gt;"",IF(VLOOKUP($A61,貼り付け用!$A$1:$BA$300,COLUMN(),FALSE)=0,"",VLOOKUP($A61,貼り付け用!$A$1:$BA$300,COLUMN(),FALSE)),"")</f>
        <v/>
      </c>
      <c r="C61" s="45" t="str">
        <f>IF($A61&lt;&gt;"",IF(VLOOKUP($A61,貼り付け用!$A$1:$BA$300,COLUMN(),FALSE)=0,"",VLOOKUP($A61,貼り付け用!$A$1:$BA$300,COLUMN(),FALSE)),"")</f>
        <v/>
      </c>
      <c r="D61" s="45" t="str">
        <f>IF($A61&lt;&gt;"",IF(VLOOKUP($A61,貼り付け用!$A$1:$BA$300,COLUMN(),FALSE)=0,"",VLOOKUP($A61,貼り付け用!$A$1:$BA$300,COLUMN(),FALSE)),"")</f>
        <v/>
      </c>
      <c r="E61" s="45" t="str">
        <f>IF($A61&lt;&gt;"",IF(VLOOKUP($A61,貼り付け用!$A$1:$BA$300,COLUMN(),FALSE)=0,"",VLOOKUP($A61,貼り付け用!$A$1:$BA$300,COLUMN(),FALSE)),"")</f>
        <v/>
      </c>
      <c r="F61" s="45" t="str">
        <f>IF($A61&lt;&gt;"",IF(VLOOKUP($A61,貼り付け用!$A$1:$BA$300,COLUMN(),FALSE)=0,"",VLOOKUP($A61,貼り付け用!$A$1:$BA$300,COLUMN(),FALSE)),"")</f>
        <v/>
      </c>
      <c r="G61" s="45" t="str">
        <f>IF($A61&lt;&gt;"",IF(VLOOKUP($A61,貼り付け用!$A$1:$BA$300,COLUMN(),FALSE)=0,"",VLOOKUP($A61,貼り付け用!$A$1:$BA$300,COLUMN(),FALSE)),"")</f>
        <v/>
      </c>
      <c r="H61" s="45" t="str">
        <f>IF($A61&lt;&gt;"",IF(VLOOKUP($A61,貼り付け用!$A$1:$BA$300,COLUMN(),FALSE)=0,"",VLOOKUP($A61,貼り付け用!$A$1:$BA$300,COLUMN(),FALSE)),"")</f>
        <v/>
      </c>
      <c r="I61" s="45" t="str">
        <f>IF($A61&lt;&gt;"",IF(VLOOKUP($A61,貼り付け用!$A$1:$BA$300,COLUMN(),FALSE)=0,"",VLOOKUP($A61,貼り付け用!$A$1:$BA$300,COLUMN(),FALSE)),"")</f>
        <v/>
      </c>
      <c r="J61" s="45" t="str">
        <f>IF($A61&lt;&gt;"",IF(VLOOKUP($A61,貼り付け用!$A$1:$BA$300,COLUMN(),FALSE)=0,"",VLOOKUP($A61,貼り付け用!$A$1:$BA$300,COLUMN(),FALSE)),"")</f>
        <v/>
      </c>
      <c r="K61" s="45" t="str">
        <f>IF($A61&lt;&gt;"",IF(VLOOKUP($A61,貼り付け用!$A$1:$BA$300,COLUMN(),FALSE)=0,"",VLOOKUP($A61,貼り付け用!$A$1:$BA$300,COLUMN(),FALSE)),"")</f>
        <v/>
      </c>
      <c r="L61" s="45" t="str">
        <f>IF($A61&lt;&gt;"",
IF(COLUMN(貼り付け用!L61)&gt;MATCH("おやつ",貼り付け用!$3:$3,0),"",
IF(VLOOKUP($A61,貼り付け用!$A$1:$BA$300,COLUMN(),FALSE)=0,"",VLOOKUP($A61,貼り付け用!$A$1:$BA$300,COLUMN(),FALSE))),"")</f>
        <v/>
      </c>
      <c r="M61" s="45" t="str">
        <f>IF($A61&lt;&gt;"",
IF(COLUMN(貼り付け用!M61)&gt;MATCH("おやつ",貼り付け用!$3:$3,0),"",
IF(VLOOKUP($A61,貼り付け用!$A$1:$BA$300,COLUMN(),FALSE)=0,"",VLOOKUP($A61,貼り付け用!$A$1:$BA$300,COLUMN(),FALSE))),"")</f>
        <v/>
      </c>
      <c r="N61" s="45" t="str">
        <f>IF($A61&lt;&gt;"",
IF(COLUMN(貼り付け用!N61)&gt;MATCH("おやつ",貼り付け用!$3:$3,0),"",
IF(VLOOKUP($A61,貼り付け用!$A$1:$BA$300,COLUMN(),FALSE)=0,"",VLOOKUP($A61,貼り付け用!$A$1:$BA$300,COLUMN(),FALSE))),"")</f>
        <v/>
      </c>
      <c r="O61" s="45" t="str">
        <f>IF($A61&lt;&gt;"",
IF(COLUMN(貼り付け用!O61)&gt;MATCH("おやつ",貼り付け用!$3:$3,0),"",
IF(VLOOKUP($A61,貼り付け用!$A$1:$BA$300,COLUMN(),FALSE)=0,"",VLOOKUP($A61,貼り付け用!$A$1:$BA$300,COLUMN(),FALSE))),"")</f>
        <v/>
      </c>
      <c r="P61" s="45" t="str">
        <f>IF($A61&lt;&gt;"",
IF(COLUMN(貼り付け用!P61)&gt;MATCH("おやつ",貼り付け用!$3:$3,0),"",
IF(VLOOKUP($A61,貼り付け用!$A$1:$BA$300,COLUMN(),FALSE)=0,"",VLOOKUP($A61,貼り付け用!$A$1:$BA$300,COLUMN(),FALSE))),"")</f>
        <v/>
      </c>
      <c r="Q61" s="45" t="str">
        <f>IF($A61&lt;&gt;"",
IF(COLUMN(貼り付け用!Q61)&gt;MATCH("おやつ",貼り付け用!$3:$3,0),"",
IF(VLOOKUP($A61,貼り付け用!$A$1:$BA$300,COLUMN(),FALSE)=0,"",VLOOKUP($A61,貼り付け用!$A$1:$BA$300,COLUMN(),FALSE))),"")</f>
        <v/>
      </c>
      <c r="R61" s="45" t="str">
        <f>IF($A61&lt;&gt;"",
IF(COLUMN(貼り付け用!R61)&gt;MATCH("おやつ",貼り付け用!$3:$3,0),"",
IF(VLOOKUP($A61,貼り付け用!$A$1:$BA$300,COLUMN(),FALSE)=0,"",VLOOKUP($A61,貼り付け用!$A$1:$BA$300,COLUMN(),FALSE))),"")</f>
        <v/>
      </c>
      <c r="S61" s="45" t="str">
        <f>IF($A61&lt;&gt;"",
IF(COLUMN(貼り付け用!S61)&gt;MATCH("おやつ",貼り付け用!$3:$3,0),"",
IF(VLOOKUP($A61,貼り付け用!$A$1:$BA$300,COLUMN(),FALSE)=0,"",VLOOKUP($A61,貼り付け用!$A$1:$BA$300,COLUMN(),FALSE))),"")</f>
        <v/>
      </c>
      <c r="T61" s="45" t="str">
        <f>IF(COLUMN(貼り付け用!T61)&gt;MATCH("おやつ",貼り付け用!$3:$3,0),"",
IF(VLOOKUP($A61,貼り付け用!$A$1:$BA$300,COLUMN(),FALSE)=0,"",VLOOKUP($A61,貼り付け用!$A$1:$BA$300,COLUMN(),FALSE)))</f>
        <v/>
      </c>
      <c r="U61" s="24"/>
      <c r="V61" s="21" t="str">
        <f>IF(A61&lt;&gt;"",
IF(VLOOKUP($A61,貼り付け用!$A$1:$BA$300,MATCH("おやつ",貼り付け用!$3:$3,0)+1,FALSE)=0,"",VLOOKUP($A61,貼り付け用!$A$1:$BA$300,MATCH("おやつ",貼り付け用!$3:$3,0)+1,FALSE)),"")</f>
        <v/>
      </c>
      <c r="W61" s="50" t="str">
        <f>IF(A61&lt;&gt;"",
IF(VLOOKUP($A61,貼り付け用!$A$1:$BA$300,MATCH("おやつ",貼り付け用!$3:$3,0)+2,FALSE)=0,"",VLOOKUP($A61,貼り付け用!$A$1:$BA$300,MATCH("おやつ",貼り付け用!$3:$3,0)+2,FALSE)),"")</f>
        <v/>
      </c>
    </row>
    <row r="62" spans="1:23" x14ac:dyDescent="0.45">
      <c r="A62" s="10" t="str">
        <f>IF(貼り付け用!$A$6&lt;&gt;"",
IF(ROW(A61)+1&gt;=MATCH("*【合計】*", 貼り付け用!$A:$A, 0),
"",
IF(貼り付け用!A62&lt;&gt;"",貼り付け用!A62,"")),
IF(ROW(A62)+1&gt;=MATCH("*【合計】*", 貼り付け用!$A:$A, 0),
"",
IF(貼り付け用!A63&lt;&gt;"",貼り付け用!A63,"")))</f>
        <v>20200</v>
      </c>
      <c r="B62" s="50" t="str">
        <f>IF($A62&lt;&gt;"",IF(VLOOKUP($A62,貼り付け用!$A$1:$BA$300,COLUMN(),FALSE)=0,"",VLOOKUP($A62,貼り付け用!$A$1:$BA$300,COLUMN(),FALSE)),"")</f>
        <v/>
      </c>
      <c r="C62" s="50" t="str">
        <f>IF($A62&lt;&gt;"",IF(VLOOKUP($A62,貼り付け用!$A$1:$BA$300,COLUMN(),FALSE)=0,"",VLOOKUP($A62,貼り付け用!$A$1:$BA$300,COLUMN(),FALSE)),"")</f>
        <v/>
      </c>
      <c r="D62" s="50" t="str">
        <f>IF($A62&lt;&gt;"",IF(VLOOKUP($A62,貼り付け用!$A$1:$BA$300,COLUMN(),FALSE)=0,"",VLOOKUP($A62,貼り付け用!$A$1:$BA$300,COLUMN(),FALSE)),"")</f>
        <v/>
      </c>
      <c r="E62" s="50" t="str">
        <f>IF($A62&lt;&gt;"",IF(VLOOKUP($A62,貼り付け用!$A$1:$BA$300,COLUMN(),FALSE)=0,"",VLOOKUP($A62,貼り付け用!$A$1:$BA$300,COLUMN(),FALSE)),"")</f>
        <v/>
      </c>
      <c r="F62" s="50" t="str">
        <f>IF($A62&lt;&gt;"",IF(VLOOKUP($A62,貼り付け用!$A$1:$BA$300,COLUMN(),FALSE)=0,"",VLOOKUP($A62,貼り付け用!$A$1:$BA$300,COLUMN(),FALSE)),"")</f>
        <v/>
      </c>
      <c r="G62" s="50" t="str">
        <f>IF($A62&lt;&gt;"",IF(VLOOKUP($A62,貼り付け用!$A$1:$BA$300,COLUMN(),FALSE)=0,"",VLOOKUP($A62,貼り付け用!$A$1:$BA$300,COLUMN(),FALSE)),"")</f>
        <v>13</v>
      </c>
      <c r="H62" s="50" t="str">
        <f>IF($A62&lt;&gt;"",IF(VLOOKUP($A62,貼り付け用!$A$1:$BA$300,COLUMN(),FALSE)=0,"",VLOOKUP($A62,貼り付け用!$A$1:$BA$300,COLUMN(),FALSE)),"")</f>
        <v/>
      </c>
      <c r="I62" s="50" t="str">
        <f>IF($A62&lt;&gt;"",IF(VLOOKUP($A62,貼り付け用!$A$1:$BA$300,COLUMN(),FALSE)=0,"",VLOOKUP($A62,貼り付け用!$A$1:$BA$300,COLUMN(),FALSE)),"")</f>
        <v/>
      </c>
      <c r="J62" s="50" t="str">
        <f>IF($A62&lt;&gt;"",IF(VLOOKUP($A62,貼り付け用!$A$1:$BA$300,COLUMN(),FALSE)=0,"",VLOOKUP($A62,貼り付け用!$A$1:$BA$300,COLUMN(),FALSE)),"")</f>
        <v/>
      </c>
      <c r="K62" s="50" t="str">
        <f>IF($A62&lt;&gt;"",IF(VLOOKUP($A62,貼り付け用!$A$1:$BA$300,COLUMN(),FALSE)=0,"",VLOOKUP($A62,貼り付け用!$A$1:$BA$300,COLUMN(),FALSE)),"")</f>
        <v/>
      </c>
      <c r="L62" s="50" t="str">
        <f>IF($A62&lt;&gt;"",
IF(COLUMN(貼り付け用!L62)&gt;MATCH("おやつ",貼り付け用!$3:$3,0),"",
IF(VLOOKUP($A62,貼り付け用!$A$1:$BA$300,COLUMN(),FALSE)=0,"",VLOOKUP($A62,貼り付け用!$A$1:$BA$300,COLUMN(),FALSE))),"")</f>
        <v/>
      </c>
      <c r="M62" s="50" t="str">
        <f>IF($A62&lt;&gt;"",
IF(COLUMN(貼り付け用!M62)&gt;MATCH("おやつ",貼り付け用!$3:$3,0),"",
IF(VLOOKUP($A62,貼り付け用!$A$1:$BA$300,COLUMN(),FALSE)=0,"",VLOOKUP($A62,貼り付け用!$A$1:$BA$300,COLUMN(),FALSE))),"")</f>
        <v/>
      </c>
      <c r="N62" s="50" t="str">
        <f>IF($A62&lt;&gt;"",
IF(COLUMN(貼り付け用!N62)&gt;MATCH("おやつ",貼り付け用!$3:$3,0),"",
IF(VLOOKUP($A62,貼り付け用!$A$1:$BA$300,COLUMN(),FALSE)=0,"",VLOOKUP($A62,貼り付け用!$A$1:$BA$300,COLUMN(),FALSE))),"")</f>
        <v/>
      </c>
      <c r="O62" s="50" t="str">
        <f>IF($A62&lt;&gt;"",
IF(COLUMN(貼り付け用!O62)&gt;MATCH("おやつ",貼り付け用!$3:$3,0),"",
IF(VLOOKUP($A62,貼り付け用!$A$1:$BA$300,COLUMN(),FALSE)=0,"",VLOOKUP($A62,貼り付け用!$A$1:$BA$300,COLUMN(),FALSE))),"")</f>
        <v/>
      </c>
      <c r="P62" s="50" t="str">
        <f>IF($A62&lt;&gt;"",
IF(COLUMN(貼り付け用!P62)&gt;MATCH("おやつ",貼り付け用!$3:$3,0),"",
IF(VLOOKUP($A62,貼り付け用!$A$1:$BA$300,COLUMN(),FALSE)=0,"",VLOOKUP($A62,貼り付け用!$A$1:$BA$300,COLUMN(),FALSE))),"")</f>
        <v/>
      </c>
      <c r="Q62" s="50" t="str">
        <f>IF($A62&lt;&gt;"",
IF(COLUMN(貼り付け用!Q62)&gt;MATCH("おやつ",貼り付け用!$3:$3,0),"",
IF(VLOOKUP($A62,貼り付け用!$A$1:$BA$300,COLUMN(),FALSE)=0,"",VLOOKUP($A62,貼り付け用!$A$1:$BA$300,COLUMN(),FALSE))),"")</f>
        <v/>
      </c>
      <c r="R62" s="50" t="str">
        <f>IF($A62&lt;&gt;"",
IF(COLUMN(貼り付け用!R62)&gt;MATCH("おやつ",貼り付け用!$3:$3,0),"",
IF(VLOOKUP($A62,貼り付け用!$A$1:$BA$300,COLUMN(),FALSE)=0,"",VLOOKUP($A62,貼り付け用!$A$1:$BA$300,COLUMN(),FALSE))),"")</f>
        <v/>
      </c>
      <c r="S62" s="50" t="str">
        <f>IF($A62&lt;&gt;"",
IF(COLUMN(貼り付け用!S62)&gt;MATCH("おやつ",貼り付け用!$3:$3,0),"",
IF(VLOOKUP($A62,貼り付け用!$A$1:$BA$300,COLUMN(),FALSE)=0,"",VLOOKUP($A62,貼り付け用!$A$1:$BA$300,COLUMN(),FALSE))),"")</f>
        <v/>
      </c>
      <c r="T62" s="50" t="str">
        <f>IF(COLUMN(貼り付け用!T62)&gt;MATCH("おやつ",貼り付け用!$3:$3,0),"",
IF(VLOOKUP($A62,貼り付け用!$A$1:$BA$300,COLUMN(),FALSE)=0,"",VLOOKUP($A62,貼り付け用!$A$1:$BA$300,COLUMN(),FALSE)))</f>
        <v/>
      </c>
      <c r="U62" s="23"/>
      <c r="V62" s="21" t="str">
        <f>IF(A62&lt;&gt;"",
IF(VLOOKUP($A62,貼り付け用!$A$1:$BA$300,MATCH("おやつ",貼り付け用!$3:$3,0)+1,FALSE)=0,"",VLOOKUP($A62,貼り付け用!$A$1:$BA$300,MATCH("おやつ",貼り付け用!$3:$3,0)+1,FALSE)),"")</f>
        <v/>
      </c>
      <c r="W62" s="50" t="str">
        <f>IF(A62&lt;&gt;"",
IF(VLOOKUP($A62,貼り付け用!$A$1:$BA$300,MATCH("おやつ",貼り付け用!$3:$3,0)+2,FALSE)=0,"",VLOOKUP($A62,貼り付け用!$A$1:$BA$300,MATCH("おやつ",貼り付け用!$3:$3,0)+2,FALSE)),"")</f>
        <v/>
      </c>
    </row>
    <row r="63" spans="1:23" x14ac:dyDescent="0.45">
      <c r="A63" s="22" t="str">
        <f>IF(貼り付け用!$A$6&lt;&gt;"",
IF(ROW(A62)+1&gt;=MATCH("*【合計】*", 貼り付け用!$A:$A, 0),"",
IF(貼り付け用!A63&lt;&gt;"",貼り付け用!A63,"")),
IF(ROW(A63)+1&gt;=MATCH("*【合計】*", 貼り付け用!$A:$A, 0),"",
IF(貼り付け用!A64&lt;&gt;"",貼り付け用!A64,"")))</f>
        <v>さらやま保育園</v>
      </c>
      <c r="B63" s="45" t="str">
        <f>IF($A63&lt;&gt;"",IF(VLOOKUP($A63,貼り付け用!$A$1:$BA$300,COLUMN(),FALSE)=0,"",VLOOKUP($A63,貼り付け用!$A$1:$BA$300,COLUMN(),FALSE)),"")</f>
        <v/>
      </c>
      <c r="C63" s="45" t="str">
        <f>IF($A63&lt;&gt;"",IF(VLOOKUP($A63,貼り付け用!$A$1:$BA$300,COLUMN(),FALSE)=0,"",VLOOKUP($A63,貼り付け用!$A$1:$BA$300,COLUMN(),FALSE)),"")</f>
        <v/>
      </c>
      <c r="D63" s="45" t="str">
        <f>IF($A63&lt;&gt;"",IF(VLOOKUP($A63,貼り付け用!$A$1:$BA$300,COLUMN(),FALSE)=0,"",VLOOKUP($A63,貼り付け用!$A$1:$BA$300,COLUMN(),FALSE)),"")</f>
        <v/>
      </c>
      <c r="E63" s="45" t="str">
        <f>IF($A63&lt;&gt;"",IF(VLOOKUP($A63,貼り付け用!$A$1:$BA$300,COLUMN(),FALSE)=0,"",VLOOKUP($A63,貼り付け用!$A$1:$BA$300,COLUMN(),FALSE)),"")</f>
        <v/>
      </c>
      <c r="F63" s="45" t="str">
        <f>IF($A63&lt;&gt;"",IF(VLOOKUP($A63,貼り付け用!$A$1:$BA$300,COLUMN(),FALSE)=0,"",VLOOKUP($A63,貼り付け用!$A$1:$BA$300,COLUMN(),FALSE)),"")</f>
        <v/>
      </c>
      <c r="G63" s="45" t="str">
        <f>IF($A63&lt;&gt;"",IF(VLOOKUP($A63,貼り付け用!$A$1:$BA$300,COLUMN(),FALSE)=0,"",VLOOKUP($A63,貼り付け用!$A$1:$BA$300,COLUMN(),FALSE)),"")</f>
        <v/>
      </c>
      <c r="H63" s="45" t="str">
        <f>IF($A63&lt;&gt;"",IF(VLOOKUP($A63,貼り付け用!$A$1:$BA$300,COLUMN(),FALSE)=0,"",VLOOKUP($A63,貼り付け用!$A$1:$BA$300,COLUMN(),FALSE)),"")</f>
        <v/>
      </c>
      <c r="I63" s="45" t="str">
        <f>IF($A63&lt;&gt;"",IF(VLOOKUP($A63,貼り付け用!$A$1:$BA$300,COLUMN(),FALSE)=0,"",VLOOKUP($A63,貼り付け用!$A$1:$BA$300,COLUMN(),FALSE)),"")</f>
        <v/>
      </c>
      <c r="J63" s="45" t="str">
        <f>IF($A63&lt;&gt;"",IF(VLOOKUP($A63,貼り付け用!$A$1:$BA$300,COLUMN(),FALSE)=0,"",VLOOKUP($A63,貼り付け用!$A$1:$BA$300,COLUMN(),FALSE)),"")</f>
        <v/>
      </c>
      <c r="K63" s="45" t="str">
        <f>IF($A63&lt;&gt;"",IF(VLOOKUP($A63,貼り付け用!$A$1:$BA$300,COLUMN(),FALSE)=0,"",VLOOKUP($A63,貼り付け用!$A$1:$BA$300,COLUMN(),FALSE)),"")</f>
        <v/>
      </c>
      <c r="L63" s="45" t="str">
        <f>IF($A63&lt;&gt;"",
IF(COLUMN(貼り付け用!L63)&gt;MATCH("おやつ",貼り付け用!$3:$3,0),"",
IF(VLOOKUP($A63,貼り付け用!$A$1:$BA$300,COLUMN(),FALSE)=0,"",VLOOKUP($A63,貼り付け用!$A$1:$BA$300,COLUMN(),FALSE))),"")</f>
        <v/>
      </c>
      <c r="M63" s="45" t="str">
        <f>IF($A63&lt;&gt;"",
IF(COLUMN(貼り付け用!M63)&gt;MATCH("おやつ",貼り付け用!$3:$3,0),"",
IF(VLOOKUP($A63,貼り付け用!$A$1:$BA$300,COLUMN(),FALSE)=0,"",VLOOKUP($A63,貼り付け用!$A$1:$BA$300,COLUMN(),FALSE))),"")</f>
        <v/>
      </c>
      <c r="N63" s="45" t="str">
        <f>IF($A63&lt;&gt;"",
IF(COLUMN(貼り付け用!N63)&gt;MATCH("おやつ",貼り付け用!$3:$3,0),"",
IF(VLOOKUP($A63,貼り付け用!$A$1:$BA$300,COLUMN(),FALSE)=0,"",VLOOKUP($A63,貼り付け用!$A$1:$BA$300,COLUMN(),FALSE))),"")</f>
        <v/>
      </c>
      <c r="O63" s="45" t="str">
        <f>IF($A63&lt;&gt;"",
IF(COLUMN(貼り付け用!O63)&gt;MATCH("おやつ",貼り付け用!$3:$3,0),"",
IF(VLOOKUP($A63,貼り付け用!$A$1:$BA$300,COLUMN(),FALSE)=0,"",VLOOKUP($A63,貼り付け用!$A$1:$BA$300,COLUMN(),FALSE))),"")</f>
        <v/>
      </c>
      <c r="P63" s="45" t="str">
        <f>IF($A63&lt;&gt;"",
IF(COLUMN(貼り付け用!P63)&gt;MATCH("おやつ",貼り付け用!$3:$3,0),"",
IF(VLOOKUP($A63,貼り付け用!$A$1:$BA$300,COLUMN(),FALSE)=0,"",VLOOKUP($A63,貼り付け用!$A$1:$BA$300,COLUMN(),FALSE))),"")</f>
        <v/>
      </c>
      <c r="Q63" s="45" t="str">
        <f>IF($A63&lt;&gt;"",
IF(COLUMN(貼り付け用!Q63)&gt;MATCH("おやつ",貼り付け用!$3:$3,0),"",
IF(VLOOKUP($A63,貼り付け用!$A$1:$BA$300,COLUMN(),FALSE)=0,"",VLOOKUP($A63,貼り付け用!$A$1:$BA$300,COLUMN(),FALSE))),"")</f>
        <v/>
      </c>
      <c r="R63" s="45" t="str">
        <f>IF($A63&lt;&gt;"",
IF(COLUMN(貼り付け用!R63)&gt;MATCH("おやつ",貼り付け用!$3:$3,0),"",
IF(VLOOKUP($A63,貼り付け用!$A$1:$BA$300,COLUMN(),FALSE)=0,"",VLOOKUP($A63,貼り付け用!$A$1:$BA$300,COLUMN(),FALSE))),"")</f>
        <v/>
      </c>
      <c r="S63" s="45" t="str">
        <f>IF($A63&lt;&gt;"",
IF(COLUMN(貼り付け用!S63)&gt;MATCH("おやつ",貼り付け用!$3:$3,0),"",
IF(VLOOKUP($A63,貼り付け用!$A$1:$BA$300,COLUMN(),FALSE)=0,"",VLOOKUP($A63,貼り付け用!$A$1:$BA$300,COLUMN(),FALSE))),"")</f>
        <v/>
      </c>
      <c r="T63" s="45" t="str">
        <f>IF(COLUMN(貼り付け用!T63)&gt;MATCH("おやつ",貼り付け用!$3:$3,0),"",
IF(VLOOKUP($A63,貼り付け用!$A$1:$BA$300,COLUMN(),FALSE)=0,"",VLOOKUP($A63,貼り付け用!$A$1:$BA$300,COLUMN(),FALSE)))</f>
        <v/>
      </c>
      <c r="U63" s="24"/>
      <c r="V63" s="21" t="str">
        <f>IF(A63&lt;&gt;"",
IF(VLOOKUP($A63,貼り付け用!$A$1:$BA$300,MATCH("おやつ",貼り付け用!$3:$3,0)+1,FALSE)=0,"",VLOOKUP($A63,貼り付け用!$A$1:$BA$300,MATCH("おやつ",貼り付け用!$3:$3,0)+1,FALSE)),"")</f>
        <v/>
      </c>
      <c r="W63" s="50" t="str">
        <f>IF(A63&lt;&gt;"",
IF(VLOOKUP($A63,貼り付け用!$A$1:$BA$300,MATCH("おやつ",貼り付け用!$3:$3,0)+2,FALSE)=0,"",VLOOKUP($A63,貼り付け用!$A$1:$BA$300,MATCH("おやつ",貼り付け用!$3:$3,0)+2,FALSE)),"")</f>
        <v/>
      </c>
    </row>
    <row r="64" spans="1:23" x14ac:dyDescent="0.45">
      <c r="A64" s="10" t="str">
        <f>IF(貼り付け用!$A$6&lt;&gt;"",
IF(ROW(A63)+1&gt;=MATCH("*【合計】*", 貼り付け用!$A:$A, 0),
"",
IF(貼り付け用!A64&lt;&gt;"",貼り付け用!A64,"")),
IF(ROW(A64)+1&gt;=MATCH("*【合計】*", 貼り付け用!$A:$A, 0),
"",
IF(貼り付け用!A65&lt;&gt;"",貼り付け用!A65,"")))</f>
        <v>7200</v>
      </c>
      <c r="B64" s="50" t="str">
        <f>IF($A64&lt;&gt;"",IF(VLOOKUP($A64,貼り付け用!$A$1:$BA$300,COLUMN(),FALSE)=0,"",VLOOKUP($A64,貼り付け用!$A$1:$BA$300,COLUMN(),FALSE)),"")</f>
        <v/>
      </c>
      <c r="C64" s="50" t="str">
        <f>IF($A64&lt;&gt;"",IF(VLOOKUP($A64,貼り付け用!$A$1:$BA$300,COLUMN(),FALSE)=0,"",VLOOKUP($A64,貼り付け用!$A$1:$BA$300,COLUMN(),FALSE)),"")</f>
        <v/>
      </c>
      <c r="D64" s="50" t="str">
        <f>IF($A64&lt;&gt;"",IF(VLOOKUP($A64,貼り付け用!$A$1:$BA$300,COLUMN(),FALSE)=0,"",VLOOKUP($A64,貼り付け用!$A$1:$BA$300,COLUMN(),FALSE)),"")</f>
        <v/>
      </c>
      <c r="E64" s="50" t="str">
        <f>IF($A64&lt;&gt;"",IF(VLOOKUP($A64,貼り付け用!$A$1:$BA$300,COLUMN(),FALSE)=0,"",VLOOKUP($A64,貼り付け用!$A$1:$BA$300,COLUMN(),FALSE)),"")</f>
        <v/>
      </c>
      <c r="F64" s="50" t="str">
        <f>IF($A64&lt;&gt;"",IF(VLOOKUP($A64,貼り付け用!$A$1:$BA$300,COLUMN(),FALSE)=0,"",VLOOKUP($A64,貼り付け用!$A$1:$BA$300,COLUMN(),FALSE)),"")</f>
        <v/>
      </c>
      <c r="G64" s="50" t="str">
        <f>IF($A64&lt;&gt;"",IF(VLOOKUP($A64,貼り付け用!$A$1:$BA$300,COLUMN(),FALSE)=0,"",VLOOKUP($A64,貼り付け用!$A$1:$BA$300,COLUMN(),FALSE)),"")</f>
        <v>1</v>
      </c>
      <c r="H64" s="50" t="str">
        <f>IF($A64&lt;&gt;"",IF(VLOOKUP($A64,貼り付け用!$A$1:$BA$300,COLUMN(),FALSE)=0,"",VLOOKUP($A64,貼り付け用!$A$1:$BA$300,COLUMN(),FALSE)),"")</f>
        <v/>
      </c>
      <c r="I64" s="50" t="str">
        <f>IF($A64&lt;&gt;"",IF(VLOOKUP($A64,貼り付け用!$A$1:$BA$300,COLUMN(),FALSE)=0,"",VLOOKUP($A64,貼り付け用!$A$1:$BA$300,COLUMN(),FALSE)),"")</f>
        <v/>
      </c>
      <c r="J64" s="50" t="str">
        <f>IF($A64&lt;&gt;"",IF(VLOOKUP($A64,貼り付け用!$A$1:$BA$300,COLUMN(),FALSE)=0,"",VLOOKUP($A64,貼り付け用!$A$1:$BA$300,COLUMN(),FALSE)),"")</f>
        <v/>
      </c>
      <c r="K64" s="50" t="str">
        <f>IF($A64&lt;&gt;"",IF(VLOOKUP($A64,貼り付け用!$A$1:$BA$300,COLUMN(),FALSE)=0,"",VLOOKUP($A64,貼り付け用!$A$1:$BA$300,COLUMN(),FALSE)),"")</f>
        <v/>
      </c>
      <c r="L64" s="50" t="str">
        <f>IF($A64&lt;&gt;"",
IF(COLUMN(貼り付け用!L64)&gt;MATCH("おやつ",貼り付け用!$3:$3,0),"",
IF(VLOOKUP($A64,貼り付け用!$A$1:$BA$300,COLUMN(),FALSE)=0,"",VLOOKUP($A64,貼り付け用!$A$1:$BA$300,COLUMN(),FALSE))),"")</f>
        <v/>
      </c>
      <c r="M64" s="50" t="str">
        <f>IF($A64&lt;&gt;"",
IF(COLUMN(貼り付け用!M64)&gt;MATCH("おやつ",貼り付け用!$3:$3,0),"",
IF(VLOOKUP($A64,貼り付け用!$A$1:$BA$300,COLUMN(),FALSE)=0,"",VLOOKUP($A64,貼り付け用!$A$1:$BA$300,COLUMN(),FALSE))),"")</f>
        <v/>
      </c>
      <c r="N64" s="50" t="str">
        <f>IF($A64&lt;&gt;"",
IF(COLUMN(貼り付け用!N64)&gt;MATCH("おやつ",貼り付け用!$3:$3,0),"",
IF(VLOOKUP($A64,貼り付け用!$A$1:$BA$300,COLUMN(),FALSE)=0,"",VLOOKUP($A64,貼り付け用!$A$1:$BA$300,COLUMN(),FALSE))),"")</f>
        <v/>
      </c>
      <c r="O64" s="50" t="str">
        <f>IF($A64&lt;&gt;"",
IF(COLUMN(貼り付け用!O64)&gt;MATCH("おやつ",貼り付け用!$3:$3,0),"",
IF(VLOOKUP($A64,貼り付け用!$A$1:$BA$300,COLUMN(),FALSE)=0,"",VLOOKUP($A64,貼り付け用!$A$1:$BA$300,COLUMN(),FALSE))),"")</f>
        <v/>
      </c>
      <c r="P64" s="50" t="str">
        <f>IF($A64&lt;&gt;"",
IF(COLUMN(貼り付け用!P64)&gt;MATCH("おやつ",貼り付け用!$3:$3,0),"",
IF(VLOOKUP($A64,貼り付け用!$A$1:$BA$300,COLUMN(),FALSE)=0,"",VLOOKUP($A64,貼り付け用!$A$1:$BA$300,COLUMN(),FALSE))),"")</f>
        <v/>
      </c>
      <c r="Q64" s="50" t="str">
        <f>IF($A64&lt;&gt;"",
IF(COLUMN(貼り付け用!Q64)&gt;MATCH("おやつ",貼り付け用!$3:$3,0),"",
IF(VLOOKUP($A64,貼り付け用!$A$1:$BA$300,COLUMN(),FALSE)=0,"",VLOOKUP($A64,貼り付け用!$A$1:$BA$300,COLUMN(),FALSE))),"")</f>
        <v/>
      </c>
      <c r="R64" s="50" t="str">
        <f>IF($A64&lt;&gt;"",
IF(COLUMN(貼り付け用!R64)&gt;MATCH("おやつ",貼り付け用!$3:$3,0),"",
IF(VLOOKUP($A64,貼り付け用!$A$1:$BA$300,COLUMN(),FALSE)=0,"",VLOOKUP($A64,貼り付け用!$A$1:$BA$300,COLUMN(),FALSE))),"")</f>
        <v/>
      </c>
      <c r="S64" s="50" t="str">
        <f>IF($A64&lt;&gt;"",
IF(COLUMN(貼り付け用!S64)&gt;MATCH("おやつ",貼り付け用!$3:$3,0),"",
IF(VLOOKUP($A64,貼り付け用!$A$1:$BA$300,COLUMN(),FALSE)=0,"",VLOOKUP($A64,貼り付け用!$A$1:$BA$300,COLUMN(),FALSE))),"")</f>
        <v/>
      </c>
      <c r="T64" s="50" t="str">
        <f>IF(COLUMN(貼り付け用!T64)&gt;MATCH("おやつ",貼り付け用!$3:$3,0),"",
IF(VLOOKUP($A64,貼り付け用!$A$1:$BA$300,COLUMN(),FALSE)=0,"",VLOOKUP($A64,貼り付け用!$A$1:$BA$300,COLUMN(),FALSE)))</f>
        <v/>
      </c>
      <c r="U64" s="23"/>
      <c r="V64" s="21" t="str">
        <f>IF(A64&lt;&gt;"",
IF(VLOOKUP($A64,貼り付け用!$A$1:$BA$300,MATCH("おやつ",貼り付け用!$3:$3,0)+1,FALSE)=0,"",VLOOKUP($A64,貼り付け用!$A$1:$BA$300,MATCH("おやつ",貼り付け用!$3:$3,0)+1,FALSE)),"")</f>
        <v/>
      </c>
      <c r="W64" s="50" t="str">
        <f>IF(A64&lt;&gt;"",
IF(VLOOKUP($A64,貼り付け用!$A$1:$BA$300,MATCH("おやつ",貼り付け用!$3:$3,0)+2,FALSE)=0,"",VLOOKUP($A64,貼り付け用!$A$1:$BA$300,MATCH("おやつ",貼り付け用!$3:$3,0)+2,FALSE)),"")</f>
        <v/>
      </c>
    </row>
    <row r="65" spans="1:23" x14ac:dyDescent="0.45">
      <c r="A65" s="22" t="str">
        <f>IF(貼り付け用!$A$6&lt;&gt;"",
IF(ROW(A64)+1&gt;=MATCH("*【合計】*", 貼り付け用!$A:$A, 0),"",
IF(貼り付け用!A65&lt;&gt;"",貼り付け用!A65,"")),
IF(ROW(A65)+1&gt;=MATCH("*【合計】*", 貼り付け用!$A:$A, 0),"",
IF(貼り付け用!A66&lt;&gt;"",貼り付け用!A66,"")))</f>
        <v>ひよこ保育園</v>
      </c>
      <c r="B65" s="45" t="str">
        <f>IF($A65&lt;&gt;"",IF(VLOOKUP($A65,貼り付け用!$A$1:$BA$300,COLUMN(),FALSE)=0,"",VLOOKUP($A65,貼り付け用!$A$1:$BA$300,COLUMN(),FALSE)),"")</f>
        <v/>
      </c>
      <c r="C65" s="45" t="str">
        <f>IF($A65&lt;&gt;"",IF(VLOOKUP($A65,貼り付け用!$A$1:$BA$300,COLUMN(),FALSE)=0,"",VLOOKUP($A65,貼り付け用!$A$1:$BA$300,COLUMN(),FALSE)),"")</f>
        <v/>
      </c>
      <c r="D65" s="45" t="str">
        <f>IF($A65&lt;&gt;"",IF(VLOOKUP($A65,貼り付け用!$A$1:$BA$300,COLUMN(),FALSE)=0,"",VLOOKUP($A65,貼り付け用!$A$1:$BA$300,COLUMN(),FALSE)),"")</f>
        <v/>
      </c>
      <c r="E65" s="45" t="str">
        <f>IF($A65&lt;&gt;"",IF(VLOOKUP($A65,貼り付け用!$A$1:$BA$300,COLUMN(),FALSE)=0,"",VLOOKUP($A65,貼り付け用!$A$1:$BA$300,COLUMN(),FALSE)),"")</f>
        <v/>
      </c>
      <c r="F65" s="45" t="str">
        <f>IF($A65&lt;&gt;"",IF(VLOOKUP($A65,貼り付け用!$A$1:$BA$300,COLUMN(),FALSE)=0,"",VLOOKUP($A65,貼り付け用!$A$1:$BA$300,COLUMN(),FALSE)),"")</f>
        <v/>
      </c>
      <c r="G65" s="45" t="str">
        <f>IF($A65&lt;&gt;"",IF(VLOOKUP($A65,貼り付け用!$A$1:$BA$300,COLUMN(),FALSE)=0,"",VLOOKUP($A65,貼り付け用!$A$1:$BA$300,COLUMN(),FALSE)),"")</f>
        <v/>
      </c>
      <c r="H65" s="45" t="str">
        <f>IF($A65&lt;&gt;"",IF(VLOOKUP($A65,貼り付け用!$A$1:$BA$300,COLUMN(),FALSE)=0,"",VLOOKUP($A65,貼り付け用!$A$1:$BA$300,COLUMN(),FALSE)),"")</f>
        <v/>
      </c>
      <c r="I65" s="45" t="str">
        <f>IF($A65&lt;&gt;"",IF(VLOOKUP($A65,貼り付け用!$A$1:$BA$300,COLUMN(),FALSE)=0,"",VLOOKUP($A65,貼り付け用!$A$1:$BA$300,COLUMN(),FALSE)),"")</f>
        <v/>
      </c>
      <c r="J65" s="45" t="str">
        <f>IF($A65&lt;&gt;"",IF(VLOOKUP($A65,貼り付け用!$A$1:$BA$300,COLUMN(),FALSE)=0,"",VLOOKUP($A65,貼り付け用!$A$1:$BA$300,COLUMN(),FALSE)),"")</f>
        <v/>
      </c>
      <c r="K65" s="45" t="str">
        <f>IF($A65&lt;&gt;"",IF(VLOOKUP($A65,貼り付け用!$A$1:$BA$300,COLUMN(),FALSE)=0,"",VLOOKUP($A65,貼り付け用!$A$1:$BA$300,COLUMN(),FALSE)),"")</f>
        <v/>
      </c>
      <c r="L65" s="45" t="str">
        <f>IF($A65&lt;&gt;"",
IF(COLUMN(貼り付け用!L65)&gt;MATCH("おやつ",貼り付け用!$3:$3,0),"",
IF(VLOOKUP($A65,貼り付け用!$A$1:$BA$300,COLUMN(),FALSE)=0,"",VLOOKUP($A65,貼り付け用!$A$1:$BA$300,COLUMN(),FALSE))),"")</f>
        <v/>
      </c>
      <c r="M65" s="45" t="str">
        <f>IF($A65&lt;&gt;"",
IF(COLUMN(貼り付け用!M65)&gt;MATCH("おやつ",貼り付け用!$3:$3,0),"",
IF(VLOOKUP($A65,貼り付け用!$A$1:$BA$300,COLUMN(),FALSE)=0,"",VLOOKUP($A65,貼り付け用!$A$1:$BA$300,COLUMN(),FALSE))),"")</f>
        <v/>
      </c>
      <c r="N65" s="45" t="str">
        <f>IF($A65&lt;&gt;"",
IF(COLUMN(貼り付け用!N65)&gt;MATCH("おやつ",貼り付け用!$3:$3,0),"",
IF(VLOOKUP($A65,貼り付け用!$A$1:$BA$300,COLUMN(),FALSE)=0,"",VLOOKUP($A65,貼り付け用!$A$1:$BA$300,COLUMN(),FALSE))),"")</f>
        <v/>
      </c>
      <c r="O65" s="45" t="str">
        <f>IF($A65&lt;&gt;"",
IF(COLUMN(貼り付け用!O65)&gt;MATCH("おやつ",貼り付け用!$3:$3,0),"",
IF(VLOOKUP($A65,貼り付け用!$A$1:$BA$300,COLUMN(),FALSE)=0,"",VLOOKUP($A65,貼り付け用!$A$1:$BA$300,COLUMN(),FALSE))),"")</f>
        <v/>
      </c>
      <c r="P65" s="45" t="str">
        <f>IF($A65&lt;&gt;"",
IF(COLUMN(貼り付け用!P65)&gt;MATCH("おやつ",貼り付け用!$3:$3,0),"",
IF(VLOOKUP($A65,貼り付け用!$A$1:$BA$300,COLUMN(),FALSE)=0,"",VLOOKUP($A65,貼り付け用!$A$1:$BA$300,COLUMN(),FALSE))),"")</f>
        <v/>
      </c>
      <c r="Q65" s="45" t="str">
        <f>IF($A65&lt;&gt;"",
IF(COLUMN(貼り付け用!Q65)&gt;MATCH("おやつ",貼り付け用!$3:$3,0),"",
IF(VLOOKUP($A65,貼り付け用!$A$1:$BA$300,COLUMN(),FALSE)=0,"",VLOOKUP($A65,貼り付け用!$A$1:$BA$300,COLUMN(),FALSE))),"")</f>
        <v/>
      </c>
      <c r="R65" s="45" t="str">
        <f>IF($A65&lt;&gt;"",
IF(COLUMN(貼り付け用!R65)&gt;MATCH("おやつ",貼り付け用!$3:$3,0),"",
IF(VLOOKUP($A65,貼り付け用!$A$1:$BA$300,COLUMN(),FALSE)=0,"",VLOOKUP($A65,貼り付け用!$A$1:$BA$300,COLUMN(),FALSE))),"")</f>
        <v/>
      </c>
      <c r="S65" s="45" t="str">
        <f>IF($A65&lt;&gt;"",
IF(COLUMN(貼り付け用!S65)&gt;MATCH("おやつ",貼り付け用!$3:$3,0),"",
IF(VLOOKUP($A65,貼り付け用!$A$1:$BA$300,COLUMN(),FALSE)=0,"",VLOOKUP($A65,貼り付け用!$A$1:$BA$300,COLUMN(),FALSE))),"")</f>
        <v/>
      </c>
      <c r="T65" s="45" t="str">
        <f>IF(COLUMN(貼り付け用!T65)&gt;MATCH("おやつ",貼り付け用!$3:$3,0),"",
IF(VLOOKUP($A65,貼り付け用!$A$1:$BA$300,COLUMN(),FALSE)=0,"",VLOOKUP($A65,貼り付け用!$A$1:$BA$300,COLUMN(),FALSE)))</f>
        <v/>
      </c>
      <c r="U65" s="24"/>
      <c r="V65" s="21" t="str">
        <f>IF(A65&lt;&gt;"",
IF(VLOOKUP($A65,貼り付け用!$A$1:$BA$300,MATCH("おやつ",貼り付け用!$3:$3,0)+1,FALSE)=0,"",VLOOKUP($A65,貼り付け用!$A$1:$BA$300,MATCH("おやつ",貼り付け用!$3:$3,0)+1,FALSE)),"")</f>
        <v/>
      </c>
      <c r="W65" s="50" t="str">
        <f>IF(A65&lt;&gt;"",
IF(VLOOKUP($A65,貼り付け用!$A$1:$BA$300,MATCH("おやつ",貼り付け用!$3:$3,0)+2,FALSE)=0,"",VLOOKUP($A65,貼り付け用!$A$1:$BA$300,MATCH("おやつ",貼り付け用!$3:$3,0)+2,FALSE)),"")</f>
        <v/>
      </c>
    </row>
    <row r="66" spans="1:23" x14ac:dyDescent="0.45">
      <c r="A66" s="10" t="str">
        <f>IF(貼り付け用!$A$6&lt;&gt;"",
IF(ROW(A65)+1&gt;=MATCH("*【合計】*", 貼り付け用!$A:$A, 0),
"",
IF(貼り付け用!A66&lt;&gt;"",貼り付け用!A66,"")),
IF(ROW(A66)+1&gt;=MATCH("*【合計】*", 貼り付け用!$A:$A, 0),
"",
IF(貼り付け用!A67&lt;&gt;"",貼り付け用!A67,"")))</f>
        <v>5900</v>
      </c>
      <c r="B66" s="50" t="str">
        <f>IF($A66&lt;&gt;"",IF(VLOOKUP($A66,貼り付け用!$A$1:$BA$300,COLUMN(),FALSE)=0,"",VLOOKUP($A66,貼り付け用!$A$1:$BA$300,COLUMN(),FALSE)),"")</f>
        <v/>
      </c>
      <c r="C66" s="50" t="str">
        <f>IF($A66&lt;&gt;"",IF(VLOOKUP($A66,貼り付け用!$A$1:$BA$300,COLUMN(),FALSE)=0,"",VLOOKUP($A66,貼り付け用!$A$1:$BA$300,COLUMN(),FALSE)),"")</f>
        <v/>
      </c>
      <c r="D66" s="50" t="str">
        <f>IF($A66&lt;&gt;"",IF(VLOOKUP($A66,貼り付け用!$A$1:$BA$300,COLUMN(),FALSE)=0,"",VLOOKUP($A66,貼り付け用!$A$1:$BA$300,COLUMN(),FALSE)),"")</f>
        <v/>
      </c>
      <c r="E66" s="50" t="str">
        <f>IF($A66&lt;&gt;"",IF(VLOOKUP($A66,貼り付け用!$A$1:$BA$300,COLUMN(),FALSE)=0,"",VLOOKUP($A66,貼り付け用!$A$1:$BA$300,COLUMN(),FALSE)),"")</f>
        <v/>
      </c>
      <c r="F66" s="50" t="str">
        <f>IF($A66&lt;&gt;"",IF(VLOOKUP($A66,貼り付け用!$A$1:$BA$300,COLUMN(),FALSE)=0,"",VLOOKUP($A66,貼り付け用!$A$1:$BA$300,COLUMN(),FALSE)),"")</f>
        <v/>
      </c>
      <c r="G66" s="50" t="str">
        <f>IF($A66&lt;&gt;"",IF(VLOOKUP($A66,貼り付け用!$A$1:$BA$300,COLUMN(),FALSE)=0,"",VLOOKUP($A66,貼り付け用!$A$1:$BA$300,COLUMN(),FALSE)),"")</f>
        <v>5</v>
      </c>
      <c r="H66" s="50" t="str">
        <f>IF($A66&lt;&gt;"",IF(VLOOKUP($A66,貼り付け用!$A$1:$BA$300,COLUMN(),FALSE)=0,"",VLOOKUP($A66,貼り付け用!$A$1:$BA$300,COLUMN(),FALSE)),"")</f>
        <v/>
      </c>
      <c r="I66" s="50" t="str">
        <f>IF($A66&lt;&gt;"",IF(VLOOKUP($A66,貼り付け用!$A$1:$BA$300,COLUMN(),FALSE)=0,"",VLOOKUP($A66,貼り付け用!$A$1:$BA$300,COLUMN(),FALSE)),"")</f>
        <v/>
      </c>
      <c r="J66" s="50" t="str">
        <f>IF($A66&lt;&gt;"",IF(VLOOKUP($A66,貼り付け用!$A$1:$BA$300,COLUMN(),FALSE)=0,"",VLOOKUP($A66,貼り付け用!$A$1:$BA$300,COLUMN(),FALSE)),"")</f>
        <v/>
      </c>
      <c r="K66" s="50" t="str">
        <f>IF($A66&lt;&gt;"",IF(VLOOKUP($A66,貼り付け用!$A$1:$BA$300,COLUMN(),FALSE)=0,"",VLOOKUP($A66,貼り付け用!$A$1:$BA$300,COLUMN(),FALSE)),"")</f>
        <v/>
      </c>
      <c r="L66" s="50" t="str">
        <f>IF($A66&lt;&gt;"",
IF(COLUMN(貼り付け用!L66)&gt;MATCH("おやつ",貼り付け用!$3:$3,0),"",
IF(VLOOKUP($A66,貼り付け用!$A$1:$BA$300,COLUMN(),FALSE)=0,"",VLOOKUP($A66,貼り付け用!$A$1:$BA$300,COLUMN(),FALSE))),"")</f>
        <v/>
      </c>
      <c r="M66" s="50" t="str">
        <f>IF($A66&lt;&gt;"",
IF(COLUMN(貼り付け用!M66)&gt;MATCH("おやつ",貼り付け用!$3:$3,0),"",
IF(VLOOKUP($A66,貼り付け用!$A$1:$BA$300,COLUMN(),FALSE)=0,"",VLOOKUP($A66,貼り付け用!$A$1:$BA$300,COLUMN(),FALSE))),"")</f>
        <v/>
      </c>
      <c r="N66" s="50" t="str">
        <f>IF($A66&lt;&gt;"",
IF(COLUMN(貼り付け用!N66)&gt;MATCH("おやつ",貼り付け用!$3:$3,0),"",
IF(VLOOKUP($A66,貼り付け用!$A$1:$BA$300,COLUMN(),FALSE)=0,"",VLOOKUP($A66,貼り付け用!$A$1:$BA$300,COLUMN(),FALSE))),"")</f>
        <v/>
      </c>
      <c r="O66" s="50" t="str">
        <f>IF($A66&lt;&gt;"",
IF(COLUMN(貼り付け用!O66)&gt;MATCH("おやつ",貼り付け用!$3:$3,0),"",
IF(VLOOKUP($A66,貼り付け用!$A$1:$BA$300,COLUMN(),FALSE)=0,"",VLOOKUP($A66,貼り付け用!$A$1:$BA$300,COLUMN(),FALSE))),"")</f>
        <v/>
      </c>
      <c r="P66" s="50" t="str">
        <f>IF($A66&lt;&gt;"",
IF(COLUMN(貼り付け用!P66)&gt;MATCH("おやつ",貼り付け用!$3:$3,0),"",
IF(VLOOKUP($A66,貼り付け用!$A$1:$BA$300,COLUMN(),FALSE)=0,"",VLOOKUP($A66,貼り付け用!$A$1:$BA$300,COLUMN(),FALSE))),"")</f>
        <v/>
      </c>
      <c r="Q66" s="50" t="str">
        <f>IF($A66&lt;&gt;"",
IF(COLUMN(貼り付け用!Q66)&gt;MATCH("おやつ",貼り付け用!$3:$3,0),"",
IF(VLOOKUP($A66,貼り付け用!$A$1:$BA$300,COLUMN(),FALSE)=0,"",VLOOKUP($A66,貼り付け用!$A$1:$BA$300,COLUMN(),FALSE))),"")</f>
        <v/>
      </c>
      <c r="R66" s="50" t="str">
        <f>IF($A66&lt;&gt;"",
IF(COLUMN(貼り付け用!R66)&gt;MATCH("おやつ",貼り付け用!$3:$3,0),"",
IF(VLOOKUP($A66,貼り付け用!$A$1:$BA$300,COLUMN(),FALSE)=0,"",VLOOKUP($A66,貼り付け用!$A$1:$BA$300,COLUMN(),FALSE))),"")</f>
        <v/>
      </c>
      <c r="S66" s="50" t="str">
        <f>IF($A66&lt;&gt;"",
IF(COLUMN(貼り付け用!S66)&gt;MATCH("おやつ",貼り付け用!$3:$3,0),"",
IF(VLOOKUP($A66,貼り付け用!$A$1:$BA$300,COLUMN(),FALSE)=0,"",VLOOKUP($A66,貼り付け用!$A$1:$BA$300,COLUMN(),FALSE))),"")</f>
        <v/>
      </c>
      <c r="T66" s="50" t="str">
        <f>IF(COLUMN(貼り付け用!T66)&gt;MATCH("おやつ",貼り付け用!$3:$3,0),"",
IF(VLOOKUP($A66,貼り付け用!$A$1:$BA$300,COLUMN(),FALSE)=0,"",VLOOKUP($A66,貼り付け用!$A$1:$BA$300,COLUMN(),FALSE)))</f>
        <v/>
      </c>
      <c r="U66" s="23"/>
      <c r="V66" s="21" t="str">
        <f>IF(A66&lt;&gt;"",
IF(VLOOKUP($A66,貼り付け用!$A$1:$BA$300,MATCH("おやつ",貼り付け用!$3:$3,0)+1,FALSE)=0,"",VLOOKUP($A66,貼り付け用!$A$1:$BA$300,MATCH("おやつ",貼り付け用!$3:$3,0)+1,FALSE)),"")</f>
        <v/>
      </c>
      <c r="W66" s="50" t="str">
        <f>IF(A66&lt;&gt;"",
IF(VLOOKUP($A66,貼り付け用!$A$1:$BA$300,MATCH("おやつ",貼り付け用!$3:$3,0)+2,FALSE)=0,"",VLOOKUP($A66,貼り付け用!$A$1:$BA$300,MATCH("おやつ",貼り付け用!$3:$3,0)+2,FALSE)),"")</f>
        <v/>
      </c>
    </row>
    <row r="67" spans="1:23" x14ac:dyDescent="0.45">
      <c r="A67" s="22" t="str">
        <f>IF(貼り付け用!$A$6&lt;&gt;"",
IF(ROW(A66)+1&gt;=MATCH("*【合計】*", 貼り付け用!$A:$A, 0),"",
IF(貼り付け用!A67&lt;&gt;"",貼り付け用!A67,"")),
IF(ROW(A67)+1&gt;=MATCH("*【合計】*", 貼り付け用!$A:$A, 0),"",
IF(貼り付け用!A68&lt;&gt;"",貼り付け用!A68,"")))</f>
        <v>リリィ保育園</v>
      </c>
      <c r="B67" s="45" t="str">
        <f>IF($A67&lt;&gt;"",IF(VLOOKUP($A67,貼り付け用!$A$1:$BA$300,COLUMN(),FALSE)=0,"",VLOOKUP($A67,貼り付け用!$A$1:$BA$300,COLUMN(),FALSE)),"")</f>
        <v/>
      </c>
      <c r="C67" s="45" t="str">
        <f>IF($A67&lt;&gt;"",IF(VLOOKUP($A67,貼り付け用!$A$1:$BA$300,COLUMN(),FALSE)=0,"",VLOOKUP($A67,貼り付け用!$A$1:$BA$300,COLUMN(),FALSE)),"")</f>
        <v/>
      </c>
      <c r="D67" s="45" t="str">
        <f>IF($A67&lt;&gt;"",IF(VLOOKUP($A67,貼り付け用!$A$1:$BA$300,COLUMN(),FALSE)=0,"",VLOOKUP($A67,貼り付け用!$A$1:$BA$300,COLUMN(),FALSE)),"")</f>
        <v/>
      </c>
      <c r="E67" s="45" t="str">
        <f>IF($A67&lt;&gt;"",IF(VLOOKUP($A67,貼り付け用!$A$1:$BA$300,COLUMN(),FALSE)=0,"",VLOOKUP($A67,貼り付け用!$A$1:$BA$300,COLUMN(),FALSE)),"")</f>
        <v/>
      </c>
      <c r="F67" s="45" t="str">
        <f>IF($A67&lt;&gt;"",IF(VLOOKUP($A67,貼り付け用!$A$1:$BA$300,COLUMN(),FALSE)=0,"",VLOOKUP($A67,貼り付け用!$A$1:$BA$300,COLUMN(),FALSE)),"")</f>
        <v/>
      </c>
      <c r="G67" s="45" t="str">
        <f>IF($A67&lt;&gt;"",IF(VLOOKUP($A67,貼り付け用!$A$1:$BA$300,COLUMN(),FALSE)=0,"",VLOOKUP($A67,貼り付け用!$A$1:$BA$300,COLUMN(),FALSE)),"")</f>
        <v/>
      </c>
      <c r="H67" s="45" t="str">
        <f>IF($A67&lt;&gt;"",IF(VLOOKUP($A67,貼り付け用!$A$1:$BA$300,COLUMN(),FALSE)=0,"",VLOOKUP($A67,貼り付け用!$A$1:$BA$300,COLUMN(),FALSE)),"")</f>
        <v/>
      </c>
      <c r="I67" s="45" t="str">
        <f>IF($A67&lt;&gt;"",IF(VLOOKUP($A67,貼り付け用!$A$1:$BA$300,COLUMN(),FALSE)=0,"",VLOOKUP($A67,貼り付け用!$A$1:$BA$300,COLUMN(),FALSE)),"")</f>
        <v/>
      </c>
      <c r="J67" s="45" t="str">
        <f>IF($A67&lt;&gt;"",IF(VLOOKUP($A67,貼り付け用!$A$1:$BA$300,COLUMN(),FALSE)=0,"",VLOOKUP($A67,貼り付け用!$A$1:$BA$300,COLUMN(),FALSE)),"")</f>
        <v/>
      </c>
      <c r="K67" s="45" t="str">
        <f>IF($A67&lt;&gt;"",IF(VLOOKUP($A67,貼り付け用!$A$1:$BA$300,COLUMN(),FALSE)=0,"",VLOOKUP($A67,貼り付け用!$A$1:$BA$300,COLUMN(),FALSE)),"")</f>
        <v/>
      </c>
      <c r="L67" s="45" t="str">
        <f>IF($A67&lt;&gt;"",
IF(COLUMN(貼り付け用!L67)&gt;MATCH("おやつ",貼り付け用!$3:$3,0),"",
IF(VLOOKUP($A67,貼り付け用!$A$1:$BA$300,COLUMN(),FALSE)=0,"",VLOOKUP($A67,貼り付け用!$A$1:$BA$300,COLUMN(),FALSE))),"")</f>
        <v/>
      </c>
      <c r="M67" s="45" t="str">
        <f>IF($A67&lt;&gt;"",
IF(COLUMN(貼り付け用!M67)&gt;MATCH("おやつ",貼り付け用!$3:$3,0),"",
IF(VLOOKUP($A67,貼り付け用!$A$1:$BA$300,COLUMN(),FALSE)=0,"",VLOOKUP($A67,貼り付け用!$A$1:$BA$300,COLUMN(),FALSE))),"")</f>
        <v/>
      </c>
      <c r="N67" s="45" t="str">
        <f>IF($A67&lt;&gt;"",
IF(COLUMN(貼り付け用!N67)&gt;MATCH("おやつ",貼り付け用!$3:$3,0),"",
IF(VLOOKUP($A67,貼り付け用!$A$1:$BA$300,COLUMN(),FALSE)=0,"",VLOOKUP($A67,貼り付け用!$A$1:$BA$300,COLUMN(),FALSE))),"")</f>
        <v/>
      </c>
      <c r="O67" s="45" t="str">
        <f>IF($A67&lt;&gt;"",
IF(COLUMN(貼り付け用!O67)&gt;MATCH("おやつ",貼り付け用!$3:$3,0),"",
IF(VLOOKUP($A67,貼り付け用!$A$1:$BA$300,COLUMN(),FALSE)=0,"",VLOOKUP($A67,貼り付け用!$A$1:$BA$300,COLUMN(),FALSE))),"")</f>
        <v/>
      </c>
      <c r="P67" s="45" t="str">
        <f>IF($A67&lt;&gt;"",
IF(COLUMN(貼り付け用!P67)&gt;MATCH("おやつ",貼り付け用!$3:$3,0),"",
IF(VLOOKUP($A67,貼り付け用!$A$1:$BA$300,COLUMN(),FALSE)=0,"",VLOOKUP($A67,貼り付け用!$A$1:$BA$300,COLUMN(),FALSE))),"")</f>
        <v/>
      </c>
      <c r="Q67" s="45" t="str">
        <f>IF($A67&lt;&gt;"",
IF(COLUMN(貼り付け用!Q67)&gt;MATCH("おやつ",貼り付け用!$3:$3,0),"",
IF(VLOOKUP($A67,貼り付け用!$A$1:$BA$300,COLUMN(),FALSE)=0,"",VLOOKUP($A67,貼り付け用!$A$1:$BA$300,COLUMN(),FALSE))),"")</f>
        <v/>
      </c>
      <c r="R67" s="45" t="str">
        <f>IF($A67&lt;&gt;"",
IF(COLUMN(貼り付け用!R67)&gt;MATCH("おやつ",貼り付け用!$3:$3,0),"",
IF(VLOOKUP($A67,貼り付け用!$A$1:$BA$300,COLUMN(),FALSE)=0,"",VLOOKUP($A67,貼り付け用!$A$1:$BA$300,COLUMN(),FALSE))),"")</f>
        <v/>
      </c>
      <c r="S67" s="45" t="str">
        <f>IF($A67&lt;&gt;"",
IF(COLUMN(貼り付け用!S67)&gt;MATCH("おやつ",貼り付け用!$3:$3,0),"",
IF(VLOOKUP($A67,貼り付け用!$A$1:$BA$300,COLUMN(),FALSE)=0,"",VLOOKUP($A67,貼り付け用!$A$1:$BA$300,COLUMN(),FALSE))),"")</f>
        <v/>
      </c>
      <c r="T67" s="45" t="str">
        <f>IF(COLUMN(貼り付け用!T67)&gt;MATCH("おやつ",貼り付け用!$3:$3,0),"",
IF(VLOOKUP($A67,貼り付け用!$A$1:$BA$300,COLUMN(),FALSE)=0,"",VLOOKUP($A67,貼り付け用!$A$1:$BA$300,COLUMN(),FALSE)))</f>
        <v/>
      </c>
      <c r="U67" s="24"/>
      <c r="V67" s="21" t="str">
        <f>IF(A67&lt;&gt;"",
IF(VLOOKUP($A67,貼り付け用!$A$1:$BA$300,MATCH("おやつ",貼り付け用!$3:$3,0)+1,FALSE)=0,"",VLOOKUP($A67,貼り付け用!$A$1:$BA$300,MATCH("おやつ",貼り付け用!$3:$3,0)+1,FALSE)),"")</f>
        <v/>
      </c>
      <c r="W67" s="50" t="str">
        <f>IF(A67&lt;&gt;"",
IF(VLOOKUP($A67,貼り付け用!$A$1:$BA$300,MATCH("おやつ",貼り付け用!$3:$3,0)+2,FALSE)=0,"",VLOOKUP($A67,貼り付け用!$A$1:$BA$300,MATCH("おやつ",貼り付け用!$3:$3,0)+2,FALSE)),"")</f>
        <v/>
      </c>
    </row>
    <row r="68" spans="1:23" x14ac:dyDescent="0.45">
      <c r="A68" s="10" t="str">
        <f>IF(貼り付け用!$A$6&lt;&gt;"",
IF(ROW(A67)+1&gt;=MATCH("*【合計】*", 貼り付け用!$A:$A, 0),
"",
IF(貼り付け用!A68&lt;&gt;"",貼り付け用!A68,"")),
IF(ROW(A68)+1&gt;=MATCH("*【合計】*", 貼り付け用!$A:$A, 0),
"",
IF(貼り付け用!A69&lt;&gt;"",貼り付け用!A69,"")))</f>
        <v>7100</v>
      </c>
      <c r="B68" s="50" t="str">
        <f>IF($A68&lt;&gt;"",IF(VLOOKUP($A68,貼り付け用!$A$1:$BA$300,COLUMN(),FALSE)=0,"",VLOOKUP($A68,貼り付け用!$A$1:$BA$300,COLUMN(),FALSE)),"")</f>
        <v/>
      </c>
      <c r="C68" s="50" t="str">
        <f>IF($A68&lt;&gt;"",IF(VLOOKUP($A68,貼り付け用!$A$1:$BA$300,COLUMN(),FALSE)=0,"",VLOOKUP($A68,貼り付け用!$A$1:$BA$300,COLUMN(),FALSE)),"")</f>
        <v/>
      </c>
      <c r="D68" s="50" t="str">
        <f>IF($A68&lt;&gt;"",IF(VLOOKUP($A68,貼り付け用!$A$1:$BA$300,COLUMN(),FALSE)=0,"",VLOOKUP($A68,貼り付け用!$A$1:$BA$300,COLUMN(),FALSE)),"")</f>
        <v/>
      </c>
      <c r="E68" s="50" t="str">
        <f>IF($A68&lt;&gt;"",IF(VLOOKUP($A68,貼り付け用!$A$1:$BA$300,COLUMN(),FALSE)=0,"",VLOOKUP($A68,貼り付け用!$A$1:$BA$300,COLUMN(),FALSE)),"")</f>
        <v/>
      </c>
      <c r="F68" s="50" t="str">
        <f>IF($A68&lt;&gt;"",IF(VLOOKUP($A68,貼り付け用!$A$1:$BA$300,COLUMN(),FALSE)=0,"",VLOOKUP($A68,貼り付け用!$A$1:$BA$300,COLUMN(),FALSE)),"")</f>
        <v/>
      </c>
      <c r="G68" s="50" t="str">
        <f>IF($A68&lt;&gt;"",IF(VLOOKUP($A68,貼り付け用!$A$1:$BA$300,COLUMN(),FALSE)=0,"",VLOOKUP($A68,貼り付け用!$A$1:$BA$300,COLUMN(),FALSE)),"")</f>
        <v>13</v>
      </c>
      <c r="H68" s="50" t="str">
        <f>IF($A68&lt;&gt;"",IF(VLOOKUP($A68,貼り付け用!$A$1:$BA$300,COLUMN(),FALSE)=0,"",VLOOKUP($A68,貼り付け用!$A$1:$BA$300,COLUMN(),FALSE)),"")</f>
        <v/>
      </c>
      <c r="I68" s="50" t="str">
        <f>IF($A68&lt;&gt;"",IF(VLOOKUP($A68,貼り付け用!$A$1:$BA$300,COLUMN(),FALSE)=0,"",VLOOKUP($A68,貼り付け用!$A$1:$BA$300,COLUMN(),FALSE)),"")</f>
        <v/>
      </c>
      <c r="J68" s="50" t="str">
        <f>IF($A68&lt;&gt;"",IF(VLOOKUP($A68,貼り付け用!$A$1:$BA$300,COLUMN(),FALSE)=0,"",VLOOKUP($A68,貼り付け用!$A$1:$BA$300,COLUMN(),FALSE)),"")</f>
        <v/>
      </c>
      <c r="K68" s="50" t="str">
        <f>IF($A68&lt;&gt;"",IF(VLOOKUP($A68,貼り付け用!$A$1:$BA$300,COLUMN(),FALSE)=0,"",VLOOKUP($A68,貼り付け用!$A$1:$BA$300,COLUMN(),FALSE)),"")</f>
        <v/>
      </c>
      <c r="L68" s="50" t="str">
        <f>IF($A68&lt;&gt;"",
IF(COLUMN(貼り付け用!L68)&gt;MATCH("おやつ",貼り付け用!$3:$3,0),"",
IF(VLOOKUP($A68,貼り付け用!$A$1:$BA$300,COLUMN(),FALSE)=0,"",VLOOKUP($A68,貼り付け用!$A$1:$BA$300,COLUMN(),FALSE))),"")</f>
        <v/>
      </c>
      <c r="M68" s="50" t="str">
        <f>IF($A68&lt;&gt;"",
IF(COLUMN(貼り付け用!M68)&gt;MATCH("おやつ",貼り付け用!$3:$3,0),"",
IF(VLOOKUP($A68,貼り付け用!$A$1:$BA$300,COLUMN(),FALSE)=0,"",VLOOKUP($A68,貼り付け用!$A$1:$BA$300,COLUMN(),FALSE))),"")</f>
        <v/>
      </c>
      <c r="N68" s="50" t="str">
        <f>IF($A68&lt;&gt;"",
IF(COLUMN(貼り付け用!N68)&gt;MATCH("おやつ",貼り付け用!$3:$3,0),"",
IF(VLOOKUP($A68,貼り付け用!$A$1:$BA$300,COLUMN(),FALSE)=0,"",VLOOKUP($A68,貼り付け用!$A$1:$BA$300,COLUMN(),FALSE))),"")</f>
        <v/>
      </c>
      <c r="O68" s="50" t="str">
        <f>IF($A68&lt;&gt;"",
IF(COLUMN(貼り付け用!O68)&gt;MATCH("おやつ",貼り付け用!$3:$3,0),"",
IF(VLOOKUP($A68,貼り付け用!$A$1:$BA$300,COLUMN(),FALSE)=0,"",VLOOKUP($A68,貼り付け用!$A$1:$BA$300,COLUMN(),FALSE))),"")</f>
        <v/>
      </c>
      <c r="P68" s="50" t="str">
        <f>IF($A68&lt;&gt;"",
IF(COLUMN(貼り付け用!P68)&gt;MATCH("おやつ",貼り付け用!$3:$3,0),"",
IF(VLOOKUP($A68,貼り付け用!$A$1:$BA$300,COLUMN(),FALSE)=0,"",VLOOKUP($A68,貼り付け用!$A$1:$BA$300,COLUMN(),FALSE))),"")</f>
        <v/>
      </c>
      <c r="Q68" s="50" t="str">
        <f>IF($A68&lt;&gt;"",
IF(COLUMN(貼り付け用!Q68)&gt;MATCH("おやつ",貼り付け用!$3:$3,0),"",
IF(VLOOKUP($A68,貼り付け用!$A$1:$BA$300,COLUMN(),FALSE)=0,"",VLOOKUP($A68,貼り付け用!$A$1:$BA$300,COLUMN(),FALSE))),"")</f>
        <v/>
      </c>
      <c r="R68" s="50" t="str">
        <f>IF($A68&lt;&gt;"",
IF(COLUMN(貼り付け用!R68)&gt;MATCH("おやつ",貼り付け用!$3:$3,0),"",
IF(VLOOKUP($A68,貼り付け用!$A$1:$BA$300,COLUMN(),FALSE)=0,"",VLOOKUP($A68,貼り付け用!$A$1:$BA$300,COLUMN(),FALSE))),"")</f>
        <v/>
      </c>
      <c r="S68" s="50" t="str">
        <f>IF($A68&lt;&gt;"",
IF(COLUMN(貼り付け用!S68)&gt;MATCH("おやつ",貼り付け用!$3:$3,0),"",
IF(VLOOKUP($A68,貼り付け用!$A$1:$BA$300,COLUMN(),FALSE)=0,"",VLOOKUP($A68,貼り付け用!$A$1:$BA$300,COLUMN(),FALSE))),"")</f>
        <v/>
      </c>
      <c r="T68" s="50" t="str">
        <f>IF(COLUMN(貼り付け用!T68)&gt;MATCH("おやつ",貼り付け用!$3:$3,0),"",
IF(VLOOKUP($A68,貼り付け用!$A$1:$BA$300,COLUMN(),FALSE)=0,"",VLOOKUP($A68,貼り付け用!$A$1:$BA$300,COLUMN(),FALSE)))</f>
        <v/>
      </c>
      <c r="U68" s="23"/>
      <c r="V68" s="21" t="str">
        <f>IF(A68&lt;&gt;"",
IF(VLOOKUP($A68,貼り付け用!$A$1:$BA$300,MATCH("おやつ",貼り付け用!$3:$3,0)+1,FALSE)=0,"",VLOOKUP($A68,貼り付け用!$A$1:$BA$300,MATCH("おやつ",貼り付け用!$3:$3,0)+1,FALSE)),"")</f>
        <v>ｱﾚ0</v>
      </c>
      <c r="W68" s="50" t="str">
        <f>IF(A68&lt;&gt;"",
IF(VLOOKUP($A68,貼り付け用!$A$1:$BA$300,MATCH("おやつ",貼り付け用!$3:$3,0)+2,FALSE)=0,"",VLOOKUP($A68,貼り付け用!$A$1:$BA$300,MATCH("おやつ",貼り付け用!$3:$3,0)+2,FALSE)),"")</f>
        <v/>
      </c>
    </row>
    <row r="69" spans="1:23" x14ac:dyDescent="0.45">
      <c r="A69" s="22" t="str">
        <f>IF(貼り付け用!$A$6&lt;&gt;"",
IF(ROW(A68)+1&gt;=MATCH("*【合計】*", 貼り付け用!$A:$A, 0),"",
IF(貼り付け用!A69&lt;&gt;"",貼り付け用!A69,"")),
IF(ROW(A69)+1&gt;=MATCH("*【合計】*", 貼り付け用!$A:$A, 0),"",
IF(貼り付け用!A70&lt;&gt;"",貼り付け用!A70,"")))</f>
        <v>バディ博多南校 web</v>
      </c>
      <c r="B69" s="45" t="str">
        <f>IF($A69&lt;&gt;"",IF(VLOOKUP($A69,貼り付け用!$A$1:$BA$300,COLUMN(),FALSE)=0,"",VLOOKUP($A69,貼り付け用!$A$1:$BA$300,COLUMN(),FALSE)),"")</f>
        <v/>
      </c>
      <c r="C69" s="45" t="str">
        <f>IF($A69&lt;&gt;"",IF(VLOOKUP($A69,貼り付け用!$A$1:$BA$300,COLUMN(),FALSE)=0,"",VLOOKUP($A69,貼り付け用!$A$1:$BA$300,COLUMN(),FALSE)),"")</f>
        <v/>
      </c>
      <c r="D69" s="45" t="str">
        <f>IF($A69&lt;&gt;"",IF(VLOOKUP($A69,貼り付け用!$A$1:$BA$300,COLUMN(),FALSE)=0,"",VLOOKUP($A69,貼り付け用!$A$1:$BA$300,COLUMN(),FALSE)),"")</f>
        <v/>
      </c>
      <c r="E69" s="45" t="str">
        <f>IF($A69&lt;&gt;"",IF(VLOOKUP($A69,貼り付け用!$A$1:$BA$300,COLUMN(),FALSE)=0,"",VLOOKUP($A69,貼り付け用!$A$1:$BA$300,COLUMN(),FALSE)),"")</f>
        <v/>
      </c>
      <c r="F69" s="45" t="str">
        <f>IF($A69&lt;&gt;"",IF(VLOOKUP($A69,貼り付け用!$A$1:$BA$300,COLUMN(),FALSE)=0,"",VLOOKUP($A69,貼り付け用!$A$1:$BA$300,COLUMN(),FALSE)),"")</f>
        <v/>
      </c>
      <c r="G69" s="45" t="str">
        <f>IF($A69&lt;&gt;"",IF(VLOOKUP($A69,貼り付け用!$A$1:$BA$300,COLUMN(),FALSE)=0,"",VLOOKUP($A69,貼り付け用!$A$1:$BA$300,COLUMN(),FALSE)),"")</f>
        <v/>
      </c>
      <c r="H69" s="45" t="str">
        <f>IF($A69&lt;&gt;"",IF(VLOOKUP($A69,貼り付け用!$A$1:$BA$300,COLUMN(),FALSE)=0,"",VLOOKUP($A69,貼り付け用!$A$1:$BA$300,COLUMN(),FALSE)),"")</f>
        <v/>
      </c>
      <c r="I69" s="45" t="str">
        <f>IF($A69&lt;&gt;"",IF(VLOOKUP($A69,貼り付け用!$A$1:$BA$300,COLUMN(),FALSE)=0,"",VLOOKUP($A69,貼り付け用!$A$1:$BA$300,COLUMN(),FALSE)),"")</f>
        <v/>
      </c>
      <c r="J69" s="45" t="str">
        <f>IF($A69&lt;&gt;"",IF(VLOOKUP($A69,貼り付け用!$A$1:$BA$300,COLUMN(),FALSE)=0,"",VLOOKUP($A69,貼り付け用!$A$1:$BA$300,COLUMN(),FALSE)),"")</f>
        <v/>
      </c>
      <c r="K69" s="45" t="str">
        <f>IF($A69&lt;&gt;"",IF(VLOOKUP($A69,貼り付け用!$A$1:$BA$300,COLUMN(),FALSE)=0,"",VLOOKUP($A69,貼り付け用!$A$1:$BA$300,COLUMN(),FALSE)),"")</f>
        <v/>
      </c>
      <c r="L69" s="45" t="str">
        <f>IF($A69&lt;&gt;"",
IF(COLUMN(貼り付け用!L69)&gt;MATCH("おやつ",貼り付け用!$3:$3,0),"",
IF(VLOOKUP($A69,貼り付け用!$A$1:$BA$300,COLUMN(),FALSE)=0,"",VLOOKUP($A69,貼り付け用!$A$1:$BA$300,COLUMN(),FALSE))),"")</f>
        <v/>
      </c>
      <c r="M69" s="45" t="str">
        <f>IF($A69&lt;&gt;"",
IF(COLUMN(貼り付け用!M69)&gt;MATCH("おやつ",貼り付け用!$3:$3,0),"",
IF(VLOOKUP($A69,貼り付け用!$A$1:$BA$300,COLUMN(),FALSE)=0,"",VLOOKUP($A69,貼り付け用!$A$1:$BA$300,COLUMN(),FALSE))),"")</f>
        <v/>
      </c>
      <c r="N69" s="45" t="str">
        <f>IF($A69&lt;&gt;"",
IF(COLUMN(貼り付け用!N69)&gt;MATCH("おやつ",貼り付け用!$3:$3,0),"",
IF(VLOOKUP($A69,貼り付け用!$A$1:$BA$300,COLUMN(),FALSE)=0,"",VLOOKUP($A69,貼り付け用!$A$1:$BA$300,COLUMN(),FALSE))),"")</f>
        <v/>
      </c>
      <c r="O69" s="45" t="str">
        <f>IF($A69&lt;&gt;"",
IF(COLUMN(貼り付け用!O69)&gt;MATCH("おやつ",貼り付け用!$3:$3,0),"",
IF(VLOOKUP($A69,貼り付け用!$A$1:$BA$300,COLUMN(),FALSE)=0,"",VLOOKUP($A69,貼り付け用!$A$1:$BA$300,COLUMN(),FALSE))),"")</f>
        <v/>
      </c>
      <c r="P69" s="45" t="str">
        <f>IF($A69&lt;&gt;"",
IF(COLUMN(貼り付け用!P69)&gt;MATCH("おやつ",貼り付け用!$3:$3,0),"",
IF(VLOOKUP($A69,貼り付け用!$A$1:$BA$300,COLUMN(),FALSE)=0,"",VLOOKUP($A69,貼り付け用!$A$1:$BA$300,COLUMN(),FALSE))),"")</f>
        <v/>
      </c>
      <c r="Q69" s="45" t="str">
        <f>IF($A69&lt;&gt;"",
IF(COLUMN(貼り付け用!Q69)&gt;MATCH("おやつ",貼り付け用!$3:$3,0),"",
IF(VLOOKUP($A69,貼り付け用!$A$1:$BA$300,COLUMN(),FALSE)=0,"",VLOOKUP($A69,貼り付け用!$A$1:$BA$300,COLUMN(),FALSE))),"")</f>
        <v/>
      </c>
      <c r="R69" s="45" t="str">
        <f>IF($A69&lt;&gt;"",
IF(COLUMN(貼り付け用!R69)&gt;MATCH("おやつ",貼り付け用!$3:$3,0),"",
IF(VLOOKUP($A69,貼り付け用!$A$1:$BA$300,COLUMN(),FALSE)=0,"",VLOOKUP($A69,貼り付け用!$A$1:$BA$300,COLUMN(),FALSE))),"")</f>
        <v/>
      </c>
      <c r="S69" s="45" t="str">
        <f>IF($A69&lt;&gt;"",
IF(COLUMN(貼り付け用!S69)&gt;MATCH("おやつ",貼り付け用!$3:$3,0),"",
IF(VLOOKUP($A69,貼り付け用!$A$1:$BA$300,COLUMN(),FALSE)=0,"",VLOOKUP($A69,貼り付け用!$A$1:$BA$300,COLUMN(),FALSE))),"")</f>
        <v/>
      </c>
      <c r="T69" s="45" t="str">
        <f>IF(COLUMN(貼り付け用!T69)&gt;MATCH("おやつ",貼り付け用!$3:$3,0),"",
IF(VLOOKUP($A69,貼り付け用!$A$1:$BA$300,COLUMN(),FALSE)=0,"",VLOOKUP($A69,貼り付け用!$A$1:$BA$300,COLUMN(),FALSE)))</f>
        <v/>
      </c>
      <c r="U69" s="24"/>
      <c r="V69" s="21" t="str">
        <f>IF(A69&lt;&gt;"",
IF(VLOOKUP($A69,貼り付け用!$A$1:$BA$300,MATCH("おやつ",貼り付け用!$3:$3,0)+1,FALSE)=0,"",VLOOKUP($A69,貼り付け用!$A$1:$BA$300,MATCH("おやつ",貼り付け用!$3:$3,0)+1,FALSE)),"")</f>
        <v/>
      </c>
      <c r="W69" s="50" t="str">
        <f>IF(A69&lt;&gt;"",
IF(VLOOKUP($A69,貼り付け用!$A$1:$BA$300,MATCH("おやつ",貼り付け用!$3:$3,0)+2,FALSE)=0,"",VLOOKUP($A69,貼り付け用!$A$1:$BA$300,MATCH("おやつ",貼り付け用!$3:$3,0)+2,FALSE)),"")</f>
        <v/>
      </c>
    </row>
    <row r="70" spans="1:23" x14ac:dyDescent="0.45">
      <c r="A70" s="10" t="str">
        <f>IF(貼り付け用!$A$6&lt;&gt;"",
IF(ROW(A69)+1&gt;=MATCH("*【合計】*", 貼り付け用!$A:$A, 0),
"",
IF(貼り付け用!A70&lt;&gt;"",貼り付け用!A70,"")),
IF(ROW(A70)+1&gt;=MATCH("*【合計】*", 貼り付け用!$A:$A, 0),
"",
IF(貼り付け用!A71&lt;&gt;"",貼り付け用!A71,"")))</f>
        <v>7103</v>
      </c>
      <c r="B70" s="50" t="str">
        <f>IF($A70&lt;&gt;"",IF(VLOOKUP($A70,貼り付け用!$A$1:$BA$300,COLUMN(),FALSE)=0,"",VLOOKUP($A70,貼り付け用!$A$1:$BA$300,COLUMN(),FALSE)),"")</f>
        <v/>
      </c>
      <c r="C70" s="50" t="str">
        <f>IF($A70&lt;&gt;"",IF(VLOOKUP($A70,貼り付け用!$A$1:$BA$300,COLUMN(),FALSE)=0,"",VLOOKUP($A70,貼り付け用!$A$1:$BA$300,COLUMN(),FALSE)),"")</f>
        <v/>
      </c>
      <c r="D70" s="50" t="str">
        <f>IF($A70&lt;&gt;"",IF(VLOOKUP($A70,貼り付け用!$A$1:$BA$300,COLUMN(),FALSE)=0,"",VLOOKUP($A70,貼り付け用!$A$1:$BA$300,COLUMN(),FALSE)),"")</f>
        <v/>
      </c>
      <c r="E70" s="50" t="str">
        <f>IF($A70&lt;&gt;"",IF(VLOOKUP($A70,貼り付け用!$A$1:$BA$300,COLUMN(),FALSE)=0,"",VLOOKUP($A70,貼り付け用!$A$1:$BA$300,COLUMN(),FALSE)),"")</f>
        <v/>
      </c>
      <c r="F70" s="50" t="str">
        <f>IF($A70&lt;&gt;"",IF(VLOOKUP($A70,貼り付け用!$A$1:$BA$300,COLUMN(),FALSE)=0,"",VLOOKUP($A70,貼り付け用!$A$1:$BA$300,COLUMN(),FALSE)),"")</f>
        <v/>
      </c>
      <c r="G70" s="50" t="str">
        <f>IF($A70&lt;&gt;"",IF(VLOOKUP($A70,貼り付け用!$A$1:$BA$300,COLUMN(),FALSE)=0,"",VLOOKUP($A70,貼り付け用!$A$1:$BA$300,COLUMN(),FALSE)),"")</f>
        <v>25</v>
      </c>
      <c r="H70" s="50" t="str">
        <f>IF($A70&lt;&gt;"",IF(VLOOKUP($A70,貼り付け用!$A$1:$BA$300,COLUMN(),FALSE)=0,"",VLOOKUP($A70,貼り付け用!$A$1:$BA$300,COLUMN(),FALSE)),"")</f>
        <v/>
      </c>
      <c r="I70" s="50" t="str">
        <f>IF($A70&lt;&gt;"",IF(VLOOKUP($A70,貼り付け用!$A$1:$BA$300,COLUMN(),FALSE)=0,"",VLOOKUP($A70,貼り付け用!$A$1:$BA$300,COLUMN(),FALSE)),"")</f>
        <v/>
      </c>
      <c r="J70" s="50" t="str">
        <f>IF($A70&lt;&gt;"",IF(VLOOKUP($A70,貼り付け用!$A$1:$BA$300,COLUMN(),FALSE)=0,"",VLOOKUP($A70,貼り付け用!$A$1:$BA$300,COLUMN(),FALSE)),"")</f>
        <v/>
      </c>
      <c r="K70" s="50" t="str">
        <f>IF($A70&lt;&gt;"",IF(VLOOKUP($A70,貼り付け用!$A$1:$BA$300,COLUMN(),FALSE)=0,"",VLOOKUP($A70,貼り付け用!$A$1:$BA$300,COLUMN(),FALSE)),"")</f>
        <v/>
      </c>
      <c r="L70" s="50" t="str">
        <f>IF($A70&lt;&gt;"",
IF(COLUMN(貼り付け用!L70)&gt;MATCH("おやつ",貼り付け用!$3:$3,0),"",
IF(VLOOKUP($A70,貼り付け用!$A$1:$BA$300,COLUMN(),FALSE)=0,"",VLOOKUP($A70,貼り付け用!$A$1:$BA$300,COLUMN(),FALSE))),"")</f>
        <v/>
      </c>
      <c r="M70" s="50" t="str">
        <f>IF($A70&lt;&gt;"",
IF(COLUMN(貼り付け用!M70)&gt;MATCH("おやつ",貼り付け用!$3:$3,0),"",
IF(VLOOKUP($A70,貼り付け用!$A$1:$BA$300,COLUMN(),FALSE)=0,"",VLOOKUP($A70,貼り付け用!$A$1:$BA$300,COLUMN(),FALSE))),"")</f>
        <v/>
      </c>
      <c r="N70" s="50" t="str">
        <f>IF($A70&lt;&gt;"",
IF(COLUMN(貼り付け用!N70)&gt;MATCH("おやつ",貼り付け用!$3:$3,0),"",
IF(VLOOKUP($A70,貼り付け用!$A$1:$BA$300,COLUMN(),FALSE)=0,"",VLOOKUP($A70,貼り付け用!$A$1:$BA$300,COLUMN(),FALSE))),"")</f>
        <v/>
      </c>
      <c r="O70" s="50" t="str">
        <f>IF($A70&lt;&gt;"",
IF(COLUMN(貼り付け用!O70)&gt;MATCH("おやつ",貼り付け用!$3:$3,0),"",
IF(VLOOKUP($A70,貼り付け用!$A$1:$BA$300,COLUMN(),FALSE)=0,"",VLOOKUP($A70,貼り付け用!$A$1:$BA$300,COLUMN(),FALSE))),"")</f>
        <v/>
      </c>
      <c r="P70" s="50" t="str">
        <f>IF($A70&lt;&gt;"",
IF(COLUMN(貼り付け用!P70)&gt;MATCH("おやつ",貼り付け用!$3:$3,0),"",
IF(VLOOKUP($A70,貼り付け用!$A$1:$BA$300,COLUMN(),FALSE)=0,"",VLOOKUP($A70,貼り付け用!$A$1:$BA$300,COLUMN(),FALSE))),"")</f>
        <v/>
      </c>
      <c r="Q70" s="50" t="str">
        <f>IF($A70&lt;&gt;"",
IF(COLUMN(貼り付け用!Q70)&gt;MATCH("おやつ",貼り付け用!$3:$3,0),"",
IF(VLOOKUP($A70,貼り付け用!$A$1:$BA$300,COLUMN(),FALSE)=0,"",VLOOKUP($A70,貼り付け用!$A$1:$BA$300,COLUMN(),FALSE))),"")</f>
        <v/>
      </c>
      <c r="R70" s="50" t="str">
        <f>IF($A70&lt;&gt;"",
IF(COLUMN(貼り付け用!R70)&gt;MATCH("おやつ",貼り付け用!$3:$3,0),"",
IF(VLOOKUP($A70,貼り付け用!$A$1:$BA$300,COLUMN(),FALSE)=0,"",VLOOKUP($A70,貼り付け用!$A$1:$BA$300,COLUMN(),FALSE))),"")</f>
        <v/>
      </c>
      <c r="S70" s="50" t="str">
        <f>IF($A70&lt;&gt;"",
IF(COLUMN(貼り付け用!S70)&gt;MATCH("おやつ",貼り付け用!$3:$3,0),"",
IF(VLOOKUP($A70,貼り付け用!$A$1:$BA$300,COLUMN(),FALSE)=0,"",VLOOKUP($A70,貼り付け用!$A$1:$BA$300,COLUMN(),FALSE))),"")</f>
        <v/>
      </c>
      <c r="T70" s="50" t="str">
        <f>IF(COLUMN(貼り付け用!T70)&gt;MATCH("おやつ",貼り付け用!$3:$3,0),"",
IF(VLOOKUP($A70,貼り付け用!$A$1:$BA$300,COLUMN(),FALSE)=0,"",VLOOKUP($A70,貼り付け用!$A$1:$BA$300,COLUMN(),FALSE)))</f>
        <v/>
      </c>
      <c r="U70" s="23"/>
      <c r="V70" s="21" t="str">
        <f>IF(A70&lt;&gt;"",
IF(VLOOKUP($A70,貼り付け用!$A$1:$BA$300,MATCH("おやつ",貼り付け用!$3:$3,0)+1,FALSE)=0,"",VLOOKUP($A70,貼り付け用!$A$1:$BA$300,MATCH("おやつ",貼り付け用!$3:$3,0)+1,FALSE)),"")</f>
        <v>おかわり用保温箱2K×1</v>
      </c>
      <c r="W70" s="50" t="str">
        <f>IF(A70&lt;&gt;"",
IF(VLOOKUP($A70,貼り付け用!$A$1:$BA$300,MATCH("おやつ",貼り付け用!$3:$3,0)+2,FALSE)=0,"",VLOOKUP($A70,貼り付け用!$A$1:$BA$300,MATCH("おやつ",貼り付け用!$3:$3,0)+2,FALSE)),"")</f>
        <v/>
      </c>
    </row>
    <row r="71" spans="1:23" x14ac:dyDescent="0.45">
      <c r="A71" s="22" t="str">
        <f>IF(貼り付け用!$A$6&lt;&gt;"",
IF(ROW(A70)+1&gt;=MATCH("*【合計】*", 貼り付け用!$A:$A, 0),"",
IF(貼り付け用!A71&lt;&gt;"",貼り付け用!A71,"")),
IF(ROW(A71)+1&gt;=MATCH("*【合計】*", 貼り付け用!$A:$A, 0),"",
IF(貼り付け用!A72&lt;&gt;"",貼り付け用!A72,"")))</f>
        <v>バディ博多南校 2号</v>
      </c>
      <c r="B71" s="45" t="str">
        <f>IF($A71&lt;&gt;"",IF(VLOOKUP($A71,貼り付け用!$A$1:$BA$300,COLUMN(),FALSE)=0,"",VLOOKUP($A71,貼り付け用!$A$1:$BA$300,COLUMN(),FALSE)),"")</f>
        <v/>
      </c>
      <c r="C71" s="45" t="str">
        <f>IF($A71&lt;&gt;"",IF(VLOOKUP($A71,貼り付け用!$A$1:$BA$300,COLUMN(),FALSE)=0,"",VLOOKUP($A71,貼り付け用!$A$1:$BA$300,COLUMN(),FALSE)),"")</f>
        <v/>
      </c>
      <c r="D71" s="45" t="str">
        <f>IF($A71&lt;&gt;"",IF(VLOOKUP($A71,貼り付け用!$A$1:$BA$300,COLUMN(),FALSE)=0,"",VLOOKUP($A71,貼り付け用!$A$1:$BA$300,COLUMN(),FALSE)),"")</f>
        <v/>
      </c>
      <c r="E71" s="45" t="str">
        <f>IF($A71&lt;&gt;"",IF(VLOOKUP($A71,貼り付け用!$A$1:$BA$300,COLUMN(),FALSE)=0,"",VLOOKUP($A71,貼り付け用!$A$1:$BA$300,COLUMN(),FALSE)),"")</f>
        <v/>
      </c>
      <c r="F71" s="45" t="str">
        <f>IF($A71&lt;&gt;"",IF(VLOOKUP($A71,貼り付け用!$A$1:$BA$300,COLUMN(),FALSE)=0,"",VLOOKUP($A71,貼り付け用!$A$1:$BA$300,COLUMN(),FALSE)),"")</f>
        <v/>
      </c>
      <c r="G71" s="45" t="str">
        <f>IF($A71&lt;&gt;"",IF(VLOOKUP($A71,貼り付け用!$A$1:$BA$300,COLUMN(),FALSE)=0,"",VLOOKUP($A71,貼り付け用!$A$1:$BA$300,COLUMN(),FALSE)),"")</f>
        <v/>
      </c>
      <c r="H71" s="45" t="str">
        <f>IF($A71&lt;&gt;"",IF(VLOOKUP($A71,貼り付け用!$A$1:$BA$300,COLUMN(),FALSE)=0,"",VLOOKUP($A71,貼り付け用!$A$1:$BA$300,COLUMN(),FALSE)),"")</f>
        <v/>
      </c>
      <c r="I71" s="45" t="str">
        <f>IF($A71&lt;&gt;"",IF(VLOOKUP($A71,貼り付け用!$A$1:$BA$300,COLUMN(),FALSE)=0,"",VLOOKUP($A71,貼り付け用!$A$1:$BA$300,COLUMN(),FALSE)),"")</f>
        <v/>
      </c>
      <c r="J71" s="45" t="str">
        <f>IF($A71&lt;&gt;"",IF(VLOOKUP($A71,貼り付け用!$A$1:$BA$300,COLUMN(),FALSE)=0,"",VLOOKUP($A71,貼り付け用!$A$1:$BA$300,COLUMN(),FALSE)),"")</f>
        <v/>
      </c>
      <c r="K71" s="45" t="str">
        <f>IF($A71&lt;&gt;"",IF(VLOOKUP($A71,貼り付け用!$A$1:$BA$300,COLUMN(),FALSE)=0,"",VLOOKUP($A71,貼り付け用!$A$1:$BA$300,COLUMN(),FALSE)),"")</f>
        <v/>
      </c>
      <c r="L71" s="45" t="str">
        <f>IF($A71&lt;&gt;"",
IF(COLUMN(貼り付け用!L71)&gt;MATCH("おやつ",貼り付け用!$3:$3,0),"",
IF(VLOOKUP($A71,貼り付け用!$A$1:$BA$300,COLUMN(),FALSE)=0,"",VLOOKUP($A71,貼り付け用!$A$1:$BA$300,COLUMN(),FALSE))),"")</f>
        <v/>
      </c>
      <c r="M71" s="45" t="str">
        <f>IF($A71&lt;&gt;"",
IF(COLUMN(貼り付け用!M71)&gt;MATCH("おやつ",貼り付け用!$3:$3,0),"",
IF(VLOOKUP($A71,貼り付け用!$A$1:$BA$300,COLUMN(),FALSE)=0,"",VLOOKUP($A71,貼り付け用!$A$1:$BA$300,COLUMN(),FALSE))),"")</f>
        <v/>
      </c>
      <c r="N71" s="45" t="str">
        <f>IF($A71&lt;&gt;"",
IF(COLUMN(貼り付け用!N71)&gt;MATCH("おやつ",貼り付け用!$3:$3,0),"",
IF(VLOOKUP($A71,貼り付け用!$A$1:$BA$300,COLUMN(),FALSE)=0,"",VLOOKUP($A71,貼り付け用!$A$1:$BA$300,COLUMN(),FALSE))),"")</f>
        <v/>
      </c>
      <c r="O71" s="45" t="str">
        <f>IF($A71&lt;&gt;"",
IF(COLUMN(貼り付け用!O71)&gt;MATCH("おやつ",貼り付け用!$3:$3,0),"",
IF(VLOOKUP($A71,貼り付け用!$A$1:$BA$300,COLUMN(),FALSE)=0,"",VLOOKUP($A71,貼り付け用!$A$1:$BA$300,COLUMN(),FALSE))),"")</f>
        <v/>
      </c>
      <c r="P71" s="45" t="str">
        <f>IF($A71&lt;&gt;"",
IF(COLUMN(貼り付け用!P71)&gt;MATCH("おやつ",貼り付け用!$3:$3,0),"",
IF(VLOOKUP($A71,貼り付け用!$A$1:$BA$300,COLUMN(),FALSE)=0,"",VLOOKUP($A71,貼り付け用!$A$1:$BA$300,COLUMN(),FALSE))),"")</f>
        <v/>
      </c>
      <c r="Q71" s="45" t="str">
        <f>IF($A71&lt;&gt;"",
IF(COLUMN(貼り付け用!Q71)&gt;MATCH("おやつ",貼り付け用!$3:$3,0),"",
IF(VLOOKUP($A71,貼り付け用!$A$1:$BA$300,COLUMN(),FALSE)=0,"",VLOOKUP($A71,貼り付け用!$A$1:$BA$300,COLUMN(),FALSE))),"")</f>
        <v/>
      </c>
      <c r="R71" s="45" t="str">
        <f>IF($A71&lt;&gt;"",
IF(COLUMN(貼り付け用!R71)&gt;MATCH("おやつ",貼り付け用!$3:$3,0),"",
IF(VLOOKUP($A71,貼り付け用!$A$1:$BA$300,COLUMN(),FALSE)=0,"",VLOOKUP($A71,貼り付け用!$A$1:$BA$300,COLUMN(),FALSE))),"")</f>
        <v/>
      </c>
      <c r="S71" s="45" t="str">
        <f>IF($A71&lt;&gt;"",
IF(COLUMN(貼り付け用!S71)&gt;MATCH("おやつ",貼り付け用!$3:$3,0),"",
IF(VLOOKUP($A71,貼り付け用!$A$1:$BA$300,COLUMN(),FALSE)=0,"",VLOOKUP($A71,貼り付け用!$A$1:$BA$300,COLUMN(),FALSE))),"")</f>
        <v/>
      </c>
      <c r="T71" s="45" t="str">
        <f>IF(COLUMN(貼り付け用!T71)&gt;MATCH("おやつ",貼り付け用!$3:$3,0),"",
IF(VLOOKUP($A71,貼り付け用!$A$1:$BA$300,COLUMN(),FALSE)=0,"",VLOOKUP($A71,貼り付け用!$A$1:$BA$300,COLUMN(),FALSE)))</f>
        <v/>
      </c>
      <c r="U71" s="24"/>
      <c r="V71" s="21" t="str">
        <f>IF(A71&lt;&gt;"",
IF(VLOOKUP($A71,貼り付け用!$A$1:$BA$300,MATCH("おやつ",貼り付け用!$3:$3,0)+1,FALSE)=0,"",VLOOKUP($A71,貼り付け用!$A$1:$BA$300,MATCH("おやつ",貼り付け用!$3:$3,0)+1,FALSE)),"")</f>
        <v/>
      </c>
      <c r="W71" s="50" t="str">
        <f>IF(A71&lt;&gt;"",
IF(VLOOKUP($A71,貼り付け用!$A$1:$BA$300,MATCH("おやつ",貼り付け用!$3:$3,0)+2,FALSE)=0,"",VLOOKUP($A71,貼り付け用!$A$1:$BA$300,MATCH("おやつ",貼り付け用!$3:$3,0)+2,FALSE)),"")</f>
        <v/>
      </c>
    </row>
    <row r="72" spans="1:23" x14ac:dyDescent="0.45">
      <c r="A72" s="10" t="str">
        <f>IF(貼り付け用!$A$6&lt;&gt;"",
IF(ROW(A71)+1&gt;=MATCH("*【合計】*", 貼り付け用!$A:$A, 0),
"",
IF(貼り付け用!A72&lt;&gt;"",貼り付け用!A72,"")),
IF(ROW(A72)+1&gt;=MATCH("*【合計】*", 貼り付け用!$A:$A, 0),
"",
IF(貼り付け用!A73&lt;&gt;"",貼り付け用!A73,"")))</f>
        <v>20700</v>
      </c>
      <c r="B72" s="50" t="str">
        <f>IF($A72&lt;&gt;"",IF(VLOOKUP($A72,貼り付け用!$A$1:$BA$300,COLUMN(),FALSE)=0,"",VLOOKUP($A72,貼り付け用!$A$1:$BA$300,COLUMN(),FALSE)),"")</f>
        <v/>
      </c>
      <c r="C72" s="50" t="str">
        <f>IF($A72&lt;&gt;"",IF(VLOOKUP($A72,貼り付け用!$A$1:$BA$300,COLUMN(),FALSE)=0,"",VLOOKUP($A72,貼り付け用!$A$1:$BA$300,COLUMN(),FALSE)),"")</f>
        <v/>
      </c>
      <c r="D72" s="50" t="str">
        <f>IF($A72&lt;&gt;"",IF(VLOOKUP($A72,貼り付け用!$A$1:$BA$300,COLUMN(),FALSE)=0,"",VLOOKUP($A72,貼り付け用!$A$1:$BA$300,COLUMN(),FALSE)),"")</f>
        <v>14</v>
      </c>
      <c r="E72" s="50" t="str">
        <f>IF($A72&lt;&gt;"",IF(VLOOKUP($A72,貼り付け用!$A$1:$BA$300,COLUMN(),FALSE)=0,"",VLOOKUP($A72,貼り付け用!$A$1:$BA$300,COLUMN(),FALSE)),"")</f>
        <v/>
      </c>
      <c r="F72" s="50" t="str">
        <f>IF($A72&lt;&gt;"",IF(VLOOKUP($A72,貼り付け用!$A$1:$BA$300,COLUMN(),FALSE)=0,"",VLOOKUP($A72,貼り付け用!$A$1:$BA$300,COLUMN(),FALSE)),"")</f>
        <v/>
      </c>
      <c r="G72" s="50" t="str">
        <f>IF($A72&lt;&gt;"",IF(VLOOKUP($A72,貼り付け用!$A$1:$BA$300,COLUMN(),FALSE)=0,"",VLOOKUP($A72,貼り付け用!$A$1:$BA$300,COLUMN(),FALSE)),"")</f>
        <v/>
      </c>
      <c r="H72" s="50" t="str">
        <f>IF($A72&lt;&gt;"",IF(VLOOKUP($A72,貼り付け用!$A$1:$BA$300,COLUMN(),FALSE)=0,"",VLOOKUP($A72,貼り付け用!$A$1:$BA$300,COLUMN(),FALSE)),"")</f>
        <v/>
      </c>
      <c r="I72" s="50" t="str">
        <f>IF($A72&lt;&gt;"",IF(VLOOKUP($A72,貼り付け用!$A$1:$BA$300,COLUMN(),FALSE)=0,"",VLOOKUP($A72,貼り付け用!$A$1:$BA$300,COLUMN(),FALSE)),"")</f>
        <v/>
      </c>
      <c r="J72" s="50" t="str">
        <f>IF($A72&lt;&gt;"",IF(VLOOKUP($A72,貼り付け用!$A$1:$BA$300,COLUMN(),FALSE)=0,"",VLOOKUP($A72,貼り付け用!$A$1:$BA$300,COLUMN(),FALSE)),"")</f>
        <v/>
      </c>
      <c r="K72" s="50" t="str">
        <f>IF($A72&lt;&gt;"",IF(VLOOKUP($A72,貼り付け用!$A$1:$BA$300,COLUMN(),FALSE)=0,"",VLOOKUP($A72,貼り付け用!$A$1:$BA$300,COLUMN(),FALSE)),"")</f>
        <v/>
      </c>
      <c r="L72" s="50" t="str">
        <f>IF($A72&lt;&gt;"",
IF(COLUMN(貼り付け用!L72)&gt;MATCH("おやつ",貼り付け用!$3:$3,0),"",
IF(VLOOKUP($A72,貼り付け用!$A$1:$BA$300,COLUMN(),FALSE)=0,"",VLOOKUP($A72,貼り付け用!$A$1:$BA$300,COLUMN(),FALSE))),"")</f>
        <v/>
      </c>
      <c r="M72" s="50" t="str">
        <f>IF($A72&lt;&gt;"",
IF(COLUMN(貼り付け用!M72)&gt;MATCH("おやつ",貼り付け用!$3:$3,0),"",
IF(VLOOKUP($A72,貼り付け用!$A$1:$BA$300,COLUMN(),FALSE)=0,"",VLOOKUP($A72,貼り付け用!$A$1:$BA$300,COLUMN(),FALSE))),"")</f>
        <v/>
      </c>
      <c r="N72" s="50" t="str">
        <f>IF($A72&lt;&gt;"",
IF(COLUMN(貼り付け用!N72)&gt;MATCH("おやつ",貼り付け用!$3:$3,0),"",
IF(VLOOKUP($A72,貼り付け用!$A$1:$BA$300,COLUMN(),FALSE)=0,"",VLOOKUP($A72,貼り付け用!$A$1:$BA$300,COLUMN(),FALSE))),"")</f>
        <v/>
      </c>
      <c r="O72" s="50" t="str">
        <f>IF($A72&lt;&gt;"",
IF(COLUMN(貼り付け用!O72)&gt;MATCH("おやつ",貼り付け用!$3:$3,0),"",
IF(VLOOKUP($A72,貼り付け用!$A$1:$BA$300,COLUMN(),FALSE)=0,"",VLOOKUP($A72,貼り付け用!$A$1:$BA$300,COLUMN(),FALSE))),"")</f>
        <v/>
      </c>
      <c r="P72" s="50" t="str">
        <f>IF($A72&lt;&gt;"",
IF(COLUMN(貼り付け用!P72)&gt;MATCH("おやつ",貼り付け用!$3:$3,0),"",
IF(VLOOKUP($A72,貼り付け用!$A$1:$BA$300,COLUMN(),FALSE)=0,"",VLOOKUP($A72,貼り付け用!$A$1:$BA$300,COLUMN(),FALSE))),"")</f>
        <v/>
      </c>
      <c r="Q72" s="50" t="str">
        <f>IF($A72&lt;&gt;"",
IF(COLUMN(貼り付け用!Q72)&gt;MATCH("おやつ",貼り付け用!$3:$3,0),"",
IF(VLOOKUP($A72,貼り付け用!$A$1:$BA$300,COLUMN(),FALSE)=0,"",VLOOKUP($A72,貼り付け用!$A$1:$BA$300,COLUMN(),FALSE))),"")</f>
        <v/>
      </c>
      <c r="R72" s="50" t="str">
        <f>IF($A72&lt;&gt;"",
IF(COLUMN(貼り付け用!R72)&gt;MATCH("おやつ",貼り付け用!$3:$3,0),"",
IF(VLOOKUP($A72,貼り付け用!$A$1:$BA$300,COLUMN(),FALSE)=0,"",VLOOKUP($A72,貼り付け用!$A$1:$BA$300,COLUMN(),FALSE))),"")</f>
        <v/>
      </c>
      <c r="S72" s="50" t="str">
        <f>IF($A72&lt;&gt;"",
IF(COLUMN(貼り付け用!S72)&gt;MATCH("おやつ",貼り付け用!$3:$3,0),"",
IF(VLOOKUP($A72,貼り付け用!$A$1:$BA$300,COLUMN(),FALSE)=0,"",VLOOKUP($A72,貼り付け用!$A$1:$BA$300,COLUMN(),FALSE))),"")</f>
        <v/>
      </c>
      <c r="T72" s="50" t="str">
        <f>IF(COLUMN(貼り付け用!T72)&gt;MATCH("おやつ",貼り付け用!$3:$3,0),"",
IF(VLOOKUP($A72,貼り付け用!$A$1:$BA$300,COLUMN(),FALSE)=0,"",VLOOKUP($A72,貼り付け用!$A$1:$BA$300,COLUMN(),FALSE)))</f>
        <v/>
      </c>
      <c r="U72" s="23"/>
      <c r="V72" s="21" t="str">
        <f>IF(A72&lt;&gt;"",
IF(VLOOKUP($A72,貼り付け用!$A$1:$BA$300,MATCH("おやつ",貼り付け用!$3:$3,0)+1,FALSE)=0,"",VLOOKUP($A72,貼り付け用!$A$1:$BA$300,MATCH("おやつ",貼り付け用!$3:$3,0)+1,FALSE)),"")</f>
        <v/>
      </c>
      <c r="W72" s="50" t="str">
        <f>IF(A72&lt;&gt;"",
IF(VLOOKUP($A72,貼り付け用!$A$1:$BA$300,MATCH("おやつ",貼り付け用!$3:$3,0)+2,FALSE)=0,"",VLOOKUP($A72,貼り付け用!$A$1:$BA$300,MATCH("おやつ",貼り付け用!$3:$3,0)+2,FALSE)),"")</f>
        <v/>
      </c>
    </row>
    <row r="73" spans="1:23" x14ac:dyDescent="0.45">
      <c r="A73" s="22" t="str">
        <f>IF(貼り付け用!$A$6&lt;&gt;"",
IF(ROW(A72)+1&gt;=MATCH("*【合計】*", 貼り付け用!$A:$A, 0),"",
IF(貼り付け用!A73&lt;&gt;"",貼り付け用!A73,"")),
IF(ROW(A73)+1&gt;=MATCH("*【合計】*", 貼り付け用!$A:$A, 0),"",
IF(貼り付け用!A74&lt;&gt;"",貼り付け用!A74,"")))</f>
        <v>つるた保育園</v>
      </c>
      <c r="B73" s="45" t="str">
        <f>IF($A73&lt;&gt;"",IF(VLOOKUP($A73,貼り付け用!$A$1:$BA$300,COLUMN(),FALSE)=0,"",VLOOKUP($A73,貼り付け用!$A$1:$BA$300,COLUMN(),FALSE)),"")</f>
        <v/>
      </c>
      <c r="C73" s="45" t="str">
        <f>IF($A73&lt;&gt;"",IF(VLOOKUP($A73,貼り付け用!$A$1:$BA$300,COLUMN(),FALSE)=0,"",VLOOKUP($A73,貼り付け用!$A$1:$BA$300,COLUMN(),FALSE)),"")</f>
        <v/>
      </c>
      <c r="D73" s="45" t="str">
        <f>IF($A73&lt;&gt;"",IF(VLOOKUP($A73,貼り付け用!$A$1:$BA$300,COLUMN(),FALSE)=0,"",VLOOKUP($A73,貼り付け用!$A$1:$BA$300,COLUMN(),FALSE)),"")</f>
        <v/>
      </c>
      <c r="E73" s="45" t="str">
        <f>IF($A73&lt;&gt;"",IF(VLOOKUP($A73,貼り付け用!$A$1:$BA$300,COLUMN(),FALSE)=0,"",VLOOKUP($A73,貼り付け用!$A$1:$BA$300,COLUMN(),FALSE)),"")</f>
        <v/>
      </c>
      <c r="F73" s="45" t="str">
        <f>IF($A73&lt;&gt;"",IF(VLOOKUP($A73,貼り付け用!$A$1:$BA$300,COLUMN(),FALSE)=0,"",VLOOKUP($A73,貼り付け用!$A$1:$BA$300,COLUMN(),FALSE)),"")</f>
        <v/>
      </c>
      <c r="G73" s="45" t="str">
        <f>IF($A73&lt;&gt;"",IF(VLOOKUP($A73,貼り付け用!$A$1:$BA$300,COLUMN(),FALSE)=0,"",VLOOKUP($A73,貼り付け用!$A$1:$BA$300,COLUMN(),FALSE)),"")</f>
        <v/>
      </c>
      <c r="H73" s="45" t="str">
        <f>IF($A73&lt;&gt;"",IF(VLOOKUP($A73,貼り付け用!$A$1:$BA$300,COLUMN(),FALSE)=0,"",VLOOKUP($A73,貼り付け用!$A$1:$BA$300,COLUMN(),FALSE)),"")</f>
        <v/>
      </c>
      <c r="I73" s="45" t="str">
        <f>IF($A73&lt;&gt;"",IF(VLOOKUP($A73,貼り付け用!$A$1:$BA$300,COLUMN(),FALSE)=0,"",VLOOKUP($A73,貼り付け用!$A$1:$BA$300,COLUMN(),FALSE)),"")</f>
        <v/>
      </c>
      <c r="J73" s="45" t="str">
        <f>IF($A73&lt;&gt;"",IF(VLOOKUP($A73,貼り付け用!$A$1:$BA$300,COLUMN(),FALSE)=0,"",VLOOKUP($A73,貼り付け用!$A$1:$BA$300,COLUMN(),FALSE)),"")</f>
        <v/>
      </c>
      <c r="K73" s="45" t="str">
        <f>IF($A73&lt;&gt;"",IF(VLOOKUP($A73,貼り付け用!$A$1:$BA$300,COLUMN(),FALSE)=0,"",VLOOKUP($A73,貼り付け用!$A$1:$BA$300,COLUMN(),FALSE)),"")</f>
        <v/>
      </c>
      <c r="L73" s="45" t="str">
        <f>IF($A73&lt;&gt;"",
IF(COLUMN(貼り付け用!L73)&gt;MATCH("おやつ",貼り付け用!$3:$3,0),"",
IF(VLOOKUP($A73,貼り付け用!$A$1:$BA$300,COLUMN(),FALSE)=0,"",VLOOKUP($A73,貼り付け用!$A$1:$BA$300,COLUMN(),FALSE))),"")</f>
        <v/>
      </c>
      <c r="M73" s="45" t="str">
        <f>IF($A73&lt;&gt;"",
IF(COLUMN(貼り付け用!M73)&gt;MATCH("おやつ",貼り付け用!$3:$3,0),"",
IF(VLOOKUP($A73,貼り付け用!$A$1:$BA$300,COLUMN(),FALSE)=0,"",VLOOKUP($A73,貼り付け用!$A$1:$BA$300,COLUMN(),FALSE))),"")</f>
        <v/>
      </c>
      <c r="N73" s="45" t="str">
        <f>IF($A73&lt;&gt;"",
IF(COLUMN(貼り付け用!N73)&gt;MATCH("おやつ",貼り付け用!$3:$3,0),"",
IF(VLOOKUP($A73,貼り付け用!$A$1:$BA$300,COLUMN(),FALSE)=0,"",VLOOKUP($A73,貼り付け用!$A$1:$BA$300,COLUMN(),FALSE))),"")</f>
        <v/>
      </c>
      <c r="O73" s="45" t="str">
        <f>IF($A73&lt;&gt;"",
IF(COLUMN(貼り付け用!O73)&gt;MATCH("おやつ",貼り付け用!$3:$3,0),"",
IF(VLOOKUP($A73,貼り付け用!$A$1:$BA$300,COLUMN(),FALSE)=0,"",VLOOKUP($A73,貼り付け用!$A$1:$BA$300,COLUMN(),FALSE))),"")</f>
        <v/>
      </c>
      <c r="P73" s="45" t="str">
        <f>IF($A73&lt;&gt;"",
IF(COLUMN(貼り付け用!P73)&gt;MATCH("おやつ",貼り付け用!$3:$3,0),"",
IF(VLOOKUP($A73,貼り付け用!$A$1:$BA$300,COLUMN(),FALSE)=0,"",VLOOKUP($A73,貼り付け用!$A$1:$BA$300,COLUMN(),FALSE))),"")</f>
        <v/>
      </c>
      <c r="Q73" s="45" t="str">
        <f>IF($A73&lt;&gt;"",
IF(COLUMN(貼り付け用!Q73)&gt;MATCH("おやつ",貼り付け用!$3:$3,0),"",
IF(VLOOKUP($A73,貼り付け用!$A$1:$BA$300,COLUMN(),FALSE)=0,"",VLOOKUP($A73,貼り付け用!$A$1:$BA$300,COLUMN(),FALSE))),"")</f>
        <v/>
      </c>
      <c r="R73" s="45" t="str">
        <f>IF($A73&lt;&gt;"",
IF(COLUMN(貼り付け用!R73)&gt;MATCH("おやつ",貼り付け用!$3:$3,0),"",
IF(VLOOKUP($A73,貼り付け用!$A$1:$BA$300,COLUMN(),FALSE)=0,"",VLOOKUP($A73,貼り付け用!$A$1:$BA$300,COLUMN(),FALSE))),"")</f>
        <v/>
      </c>
      <c r="S73" s="45" t="str">
        <f>IF($A73&lt;&gt;"",
IF(COLUMN(貼り付け用!S73)&gt;MATCH("おやつ",貼り付け用!$3:$3,0),"",
IF(VLOOKUP($A73,貼り付け用!$A$1:$BA$300,COLUMN(),FALSE)=0,"",VLOOKUP($A73,貼り付け用!$A$1:$BA$300,COLUMN(),FALSE))),"")</f>
        <v/>
      </c>
      <c r="T73" s="45" t="str">
        <f>IF(COLUMN(貼り付け用!T73)&gt;MATCH("おやつ",貼り付け用!$3:$3,0),"",
IF(VLOOKUP($A73,貼り付け用!$A$1:$BA$300,COLUMN(),FALSE)=0,"",VLOOKUP($A73,貼り付け用!$A$1:$BA$300,COLUMN(),FALSE)))</f>
        <v/>
      </c>
      <c r="U73" s="24"/>
      <c r="V73" s="21" t="str">
        <f>IF(A73&lt;&gt;"",
IF(VLOOKUP($A73,貼り付け用!$A$1:$BA$300,MATCH("おやつ",貼り付け用!$3:$3,0)+1,FALSE)=0,"",VLOOKUP($A73,貼り付け用!$A$1:$BA$300,MATCH("おやつ",貼り付け用!$3:$3,0)+1,FALSE)),"")</f>
        <v/>
      </c>
      <c r="W73" s="50" t="str">
        <f>IF(A73&lt;&gt;"",
IF(VLOOKUP($A73,貼り付け用!$A$1:$BA$300,MATCH("おやつ",貼り付け用!$3:$3,0)+2,FALSE)=0,"",VLOOKUP($A73,貼り付け用!$A$1:$BA$300,MATCH("おやつ",貼り付け用!$3:$3,0)+2,FALSE)),"")</f>
        <v/>
      </c>
    </row>
    <row r="74" spans="1:23" x14ac:dyDescent="0.45">
      <c r="A74" s="10" t="str">
        <f>IF(貼り付け用!$A$6&lt;&gt;"",
IF(ROW(A73)+1&gt;=MATCH("*【合計】*", 貼り付け用!$A:$A, 0),
"",
IF(貼り付け用!A74&lt;&gt;"",貼り付け用!A74,"")),
IF(ROW(A74)+1&gt;=MATCH("*【合計】*", 貼り付け用!$A:$A, 0),
"",
IF(貼り付け用!A75&lt;&gt;"",貼り付け用!A75,"")))</f>
        <v>16800</v>
      </c>
      <c r="B74" s="50" t="str">
        <f>IF($A74&lt;&gt;"",IF(VLOOKUP($A74,貼り付け用!$A$1:$BA$300,COLUMN(),FALSE)=0,"",VLOOKUP($A74,貼り付け用!$A$1:$BA$300,COLUMN(),FALSE)),"")</f>
        <v/>
      </c>
      <c r="C74" s="50" t="str">
        <f>IF($A74&lt;&gt;"",IF(VLOOKUP($A74,貼り付け用!$A$1:$BA$300,COLUMN(),FALSE)=0,"",VLOOKUP($A74,貼り付け用!$A$1:$BA$300,COLUMN(),FALSE)),"")</f>
        <v/>
      </c>
      <c r="D74" s="50" t="str">
        <f>IF($A74&lt;&gt;"",IF(VLOOKUP($A74,貼り付け用!$A$1:$BA$300,COLUMN(),FALSE)=0,"",VLOOKUP($A74,貼り付け用!$A$1:$BA$300,COLUMN(),FALSE)),"")</f>
        <v/>
      </c>
      <c r="E74" s="50" t="str">
        <f>IF($A74&lt;&gt;"",IF(VLOOKUP($A74,貼り付け用!$A$1:$BA$300,COLUMN(),FALSE)=0,"",VLOOKUP($A74,貼り付け用!$A$1:$BA$300,COLUMN(),FALSE)),"")</f>
        <v/>
      </c>
      <c r="F74" s="50" t="str">
        <f>IF($A74&lt;&gt;"",IF(VLOOKUP($A74,貼り付け用!$A$1:$BA$300,COLUMN(),FALSE)=0,"",VLOOKUP($A74,貼り付け用!$A$1:$BA$300,COLUMN(),FALSE)),"")</f>
        <v/>
      </c>
      <c r="G74" s="50" t="str">
        <f>IF($A74&lt;&gt;"",IF(VLOOKUP($A74,貼り付け用!$A$1:$BA$300,COLUMN(),FALSE)=0,"",VLOOKUP($A74,貼り付け用!$A$1:$BA$300,COLUMN(),FALSE)),"")</f>
        <v>15</v>
      </c>
      <c r="H74" s="50" t="str">
        <f>IF($A74&lt;&gt;"",IF(VLOOKUP($A74,貼り付け用!$A$1:$BA$300,COLUMN(),FALSE)=0,"",VLOOKUP($A74,貼り付け用!$A$1:$BA$300,COLUMN(),FALSE)),"")</f>
        <v/>
      </c>
      <c r="I74" s="50" t="str">
        <f>IF($A74&lt;&gt;"",IF(VLOOKUP($A74,貼り付け用!$A$1:$BA$300,COLUMN(),FALSE)=0,"",VLOOKUP($A74,貼り付け用!$A$1:$BA$300,COLUMN(),FALSE)),"")</f>
        <v/>
      </c>
      <c r="J74" s="50" t="str">
        <f>IF($A74&lt;&gt;"",IF(VLOOKUP($A74,貼り付け用!$A$1:$BA$300,COLUMN(),FALSE)=0,"",VLOOKUP($A74,貼り付け用!$A$1:$BA$300,COLUMN(),FALSE)),"")</f>
        <v/>
      </c>
      <c r="K74" s="50" t="str">
        <f>IF($A74&lt;&gt;"",IF(VLOOKUP($A74,貼り付け用!$A$1:$BA$300,COLUMN(),FALSE)=0,"",VLOOKUP($A74,貼り付け用!$A$1:$BA$300,COLUMN(),FALSE)),"")</f>
        <v>99</v>
      </c>
      <c r="L74" s="50" t="str">
        <f>IF($A74&lt;&gt;"",
IF(COLUMN(貼り付け用!L74)&gt;MATCH("おやつ",貼り付け用!$3:$3,0),"",
IF(VLOOKUP($A74,貼り付け用!$A$1:$BA$300,COLUMN(),FALSE)=0,"",VLOOKUP($A74,貼り付け用!$A$1:$BA$300,COLUMN(),FALSE))),"")</f>
        <v/>
      </c>
      <c r="M74" s="50" t="str">
        <f>IF($A74&lt;&gt;"",
IF(COLUMN(貼り付け用!M74)&gt;MATCH("おやつ",貼り付け用!$3:$3,0),"",
IF(VLOOKUP($A74,貼り付け用!$A$1:$BA$300,COLUMN(),FALSE)=0,"",VLOOKUP($A74,貼り付け用!$A$1:$BA$300,COLUMN(),FALSE))),"")</f>
        <v/>
      </c>
      <c r="N74" s="50" t="str">
        <f>IF($A74&lt;&gt;"",
IF(COLUMN(貼り付け用!N74)&gt;MATCH("おやつ",貼り付け用!$3:$3,0),"",
IF(VLOOKUP($A74,貼り付け用!$A$1:$BA$300,COLUMN(),FALSE)=0,"",VLOOKUP($A74,貼り付け用!$A$1:$BA$300,COLUMN(),FALSE))),"")</f>
        <v/>
      </c>
      <c r="O74" s="50" t="str">
        <f>IF($A74&lt;&gt;"",
IF(COLUMN(貼り付け用!O74)&gt;MATCH("おやつ",貼り付け用!$3:$3,0),"",
IF(VLOOKUP($A74,貼り付け用!$A$1:$BA$300,COLUMN(),FALSE)=0,"",VLOOKUP($A74,貼り付け用!$A$1:$BA$300,COLUMN(),FALSE))),"")</f>
        <v/>
      </c>
      <c r="P74" s="50" t="str">
        <f>IF($A74&lt;&gt;"",
IF(COLUMN(貼り付け用!P74)&gt;MATCH("おやつ",貼り付け用!$3:$3,0),"",
IF(VLOOKUP($A74,貼り付け用!$A$1:$BA$300,COLUMN(),FALSE)=0,"",VLOOKUP($A74,貼り付け用!$A$1:$BA$300,COLUMN(),FALSE))),"")</f>
        <v/>
      </c>
      <c r="Q74" s="50" t="str">
        <f>IF($A74&lt;&gt;"",
IF(COLUMN(貼り付け用!Q74)&gt;MATCH("おやつ",貼り付け用!$3:$3,0),"",
IF(VLOOKUP($A74,貼り付け用!$A$1:$BA$300,COLUMN(),FALSE)=0,"",VLOOKUP($A74,貼り付け用!$A$1:$BA$300,COLUMN(),FALSE))),"")</f>
        <v/>
      </c>
      <c r="R74" s="50" t="str">
        <f>IF($A74&lt;&gt;"",
IF(COLUMN(貼り付け用!R74)&gt;MATCH("おやつ",貼り付け用!$3:$3,0),"",
IF(VLOOKUP($A74,貼り付け用!$A$1:$BA$300,COLUMN(),FALSE)=0,"",VLOOKUP($A74,貼り付け用!$A$1:$BA$300,COLUMN(),FALSE))),"")</f>
        <v/>
      </c>
      <c r="S74" s="50" t="str">
        <f>IF($A74&lt;&gt;"",
IF(COLUMN(貼り付け用!S74)&gt;MATCH("おやつ",貼り付け用!$3:$3,0),"",
IF(VLOOKUP($A74,貼り付け用!$A$1:$BA$300,COLUMN(),FALSE)=0,"",VLOOKUP($A74,貼り付け用!$A$1:$BA$300,COLUMN(),FALSE))),"")</f>
        <v/>
      </c>
      <c r="T74" s="50" t="str">
        <f>IF(COLUMN(貼り付け用!T74)&gt;MATCH("おやつ",貼り付け用!$3:$3,0),"",
IF(VLOOKUP($A74,貼り付け用!$A$1:$BA$300,COLUMN(),FALSE)=0,"",VLOOKUP($A74,貼り付け用!$A$1:$BA$300,COLUMN(),FALSE)))</f>
        <v/>
      </c>
      <c r="U74" s="23"/>
      <c r="V74" s="21" t="str">
        <f>IF(A74&lt;&gt;"",
IF(VLOOKUP($A74,貼り付け用!$A$1:$BA$300,MATCH("おやつ",貼り付け用!$3:$3,0)+1,FALSE)=0,"",VLOOKUP($A74,貼り付け用!$A$1:$BA$300,MATCH("おやつ",貼り付け用!$3:$3,0)+1,FALSE)),"")</f>
        <v/>
      </c>
      <c r="W74" s="50" t="str">
        <f>IF(A74&lt;&gt;"",
IF(VLOOKUP($A74,貼り付け用!$A$1:$BA$300,MATCH("おやつ",貼り付け用!$3:$3,0)+2,FALSE)=0,"",VLOOKUP($A74,貼り付け用!$A$1:$BA$300,MATCH("おやつ",貼り付け用!$3:$3,0)+2,FALSE)),"")</f>
        <v/>
      </c>
    </row>
    <row r="75" spans="1:23" x14ac:dyDescent="0.45">
      <c r="A75" s="22" t="str">
        <f>IF(貼り付け用!$A$6&lt;&gt;"",
IF(ROW(A74)+1&gt;=MATCH("*【合計】*", 貼り付け用!$A:$A, 0),"",
IF(貼り付け用!A75&lt;&gt;"",貼り付け用!A75,"")),
IF(ROW(A75)+1&gt;=MATCH("*【合計】*", 貼り付け用!$A:$A, 0),"",
IF(貼り付け用!A76&lt;&gt;"",貼り付け用!A76,"")))</f>
        <v>宝幼稚園</v>
      </c>
      <c r="B75" s="45" t="str">
        <f>IF($A75&lt;&gt;"",IF(VLOOKUP($A75,貼り付け用!$A$1:$BA$300,COLUMN(),FALSE)=0,"",VLOOKUP($A75,貼り付け用!$A$1:$BA$300,COLUMN(),FALSE)),"")</f>
        <v/>
      </c>
      <c r="C75" s="45" t="str">
        <f>IF($A75&lt;&gt;"",IF(VLOOKUP($A75,貼り付け用!$A$1:$BA$300,COLUMN(),FALSE)=0,"",VLOOKUP($A75,貼り付け用!$A$1:$BA$300,COLUMN(),FALSE)),"")</f>
        <v/>
      </c>
      <c r="D75" s="45" t="str">
        <f>IF($A75&lt;&gt;"",IF(VLOOKUP($A75,貼り付け用!$A$1:$BA$300,COLUMN(),FALSE)=0,"",VLOOKUP($A75,貼り付け用!$A$1:$BA$300,COLUMN(),FALSE)),"")</f>
        <v/>
      </c>
      <c r="E75" s="45" t="str">
        <f>IF($A75&lt;&gt;"",IF(VLOOKUP($A75,貼り付け用!$A$1:$BA$300,COLUMN(),FALSE)=0,"",VLOOKUP($A75,貼り付け用!$A$1:$BA$300,COLUMN(),FALSE)),"")</f>
        <v/>
      </c>
      <c r="F75" s="45" t="str">
        <f>IF($A75&lt;&gt;"",IF(VLOOKUP($A75,貼り付け用!$A$1:$BA$300,COLUMN(),FALSE)=0,"",VLOOKUP($A75,貼り付け用!$A$1:$BA$300,COLUMN(),FALSE)),"")</f>
        <v/>
      </c>
      <c r="G75" s="45" t="str">
        <f>IF($A75&lt;&gt;"",IF(VLOOKUP($A75,貼り付け用!$A$1:$BA$300,COLUMN(),FALSE)=0,"",VLOOKUP($A75,貼り付け用!$A$1:$BA$300,COLUMN(),FALSE)),"")</f>
        <v>3</v>
      </c>
      <c r="H75" s="45" t="str">
        <f>IF($A75&lt;&gt;"",IF(VLOOKUP($A75,貼り付け用!$A$1:$BA$300,COLUMN(),FALSE)=0,"",VLOOKUP($A75,貼り付け用!$A$1:$BA$300,COLUMN(),FALSE)),"")</f>
        <v/>
      </c>
      <c r="I75" s="45" t="str">
        <f>IF($A75&lt;&gt;"",IF(VLOOKUP($A75,貼り付け用!$A$1:$BA$300,COLUMN(),FALSE)=0,"",VLOOKUP($A75,貼り付け用!$A$1:$BA$300,COLUMN(),FALSE)),"")</f>
        <v/>
      </c>
      <c r="J75" s="45" t="str">
        <f>IF($A75&lt;&gt;"",IF(VLOOKUP($A75,貼り付け用!$A$1:$BA$300,COLUMN(),FALSE)=0,"",VLOOKUP($A75,貼り付け用!$A$1:$BA$300,COLUMN(),FALSE)),"")</f>
        <v/>
      </c>
      <c r="K75" s="45" t="str">
        <f>IF($A75&lt;&gt;"",IF(VLOOKUP($A75,貼り付け用!$A$1:$BA$300,COLUMN(),FALSE)=0,"",VLOOKUP($A75,貼り付け用!$A$1:$BA$300,COLUMN(),FALSE)),"")</f>
        <v>15</v>
      </c>
      <c r="L75" s="45" t="str">
        <f>IF($A75&lt;&gt;"",
IF(COLUMN(貼り付け用!L75)&gt;MATCH("おやつ",貼り付け用!$3:$3,0),"",
IF(VLOOKUP($A75,貼り付け用!$A$1:$BA$300,COLUMN(),FALSE)=0,"",VLOOKUP($A75,貼り付け用!$A$1:$BA$300,COLUMN(),FALSE))),"")</f>
        <v/>
      </c>
      <c r="M75" s="45" t="str">
        <f>IF($A75&lt;&gt;"",
IF(COLUMN(貼り付け用!M75)&gt;MATCH("おやつ",貼り付け用!$3:$3,0),"",
IF(VLOOKUP($A75,貼り付け用!$A$1:$BA$300,COLUMN(),FALSE)=0,"",VLOOKUP($A75,貼り付け用!$A$1:$BA$300,COLUMN(),FALSE))),"")</f>
        <v/>
      </c>
      <c r="N75" s="45" t="str">
        <f>IF($A75&lt;&gt;"",
IF(COLUMN(貼り付け用!N75)&gt;MATCH("おやつ",貼り付け用!$3:$3,0),"",
IF(VLOOKUP($A75,貼り付け用!$A$1:$BA$300,COLUMN(),FALSE)=0,"",VLOOKUP($A75,貼り付け用!$A$1:$BA$300,COLUMN(),FALSE))),"")</f>
        <v/>
      </c>
      <c r="O75" s="45" t="str">
        <f>IF($A75&lt;&gt;"",
IF(COLUMN(貼り付け用!O75)&gt;MATCH("おやつ",貼り付け用!$3:$3,0),"",
IF(VLOOKUP($A75,貼り付け用!$A$1:$BA$300,COLUMN(),FALSE)=0,"",VLOOKUP($A75,貼り付け用!$A$1:$BA$300,COLUMN(),FALSE))),"")</f>
        <v/>
      </c>
      <c r="P75" s="45" t="str">
        <f>IF($A75&lt;&gt;"",
IF(COLUMN(貼り付け用!P75)&gt;MATCH("おやつ",貼り付け用!$3:$3,0),"",
IF(VLOOKUP($A75,貼り付け用!$A$1:$BA$300,COLUMN(),FALSE)=0,"",VLOOKUP($A75,貼り付け用!$A$1:$BA$300,COLUMN(),FALSE))),"")</f>
        <v/>
      </c>
      <c r="Q75" s="45" t="str">
        <f>IF($A75&lt;&gt;"",
IF(COLUMN(貼り付け用!Q75)&gt;MATCH("おやつ",貼り付け用!$3:$3,0),"",
IF(VLOOKUP($A75,貼り付け用!$A$1:$BA$300,COLUMN(),FALSE)=0,"",VLOOKUP($A75,貼り付け用!$A$1:$BA$300,COLUMN(),FALSE))),"")</f>
        <v/>
      </c>
      <c r="R75" s="45" t="str">
        <f>IF($A75&lt;&gt;"",
IF(COLUMN(貼り付け用!R75)&gt;MATCH("おやつ",貼り付け用!$3:$3,0),"",
IF(VLOOKUP($A75,貼り付け用!$A$1:$BA$300,COLUMN(),FALSE)=0,"",VLOOKUP($A75,貼り付け用!$A$1:$BA$300,COLUMN(),FALSE))),"")</f>
        <v/>
      </c>
      <c r="S75" s="45" t="str">
        <f>IF($A75&lt;&gt;"",
IF(COLUMN(貼り付け用!S75)&gt;MATCH("おやつ",貼り付け用!$3:$3,0),"",
IF(VLOOKUP($A75,貼り付け用!$A$1:$BA$300,COLUMN(),FALSE)=0,"",VLOOKUP($A75,貼り付け用!$A$1:$BA$300,COLUMN(),FALSE))),"")</f>
        <v/>
      </c>
      <c r="T75" s="45" t="str">
        <f>IF(COLUMN(貼り付け用!T75)&gt;MATCH("おやつ",貼り付け用!$3:$3,0),"",
IF(VLOOKUP($A75,貼り付け用!$A$1:$BA$300,COLUMN(),FALSE)=0,"",VLOOKUP($A75,貼り付け用!$A$1:$BA$300,COLUMN(),FALSE)))</f>
        <v/>
      </c>
      <c r="U75" s="24"/>
      <c r="V75" s="21" t="str">
        <f>IF(A75&lt;&gt;"",
IF(VLOOKUP($A75,貼り付け用!$A$1:$BA$300,MATCH("おやつ",貼り付け用!$3:$3,0)+1,FALSE)=0,"",VLOOKUP($A75,貼り付け用!$A$1:$BA$300,MATCH("おやつ",貼り付け用!$3:$3,0)+1,FALSE)),"")</f>
        <v/>
      </c>
      <c r="W75" s="50" t="str">
        <f>IF(A75&lt;&gt;"",
IF(VLOOKUP($A75,貼り付け用!$A$1:$BA$300,MATCH("おやつ",貼り付け用!$3:$3,0)+2,FALSE)=0,"",VLOOKUP($A75,貼り付け用!$A$1:$BA$300,MATCH("おやつ",貼り付け用!$3:$3,0)+2,FALSE)),"")</f>
        <v/>
      </c>
    </row>
    <row r="76" spans="1:23" x14ac:dyDescent="0.45">
      <c r="A76" s="10" t="str">
        <f>IF(貼り付け用!$A$6&lt;&gt;"",
IF(ROW(A75)+1&gt;=MATCH("*【合計】*", 貼り付け用!$A:$A, 0),
"",
IF(貼り付け用!A76&lt;&gt;"",貼り付け用!A76,"")),
IF(ROW(A76)+1&gt;=MATCH("*【合計】*", 貼り付け用!$A:$A, 0),
"",
IF(貼り付け用!A77&lt;&gt;"",貼り付け用!A77,"")))</f>
        <v>11600</v>
      </c>
      <c r="B76" s="50" t="str">
        <f>IF($A76&lt;&gt;"",IF(VLOOKUP($A76,貼り付け用!$A$1:$BA$300,COLUMN(),FALSE)=0,"",VLOOKUP($A76,貼り付け用!$A$1:$BA$300,COLUMN(),FALSE)),"")</f>
        <v/>
      </c>
      <c r="C76" s="50" t="str">
        <f>IF($A76&lt;&gt;"",IF(VLOOKUP($A76,貼り付け用!$A$1:$BA$300,COLUMN(),FALSE)=0,"",VLOOKUP($A76,貼り付け用!$A$1:$BA$300,COLUMN(),FALSE)),"")</f>
        <v/>
      </c>
      <c r="D76" s="50" t="str">
        <f>IF($A76&lt;&gt;"",IF(VLOOKUP($A76,貼り付け用!$A$1:$BA$300,COLUMN(),FALSE)=0,"",VLOOKUP($A76,貼り付け用!$A$1:$BA$300,COLUMN(),FALSE)),"")</f>
        <v/>
      </c>
      <c r="E76" s="50" t="str">
        <f>IF($A76&lt;&gt;"",IF(VLOOKUP($A76,貼り付け用!$A$1:$BA$300,COLUMN(),FALSE)=0,"",VLOOKUP($A76,貼り付け用!$A$1:$BA$300,COLUMN(),FALSE)),"")</f>
        <v/>
      </c>
      <c r="F76" s="50" t="str">
        <f>IF($A76&lt;&gt;"",IF(VLOOKUP($A76,貼り付け用!$A$1:$BA$300,COLUMN(),FALSE)=0,"",VLOOKUP($A76,貼り付け用!$A$1:$BA$300,COLUMN(),FALSE)),"")</f>
        <v/>
      </c>
      <c r="G76" s="50" t="str">
        <f>IF($A76&lt;&gt;"",IF(VLOOKUP($A76,貼り付け用!$A$1:$BA$300,COLUMN(),FALSE)=0,"",VLOOKUP($A76,貼り付け用!$A$1:$BA$300,COLUMN(),FALSE)),"")</f>
        <v>87</v>
      </c>
      <c r="H76" s="50" t="str">
        <f>IF($A76&lt;&gt;"",IF(VLOOKUP($A76,貼り付け用!$A$1:$BA$300,COLUMN(),FALSE)=0,"",VLOOKUP($A76,貼り付け用!$A$1:$BA$300,COLUMN(),FALSE)),"")</f>
        <v/>
      </c>
      <c r="I76" s="50" t="str">
        <f>IF($A76&lt;&gt;"",IF(VLOOKUP($A76,貼り付け用!$A$1:$BA$300,COLUMN(),FALSE)=0,"",VLOOKUP($A76,貼り付け用!$A$1:$BA$300,COLUMN(),FALSE)),"")</f>
        <v/>
      </c>
      <c r="J76" s="50" t="str">
        <f>IF($A76&lt;&gt;"",IF(VLOOKUP($A76,貼り付け用!$A$1:$BA$300,COLUMN(),FALSE)=0,"",VLOOKUP($A76,貼り付け用!$A$1:$BA$300,COLUMN(),FALSE)),"")</f>
        <v>12</v>
      </c>
      <c r="K76" s="50" t="str">
        <f>IF($A76&lt;&gt;"",IF(VLOOKUP($A76,貼り付け用!$A$1:$BA$300,COLUMN(),FALSE)=0,"",VLOOKUP($A76,貼り付け用!$A$1:$BA$300,COLUMN(),FALSE)),"")</f>
        <v/>
      </c>
      <c r="L76" s="50" t="str">
        <f>IF($A76&lt;&gt;"",
IF(COLUMN(貼り付け用!L76)&gt;MATCH("おやつ",貼り付け用!$3:$3,0),"",
IF(VLOOKUP($A76,貼り付け用!$A$1:$BA$300,COLUMN(),FALSE)=0,"",VLOOKUP($A76,貼り付け用!$A$1:$BA$300,COLUMN(),FALSE))),"")</f>
        <v/>
      </c>
      <c r="M76" s="50" t="str">
        <f>IF($A76&lt;&gt;"",
IF(COLUMN(貼り付け用!M76)&gt;MATCH("おやつ",貼り付け用!$3:$3,0),"",
IF(VLOOKUP($A76,貼り付け用!$A$1:$BA$300,COLUMN(),FALSE)=0,"",VLOOKUP($A76,貼り付け用!$A$1:$BA$300,COLUMN(),FALSE))),"")</f>
        <v/>
      </c>
      <c r="N76" s="50" t="str">
        <f>IF($A76&lt;&gt;"",
IF(COLUMN(貼り付け用!N76)&gt;MATCH("おやつ",貼り付け用!$3:$3,0),"",
IF(VLOOKUP($A76,貼り付け用!$A$1:$BA$300,COLUMN(),FALSE)=0,"",VLOOKUP($A76,貼り付け用!$A$1:$BA$300,COLUMN(),FALSE))),"")</f>
        <v/>
      </c>
      <c r="O76" s="50" t="str">
        <f>IF($A76&lt;&gt;"",
IF(COLUMN(貼り付け用!O76)&gt;MATCH("おやつ",貼り付け用!$3:$3,0),"",
IF(VLOOKUP($A76,貼り付け用!$A$1:$BA$300,COLUMN(),FALSE)=0,"",VLOOKUP($A76,貼り付け用!$A$1:$BA$300,COLUMN(),FALSE))),"")</f>
        <v/>
      </c>
      <c r="P76" s="50" t="str">
        <f>IF($A76&lt;&gt;"",
IF(COLUMN(貼り付け用!P76)&gt;MATCH("おやつ",貼り付け用!$3:$3,0),"",
IF(VLOOKUP($A76,貼り付け用!$A$1:$BA$300,COLUMN(),FALSE)=0,"",VLOOKUP($A76,貼り付け用!$A$1:$BA$300,COLUMN(),FALSE))),"")</f>
        <v/>
      </c>
      <c r="Q76" s="50" t="str">
        <f>IF($A76&lt;&gt;"",
IF(COLUMN(貼り付け用!Q76)&gt;MATCH("おやつ",貼り付け用!$3:$3,0),"",
IF(VLOOKUP($A76,貼り付け用!$A$1:$BA$300,COLUMN(),FALSE)=0,"",VLOOKUP($A76,貼り付け用!$A$1:$BA$300,COLUMN(),FALSE))),"")</f>
        <v/>
      </c>
      <c r="R76" s="50" t="str">
        <f>IF($A76&lt;&gt;"",
IF(COLUMN(貼り付け用!R76)&gt;MATCH("おやつ",貼り付け用!$3:$3,0),"",
IF(VLOOKUP($A76,貼り付け用!$A$1:$BA$300,COLUMN(),FALSE)=0,"",VLOOKUP($A76,貼り付け用!$A$1:$BA$300,COLUMN(),FALSE))),"")</f>
        <v/>
      </c>
      <c r="S76" s="50" t="str">
        <f>IF($A76&lt;&gt;"",
IF(COLUMN(貼り付け用!S76)&gt;MATCH("おやつ",貼り付け用!$3:$3,0),"",
IF(VLOOKUP($A76,貼り付け用!$A$1:$BA$300,COLUMN(),FALSE)=0,"",VLOOKUP($A76,貼り付け用!$A$1:$BA$300,COLUMN(),FALSE))),"")</f>
        <v/>
      </c>
      <c r="T76" s="50" t="str">
        <f>IF(COLUMN(貼り付け用!T76)&gt;MATCH("おやつ",貼り付け用!$3:$3,0),"",
IF(VLOOKUP($A76,貼り付け用!$A$1:$BA$300,COLUMN(),FALSE)=0,"",VLOOKUP($A76,貼り付け用!$A$1:$BA$300,COLUMN(),FALSE)))</f>
        <v/>
      </c>
      <c r="U76" s="23"/>
      <c r="V76" s="21" t="str">
        <f>IF(A76&lt;&gt;"",
IF(VLOOKUP($A76,貼り付け用!$A$1:$BA$300,MATCH("おやつ",貼り付け用!$3:$3,0)+1,FALSE)=0,"",VLOOKUP($A76,貼り付け用!$A$1:$BA$300,MATCH("おやつ",貼り付け用!$3:$3,0)+1,FALSE)),"")</f>
        <v/>
      </c>
      <c r="W76" s="50" t="str">
        <f>IF(A76&lt;&gt;"",
IF(VLOOKUP($A76,貼り付け用!$A$1:$BA$300,MATCH("おやつ",貼り付け用!$3:$3,0)+2,FALSE)=0,"",VLOOKUP($A76,貼り付け用!$A$1:$BA$300,MATCH("おやつ",貼り付け用!$3:$3,0)+2,FALSE)),"")</f>
        <v/>
      </c>
    </row>
    <row r="77" spans="1:23" x14ac:dyDescent="0.45">
      <c r="A77" s="22" t="str">
        <f>IF(貼り付け用!$A$6&lt;&gt;"",
IF(ROW(A76)+1&gt;=MATCH("*【合計】*", 貼り付け用!$A:$A, 0),"",
IF(貼り付け用!A77&lt;&gt;"",貼り付け用!A77,"")),
IF(ROW(A77)+1&gt;=MATCH("*【合計】*", 貼り付け用!$A:$A, 0),"",
IF(貼り付け用!A78&lt;&gt;"",貼り付け用!A78,"")))</f>
        <v>須玖幼稚園</v>
      </c>
      <c r="B77" s="45" t="str">
        <f>IF($A77&lt;&gt;"",IF(VLOOKUP($A77,貼り付け用!$A$1:$BA$300,COLUMN(),FALSE)=0,"",VLOOKUP($A77,貼り付け用!$A$1:$BA$300,COLUMN(),FALSE)),"")</f>
        <v/>
      </c>
      <c r="C77" s="45" t="str">
        <f>IF($A77&lt;&gt;"",IF(VLOOKUP($A77,貼り付け用!$A$1:$BA$300,COLUMN(),FALSE)=0,"",VLOOKUP($A77,貼り付け用!$A$1:$BA$300,COLUMN(),FALSE)),"")</f>
        <v/>
      </c>
      <c r="D77" s="45" t="str">
        <f>IF($A77&lt;&gt;"",IF(VLOOKUP($A77,貼り付け用!$A$1:$BA$300,COLUMN(),FALSE)=0,"",VLOOKUP($A77,貼り付け用!$A$1:$BA$300,COLUMN(),FALSE)),"")</f>
        <v/>
      </c>
      <c r="E77" s="45" t="str">
        <f>IF($A77&lt;&gt;"",IF(VLOOKUP($A77,貼り付け用!$A$1:$BA$300,COLUMN(),FALSE)=0,"",VLOOKUP($A77,貼り付け用!$A$1:$BA$300,COLUMN(),FALSE)),"")</f>
        <v/>
      </c>
      <c r="F77" s="45" t="str">
        <f>IF($A77&lt;&gt;"",IF(VLOOKUP($A77,貼り付け用!$A$1:$BA$300,COLUMN(),FALSE)=0,"",VLOOKUP($A77,貼り付け用!$A$1:$BA$300,COLUMN(),FALSE)),"")</f>
        <v/>
      </c>
      <c r="G77" s="45" t="str">
        <f>IF($A77&lt;&gt;"",IF(VLOOKUP($A77,貼り付け用!$A$1:$BA$300,COLUMN(),FALSE)=0,"",VLOOKUP($A77,貼り付け用!$A$1:$BA$300,COLUMN(),FALSE)),"")</f>
        <v>12</v>
      </c>
      <c r="H77" s="45" t="str">
        <f>IF($A77&lt;&gt;"",IF(VLOOKUP($A77,貼り付け用!$A$1:$BA$300,COLUMN(),FALSE)=0,"",VLOOKUP($A77,貼り付け用!$A$1:$BA$300,COLUMN(),FALSE)),"")</f>
        <v/>
      </c>
      <c r="I77" s="45" t="str">
        <f>IF($A77&lt;&gt;"",IF(VLOOKUP($A77,貼り付け用!$A$1:$BA$300,COLUMN(),FALSE)=0,"",VLOOKUP($A77,貼り付け用!$A$1:$BA$300,COLUMN(),FALSE)),"")</f>
        <v/>
      </c>
      <c r="J77" s="45" t="str">
        <f>IF($A77&lt;&gt;"",IF(VLOOKUP($A77,貼り付け用!$A$1:$BA$300,COLUMN(),FALSE)=0,"",VLOOKUP($A77,貼り付け用!$A$1:$BA$300,COLUMN(),FALSE)),"")</f>
        <v/>
      </c>
      <c r="K77" s="45" t="str">
        <f>IF($A77&lt;&gt;"",IF(VLOOKUP($A77,貼り付け用!$A$1:$BA$300,COLUMN(),FALSE)=0,"",VLOOKUP($A77,貼り付け用!$A$1:$BA$300,COLUMN(),FALSE)),"")</f>
        <v/>
      </c>
      <c r="L77" s="45" t="str">
        <f>IF($A77&lt;&gt;"",
IF(COLUMN(貼り付け用!L77)&gt;MATCH("おやつ",貼り付け用!$3:$3,0),"",
IF(VLOOKUP($A77,貼り付け用!$A$1:$BA$300,COLUMN(),FALSE)=0,"",VLOOKUP($A77,貼り付け用!$A$1:$BA$300,COLUMN(),FALSE))),"")</f>
        <v/>
      </c>
      <c r="M77" s="45" t="str">
        <f>IF($A77&lt;&gt;"",
IF(COLUMN(貼り付け用!M77)&gt;MATCH("おやつ",貼り付け用!$3:$3,0),"",
IF(VLOOKUP($A77,貼り付け用!$A$1:$BA$300,COLUMN(),FALSE)=0,"",VLOOKUP($A77,貼り付け用!$A$1:$BA$300,COLUMN(),FALSE))),"")</f>
        <v/>
      </c>
      <c r="N77" s="45" t="str">
        <f>IF($A77&lt;&gt;"",
IF(COLUMN(貼り付け用!N77)&gt;MATCH("おやつ",貼り付け用!$3:$3,0),"",
IF(VLOOKUP($A77,貼り付け用!$A$1:$BA$300,COLUMN(),FALSE)=0,"",VLOOKUP($A77,貼り付け用!$A$1:$BA$300,COLUMN(),FALSE))),"")</f>
        <v/>
      </c>
      <c r="O77" s="45" t="str">
        <f>IF($A77&lt;&gt;"",
IF(COLUMN(貼り付け用!O77)&gt;MATCH("おやつ",貼り付け用!$3:$3,0),"",
IF(VLOOKUP($A77,貼り付け用!$A$1:$BA$300,COLUMN(),FALSE)=0,"",VLOOKUP($A77,貼り付け用!$A$1:$BA$300,COLUMN(),FALSE))),"")</f>
        <v/>
      </c>
      <c r="P77" s="45" t="str">
        <f>IF($A77&lt;&gt;"",
IF(COLUMN(貼り付け用!P77)&gt;MATCH("おやつ",貼り付け用!$3:$3,0),"",
IF(VLOOKUP($A77,貼り付け用!$A$1:$BA$300,COLUMN(),FALSE)=0,"",VLOOKUP($A77,貼り付け用!$A$1:$BA$300,COLUMN(),FALSE))),"")</f>
        <v/>
      </c>
      <c r="Q77" s="45" t="str">
        <f>IF($A77&lt;&gt;"",
IF(COLUMN(貼り付け用!Q77)&gt;MATCH("おやつ",貼り付け用!$3:$3,0),"",
IF(VLOOKUP($A77,貼り付け用!$A$1:$BA$300,COLUMN(),FALSE)=0,"",VLOOKUP($A77,貼り付け用!$A$1:$BA$300,COLUMN(),FALSE))),"")</f>
        <v/>
      </c>
      <c r="R77" s="45" t="str">
        <f>IF($A77&lt;&gt;"",
IF(COLUMN(貼り付け用!R77)&gt;MATCH("おやつ",貼り付け用!$3:$3,0),"",
IF(VLOOKUP($A77,貼り付け用!$A$1:$BA$300,COLUMN(),FALSE)=0,"",VLOOKUP($A77,貼り付け用!$A$1:$BA$300,COLUMN(),FALSE))),"")</f>
        <v/>
      </c>
      <c r="S77" s="45" t="str">
        <f>IF($A77&lt;&gt;"",
IF(COLUMN(貼り付け用!S77)&gt;MATCH("おやつ",貼り付け用!$3:$3,0),"",
IF(VLOOKUP($A77,貼り付け用!$A$1:$BA$300,COLUMN(),FALSE)=0,"",VLOOKUP($A77,貼り付け用!$A$1:$BA$300,COLUMN(),FALSE))),"")</f>
        <v/>
      </c>
      <c r="T77" s="45" t="str">
        <f>IF(COLUMN(貼り付け用!T77)&gt;MATCH("おやつ",貼り付け用!$3:$3,0),"",
IF(VLOOKUP($A77,貼り付け用!$A$1:$BA$300,COLUMN(),FALSE)=0,"",VLOOKUP($A77,貼り付け用!$A$1:$BA$300,COLUMN(),FALSE)))</f>
        <v/>
      </c>
      <c r="U77" s="24"/>
      <c r="V77" s="21" t="str">
        <f>IF(A77&lt;&gt;"",
IF(VLOOKUP($A77,貼り付け用!$A$1:$BA$300,MATCH("おやつ",貼り付け用!$3:$3,0)+1,FALSE)=0,"",VLOOKUP($A77,貼り付け用!$A$1:$BA$300,MATCH("おやつ",貼り付け用!$3:$3,0)+1,FALSE)),"")</f>
        <v/>
      </c>
      <c r="W77" s="50" t="str">
        <f>IF(A77&lt;&gt;"",
IF(VLOOKUP($A77,貼り付け用!$A$1:$BA$300,MATCH("おやつ",貼り付け用!$3:$3,0)+2,FALSE)=0,"",VLOOKUP($A77,貼り付け用!$A$1:$BA$300,MATCH("おやつ",貼り付け用!$3:$3,0)+2,FALSE)),"")</f>
        <v/>
      </c>
    </row>
    <row r="78" spans="1:23" x14ac:dyDescent="0.45">
      <c r="A78" s="10" t="str">
        <f>IF(貼り付け用!$A$6&lt;&gt;"",
IF(ROW(A77)+1&gt;=MATCH("*【合計】*", 貼り付け用!$A:$A, 0),
"",
IF(貼り付け用!A78&lt;&gt;"",貼り付け用!A78,"")),
IF(ROW(A78)+1&gt;=MATCH("*【合計】*", 貼り付け用!$A:$A, 0),
"",
IF(貼り付け用!A79&lt;&gt;"",貼り付け用!A79,"")))</f>
        <v>1600</v>
      </c>
      <c r="B78" s="50" t="str">
        <f>IF($A78&lt;&gt;"",IF(VLOOKUP($A78,貼り付け用!$A$1:$BA$300,COLUMN(),FALSE)=0,"",VLOOKUP($A78,貼り付け用!$A$1:$BA$300,COLUMN(),FALSE)),"")</f>
        <v/>
      </c>
      <c r="C78" s="50" t="str">
        <f>IF($A78&lt;&gt;"",IF(VLOOKUP($A78,貼り付け用!$A$1:$BA$300,COLUMN(),FALSE)=0,"",VLOOKUP($A78,貼り付け用!$A$1:$BA$300,COLUMN(),FALSE)),"")</f>
        <v/>
      </c>
      <c r="D78" s="50" t="str">
        <f>IF($A78&lt;&gt;"",IF(VLOOKUP($A78,貼り付け用!$A$1:$BA$300,COLUMN(),FALSE)=0,"",VLOOKUP($A78,貼り付け用!$A$1:$BA$300,COLUMN(),FALSE)),"")</f>
        <v/>
      </c>
      <c r="E78" s="50" t="str">
        <f>IF($A78&lt;&gt;"",IF(VLOOKUP($A78,貼り付け用!$A$1:$BA$300,COLUMN(),FALSE)=0,"",VLOOKUP($A78,貼り付け用!$A$1:$BA$300,COLUMN(),FALSE)),"")</f>
        <v/>
      </c>
      <c r="F78" s="50" t="str">
        <f>IF($A78&lt;&gt;"",IF(VLOOKUP($A78,貼り付け用!$A$1:$BA$300,COLUMN(),FALSE)=0,"",VLOOKUP($A78,貼り付け用!$A$1:$BA$300,COLUMN(),FALSE)),"")</f>
        <v/>
      </c>
      <c r="G78" s="50" t="str">
        <f>IF($A78&lt;&gt;"",IF(VLOOKUP($A78,貼り付け用!$A$1:$BA$300,COLUMN(),FALSE)=0,"",VLOOKUP($A78,貼り付け用!$A$1:$BA$300,COLUMN(),FALSE)),"")</f>
        <v>118</v>
      </c>
      <c r="H78" s="50" t="str">
        <f>IF($A78&lt;&gt;"",IF(VLOOKUP($A78,貼り付け用!$A$1:$BA$300,COLUMN(),FALSE)=0,"",VLOOKUP($A78,貼り付け用!$A$1:$BA$300,COLUMN(),FALSE)),"")</f>
        <v/>
      </c>
      <c r="I78" s="50" t="str">
        <f>IF($A78&lt;&gt;"",IF(VLOOKUP($A78,貼り付け用!$A$1:$BA$300,COLUMN(),FALSE)=0,"",VLOOKUP($A78,貼り付け用!$A$1:$BA$300,COLUMN(),FALSE)),"")</f>
        <v/>
      </c>
      <c r="J78" s="50" t="str">
        <f>IF($A78&lt;&gt;"",IF(VLOOKUP($A78,貼り付け用!$A$1:$BA$300,COLUMN(),FALSE)=0,"",VLOOKUP($A78,貼り付け用!$A$1:$BA$300,COLUMN(),FALSE)),"")</f>
        <v>16</v>
      </c>
      <c r="K78" s="50" t="str">
        <f>IF($A78&lt;&gt;"",IF(VLOOKUP($A78,貼り付け用!$A$1:$BA$300,COLUMN(),FALSE)=0,"",VLOOKUP($A78,貼り付け用!$A$1:$BA$300,COLUMN(),FALSE)),"")</f>
        <v/>
      </c>
      <c r="L78" s="50" t="str">
        <f>IF($A78&lt;&gt;"",
IF(COLUMN(貼り付け用!L78)&gt;MATCH("おやつ",貼り付け用!$3:$3,0),"",
IF(VLOOKUP($A78,貼り付け用!$A$1:$BA$300,COLUMN(),FALSE)=0,"",VLOOKUP($A78,貼り付け用!$A$1:$BA$300,COLUMN(),FALSE))),"")</f>
        <v/>
      </c>
      <c r="M78" s="50" t="str">
        <f>IF($A78&lt;&gt;"",
IF(COLUMN(貼り付け用!M78)&gt;MATCH("おやつ",貼り付け用!$3:$3,0),"",
IF(VLOOKUP($A78,貼り付け用!$A$1:$BA$300,COLUMN(),FALSE)=0,"",VLOOKUP($A78,貼り付け用!$A$1:$BA$300,COLUMN(),FALSE))),"")</f>
        <v/>
      </c>
      <c r="N78" s="50" t="str">
        <f>IF($A78&lt;&gt;"",
IF(COLUMN(貼り付け用!N78)&gt;MATCH("おやつ",貼り付け用!$3:$3,0),"",
IF(VLOOKUP($A78,貼り付け用!$A$1:$BA$300,COLUMN(),FALSE)=0,"",VLOOKUP($A78,貼り付け用!$A$1:$BA$300,COLUMN(),FALSE))),"")</f>
        <v/>
      </c>
      <c r="O78" s="50" t="str">
        <f>IF($A78&lt;&gt;"",
IF(COLUMN(貼り付け用!O78)&gt;MATCH("おやつ",貼り付け用!$3:$3,0),"",
IF(VLOOKUP($A78,貼り付け用!$A$1:$BA$300,COLUMN(),FALSE)=0,"",VLOOKUP($A78,貼り付け用!$A$1:$BA$300,COLUMN(),FALSE))),"")</f>
        <v/>
      </c>
      <c r="P78" s="50" t="str">
        <f>IF($A78&lt;&gt;"",
IF(COLUMN(貼り付け用!P78)&gt;MATCH("おやつ",貼り付け用!$3:$3,0),"",
IF(VLOOKUP($A78,貼り付け用!$A$1:$BA$300,COLUMN(),FALSE)=0,"",VLOOKUP($A78,貼り付け用!$A$1:$BA$300,COLUMN(),FALSE))),"")</f>
        <v/>
      </c>
      <c r="Q78" s="50" t="str">
        <f>IF($A78&lt;&gt;"",
IF(COLUMN(貼り付け用!Q78)&gt;MATCH("おやつ",貼り付け用!$3:$3,0),"",
IF(VLOOKUP($A78,貼り付け用!$A$1:$BA$300,COLUMN(),FALSE)=0,"",VLOOKUP($A78,貼り付け用!$A$1:$BA$300,COLUMN(),FALSE))),"")</f>
        <v/>
      </c>
      <c r="R78" s="50" t="str">
        <f>IF($A78&lt;&gt;"",
IF(COLUMN(貼り付け用!R78)&gt;MATCH("おやつ",貼り付け用!$3:$3,0),"",
IF(VLOOKUP($A78,貼り付け用!$A$1:$BA$300,COLUMN(),FALSE)=0,"",VLOOKUP($A78,貼り付け用!$A$1:$BA$300,COLUMN(),FALSE))),"")</f>
        <v/>
      </c>
      <c r="S78" s="50" t="str">
        <f>IF($A78&lt;&gt;"",
IF(COLUMN(貼り付け用!S78)&gt;MATCH("おやつ",貼り付け用!$3:$3,0),"",
IF(VLOOKUP($A78,貼り付け用!$A$1:$BA$300,COLUMN(),FALSE)=0,"",VLOOKUP($A78,貼り付け用!$A$1:$BA$300,COLUMN(),FALSE))),"")</f>
        <v/>
      </c>
      <c r="T78" s="50" t="str">
        <f>IF(COLUMN(貼り付け用!T78)&gt;MATCH("おやつ",貼り付け用!$3:$3,0),"",
IF(VLOOKUP($A78,貼り付け用!$A$1:$BA$300,COLUMN(),FALSE)=0,"",VLOOKUP($A78,貼り付け用!$A$1:$BA$300,COLUMN(),FALSE)))</f>
        <v/>
      </c>
      <c r="U78" s="23"/>
      <c r="V78" s="21" t="str">
        <f>IF(A78&lt;&gt;"",
IF(VLOOKUP($A78,貼り付け用!$A$1:$BA$300,MATCH("おやつ",貼り付け用!$3:$3,0)+1,FALSE)=0,"",VLOOKUP($A78,貼り付け用!$A$1:$BA$300,MATCH("おやつ",貼り付け用!$3:$3,0)+1,FALSE)),"")</f>
        <v>おかわり用保温箱2K×1 先生+1</v>
      </c>
      <c r="W78" s="50" t="str">
        <f>IF(A78&lt;&gt;"",
IF(VLOOKUP($A78,貼り付け用!$A$1:$BA$300,MATCH("おやつ",貼り付け用!$3:$3,0)+2,FALSE)=0,"",VLOOKUP($A78,貼り付け用!$A$1:$BA$300,MATCH("おやつ",貼り付け用!$3:$3,0)+2,FALSE)),"")</f>
        <v/>
      </c>
    </row>
    <row r="79" spans="1:23" x14ac:dyDescent="0.45">
      <c r="A79" s="22" t="str">
        <f>IF(貼り付け用!$A$6&lt;&gt;"",
IF(ROW(A78)+1&gt;=MATCH("*【合計】*", 貼り付け用!$A:$A, 0),"",
IF(貼り付け用!A79&lt;&gt;"",貼り付け用!A79,"")),
IF(ROW(A79)+1&gt;=MATCH("*【合計】*", 貼り付け用!$A:$A, 0),"",
IF(貼り付け用!A80&lt;&gt;"",貼り付け用!A80,"")))</f>
        <v>南ヶ丘幼稚園</v>
      </c>
      <c r="B79" s="45" t="str">
        <f>IF($A79&lt;&gt;"",IF(VLOOKUP($A79,貼り付け用!$A$1:$BA$300,COLUMN(),FALSE)=0,"",VLOOKUP($A79,貼り付け用!$A$1:$BA$300,COLUMN(),FALSE)),"")</f>
        <v/>
      </c>
      <c r="C79" s="45" t="str">
        <f>IF($A79&lt;&gt;"",IF(VLOOKUP($A79,貼り付け用!$A$1:$BA$300,COLUMN(),FALSE)=0,"",VLOOKUP($A79,貼り付け用!$A$1:$BA$300,COLUMN(),FALSE)),"")</f>
        <v/>
      </c>
      <c r="D79" s="45" t="str">
        <f>IF($A79&lt;&gt;"",IF(VLOOKUP($A79,貼り付け用!$A$1:$BA$300,COLUMN(),FALSE)=0,"",VLOOKUP($A79,貼り付け用!$A$1:$BA$300,COLUMN(),FALSE)),"")</f>
        <v/>
      </c>
      <c r="E79" s="45" t="str">
        <f>IF($A79&lt;&gt;"",IF(VLOOKUP($A79,貼り付け用!$A$1:$BA$300,COLUMN(),FALSE)=0,"",VLOOKUP($A79,貼り付け用!$A$1:$BA$300,COLUMN(),FALSE)),"")</f>
        <v/>
      </c>
      <c r="F79" s="45" t="str">
        <f>IF($A79&lt;&gt;"",IF(VLOOKUP($A79,貼り付け用!$A$1:$BA$300,COLUMN(),FALSE)=0,"",VLOOKUP($A79,貼り付け用!$A$1:$BA$300,COLUMN(),FALSE)),"")</f>
        <v/>
      </c>
      <c r="G79" s="45" t="str">
        <f>IF($A79&lt;&gt;"",IF(VLOOKUP($A79,貼り付け用!$A$1:$BA$300,COLUMN(),FALSE)=0,"",VLOOKUP($A79,貼り付け用!$A$1:$BA$300,COLUMN(),FALSE)),"")</f>
        <v>14</v>
      </c>
      <c r="H79" s="45" t="str">
        <f>IF($A79&lt;&gt;"",IF(VLOOKUP($A79,貼り付け用!$A$1:$BA$300,COLUMN(),FALSE)=0,"",VLOOKUP($A79,貼り付け用!$A$1:$BA$300,COLUMN(),FALSE)),"")</f>
        <v/>
      </c>
      <c r="I79" s="45" t="str">
        <f>IF($A79&lt;&gt;"",IF(VLOOKUP($A79,貼り付け用!$A$1:$BA$300,COLUMN(),FALSE)=0,"",VLOOKUP($A79,貼り付け用!$A$1:$BA$300,COLUMN(),FALSE)),"")</f>
        <v/>
      </c>
      <c r="J79" s="45" t="str">
        <f>IF($A79&lt;&gt;"",IF(VLOOKUP($A79,貼り付け用!$A$1:$BA$300,COLUMN(),FALSE)=0,"",VLOOKUP($A79,貼り付け用!$A$1:$BA$300,COLUMN(),FALSE)),"")</f>
        <v/>
      </c>
      <c r="K79" s="45" t="str">
        <f>IF($A79&lt;&gt;"",IF(VLOOKUP($A79,貼り付け用!$A$1:$BA$300,COLUMN(),FALSE)=0,"",VLOOKUP($A79,貼り付け用!$A$1:$BA$300,COLUMN(),FALSE)),"")</f>
        <v/>
      </c>
      <c r="L79" s="45" t="str">
        <f>IF($A79&lt;&gt;"",
IF(COLUMN(貼り付け用!L79)&gt;MATCH("おやつ",貼り付け用!$3:$3,0),"",
IF(VLOOKUP($A79,貼り付け用!$A$1:$BA$300,COLUMN(),FALSE)=0,"",VLOOKUP($A79,貼り付け用!$A$1:$BA$300,COLUMN(),FALSE))),"")</f>
        <v/>
      </c>
      <c r="M79" s="45" t="str">
        <f>IF($A79&lt;&gt;"",
IF(COLUMN(貼り付け用!M79)&gt;MATCH("おやつ",貼り付け用!$3:$3,0),"",
IF(VLOOKUP($A79,貼り付け用!$A$1:$BA$300,COLUMN(),FALSE)=0,"",VLOOKUP($A79,貼り付け用!$A$1:$BA$300,COLUMN(),FALSE))),"")</f>
        <v/>
      </c>
      <c r="N79" s="45" t="str">
        <f>IF($A79&lt;&gt;"",
IF(COLUMN(貼り付け用!N79)&gt;MATCH("おやつ",貼り付け用!$3:$3,0),"",
IF(VLOOKUP($A79,貼り付け用!$A$1:$BA$300,COLUMN(),FALSE)=0,"",VLOOKUP($A79,貼り付け用!$A$1:$BA$300,COLUMN(),FALSE))),"")</f>
        <v/>
      </c>
      <c r="O79" s="45" t="str">
        <f>IF($A79&lt;&gt;"",
IF(COLUMN(貼り付け用!O79)&gt;MATCH("おやつ",貼り付け用!$3:$3,0),"",
IF(VLOOKUP($A79,貼り付け用!$A$1:$BA$300,COLUMN(),FALSE)=0,"",VLOOKUP($A79,貼り付け用!$A$1:$BA$300,COLUMN(),FALSE))),"")</f>
        <v/>
      </c>
      <c r="P79" s="45" t="str">
        <f>IF($A79&lt;&gt;"",
IF(COLUMN(貼り付け用!P79)&gt;MATCH("おやつ",貼り付け用!$3:$3,0),"",
IF(VLOOKUP($A79,貼り付け用!$A$1:$BA$300,COLUMN(),FALSE)=0,"",VLOOKUP($A79,貼り付け用!$A$1:$BA$300,COLUMN(),FALSE))),"")</f>
        <v/>
      </c>
      <c r="Q79" s="45" t="str">
        <f>IF($A79&lt;&gt;"",
IF(COLUMN(貼り付け用!Q79)&gt;MATCH("おやつ",貼り付け用!$3:$3,0),"",
IF(VLOOKUP($A79,貼り付け用!$A$1:$BA$300,COLUMN(),FALSE)=0,"",VLOOKUP($A79,貼り付け用!$A$1:$BA$300,COLUMN(),FALSE))),"")</f>
        <v/>
      </c>
      <c r="R79" s="45" t="str">
        <f>IF($A79&lt;&gt;"",
IF(COLUMN(貼り付け用!R79)&gt;MATCH("おやつ",貼り付け用!$3:$3,0),"",
IF(VLOOKUP($A79,貼り付け用!$A$1:$BA$300,COLUMN(),FALSE)=0,"",VLOOKUP($A79,貼り付け用!$A$1:$BA$300,COLUMN(),FALSE))),"")</f>
        <v/>
      </c>
      <c r="S79" s="45" t="str">
        <f>IF($A79&lt;&gt;"",
IF(COLUMN(貼り付け用!S79)&gt;MATCH("おやつ",貼り付け用!$3:$3,0),"",
IF(VLOOKUP($A79,貼り付け用!$A$1:$BA$300,COLUMN(),FALSE)=0,"",VLOOKUP($A79,貼り付け用!$A$1:$BA$300,COLUMN(),FALSE))),"")</f>
        <v/>
      </c>
      <c r="T79" s="45" t="str">
        <f>IF(COLUMN(貼り付け用!T79)&gt;MATCH("おやつ",貼り付け用!$3:$3,0),"",
IF(VLOOKUP($A79,貼り付け用!$A$1:$BA$300,COLUMN(),FALSE)=0,"",VLOOKUP($A79,貼り付け用!$A$1:$BA$300,COLUMN(),FALSE)))</f>
        <v/>
      </c>
      <c r="U79" s="24"/>
      <c r="V79" s="21" t="str">
        <f>IF(A79&lt;&gt;"",
IF(VLOOKUP($A79,貼り付け用!$A$1:$BA$300,MATCH("おやつ",貼り付け用!$3:$3,0)+1,FALSE)=0,"",VLOOKUP($A79,貼り付け用!$A$1:$BA$300,MATCH("おやつ",貼り付け用!$3:$3,0)+1,FALSE)),"")</f>
        <v/>
      </c>
      <c r="W79" s="50" t="str">
        <f>IF(A79&lt;&gt;"",
IF(VLOOKUP($A79,貼り付け用!$A$1:$BA$300,MATCH("おやつ",貼り付け用!$3:$3,0)+2,FALSE)=0,"",VLOOKUP($A79,貼り付け用!$A$1:$BA$300,MATCH("おやつ",貼り付け用!$3:$3,0)+2,FALSE)),"")</f>
        <v/>
      </c>
    </row>
    <row r="80" spans="1:23" x14ac:dyDescent="0.45">
      <c r="A80" s="10" t="str">
        <f>IF(貼り付け用!$A$6&lt;&gt;"",
IF(ROW(A79)+1&gt;=MATCH("*【合計】*", 貼り付け用!$A:$A, 0),
"",
IF(貼り付け用!A80&lt;&gt;"",貼り付け用!A80,"")),
IF(ROW(A80)+1&gt;=MATCH("*【合計】*", 貼り付け用!$A:$A, 0),
"",
IF(貼り付け用!A81&lt;&gt;"",貼り付け用!A81,"")))</f>
        <v>1700</v>
      </c>
      <c r="B80" s="50" t="str">
        <f>IF($A80&lt;&gt;"",IF(VLOOKUP($A80,貼り付け用!$A$1:$BA$300,COLUMN(),FALSE)=0,"",VLOOKUP($A80,貼り付け用!$A$1:$BA$300,COLUMN(),FALSE)),"")</f>
        <v/>
      </c>
      <c r="C80" s="50" t="str">
        <f>IF($A80&lt;&gt;"",IF(VLOOKUP($A80,貼り付け用!$A$1:$BA$300,COLUMN(),FALSE)=0,"",VLOOKUP($A80,貼り付け用!$A$1:$BA$300,COLUMN(),FALSE)),"")</f>
        <v/>
      </c>
      <c r="D80" s="50" t="str">
        <f>IF($A80&lt;&gt;"",IF(VLOOKUP($A80,貼り付け用!$A$1:$BA$300,COLUMN(),FALSE)=0,"",VLOOKUP($A80,貼り付け用!$A$1:$BA$300,COLUMN(),FALSE)),"")</f>
        <v/>
      </c>
      <c r="E80" s="50" t="str">
        <f>IF($A80&lt;&gt;"",IF(VLOOKUP($A80,貼り付け用!$A$1:$BA$300,COLUMN(),FALSE)=0,"",VLOOKUP($A80,貼り付け用!$A$1:$BA$300,COLUMN(),FALSE)),"")</f>
        <v/>
      </c>
      <c r="F80" s="50" t="str">
        <f>IF($A80&lt;&gt;"",IF(VLOOKUP($A80,貼り付け用!$A$1:$BA$300,COLUMN(),FALSE)=0,"",VLOOKUP($A80,貼り付け用!$A$1:$BA$300,COLUMN(),FALSE)),"")</f>
        <v/>
      </c>
      <c r="G80" s="50" t="str">
        <f>IF($A80&lt;&gt;"",IF(VLOOKUP($A80,貼り付け用!$A$1:$BA$300,COLUMN(),FALSE)=0,"",VLOOKUP($A80,貼り付け用!$A$1:$BA$300,COLUMN(),FALSE)),"")</f>
        <v>209</v>
      </c>
      <c r="H80" s="50" t="str">
        <f>IF($A80&lt;&gt;"",IF(VLOOKUP($A80,貼り付け用!$A$1:$BA$300,COLUMN(),FALSE)=0,"",VLOOKUP($A80,貼り付け用!$A$1:$BA$300,COLUMN(),FALSE)),"")</f>
        <v/>
      </c>
      <c r="I80" s="50" t="str">
        <f>IF($A80&lt;&gt;"",IF(VLOOKUP($A80,貼り付け用!$A$1:$BA$300,COLUMN(),FALSE)=0,"",VLOOKUP($A80,貼り付け用!$A$1:$BA$300,COLUMN(),FALSE)),"")</f>
        <v/>
      </c>
      <c r="J80" s="50" t="str">
        <f>IF($A80&lt;&gt;"",IF(VLOOKUP($A80,貼り付け用!$A$1:$BA$300,COLUMN(),FALSE)=0,"",VLOOKUP($A80,貼り付け用!$A$1:$BA$300,COLUMN(),FALSE)),"")</f>
        <v/>
      </c>
      <c r="K80" s="50" t="str">
        <f>IF($A80&lt;&gt;"",IF(VLOOKUP($A80,貼り付け用!$A$1:$BA$300,COLUMN(),FALSE)=0,"",VLOOKUP($A80,貼り付け用!$A$1:$BA$300,COLUMN(),FALSE)),"")</f>
        <v/>
      </c>
      <c r="L80" s="50" t="str">
        <f>IF($A80&lt;&gt;"",
IF(COLUMN(貼り付け用!L80)&gt;MATCH("おやつ",貼り付け用!$3:$3,0),"",
IF(VLOOKUP($A80,貼り付け用!$A$1:$BA$300,COLUMN(),FALSE)=0,"",VLOOKUP($A80,貼り付け用!$A$1:$BA$300,COLUMN(),FALSE))),"")</f>
        <v/>
      </c>
      <c r="M80" s="50" t="str">
        <f>IF($A80&lt;&gt;"",
IF(COLUMN(貼り付け用!M80)&gt;MATCH("おやつ",貼り付け用!$3:$3,0),"",
IF(VLOOKUP($A80,貼り付け用!$A$1:$BA$300,COLUMN(),FALSE)=0,"",VLOOKUP($A80,貼り付け用!$A$1:$BA$300,COLUMN(),FALSE))),"")</f>
        <v/>
      </c>
      <c r="N80" s="50" t="str">
        <f>IF($A80&lt;&gt;"",
IF(COLUMN(貼り付け用!N80)&gt;MATCH("おやつ",貼り付け用!$3:$3,0),"",
IF(VLOOKUP($A80,貼り付け用!$A$1:$BA$300,COLUMN(),FALSE)=0,"",VLOOKUP($A80,貼り付け用!$A$1:$BA$300,COLUMN(),FALSE))),"")</f>
        <v/>
      </c>
      <c r="O80" s="50" t="str">
        <f>IF($A80&lt;&gt;"",
IF(COLUMN(貼り付け用!O80)&gt;MATCH("おやつ",貼り付け用!$3:$3,0),"",
IF(VLOOKUP($A80,貼り付け用!$A$1:$BA$300,COLUMN(),FALSE)=0,"",VLOOKUP($A80,貼り付け用!$A$1:$BA$300,COLUMN(),FALSE))),"")</f>
        <v/>
      </c>
      <c r="P80" s="50" t="str">
        <f>IF($A80&lt;&gt;"",
IF(COLUMN(貼り付け用!P80)&gt;MATCH("おやつ",貼り付け用!$3:$3,0),"",
IF(VLOOKUP($A80,貼り付け用!$A$1:$BA$300,COLUMN(),FALSE)=0,"",VLOOKUP($A80,貼り付け用!$A$1:$BA$300,COLUMN(),FALSE))),"")</f>
        <v/>
      </c>
      <c r="Q80" s="50" t="str">
        <f>IF($A80&lt;&gt;"",
IF(COLUMN(貼り付け用!Q80)&gt;MATCH("おやつ",貼り付け用!$3:$3,0),"",
IF(VLOOKUP($A80,貼り付け用!$A$1:$BA$300,COLUMN(),FALSE)=0,"",VLOOKUP($A80,貼り付け用!$A$1:$BA$300,COLUMN(),FALSE))),"")</f>
        <v/>
      </c>
      <c r="R80" s="50" t="str">
        <f>IF($A80&lt;&gt;"",
IF(COLUMN(貼り付け用!R80)&gt;MATCH("おやつ",貼り付け用!$3:$3,0),"",
IF(VLOOKUP($A80,貼り付け用!$A$1:$BA$300,COLUMN(),FALSE)=0,"",VLOOKUP($A80,貼り付け用!$A$1:$BA$300,COLUMN(),FALSE))),"")</f>
        <v/>
      </c>
      <c r="S80" s="50" t="str">
        <f>IF($A80&lt;&gt;"",
IF(COLUMN(貼り付け用!S80)&gt;MATCH("おやつ",貼り付け用!$3:$3,0),"",
IF(VLOOKUP($A80,貼り付け用!$A$1:$BA$300,COLUMN(),FALSE)=0,"",VLOOKUP($A80,貼り付け用!$A$1:$BA$300,COLUMN(),FALSE))),"")</f>
        <v/>
      </c>
      <c r="T80" s="50" t="str">
        <f>IF(COLUMN(貼り付け用!T80)&gt;MATCH("おやつ",貼り付け用!$3:$3,0),"",
IF(VLOOKUP($A80,貼り付け用!$A$1:$BA$300,COLUMN(),FALSE)=0,"",VLOOKUP($A80,貼り付け用!$A$1:$BA$300,COLUMN(),FALSE)))</f>
        <v/>
      </c>
      <c r="U80" s="23"/>
      <c r="V80" s="21" t="str">
        <f>IF(A80&lt;&gt;"",
IF(VLOOKUP($A80,貼り付け用!$A$1:$BA$300,MATCH("おやつ",貼り付け用!$3:$3,0)+1,FALSE)=0,"",VLOOKUP($A80,貼り付け用!$A$1:$BA$300,MATCH("おやつ",貼り付け用!$3:$3,0)+1,FALSE)),"")</f>
        <v>おかわり用保温箱2K×1 先生+4</v>
      </c>
      <c r="W80" s="50" t="str">
        <f>IF(A80&lt;&gt;"",
IF(VLOOKUP($A80,貼り付け用!$A$1:$BA$300,MATCH("おやつ",貼り付け用!$3:$3,0)+2,FALSE)=0,"",VLOOKUP($A80,貼り付け用!$A$1:$BA$300,MATCH("おやつ",貼り付け用!$3:$3,0)+2,FALSE)),"")</f>
        <v/>
      </c>
    </row>
    <row r="81" spans="1:23" x14ac:dyDescent="0.45">
      <c r="A81" s="22" t="str">
        <f>IF(貼り付け用!$A$6&lt;&gt;"",
IF(ROW(A80)+1&gt;=MATCH("*【合計】*", 貼り付け用!$A:$A, 0),"",
IF(貼り付け用!A81&lt;&gt;"",貼り付け用!A81,"")),
IF(ROW(A81)+1&gt;=MATCH("*【合計】*", 貼り付け用!$A:$A, 0),"",
IF(貼り付け用!A82&lt;&gt;"",貼り付け用!A82,"")))</f>
        <v>南ヶ丘第二幼稚園</v>
      </c>
      <c r="B81" s="45" t="str">
        <f>IF($A81&lt;&gt;"",IF(VLOOKUP($A81,貼り付け用!$A$1:$BA$300,COLUMN(),FALSE)=0,"",VLOOKUP($A81,貼り付け用!$A$1:$BA$300,COLUMN(),FALSE)),"")</f>
        <v/>
      </c>
      <c r="C81" s="45" t="str">
        <f>IF($A81&lt;&gt;"",IF(VLOOKUP($A81,貼り付け用!$A$1:$BA$300,COLUMN(),FALSE)=0,"",VLOOKUP($A81,貼り付け用!$A$1:$BA$300,COLUMN(),FALSE)),"")</f>
        <v/>
      </c>
      <c r="D81" s="45" t="str">
        <f>IF($A81&lt;&gt;"",IF(VLOOKUP($A81,貼り付け用!$A$1:$BA$300,COLUMN(),FALSE)=0,"",VLOOKUP($A81,貼り付け用!$A$1:$BA$300,COLUMN(),FALSE)),"")</f>
        <v/>
      </c>
      <c r="E81" s="45" t="str">
        <f>IF($A81&lt;&gt;"",IF(VLOOKUP($A81,貼り付け用!$A$1:$BA$300,COLUMN(),FALSE)=0,"",VLOOKUP($A81,貼り付け用!$A$1:$BA$300,COLUMN(),FALSE)),"")</f>
        <v/>
      </c>
      <c r="F81" s="45" t="str">
        <f>IF($A81&lt;&gt;"",IF(VLOOKUP($A81,貼り付け用!$A$1:$BA$300,COLUMN(),FALSE)=0,"",VLOOKUP($A81,貼り付け用!$A$1:$BA$300,COLUMN(),FALSE)),"")</f>
        <v/>
      </c>
      <c r="G81" s="45" t="str">
        <f>IF($A81&lt;&gt;"",IF(VLOOKUP($A81,貼り付け用!$A$1:$BA$300,COLUMN(),FALSE)=0,"",VLOOKUP($A81,貼り付け用!$A$1:$BA$300,COLUMN(),FALSE)),"")</f>
        <v>24</v>
      </c>
      <c r="H81" s="45" t="str">
        <f>IF($A81&lt;&gt;"",IF(VLOOKUP($A81,貼り付け用!$A$1:$BA$300,COLUMN(),FALSE)=0,"",VLOOKUP($A81,貼り付け用!$A$1:$BA$300,COLUMN(),FALSE)),"")</f>
        <v/>
      </c>
      <c r="I81" s="45" t="str">
        <f>IF($A81&lt;&gt;"",IF(VLOOKUP($A81,貼り付け用!$A$1:$BA$300,COLUMN(),FALSE)=0,"",VLOOKUP($A81,貼り付け用!$A$1:$BA$300,COLUMN(),FALSE)),"")</f>
        <v/>
      </c>
      <c r="J81" s="45" t="str">
        <f>IF($A81&lt;&gt;"",IF(VLOOKUP($A81,貼り付け用!$A$1:$BA$300,COLUMN(),FALSE)=0,"",VLOOKUP($A81,貼り付け用!$A$1:$BA$300,COLUMN(),FALSE)),"")</f>
        <v/>
      </c>
      <c r="K81" s="45" t="str">
        <f>IF($A81&lt;&gt;"",IF(VLOOKUP($A81,貼り付け用!$A$1:$BA$300,COLUMN(),FALSE)=0,"",VLOOKUP($A81,貼り付け用!$A$1:$BA$300,COLUMN(),FALSE)),"")</f>
        <v/>
      </c>
      <c r="L81" s="45" t="str">
        <f>IF($A81&lt;&gt;"",
IF(COLUMN(貼り付け用!L81)&gt;MATCH("おやつ",貼り付け用!$3:$3,0),"",
IF(VLOOKUP($A81,貼り付け用!$A$1:$BA$300,COLUMN(),FALSE)=0,"",VLOOKUP($A81,貼り付け用!$A$1:$BA$300,COLUMN(),FALSE))),"")</f>
        <v/>
      </c>
      <c r="M81" s="45" t="str">
        <f>IF($A81&lt;&gt;"",
IF(COLUMN(貼り付け用!M81)&gt;MATCH("おやつ",貼り付け用!$3:$3,0),"",
IF(VLOOKUP($A81,貼り付け用!$A$1:$BA$300,COLUMN(),FALSE)=0,"",VLOOKUP($A81,貼り付け用!$A$1:$BA$300,COLUMN(),FALSE))),"")</f>
        <v/>
      </c>
      <c r="N81" s="45" t="str">
        <f>IF($A81&lt;&gt;"",
IF(COLUMN(貼り付け用!N81)&gt;MATCH("おやつ",貼り付け用!$3:$3,0),"",
IF(VLOOKUP($A81,貼り付け用!$A$1:$BA$300,COLUMN(),FALSE)=0,"",VLOOKUP($A81,貼り付け用!$A$1:$BA$300,COLUMN(),FALSE))),"")</f>
        <v/>
      </c>
      <c r="O81" s="45" t="str">
        <f>IF($A81&lt;&gt;"",
IF(COLUMN(貼り付け用!O81)&gt;MATCH("おやつ",貼り付け用!$3:$3,0),"",
IF(VLOOKUP($A81,貼り付け用!$A$1:$BA$300,COLUMN(),FALSE)=0,"",VLOOKUP($A81,貼り付け用!$A$1:$BA$300,COLUMN(),FALSE))),"")</f>
        <v/>
      </c>
      <c r="P81" s="45" t="str">
        <f>IF($A81&lt;&gt;"",
IF(COLUMN(貼り付け用!P81)&gt;MATCH("おやつ",貼り付け用!$3:$3,0),"",
IF(VLOOKUP($A81,貼り付け用!$A$1:$BA$300,COLUMN(),FALSE)=0,"",VLOOKUP($A81,貼り付け用!$A$1:$BA$300,COLUMN(),FALSE))),"")</f>
        <v/>
      </c>
      <c r="Q81" s="45" t="str">
        <f>IF($A81&lt;&gt;"",
IF(COLUMN(貼り付け用!Q81)&gt;MATCH("おやつ",貼り付け用!$3:$3,0),"",
IF(VLOOKUP($A81,貼り付け用!$A$1:$BA$300,COLUMN(),FALSE)=0,"",VLOOKUP($A81,貼り付け用!$A$1:$BA$300,COLUMN(),FALSE))),"")</f>
        <v/>
      </c>
      <c r="R81" s="45" t="str">
        <f>IF($A81&lt;&gt;"",
IF(COLUMN(貼り付け用!R81)&gt;MATCH("おやつ",貼り付け用!$3:$3,0),"",
IF(VLOOKUP($A81,貼り付け用!$A$1:$BA$300,COLUMN(),FALSE)=0,"",VLOOKUP($A81,貼り付け用!$A$1:$BA$300,COLUMN(),FALSE))),"")</f>
        <v/>
      </c>
      <c r="S81" s="45" t="str">
        <f>IF($A81&lt;&gt;"",
IF(COLUMN(貼り付け用!S81)&gt;MATCH("おやつ",貼り付け用!$3:$3,0),"",
IF(VLOOKUP($A81,貼り付け用!$A$1:$BA$300,COLUMN(),FALSE)=0,"",VLOOKUP($A81,貼り付け用!$A$1:$BA$300,COLUMN(),FALSE))),"")</f>
        <v/>
      </c>
      <c r="T81" s="45" t="str">
        <f>IF(COLUMN(貼り付け用!T81)&gt;MATCH("おやつ",貼り付け用!$3:$3,0),"",
IF(VLOOKUP($A81,貼り付け用!$A$1:$BA$300,COLUMN(),FALSE)=0,"",VLOOKUP($A81,貼り付け用!$A$1:$BA$300,COLUMN(),FALSE)))</f>
        <v/>
      </c>
      <c r="U81" s="24"/>
      <c r="V81" s="21" t="str">
        <f>IF(A81&lt;&gt;"",
IF(VLOOKUP($A81,貼り付け用!$A$1:$BA$300,MATCH("おやつ",貼り付け用!$3:$3,0)+1,FALSE)=0,"",VLOOKUP($A81,貼り付け用!$A$1:$BA$300,MATCH("おやつ",貼り付け用!$3:$3,0)+1,FALSE)),"")</f>
        <v/>
      </c>
      <c r="W81" s="50" t="str">
        <f>IF(A81&lt;&gt;"",
IF(VLOOKUP($A81,貼り付け用!$A$1:$BA$300,MATCH("おやつ",貼り付け用!$3:$3,0)+2,FALSE)=0,"",VLOOKUP($A81,貼り付け用!$A$1:$BA$300,MATCH("おやつ",貼り付け用!$3:$3,0)+2,FALSE)),"")</f>
        <v/>
      </c>
    </row>
    <row r="82" spans="1:23" x14ac:dyDescent="0.45">
      <c r="A82" s="10" t="str">
        <f>IF(貼り付け用!$A$6&lt;&gt;"",
IF(ROW(A81)+1&gt;=MATCH("*【合計】*", 貼り付け用!$A:$A, 0),
"",
IF(貼り付け用!A82&lt;&gt;"",貼り付け用!A82,"")),
IF(ROW(A82)+1&gt;=MATCH("*【合計】*", 貼り付け用!$A:$A, 0),
"",
IF(貼り付け用!A83&lt;&gt;"",貼り付け用!A83,"")))</f>
        <v>1800</v>
      </c>
      <c r="B82" s="50" t="str">
        <f>IF($A82&lt;&gt;"",IF(VLOOKUP($A82,貼り付け用!$A$1:$BA$300,COLUMN(),FALSE)=0,"",VLOOKUP($A82,貼り付け用!$A$1:$BA$300,COLUMN(),FALSE)),"")</f>
        <v/>
      </c>
      <c r="C82" s="50" t="str">
        <f>IF($A82&lt;&gt;"",IF(VLOOKUP($A82,貼り付け用!$A$1:$BA$300,COLUMN(),FALSE)=0,"",VLOOKUP($A82,貼り付け用!$A$1:$BA$300,COLUMN(),FALSE)),"")</f>
        <v/>
      </c>
      <c r="D82" s="50" t="str">
        <f>IF($A82&lt;&gt;"",IF(VLOOKUP($A82,貼り付け用!$A$1:$BA$300,COLUMN(),FALSE)=0,"",VLOOKUP($A82,貼り付け用!$A$1:$BA$300,COLUMN(),FALSE)),"")</f>
        <v/>
      </c>
      <c r="E82" s="50" t="str">
        <f>IF($A82&lt;&gt;"",IF(VLOOKUP($A82,貼り付け用!$A$1:$BA$300,COLUMN(),FALSE)=0,"",VLOOKUP($A82,貼り付け用!$A$1:$BA$300,COLUMN(),FALSE)),"")</f>
        <v/>
      </c>
      <c r="F82" s="50" t="str">
        <f>IF($A82&lt;&gt;"",IF(VLOOKUP($A82,貼り付け用!$A$1:$BA$300,COLUMN(),FALSE)=0,"",VLOOKUP($A82,貼り付け用!$A$1:$BA$300,COLUMN(),FALSE)),"")</f>
        <v/>
      </c>
      <c r="G82" s="50" t="str">
        <f>IF($A82&lt;&gt;"",IF(VLOOKUP($A82,貼り付け用!$A$1:$BA$300,COLUMN(),FALSE)=0,"",VLOOKUP($A82,貼り付け用!$A$1:$BA$300,COLUMN(),FALSE)),"")</f>
        <v>89</v>
      </c>
      <c r="H82" s="50" t="str">
        <f>IF($A82&lt;&gt;"",IF(VLOOKUP($A82,貼り付け用!$A$1:$BA$300,COLUMN(),FALSE)=0,"",VLOOKUP($A82,貼り付け用!$A$1:$BA$300,COLUMN(),FALSE)),"")</f>
        <v/>
      </c>
      <c r="I82" s="50" t="str">
        <f>IF($A82&lt;&gt;"",IF(VLOOKUP($A82,貼り付け用!$A$1:$BA$300,COLUMN(),FALSE)=0,"",VLOOKUP($A82,貼り付け用!$A$1:$BA$300,COLUMN(),FALSE)),"")</f>
        <v/>
      </c>
      <c r="J82" s="50" t="str">
        <f>IF($A82&lt;&gt;"",IF(VLOOKUP($A82,貼り付け用!$A$1:$BA$300,COLUMN(),FALSE)=0,"",VLOOKUP($A82,貼り付け用!$A$1:$BA$300,COLUMN(),FALSE)),"")</f>
        <v>11</v>
      </c>
      <c r="K82" s="50" t="str">
        <f>IF($A82&lt;&gt;"",IF(VLOOKUP($A82,貼り付け用!$A$1:$BA$300,COLUMN(),FALSE)=0,"",VLOOKUP($A82,貼り付け用!$A$1:$BA$300,COLUMN(),FALSE)),"")</f>
        <v/>
      </c>
      <c r="L82" s="50" t="str">
        <f>IF($A82&lt;&gt;"",
IF(COLUMN(貼り付け用!L82)&gt;MATCH("おやつ",貼り付け用!$3:$3,0),"",
IF(VLOOKUP($A82,貼り付け用!$A$1:$BA$300,COLUMN(),FALSE)=0,"",VLOOKUP($A82,貼り付け用!$A$1:$BA$300,COLUMN(),FALSE))),"")</f>
        <v/>
      </c>
      <c r="M82" s="50" t="str">
        <f>IF($A82&lt;&gt;"",
IF(COLUMN(貼り付け用!M82)&gt;MATCH("おやつ",貼り付け用!$3:$3,0),"",
IF(VLOOKUP($A82,貼り付け用!$A$1:$BA$300,COLUMN(),FALSE)=0,"",VLOOKUP($A82,貼り付け用!$A$1:$BA$300,COLUMN(),FALSE))),"")</f>
        <v/>
      </c>
      <c r="N82" s="50" t="str">
        <f>IF($A82&lt;&gt;"",
IF(COLUMN(貼り付け用!N82)&gt;MATCH("おやつ",貼り付け用!$3:$3,0),"",
IF(VLOOKUP($A82,貼り付け用!$A$1:$BA$300,COLUMN(),FALSE)=0,"",VLOOKUP($A82,貼り付け用!$A$1:$BA$300,COLUMN(),FALSE))),"")</f>
        <v/>
      </c>
      <c r="O82" s="50" t="str">
        <f>IF($A82&lt;&gt;"",
IF(COLUMN(貼り付け用!O82)&gt;MATCH("おやつ",貼り付け用!$3:$3,0),"",
IF(VLOOKUP($A82,貼り付け用!$A$1:$BA$300,COLUMN(),FALSE)=0,"",VLOOKUP($A82,貼り付け用!$A$1:$BA$300,COLUMN(),FALSE))),"")</f>
        <v/>
      </c>
      <c r="P82" s="50" t="str">
        <f>IF($A82&lt;&gt;"",
IF(COLUMN(貼り付け用!P82)&gt;MATCH("おやつ",貼り付け用!$3:$3,0),"",
IF(VLOOKUP($A82,貼り付け用!$A$1:$BA$300,COLUMN(),FALSE)=0,"",VLOOKUP($A82,貼り付け用!$A$1:$BA$300,COLUMN(),FALSE))),"")</f>
        <v/>
      </c>
      <c r="Q82" s="50" t="str">
        <f>IF($A82&lt;&gt;"",
IF(COLUMN(貼り付け用!Q82)&gt;MATCH("おやつ",貼り付け用!$3:$3,0),"",
IF(VLOOKUP($A82,貼り付け用!$A$1:$BA$300,COLUMN(),FALSE)=0,"",VLOOKUP($A82,貼り付け用!$A$1:$BA$300,COLUMN(),FALSE))),"")</f>
        <v/>
      </c>
      <c r="R82" s="50" t="str">
        <f>IF($A82&lt;&gt;"",
IF(COLUMN(貼り付け用!R82)&gt;MATCH("おやつ",貼り付け用!$3:$3,0),"",
IF(VLOOKUP($A82,貼り付け用!$A$1:$BA$300,COLUMN(),FALSE)=0,"",VLOOKUP($A82,貼り付け用!$A$1:$BA$300,COLUMN(),FALSE))),"")</f>
        <v/>
      </c>
      <c r="S82" s="50" t="str">
        <f>IF($A82&lt;&gt;"",
IF(COLUMN(貼り付け用!S82)&gt;MATCH("おやつ",貼り付け用!$3:$3,0),"",
IF(VLOOKUP($A82,貼り付け用!$A$1:$BA$300,COLUMN(),FALSE)=0,"",VLOOKUP($A82,貼り付け用!$A$1:$BA$300,COLUMN(),FALSE))),"")</f>
        <v/>
      </c>
      <c r="T82" s="50" t="str">
        <f>IF(COLUMN(貼り付け用!T82)&gt;MATCH("おやつ",貼り付け用!$3:$3,0),"",
IF(VLOOKUP($A82,貼り付け用!$A$1:$BA$300,COLUMN(),FALSE)=0,"",VLOOKUP($A82,貼り付け用!$A$1:$BA$300,COLUMN(),FALSE)))</f>
        <v/>
      </c>
      <c r="U82" s="23"/>
      <c r="V82" s="21" t="str">
        <f>IF(A82&lt;&gt;"",
IF(VLOOKUP($A82,貼り付け用!$A$1:$BA$300,MATCH("おやつ",貼り付け用!$3:$3,0)+1,FALSE)=0,"",VLOOKUP($A82,貼り付け用!$A$1:$BA$300,MATCH("おやつ",貼り付け用!$3:$3,0)+1,FALSE)),"")</f>
        <v>おかわり用保温箱2K×1</v>
      </c>
      <c r="W82" s="50" t="str">
        <f>IF(A82&lt;&gt;"",
IF(VLOOKUP($A82,貼り付け用!$A$1:$BA$300,MATCH("おやつ",貼り付け用!$3:$3,0)+2,FALSE)=0,"",VLOOKUP($A82,貼り付け用!$A$1:$BA$300,MATCH("おやつ",貼り付け用!$3:$3,0)+2,FALSE)),"")</f>
        <v/>
      </c>
    </row>
    <row r="83" spans="1:23" x14ac:dyDescent="0.45">
      <c r="A83" s="22" t="str">
        <f>IF(貼り付け用!$A$6&lt;&gt;"",
IF(ROW(A82)+1&gt;=MATCH("*【合計】*", 貼り付け用!$A:$A, 0),"",
IF(貼り付け用!A83&lt;&gt;"",貼り付け用!A83,"")),
IF(ROW(A83)+1&gt;=MATCH("*【合計】*", 貼り付け用!$A:$A, 0),"",
IF(貼り付け用!A84&lt;&gt;"",貼り付け用!A84,"")))</f>
        <v>月の浦幼稚園</v>
      </c>
      <c r="B83" s="45" t="str">
        <f>IF($A83&lt;&gt;"",IF(VLOOKUP($A83,貼り付け用!$A$1:$BA$300,COLUMN(),FALSE)=0,"",VLOOKUP($A83,貼り付け用!$A$1:$BA$300,COLUMN(),FALSE)),"")</f>
        <v/>
      </c>
      <c r="C83" s="45" t="str">
        <f>IF($A83&lt;&gt;"",IF(VLOOKUP($A83,貼り付け用!$A$1:$BA$300,COLUMN(),FALSE)=0,"",VLOOKUP($A83,貼り付け用!$A$1:$BA$300,COLUMN(),FALSE)),"")</f>
        <v/>
      </c>
      <c r="D83" s="45" t="str">
        <f>IF($A83&lt;&gt;"",IF(VLOOKUP($A83,貼り付け用!$A$1:$BA$300,COLUMN(),FALSE)=0,"",VLOOKUP($A83,貼り付け用!$A$1:$BA$300,COLUMN(),FALSE)),"")</f>
        <v/>
      </c>
      <c r="E83" s="45" t="str">
        <f>IF($A83&lt;&gt;"",IF(VLOOKUP($A83,貼り付け用!$A$1:$BA$300,COLUMN(),FALSE)=0,"",VLOOKUP($A83,貼り付け用!$A$1:$BA$300,COLUMN(),FALSE)),"")</f>
        <v/>
      </c>
      <c r="F83" s="45" t="str">
        <f>IF($A83&lt;&gt;"",IF(VLOOKUP($A83,貼り付け用!$A$1:$BA$300,COLUMN(),FALSE)=0,"",VLOOKUP($A83,貼り付け用!$A$1:$BA$300,COLUMN(),FALSE)),"")</f>
        <v/>
      </c>
      <c r="G83" s="45" t="str">
        <f>IF($A83&lt;&gt;"",IF(VLOOKUP($A83,貼り付け用!$A$1:$BA$300,COLUMN(),FALSE)=0,"",VLOOKUP($A83,貼り付け用!$A$1:$BA$300,COLUMN(),FALSE)),"")</f>
        <v>12</v>
      </c>
      <c r="H83" s="45" t="str">
        <f>IF($A83&lt;&gt;"",IF(VLOOKUP($A83,貼り付け用!$A$1:$BA$300,COLUMN(),FALSE)=0,"",VLOOKUP($A83,貼り付け用!$A$1:$BA$300,COLUMN(),FALSE)),"")</f>
        <v/>
      </c>
      <c r="I83" s="45" t="str">
        <f>IF($A83&lt;&gt;"",IF(VLOOKUP($A83,貼り付け用!$A$1:$BA$300,COLUMN(),FALSE)=0,"",VLOOKUP($A83,貼り付け用!$A$1:$BA$300,COLUMN(),FALSE)),"")</f>
        <v/>
      </c>
      <c r="J83" s="45" t="str">
        <f>IF($A83&lt;&gt;"",IF(VLOOKUP($A83,貼り付け用!$A$1:$BA$300,COLUMN(),FALSE)=0,"",VLOOKUP($A83,貼り付け用!$A$1:$BA$300,COLUMN(),FALSE)),"")</f>
        <v/>
      </c>
      <c r="K83" s="45" t="str">
        <f>IF($A83&lt;&gt;"",IF(VLOOKUP($A83,貼り付け用!$A$1:$BA$300,COLUMN(),FALSE)=0,"",VLOOKUP($A83,貼り付け用!$A$1:$BA$300,COLUMN(),FALSE)),"")</f>
        <v/>
      </c>
      <c r="L83" s="45" t="str">
        <f>IF($A83&lt;&gt;"",
IF(COLUMN(貼り付け用!L83)&gt;MATCH("おやつ",貼り付け用!$3:$3,0),"",
IF(VLOOKUP($A83,貼り付け用!$A$1:$BA$300,COLUMN(),FALSE)=0,"",VLOOKUP($A83,貼り付け用!$A$1:$BA$300,COLUMN(),FALSE))),"")</f>
        <v/>
      </c>
      <c r="M83" s="45" t="str">
        <f>IF($A83&lt;&gt;"",
IF(COLUMN(貼り付け用!M83)&gt;MATCH("おやつ",貼り付け用!$3:$3,0),"",
IF(VLOOKUP($A83,貼り付け用!$A$1:$BA$300,COLUMN(),FALSE)=0,"",VLOOKUP($A83,貼り付け用!$A$1:$BA$300,COLUMN(),FALSE))),"")</f>
        <v/>
      </c>
      <c r="N83" s="45" t="str">
        <f>IF($A83&lt;&gt;"",
IF(COLUMN(貼り付け用!N83)&gt;MATCH("おやつ",貼り付け用!$3:$3,0),"",
IF(VLOOKUP($A83,貼り付け用!$A$1:$BA$300,COLUMN(),FALSE)=0,"",VLOOKUP($A83,貼り付け用!$A$1:$BA$300,COLUMN(),FALSE))),"")</f>
        <v/>
      </c>
      <c r="O83" s="45" t="str">
        <f>IF($A83&lt;&gt;"",
IF(COLUMN(貼り付け用!O83)&gt;MATCH("おやつ",貼り付け用!$3:$3,0),"",
IF(VLOOKUP($A83,貼り付け用!$A$1:$BA$300,COLUMN(),FALSE)=0,"",VLOOKUP($A83,貼り付け用!$A$1:$BA$300,COLUMN(),FALSE))),"")</f>
        <v/>
      </c>
      <c r="P83" s="45" t="str">
        <f>IF($A83&lt;&gt;"",
IF(COLUMN(貼り付け用!P83)&gt;MATCH("おやつ",貼り付け用!$3:$3,0),"",
IF(VLOOKUP($A83,貼り付け用!$A$1:$BA$300,COLUMN(),FALSE)=0,"",VLOOKUP($A83,貼り付け用!$A$1:$BA$300,COLUMN(),FALSE))),"")</f>
        <v/>
      </c>
      <c r="Q83" s="45" t="str">
        <f>IF($A83&lt;&gt;"",
IF(COLUMN(貼り付け用!Q83)&gt;MATCH("おやつ",貼り付け用!$3:$3,0),"",
IF(VLOOKUP($A83,貼り付け用!$A$1:$BA$300,COLUMN(),FALSE)=0,"",VLOOKUP($A83,貼り付け用!$A$1:$BA$300,COLUMN(),FALSE))),"")</f>
        <v/>
      </c>
      <c r="R83" s="45" t="str">
        <f>IF($A83&lt;&gt;"",
IF(COLUMN(貼り付け用!R83)&gt;MATCH("おやつ",貼り付け用!$3:$3,0),"",
IF(VLOOKUP($A83,貼り付け用!$A$1:$BA$300,COLUMN(),FALSE)=0,"",VLOOKUP($A83,貼り付け用!$A$1:$BA$300,COLUMN(),FALSE))),"")</f>
        <v/>
      </c>
      <c r="S83" s="45" t="str">
        <f>IF($A83&lt;&gt;"",
IF(COLUMN(貼り付け用!S83)&gt;MATCH("おやつ",貼り付け用!$3:$3,0),"",
IF(VLOOKUP($A83,貼り付け用!$A$1:$BA$300,COLUMN(),FALSE)=0,"",VLOOKUP($A83,貼り付け用!$A$1:$BA$300,COLUMN(),FALSE))),"")</f>
        <v/>
      </c>
      <c r="T83" s="45" t="str">
        <f>IF(COLUMN(貼り付け用!T83)&gt;MATCH("おやつ",貼り付け用!$3:$3,0),"",
IF(VLOOKUP($A83,貼り付け用!$A$1:$BA$300,COLUMN(),FALSE)=0,"",VLOOKUP($A83,貼り付け用!$A$1:$BA$300,COLUMN(),FALSE)))</f>
        <v/>
      </c>
      <c r="U83" s="24"/>
      <c r="V83" s="21" t="str">
        <f>IF(A83&lt;&gt;"",
IF(VLOOKUP($A83,貼り付け用!$A$1:$BA$300,MATCH("おやつ",貼り付け用!$3:$3,0)+1,FALSE)=0,"",VLOOKUP($A83,貼り付け用!$A$1:$BA$300,MATCH("おやつ",貼り付け用!$3:$3,0)+1,FALSE)),"")</f>
        <v/>
      </c>
      <c r="W83" s="50" t="str">
        <f>IF(A83&lt;&gt;"",
IF(VLOOKUP($A83,貼り付け用!$A$1:$BA$300,MATCH("おやつ",貼り付け用!$3:$3,0)+2,FALSE)=0,"",VLOOKUP($A83,貼り付け用!$A$1:$BA$300,MATCH("おやつ",貼り付け用!$3:$3,0)+2,FALSE)),"")</f>
        <v/>
      </c>
    </row>
    <row r="84" spans="1:23" x14ac:dyDescent="0.45">
      <c r="A84" s="10" t="str">
        <f>IF(貼り付け用!$A$6&lt;&gt;"",
IF(ROW(A83)+1&gt;=MATCH("*【合計】*", 貼り付け用!$A:$A, 0),
"",
IF(貼り付け用!A84&lt;&gt;"",貼り付け用!A84,"")),
IF(ROW(A84)+1&gt;=MATCH("*【合計】*", 貼り付け用!$A:$A, 0),
"",
IF(貼り付け用!A85&lt;&gt;"",貼り付け用!A85,"")))</f>
        <v>7800</v>
      </c>
      <c r="B84" s="50" t="str">
        <f>IF($A84&lt;&gt;"",IF(VLOOKUP($A84,貼り付け用!$A$1:$BA$300,COLUMN(),FALSE)=0,"",VLOOKUP($A84,貼り付け用!$A$1:$BA$300,COLUMN(),FALSE)),"")</f>
        <v/>
      </c>
      <c r="C84" s="50" t="str">
        <f>IF($A84&lt;&gt;"",IF(VLOOKUP($A84,貼り付け用!$A$1:$BA$300,COLUMN(),FALSE)=0,"",VLOOKUP($A84,貼り付け用!$A$1:$BA$300,COLUMN(),FALSE)),"")</f>
        <v/>
      </c>
      <c r="D84" s="50" t="str">
        <f>IF($A84&lt;&gt;"",IF(VLOOKUP($A84,貼り付け用!$A$1:$BA$300,COLUMN(),FALSE)=0,"",VLOOKUP($A84,貼り付け用!$A$1:$BA$300,COLUMN(),FALSE)),"")</f>
        <v/>
      </c>
      <c r="E84" s="50" t="str">
        <f>IF($A84&lt;&gt;"",IF(VLOOKUP($A84,貼り付け用!$A$1:$BA$300,COLUMN(),FALSE)=0,"",VLOOKUP($A84,貼り付け用!$A$1:$BA$300,COLUMN(),FALSE)),"")</f>
        <v/>
      </c>
      <c r="F84" s="50" t="str">
        <f>IF($A84&lt;&gt;"",IF(VLOOKUP($A84,貼り付け用!$A$1:$BA$300,COLUMN(),FALSE)=0,"",VLOOKUP($A84,貼り付け用!$A$1:$BA$300,COLUMN(),FALSE)),"")</f>
        <v/>
      </c>
      <c r="G84" s="50" t="str">
        <f>IF($A84&lt;&gt;"",IF(VLOOKUP($A84,貼り付け用!$A$1:$BA$300,COLUMN(),FALSE)=0,"",VLOOKUP($A84,貼り付け用!$A$1:$BA$300,COLUMN(),FALSE)),"")</f>
        <v>148</v>
      </c>
      <c r="H84" s="50" t="str">
        <f>IF($A84&lt;&gt;"",IF(VLOOKUP($A84,貼り付け用!$A$1:$BA$300,COLUMN(),FALSE)=0,"",VLOOKUP($A84,貼り付け用!$A$1:$BA$300,COLUMN(),FALSE)),"")</f>
        <v/>
      </c>
      <c r="I84" s="50" t="str">
        <f>IF($A84&lt;&gt;"",IF(VLOOKUP($A84,貼り付け用!$A$1:$BA$300,COLUMN(),FALSE)=0,"",VLOOKUP($A84,貼り付け用!$A$1:$BA$300,COLUMN(),FALSE)),"")</f>
        <v/>
      </c>
      <c r="J84" s="50" t="str">
        <f>IF($A84&lt;&gt;"",IF(VLOOKUP($A84,貼り付け用!$A$1:$BA$300,COLUMN(),FALSE)=0,"",VLOOKUP($A84,貼り付け用!$A$1:$BA$300,COLUMN(),FALSE)),"")</f>
        <v/>
      </c>
      <c r="K84" s="50" t="str">
        <f>IF($A84&lt;&gt;"",IF(VLOOKUP($A84,貼り付け用!$A$1:$BA$300,COLUMN(),FALSE)=0,"",VLOOKUP($A84,貼り付け用!$A$1:$BA$300,COLUMN(),FALSE)),"")</f>
        <v/>
      </c>
      <c r="L84" s="50" t="str">
        <f>IF($A84&lt;&gt;"",
IF(COLUMN(貼り付け用!L84)&gt;MATCH("おやつ",貼り付け用!$3:$3,0),"",
IF(VLOOKUP($A84,貼り付け用!$A$1:$BA$300,COLUMN(),FALSE)=0,"",VLOOKUP($A84,貼り付け用!$A$1:$BA$300,COLUMN(),FALSE))),"")</f>
        <v/>
      </c>
      <c r="M84" s="50" t="str">
        <f>IF($A84&lt;&gt;"",
IF(COLUMN(貼り付け用!M84)&gt;MATCH("おやつ",貼り付け用!$3:$3,0),"",
IF(VLOOKUP($A84,貼り付け用!$A$1:$BA$300,COLUMN(),FALSE)=0,"",VLOOKUP($A84,貼り付け用!$A$1:$BA$300,COLUMN(),FALSE))),"")</f>
        <v/>
      </c>
      <c r="N84" s="50" t="str">
        <f>IF($A84&lt;&gt;"",
IF(COLUMN(貼り付け用!N84)&gt;MATCH("おやつ",貼り付け用!$3:$3,0),"",
IF(VLOOKUP($A84,貼り付け用!$A$1:$BA$300,COLUMN(),FALSE)=0,"",VLOOKUP($A84,貼り付け用!$A$1:$BA$300,COLUMN(),FALSE))),"")</f>
        <v/>
      </c>
      <c r="O84" s="50" t="str">
        <f>IF($A84&lt;&gt;"",
IF(COLUMN(貼り付け用!O84)&gt;MATCH("おやつ",貼り付け用!$3:$3,0),"",
IF(VLOOKUP($A84,貼り付け用!$A$1:$BA$300,COLUMN(),FALSE)=0,"",VLOOKUP($A84,貼り付け用!$A$1:$BA$300,COLUMN(),FALSE))),"")</f>
        <v/>
      </c>
      <c r="P84" s="50" t="str">
        <f>IF($A84&lt;&gt;"",
IF(COLUMN(貼り付け用!P84)&gt;MATCH("おやつ",貼り付け用!$3:$3,0),"",
IF(VLOOKUP($A84,貼り付け用!$A$1:$BA$300,COLUMN(),FALSE)=0,"",VLOOKUP($A84,貼り付け用!$A$1:$BA$300,COLUMN(),FALSE))),"")</f>
        <v/>
      </c>
      <c r="Q84" s="50" t="str">
        <f>IF($A84&lt;&gt;"",
IF(COLUMN(貼り付け用!Q84)&gt;MATCH("おやつ",貼り付け用!$3:$3,0),"",
IF(VLOOKUP($A84,貼り付け用!$A$1:$BA$300,COLUMN(),FALSE)=0,"",VLOOKUP($A84,貼り付け用!$A$1:$BA$300,COLUMN(),FALSE))),"")</f>
        <v/>
      </c>
      <c r="R84" s="50" t="str">
        <f>IF($A84&lt;&gt;"",
IF(COLUMN(貼り付け用!R84)&gt;MATCH("おやつ",貼り付け用!$3:$3,0),"",
IF(VLOOKUP($A84,貼り付け用!$A$1:$BA$300,COLUMN(),FALSE)=0,"",VLOOKUP($A84,貼り付け用!$A$1:$BA$300,COLUMN(),FALSE))),"")</f>
        <v/>
      </c>
      <c r="S84" s="50" t="str">
        <f>IF($A84&lt;&gt;"",
IF(COLUMN(貼り付け用!S84)&gt;MATCH("おやつ",貼り付け用!$3:$3,0),"",
IF(VLOOKUP($A84,貼り付け用!$A$1:$BA$300,COLUMN(),FALSE)=0,"",VLOOKUP($A84,貼り付け用!$A$1:$BA$300,COLUMN(),FALSE))),"")</f>
        <v/>
      </c>
      <c r="T84" s="50" t="str">
        <f>IF(COLUMN(貼り付け用!T84)&gt;MATCH("おやつ",貼り付け用!$3:$3,0),"",
IF(VLOOKUP($A84,貼り付け用!$A$1:$BA$300,COLUMN(),FALSE)=0,"",VLOOKUP($A84,貼り付け用!$A$1:$BA$300,COLUMN(),FALSE)))</f>
        <v/>
      </c>
      <c r="U84" s="23"/>
      <c r="V84" s="21" t="str">
        <f>IF(A84&lt;&gt;"",
IF(VLOOKUP($A84,貼り付け用!$A$1:$BA$300,MATCH("おやつ",貼り付け用!$3:$3,0)+1,FALSE)=0,"",VLOOKUP($A84,貼り付け用!$A$1:$BA$300,MATCH("おやつ",貼り付け用!$3:$3,0)+1,FALSE)),"")</f>
        <v/>
      </c>
      <c r="W84" s="50" t="str">
        <f>IF(A84&lt;&gt;"",
IF(VLOOKUP($A84,貼り付け用!$A$1:$BA$300,MATCH("おやつ",貼り付け用!$3:$3,0)+2,FALSE)=0,"",VLOOKUP($A84,貼り付け用!$A$1:$BA$300,MATCH("おやつ",貼り付け用!$3:$3,0)+2,FALSE)),"")</f>
        <v/>
      </c>
    </row>
    <row r="85" spans="1:23" x14ac:dyDescent="0.45">
      <c r="A85" s="22" t="str">
        <f>IF(貼り付け用!$A$6&lt;&gt;"",
IF(ROW(A84)+1&gt;=MATCH("*【合計】*", 貼り付け用!$A:$A, 0),"",
IF(貼り付け用!A85&lt;&gt;"",貼り付け用!A85,"")),
IF(ROW(A85)+1&gt;=MATCH("*【合計】*", 貼り付け用!$A:$A, 0),"",
IF(貼り付け用!A86&lt;&gt;"",貼り付け用!A86,"")))</f>
        <v>大野南幼稚園</v>
      </c>
      <c r="B85" s="45" t="str">
        <f>IF($A85&lt;&gt;"",IF(VLOOKUP($A85,貼り付け用!$A$1:$BA$300,COLUMN(),FALSE)=0,"",VLOOKUP($A85,貼り付け用!$A$1:$BA$300,COLUMN(),FALSE)),"")</f>
        <v/>
      </c>
      <c r="C85" s="45" t="str">
        <f>IF($A85&lt;&gt;"",IF(VLOOKUP($A85,貼り付け用!$A$1:$BA$300,COLUMN(),FALSE)=0,"",VLOOKUP($A85,貼り付け用!$A$1:$BA$300,COLUMN(),FALSE)),"")</f>
        <v/>
      </c>
      <c r="D85" s="45" t="str">
        <f>IF($A85&lt;&gt;"",IF(VLOOKUP($A85,貼り付け用!$A$1:$BA$300,COLUMN(),FALSE)=0,"",VLOOKUP($A85,貼り付け用!$A$1:$BA$300,COLUMN(),FALSE)),"")</f>
        <v/>
      </c>
      <c r="E85" s="45" t="str">
        <f>IF($A85&lt;&gt;"",IF(VLOOKUP($A85,貼り付け用!$A$1:$BA$300,COLUMN(),FALSE)=0,"",VLOOKUP($A85,貼り付け用!$A$1:$BA$300,COLUMN(),FALSE)),"")</f>
        <v/>
      </c>
      <c r="F85" s="45" t="str">
        <f>IF($A85&lt;&gt;"",IF(VLOOKUP($A85,貼り付け用!$A$1:$BA$300,COLUMN(),FALSE)=0,"",VLOOKUP($A85,貼り付け用!$A$1:$BA$300,COLUMN(),FALSE)),"")</f>
        <v/>
      </c>
      <c r="G85" s="45" t="str">
        <f>IF($A85&lt;&gt;"",IF(VLOOKUP($A85,貼り付け用!$A$1:$BA$300,COLUMN(),FALSE)=0,"",VLOOKUP($A85,貼り付け用!$A$1:$BA$300,COLUMN(),FALSE)),"")</f>
        <v>17</v>
      </c>
      <c r="H85" s="45" t="str">
        <f>IF($A85&lt;&gt;"",IF(VLOOKUP($A85,貼り付け用!$A$1:$BA$300,COLUMN(),FALSE)=0,"",VLOOKUP($A85,貼り付け用!$A$1:$BA$300,COLUMN(),FALSE)),"")</f>
        <v/>
      </c>
      <c r="I85" s="45" t="str">
        <f>IF($A85&lt;&gt;"",IF(VLOOKUP($A85,貼り付け用!$A$1:$BA$300,COLUMN(),FALSE)=0,"",VLOOKUP($A85,貼り付け用!$A$1:$BA$300,COLUMN(),FALSE)),"")</f>
        <v/>
      </c>
      <c r="J85" s="45" t="str">
        <f>IF($A85&lt;&gt;"",IF(VLOOKUP($A85,貼り付け用!$A$1:$BA$300,COLUMN(),FALSE)=0,"",VLOOKUP($A85,貼り付け用!$A$1:$BA$300,COLUMN(),FALSE)),"")</f>
        <v/>
      </c>
      <c r="K85" s="45" t="str">
        <f>IF($A85&lt;&gt;"",IF(VLOOKUP($A85,貼り付け用!$A$1:$BA$300,COLUMN(),FALSE)=0,"",VLOOKUP($A85,貼り付け用!$A$1:$BA$300,COLUMN(),FALSE)),"")</f>
        <v/>
      </c>
      <c r="L85" s="45" t="str">
        <f>IF($A85&lt;&gt;"",
IF(COLUMN(貼り付け用!L85)&gt;MATCH("おやつ",貼り付け用!$3:$3,0),"",
IF(VLOOKUP($A85,貼り付け用!$A$1:$BA$300,COLUMN(),FALSE)=0,"",VLOOKUP($A85,貼り付け用!$A$1:$BA$300,COLUMN(),FALSE))),"")</f>
        <v/>
      </c>
      <c r="M85" s="45" t="str">
        <f>IF($A85&lt;&gt;"",
IF(COLUMN(貼り付け用!M85)&gt;MATCH("おやつ",貼り付け用!$3:$3,0),"",
IF(VLOOKUP($A85,貼り付け用!$A$1:$BA$300,COLUMN(),FALSE)=0,"",VLOOKUP($A85,貼り付け用!$A$1:$BA$300,COLUMN(),FALSE))),"")</f>
        <v/>
      </c>
      <c r="N85" s="45" t="str">
        <f>IF($A85&lt;&gt;"",
IF(COLUMN(貼り付け用!N85)&gt;MATCH("おやつ",貼り付け用!$3:$3,0),"",
IF(VLOOKUP($A85,貼り付け用!$A$1:$BA$300,COLUMN(),FALSE)=0,"",VLOOKUP($A85,貼り付け用!$A$1:$BA$300,COLUMN(),FALSE))),"")</f>
        <v/>
      </c>
      <c r="O85" s="45" t="str">
        <f>IF($A85&lt;&gt;"",
IF(COLUMN(貼り付け用!O85)&gt;MATCH("おやつ",貼り付け用!$3:$3,0),"",
IF(VLOOKUP($A85,貼り付け用!$A$1:$BA$300,COLUMN(),FALSE)=0,"",VLOOKUP($A85,貼り付け用!$A$1:$BA$300,COLUMN(),FALSE))),"")</f>
        <v/>
      </c>
      <c r="P85" s="45" t="str">
        <f>IF($A85&lt;&gt;"",
IF(COLUMN(貼り付け用!P85)&gt;MATCH("おやつ",貼り付け用!$3:$3,0),"",
IF(VLOOKUP($A85,貼り付け用!$A$1:$BA$300,COLUMN(),FALSE)=0,"",VLOOKUP($A85,貼り付け用!$A$1:$BA$300,COLUMN(),FALSE))),"")</f>
        <v/>
      </c>
      <c r="Q85" s="45" t="str">
        <f>IF($A85&lt;&gt;"",
IF(COLUMN(貼り付け用!Q85)&gt;MATCH("おやつ",貼り付け用!$3:$3,0),"",
IF(VLOOKUP($A85,貼り付け用!$A$1:$BA$300,COLUMN(),FALSE)=0,"",VLOOKUP($A85,貼り付け用!$A$1:$BA$300,COLUMN(),FALSE))),"")</f>
        <v/>
      </c>
      <c r="R85" s="45" t="str">
        <f>IF($A85&lt;&gt;"",
IF(COLUMN(貼り付け用!R85)&gt;MATCH("おやつ",貼り付け用!$3:$3,0),"",
IF(VLOOKUP($A85,貼り付け用!$A$1:$BA$300,COLUMN(),FALSE)=0,"",VLOOKUP($A85,貼り付け用!$A$1:$BA$300,COLUMN(),FALSE))),"")</f>
        <v/>
      </c>
      <c r="S85" s="45" t="str">
        <f>IF($A85&lt;&gt;"",
IF(COLUMN(貼り付け用!S85)&gt;MATCH("おやつ",貼り付け用!$3:$3,0),"",
IF(VLOOKUP($A85,貼り付け用!$A$1:$BA$300,COLUMN(),FALSE)=0,"",VLOOKUP($A85,貼り付け用!$A$1:$BA$300,COLUMN(),FALSE))),"")</f>
        <v/>
      </c>
      <c r="T85" s="45" t="str">
        <f>IF(COLUMN(貼り付け用!T85)&gt;MATCH("おやつ",貼り付け用!$3:$3,0),"",
IF(VLOOKUP($A85,貼り付け用!$A$1:$BA$300,COLUMN(),FALSE)=0,"",VLOOKUP($A85,貼り付け用!$A$1:$BA$300,COLUMN(),FALSE)))</f>
        <v/>
      </c>
      <c r="U85" s="24"/>
      <c r="V85" s="21" t="str">
        <f>IF(A85&lt;&gt;"",
IF(VLOOKUP($A85,貼り付け用!$A$1:$BA$300,MATCH("おやつ",貼り付け用!$3:$3,0)+1,FALSE)=0,"",VLOOKUP($A85,貼り付け用!$A$1:$BA$300,MATCH("おやつ",貼り付け用!$3:$3,0)+1,FALSE)),"")</f>
        <v/>
      </c>
      <c r="W85" s="50" t="str">
        <f>IF(A85&lt;&gt;"",
IF(VLOOKUP($A85,貼り付け用!$A$1:$BA$300,MATCH("おやつ",貼り付け用!$3:$3,0)+2,FALSE)=0,"",VLOOKUP($A85,貼り付け用!$A$1:$BA$300,MATCH("おやつ",貼り付け用!$3:$3,0)+2,FALSE)),"")</f>
        <v/>
      </c>
    </row>
    <row r="86" spans="1:23" x14ac:dyDescent="0.45">
      <c r="A86" s="10" t="str">
        <f>IF(貼り付け用!$A$6&lt;&gt;"",
IF(ROW(A85)+1&gt;=MATCH("*【合計】*", 貼り付け用!$A:$A, 0),
"",
IF(貼り付け用!A86&lt;&gt;"",貼り付け用!A86,"")),
IF(ROW(A86)+1&gt;=MATCH("*【合計】*", 貼り付け用!$A:$A, 0),
"",
IF(貼り付け用!A87&lt;&gt;"",貼り付け用!A87,"")))</f>
        <v>12900</v>
      </c>
      <c r="B86" s="50" t="str">
        <f>IF($A86&lt;&gt;"",IF(VLOOKUP($A86,貼り付け用!$A$1:$BA$300,COLUMN(),FALSE)=0,"",VLOOKUP($A86,貼り付け用!$A$1:$BA$300,COLUMN(),FALSE)),"")</f>
        <v/>
      </c>
      <c r="C86" s="50" t="str">
        <f>IF($A86&lt;&gt;"",IF(VLOOKUP($A86,貼り付け用!$A$1:$BA$300,COLUMN(),FALSE)=0,"",VLOOKUP($A86,貼り付け用!$A$1:$BA$300,COLUMN(),FALSE)),"")</f>
        <v/>
      </c>
      <c r="D86" s="50" t="str">
        <f>IF($A86&lt;&gt;"",IF(VLOOKUP($A86,貼り付け用!$A$1:$BA$300,COLUMN(),FALSE)=0,"",VLOOKUP($A86,貼り付け用!$A$1:$BA$300,COLUMN(),FALSE)),"")</f>
        <v/>
      </c>
      <c r="E86" s="50" t="str">
        <f>IF($A86&lt;&gt;"",IF(VLOOKUP($A86,貼り付け用!$A$1:$BA$300,COLUMN(),FALSE)=0,"",VLOOKUP($A86,貼り付け用!$A$1:$BA$300,COLUMN(),FALSE)),"")</f>
        <v/>
      </c>
      <c r="F86" s="50" t="str">
        <f>IF($A86&lt;&gt;"",IF(VLOOKUP($A86,貼り付け用!$A$1:$BA$300,COLUMN(),FALSE)=0,"",VLOOKUP($A86,貼り付け用!$A$1:$BA$300,COLUMN(),FALSE)),"")</f>
        <v/>
      </c>
      <c r="G86" s="50" t="str">
        <f>IF($A86&lt;&gt;"",IF(VLOOKUP($A86,貼り付け用!$A$1:$BA$300,COLUMN(),FALSE)=0,"",VLOOKUP($A86,貼り付け用!$A$1:$BA$300,COLUMN(),FALSE)),"")</f>
        <v>4</v>
      </c>
      <c r="H86" s="50" t="str">
        <f>IF($A86&lt;&gt;"",IF(VLOOKUP($A86,貼り付け用!$A$1:$BA$300,COLUMN(),FALSE)=0,"",VLOOKUP($A86,貼り付け用!$A$1:$BA$300,COLUMN(),FALSE)),"")</f>
        <v/>
      </c>
      <c r="I86" s="50" t="str">
        <f>IF($A86&lt;&gt;"",IF(VLOOKUP($A86,貼り付け用!$A$1:$BA$300,COLUMN(),FALSE)=0,"",VLOOKUP($A86,貼り付け用!$A$1:$BA$300,COLUMN(),FALSE)),"")</f>
        <v/>
      </c>
      <c r="J86" s="50" t="str">
        <f>IF($A86&lt;&gt;"",IF(VLOOKUP($A86,貼り付け用!$A$1:$BA$300,COLUMN(),FALSE)=0,"",VLOOKUP($A86,貼り付け用!$A$1:$BA$300,COLUMN(),FALSE)),"")</f>
        <v/>
      </c>
      <c r="K86" s="50" t="str">
        <f>IF($A86&lt;&gt;"",IF(VLOOKUP($A86,貼り付け用!$A$1:$BA$300,COLUMN(),FALSE)=0,"",VLOOKUP($A86,貼り付け用!$A$1:$BA$300,COLUMN(),FALSE)),"")</f>
        <v/>
      </c>
      <c r="L86" s="50" t="str">
        <f>IF($A86&lt;&gt;"",
IF(COLUMN(貼り付け用!L86)&gt;MATCH("おやつ",貼り付け用!$3:$3,0),"",
IF(VLOOKUP($A86,貼り付け用!$A$1:$BA$300,COLUMN(),FALSE)=0,"",VLOOKUP($A86,貼り付け用!$A$1:$BA$300,COLUMN(),FALSE))),"")</f>
        <v/>
      </c>
      <c r="M86" s="50" t="str">
        <f>IF($A86&lt;&gt;"",
IF(COLUMN(貼り付け用!M86)&gt;MATCH("おやつ",貼り付け用!$3:$3,0),"",
IF(VLOOKUP($A86,貼り付け用!$A$1:$BA$300,COLUMN(),FALSE)=0,"",VLOOKUP($A86,貼り付け用!$A$1:$BA$300,COLUMN(),FALSE))),"")</f>
        <v/>
      </c>
      <c r="N86" s="50" t="str">
        <f>IF($A86&lt;&gt;"",
IF(COLUMN(貼り付け用!N86)&gt;MATCH("おやつ",貼り付け用!$3:$3,0),"",
IF(VLOOKUP($A86,貼り付け用!$A$1:$BA$300,COLUMN(),FALSE)=0,"",VLOOKUP($A86,貼り付け用!$A$1:$BA$300,COLUMN(),FALSE))),"")</f>
        <v/>
      </c>
      <c r="O86" s="50" t="str">
        <f>IF($A86&lt;&gt;"",
IF(COLUMN(貼り付け用!O86)&gt;MATCH("おやつ",貼り付け用!$3:$3,0),"",
IF(VLOOKUP($A86,貼り付け用!$A$1:$BA$300,COLUMN(),FALSE)=0,"",VLOOKUP($A86,貼り付け用!$A$1:$BA$300,COLUMN(),FALSE))),"")</f>
        <v/>
      </c>
      <c r="P86" s="50" t="str">
        <f>IF($A86&lt;&gt;"",
IF(COLUMN(貼り付け用!P86)&gt;MATCH("おやつ",貼り付け用!$3:$3,0),"",
IF(VLOOKUP($A86,貼り付け用!$A$1:$BA$300,COLUMN(),FALSE)=0,"",VLOOKUP($A86,貼り付け用!$A$1:$BA$300,COLUMN(),FALSE))),"")</f>
        <v/>
      </c>
      <c r="Q86" s="50" t="str">
        <f>IF($A86&lt;&gt;"",
IF(COLUMN(貼り付け用!Q86)&gt;MATCH("おやつ",貼り付け用!$3:$3,0),"",
IF(VLOOKUP($A86,貼り付け用!$A$1:$BA$300,COLUMN(),FALSE)=0,"",VLOOKUP($A86,貼り付け用!$A$1:$BA$300,COLUMN(),FALSE))),"")</f>
        <v/>
      </c>
      <c r="R86" s="50" t="str">
        <f>IF($A86&lt;&gt;"",
IF(COLUMN(貼り付け用!R86)&gt;MATCH("おやつ",貼り付け用!$3:$3,0),"",
IF(VLOOKUP($A86,貼り付け用!$A$1:$BA$300,COLUMN(),FALSE)=0,"",VLOOKUP($A86,貼り付け用!$A$1:$BA$300,COLUMN(),FALSE))),"")</f>
        <v/>
      </c>
      <c r="S86" s="50" t="str">
        <f>IF($A86&lt;&gt;"",
IF(COLUMN(貼り付け用!S86)&gt;MATCH("おやつ",貼り付け用!$3:$3,0),"",
IF(VLOOKUP($A86,貼り付け用!$A$1:$BA$300,COLUMN(),FALSE)=0,"",VLOOKUP($A86,貼り付け用!$A$1:$BA$300,COLUMN(),FALSE))),"")</f>
        <v/>
      </c>
      <c r="T86" s="50" t="str">
        <f>IF(COLUMN(貼り付け用!T86)&gt;MATCH("おやつ",貼り付け用!$3:$3,0),"",
IF(VLOOKUP($A86,貼り付け用!$A$1:$BA$300,COLUMN(),FALSE)=0,"",VLOOKUP($A86,貼り付け用!$A$1:$BA$300,COLUMN(),FALSE)))</f>
        <v/>
      </c>
      <c r="U86" s="23"/>
      <c r="V86" s="21" t="str">
        <f>IF(A86&lt;&gt;"",
IF(VLOOKUP($A86,貼り付け用!$A$1:$BA$300,MATCH("おやつ",貼り付け用!$3:$3,0)+1,FALSE)=0,"",VLOOKUP($A86,貼り付け用!$A$1:$BA$300,MATCH("おやつ",貼り付け用!$3:$3,0)+1,FALSE)),"")</f>
        <v/>
      </c>
      <c r="W86" s="50" t="str">
        <f>IF(A86&lt;&gt;"",
IF(VLOOKUP($A86,貼り付け用!$A$1:$BA$300,MATCH("おやつ",貼り付け用!$3:$3,0)+2,FALSE)=0,"",VLOOKUP($A86,貼り付け用!$A$1:$BA$300,MATCH("おやつ",貼り付け用!$3:$3,0)+2,FALSE)),"")</f>
        <v/>
      </c>
    </row>
    <row r="87" spans="1:23" x14ac:dyDescent="0.45">
      <c r="A87" s="22" t="str">
        <f>IF(貼り付け用!$A$6&lt;&gt;"",
IF(ROW(A86)+1&gt;=MATCH("*【合計】*", 貼り付け用!$A:$A, 0),"",
IF(貼り付け用!A87&lt;&gt;"",貼り付け用!A87,"")),
IF(ROW(A87)+1&gt;=MATCH("*【合計】*", 貼り付け用!$A:$A, 0),"",
IF(貼り付け用!A88&lt;&gt;"",貼り付け用!A88,"")))</f>
        <v>児童発達支援 いろは そうり</v>
      </c>
      <c r="B87" s="45" t="str">
        <f>IF($A87&lt;&gt;"",IF(VLOOKUP($A87,貼り付け用!$A$1:$BA$300,COLUMN(),FALSE)=0,"",VLOOKUP($A87,貼り付け用!$A$1:$BA$300,COLUMN(),FALSE)),"")</f>
        <v/>
      </c>
      <c r="C87" s="45" t="str">
        <f>IF($A87&lt;&gt;"",IF(VLOOKUP($A87,貼り付け用!$A$1:$BA$300,COLUMN(),FALSE)=0,"",VLOOKUP($A87,貼り付け用!$A$1:$BA$300,COLUMN(),FALSE)),"")</f>
        <v/>
      </c>
      <c r="D87" s="45" t="str">
        <f>IF($A87&lt;&gt;"",IF(VLOOKUP($A87,貼り付け用!$A$1:$BA$300,COLUMN(),FALSE)=0,"",VLOOKUP($A87,貼り付け用!$A$1:$BA$300,COLUMN(),FALSE)),"")</f>
        <v/>
      </c>
      <c r="E87" s="45" t="str">
        <f>IF($A87&lt;&gt;"",IF(VLOOKUP($A87,貼り付け用!$A$1:$BA$300,COLUMN(),FALSE)=0,"",VLOOKUP($A87,貼り付け用!$A$1:$BA$300,COLUMN(),FALSE)),"")</f>
        <v/>
      </c>
      <c r="F87" s="45" t="str">
        <f>IF($A87&lt;&gt;"",IF(VLOOKUP($A87,貼り付け用!$A$1:$BA$300,COLUMN(),FALSE)=0,"",VLOOKUP($A87,貼り付け用!$A$1:$BA$300,COLUMN(),FALSE)),"")</f>
        <v/>
      </c>
      <c r="G87" s="45" t="str">
        <f>IF($A87&lt;&gt;"",IF(VLOOKUP($A87,貼り付け用!$A$1:$BA$300,COLUMN(),FALSE)=0,"",VLOOKUP($A87,貼り付け用!$A$1:$BA$300,COLUMN(),FALSE)),"")</f>
        <v/>
      </c>
      <c r="H87" s="45" t="str">
        <f>IF($A87&lt;&gt;"",IF(VLOOKUP($A87,貼り付け用!$A$1:$BA$300,COLUMN(),FALSE)=0,"",VLOOKUP($A87,貼り付け用!$A$1:$BA$300,COLUMN(),FALSE)),"")</f>
        <v/>
      </c>
      <c r="I87" s="45" t="str">
        <f>IF($A87&lt;&gt;"",IF(VLOOKUP($A87,貼り付け用!$A$1:$BA$300,COLUMN(),FALSE)=0,"",VLOOKUP($A87,貼り付け用!$A$1:$BA$300,COLUMN(),FALSE)),"")</f>
        <v/>
      </c>
      <c r="J87" s="45" t="str">
        <f>IF($A87&lt;&gt;"",IF(VLOOKUP($A87,貼り付け用!$A$1:$BA$300,COLUMN(),FALSE)=0,"",VLOOKUP($A87,貼り付け用!$A$1:$BA$300,COLUMN(),FALSE)),"")</f>
        <v/>
      </c>
      <c r="K87" s="45" t="str">
        <f>IF($A87&lt;&gt;"",IF(VLOOKUP($A87,貼り付け用!$A$1:$BA$300,COLUMN(),FALSE)=0,"",VLOOKUP($A87,貼り付け用!$A$1:$BA$300,COLUMN(),FALSE)),"")</f>
        <v/>
      </c>
      <c r="L87" s="45" t="str">
        <f>IF($A87&lt;&gt;"",
IF(COLUMN(貼り付け用!L87)&gt;MATCH("おやつ",貼り付け用!$3:$3,0),"",
IF(VLOOKUP($A87,貼り付け用!$A$1:$BA$300,COLUMN(),FALSE)=0,"",VLOOKUP($A87,貼り付け用!$A$1:$BA$300,COLUMN(),FALSE))),"")</f>
        <v/>
      </c>
      <c r="M87" s="45" t="str">
        <f>IF($A87&lt;&gt;"",
IF(COLUMN(貼り付け用!M87)&gt;MATCH("おやつ",貼り付け用!$3:$3,0),"",
IF(VLOOKUP($A87,貼り付け用!$A$1:$BA$300,COLUMN(),FALSE)=0,"",VLOOKUP($A87,貼り付け用!$A$1:$BA$300,COLUMN(),FALSE))),"")</f>
        <v/>
      </c>
      <c r="N87" s="45" t="str">
        <f>IF($A87&lt;&gt;"",
IF(COLUMN(貼り付け用!N87)&gt;MATCH("おやつ",貼り付け用!$3:$3,0),"",
IF(VLOOKUP($A87,貼り付け用!$A$1:$BA$300,COLUMN(),FALSE)=0,"",VLOOKUP($A87,貼り付け用!$A$1:$BA$300,COLUMN(),FALSE))),"")</f>
        <v/>
      </c>
      <c r="O87" s="45" t="str">
        <f>IF($A87&lt;&gt;"",
IF(COLUMN(貼り付け用!O87)&gt;MATCH("おやつ",貼り付け用!$3:$3,0),"",
IF(VLOOKUP($A87,貼り付け用!$A$1:$BA$300,COLUMN(),FALSE)=0,"",VLOOKUP($A87,貼り付け用!$A$1:$BA$300,COLUMN(),FALSE))),"")</f>
        <v/>
      </c>
      <c r="P87" s="45" t="str">
        <f>IF($A87&lt;&gt;"",
IF(COLUMN(貼り付け用!P87)&gt;MATCH("おやつ",貼り付け用!$3:$3,0),"",
IF(VLOOKUP($A87,貼り付け用!$A$1:$BA$300,COLUMN(),FALSE)=0,"",VLOOKUP($A87,貼り付け用!$A$1:$BA$300,COLUMN(),FALSE))),"")</f>
        <v/>
      </c>
      <c r="Q87" s="45" t="str">
        <f>IF($A87&lt;&gt;"",
IF(COLUMN(貼り付け用!Q87)&gt;MATCH("おやつ",貼り付け用!$3:$3,0),"",
IF(VLOOKUP($A87,貼り付け用!$A$1:$BA$300,COLUMN(),FALSE)=0,"",VLOOKUP($A87,貼り付け用!$A$1:$BA$300,COLUMN(),FALSE))),"")</f>
        <v/>
      </c>
      <c r="R87" s="45" t="str">
        <f>IF($A87&lt;&gt;"",
IF(COLUMN(貼り付け用!R87)&gt;MATCH("おやつ",貼り付け用!$3:$3,0),"",
IF(VLOOKUP($A87,貼り付け用!$A$1:$BA$300,COLUMN(),FALSE)=0,"",VLOOKUP($A87,貼り付け用!$A$1:$BA$300,COLUMN(),FALSE))),"")</f>
        <v/>
      </c>
      <c r="S87" s="45" t="str">
        <f>IF($A87&lt;&gt;"",
IF(COLUMN(貼り付け用!S87)&gt;MATCH("おやつ",貼り付け用!$3:$3,0),"",
IF(VLOOKUP($A87,貼り付け用!$A$1:$BA$300,COLUMN(),FALSE)=0,"",VLOOKUP($A87,貼り付け用!$A$1:$BA$300,COLUMN(),FALSE))),"")</f>
        <v/>
      </c>
      <c r="T87" s="45" t="str">
        <f>IF(COLUMN(貼り付け用!T87)&gt;MATCH("おやつ",貼り付け用!$3:$3,0),"",
IF(VLOOKUP($A87,貼り付け用!$A$1:$BA$300,COLUMN(),FALSE)=0,"",VLOOKUP($A87,貼り付け用!$A$1:$BA$300,COLUMN(),FALSE)))</f>
        <v/>
      </c>
      <c r="U87" s="24"/>
      <c r="V87" s="21" t="str">
        <f>IF(A87&lt;&gt;"",
IF(VLOOKUP($A87,貼り付け用!$A$1:$BA$300,MATCH("おやつ",貼り付け用!$3:$3,0)+1,FALSE)=0,"",VLOOKUP($A87,貼り付け用!$A$1:$BA$300,MATCH("おやつ",貼り付け用!$3:$3,0)+1,FALSE)),"")</f>
        <v/>
      </c>
      <c r="W87" s="50" t="str">
        <f>IF(A87&lt;&gt;"",
IF(VLOOKUP($A87,貼り付け用!$A$1:$BA$300,MATCH("おやつ",貼り付け用!$3:$3,0)+2,FALSE)=0,"",VLOOKUP($A87,貼り付け用!$A$1:$BA$300,MATCH("おやつ",貼り付け用!$3:$3,0)+2,FALSE)),"")</f>
        <v/>
      </c>
    </row>
    <row r="88" spans="1:23" x14ac:dyDescent="0.45">
      <c r="A88" s="10" t="str">
        <f>IF(貼り付け用!$A$6&lt;&gt;"",
IF(ROW(A87)+1&gt;=MATCH("*【合計】*", 貼り付け用!$A:$A, 0),
"",
IF(貼り付け用!A88&lt;&gt;"",貼り付け用!A88,"")),
IF(ROW(A88)+1&gt;=MATCH("*【合計】*", 貼り付け用!$A:$A, 0),
"",
IF(貼り付け用!A89&lt;&gt;"",貼り付け用!A89,"")))</f>
        <v>12910</v>
      </c>
      <c r="B88" s="50" t="str">
        <f>IF($A88&lt;&gt;"",IF(VLOOKUP($A88,貼り付け用!$A$1:$BA$300,COLUMN(),FALSE)=0,"",VLOOKUP($A88,貼り付け用!$A$1:$BA$300,COLUMN(),FALSE)),"")</f>
        <v/>
      </c>
      <c r="C88" s="50" t="str">
        <f>IF($A88&lt;&gt;"",IF(VLOOKUP($A88,貼り付け用!$A$1:$BA$300,COLUMN(),FALSE)=0,"",VLOOKUP($A88,貼り付け用!$A$1:$BA$300,COLUMN(),FALSE)),"")</f>
        <v/>
      </c>
      <c r="D88" s="50" t="str">
        <f>IF($A88&lt;&gt;"",IF(VLOOKUP($A88,貼り付け用!$A$1:$BA$300,COLUMN(),FALSE)=0,"",VLOOKUP($A88,貼り付け用!$A$1:$BA$300,COLUMN(),FALSE)),"")</f>
        <v/>
      </c>
      <c r="E88" s="50" t="str">
        <f>IF($A88&lt;&gt;"",IF(VLOOKUP($A88,貼り付け用!$A$1:$BA$300,COLUMN(),FALSE)=0,"",VLOOKUP($A88,貼り付け用!$A$1:$BA$300,COLUMN(),FALSE)),"")</f>
        <v/>
      </c>
      <c r="F88" s="50" t="str">
        <f>IF($A88&lt;&gt;"",IF(VLOOKUP($A88,貼り付け用!$A$1:$BA$300,COLUMN(),FALSE)=0,"",VLOOKUP($A88,貼り付け用!$A$1:$BA$300,COLUMN(),FALSE)),"")</f>
        <v/>
      </c>
      <c r="G88" s="50" t="str">
        <f>IF($A88&lt;&gt;"",IF(VLOOKUP($A88,貼り付け用!$A$1:$BA$300,COLUMN(),FALSE)=0,"",VLOOKUP($A88,貼り付け用!$A$1:$BA$300,COLUMN(),FALSE)),"")</f>
        <v>4</v>
      </c>
      <c r="H88" s="50" t="str">
        <f>IF($A88&lt;&gt;"",IF(VLOOKUP($A88,貼り付け用!$A$1:$BA$300,COLUMN(),FALSE)=0,"",VLOOKUP($A88,貼り付け用!$A$1:$BA$300,COLUMN(),FALSE)),"")</f>
        <v/>
      </c>
      <c r="I88" s="50" t="str">
        <f>IF($A88&lt;&gt;"",IF(VLOOKUP($A88,貼り付け用!$A$1:$BA$300,COLUMN(),FALSE)=0,"",VLOOKUP($A88,貼り付け用!$A$1:$BA$300,COLUMN(),FALSE)),"")</f>
        <v/>
      </c>
      <c r="J88" s="50" t="str">
        <f>IF($A88&lt;&gt;"",IF(VLOOKUP($A88,貼り付け用!$A$1:$BA$300,COLUMN(),FALSE)=0,"",VLOOKUP($A88,貼り付け用!$A$1:$BA$300,COLUMN(),FALSE)),"")</f>
        <v/>
      </c>
      <c r="K88" s="50" t="str">
        <f>IF($A88&lt;&gt;"",IF(VLOOKUP($A88,貼り付け用!$A$1:$BA$300,COLUMN(),FALSE)=0,"",VLOOKUP($A88,貼り付け用!$A$1:$BA$300,COLUMN(),FALSE)),"")</f>
        <v/>
      </c>
      <c r="L88" s="50" t="str">
        <f>IF($A88&lt;&gt;"",
IF(COLUMN(貼り付け用!L88)&gt;MATCH("おやつ",貼り付け用!$3:$3,0),"",
IF(VLOOKUP($A88,貼り付け用!$A$1:$BA$300,COLUMN(),FALSE)=0,"",VLOOKUP($A88,貼り付け用!$A$1:$BA$300,COLUMN(),FALSE))),"")</f>
        <v/>
      </c>
      <c r="M88" s="50" t="str">
        <f>IF($A88&lt;&gt;"",
IF(COLUMN(貼り付け用!M88)&gt;MATCH("おやつ",貼り付け用!$3:$3,0),"",
IF(VLOOKUP($A88,貼り付け用!$A$1:$BA$300,COLUMN(),FALSE)=0,"",VLOOKUP($A88,貼り付け用!$A$1:$BA$300,COLUMN(),FALSE))),"")</f>
        <v/>
      </c>
      <c r="N88" s="50" t="str">
        <f>IF($A88&lt;&gt;"",
IF(COLUMN(貼り付け用!N88)&gt;MATCH("おやつ",貼り付け用!$3:$3,0),"",
IF(VLOOKUP($A88,貼り付け用!$A$1:$BA$300,COLUMN(),FALSE)=0,"",VLOOKUP($A88,貼り付け用!$A$1:$BA$300,COLUMN(),FALSE))),"")</f>
        <v/>
      </c>
      <c r="O88" s="50" t="str">
        <f>IF($A88&lt;&gt;"",
IF(COLUMN(貼り付け用!O88)&gt;MATCH("おやつ",貼り付け用!$3:$3,0),"",
IF(VLOOKUP($A88,貼り付け用!$A$1:$BA$300,COLUMN(),FALSE)=0,"",VLOOKUP($A88,貼り付け用!$A$1:$BA$300,COLUMN(),FALSE))),"")</f>
        <v/>
      </c>
      <c r="P88" s="50" t="str">
        <f>IF($A88&lt;&gt;"",
IF(COLUMN(貼り付け用!P88)&gt;MATCH("おやつ",貼り付け用!$3:$3,0),"",
IF(VLOOKUP($A88,貼り付け用!$A$1:$BA$300,COLUMN(),FALSE)=0,"",VLOOKUP($A88,貼り付け用!$A$1:$BA$300,COLUMN(),FALSE))),"")</f>
        <v/>
      </c>
      <c r="Q88" s="50" t="str">
        <f>IF($A88&lt;&gt;"",
IF(COLUMN(貼り付け用!Q88)&gt;MATCH("おやつ",貼り付け用!$3:$3,0),"",
IF(VLOOKUP($A88,貼り付け用!$A$1:$BA$300,COLUMN(),FALSE)=0,"",VLOOKUP($A88,貼り付け用!$A$1:$BA$300,COLUMN(),FALSE))),"")</f>
        <v/>
      </c>
      <c r="R88" s="50" t="str">
        <f>IF($A88&lt;&gt;"",
IF(COLUMN(貼り付け用!R88)&gt;MATCH("おやつ",貼り付け用!$3:$3,0),"",
IF(VLOOKUP($A88,貼り付け用!$A$1:$BA$300,COLUMN(),FALSE)=0,"",VLOOKUP($A88,貼り付け用!$A$1:$BA$300,COLUMN(),FALSE))),"")</f>
        <v/>
      </c>
      <c r="S88" s="50" t="str">
        <f>IF($A88&lt;&gt;"",
IF(COLUMN(貼り付け用!S88)&gt;MATCH("おやつ",貼り付け用!$3:$3,0),"",
IF(VLOOKUP($A88,貼り付け用!$A$1:$BA$300,COLUMN(),FALSE)=0,"",VLOOKUP($A88,貼り付け用!$A$1:$BA$300,COLUMN(),FALSE))),"")</f>
        <v/>
      </c>
      <c r="T88" s="50" t="str">
        <f>IF(COLUMN(貼り付け用!T88)&gt;MATCH("おやつ",貼り付け用!$3:$3,0),"",
IF(VLOOKUP($A88,貼り付け用!$A$1:$BA$300,COLUMN(),FALSE)=0,"",VLOOKUP($A88,貼り付け用!$A$1:$BA$300,COLUMN(),FALSE)))</f>
        <v/>
      </c>
      <c r="U88" s="23"/>
      <c r="V88" s="21" t="str">
        <f>IF(A88&lt;&gt;"",
IF(VLOOKUP($A88,貼り付け用!$A$1:$BA$300,MATCH("おやつ",貼り付け用!$3:$3,0)+1,FALSE)=0,"",VLOOKUP($A88,貼り付け用!$A$1:$BA$300,MATCH("おやつ",貼り付け用!$3:$3,0)+1,FALSE)),"")</f>
        <v/>
      </c>
      <c r="W88" s="50" t="str">
        <f>IF(A88&lt;&gt;"",
IF(VLOOKUP($A88,貼り付け用!$A$1:$BA$300,MATCH("おやつ",貼り付け用!$3:$3,0)+2,FALSE)=0,"",VLOOKUP($A88,貼り付け用!$A$1:$BA$300,MATCH("おやつ",貼り付け用!$3:$3,0)+2,FALSE)),"")</f>
        <v/>
      </c>
    </row>
    <row r="89" spans="1:23" x14ac:dyDescent="0.45">
      <c r="A89" s="22" t="str">
        <f>IF(貼り付け用!$A$6&lt;&gt;"",
IF(ROW(A88)+1&gt;=MATCH("*【合計】*", 貼り付け用!$A:$A, 0),"",
IF(貼り付け用!A89&lt;&gt;"",貼り付け用!A89,"")),
IF(ROW(A89)+1&gt;=MATCH("*【合計】*", 貼り付け用!$A:$A, 0),"",
IF(貼り付け用!A90&lt;&gt;"",貼り付け用!A90,"")))</f>
        <v>児童発達支援 いろは</v>
      </c>
      <c r="B89" s="45" t="str">
        <f>IF($A89&lt;&gt;"",IF(VLOOKUP($A89,貼り付け用!$A$1:$BA$300,COLUMN(),FALSE)=0,"",VLOOKUP($A89,貼り付け用!$A$1:$BA$300,COLUMN(),FALSE)),"")</f>
        <v/>
      </c>
      <c r="C89" s="45" t="str">
        <f>IF($A89&lt;&gt;"",IF(VLOOKUP($A89,貼り付け用!$A$1:$BA$300,COLUMN(),FALSE)=0,"",VLOOKUP($A89,貼り付け用!$A$1:$BA$300,COLUMN(),FALSE)),"")</f>
        <v/>
      </c>
      <c r="D89" s="45" t="str">
        <f>IF($A89&lt;&gt;"",IF(VLOOKUP($A89,貼り付け用!$A$1:$BA$300,COLUMN(),FALSE)=0,"",VLOOKUP($A89,貼り付け用!$A$1:$BA$300,COLUMN(),FALSE)),"")</f>
        <v/>
      </c>
      <c r="E89" s="45" t="str">
        <f>IF($A89&lt;&gt;"",IF(VLOOKUP($A89,貼り付け用!$A$1:$BA$300,COLUMN(),FALSE)=0,"",VLOOKUP($A89,貼り付け用!$A$1:$BA$300,COLUMN(),FALSE)),"")</f>
        <v/>
      </c>
      <c r="F89" s="45" t="str">
        <f>IF($A89&lt;&gt;"",IF(VLOOKUP($A89,貼り付け用!$A$1:$BA$300,COLUMN(),FALSE)=0,"",VLOOKUP($A89,貼り付け用!$A$1:$BA$300,COLUMN(),FALSE)),"")</f>
        <v/>
      </c>
      <c r="G89" s="45" t="str">
        <f>IF($A89&lt;&gt;"",IF(VLOOKUP($A89,貼り付け用!$A$1:$BA$300,COLUMN(),FALSE)=0,"",VLOOKUP($A89,貼り付け用!$A$1:$BA$300,COLUMN(),FALSE)),"")</f>
        <v>1</v>
      </c>
      <c r="H89" s="45" t="str">
        <f>IF($A89&lt;&gt;"",IF(VLOOKUP($A89,貼り付け用!$A$1:$BA$300,COLUMN(),FALSE)=0,"",VLOOKUP($A89,貼り付け用!$A$1:$BA$300,COLUMN(),FALSE)),"")</f>
        <v/>
      </c>
      <c r="I89" s="45" t="str">
        <f>IF($A89&lt;&gt;"",IF(VLOOKUP($A89,貼り付け用!$A$1:$BA$300,COLUMN(),FALSE)=0,"",VLOOKUP($A89,貼り付け用!$A$1:$BA$300,COLUMN(),FALSE)),"")</f>
        <v/>
      </c>
      <c r="J89" s="45" t="str">
        <f>IF($A89&lt;&gt;"",IF(VLOOKUP($A89,貼り付け用!$A$1:$BA$300,COLUMN(),FALSE)=0,"",VLOOKUP($A89,貼り付け用!$A$1:$BA$300,COLUMN(),FALSE)),"")</f>
        <v/>
      </c>
      <c r="K89" s="45" t="str">
        <f>IF($A89&lt;&gt;"",IF(VLOOKUP($A89,貼り付け用!$A$1:$BA$300,COLUMN(),FALSE)=0,"",VLOOKUP($A89,貼り付け用!$A$1:$BA$300,COLUMN(),FALSE)),"")</f>
        <v/>
      </c>
      <c r="L89" s="45" t="str">
        <f>IF($A89&lt;&gt;"",
IF(COLUMN(貼り付け用!L89)&gt;MATCH("おやつ",貼り付け用!$3:$3,0),"",
IF(VLOOKUP($A89,貼り付け用!$A$1:$BA$300,COLUMN(),FALSE)=0,"",VLOOKUP($A89,貼り付け用!$A$1:$BA$300,COLUMN(),FALSE))),"")</f>
        <v/>
      </c>
      <c r="M89" s="45" t="str">
        <f>IF($A89&lt;&gt;"",
IF(COLUMN(貼り付け用!M89)&gt;MATCH("おやつ",貼り付け用!$3:$3,0),"",
IF(VLOOKUP($A89,貼り付け用!$A$1:$BA$300,COLUMN(),FALSE)=0,"",VLOOKUP($A89,貼り付け用!$A$1:$BA$300,COLUMN(),FALSE))),"")</f>
        <v/>
      </c>
      <c r="N89" s="45" t="str">
        <f>IF($A89&lt;&gt;"",
IF(COLUMN(貼り付け用!N89)&gt;MATCH("おやつ",貼り付け用!$3:$3,0),"",
IF(VLOOKUP($A89,貼り付け用!$A$1:$BA$300,COLUMN(),FALSE)=0,"",VLOOKUP($A89,貼り付け用!$A$1:$BA$300,COLUMN(),FALSE))),"")</f>
        <v/>
      </c>
      <c r="O89" s="45" t="str">
        <f>IF($A89&lt;&gt;"",
IF(COLUMN(貼り付け用!O89)&gt;MATCH("おやつ",貼り付け用!$3:$3,0),"",
IF(VLOOKUP($A89,貼り付け用!$A$1:$BA$300,COLUMN(),FALSE)=0,"",VLOOKUP($A89,貼り付け用!$A$1:$BA$300,COLUMN(),FALSE))),"")</f>
        <v/>
      </c>
      <c r="P89" s="45" t="str">
        <f>IF($A89&lt;&gt;"",
IF(COLUMN(貼り付け用!P89)&gt;MATCH("おやつ",貼り付け用!$3:$3,0),"",
IF(VLOOKUP($A89,貼り付け用!$A$1:$BA$300,COLUMN(),FALSE)=0,"",VLOOKUP($A89,貼り付け用!$A$1:$BA$300,COLUMN(),FALSE))),"")</f>
        <v/>
      </c>
      <c r="Q89" s="45" t="str">
        <f>IF($A89&lt;&gt;"",
IF(COLUMN(貼り付け用!Q89)&gt;MATCH("おやつ",貼り付け用!$3:$3,0),"",
IF(VLOOKUP($A89,貼り付け用!$A$1:$BA$300,COLUMN(),FALSE)=0,"",VLOOKUP($A89,貼り付け用!$A$1:$BA$300,COLUMN(),FALSE))),"")</f>
        <v/>
      </c>
      <c r="R89" s="45" t="str">
        <f>IF($A89&lt;&gt;"",
IF(COLUMN(貼り付け用!R89)&gt;MATCH("おやつ",貼り付け用!$3:$3,0),"",
IF(VLOOKUP($A89,貼り付け用!$A$1:$BA$300,COLUMN(),FALSE)=0,"",VLOOKUP($A89,貼り付け用!$A$1:$BA$300,COLUMN(),FALSE))),"")</f>
        <v/>
      </c>
      <c r="S89" s="45" t="str">
        <f>IF($A89&lt;&gt;"",
IF(COLUMN(貼り付け用!S89)&gt;MATCH("おやつ",貼り付け用!$3:$3,0),"",
IF(VLOOKUP($A89,貼り付け用!$A$1:$BA$300,COLUMN(),FALSE)=0,"",VLOOKUP($A89,貼り付け用!$A$1:$BA$300,COLUMN(),FALSE))),"")</f>
        <v/>
      </c>
      <c r="T89" s="45" t="str">
        <f>IF(COLUMN(貼り付け用!T89)&gt;MATCH("おやつ",貼り付け用!$3:$3,0),"",
IF(VLOOKUP($A89,貼り付け用!$A$1:$BA$300,COLUMN(),FALSE)=0,"",VLOOKUP($A89,貼り付け用!$A$1:$BA$300,COLUMN(),FALSE)))</f>
        <v/>
      </c>
      <c r="U89" s="24"/>
      <c r="V89" s="21" t="str">
        <f>IF(A89&lt;&gt;"",
IF(VLOOKUP($A89,貼り付け用!$A$1:$BA$300,MATCH("おやつ",貼り付け用!$3:$3,0)+1,FALSE)=0,"",VLOOKUP($A89,貼り付け用!$A$1:$BA$300,MATCH("おやつ",貼り付け用!$3:$3,0)+1,FALSE)),"")</f>
        <v/>
      </c>
      <c r="W89" s="50" t="str">
        <f>IF(A89&lt;&gt;"",
IF(VLOOKUP($A89,貼り付け用!$A$1:$BA$300,MATCH("おやつ",貼り付け用!$3:$3,0)+2,FALSE)=0,"",VLOOKUP($A89,貼り付け用!$A$1:$BA$300,MATCH("おやつ",貼り付け用!$3:$3,0)+2,FALSE)),"")</f>
        <v/>
      </c>
    </row>
    <row r="90" spans="1:23" x14ac:dyDescent="0.45">
      <c r="A90" s="10" t="str">
        <f>IF(貼り付け用!$A$6&lt;&gt;"",
IF(ROW(A89)+1&gt;=MATCH("*【合計】*", 貼り付け用!$A:$A, 0),
"",
IF(貼り付け用!A90&lt;&gt;"",貼り付け用!A90,"")),
IF(ROW(A90)+1&gt;=MATCH("*【合計】*", 貼り付け用!$A:$A, 0),
"",
IF(貼り付け用!A91&lt;&gt;"",貼り付け用!A91,"")))</f>
        <v>19900</v>
      </c>
      <c r="B90" s="50" t="str">
        <f>IF($A90&lt;&gt;"",IF(VLOOKUP($A90,貼り付け用!$A$1:$BA$300,COLUMN(),FALSE)=0,"",VLOOKUP($A90,貼り付け用!$A$1:$BA$300,COLUMN(),FALSE)),"")</f>
        <v/>
      </c>
      <c r="C90" s="50" t="str">
        <f>IF($A90&lt;&gt;"",IF(VLOOKUP($A90,貼り付け用!$A$1:$BA$300,COLUMN(),FALSE)=0,"",VLOOKUP($A90,貼り付け用!$A$1:$BA$300,COLUMN(),FALSE)),"")</f>
        <v/>
      </c>
      <c r="D90" s="50" t="str">
        <f>IF($A90&lt;&gt;"",IF(VLOOKUP($A90,貼り付け用!$A$1:$BA$300,COLUMN(),FALSE)=0,"",VLOOKUP($A90,貼り付け用!$A$1:$BA$300,COLUMN(),FALSE)),"")</f>
        <v>16</v>
      </c>
      <c r="E90" s="50" t="str">
        <f>IF($A90&lt;&gt;"",IF(VLOOKUP($A90,貼り付け用!$A$1:$BA$300,COLUMN(),FALSE)=0,"",VLOOKUP($A90,貼り付け用!$A$1:$BA$300,COLUMN(),FALSE)),"")</f>
        <v/>
      </c>
      <c r="F90" s="50" t="str">
        <f>IF($A90&lt;&gt;"",IF(VLOOKUP($A90,貼り付け用!$A$1:$BA$300,COLUMN(),FALSE)=0,"",VLOOKUP($A90,貼り付け用!$A$1:$BA$300,COLUMN(),FALSE)),"")</f>
        <v/>
      </c>
      <c r="G90" s="50" t="str">
        <f>IF($A90&lt;&gt;"",IF(VLOOKUP($A90,貼り付け用!$A$1:$BA$300,COLUMN(),FALSE)=0,"",VLOOKUP($A90,貼り付け用!$A$1:$BA$300,COLUMN(),FALSE)),"")</f>
        <v/>
      </c>
      <c r="H90" s="50" t="str">
        <f>IF($A90&lt;&gt;"",IF(VLOOKUP($A90,貼り付け用!$A$1:$BA$300,COLUMN(),FALSE)=0,"",VLOOKUP($A90,貼り付け用!$A$1:$BA$300,COLUMN(),FALSE)),"")</f>
        <v/>
      </c>
      <c r="I90" s="50" t="str">
        <f>IF($A90&lt;&gt;"",IF(VLOOKUP($A90,貼り付け用!$A$1:$BA$300,COLUMN(),FALSE)=0,"",VLOOKUP($A90,貼り付け用!$A$1:$BA$300,COLUMN(),FALSE)),"")</f>
        <v/>
      </c>
      <c r="J90" s="50" t="str">
        <f>IF($A90&lt;&gt;"",IF(VLOOKUP($A90,貼り付け用!$A$1:$BA$300,COLUMN(),FALSE)=0,"",VLOOKUP($A90,貼り付け用!$A$1:$BA$300,COLUMN(),FALSE)),"")</f>
        <v/>
      </c>
      <c r="K90" s="50" t="str">
        <f>IF($A90&lt;&gt;"",IF(VLOOKUP($A90,貼り付け用!$A$1:$BA$300,COLUMN(),FALSE)=0,"",VLOOKUP($A90,貼り付け用!$A$1:$BA$300,COLUMN(),FALSE)),"")</f>
        <v/>
      </c>
      <c r="L90" s="50" t="str">
        <f>IF($A90&lt;&gt;"",
IF(COLUMN(貼り付け用!L90)&gt;MATCH("おやつ",貼り付け用!$3:$3,0),"",
IF(VLOOKUP($A90,貼り付け用!$A$1:$BA$300,COLUMN(),FALSE)=0,"",VLOOKUP($A90,貼り付け用!$A$1:$BA$300,COLUMN(),FALSE))),"")</f>
        <v/>
      </c>
      <c r="M90" s="50" t="str">
        <f>IF($A90&lt;&gt;"",
IF(COLUMN(貼り付け用!M90)&gt;MATCH("おやつ",貼り付け用!$3:$3,0),"",
IF(VLOOKUP($A90,貼り付け用!$A$1:$BA$300,COLUMN(),FALSE)=0,"",VLOOKUP($A90,貼り付け用!$A$1:$BA$300,COLUMN(),FALSE))),"")</f>
        <v/>
      </c>
      <c r="N90" s="50" t="str">
        <f>IF($A90&lt;&gt;"",
IF(COLUMN(貼り付け用!N90)&gt;MATCH("おやつ",貼り付け用!$3:$3,0),"",
IF(VLOOKUP($A90,貼り付け用!$A$1:$BA$300,COLUMN(),FALSE)=0,"",VLOOKUP($A90,貼り付け用!$A$1:$BA$300,COLUMN(),FALSE))),"")</f>
        <v/>
      </c>
      <c r="O90" s="50" t="str">
        <f>IF($A90&lt;&gt;"",
IF(COLUMN(貼り付け用!O90)&gt;MATCH("おやつ",貼り付け用!$3:$3,0),"",
IF(VLOOKUP($A90,貼り付け用!$A$1:$BA$300,COLUMN(),FALSE)=0,"",VLOOKUP($A90,貼り付け用!$A$1:$BA$300,COLUMN(),FALSE))),"")</f>
        <v/>
      </c>
      <c r="P90" s="50" t="str">
        <f>IF($A90&lt;&gt;"",
IF(COLUMN(貼り付け用!P90)&gt;MATCH("おやつ",貼り付け用!$3:$3,0),"",
IF(VLOOKUP($A90,貼り付け用!$A$1:$BA$300,COLUMN(),FALSE)=0,"",VLOOKUP($A90,貼り付け用!$A$1:$BA$300,COLUMN(),FALSE))),"")</f>
        <v/>
      </c>
      <c r="Q90" s="50" t="str">
        <f>IF($A90&lt;&gt;"",
IF(COLUMN(貼り付け用!Q90)&gt;MATCH("おやつ",貼り付け用!$3:$3,0),"",
IF(VLOOKUP($A90,貼り付け用!$A$1:$BA$300,COLUMN(),FALSE)=0,"",VLOOKUP($A90,貼り付け用!$A$1:$BA$300,COLUMN(),FALSE))),"")</f>
        <v/>
      </c>
      <c r="R90" s="50" t="str">
        <f>IF($A90&lt;&gt;"",
IF(COLUMN(貼り付け用!R90)&gt;MATCH("おやつ",貼り付け用!$3:$3,0),"",
IF(VLOOKUP($A90,貼り付け用!$A$1:$BA$300,COLUMN(),FALSE)=0,"",VLOOKUP($A90,貼り付け用!$A$1:$BA$300,COLUMN(),FALSE))),"")</f>
        <v/>
      </c>
      <c r="S90" s="50" t="str">
        <f>IF($A90&lt;&gt;"",
IF(COLUMN(貼り付け用!S90)&gt;MATCH("おやつ",貼り付け用!$3:$3,0),"",
IF(VLOOKUP($A90,貼り付け用!$A$1:$BA$300,COLUMN(),FALSE)=0,"",VLOOKUP($A90,貼り付け用!$A$1:$BA$300,COLUMN(),FALSE))),"")</f>
        <v/>
      </c>
      <c r="T90" s="50" t="str">
        <f>IF(COLUMN(貼り付け用!T90)&gt;MATCH("おやつ",貼り付け用!$3:$3,0),"",
IF(VLOOKUP($A90,貼り付け用!$A$1:$BA$300,COLUMN(),FALSE)=0,"",VLOOKUP($A90,貼り付け用!$A$1:$BA$300,COLUMN(),FALSE)))</f>
        <v/>
      </c>
      <c r="U90" s="23"/>
      <c r="V90" s="21" t="str">
        <f>IF(A90&lt;&gt;"",
IF(VLOOKUP($A90,貼り付け用!$A$1:$BA$300,MATCH("おやつ",貼り付け用!$3:$3,0)+1,FALSE)=0,"",VLOOKUP($A90,貼り付け用!$A$1:$BA$300,MATCH("おやつ",貼り付け用!$3:$3,0)+1,FALSE)),"")</f>
        <v/>
      </c>
      <c r="W90" s="50" t="str">
        <f>IF(A90&lt;&gt;"",
IF(VLOOKUP($A90,貼り付け用!$A$1:$BA$300,MATCH("おやつ",貼り付け用!$3:$3,0)+2,FALSE)=0,"",VLOOKUP($A90,貼り付け用!$A$1:$BA$300,MATCH("おやつ",貼り付け用!$3:$3,0)+2,FALSE)),"")</f>
        <v/>
      </c>
    </row>
    <row r="91" spans="1:23" x14ac:dyDescent="0.45">
      <c r="A91" s="22" t="str">
        <f>IF(貼り付け用!$A$6&lt;&gt;"",
IF(ROW(A90)+1&gt;=MATCH("*【合計】*", 貼り付け用!$A:$A, 0),"",
IF(貼り付け用!A91&lt;&gt;"",貼り付け用!A91,"")),
IF(ROW(A91)+1&gt;=MATCH("*【合計】*", 貼り付け用!$A:$A, 0),"",
IF(貼り付け用!A92&lt;&gt;"",貼り付け用!A92,"")))</f>
        <v>イーズィピーズィーイングリッシ</v>
      </c>
      <c r="B91" s="45" t="str">
        <f>IF($A91&lt;&gt;"",IF(VLOOKUP($A91,貼り付け用!$A$1:$BA$300,COLUMN(),FALSE)=0,"",VLOOKUP($A91,貼り付け用!$A$1:$BA$300,COLUMN(),FALSE)),"")</f>
        <v/>
      </c>
      <c r="C91" s="45" t="str">
        <f>IF($A91&lt;&gt;"",IF(VLOOKUP($A91,貼り付け用!$A$1:$BA$300,COLUMN(),FALSE)=0,"",VLOOKUP($A91,貼り付け用!$A$1:$BA$300,COLUMN(),FALSE)),"")</f>
        <v/>
      </c>
      <c r="D91" s="45" t="str">
        <f>IF($A91&lt;&gt;"",IF(VLOOKUP($A91,貼り付け用!$A$1:$BA$300,COLUMN(),FALSE)=0,"",VLOOKUP($A91,貼り付け用!$A$1:$BA$300,COLUMN(),FALSE)),"")</f>
        <v>2</v>
      </c>
      <c r="E91" s="45" t="str">
        <f>IF($A91&lt;&gt;"",IF(VLOOKUP($A91,貼り付け用!$A$1:$BA$300,COLUMN(),FALSE)=0,"",VLOOKUP($A91,貼り付け用!$A$1:$BA$300,COLUMN(),FALSE)),"")</f>
        <v/>
      </c>
      <c r="F91" s="45" t="str">
        <f>IF($A91&lt;&gt;"",IF(VLOOKUP($A91,貼り付け用!$A$1:$BA$300,COLUMN(),FALSE)=0,"",VLOOKUP($A91,貼り付け用!$A$1:$BA$300,COLUMN(),FALSE)),"")</f>
        <v/>
      </c>
      <c r="G91" s="45" t="str">
        <f>IF($A91&lt;&gt;"",IF(VLOOKUP($A91,貼り付け用!$A$1:$BA$300,COLUMN(),FALSE)=0,"",VLOOKUP($A91,貼り付け用!$A$1:$BA$300,COLUMN(),FALSE)),"")</f>
        <v/>
      </c>
      <c r="H91" s="45" t="str">
        <f>IF($A91&lt;&gt;"",IF(VLOOKUP($A91,貼り付け用!$A$1:$BA$300,COLUMN(),FALSE)=0,"",VLOOKUP($A91,貼り付け用!$A$1:$BA$300,COLUMN(),FALSE)),"")</f>
        <v/>
      </c>
      <c r="I91" s="45" t="str">
        <f>IF($A91&lt;&gt;"",IF(VLOOKUP($A91,貼り付け用!$A$1:$BA$300,COLUMN(),FALSE)=0,"",VLOOKUP($A91,貼り付け用!$A$1:$BA$300,COLUMN(),FALSE)),"")</f>
        <v/>
      </c>
      <c r="J91" s="45" t="str">
        <f>IF($A91&lt;&gt;"",IF(VLOOKUP($A91,貼り付け用!$A$1:$BA$300,COLUMN(),FALSE)=0,"",VLOOKUP($A91,貼り付け用!$A$1:$BA$300,COLUMN(),FALSE)),"")</f>
        <v/>
      </c>
      <c r="K91" s="45" t="str">
        <f>IF($A91&lt;&gt;"",IF(VLOOKUP($A91,貼り付け用!$A$1:$BA$300,COLUMN(),FALSE)=0,"",VLOOKUP($A91,貼り付け用!$A$1:$BA$300,COLUMN(),FALSE)),"")</f>
        <v/>
      </c>
      <c r="L91" s="45" t="str">
        <f>IF($A91&lt;&gt;"",
IF(COLUMN(貼り付け用!L91)&gt;MATCH("おやつ",貼り付け用!$3:$3,0),"",
IF(VLOOKUP($A91,貼り付け用!$A$1:$BA$300,COLUMN(),FALSE)=0,"",VLOOKUP($A91,貼り付け用!$A$1:$BA$300,COLUMN(),FALSE))),"")</f>
        <v/>
      </c>
      <c r="M91" s="45" t="str">
        <f>IF($A91&lt;&gt;"",
IF(COLUMN(貼り付け用!M91)&gt;MATCH("おやつ",貼り付け用!$3:$3,0),"",
IF(VLOOKUP($A91,貼り付け用!$A$1:$BA$300,COLUMN(),FALSE)=0,"",VLOOKUP($A91,貼り付け用!$A$1:$BA$300,COLUMN(),FALSE))),"")</f>
        <v/>
      </c>
      <c r="N91" s="45" t="str">
        <f>IF($A91&lt;&gt;"",
IF(COLUMN(貼り付け用!N91)&gt;MATCH("おやつ",貼り付け用!$3:$3,0),"",
IF(VLOOKUP($A91,貼り付け用!$A$1:$BA$300,COLUMN(),FALSE)=0,"",VLOOKUP($A91,貼り付け用!$A$1:$BA$300,COLUMN(),FALSE))),"")</f>
        <v/>
      </c>
      <c r="O91" s="45" t="str">
        <f>IF($A91&lt;&gt;"",
IF(COLUMN(貼り付け用!O91)&gt;MATCH("おやつ",貼り付け用!$3:$3,0),"",
IF(VLOOKUP($A91,貼り付け用!$A$1:$BA$300,COLUMN(),FALSE)=0,"",VLOOKUP($A91,貼り付け用!$A$1:$BA$300,COLUMN(),FALSE))),"")</f>
        <v/>
      </c>
      <c r="P91" s="45" t="str">
        <f>IF($A91&lt;&gt;"",
IF(COLUMN(貼り付け用!P91)&gt;MATCH("おやつ",貼り付け用!$3:$3,0),"",
IF(VLOOKUP($A91,貼り付け用!$A$1:$BA$300,COLUMN(),FALSE)=0,"",VLOOKUP($A91,貼り付け用!$A$1:$BA$300,COLUMN(),FALSE))),"")</f>
        <v/>
      </c>
      <c r="Q91" s="45" t="str">
        <f>IF($A91&lt;&gt;"",
IF(COLUMN(貼り付け用!Q91)&gt;MATCH("おやつ",貼り付け用!$3:$3,0),"",
IF(VLOOKUP($A91,貼り付け用!$A$1:$BA$300,COLUMN(),FALSE)=0,"",VLOOKUP($A91,貼り付け用!$A$1:$BA$300,COLUMN(),FALSE))),"")</f>
        <v/>
      </c>
      <c r="R91" s="45" t="str">
        <f>IF($A91&lt;&gt;"",
IF(COLUMN(貼り付け用!R91)&gt;MATCH("おやつ",貼り付け用!$3:$3,0),"",
IF(VLOOKUP($A91,貼り付け用!$A$1:$BA$300,COLUMN(),FALSE)=0,"",VLOOKUP($A91,貼り付け用!$A$1:$BA$300,COLUMN(),FALSE))),"")</f>
        <v/>
      </c>
      <c r="S91" s="45" t="str">
        <f>IF($A91&lt;&gt;"",
IF(COLUMN(貼り付け用!S91)&gt;MATCH("おやつ",貼り付け用!$3:$3,0),"",
IF(VLOOKUP($A91,貼り付け用!$A$1:$BA$300,COLUMN(),FALSE)=0,"",VLOOKUP($A91,貼り付け用!$A$1:$BA$300,COLUMN(),FALSE))),"")</f>
        <v/>
      </c>
      <c r="T91" s="45" t="str">
        <f>IF(COLUMN(貼り付け用!T91)&gt;MATCH("おやつ",貼り付け用!$3:$3,0),"",
IF(VLOOKUP($A91,貼り付け用!$A$1:$BA$300,COLUMN(),FALSE)=0,"",VLOOKUP($A91,貼り付け用!$A$1:$BA$300,COLUMN(),FALSE)))</f>
        <v/>
      </c>
      <c r="U91" s="24"/>
      <c r="V91" s="21" t="str">
        <f>IF(A91&lt;&gt;"",
IF(VLOOKUP($A91,貼り付け用!$A$1:$BA$300,MATCH("おやつ",貼り付け用!$3:$3,0)+1,FALSE)=0,"",VLOOKUP($A91,貼り付け用!$A$1:$BA$300,MATCH("おやつ",貼り付け用!$3:$3,0)+1,FALSE)),"")</f>
        <v/>
      </c>
      <c r="W91" s="50" t="str">
        <f>IF(A91&lt;&gt;"",
IF(VLOOKUP($A91,貼り付け用!$A$1:$BA$300,MATCH("おやつ",貼り付け用!$3:$3,0)+2,FALSE)=0,"",VLOOKUP($A91,貼り付け用!$A$1:$BA$300,MATCH("おやつ",貼り付け用!$3:$3,0)+2,FALSE)),"")</f>
        <v/>
      </c>
    </row>
    <row r="92" spans="1:23" x14ac:dyDescent="0.45">
      <c r="A92" s="10" t="str">
        <f>IF(貼り付け用!$A$6&lt;&gt;"",
IF(ROW(A91)+1&gt;=MATCH("*【合計】*", 貼り付け用!$A:$A, 0),
"",
IF(貼り付け用!A92&lt;&gt;"",貼り付け用!A92,"")),
IF(ROW(A92)+1&gt;=MATCH("*【合計】*", 貼り付け用!$A:$A, 0),
"",
IF(貼り付け用!A93&lt;&gt;"",貼り付け用!A93,"")))</f>
        <v>8100</v>
      </c>
      <c r="B92" s="50" t="str">
        <f>IF($A92&lt;&gt;"",IF(VLOOKUP($A92,貼り付け用!$A$1:$BA$300,COLUMN(),FALSE)=0,"",VLOOKUP($A92,貼り付け用!$A$1:$BA$300,COLUMN(),FALSE)),"")</f>
        <v/>
      </c>
      <c r="C92" s="50" t="str">
        <f>IF($A92&lt;&gt;"",IF(VLOOKUP($A92,貼り付け用!$A$1:$BA$300,COLUMN(),FALSE)=0,"",VLOOKUP($A92,貼り付け用!$A$1:$BA$300,COLUMN(),FALSE)),"")</f>
        <v/>
      </c>
      <c r="D92" s="50" t="str">
        <f>IF($A92&lt;&gt;"",IF(VLOOKUP($A92,貼り付け用!$A$1:$BA$300,COLUMN(),FALSE)=0,"",VLOOKUP($A92,貼り付け用!$A$1:$BA$300,COLUMN(),FALSE)),"")</f>
        <v/>
      </c>
      <c r="E92" s="50" t="str">
        <f>IF($A92&lt;&gt;"",IF(VLOOKUP($A92,貼り付け用!$A$1:$BA$300,COLUMN(),FALSE)=0,"",VLOOKUP($A92,貼り付け用!$A$1:$BA$300,COLUMN(),FALSE)),"")</f>
        <v/>
      </c>
      <c r="F92" s="50" t="str">
        <f>IF($A92&lt;&gt;"",IF(VLOOKUP($A92,貼り付け用!$A$1:$BA$300,COLUMN(),FALSE)=0,"",VLOOKUP($A92,貼り付け用!$A$1:$BA$300,COLUMN(),FALSE)),"")</f>
        <v/>
      </c>
      <c r="G92" s="50" t="str">
        <f>IF($A92&lt;&gt;"",IF(VLOOKUP($A92,貼り付け用!$A$1:$BA$300,COLUMN(),FALSE)=0,"",VLOOKUP($A92,貼り付け用!$A$1:$BA$300,COLUMN(),FALSE)),"")</f>
        <v/>
      </c>
      <c r="H92" s="50" t="str">
        <f>IF($A92&lt;&gt;"",IF(VLOOKUP($A92,貼り付け用!$A$1:$BA$300,COLUMN(),FALSE)=0,"",VLOOKUP($A92,貼り付け用!$A$1:$BA$300,COLUMN(),FALSE)),"")</f>
        <v/>
      </c>
      <c r="I92" s="50" t="str">
        <f>IF($A92&lt;&gt;"",IF(VLOOKUP($A92,貼り付け用!$A$1:$BA$300,COLUMN(),FALSE)=0,"",VLOOKUP($A92,貼り付け用!$A$1:$BA$300,COLUMN(),FALSE)),"")</f>
        <v/>
      </c>
      <c r="J92" s="50" t="str">
        <f>IF($A92&lt;&gt;"",IF(VLOOKUP($A92,貼り付け用!$A$1:$BA$300,COLUMN(),FALSE)=0,"",VLOOKUP($A92,貼り付け用!$A$1:$BA$300,COLUMN(),FALSE)),"")</f>
        <v/>
      </c>
      <c r="K92" s="50" t="str">
        <f>IF($A92&lt;&gt;"",IF(VLOOKUP($A92,貼り付け用!$A$1:$BA$300,COLUMN(),FALSE)=0,"",VLOOKUP($A92,貼り付け用!$A$1:$BA$300,COLUMN(),FALSE)),"")</f>
        <v>278</v>
      </c>
      <c r="L92" s="50" t="str">
        <f>IF($A92&lt;&gt;"",
IF(COLUMN(貼り付け用!L92)&gt;MATCH("おやつ",貼り付け用!$3:$3,0),"",
IF(VLOOKUP($A92,貼り付け用!$A$1:$BA$300,COLUMN(),FALSE)=0,"",VLOOKUP($A92,貼り付け用!$A$1:$BA$300,COLUMN(),FALSE))),"")</f>
        <v/>
      </c>
      <c r="M92" s="50" t="str">
        <f>IF($A92&lt;&gt;"",
IF(COLUMN(貼り付け用!M92)&gt;MATCH("おやつ",貼り付け用!$3:$3,0),"",
IF(VLOOKUP($A92,貼り付け用!$A$1:$BA$300,COLUMN(),FALSE)=0,"",VLOOKUP($A92,貼り付け用!$A$1:$BA$300,COLUMN(),FALSE))),"")</f>
        <v/>
      </c>
      <c r="N92" s="50" t="str">
        <f>IF($A92&lt;&gt;"",
IF(COLUMN(貼り付け用!N92)&gt;MATCH("おやつ",貼り付け用!$3:$3,0),"",
IF(VLOOKUP($A92,貼り付け用!$A$1:$BA$300,COLUMN(),FALSE)=0,"",VLOOKUP($A92,貼り付け用!$A$1:$BA$300,COLUMN(),FALSE))),"")</f>
        <v/>
      </c>
      <c r="O92" s="50" t="str">
        <f>IF($A92&lt;&gt;"",
IF(COLUMN(貼り付け用!O92)&gt;MATCH("おやつ",貼り付け用!$3:$3,0),"",
IF(VLOOKUP($A92,貼り付け用!$A$1:$BA$300,COLUMN(),FALSE)=0,"",VLOOKUP($A92,貼り付け用!$A$1:$BA$300,COLUMN(),FALSE))),"")</f>
        <v/>
      </c>
      <c r="P92" s="50" t="str">
        <f>IF($A92&lt;&gt;"",
IF(COLUMN(貼り付け用!P92)&gt;MATCH("おやつ",貼り付け用!$3:$3,0),"",
IF(VLOOKUP($A92,貼り付け用!$A$1:$BA$300,COLUMN(),FALSE)=0,"",VLOOKUP($A92,貼り付け用!$A$1:$BA$300,COLUMN(),FALSE))),"")</f>
        <v/>
      </c>
      <c r="Q92" s="50" t="str">
        <f>IF($A92&lt;&gt;"",
IF(COLUMN(貼り付け用!Q92)&gt;MATCH("おやつ",貼り付け用!$3:$3,0),"",
IF(VLOOKUP($A92,貼り付け用!$A$1:$BA$300,COLUMN(),FALSE)=0,"",VLOOKUP($A92,貼り付け用!$A$1:$BA$300,COLUMN(),FALSE))),"")</f>
        <v/>
      </c>
      <c r="R92" s="50" t="str">
        <f>IF($A92&lt;&gt;"",
IF(COLUMN(貼り付け用!R92)&gt;MATCH("おやつ",貼り付け用!$3:$3,0),"",
IF(VLOOKUP($A92,貼り付け用!$A$1:$BA$300,COLUMN(),FALSE)=0,"",VLOOKUP($A92,貼り付け用!$A$1:$BA$300,COLUMN(),FALSE))),"")</f>
        <v/>
      </c>
      <c r="S92" s="50" t="str">
        <f>IF($A92&lt;&gt;"",
IF(COLUMN(貼り付け用!S92)&gt;MATCH("おやつ",貼り付け用!$3:$3,0),"",
IF(VLOOKUP($A92,貼り付け用!$A$1:$BA$300,COLUMN(),FALSE)=0,"",VLOOKUP($A92,貼り付け用!$A$1:$BA$300,COLUMN(),FALSE))),"")</f>
        <v/>
      </c>
      <c r="T92" s="50" t="str">
        <f>IF(COLUMN(貼り付け用!T92)&gt;MATCH("おやつ",貼り付け用!$3:$3,0),"",
IF(VLOOKUP($A92,貼り付け用!$A$1:$BA$300,COLUMN(),FALSE)=0,"",VLOOKUP($A92,貼り付け用!$A$1:$BA$300,COLUMN(),FALSE)))</f>
        <v/>
      </c>
      <c r="U92" s="23"/>
      <c r="V92" s="21" t="str">
        <f>IF(A92&lt;&gt;"",
IF(VLOOKUP($A92,貼り付け用!$A$1:$BA$300,MATCH("おやつ",貼り付け用!$3:$3,0)+1,FALSE)=0,"",VLOOKUP($A92,貼り付け用!$A$1:$BA$300,MATCH("おやつ",貼り付け用!$3:$3,0)+1,FALSE)),"")</f>
        <v>おかわり用保温箱1.5Ｋ×1</v>
      </c>
      <c r="W92" s="50" t="str">
        <f>IF(A92&lt;&gt;"",
IF(VLOOKUP($A92,貼り付け用!$A$1:$BA$300,MATCH("おやつ",貼り付け用!$3:$3,0)+2,FALSE)=0,"",VLOOKUP($A92,貼り付け用!$A$1:$BA$300,MATCH("おやつ",貼り付け用!$3:$3,0)+2,FALSE)),"")</f>
        <v/>
      </c>
    </row>
    <row r="93" spans="1:23" x14ac:dyDescent="0.45">
      <c r="A93" s="22" t="str">
        <f>IF(貼り付け用!$A$6&lt;&gt;"",
IF(ROW(A92)+1&gt;=MATCH("*【合計】*", 貼り付け用!$A:$A, 0),"",
IF(貼り付け用!A93&lt;&gt;"",貼り付け用!A93,"")),
IF(ROW(A93)+1&gt;=MATCH("*【合計】*", 貼り付け用!$A:$A, 0),"",
IF(貼り付け用!A94&lt;&gt;"",貼り付け用!A94,"")))</f>
        <v>香蘭幼稚園</v>
      </c>
      <c r="B93" s="45" t="str">
        <f>IF($A93&lt;&gt;"",IF(VLOOKUP($A93,貼り付け用!$A$1:$BA$300,COLUMN(),FALSE)=0,"",VLOOKUP($A93,貼り付け用!$A$1:$BA$300,COLUMN(),FALSE)),"")</f>
        <v/>
      </c>
      <c r="C93" s="45" t="str">
        <f>IF($A93&lt;&gt;"",IF(VLOOKUP($A93,貼り付け用!$A$1:$BA$300,COLUMN(),FALSE)=0,"",VLOOKUP($A93,貼り付け用!$A$1:$BA$300,COLUMN(),FALSE)),"")</f>
        <v/>
      </c>
      <c r="D93" s="45" t="str">
        <f>IF($A93&lt;&gt;"",IF(VLOOKUP($A93,貼り付け用!$A$1:$BA$300,COLUMN(),FALSE)=0,"",VLOOKUP($A93,貼り付け用!$A$1:$BA$300,COLUMN(),FALSE)),"")</f>
        <v/>
      </c>
      <c r="E93" s="45" t="str">
        <f>IF($A93&lt;&gt;"",IF(VLOOKUP($A93,貼り付け用!$A$1:$BA$300,COLUMN(),FALSE)=0,"",VLOOKUP($A93,貼り付け用!$A$1:$BA$300,COLUMN(),FALSE)),"")</f>
        <v/>
      </c>
      <c r="F93" s="45" t="str">
        <f>IF($A93&lt;&gt;"",IF(VLOOKUP($A93,貼り付け用!$A$1:$BA$300,COLUMN(),FALSE)=0,"",VLOOKUP($A93,貼り付け用!$A$1:$BA$300,COLUMN(),FALSE)),"")</f>
        <v/>
      </c>
      <c r="G93" s="45" t="str">
        <f>IF($A93&lt;&gt;"",IF(VLOOKUP($A93,貼り付け用!$A$1:$BA$300,COLUMN(),FALSE)=0,"",VLOOKUP($A93,貼り付け用!$A$1:$BA$300,COLUMN(),FALSE)),"")</f>
        <v/>
      </c>
      <c r="H93" s="45" t="str">
        <f>IF($A93&lt;&gt;"",IF(VLOOKUP($A93,貼り付け用!$A$1:$BA$300,COLUMN(),FALSE)=0,"",VLOOKUP($A93,貼り付け用!$A$1:$BA$300,COLUMN(),FALSE)),"")</f>
        <v/>
      </c>
      <c r="I93" s="45" t="str">
        <f>IF($A93&lt;&gt;"",IF(VLOOKUP($A93,貼り付け用!$A$1:$BA$300,COLUMN(),FALSE)=0,"",VLOOKUP($A93,貼り付け用!$A$1:$BA$300,COLUMN(),FALSE)),"")</f>
        <v/>
      </c>
      <c r="J93" s="45" t="str">
        <f>IF($A93&lt;&gt;"",IF(VLOOKUP($A93,貼り付け用!$A$1:$BA$300,COLUMN(),FALSE)=0,"",VLOOKUP($A93,貼り付け用!$A$1:$BA$300,COLUMN(),FALSE)),"")</f>
        <v/>
      </c>
      <c r="K93" s="45" t="str">
        <f>IF($A93&lt;&gt;"",IF(VLOOKUP($A93,貼り付け用!$A$1:$BA$300,COLUMN(),FALSE)=0,"",VLOOKUP($A93,貼り付け用!$A$1:$BA$300,COLUMN(),FALSE)),"")</f>
        <v>27</v>
      </c>
      <c r="L93" s="45" t="str">
        <f>IF($A93&lt;&gt;"",
IF(COLUMN(貼り付け用!L93)&gt;MATCH("おやつ",貼り付け用!$3:$3,0),"",
IF(VLOOKUP($A93,貼り付け用!$A$1:$BA$300,COLUMN(),FALSE)=0,"",VLOOKUP($A93,貼り付け用!$A$1:$BA$300,COLUMN(),FALSE))),"")</f>
        <v/>
      </c>
      <c r="M93" s="45" t="str">
        <f>IF($A93&lt;&gt;"",
IF(COLUMN(貼り付け用!M93)&gt;MATCH("おやつ",貼り付け用!$3:$3,0),"",
IF(VLOOKUP($A93,貼り付け用!$A$1:$BA$300,COLUMN(),FALSE)=0,"",VLOOKUP($A93,貼り付け用!$A$1:$BA$300,COLUMN(),FALSE))),"")</f>
        <v/>
      </c>
      <c r="N93" s="45" t="str">
        <f>IF($A93&lt;&gt;"",
IF(COLUMN(貼り付け用!N93)&gt;MATCH("おやつ",貼り付け用!$3:$3,0),"",
IF(VLOOKUP($A93,貼り付け用!$A$1:$BA$300,COLUMN(),FALSE)=0,"",VLOOKUP($A93,貼り付け用!$A$1:$BA$300,COLUMN(),FALSE))),"")</f>
        <v/>
      </c>
      <c r="O93" s="45" t="str">
        <f>IF($A93&lt;&gt;"",
IF(COLUMN(貼り付け用!O93)&gt;MATCH("おやつ",貼り付け用!$3:$3,0),"",
IF(VLOOKUP($A93,貼り付け用!$A$1:$BA$300,COLUMN(),FALSE)=0,"",VLOOKUP($A93,貼り付け用!$A$1:$BA$300,COLUMN(),FALSE))),"")</f>
        <v/>
      </c>
      <c r="P93" s="45" t="str">
        <f>IF($A93&lt;&gt;"",
IF(COLUMN(貼り付け用!P93)&gt;MATCH("おやつ",貼り付け用!$3:$3,0),"",
IF(VLOOKUP($A93,貼り付け用!$A$1:$BA$300,COLUMN(),FALSE)=0,"",VLOOKUP($A93,貼り付け用!$A$1:$BA$300,COLUMN(),FALSE))),"")</f>
        <v/>
      </c>
      <c r="Q93" s="45" t="str">
        <f>IF($A93&lt;&gt;"",
IF(COLUMN(貼り付け用!Q93)&gt;MATCH("おやつ",貼り付け用!$3:$3,0),"",
IF(VLOOKUP($A93,貼り付け用!$A$1:$BA$300,COLUMN(),FALSE)=0,"",VLOOKUP($A93,貼り付け用!$A$1:$BA$300,COLUMN(),FALSE))),"")</f>
        <v/>
      </c>
      <c r="R93" s="45" t="str">
        <f>IF($A93&lt;&gt;"",
IF(COLUMN(貼り付け用!R93)&gt;MATCH("おやつ",貼り付け用!$3:$3,0),"",
IF(VLOOKUP($A93,貼り付け用!$A$1:$BA$300,COLUMN(),FALSE)=0,"",VLOOKUP($A93,貼り付け用!$A$1:$BA$300,COLUMN(),FALSE))),"")</f>
        <v/>
      </c>
      <c r="S93" s="45" t="str">
        <f>IF($A93&lt;&gt;"",
IF(COLUMN(貼り付け用!S93)&gt;MATCH("おやつ",貼り付け用!$3:$3,0),"",
IF(VLOOKUP($A93,貼り付け用!$A$1:$BA$300,COLUMN(),FALSE)=0,"",VLOOKUP($A93,貼り付け用!$A$1:$BA$300,COLUMN(),FALSE))),"")</f>
        <v/>
      </c>
      <c r="T93" s="45" t="str">
        <f>IF(COLUMN(貼り付け用!T93)&gt;MATCH("おやつ",貼り付け用!$3:$3,0),"",
IF(VLOOKUP($A93,貼り付け用!$A$1:$BA$300,COLUMN(),FALSE)=0,"",VLOOKUP($A93,貼り付け用!$A$1:$BA$300,COLUMN(),FALSE)))</f>
        <v/>
      </c>
      <c r="U93" s="24"/>
      <c r="V93" s="21" t="str">
        <f>IF(A93&lt;&gt;"",
IF(VLOOKUP($A93,貼り付け用!$A$1:$BA$300,MATCH("おやつ",貼り付け用!$3:$3,0)+1,FALSE)=0,"",VLOOKUP($A93,貼り付け用!$A$1:$BA$300,MATCH("おやつ",貼り付け用!$3:$3,0)+1,FALSE)),"")</f>
        <v/>
      </c>
      <c r="W93" s="50" t="str">
        <f>IF(A93&lt;&gt;"",
IF(VLOOKUP($A93,貼り付け用!$A$1:$BA$300,MATCH("おやつ",貼り付け用!$3:$3,0)+2,FALSE)=0,"",VLOOKUP($A93,貼り付け用!$A$1:$BA$300,MATCH("おやつ",貼り付け用!$3:$3,0)+2,FALSE)),"")</f>
        <v/>
      </c>
    </row>
    <row r="94" spans="1:23" x14ac:dyDescent="0.45">
      <c r="A94" s="10" t="str">
        <f>IF(貼り付け用!$A$6&lt;&gt;"",
IF(ROW(A93)+1&gt;=MATCH("*【合計】*", 貼り付け用!$A:$A, 0),
"",
IF(貼り付け用!A94&lt;&gt;"",貼り付け用!A94,"")),
IF(ROW(A94)+1&gt;=MATCH("*【合計】*", 貼り付け用!$A:$A, 0),
"",
IF(貼り付け用!A95&lt;&gt;"",貼り付け用!A95,"")))</f>
        <v>8107</v>
      </c>
      <c r="B94" s="50" t="str">
        <f>IF($A94&lt;&gt;"",IF(VLOOKUP($A94,貼り付け用!$A$1:$BA$300,COLUMN(),FALSE)=0,"",VLOOKUP($A94,貼り付け用!$A$1:$BA$300,COLUMN(),FALSE)),"")</f>
        <v/>
      </c>
      <c r="C94" s="50" t="str">
        <f>IF($A94&lt;&gt;"",IF(VLOOKUP($A94,貼り付け用!$A$1:$BA$300,COLUMN(),FALSE)=0,"",VLOOKUP($A94,貼り付け用!$A$1:$BA$300,COLUMN(),FALSE)),"")</f>
        <v/>
      </c>
      <c r="D94" s="50" t="str">
        <f>IF($A94&lt;&gt;"",IF(VLOOKUP($A94,貼り付け用!$A$1:$BA$300,COLUMN(),FALSE)=0,"",VLOOKUP($A94,貼り付け用!$A$1:$BA$300,COLUMN(),FALSE)),"")</f>
        <v/>
      </c>
      <c r="E94" s="50" t="str">
        <f>IF($A94&lt;&gt;"",IF(VLOOKUP($A94,貼り付け用!$A$1:$BA$300,COLUMN(),FALSE)=0,"",VLOOKUP($A94,貼り付け用!$A$1:$BA$300,COLUMN(),FALSE)),"")</f>
        <v/>
      </c>
      <c r="F94" s="50" t="str">
        <f>IF($A94&lt;&gt;"",IF(VLOOKUP($A94,貼り付け用!$A$1:$BA$300,COLUMN(),FALSE)=0,"",VLOOKUP($A94,貼り付け用!$A$1:$BA$300,COLUMN(),FALSE)),"")</f>
        <v/>
      </c>
      <c r="G94" s="50" t="str">
        <f>IF($A94&lt;&gt;"",IF(VLOOKUP($A94,貼り付け用!$A$1:$BA$300,COLUMN(),FALSE)=0,"",VLOOKUP($A94,貼り付け用!$A$1:$BA$300,COLUMN(),FALSE)),"")</f>
        <v/>
      </c>
      <c r="H94" s="50" t="str">
        <f>IF($A94&lt;&gt;"",IF(VLOOKUP($A94,貼り付け用!$A$1:$BA$300,COLUMN(),FALSE)=0,"",VLOOKUP($A94,貼り付け用!$A$1:$BA$300,COLUMN(),FALSE)),"")</f>
        <v/>
      </c>
      <c r="I94" s="50" t="str">
        <f>IF($A94&lt;&gt;"",IF(VLOOKUP($A94,貼り付け用!$A$1:$BA$300,COLUMN(),FALSE)=0,"",VLOOKUP($A94,貼り付け用!$A$1:$BA$300,COLUMN(),FALSE)),"")</f>
        <v/>
      </c>
      <c r="J94" s="50" t="str">
        <f>IF($A94&lt;&gt;"",IF(VLOOKUP($A94,貼り付け用!$A$1:$BA$300,COLUMN(),FALSE)=0,"",VLOOKUP($A94,貼り付け用!$A$1:$BA$300,COLUMN(),FALSE)),"")</f>
        <v/>
      </c>
      <c r="K94" s="50" t="str">
        <f>IF($A94&lt;&gt;"",IF(VLOOKUP($A94,貼り付け用!$A$1:$BA$300,COLUMN(),FALSE)=0,"",VLOOKUP($A94,貼り付け用!$A$1:$BA$300,COLUMN(),FALSE)),"")</f>
        <v>9</v>
      </c>
      <c r="L94" s="50" t="str">
        <f>IF($A94&lt;&gt;"",
IF(COLUMN(貼り付け用!L94)&gt;MATCH("おやつ",貼り付け用!$3:$3,0),"",
IF(VLOOKUP($A94,貼り付け用!$A$1:$BA$300,COLUMN(),FALSE)=0,"",VLOOKUP($A94,貼り付け用!$A$1:$BA$300,COLUMN(),FALSE))),"")</f>
        <v/>
      </c>
      <c r="M94" s="50" t="str">
        <f>IF($A94&lt;&gt;"",
IF(COLUMN(貼り付け用!M94)&gt;MATCH("おやつ",貼り付け用!$3:$3,0),"",
IF(VLOOKUP($A94,貼り付け用!$A$1:$BA$300,COLUMN(),FALSE)=0,"",VLOOKUP($A94,貼り付け用!$A$1:$BA$300,COLUMN(),FALSE))),"")</f>
        <v/>
      </c>
      <c r="N94" s="50" t="str">
        <f>IF($A94&lt;&gt;"",
IF(COLUMN(貼り付け用!N94)&gt;MATCH("おやつ",貼り付け用!$3:$3,0),"",
IF(VLOOKUP($A94,貼り付け用!$A$1:$BA$300,COLUMN(),FALSE)=0,"",VLOOKUP($A94,貼り付け用!$A$1:$BA$300,COLUMN(),FALSE))),"")</f>
        <v/>
      </c>
      <c r="O94" s="50" t="str">
        <f>IF($A94&lt;&gt;"",
IF(COLUMN(貼り付け用!O94)&gt;MATCH("おやつ",貼り付け用!$3:$3,0),"",
IF(VLOOKUP($A94,貼り付け用!$A$1:$BA$300,COLUMN(),FALSE)=0,"",VLOOKUP($A94,貼り付け用!$A$1:$BA$300,COLUMN(),FALSE))),"")</f>
        <v/>
      </c>
      <c r="P94" s="50" t="str">
        <f>IF($A94&lt;&gt;"",
IF(COLUMN(貼り付け用!P94)&gt;MATCH("おやつ",貼り付け用!$3:$3,0),"",
IF(VLOOKUP($A94,貼り付け用!$A$1:$BA$300,COLUMN(),FALSE)=0,"",VLOOKUP($A94,貼り付け用!$A$1:$BA$300,COLUMN(),FALSE))),"")</f>
        <v/>
      </c>
      <c r="Q94" s="50" t="str">
        <f>IF($A94&lt;&gt;"",
IF(COLUMN(貼り付け用!Q94)&gt;MATCH("おやつ",貼り付け用!$3:$3,0),"",
IF(VLOOKUP($A94,貼り付け用!$A$1:$BA$300,COLUMN(),FALSE)=0,"",VLOOKUP($A94,貼り付け用!$A$1:$BA$300,COLUMN(),FALSE))),"")</f>
        <v/>
      </c>
      <c r="R94" s="50" t="str">
        <f>IF($A94&lt;&gt;"",
IF(COLUMN(貼り付け用!R94)&gt;MATCH("おやつ",貼り付け用!$3:$3,0),"",
IF(VLOOKUP($A94,貼り付け用!$A$1:$BA$300,COLUMN(),FALSE)=0,"",VLOOKUP($A94,貼り付け用!$A$1:$BA$300,COLUMN(),FALSE))),"")</f>
        <v/>
      </c>
      <c r="S94" s="50" t="str">
        <f>IF($A94&lt;&gt;"",
IF(COLUMN(貼り付け用!S94)&gt;MATCH("おやつ",貼り付け用!$3:$3,0),"",
IF(VLOOKUP($A94,貼り付け用!$A$1:$BA$300,COLUMN(),FALSE)=0,"",VLOOKUP($A94,貼り付け用!$A$1:$BA$300,COLUMN(),FALSE))),"")</f>
        <v/>
      </c>
      <c r="T94" s="50" t="str">
        <f>IF(COLUMN(貼り付け用!T94)&gt;MATCH("おやつ",貼り付け用!$3:$3,0),"",
IF(VLOOKUP($A94,貼り付け用!$A$1:$BA$300,COLUMN(),FALSE)=0,"",VLOOKUP($A94,貼り付け用!$A$1:$BA$300,COLUMN(),FALSE)))</f>
        <v/>
      </c>
      <c r="U94" s="23"/>
      <c r="V94" s="21" t="str">
        <f>IF(A94&lt;&gt;"",
IF(VLOOKUP($A94,貼り付け用!$A$1:$BA$300,MATCH("おやつ",貼り付け用!$3:$3,0)+1,FALSE)=0,"",VLOOKUP($A94,貼り付け用!$A$1:$BA$300,MATCH("おやつ",貼り付け用!$3:$3,0)+1,FALSE)),"")</f>
        <v/>
      </c>
      <c r="W94" s="50" t="str">
        <f>IF(A94&lt;&gt;"",
IF(VLOOKUP($A94,貼り付け用!$A$1:$BA$300,MATCH("おやつ",貼り付け用!$3:$3,0)+2,FALSE)=0,"",VLOOKUP($A94,貼り付け用!$A$1:$BA$300,MATCH("おやつ",貼り付け用!$3:$3,0)+2,FALSE)),"")</f>
        <v/>
      </c>
    </row>
    <row r="95" spans="1:23" x14ac:dyDescent="0.45">
      <c r="A95" s="22" t="str">
        <f>IF(貼り付け用!$A$6&lt;&gt;"",
IF(ROW(A94)+1&gt;=MATCH("*【合計】*", 貼り付け用!$A:$A, 0),"",
IF(貼り付け用!A95&lt;&gt;"",貼り付け用!A95,"")),
IF(ROW(A95)+1&gt;=MATCH("*【合計】*", 貼り付け用!$A:$A, 0),"",
IF(貼り付け用!A96&lt;&gt;"",貼り付け用!A96,"")))</f>
        <v>香蘭 つぼみ</v>
      </c>
      <c r="B95" s="45" t="str">
        <f>IF($A95&lt;&gt;"",IF(VLOOKUP($A95,貼り付け用!$A$1:$BA$300,COLUMN(),FALSE)=0,"",VLOOKUP($A95,貼り付け用!$A$1:$BA$300,COLUMN(),FALSE)),"")</f>
        <v/>
      </c>
      <c r="C95" s="45" t="str">
        <f>IF($A95&lt;&gt;"",IF(VLOOKUP($A95,貼り付け用!$A$1:$BA$300,COLUMN(),FALSE)=0,"",VLOOKUP($A95,貼り付け用!$A$1:$BA$300,COLUMN(),FALSE)),"")</f>
        <v/>
      </c>
      <c r="D95" s="45" t="str">
        <f>IF($A95&lt;&gt;"",IF(VLOOKUP($A95,貼り付け用!$A$1:$BA$300,COLUMN(),FALSE)=0,"",VLOOKUP($A95,貼り付け用!$A$1:$BA$300,COLUMN(),FALSE)),"")</f>
        <v/>
      </c>
      <c r="E95" s="45" t="str">
        <f>IF($A95&lt;&gt;"",IF(VLOOKUP($A95,貼り付け用!$A$1:$BA$300,COLUMN(),FALSE)=0,"",VLOOKUP($A95,貼り付け用!$A$1:$BA$300,COLUMN(),FALSE)),"")</f>
        <v/>
      </c>
      <c r="F95" s="45" t="str">
        <f>IF($A95&lt;&gt;"",IF(VLOOKUP($A95,貼り付け用!$A$1:$BA$300,COLUMN(),FALSE)=0,"",VLOOKUP($A95,貼り付け用!$A$1:$BA$300,COLUMN(),FALSE)),"")</f>
        <v/>
      </c>
      <c r="G95" s="45" t="str">
        <f>IF($A95&lt;&gt;"",IF(VLOOKUP($A95,貼り付け用!$A$1:$BA$300,COLUMN(),FALSE)=0,"",VLOOKUP($A95,貼り付け用!$A$1:$BA$300,COLUMN(),FALSE)),"")</f>
        <v/>
      </c>
      <c r="H95" s="45" t="str">
        <f>IF($A95&lt;&gt;"",IF(VLOOKUP($A95,貼り付け用!$A$1:$BA$300,COLUMN(),FALSE)=0,"",VLOOKUP($A95,貼り付け用!$A$1:$BA$300,COLUMN(),FALSE)),"")</f>
        <v/>
      </c>
      <c r="I95" s="45" t="str">
        <f>IF($A95&lt;&gt;"",IF(VLOOKUP($A95,貼り付け用!$A$1:$BA$300,COLUMN(),FALSE)=0,"",VLOOKUP($A95,貼り付け用!$A$1:$BA$300,COLUMN(),FALSE)),"")</f>
        <v/>
      </c>
      <c r="J95" s="45" t="str">
        <f>IF($A95&lt;&gt;"",IF(VLOOKUP($A95,貼り付け用!$A$1:$BA$300,COLUMN(),FALSE)=0,"",VLOOKUP($A95,貼り付け用!$A$1:$BA$300,COLUMN(),FALSE)),"")</f>
        <v/>
      </c>
      <c r="K95" s="45" t="str">
        <f>IF($A95&lt;&gt;"",IF(VLOOKUP($A95,貼り付け用!$A$1:$BA$300,COLUMN(),FALSE)=0,"",VLOOKUP($A95,貼り付け用!$A$1:$BA$300,COLUMN(),FALSE)),"")</f>
        <v/>
      </c>
      <c r="L95" s="45" t="str">
        <f>IF($A95&lt;&gt;"",
IF(COLUMN(貼り付け用!L95)&gt;MATCH("おやつ",貼り付け用!$3:$3,0),"",
IF(VLOOKUP($A95,貼り付け用!$A$1:$BA$300,COLUMN(),FALSE)=0,"",VLOOKUP($A95,貼り付け用!$A$1:$BA$300,COLUMN(),FALSE))),"")</f>
        <v/>
      </c>
      <c r="M95" s="45" t="str">
        <f>IF($A95&lt;&gt;"",
IF(COLUMN(貼り付け用!M95)&gt;MATCH("おやつ",貼り付け用!$3:$3,0),"",
IF(VLOOKUP($A95,貼り付け用!$A$1:$BA$300,COLUMN(),FALSE)=0,"",VLOOKUP($A95,貼り付け用!$A$1:$BA$300,COLUMN(),FALSE))),"")</f>
        <v/>
      </c>
      <c r="N95" s="45" t="str">
        <f>IF($A95&lt;&gt;"",
IF(COLUMN(貼り付け用!N95)&gt;MATCH("おやつ",貼り付け用!$3:$3,0),"",
IF(VLOOKUP($A95,貼り付け用!$A$1:$BA$300,COLUMN(),FALSE)=0,"",VLOOKUP($A95,貼り付け用!$A$1:$BA$300,COLUMN(),FALSE))),"")</f>
        <v/>
      </c>
      <c r="O95" s="45" t="str">
        <f>IF($A95&lt;&gt;"",
IF(COLUMN(貼り付け用!O95)&gt;MATCH("おやつ",貼り付け用!$3:$3,0),"",
IF(VLOOKUP($A95,貼り付け用!$A$1:$BA$300,COLUMN(),FALSE)=0,"",VLOOKUP($A95,貼り付け用!$A$1:$BA$300,COLUMN(),FALSE))),"")</f>
        <v/>
      </c>
      <c r="P95" s="45" t="str">
        <f>IF($A95&lt;&gt;"",
IF(COLUMN(貼り付け用!P95)&gt;MATCH("おやつ",貼り付け用!$3:$3,0),"",
IF(VLOOKUP($A95,貼り付け用!$A$1:$BA$300,COLUMN(),FALSE)=0,"",VLOOKUP($A95,貼り付け用!$A$1:$BA$300,COLUMN(),FALSE))),"")</f>
        <v/>
      </c>
      <c r="Q95" s="45" t="str">
        <f>IF($A95&lt;&gt;"",
IF(COLUMN(貼り付け用!Q95)&gt;MATCH("おやつ",貼り付け用!$3:$3,0),"",
IF(VLOOKUP($A95,貼り付け用!$A$1:$BA$300,COLUMN(),FALSE)=0,"",VLOOKUP($A95,貼り付け用!$A$1:$BA$300,COLUMN(),FALSE))),"")</f>
        <v/>
      </c>
      <c r="R95" s="45" t="str">
        <f>IF($A95&lt;&gt;"",
IF(COLUMN(貼り付け用!R95)&gt;MATCH("おやつ",貼り付け用!$3:$3,0),"",
IF(VLOOKUP($A95,貼り付け用!$A$1:$BA$300,COLUMN(),FALSE)=0,"",VLOOKUP($A95,貼り付け用!$A$1:$BA$300,COLUMN(),FALSE))),"")</f>
        <v/>
      </c>
      <c r="S95" s="45" t="str">
        <f>IF($A95&lt;&gt;"",
IF(COLUMN(貼り付け用!S95)&gt;MATCH("おやつ",貼り付け用!$3:$3,0),"",
IF(VLOOKUP($A95,貼り付け用!$A$1:$BA$300,COLUMN(),FALSE)=0,"",VLOOKUP($A95,貼り付け用!$A$1:$BA$300,COLUMN(),FALSE))),"")</f>
        <v/>
      </c>
      <c r="T95" s="45" t="str">
        <f>IF(COLUMN(貼り付け用!T95)&gt;MATCH("おやつ",貼り付け用!$3:$3,0),"",
IF(VLOOKUP($A95,貼り付け用!$A$1:$BA$300,COLUMN(),FALSE)=0,"",VLOOKUP($A95,貼り付け用!$A$1:$BA$300,COLUMN(),FALSE)))</f>
        <v/>
      </c>
      <c r="U95" s="24"/>
      <c r="V95" s="21" t="str">
        <f>IF(A95&lt;&gt;"",
IF(VLOOKUP($A95,貼り付け用!$A$1:$BA$300,MATCH("おやつ",貼り付け用!$3:$3,0)+1,FALSE)=0,"",VLOOKUP($A95,貼り付け用!$A$1:$BA$300,MATCH("おやつ",貼り付け用!$3:$3,0)+1,FALSE)),"")</f>
        <v/>
      </c>
      <c r="W95" s="50" t="str">
        <f>IF(A95&lt;&gt;"",
IF(VLOOKUP($A95,貼り付け用!$A$1:$BA$300,MATCH("おやつ",貼り付け用!$3:$3,0)+2,FALSE)=0,"",VLOOKUP($A95,貼り付け用!$A$1:$BA$300,MATCH("おやつ",貼り付け用!$3:$3,0)+2,FALSE)),"")</f>
        <v/>
      </c>
    </row>
    <row r="96" spans="1:23" x14ac:dyDescent="0.45">
      <c r="A96" s="10" t="str">
        <f>IF(貼り付け用!$A$6&lt;&gt;"",
IF(ROW(A95)+1&gt;=MATCH("*【合計】*", 貼り付け用!$A:$A, 0),
"",
IF(貼り付け用!A96&lt;&gt;"",貼り付け用!A96,"")),
IF(ROW(A96)+1&gt;=MATCH("*【合計】*", 貼り付け用!$A:$A, 0),
"",
IF(貼り付け用!A97&lt;&gt;"",貼り付け用!A97,"")))</f>
        <v>13900</v>
      </c>
      <c r="B96" s="50" t="str">
        <f>IF($A96&lt;&gt;"",IF(VLOOKUP($A96,貼り付け用!$A$1:$BA$300,COLUMN(),FALSE)=0,"",VLOOKUP($A96,貼り付け用!$A$1:$BA$300,COLUMN(),FALSE)),"")</f>
        <v/>
      </c>
      <c r="C96" s="50" t="str">
        <f>IF($A96&lt;&gt;"",IF(VLOOKUP($A96,貼り付け用!$A$1:$BA$300,COLUMN(),FALSE)=0,"",VLOOKUP($A96,貼り付け用!$A$1:$BA$300,COLUMN(),FALSE)),"")</f>
        <v/>
      </c>
      <c r="D96" s="50" t="str">
        <f>IF($A96&lt;&gt;"",IF(VLOOKUP($A96,貼り付け用!$A$1:$BA$300,COLUMN(),FALSE)=0,"",VLOOKUP($A96,貼り付け用!$A$1:$BA$300,COLUMN(),FALSE)),"")</f>
        <v/>
      </c>
      <c r="E96" s="50" t="str">
        <f>IF($A96&lt;&gt;"",IF(VLOOKUP($A96,貼り付け用!$A$1:$BA$300,COLUMN(),FALSE)=0,"",VLOOKUP($A96,貼り付け用!$A$1:$BA$300,COLUMN(),FALSE)),"")</f>
        <v/>
      </c>
      <c r="F96" s="50" t="str">
        <f>IF($A96&lt;&gt;"",IF(VLOOKUP($A96,貼り付け用!$A$1:$BA$300,COLUMN(),FALSE)=0,"",VLOOKUP($A96,貼り付け用!$A$1:$BA$300,COLUMN(),FALSE)),"")</f>
        <v/>
      </c>
      <c r="G96" s="50" t="str">
        <f>IF($A96&lt;&gt;"",IF(VLOOKUP($A96,貼り付け用!$A$1:$BA$300,COLUMN(),FALSE)=0,"",VLOOKUP($A96,貼り付け用!$A$1:$BA$300,COLUMN(),FALSE)),"")</f>
        <v>10</v>
      </c>
      <c r="H96" s="50" t="str">
        <f>IF($A96&lt;&gt;"",IF(VLOOKUP($A96,貼り付け用!$A$1:$BA$300,COLUMN(),FALSE)=0,"",VLOOKUP($A96,貼り付け用!$A$1:$BA$300,COLUMN(),FALSE)),"")</f>
        <v/>
      </c>
      <c r="I96" s="50" t="str">
        <f>IF($A96&lt;&gt;"",IF(VLOOKUP($A96,貼り付け用!$A$1:$BA$300,COLUMN(),FALSE)=0,"",VLOOKUP($A96,貼り付け用!$A$1:$BA$300,COLUMN(),FALSE)),"")</f>
        <v/>
      </c>
      <c r="J96" s="50" t="str">
        <f>IF($A96&lt;&gt;"",IF(VLOOKUP($A96,貼り付け用!$A$1:$BA$300,COLUMN(),FALSE)=0,"",VLOOKUP($A96,貼り付け用!$A$1:$BA$300,COLUMN(),FALSE)),"")</f>
        <v/>
      </c>
      <c r="K96" s="50" t="str">
        <f>IF($A96&lt;&gt;"",IF(VLOOKUP($A96,貼り付け用!$A$1:$BA$300,COLUMN(),FALSE)=0,"",VLOOKUP($A96,貼り付け用!$A$1:$BA$300,COLUMN(),FALSE)),"")</f>
        <v/>
      </c>
      <c r="L96" s="50" t="str">
        <f>IF($A96&lt;&gt;"",
IF(COLUMN(貼り付け用!L96)&gt;MATCH("おやつ",貼り付け用!$3:$3,0),"",
IF(VLOOKUP($A96,貼り付け用!$A$1:$BA$300,COLUMN(),FALSE)=0,"",VLOOKUP($A96,貼り付け用!$A$1:$BA$300,COLUMN(),FALSE))),"")</f>
        <v/>
      </c>
      <c r="M96" s="50" t="str">
        <f>IF($A96&lt;&gt;"",
IF(COLUMN(貼り付け用!M96)&gt;MATCH("おやつ",貼り付け用!$3:$3,0),"",
IF(VLOOKUP($A96,貼り付け用!$A$1:$BA$300,COLUMN(),FALSE)=0,"",VLOOKUP($A96,貼り付け用!$A$1:$BA$300,COLUMN(),FALSE))),"")</f>
        <v/>
      </c>
      <c r="N96" s="50" t="str">
        <f>IF($A96&lt;&gt;"",
IF(COLUMN(貼り付け用!N96)&gt;MATCH("おやつ",貼り付け用!$3:$3,0),"",
IF(VLOOKUP($A96,貼り付け用!$A$1:$BA$300,COLUMN(),FALSE)=0,"",VLOOKUP($A96,貼り付け用!$A$1:$BA$300,COLUMN(),FALSE))),"")</f>
        <v/>
      </c>
      <c r="O96" s="50" t="str">
        <f>IF($A96&lt;&gt;"",
IF(COLUMN(貼り付け用!O96)&gt;MATCH("おやつ",貼り付け用!$3:$3,0),"",
IF(VLOOKUP($A96,貼り付け用!$A$1:$BA$300,COLUMN(),FALSE)=0,"",VLOOKUP($A96,貼り付け用!$A$1:$BA$300,COLUMN(),FALSE))),"")</f>
        <v/>
      </c>
      <c r="P96" s="50" t="str">
        <f>IF($A96&lt;&gt;"",
IF(COLUMN(貼り付け用!P96)&gt;MATCH("おやつ",貼り付け用!$3:$3,0),"",
IF(VLOOKUP($A96,貼り付け用!$A$1:$BA$300,COLUMN(),FALSE)=0,"",VLOOKUP($A96,貼り付け用!$A$1:$BA$300,COLUMN(),FALSE))),"")</f>
        <v/>
      </c>
      <c r="Q96" s="50" t="str">
        <f>IF($A96&lt;&gt;"",
IF(COLUMN(貼り付け用!Q96)&gt;MATCH("おやつ",貼り付け用!$3:$3,0),"",
IF(VLOOKUP($A96,貼り付け用!$A$1:$BA$300,COLUMN(),FALSE)=0,"",VLOOKUP($A96,貼り付け用!$A$1:$BA$300,COLUMN(),FALSE))),"")</f>
        <v/>
      </c>
      <c r="R96" s="50" t="str">
        <f>IF($A96&lt;&gt;"",
IF(COLUMN(貼り付け用!R96)&gt;MATCH("おやつ",貼り付け用!$3:$3,0),"",
IF(VLOOKUP($A96,貼り付け用!$A$1:$BA$300,COLUMN(),FALSE)=0,"",VLOOKUP($A96,貼り付け用!$A$1:$BA$300,COLUMN(),FALSE))),"")</f>
        <v/>
      </c>
      <c r="S96" s="50" t="str">
        <f>IF($A96&lt;&gt;"",
IF(COLUMN(貼り付け用!S96)&gt;MATCH("おやつ",貼り付け用!$3:$3,0),"",
IF(VLOOKUP($A96,貼り付け用!$A$1:$BA$300,COLUMN(),FALSE)=0,"",VLOOKUP($A96,貼り付け用!$A$1:$BA$300,COLUMN(),FALSE))),"")</f>
        <v/>
      </c>
      <c r="T96" s="50" t="str">
        <f>IF(COLUMN(貼り付け用!T96)&gt;MATCH("おやつ",貼り付け用!$3:$3,0),"",
IF(VLOOKUP($A96,貼り付け用!$A$1:$BA$300,COLUMN(),FALSE)=0,"",VLOOKUP($A96,貼り付け用!$A$1:$BA$300,COLUMN(),FALSE)))</f>
        <v/>
      </c>
      <c r="U96" s="23"/>
      <c r="V96" s="21" t="str">
        <f>IF(A96&lt;&gt;"",
IF(VLOOKUP($A96,貼り付け用!$A$1:$BA$300,MATCH("おやつ",貼り付け用!$3:$3,0)+1,FALSE)=0,"",VLOOKUP($A96,貼り付け用!$A$1:$BA$300,MATCH("おやつ",貼り付け用!$3:$3,0)+1,FALSE)),"")</f>
        <v/>
      </c>
      <c r="W96" s="50" t="str">
        <f>IF(A96&lt;&gt;"",
IF(VLOOKUP($A96,貼り付け用!$A$1:$BA$300,MATCH("おやつ",貼り付け用!$3:$3,0)+2,FALSE)=0,"",VLOOKUP($A96,貼り付け用!$A$1:$BA$300,MATCH("おやつ",貼り付け用!$3:$3,0)+2,FALSE)),"")</f>
        <v/>
      </c>
    </row>
    <row r="97" spans="1:23" x14ac:dyDescent="0.45">
      <c r="A97" s="22" t="str">
        <f>IF(貼り付け用!$A$6&lt;&gt;"",
IF(ROW(A96)+1&gt;=MATCH("*【合計】*", 貼り付け用!$A:$A, 0),"",
IF(貼り付け用!A97&lt;&gt;"",貼り付け用!A97,"")),
IF(ROW(A97)+1&gt;=MATCH("*【合計】*", 貼り付け用!$A:$A, 0),"",
IF(貼り付け用!A98&lt;&gt;"",貼り付け用!A98,"")))</f>
        <v>大濠キンダーガーテン web</v>
      </c>
      <c r="B97" s="45" t="str">
        <f>IF($A97&lt;&gt;"",IF(VLOOKUP($A97,貼り付け用!$A$1:$BA$300,COLUMN(),FALSE)=0,"",VLOOKUP($A97,貼り付け用!$A$1:$BA$300,COLUMN(),FALSE)),"")</f>
        <v/>
      </c>
      <c r="C97" s="45" t="str">
        <f>IF($A97&lt;&gt;"",IF(VLOOKUP($A97,貼り付け用!$A$1:$BA$300,COLUMN(),FALSE)=0,"",VLOOKUP($A97,貼り付け用!$A$1:$BA$300,COLUMN(),FALSE)),"")</f>
        <v/>
      </c>
      <c r="D97" s="45" t="str">
        <f>IF($A97&lt;&gt;"",IF(VLOOKUP($A97,貼り付け用!$A$1:$BA$300,COLUMN(),FALSE)=0,"",VLOOKUP($A97,貼り付け用!$A$1:$BA$300,COLUMN(),FALSE)),"")</f>
        <v/>
      </c>
      <c r="E97" s="45" t="str">
        <f>IF($A97&lt;&gt;"",IF(VLOOKUP($A97,貼り付け用!$A$1:$BA$300,COLUMN(),FALSE)=0,"",VLOOKUP($A97,貼り付け用!$A$1:$BA$300,COLUMN(),FALSE)),"")</f>
        <v/>
      </c>
      <c r="F97" s="45" t="str">
        <f>IF($A97&lt;&gt;"",IF(VLOOKUP($A97,貼り付け用!$A$1:$BA$300,COLUMN(),FALSE)=0,"",VLOOKUP($A97,貼り付け用!$A$1:$BA$300,COLUMN(),FALSE)),"")</f>
        <v/>
      </c>
      <c r="G97" s="45" t="str">
        <f>IF($A97&lt;&gt;"",IF(VLOOKUP($A97,貼り付け用!$A$1:$BA$300,COLUMN(),FALSE)=0,"",VLOOKUP($A97,貼り付け用!$A$1:$BA$300,COLUMN(),FALSE)),"")</f>
        <v>2</v>
      </c>
      <c r="H97" s="45" t="str">
        <f>IF($A97&lt;&gt;"",IF(VLOOKUP($A97,貼り付け用!$A$1:$BA$300,COLUMN(),FALSE)=0,"",VLOOKUP($A97,貼り付け用!$A$1:$BA$300,COLUMN(),FALSE)),"")</f>
        <v/>
      </c>
      <c r="I97" s="45" t="str">
        <f>IF($A97&lt;&gt;"",IF(VLOOKUP($A97,貼り付け用!$A$1:$BA$300,COLUMN(),FALSE)=0,"",VLOOKUP($A97,貼り付け用!$A$1:$BA$300,COLUMN(),FALSE)),"")</f>
        <v/>
      </c>
      <c r="J97" s="45" t="str">
        <f>IF($A97&lt;&gt;"",IF(VLOOKUP($A97,貼り付け用!$A$1:$BA$300,COLUMN(),FALSE)=0,"",VLOOKUP($A97,貼り付け用!$A$1:$BA$300,COLUMN(),FALSE)),"")</f>
        <v/>
      </c>
      <c r="K97" s="45" t="str">
        <f>IF($A97&lt;&gt;"",IF(VLOOKUP($A97,貼り付け用!$A$1:$BA$300,COLUMN(),FALSE)=0,"",VLOOKUP($A97,貼り付け用!$A$1:$BA$300,COLUMN(),FALSE)),"")</f>
        <v/>
      </c>
      <c r="L97" s="45" t="str">
        <f>IF($A97&lt;&gt;"",
IF(COLUMN(貼り付け用!L97)&gt;MATCH("おやつ",貼り付け用!$3:$3,0),"",
IF(VLOOKUP($A97,貼り付け用!$A$1:$BA$300,COLUMN(),FALSE)=0,"",VLOOKUP($A97,貼り付け用!$A$1:$BA$300,COLUMN(),FALSE))),"")</f>
        <v/>
      </c>
      <c r="M97" s="45" t="str">
        <f>IF($A97&lt;&gt;"",
IF(COLUMN(貼り付け用!M97)&gt;MATCH("おやつ",貼り付け用!$3:$3,0),"",
IF(VLOOKUP($A97,貼り付け用!$A$1:$BA$300,COLUMN(),FALSE)=0,"",VLOOKUP($A97,貼り付け用!$A$1:$BA$300,COLUMN(),FALSE))),"")</f>
        <v/>
      </c>
      <c r="N97" s="45" t="str">
        <f>IF($A97&lt;&gt;"",
IF(COLUMN(貼り付け用!N97)&gt;MATCH("おやつ",貼り付け用!$3:$3,0),"",
IF(VLOOKUP($A97,貼り付け用!$A$1:$BA$300,COLUMN(),FALSE)=0,"",VLOOKUP($A97,貼り付け用!$A$1:$BA$300,COLUMN(),FALSE))),"")</f>
        <v/>
      </c>
      <c r="O97" s="45" t="str">
        <f>IF($A97&lt;&gt;"",
IF(COLUMN(貼り付け用!O97)&gt;MATCH("おやつ",貼り付け用!$3:$3,0),"",
IF(VLOOKUP($A97,貼り付け用!$A$1:$BA$300,COLUMN(),FALSE)=0,"",VLOOKUP($A97,貼り付け用!$A$1:$BA$300,COLUMN(),FALSE))),"")</f>
        <v/>
      </c>
      <c r="P97" s="45" t="str">
        <f>IF($A97&lt;&gt;"",
IF(COLUMN(貼り付け用!P97)&gt;MATCH("おやつ",貼り付け用!$3:$3,0),"",
IF(VLOOKUP($A97,貼り付け用!$A$1:$BA$300,COLUMN(),FALSE)=0,"",VLOOKUP($A97,貼り付け用!$A$1:$BA$300,COLUMN(),FALSE))),"")</f>
        <v/>
      </c>
      <c r="Q97" s="45" t="str">
        <f>IF($A97&lt;&gt;"",
IF(COLUMN(貼り付け用!Q97)&gt;MATCH("おやつ",貼り付け用!$3:$3,0),"",
IF(VLOOKUP($A97,貼り付け用!$A$1:$BA$300,COLUMN(),FALSE)=0,"",VLOOKUP($A97,貼り付け用!$A$1:$BA$300,COLUMN(),FALSE))),"")</f>
        <v/>
      </c>
      <c r="R97" s="45" t="str">
        <f>IF($A97&lt;&gt;"",
IF(COLUMN(貼り付け用!R97)&gt;MATCH("おやつ",貼り付け用!$3:$3,0),"",
IF(VLOOKUP($A97,貼り付け用!$A$1:$BA$300,COLUMN(),FALSE)=0,"",VLOOKUP($A97,貼り付け用!$A$1:$BA$300,COLUMN(),FALSE))),"")</f>
        <v/>
      </c>
      <c r="S97" s="45" t="str">
        <f>IF($A97&lt;&gt;"",
IF(COLUMN(貼り付け用!S97)&gt;MATCH("おやつ",貼り付け用!$3:$3,0),"",
IF(VLOOKUP($A97,貼り付け用!$A$1:$BA$300,COLUMN(),FALSE)=0,"",VLOOKUP($A97,貼り付け用!$A$1:$BA$300,COLUMN(),FALSE))),"")</f>
        <v/>
      </c>
      <c r="T97" s="45" t="str">
        <f>IF(COLUMN(貼り付け用!T97)&gt;MATCH("おやつ",貼り付け用!$3:$3,0),"",
IF(VLOOKUP($A97,貼り付け用!$A$1:$BA$300,COLUMN(),FALSE)=0,"",VLOOKUP($A97,貼り付け用!$A$1:$BA$300,COLUMN(),FALSE)))</f>
        <v/>
      </c>
      <c r="U97" s="24"/>
      <c r="V97" s="21" t="str">
        <f>IF(A97&lt;&gt;"",
IF(VLOOKUP($A97,貼り付け用!$A$1:$BA$300,MATCH("おやつ",貼り付け用!$3:$3,0)+1,FALSE)=0,"",VLOOKUP($A97,貼り付け用!$A$1:$BA$300,MATCH("おやつ",貼り付け用!$3:$3,0)+1,FALSE)),"")</f>
        <v/>
      </c>
      <c r="W97" s="50" t="str">
        <f>IF(A97&lt;&gt;"",
IF(VLOOKUP($A97,貼り付け用!$A$1:$BA$300,MATCH("おやつ",貼り付け用!$3:$3,0)+2,FALSE)=0,"",VLOOKUP($A97,貼り付け用!$A$1:$BA$300,MATCH("おやつ",貼り付け用!$3:$3,0)+2,FALSE)),"")</f>
        <v/>
      </c>
    </row>
    <row r="98" spans="1:23" x14ac:dyDescent="0.45">
      <c r="A98" s="10" t="str">
        <f>IF(貼り付け用!$A$6&lt;&gt;"",
IF(ROW(A97)+1&gt;=MATCH("*【合計】*", 貼り付け用!$A:$A, 0),
"",
IF(貼り付け用!A98&lt;&gt;"",貼り付け用!A98,"")),
IF(ROW(A98)+1&gt;=MATCH("*【合計】*", 貼り付け用!$A:$A, 0),
"",
IF(貼り付け用!A99&lt;&gt;"",貼り付け用!A99,"")))</f>
        <v>18900</v>
      </c>
      <c r="B98" s="50" t="str">
        <f>IF($A98&lt;&gt;"",IF(VLOOKUP($A98,貼り付け用!$A$1:$BA$300,COLUMN(),FALSE)=0,"",VLOOKUP($A98,貼り付け用!$A$1:$BA$300,COLUMN(),FALSE)),"")</f>
        <v/>
      </c>
      <c r="C98" s="50" t="str">
        <f>IF($A98&lt;&gt;"",IF(VLOOKUP($A98,貼り付け用!$A$1:$BA$300,COLUMN(),FALSE)=0,"",VLOOKUP($A98,貼り付け用!$A$1:$BA$300,COLUMN(),FALSE)),"")</f>
        <v/>
      </c>
      <c r="D98" s="50" t="str">
        <f>IF($A98&lt;&gt;"",IF(VLOOKUP($A98,貼り付け用!$A$1:$BA$300,COLUMN(),FALSE)=0,"",VLOOKUP($A98,貼り付け用!$A$1:$BA$300,COLUMN(),FALSE)),"")</f>
        <v/>
      </c>
      <c r="E98" s="50" t="str">
        <f>IF($A98&lt;&gt;"",IF(VLOOKUP($A98,貼り付け用!$A$1:$BA$300,COLUMN(),FALSE)=0,"",VLOOKUP($A98,貼り付け用!$A$1:$BA$300,COLUMN(),FALSE)),"")</f>
        <v/>
      </c>
      <c r="F98" s="50" t="str">
        <f>IF($A98&lt;&gt;"",IF(VLOOKUP($A98,貼り付け用!$A$1:$BA$300,COLUMN(),FALSE)=0,"",VLOOKUP($A98,貼り付け用!$A$1:$BA$300,COLUMN(),FALSE)),"")</f>
        <v/>
      </c>
      <c r="G98" s="50" t="str">
        <f>IF($A98&lt;&gt;"",IF(VLOOKUP($A98,貼り付け用!$A$1:$BA$300,COLUMN(),FALSE)=0,"",VLOOKUP($A98,貼り付け用!$A$1:$BA$300,COLUMN(),FALSE)),"")</f>
        <v>12</v>
      </c>
      <c r="H98" s="50" t="str">
        <f>IF($A98&lt;&gt;"",IF(VLOOKUP($A98,貼り付け用!$A$1:$BA$300,COLUMN(),FALSE)=0,"",VLOOKUP($A98,貼り付け用!$A$1:$BA$300,COLUMN(),FALSE)),"")</f>
        <v/>
      </c>
      <c r="I98" s="50" t="str">
        <f>IF($A98&lt;&gt;"",IF(VLOOKUP($A98,貼り付け用!$A$1:$BA$300,COLUMN(),FALSE)=0,"",VLOOKUP($A98,貼り付け用!$A$1:$BA$300,COLUMN(),FALSE)),"")</f>
        <v/>
      </c>
      <c r="J98" s="50" t="str">
        <f>IF($A98&lt;&gt;"",IF(VLOOKUP($A98,貼り付け用!$A$1:$BA$300,COLUMN(),FALSE)=0,"",VLOOKUP($A98,貼り付け用!$A$1:$BA$300,COLUMN(),FALSE)),"")</f>
        <v/>
      </c>
      <c r="K98" s="50" t="str">
        <f>IF($A98&lt;&gt;"",IF(VLOOKUP($A98,貼り付け用!$A$1:$BA$300,COLUMN(),FALSE)=0,"",VLOOKUP($A98,貼り付け用!$A$1:$BA$300,COLUMN(),FALSE)),"")</f>
        <v/>
      </c>
      <c r="L98" s="50" t="str">
        <f>IF($A98&lt;&gt;"",
IF(COLUMN(貼り付け用!L98)&gt;MATCH("おやつ",貼り付け用!$3:$3,0),"",
IF(VLOOKUP($A98,貼り付け用!$A$1:$BA$300,COLUMN(),FALSE)=0,"",VLOOKUP($A98,貼り付け用!$A$1:$BA$300,COLUMN(),FALSE))),"")</f>
        <v/>
      </c>
      <c r="M98" s="50" t="str">
        <f>IF($A98&lt;&gt;"",
IF(COLUMN(貼り付け用!M98)&gt;MATCH("おやつ",貼り付け用!$3:$3,0),"",
IF(VLOOKUP($A98,貼り付け用!$A$1:$BA$300,COLUMN(),FALSE)=0,"",VLOOKUP($A98,貼り付け用!$A$1:$BA$300,COLUMN(),FALSE))),"")</f>
        <v/>
      </c>
      <c r="N98" s="50" t="str">
        <f>IF($A98&lt;&gt;"",
IF(COLUMN(貼り付け用!N98)&gt;MATCH("おやつ",貼り付け用!$3:$3,0),"",
IF(VLOOKUP($A98,貼り付け用!$A$1:$BA$300,COLUMN(),FALSE)=0,"",VLOOKUP($A98,貼り付け用!$A$1:$BA$300,COLUMN(),FALSE))),"")</f>
        <v/>
      </c>
      <c r="O98" s="50" t="str">
        <f>IF($A98&lt;&gt;"",
IF(COLUMN(貼り付け用!O98)&gt;MATCH("おやつ",貼り付け用!$3:$3,0),"",
IF(VLOOKUP($A98,貼り付け用!$A$1:$BA$300,COLUMN(),FALSE)=0,"",VLOOKUP($A98,貼り付け用!$A$1:$BA$300,COLUMN(),FALSE))),"")</f>
        <v/>
      </c>
      <c r="P98" s="50" t="str">
        <f>IF($A98&lt;&gt;"",
IF(COLUMN(貼り付け用!P98)&gt;MATCH("おやつ",貼り付け用!$3:$3,0),"",
IF(VLOOKUP($A98,貼り付け用!$A$1:$BA$300,COLUMN(),FALSE)=0,"",VLOOKUP($A98,貼り付け用!$A$1:$BA$300,COLUMN(),FALSE))),"")</f>
        <v/>
      </c>
      <c r="Q98" s="50" t="str">
        <f>IF($A98&lt;&gt;"",
IF(COLUMN(貼り付け用!Q98)&gt;MATCH("おやつ",貼り付け用!$3:$3,0),"",
IF(VLOOKUP($A98,貼り付け用!$A$1:$BA$300,COLUMN(),FALSE)=0,"",VLOOKUP($A98,貼り付け用!$A$1:$BA$300,COLUMN(),FALSE))),"")</f>
        <v/>
      </c>
      <c r="R98" s="50" t="str">
        <f>IF($A98&lt;&gt;"",
IF(COLUMN(貼り付け用!R98)&gt;MATCH("おやつ",貼り付け用!$3:$3,0),"",
IF(VLOOKUP($A98,貼り付け用!$A$1:$BA$300,COLUMN(),FALSE)=0,"",VLOOKUP($A98,貼り付け用!$A$1:$BA$300,COLUMN(),FALSE))),"")</f>
        <v/>
      </c>
      <c r="S98" s="50" t="str">
        <f>IF($A98&lt;&gt;"",
IF(COLUMN(貼り付け用!S98)&gt;MATCH("おやつ",貼り付け用!$3:$3,0),"",
IF(VLOOKUP($A98,貼り付け用!$A$1:$BA$300,COLUMN(),FALSE)=0,"",VLOOKUP($A98,貼り付け用!$A$1:$BA$300,COLUMN(),FALSE))),"")</f>
        <v/>
      </c>
      <c r="T98" s="50" t="str">
        <f>IF(COLUMN(貼り付け用!T98)&gt;MATCH("おやつ",貼り付け用!$3:$3,0),"",
IF(VLOOKUP($A98,貼り付け用!$A$1:$BA$300,COLUMN(),FALSE)=0,"",VLOOKUP($A98,貼り付け用!$A$1:$BA$300,COLUMN(),FALSE)))</f>
        <v/>
      </c>
      <c r="U98" s="23"/>
      <c r="V98" s="21" t="str">
        <f>IF(A98&lt;&gt;"",
IF(VLOOKUP($A98,貼り付け用!$A$1:$BA$300,MATCH("おやつ",貼り付け用!$3:$3,0)+1,FALSE)=0,"",VLOOKUP($A98,貼り付け用!$A$1:$BA$300,MATCH("おやつ",貼り付け用!$3:$3,0)+1,FALSE)),"")</f>
        <v/>
      </c>
      <c r="W98" s="50" t="str">
        <f>IF(A98&lt;&gt;"",
IF(VLOOKUP($A98,貼り付け用!$A$1:$BA$300,MATCH("おやつ",貼り付け用!$3:$3,0)+2,FALSE)=0,"",VLOOKUP($A98,貼り付け用!$A$1:$BA$300,MATCH("おやつ",貼り付け用!$3:$3,0)+2,FALSE)),"")</f>
        <v/>
      </c>
    </row>
    <row r="99" spans="1:23" x14ac:dyDescent="0.45">
      <c r="A99" s="22" t="str">
        <f>IF(貼り付け用!$A$6&lt;&gt;"",
IF(ROW(A98)+1&gt;=MATCH("*【合計】*", 貼り付け用!$A:$A, 0),"",
IF(貼り付け用!A99&lt;&gt;"",貼り付け用!A99,"")),
IF(ROW(A99)+1&gt;=MATCH("*【合計】*", 貼り付け用!$A:$A, 0),"",
IF(貼り付け用!A100&lt;&gt;"",貼り付け用!A100,"")))</f>
        <v>イングリッシュスク―ル</v>
      </c>
      <c r="B99" s="45" t="str">
        <f>IF($A99&lt;&gt;"",IF(VLOOKUP($A99,貼り付け用!$A$1:$BA$300,COLUMN(),FALSE)=0,"",VLOOKUP($A99,貼り付け用!$A$1:$BA$300,COLUMN(),FALSE)),"")</f>
        <v/>
      </c>
      <c r="C99" s="45" t="str">
        <f>IF($A99&lt;&gt;"",IF(VLOOKUP($A99,貼り付け用!$A$1:$BA$300,COLUMN(),FALSE)=0,"",VLOOKUP($A99,貼り付け用!$A$1:$BA$300,COLUMN(),FALSE)),"")</f>
        <v/>
      </c>
      <c r="D99" s="45" t="str">
        <f>IF($A99&lt;&gt;"",IF(VLOOKUP($A99,貼り付け用!$A$1:$BA$300,COLUMN(),FALSE)=0,"",VLOOKUP($A99,貼り付け用!$A$1:$BA$300,COLUMN(),FALSE)),"")</f>
        <v/>
      </c>
      <c r="E99" s="45" t="str">
        <f>IF($A99&lt;&gt;"",IF(VLOOKUP($A99,貼り付け用!$A$1:$BA$300,COLUMN(),FALSE)=0,"",VLOOKUP($A99,貼り付け用!$A$1:$BA$300,COLUMN(),FALSE)),"")</f>
        <v/>
      </c>
      <c r="F99" s="45" t="str">
        <f>IF($A99&lt;&gt;"",IF(VLOOKUP($A99,貼り付け用!$A$1:$BA$300,COLUMN(),FALSE)=0,"",VLOOKUP($A99,貼り付け用!$A$1:$BA$300,COLUMN(),FALSE)),"")</f>
        <v/>
      </c>
      <c r="G99" s="45" t="str">
        <f>IF($A99&lt;&gt;"",IF(VLOOKUP($A99,貼り付け用!$A$1:$BA$300,COLUMN(),FALSE)=0,"",VLOOKUP($A99,貼り付け用!$A$1:$BA$300,COLUMN(),FALSE)),"")</f>
        <v>2</v>
      </c>
      <c r="H99" s="45" t="str">
        <f>IF($A99&lt;&gt;"",IF(VLOOKUP($A99,貼り付け用!$A$1:$BA$300,COLUMN(),FALSE)=0,"",VLOOKUP($A99,貼り付け用!$A$1:$BA$300,COLUMN(),FALSE)),"")</f>
        <v/>
      </c>
      <c r="I99" s="45" t="str">
        <f>IF($A99&lt;&gt;"",IF(VLOOKUP($A99,貼り付け用!$A$1:$BA$300,COLUMN(),FALSE)=0,"",VLOOKUP($A99,貼り付け用!$A$1:$BA$300,COLUMN(),FALSE)),"")</f>
        <v/>
      </c>
      <c r="J99" s="45" t="str">
        <f>IF($A99&lt;&gt;"",IF(VLOOKUP($A99,貼り付け用!$A$1:$BA$300,COLUMN(),FALSE)=0,"",VLOOKUP($A99,貼り付け用!$A$1:$BA$300,COLUMN(),FALSE)),"")</f>
        <v/>
      </c>
      <c r="K99" s="45" t="str">
        <f>IF($A99&lt;&gt;"",IF(VLOOKUP($A99,貼り付け用!$A$1:$BA$300,COLUMN(),FALSE)=0,"",VLOOKUP($A99,貼り付け用!$A$1:$BA$300,COLUMN(),FALSE)),"")</f>
        <v/>
      </c>
      <c r="L99" s="45" t="str">
        <f>IF($A99&lt;&gt;"",
IF(COLUMN(貼り付け用!L99)&gt;MATCH("おやつ",貼り付け用!$3:$3,0),"",
IF(VLOOKUP($A99,貼り付け用!$A$1:$BA$300,COLUMN(),FALSE)=0,"",VLOOKUP($A99,貼り付け用!$A$1:$BA$300,COLUMN(),FALSE))),"")</f>
        <v/>
      </c>
      <c r="M99" s="45" t="str">
        <f>IF($A99&lt;&gt;"",
IF(COLUMN(貼り付け用!M99)&gt;MATCH("おやつ",貼り付け用!$3:$3,0),"",
IF(VLOOKUP($A99,貼り付け用!$A$1:$BA$300,COLUMN(),FALSE)=0,"",VLOOKUP($A99,貼り付け用!$A$1:$BA$300,COLUMN(),FALSE))),"")</f>
        <v/>
      </c>
      <c r="N99" s="45" t="str">
        <f>IF($A99&lt;&gt;"",
IF(COLUMN(貼り付け用!N99)&gt;MATCH("おやつ",貼り付け用!$3:$3,0),"",
IF(VLOOKUP($A99,貼り付け用!$A$1:$BA$300,COLUMN(),FALSE)=0,"",VLOOKUP($A99,貼り付け用!$A$1:$BA$300,COLUMN(),FALSE))),"")</f>
        <v/>
      </c>
      <c r="O99" s="45" t="str">
        <f>IF($A99&lt;&gt;"",
IF(COLUMN(貼り付け用!O99)&gt;MATCH("おやつ",貼り付け用!$3:$3,0),"",
IF(VLOOKUP($A99,貼り付け用!$A$1:$BA$300,COLUMN(),FALSE)=0,"",VLOOKUP($A99,貼り付け用!$A$1:$BA$300,COLUMN(),FALSE))),"")</f>
        <v/>
      </c>
      <c r="P99" s="45" t="str">
        <f>IF($A99&lt;&gt;"",
IF(COLUMN(貼り付け用!P99)&gt;MATCH("おやつ",貼り付け用!$3:$3,0),"",
IF(VLOOKUP($A99,貼り付け用!$A$1:$BA$300,COLUMN(),FALSE)=0,"",VLOOKUP($A99,貼り付け用!$A$1:$BA$300,COLUMN(),FALSE))),"")</f>
        <v/>
      </c>
      <c r="Q99" s="45" t="str">
        <f>IF($A99&lt;&gt;"",
IF(COLUMN(貼り付け用!Q99)&gt;MATCH("おやつ",貼り付け用!$3:$3,0),"",
IF(VLOOKUP($A99,貼り付け用!$A$1:$BA$300,COLUMN(),FALSE)=0,"",VLOOKUP($A99,貼り付け用!$A$1:$BA$300,COLUMN(),FALSE))),"")</f>
        <v/>
      </c>
      <c r="R99" s="45" t="str">
        <f>IF($A99&lt;&gt;"",
IF(COLUMN(貼り付け用!R99)&gt;MATCH("おやつ",貼り付け用!$3:$3,0),"",
IF(VLOOKUP($A99,貼り付け用!$A$1:$BA$300,COLUMN(),FALSE)=0,"",VLOOKUP($A99,貼り付け用!$A$1:$BA$300,COLUMN(),FALSE))),"")</f>
        <v/>
      </c>
      <c r="S99" s="45" t="str">
        <f>IF($A99&lt;&gt;"",
IF(COLUMN(貼り付け用!S99)&gt;MATCH("おやつ",貼り付け用!$3:$3,0),"",
IF(VLOOKUP($A99,貼り付け用!$A$1:$BA$300,COLUMN(),FALSE)=0,"",VLOOKUP($A99,貼り付け用!$A$1:$BA$300,COLUMN(),FALSE))),"")</f>
        <v/>
      </c>
      <c r="T99" s="45" t="str">
        <f>IF(COLUMN(貼り付け用!T99)&gt;MATCH("おやつ",貼り付け用!$3:$3,0),"",
IF(VLOOKUP($A99,貼り付け用!$A$1:$BA$300,COLUMN(),FALSE)=0,"",VLOOKUP($A99,貼り付け用!$A$1:$BA$300,COLUMN(),FALSE)))</f>
        <v/>
      </c>
      <c r="U99" s="24"/>
      <c r="V99" s="21" t="str">
        <f>IF(A99&lt;&gt;"",
IF(VLOOKUP($A99,貼り付け用!$A$1:$BA$300,MATCH("おやつ",貼り付け用!$3:$3,0)+1,FALSE)=0,"",VLOOKUP($A99,貼り付け用!$A$1:$BA$300,MATCH("おやつ",貼り付け用!$3:$3,0)+1,FALSE)),"")</f>
        <v/>
      </c>
      <c r="W99" s="50" t="str">
        <f>IF(A99&lt;&gt;"",
IF(VLOOKUP($A99,貼り付け用!$A$1:$BA$300,MATCH("おやつ",貼り付け用!$3:$3,0)+2,FALSE)=0,"",VLOOKUP($A99,貼り付け用!$A$1:$BA$300,MATCH("おやつ",貼り付け用!$3:$3,0)+2,FALSE)),"")</f>
        <v/>
      </c>
    </row>
    <row r="100" spans="1:23" x14ac:dyDescent="0.45">
      <c r="A100" s="10" t="str">
        <f>IF(貼り付け用!$A$6&lt;&gt;"",
IF(ROW(A99)+1&gt;=MATCH("*【合計】*", 貼り付け用!$A:$A, 0),
"",
IF(貼り付け用!A100&lt;&gt;"",貼り付け用!A100,"")),
IF(ROW(A100)+1&gt;=MATCH("*【合計】*", 貼り付け用!$A:$A, 0),
"",
IF(貼り付け用!A101&lt;&gt;"",貼り付け用!A101,"")))</f>
        <v>14700</v>
      </c>
      <c r="B100" s="50" t="str">
        <f>IF($A100&lt;&gt;"",IF(VLOOKUP($A100,貼り付け用!$A$1:$BA$300,COLUMN(),FALSE)=0,"",VLOOKUP($A100,貼り付け用!$A$1:$BA$300,COLUMN(),FALSE)),"")</f>
        <v/>
      </c>
      <c r="C100" s="50" t="str">
        <f>IF($A100&lt;&gt;"",IF(VLOOKUP($A100,貼り付け用!$A$1:$BA$300,COLUMN(),FALSE)=0,"",VLOOKUP($A100,貼り付け用!$A$1:$BA$300,COLUMN(),FALSE)),"")</f>
        <v/>
      </c>
      <c r="D100" s="50" t="str">
        <f>IF($A100&lt;&gt;"",IF(VLOOKUP($A100,貼り付け用!$A$1:$BA$300,COLUMN(),FALSE)=0,"",VLOOKUP($A100,貼り付け用!$A$1:$BA$300,COLUMN(),FALSE)),"")</f>
        <v/>
      </c>
      <c r="E100" s="50" t="str">
        <f>IF($A100&lt;&gt;"",IF(VLOOKUP($A100,貼り付け用!$A$1:$BA$300,COLUMN(),FALSE)=0,"",VLOOKUP($A100,貼り付け用!$A$1:$BA$300,COLUMN(),FALSE)),"")</f>
        <v/>
      </c>
      <c r="F100" s="50" t="str">
        <f>IF($A100&lt;&gt;"",IF(VLOOKUP($A100,貼り付け用!$A$1:$BA$300,COLUMN(),FALSE)=0,"",VLOOKUP($A100,貼り付け用!$A$1:$BA$300,COLUMN(),FALSE)),"")</f>
        <v/>
      </c>
      <c r="G100" s="50" t="str">
        <f>IF($A100&lt;&gt;"",IF(VLOOKUP($A100,貼り付け用!$A$1:$BA$300,COLUMN(),FALSE)=0,"",VLOOKUP($A100,貼り付け用!$A$1:$BA$300,COLUMN(),FALSE)),"")</f>
        <v>12</v>
      </c>
      <c r="H100" s="50" t="str">
        <f>IF($A100&lt;&gt;"",IF(VLOOKUP($A100,貼り付け用!$A$1:$BA$300,COLUMN(),FALSE)=0,"",VLOOKUP($A100,貼り付け用!$A$1:$BA$300,COLUMN(),FALSE)),"")</f>
        <v/>
      </c>
      <c r="I100" s="50" t="str">
        <f>IF($A100&lt;&gt;"",IF(VLOOKUP($A100,貼り付け用!$A$1:$BA$300,COLUMN(),FALSE)=0,"",VLOOKUP($A100,貼り付け用!$A$1:$BA$300,COLUMN(),FALSE)),"")</f>
        <v/>
      </c>
      <c r="J100" s="50" t="str">
        <f>IF($A100&lt;&gt;"",IF(VLOOKUP($A100,貼り付け用!$A$1:$BA$300,COLUMN(),FALSE)=0,"",VLOOKUP($A100,貼り付け用!$A$1:$BA$300,COLUMN(),FALSE)),"")</f>
        <v/>
      </c>
      <c r="K100" s="50" t="str">
        <f>IF($A100&lt;&gt;"",IF(VLOOKUP($A100,貼り付け用!$A$1:$BA$300,COLUMN(),FALSE)=0,"",VLOOKUP($A100,貼り付け用!$A$1:$BA$300,COLUMN(),FALSE)),"")</f>
        <v/>
      </c>
      <c r="L100" s="50" t="str">
        <f>IF($A100&lt;&gt;"",
IF(COLUMN(貼り付け用!L100)&gt;MATCH("おやつ",貼り付け用!$3:$3,0),"",
IF(VLOOKUP($A100,貼り付け用!$A$1:$BA$300,COLUMN(),FALSE)=0,"",VLOOKUP($A100,貼り付け用!$A$1:$BA$300,COLUMN(),FALSE))),"")</f>
        <v/>
      </c>
      <c r="M100" s="50" t="str">
        <f>IF($A100&lt;&gt;"",
IF(COLUMN(貼り付け用!M100)&gt;MATCH("おやつ",貼り付け用!$3:$3,0),"",
IF(VLOOKUP($A100,貼り付け用!$A$1:$BA$300,COLUMN(),FALSE)=0,"",VLOOKUP($A100,貼り付け用!$A$1:$BA$300,COLUMN(),FALSE))),"")</f>
        <v/>
      </c>
      <c r="N100" s="50" t="str">
        <f>IF($A100&lt;&gt;"",
IF(COLUMN(貼り付け用!N100)&gt;MATCH("おやつ",貼り付け用!$3:$3,0),"",
IF(VLOOKUP($A100,貼り付け用!$A$1:$BA$300,COLUMN(),FALSE)=0,"",VLOOKUP($A100,貼り付け用!$A$1:$BA$300,COLUMN(),FALSE))),"")</f>
        <v/>
      </c>
      <c r="O100" s="50" t="str">
        <f>IF($A100&lt;&gt;"",
IF(COLUMN(貼り付け用!O100)&gt;MATCH("おやつ",貼り付け用!$3:$3,0),"",
IF(VLOOKUP($A100,貼り付け用!$A$1:$BA$300,COLUMN(),FALSE)=0,"",VLOOKUP($A100,貼り付け用!$A$1:$BA$300,COLUMN(),FALSE))),"")</f>
        <v/>
      </c>
      <c r="P100" s="50" t="str">
        <f>IF($A100&lt;&gt;"",
IF(COLUMN(貼り付け用!P100)&gt;MATCH("おやつ",貼り付け用!$3:$3,0),"",
IF(VLOOKUP($A100,貼り付け用!$A$1:$BA$300,COLUMN(),FALSE)=0,"",VLOOKUP($A100,貼り付け用!$A$1:$BA$300,COLUMN(),FALSE))),"")</f>
        <v/>
      </c>
      <c r="Q100" s="50" t="str">
        <f>IF($A100&lt;&gt;"",
IF(COLUMN(貼り付け用!Q100)&gt;MATCH("おやつ",貼り付け用!$3:$3,0),"",
IF(VLOOKUP($A100,貼り付け用!$A$1:$BA$300,COLUMN(),FALSE)=0,"",VLOOKUP($A100,貼り付け用!$A$1:$BA$300,COLUMN(),FALSE))),"")</f>
        <v/>
      </c>
      <c r="R100" s="50" t="str">
        <f>IF($A100&lt;&gt;"",
IF(COLUMN(貼り付け用!R100)&gt;MATCH("おやつ",貼り付け用!$3:$3,0),"",
IF(VLOOKUP($A100,貼り付け用!$A$1:$BA$300,COLUMN(),FALSE)=0,"",VLOOKUP($A100,貼り付け用!$A$1:$BA$300,COLUMN(),FALSE))),"")</f>
        <v/>
      </c>
      <c r="S100" s="50" t="str">
        <f>IF($A100&lt;&gt;"",
IF(COLUMN(貼り付け用!S100)&gt;MATCH("おやつ",貼り付け用!$3:$3,0),"",
IF(VLOOKUP($A100,貼り付け用!$A$1:$BA$300,COLUMN(),FALSE)=0,"",VLOOKUP($A100,貼り付け用!$A$1:$BA$300,COLUMN(),FALSE))),"")</f>
        <v/>
      </c>
      <c r="T100" s="50" t="str">
        <f>IF(COLUMN(貼り付け用!T100)&gt;MATCH("おやつ",貼り付け用!$3:$3,0),"",
IF(VLOOKUP($A100,貼り付け用!$A$1:$BA$300,COLUMN(),FALSE)=0,"",VLOOKUP($A100,貼り付け用!$A$1:$BA$300,COLUMN(),FALSE)))</f>
        <v/>
      </c>
      <c r="U100" s="23"/>
      <c r="V100" s="21" t="str">
        <f>IF(A100&lt;&gt;"",
IF(VLOOKUP($A100,貼り付け用!$A$1:$BA$300,MATCH("おやつ",貼り付け用!$3:$3,0)+1,FALSE)=0,"",VLOOKUP($A100,貼り付け用!$A$1:$BA$300,MATCH("おやつ",貼り付け用!$3:$3,0)+1,FALSE)),"")</f>
        <v>ｱﾚ1</v>
      </c>
      <c r="W100" s="50" t="str">
        <f>IF(A100&lt;&gt;"",
IF(VLOOKUP($A100,貼り付け用!$A$1:$BA$300,MATCH("おやつ",貼り付け用!$3:$3,0)+2,FALSE)=0,"",VLOOKUP($A100,貼り付け用!$A$1:$BA$300,MATCH("おやつ",貼り付け用!$3:$3,0)+2,FALSE)),"")</f>
        <v/>
      </c>
    </row>
    <row r="101" spans="1:23" x14ac:dyDescent="0.45">
      <c r="A101" s="22" t="str">
        <f>IF(貼り付け用!$A$6&lt;&gt;"",
IF(ROW(A100)+1&gt;=MATCH("*【合計】*", 貼り付け用!$A:$A, 0),"",
IF(貼り付け用!A101&lt;&gt;"",貼り付け用!A101,"")),
IF(ROW(A101)+1&gt;=MATCH("*【合計】*", 貼り付け用!$A:$A, 0),"",
IF(貼り付け用!A102&lt;&gt;"",貼り付け用!A102,"")))</f>
        <v>アメリカンチャターボックス</v>
      </c>
      <c r="B101" s="45" t="str">
        <f>IF($A101&lt;&gt;"",IF(VLOOKUP($A101,貼り付け用!$A$1:$BA$300,COLUMN(),FALSE)=0,"",VLOOKUP($A101,貼り付け用!$A$1:$BA$300,COLUMN(),FALSE)),"")</f>
        <v/>
      </c>
      <c r="C101" s="45" t="str">
        <f>IF($A101&lt;&gt;"",IF(VLOOKUP($A101,貼り付け用!$A$1:$BA$300,COLUMN(),FALSE)=0,"",VLOOKUP($A101,貼り付け用!$A$1:$BA$300,COLUMN(),FALSE)),"")</f>
        <v/>
      </c>
      <c r="D101" s="45" t="str">
        <f>IF($A101&lt;&gt;"",IF(VLOOKUP($A101,貼り付け用!$A$1:$BA$300,COLUMN(),FALSE)=0,"",VLOOKUP($A101,貼り付け用!$A$1:$BA$300,COLUMN(),FALSE)),"")</f>
        <v/>
      </c>
      <c r="E101" s="45" t="str">
        <f>IF($A101&lt;&gt;"",IF(VLOOKUP($A101,貼り付け用!$A$1:$BA$300,COLUMN(),FALSE)=0,"",VLOOKUP($A101,貼り付け用!$A$1:$BA$300,COLUMN(),FALSE)),"")</f>
        <v/>
      </c>
      <c r="F101" s="45" t="str">
        <f>IF($A101&lt;&gt;"",IF(VLOOKUP($A101,貼り付け用!$A$1:$BA$300,COLUMN(),FALSE)=0,"",VLOOKUP($A101,貼り付け用!$A$1:$BA$300,COLUMN(),FALSE)),"")</f>
        <v/>
      </c>
      <c r="G101" s="45" t="str">
        <f>IF($A101&lt;&gt;"",IF(VLOOKUP($A101,貼り付け用!$A$1:$BA$300,COLUMN(),FALSE)=0,"",VLOOKUP($A101,貼り付け用!$A$1:$BA$300,COLUMN(),FALSE)),"")</f>
        <v/>
      </c>
      <c r="H101" s="45" t="str">
        <f>IF($A101&lt;&gt;"",IF(VLOOKUP($A101,貼り付け用!$A$1:$BA$300,COLUMN(),FALSE)=0,"",VLOOKUP($A101,貼り付け用!$A$1:$BA$300,COLUMN(),FALSE)),"")</f>
        <v/>
      </c>
      <c r="I101" s="45" t="str">
        <f>IF($A101&lt;&gt;"",IF(VLOOKUP($A101,貼り付け用!$A$1:$BA$300,COLUMN(),FALSE)=0,"",VLOOKUP($A101,貼り付け用!$A$1:$BA$300,COLUMN(),FALSE)),"")</f>
        <v/>
      </c>
      <c r="J101" s="45" t="str">
        <f>IF($A101&lt;&gt;"",IF(VLOOKUP($A101,貼り付け用!$A$1:$BA$300,COLUMN(),FALSE)=0,"",VLOOKUP($A101,貼り付け用!$A$1:$BA$300,COLUMN(),FALSE)),"")</f>
        <v/>
      </c>
      <c r="K101" s="45" t="str">
        <f>IF($A101&lt;&gt;"",IF(VLOOKUP($A101,貼り付け用!$A$1:$BA$300,COLUMN(),FALSE)=0,"",VLOOKUP($A101,貼り付け用!$A$1:$BA$300,COLUMN(),FALSE)),"")</f>
        <v/>
      </c>
      <c r="L101" s="45" t="str">
        <f>IF($A101&lt;&gt;"",
IF(COLUMN(貼り付け用!L101)&gt;MATCH("おやつ",貼り付け用!$3:$3,0),"",
IF(VLOOKUP($A101,貼り付け用!$A$1:$BA$300,COLUMN(),FALSE)=0,"",VLOOKUP($A101,貼り付け用!$A$1:$BA$300,COLUMN(),FALSE))),"")</f>
        <v/>
      </c>
      <c r="M101" s="45" t="str">
        <f>IF($A101&lt;&gt;"",
IF(COLUMN(貼り付け用!M101)&gt;MATCH("おやつ",貼り付け用!$3:$3,0),"",
IF(VLOOKUP($A101,貼り付け用!$A$1:$BA$300,COLUMN(),FALSE)=0,"",VLOOKUP($A101,貼り付け用!$A$1:$BA$300,COLUMN(),FALSE))),"")</f>
        <v/>
      </c>
      <c r="N101" s="45" t="str">
        <f>IF($A101&lt;&gt;"",
IF(COLUMN(貼り付け用!N101)&gt;MATCH("おやつ",貼り付け用!$3:$3,0),"",
IF(VLOOKUP($A101,貼り付け用!$A$1:$BA$300,COLUMN(),FALSE)=0,"",VLOOKUP($A101,貼り付け用!$A$1:$BA$300,COLUMN(),FALSE))),"")</f>
        <v/>
      </c>
      <c r="O101" s="45" t="str">
        <f>IF($A101&lt;&gt;"",
IF(COLUMN(貼り付け用!O101)&gt;MATCH("おやつ",貼り付け用!$3:$3,0),"",
IF(VLOOKUP($A101,貼り付け用!$A$1:$BA$300,COLUMN(),FALSE)=0,"",VLOOKUP($A101,貼り付け用!$A$1:$BA$300,COLUMN(),FALSE))),"")</f>
        <v/>
      </c>
      <c r="P101" s="45" t="str">
        <f>IF($A101&lt;&gt;"",
IF(COLUMN(貼り付け用!P101)&gt;MATCH("おやつ",貼り付け用!$3:$3,0),"",
IF(VLOOKUP($A101,貼り付け用!$A$1:$BA$300,COLUMN(),FALSE)=0,"",VLOOKUP($A101,貼り付け用!$A$1:$BA$300,COLUMN(),FALSE))),"")</f>
        <v/>
      </c>
      <c r="Q101" s="45" t="str">
        <f>IF($A101&lt;&gt;"",
IF(COLUMN(貼り付け用!Q101)&gt;MATCH("おやつ",貼り付け用!$3:$3,0),"",
IF(VLOOKUP($A101,貼り付け用!$A$1:$BA$300,COLUMN(),FALSE)=0,"",VLOOKUP($A101,貼り付け用!$A$1:$BA$300,COLUMN(),FALSE))),"")</f>
        <v/>
      </c>
      <c r="R101" s="45" t="str">
        <f>IF($A101&lt;&gt;"",
IF(COLUMN(貼り付け用!R101)&gt;MATCH("おやつ",貼り付け用!$3:$3,0),"",
IF(VLOOKUP($A101,貼り付け用!$A$1:$BA$300,COLUMN(),FALSE)=0,"",VLOOKUP($A101,貼り付け用!$A$1:$BA$300,COLUMN(),FALSE))),"")</f>
        <v/>
      </c>
      <c r="S101" s="45" t="str">
        <f>IF($A101&lt;&gt;"",
IF(COLUMN(貼り付け用!S101)&gt;MATCH("おやつ",貼り付け用!$3:$3,0),"",
IF(VLOOKUP($A101,貼り付け用!$A$1:$BA$300,COLUMN(),FALSE)=0,"",VLOOKUP($A101,貼り付け用!$A$1:$BA$300,COLUMN(),FALSE))),"")</f>
        <v/>
      </c>
      <c r="T101" s="45" t="str">
        <f>IF(COLUMN(貼り付け用!T101)&gt;MATCH("おやつ",貼り付け用!$3:$3,0),"",
IF(VLOOKUP($A101,貼り付け用!$A$1:$BA$300,COLUMN(),FALSE)=0,"",VLOOKUP($A101,貼り付け用!$A$1:$BA$300,COLUMN(),FALSE)))</f>
        <v/>
      </c>
      <c r="U101" s="24"/>
      <c r="V101" s="21" t="str">
        <f>IF(A101&lt;&gt;"",
IF(VLOOKUP($A101,貼り付け用!$A$1:$BA$300,MATCH("おやつ",貼り付け用!$3:$3,0)+1,FALSE)=0,"",VLOOKUP($A101,貼り付け用!$A$1:$BA$300,MATCH("おやつ",貼り付け用!$3:$3,0)+1,FALSE)),"")</f>
        <v/>
      </c>
      <c r="W101" s="50" t="str">
        <f>IF(A101&lt;&gt;"",
IF(VLOOKUP($A101,貼り付け用!$A$1:$BA$300,MATCH("おやつ",貼り付け用!$3:$3,0)+2,FALSE)=0,"",VLOOKUP($A101,貼り付け用!$A$1:$BA$300,MATCH("おやつ",貼り付け用!$3:$3,0)+2,FALSE)),"")</f>
        <v/>
      </c>
    </row>
    <row r="102" spans="1:23" x14ac:dyDescent="0.45">
      <c r="A102" s="10" t="str">
        <f>IF(貼り付け用!$A$6&lt;&gt;"",
IF(ROW(A101)+1&gt;=MATCH("*【合計】*", 貼り付け用!$A:$A, 0),
"",
IF(貼り付け用!A102&lt;&gt;"",貼り付け用!A102,"")),
IF(ROW(A102)+1&gt;=MATCH("*【合計】*", 貼り付け用!$A:$A, 0),
"",
IF(貼り付け用!A103&lt;&gt;"",貼り付け用!A103,"")))</f>
        <v>19100</v>
      </c>
      <c r="B102" s="50" t="str">
        <f>IF($A102&lt;&gt;"",IF(VLOOKUP($A102,貼り付け用!$A$1:$BA$300,COLUMN(),FALSE)=0,"",VLOOKUP($A102,貼り付け用!$A$1:$BA$300,COLUMN(),FALSE)),"")</f>
        <v/>
      </c>
      <c r="C102" s="50" t="str">
        <f>IF($A102&lt;&gt;"",IF(VLOOKUP($A102,貼り付け用!$A$1:$BA$300,COLUMN(),FALSE)=0,"",VLOOKUP($A102,貼り付け用!$A$1:$BA$300,COLUMN(),FALSE)),"")</f>
        <v/>
      </c>
      <c r="D102" s="50" t="str">
        <f>IF($A102&lt;&gt;"",IF(VLOOKUP($A102,貼り付け用!$A$1:$BA$300,COLUMN(),FALSE)=0,"",VLOOKUP($A102,貼り付け用!$A$1:$BA$300,COLUMN(),FALSE)),"")</f>
        <v/>
      </c>
      <c r="E102" s="50" t="str">
        <f>IF($A102&lt;&gt;"",IF(VLOOKUP($A102,貼り付け用!$A$1:$BA$300,COLUMN(),FALSE)=0,"",VLOOKUP($A102,貼り付け用!$A$1:$BA$300,COLUMN(),FALSE)),"")</f>
        <v/>
      </c>
      <c r="F102" s="50" t="str">
        <f>IF($A102&lt;&gt;"",IF(VLOOKUP($A102,貼り付け用!$A$1:$BA$300,COLUMN(),FALSE)=0,"",VLOOKUP($A102,貼り付け用!$A$1:$BA$300,COLUMN(),FALSE)),"")</f>
        <v/>
      </c>
      <c r="G102" s="50" t="str">
        <f>IF($A102&lt;&gt;"",IF(VLOOKUP($A102,貼り付け用!$A$1:$BA$300,COLUMN(),FALSE)=0,"",VLOOKUP($A102,貼り付け用!$A$1:$BA$300,COLUMN(),FALSE)),"")</f>
        <v>22</v>
      </c>
      <c r="H102" s="50" t="str">
        <f>IF($A102&lt;&gt;"",IF(VLOOKUP($A102,貼り付け用!$A$1:$BA$300,COLUMN(),FALSE)=0,"",VLOOKUP($A102,貼り付け用!$A$1:$BA$300,COLUMN(),FALSE)),"")</f>
        <v/>
      </c>
      <c r="I102" s="50" t="str">
        <f>IF($A102&lt;&gt;"",IF(VLOOKUP($A102,貼り付け用!$A$1:$BA$300,COLUMN(),FALSE)=0,"",VLOOKUP($A102,貼り付け用!$A$1:$BA$300,COLUMN(),FALSE)),"")</f>
        <v/>
      </c>
      <c r="J102" s="50" t="str">
        <f>IF($A102&lt;&gt;"",IF(VLOOKUP($A102,貼り付け用!$A$1:$BA$300,COLUMN(),FALSE)=0,"",VLOOKUP($A102,貼り付け用!$A$1:$BA$300,COLUMN(),FALSE)),"")</f>
        <v/>
      </c>
      <c r="K102" s="50" t="str">
        <f>IF($A102&lt;&gt;"",IF(VLOOKUP($A102,貼り付け用!$A$1:$BA$300,COLUMN(),FALSE)=0,"",VLOOKUP($A102,貼り付け用!$A$1:$BA$300,COLUMN(),FALSE)),"")</f>
        <v/>
      </c>
      <c r="L102" s="50" t="str">
        <f>IF($A102&lt;&gt;"",
IF(COLUMN(貼り付け用!L102)&gt;MATCH("おやつ",貼り付け用!$3:$3,0),"",
IF(VLOOKUP($A102,貼り付け用!$A$1:$BA$300,COLUMN(),FALSE)=0,"",VLOOKUP($A102,貼り付け用!$A$1:$BA$300,COLUMN(),FALSE))),"")</f>
        <v/>
      </c>
      <c r="M102" s="50" t="str">
        <f>IF($A102&lt;&gt;"",
IF(COLUMN(貼り付け用!M102)&gt;MATCH("おやつ",貼り付け用!$3:$3,0),"",
IF(VLOOKUP($A102,貼り付け用!$A$1:$BA$300,COLUMN(),FALSE)=0,"",VLOOKUP($A102,貼り付け用!$A$1:$BA$300,COLUMN(),FALSE))),"")</f>
        <v/>
      </c>
      <c r="N102" s="50" t="str">
        <f>IF($A102&lt;&gt;"",
IF(COLUMN(貼り付け用!N102)&gt;MATCH("おやつ",貼り付け用!$3:$3,0),"",
IF(VLOOKUP($A102,貼り付け用!$A$1:$BA$300,COLUMN(),FALSE)=0,"",VLOOKUP($A102,貼り付け用!$A$1:$BA$300,COLUMN(),FALSE))),"")</f>
        <v/>
      </c>
      <c r="O102" s="50" t="str">
        <f>IF($A102&lt;&gt;"",
IF(COLUMN(貼り付け用!O102)&gt;MATCH("おやつ",貼り付け用!$3:$3,0),"",
IF(VLOOKUP($A102,貼り付け用!$A$1:$BA$300,COLUMN(),FALSE)=0,"",VLOOKUP($A102,貼り付け用!$A$1:$BA$300,COLUMN(),FALSE))),"")</f>
        <v/>
      </c>
      <c r="P102" s="50" t="str">
        <f>IF($A102&lt;&gt;"",
IF(COLUMN(貼り付け用!P102)&gt;MATCH("おやつ",貼り付け用!$3:$3,0),"",
IF(VLOOKUP($A102,貼り付け用!$A$1:$BA$300,COLUMN(),FALSE)=0,"",VLOOKUP($A102,貼り付け用!$A$1:$BA$300,COLUMN(),FALSE))),"")</f>
        <v/>
      </c>
      <c r="Q102" s="50" t="str">
        <f>IF($A102&lt;&gt;"",
IF(COLUMN(貼り付け用!Q102)&gt;MATCH("おやつ",貼り付け用!$3:$3,0),"",
IF(VLOOKUP($A102,貼り付け用!$A$1:$BA$300,COLUMN(),FALSE)=0,"",VLOOKUP($A102,貼り付け用!$A$1:$BA$300,COLUMN(),FALSE))),"")</f>
        <v/>
      </c>
      <c r="R102" s="50" t="str">
        <f>IF($A102&lt;&gt;"",
IF(COLUMN(貼り付け用!R102)&gt;MATCH("おやつ",貼り付け用!$3:$3,0),"",
IF(VLOOKUP($A102,貼り付け用!$A$1:$BA$300,COLUMN(),FALSE)=0,"",VLOOKUP($A102,貼り付け用!$A$1:$BA$300,COLUMN(),FALSE))),"")</f>
        <v/>
      </c>
      <c r="S102" s="50" t="str">
        <f>IF($A102&lt;&gt;"",
IF(COLUMN(貼り付け用!S102)&gt;MATCH("おやつ",貼り付け用!$3:$3,0),"",
IF(VLOOKUP($A102,貼り付け用!$A$1:$BA$300,COLUMN(),FALSE)=0,"",VLOOKUP($A102,貼り付け用!$A$1:$BA$300,COLUMN(),FALSE))),"")</f>
        <v/>
      </c>
      <c r="T102" s="50" t="str">
        <f>IF(COLUMN(貼り付け用!T102)&gt;MATCH("おやつ",貼り付け用!$3:$3,0),"",
IF(VLOOKUP($A102,貼り付け用!$A$1:$BA$300,COLUMN(),FALSE)=0,"",VLOOKUP($A102,貼り付け用!$A$1:$BA$300,COLUMN(),FALSE)))</f>
        <v/>
      </c>
      <c r="U102" s="23"/>
      <c r="V102" s="21" t="str">
        <f>IF(A102&lt;&gt;"",
IF(VLOOKUP($A102,貼り付け用!$A$1:$BA$300,MATCH("おやつ",貼り付け用!$3:$3,0)+1,FALSE)=0,"",VLOOKUP($A102,貼り付け用!$A$1:$BA$300,MATCH("おやつ",貼り付け用!$3:$3,0)+1,FALSE)),"")</f>
        <v>スープ付き</v>
      </c>
      <c r="W102" s="50" t="str">
        <f>IF(A102&lt;&gt;"",
IF(VLOOKUP($A102,貼り付け用!$A$1:$BA$300,MATCH("おやつ",貼り付け用!$3:$3,0)+2,FALSE)=0,"",VLOOKUP($A102,貼り付け用!$A$1:$BA$300,MATCH("おやつ",貼り付け用!$3:$3,0)+2,FALSE)),"")</f>
        <v/>
      </c>
    </row>
    <row r="103" spans="1:23" x14ac:dyDescent="0.45">
      <c r="A103" s="22" t="str">
        <f>IF(貼り付け用!$A$6&lt;&gt;"",
IF(ROW(A102)+1&gt;=MATCH("*【合計】*", 貼り付け用!$A:$A, 0),"",
IF(貼り付け用!A103&lt;&gt;"",貼り付け用!A103,"")),
IF(ROW(A103)+1&gt;=MATCH("*【合計】*", 貼り付け用!$A:$A, 0),"",
IF(貼り付け用!A104&lt;&gt;"",貼り付け用!A104,"")))</f>
        <v>コーナーズインターナショナル</v>
      </c>
      <c r="B103" s="45" t="str">
        <f>IF($A103&lt;&gt;"",IF(VLOOKUP($A103,貼り付け用!$A$1:$BA$300,COLUMN(),FALSE)=0,"",VLOOKUP($A103,貼り付け用!$A$1:$BA$300,COLUMN(),FALSE)),"")</f>
        <v/>
      </c>
      <c r="C103" s="45" t="str">
        <f>IF($A103&lt;&gt;"",IF(VLOOKUP($A103,貼り付け用!$A$1:$BA$300,COLUMN(),FALSE)=0,"",VLOOKUP($A103,貼り付け用!$A$1:$BA$300,COLUMN(),FALSE)),"")</f>
        <v/>
      </c>
      <c r="D103" s="45" t="str">
        <f>IF($A103&lt;&gt;"",IF(VLOOKUP($A103,貼り付け用!$A$1:$BA$300,COLUMN(),FALSE)=0,"",VLOOKUP($A103,貼り付け用!$A$1:$BA$300,COLUMN(),FALSE)),"")</f>
        <v/>
      </c>
      <c r="E103" s="45" t="str">
        <f>IF($A103&lt;&gt;"",IF(VLOOKUP($A103,貼り付け用!$A$1:$BA$300,COLUMN(),FALSE)=0,"",VLOOKUP($A103,貼り付け用!$A$1:$BA$300,COLUMN(),FALSE)),"")</f>
        <v/>
      </c>
      <c r="F103" s="45" t="str">
        <f>IF($A103&lt;&gt;"",IF(VLOOKUP($A103,貼り付け用!$A$1:$BA$300,COLUMN(),FALSE)=0,"",VLOOKUP($A103,貼り付け用!$A$1:$BA$300,COLUMN(),FALSE)),"")</f>
        <v/>
      </c>
      <c r="G103" s="45" t="str">
        <f>IF($A103&lt;&gt;"",IF(VLOOKUP($A103,貼り付け用!$A$1:$BA$300,COLUMN(),FALSE)=0,"",VLOOKUP($A103,貼り付け用!$A$1:$BA$300,COLUMN(),FALSE)),"")</f>
        <v/>
      </c>
      <c r="H103" s="45" t="str">
        <f>IF($A103&lt;&gt;"",IF(VLOOKUP($A103,貼り付け用!$A$1:$BA$300,COLUMN(),FALSE)=0,"",VLOOKUP($A103,貼り付け用!$A$1:$BA$300,COLUMN(),FALSE)),"")</f>
        <v/>
      </c>
      <c r="I103" s="45" t="str">
        <f>IF($A103&lt;&gt;"",IF(VLOOKUP($A103,貼り付け用!$A$1:$BA$300,COLUMN(),FALSE)=0,"",VLOOKUP($A103,貼り付け用!$A$1:$BA$300,COLUMN(),FALSE)),"")</f>
        <v/>
      </c>
      <c r="J103" s="45" t="str">
        <f>IF($A103&lt;&gt;"",IF(VLOOKUP($A103,貼り付け用!$A$1:$BA$300,COLUMN(),FALSE)=0,"",VLOOKUP($A103,貼り付け用!$A$1:$BA$300,COLUMN(),FALSE)),"")</f>
        <v/>
      </c>
      <c r="K103" s="45" t="str">
        <f>IF($A103&lt;&gt;"",IF(VLOOKUP($A103,貼り付け用!$A$1:$BA$300,COLUMN(),FALSE)=0,"",VLOOKUP($A103,貼り付け用!$A$1:$BA$300,COLUMN(),FALSE)),"")</f>
        <v/>
      </c>
      <c r="L103" s="45" t="str">
        <f>IF($A103&lt;&gt;"",
IF(COLUMN(貼り付け用!L103)&gt;MATCH("おやつ",貼り付け用!$3:$3,0),"",
IF(VLOOKUP($A103,貼り付け用!$A$1:$BA$300,COLUMN(),FALSE)=0,"",VLOOKUP($A103,貼り付け用!$A$1:$BA$300,COLUMN(),FALSE))),"")</f>
        <v/>
      </c>
      <c r="M103" s="45" t="str">
        <f>IF($A103&lt;&gt;"",
IF(COLUMN(貼り付け用!M103)&gt;MATCH("おやつ",貼り付け用!$3:$3,0),"",
IF(VLOOKUP($A103,貼り付け用!$A$1:$BA$300,COLUMN(),FALSE)=0,"",VLOOKUP($A103,貼り付け用!$A$1:$BA$300,COLUMN(),FALSE))),"")</f>
        <v/>
      </c>
      <c r="N103" s="45" t="str">
        <f>IF($A103&lt;&gt;"",
IF(COLUMN(貼り付け用!N103)&gt;MATCH("おやつ",貼り付け用!$3:$3,0),"",
IF(VLOOKUP($A103,貼り付け用!$A$1:$BA$300,COLUMN(),FALSE)=0,"",VLOOKUP($A103,貼り付け用!$A$1:$BA$300,COLUMN(),FALSE))),"")</f>
        <v/>
      </c>
      <c r="O103" s="45" t="str">
        <f>IF($A103&lt;&gt;"",
IF(COLUMN(貼り付け用!O103)&gt;MATCH("おやつ",貼り付け用!$3:$3,0),"",
IF(VLOOKUP($A103,貼り付け用!$A$1:$BA$300,COLUMN(),FALSE)=0,"",VLOOKUP($A103,貼り付け用!$A$1:$BA$300,COLUMN(),FALSE))),"")</f>
        <v/>
      </c>
      <c r="P103" s="45" t="str">
        <f>IF($A103&lt;&gt;"",
IF(COLUMN(貼り付け用!P103)&gt;MATCH("おやつ",貼り付け用!$3:$3,0),"",
IF(VLOOKUP($A103,貼り付け用!$A$1:$BA$300,COLUMN(),FALSE)=0,"",VLOOKUP($A103,貼り付け用!$A$1:$BA$300,COLUMN(),FALSE))),"")</f>
        <v/>
      </c>
      <c r="Q103" s="45" t="str">
        <f>IF($A103&lt;&gt;"",
IF(COLUMN(貼り付け用!Q103)&gt;MATCH("おやつ",貼り付け用!$3:$3,0),"",
IF(VLOOKUP($A103,貼り付け用!$A$1:$BA$300,COLUMN(),FALSE)=0,"",VLOOKUP($A103,貼り付け用!$A$1:$BA$300,COLUMN(),FALSE))),"")</f>
        <v/>
      </c>
      <c r="R103" s="45" t="str">
        <f>IF($A103&lt;&gt;"",
IF(COLUMN(貼り付け用!R103)&gt;MATCH("おやつ",貼り付け用!$3:$3,0),"",
IF(VLOOKUP($A103,貼り付け用!$A$1:$BA$300,COLUMN(),FALSE)=0,"",VLOOKUP($A103,貼り付け用!$A$1:$BA$300,COLUMN(),FALSE))),"")</f>
        <v/>
      </c>
      <c r="S103" s="45" t="str">
        <f>IF($A103&lt;&gt;"",
IF(COLUMN(貼り付け用!S103)&gt;MATCH("おやつ",貼り付け用!$3:$3,0),"",
IF(VLOOKUP($A103,貼り付け用!$A$1:$BA$300,COLUMN(),FALSE)=0,"",VLOOKUP($A103,貼り付け用!$A$1:$BA$300,COLUMN(),FALSE))),"")</f>
        <v/>
      </c>
      <c r="T103" s="45" t="str">
        <f>IF(COLUMN(貼り付け用!T103)&gt;MATCH("おやつ",貼り付け用!$3:$3,0),"",
IF(VLOOKUP($A103,貼り付け用!$A$1:$BA$300,COLUMN(),FALSE)=0,"",VLOOKUP($A103,貼り付け用!$A$1:$BA$300,COLUMN(),FALSE)))</f>
        <v/>
      </c>
      <c r="U103" s="24"/>
      <c r="V103" s="21" t="str">
        <f>IF(A103&lt;&gt;"",
IF(VLOOKUP($A103,貼り付け用!$A$1:$BA$300,MATCH("おやつ",貼り付け用!$3:$3,0)+1,FALSE)=0,"",VLOOKUP($A103,貼り付け用!$A$1:$BA$300,MATCH("おやつ",貼り付け用!$3:$3,0)+1,FALSE)),"")</f>
        <v/>
      </c>
      <c r="W103" s="50" t="str">
        <f>IF(A103&lt;&gt;"",
IF(VLOOKUP($A103,貼り付け用!$A$1:$BA$300,MATCH("おやつ",貼り付け用!$3:$3,0)+2,FALSE)=0,"",VLOOKUP($A103,貼り付け用!$A$1:$BA$300,MATCH("おやつ",貼り付け用!$3:$3,0)+2,FALSE)),"")</f>
        <v/>
      </c>
    </row>
    <row r="104" spans="1:23" x14ac:dyDescent="0.45">
      <c r="A104" s="10" t="str">
        <f>IF(貼り付け用!$A$6&lt;&gt;"",
IF(ROW(A103)+1&gt;=MATCH("*【合計】*", 貼り付け用!$A:$A, 0),
"",
IF(貼り付け用!A104&lt;&gt;"",貼り付け用!A104,"")),
IF(ROW(A104)+1&gt;=MATCH("*【合計】*", 貼り付け用!$A:$A, 0),
"",
IF(貼り付け用!A105&lt;&gt;"",貼り付け用!A105,"")))</f>
        <v>7000</v>
      </c>
      <c r="B104" s="50" t="str">
        <f>IF($A104&lt;&gt;"",IF(VLOOKUP($A104,貼り付け用!$A$1:$BA$300,COLUMN(),FALSE)=0,"",VLOOKUP($A104,貼り付け用!$A$1:$BA$300,COLUMN(),FALSE)),"")</f>
        <v/>
      </c>
      <c r="C104" s="50" t="str">
        <f>IF($A104&lt;&gt;"",IF(VLOOKUP($A104,貼り付け用!$A$1:$BA$300,COLUMN(),FALSE)=0,"",VLOOKUP($A104,貼り付け用!$A$1:$BA$300,COLUMN(),FALSE)),"")</f>
        <v/>
      </c>
      <c r="D104" s="50" t="str">
        <f>IF($A104&lt;&gt;"",IF(VLOOKUP($A104,貼り付け用!$A$1:$BA$300,COLUMN(),FALSE)=0,"",VLOOKUP($A104,貼り付け用!$A$1:$BA$300,COLUMN(),FALSE)),"")</f>
        <v/>
      </c>
      <c r="E104" s="50" t="str">
        <f>IF($A104&lt;&gt;"",IF(VLOOKUP($A104,貼り付け用!$A$1:$BA$300,COLUMN(),FALSE)=0,"",VLOOKUP($A104,貼り付け用!$A$1:$BA$300,COLUMN(),FALSE)),"")</f>
        <v/>
      </c>
      <c r="F104" s="50" t="str">
        <f>IF($A104&lt;&gt;"",IF(VLOOKUP($A104,貼り付け用!$A$1:$BA$300,COLUMN(),FALSE)=0,"",VLOOKUP($A104,貼り付け用!$A$1:$BA$300,COLUMN(),FALSE)),"")</f>
        <v/>
      </c>
      <c r="G104" s="50" t="str">
        <f>IF($A104&lt;&gt;"",IF(VLOOKUP($A104,貼り付け用!$A$1:$BA$300,COLUMN(),FALSE)=0,"",VLOOKUP($A104,貼り付け用!$A$1:$BA$300,COLUMN(),FALSE)),"")</f>
        <v>9</v>
      </c>
      <c r="H104" s="50" t="str">
        <f>IF($A104&lt;&gt;"",IF(VLOOKUP($A104,貼り付け用!$A$1:$BA$300,COLUMN(),FALSE)=0,"",VLOOKUP($A104,貼り付け用!$A$1:$BA$300,COLUMN(),FALSE)),"")</f>
        <v/>
      </c>
      <c r="I104" s="50" t="str">
        <f>IF($A104&lt;&gt;"",IF(VLOOKUP($A104,貼り付け用!$A$1:$BA$300,COLUMN(),FALSE)=0,"",VLOOKUP($A104,貼り付け用!$A$1:$BA$300,COLUMN(),FALSE)),"")</f>
        <v/>
      </c>
      <c r="J104" s="50" t="str">
        <f>IF($A104&lt;&gt;"",IF(VLOOKUP($A104,貼り付け用!$A$1:$BA$300,COLUMN(),FALSE)=0,"",VLOOKUP($A104,貼り付け用!$A$1:$BA$300,COLUMN(),FALSE)),"")</f>
        <v/>
      </c>
      <c r="K104" s="50" t="str">
        <f>IF($A104&lt;&gt;"",IF(VLOOKUP($A104,貼り付け用!$A$1:$BA$300,COLUMN(),FALSE)=0,"",VLOOKUP($A104,貼り付け用!$A$1:$BA$300,COLUMN(),FALSE)),"")</f>
        <v/>
      </c>
      <c r="L104" s="50" t="str">
        <f>IF($A104&lt;&gt;"",
IF(COLUMN(貼り付け用!L104)&gt;MATCH("おやつ",貼り付け用!$3:$3,0),"",
IF(VLOOKUP($A104,貼り付け用!$A$1:$BA$300,COLUMN(),FALSE)=0,"",VLOOKUP($A104,貼り付け用!$A$1:$BA$300,COLUMN(),FALSE))),"")</f>
        <v/>
      </c>
      <c r="M104" s="50" t="str">
        <f>IF($A104&lt;&gt;"",
IF(COLUMN(貼り付け用!M104)&gt;MATCH("おやつ",貼り付け用!$3:$3,0),"",
IF(VLOOKUP($A104,貼り付け用!$A$1:$BA$300,COLUMN(),FALSE)=0,"",VLOOKUP($A104,貼り付け用!$A$1:$BA$300,COLUMN(),FALSE))),"")</f>
        <v/>
      </c>
      <c r="N104" s="50" t="str">
        <f>IF($A104&lt;&gt;"",
IF(COLUMN(貼り付け用!N104)&gt;MATCH("おやつ",貼り付け用!$3:$3,0),"",
IF(VLOOKUP($A104,貼り付け用!$A$1:$BA$300,COLUMN(),FALSE)=0,"",VLOOKUP($A104,貼り付け用!$A$1:$BA$300,COLUMN(),FALSE))),"")</f>
        <v/>
      </c>
      <c r="O104" s="50" t="str">
        <f>IF($A104&lt;&gt;"",
IF(COLUMN(貼り付け用!O104)&gt;MATCH("おやつ",貼り付け用!$3:$3,0),"",
IF(VLOOKUP($A104,貼り付け用!$A$1:$BA$300,COLUMN(),FALSE)=0,"",VLOOKUP($A104,貼り付け用!$A$1:$BA$300,COLUMN(),FALSE))),"")</f>
        <v/>
      </c>
      <c r="P104" s="50" t="str">
        <f>IF($A104&lt;&gt;"",
IF(COLUMN(貼り付け用!P104)&gt;MATCH("おやつ",貼り付け用!$3:$3,0),"",
IF(VLOOKUP($A104,貼り付け用!$A$1:$BA$300,COLUMN(),FALSE)=0,"",VLOOKUP($A104,貼り付け用!$A$1:$BA$300,COLUMN(),FALSE))),"")</f>
        <v/>
      </c>
      <c r="Q104" s="50" t="str">
        <f>IF($A104&lt;&gt;"",
IF(COLUMN(貼り付け用!Q104)&gt;MATCH("おやつ",貼り付け用!$3:$3,0),"",
IF(VLOOKUP($A104,貼り付け用!$A$1:$BA$300,COLUMN(),FALSE)=0,"",VLOOKUP($A104,貼り付け用!$A$1:$BA$300,COLUMN(),FALSE))),"")</f>
        <v/>
      </c>
      <c r="R104" s="50" t="str">
        <f>IF($A104&lt;&gt;"",
IF(COLUMN(貼り付け用!R104)&gt;MATCH("おやつ",貼り付け用!$3:$3,0),"",
IF(VLOOKUP($A104,貼り付け用!$A$1:$BA$300,COLUMN(),FALSE)=0,"",VLOOKUP($A104,貼り付け用!$A$1:$BA$300,COLUMN(),FALSE))),"")</f>
        <v/>
      </c>
      <c r="S104" s="50" t="str">
        <f>IF($A104&lt;&gt;"",
IF(COLUMN(貼り付け用!S104)&gt;MATCH("おやつ",貼り付け用!$3:$3,0),"",
IF(VLOOKUP($A104,貼り付け用!$A$1:$BA$300,COLUMN(),FALSE)=0,"",VLOOKUP($A104,貼り付け用!$A$1:$BA$300,COLUMN(),FALSE))),"")</f>
        <v/>
      </c>
      <c r="T104" s="50" t="str">
        <f>IF(COLUMN(貼り付け用!T104)&gt;MATCH("おやつ",貼り付け用!$3:$3,0),"",
IF(VLOOKUP($A104,貼り付け用!$A$1:$BA$300,COLUMN(),FALSE)=0,"",VLOOKUP($A104,貼り付け用!$A$1:$BA$300,COLUMN(),FALSE)))</f>
        <v/>
      </c>
      <c r="U104" s="23"/>
      <c r="V104" s="21" t="str">
        <f>IF(A104&lt;&gt;"",
IF(VLOOKUP($A104,貼り付け用!$A$1:$BA$300,MATCH("おやつ",貼り付け用!$3:$3,0)+1,FALSE)=0,"",VLOOKUP($A104,貼り付け用!$A$1:$BA$300,MATCH("おやつ",貼り付け用!$3:$3,0)+1,FALSE)),"")</f>
        <v>ｱﾚ0</v>
      </c>
      <c r="W104" s="50" t="str">
        <f>IF(A104&lt;&gt;"",
IF(VLOOKUP($A104,貼り付け用!$A$1:$BA$300,MATCH("おやつ",貼り付け用!$3:$3,0)+2,FALSE)=0,"",VLOOKUP($A104,貼り付け用!$A$1:$BA$300,MATCH("おやつ",貼り付け用!$3:$3,0)+2,FALSE)),"")</f>
        <v/>
      </c>
    </row>
    <row r="105" spans="1:23" x14ac:dyDescent="0.45">
      <c r="A105" s="22" t="str">
        <f>IF(貼り付け用!$A$6&lt;&gt;"",
IF(ROW(A104)+1&gt;=MATCH("*【合計】*", 貼り付け用!$A:$A, 0),"",
IF(貼り付け用!A105&lt;&gt;"",貼り付け用!A105,"")),
IF(ROW(A105)+1&gt;=MATCH("*【合計】*", 貼り付け用!$A:$A, 0),"",
IF(貼り付け用!A106&lt;&gt;"",貼り付け用!A106,"")))</f>
        <v>バディ筑紫野校 web</v>
      </c>
      <c r="B105" s="45" t="str">
        <f>IF($A105&lt;&gt;"",IF(VLOOKUP($A105,貼り付け用!$A$1:$BA$300,COLUMN(),FALSE)=0,"",VLOOKUP($A105,貼り付け用!$A$1:$BA$300,COLUMN(),FALSE)),"")</f>
        <v/>
      </c>
      <c r="C105" s="45" t="str">
        <f>IF($A105&lt;&gt;"",IF(VLOOKUP($A105,貼り付け用!$A$1:$BA$300,COLUMN(),FALSE)=0,"",VLOOKUP($A105,貼り付け用!$A$1:$BA$300,COLUMN(),FALSE)),"")</f>
        <v/>
      </c>
      <c r="D105" s="45" t="str">
        <f>IF($A105&lt;&gt;"",IF(VLOOKUP($A105,貼り付け用!$A$1:$BA$300,COLUMN(),FALSE)=0,"",VLOOKUP($A105,貼り付け用!$A$1:$BA$300,COLUMN(),FALSE)),"")</f>
        <v/>
      </c>
      <c r="E105" s="45" t="str">
        <f>IF($A105&lt;&gt;"",IF(VLOOKUP($A105,貼り付け用!$A$1:$BA$300,COLUMN(),FALSE)=0,"",VLOOKUP($A105,貼り付け用!$A$1:$BA$300,COLUMN(),FALSE)),"")</f>
        <v/>
      </c>
      <c r="F105" s="45" t="str">
        <f>IF($A105&lt;&gt;"",IF(VLOOKUP($A105,貼り付け用!$A$1:$BA$300,COLUMN(),FALSE)=0,"",VLOOKUP($A105,貼り付け用!$A$1:$BA$300,COLUMN(),FALSE)),"")</f>
        <v/>
      </c>
      <c r="G105" s="45" t="str">
        <f>IF($A105&lt;&gt;"",IF(VLOOKUP($A105,貼り付け用!$A$1:$BA$300,COLUMN(),FALSE)=0,"",VLOOKUP($A105,貼り付け用!$A$1:$BA$300,COLUMN(),FALSE)),"")</f>
        <v/>
      </c>
      <c r="H105" s="45" t="str">
        <f>IF($A105&lt;&gt;"",IF(VLOOKUP($A105,貼り付け用!$A$1:$BA$300,COLUMN(),FALSE)=0,"",VLOOKUP($A105,貼り付け用!$A$1:$BA$300,COLUMN(),FALSE)),"")</f>
        <v/>
      </c>
      <c r="I105" s="45" t="str">
        <f>IF($A105&lt;&gt;"",IF(VLOOKUP($A105,貼り付け用!$A$1:$BA$300,COLUMN(),FALSE)=0,"",VLOOKUP($A105,貼り付け用!$A$1:$BA$300,COLUMN(),FALSE)),"")</f>
        <v/>
      </c>
      <c r="J105" s="45" t="str">
        <f>IF($A105&lt;&gt;"",IF(VLOOKUP($A105,貼り付け用!$A$1:$BA$300,COLUMN(),FALSE)=0,"",VLOOKUP($A105,貼り付け用!$A$1:$BA$300,COLUMN(),FALSE)),"")</f>
        <v/>
      </c>
      <c r="K105" s="45" t="str">
        <f>IF($A105&lt;&gt;"",IF(VLOOKUP($A105,貼り付け用!$A$1:$BA$300,COLUMN(),FALSE)=0,"",VLOOKUP($A105,貼り付け用!$A$1:$BA$300,COLUMN(),FALSE)),"")</f>
        <v/>
      </c>
      <c r="L105" s="45" t="str">
        <f>IF($A105&lt;&gt;"",
IF(COLUMN(貼り付け用!L105)&gt;MATCH("おやつ",貼り付け用!$3:$3,0),"",
IF(VLOOKUP($A105,貼り付け用!$A$1:$BA$300,COLUMN(),FALSE)=0,"",VLOOKUP($A105,貼り付け用!$A$1:$BA$300,COLUMN(),FALSE))),"")</f>
        <v/>
      </c>
      <c r="M105" s="45" t="str">
        <f>IF($A105&lt;&gt;"",
IF(COLUMN(貼り付け用!M105)&gt;MATCH("おやつ",貼り付け用!$3:$3,0),"",
IF(VLOOKUP($A105,貼り付け用!$A$1:$BA$300,COLUMN(),FALSE)=0,"",VLOOKUP($A105,貼り付け用!$A$1:$BA$300,COLUMN(),FALSE))),"")</f>
        <v/>
      </c>
      <c r="N105" s="45" t="str">
        <f>IF($A105&lt;&gt;"",
IF(COLUMN(貼り付け用!N105)&gt;MATCH("おやつ",貼り付け用!$3:$3,0),"",
IF(VLOOKUP($A105,貼り付け用!$A$1:$BA$300,COLUMN(),FALSE)=0,"",VLOOKUP($A105,貼り付け用!$A$1:$BA$300,COLUMN(),FALSE))),"")</f>
        <v/>
      </c>
      <c r="O105" s="45" t="str">
        <f>IF($A105&lt;&gt;"",
IF(COLUMN(貼り付け用!O105)&gt;MATCH("おやつ",貼り付け用!$3:$3,0),"",
IF(VLOOKUP($A105,貼り付け用!$A$1:$BA$300,COLUMN(),FALSE)=0,"",VLOOKUP($A105,貼り付け用!$A$1:$BA$300,COLUMN(),FALSE))),"")</f>
        <v/>
      </c>
      <c r="P105" s="45" t="str">
        <f>IF($A105&lt;&gt;"",
IF(COLUMN(貼り付け用!P105)&gt;MATCH("おやつ",貼り付け用!$3:$3,0),"",
IF(VLOOKUP($A105,貼り付け用!$A$1:$BA$300,COLUMN(),FALSE)=0,"",VLOOKUP($A105,貼り付け用!$A$1:$BA$300,COLUMN(),FALSE))),"")</f>
        <v/>
      </c>
      <c r="Q105" s="45" t="str">
        <f>IF($A105&lt;&gt;"",
IF(COLUMN(貼り付け用!Q105)&gt;MATCH("おやつ",貼り付け用!$3:$3,0),"",
IF(VLOOKUP($A105,貼り付け用!$A$1:$BA$300,COLUMN(),FALSE)=0,"",VLOOKUP($A105,貼り付け用!$A$1:$BA$300,COLUMN(),FALSE))),"")</f>
        <v/>
      </c>
      <c r="R105" s="45" t="str">
        <f>IF($A105&lt;&gt;"",
IF(COLUMN(貼り付け用!R105)&gt;MATCH("おやつ",貼り付け用!$3:$3,0),"",
IF(VLOOKUP($A105,貼り付け用!$A$1:$BA$300,COLUMN(),FALSE)=0,"",VLOOKUP($A105,貼り付け用!$A$1:$BA$300,COLUMN(),FALSE))),"")</f>
        <v/>
      </c>
      <c r="S105" s="45" t="str">
        <f>IF($A105&lt;&gt;"",
IF(COLUMN(貼り付け用!S105)&gt;MATCH("おやつ",貼り付け用!$3:$3,0),"",
IF(VLOOKUP($A105,貼り付け用!$A$1:$BA$300,COLUMN(),FALSE)=0,"",VLOOKUP($A105,貼り付け用!$A$1:$BA$300,COLUMN(),FALSE))),"")</f>
        <v/>
      </c>
      <c r="T105" s="45" t="str">
        <f>IF(COLUMN(貼り付け用!T105)&gt;MATCH("おやつ",貼り付け用!$3:$3,0),"",
IF(VLOOKUP($A105,貼り付け用!$A$1:$BA$300,COLUMN(),FALSE)=0,"",VLOOKUP($A105,貼り付け用!$A$1:$BA$300,COLUMN(),FALSE)))</f>
        <v/>
      </c>
      <c r="U105" s="24"/>
      <c r="V105" s="21" t="str">
        <f>IF(A105&lt;&gt;"",
IF(VLOOKUP($A105,貼り付け用!$A$1:$BA$300,MATCH("おやつ",貼り付け用!$3:$3,0)+1,FALSE)=0,"",VLOOKUP($A105,貼り付け用!$A$1:$BA$300,MATCH("おやつ",貼り付け用!$3:$3,0)+1,FALSE)),"")</f>
        <v/>
      </c>
      <c r="W105" s="50" t="str">
        <f>IF(A105&lt;&gt;"",
IF(VLOOKUP($A105,貼り付け用!$A$1:$BA$300,MATCH("おやつ",貼り付け用!$3:$3,0)+2,FALSE)=0,"",VLOOKUP($A105,貼り付け用!$A$1:$BA$300,MATCH("おやつ",貼り付け用!$3:$3,0)+2,FALSE)),"")</f>
        <v/>
      </c>
    </row>
    <row r="106" spans="1:23" x14ac:dyDescent="0.45">
      <c r="A106" s="10" t="str">
        <f>IF(貼り付け用!$A$6&lt;&gt;"",
IF(ROW(A105)+1&gt;=MATCH("*【合計】*", 貼り付け用!$A:$A, 0),
"",
IF(貼り付け用!A106&lt;&gt;"",貼り付け用!A106,"")),
IF(ROW(A106)+1&gt;=MATCH("*【合計】*", 貼り付け用!$A:$A, 0),
"",
IF(貼り付け用!A107&lt;&gt;"",貼り付け用!A107,"")))</f>
        <v>7003</v>
      </c>
      <c r="B106" s="50" t="str">
        <f>IF($A106&lt;&gt;"",IF(VLOOKUP($A106,貼り付け用!$A$1:$BA$300,COLUMN(),FALSE)=0,"",VLOOKUP($A106,貼り付け用!$A$1:$BA$300,COLUMN(),FALSE)),"")</f>
        <v/>
      </c>
      <c r="C106" s="50" t="str">
        <f>IF($A106&lt;&gt;"",IF(VLOOKUP($A106,貼り付け用!$A$1:$BA$300,COLUMN(),FALSE)=0,"",VLOOKUP($A106,貼り付け用!$A$1:$BA$300,COLUMN(),FALSE)),"")</f>
        <v/>
      </c>
      <c r="D106" s="50" t="str">
        <f>IF($A106&lt;&gt;"",IF(VLOOKUP($A106,貼り付け用!$A$1:$BA$300,COLUMN(),FALSE)=0,"",VLOOKUP($A106,貼り付け用!$A$1:$BA$300,COLUMN(),FALSE)),"")</f>
        <v/>
      </c>
      <c r="E106" s="50" t="str">
        <f>IF($A106&lt;&gt;"",IF(VLOOKUP($A106,貼り付け用!$A$1:$BA$300,COLUMN(),FALSE)=0,"",VLOOKUP($A106,貼り付け用!$A$1:$BA$300,COLUMN(),FALSE)),"")</f>
        <v/>
      </c>
      <c r="F106" s="50" t="str">
        <f>IF($A106&lt;&gt;"",IF(VLOOKUP($A106,貼り付け用!$A$1:$BA$300,COLUMN(),FALSE)=0,"",VLOOKUP($A106,貼り付け用!$A$1:$BA$300,COLUMN(),FALSE)),"")</f>
        <v/>
      </c>
      <c r="G106" s="50" t="str">
        <f>IF($A106&lt;&gt;"",IF(VLOOKUP($A106,貼り付け用!$A$1:$BA$300,COLUMN(),FALSE)=0,"",VLOOKUP($A106,貼り付け用!$A$1:$BA$300,COLUMN(),FALSE)),"")</f>
        <v>73</v>
      </c>
      <c r="H106" s="50" t="str">
        <f>IF($A106&lt;&gt;"",IF(VLOOKUP($A106,貼り付け用!$A$1:$BA$300,COLUMN(),FALSE)=0,"",VLOOKUP($A106,貼り付け用!$A$1:$BA$300,COLUMN(),FALSE)),"")</f>
        <v/>
      </c>
      <c r="I106" s="50" t="str">
        <f>IF($A106&lt;&gt;"",IF(VLOOKUP($A106,貼り付け用!$A$1:$BA$300,COLUMN(),FALSE)=0,"",VLOOKUP($A106,貼り付け用!$A$1:$BA$300,COLUMN(),FALSE)),"")</f>
        <v/>
      </c>
      <c r="J106" s="50" t="str">
        <f>IF($A106&lt;&gt;"",IF(VLOOKUP($A106,貼り付け用!$A$1:$BA$300,COLUMN(),FALSE)=0,"",VLOOKUP($A106,貼り付け用!$A$1:$BA$300,COLUMN(),FALSE)),"")</f>
        <v/>
      </c>
      <c r="K106" s="50" t="str">
        <f>IF($A106&lt;&gt;"",IF(VLOOKUP($A106,貼り付け用!$A$1:$BA$300,COLUMN(),FALSE)=0,"",VLOOKUP($A106,貼り付け用!$A$1:$BA$300,COLUMN(),FALSE)),"")</f>
        <v/>
      </c>
      <c r="L106" s="50" t="str">
        <f>IF($A106&lt;&gt;"",
IF(COLUMN(貼り付け用!L106)&gt;MATCH("おやつ",貼り付け用!$3:$3,0),"",
IF(VLOOKUP($A106,貼り付け用!$A$1:$BA$300,COLUMN(),FALSE)=0,"",VLOOKUP($A106,貼り付け用!$A$1:$BA$300,COLUMN(),FALSE))),"")</f>
        <v/>
      </c>
      <c r="M106" s="50" t="str">
        <f>IF($A106&lt;&gt;"",
IF(COLUMN(貼り付け用!M106)&gt;MATCH("おやつ",貼り付け用!$3:$3,0),"",
IF(VLOOKUP($A106,貼り付け用!$A$1:$BA$300,COLUMN(),FALSE)=0,"",VLOOKUP($A106,貼り付け用!$A$1:$BA$300,COLUMN(),FALSE))),"")</f>
        <v/>
      </c>
      <c r="N106" s="50" t="str">
        <f>IF($A106&lt;&gt;"",
IF(COLUMN(貼り付け用!N106)&gt;MATCH("おやつ",貼り付け用!$3:$3,0),"",
IF(VLOOKUP($A106,貼り付け用!$A$1:$BA$300,COLUMN(),FALSE)=0,"",VLOOKUP($A106,貼り付け用!$A$1:$BA$300,COLUMN(),FALSE))),"")</f>
        <v/>
      </c>
      <c r="O106" s="50" t="str">
        <f>IF($A106&lt;&gt;"",
IF(COLUMN(貼り付け用!O106)&gt;MATCH("おやつ",貼り付け用!$3:$3,0),"",
IF(VLOOKUP($A106,貼り付け用!$A$1:$BA$300,COLUMN(),FALSE)=0,"",VLOOKUP($A106,貼り付け用!$A$1:$BA$300,COLUMN(),FALSE))),"")</f>
        <v/>
      </c>
      <c r="P106" s="50" t="str">
        <f>IF($A106&lt;&gt;"",
IF(COLUMN(貼り付け用!P106)&gt;MATCH("おやつ",貼り付け用!$3:$3,0),"",
IF(VLOOKUP($A106,貼り付け用!$A$1:$BA$300,COLUMN(),FALSE)=0,"",VLOOKUP($A106,貼り付け用!$A$1:$BA$300,COLUMN(),FALSE))),"")</f>
        <v/>
      </c>
      <c r="Q106" s="50" t="str">
        <f>IF($A106&lt;&gt;"",
IF(COLUMN(貼り付け用!Q106)&gt;MATCH("おやつ",貼り付け用!$3:$3,0),"",
IF(VLOOKUP($A106,貼り付け用!$A$1:$BA$300,COLUMN(),FALSE)=0,"",VLOOKUP($A106,貼り付け用!$A$1:$BA$300,COLUMN(),FALSE))),"")</f>
        <v/>
      </c>
      <c r="R106" s="50" t="str">
        <f>IF($A106&lt;&gt;"",
IF(COLUMN(貼り付け用!R106)&gt;MATCH("おやつ",貼り付け用!$3:$3,0),"",
IF(VLOOKUP($A106,貼り付け用!$A$1:$BA$300,COLUMN(),FALSE)=0,"",VLOOKUP($A106,貼り付け用!$A$1:$BA$300,COLUMN(),FALSE))),"")</f>
        <v/>
      </c>
      <c r="S106" s="50" t="str">
        <f>IF($A106&lt;&gt;"",
IF(COLUMN(貼り付け用!S106)&gt;MATCH("おやつ",貼り付け用!$3:$3,0),"",
IF(VLOOKUP($A106,貼り付け用!$A$1:$BA$300,COLUMN(),FALSE)=0,"",VLOOKUP($A106,貼り付け用!$A$1:$BA$300,COLUMN(),FALSE))),"")</f>
        <v/>
      </c>
      <c r="T106" s="50" t="str">
        <f>IF(COLUMN(貼り付け用!T106)&gt;MATCH("おやつ",貼り付け用!$3:$3,0),"",
IF(VLOOKUP($A106,貼り付け用!$A$1:$BA$300,COLUMN(),FALSE)=0,"",VLOOKUP($A106,貼り付け用!$A$1:$BA$300,COLUMN(),FALSE)))</f>
        <v/>
      </c>
      <c r="U106" s="23"/>
      <c r="V106" s="21" t="str">
        <f>IF(A106&lt;&gt;"",
IF(VLOOKUP($A106,貼り付け用!$A$1:$BA$300,MATCH("おやつ",貼り付け用!$3:$3,0)+1,FALSE)=0,"",VLOOKUP($A106,貼り付け用!$A$1:$BA$300,MATCH("おやつ",貼り付け用!$3:$3,0)+1,FALSE)),"")</f>
        <v>おかわり用保温箱2K×1</v>
      </c>
      <c r="W106" s="50" t="str">
        <f>IF(A106&lt;&gt;"",
IF(VLOOKUP($A106,貼り付け用!$A$1:$BA$300,MATCH("おやつ",貼り付け用!$3:$3,0)+2,FALSE)=0,"",VLOOKUP($A106,貼り付け用!$A$1:$BA$300,MATCH("おやつ",貼り付け用!$3:$3,0)+2,FALSE)),"")</f>
        <v/>
      </c>
    </row>
    <row r="107" spans="1:23" x14ac:dyDescent="0.45">
      <c r="A107" s="22" t="str">
        <f>IF(貼り付け用!$A$6&lt;&gt;"",
IF(ROW(A106)+1&gt;=MATCH("*【合計】*", 貼り付け用!$A:$A, 0),"",
IF(貼り付け用!A107&lt;&gt;"",貼り付け用!A107,"")),
IF(ROW(A107)+1&gt;=MATCH("*【合計】*", 貼り付け用!$A:$A, 0),"",
IF(貼り付け用!A108&lt;&gt;"",貼り付け用!A108,"")))</f>
        <v>バディ筑紫野校 2号</v>
      </c>
      <c r="B107" s="45" t="str">
        <f>IF($A107&lt;&gt;"",IF(VLOOKUP($A107,貼り付け用!$A$1:$BA$300,COLUMN(),FALSE)=0,"",VLOOKUP($A107,貼り付け用!$A$1:$BA$300,COLUMN(),FALSE)),"")</f>
        <v/>
      </c>
      <c r="C107" s="45" t="str">
        <f>IF($A107&lt;&gt;"",IF(VLOOKUP($A107,貼り付け用!$A$1:$BA$300,COLUMN(),FALSE)=0,"",VLOOKUP($A107,貼り付け用!$A$1:$BA$300,COLUMN(),FALSE)),"")</f>
        <v/>
      </c>
      <c r="D107" s="45" t="str">
        <f>IF($A107&lt;&gt;"",IF(VLOOKUP($A107,貼り付け用!$A$1:$BA$300,COLUMN(),FALSE)=0,"",VLOOKUP($A107,貼り付け用!$A$1:$BA$300,COLUMN(),FALSE)),"")</f>
        <v/>
      </c>
      <c r="E107" s="45" t="str">
        <f>IF($A107&lt;&gt;"",IF(VLOOKUP($A107,貼り付け用!$A$1:$BA$300,COLUMN(),FALSE)=0,"",VLOOKUP($A107,貼り付け用!$A$1:$BA$300,COLUMN(),FALSE)),"")</f>
        <v/>
      </c>
      <c r="F107" s="45" t="str">
        <f>IF($A107&lt;&gt;"",IF(VLOOKUP($A107,貼り付け用!$A$1:$BA$300,COLUMN(),FALSE)=0,"",VLOOKUP($A107,貼り付け用!$A$1:$BA$300,COLUMN(),FALSE)),"")</f>
        <v/>
      </c>
      <c r="G107" s="45" t="str">
        <f>IF($A107&lt;&gt;"",IF(VLOOKUP($A107,貼り付け用!$A$1:$BA$300,COLUMN(),FALSE)=0,"",VLOOKUP($A107,貼り付け用!$A$1:$BA$300,COLUMN(),FALSE)),"")</f>
        <v/>
      </c>
      <c r="H107" s="45" t="str">
        <f>IF($A107&lt;&gt;"",IF(VLOOKUP($A107,貼り付け用!$A$1:$BA$300,COLUMN(),FALSE)=0,"",VLOOKUP($A107,貼り付け用!$A$1:$BA$300,COLUMN(),FALSE)),"")</f>
        <v/>
      </c>
      <c r="I107" s="45" t="str">
        <f>IF($A107&lt;&gt;"",IF(VLOOKUP($A107,貼り付け用!$A$1:$BA$300,COLUMN(),FALSE)=0,"",VLOOKUP($A107,貼り付け用!$A$1:$BA$300,COLUMN(),FALSE)),"")</f>
        <v/>
      </c>
      <c r="J107" s="45" t="str">
        <f>IF($A107&lt;&gt;"",IF(VLOOKUP($A107,貼り付け用!$A$1:$BA$300,COLUMN(),FALSE)=0,"",VLOOKUP($A107,貼り付け用!$A$1:$BA$300,COLUMN(),FALSE)),"")</f>
        <v/>
      </c>
      <c r="K107" s="45" t="str">
        <f>IF($A107&lt;&gt;"",IF(VLOOKUP($A107,貼り付け用!$A$1:$BA$300,COLUMN(),FALSE)=0,"",VLOOKUP($A107,貼り付け用!$A$1:$BA$300,COLUMN(),FALSE)),"")</f>
        <v/>
      </c>
      <c r="L107" s="45" t="str">
        <f>IF($A107&lt;&gt;"",
IF(COLUMN(貼り付け用!L107)&gt;MATCH("おやつ",貼り付け用!$3:$3,0),"",
IF(VLOOKUP($A107,貼り付け用!$A$1:$BA$300,COLUMN(),FALSE)=0,"",VLOOKUP($A107,貼り付け用!$A$1:$BA$300,COLUMN(),FALSE))),"")</f>
        <v/>
      </c>
      <c r="M107" s="45" t="str">
        <f>IF($A107&lt;&gt;"",
IF(COLUMN(貼り付け用!M107)&gt;MATCH("おやつ",貼り付け用!$3:$3,0),"",
IF(VLOOKUP($A107,貼り付け用!$A$1:$BA$300,COLUMN(),FALSE)=0,"",VLOOKUP($A107,貼り付け用!$A$1:$BA$300,COLUMN(),FALSE))),"")</f>
        <v/>
      </c>
      <c r="N107" s="45" t="str">
        <f>IF($A107&lt;&gt;"",
IF(COLUMN(貼り付け用!N107)&gt;MATCH("おやつ",貼り付け用!$3:$3,0),"",
IF(VLOOKUP($A107,貼り付け用!$A$1:$BA$300,COLUMN(),FALSE)=0,"",VLOOKUP($A107,貼り付け用!$A$1:$BA$300,COLUMN(),FALSE))),"")</f>
        <v/>
      </c>
      <c r="O107" s="45" t="str">
        <f>IF($A107&lt;&gt;"",
IF(COLUMN(貼り付け用!O107)&gt;MATCH("おやつ",貼り付け用!$3:$3,0),"",
IF(VLOOKUP($A107,貼り付け用!$A$1:$BA$300,COLUMN(),FALSE)=0,"",VLOOKUP($A107,貼り付け用!$A$1:$BA$300,COLUMN(),FALSE))),"")</f>
        <v/>
      </c>
      <c r="P107" s="45" t="str">
        <f>IF($A107&lt;&gt;"",
IF(COLUMN(貼り付け用!P107)&gt;MATCH("おやつ",貼り付け用!$3:$3,0),"",
IF(VLOOKUP($A107,貼り付け用!$A$1:$BA$300,COLUMN(),FALSE)=0,"",VLOOKUP($A107,貼り付け用!$A$1:$BA$300,COLUMN(),FALSE))),"")</f>
        <v/>
      </c>
      <c r="Q107" s="45" t="str">
        <f>IF($A107&lt;&gt;"",
IF(COLUMN(貼り付け用!Q107)&gt;MATCH("おやつ",貼り付け用!$3:$3,0),"",
IF(VLOOKUP($A107,貼り付け用!$A$1:$BA$300,COLUMN(),FALSE)=0,"",VLOOKUP($A107,貼り付け用!$A$1:$BA$300,COLUMN(),FALSE))),"")</f>
        <v/>
      </c>
      <c r="R107" s="45" t="str">
        <f>IF($A107&lt;&gt;"",
IF(COLUMN(貼り付け用!R107)&gt;MATCH("おやつ",貼り付け用!$3:$3,0),"",
IF(VLOOKUP($A107,貼り付け用!$A$1:$BA$300,COLUMN(),FALSE)=0,"",VLOOKUP($A107,貼り付け用!$A$1:$BA$300,COLUMN(),FALSE))),"")</f>
        <v/>
      </c>
      <c r="S107" s="45" t="str">
        <f>IF($A107&lt;&gt;"",
IF(COLUMN(貼り付け用!S107)&gt;MATCH("おやつ",貼り付け用!$3:$3,0),"",
IF(VLOOKUP($A107,貼り付け用!$A$1:$BA$300,COLUMN(),FALSE)=0,"",VLOOKUP($A107,貼り付け用!$A$1:$BA$300,COLUMN(),FALSE))),"")</f>
        <v/>
      </c>
      <c r="T107" s="45" t="str">
        <f>IF(COLUMN(貼り付け用!T107)&gt;MATCH("おやつ",貼り付け用!$3:$3,0),"",
IF(VLOOKUP($A107,貼り付け用!$A$1:$BA$300,COLUMN(),FALSE)=0,"",VLOOKUP($A107,貼り付け用!$A$1:$BA$300,COLUMN(),FALSE)))</f>
        <v/>
      </c>
      <c r="U107" s="24"/>
      <c r="V107" s="21" t="str">
        <f>IF(A107&lt;&gt;"",
IF(VLOOKUP($A107,貼り付け用!$A$1:$BA$300,MATCH("おやつ",貼り付け用!$3:$3,0)+1,FALSE)=0,"",VLOOKUP($A107,貼り付け用!$A$1:$BA$300,MATCH("おやつ",貼り付け用!$3:$3,0)+1,FALSE)),"")</f>
        <v/>
      </c>
      <c r="W107" s="50" t="str">
        <f>IF(A107&lt;&gt;"",
IF(VLOOKUP($A107,貼り付け用!$A$1:$BA$300,MATCH("おやつ",貼り付け用!$3:$3,0)+2,FALSE)=0,"",VLOOKUP($A107,貼り付け用!$A$1:$BA$300,MATCH("おやつ",貼り付け用!$3:$3,0)+2,FALSE)),"")</f>
        <v/>
      </c>
    </row>
    <row r="108" spans="1:23" x14ac:dyDescent="0.45">
      <c r="A108" s="10" t="str">
        <f>IF(貼り付け用!$A$6&lt;&gt;"",
IF(ROW(A107)+1&gt;=MATCH("*【合計】*", 貼り付け用!$A:$A, 0),
"",
IF(貼り付け用!A108&lt;&gt;"",貼り付け用!A108,"")),
IF(ROW(A108)+1&gt;=MATCH("*【合計】*", 貼り付け用!$A:$A, 0),
"",
IF(貼り付け用!A109&lt;&gt;"",貼り付け用!A109,"")))</f>
        <v>7010</v>
      </c>
      <c r="B108" s="50" t="str">
        <f>IF($A108&lt;&gt;"",IF(VLOOKUP($A108,貼り付け用!$A$1:$BA$300,COLUMN(),FALSE)=0,"",VLOOKUP($A108,貼り付け用!$A$1:$BA$300,COLUMN(),FALSE)),"")</f>
        <v/>
      </c>
      <c r="C108" s="50" t="str">
        <f>IF($A108&lt;&gt;"",IF(VLOOKUP($A108,貼り付け用!$A$1:$BA$300,COLUMN(),FALSE)=0,"",VLOOKUP($A108,貼り付け用!$A$1:$BA$300,COLUMN(),FALSE)),"")</f>
        <v/>
      </c>
      <c r="D108" s="50" t="str">
        <f>IF($A108&lt;&gt;"",IF(VLOOKUP($A108,貼り付け用!$A$1:$BA$300,COLUMN(),FALSE)=0,"",VLOOKUP($A108,貼り付け用!$A$1:$BA$300,COLUMN(),FALSE)),"")</f>
        <v/>
      </c>
      <c r="E108" s="50" t="str">
        <f>IF($A108&lt;&gt;"",IF(VLOOKUP($A108,貼り付け用!$A$1:$BA$300,COLUMN(),FALSE)=0,"",VLOOKUP($A108,貼り付け用!$A$1:$BA$300,COLUMN(),FALSE)),"")</f>
        <v/>
      </c>
      <c r="F108" s="50" t="str">
        <f>IF($A108&lt;&gt;"",IF(VLOOKUP($A108,貼り付け用!$A$1:$BA$300,COLUMN(),FALSE)=0,"",VLOOKUP($A108,貼り付け用!$A$1:$BA$300,COLUMN(),FALSE)),"")</f>
        <v/>
      </c>
      <c r="G108" s="50" t="str">
        <f>IF($A108&lt;&gt;"",IF(VLOOKUP($A108,貼り付け用!$A$1:$BA$300,COLUMN(),FALSE)=0,"",VLOOKUP($A108,貼り付け用!$A$1:$BA$300,COLUMN(),FALSE)),"")</f>
        <v>15</v>
      </c>
      <c r="H108" s="50" t="str">
        <f>IF($A108&lt;&gt;"",IF(VLOOKUP($A108,貼り付け用!$A$1:$BA$300,COLUMN(),FALSE)=0,"",VLOOKUP($A108,貼り付け用!$A$1:$BA$300,COLUMN(),FALSE)),"")</f>
        <v/>
      </c>
      <c r="I108" s="50" t="str">
        <f>IF($A108&lt;&gt;"",IF(VLOOKUP($A108,貼り付け用!$A$1:$BA$300,COLUMN(),FALSE)=0,"",VLOOKUP($A108,貼り付け用!$A$1:$BA$300,COLUMN(),FALSE)),"")</f>
        <v/>
      </c>
      <c r="J108" s="50" t="str">
        <f>IF($A108&lt;&gt;"",IF(VLOOKUP($A108,貼り付け用!$A$1:$BA$300,COLUMN(),FALSE)=0,"",VLOOKUP($A108,貼り付け用!$A$1:$BA$300,COLUMN(),FALSE)),"")</f>
        <v/>
      </c>
      <c r="K108" s="50" t="str">
        <f>IF($A108&lt;&gt;"",IF(VLOOKUP($A108,貼り付け用!$A$1:$BA$300,COLUMN(),FALSE)=0,"",VLOOKUP($A108,貼り付け用!$A$1:$BA$300,COLUMN(),FALSE)),"")</f>
        <v/>
      </c>
      <c r="L108" s="50" t="str">
        <f>IF($A108&lt;&gt;"",
IF(COLUMN(貼り付け用!L108)&gt;MATCH("おやつ",貼り付け用!$3:$3,0),"",
IF(VLOOKUP($A108,貼り付け用!$A$1:$BA$300,COLUMN(),FALSE)=0,"",VLOOKUP($A108,貼り付け用!$A$1:$BA$300,COLUMN(),FALSE))),"")</f>
        <v/>
      </c>
      <c r="M108" s="50" t="str">
        <f>IF($A108&lt;&gt;"",
IF(COLUMN(貼り付け用!M108)&gt;MATCH("おやつ",貼り付け用!$3:$3,0),"",
IF(VLOOKUP($A108,貼り付け用!$A$1:$BA$300,COLUMN(),FALSE)=0,"",VLOOKUP($A108,貼り付け用!$A$1:$BA$300,COLUMN(),FALSE))),"")</f>
        <v/>
      </c>
      <c r="N108" s="50" t="str">
        <f>IF($A108&lt;&gt;"",
IF(COLUMN(貼り付け用!N108)&gt;MATCH("おやつ",貼り付け用!$3:$3,0),"",
IF(VLOOKUP($A108,貼り付け用!$A$1:$BA$300,COLUMN(),FALSE)=0,"",VLOOKUP($A108,貼り付け用!$A$1:$BA$300,COLUMN(),FALSE))),"")</f>
        <v/>
      </c>
      <c r="O108" s="50" t="str">
        <f>IF($A108&lt;&gt;"",
IF(COLUMN(貼り付け用!O108)&gt;MATCH("おやつ",貼り付け用!$3:$3,0),"",
IF(VLOOKUP($A108,貼り付け用!$A$1:$BA$300,COLUMN(),FALSE)=0,"",VLOOKUP($A108,貼り付け用!$A$1:$BA$300,COLUMN(),FALSE))),"")</f>
        <v/>
      </c>
      <c r="P108" s="50" t="str">
        <f>IF($A108&lt;&gt;"",
IF(COLUMN(貼り付け用!P108)&gt;MATCH("おやつ",貼り付け用!$3:$3,0),"",
IF(VLOOKUP($A108,貼り付け用!$A$1:$BA$300,COLUMN(),FALSE)=0,"",VLOOKUP($A108,貼り付け用!$A$1:$BA$300,COLUMN(),FALSE))),"")</f>
        <v/>
      </c>
      <c r="Q108" s="50" t="str">
        <f>IF($A108&lt;&gt;"",
IF(COLUMN(貼り付け用!Q108)&gt;MATCH("おやつ",貼り付け用!$3:$3,0),"",
IF(VLOOKUP($A108,貼り付け用!$A$1:$BA$300,COLUMN(),FALSE)=0,"",VLOOKUP($A108,貼り付け用!$A$1:$BA$300,COLUMN(),FALSE))),"")</f>
        <v/>
      </c>
      <c r="R108" s="50" t="str">
        <f>IF($A108&lt;&gt;"",
IF(COLUMN(貼り付け用!R108)&gt;MATCH("おやつ",貼り付け用!$3:$3,0),"",
IF(VLOOKUP($A108,貼り付け用!$A$1:$BA$300,COLUMN(),FALSE)=0,"",VLOOKUP($A108,貼り付け用!$A$1:$BA$300,COLUMN(),FALSE))),"")</f>
        <v/>
      </c>
      <c r="S108" s="50" t="str">
        <f>IF($A108&lt;&gt;"",
IF(COLUMN(貼り付け用!S108)&gt;MATCH("おやつ",貼り付け用!$3:$3,0),"",
IF(VLOOKUP($A108,貼り付け用!$A$1:$BA$300,COLUMN(),FALSE)=0,"",VLOOKUP($A108,貼り付け用!$A$1:$BA$300,COLUMN(),FALSE))),"")</f>
        <v/>
      </c>
      <c r="T108" s="50" t="str">
        <f>IF(COLUMN(貼り付け用!T108)&gt;MATCH("おやつ",貼り付け用!$3:$3,0),"",
IF(VLOOKUP($A108,貼り付け用!$A$1:$BA$300,COLUMN(),FALSE)=0,"",VLOOKUP($A108,貼り付け用!$A$1:$BA$300,COLUMN(),FALSE)))</f>
        <v/>
      </c>
      <c r="U108" s="23"/>
      <c r="V108" s="21" t="str">
        <f>IF(A108&lt;&gt;"",
IF(VLOOKUP($A108,貼り付け用!$A$1:$BA$300,MATCH("おやつ",貼り付け用!$3:$3,0)+1,FALSE)=0,"",VLOOKUP($A108,貼り付け用!$A$1:$BA$300,MATCH("おやつ",貼り付け用!$3:$3,0)+1,FALSE)),"")</f>
        <v>ｱﾚ2</v>
      </c>
      <c r="W108" s="50" t="str">
        <f>IF(A108&lt;&gt;"",
IF(VLOOKUP($A108,貼り付け用!$A$1:$BA$300,MATCH("おやつ",貼り付け用!$3:$3,0)+2,FALSE)=0,"",VLOOKUP($A108,貼り付け用!$A$1:$BA$300,MATCH("おやつ",貼り付け用!$3:$3,0)+2,FALSE)),"")</f>
        <v/>
      </c>
    </row>
    <row r="109" spans="1:23" x14ac:dyDescent="0.45">
      <c r="A109" s="22" t="str">
        <f>IF(貼り付け用!$A$6&lt;&gt;"",
IF(ROW(A108)+1&gt;=MATCH("*【合計】*", 貼り付け用!$A:$A, 0),"",
IF(貼り付け用!A109&lt;&gt;"",貼り付け用!A109,"")),
IF(ROW(A109)+1&gt;=MATCH("*【合計】*", 貼り付け用!$A:$A, 0),"",
IF(貼り付け用!A110&lt;&gt;"",貼り付け用!A110,"")))</f>
        <v>BUDDY GSA InternationalSch web</v>
      </c>
      <c r="B109" s="45" t="str">
        <f>IF($A109&lt;&gt;"",IF(VLOOKUP($A109,貼り付け用!$A$1:$BA$300,COLUMN(),FALSE)=0,"",VLOOKUP($A109,貼り付け用!$A$1:$BA$300,COLUMN(),FALSE)),"")</f>
        <v/>
      </c>
      <c r="C109" s="45" t="str">
        <f>IF($A109&lt;&gt;"",IF(VLOOKUP($A109,貼り付け用!$A$1:$BA$300,COLUMN(),FALSE)=0,"",VLOOKUP($A109,貼り付け用!$A$1:$BA$300,COLUMN(),FALSE)),"")</f>
        <v/>
      </c>
      <c r="D109" s="45" t="str">
        <f>IF($A109&lt;&gt;"",IF(VLOOKUP($A109,貼り付け用!$A$1:$BA$300,COLUMN(),FALSE)=0,"",VLOOKUP($A109,貼り付け用!$A$1:$BA$300,COLUMN(),FALSE)),"")</f>
        <v/>
      </c>
      <c r="E109" s="45" t="str">
        <f>IF($A109&lt;&gt;"",IF(VLOOKUP($A109,貼り付け用!$A$1:$BA$300,COLUMN(),FALSE)=0,"",VLOOKUP($A109,貼り付け用!$A$1:$BA$300,COLUMN(),FALSE)),"")</f>
        <v/>
      </c>
      <c r="F109" s="45" t="str">
        <f>IF($A109&lt;&gt;"",IF(VLOOKUP($A109,貼り付け用!$A$1:$BA$300,COLUMN(),FALSE)=0,"",VLOOKUP($A109,貼り付け用!$A$1:$BA$300,COLUMN(),FALSE)),"")</f>
        <v/>
      </c>
      <c r="G109" s="45" t="str">
        <f>IF($A109&lt;&gt;"",IF(VLOOKUP($A109,貼り付け用!$A$1:$BA$300,COLUMN(),FALSE)=0,"",VLOOKUP($A109,貼り付け用!$A$1:$BA$300,COLUMN(),FALSE)),"")</f>
        <v/>
      </c>
      <c r="H109" s="45" t="str">
        <f>IF($A109&lt;&gt;"",IF(VLOOKUP($A109,貼り付け用!$A$1:$BA$300,COLUMN(),FALSE)=0,"",VLOOKUP($A109,貼り付け用!$A$1:$BA$300,COLUMN(),FALSE)),"")</f>
        <v/>
      </c>
      <c r="I109" s="45" t="str">
        <f>IF($A109&lt;&gt;"",IF(VLOOKUP($A109,貼り付け用!$A$1:$BA$300,COLUMN(),FALSE)=0,"",VLOOKUP($A109,貼り付け用!$A$1:$BA$300,COLUMN(),FALSE)),"")</f>
        <v/>
      </c>
      <c r="J109" s="45" t="str">
        <f>IF($A109&lt;&gt;"",IF(VLOOKUP($A109,貼り付け用!$A$1:$BA$300,COLUMN(),FALSE)=0,"",VLOOKUP($A109,貼り付け用!$A$1:$BA$300,COLUMN(),FALSE)),"")</f>
        <v/>
      </c>
      <c r="K109" s="45" t="str">
        <f>IF($A109&lt;&gt;"",IF(VLOOKUP($A109,貼り付け用!$A$1:$BA$300,COLUMN(),FALSE)=0,"",VLOOKUP($A109,貼り付け用!$A$1:$BA$300,COLUMN(),FALSE)),"")</f>
        <v/>
      </c>
      <c r="L109" s="45" t="str">
        <f>IF($A109&lt;&gt;"",
IF(COLUMN(貼り付け用!L109)&gt;MATCH("おやつ",貼り付け用!$3:$3,0),"",
IF(VLOOKUP($A109,貼り付け用!$A$1:$BA$300,COLUMN(),FALSE)=0,"",VLOOKUP($A109,貼り付け用!$A$1:$BA$300,COLUMN(),FALSE))),"")</f>
        <v/>
      </c>
      <c r="M109" s="45" t="str">
        <f>IF($A109&lt;&gt;"",
IF(COLUMN(貼り付け用!M109)&gt;MATCH("おやつ",貼り付け用!$3:$3,0),"",
IF(VLOOKUP($A109,貼り付け用!$A$1:$BA$300,COLUMN(),FALSE)=0,"",VLOOKUP($A109,貼り付け用!$A$1:$BA$300,COLUMN(),FALSE))),"")</f>
        <v/>
      </c>
      <c r="N109" s="45" t="str">
        <f>IF($A109&lt;&gt;"",
IF(COLUMN(貼り付け用!N109)&gt;MATCH("おやつ",貼り付け用!$3:$3,0),"",
IF(VLOOKUP($A109,貼り付け用!$A$1:$BA$300,COLUMN(),FALSE)=0,"",VLOOKUP($A109,貼り付け用!$A$1:$BA$300,COLUMN(),FALSE))),"")</f>
        <v/>
      </c>
      <c r="O109" s="45" t="str">
        <f>IF($A109&lt;&gt;"",
IF(COLUMN(貼り付け用!O109)&gt;MATCH("おやつ",貼り付け用!$3:$3,0),"",
IF(VLOOKUP($A109,貼り付け用!$A$1:$BA$300,COLUMN(),FALSE)=0,"",VLOOKUP($A109,貼り付け用!$A$1:$BA$300,COLUMN(),FALSE))),"")</f>
        <v/>
      </c>
      <c r="P109" s="45" t="str">
        <f>IF($A109&lt;&gt;"",
IF(COLUMN(貼り付け用!P109)&gt;MATCH("おやつ",貼り付け用!$3:$3,0),"",
IF(VLOOKUP($A109,貼り付け用!$A$1:$BA$300,COLUMN(),FALSE)=0,"",VLOOKUP($A109,貼り付け用!$A$1:$BA$300,COLUMN(),FALSE))),"")</f>
        <v/>
      </c>
      <c r="Q109" s="45" t="str">
        <f>IF($A109&lt;&gt;"",
IF(COLUMN(貼り付け用!Q109)&gt;MATCH("おやつ",貼り付け用!$3:$3,0),"",
IF(VLOOKUP($A109,貼り付け用!$A$1:$BA$300,COLUMN(),FALSE)=0,"",VLOOKUP($A109,貼り付け用!$A$1:$BA$300,COLUMN(),FALSE))),"")</f>
        <v/>
      </c>
      <c r="R109" s="45" t="str">
        <f>IF($A109&lt;&gt;"",
IF(COLUMN(貼り付け用!R109)&gt;MATCH("おやつ",貼り付け用!$3:$3,0),"",
IF(VLOOKUP($A109,貼り付け用!$A$1:$BA$300,COLUMN(),FALSE)=0,"",VLOOKUP($A109,貼り付け用!$A$1:$BA$300,COLUMN(),FALSE))),"")</f>
        <v/>
      </c>
      <c r="S109" s="45" t="str">
        <f>IF($A109&lt;&gt;"",
IF(COLUMN(貼り付け用!S109)&gt;MATCH("おやつ",貼り付け用!$3:$3,0),"",
IF(VLOOKUP($A109,貼り付け用!$A$1:$BA$300,COLUMN(),FALSE)=0,"",VLOOKUP($A109,貼り付け用!$A$1:$BA$300,COLUMN(),FALSE))),"")</f>
        <v/>
      </c>
      <c r="T109" s="45" t="str">
        <f>IF(COLUMN(貼り付け用!T109)&gt;MATCH("おやつ",貼り付け用!$3:$3,0),"",
IF(VLOOKUP($A109,貼り付け用!$A$1:$BA$300,COLUMN(),FALSE)=0,"",VLOOKUP($A109,貼り付け用!$A$1:$BA$300,COLUMN(),FALSE)))</f>
        <v/>
      </c>
      <c r="U109" s="24"/>
      <c r="V109" s="21" t="str">
        <f>IF(A109&lt;&gt;"",
IF(VLOOKUP($A109,貼り付け用!$A$1:$BA$300,MATCH("おやつ",貼り付け用!$3:$3,0)+1,FALSE)=0,"",VLOOKUP($A109,貼り付け用!$A$1:$BA$300,MATCH("おやつ",貼り付け用!$3:$3,0)+1,FALSE)),"")</f>
        <v/>
      </c>
      <c r="W109" s="50" t="str">
        <f>IF(A109&lt;&gt;"",
IF(VLOOKUP($A109,貼り付け用!$A$1:$BA$300,MATCH("おやつ",貼り付け用!$3:$3,0)+2,FALSE)=0,"",VLOOKUP($A109,貼り付け用!$A$1:$BA$300,MATCH("おやつ",貼り付け用!$3:$3,0)+2,FALSE)),"")</f>
        <v/>
      </c>
    </row>
    <row r="110" spans="1:23" x14ac:dyDescent="0.45">
      <c r="A110" s="10" t="str">
        <f>IF(貼り付け用!$A$6&lt;&gt;"",
IF(ROW(A109)+1&gt;=MATCH("*【合計】*", 貼り付け用!$A:$A, 0),
"",
IF(貼り付け用!A110&lt;&gt;"",貼り付け用!A110,"")),
IF(ROW(A110)+1&gt;=MATCH("*【合計】*", 貼り付け用!$A:$A, 0),
"",
IF(貼り付け用!A111&lt;&gt;"",貼り付け用!A111,"")))</f>
        <v>20400</v>
      </c>
      <c r="B110" s="50" t="str">
        <f>IF($A110&lt;&gt;"",IF(VLOOKUP($A110,貼り付け用!$A$1:$BA$300,COLUMN(),FALSE)=0,"",VLOOKUP($A110,貼り付け用!$A$1:$BA$300,COLUMN(),FALSE)),"")</f>
        <v/>
      </c>
      <c r="C110" s="50" t="str">
        <f>IF($A110&lt;&gt;"",IF(VLOOKUP($A110,貼り付け用!$A$1:$BA$300,COLUMN(),FALSE)=0,"",VLOOKUP($A110,貼り付け用!$A$1:$BA$300,COLUMN(),FALSE)),"")</f>
        <v/>
      </c>
      <c r="D110" s="50" t="str">
        <f>IF($A110&lt;&gt;"",IF(VLOOKUP($A110,貼り付け用!$A$1:$BA$300,COLUMN(),FALSE)=0,"",VLOOKUP($A110,貼り付け用!$A$1:$BA$300,COLUMN(),FALSE)),"")</f>
        <v/>
      </c>
      <c r="E110" s="50" t="str">
        <f>IF($A110&lt;&gt;"",IF(VLOOKUP($A110,貼り付け用!$A$1:$BA$300,COLUMN(),FALSE)=0,"",VLOOKUP($A110,貼り付け用!$A$1:$BA$300,COLUMN(),FALSE)),"")</f>
        <v/>
      </c>
      <c r="F110" s="50" t="str">
        <f>IF($A110&lt;&gt;"",IF(VLOOKUP($A110,貼り付け用!$A$1:$BA$300,COLUMN(),FALSE)=0,"",VLOOKUP($A110,貼り付け用!$A$1:$BA$300,COLUMN(),FALSE)),"")</f>
        <v/>
      </c>
      <c r="G110" s="50" t="str">
        <f>IF($A110&lt;&gt;"",IF(VLOOKUP($A110,貼り付け用!$A$1:$BA$300,COLUMN(),FALSE)=0,"",VLOOKUP($A110,貼り付け用!$A$1:$BA$300,COLUMN(),FALSE)),"")</f>
        <v/>
      </c>
      <c r="H110" s="50" t="str">
        <f>IF($A110&lt;&gt;"",IF(VLOOKUP($A110,貼り付け用!$A$1:$BA$300,COLUMN(),FALSE)=0,"",VLOOKUP($A110,貼り付け用!$A$1:$BA$300,COLUMN(),FALSE)),"")</f>
        <v/>
      </c>
      <c r="I110" s="50" t="str">
        <f>IF($A110&lt;&gt;"",IF(VLOOKUP($A110,貼り付け用!$A$1:$BA$300,COLUMN(),FALSE)=0,"",VLOOKUP($A110,貼り付け用!$A$1:$BA$300,COLUMN(),FALSE)),"")</f>
        <v/>
      </c>
      <c r="J110" s="50" t="str">
        <f>IF($A110&lt;&gt;"",IF(VLOOKUP($A110,貼り付け用!$A$1:$BA$300,COLUMN(),FALSE)=0,"",VLOOKUP($A110,貼り付け用!$A$1:$BA$300,COLUMN(),FALSE)),"")</f>
        <v/>
      </c>
      <c r="K110" s="50" t="str">
        <f>IF($A110&lt;&gt;"",IF(VLOOKUP($A110,貼り付け用!$A$1:$BA$300,COLUMN(),FALSE)=0,"",VLOOKUP($A110,貼り付け用!$A$1:$BA$300,COLUMN(),FALSE)),"")</f>
        <v/>
      </c>
      <c r="L110" s="50" t="str">
        <f>IF($A110&lt;&gt;"",
IF(COLUMN(貼り付け用!L110)&gt;MATCH("おやつ",貼り付け用!$3:$3,0),"",
IF(VLOOKUP($A110,貼り付け用!$A$1:$BA$300,COLUMN(),FALSE)=0,"",VLOOKUP($A110,貼り付け用!$A$1:$BA$300,COLUMN(),FALSE))),"")</f>
        <v/>
      </c>
      <c r="M110" s="50" t="str">
        <f>IF($A110&lt;&gt;"",
IF(COLUMN(貼り付け用!M110)&gt;MATCH("おやつ",貼り付け用!$3:$3,0),"",
IF(VLOOKUP($A110,貼り付け用!$A$1:$BA$300,COLUMN(),FALSE)=0,"",VLOOKUP($A110,貼り付け用!$A$1:$BA$300,COLUMN(),FALSE))),"")</f>
        <v/>
      </c>
      <c r="N110" s="50" t="str">
        <f>IF($A110&lt;&gt;"",
IF(COLUMN(貼り付け用!N110)&gt;MATCH("おやつ",貼り付け用!$3:$3,0),"",
IF(VLOOKUP($A110,貼り付け用!$A$1:$BA$300,COLUMN(),FALSE)=0,"",VLOOKUP($A110,貼り付け用!$A$1:$BA$300,COLUMN(),FALSE))),"")</f>
        <v/>
      </c>
      <c r="O110" s="50" t="str">
        <f>IF($A110&lt;&gt;"",
IF(COLUMN(貼り付け用!O110)&gt;MATCH("おやつ",貼り付け用!$3:$3,0),"",
IF(VLOOKUP($A110,貼り付け用!$A$1:$BA$300,COLUMN(),FALSE)=0,"",VLOOKUP($A110,貼り付け用!$A$1:$BA$300,COLUMN(),FALSE))),"")</f>
        <v/>
      </c>
      <c r="P110" s="50" t="str">
        <f>IF($A110&lt;&gt;"",
IF(COLUMN(貼り付け用!P110)&gt;MATCH("おやつ",貼り付け用!$3:$3,0),"",
IF(VLOOKUP($A110,貼り付け用!$A$1:$BA$300,COLUMN(),FALSE)=0,"",VLOOKUP($A110,貼り付け用!$A$1:$BA$300,COLUMN(),FALSE))),"")</f>
        <v/>
      </c>
      <c r="Q110" s="50" t="str">
        <f>IF($A110&lt;&gt;"",
IF(COLUMN(貼り付け用!Q110)&gt;MATCH("おやつ",貼り付け用!$3:$3,0),"",
IF(VLOOKUP($A110,貼り付け用!$A$1:$BA$300,COLUMN(),FALSE)=0,"",VLOOKUP($A110,貼り付け用!$A$1:$BA$300,COLUMN(),FALSE))),"")</f>
        <v/>
      </c>
      <c r="R110" s="50" t="str">
        <f>IF($A110&lt;&gt;"",
IF(COLUMN(貼り付け用!R110)&gt;MATCH("おやつ",貼り付け用!$3:$3,0),"",
IF(VLOOKUP($A110,貼り付け用!$A$1:$BA$300,COLUMN(),FALSE)=0,"",VLOOKUP($A110,貼り付け用!$A$1:$BA$300,COLUMN(),FALSE))),"")</f>
        <v/>
      </c>
      <c r="S110" s="50" t="str">
        <f>IF($A110&lt;&gt;"",
IF(COLUMN(貼り付け用!S110)&gt;MATCH("おやつ",貼り付け用!$3:$3,0),"",
IF(VLOOKUP($A110,貼り付け用!$A$1:$BA$300,COLUMN(),FALSE)=0,"",VLOOKUP($A110,貼り付け用!$A$1:$BA$300,COLUMN(),FALSE))),"")</f>
        <v/>
      </c>
      <c r="T110" s="50" t="str">
        <f>IF(COLUMN(貼り付け用!T110)&gt;MATCH("おやつ",貼り付け用!$3:$3,0),"",
IF(VLOOKUP($A110,貼り付け用!$A$1:$BA$300,COLUMN(),FALSE)=0,"",VLOOKUP($A110,貼り付け用!$A$1:$BA$300,COLUMN(),FALSE)))</f>
        <v/>
      </c>
      <c r="U110" s="23"/>
      <c r="V110" s="21" t="str">
        <f>IF(A110&lt;&gt;"",
IF(VLOOKUP($A110,貼り付け用!$A$1:$BA$300,MATCH("おやつ",貼り付け用!$3:$3,0)+1,FALSE)=0,"",VLOOKUP($A110,貼り付け用!$A$1:$BA$300,MATCH("おやつ",貼り付け用!$3:$3,0)+1,FALSE)),"")</f>
        <v/>
      </c>
      <c r="W110" s="50" t="str">
        <f>IF(A110&lt;&gt;"",
IF(VLOOKUP($A110,貼り付け用!$A$1:$BA$300,MATCH("おやつ",貼り付け用!$3:$3,0)+2,FALSE)=0,"",VLOOKUP($A110,貼り付け用!$A$1:$BA$300,MATCH("おやつ",貼り付け用!$3:$3,0)+2,FALSE)),"")</f>
        <v/>
      </c>
    </row>
    <row r="111" spans="1:23" x14ac:dyDescent="0.45">
      <c r="A111" s="22" t="str">
        <f>IF(貼り付け用!$A$6&lt;&gt;"",
IF(ROW(A110)+1&gt;=MATCH("*【合計】*", 貼り付け用!$A:$A, 0),"",
IF(貼り付け用!A111&lt;&gt;"",貼り付け用!A111,"")),
IF(ROW(A111)+1&gt;=MATCH("*【合計】*", 貼り付け用!$A:$A, 0),"",
IF(貼り付け用!A112&lt;&gt;"",貼り付け用!A112,"")))</f>
        <v>アンクラス</v>
      </c>
      <c r="B111" s="45" t="str">
        <f>IF($A111&lt;&gt;"",IF(VLOOKUP($A111,貼り付け用!$A$1:$BA$300,COLUMN(),FALSE)=0,"",VLOOKUP($A111,貼り付け用!$A$1:$BA$300,COLUMN(),FALSE)),"")</f>
        <v/>
      </c>
      <c r="C111" s="45" t="str">
        <f>IF($A111&lt;&gt;"",IF(VLOOKUP($A111,貼り付け用!$A$1:$BA$300,COLUMN(),FALSE)=0,"",VLOOKUP($A111,貼り付け用!$A$1:$BA$300,COLUMN(),FALSE)),"")</f>
        <v/>
      </c>
      <c r="D111" s="45" t="str">
        <f>IF($A111&lt;&gt;"",IF(VLOOKUP($A111,貼り付け用!$A$1:$BA$300,COLUMN(),FALSE)=0,"",VLOOKUP($A111,貼り付け用!$A$1:$BA$300,COLUMN(),FALSE)),"")</f>
        <v/>
      </c>
      <c r="E111" s="45" t="str">
        <f>IF($A111&lt;&gt;"",IF(VLOOKUP($A111,貼り付け用!$A$1:$BA$300,COLUMN(),FALSE)=0,"",VLOOKUP($A111,貼り付け用!$A$1:$BA$300,COLUMN(),FALSE)),"")</f>
        <v/>
      </c>
      <c r="F111" s="45" t="str">
        <f>IF($A111&lt;&gt;"",IF(VLOOKUP($A111,貼り付け用!$A$1:$BA$300,COLUMN(),FALSE)=0,"",VLOOKUP($A111,貼り付け用!$A$1:$BA$300,COLUMN(),FALSE)),"")</f>
        <v/>
      </c>
      <c r="G111" s="45" t="str">
        <f>IF($A111&lt;&gt;"",IF(VLOOKUP($A111,貼り付け用!$A$1:$BA$300,COLUMN(),FALSE)=0,"",VLOOKUP($A111,貼り付け用!$A$1:$BA$300,COLUMN(),FALSE)),"")</f>
        <v>19</v>
      </c>
      <c r="H111" s="45" t="str">
        <f>IF($A111&lt;&gt;"",IF(VLOOKUP($A111,貼り付け用!$A$1:$BA$300,COLUMN(),FALSE)=0,"",VLOOKUP($A111,貼り付け用!$A$1:$BA$300,COLUMN(),FALSE)),"")</f>
        <v/>
      </c>
      <c r="I111" s="45" t="str">
        <f>IF($A111&lt;&gt;"",IF(VLOOKUP($A111,貼り付け用!$A$1:$BA$300,COLUMN(),FALSE)=0,"",VLOOKUP($A111,貼り付け用!$A$1:$BA$300,COLUMN(),FALSE)),"")</f>
        <v/>
      </c>
      <c r="J111" s="45" t="str">
        <f>IF($A111&lt;&gt;"",IF(VLOOKUP($A111,貼り付け用!$A$1:$BA$300,COLUMN(),FALSE)=0,"",VLOOKUP($A111,貼り付け用!$A$1:$BA$300,COLUMN(),FALSE)),"")</f>
        <v/>
      </c>
      <c r="K111" s="45" t="str">
        <f>IF($A111&lt;&gt;"",IF(VLOOKUP($A111,貼り付け用!$A$1:$BA$300,COLUMN(),FALSE)=0,"",VLOOKUP($A111,貼り付け用!$A$1:$BA$300,COLUMN(),FALSE)),"")</f>
        <v/>
      </c>
      <c r="L111" s="45" t="str">
        <f>IF($A111&lt;&gt;"",
IF(COLUMN(貼り付け用!L111)&gt;MATCH("おやつ",貼り付け用!$3:$3,0),"",
IF(VLOOKUP($A111,貼り付け用!$A$1:$BA$300,COLUMN(),FALSE)=0,"",VLOOKUP($A111,貼り付け用!$A$1:$BA$300,COLUMN(),FALSE))),"")</f>
        <v/>
      </c>
      <c r="M111" s="45" t="str">
        <f>IF($A111&lt;&gt;"",
IF(COLUMN(貼り付け用!M111)&gt;MATCH("おやつ",貼り付け用!$3:$3,0),"",
IF(VLOOKUP($A111,貼り付け用!$A$1:$BA$300,COLUMN(),FALSE)=0,"",VLOOKUP($A111,貼り付け用!$A$1:$BA$300,COLUMN(),FALSE))),"")</f>
        <v/>
      </c>
      <c r="N111" s="45" t="str">
        <f>IF($A111&lt;&gt;"",
IF(COLUMN(貼り付け用!N111)&gt;MATCH("おやつ",貼り付け用!$3:$3,0),"",
IF(VLOOKUP($A111,貼り付け用!$A$1:$BA$300,COLUMN(),FALSE)=0,"",VLOOKUP($A111,貼り付け用!$A$1:$BA$300,COLUMN(),FALSE))),"")</f>
        <v/>
      </c>
      <c r="O111" s="45" t="str">
        <f>IF($A111&lt;&gt;"",
IF(COLUMN(貼り付け用!O111)&gt;MATCH("おやつ",貼り付け用!$3:$3,0),"",
IF(VLOOKUP($A111,貼り付け用!$A$1:$BA$300,COLUMN(),FALSE)=0,"",VLOOKUP($A111,貼り付け用!$A$1:$BA$300,COLUMN(),FALSE))),"")</f>
        <v/>
      </c>
      <c r="P111" s="45" t="str">
        <f>IF($A111&lt;&gt;"",
IF(COLUMN(貼り付け用!P111)&gt;MATCH("おやつ",貼り付け用!$3:$3,0),"",
IF(VLOOKUP($A111,貼り付け用!$A$1:$BA$300,COLUMN(),FALSE)=0,"",VLOOKUP($A111,貼り付け用!$A$1:$BA$300,COLUMN(),FALSE))),"")</f>
        <v/>
      </c>
      <c r="Q111" s="45" t="str">
        <f>IF($A111&lt;&gt;"",
IF(COLUMN(貼り付け用!Q111)&gt;MATCH("おやつ",貼り付け用!$3:$3,0),"",
IF(VLOOKUP($A111,貼り付け用!$A$1:$BA$300,COLUMN(),FALSE)=0,"",VLOOKUP($A111,貼り付け用!$A$1:$BA$300,COLUMN(),FALSE))),"")</f>
        <v/>
      </c>
      <c r="R111" s="45" t="str">
        <f>IF($A111&lt;&gt;"",
IF(COLUMN(貼り付け用!R111)&gt;MATCH("おやつ",貼り付け用!$3:$3,0),"",
IF(VLOOKUP($A111,貼り付け用!$A$1:$BA$300,COLUMN(),FALSE)=0,"",VLOOKUP($A111,貼り付け用!$A$1:$BA$300,COLUMN(),FALSE))),"")</f>
        <v/>
      </c>
      <c r="S111" s="45" t="str">
        <f>IF($A111&lt;&gt;"",
IF(COLUMN(貼り付け用!S111)&gt;MATCH("おやつ",貼り付け用!$3:$3,0),"",
IF(VLOOKUP($A111,貼り付け用!$A$1:$BA$300,COLUMN(),FALSE)=0,"",VLOOKUP($A111,貼り付け用!$A$1:$BA$300,COLUMN(),FALSE))),"")</f>
        <v/>
      </c>
      <c r="T111" s="45" t="str">
        <f>IF(COLUMN(貼り付け用!T111)&gt;MATCH("おやつ",貼り付け用!$3:$3,0),"",
IF(VLOOKUP($A111,貼り付け用!$A$1:$BA$300,COLUMN(),FALSE)=0,"",VLOOKUP($A111,貼り付け用!$A$1:$BA$300,COLUMN(),FALSE)))</f>
        <v/>
      </c>
      <c r="U111" s="24"/>
      <c r="V111" s="21" t="str">
        <f>IF(A111&lt;&gt;"",
IF(VLOOKUP($A111,貼り付け用!$A$1:$BA$300,MATCH("おやつ",貼り付け用!$3:$3,0)+1,FALSE)=0,"",VLOOKUP($A111,貼り付け用!$A$1:$BA$300,MATCH("おやつ",貼り付け用!$3:$3,0)+1,FALSE)),"")</f>
        <v/>
      </c>
      <c r="W111" s="50" t="str">
        <f>IF(A111&lt;&gt;"",
IF(VLOOKUP($A111,貼り付け用!$A$1:$BA$300,MATCH("おやつ",貼り付け用!$3:$3,0)+2,FALSE)=0,"",VLOOKUP($A111,貼り付け用!$A$1:$BA$300,MATCH("おやつ",貼り付け用!$3:$3,0)+2,FALSE)),"")</f>
        <v/>
      </c>
    </row>
    <row r="112" spans="1:23" x14ac:dyDescent="0.45">
      <c r="A112" s="10" t="str">
        <f>IF(貼り付け用!$A$6&lt;&gt;"",
IF(ROW(A111)+1&gt;=MATCH("*【合計】*", 貼り付け用!$A:$A, 0),
"",
IF(貼り付け用!A112&lt;&gt;"",貼り付け用!A112,"")),
IF(ROW(A112)+1&gt;=MATCH("*【合計】*", 貼り付け用!$A:$A, 0),
"",
IF(貼り付け用!A113&lt;&gt;"",貼り付け用!A113,"")))</f>
        <v>4700</v>
      </c>
      <c r="B112" s="50" t="str">
        <f>IF($A112&lt;&gt;"",IF(VLOOKUP($A112,貼り付け用!$A$1:$BA$300,COLUMN(),FALSE)=0,"",VLOOKUP($A112,貼り付け用!$A$1:$BA$300,COLUMN(),FALSE)),"")</f>
        <v/>
      </c>
      <c r="C112" s="50" t="str">
        <f>IF($A112&lt;&gt;"",IF(VLOOKUP($A112,貼り付け用!$A$1:$BA$300,COLUMN(),FALSE)=0,"",VLOOKUP($A112,貼り付け用!$A$1:$BA$300,COLUMN(),FALSE)),"")</f>
        <v/>
      </c>
      <c r="D112" s="50" t="str">
        <f>IF($A112&lt;&gt;"",IF(VLOOKUP($A112,貼り付け用!$A$1:$BA$300,COLUMN(),FALSE)=0,"",VLOOKUP($A112,貼り付け用!$A$1:$BA$300,COLUMN(),FALSE)),"")</f>
        <v/>
      </c>
      <c r="E112" s="50" t="str">
        <f>IF($A112&lt;&gt;"",IF(VLOOKUP($A112,貼り付け用!$A$1:$BA$300,COLUMN(),FALSE)=0,"",VLOOKUP($A112,貼り付け用!$A$1:$BA$300,COLUMN(),FALSE)),"")</f>
        <v/>
      </c>
      <c r="F112" s="50" t="str">
        <f>IF($A112&lt;&gt;"",IF(VLOOKUP($A112,貼り付け用!$A$1:$BA$300,COLUMN(),FALSE)=0,"",VLOOKUP($A112,貼り付け用!$A$1:$BA$300,COLUMN(),FALSE)),"")</f>
        <v/>
      </c>
      <c r="G112" s="50" t="str">
        <f>IF($A112&lt;&gt;"",IF(VLOOKUP($A112,貼り付け用!$A$1:$BA$300,COLUMN(),FALSE)=0,"",VLOOKUP($A112,貼り付け用!$A$1:$BA$300,COLUMN(),FALSE)),"")</f>
        <v/>
      </c>
      <c r="H112" s="50" t="str">
        <f>IF($A112&lt;&gt;"",IF(VLOOKUP($A112,貼り付け用!$A$1:$BA$300,COLUMN(),FALSE)=0,"",VLOOKUP($A112,貼り付け用!$A$1:$BA$300,COLUMN(),FALSE)),"")</f>
        <v/>
      </c>
      <c r="I112" s="50" t="str">
        <f>IF($A112&lt;&gt;"",IF(VLOOKUP($A112,貼り付け用!$A$1:$BA$300,COLUMN(),FALSE)=0,"",VLOOKUP($A112,貼り付け用!$A$1:$BA$300,COLUMN(),FALSE)),"")</f>
        <v/>
      </c>
      <c r="J112" s="50" t="str">
        <f>IF($A112&lt;&gt;"",IF(VLOOKUP($A112,貼り付け用!$A$1:$BA$300,COLUMN(),FALSE)=0,"",VLOOKUP($A112,貼り付け用!$A$1:$BA$300,COLUMN(),FALSE)),"")</f>
        <v/>
      </c>
      <c r="K112" s="50" t="str">
        <f>IF($A112&lt;&gt;"",IF(VLOOKUP($A112,貼り付け用!$A$1:$BA$300,COLUMN(),FALSE)=0,"",VLOOKUP($A112,貼り付け用!$A$1:$BA$300,COLUMN(),FALSE)),"")</f>
        <v/>
      </c>
      <c r="L112" s="50" t="str">
        <f>IF($A112&lt;&gt;"",
IF(COLUMN(貼り付け用!L112)&gt;MATCH("おやつ",貼り付け用!$3:$3,0),"",
IF(VLOOKUP($A112,貼り付け用!$A$1:$BA$300,COLUMN(),FALSE)=0,"",VLOOKUP($A112,貼り付け用!$A$1:$BA$300,COLUMN(),FALSE))),"")</f>
        <v/>
      </c>
      <c r="M112" s="50" t="str">
        <f>IF($A112&lt;&gt;"",
IF(COLUMN(貼り付け用!M112)&gt;MATCH("おやつ",貼り付け用!$3:$3,0),"",
IF(VLOOKUP($A112,貼り付け用!$A$1:$BA$300,COLUMN(),FALSE)=0,"",VLOOKUP($A112,貼り付け用!$A$1:$BA$300,COLUMN(),FALSE))),"")</f>
        <v/>
      </c>
      <c r="N112" s="50" t="str">
        <f>IF($A112&lt;&gt;"",
IF(COLUMN(貼り付け用!N112)&gt;MATCH("おやつ",貼り付け用!$3:$3,0),"",
IF(VLOOKUP($A112,貼り付け用!$A$1:$BA$300,COLUMN(),FALSE)=0,"",VLOOKUP($A112,貼り付け用!$A$1:$BA$300,COLUMN(),FALSE))),"")</f>
        <v/>
      </c>
      <c r="O112" s="50" t="str">
        <f>IF($A112&lt;&gt;"",
IF(COLUMN(貼り付け用!O112)&gt;MATCH("おやつ",貼り付け用!$3:$3,0),"",
IF(VLOOKUP($A112,貼り付け用!$A$1:$BA$300,COLUMN(),FALSE)=0,"",VLOOKUP($A112,貼り付け用!$A$1:$BA$300,COLUMN(),FALSE))),"")</f>
        <v/>
      </c>
      <c r="P112" s="50" t="str">
        <f>IF($A112&lt;&gt;"",
IF(COLUMN(貼り付け用!P112)&gt;MATCH("おやつ",貼り付け用!$3:$3,0),"",
IF(VLOOKUP($A112,貼り付け用!$A$1:$BA$300,COLUMN(),FALSE)=0,"",VLOOKUP($A112,貼り付け用!$A$1:$BA$300,COLUMN(),FALSE))),"")</f>
        <v/>
      </c>
      <c r="Q112" s="50" t="str">
        <f>IF($A112&lt;&gt;"",
IF(COLUMN(貼り付け用!Q112)&gt;MATCH("おやつ",貼り付け用!$3:$3,0),"",
IF(VLOOKUP($A112,貼り付け用!$A$1:$BA$300,COLUMN(),FALSE)=0,"",VLOOKUP($A112,貼り付け用!$A$1:$BA$300,COLUMN(),FALSE))),"")</f>
        <v/>
      </c>
      <c r="R112" s="50" t="str">
        <f>IF($A112&lt;&gt;"",
IF(COLUMN(貼り付け用!R112)&gt;MATCH("おやつ",貼り付け用!$3:$3,0),"",
IF(VLOOKUP($A112,貼り付け用!$A$1:$BA$300,COLUMN(),FALSE)=0,"",VLOOKUP($A112,貼り付け用!$A$1:$BA$300,COLUMN(),FALSE))),"")</f>
        <v/>
      </c>
      <c r="S112" s="50" t="str">
        <f>IF($A112&lt;&gt;"",
IF(COLUMN(貼り付け用!S112)&gt;MATCH("おやつ",貼り付け用!$3:$3,0),"",
IF(VLOOKUP($A112,貼り付け用!$A$1:$BA$300,COLUMN(),FALSE)=0,"",VLOOKUP($A112,貼り付け用!$A$1:$BA$300,COLUMN(),FALSE))),"")</f>
        <v/>
      </c>
      <c r="T112" s="50" t="str">
        <f>IF(COLUMN(貼り付け用!T112)&gt;MATCH("おやつ",貼り付け用!$3:$3,0),"",
IF(VLOOKUP($A112,貼り付け用!$A$1:$BA$300,COLUMN(),FALSE)=0,"",VLOOKUP($A112,貼り付け用!$A$1:$BA$300,COLUMN(),FALSE)))</f>
        <v/>
      </c>
      <c r="U112" s="23"/>
      <c r="V112" s="21" t="str">
        <f>IF(A112&lt;&gt;"",
IF(VLOOKUP($A112,貼り付け用!$A$1:$BA$300,MATCH("おやつ",貼り付け用!$3:$3,0)+1,FALSE)=0,"",VLOOKUP($A112,貼り付け用!$A$1:$BA$300,MATCH("おやつ",貼り付け用!$3:$3,0)+1,FALSE)),"")</f>
        <v>新日本15/ニシム電子5</v>
      </c>
      <c r="W112" s="50" t="str">
        <f>IF(A112&lt;&gt;"",
IF(VLOOKUP($A112,貼り付け用!$A$1:$BA$300,MATCH("おやつ",貼り付け用!$3:$3,0)+2,FALSE)=0,"",VLOOKUP($A112,貼り付け用!$A$1:$BA$300,MATCH("おやつ",貼り付け用!$3:$3,0)+2,FALSE)),"")</f>
        <v/>
      </c>
    </row>
    <row r="113" spans="1:23" x14ac:dyDescent="0.45">
      <c r="A113" s="22" t="str">
        <f>IF(貼り付け用!$A$6&lt;&gt;"",
IF(ROW(A112)+1&gt;=MATCH("*【合計】*", 貼り付け用!$A:$A, 0),"",
IF(貼り付け用!A113&lt;&gt;"",貼り付け用!A113,"")),
IF(ROW(A113)+1&gt;=MATCH("*【合計】*", 貼り付け用!$A:$A, 0),"",
IF(貼り付け用!A114&lt;&gt;"",貼り付け用!A114,"")))</f>
        <v>はたなか</v>
      </c>
      <c r="B113" s="45" t="str">
        <f>IF($A113&lt;&gt;"",IF(VLOOKUP($A113,貼り付け用!$A$1:$BA$300,COLUMN(),FALSE)=0,"",VLOOKUP($A113,貼り付け用!$A$1:$BA$300,COLUMN(),FALSE)),"")</f>
        <v/>
      </c>
      <c r="C113" s="45" t="str">
        <f>IF($A113&lt;&gt;"",IF(VLOOKUP($A113,貼り付け用!$A$1:$BA$300,COLUMN(),FALSE)=0,"",VLOOKUP($A113,貼り付け用!$A$1:$BA$300,COLUMN(),FALSE)),"")</f>
        <v/>
      </c>
      <c r="D113" s="45" t="str">
        <f>IF($A113&lt;&gt;"",IF(VLOOKUP($A113,貼り付け用!$A$1:$BA$300,COLUMN(),FALSE)=0,"",VLOOKUP($A113,貼り付け用!$A$1:$BA$300,COLUMN(),FALSE)),"")</f>
        <v/>
      </c>
      <c r="E113" s="45" t="str">
        <f>IF($A113&lt;&gt;"",IF(VLOOKUP($A113,貼り付け用!$A$1:$BA$300,COLUMN(),FALSE)=0,"",VLOOKUP($A113,貼り付け用!$A$1:$BA$300,COLUMN(),FALSE)),"")</f>
        <v/>
      </c>
      <c r="F113" s="45" t="str">
        <f>IF($A113&lt;&gt;"",IF(VLOOKUP($A113,貼り付け用!$A$1:$BA$300,COLUMN(),FALSE)=0,"",VLOOKUP($A113,貼り付け用!$A$1:$BA$300,COLUMN(),FALSE)),"")</f>
        <v/>
      </c>
      <c r="G113" s="45" t="str">
        <f>IF($A113&lt;&gt;"",IF(VLOOKUP($A113,貼り付け用!$A$1:$BA$300,COLUMN(),FALSE)=0,"",VLOOKUP($A113,貼り付け用!$A$1:$BA$300,COLUMN(),FALSE)),"")</f>
        <v/>
      </c>
      <c r="H113" s="45" t="str">
        <f>IF($A113&lt;&gt;"",IF(VLOOKUP($A113,貼り付け用!$A$1:$BA$300,COLUMN(),FALSE)=0,"",VLOOKUP($A113,貼り付け用!$A$1:$BA$300,COLUMN(),FALSE)),"")</f>
        <v/>
      </c>
      <c r="I113" s="45" t="str">
        <f>IF($A113&lt;&gt;"",IF(VLOOKUP($A113,貼り付け用!$A$1:$BA$300,COLUMN(),FALSE)=0,"",VLOOKUP($A113,貼り付け用!$A$1:$BA$300,COLUMN(),FALSE)),"")</f>
        <v/>
      </c>
      <c r="J113" s="45" t="str">
        <f>IF($A113&lt;&gt;"",IF(VLOOKUP($A113,貼り付け用!$A$1:$BA$300,COLUMN(),FALSE)=0,"",VLOOKUP($A113,貼り付け用!$A$1:$BA$300,COLUMN(),FALSE)),"")</f>
        <v/>
      </c>
      <c r="K113" s="45" t="str">
        <f>IF($A113&lt;&gt;"",IF(VLOOKUP($A113,貼り付け用!$A$1:$BA$300,COLUMN(),FALSE)=0,"",VLOOKUP($A113,貼り付け用!$A$1:$BA$300,COLUMN(),FALSE)),"")</f>
        <v>20</v>
      </c>
      <c r="L113" s="45" t="str">
        <f>IF($A113&lt;&gt;"",
IF(COLUMN(貼り付け用!L113)&gt;MATCH("おやつ",貼り付け用!$3:$3,0),"",
IF(VLOOKUP($A113,貼り付け用!$A$1:$BA$300,COLUMN(),FALSE)=0,"",VLOOKUP($A113,貼り付け用!$A$1:$BA$300,COLUMN(),FALSE))),"")</f>
        <v/>
      </c>
      <c r="M113" s="45" t="str">
        <f>IF($A113&lt;&gt;"",
IF(COLUMN(貼り付け用!M113)&gt;MATCH("おやつ",貼り付け用!$3:$3,0),"",
IF(VLOOKUP($A113,貼り付け用!$A$1:$BA$300,COLUMN(),FALSE)=0,"",VLOOKUP($A113,貼り付け用!$A$1:$BA$300,COLUMN(),FALSE))),"")</f>
        <v/>
      </c>
      <c r="N113" s="45" t="str">
        <f>IF($A113&lt;&gt;"",
IF(COLUMN(貼り付け用!N113)&gt;MATCH("おやつ",貼り付け用!$3:$3,0),"",
IF(VLOOKUP($A113,貼り付け用!$A$1:$BA$300,COLUMN(),FALSE)=0,"",VLOOKUP($A113,貼り付け用!$A$1:$BA$300,COLUMN(),FALSE))),"")</f>
        <v/>
      </c>
      <c r="O113" s="45" t="str">
        <f>IF($A113&lt;&gt;"",
IF(COLUMN(貼り付け用!O113)&gt;MATCH("おやつ",貼り付け用!$3:$3,0),"",
IF(VLOOKUP($A113,貼り付け用!$A$1:$BA$300,COLUMN(),FALSE)=0,"",VLOOKUP($A113,貼り付け用!$A$1:$BA$300,COLUMN(),FALSE))),"")</f>
        <v/>
      </c>
      <c r="P113" s="45" t="str">
        <f>IF($A113&lt;&gt;"",
IF(COLUMN(貼り付け用!P113)&gt;MATCH("おやつ",貼り付け用!$3:$3,0),"",
IF(VLOOKUP($A113,貼り付け用!$A$1:$BA$300,COLUMN(),FALSE)=0,"",VLOOKUP($A113,貼り付け用!$A$1:$BA$300,COLUMN(),FALSE))),"")</f>
        <v/>
      </c>
      <c r="Q113" s="45" t="str">
        <f>IF($A113&lt;&gt;"",
IF(COLUMN(貼り付け用!Q113)&gt;MATCH("おやつ",貼り付け用!$3:$3,0),"",
IF(VLOOKUP($A113,貼り付け用!$A$1:$BA$300,COLUMN(),FALSE)=0,"",VLOOKUP($A113,貼り付け用!$A$1:$BA$300,COLUMN(),FALSE))),"")</f>
        <v/>
      </c>
      <c r="R113" s="45" t="str">
        <f>IF($A113&lt;&gt;"",
IF(COLUMN(貼り付け用!R113)&gt;MATCH("おやつ",貼り付け用!$3:$3,0),"",
IF(VLOOKUP($A113,貼り付け用!$A$1:$BA$300,COLUMN(),FALSE)=0,"",VLOOKUP($A113,貼り付け用!$A$1:$BA$300,COLUMN(),FALSE))),"")</f>
        <v/>
      </c>
      <c r="S113" s="45" t="str">
        <f>IF($A113&lt;&gt;"",
IF(COLUMN(貼り付け用!S113)&gt;MATCH("おやつ",貼り付け用!$3:$3,0),"",
IF(VLOOKUP($A113,貼り付け用!$A$1:$BA$300,COLUMN(),FALSE)=0,"",VLOOKUP($A113,貼り付け用!$A$1:$BA$300,COLUMN(),FALSE))),"")</f>
        <v/>
      </c>
      <c r="T113" s="45" t="str">
        <f>IF(COLUMN(貼り付け用!T113)&gt;MATCH("おやつ",貼り付け用!$3:$3,0),"",
IF(VLOOKUP($A113,貼り付け用!$A$1:$BA$300,COLUMN(),FALSE)=0,"",VLOOKUP($A113,貼り付け用!$A$1:$BA$300,COLUMN(),FALSE)))</f>
        <v/>
      </c>
      <c r="U113" s="24"/>
      <c r="V113" s="21" t="str">
        <f>IF(A113&lt;&gt;"",
IF(VLOOKUP($A113,貼り付け用!$A$1:$BA$300,MATCH("おやつ",貼り付け用!$3:$3,0)+1,FALSE)=0,"",VLOOKUP($A113,貼り付け用!$A$1:$BA$300,MATCH("おやつ",貼り付け用!$3:$3,0)+1,FALSE)),"")</f>
        <v/>
      </c>
      <c r="W113" s="50" t="str">
        <f>IF(A113&lt;&gt;"",
IF(VLOOKUP($A113,貼り付け用!$A$1:$BA$300,MATCH("おやつ",貼り付け用!$3:$3,0)+2,FALSE)=0,"",VLOOKUP($A113,貼り付け用!$A$1:$BA$300,MATCH("おやつ",貼り付け用!$3:$3,0)+2,FALSE)),"")</f>
        <v/>
      </c>
    </row>
    <row r="114" spans="1:23" x14ac:dyDescent="0.45">
      <c r="A114" s="10" t="str">
        <f>IF(貼り付け用!$A$6&lt;&gt;"",
IF(ROW(A113)+1&gt;=MATCH("*【合計】*", 貼り付け用!$A:$A, 0),
"",
IF(貼り付け用!A114&lt;&gt;"",貼り付け用!A114,"")),
IF(ROW(A114)+1&gt;=MATCH("*【合計】*", 貼り付け用!$A:$A, 0),
"",
IF(貼り付け用!A115&lt;&gt;"",貼り付け用!A115,"")))</f>
        <v>4800</v>
      </c>
      <c r="B114" s="50" t="str">
        <f>IF($A114&lt;&gt;"",IF(VLOOKUP($A114,貼り付け用!$A$1:$BA$300,COLUMN(),FALSE)=0,"",VLOOKUP($A114,貼り付け用!$A$1:$BA$300,COLUMN(),FALSE)),"")</f>
        <v/>
      </c>
      <c r="C114" s="50" t="str">
        <f>IF($A114&lt;&gt;"",IF(VLOOKUP($A114,貼り付け用!$A$1:$BA$300,COLUMN(),FALSE)=0,"",VLOOKUP($A114,貼り付け用!$A$1:$BA$300,COLUMN(),FALSE)),"")</f>
        <v/>
      </c>
      <c r="D114" s="50" t="str">
        <f>IF($A114&lt;&gt;"",IF(VLOOKUP($A114,貼り付け用!$A$1:$BA$300,COLUMN(),FALSE)=0,"",VLOOKUP($A114,貼り付け用!$A$1:$BA$300,COLUMN(),FALSE)),"")</f>
        <v/>
      </c>
      <c r="E114" s="50" t="str">
        <f>IF($A114&lt;&gt;"",IF(VLOOKUP($A114,貼り付け用!$A$1:$BA$300,COLUMN(),FALSE)=0,"",VLOOKUP($A114,貼り付け用!$A$1:$BA$300,COLUMN(),FALSE)),"")</f>
        <v/>
      </c>
      <c r="F114" s="50" t="str">
        <f>IF($A114&lt;&gt;"",IF(VLOOKUP($A114,貼り付け用!$A$1:$BA$300,COLUMN(),FALSE)=0,"",VLOOKUP($A114,貼り付け用!$A$1:$BA$300,COLUMN(),FALSE)),"")</f>
        <v/>
      </c>
      <c r="G114" s="50" t="str">
        <f>IF($A114&lt;&gt;"",IF(VLOOKUP($A114,貼り付け用!$A$1:$BA$300,COLUMN(),FALSE)=0,"",VLOOKUP($A114,貼り付け用!$A$1:$BA$300,COLUMN(),FALSE)),"")</f>
        <v>16</v>
      </c>
      <c r="H114" s="50" t="str">
        <f>IF($A114&lt;&gt;"",IF(VLOOKUP($A114,貼り付け用!$A$1:$BA$300,COLUMN(),FALSE)=0,"",VLOOKUP($A114,貼り付け用!$A$1:$BA$300,COLUMN(),FALSE)),"")</f>
        <v/>
      </c>
      <c r="I114" s="50" t="str">
        <f>IF($A114&lt;&gt;"",IF(VLOOKUP($A114,貼り付け用!$A$1:$BA$300,COLUMN(),FALSE)=0,"",VLOOKUP($A114,貼り付け用!$A$1:$BA$300,COLUMN(),FALSE)),"")</f>
        <v/>
      </c>
      <c r="J114" s="50" t="str">
        <f>IF($A114&lt;&gt;"",IF(VLOOKUP($A114,貼り付け用!$A$1:$BA$300,COLUMN(),FALSE)=0,"",VLOOKUP($A114,貼り付け用!$A$1:$BA$300,COLUMN(),FALSE)),"")</f>
        <v/>
      </c>
      <c r="K114" s="50" t="str">
        <f>IF($A114&lt;&gt;"",IF(VLOOKUP($A114,貼り付け用!$A$1:$BA$300,COLUMN(),FALSE)=0,"",VLOOKUP($A114,貼り付け用!$A$1:$BA$300,COLUMN(),FALSE)),"")</f>
        <v/>
      </c>
      <c r="L114" s="50" t="str">
        <f>IF($A114&lt;&gt;"",
IF(COLUMN(貼り付け用!L114)&gt;MATCH("おやつ",貼り付け用!$3:$3,0),"",
IF(VLOOKUP($A114,貼り付け用!$A$1:$BA$300,COLUMN(),FALSE)=0,"",VLOOKUP($A114,貼り付け用!$A$1:$BA$300,COLUMN(),FALSE))),"")</f>
        <v/>
      </c>
      <c r="M114" s="50" t="str">
        <f>IF($A114&lt;&gt;"",
IF(COLUMN(貼り付け用!M114)&gt;MATCH("おやつ",貼り付け用!$3:$3,0),"",
IF(VLOOKUP($A114,貼り付け用!$A$1:$BA$300,COLUMN(),FALSE)=0,"",VLOOKUP($A114,貼り付け用!$A$1:$BA$300,COLUMN(),FALSE))),"")</f>
        <v/>
      </c>
      <c r="N114" s="50" t="str">
        <f>IF($A114&lt;&gt;"",
IF(COLUMN(貼り付け用!N114)&gt;MATCH("おやつ",貼り付け用!$3:$3,0),"",
IF(VLOOKUP($A114,貼り付け用!$A$1:$BA$300,COLUMN(),FALSE)=0,"",VLOOKUP($A114,貼り付け用!$A$1:$BA$300,COLUMN(),FALSE))),"")</f>
        <v/>
      </c>
      <c r="O114" s="50" t="str">
        <f>IF($A114&lt;&gt;"",
IF(COLUMN(貼り付け用!O114)&gt;MATCH("おやつ",貼り付け用!$3:$3,0),"",
IF(VLOOKUP($A114,貼り付け用!$A$1:$BA$300,COLUMN(),FALSE)=0,"",VLOOKUP($A114,貼り付け用!$A$1:$BA$300,COLUMN(),FALSE))),"")</f>
        <v/>
      </c>
      <c r="P114" s="50" t="str">
        <f>IF($A114&lt;&gt;"",
IF(COLUMN(貼り付け用!P114)&gt;MATCH("おやつ",貼り付け用!$3:$3,0),"",
IF(VLOOKUP($A114,貼り付け用!$A$1:$BA$300,COLUMN(),FALSE)=0,"",VLOOKUP($A114,貼り付け用!$A$1:$BA$300,COLUMN(),FALSE))),"")</f>
        <v/>
      </c>
      <c r="Q114" s="50" t="str">
        <f>IF($A114&lt;&gt;"",
IF(COLUMN(貼り付け用!Q114)&gt;MATCH("おやつ",貼り付け用!$3:$3,0),"",
IF(VLOOKUP($A114,貼り付け用!$A$1:$BA$300,COLUMN(),FALSE)=0,"",VLOOKUP($A114,貼り付け用!$A$1:$BA$300,COLUMN(),FALSE))),"")</f>
        <v/>
      </c>
      <c r="R114" s="50" t="str">
        <f>IF($A114&lt;&gt;"",
IF(COLUMN(貼り付け用!R114)&gt;MATCH("おやつ",貼り付け用!$3:$3,0),"",
IF(VLOOKUP($A114,貼り付け用!$A$1:$BA$300,COLUMN(),FALSE)=0,"",VLOOKUP($A114,貼り付け用!$A$1:$BA$300,COLUMN(),FALSE))),"")</f>
        <v/>
      </c>
      <c r="S114" s="50" t="str">
        <f>IF($A114&lt;&gt;"",
IF(COLUMN(貼り付け用!S114)&gt;MATCH("おやつ",貼り付け用!$3:$3,0),"",
IF(VLOOKUP($A114,貼り付け用!$A$1:$BA$300,COLUMN(),FALSE)=0,"",VLOOKUP($A114,貼り付け用!$A$1:$BA$300,COLUMN(),FALSE))),"")</f>
        <v/>
      </c>
      <c r="T114" s="50" t="str">
        <f>IF(COLUMN(貼り付け用!T114)&gt;MATCH("おやつ",貼り付け用!$3:$3,0),"",
IF(VLOOKUP($A114,貼り付け用!$A$1:$BA$300,COLUMN(),FALSE)=0,"",VLOOKUP($A114,貼り付け用!$A$1:$BA$300,COLUMN(),FALSE)))</f>
        <v/>
      </c>
      <c r="U114" s="23"/>
      <c r="V114" s="21" t="str">
        <f>IF(A114&lt;&gt;"",
IF(VLOOKUP($A114,貼り付け用!$A$1:$BA$300,MATCH("おやつ",貼り付け用!$3:$3,0)+1,FALSE)=0,"",VLOOKUP($A114,貼り付け用!$A$1:$BA$300,MATCH("おやつ",貼り付け用!$3:$3,0)+1,FALSE)),"")</f>
        <v/>
      </c>
      <c r="W114" s="50" t="str">
        <f>IF(A114&lt;&gt;"",
IF(VLOOKUP($A114,貼り付け用!$A$1:$BA$300,MATCH("おやつ",貼り付け用!$3:$3,0)+2,FALSE)=0,"",VLOOKUP($A114,貼り付け用!$A$1:$BA$300,MATCH("おやつ",貼り付け用!$3:$3,0)+2,FALSE)),"")</f>
        <v/>
      </c>
    </row>
    <row r="115" spans="1:23" x14ac:dyDescent="0.45">
      <c r="A115" s="22" t="str">
        <f>IF(貼り付け用!$A$6&lt;&gt;"",
IF(ROW(A114)+1&gt;=MATCH("*【合計】*", 貼り付け用!$A:$A, 0),"",
IF(貼り付け用!A115&lt;&gt;"",貼り付け用!A115,"")),
IF(ROW(A115)+1&gt;=MATCH("*【合計】*", 貼り付け用!$A:$A, 0),"",
IF(貼り付け用!A116&lt;&gt;"",貼り付け用!A116,"")))</f>
        <v>社食</v>
      </c>
      <c r="B115" s="45" t="str">
        <f>IF($A115&lt;&gt;"",IF(VLOOKUP($A115,貼り付け用!$A$1:$BA$300,COLUMN(),FALSE)=0,"",VLOOKUP($A115,貼り付け用!$A$1:$BA$300,COLUMN(),FALSE)),"")</f>
        <v/>
      </c>
      <c r="C115" s="45" t="str">
        <f>IF($A115&lt;&gt;"",IF(VLOOKUP($A115,貼り付け用!$A$1:$BA$300,COLUMN(),FALSE)=0,"",VLOOKUP($A115,貼り付け用!$A$1:$BA$300,COLUMN(),FALSE)),"")</f>
        <v/>
      </c>
      <c r="D115" s="45" t="str">
        <f>IF($A115&lt;&gt;"",IF(VLOOKUP($A115,貼り付け用!$A$1:$BA$300,COLUMN(),FALSE)=0,"",VLOOKUP($A115,貼り付け用!$A$1:$BA$300,COLUMN(),FALSE)),"")</f>
        <v/>
      </c>
      <c r="E115" s="45" t="str">
        <f>IF($A115&lt;&gt;"",IF(VLOOKUP($A115,貼り付け用!$A$1:$BA$300,COLUMN(),FALSE)=0,"",VLOOKUP($A115,貼り付け用!$A$1:$BA$300,COLUMN(),FALSE)),"")</f>
        <v/>
      </c>
      <c r="F115" s="45" t="str">
        <f>IF($A115&lt;&gt;"",IF(VLOOKUP($A115,貼り付け用!$A$1:$BA$300,COLUMN(),FALSE)=0,"",VLOOKUP($A115,貼り付け用!$A$1:$BA$300,COLUMN(),FALSE)),"")</f>
        <v/>
      </c>
      <c r="G115" s="45" t="str">
        <f>IF($A115&lt;&gt;"",IF(VLOOKUP($A115,貼り付け用!$A$1:$BA$300,COLUMN(),FALSE)=0,"",VLOOKUP($A115,貼り付け用!$A$1:$BA$300,COLUMN(),FALSE)),"")</f>
        <v>12</v>
      </c>
      <c r="H115" s="45" t="str">
        <f>IF($A115&lt;&gt;"",IF(VLOOKUP($A115,貼り付け用!$A$1:$BA$300,COLUMN(),FALSE)=0,"",VLOOKUP($A115,貼り付け用!$A$1:$BA$300,COLUMN(),FALSE)),"")</f>
        <v/>
      </c>
      <c r="I115" s="45" t="str">
        <f>IF($A115&lt;&gt;"",IF(VLOOKUP($A115,貼り付け用!$A$1:$BA$300,COLUMN(),FALSE)=0,"",VLOOKUP($A115,貼り付け用!$A$1:$BA$300,COLUMN(),FALSE)),"")</f>
        <v/>
      </c>
      <c r="J115" s="45" t="str">
        <f>IF($A115&lt;&gt;"",IF(VLOOKUP($A115,貼り付け用!$A$1:$BA$300,COLUMN(),FALSE)=0,"",VLOOKUP($A115,貼り付け用!$A$1:$BA$300,COLUMN(),FALSE)),"")</f>
        <v/>
      </c>
      <c r="K115" s="45" t="str">
        <f>IF($A115&lt;&gt;"",IF(VLOOKUP($A115,貼り付け用!$A$1:$BA$300,COLUMN(),FALSE)=0,"",VLOOKUP($A115,貼り付け用!$A$1:$BA$300,COLUMN(),FALSE)),"")</f>
        <v/>
      </c>
      <c r="L115" s="45" t="str">
        <f>IF($A115&lt;&gt;"",
IF(COLUMN(貼り付け用!L115)&gt;MATCH("おやつ",貼り付け用!$3:$3,0),"",
IF(VLOOKUP($A115,貼り付け用!$A$1:$BA$300,COLUMN(),FALSE)=0,"",VLOOKUP($A115,貼り付け用!$A$1:$BA$300,COLUMN(),FALSE))),"")</f>
        <v/>
      </c>
      <c r="M115" s="45" t="str">
        <f>IF($A115&lt;&gt;"",
IF(COLUMN(貼り付け用!M115)&gt;MATCH("おやつ",貼り付け用!$3:$3,0),"",
IF(VLOOKUP($A115,貼り付け用!$A$1:$BA$300,COLUMN(),FALSE)=0,"",VLOOKUP($A115,貼り付け用!$A$1:$BA$300,COLUMN(),FALSE))),"")</f>
        <v/>
      </c>
      <c r="N115" s="45" t="str">
        <f>IF($A115&lt;&gt;"",
IF(COLUMN(貼り付け用!N115)&gt;MATCH("おやつ",貼り付け用!$3:$3,0),"",
IF(VLOOKUP($A115,貼り付け用!$A$1:$BA$300,COLUMN(),FALSE)=0,"",VLOOKUP($A115,貼り付け用!$A$1:$BA$300,COLUMN(),FALSE))),"")</f>
        <v/>
      </c>
      <c r="O115" s="45" t="str">
        <f>IF($A115&lt;&gt;"",
IF(COLUMN(貼り付け用!O115)&gt;MATCH("おやつ",貼り付け用!$3:$3,0),"",
IF(VLOOKUP($A115,貼り付け用!$A$1:$BA$300,COLUMN(),FALSE)=0,"",VLOOKUP($A115,貼り付け用!$A$1:$BA$300,COLUMN(),FALSE))),"")</f>
        <v/>
      </c>
      <c r="P115" s="45" t="str">
        <f>IF($A115&lt;&gt;"",
IF(COLUMN(貼り付け用!P115)&gt;MATCH("おやつ",貼り付け用!$3:$3,0),"",
IF(VLOOKUP($A115,貼り付け用!$A$1:$BA$300,COLUMN(),FALSE)=0,"",VLOOKUP($A115,貼り付け用!$A$1:$BA$300,COLUMN(),FALSE))),"")</f>
        <v/>
      </c>
      <c r="Q115" s="45" t="str">
        <f>IF($A115&lt;&gt;"",
IF(COLUMN(貼り付け用!Q115)&gt;MATCH("おやつ",貼り付け用!$3:$3,0),"",
IF(VLOOKUP($A115,貼り付け用!$A$1:$BA$300,COLUMN(),FALSE)=0,"",VLOOKUP($A115,貼り付け用!$A$1:$BA$300,COLUMN(),FALSE))),"")</f>
        <v/>
      </c>
      <c r="R115" s="45" t="str">
        <f>IF($A115&lt;&gt;"",
IF(COLUMN(貼り付け用!R115)&gt;MATCH("おやつ",貼り付け用!$3:$3,0),"",
IF(VLOOKUP($A115,貼り付け用!$A$1:$BA$300,COLUMN(),FALSE)=0,"",VLOOKUP($A115,貼り付け用!$A$1:$BA$300,COLUMN(),FALSE))),"")</f>
        <v/>
      </c>
      <c r="S115" s="45" t="str">
        <f>IF($A115&lt;&gt;"",
IF(COLUMN(貼り付け用!S115)&gt;MATCH("おやつ",貼り付け用!$3:$3,0),"",
IF(VLOOKUP($A115,貼り付け用!$A$1:$BA$300,COLUMN(),FALSE)=0,"",VLOOKUP($A115,貼り付け用!$A$1:$BA$300,COLUMN(),FALSE))),"")</f>
        <v/>
      </c>
      <c r="T115" s="45" t="str">
        <f>IF(COLUMN(貼り付け用!T115)&gt;MATCH("おやつ",貼り付け用!$3:$3,0),"",
IF(VLOOKUP($A115,貼り付け用!$A$1:$BA$300,COLUMN(),FALSE)=0,"",VLOOKUP($A115,貼り付け用!$A$1:$BA$300,COLUMN(),FALSE)))</f>
        <v/>
      </c>
      <c r="U115" s="24"/>
      <c r="V115" s="21" t="str">
        <f>IF(A115&lt;&gt;"",
IF(VLOOKUP($A115,貼り付け用!$A$1:$BA$300,MATCH("おやつ",貼り付け用!$3:$3,0)+1,FALSE)=0,"",VLOOKUP($A115,貼り付け用!$A$1:$BA$300,MATCH("おやつ",貼り付け用!$3:$3,0)+1,FALSE)),"")</f>
        <v/>
      </c>
      <c r="W115" s="50" t="str">
        <f>IF(A115&lt;&gt;"",
IF(VLOOKUP($A115,貼り付け用!$A$1:$BA$300,MATCH("おやつ",貼り付け用!$3:$3,0)+2,FALSE)=0,"",VLOOKUP($A115,貼り付け用!$A$1:$BA$300,MATCH("おやつ",貼り付け用!$3:$3,0)+2,FALSE)),"")</f>
        <v/>
      </c>
    </row>
    <row r="116" spans="1:23" x14ac:dyDescent="0.45">
      <c r="A116" s="10" t="str">
        <f>IF(貼り付け用!$A$6&lt;&gt;"",
IF(ROW(A115)+1&gt;=MATCH("*【合計】*", 貼り付け用!$A:$A, 0),
"",
IF(貼り付け用!A116&lt;&gt;"",貼り付け用!A116,"")),
IF(ROW(A116)+1&gt;=MATCH("*【合計】*", 貼り付け用!$A:$A, 0),
"",
IF(貼り付け用!A117&lt;&gt;"",貼り付け用!A117,"")))</f>
        <v>30003</v>
      </c>
      <c r="B116" s="50" t="str">
        <f>IF($A116&lt;&gt;"",IF(VLOOKUP($A116,貼り付け用!$A$1:$BA$300,COLUMN(),FALSE)=0,"",VLOOKUP($A116,貼り付け用!$A$1:$BA$300,COLUMN(),FALSE)),"")</f>
        <v/>
      </c>
      <c r="C116" s="50" t="str">
        <f>IF($A116&lt;&gt;"",IF(VLOOKUP($A116,貼り付け用!$A$1:$BA$300,COLUMN(),FALSE)=0,"",VLOOKUP($A116,貼り付け用!$A$1:$BA$300,COLUMN(),FALSE)),"")</f>
        <v/>
      </c>
      <c r="D116" s="50" t="str">
        <f>IF($A116&lt;&gt;"",IF(VLOOKUP($A116,貼り付け用!$A$1:$BA$300,COLUMN(),FALSE)=0,"",VLOOKUP($A116,貼り付け用!$A$1:$BA$300,COLUMN(),FALSE)),"")</f>
        <v/>
      </c>
      <c r="E116" s="50" t="str">
        <f>IF($A116&lt;&gt;"",IF(VLOOKUP($A116,貼り付け用!$A$1:$BA$300,COLUMN(),FALSE)=0,"",VLOOKUP($A116,貼り付け用!$A$1:$BA$300,COLUMN(),FALSE)),"")</f>
        <v/>
      </c>
      <c r="F116" s="50" t="str">
        <f>IF($A116&lt;&gt;"",IF(VLOOKUP($A116,貼り付け用!$A$1:$BA$300,COLUMN(),FALSE)=0,"",VLOOKUP($A116,貼り付け用!$A$1:$BA$300,COLUMN(),FALSE)),"")</f>
        <v/>
      </c>
      <c r="G116" s="50" t="str">
        <f>IF($A116&lt;&gt;"",IF(VLOOKUP($A116,貼り付け用!$A$1:$BA$300,COLUMN(),FALSE)=0,"",VLOOKUP($A116,貼り付け用!$A$1:$BA$300,COLUMN(),FALSE)),"")</f>
        <v/>
      </c>
      <c r="H116" s="50" t="str">
        <f>IF($A116&lt;&gt;"",IF(VLOOKUP($A116,貼り付け用!$A$1:$BA$300,COLUMN(),FALSE)=0,"",VLOOKUP($A116,貼り付け用!$A$1:$BA$300,COLUMN(),FALSE)),"")</f>
        <v/>
      </c>
      <c r="I116" s="50" t="str">
        <f>IF($A116&lt;&gt;"",IF(VLOOKUP($A116,貼り付け用!$A$1:$BA$300,COLUMN(),FALSE)=0,"",VLOOKUP($A116,貼り付け用!$A$1:$BA$300,COLUMN(),FALSE)),"")</f>
        <v/>
      </c>
      <c r="J116" s="50" t="str">
        <f>IF($A116&lt;&gt;"",IF(VLOOKUP($A116,貼り付け用!$A$1:$BA$300,COLUMN(),FALSE)=0,"",VLOOKUP($A116,貼り付け用!$A$1:$BA$300,COLUMN(),FALSE)),"")</f>
        <v/>
      </c>
      <c r="K116" s="50" t="str">
        <f>IF($A116&lt;&gt;"",IF(VLOOKUP($A116,貼り付け用!$A$1:$BA$300,COLUMN(),FALSE)=0,"",VLOOKUP($A116,貼り付け用!$A$1:$BA$300,COLUMN(),FALSE)),"")</f>
        <v/>
      </c>
      <c r="L116" s="50" t="str">
        <f>IF($A116&lt;&gt;"",
IF(COLUMN(貼り付け用!L116)&gt;MATCH("おやつ",貼り付け用!$3:$3,0),"",
IF(VLOOKUP($A116,貼り付け用!$A$1:$BA$300,COLUMN(),FALSE)=0,"",VLOOKUP($A116,貼り付け用!$A$1:$BA$300,COLUMN(),FALSE))),"")</f>
        <v/>
      </c>
      <c r="M116" s="50" t="str">
        <f>IF($A116&lt;&gt;"",
IF(COLUMN(貼り付け用!M116)&gt;MATCH("おやつ",貼り付け用!$3:$3,0),"",
IF(VLOOKUP($A116,貼り付け用!$A$1:$BA$300,COLUMN(),FALSE)=0,"",VLOOKUP($A116,貼り付け用!$A$1:$BA$300,COLUMN(),FALSE))),"")</f>
        <v/>
      </c>
      <c r="N116" s="50" t="str">
        <f>IF($A116&lt;&gt;"",
IF(COLUMN(貼り付け用!N116)&gt;MATCH("おやつ",貼り付け用!$3:$3,0),"",
IF(VLOOKUP($A116,貼り付け用!$A$1:$BA$300,COLUMN(),FALSE)=0,"",VLOOKUP($A116,貼り付け用!$A$1:$BA$300,COLUMN(),FALSE))),"")</f>
        <v/>
      </c>
      <c r="O116" s="50" t="str">
        <f>IF($A116&lt;&gt;"",
IF(COLUMN(貼り付け用!O116)&gt;MATCH("おやつ",貼り付け用!$3:$3,0),"",
IF(VLOOKUP($A116,貼り付け用!$A$1:$BA$300,COLUMN(),FALSE)=0,"",VLOOKUP($A116,貼り付け用!$A$1:$BA$300,COLUMN(),FALSE))),"")</f>
        <v/>
      </c>
      <c r="P116" s="50" t="str">
        <f>IF($A116&lt;&gt;"",
IF(COLUMN(貼り付け用!P116)&gt;MATCH("おやつ",貼り付け用!$3:$3,0),"",
IF(VLOOKUP($A116,貼り付け用!$A$1:$BA$300,COLUMN(),FALSE)=0,"",VLOOKUP($A116,貼り付け用!$A$1:$BA$300,COLUMN(),FALSE))),"")</f>
        <v/>
      </c>
      <c r="Q116" s="50" t="str">
        <f>IF($A116&lt;&gt;"",
IF(COLUMN(貼り付け用!Q116)&gt;MATCH("おやつ",貼り付け用!$3:$3,0),"",
IF(VLOOKUP($A116,貼り付け用!$A$1:$BA$300,COLUMN(),FALSE)=0,"",VLOOKUP($A116,貼り付け用!$A$1:$BA$300,COLUMN(),FALSE))),"")</f>
        <v/>
      </c>
      <c r="R116" s="50" t="str">
        <f>IF($A116&lt;&gt;"",
IF(COLUMN(貼り付け用!R116)&gt;MATCH("おやつ",貼り付け用!$3:$3,0),"",
IF(VLOOKUP($A116,貼り付け用!$A$1:$BA$300,COLUMN(),FALSE)=0,"",VLOOKUP($A116,貼り付け用!$A$1:$BA$300,COLUMN(),FALSE))),"")</f>
        <v/>
      </c>
      <c r="S116" s="50" t="str">
        <f>IF($A116&lt;&gt;"",
IF(COLUMN(貼り付け用!S116)&gt;MATCH("おやつ",貼り付け用!$3:$3,0),"",
IF(VLOOKUP($A116,貼り付け用!$A$1:$BA$300,COLUMN(),FALSE)=0,"",VLOOKUP($A116,貼り付け用!$A$1:$BA$300,COLUMN(),FALSE))),"")</f>
        <v/>
      </c>
      <c r="T116" s="50" t="str">
        <f>IF(COLUMN(貼り付け用!T116)&gt;MATCH("おやつ",貼り付け用!$3:$3,0),"",
IF(VLOOKUP($A116,貼り付け用!$A$1:$BA$300,COLUMN(),FALSE)=0,"",VLOOKUP($A116,貼り付け用!$A$1:$BA$300,COLUMN(),FALSE)))</f>
        <v/>
      </c>
      <c r="U116" s="23"/>
      <c r="V116" s="21" t="str">
        <f>IF(A116&lt;&gt;"",
IF(VLOOKUP($A116,貼り付け用!$A$1:$BA$300,MATCH("おやつ",貼り付け用!$3:$3,0)+1,FALSE)=0,"",VLOOKUP($A116,貼り付け用!$A$1:$BA$300,MATCH("おやつ",貼り付け用!$3:$3,0)+1,FALSE)),"")</f>
        <v>マリービスケット12箱 源氏パイ4袋</v>
      </c>
      <c r="W116" s="50" t="str">
        <f>IF(A116&lt;&gt;"",
IF(VLOOKUP($A116,貼り付け用!$A$1:$BA$300,MATCH("おやつ",貼り付け用!$3:$3,0)+2,FALSE)=0,"",VLOOKUP($A116,貼り付け用!$A$1:$BA$300,MATCH("おやつ",貼り付け用!$3:$3,0)+2,FALSE)),"")</f>
        <v>マンナウエハース5箱</v>
      </c>
    </row>
    <row r="117" spans="1:23" x14ac:dyDescent="0.45">
      <c r="A117" s="22" t="str">
        <f>IF(貼り付け用!$A$6&lt;&gt;"",
IF(ROW(A116)+1&gt;=MATCH("*【合計】*", 貼り付け用!$A:$A, 0),"",
IF(貼り付け用!A117&lt;&gt;"",貼り付け用!A117,"")),
IF(ROW(A117)+1&gt;=MATCH("*【合計】*", 貼り付け用!$A:$A, 0),"",
IF(貼り付け用!A118&lt;&gt;"",貼り付け用!A118,"")))</f>
        <v>セントラル やよい</v>
      </c>
      <c r="B117" s="45" t="str">
        <f>IF($A117&lt;&gt;"",IF(VLOOKUP($A117,貼り付け用!$A$1:$BA$300,COLUMN(),FALSE)=0,"",VLOOKUP($A117,貼り付け用!$A$1:$BA$300,COLUMN(),FALSE)),"")</f>
        <v/>
      </c>
      <c r="C117" s="45" t="str">
        <f>IF($A117&lt;&gt;"",IF(VLOOKUP($A117,貼り付け用!$A$1:$BA$300,COLUMN(),FALSE)=0,"",VLOOKUP($A117,貼り付け用!$A$1:$BA$300,COLUMN(),FALSE)),"")</f>
        <v/>
      </c>
      <c r="D117" s="45" t="str">
        <f>IF($A117&lt;&gt;"",IF(VLOOKUP($A117,貼り付け用!$A$1:$BA$300,COLUMN(),FALSE)=0,"",VLOOKUP($A117,貼り付け用!$A$1:$BA$300,COLUMN(),FALSE)),"")</f>
        <v/>
      </c>
      <c r="E117" s="45" t="str">
        <f>IF($A117&lt;&gt;"",IF(VLOOKUP($A117,貼り付け用!$A$1:$BA$300,COLUMN(),FALSE)=0,"",VLOOKUP($A117,貼り付け用!$A$1:$BA$300,COLUMN(),FALSE)),"")</f>
        <v/>
      </c>
      <c r="F117" s="45" t="str">
        <f>IF($A117&lt;&gt;"",IF(VLOOKUP($A117,貼り付け用!$A$1:$BA$300,COLUMN(),FALSE)=0,"",VLOOKUP($A117,貼り付け用!$A$1:$BA$300,COLUMN(),FALSE)),"")</f>
        <v/>
      </c>
      <c r="G117" s="45" t="str">
        <f>IF($A117&lt;&gt;"",IF(VLOOKUP($A117,貼り付け用!$A$1:$BA$300,COLUMN(),FALSE)=0,"",VLOOKUP($A117,貼り付け用!$A$1:$BA$300,COLUMN(),FALSE)),"")</f>
        <v/>
      </c>
      <c r="H117" s="45" t="str">
        <f>IF($A117&lt;&gt;"",IF(VLOOKUP($A117,貼り付け用!$A$1:$BA$300,COLUMN(),FALSE)=0,"",VLOOKUP($A117,貼り付け用!$A$1:$BA$300,COLUMN(),FALSE)),"")</f>
        <v/>
      </c>
      <c r="I117" s="45" t="str">
        <f>IF($A117&lt;&gt;"",IF(VLOOKUP($A117,貼り付け用!$A$1:$BA$300,COLUMN(),FALSE)=0,"",VLOOKUP($A117,貼り付け用!$A$1:$BA$300,COLUMN(),FALSE)),"")</f>
        <v/>
      </c>
      <c r="J117" s="45" t="str">
        <f>IF($A117&lt;&gt;"",IF(VLOOKUP($A117,貼り付け用!$A$1:$BA$300,COLUMN(),FALSE)=0,"",VLOOKUP($A117,貼り付け用!$A$1:$BA$300,COLUMN(),FALSE)),"")</f>
        <v/>
      </c>
      <c r="K117" s="45" t="str">
        <f>IF($A117&lt;&gt;"",IF(VLOOKUP($A117,貼り付け用!$A$1:$BA$300,COLUMN(),FALSE)=0,"",VLOOKUP($A117,貼り付け用!$A$1:$BA$300,COLUMN(),FALSE)),"")</f>
        <v/>
      </c>
      <c r="L117" s="45" t="str">
        <f>IF($A117&lt;&gt;"",
IF(COLUMN(貼り付け用!L117)&gt;MATCH("おやつ",貼り付け用!$3:$3,0),"",
IF(VLOOKUP($A117,貼り付け用!$A$1:$BA$300,COLUMN(),FALSE)=0,"",VLOOKUP($A117,貼り付け用!$A$1:$BA$300,COLUMN(),FALSE))),"")</f>
        <v/>
      </c>
      <c r="M117" s="45" t="str">
        <f>IF($A117&lt;&gt;"",
IF(COLUMN(貼り付け用!M117)&gt;MATCH("おやつ",貼り付け用!$3:$3,0),"",
IF(VLOOKUP($A117,貼り付け用!$A$1:$BA$300,COLUMN(),FALSE)=0,"",VLOOKUP($A117,貼り付け用!$A$1:$BA$300,COLUMN(),FALSE))),"")</f>
        <v/>
      </c>
      <c r="N117" s="45" t="str">
        <f>IF($A117&lt;&gt;"",
IF(COLUMN(貼り付け用!N117)&gt;MATCH("おやつ",貼り付け用!$3:$3,0),"",
IF(VLOOKUP($A117,貼り付け用!$A$1:$BA$300,COLUMN(),FALSE)=0,"",VLOOKUP($A117,貼り付け用!$A$1:$BA$300,COLUMN(),FALSE))),"")</f>
        <v/>
      </c>
      <c r="O117" s="45" t="str">
        <f>IF($A117&lt;&gt;"",
IF(COLUMN(貼り付け用!O117)&gt;MATCH("おやつ",貼り付け用!$3:$3,0),"",
IF(VLOOKUP($A117,貼り付け用!$A$1:$BA$300,COLUMN(),FALSE)=0,"",VLOOKUP($A117,貼り付け用!$A$1:$BA$300,COLUMN(),FALSE))),"")</f>
        <v/>
      </c>
      <c r="P117" s="45" t="str">
        <f>IF($A117&lt;&gt;"",
IF(COLUMN(貼り付け用!P117)&gt;MATCH("おやつ",貼り付け用!$3:$3,0),"",
IF(VLOOKUP($A117,貼り付け用!$A$1:$BA$300,COLUMN(),FALSE)=0,"",VLOOKUP($A117,貼り付け用!$A$1:$BA$300,COLUMN(),FALSE))),"")</f>
        <v/>
      </c>
      <c r="Q117" s="45" t="str">
        <f>IF($A117&lt;&gt;"",
IF(COLUMN(貼り付け用!Q117)&gt;MATCH("おやつ",貼り付け用!$3:$3,0),"",
IF(VLOOKUP($A117,貼り付け用!$A$1:$BA$300,COLUMN(),FALSE)=0,"",VLOOKUP($A117,貼り付け用!$A$1:$BA$300,COLUMN(),FALSE))),"")</f>
        <v/>
      </c>
      <c r="R117" s="45" t="str">
        <f>IF($A117&lt;&gt;"",
IF(COLUMN(貼り付け用!R117)&gt;MATCH("おやつ",貼り付け用!$3:$3,0),"",
IF(VLOOKUP($A117,貼り付け用!$A$1:$BA$300,COLUMN(),FALSE)=0,"",VLOOKUP($A117,貼り付け用!$A$1:$BA$300,COLUMN(),FALSE))),"")</f>
        <v/>
      </c>
      <c r="S117" s="45" t="str">
        <f>IF($A117&lt;&gt;"",
IF(COLUMN(貼り付け用!S117)&gt;MATCH("おやつ",貼り付け用!$3:$3,0),"",
IF(VLOOKUP($A117,貼り付け用!$A$1:$BA$300,COLUMN(),FALSE)=0,"",VLOOKUP($A117,貼り付け用!$A$1:$BA$300,COLUMN(),FALSE))),"")</f>
        <v/>
      </c>
      <c r="T117" s="45" t="str">
        <f>IF(COLUMN(貼り付け用!T117)&gt;MATCH("おやつ",貼り付け用!$3:$3,0),"",
IF(VLOOKUP($A117,貼り付け用!$A$1:$BA$300,COLUMN(),FALSE)=0,"",VLOOKUP($A117,貼り付け用!$A$1:$BA$300,COLUMN(),FALSE)))</f>
        <v/>
      </c>
      <c r="U117" s="24"/>
      <c r="V117" s="21" t="str">
        <f>IF(A117&lt;&gt;"",
IF(VLOOKUP($A117,貼り付け用!$A$1:$BA$300,MATCH("おやつ",貼り付け用!$3:$3,0)+1,FALSE)=0,"",VLOOKUP($A117,貼り付け用!$A$1:$BA$300,MATCH("おやつ",貼り付け用!$3:$3,0)+1,FALSE)),"")</f>
        <v>ムーンライト4箱</v>
      </c>
      <c r="W117" s="50" t="str">
        <f>IF(A117&lt;&gt;"",
IF(VLOOKUP($A117,貼り付け用!$A$1:$BA$300,MATCH("おやつ",貼り付け用!$3:$3,0)+2,FALSE)=0,"",VLOOKUP($A117,貼り付け用!$A$1:$BA$300,MATCH("おやつ",貼り付け用!$3:$3,0)+2,FALSE)),"")</f>
        <v/>
      </c>
    </row>
    <row r="118" spans="1:23" x14ac:dyDescent="0.45">
      <c r="A118" s="10" t="str">
        <f>IF(貼り付け用!$A$6&lt;&gt;"",
IF(ROW(A117)+1&gt;=MATCH("*【合計】*", 貼り付け用!$A:$A, 0),
"",
IF(貼り付け用!A118&lt;&gt;"",貼り付け用!A118,"")),
IF(ROW(A118)+1&gt;=MATCH("*【合計】*", 貼り付け用!$A:$A, 0),
"",
IF(貼り付け用!A119&lt;&gt;"",貼り付け用!A119,"")))</f>
        <v>30004</v>
      </c>
      <c r="B118" s="50" t="str">
        <f>IF($A118&lt;&gt;"",IF(VLOOKUP($A118,貼り付け用!$A$1:$BA$300,COLUMN(),FALSE)=0,"",VLOOKUP($A118,貼り付け用!$A$1:$BA$300,COLUMN(),FALSE)),"")</f>
        <v/>
      </c>
      <c r="C118" s="50" t="str">
        <f>IF($A118&lt;&gt;"",IF(VLOOKUP($A118,貼り付け用!$A$1:$BA$300,COLUMN(),FALSE)=0,"",VLOOKUP($A118,貼り付け用!$A$1:$BA$300,COLUMN(),FALSE)),"")</f>
        <v/>
      </c>
      <c r="D118" s="50" t="str">
        <f>IF($A118&lt;&gt;"",IF(VLOOKUP($A118,貼り付け用!$A$1:$BA$300,COLUMN(),FALSE)=0,"",VLOOKUP($A118,貼り付け用!$A$1:$BA$300,COLUMN(),FALSE)),"")</f>
        <v/>
      </c>
      <c r="E118" s="50" t="str">
        <f>IF($A118&lt;&gt;"",IF(VLOOKUP($A118,貼り付け用!$A$1:$BA$300,COLUMN(),FALSE)=0,"",VLOOKUP($A118,貼り付け用!$A$1:$BA$300,COLUMN(),FALSE)),"")</f>
        <v/>
      </c>
      <c r="F118" s="50" t="str">
        <f>IF($A118&lt;&gt;"",IF(VLOOKUP($A118,貼り付け用!$A$1:$BA$300,COLUMN(),FALSE)=0,"",VLOOKUP($A118,貼り付け用!$A$1:$BA$300,COLUMN(),FALSE)),"")</f>
        <v/>
      </c>
      <c r="G118" s="50" t="str">
        <f>IF($A118&lt;&gt;"",IF(VLOOKUP($A118,貼り付け用!$A$1:$BA$300,COLUMN(),FALSE)=0,"",VLOOKUP($A118,貼り付け用!$A$1:$BA$300,COLUMN(),FALSE)),"")</f>
        <v/>
      </c>
      <c r="H118" s="50" t="str">
        <f>IF($A118&lt;&gt;"",IF(VLOOKUP($A118,貼り付け用!$A$1:$BA$300,COLUMN(),FALSE)=0,"",VLOOKUP($A118,貼り付け用!$A$1:$BA$300,COLUMN(),FALSE)),"")</f>
        <v/>
      </c>
      <c r="I118" s="50" t="str">
        <f>IF($A118&lt;&gt;"",IF(VLOOKUP($A118,貼り付け用!$A$1:$BA$300,COLUMN(),FALSE)=0,"",VLOOKUP($A118,貼り付け用!$A$1:$BA$300,COLUMN(),FALSE)),"")</f>
        <v/>
      </c>
      <c r="J118" s="50" t="str">
        <f>IF($A118&lt;&gt;"",IF(VLOOKUP($A118,貼り付け用!$A$1:$BA$300,COLUMN(),FALSE)=0,"",VLOOKUP($A118,貼り付け用!$A$1:$BA$300,COLUMN(),FALSE)),"")</f>
        <v/>
      </c>
      <c r="K118" s="50" t="str">
        <f>IF($A118&lt;&gt;"",IF(VLOOKUP($A118,貼り付け用!$A$1:$BA$300,COLUMN(),FALSE)=0,"",VLOOKUP($A118,貼り付け用!$A$1:$BA$300,COLUMN(),FALSE)),"")</f>
        <v/>
      </c>
      <c r="L118" s="50" t="str">
        <f>IF($A118&lt;&gt;"",
IF(COLUMN(貼り付け用!L118)&gt;MATCH("おやつ",貼り付け用!$3:$3,0),"",
IF(VLOOKUP($A118,貼り付け用!$A$1:$BA$300,COLUMN(),FALSE)=0,"",VLOOKUP($A118,貼り付け用!$A$1:$BA$300,COLUMN(),FALSE))),"")</f>
        <v/>
      </c>
      <c r="M118" s="50" t="str">
        <f>IF($A118&lt;&gt;"",
IF(COLUMN(貼り付け用!M118)&gt;MATCH("おやつ",貼り付け用!$3:$3,0),"",
IF(VLOOKUP($A118,貼り付け用!$A$1:$BA$300,COLUMN(),FALSE)=0,"",VLOOKUP($A118,貼り付け用!$A$1:$BA$300,COLUMN(),FALSE))),"")</f>
        <v/>
      </c>
      <c r="N118" s="50" t="str">
        <f>IF($A118&lt;&gt;"",
IF(COLUMN(貼り付け用!N118)&gt;MATCH("おやつ",貼り付け用!$3:$3,0),"",
IF(VLOOKUP($A118,貼り付け用!$A$1:$BA$300,COLUMN(),FALSE)=0,"",VLOOKUP($A118,貼り付け用!$A$1:$BA$300,COLUMN(),FALSE))),"")</f>
        <v/>
      </c>
      <c r="O118" s="50" t="str">
        <f>IF($A118&lt;&gt;"",
IF(COLUMN(貼り付け用!O118)&gt;MATCH("おやつ",貼り付け用!$3:$3,0),"",
IF(VLOOKUP($A118,貼り付け用!$A$1:$BA$300,COLUMN(),FALSE)=0,"",VLOOKUP($A118,貼り付け用!$A$1:$BA$300,COLUMN(),FALSE))),"")</f>
        <v/>
      </c>
      <c r="P118" s="50" t="str">
        <f>IF($A118&lt;&gt;"",
IF(COLUMN(貼り付け用!P118)&gt;MATCH("おやつ",貼り付け用!$3:$3,0),"",
IF(VLOOKUP($A118,貼り付け用!$A$1:$BA$300,COLUMN(),FALSE)=0,"",VLOOKUP($A118,貼り付け用!$A$1:$BA$300,COLUMN(),FALSE))),"")</f>
        <v/>
      </c>
      <c r="Q118" s="50" t="str">
        <f>IF($A118&lt;&gt;"",
IF(COLUMN(貼り付け用!Q118)&gt;MATCH("おやつ",貼り付け用!$3:$3,0),"",
IF(VLOOKUP($A118,貼り付け用!$A$1:$BA$300,COLUMN(),FALSE)=0,"",VLOOKUP($A118,貼り付け用!$A$1:$BA$300,COLUMN(),FALSE))),"")</f>
        <v/>
      </c>
      <c r="R118" s="50" t="str">
        <f>IF($A118&lt;&gt;"",
IF(COLUMN(貼り付け用!R118)&gt;MATCH("おやつ",貼り付け用!$3:$3,0),"",
IF(VLOOKUP($A118,貼り付け用!$A$1:$BA$300,COLUMN(),FALSE)=0,"",VLOOKUP($A118,貼り付け用!$A$1:$BA$300,COLUMN(),FALSE))),"")</f>
        <v/>
      </c>
      <c r="S118" s="50" t="str">
        <f>IF($A118&lt;&gt;"",
IF(COLUMN(貼り付け用!S118)&gt;MATCH("おやつ",貼り付け用!$3:$3,0),"",
IF(VLOOKUP($A118,貼り付け用!$A$1:$BA$300,COLUMN(),FALSE)=0,"",VLOOKUP($A118,貼り付け用!$A$1:$BA$300,COLUMN(),FALSE))),"")</f>
        <v/>
      </c>
      <c r="T118" s="50" t="str">
        <f>IF(COLUMN(貼り付け用!T118)&gt;MATCH("おやつ",貼り付け用!$3:$3,0),"",
IF(VLOOKUP($A118,貼り付け用!$A$1:$BA$300,COLUMN(),FALSE)=0,"",VLOOKUP($A118,貼り付け用!$A$1:$BA$300,COLUMN(),FALSE)))</f>
        <v/>
      </c>
      <c r="U118" s="23"/>
      <c r="V118" s="21" t="str">
        <f>IF(A118&lt;&gt;"",
IF(VLOOKUP($A118,貼り付け用!$A$1:$BA$300,MATCH("おやつ",貼り付け用!$3:$3,0)+1,FALSE)=0,"",VLOOKUP($A118,貼り付け用!$A$1:$BA$300,MATCH("おやつ",貼り付け用!$3:$3,0)+1,FALSE)),"")</f>
        <v>マンナウエハース3箱 ミニサラダ3袋</v>
      </c>
      <c r="W118" s="50" t="str">
        <f>IF(A118&lt;&gt;"",
IF(VLOOKUP($A118,貼り付け用!$A$1:$BA$300,MATCH("おやつ",貼り付け用!$3:$3,0)+2,FALSE)=0,"",VLOOKUP($A118,貼り付け用!$A$1:$BA$300,MATCH("おやつ",貼り付け用!$3:$3,0)+2,FALSE)),"")</f>
        <v>おにぎり煎餅1袋</v>
      </c>
    </row>
    <row r="119" spans="1:23" x14ac:dyDescent="0.45">
      <c r="A119" s="22" t="str">
        <f>IF(貼り付け用!$A$6&lt;&gt;"",
IF(ROW(A118)+1&gt;=MATCH("*【合計】*", 貼り付け用!$A:$A, 0),"",
IF(貼り付け用!A119&lt;&gt;"",貼り付け用!A119,"")),
IF(ROW(A119)+1&gt;=MATCH("*【合計】*", 貼り付け用!$A:$A, 0),"",
IF(貼り付け用!A120&lt;&gt;"",貼り付け用!A120,"")))</f>
        <v>セントラル 筑紫野</v>
      </c>
      <c r="B119" s="45" t="str">
        <f>IF($A119&lt;&gt;"",IF(VLOOKUP($A119,貼り付け用!$A$1:$BA$300,COLUMN(),FALSE)=0,"",VLOOKUP($A119,貼り付け用!$A$1:$BA$300,COLUMN(),FALSE)),"")</f>
        <v/>
      </c>
      <c r="C119" s="45" t="str">
        <f>IF($A119&lt;&gt;"",IF(VLOOKUP($A119,貼り付け用!$A$1:$BA$300,COLUMN(),FALSE)=0,"",VLOOKUP($A119,貼り付け用!$A$1:$BA$300,COLUMN(),FALSE)),"")</f>
        <v/>
      </c>
      <c r="D119" s="45" t="str">
        <f>IF($A119&lt;&gt;"",IF(VLOOKUP($A119,貼り付け用!$A$1:$BA$300,COLUMN(),FALSE)=0,"",VLOOKUP($A119,貼り付け用!$A$1:$BA$300,COLUMN(),FALSE)),"")</f>
        <v/>
      </c>
      <c r="E119" s="45" t="str">
        <f>IF($A119&lt;&gt;"",IF(VLOOKUP($A119,貼り付け用!$A$1:$BA$300,COLUMN(),FALSE)=0,"",VLOOKUP($A119,貼り付け用!$A$1:$BA$300,COLUMN(),FALSE)),"")</f>
        <v/>
      </c>
      <c r="F119" s="45" t="str">
        <f>IF($A119&lt;&gt;"",IF(VLOOKUP($A119,貼り付け用!$A$1:$BA$300,COLUMN(),FALSE)=0,"",VLOOKUP($A119,貼り付け用!$A$1:$BA$300,COLUMN(),FALSE)),"")</f>
        <v/>
      </c>
      <c r="G119" s="45" t="str">
        <f>IF($A119&lt;&gt;"",IF(VLOOKUP($A119,貼り付け用!$A$1:$BA$300,COLUMN(),FALSE)=0,"",VLOOKUP($A119,貼り付け用!$A$1:$BA$300,COLUMN(),FALSE)),"")</f>
        <v/>
      </c>
      <c r="H119" s="45" t="str">
        <f>IF($A119&lt;&gt;"",IF(VLOOKUP($A119,貼り付け用!$A$1:$BA$300,COLUMN(),FALSE)=0,"",VLOOKUP($A119,貼り付け用!$A$1:$BA$300,COLUMN(),FALSE)),"")</f>
        <v/>
      </c>
      <c r="I119" s="45" t="str">
        <f>IF($A119&lt;&gt;"",IF(VLOOKUP($A119,貼り付け用!$A$1:$BA$300,COLUMN(),FALSE)=0,"",VLOOKUP($A119,貼り付け用!$A$1:$BA$300,COLUMN(),FALSE)),"")</f>
        <v/>
      </c>
      <c r="J119" s="45" t="str">
        <f>IF($A119&lt;&gt;"",IF(VLOOKUP($A119,貼り付け用!$A$1:$BA$300,COLUMN(),FALSE)=0,"",VLOOKUP($A119,貼り付け用!$A$1:$BA$300,COLUMN(),FALSE)),"")</f>
        <v/>
      </c>
      <c r="K119" s="45" t="str">
        <f>IF($A119&lt;&gt;"",IF(VLOOKUP($A119,貼り付け用!$A$1:$BA$300,COLUMN(),FALSE)=0,"",VLOOKUP($A119,貼り付け用!$A$1:$BA$300,COLUMN(),FALSE)),"")</f>
        <v/>
      </c>
      <c r="L119" s="45" t="str">
        <f>IF($A119&lt;&gt;"",
IF(COLUMN(貼り付け用!L119)&gt;MATCH("おやつ",貼り付け用!$3:$3,0),"",
IF(VLOOKUP($A119,貼り付け用!$A$1:$BA$300,COLUMN(),FALSE)=0,"",VLOOKUP($A119,貼り付け用!$A$1:$BA$300,COLUMN(),FALSE))),"")</f>
        <v/>
      </c>
      <c r="M119" s="45" t="str">
        <f>IF($A119&lt;&gt;"",
IF(COLUMN(貼り付け用!M119)&gt;MATCH("おやつ",貼り付け用!$3:$3,0),"",
IF(VLOOKUP($A119,貼り付け用!$A$1:$BA$300,COLUMN(),FALSE)=0,"",VLOOKUP($A119,貼り付け用!$A$1:$BA$300,COLUMN(),FALSE))),"")</f>
        <v/>
      </c>
      <c r="N119" s="45" t="str">
        <f>IF($A119&lt;&gt;"",
IF(COLUMN(貼り付け用!N119)&gt;MATCH("おやつ",貼り付け用!$3:$3,0),"",
IF(VLOOKUP($A119,貼り付け用!$A$1:$BA$300,COLUMN(),FALSE)=0,"",VLOOKUP($A119,貼り付け用!$A$1:$BA$300,COLUMN(),FALSE))),"")</f>
        <v/>
      </c>
      <c r="O119" s="45" t="str">
        <f>IF($A119&lt;&gt;"",
IF(COLUMN(貼り付け用!O119)&gt;MATCH("おやつ",貼り付け用!$3:$3,0),"",
IF(VLOOKUP($A119,貼り付け用!$A$1:$BA$300,COLUMN(),FALSE)=0,"",VLOOKUP($A119,貼り付け用!$A$1:$BA$300,COLUMN(),FALSE))),"")</f>
        <v/>
      </c>
      <c r="P119" s="45" t="str">
        <f>IF($A119&lt;&gt;"",
IF(COLUMN(貼り付け用!P119)&gt;MATCH("おやつ",貼り付け用!$3:$3,0),"",
IF(VLOOKUP($A119,貼り付け用!$A$1:$BA$300,COLUMN(),FALSE)=0,"",VLOOKUP($A119,貼り付け用!$A$1:$BA$300,COLUMN(),FALSE))),"")</f>
        <v/>
      </c>
      <c r="Q119" s="45" t="str">
        <f>IF($A119&lt;&gt;"",
IF(COLUMN(貼り付け用!Q119)&gt;MATCH("おやつ",貼り付け用!$3:$3,0),"",
IF(VLOOKUP($A119,貼り付け用!$A$1:$BA$300,COLUMN(),FALSE)=0,"",VLOOKUP($A119,貼り付け用!$A$1:$BA$300,COLUMN(),FALSE))),"")</f>
        <v/>
      </c>
      <c r="R119" s="45" t="str">
        <f>IF($A119&lt;&gt;"",
IF(COLUMN(貼り付け用!R119)&gt;MATCH("おやつ",貼り付け用!$3:$3,0),"",
IF(VLOOKUP($A119,貼り付け用!$A$1:$BA$300,COLUMN(),FALSE)=0,"",VLOOKUP($A119,貼り付け用!$A$1:$BA$300,COLUMN(),FALSE))),"")</f>
        <v/>
      </c>
      <c r="S119" s="45" t="str">
        <f>IF($A119&lt;&gt;"",
IF(COLUMN(貼り付け用!S119)&gt;MATCH("おやつ",貼り付け用!$3:$3,0),"",
IF(VLOOKUP($A119,貼り付け用!$A$1:$BA$300,COLUMN(),FALSE)=0,"",VLOOKUP($A119,貼り付け用!$A$1:$BA$300,COLUMN(),FALSE))),"")</f>
        <v/>
      </c>
      <c r="T119" s="45" t="str">
        <f>IF(COLUMN(貼り付け用!T119)&gt;MATCH("おやつ",貼り付け用!$3:$3,0),"",
IF(VLOOKUP($A119,貼り付け用!$A$1:$BA$300,COLUMN(),FALSE)=0,"",VLOOKUP($A119,貼り付け用!$A$1:$BA$300,COLUMN(),FALSE)))</f>
        <v/>
      </c>
      <c r="U119" s="24"/>
      <c r="V119" s="21" t="str">
        <f>IF(A119&lt;&gt;"",
IF(VLOOKUP($A119,貼り付け用!$A$1:$BA$300,MATCH("おやつ",貼り付け用!$3:$3,0)+1,FALSE)=0,"",VLOOKUP($A119,貼り付け用!$A$1:$BA$300,MATCH("おやつ",貼り付け用!$3:$3,0)+1,FALSE)),"")</f>
        <v/>
      </c>
      <c r="W119" s="50" t="str">
        <f>IF(A119&lt;&gt;"",
IF(VLOOKUP($A119,貼り付け用!$A$1:$BA$300,MATCH("おやつ",貼り付け用!$3:$3,0)+2,FALSE)=0,"",VLOOKUP($A119,貼り付け用!$A$1:$BA$300,MATCH("おやつ",貼り付け用!$3:$3,0)+2,FALSE)),"")</f>
        <v/>
      </c>
    </row>
    <row r="120" spans="1:23" x14ac:dyDescent="0.45">
      <c r="A120" s="10" t="str">
        <f>IF(貼り付け用!$A$6&lt;&gt;"",
IF(ROW(A119)+1&gt;=MATCH("*【合計】*", 貼り付け用!$A:$A, 0),
"",
IF(貼り付け用!A120&lt;&gt;"",貼り付け用!A120,"")),
IF(ROW(A120)+1&gt;=MATCH("*【合計】*", 貼り付け用!$A:$A, 0),
"",
IF(貼り付け用!A121&lt;&gt;"",貼り付け用!A121,"")))</f>
        <v>800</v>
      </c>
      <c r="B120" s="50" t="str">
        <f>IF($A120&lt;&gt;"",IF(VLOOKUP($A120,貼り付け用!$A$1:$BA$300,COLUMN(),FALSE)=0,"",VLOOKUP($A120,貼り付け用!$A$1:$BA$300,COLUMN(),FALSE)),"")</f>
        <v/>
      </c>
      <c r="C120" s="50" t="str">
        <f>IF($A120&lt;&gt;"",IF(VLOOKUP($A120,貼り付け用!$A$1:$BA$300,COLUMN(),FALSE)=0,"",VLOOKUP($A120,貼り付け用!$A$1:$BA$300,COLUMN(),FALSE)),"")</f>
        <v/>
      </c>
      <c r="D120" s="50" t="str">
        <f>IF($A120&lt;&gt;"",IF(VLOOKUP($A120,貼り付け用!$A$1:$BA$300,COLUMN(),FALSE)=0,"",VLOOKUP($A120,貼り付け用!$A$1:$BA$300,COLUMN(),FALSE)),"")</f>
        <v/>
      </c>
      <c r="E120" s="50" t="str">
        <f>IF($A120&lt;&gt;"",IF(VLOOKUP($A120,貼り付け用!$A$1:$BA$300,COLUMN(),FALSE)=0,"",VLOOKUP($A120,貼り付け用!$A$1:$BA$300,COLUMN(),FALSE)),"")</f>
        <v/>
      </c>
      <c r="F120" s="50" t="str">
        <f>IF($A120&lt;&gt;"",IF(VLOOKUP($A120,貼り付け用!$A$1:$BA$300,COLUMN(),FALSE)=0,"",VLOOKUP($A120,貼り付け用!$A$1:$BA$300,COLUMN(),FALSE)),"")</f>
        <v/>
      </c>
      <c r="G120" s="50" t="str">
        <f>IF($A120&lt;&gt;"",IF(VLOOKUP($A120,貼り付け用!$A$1:$BA$300,COLUMN(),FALSE)=0,"",VLOOKUP($A120,貼り付け用!$A$1:$BA$300,COLUMN(),FALSE)),"")</f>
        <v/>
      </c>
      <c r="H120" s="50" t="str">
        <f>IF($A120&lt;&gt;"",IF(VLOOKUP($A120,貼り付け用!$A$1:$BA$300,COLUMN(),FALSE)=0,"",VLOOKUP($A120,貼り付け用!$A$1:$BA$300,COLUMN(),FALSE)),"")</f>
        <v/>
      </c>
      <c r="I120" s="50" t="str">
        <f>IF($A120&lt;&gt;"",IF(VLOOKUP($A120,貼り付け用!$A$1:$BA$300,COLUMN(),FALSE)=0,"",VLOOKUP($A120,貼り付け用!$A$1:$BA$300,COLUMN(),FALSE)),"")</f>
        <v/>
      </c>
      <c r="J120" s="50" t="str">
        <f>IF($A120&lt;&gt;"",IF(VLOOKUP($A120,貼り付け用!$A$1:$BA$300,COLUMN(),FALSE)=0,"",VLOOKUP($A120,貼り付け用!$A$1:$BA$300,COLUMN(),FALSE)),"")</f>
        <v/>
      </c>
      <c r="K120" s="50" t="str">
        <f>IF($A120&lt;&gt;"",IF(VLOOKUP($A120,貼り付け用!$A$1:$BA$300,COLUMN(),FALSE)=0,"",VLOOKUP($A120,貼り付け用!$A$1:$BA$300,COLUMN(),FALSE)),"")</f>
        <v/>
      </c>
      <c r="L120" s="50" t="str">
        <f>IF($A120&lt;&gt;"",
IF(COLUMN(貼り付け用!L120)&gt;MATCH("おやつ",貼り付け用!$3:$3,0),"",
IF(VLOOKUP($A120,貼り付け用!$A$1:$BA$300,COLUMN(),FALSE)=0,"",VLOOKUP($A120,貼り付け用!$A$1:$BA$300,COLUMN(),FALSE))),"")</f>
        <v/>
      </c>
      <c r="M120" s="50" t="str">
        <f>IF($A120&lt;&gt;"",
IF(COLUMN(貼り付け用!M120)&gt;MATCH("おやつ",貼り付け用!$3:$3,0),"",
IF(VLOOKUP($A120,貼り付け用!$A$1:$BA$300,COLUMN(),FALSE)=0,"",VLOOKUP($A120,貼り付け用!$A$1:$BA$300,COLUMN(),FALSE))),"")</f>
        <v/>
      </c>
      <c r="N120" s="50" t="str">
        <f>IF($A120&lt;&gt;"",
IF(COLUMN(貼り付け用!N120)&gt;MATCH("おやつ",貼り付け用!$3:$3,0),"",
IF(VLOOKUP($A120,貼り付け用!$A$1:$BA$300,COLUMN(),FALSE)=0,"",VLOOKUP($A120,貼り付け用!$A$1:$BA$300,COLUMN(),FALSE))),"")</f>
        <v>149</v>
      </c>
      <c r="O120" s="50" t="str">
        <f>IF($A120&lt;&gt;"",
IF(COLUMN(貼り付け用!O120)&gt;MATCH("おやつ",貼り付け用!$3:$3,0),"",
IF(VLOOKUP($A120,貼り付け用!$A$1:$BA$300,COLUMN(),FALSE)=0,"",VLOOKUP($A120,貼り付け用!$A$1:$BA$300,COLUMN(),FALSE))),"")</f>
        <v/>
      </c>
      <c r="P120" s="50" t="str">
        <f>IF($A120&lt;&gt;"",
IF(COLUMN(貼り付け用!P120)&gt;MATCH("おやつ",貼り付け用!$3:$3,0),"",
IF(VLOOKUP($A120,貼り付け用!$A$1:$BA$300,COLUMN(),FALSE)=0,"",VLOOKUP($A120,貼り付け用!$A$1:$BA$300,COLUMN(),FALSE))),"")</f>
        <v/>
      </c>
      <c r="Q120" s="50" t="str">
        <f>IF($A120&lt;&gt;"",
IF(COLUMN(貼り付け用!Q120)&gt;MATCH("おやつ",貼り付け用!$3:$3,0),"",
IF(VLOOKUP($A120,貼り付け用!$A$1:$BA$300,COLUMN(),FALSE)=0,"",VLOOKUP($A120,貼り付け用!$A$1:$BA$300,COLUMN(),FALSE))),"")</f>
        <v/>
      </c>
      <c r="R120" s="50" t="str">
        <f>IF($A120&lt;&gt;"",
IF(COLUMN(貼り付け用!R120)&gt;MATCH("おやつ",貼り付け用!$3:$3,0),"",
IF(VLOOKUP($A120,貼り付け用!$A$1:$BA$300,COLUMN(),FALSE)=0,"",VLOOKUP($A120,貼り付け用!$A$1:$BA$300,COLUMN(),FALSE))),"")</f>
        <v/>
      </c>
      <c r="S120" s="50" t="str">
        <f>IF($A120&lt;&gt;"",
IF(COLUMN(貼り付け用!S120)&gt;MATCH("おやつ",貼り付け用!$3:$3,0),"",
IF(VLOOKUP($A120,貼り付け用!$A$1:$BA$300,COLUMN(),FALSE)=0,"",VLOOKUP($A120,貼り付け用!$A$1:$BA$300,COLUMN(),FALSE))),"")</f>
        <v/>
      </c>
      <c r="T120" s="50" t="str">
        <f>IF(COLUMN(貼り付け用!T120)&gt;MATCH("おやつ",貼り付け用!$3:$3,0),"",
IF(VLOOKUP($A120,貼り付け用!$A$1:$BA$300,COLUMN(),FALSE)=0,"",VLOOKUP($A120,貼り付け用!$A$1:$BA$300,COLUMN(),FALSE)))</f>
        <v/>
      </c>
      <c r="U120" s="23"/>
      <c r="V120" s="21" t="str">
        <f>IF(A120&lt;&gt;"",
IF(VLOOKUP($A120,貼り付け用!$A$1:$BA$300,MATCH("おやつ",貼り付け用!$3:$3,0)+1,FALSE)=0,"",VLOOKUP($A120,貼り付け用!$A$1:$BA$300,MATCH("おやつ",貼り付け用!$3:$3,0)+1,FALSE)),"")</f>
        <v>ｱﾚ6</v>
      </c>
      <c r="W120" s="50" t="str">
        <f>IF(A120&lt;&gt;"",
IF(VLOOKUP($A120,貼り付け用!$A$1:$BA$300,MATCH("おやつ",貼り付け用!$3:$3,0)+2,FALSE)=0,"",VLOOKUP($A120,貼り付け用!$A$1:$BA$300,MATCH("おやつ",貼り付け用!$3:$3,0)+2,FALSE)),"")</f>
        <v/>
      </c>
    </row>
    <row r="121" spans="1:23" x14ac:dyDescent="0.45">
      <c r="A121" s="22" t="str">
        <f>IF(貼り付け用!$A$6&lt;&gt;"",
IF(ROW(A120)+1&gt;=MATCH("*【合計】*", 貼り付け用!$A:$A, 0),"",
IF(貼り付け用!A121&lt;&gt;"",貼り付け用!A121,"")),
IF(ROW(A121)+1&gt;=MATCH("*【合計】*", 貼り付け用!$A:$A, 0),"",
IF(貼り付け用!A122&lt;&gt;"",貼り付け用!A122,"")))</f>
        <v>吉塚ゆりの樹 スマぶろ web</v>
      </c>
      <c r="B121" s="45" t="str">
        <f>IF($A121&lt;&gt;"",IF(VLOOKUP($A121,貼り付け用!$A$1:$BA$300,COLUMN(),FALSE)=0,"",VLOOKUP($A121,貼り付け用!$A$1:$BA$300,COLUMN(),FALSE)),"")</f>
        <v/>
      </c>
      <c r="C121" s="45" t="str">
        <f>IF($A121&lt;&gt;"",IF(VLOOKUP($A121,貼り付け用!$A$1:$BA$300,COLUMN(),FALSE)=0,"",VLOOKUP($A121,貼り付け用!$A$1:$BA$300,COLUMN(),FALSE)),"")</f>
        <v/>
      </c>
      <c r="D121" s="45" t="str">
        <f>IF($A121&lt;&gt;"",IF(VLOOKUP($A121,貼り付け用!$A$1:$BA$300,COLUMN(),FALSE)=0,"",VLOOKUP($A121,貼り付け用!$A$1:$BA$300,COLUMN(),FALSE)),"")</f>
        <v/>
      </c>
      <c r="E121" s="45" t="str">
        <f>IF($A121&lt;&gt;"",IF(VLOOKUP($A121,貼り付け用!$A$1:$BA$300,COLUMN(),FALSE)=0,"",VLOOKUP($A121,貼り付け用!$A$1:$BA$300,COLUMN(),FALSE)),"")</f>
        <v/>
      </c>
      <c r="F121" s="45" t="str">
        <f>IF($A121&lt;&gt;"",IF(VLOOKUP($A121,貼り付け用!$A$1:$BA$300,COLUMN(),FALSE)=0,"",VLOOKUP($A121,貼り付け用!$A$1:$BA$300,COLUMN(),FALSE)),"")</f>
        <v/>
      </c>
      <c r="G121" s="45" t="str">
        <f>IF($A121&lt;&gt;"",IF(VLOOKUP($A121,貼り付け用!$A$1:$BA$300,COLUMN(),FALSE)=0,"",VLOOKUP($A121,貼り付け用!$A$1:$BA$300,COLUMN(),FALSE)),"")</f>
        <v/>
      </c>
      <c r="H121" s="45" t="str">
        <f>IF($A121&lt;&gt;"",IF(VLOOKUP($A121,貼り付け用!$A$1:$BA$300,COLUMN(),FALSE)=0,"",VLOOKUP($A121,貼り付け用!$A$1:$BA$300,COLUMN(),FALSE)),"")</f>
        <v/>
      </c>
      <c r="I121" s="45" t="str">
        <f>IF($A121&lt;&gt;"",IF(VLOOKUP($A121,貼り付け用!$A$1:$BA$300,COLUMN(),FALSE)=0,"",VLOOKUP($A121,貼り付け用!$A$1:$BA$300,COLUMN(),FALSE)),"")</f>
        <v/>
      </c>
      <c r="J121" s="45" t="str">
        <f>IF($A121&lt;&gt;"",IF(VLOOKUP($A121,貼り付け用!$A$1:$BA$300,COLUMN(),FALSE)=0,"",VLOOKUP($A121,貼り付け用!$A$1:$BA$300,COLUMN(),FALSE)),"")</f>
        <v/>
      </c>
      <c r="K121" s="45" t="str">
        <f>IF($A121&lt;&gt;"",IF(VLOOKUP($A121,貼り付け用!$A$1:$BA$300,COLUMN(),FALSE)=0,"",VLOOKUP($A121,貼り付け用!$A$1:$BA$300,COLUMN(),FALSE)),"")</f>
        <v/>
      </c>
      <c r="L121" s="45" t="str">
        <f>IF($A121&lt;&gt;"",
IF(COLUMN(貼り付け用!L121)&gt;MATCH("おやつ",貼り付け用!$3:$3,0),"",
IF(VLOOKUP($A121,貼り付け用!$A$1:$BA$300,COLUMN(),FALSE)=0,"",VLOOKUP($A121,貼り付け用!$A$1:$BA$300,COLUMN(),FALSE))),"")</f>
        <v/>
      </c>
      <c r="M121" s="45" t="str">
        <f>IF($A121&lt;&gt;"",
IF(COLUMN(貼り付け用!M121)&gt;MATCH("おやつ",貼り付け用!$3:$3,0),"",
IF(VLOOKUP($A121,貼り付け用!$A$1:$BA$300,COLUMN(),FALSE)=0,"",VLOOKUP($A121,貼り付け用!$A$1:$BA$300,COLUMN(),FALSE))),"")</f>
        <v/>
      </c>
      <c r="N121" s="45" t="str">
        <f>IF($A121&lt;&gt;"",
IF(COLUMN(貼り付け用!N121)&gt;MATCH("おやつ",貼り付け用!$3:$3,0),"",
IF(VLOOKUP($A121,貼り付け用!$A$1:$BA$300,COLUMN(),FALSE)=0,"",VLOOKUP($A121,貼り付け用!$A$1:$BA$300,COLUMN(),FALSE))),"")</f>
        <v/>
      </c>
      <c r="O121" s="45" t="str">
        <f>IF($A121&lt;&gt;"",
IF(COLUMN(貼り付け用!O121)&gt;MATCH("おやつ",貼り付け用!$3:$3,0),"",
IF(VLOOKUP($A121,貼り付け用!$A$1:$BA$300,COLUMN(),FALSE)=0,"",VLOOKUP($A121,貼り付け用!$A$1:$BA$300,COLUMN(),FALSE))),"")</f>
        <v/>
      </c>
      <c r="P121" s="45" t="str">
        <f>IF($A121&lt;&gt;"",
IF(COLUMN(貼り付け用!P121)&gt;MATCH("おやつ",貼り付け用!$3:$3,0),"",
IF(VLOOKUP($A121,貼り付け用!$A$1:$BA$300,COLUMN(),FALSE)=0,"",VLOOKUP($A121,貼り付け用!$A$1:$BA$300,COLUMN(),FALSE))),"")</f>
        <v/>
      </c>
      <c r="Q121" s="45" t="str">
        <f>IF($A121&lt;&gt;"",
IF(COLUMN(貼り付け用!Q121)&gt;MATCH("おやつ",貼り付け用!$3:$3,0),"",
IF(VLOOKUP($A121,貼り付け用!$A$1:$BA$300,COLUMN(),FALSE)=0,"",VLOOKUP($A121,貼り付け用!$A$1:$BA$300,COLUMN(),FALSE))),"")</f>
        <v/>
      </c>
      <c r="R121" s="45" t="str">
        <f>IF($A121&lt;&gt;"",
IF(COLUMN(貼り付け用!R121)&gt;MATCH("おやつ",貼り付け用!$3:$3,0),"",
IF(VLOOKUP($A121,貼り付け用!$A$1:$BA$300,COLUMN(),FALSE)=0,"",VLOOKUP($A121,貼り付け用!$A$1:$BA$300,COLUMN(),FALSE))),"")</f>
        <v/>
      </c>
      <c r="S121" s="45" t="str">
        <f>IF($A121&lt;&gt;"",
IF(COLUMN(貼り付け用!S121)&gt;MATCH("おやつ",貼り付け用!$3:$3,0),"",
IF(VLOOKUP($A121,貼り付け用!$A$1:$BA$300,COLUMN(),FALSE)=0,"",VLOOKUP($A121,貼り付け用!$A$1:$BA$300,COLUMN(),FALSE))),"")</f>
        <v/>
      </c>
      <c r="T121" s="45" t="str">
        <f>IF(COLUMN(貼り付け用!T121)&gt;MATCH("おやつ",貼り付け用!$3:$3,0),"",
IF(VLOOKUP($A121,貼り付け用!$A$1:$BA$300,COLUMN(),FALSE)=0,"",VLOOKUP($A121,貼り付け用!$A$1:$BA$300,COLUMN(),FALSE)))</f>
        <v/>
      </c>
      <c r="U121" s="24"/>
      <c r="V121" s="21" t="str">
        <f>IF(A121&lt;&gt;"",
IF(VLOOKUP($A121,貼り付け用!$A$1:$BA$300,MATCH("おやつ",貼り付け用!$3:$3,0)+1,FALSE)=0,"",VLOOKUP($A121,貼り付け用!$A$1:$BA$300,MATCH("おやつ",貼り付け用!$3:$3,0)+1,FALSE)),"")</f>
        <v/>
      </c>
      <c r="W121" s="50" t="str">
        <f>IF(A121&lt;&gt;"",
IF(VLOOKUP($A121,貼り付け用!$A$1:$BA$300,MATCH("おやつ",貼り付け用!$3:$3,0)+2,FALSE)=0,"",VLOOKUP($A121,貼り付け用!$A$1:$BA$300,MATCH("おやつ",貼り付け用!$3:$3,0)+2,FALSE)),"")</f>
        <v/>
      </c>
    </row>
    <row r="122" spans="1:23" x14ac:dyDescent="0.45">
      <c r="A122" s="10" t="str">
        <f>IF(貼り付け用!$A$6&lt;&gt;"",
IF(ROW(A121)+1&gt;=MATCH("*【合計】*", 貼り付け用!$A:$A, 0),
"",
IF(貼り付け用!A122&lt;&gt;"",貼り付け用!A122,"")),
IF(ROW(A122)+1&gt;=MATCH("*【合計】*", 貼り付け用!$A:$A, 0),
"",
IF(貼り付け用!A123&lt;&gt;"",貼り付け用!A123,"")))</f>
        <v>802</v>
      </c>
      <c r="B122" s="50" t="str">
        <f>IF($A122&lt;&gt;"",IF(VLOOKUP($A122,貼り付け用!$A$1:$BA$300,COLUMN(),FALSE)=0,"",VLOOKUP($A122,貼り付け用!$A$1:$BA$300,COLUMN(),FALSE)),"")</f>
        <v/>
      </c>
      <c r="C122" s="50" t="str">
        <f>IF($A122&lt;&gt;"",IF(VLOOKUP($A122,貼り付け用!$A$1:$BA$300,COLUMN(),FALSE)=0,"",VLOOKUP($A122,貼り付け用!$A$1:$BA$300,COLUMN(),FALSE)),"")</f>
        <v/>
      </c>
      <c r="D122" s="50" t="str">
        <f>IF($A122&lt;&gt;"",IF(VLOOKUP($A122,貼り付け用!$A$1:$BA$300,COLUMN(),FALSE)=0,"",VLOOKUP($A122,貼り付け用!$A$1:$BA$300,COLUMN(),FALSE)),"")</f>
        <v/>
      </c>
      <c r="E122" s="50" t="str">
        <f>IF($A122&lt;&gt;"",IF(VLOOKUP($A122,貼り付け用!$A$1:$BA$300,COLUMN(),FALSE)=0,"",VLOOKUP($A122,貼り付け用!$A$1:$BA$300,COLUMN(),FALSE)),"")</f>
        <v/>
      </c>
      <c r="F122" s="50" t="str">
        <f>IF($A122&lt;&gt;"",IF(VLOOKUP($A122,貼り付け用!$A$1:$BA$300,COLUMN(),FALSE)=0,"",VLOOKUP($A122,貼り付け用!$A$1:$BA$300,COLUMN(),FALSE)),"")</f>
        <v/>
      </c>
      <c r="G122" s="50" t="str">
        <f>IF($A122&lt;&gt;"",IF(VLOOKUP($A122,貼り付け用!$A$1:$BA$300,COLUMN(),FALSE)=0,"",VLOOKUP($A122,貼り付け用!$A$1:$BA$300,COLUMN(),FALSE)),"")</f>
        <v/>
      </c>
      <c r="H122" s="50" t="str">
        <f>IF($A122&lt;&gt;"",IF(VLOOKUP($A122,貼り付け用!$A$1:$BA$300,COLUMN(),FALSE)=0,"",VLOOKUP($A122,貼り付け用!$A$1:$BA$300,COLUMN(),FALSE)),"")</f>
        <v/>
      </c>
      <c r="I122" s="50" t="str">
        <f>IF($A122&lt;&gt;"",IF(VLOOKUP($A122,貼り付け用!$A$1:$BA$300,COLUMN(),FALSE)=0,"",VLOOKUP($A122,貼り付け用!$A$1:$BA$300,COLUMN(),FALSE)),"")</f>
        <v/>
      </c>
      <c r="J122" s="50" t="str">
        <f>IF($A122&lt;&gt;"",IF(VLOOKUP($A122,貼り付け用!$A$1:$BA$300,COLUMN(),FALSE)=0,"",VLOOKUP($A122,貼り付け用!$A$1:$BA$300,COLUMN(),FALSE)),"")</f>
        <v/>
      </c>
      <c r="K122" s="50" t="str">
        <f>IF($A122&lt;&gt;"",IF(VLOOKUP($A122,貼り付け用!$A$1:$BA$300,COLUMN(),FALSE)=0,"",VLOOKUP($A122,貼り付け用!$A$1:$BA$300,COLUMN(),FALSE)),"")</f>
        <v/>
      </c>
      <c r="L122" s="50" t="str">
        <f>IF($A122&lt;&gt;"",
IF(COLUMN(貼り付け用!L122)&gt;MATCH("おやつ",貼り付け用!$3:$3,0),"",
IF(VLOOKUP($A122,貼り付け用!$A$1:$BA$300,COLUMN(),FALSE)=0,"",VLOOKUP($A122,貼り付け用!$A$1:$BA$300,COLUMN(),FALSE))),"")</f>
        <v/>
      </c>
      <c r="M122" s="50" t="str">
        <f>IF($A122&lt;&gt;"",
IF(COLUMN(貼り付け用!M122)&gt;MATCH("おやつ",貼り付け用!$3:$3,0),"",
IF(VLOOKUP($A122,貼り付け用!$A$1:$BA$300,COLUMN(),FALSE)=0,"",VLOOKUP($A122,貼り付け用!$A$1:$BA$300,COLUMN(),FALSE))),"")</f>
        <v/>
      </c>
      <c r="N122" s="50" t="str">
        <f>IF($A122&lt;&gt;"",
IF(COLUMN(貼り付け用!N122)&gt;MATCH("おやつ",貼り付け用!$3:$3,0),"",
IF(VLOOKUP($A122,貼り付け用!$A$1:$BA$300,COLUMN(),FALSE)=0,"",VLOOKUP($A122,貼り付け用!$A$1:$BA$300,COLUMN(),FALSE))),"")</f>
        <v/>
      </c>
      <c r="O122" s="50" t="str">
        <f>IF($A122&lt;&gt;"",
IF(COLUMN(貼り付け用!O122)&gt;MATCH("おやつ",貼り付け用!$3:$3,0),"",
IF(VLOOKUP($A122,貼り付け用!$A$1:$BA$300,COLUMN(),FALSE)=0,"",VLOOKUP($A122,貼り付け用!$A$1:$BA$300,COLUMN(),FALSE))),"")</f>
        <v/>
      </c>
      <c r="P122" s="50" t="str">
        <f>IF($A122&lt;&gt;"",
IF(COLUMN(貼り付け用!P122)&gt;MATCH("おやつ",貼り付け用!$3:$3,0),"",
IF(VLOOKUP($A122,貼り付け用!$A$1:$BA$300,COLUMN(),FALSE)=0,"",VLOOKUP($A122,貼り付け用!$A$1:$BA$300,COLUMN(),FALSE))),"")</f>
        <v/>
      </c>
      <c r="Q122" s="50" t="str">
        <f>IF($A122&lt;&gt;"",
IF(COLUMN(貼り付け用!Q122)&gt;MATCH("おやつ",貼り付け用!$3:$3,0),"",
IF(VLOOKUP($A122,貼り付け用!$A$1:$BA$300,COLUMN(),FALSE)=0,"",VLOOKUP($A122,貼り付け用!$A$1:$BA$300,COLUMN(),FALSE))),"")</f>
        <v/>
      </c>
      <c r="R122" s="50" t="str">
        <f>IF($A122&lt;&gt;"",
IF(COLUMN(貼り付け用!R122)&gt;MATCH("おやつ",貼り付け用!$3:$3,0),"",
IF(VLOOKUP($A122,貼り付け用!$A$1:$BA$300,COLUMN(),FALSE)=0,"",VLOOKUP($A122,貼り付け用!$A$1:$BA$300,COLUMN(),FALSE))),"")</f>
        <v/>
      </c>
      <c r="S122" s="50" t="str">
        <f>IF($A122&lt;&gt;"",
IF(COLUMN(貼り付け用!S122)&gt;MATCH("おやつ",貼り付け用!$3:$3,0),"",
IF(VLOOKUP($A122,貼り付け用!$A$1:$BA$300,COLUMN(),FALSE)=0,"",VLOOKUP($A122,貼り付け用!$A$1:$BA$300,COLUMN(),FALSE))),"")</f>
        <v/>
      </c>
      <c r="T122" s="50" t="str">
        <f>IF(COLUMN(貼り付け用!T122)&gt;MATCH("おやつ",貼り付け用!$3:$3,0),"",
IF(VLOOKUP($A122,貼り付け用!$A$1:$BA$300,COLUMN(),FALSE)=0,"",VLOOKUP($A122,貼り付け用!$A$1:$BA$300,COLUMN(),FALSE)))</f>
        <v/>
      </c>
      <c r="U122" s="23"/>
      <c r="V122" s="21" t="str">
        <f>IF(A122&lt;&gt;"",
IF(VLOOKUP($A122,貼り付け用!$A$1:$BA$300,MATCH("おやつ",貼り付け用!$3:$3,0)+1,FALSE)=0,"",VLOOKUP($A122,貼り付け用!$A$1:$BA$300,MATCH("おやつ",貼り付け用!$3:$3,0)+1,FALSE)),"")</f>
        <v/>
      </c>
      <c r="W122" s="50" t="str">
        <f>IF(A122&lt;&gt;"",
IF(VLOOKUP($A122,貼り付け用!$A$1:$BA$300,MATCH("おやつ",貼り付け用!$3:$3,0)+2,FALSE)=0,"",VLOOKUP($A122,貼り付け用!$A$1:$BA$300,MATCH("おやつ",貼り付け用!$3:$3,0)+2,FALSE)),"")</f>
        <v/>
      </c>
    </row>
    <row r="123" spans="1:23" x14ac:dyDescent="0.45">
      <c r="A123" s="22" t="str">
        <f>IF(貼り付け用!$A$6&lt;&gt;"",
IF(ROW(A122)+1&gt;=MATCH("*【合計】*", 貼り付け用!$A:$A, 0),"",
IF(貼り付け用!A123&lt;&gt;"",貼り付け用!A123,"")),
IF(ROW(A123)+1&gt;=MATCH("*【合計】*", 貼り付け用!$A:$A, 0),"",
IF(貼り付け用!A124&lt;&gt;"",貼り付け用!A124,"")))</f>
        <v>吉塚ゆりの樹幼稚園（別）</v>
      </c>
      <c r="B123" s="45" t="str">
        <f>IF($A123&lt;&gt;"",IF(VLOOKUP($A123,貼り付け用!$A$1:$BA$300,COLUMN(),FALSE)=0,"",VLOOKUP($A123,貼り付け用!$A$1:$BA$300,COLUMN(),FALSE)),"")</f>
        <v/>
      </c>
      <c r="C123" s="45" t="str">
        <f>IF($A123&lt;&gt;"",IF(VLOOKUP($A123,貼り付け用!$A$1:$BA$300,COLUMN(),FALSE)=0,"",VLOOKUP($A123,貼り付け用!$A$1:$BA$300,COLUMN(),FALSE)),"")</f>
        <v/>
      </c>
      <c r="D123" s="45" t="str">
        <f>IF($A123&lt;&gt;"",IF(VLOOKUP($A123,貼り付け用!$A$1:$BA$300,COLUMN(),FALSE)=0,"",VLOOKUP($A123,貼り付け用!$A$1:$BA$300,COLUMN(),FALSE)),"")</f>
        <v/>
      </c>
      <c r="E123" s="45" t="str">
        <f>IF($A123&lt;&gt;"",IF(VLOOKUP($A123,貼り付け用!$A$1:$BA$300,COLUMN(),FALSE)=0,"",VLOOKUP($A123,貼り付け用!$A$1:$BA$300,COLUMN(),FALSE)),"")</f>
        <v/>
      </c>
      <c r="F123" s="45" t="str">
        <f>IF($A123&lt;&gt;"",IF(VLOOKUP($A123,貼り付け用!$A$1:$BA$300,COLUMN(),FALSE)=0,"",VLOOKUP($A123,貼り付け用!$A$1:$BA$300,COLUMN(),FALSE)),"")</f>
        <v/>
      </c>
      <c r="G123" s="45" t="str">
        <f>IF($A123&lt;&gt;"",IF(VLOOKUP($A123,貼り付け用!$A$1:$BA$300,COLUMN(),FALSE)=0,"",VLOOKUP($A123,貼り付け用!$A$1:$BA$300,COLUMN(),FALSE)),"")</f>
        <v/>
      </c>
      <c r="H123" s="45" t="str">
        <f>IF($A123&lt;&gt;"",IF(VLOOKUP($A123,貼り付け用!$A$1:$BA$300,COLUMN(),FALSE)=0,"",VLOOKUP($A123,貼り付け用!$A$1:$BA$300,COLUMN(),FALSE)),"")</f>
        <v/>
      </c>
      <c r="I123" s="45" t="str">
        <f>IF($A123&lt;&gt;"",IF(VLOOKUP($A123,貼り付け用!$A$1:$BA$300,COLUMN(),FALSE)=0,"",VLOOKUP($A123,貼り付け用!$A$1:$BA$300,COLUMN(),FALSE)),"")</f>
        <v/>
      </c>
      <c r="J123" s="45" t="str">
        <f>IF($A123&lt;&gt;"",IF(VLOOKUP($A123,貼り付け用!$A$1:$BA$300,COLUMN(),FALSE)=0,"",VLOOKUP($A123,貼り付け用!$A$1:$BA$300,COLUMN(),FALSE)),"")</f>
        <v/>
      </c>
      <c r="K123" s="45" t="str">
        <f>IF($A123&lt;&gt;"",IF(VLOOKUP($A123,貼り付け用!$A$1:$BA$300,COLUMN(),FALSE)=0,"",VLOOKUP($A123,貼り付け用!$A$1:$BA$300,COLUMN(),FALSE)),"")</f>
        <v/>
      </c>
      <c r="L123" s="45" t="str">
        <f>IF($A123&lt;&gt;"",
IF(COLUMN(貼り付け用!L123)&gt;MATCH("おやつ",貼り付け用!$3:$3,0),"",
IF(VLOOKUP($A123,貼り付け用!$A$1:$BA$300,COLUMN(),FALSE)=0,"",VLOOKUP($A123,貼り付け用!$A$1:$BA$300,COLUMN(),FALSE))),"")</f>
        <v/>
      </c>
      <c r="M123" s="45" t="str">
        <f>IF($A123&lt;&gt;"",
IF(COLUMN(貼り付け用!M123)&gt;MATCH("おやつ",貼り付け用!$3:$3,0),"",
IF(VLOOKUP($A123,貼り付け用!$A$1:$BA$300,COLUMN(),FALSE)=0,"",VLOOKUP($A123,貼り付け用!$A$1:$BA$300,COLUMN(),FALSE))),"")</f>
        <v/>
      </c>
      <c r="N123" s="45" t="str">
        <f>IF($A123&lt;&gt;"",
IF(COLUMN(貼り付け用!N123)&gt;MATCH("おやつ",貼り付け用!$3:$3,0),"",
IF(VLOOKUP($A123,貼り付け用!$A$1:$BA$300,COLUMN(),FALSE)=0,"",VLOOKUP($A123,貼り付け用!$A$1:$BA$300,COLUMN(),FALSE))),"")</f>
        <v/>
      </c>
      <c r="O123" s="45" t="str">
        <f>IF($A123&lt;&gt;"",
IF(COLUMN(貼り付け用!O123)&gt;MATCH("おやつ",貼り付け用!$3:$3,0),"",
IF(VLOOKUP($A123,貼り付け用!$A$1:$BA$300,COLUMN(),FALSE)=0,"",VLOOKUP($A123,貼り付け用!$A$1:$BA$300,COLUMN(),FALSE))),"")</f>
        <v/>
      </c>
      <c r="P123" s="45" t="str">
        <f>IF($A123&lt;&gt;"",
IF(COLUMN(貼り付け用!P123)&gt;MATCH("おやつ",貼り付け用!$3:$3,0),"",
IF(VLOOKUP($A123,貼り付け用!$A$1:$BA$300,COLUMN(),FALSE)=0,"",VLOOKUP($A123,貼り付け用!$A$1:$BA$300,COLUMN(),FALSE))),"")</f>
        <v/>
      </c>
      <c r="Q123" s="45" t="str">
        <f>IF($A123&lt;&gt;"",
IF(COLUMN(貼り付け用!Q123)&gt;MATCH("おやつ",貼り付け用!$3:$3,0),"",
IF(VLOOKUP($A123,貼り付け用!$A$1:$BA$300,COLUMN(),FALSE)=0,"",VLOOKUP($A123,貼り付け用!$A$1:$BA$300,COLUMN(),FALSE))),"")</f>
        <v/>
      </c>
      <c r="R123" s="45" t="str">
        <f>IF($A123&lt;&gt;"",
IF(COLUMN(貼り付け用!R123)&gt;MATCH("おやつ",貼り付け用!$3:$3,0),"",
IF(VLOOKUP($A123,貼り付け用!$A$1:$BA$300,COLUMN(),FALSE)=0,"",VLOOKUP($A123,貼り付け用!$A$1:$BA$300,COLUMN(),FALSE))),"")</f>
        <v/>
      </c>
      <c r="S123" s="45" t="str">
        <f>IF($A123&lt;&gt;"",
IF(COLUMN(貼り付け用!S123)&gt;MATCH("おやつ",貼り付け用!$3:$3,0),"",
IF(VLOOKUP($A123,貼り付け用!$A$1:$BA$300,COLUMN(),FALSE)=0,"",VLOOKUP($A123,貼り付け用!$A$1:$BA$300,COLUMN(),FALSE))),"")</f>
        <v/>
      </c>
      <c r="T123" s="45" t="str">
        <f>IF(COLUMN(貼り付け用!T123)&gt;MATCH("おやつ",貼り付け用!$3:$3,0),"",
IF(VLOOKUP($A123,貼り付け用!$A$1:$BA$300,COLUMN(),FALSE)=0,"",VLOOKUP($A123,貼り付け用!$A$1:$BA$300,COLUMN(),FALSE)))</f>
        <v/>
      </c>
      <c r="U123" s="24"/>
      <c r="V123" s="21" t="str">
        <f>IF(A123&lt;&gt;"",
IF(VLOOKUP($A123,貼り付け用!$A$1:$BA$300,MATCH("おやつ",貼り付け用!$3:$3,0)+1,FALSE)=0,"",VLOOKUP($A123,貼り付け用!$A$1:$BA$300,MATCH("おやつ",貼り付け用!$3:$3,0)+1,FALSE)),"")</f>
        <v/>
      </c>
      <c r="W123" s="50" t="str">
        <f>IF(A123&lt;&gt;"",
IF(VLOOKUP($A123,貼り付け用!$A$1:$BA$300,MATCH("おやつ",貼り付け用!$3:$3,0)+2,FALSE)=0,"",VLOOKUP($A123,貼り付け用!$A$1:$BA$300,MATCH("おやつ",貼り付け用!$3:$3,0)+2,FALSE)),"")</f>
        <v/>
      </c>
    </row>
    <row r="124" spans="1:23" x14ac:dyDescent="0.45">
      <c r="A124" s="10" t="str">
        <f>IF(貼り付け用!$A$6&lt;&gt;"",
IF(ROW(A123)+1&gt;=MATCH("*【合計】*", 貼り付け用!$A:$A, 0),
"",
IF(貼り付け用!A124&lt;&gt;"",貼り付け用!A124,"")),
IF(ROW(A124)+1&gt;=MATCH("*【合計】*", 貼り付け用!$A:$A, 0),
"",
IF(貼り付け用!A125&lt;&gt;"",貼り付け用!A125,"")))</f>
        <v>805</v>
      </c>
      <c r="B124" s="50" t="str">
        <f>IF($A124&lt;&gt;"",IF(VLOOKUP($A124,貼り付け用!$A$1:$BA$300,COLUMN(),FALSE)=0,"",VLOOKUP($A124,貼り付け用!$A$1:$BA$300,COLUMN(),FALSE)),"")</f>
        <v/>
      </c>
      <c r="C124" s="50" t="str">
        <f>IF($A124&lt;&gt;"",IF(VLOOKUP($A124,貼り付け用!$A$1:$BA$300,COLUMN(),FALSE)=0,"",VLOOKUP($A124,貼り付け用!$A$1:$BA$300,COLUMN(),FALSE)),"")</f>
        <v/>
      </c>
      <c r="D124" s="50" t="str">
        <f>IF($A124&lt;&gt;"",IF(VLOOKUP($A124,貼り付け用!$A$1:$BA$300,COLUMN(),FALSE)=0,"",VLOOKUP($A124,貼り付け用!$A$1:$BA$300,COLUMN(),FALSE)),"")</f>
        <v>117</v>
      </c>
      <c r="E124" s="50" t="str">
        <f>IF($A124&lt;&gt;"",IF(VLOOKUP($A124,貼り付け用!$A$1:$BA$300,COLUMN(),FALSE)=0,"",VLOOKUP($A124,貼り付け用!$A$1:$BA$300,COLUMN(),FALSE)),"")</f>
        <v/>
      </c>
      <c r="F124" s="50" t="str">
        <f>IF($A124&lt;&gt;"",IF(VLOOKUP($A124,貼り付け用!$A$1:$BA$300,COLUMN(),FALSE)=0,"",VLOOKUP($A124,貼り付け用!$A$1:$BA$300,COLUMN(),FALSE)),"")</f>
        <v/>
      </c>
      <c r="G124" s="50" t="str">
        <f>IF($A124&lt;&gt;"",IF(VLOOKUP($A124,貼り付け用!$A$1:$BA$300,COLUMN(),FALSE)=0,"",VLOOKUP($A124,貼り付け用!$A$1:$BA$300,COLUMN(),FALSE)),"")</f>
        <v/>
      </c>
      <c r="H124" s="50" t="str">
        <f>IF($A124&lt;&gt;"",IF(VLOOKUP($A124,貼り付け用!$A$1:$BA$300,COLUMN(),FALSE)=0,"",VLOOKUP($A124,貼り付け用!$A$1:$BA$300,COLUMN(),FALSE)),"")</f>
        <v/>
      </c>
      <c r="I124" s="50" t="str">
        <f>IF($A124&lt;&gt;"",IF(VLOOKUP($A124,貼り付け用!$A$1:$BA$300,COLUMN(),FALSE)=0,"",VLOOKUP($A124,貼り付け用!$A$1:$BA$300,COLUMN(),FALSE)),"")</f>
        <v/>
      </c>
      <c r="J124" s="50" t="str">
        <f>IF($A124&lt;&gt;"",IF(VLOOKUP($A124,貼り付け用!$A$1:$BA$300,COLUMN(),FALSE)=0,"",VLOOKUP($A124,貼り付け用!$A$1:$BA$300,COLUMN(),FALSE)),"")</f>
        <v/>
      </c>
      <c r="K124" s="50" t="str">
        <f>IF($A124&lt;&gt;"",IF(VLOOKUP($A124,貼り付け用!$A$1:$BA$300,COLUMN(),FALSE)=0,"",VLOOKUP($A124,貼り付け用!$A$1:$BA$300,COLUMN(),FALSE)),"")</f>
        <v/>
      </c>
      <c r="L124" s="50" t="str">
        <f>IF($A124&lt;&gt;"",
IF(COLUMN(貼り付け用!L124)&gt;MATCH("おやつ",貼り付け用!$3:$3,0),"",
IF(VLOOKUP($A124,貼り付け用!$A$1:$BA$300,COLUMN(),FALSE)=0,"",VLOOKUP($A124,貼り付け用!$A$1:$BA$300,COLUMN(),FALSE))),"")</f>
        <v/>
      </c>
      <c r="M124" s="50" t="str">
        <f>IF($A124&lt;&gt;"",
IF(COLUMN(貼り付け用!M124)&gt;MATCH("おやつ",貼り付け用!$3:$3,0),"",
IF(VLOOKUP($A124,貼り付け用!$A$1:$BA$300,COLUMN(),FALSE)=0,"",VLOOKUP($A124,貼り付け用!$A$1:$BA$300,COLUMN(),FALSE))),"")</f>
        <v/>
      </c>
      <c r="N124" s="50" t="str">
        <f>IF($A124&lt;&gt;"",
IF(COLUMN(貼り付け用!N124)&gt;MATCH("おやつ",貼り付け用!$3:$3,0),"",
IF(VLOOKUP($A124,貼り付け用!$A$1:$BA$300,COLUMN(),FALSE)=0,"",VLOOKUP($A124,貼り付け用!$A$1:$BA$300,COLUMN(),FALSE))),"")</f>
        <v/>
      </c>
      <c r="O124" s="50" t="str">
        <f>IF($A124&lt;&gt;"",
IF(COLUMN(貼り付け用!O124)&gt;MATCH("おやつ",貼り付け用!$3:$3,0),"",
IF(VLOOKUP($A124,貼り付け用!$A$1:$BA$300,COLUMN(),FALSE)=0,"",VLOOKUP($A124,貼り付け用!$A$1:$BA$300,COLUMN(),FALSE))),"")</f>
        <v/>
      </c>
      <c r="P124" s="50" t="str">
        <f>IF($A124&lt;&gt;"",
IF(COLUMN(貼り付け用!P124)&gt;MATCH("おやつ",貼り付け用!$3:$3,0),"",
IF(VLOOKUP($A124,貼り付け用!$A$1:$BA$300,COLUMN(),FALSE)=0,"",VLOOKUP($A124,貼り付け用!$A$1:$BA$300,COLUMN(),FALSE))),"")</f>
        <v/>
      </c>
      <c r="Q124" s="50" t="str">
        <f>IF($A124&lt;&gt;"",
IF(COLUMN(貼り付け用!Q124)&gt;MATCH("おやつ",貼り付け用!$3:$3,0),"",
IF(VLOOKUP($A124,貼り付け用!$A$1:$BA$300,COLUMN(),FALSE)=0,"",VLOOKUP($A124,貼り付け用!$A$1:$BA$300,COLUMN(),FALSE))),"")</f>
        <v/>
      </c>
      <c r="R124" s="50" t="str">
        <f>IF($A124&lt;&gt;"",
IF(COLUMN(貼り付け用!R124)&gt;MATCH("おやつ",貼り付け用!$3:$3,0),"",
IF(VLOOKUP($A124,貼り付け用!$A$1:$BA$300,COLUMN(),FALSE)=0,"",VLOOKUP($A124,貼り付け用!$A$1:$BA$300,COLUMN(),FALSE))),"")</f>
        <v/>
      </c>
      <c r="S124" s="50" t="str">
        <f>IF($A124&lt;&gt;"",
IF(COLUMN(貼り付け用!S124)&gt;MATCH("おやつ",貼り付け用!$3:$3,0),"",
IF(VLOOKUP($A124,貼り付け用!$A$1:$BA$300,COLUMN(),FALSE)=0,"",VLOOKUP($A124,貼り付け用!$A$1:$BA$300,COLUMN(),FALSE))),"")</f>
        <v/>
      </c>
      <c r="T124" s="50" t="str">
        <f>IF(COLUMN(貼り付け用!T124)&gt;MATCH("おやつ",貼り付け用!$3:$3,0),"",
IF(VLOOKUP($A124,貼り付け用!$A$1:$BA$300,COLUMN(),FALSE)=0,"",VLOOKUP($A124,貼り付け用!$A$1:$BA$300,COLUMN(),FALSE)))</f>
        <v/>
      </c>
      <c r="U124" s="23"/>
      <c r="V124" s="21" t="str">
        <f>IF(A124&lt;&gt;"",
IF(VLOOKUP($A124,貼り付け用!$A$1:$BA$300,MATCH("おやつ",貼り付け用!$3:$3,0)+1,FALSE)=0,"",VLOOKUP($A124,貼り付け用!$A$1:$BA$300,MATCH("おやつ",貼り付け用!$3:$3,0)+1,FALSE)),"")</f>
        <v>ｱﾚ4</v>
      </c>
      <c r="W124" s="50" t="str">
        <f>IF(A124&lt;&gt;"",
IF(VLOOKUP($A124,貼り付け用!$A$1:$BA$300,MATCH("おやつ",貼り付け用!$3:$3,0)+2,FALSE)=0,"",VLOOKUP($A124,貼り付け用!$A$1:$BA$300,MATCH("おやつ",貼り付け用!$3:$3,0)+2,FALSE)),"")</f>
        <v/>
      </c>
    </row>
    <row r="125" spans="1:23" x14ac:dyDescent="0.45">
      <c r="A125" s="22" t="str">
        <f>IF(貼り付け用!$A$6&lt;&gt;"",
IF(ROW(A124)+1&gt;=MATCH("*【合計】*", 貼り付け用!$A:$A, 0),"",
IF(貼り付け用!A125&lt;&gt;"",貼り付け用!A125,"")),
IF(ROW(A125)+1&gt;=MATCH("*【合計】*", 貼り付け用!$A:$A, 0),"",
IF(貼り付け用!A126&lt;&gt;"",貼り付け用!A126,"")))</f>
        <v>吉塚ゆりの樹 ママミール web</v>
      </c>
      <c r="B125" s="45" t="str">
        <f>IF($A125&lt;&gt;"",IF(VLOOKUP($A125,貼り付け用!$A$1:$BA$300,COLUMN(),FALSE)=0,"",VLOOKUP($A125,貼り付け用!$A$1:$BA$300,COLUMN(),FALSE)),"")</f>
        <v/>
      </c>
      <c r="C125" s="45" t="str">
        <f>IF($A125&lt;&gt;"",IF(VLOOKUP($A125,貼り付け用!$A$1:$BA$300,COLUMN(),FALSE)=0,"",VLOOKUP($A125,貼り付け用!$A$1:$BA$300,COLUMN(),FALSE)),"")</f>
        <v/>
      </c>
      <c r="D125" s="45" t="str">
        <f>IF($A125&lt;&gt;"",IF(VLOOKUP($A125,貼り付け用!$A$1:$BA$300,COLUMN(),FALSE)=0,"",VLOOKUP($A125,貼り付け用!$A$1:$BA$300,COLUMN(),FALSE)),"")</f>
        <v>1</v>
      </c>
      <c r="E125" s="45" t="str">
        <f>IF($A125&lt;&gt;"",IF(VLOOKUP($A125,貼り付け用!$A$1:$BA$300,COLUMN(),FALSE)=0,"",VLOOKUP($A125,貼り付け用!$A$1:$BA$300,COLUMN(),FALSE)),"")</f>
        <v/>
      </c>
      <c r="F125" s="45" t="str">
        <f>IF($A125&lt;&gt;"",IF(VLOOKUP($A125,貼り付け用!$A$1:$BA$300,COLUMN(),FALSE)=0,"",VLOOKUP($A125,貼り付け用!$A$1:$BA$300,COLUMN(),FALSE)),"")</f>
        <v/>
      </c>
      <c r="G125" s="45" t="str">
        <f>IF($A125&lt;&gt;"",IF(VLOOKUP($A125,貼り付け用!$A$1:$BA$300,COLUMN(),FALSE)=0,"",VLOOKUP($A125,貼り付け用!$A$1:$BA$300,COLUMN(),FALSE)),"")</f>
        <v/>
      </c>
      <c r="H125" s="45" t="str">
        <f>IF($A125&lt;&gt;"",IF(VLOOKUP($A125,貼り付け用!$A$1:$BA$300,COLUMN(),FALSE)=0,"",VLOOKUP($A125,貼り付け用!$A$1:$BA$300,COLUMN(),FALSE)),"")</f>
        <v/>
      </c>
      <c r="I125" s="45" t="str">
        <f>IF($A125&lt;&gt;"",IF(VLOOKUP($A125,貼り付け用!$A$1:$BA$300,COLUMN(),FALSE)=0,"",VLOOKUP($A125,貼り付け用!$A$1:$BA$300,COLUMN(),FALSE)),"")</f>
        <v/>
      </c>
      <c r="J125" s="45" t="str">
        <f>IF($A125&lt;&gt;"",IF(VLOOKUP($A125,貼り付け用!$A$1:$BA$300,COLUMN(),FALSE)=0,"",VLOOKUP($A125,貼り付け用!$A$1:$BA$300,COLUMN(),FALSE)),"")</f>
        <v/>
      </c>
      <c r="K125" s="45" t="str">
        <f>IF($A125&lt;&gt;"",IF(VLOOKUP($A125,貼り付け用!$A$1:$BA$300,COLUMN(),FALSE)=0,"",VLOOKUP($A125,貼り付け用!$A$1:$BA$300,COLUMN(),FALSE)),"")</f>
        <v/>
      </c>
      <c r="L125" s="45" t="str">
        <f>IF($A125&lt;&gt;"",
IF(COLUMN(貼り付け用!L125)&gt;MATCH("おやつ",貼り付け用!$3:$3,0),"",
IF(VLOOKUP($A125,貼り付け用!$A$1:$BA$300,COLUMN(),FALSE)=0,"",VLOOKUP($A125,貼り付け用!$A$1:$BA$300,COLUMN(),FALSE))),"")</f>
        <v/>
      </c>
      <c r="M125" s="45" t="str">
        <f>IF($A125&lt;&gt;"",
IF(COLUMN(貼り付け用!M125)&gt;MATCH("おやつ",貼り付け用!$3:$3,0),"",
IF(VLOOKUP($A125,貼り付け用!$A$1:$BA$300,COLUMN(),FALSE)=0,"",VLOOKUP($A125,貼り付け用!$A$1:$BA$300,COLUMN(),FALSE))),"")</f>
        <v/>
      </c>
      <c r="N125" s="45" t="str">
        <f>IF($A125&lt;&gt;"",
IF(COLUMN(貼り付け用!N125)&gt;MATCH("おやつ",貼り付け用!$3:$3,0),"",
IF(VLOOKUP($A125,貼り付け用!$A$1:$BA$300,COLUMN(),FALSE)=0,"",VLOOKUP($A125,貼り付け用!$A$1:$BA$300,COLUMN(),FALSE))),"")</f>
        <v/>
      </c>
      <c r="O125" s="45" t="str">
        <f>IF($A125&lt;&gt;"",
IF(COLUMN(貼り付け用!O125)&gt;MATCH("おやつ",貼り付け用!$3:$3,0),"",
IF(VLOOKUP($A125,貼り付け用!$A$1:$BA$300,COLUMN(),FALSE)=0,"",VLOOKUP($A125,貼り付け用!$A$1:$BA$300,COLUMN(),FALSE))),"")</f>
        <v/>
      </c>
      <c r="P125" s="45" t="str">
        <f>IF($A125&lt;&gt;"",
IF(COLUMN(貼り付け用!P125)&gt;MATCH("おやつ",貼り付け用!$3:$3,0),"",
IF(VLOOKUP($A125,貼り付け用!$A$1:$BA$300,COLUMN(),FALSE)=0,"",VLOOKUP($A125,貼り付け用!$A$1:$BA$300,COLUMN(),FALSE))),"")</f>
        <v/>
      </c>
      <c r="Q125" s="45" t="str">
        <f>IF($A125&lt;&gt;"",
IF(COLUMN(貼り付け用!Q125)&gt;MATCH("おやつ",貼り付け用!$3:$3,0),"",
IF(VLOOKUP($A125,貼り付け用!$A$1:$BA$300,COLUMN(),FALSE)=0,"",VLOOKUP($A125,貼り付け用!$A$1:$BA$300,COLUMN(),FALSE))),"")</f>
        <v/>
      </c>
      <c r="R125" s="45" t="str">
        <f>IF($A125&lt;&gt;"",
IF(COLUMN(貼り付け用!R125)&gt;MATCH("おやつ",貼り付け用!$3:$3,0),"",
IF(VLOOKUP($A125,貼り付け用!$A$1:$BA$300,COLUMN(),FALSE)=0,"",VLOOKUP($A125,貼り付け用!$A$1:$BA$300,COLUMN(),FALSE))),"")</f>
        <v/>
      </c>
      <c r="S125" s="45" t="str">
        <f>IF($A125&lt;&gt;"",
IF(COLUMN(貼り付け用!S125)&gt;MATCH("おやつ",貼り付け用!$3:$3,0),"",
IF(VLOOKUP($A125,貼り付け用!$A$1:$BA$300,COLUMN(),FALSE)=0,"",VLOOKUP($A125,貼り付け用!$A$1:$BA$300,COLUMN(),FALSE))),"")</f>
        <v/>
      </c>
      <c r="T125" s="45" t="str">
        <f>IF(COLUMN(貼り付け用!T125)&gt;MATCH("おやつ",貼り付け用!$3:$3,0),"",
IF(VLOOKUP($A125,貼り付け用!$A$1:$BA$300,COLUMN(),FALSE)=0,"",VLOOKUP($A125,貼り付け用!$A$1:$BA$300,COLUMN(),FALSE)))</f>
        <v/>
      </c>
      <c r="U125" s="24"/>
      <c r="V125" s="21" t="str">
        <f>IF(A125&lt;&gt;"",
IF(VLOOKUP($A125,貼り付け用!$A$1:$BA$300,MATCH("おやつ",貼り付け用!$3:$3,0)+1,FALSE)=0,"",VLOOKUP($A125,貼り付け用!$A$1:$BA$300,MATCH("おやつ",貼り付け用!$3:$3,0)+1,FALSE)),"")</f>
        <v/>
      </c>
      <c r="W125" s="50" t="str">
        <f>IF(A125&lt;&gt;"",
IF(VLOOKUP($A125,貼り付け用!$A$1:$BA$300,MATCH("おやつ",貼り付け用!$3:$3,0)+2,FALSE)=0,"",VLOOKUP($A125,貼り付け用!$A$1:$BA$300,MATCH("おやつ",貼り付け用!$3:$3,0)+2,FALSE)),"")</f>
        <v/>
      </c>
    </row>
    <row r="126" spans="1:23" x14ac:dyDescent="0.45">
      <c r="A126" s="10" t="str">
        <f>IF(貼り付け用!$A$6&lt;&gt;"",
IF(ROW(A125)+1&gt;=MATCH("*【合計】*", 貼り付け用!$A:$A, 0),
"",
IF(貼り付け用!A126&lt;&gt;"",貼り付け用!A126,"")),
IF(ROW(A126)+1&gt;=MATCH("*【合計】*", 貼り付け用!$A:$A, 0),
"",
IF(貼り付け用!A127&lt;&gt;"",貼り付け用!A127,"")))</f>
        <v>40100</v>
      </c>
      <c r="B126" s="50" t="str">
        <f>IF($A126&lt;&gt;"",IF(VLOOKUP($A126,貼り付け用!$A$1:$BA$300,COLUMN(),FALSE)=0,"",VLOOKUP($A126,貼り付け用!$A$1:$BA$300,COLUMN(),FALSE)),"")</f>
        <v/>
      </c>
      <c r="C126" s="50" t="str">
        <f>IF($A126&lt;&gt;"",IF(VLOOKUP($A126,貼り付け用!$A$1:$BA$300,COLUMN(),FALSE)=0,"",VLOOKUP($A126,貼り付け用!$A$1:$BA$300,COLUMN(),FALSE)),"")</f>
        <v/>
      </c>
      <c r="D126" s="50" t="str">
        <f>IF($A126&lt;&gt;"",IF(VLOOKUP($A126,貼り付け用!$A$1:$BA$300,COLUMN(),FALSE)=0,"",VLOOKUP($A126,貼り付け用!$A$1:$BA$300,COLUMN(),FALSE)),"")</f>
        <v/>
      </c>
      <c r="E126" s="50" t="str">
        <f>IF($A126&lt;&gt;"",IF(VLOOKUP($A126,貼り付け用!$A$1:$BA$300,COLUMN(),FALSE)=0,"",VLOOKUP($A126,貼り付け用!$A$1:$BA$300,COLUMN(),FALSE)),"")</f>
        <v/>
      </c>
      <c r="F126" s="50" t="str">
        <f>IF($A126&lt;&gt;"",IF(VLOOKUP($A126,貼り付け用!$A$1:$BA$300,COLUMN(),FALSE)=0,"",VLOOKUP($A126,貼り付け用!$A$1:$BA$300,COLUMN(),FALSE)),"")</f>
        <v/>
      </c>
      <c r="G126" s="50" t="str">
        <f>IF($A126&lt;&gt;"",IF(VLOOKUP($A126,貼り付け用!$A$1:$BA$300,COLUMN(),FALSE)=0,"",VLOOKUP($A126,貼り付け用!$A$1:$BA$300,COLUMN(),FALSE)),"")</f>
        <v>134</v>
      </c>
      <c r="H126" s="50" t="str">
        <f>IF($A126&lt;&gt;"",IF(VLOOKUP($A126,貼り付け用!$A$1:$BA$300,COLUMN(),FALSE)=0,"",VLOOKUP($A126,貼り付け用!$A$1:$BA$300,COLUMN(),FALSE)),"")</f>
        <v/>
      </c>
      <c r="I126" s="50" t="str">
        <f>IF($A126&lt;&gt;"",IF(VLOOKUP($A126,貼り付け用!$A$1:$BA$300,COLUMN(),FALSE)=0,"",VLOOKUP($A126,貼り付け用!$A$1:$BA$300,COLUMN(),FALSE)),"")</f>
        <v/>
      </c>
      <c r="J126" s="50" t="str">
        <f>IF($A126&lt;&gt;"",IF(VLOOKUP($A126,貼り付け用!$A$1:$BA$300,COLUMN(),FALSE)=0,"",VLOOKUP($A126,貼り付け用!$A$1:$BA$300,COLUMN(),FALSE)),"")</f>
        <v/>
      </c>
      <c r="K126" s="50" t="str">
        <f>IF($A126&lt;&gt;"",IF(VLOOKUP($A126,貼り付け用!$A$1:$BA$300,COLUMN(),FALSE)=0,"",VLOOKUP($A126,貼り付け用!$A$1:$BA$300,COLUMN(),FALSE)),"")</f>
        <v/>
      </c>
      <c r="L126" s="50" t="str">
        <f>IF($A126&lt;&gt;"",
IF(COLUMN(貼り付け用!L126)&gt;MATCH("おやつ",貼り付け用!$3:$3,0),"",
IF(VLOOKUP($A126,貼り付け用!$A$1:$BA$300,COLUMN(),FALSE)=0,"",VLOOKUP($A126,貼り付け用!$A$1:$BA$300,COLUMN(),FALSE))),"")</f>
        <v/>
      </c>
      <c r="M126" s="50" t="str">
        <f>IF($A126&lt;&gt;"",
IF(COLUMN(貼り付け用!M126)&gt;MATCH("おやつ",貼り付け用!$3:$3,0),"",
IF(VLOOKUP($A126,貼り付け用!$A$1:$BA$300,COLUMN(),FALSE)=0,"",VLOOKUP($A126,貼り付け用!$A$1:$BA$300,COLUMN(),FALSE))),"")</f>
        <v/>
      </c>
      <c r="N126" s="50" t="str">
        <f>IF($A126&lt;&gt;"",
IF(COLUMN(貼り付け用!N126)&gt;MATCH("おやつ",貼り付け用!$3:$3,0),"",
IF(VLOOKUP($A126,貼り付け用!$A$1:$BA$300,COLUMN(),FALSE)=0,"",VLOOKUP($A126,貼り付け用!$A$1:$BA$300,COLUMN(),FALSE))),"")</f>
        <v/>
      </c>
      <c r="O126" s="50" t="str">
        <f>IF($A126&lt;&gt;"",
IF(COLUMN(貼り付け用!O126)&gt;MATCH("おやつ",貼り付け用!$3:$3,0),"",
IF(VLOOKUP($A126,貼り付け用!$A$1:$BA$300,COLUMN(),FALSE)=0,"",VLOOKUP($A126,貼り付け用!$A$1:$BA$300,COLUMN(),FALSE))),"")</f>
        <v/>
      </c>
      <c r="P126" s="50" t="str">
        <f>IF($A126&lt;&gt;"",
IF(COLUMN(貼り付け用!P126)&gt;MATCH("おやつ",貼り付け用!$3:$3,0),"",
IF(VLOOKUP($A126,貼り付け用!$A$1:$BA$300,COLUMN(),FALSE)=0,"",VLOOKUP($A126,貼り付け用!$A$1:$BA$300,COLUMN(),FALSE))),"")</f>
        <v/>
      </c>
      <c r="Q126" s="50" t="str">
        <f>IF($A126&lt;&gt;"",
IF(COLUMN(貼り付け用!Q126)&gt;MATCH("おやつ",貼り付け用!$3:$3,0),"",
IF(VLOOKUP($A126,貼り付け用!$A$1:$BA$300,COLUMN(),FALSE)=0,"",VLOOKUP($A126,貼り付け用!$A$1:$BA$300,COLUMN(),FALSE))),"")</f>
        <v/>
      </c>
      <c r="R126" s="50" t="str">
        <f>IF($A126&lt;&gt;"",
IF(COLUMN(貼り付け用!R126)&gt;MATCH("おやつ",貼り付け用!$3:$3,0),"",
IF(VLOOKUP($A126,貼り付け用!$A$1:$BA$300,COLUMN(),FALSE)=0,"",VLOOKUP($A126,貼り付け用!$A$1:$BA$300,COLUMN(),FALSE))),"")</f>
        <v/>
      </c>
      <c r="S126" s="50" t="str">
        <f>IF($A126&lt;&gt;"",
IF(COLUMN(貼り付け用!S126)&gt;MATCH("おやつ",貼り付け用!$3:$3,0),"",
IF(VLOOKUP($A126,貼り付け用!$A$1:$BA$300,COLUMN(),FALSE)=0,"",VLOOKUP($A126,貼り付け用!$A$1:$BA$300,COLUMN(),FALSE))),"")</f>
        <v/>
      </c>
      <c r="T126" s="50" t="str">
        <f>IF(COLUMN(貼り付け用!T126)&gt;MATCH("おやつ",貼り付け用!$3:$3,0),"",
IF(VLOOKUP($A126,貼り付け用!$A$1:$BA$300,COLUMN(),FALSE)=0,"",VLOOKUP($A126,貼り付け用!$A$1:$BA$300,COLUMN(),FALSE)))</f>
        <v/>
      </c>
      <c r="U126" s="23"/>
      <c r="V126" s="21" t="str">
        <f>IF(A126&lt;&gt;"",
IF(VLOOKUP($A126,貼り付け用!$A$1:$BA$300,MATCH("おやつ",貼り付け用!$3:$3,0)+1,FALSE)=0,"",VLOOKUP($A126,貼り付け用!$A$1:$BA$300,MATCH("おやつ",貼り付け用!$3:$3,0)+1,FALSE)),"")</f>
        <v/>
      </c>
      <c r="W126" s="50" t="str">
        <f>IF(A126&lt;&gt;"",
IF(VLOOKUP($A126,貼り付け用!$A$1:$BA$300,MATCH("おやつ",貼り付け用!$3:$3,0)+2,FALSE)=0,"",VLOOKUP($A126,貼り付け用!$A$1:$BA$300,MATCH("おやつ",貼り付け用!$3:$3,0)+2,FALSE)),"")</f>
        <v/>
      </c>
    </row>
    <row r="127" spans="1:23" x14ac:dyDescent="0.45">
      <c r="A127" s="22" t="str">
        <f>IF(貼り付け用!$A$6&lt;&gt;"",
IF(ROW(A126)+1&gt;=MATCH("*【合計】*", 貼り付け用!$A:$A, 0),"",
IF(貼り付け用!A127&lt;&gt;"",貼り付け用!A127,"")),
IF(ROW(A127)+1&gt;=MATCH("*【合計】*", 貼り付け用!$A:$A, 0),"",
IF(貼り付け用!A128&lt;&gt;"",貼り付け用!A128,"")))</f>
        <v>泉ヶ丘幼稚園</v>
      </c>
      <c r="B127" s="45" t="str">
        <f>IF($A127&lt;&gt;"",IF(VLOOKUP($A127,貼り付け用!$A$1:$BA$300,COLUMN(),FALSE)=0,"",VLOOKUP($A127,貼り付け用!$A$1:$BA$300,COLUMN(),FALSE)),"")</f>
        <v/>
      </c>
      <c r="C127" s="45" t="str">
        <f>IF($A127&lt;&gt;"",IF(VLOOKUP($A127,貼り付け用!$A$1:$BA$300,COLUMN(),FALSE)=0,"",VLOOKUP($A127,貼り付け用!$A$1:$BA$300,COLUMN(),FALSE)),"")</f>
        <v/>
      </c>
      <c r="D127" s="45" t="str">
        <f>IF($A127&lt;&gt;"",IF(VLOOKUP($A127,貼り付け用!$A$1:$BA$300,COLUMN(),FALSE)=0,"",VLOOKUP($A127,貼り付け用!$A$1:$BA$300,COLUMN(),FALSE)),"")</f>
        <v/>
      </c>
      <c r="E127" s="45" t="str">
        <f>IF($A127&lt;&gt;"",IF(VLOOKUP($A127,貼り付け用!$A$1:$BA$300,COLUMN(),FALSE)=0,"",VLOOKUP($A127,貼り付け用!$A$1:$BA$300,COLUMN(),FALSE)),"")</f>
        <v/>
      </c>
      <c r="F127" s="45" t="str">
        <f>IF($A127&lt;&gt;"",IF(VLOOKUP($A127,貼り付け用!$A$1:$BA$300,COLUMN(),FALSE)=0,"",VLOOKUP($A127,貼り付け用!$A$1:$BA$300,COLUMN(),FALSE)),"")</f>
        <v/>
      </c>
      <c r="G127" s="45" t="str">
        <f>IF($A127&lt;&gt;"",IF(VLOOKUP($A127,貼り付け用!$A$1:$BA$300,COLUMN(),FALSE)=0,"",VLOOKUP($A127,貼り付け用!$A$1:$BA$300,COLUMN(),FALSE)),"")</f>
        <v>18</v>
      </c>
      <c r="H127" s="45" t="str">
        <f>IF($A127&lt;&gt;"",IF(VLOOKUP($A127,貼り付け用!$A$1:$BA$300,COLUMN(),FALSE)=0,"",VLOOKUP($A127,貼り付け用!$A$1:$BA$300,COLUMN(),FALSE)),"")</f>
        <v/>
      </c>
      <c r="I127" s="45" t="str">
        <f>IF($A127&lt;&gt;"",IF(VLOOKUP($A127,貼り付け用!$A$1:$BA$300,COLUMN(),FALSE)=0,"",VLOOKUP($A127,貼り付け用!$A$1:$BA$300,COLUMN(),FALSE)),"")</f>
        <v/>
      </c>
      <c r="J127" s="45" t="str">
        <f>IF($A127&lt;&gt;"",IF(VLOOKUP($A127,貼り付け用!$A$1:$BA$300,COLUMN(),FALSE)=0,"",VLOOKUP($A127,貼り付け用!$A$1:$BA$300,COLUMN(),FALSE)),"")</f>
        <v/>
      </c>
      <c r="K127" s="45" t="str">
        <f>IF($A127&lt;&gt;"",IF(VLOOKUP($A127,貼り付け用!$A$1:$BA$300,COLUMN(),FALSE)=0,"",VLOOKUP($A127,貼り付け用!$A$1:$BA$300,COLUMN(),FALSE)),"")</f>
        <v/>
      </c>
      <c r="L127" s="45" t="str">
        <f>IF($A127&lt;&gt;"",
IF(COLUMN(貼り付け用!L127)&gt;MATCH("おやつ",貼り付け用!$3:$3,0),"",
IF(VLOOKUP($A127,貼り付け用!$A$1:$BA$300,COLUMN(),FALSE)=0,"",VLOOKUP($A127,貼り付け用!$A$1:$BA$300,COLUMN(),FALSE))),"")</f>
        <v/>
      </c>
      <c r="M127" s="45" t="str">
        <f>IF($A127&lt;&gt;"",
IF(COLUMN(貼り付け用!M127)&gt;MATCH("おやつ",貼り付け用!$3:$3,0),"",
IF(VLOOKUP($A127,貼り付け用!$A$1:$BA$300,COLUMN(),FALSE)=0,"",VLOOKUP($A127,貼り付け用!$A$1:$BA$300,COLUMN(),FALSE))),"")</f>
        <v/>
      </c>
      <c r="N127" s="45" t="str">
        <f>IF($A127&lt;&gt;"",
IF(COLUMN(貼り付け用!N127)&gt;MATCH("おやつ",貼り付け用!$3:$3,0),"",
IF(VLOOKUP($A127,貼り付け用!$A$1:$BA$300,COLUMN(),FALSE)=0,"",VLOOKUP($A127,貼り付け用!$A$1:$BA$300,COLUMN(),FALSE))),"")</f>
        <v/>
      </c>
      <c r="O127" s="45" t="str">
        <f>IF($A127&lt;&gt;"",
IF(COLUMN(貼り付け用!O127)&gt;MATCH("おやつ",貼り付け用!$3:$3,0),"",
IF(VLOOKUP($A127,貼り付け用!$A$1:$BA$300,COLUMN(),FALSE)=0,"",VLOOKUP($A127,貼り付け用!$A$1:$BA$300,COLUMN(),FALSE))),"")</f>
        <v/>
      </c>
      <c r="P127" s="45" t="str">
        <f>IF($A127&lt;&gt;"",
IF(COLUMN(貼り付け用!P127)&gt;MATCH("おやつ",貼り付け用!$3:$3,0),"",
IF(VLOOKUP($A127,貼り付け用!$A$1:$BA$300,COLUMN(),FALSE)=0,"",VLOOKUP($A127,貼り付け用!$A$1:$BA$300,COLUMN(),FALSE))),"")</f>
        <v/>
      </c>
      <c r="Q127" s="45" t="str">
        <f>IF($A127&lt;&gt;"",
IF(COLUMN(貼り付け用!Q127)&gt;MATCH("おやつ",貼り付け用!$3:$3,0),"",
IF(VLOOKUP($A127,貼り付け用!$A$1:$BA$300,COLUMN(),FALSE)=0,"",VLOOKUP($A127,貼り付け用!$A$1:$BA$300,COLUMN(),FALSE))),"")</f>
        <v/>
      </c>
      <c r="R127" s="45" t="str">
        <f>IF($A127&lt;&gt;"",
IF(COLUMN(貼り付け用!R127)&gt;MATCH("おやつ",貼り付け用!$3:$3,0),"",
IF(VLOOKUP($A127,貼り付け用!$A$1:$BA$300,COLUMN(),FALSE)=0,"",VLOOKUP($A127,貼り付け用!$A$1:$BA$300,COLUMN(),FALSE))),"")</f>
        <v/>
      </c>
      <c r="S127" s="45" t="str">
        <f>IF($A127&lt;&gt;"",
IF(COLUMN(貼り付け用!S127)&gt;MATCH("おやつ",貼り付け用!$3:$3,0),"",
IF(VLOOKUP($A127,貼り付け用!$A$1:$BA$300,COLUMN(),FALSE)=0,"",VLOOKUP($A127,貼り付け用!$A$1:$BA$300,COLUMN(),FALSE))),"")</f>
        <v/>
      </c>
      <c r="T127" s="45" t="str">
        <f>IF(COLUMN(貼り付け用!T127)&gt;MATCH("おやつ",貼り付け用!$3:$3,0),"",
IF(VLOOKUP($A127,貼り付け用!$A$1:$BA$300,COLUMN(),FALSE)=0,"",VLOOKUP($A127,貼り付け用!$A$1:$BA$300,COLUMN(),FALSE)))</f>
        <v/>
      </c>
      <c r="U127" s="24"/>
      <c r="V127" s="21" t="str">
        <f>IF(A127&lt;&gt;"",
IF(VLOOKUP($A127,貼り付け用!$A$1:$BA$300,MATCH("おやつ",貼り付け用!$3:$3,0)+1,FALSE)=0,"",VLOOKUP($A127,貼り付け用!$A$1:$BA$300,MATCH("おやつ",貼り付け用!$3:$3,0)+1,FALSE)),"")</f>
        <v/>
      </c>
      <c r="W127" s="50" t="str">
        <f>IF(A127&lt;&gt;"",
IF(VLOOKUP($A127,貼り付け用!$A$1:$BA$300,MATCH("おやつ",貼り付け用!$3:$3,0)+2,FALSE)=0,"",VLOOKUP($A127,貼り付け用!$A$1:$BA$300,MATCH("おやつ",貼り付け用!$3:$3,0)+2,FALSE)),"")</f>
        <v/>
      </c>
    </row>
    <row r="128" spans="1:23" x14ac:dyDescent="0.45">
      <c r="A128" s="10" t="str">
        <f>IF(貼り付け用!$A$6&lt;&gt;"",
IF(ROW(A127)+1&gt;=MATCH("*【合計】*", 貼り付け用!$A:$A, 0),
"",
IF(貼り付け用!A128&lt;&gt;"",貼り付け用!A128,"")),
IF(ROW(A128)+1&gt;=MATCH("*【合計】*", 貼り付け用!$A:$A, 0),
"",
IF(貼り付け用!A129&lt;&gt;"",貼り付け用!A129,"")))</f>
        <v>40102</v>
      </c>
      <c r="B128" s="50" t="str">
        <f>IF($A128&lt;&gt;"",IF(VLOOKUP($A128,貼り付け用!$A$1:$BA$300,COLUMN(),FALSE)=0,"",VLOOKUP($A128,貼り付け用!$A$1:$BA$300,COLUMN(),FALSE)),"")</f>
        <v/>
      </c>
      <c r="C128" s="50" t="str">
        <f>IF($A128&lt;&gt;"",IF(VLOOKUP($A128,貼り付け用!$A$1:$BA$300,COLUMN(),FALSE)=0,"",VLOOKUP($A128,貼り付け用!$A$1:$BA$300,COLUMN(),FALSE)),"")</f>
        <v/>
      </c>
      <c r="D128" s="50" t="str">
        <f>IF($A128&lt;&gt;"",IF(VLOOKUP($A128,貼り付け用!$A$1:$BA$300,COLUMN(),FALSE)=0,"",VLOOKUP($A128,貼り付け用!$A$1:$BA$300,COLUMN(),FALSE)),"")</f>
        <v/>
      </c>
      <c r="E128" s="50" t="str">
        <f>IF($A128&lt;&gt;"",IF(VLOOKUP($A128,貼り付け用!$A$1:$BA$300,COLUMN(),FALSE)=0,"",VLOOKUP($A128,貼り付け用!$A$1:$BA$300,COLUMN(),FALSE)),"")</f>
        <v/>
      </c>
      <c r="F128" s="50" t="str">
        <f>IF($A128&lt;&gt;"",IF(VLOOKUP($A128,貼り付け用!$A$1:$BA$300,COLUMN(),FALSE)=0,"",VLOOKUP($A128,貼り付け用!$A$1:$BA$300,COLUMN(),FALSE)),"")</f>
        <v/>
      </c>
      <c r="G128" s="50" t="str">
        <f>IF($A128&lt;&gt;"",IF(VLOOKUP($A128,貼り付け用!$A$1:$BA$300,COLUMN(),FALSE)=0,"",VLOOKUP($A128,貼り付け用!$A$1:$BA$300,COLUMN(),FALSE)),"")</f>
        <v>22</v>
      </c>
      <c r="H128" s="50" t="str">
        <f>IF($A128&lt;&gt;"",IF(VLOOKUP($A128,貼り付け用!$A$1:$BA$300,COLUMN(),FALSE)=0,"",VLOOKUP($A128,貼り付け用!$A$1:$BA$300,COLUMN(),FALSE)),"")</f>
        <v/>
      </c>
      <c r="I128" s="50" t="str">
        <f>IF($A128&lt;&gt;"",IF(VLOOKUP($A128,貼り付け用!$A$1:$BA$300,COLUMN(),FALSE)=0,"",VLOOKUP($A128,貼り付け用!$A$1:$BA$300,COLUMN(),FALSE)),"")</f>
        <v/>
      </c>
      <c r="J128" s="50" t="str">
        <f>IF($A128&lt;&gt;"",IF(VLOOKUP($A128,貼り付け用!$A$1:$BA$300,COLUMN(),FALSE)=0,"",VLOOKUP($A128,貼り付け用!$A$1:$BA$300,COLUMN(),FALSE)),"")</f>
        <v/>
      </c>
      <c r="K128" s="50" t="str">
        <f>IF($A128&lt;&gt;"",IF(VLOOKUP($A128,貼り付け用!$A$1:$BA$300,COLUMN(),FALSE)=0,"",VLOOKUP($A128,貼り付け用!$A$1:$BA$300,COLUMN(),FALSE)),"")</f>
        <v/>
      </c>
      <c r="L128" s="50" t="str">
        <f>IF($A128&lt;&gt;"",
IF(COLUMN(貼り付け用!L128)&gt;MATCH("おやつ",貼り付け用!$3:$3,0),"",
IF(VLOOKUP($A128,貼り付け用!$A$1:$BA$300,COLUMN(),FALSE)=0,"",VLOOKUP($A128,貼り付け用!$A$1:$BA$300,COLUMN(),FALSE))),"")</f>
        <v/>
      </c>
      <c r="M128" s="50" t="str">
        <f>IF($A128&lt;&gt;"",
IF(COLUMN(貼り付け用!M128)&gt;MATCH("おやつ",貼り付け用!$3:$3,0),"",
IF(VLOOKUP($A128,貼り付け用!$A$1:$BA$300,COLUMN(),FALSE)=0,"",VLOOKUP($A128,貼り付け用!$A$1:$BA$300,COLUMN(),FALSE))),"")</f>
        <v/>
      </c>
      <c r="N128" s="50" t="str">
        <f>IF($A128&lt;&gt;"",
IF(COLUMN(貼り付け用!N128)&gt;MATCH("おやつ",貼り付け用!$3:$3,0),"",
IF(VLOOKUP($A128,貼り付け用!$A$1:$BA$300,COLUMN(),FALSE)=0,"",VLOOKUP($A128,貼り付け用!$A$1:$BA$300,COLUMN(),FALSE))),"")</f>
        <v/>
      </c>
      <c r="O128" s="50" t="str">
        <f>IF($A128&lt;&gt;"",
IF(COLUMN(貼り付け用!O128)&gt;MATCH("おやつ",貼り付け用!$3:$3,0),"",
IF(VLOOKUP($A128,貼り付け用!$A$1:$BA$300,COLUMN(),FALSE)=0,"",VLOOKUP($A128,貼り付け用!$A$1:$BA$300,COLUMN(),FALSE))),"")</f>
        <v/>
      </c>
      <c r="P128" s="50" t="str">
        <f>IF($A128&lt;&gt;"",
IF(COLUMN(貼り付け用!P128)&gt;MATCH("おやつ",貼り付け用!$3:$3,0),"",
IF(VLOOKUP($A128,貼り付け用!$A$1:$BA$300,COLUMN(),FALSE)=0,"",VLOOKUP($A128,貼り付け用!$A$1:$BA$300,COLUMN(),FALSE))),"")</f>
        <v/>
      </c>
      <c r="Q128" s="50" t="str">
        <f>IF($A128&lt;&gt;"",
IF(COLUMN(貼り付け用!Q128)&gt;MATCH("おやつ",貼り付け用!$3:$3,0),"",
IF(VLOOKUP($A128,貼り付け用!$A$1:$BA$300,COLUMN(),FALSE)=0,"",VLOOKUP($A128,貼り付け用!$A$1:$BA$300,COLUMN(),FALSE))),"")</f>
        <v/>
      </c>
      <c r="R128" s="50" t="str">
        <f>IF($A128&lt;&gt;"",
IF(COLUMN(貼り付け用!R128)&gt;MATCH("おやつ",貼り付け用!$3:$3,0),"",
IF(VLOOKUP($A128,貼り付け用!$A$1:$BA$300,COLUMN(),FALSE)=0,"",VLOOKUP($A128,貼り付け用!$A$1:$BA$300,COLUMN(),FALSE))),"")</f>
        <v/>
      </c>
      <c r="S128" s="50" t="str">
        <f>IF($A128&lt;&gt;"",
IF(COLUMN(貼り付け用!S128)&gt;MATCH("おやつ",貼り付け用!$3:$3,0),"",
IF(VLOOKUP($A128,貼り付け用!$A$1:$BA$300,COLUMN(),FALSE)=0,"",VLOOKUP($A128,貼り付け用!$A$1:$BA$300,COLUMN(),FALSE))),"")</f>
        <v/>
      </c>
      <c r="T128" s="50" t="str">
        <f>IF(COLUMN(貼り付け用!T128)&gt;MATCH("おやつ",貼り付け用!$3:$3,0),"",
IF(VLOOKUP($A128,貼り付け用!$A$1:$BA$300,COLUMN(),FALSE)=0,"",VLOOKUP($A128,貼り付け用!$A$1:$BA$300,COLUMN(),FALSE)))</f>
        <v/>
      </c>
      <c r="U128" s="23"/>
      <c r="V128" s="21" t="str">
        <f>IF(A128&lt;&gt;"",
IF(VLOOKUP($A128,貼り付け用!$A$1:$BA$300,MATCH("おやつ",貼り付け用!$3:$3,0)+1,FALSE)=0,"",VLOOKUP($A128,貼り付け用!$A$1:$BA$300,MATCH("おやつ",貼り付け用!$3:$3,0)+1,FALSE)),"")</f>
        <v/>
      </c>
      <c r="W128" s="50" t="str">
        <f>IF(A128&lt;&gt;"",
IF(VLOOKUP($A128,貼り付け用!$A$1:$BA$300,MATCH("おやつ",貼り付け用!$3:$3,0)+2,FALSE)=0,"",VLOOKUP($A128,貼り付け用!$A$1:$BA$300,MATCH("おやつ",貼り付け用!$3:$3,0)+2,FALSE)),"")</f>
        <v/>
      </c>
    </row>
    <row r="129" spans="1:23" x14ac:dyDescent="0.45">
      <c r="A129" s="22" t="str">
        <f>IF(貼り付け用!$A$6&lt;&gt;"",
IF(ROW(A128)+1&gt;=MATCH("*【合計】*", 貼り付け用!$A:$A, 0),"",
IF(貼り付け用!A129&lt;&gt;"",貼り付け用!A129,"")),
IF(ROW(A129)+1&gt;=MATCH("*【合計】*", 貼り付け用!$A:$A, 0),"",
IF(貼り付け用!A130&lt;&gt;"",貼り付け用!A130,"")))</f>
        <v>泉ヶ丘幼稚園ぺんぎん組</v>
      </c>
      <c r="B129" s="45" t="str">
        <f>IF($A129&lt;&gt;"",IF(VLOOKUP($A129,貼り付け用!$A$1:$BA$300,COLUMN(),FALSE)=0,"",VLOOKUP($A129,貼り付け用!$A$1:$BA$300,COLUMN(),FALSE)),"")</f>
        <v/>
      </c>
      <c r="C129" s="45" t="str">
        <f>IF($A129&lt;&gt;"",IF(VLOOKUP($A129,貼り付け用!$A$1:$BA$300,COLUMN(),FALSE)=0,"",VLOOKUP($A129,貼り付け用!$A$1:$BA$300,COLUMN(),FALSE)),"")</f>
        <v/>
      </c>
      <c r="D129" s="45" t="str">
        <f>IF($A129&lt;&gt;"",IF(VLOOKUP($A129,貼り付け用!$A$1:$BA$300,COLUMN(),FALSE)=0,"",VLOOKUP($A129,貼り付け用!$A$1:$BA$300,COLUMN(),FALSE)),"")</f>
        <v/>
      </c>
      <c r="E129" s="45" t="str">
        <f>IF($A129&lt;&gt;"",IF(VLOOKUP($A129,貼り付け用!$A$1:$BA$300,COLUMN(),FALSE)=0,"",VLOOKUP($A129,貼り付け用!$A$1:$BA$300,COLUMN(),FALSE)),"")</f>
        <v/>
      </c>
      <c r="F129" s="45" t="str">
        <f>IF($A129&lt;&gt;"",IF(VLOOKUP($A129,貼り付け用!$A$1:$BA$300,COLUMN(),FALSE)=0,"",VLOOKUP($A129,貼り付け用!$A$1:$BA$300,COLUMN(),FALSE)),"")</f>
        <v/>
      </c>
      <c r="G129" s="45" t="str">
        <f>IF($A129&lt;&gt;"",IF(VLOOKUP($A129,貼り付け用!$A$1:$BA$300,COLUMN(),FALSE)=0,"",VLOOKUP($A129,貼り付け用!$A$1:$BA$300,COLUMN(),FALSE)),"")</f>
        <v/>
      </c>
      <c r="H129" s="45" t="str">
        <f>IF($A129&lt;&gt;"",IF(VLOOKUP($A129,貼り付け用!$A$1:$BA$300,COLUMN(),FALSE)=0,"",VLOOKUP($A129,貼り付け用!$A$1:$BA$300,COLUMN(),FALSE)),"")</f>
        <v/>
      </c>
      <c r="I129" s="45" t="str">
        <f>IF($A129&lt;&gt;"",IF(VLOOKUP($A129,貼り付け用!$A$1:$BA$300,COLUMN(),FALSE)=0,"",VLOOKUP($A129,貼り付け用!$A$1:$BA$300,COLUMN(),FALSE)),"")</f>
        <v/>
      </c>
      <c r="J129" s="45" t="str">
        <f>IF($A129&lt;&gt;"",IF(VLOOKUP($A129,貼り付け用!$A$1:$BA$300,COLUMN(),FALSE)=0,"",VLOOKUP($A129,貼り付け用!$A$1:$BA$300,COLUMN(),FALSE)),"")</f>
        <v/>
      </c>
      <c r="K129" s="45" t="str">
        <f>IF($A129&lt;&gt;"",IF(VLOOKUP($A129,貼り付け用!$A$1:$BA$300,COLUMN(),FALSE)=0,"",VLOOKUP($A129,貼り付け用!$A$1:$BA$300,COLUMN(),FALSE)),"")</f>
        <v/>
      </c>
      <c r="L129" s="45" t="str">
        <f>IF($A129&lt;&gt;"",
IF(COLUMN(貼り付け用!L129)&gt;MATCH("おやつ",貼り付け用!$3:$3,0),"",
IF(VLOOKUP($A129,貼り付け用!$A$1:$BA$300,COLUMN(),FALSE)=0,"",VLOOKUP($A129,貼り付け用!$A$1:$BA$300,COLUMN(),FALSE))),"")</f>
        <v/>
      </c>
      <c r="M129" s="45" t="str">
        <f>IF($A129&lt;&gt;"",
IF(COLUMN(貼り付け用!M129)&gt;MATCH("おやつ",貼り付け用!$3:$3,0),"",
IF(VLOOKUP($A129,貼り付け用!$A$1:$BA$300,COLUMN(),FALSE)=0,"",VLOOKUP($A129,貼り付け用!$A$1:$BA$300,COLUMN(),FALSE))),"")</f>
        <v/>
      </c>
      <c r="N129" s="45" t="str">
        <f>IF($A129&lt;&gt;"",
IF(COLUMN(貼り付け用!N129)&gt;MATCH("おやつ",貼り付け用!$3:$3,0),"",
IF(VLOOKUP($A129,貼り付け用!$A$1:$BA$300,COLUMN(),FALSE)=0,"",VLOOKUP($A129,貼り付け用!$A$1:$BA$300,COLUMN(),FALSE))),"")</f>
        <v/>
      </c>
      <c r="O129" s="45" t="str">
        <f>IF($A129&lt;&gt;"",
IF(COLUMN(貼り付け用!O129)&gt;MATCH("おやつ",貼り付け用!$3:$3,0),"",
IF(VLOOKUP($A129,貼り付け用!$A$1:$BA$300,COLUMN(),FALSE)=0,"",VLOOKUP($A129,貼り付け用!$A$1:$BA$300,COLUMN(),FALSE))),"")</f>
        <v/>
      </c>
      <c r="P129" s="45" t="str">
        <f>IF($A129&lt;&gt;"",
IF(COLUMN(貼り付け用!P129)&gt;MATCH("おやつ",貼り付け用!$3:$3,0),"",
IF(VLOOKUP($A129,貼り付け用!$A$1:$BA$300,COLUMN(),FALSE)=0,"",VLOOKUP($A129,貼り付け用!$A$1:$BA$300,COLUMN(),FALSE))),"")</f>
        <v/>
      </c>
      <c r="Q129" s="45" t="str">
        <f>IF($A129&lt;&gt;"",
IF(COLUMN(貼り付け用!Q129)&gt;MATCH("おやつ",貼り付け用!$3:$3,0),"",
IF(VLOOKUP($A129,貼り付け用!$A$1:$BA$300,COLUMN(),FALSE)=0,"",VLOOKUP($A129,貼り付け用!$A$1:$BA$300,COLUMN(),FALSE))),"")</f>
        <v/>
      </c>
      <c r="R129" s="45" t="str">
        <f>IF($A129&lt;&gt;"",
IF(COLUMN(貼り付け用!R129)&gt;MATCH("おやつ",貼り付け用!$3:$3,0),"",
IF(VLOOKUP($A129,貼り付け用!$A$1:$BA$300,COLUMN(),FALSE)=0,"",VLOOKUP($A129,貼り付け用!$A$1:$BA$300,COLUMN(),FALSE))),"")</f>
        <v/>
      </c>
      <c r="S129" s="45" t="str">
        <f>IF($A129&lt;&gt;"",
IF(COLUMN(貼り付け用!S129)&gt;MATCH("おやつ",貼り付け用!$3:$3,0),"",
IF(VLOOKUP($A129,貼り付け用!$A$1:$BA$300,COLUMN(),FALSE)=0,"",VLOOKUP($A129,貼り付け用!$A$1:$BA$300,COLUMN(),FALSE))),"")</f>
        <v/>
      </c>
      <c r="T129" s="45" t="str">
        <f>IF(COLUMN(貼り付け用!T129)&gt;MATCH("おやつ",貼り付け用!$3:$3,0),"",
IF(VLOOKUP($A129,貼り付け用!$A$1:$BA$300,COLUMN(),FALSE)=0,"",VLOOKUP($A129,貼り付け用!$A$1:$BA$300,COLUMN(),FALSE)))</f>
        <v/>
      </c>
      <c r="U129" s="24"/>
      <c r="V129" s="21" t="str">
        <f>IF(A129&lt;&gt;"",
IF(VLOOKUP($A129,貼り付け用!$A$1:$BA$300,MATCH("おやつ",貼り付け用!$3:$3,0)+1,FALSE)=0,"",VLOOKUP($A129,貼り付け用!$A$1:$BA$300,MATCH("おやつ",貼り付け用!$3:$3,0)+1,FALSE)),"")</f>
        <v/>
      </c>
      <c r="W129" s="50" t="str">
        <f>IF(A129&lt;&gt;"",
IF(VLOOKUP($A129,貼り付け用!$A$1:$BA$300,MATCH("おやつ",貼り付け用!$3:$3,0)+2,FALSE)=0,"",VLOOKUP($A129,貼り付け用!$A$1:$BA$300,MATCH("おやつ",貼り付け用!$3:$3,0)+2,FALSE)),"")</f>
        <v/>
      </c>
    </row>
    <row r="130" spans="1:23" x14ac:dyDescent="0.45">
      <c r="A130" s="10" t="str">
        <f>IF(貼り付け用!$A$6&lt;&gt;"",
IF(ROW(A129)+1&gt;=MATCH("*【合計】*", 貼り付け用!$A:$A, 0),
"",
IF(貼り付け用!A130&lt;&gt;"",貼り付け用!A130,"")),
IF(ROW(A130)+1&gt;=MATCH("*【合計】*", 貼り付け用!$A:$A, 0),
"",
IF(貼り付け用!A131&lt;&gt;"",貼り付け用!A131,"")))</f>
        <v>40200</v>
      </c>
      <c r="B130" s="50" t="str">
        <f>IF($A130&lt;&gt;"",IF(VLOOKUP($A130,貼り付け用!$A$1:$BA$300,COLUMN(),FALSE)=0,"",VLOOKUP($A130,貼り付け用!$A$1:$BA$300,COLUMN(),FALSE)),"")</f>
        <v/>
      </c>
      <c r="C130" s="50" t="str">
        <f>IF($A130&lt;&gt;"",IF(VLOOKUP($A130,貼り付け用!$A$1:$BA$300,COLUMN(),FALSE)=0,"",VLOOKUP($A130,貼り付け用!$A$1:$BA$300,COLUMN(),FALSE)),"")</f>
        <v/>
      </c>
      <c r="D130" s="50" t="str">
        <f>IF($A130&lt;&gt;"",IF(VLOOKUP($A130,貼り付け用!$A$1:$BA$300,COLUMN(),FALSE)=0,"",VLOOKUP($A130,貼り付け用!$A$1:$BA$300,COLUMN(),FALSE)),"")</f>
        <v/>
      </c>
      <c r="E130" s="50" t="str">
        <f>IF($A130&lt;&gt;"",IF(VLOOKUP($A130,貼り付け用!$A$1:$BA$300,COLUMN(),FALSE)=0,"",VLOOKUP($A130,貼り付け用!$A$1:$BA$300,COLUMN(),FALSE)),"")</f>
        <v/>
      </c>
      <c r="F130" s="50" t="str">
        <f>IF($A130&lt;&gt;"",IF(VLOOKUP($A130,貼り付け用!$A$1:$BA$300,COLUMN(),FALSE)=0,"",VLOOKUP($A130,貼り付け用!$A$1:$BA$300,COLUMN(),FALSE)),"")</f>
        <v/>
      </c>
      <c r="G130" s="50" t="str">
        <f>IF($A130&lt;&gt;"",IF(VLOOKUP($A130,貼り付け用!$A$1:$BA$300,COLUMN(),FALSE)=0,"",VLOOKUP($A130,貼り付け用!$A$1:$BA$300,COLUMN(),FALSE)),"")</f>
        <v/>
      </c>
      <c r="H130" s="50" t="str">
        <f>IF($A130&lt;&gt;"",IF(VLOOKUP($A130,貼り付け用!$A$1:$BA$300,COLUMN(),FALSE)=0,"",VLOOKUP($A130,貼り付け用!$A$1:$BA$300,COLUMN(),FALSE)),"")</f>
        <v/>
      </c>
      <c r="I130" s="50" t="str">
        <f>IF($A130&lt;&gt;"",IF(VLOOKUP($A130,貼り付け用!$A$1:$BA$300,COLUMN(),FALSE)=0,"",VLOOKUP($A130,貼り付け用!$A$1:$BA$300,COLUMN(),FALSE)),"")</f>
        <v/>
      </c>
      <c r="J130" s="50" t="str">
        <f>IF($A130&lt;&gt;"",IF(VLOOKUP($A130,貼り付け用!$A$1:$BA$300,COLUMN(),FALSE)=0,"",VLOOKUP($A130,貼り付け用!$A$1:$BA$300,COLUMN(),FALSE)),"")</f>
        <v/>
      </c>
      <c r="K130" s="50" t="str">
        <f>IF($A130&lt;&gt;"",IF(VLOOKUP($A130,貼り付け用!$A$1:$BA$300,COLUMN(),FALSE)=0,"",VLOOKUP($A130,貼り付け用!$A$1:$BA$300,COLUMN(),FALSE)),"")</f>
        <v/>
      </c>
      <c r="L130" s="50" t="str">
        <f>IF($A130&lt;&gt;"",
IF(COLUMN(貼り付け用!L130)&gt;MATCH("おやつ",貼り付け用!$3:$3,0),"",
IF(VLOOKUP($A130,貼り付け用!$A$1:$BA$300,COLUMN(),FALSE)=0,"",VLOOKUP($A130,貼り付け用!$A$1:$BA$300,COLUMN(),FALSE))),"")</f>
        <v/>
      </c>
      <c r="M130" s="50" t="str">
        <f>IF($A130&lt;&gt;"",
IF(COLUMN(貼り付け用!M130)&gt;MATCH("おやつ",貼り付け用!$3:$3,0),"",
IF(VLOOKUP($A130,貼り付け用!$A$1:$BA$300,COLUMN(),FALSE)=0,"",VLOOKUP($A130,貼り付け用!$A$1:$BA$300,COLUMN(),FALSE))),"")</f>
        <v/>
      </c>
      <c r="N130" s="50" t="str">
        <f>IF($A130&lt;&gt;"",
IF(COLUMN(貼り付け用!N130)&gt;MATCH("おやつ",貼り付け用!$3:$3,0),"",
IF(VLOOKUP($A130,貼り付け用!$A$1:$BA$300,COLUMN(),FALSE)=0,"",VLOOKUP($A130,貼り付け用!$A$1:$BA$300,COLUMN(),FALSE))),"")</f>
        <v>126</v>
      </c>
      <c r="O130" s="50" t="str">
        <f>IF($A130&lt;&gt;"",
IF(COLUMN(貼り付け用!O130)&gt;MATCH("おやつ",貼り付け用!$3:$3,0),"",
IF(VLOOKUP($A130,貼り付け用!$A$1:$BA$300,COLUMN(),FALSE)=0,"",VLOOKUP($A130,貼り付け用!$A$1:$BA$300,COLUMN(),FALSE))),"")</f>
        <v/>
      </c>
      <c r="P130" s="50" t="str">
        <f>IF($A130&lt;&gt;"",
IF(COLUMN(貼り付け用!P130)&gt;MATCH("おやつ",貼り付け用!$3:$3,0),"",
IF(VLOOKUP($A130,貼り付け用!$A$1:$BA$300,COLUMN(),FALSE)=0,"",VLOOKUP($A130,貼り付け用!$A$1:$BA$300,COLUMN(),FALSE))),"")</f>
        <v/>
      </c>
      <c r="Q130" s="50" t="str">
        <f>IF($A130&lt;&gt;"",
IF(COLUMN(貼り付け用!Q130)&gt;MATCH("おやつ",貼り付け用!$3:$3,0),"",
IF(VLOOKUP($A130,貼り付け用!$A$1:$BA$300,COLUMN(),FALSE)=0,"",VLOOKUP($A130,貼り付け用!$A$1:$BA$300,COLUMN(),FALSE))),"")</f>
        <v/>
      </c>
      <c r="R130" s="50" t="str">
        <f>IF($A130&lt;&gt;"",
IF(COLUMN(貼り付け用!R130)&gt;MATCH("おやつ",貼り付け用!$3:$3,0),"",
IF(VLOOKUP($A130,貼り付け用!$A$1:$BA$300,COLUMN(),FALSE)=0,"",VLOOKUP($A130,貼り付け用!$A$1:$BA$300,COLUMN(),FALSE))),"")</f>
        <v/>
      </c>
      <c r="S130" s="50" t="str">
        <f>IF($A130&lt;&gt;"",
IF(COLUMN(貼り付け用!S130)&gt;MATCH("おやつ",貼り付け用!$3:$3,0),"",
IF(VLOOKUP($A130,貼り付け用!$A$1:$BA$300,COLUMN(),FALSE)=0,"",VLOOKUP($A130,貼り付け用!$A$1:$BA$300,COLUMN(),FALSE))),"")</f>
        <v/>
      </c>
      <c r="T130" s="50" t="str">
        <f>IF(COLUMN(貼り付け用!T130)&gt;MATCH("おやつ",貼り付け用!$3:$3,0),"",
IF(VLOOKUP($A130,貼り付け用!$A$1:$BA$300,COLUMN(),FALSE)=0,"",VLOOKUP($A130,貼り付け用!$A$1:$BA$300,COLUMN(),FALSE)))</f>
        <v/>
      </c>
      <c r="U130" s="23"/>
      <c r="V130" s="21" t="str">
        <f>IF(A130&lt;&gt;"",
IF(VLOOKUP($A130,貼り付け用!$A$1:$BA$300,MATCH("おやつ",貼り付け用!$3:$3,0)+1,FALSE)=0,"",VLOOKUP($A130,貼り付け用!$A$1:$BA$300,MATCH("おやつ",貼り付け用!$3:$3,0)+1,FALSE)),"")</f>
        <v/>
      </c>
      <c r="W130" s="50" t="str">
        <f>IF(A130&lt;&gt;"",
IF(VLOOKUP($A130,貼り付け用!$A$1:$BA$300,MATCH("おやつ",貼り付け用!$3:$3,0)+2,FALSE)=0,"",VLOOKUP($A130,貼り付け用!$A$1:$BA$300,MATCH("おやつ",貼り付け用!$3:$3,0)+2,FALSE)),"")</f>
        <v/>
      </c>
    </row>
    <row r="131" spans="1:23" x14ac:dyDescent="0.45">
      <c r="A131" s="22" t="str">
        <f>IF(貼り付け用!$A$6&lt;&gt;"",
IF(ROW(A130)+1&gt;=MATCH("*【合計】*", 貼り付け用!$A:$A, 0),"",
IF(貼り付け用!A131&lt;&gt;"",貼り付け用!A131,"")),
IF(ROW(A131)+1&gt;=MATCH("*【合計】*", 貼り付け用!$A:$A, 0),"",
IF(貼り付け用!A132&lt;&gt;"",貼り付け用!A132,"")))</f>
        <v>春日小鳩幼稚園</v>
      </c>
      <c r="B131" s="45" t="str">
        <f>IF($A131&lt;&gt;"",IF(VLOOKUP($A131,貼り付け用!$A$1:$BA$300,COLUMN(),FALSE)=0,"",VLOOKUP($A131,貼り付け用!$A$1:$BA$300,COLUMN(),FALSE)),"")</f>
        <v/>
      </c>
      <c r="C131" s="45" t="str">
        <f>IF($A131&lt;&gt;"",IF(VLOOKUP($A131,貼り付け用!$A$1:$BA$300,COLUMN(),FALSE)=0,"",VLOOKUP($A131,貼り付け用!$A$1:$BA$300,COLUMN(),FALSE)),"")</f>
        <v/>
      </c>
      <c r="D131" s="45" t="str">
        <f>IF($A131&lt;&gt;"",IF(VLOOKUP($A131,貼り付け用!$A$1:$BA$300,COLUMN(),FALSE)=0,"",VLOOKUP($A131,貼り付け用!$A$1:$BA$300,COLUMN(),FALSE)),"")</f>
        <v/>
      </c>
      <c r="E131" s="45" t="str">
        <f>IF($A131&lt;&gt;"",IF(VLOOKUP($A131,貼り付け用!$A$1:$BA$300,COLUMN(),FALSE)=0,"",VLOOKUP($A131,貼り付け用!$A$1:$BA$300,COLUMN(),FALSE)),"")</f>
        <v/>
      </c>
      <c r="F131" s="45" t="str">
        <f>IF($A131&lt;&gt;"",IF(VLOOKUP($A131,貼り付け用!$A$1:$BA$300,COLUMN(),FALSE)=0,"",VLOOKUP($A131,貼り付け用!$A$1:$BA$300,COLUMN(),FALSE)),"")</f>
        <v/>
      </c>
      <c r="G131" s="45" t="str">
        <f>IF($A131&lt;&gt;"",IF(VLOOKUP($A131,貼り付け用!$A$1:$BA$300,COLUMN(),FALSE)=0,"",VLOOKUP($A131,貼り付け用!$A$1:$BA$300,COLUMN(),FALSE)),"")</f>
        <v/>
      </c>
      <c r="H131" s="45" t="str">
        <f>IF($A131&lt;&gt;"",IF(VLOOKUP($A131,貼り付け用!$A$1:$BA$300,COLUMN(),FALSE)=0,"",VLOOKUP($A131,貼り付け用!$A$1:$BA$300,COLUMN(),FALSE)),"")</f>
        <v/>
      </c>
      <c r="I131" s="45" t="str">
        <f>IF($A131&lt;&gt;"",IF(VLOOKUP($A131,貼り付け用!$A$1:$BA$300,COLUMN(),FALSE)=0,"",VLOOKUP($A131,貼り付け用!$A$1:$BA$300,COLUMN(),FALSE)),"")</f>
        <v/>
      </c>
      <c r="J131" s="45" t="str">
        <f>IF($A131&lt;&gt;"",IF(VLOOKUP($A131,貼り付け用!$A$1:$BA$300,COLUMN(),FALSE)=0,"",VLOOKUP($A131,貼り付け用!$A$1:$BA$300,COLUMN(),FALSE)),"")</f>
        <v/>
      </c>
      <c r="K131" s="45" t="str">
        <f>IF($A131&lt;&gt;"",IF(VLOOKUP($A131,貼り付け用!$A$1:$BA$300,COLUMN(),FALSE)=0,"",VLOOKUP($A131,貼り付け用!$A$1:$BA$300,COLUMN(),FALSE)),"")</f>
        <v/>
      </c>
      <c r="L131" s="45" t="str">
        <f>IF($A131&lt;&gt;"",
IF(COLUMN(貼り付け用!L131)&gt;MATCH("おやつ",貼り付け用!$3:$3,0),"",
IF(VLOOKUP($A131,貼り付け用!$A$1:$BA$300,COLUMN(),FALSE)=0,"",VLOOKUP($A131,貼り付け用!$A$1:$BA$300,COLUMN(),FALSE))),"")</f>
        <v/>
      </c>
      <c r="M131" s="45" t="str">
        <f>IF($A131&lt;&gt;"",
IF(COLUMN(貼り付け用!M131)&gt;MATCH("おやつ",貼り付け用!$3:$3,0),"",
IF(VLOOKUP($A131,貼り付け用!$A$1:$BA$300,COLUMN(),FALSE)=0,"",VLOOKUP($A131,貼り付け用!$A$1:$BA$300,COLUMN(),FALSE))),"")</f>
        <v/>
      </c>
      <c r="N131" s="45" t="str">
        <f>IF($A131&lt;&gt;"",
IF(COLUMN(貼り付け用!N131)&gt;MATCH("おやつ",貼り付け用!$3:$3,0),"",
IF(VLOOKUP($A131,貼り付け用!$A$1:$BA$300,COLUMN(),FALSE)=0,"",VLOOKUP($A131,貼り付け用!$A$1:$BA$300,COLUMN(),FALSE))),"")</f>
        <v>18</v>
      </c>
      <c r="O131" s="45" t="str">
        <f>IF($A131&lt;&gt;"",
IF(COLUMN(貼り付け用!O131)&gt;MATCH("おやつ",貼り付け用!$3:$3,0),"",
IF(VLOOKUP($A131,貼り付け用!$A$1:$BA$300,COLUMN(),FALSE)=0,"",VLOOKUP($A131,貼り付け用!$A$1:$BA$300,COLUMN(),FALSE))),"")</f>
        <v/>
      </c>
      <c r="P131" s="45" t="str">
        <f>IF($A131&lt;&gt;"",
IF(COLUMN(貼り付け用!P131)&gt;MATCH("おやつ",貼り付け用!$3:$3,0),"",
IF(VLOOKUP($A131,貼り付け用!$A$1:$BA$300,COLUMN(),FALSE)=0,"",VLOOKUP($A131,貼り付け用!$A$1:$BA$300,COLUMN(),FALSE))),"")</f>
        <v/>
      </c>
      <c r="Q131" s="45" t="str">
        <f>IF($A131&lt;&gt;"",
IF(COLUMN(貼り付け用!Q131)&gt;MATCH("おやつ",貼り付け用!$3:$3,0),"",
IF(VLOOKUP($A131,貼り付け用!$A$1:$BA$300,COLUMN(),FALSE)=0,"",VLOOKUP($A131,貼り付け用!$A$1:$BA$300,COLUMN(),FALSE))),"")</f>
        <v/>
      </c>
      <c r="R131" s="45" t="str">
        <f>IF($A131&lt;&gt;"",
IF(COLUMN(貼り付け用!R131)&gt;MATCH("おやつ",貼り付け用!$3:$3,0),"",
IF(VLOOKUP($A131,貼り付け用!$A$1:$BA$300,COLUMN(),FALSE)=0,"",VLOOKUP($A131,貼り付け用!$A$1:$BA$300,COLUMN(),FALSE))),"")</f>
        <v/>
      </c>
      <c r="S131" s="45" t="str">
        <f>IF($A131&lt;&gt;"",
IF(COLUMN(貼り付け用!S131)&gt;MATCH("おやつ",貼り付け用!$3:$3,0),"",
IF(VLOOKUP($A131,貼り付け用!$A$1:$BA$300,COLUMN(),FALSE)=0,"",VLOOKUP($A131,貼り付け用!$A$1:$BA$300,COLUMN(),FALSE))),"")</f>
        <v/>
      </c>
      <c r="T131" s="45" t="str">
        <f>IF(COLUMN(貼り付け用!T131)&gt;MATCH("おやつ",貼り付け用!$3:$3,0),"",
IF(VLOOKUP($A131,貼り付け用!$A$1:$BA$300,COLUMN(),FALSE)=0,"",VLOOKUP($A131,貼り付け用!$A$1:$BA$300,COLUMN(),FALSE)))</f>
        <v/>
      </c>
      <c r="U131" s="24"/>
      <c r="V131" s="21" t="str">
        <f>IF(A131&lt;&gt;"",
IF(VLOOKUP($A131,貼り付け用!$A$1:$BA$300,MATCH("おやつ",貼り付け用!$3:$3,0)+1,FALSE)=0,"",VLOOKUP($A131,貼り付け用!$A$1:$BA$300,MATCH("おやつ",貼り付け用!$3:$3,0)+1,FALSE)),"")</f>
        <v/>
      </c>
      <c r="W131" s="50" t="str">
        <f>IF(A131&lt;&gt;"",
IF(VLOOKUP($A131,貼り付け用!$A$1:$BA$300,MATCH("おやつ",貼り付け用!$3:$3,0)+2,FALSE)=0,"",VLOOKUP($A131,貼り付け用!$A$1:$BA$300,MATCH("おやつ",貼り付け用!$3:$3,0)+2,FALSE)),"")</f>
        <v/>
      </c>
    </row>
    <row r="132" spans="1:23" x14ac:dyDescent="0.45">
      <c r="A132" s="10" t="str">
        <f>IF(貼り付け用!$A$6&lt;&gt;"",
IF(ROW(A131)+1&gt;=MATCH("*【合計】*", 貼り付け用!$A:$A, 0),
"",
IF(貼り付け用!A132&lt;&gt;"",貼り付け用!A132,"")),
IF(ROW(A132)+1&gt;=MATCH("*【合計】*", 貼り付け用!$A:$A, 0),
"",
IF(貼り付け用!A133&lt;&gt;"",貼り付け用!A133,"")))</f>
        <v>40250</v>
      </c>
      <c r="B132" s="50" t="str">
        <f>IF($A132&lt;&gt;"",IF(VLOOKUP($A132,貼り付け用!$A$1:$BA$300,COLUMN(),FALSE)=0,"",VLOOKUP($A132,貼り付け用!$A$1:$BA$300,COLUMN(),FALSE)),"")</f>
        <v/>
      </c>
      <c r="C132" s="50" t="str">
        <f>IF($A132&lt;&gt;"",IF(VLOOKUP($A132,貼り付け用!$A$1:$BA$300,COLUMN(),FALSE)=0,"",VLOOKUP($A132,貼り付け用!$A$1:$BA$300,COLUMN(),FALSE)),"")</f>
        <v/>
      </c>
      <c r="D132" s="50" t="str">
        <f>IF($A132&lt;&gt;"",IF(VLOOKUP($A132,貼り付け用!$A$1:$BA$300,COLUMN(),FALSE)=0,"",VLOOKUP($A132,貼り付け用!$A$1:$BA$300,COLUMN(),FALSE)),"")</f>
        <v/>
      </c>
      <c r="E132" s="50" t="str">
        <f>IF($A132&lt;&gt;"",IF(VLOOKUP($A132,貼り付け用!$A$1:$BA$300,COLUMN(),FALSE)=0,"",VLOOKUP($A132,貼り付け用!$A$1:$BA$300,COLUMN(),FALSE)),"")</f>
        <v/>
      </c>
      <c r="F132" s="50" t="str">
        <f>IF($A132&lt;&gt;"",IF(VLOOKUP($A132,貼り付け用!$A$1:$BA$300,COLUMN(),FALSE)=0,"",VLOOKUP($A132,貼り付け用!$A$1:$BA$300,COLUMN(),FALSE)),"")</f>
        <v/>
      </c>
      <c r="G132" s="50" t="str">
        <f>IF($A132&lt;&gt;"",IF(VLOOKUP($A132,貼り付け用!$A$1:$BA$300,COLUMN(),FALSE)=0,"",VLOOKUP($A132,貼り付け用!$A$1:$BA$300,COLUMN(),FALSE)),"")</f>
        <v/>
      </c>
      <c r="H132" s="50" t="str">
        <f>IF($A132&lt;&gt;"",IF(VLOOKUP($A132,貼り付け用!$A$1:$BA$300,COLUMN(),FALSE)=0,"",VLOOKUP($A132,貼り付け用!$A$1:$BA$300,COLUMN(),FALSE)),"")</f>
        <v/>
      </c>
      <c r="I132" s="50" t="str">
        <f>IF($A132&lt;&gt;"",IF(VLOOKUP($A132,貼り付け用!$A$1:$BA$300,COLUMN(),FALSE)=0,"",VLOOKUP($A132,貼り付け用!$A$1:$BA$300,COLUMN(),FALSE)),"")</f>
        <v/>
      </c>
      <c r="J132" s="50" t="str">
        <f>IF($A132&lt;&gt;"",IF(VLOOKUP($A132,貼り付け用!$A$1:$BA$300,COLUMN(),FALSE)=0,"",VLOOKUP($A132,貼り付け用!$A$1:$BA$300,COLUMN(),FALSE)),"")</f>
        <v/>
      </c>
      <c r="K132" s="50" t="str">
        <f>IF($A132&lt;&gt;"",IF(VLOOKUP($A132,貼り付け用!$A$1:$BA$300,COLUMN(),FALSE)=0,"",VLOOKUP($A132,貼り付け用!$A$1:$BA$300,COLUMN(),FALSE)),"")</f>
        <v/>
      </c>
      <c r="L132" s="50" t="str">
        <f>IF($A132&lt;&gt;"",
IF(COLUMN(貼り付け用!L132)&gt;MATCH("おやつ",貼り付け用!$3:$3,0),"",
IF(VLOOKUP($A132,貼り付け用!$A$1:$BA$300,COLUMN(),FALSE)=0,"",VLOOKUP($A132,貼り付け用!$A$1:$BA$300,COLUMN(),FALSE))),"")</f>
        <v/>
      </c>
      <c r="M132" s="50" t="str">
        <f>IF($A132&lt;&gt;"",
IF(COLUMN(貼り付け用!M132)&gt;MATCH("おやつ",貼り付け用!$3:$3,0),"",
IF(VLOOKUP($A132,貼り付け用!$A$1:$BA$300,COLUMN(),FALSE)=0,"",VLOOKUP($A132,貼り付け用!$A$1:$BA$300,COLUMN(),FALSE))),"")</f>
        <v/>
      </c>
      <c r="N132" s="50" t="str">
        <f>IF($A132&lt;&gt;"",
IF(COLUMN(貼り付け用!N132)&gt;MATCH("おやつ",貼り付け用!$3:$3,0),"",
IF(VLOOKUP($A132,貼り付け用!$A$1:$BA$300,COLUMN(),FALSE)=0,"",VLOOKUP($A132,貼り付け用!$A$1:$BA$300,COLUMN(),FALSE))),"")</f>
        <v>153</v>
      </c>
      <c r="O132" s="50" t="str">
        <f>IF($A132&lt;&gt;"",
IF(COLUMN(貼り付け用!O132)&gt;MATCH("おやつ",貼り付け用!$3:$3,0),"",
IF(VLOOKUP($A132,貼り付け用!$A$1:$BA$300,COLUMN(),FALSE)=0,"",VLOOKUP($A132,貼り付け用!$A$1:$BA$300,COLUMN(),FALSE))),"")</f>
        <v/>
      </c>
      <c r="P132" s="50" t="str">
        <f>IF($A132&lt;&gt;"",
IF(COLUMN(貼り付け用!P132)&gt;MATCH("おやつ",貼り付け用!$3:$3,0),"",
IF(VLOOKUP($A132,貼り付け用!$A$1:$BA$300,COLUMN(),FALSE)=0,"",VLOOKUP($A132,貼り付け用!$A$1:$BA$300,COLUMN(),FALSE))),"")</f>
        <v/>
      </c>
      <c r="Q132" s="50" t="str">
        <f>IF($A132&lt;&gt;"",
IF(COLUMN(貼り付け用!Q132)&gt;MATCH("おやつ",貼り付け用!$3:$3,0),"",
IF(VLOOKUP($A132,貼り付け用!$A$1:$BA$300,COLUMN(),FALSE)=0,"",VLOOKUP($A132,貼り付け用!$A$1:$BA$300,COLUMN(),FALSE))),"")</f>
        <v/>
      </c>
      <c r="R132" s="50" t="str">
        <f>IF($A132&lt;&gt;"",
IF(COLUMN(貼り付け用!R132)&gt;MATCH("おやつ",貼り付け用!$3:$3,0),"",
IF(VLOOKUP($A132,貼り付け用!$A$1:$BA$300,COLUMN(),FALSE)=0,"",VLOOKUP($A132,貼り付け用!$A$1:$BA$300,COLUMN(),FALSE))),"")</f>
        <v/>
      </c>
      <c r="S132" s="50" t="str">
        <f>IF($A132&lt;&gt;"",
IF(COLUMN(貼り付け用!S132)&gt;MATCH("おやつ",貼り付け用!$3:$3,0),"",
IF(VLOOKUP($A132,貼り付け用!$A$1:$BA$300,COLUMN(),FALSE)=0,"",VLOOKUP($A132,貼り付け用!$A$1:$BA$300,COLUMN(),FALSE))),"")</f>
        <v/>
      </c>
      <c r="T132" s="50" t="str">
        <f>IF(COLUMN(貼り付け用!T132)&gt;MATCH("おやつ",貼り付け用!$3:$3,0),"",
IF(VLOOKUP($A132,貼り付け用!$A$1:$BA$300,COLUMN(),FALSE)=0,"",VLOOKUP($A132,貼り付け用!$A$1:$BA$300,COLUMN(),FALSE)))</f>
        <v/>
      </c>
      <c r="U132" s="23"/>
      <c r="V132" s="21" t="str">
        <f>IF(A132&lt;&gt;"",
IF(VLOOKUP($A132,貼り付け用!$A$1:$BA$300,MATCH("おやつ",貼り付け用!$3:$3,0)+1,FALSE)=0,"",VLOOKUP($A132,貼り付け用!$A$1:$BA$300,MATCH("おやつ",貼り付け用!$3:$3,0)+1,FALSE)),"")</f>
        <v>きく組学級閉鎖</v>
      </c>
      <c r="W132" s="50" t="str">
        <f>IF(A132&lt;&gt;"",
IF(VLOOKUP($A132,貼り付け用!$A$1:$BA$300,MATCH("おやつ",貼り付け用!$3:$3,0)+2,FALSE)=0,"",VLOOKUP($A132,貼り付け用!$A$1:$BA$300,MATCH("おやつ",貼り付け用!$3:$3,0)+2,FALSE)),"")</f>
        <v/>
      </c>
    </row>
    <row r="133" spans="1:23" x14ac:dyDescent="0.45">
      <c r="A133" s="22" t="str">
        <f>IF(貼り付け用!$A$6&lt;&gt;"",
IF(ROW(A132)+1&gt;=MATCH("*【合計】*", 貼り付け用!$A:$A, 0),"",
IF(貼り付け用!A133&lt;&gt;"",貼り付け用!A133,"")),
IF(ROW(A133)+1&gt;=MATCH("*【合計】*", 貼り付け用!$A:$A, 0),"",
IF(貼り付け用!A134&lt;&gt;"",貼り付け用!A134,"")))</f>
        <v>かなやま幼稚園</v>
      </c>
      <c r="B133" s="45" t="str">
        <f>IF($A133&lt;&gt;"",IF(VLOOKUP($A133,貼り付け用!$A$1:$BA$300,COLUMN(),FALSE)=0,"",VLOOKUP($A133,貼り付け用!$A$1:$BA$300,COLUMN(),FALSE)),"")</f>
        <v/>
      </c>
      <c r="C133" s="45" t="str">
        <f>IF($A133&lt;&gt;"",IF(VLOOKUP($A133,貼り付け用!$A$1:$BA$300,COLUMN(),FALSE)=0,"",VLOOKUP($A133,貼り付け用!$A$1:$BA$300,COLUMN(),FALSE)),"")</f>
        <v/>
      </c>
      <c r="D133" s="45" t="str">
        <f>IF($A133&lt;&gt;"",IF(VLOOKUP($A133,貼り付け用!$A$1:$BA$300,COLUMN(),FALSE)=0,"",VLOOKUP($A133,貼り付け用!$A$1:$BA$300,COLUMN(),FALSE)),"")</f>
        <v/>
      </c>
      <c r="E133" s="45" t="str">
        <f>IF($A133&lt;&gt;"",IF(VLOOKUP($A133,貼り付け用!$A$1:$BA$300,COLUMN(),FALSE)=0,"",VLOOKUP($A133,貼り付け用!$A$1:$BA$300,COLUMN(),FALSE)),"")</f>
        <v/>
      </c>
      <c r="F133" s="45" t="str">
        <f>IF($A133&lt;&gt;"",IF(VLOOKUP($A133,貼り付け用!$A$1:$BA$300,COLUMN(),FALSE)=0,"",VLOOKUP($A133,貼り付け用!$A$1:$BA$300,COLUMN(),FALSE)),"")</f>
        <v/>
      </c>
      <c r="G133" s="45" t="str">
        <f>IF($A133&lt;&gt;"",IF(VLOOKUP($A133,貼り付け用!$A$1:$BA$300,COLUMN(),FALSE)=0,"",VLOOKUP($A133,貼り付け用!$A$1:$BA$300,COLUMN(),FALSE)),"")</f>
        <v/>
      </c>
      <c r="H133" s="45" t="str">
        <f>IF($A133&lt;&gt;"",IF(VLOOKUP($A133,貼り付け用!$A$1:$BA$300,COLUMN(),FALSE)=0,"",VLOOKUP($A133,貼り付け用!$A$1:$BA$300,COLUMN(),FALSE)),"")</f>
        <v/>
      </c>
      <c r="I133" s="45" t="str">
        <f>IF($A133&lt;&gt;"",IF(VLOOKUP($A133,貼り付け用!$A$1:$BA$300,COLUMN(),FALSE)=0,"",VLOOKUP($A133,貼り付け用!$A$1:$BA$300,COLUMN(),FALSE)),"")</f>
        <v/>
      </c>
      <c r="J133" s="45" t="str">
        <f>IF($A133&lt;&gt;"",IF(VLOOKUP($A133,貼り付け用!$A$1:$BA$300,COLUMN(),FALSE)=0,"",VLOOKUP($A133,貼り付け用!$A$1:$BA$300,COLUMN(),FALSE)),"")</f>
        <v/>
      </c>
      <c r="K133" s="45" t="str">
        <f>IF($A133&lt;&gt;"",IF(VLOOKUP($A133,貼り付け用!$A$1:$BA$300,COLUMN(),FALSE)=0,"",VLOOKUP($A133,貼り付け用!$A$1:$BA$300,COLUMN(),FALSE)),"")</f>
        <v/>
      </c>
      <c r="L133" s="45" t="str">
        <f>IF($A133&lt;&gt;"",
IF(COLUMN(貼り付け用!L133)&gt;MATCH("おやつ",貼り付け用!$3:$3,0),"",
IF(VLOOKUP($A133,貼り付け用!$A$1:$BA$300,COLUMN(),FALSE)=0,"",VLOOKUP($A133,貼り付け用!$A$1:$BA$300,COLUMN(),FALSE))),"")</f>
        <v/>
      </c>
      <c r="M133" s="45" t="str">
        <f>IF($A133&lt;&gt;"",
IF(COLUMN(貼り付け用!M133)&gt;MATCH("おやつ",貼り付け用!$3:$3,0),"",
IF(VLOOKUP($A133,貼り付け用!$A$1:$BA$300,COLUMN(),FALSE)=0,"",VLOOKUP($A133,貼り付け用!$A$1:$BA$300,COLUMN(),FALSE))),"")</f>
        <v/>
      </c>
      <c r="N133" s="45" t="str">
        <f>IF($A133&lt;&gt;"",
IF(COLUMN(貼り付け用!N133)&gt;MATCH("おやつ",貼り付け用!$3:$3,0),"",
IF(VLOOKUP($A133,貼り付け用!$A$1:$BA$300,COLUMN(),FALSE)=0,"",VLOOKUP($A133,貼り付け用!$A$1:$BA$300,COLUMN(),FALSE))),"")</f>
        <v>18</v>
      </c>
      <c r="O133" s="45" t="str">
        <f>IF($A133&lt;&gt;"",
IF(COLUMN(貼り付け用!O133)&gt;MATCH("おやつ",貼り付け用!$3:$3,0),"",
IF(VLOOKUP($A133,貼り付け用!$A$1:$BA$300,COLUMN(),FALSE)=0,"",VLOOKUP($A133,貼り付け用!$A$1:$BA$300,COLUMN(),FALSE))),"")</f>
        <v/>
      </c>
      <c r="P133" s="45" t="str">
        <f>IF($A133&lt;&gt;"",
IF(COLUMN(貼り付け用!P133)&gt;MATCH("おやつ",貼り付け用!$3:$3,0),"",
IF(VLOOKUP($A133,貼り付け用!$A$1:$BA$300,COLUMN(),FALSE)=0,"",VLOOKUP($A133,貼り付け用!$A$1:$BA$300,COLUMN(),FALSE))),"")</f>
        <v/>
      </c>
      <c r="Q133" s="45" t="str">
        <f>IF($A133&lt;&gt;"",
IF(COLUMN(貼り付け用!Q133)&gt;MATCH("おやつ",貼り付け用!$3:$3,0),"",
IF(VLOOKUP($A133,貼り付け用!$A$1:$BA$300,COLUMN(),FALSE)=0,"",VLOOKUP($A133,貼り付け用!$A$1:$BA$300,COLUMN(),FALSE))),"")</f>
        <v/>
      </c>
      <c r="R133" s="45" t="str">
        <f>IF($A133&lt;&gt;"",
IF(COLUMN(貼り付け用!R133)&gt;MATCH("おやつ",貼り付け用!$3:$3,0),"",
IF(VLOOKUP($A133,貼り付け用!$A$1:$BA$300,COLUMN(),FALSE)=0,"",VLOOKUP($A133,貼り付け用!$A$1:$BA$300,COLUMN(),FALSE))),"")</f>
        <v/>
      </c>
      <c r="S133" s="45" t="str">
        <f>IF($A133&lt;&gt;"",
IF(COLUMN(貼り付け用!S133)&gt;MATCH("おやつ",貼り付け用!$3:$3,0),"",
IF(VLOOKUP($A133,貼り付け用!$A$1:$BA$300,COLUMN(),FALSE)=0,"",VLOOKUP($A133,貼り付け用!$A$1:$BA$300,COLUMN(),FALSE))),"")</f>
        <v/>
      </c>
      <c r="T133" s="45" t="str">
        <f>IF(COLUMN(貼り付け用!T133)&gt;MATCH("おやつ",貼り付け用!$3:$3,0),"",
IF(VLOOKUP($A133,貼り付け用!$A$1:$BA$300,COLUMN(),FALSE)=0,"",VLOOKUP($A133,貼り付け用!$A$1:$BA$300,COLUMN(),FALSE)))</f>
        <v/>
      </c>
      <c r="U133" s="24"/>
      <c r="V133" s="21" t="str">
        <f>IF(A133&lt;&gt;"",
IF(VLOOKUP($A133,貼り付け用!$A$1:$BA$300,MATCH("おやつ",貼り付け用!$3:$3,0)+1,FALSE)=0,"",VLOOKUP($A133,貼り付け用!$A$1:$BA$300,MATCH("おやつ",貼り付け用!$3:$3,0)+1,FALSE)),"")</f>
        <v/>
      </c>
      <c r="W133" s="50" t="str">
        <f>IF(A133&lt;&gt;"",
IF(VLOOKUP($A133,貼り付け用!$A$1:$BA$300,MATCH("おやつ",貼り付け用!$3:$3,0)+2,FALSE)=0,"",VLOOKUP($A133,貼り付け用!$A$1:$BA$300,MATCH("おやつ",貼り付け用!$3:$3,0)+2,FALSE)),"")</f>
        <v/>
      </c>
    </row>
    <row r="134" spans="1:23" x14ac:dyDescent="0.45">
      <c r="A134" s="10" t="str">
        <f>IF(貼り付け用!$A$6&lt;&gt;"",
IF(ROW(A133)+1&gt;=MATCH("*【合計】*", 貼り付け用!$A:$A, 0),
"",
IF(貼り付け用!A134&lt;&gt;"",貼り付け用!A134,"")),
IF(ROW(A134)+1&gt;=MATCH("*【合計】*", 貼り付け用!$A:$A, 0),
"",
IF(貼り付け用!A135&lt;&gt;"",貼り付け用!A135,"")))</f>
        <v>40350</v>
      </c>
      <c r="B134" s="50" t="str">
        <f>IF($A134&lt;&gt;"",IF(VLOOKUP($A134,貼り付け用!$A$1:$BA$300,COLUMN(),FALSE)=0,"",VLOOKUP($A134,貼り付け用!$A$1:$BA$300,COLUMN(),FALSE)),"")</f>
        <v/>
      </c>
      <c r="C134" s="50" t="str">
        <f>IF($A134&lt;&gt;"",IF(VLOOKUP($A134,貼り付け用!$A$1:$BA$300,COLUMN(),FALSE)=0,"",VLOOKUP($A134,貼り付け用!$A$1:$BA$300,COLUMN(),FALSE)),"")</f>
        <v/>
      </c>
      <c r="D134" s="50" t="str">
        <f>IF($A134&lt;&gt;"",IF(VLOOKUP($A134,貼り付け用!$A$1:$BA$300,COLUMN(),FALSE)=0,"",VLOOKUP($A134,貼り付け用!$A$1:$BA$300,COLUMN(),FALSE)),"")</f>
        <v/>
      </c>
      <c r="E134" s="50" t="str">
        <f>IF($A134&lt;&gt;"",IF(VLOOKUP($A134,貼り付け用!$A$1:$BA$300,COLUMN(),FALSE)=0,"",VLOOKUP($A134,貼り付け用!$A$1:$BA$300,COLUMN(),FALSE)),"")</f>
        <v/>
      </c>
      <c r="F134" s="50" t="str">
        <f>IF($A134&lt;&gt;"",IF(VLOOKUP($A134,貼り付け用!$A$1:$BA$300,COLUMN(),FALSE)=0,"",VLOOKUP($A134,貼り付け用!$A$1:$BA$300,COLUMN(),FALSE)),"")</f>
        <v/>
      </c>
      <c r="G134" s="50" t="str">
        <f>IF($A134&lt;&gt;"",IF(VLOOKUP($A134,貼り付け用!$A$1:$BA$300,COLUMN(),FALSE)=0,"",VLOOKUP($A134,貼り付け用!$A$1:$BA$300,COLUMN(),FALSE)),"")</f>
        <v>127</v>
      </c>
      <c r="H134" s="50" t="str">
        <f>IF($A134&lt;&gt;"",IF(VLOOKUP($A134,貼り付け用!$A$1:$BA$300,COLUMN(),FALSE)=0,"",VLOOKUP($A134,貼り付け用!$A$1:$BA$300,COLUMN(),FALSE)),"")</f>
        <v/>
      </c>
      <c r="I134" s="50" t="str">
        <f>IF($A134&lt;&gt;"",IF(VLOOKUP($A134,貼り付け用!$A$1:$BA$300,COLUMN(),FALSE)=0,"",VLOOKUP($A134,貼り付け用!$A$1:$BA$300,COLUMN(),FALSE)),"")</f>
        <v/>
      </c>
      <c r="J134" s="50" t="str">
        <f>IF($A134&lt;&gt;"",IF(VLOOKUP($A134,貼り付け用!$A$1:$BA$300,COLUMN(),FALSE)=0,"",VLOOKUP($A134,貼り付け用!$A$1:$BA$300,COLUMN(),FALSE)),"")</f>
        <v/>
      </c>
      <c r="K134" s="50" t="str">
        <f>IF($A134&lt;&gt;"",IF(VLOOKUP($A134,貼り付け用!$A$1:$BA$300,COLUMN(),FALSE)=0,"",VLOOKUP($A134,貼り付け用!$A$1:$BA$300,COLUMN(),FALSE)),"")</f>
        <v/>
      </c>
      <c r="L134" s="50" t="str">
        <f>IF($A134&lt;&gt;"",
IF(COLUMN(貼り付け用!L134)&gt;MATCH("おやつ",貼り付け用!$3:$3,0),"",
IF(VLOOKUP($A134,貼り付け用!$A$1:$BA$300,COLUMN(),FALSE)=0,"",VLOOKUP($A134,貼り付け用!$A$1:$BA$300,COLUMN(),FALSE))),"")</f>
        <v/>
      </c>
      <c r="M134" s="50" t="str">
        <f>IF($A134&lt;&gt;"",
IF(COLUMN(貼り付け用!M134)&gt;MATCH("おやつ",貼り付け用!$3:$3,0),"",
IF(VLOOKUP($A134,貼り付け用!$A$1:$BA$300,COLUMN(),FALSE)=0,"",VLOOKUP($A134,貼り付け用!$A$1:$BA$300,COLUMN(),FALSE))),"")</f>
        <v/>
      </c>
      <c r="N134" s="50" t="str">
        <f>IF($A134&lt;&gt;"",
IF(COLUMN(貼り付け用!N134)&gt;MATCH("おやつ",貼り付け用!$3:$3,0),"",
IF(VLOOKUP($A134,貼り付け用!$A$1:$BA$300,COLUMN(),FALSE)=0,"",VLOOKUP($A134,貼り付け用!$A$1:$BA$300,COLUMN(),FALSE))),"")</f>
        <v/>
      </c>
      <c r="O134" s="50" t="str">
        <f>IF($A134&lt;&gt;"",
IF(COLUMN(貼り付け用!O134)&gt;MATCH("おやつ",貼り付け用!$3:$3,0),"",
IF(VLOOKUP($A134,貼り付け用!$A$1:$BA$300,COLUMN(),FALSE)=0,"",VLOOKUP($A134,貼り付け用!$A$1:$BA$300,COLUMN(),FALSE))),"")</f>
        <v/>
      </c>
      <c r="P134" s="50" t="str">
        <f>IF($A134&lt;&gt;"",
IF(COLUMN(貼り付け用!P134)&gt;MATCH("おやつ",貼り付け用!$3:$3,0),"",
IF(VLOOKUP($A134,貼り付け用!$A$1:$BA$300,COLUMN(),FALSE)=0,"",VLOOKUP($A134,貼り付け用!$A$1:$BA$300,COLUMN(),FALSE))),"")</f>
        <v/>
      </c>
      <c r="Q134" s="50" t="str">
        <f>IF($A134&lt;&gt;"",
IF(COLUMN(貼り付け用!Q134)&gt;MATCH("おやつ",貼り付け用!$3:$3,0),"",
IF(VLOOKUP($A134,貼り付け用!$A$1:$BA$300,COLUMN(),FALSE)=0,"",VLOOKUP($A134,貼り付け用!$A$1:$BA$300,COLUMN(),FALSE))),"")</f>
        <v/>
      </c>
      <c r="R134" s="50" t="str">
        <f>IF($A134&lt;&gt;"",
IF(COLUMN(貼り付け用!R134)&gt;MATCH("おやつ",貼り付け用!$3:$3,0),"",
IF(VLOOKUP($A134,貼り付け用!$A$1:$BA$300,COLUMN(),FALSE)=0,"",VLOOKUP($A134,貼り付け用!$A$1:$BA$300,COLUMN(),FALSE))),"")</f>
        <v/>
      </c>
      <c r="S134" s="50" t="str">
        <f>IF($A134&lt;&gt;"",
IF(COLUMN(貼り付け用!S134)&gt;MATCH("おやつ",貼り付け用!$3:$3,0),"",
IF(VLOOKUP($A134,貼り付け用!$A$1:$BA$300,COLUMN(),FALSE)=0,"",VLOOKUP($A134,貼り付け用!$A$1:$BA$300,COLUMN(),FALSE))),"")</f>
        <v/>
      </c>
      <c r="T134" s="50" t="str">
        <f>IF(COLUMN(貼り付け用!T134)&gt;MATCH("おやつ",貼り付け用!$3:$3,0),"",
IF(VLOOKUP($A134,貼り付け用!$A$1:$BA$300,COLUMN(),FALSE)=0,"",VLOOKUP($A134,貼り付け用!$A$1:$BA$300,COLUMN(),FALSE)))</f>
        <v/>
      </c>
      <c r="U134" s="23"/>
      <c r="V134" s="21" t="str">
        <f>IF(A134&lt;&gt;"",
IF(VLOOKUP($A134,貼り付け用!$A$1:$BA$300,MATCH("おやつ",貼り付け用!$3:$3,0)+1,FALSE)=0,"",VLOOKUP($A134,貼り付け用!$A$1:$BA$300,MATCH("おやつ",貼り付け用!$3:$3,0)+1,FALSE)),"")</f>
        <v/>
      </c>
      <c r="W134" s="50" t="str">
        <f>IF(A134&lt;&gt;"",
IF(VLOOKUP($A134,貼り付け用!$A$1:$BA$300,MATCH("おやつ",貼り付け用!$3:$3,0)+2,FALSE)=0,"",VLOOKUP($A134,貼り付け用!$A$1:$BA$300,MATCH("おやつ",貼り付け用!$3:$3,0)+2,FALSE)),"")</f>
        <v/>
      </c>
    </row>
    <row r="135" spans="1:23" x14ac:dyDescent="0.45">
      <c r="A135" s="22" t="str">
        <f>IF(貼り付け用!$A$6&lt;&gt;"",
IF(ROW(A134)+1&gt;=MATCH("*【合計】*", 貼り付け用!$A:$A, 0),"",
IF(貼り付け用!A135&lt;&gt;"",貼り付け用!A135,"")),
IF(ROW(A135)+1&gt;=MATCH("*【合計】*", 貼り付け用!$A:$A, 0),"",
IF(貼り付け用!A136&lt;&gt;"",貼り付け用!A136,"")))</f>
        <v>山王幼稚園</v>
      </c>
      <c r="B135" s="45" t="str">
        <f>IF($A135&lt;&gt;"",IF(VLOOKUP($A135,貼り付け用!$A$1:$BA$300,COLUMN(),FALSE)=0,"",VLOOKUP($A135,貼り付け用!$A$1:$BA$300,COLUMN(),FALSE)),"")</f>
        <v/>
      </c>
      <c r="C135" s="45" t="str">
        <f>IF($A135&lt;&gt;"",IF(VLOOKUP($A135,貼り付け用!$A$1:$BA$300,COLUMN(),FALSE)=0,"",VLOOKUP($A135,貼り付け用!$A$1:$BA$300,COLUMN(),FALSE)),"")</f>
        <v/>
      </c>
      <c r="D135" s="45" t="str">
        <f>IF($A135&lt;&gt;"",IF(VLOOKUP($A135,貼り付け用!$A$1:$BA$300,COLUMN(),FALSE)=0,"",VLOOKUP($A135,貼り付け用!$A$1:$BA$300,COLUMN(),FALSE)),"")</f>
        <v/>
      </c>
      <c r="E135" s="45" t="str">
        <f>IF($A135&lt;&gt;"",IF(VLOOKUP($A135,貼り付け用!$A$1:$BA$300,COLUMN(),FALSE)=0,"",VLOOKUP($A135,貼り付け用!$A$1:$BA$300,COLUMN(),FALSE)),"")</f>
        <v/>
      </c>
      <c r="F135" s="45" t="str">
        <f>IF($A135&lt;&gt;"",IF(VLOOKUP($A135,貼り付け用!$A$1:$BA$300,COLUMN(),FALSE)=0,"",VLOOKUP($A135,貼り付け用!$A$1:$BA$300,COLUMN(),FALSE)),"")</f>
        <v/>
      </c>
      <c r="G135" s="45" t="str">
        <f>IF($A135&lt;&gt;"",IF(VLOOKUP($A135,貼り付け用!$A$1:$BA$300,COLUMN(),FALSE)=0,"",VLOOKUP($A135,貼り付け用!$A$1:$BA$300,COLUMN(),FALSE)),"")</f>
        <v>19</v>
      </c>
      <c r="H135" s="45" t="str">
        <f>IF($A135&lt;&gt;"",IF(VLOOKUP($A135,貼り付け用!$A$1:$BA$300,COLUMN(),FALSE)=0,"",VLOOKUP($A135,貼り付け用!$A$1:$BA$300,COLUMN(),FALSE)),"")</f>
        <v/>
      </c>
      <c r="I135" s="45" t="str">
        <f>IF($A135&lt;&gt;"",IF(VLOOKUP($A135,貼り付け用!$A$1:$BA$300,COLUMN(),FALSE)=0,"",VLOOKUP($A135,貼り付け用!$A$1:$BA$300,COLUMN(),FALSE)),"")</f>
        <v/>
      </c>
      <c r="J135" s="45" t="str">
        <f>IF($A135&lt;&gt;"",IF(VLOOKUP($A135,貼り付け用!$A$1:$BA$300,COLUMN(),FALSE)=0,"",VLOOKUP($A135,貼り付け用!$A$1:$BA$300,COLUMN(),FALSE)),"")</f>
        <v/>
      </c>
      <c r="K135" s="45" t="str">
        <f>IF($A135&lt;&gt;"",IF(VLOOKUP($A135,貼り付け用!$A$1:$BA$300,COLUMN(),FALSE)=0,"",VLOOKUP($A135,貼り付け用!$A$1:$BA$300,COLUMN(),FALSE)),"")</f>
        <v/>
      </c>
      <c r="L135" s="45" t="str">
        <f>IF($A135&lt;&gt;"",
IF(COLUMN(貼り付け用!L135)&gt;MATCH("おやつ",貼り付け用!$3:$3,0),"",
IF(VLOOKUP($A135,貼り付け用!$A$1:$BA$300,COLUMN(),FALSE)=0,"",VLOOKUP($A135,貼り付け用!$A$1:$BA$300,COLUMN(),FALSE))),"")</f>
        <v/>
      </c>
      <c r="M135" s="45" t="str">
        <f>IF($A135&lt;&gt;"",
IF(COLUMN(貼り付け用!M135)&gt;MATCH("おやつ",貼り付け用!$3:$3,0),"",
IF(VLOOKUP($A135,貼り付け用!$A$1:$BA$300,COLUMN(),FALSE)=0,"",VLOOKUP($A135,貼り付け用!$A$1:$BA$300,COLUMN(),FALSE))),"")</f>
        <v/>
      </c>
      <c r="N135" s="45" t="str">
        <f>IF($A135&lt;&gt;"",
IF(COLUMN(貼り付け用!N135)&gt;MATCH("おやつ",貼り付け用!$3:$3,0),"",
IF(VLOOKUP($A135,貼り付け用!$A$1:$BA$300,COLUMN(),FALSE)=0,"",VLOOKUP($A135,貼り付け用!$A$1:$BA$300,COLUMN(),FALSE))),"")</f>
        <v/>
      </c>
      <c r="O135" s="45" t="str">
        <f>IF($A135&lt;&gt;"",
IF(COLUMN(貼り付け用!O135)&gt;MATCH("おやつ",貼り付け用!$3:$3,0),"",
IF(VLOOKUP($A135,貼り付け用!$A$1:$BA$300,COLUMN(),FALSE)=0,"",VLOOKUP($A135,貼り付け用!$A$1:$BA$300,COLUMN(),FALSE))),"")</f>
        <v/>
      </c>
      <c r="P135" s="45" t="str">
        <f>IF($A135&lt;&gt;"",
IF(COLUMN(貼り付け用!P135)&gt;MATCH("おやつ",貼り付け用!$3:$3,0),"",
IF(VLOOKUP($A135,貼り付け用!$A$1:$BA$300,COLUMN(),FALSE)=0,"",VLOOKUP($A135,貼り付け用!$A$1:$BA$300,COLUMN(),FALSE))),"")</f>
        <v/>
      </c>
      <c r="Q135" s="45" t="str">
        <f>IF($A135&lt;&gt;"",
IF(COLUMN(貼り付け用!Q135)&gt;MATCH("おやつ",貼り付け用!$3:$3,0),"",
IF(VLOOKUP($A135,貼り付け用!$A$1:$BA$300,COLUMN(),FALSE)=0,"",VLOOKUP($A135,貼り付け用!$A$1:$BA$300,COLUMN(),FALSE))),"")</f>
        <v/>
      </c>
      <c r="R135" s="45" t="str">
        <f>IF($A135&lt;&gt;"",
IF(COLUMN(貼り付け用!R135)&gt;MATCH("おやつ",貼り付け用!$3:$3,0),"",
IF(VLOOKUP($A135,貼り付け用!$A$1:$BA$300,COLUMN(),FALSE)=0,"",VLOOKUP($A135,貼り付け用!$A$1:$BA$300,COLUMN(),FALSE))),"")</f>
        <v/>
      </c>
      <c r="S135" s="45" t="str">
        <f>IF($A135&lt;&gt;"",
IF(COLUMN(貼り付け用!S135)&gt;MATCH("おやつ",貼り付け用!$3:$3,0),"",
IF(VLOOKUP($A135,貼り付け用!$A$1:$BA$300,COLUMN(),FALSE)=0,"",VLOOKUP($A135,貼り付け用!$A$1:$BA$300,COLUMN(),FALSE))),"")</f>
        <v/>
      </c>
      <c r="T135" s="45" t="str">
        <f>IF(COLUMN(貼り付け用!T135)&gt;MATCH("おやつ",貼り付け用!$3:$3,0),"",
IF(VLOOKUP($A135,貼り付け用!$A$1:$BA$300,COLUMN(),FALSE)=0,"",VLOOKUP($A135,貼り付け用!$A$1:$BA$300,COLUMN(),FALSE)))</f>
        <v/>
      </c>
      <c r="U135" s="24"/>
      <c r="V135" s="21" t="str">
        <f>IF(A135&lt;&gt;"",
IF(VLOOKUP($A135,貼り付け用!$A$1:$BA$300,MATCH("おやつ",貼り付け用!$3:$3,0)+1,FALSE)=0,"",VLOOKUP($A135,貼り付け用!$A$1:$BA$300,MATCH("おやつ",貼り付け用!$3:$3,0)+1,FALSE)),"")</f>
        <v/>
      </c>
      <c r="W135" s="50" t="str">
        <f>IF(A135&lt;&gt;"",
IF(VLOOKUP($A135,貼り付け用!$A$1:$BA$300,MATCH("おやつ",貼り付け用!$3:$3,0)+2,FALSE)=0,"",VLOOKUP($A135,貼り付け用!$A$1:$BA$300,MATCH("おやつ",貼り付け用!$3:$3,0)+2,FALSE)),"")</f>
        <v/>
      </c>
    </row>
    <row r="136" spans="1:23" x14ac:dyDescent="0.45">
      <c r="A136" s="10" t="str">
        <f>IF(貼り付け用!$A$6&lt;&gt;"",
IF(ROW(A135)+1&gt;=MATCH("*【合計】*", 貼り付け用!$A:$A, 0),
"",
IF(貼り付け用!A136&lt;&gt;"",貼り付け用!A136,"")),
IF(ROW(A136)+1&gt;=MATCH("*【合計】*", 貼り付け用!$A:$A, 0),
"",
IF(貼り付け用!A137&lt;&gt;"",貼り付け用!A137,"")))</f>
        <v>40400</v>
      </c>
      <c r="B136" s="50" t="str">
        <f>IF($A136&lt;&gt;"",IF(VLOOKUP($A136,貼り付け用!$A$1:$BA$300,COLUMN(),FALSE)=0,"",VLOOKUP($A136,貼り付け用!$A$1:$BA$300,COLUMN(),FALSE)),"")</f>
        <v/>
      </c>
      <c r="C136" s="50" t="str">
        <f>IF($A136&lt;&gt;"",IF(VLOOKUP($A136,貼り付け用!$A$1:$BA$300,COLUMN(),FALSE)=0,"",VLOOKUP($A136,貼り付け用!$A$1:$BA$300,COLUMN(),FALSE)),"")</f>
        <v/>
      </c>
      <c r="D136" s="50" t="str">
        <f>IF($A136&lt;&gt;"",IF(VLOOKUP($A136,貼り付け用!$A$1:$BA$300,COLUMN(),FALSE)=0,"",VLOOKUP($A136,貼り付け用!$A$1:$BA$300,COLUMN(),FALSE)),"")</f>
        <v/>
      </c>
      <c r="E136" s="50" t="str">
        <f>IF($A136&lt;&gt;"",IF(VLOOKUP($A136,貼り付け用!$A$1:$BA$300,COLUMN(),FALSE)=0,"",VLOOKUP($A136,貼り付け用!$A$1:$BA$300,COLUMN(),FALSE)),"")</f>
        <v/>
      </c>
      <c r="F136" s="50" t="str">
        <f>IF($A136&lt;&gt;"",IF(VLOOKUP($A136,貼り付け用!$A$1:$BA$300,COLUMN(),FALSE)=0,"",VLOOKUP($A136,貼り付け用!$A$1:$BA$300,COLUMN(),FALSE)),"")</f>
        <v/>
      </c>
      <c r="G136" s="50" t="str">
        <f>IF($A136&lt;&gt;"",IF(VLOOKUP($A136,貼り付け用!$A$1:$BA$300,COLUMN(),FALSE)=0,"",VLOOKUP($A136,貼り付け用!$A$1:$BA$300,COLUMN(),FALSE)),"")</f>
        <v/>
      </c>
      <c r="H136" s="50" t="str">
        <f>IF($A136&lt;&gt;"",IF(VLOOKUP($A136,貼り付け用!$A$1:$BA$300,COLUMN(),FALSE)=0,"",VLOOKUP($A136,貼り付け用!$A$1:$BA$300,COLUMN(),FALSE)),"")</f>
        <v/>
      </c>
      <c r="I136" s="50" t="str">
        <f>IF($A136&lt;&gt;"",IF(VLOOKUP($A136,貼り付け用!$A$1:$BA$300,COLUMN(),FALSE)=0,"",VLOOKUP($A136,貼り付け用!$A$1:$BA$300,COLUMN(),FALSE)),"")</f>
        <v/>
      </c>
      <c r="J136" s="50" t="str">
        <f>IF($A136&lt;&gt;"",IF(VLOOKUP($A136,貼り付け用!$A$1:$BA$300,COLUMN(),FALSE)=0,"",VLOOKUP($A136,貼り付け用!$A$1:$BA$300,COLUMN(),FALSE)),"")</f>
        <v/>
      </c>
      <c r="K136" s="50" t="str">
        <f>IF($A136&lt;&gt;"",IF(VLOOKUP($A136,貼り付け用!$A$1:$BA$300,COLUMN(),FALSE)=0,"",VLOOKUP($A136,貼り付け用!$A$1:$BA$300,COLUMN(),FALSE)),"")</f>
        <v/>
      </c>
      <c r="L136" s="50" t="str">
        <f>IF($A136&lt;&gt;"",
IF(COLUMN(貼り付け用!L136)&gt;MATCH("おやつ",貼り付け用!$3:$3,0),"",
IF(VLOOKUP($A136,貼り付け用!$A$1:$BA$300,COLUMN(),FALSE)=0,"",VLOOKUP($A136,貼り付け用!$A$1:$BA$300,COLUMN(),FALSE))),"")</f>
        <v/>
      </c>
      <c r="M136" s="50" t="str">
        <f>IF($A136&lt;&gt;"",
IF(COLUMN(貼り付け用!M136)&gt;MATCH("おやつ",貼り付け用!$3:$3,0),"",
IF(VLOOKUP($A136,貼り付け用!$A$1:$BA$300,COLUMN(),FALSE)=0,"",VLOOKUP($A136,貼り付け用!$A$1:$BA$300,COLUMN(),FALSE))),"")</f>
        <v/>
      </c>
      <c r="N136" s="50" t="str">
        <f>IF($A136&lt;&gt;"",
IF(COLUMN(貼り付け用!N136)&gt;MATCH("おやつ",貼り付け用!$3:$3,0),"",
IF(VLOOKUP($A136,貼り付け用!$A$1:$BA$300,COLUMN(),FALSE)=0,"",VLOOKUP($A136,貼り付け用!$A$1:$BA$300,COLUMN(),FALSE))),"")</f>
        <v>174</v>
      </c>
      <c r="O136" s="50" t="str">
        <f>IF($A136&lt;&gt;"",
IF(COLUMN(貼り付け用!O136)&gt;MATCH("おやつ",貼り付け用!$3:$3,0),"",
IF(VLOOKUP($A136,貼り付け用!$A$1:$BA$300,COLUMN(),FALSE)=0,"",VLOOKUP($A136,貼り付け用!$A$1:$BA$300,COLUMN(),FALSE))),"")</f>
        <v/>
      </c>
      <c r="P136" s="50" t="str">
        <f>IF($A136&lt;&gt;"",
IF(COLUMN(貼り付け用!P136)&gt;MATCH("おやつ",貼り付け用!$3:$3,0),"",
IF(VLOOKUP($A136,貼り付け用!$A$1:$BA$300,COLUMN(),FALSE)=0,"",VLOOKUP($A136,貼り付け用!$A$1:$BA$300,COLUMN(),FALSE))),"")</f>
        <v/>
      </c>
      <c r="Q136" s="50" t="str">
        <f>IF($A136&lt;&gt;"",
IF(COLUMN(貼り付け用!Q136)&gt;MATCH("おやつ",貼り付け用!$3:$3,0),"",
IF(VLOOKUP($A136,貼り付け用!$A$1:$BA$300,COLUMN(),FALSE)=0,"",VLOOKUP($A136,貼り付け用!$A$1:$BA$300,COLUMN(),FALSE))),"")</f>
        <v/>
      </c>
      <c r="R136" s="50" t="str">
        <f>IF($A136&lt;&gt;"",
IF(COLUMN(貼り付け用!R136)&gt;MATCH("おやつ",貼り付け用!$3:$3,0),"",
IF(VLOOKUP($A136,貼り付け用!$A$1:$BA$300,COLUMN(),FALSE)=0,"",VLOOKUP($A136,貼り付け用!$A$1:$BA$300,COLUMN(),FALSE))),"")</f>
        <v/>
      </c>
      <c r="S136" s="50" t="str">
        <f>IF($A136&lt;&gt;"",
IF(COLUMN(貼り付け用!S136)&gt;MATCH("おやつ",貼り付け用!$3:$3,0),"",
IF(VLOOKUP($A136,貼り付け用!$A$1:$BA$300,COLUMN(),FALSE)=0,"",VLOOKUP($A136,貼り付け用!$A$1:$BA$300,COLUMN(),FALSE))),"")</f>
        <v/>
      </c>
      <c r="T136" s="50" t="str">
        <f>IF(COLUMN(貼り付け用!T136)&gt;MATCH("おやつ",貼り付け用!$3:$3,0),"",
IF(VLOOKUP($A136,貼り付け用!$A$1:$BA$300,COLUMN(),FALSE)=0,"",VLOOKUP($A136,貼り付け用!$A$1:$BA$300,COLUMN(),FALSE)))</f>
        <v/>
      </c>
      <c r="U136" s="23"/>
      <c r="V136" s="21" t="str">
        <f>IF(A136&lt;&gt;"",
IF(VLOOKUP($A136,貼り付け用!$A$1:$BA$300,MATCH("おやつ",貼り付け用!$3:$3,0)+1,FALSE)=0,"",VLOOKUP($A136,貼り付け用!$A$1:$BA$300,MATCH("おやつ",貼り付け用!$3:$3,0)+1,FALSE)),"")</f>
        <v/>
      </c>
      <c r="W136" s="50" t="str">
        <f>IF(A136&lt;&gt;"",
IF(VLOOKUP($A136,貼り付け用!$A$1:$BA$300,MATCH("おやつ",貼り付け用!$3:$3,0)+2,FALSE)=0,"",VLOOKUP($A136,貼り付け用!$A$1:$BA$300,MATCH("おやつ",貼り付け用!$3:$3,0)+2,FALSE)),"")</f>
        <v/>
      </c>
    </row>
    <row r="137" spans="1:23" x14ac:dyDescent="0.45">
      <c r="A137" s="22" t="str">
        <f>IF(貼り付け用!$A$6&lt;&gt;"",
IF(ROW(A136)+1&gt;=MATCH("*【合計】*", 貼り付け用!$A:$A, 0),"",
IF(貼り付け用!A137&lt;&gt;"",貼り付け用!A137,"")),
IF(ROW(A137)+1&gt;=MATCH("*【合計】*", 貼り付け用!$A:$A, 0),"",
IF(貼り付け用!A138&lt;&gt;"",貼り付け用!A138,"")))</f>
        <v>アイスクール幼稚園</v>
      </c>
      <c r="B137" s="45" t="str">
        <f>IF($A137&lt;&gt;"",IF(VLOOKUP($A137,貼り付け用!$A$1:$BA$300,COLUMN(),FALSE)=0,"",VLOOKUP($A137,貼り付け用!$A$1:$BA$300,COLUMN(),FALSE)),"")</f>
        <v/>
      </c>
      <c r="C137" s="45" t="str">
        <f>IF($A137&lt;&gt;"",IF(VLOOKUP($A137,貼り付け用!$A$1:$BA$300,COLUMN(),FALSE)=0,"",VLOOKUP($A137,貼り付け用!$A$1:$BA$300,COLUMN(),FALSE)),"")</f>
        <v/>
      </c>
      <c r="D137" s="45" t="str">
        <f>IF($A137&lt;&gt;"",IF(VLOOKUP($A137,貼り付け用!$A$1:$BA$300,COLUMN(),FALSE)=0,"",VLOOKUP($A137,貼り付け用!$A$1:$BA$300,COLUMN(),FALSE)),"")</f>
        <v/>
      </c>
      <c r="E137" s="45" t="str">
        <f>IF($A137&lt;&gt;"",IF(VLOOKUP($A137,貼り付け用!$A$1:$BA$300,COLUMN(),FALSE)=0,"",VLOOKUP($A137,貼り付け用!$A$1:$BA$300,COLUMN(),FALSE)),"")</f>
        <v/>
      </c>
      <c r="F137" s="45" t="str">
        <f>IF($A137&lt;&gt;"",IF(VLOOKUP($A137,貼り付け用!$A$1:$BA$300,COLUMN(),FALSE)=0,"",VLOOKUP($A137,貼り付け用!$A$1:$BA$300,COLUMN(),FALSE)),"")</f>
        <v/>
      </c>
      <c r="G137" s="45" t="str">
        <f>IF($A137&lt;&gt;"",IF(VLOOKUP($A137,貼り付け用!$A$1:$BA$300,COLUMN(),FALSE)=0,"",VLOOKUP($A137,貼り付け用!$A$1:$BA$300,COLUMN(),FALSE)),"")</f>
        <v/>
      </c>
      <c r="H137" s="45" t="str">
        <f>IF($A137&lt;&gt;"",IF(VLOOKUP($A137,貼り付け用!$A$1:$BA$300,COLUMN(),FALSE)=0,"",VLOOKUP($A137,貼り付け用!$A$1:$BA$300,COLUMN(),FALSE)),"")</f>
        <v/>
      </c>
      <c r="I137" s="45" t="str">
        <f>IF($A137&lt;&gt;"",IF(VLOOKUP($A137,貼り付け用!$A$1:$BA$300,COLUMN(),FALSE)=0,"",VLOOKUP($A137,貼り付け用!$A$1:$BA$300,COLUMN(),FALSE)),"")</f>
        <v/>
      </c>
      <c r="J137" s="45" t="str">
        <f>IF($A137&lt;&gt;"",IF(VLOOKUP($A137,貼り付け用!$A$1:$BA$300,COLUMN(),FALSE)=0,"",VLOOKUP($A137,貼り付け用!$A$1:$BA$300,COLUMN(),FALSE)),"")</f>
        <v/>
      </c>
      <c r="K137" s="45" t="str">
        <f>IF($A137&lt;&gt;"",IF(VLOOKUP($A137,貼り付け用!$A$1:$BA$300,COLUMN(),FALSE)=0,"",VLOOKUP($A137,貼り付け用!$A$1:$BA$300,COLUMN(),FALSE)),"")</f>
        <v/>
      </c>
      <c r="L137" s="45" t="str">
        <f>IF($A137&lt;&gt;"",
IF(COLUMN(貼り付け用!L137)&gt;MATCH("おやつ",貼り付け用!$3:$3,0),"",
IF(VLOOKUP($A137,貼り付け用!$A$1:$BA$300,COLUMN(),FALSE)=0,"",VLOOKUP($A137,貼り付け用!$A$1:$BA$300,COLUMN(),FALSE))),"")</f>
        <v/>
      </c>
      <c r="M137" s="45" t="str">
        <f>IF($A137&lt;&gt;"",
IF(COLUMN(貼り付け用!M137)&gt;MATCH("おやつ",貼り付け用!$3:$3,0),"",
IF(VLOOKUP($A137,貼り付け用!$A$1:$BA$300,COLUMN(),FALSE)=0,"",VLOOKUP($A137,貼り付け用!$A$1:$BA$300,COLUMN(),FALSE))),"")</f>
        <v/>
      </c>
      <c r="N137" s="45" t="str">
        <f>IF($A137&lt;&gt;"",
IF(COLUMN(貼り付け用!N137)&gt;MATCH("おやつ",貼り付け用!$3:$3,0),"",
IF(VLOOKUP($A137,貼り付け用!$A$1:$BA$300,COLUMN(),FALSE)=0,"",VLOOKUP($A137,貼り付け用!$A$1:$BA$300,COLUMN(),FALSE))),"")</f>
        <v>20</v>
      </c>
      <c r="O137" s="45" t="str">
        <f>IF($A137&lt;&gt;"",
IF(COLUMN(貼り付け用!O137)&gt;MATCH("おやつ",貼り付け用!$3:$3,0),"",
IF(VLOOKUP($A137,貼り付け用!$A$1:$BA$300,COLUMN(),FALSE)=0,"",VLOOKUP($A137,貼り付け用!$A$1:$BA$300,COLUMN(),FALSE))),"")</f>
        <v/>
      </c>
      <c r="P137" s="45" t="str">
        <f>IF($A137&lt;&gt;"",
IF(COLUMN(貼り付け用!P137)&gt;MATCH("おやつ",貼り付け用!$3:$3,0),"",
IF(VLOOKUP($A137,貼り付け用!$A$1:$BA$300,COLUMN(),FALSE)=0,"",VLOOKUP($A137,貼り付け用!$A$1:$BA$300,COLUMN(),FALSE))),"")</f>
        <v/>
      </c>
      <c r="Q137" s="45" t="str">
        <f>IF($A137&lt;&gt;"",
IF(COLUMN(貼り付け用!Q137)&gt;MATCH("おやつ",貼り付け用!$3:$3,0),"",
IF(VLOOKUP($A137,貼り付け用!$A$1:$BA$300,COLUMN(),FALSE)=0,"",VLOOKUP($A137,貼り付け用!$A$1:$BA$300,COLUMN(),FALSE))),"")</f>
        <v/>
      </c>
      <c r="R137" s="45" t="str">
        <f>IF($A137&lt;&gt;"",
IF(COLUMN(貼り付け用!R137)&gt;MATCH("おやつ",貼り付け用!$3:$3,0),"",
IF(VLOOKUP($A137,貼り付け用!$A$1:$BA$300,COLUMN(),FALSE)=0,"",VLOOKUP($A137,貼り付け用!$A$1:$BA$300,COLUMN(),FALSE))),"")</f>
        <v/>
      </c>
      <c r="S137" s="45" t="str">
        <f>IF($A137&lt;&gt;"",
IF(COLUMN(貼り付け用!S137)&gt;MATCH("おやつ",貼り付け用!$3:$3,0),"",
IF(VLOOKUP($A137,貼り付け用!$A$1:$BA$300,COLUMN(),FALSE)=0,"",VLOOKUP($A137,貼り付け用!$A$1:$BA$300,COLUMN(),FALSE))),"")</f>
        <v/>
      </c>
      <c r="T137" s="45" t="str">
        <f>IF(COLUMN(貼り付け用!T137)&gt;MATCH("おやつ",貼り付け用!$3:$3,0),"",
IF(VLOOKUP($A137,貼り付け用!$A$1:$BA$300,COLUMN(),FALSE)=0,"",VLOOKUP($A137,貼り付け用!$A$1:$BA$300,COLUMN(),FALSE)))</f>
        <v/>
      </c>
      <c r="U137" s="24"/>
      <c r="V137" s="21" t="str">
        <f>IF(A137&lt;&gt;"",
IF(VLOOKUP($A137,貼り付け用!$A$1:$BA$300,MATCH("おやつ",貼り付け用!$3:$3,0)+1,FALSE)=0,"",VLOOKUP($A137,貼り付け用!$A$1:$BA$300,MATCH("おやつ",貼り付け用!$3:$3,0)+1,FALSE)),"")</f>
        <v/>
      </c>
      <c r="W137" s="50" t="str">
        <f>IF(A137&lt;&gt;"",
IF(VLOOKUP($A137,貼り付け用!$A$1:$BA$300,MATCH("おやつ",貼り付け用!$3:$3,0)+2,FALSE)=0,"",VLOOKUP($A137,貼り付け用!$A$1:$BA$300,MATCH("おやつ",貼り付け用!$3:$3,0)+2,FALSE)),"")</f>
        <v/>
      </c>
    </row>
    <row r="138" spans="1:23" x14ac:dyDescent="0.45">
      <c r="A138" s="10" t="str">
        <f>IF(貼り付け用!$A$6&lt;&gt;"",
IF(ROW(A137)+1&gt;=MATCH("*【合計】*", 貼り付け用!$A:$A, 0),
"",
IF(貼り付け用!A138&lt;&gt;"",貼り付け用!A138,"")),
IF(ROW(A138)+1&gt;=MATCH("*【合計】*", 貼り付け用!$A:$A, 0),
"",
IF(貼り付け用!A139&lt;&gt;"",貼り付け用!A139,"")))</f>
        <v>40700</v>
      </c>
      <c r="B138" s="50" t="str">
        <f>IF($A138&lt;&gt;"",IF(VLOOKUP($A138,貼り付け用!$A$1:$BA$300,COLUMN(),FALSE)=0,"",VLOOKUP($A138,貼り付け用!$A$1:$BA$300,COLUMN(),FALSE)),"")</f>
        <v/>
      </c>
      <c r="C138" s="50" t="str">
        <f>IF($A138&lt;&gt;"",IF(VLOOKUP($A138,貼り付け用!$A$1:$BA$300,COLUMN(),FALSE)=0,"",VLOOKUP($A138,貼り付け用!$A$1:$BA$300,COLUMN(),FALSE)),"")</f>
        <v/>
      </c>
      <c r="D138" s="50" t="str">
        <f>IF($A138&lt;&gt;"",IF(VLOOKUP($A138,貼り付け用!$A$1:$BA$300,COLUMN(),FALSE)=0,"",VLOOKUP($A138,貼り付け用!$A$1:$BA$300,COLUMN(),FALSE)),"")</f>
        <v/>
      </c>
      <c r="E138" s="50" t="str">
        <f>IF($A138&lt;&gt;"",IF(VLOOKUP($A138,貼り付け用!$A$1:$BA$300,COLUMN(),FALSE)=0,"",VLOOKUP($A138,貼り付け用!$A$1:$BA$300,COLUMN(),FALSE)),"")</f>
        <v/>
      </c>
      <c r="F138" s="50" t="str">
        <f>IF($A138&lt;&gt;"",IF(VLOOKUP($A138,貼り付け用!$A$1:$BA$300,COLUMN(),FALSE)=0,"",VLOOKUP($A138,貼り付け用!$A$1:$BA$300,COLUMN(),FALSE)),"")</f>
        <v/>
      </c>
      <c r="G138" s="50" t="str">
        <f>IF($A138&lt;&gt;"",IF(VLOOKUP($A138,貼り付け用!$A$1:$BA$300,COLUMN(),FALSE)=0,"",VLOOKUP($A138,貼り付け用!$A$1:$BA$300,COLUMN(),FALSE)),"")</f>
        <v/>
      </c>
      <c r="H138" s="50" t="str">
        <f>IF($A138&lt;&gt;"",IF(VLOOKUP($A138,貼り付け用!$A$1:$BA$300,COLUMN(),FALSE)=0,"",VLOOKUP($A138,貼り付け用!$A$1:$BA$300,COLUMN(),FALSE)),"")</f>
        <v/>
      </c>
      <c r="I138" s="50" t="str">
        <f>IF($A138&lt;&gt;"",IF(VLOOKUP($A138,貼り付け用!$A$1:$BA$300,COLUMN(),FALSE)=0,"",VLOOKUP($A138,貼り付け用!$A$1:$BA$300,COLUMN(),FALSE)),"")</f>
        <v/>
      </c>
      <c r="J138" s="50" t="str">
        <f>IF($A138&lt;&gt;"",IF(VLOOKUP($A138,貼り付け用!$A$1:$BA$300,COLUMN(),FALSE)=0,"",VLOOKUP($A138,貼り付け用!$A$1:$BA$300,COLUMN(),FALSE)),"")</f>
        <v/>
      </c>
      <c r="K138" s="50" t="str">
        <f>IF($A138&lt;&gt;"",IF(VLOOKUP($A138,貼り付け用!$A$1:$BA$300,COLUMN(),FALSE)=0,"",VLOOKUP($A138,貼り付け用!$A$1:$BA$300,COLUMN(),FALSE)),"")</f>
        <v/>
      </c>
      <c r="L138" s="50" t="str">
        <f>IF($A138&lt;&gt;"",
IF(COLUMN(貼り付け用!L138)&gt;MATCH("おやつ",貼り付け用!$3:$3,0),"",
IF(VLOOKUP($A138,貼り付け用!$A$1:$BA$300,COLUMN(),FALSE)=0,"",VLOOKUP($A138,貼り付け用!$A$1:$BA$300,COLUMN(),FALSE))),"")</f>
        <v/>
      </c>
      <c r="M138" s="50" t="str">
        <f>IF($A138&lt;&gt;"",
IF(COLUMN(貼り付け用!M138)&gt;MATCH("おやつ",貼り付け用!$3:$3,0),"",
IF(VLOOKUP($A138,貼り付け用!$A$1:$BA$300,COLUMN(),FALSE)=0,"",VLOOKUP($A138,貼り付け用!$A$1:$BA$300,COLUMN(),FALSE))),"")</f>
        <v/>
      </c>
      <c r="N138" s="50" t="str">
        <f>IF($A138&lt;&gt;"",
IF(COLUMN(貼り付け用!N138)&gt;MATCH("おやつ",貼り付け用!$3:$3,0),"",
IF(VLOOKUP($A138,貼り付け用!$A$1:$BA$300,COLUMN(),FALSE)=0,"",VLOOKUP($A138,貼り付け用!$A$1:$BA$300,COLUMN(),FALSE))),"")</f>
        <v>22</v>
      </c>
      <c r="O138" s="50" t="str">
        <f>IF($A138&lt;&gt;"",
IF(COLUMN(貼り付け用!O138)&gt;MATCH("おやつ",貼り付け用!$3:$3,0),"",
IF(VLOOKUP($A138,貼り付け用!$A$1:$BA$300,COLUMN(),FALSE)=0,"",VLOOKUP($A138,貼り付け用!$A$1:$BA$300,COLUMN(),FALSE))),"")</f>
        <v/>
      </c>
      <c r="P138" s="50" t="str">
        <f>IF($A138&lt;&gt;"",
IF(COLUMN(貼り付け用!P138)&gt;MATCH("おやつ",貼り付け用!$3:$3,0),"",
IF(VLOOKUP($A138,貼り付け用!$A$1:$BA$300,COLUMN(),FALSE)=0,"",VLOOKUP($A138,貼り付け用!$A$1:$BA$300,COLUMN(),FALSE))),"")</f>
        <v/>
      </c>
      <c r="Q138" s="50" t="str">
        <f>IF($A138&lt;&gt;"",
IF(COLUMN(貼り付け用!Q138)&gt;MATCH("おやつ",貼り付け用!$3:$3,0),"",
IF(VLOOKUP($A138,貼り付け用!$A$1:$BA$300,COLUMN(),FALSE)=0,"",VLOOKUP($A138,貼り付け用!$A$1:$BA$300,COLUMN(),FALSE))),"")</f>
        <v/>
      </c>
      <c r="R138" s="50" t="str">
        <f>IF($A138&lt;&gt;"",
IF(COLUMN(貼り付け用!R138)&gt;MATCH("おやつ",貼り付け用!$3:$3,0),"",
IF(VLOOKUP($A138,貼り付け用!$A$1:$BA$300,COLUMN(),FALSE)=0,"",VLOOKUP($A138,貼り付け用!$A$1:$BA$300,COLUMN(),FALSE))),"")</f>
        <v/>
      </c>
      <c r="S138" s="50" t="str">
        <f>IF($A138&lt;&gt;"",
IF(COLUMN(貼り付け用!S138)&gt;MATCH("おやつ",貼り付け用!$3:$3,0),"",
IF(VLOOKUP($A138,貼り付け用!$A$1:$BA$300,COLUMN(),FALSE)=0,"",VLOOKUP($A138,貼り付け用!$A$1:$BA$300,COLUMN(),FALSE))),"")</f>
        <v/>
      </c>
      <c r="T138" s="50" t="str">
        <f>IF(COLUMN(貼り付け用!T138)&gt;MATCH("おやつ",貼り付け用!$3:$3,0),"",
IF(VLOOKUP($A138,貼り付け用!$A$1:$BA$300,COLUMN(),FALSE)=0,"",VLOOKUP($A138,貼り付け用!$A$1:$BA$300,COLUMN(),FALSE)))</f>
        <v/>
      </c>
      <c r="U138" s="23"/>
      <c r="V138" s="21" t="str">
        <f>IF(A138&lt;&gt;"",
IF(VLOOKUP($A138,貼り付け用!$A$1:$BA$300,MATCH("おやつ",貼り付け用!$3:$3,0)+1,FALSE)=0,"",VLOOKUP($A138,貼り付け用!$A$1:$BA$300,MATCH("おやつ",貼り付け用!$3:$3,0)+1,FALSE)),"")</f>
        <v/>
      </c>
      <c r="W138" s="50" t="str">
        <f>IF(A138&lt;&gt;"",
IF(VLOOKUP($A138,貼り付け用!$A$1:$BA$300,MATCH("おやつ",貼り付け用!$3:$3,0)+2,FALSE)=0,"",VLOOKUP($A138,貼り付け用!$A$1:$BA$300,MATCH("おやつ",貼り付け用!$3:$3,0)+2,FALSE)),"")</f>
        <v/>
      </c>
    </row>
    <row r="139" spans="1:23" x14ac:dyDescent="0.45">
      <c r="A139" s="22" t="str">
        <f>IF(貼り付け用!$A$6&lt;&gt;"",
IF(ROW(A138)+1&gt;=MATCH("*【合計】*", 貼り付け用!$A:$A, 0),"",
IF(貼り付け用!A139&lt;&gt;"",貼り付け用!A139,"")),
IF(ROW(A139)+1&gt;=MATCH("*【合計】*", 貼り付け用!$A:$A, 0),"",
IF(貼り付け用!A140&lt;&gt;"",貼り付け用!A140,"")))</f>
        <v>オハナ保育園 長住</v>
      </c>
      <c r="B139" s="45" t="str">
        <f>IF($A139&lt;&gt;"",IF(VLOOKUP($A139,貼り付け用!$A$1:$BA$300,COLUMN(),FALSE)=0,"",VLOOKUP($A139,貼り付け用!$A$1:$BA$300,COLUMN(),FALSE)),"")</f>
        <v/>
      </c>
      <c r="C139" s="45" t="str">
        <f>IF($A139&lt;&gt;"",IF(VLOOKUP($A139,貼り付け用!$A$1:$BA$300,COLUMN(),FALSE)=0,"",VLOOKUP($A139,貼り付け用!$A$1:$BA$300,COLUMN(),FALSE)),"")</f>
        <v/>
      </c>
      <c r="D139" s="45" t="str">
        <f>IF($A139&lt;&gt;"",IF(VLOOKUP($A139,貼り付け用!$A$1:$BA$300,COLUMN(),FALSE)=0,"",VLOOKUP($A139,貼り付け用!$A$1:$BA$300,COLUMN(),FALSE)),"")</f>
        <v/>
      </c>
      <c r="E139" s="45" t="str">
        <f>IF($A139&lt;&gt;"",IF(VLOOKUP($A139,貼り付け用!$A$1:$BA$300,COLUMN(),FALSE)=0,"",VLOOKUP($A139,貼り付け用!$A$1:$BA$300,COLUMN(),FALSE)),"")</f>
        <v/>
      </c>
      <c r="F139" s="45" t="str">
        <f>IF($A139&lt;&gt;"",IF(VLOOKUP($A139,貼り付け用!$A$1:$BA$300,COLUMN(),FALSE)=0,"",VLOOKUP($A139,貼り付け用!$A$1:$BA$300,COLUMN(),FALSE)),"")</f>
        <v/>
      </c>
      <c r="G139" s="45" t="str">
        <f>IF($A139&lt;&gt;"",IF(VLOOKUP($A139,貼り付け用!$A$1:$BA$300,COLUMN(),FALSE)=0,"",VLOOKUP($A139,貼り付け用!$A$1:$BA$300,COLUMN(),FALSE)),"")</f>
        <v/>
      </c>
      <c r="H139" s="45" t="str">
        <f>IF($A139&lt;&gt;"",IF(VLOOKUP($A139,貼り付け用!$A$1:$BA$300,COLUMN(),FALSE)=0,"",VLOOKUP($A139,貼り付け用!$A$1:$BA$300,COLUMN(),FALSE)),"")</f>
        <v/>
      </c>
      <c r="I139" s="45" t="str">
        <f>IF($A139&lt;&gt;"",IF(VLOOKUP($A139,貼り付け用!$A$1:$BA$300,COLUMN(),FALSE)=0,"",VLOOKUP($A139,貼り付け用!$A$1:$BA$300,COLUMN(),FALSE)),"")</f>
        <v/>
      </c>
      <c r="J139" s="45" t="str">
        <f>IF($A139&lt;&gt;"",IF(VLOOKUP($A139,貼り付け用!$A$1:$BA$300,COLUMN(),FALSE)=0,"",VLOOKUP($A139,貼り付け用!$A$1:$BA$300,COLUMN(),FALSE)),"")</f>
        <v/>
      </c>
      <c r="K139" s="45" t="str">
        <f>IF($A139&lt;&gt;"",IF(VLOOKUP($A139,貼り付け用!$A$1:$BA$300,COLUMN(),FALSE)=0,"",VLOOKUP($A139,貼り付け用!$A$1:$BA$300,COLUMN(),FALSE)),"")</f>
        <v/>
      </c>
      <c r="L139" s="45" t="str">
        <f>IF($A139&lt;&gt;"",
IF(COLUMN(貼り付け用!L139)&gt;MATCH("おやつ",貼り付け用!$3:$3,0),"",
IF(VLOOKUP($A139,貼り付け用!$A$1:$BA$300,COLUMN(),FALSE)=0,"",VLOOKUP($A139,貼り付け用!$A$1:$BA$300,COLUMN(),FALSE))),"")</f>
        <v/>
      </c>
      <c r="M139" s="45" t="str">
        <f>IF($A139&lt;&gt;"",
IF(COLUMN(貼り付け用!M139)&gt;MATCH("おやつ",貼り付け用!$3:$3,0),"",
IF(VLOOKUP($A139,貼り付け用!$A$1:$BA$300,COLUMN(),FALSE)=0,"",VLOOKUP($A139,貼り付け用!$A$1:$BA$300,COLUMN(),FALSE))),"")</f>
        <v/>
      </c>
      <c r="N139" s="45" t="str">
        <f>IF($A139&lt;&gt;"",
IF(COLUMN(貼り付け用!N139)&gt;MATCH("おやつ",貼り付け用!$3:$3,0),"",
IF(VLOOKUP($A139,貼り付け用!$A$1:$BA$300,COLUMN(),FALSE)=0,"",VLOOKUP($A139,貼り付け用!$A$1:$BA$300,COLUMN(),FALSE))),"")</f>
        <v>3</v>
      </c>
      <c r="O139" s="45" t="str">
        <f>IF($A139&lt;&gt;"",
IF(COLUMN(貼り付け用!O139)&gt;MATCH("おやつ",貼り付け用!$3:$3,0),"",
IF(VLOOKUP($A139,貼り付け用!$A$1:$BA$300,COLUMN(),FALSE)=0,"",VLOOKUP($A139,貼り付け用!$A$1:$BA$300,COLUMN(),FALSE))),"")</f>
        <v/>
      </c>
      <c r="P139" s="45" t="str">
        <f>IF($A139&lt;&gt;"",
IF(COLUMN(貼り付け用!P139)&gt;MATCH("おやつ",貼り付け用!$3:$3,0),"",
IF(VLOOKUP($A139,貼り付け用!$A$1:$BA$300,COLUMN(),FALSE)=0,"",VLOOKUP($A139,貼り付け用!$A$1:$BA$300,COLUMN(),FALSE))),"")</f>
        <v/>
      </c>
      <c r="Q139" s="45" t="str">
        <f>IF($A139&lt;&gt;"",
IF(COLUMN(貼り付け用!Q139)&gt;MATCH("おやつ",貼り付け用!$3:$3,0),"",
IF(VLOOKUP($A139,貼り付け用!$A$1:$BA$300,COLUMN(),FALSE)=0,"",VLOOKUP($A139,貼り付け用!$A$1:$BA$300,COLUMN(),FALSE))),"")</f>
        <v/>
      </c>
      <c r="R139" s="45" t="str">
        <f>IF($A139&lt;&gt;"",
IF(COLUMN(貼り付け用!R139)&gt;MATCH("おやつ",貼り付け用!$3:$3,0),"",
IF(VLOOKUP($A139,貼り付け用!$A$1:$BA$300,COLUMN(),FALSE)=0,"",VLOOKUP($A139,貼り付け用!$A$1:$BA$300,COLUMN(),FALSE))),"")</f>
        <v/>
      </c>
      <c r="S139" s="45" t="str">
        <f>IF($A139&lt;&gt;"",
IF(COLUMN(貼り付け用!S139)&gt;MATCH("おやつ",貼り付け用!$3:$3,0),"",
IF(VLOOKUP($A139,貼り付け用!$A$1:$BA$300,COLUMN(),FALSE)=0,"",VLOOKUP($A139,貼り付け用!$A$1:$BA$300,COLUMN(),FALSE))),"")</f>
        <v/>
      </c>
      <c r="T139" s="45" t="str">
        <f>IF(COLUMN(貼り付け用!T139)&gt;MATCH("おやつ",貼り付け用!$3:$3,0),"",
IF(VLOOKUP($A139,貼り付け用!$A$1:$BA$300,COLUMN(),FALSE)=0,"",VLOOKUP($A139,貼り付け用!$A$1:$BA$300,COLUMN(),FALSE)))</f>
        <v/>
      </c>
      <c r="U139" s="24"/>
      <c r="V139" s="21" t="str">
        <f>IF(A139&lt;&gt;"",
IF(VLOOKUP($A139,貼り付け用!$A$1:$BA$300,MATCH("おやつ",貼り付け用!$3:$3,0)+1,FALSE)=0,"",VLOOKUP($A139,貼り付け用!$A$1:$BA$300,MATCH("おやつ",貼り付け用!$3:$3,0)+1,FALSE)),"")</f>
        <v/>
      </c>
      <c r="W139" s="50" t="str">
        <f>IF(A139&lt;&gt;"",
IF(VLOOKUP($A139,貼り付け用!$A$1:$BA$300,MATCH("おやつ",貼り付け用!$3:$3,0)+2,FALSE)=0,"",VLOOKUP($A139,貼り付け用!$A$1:$BA$300,MATCH("おやつ",貼り付け用!$3:$3,0)+2,FALSE)),"")</f>
        <v/>
      </c>
    </row>
    <row r="140" spans="1:23" x14ac:dyDescent="0.45">
      <c r="A140" s="10" t="str">
        <f>IF(貼り付け用!$A$6&lt;&gt;"",
IF(ROW(A139)+1&gt;=MATCH("*【合計】*", 貼り付け用!$A:$A, 0),
"",
IF(貼り付け用!A140&lt;&gt;"",貼り付け用!A140,"")),
IF(ROW(A140)+1&gt;=MATCH("*【合計】*", 貼り付け用!$A:$A, 0),
"",
IF(貼り付け用!A141&lt;&gt;"",貼り付け用!A141,"")))</f>
        <v>40750</v>
      </c>
      <c r="B140" s="50" t="str">
        <f>IF($A140&lt;&gt;"",IF(VLOOKUP($A140,貼り付け用!$A$1:$BA$300,COLUMN(),FALSE)=0,"",VLOOKUP($A140,貼り付け用!$A$1:$BA$300,COLUMN(),FALSE)),"")</f>
        <v/>
      </c>
      <c r="C140" s="50" t="str">
        <f>IF($A140&lt;&gt;"",IF(VLOOKUP($A140,貼り付け用!$A$1:$BA$300,COLUMN(),FALSE)=0,"",VLOOKUP($A140,貼り付け用!$A$1:$BA$300,COLUMN(),FALSE)),"")</f>
        <v/>
      </c>
      <c r="D140" s="50" t="str">
        <f>IF($A140&lt;&gt;"",IF(VLOOKUP($A140,貼り付け用!$A$1:$BA$300,COLUMN(),FALSE)=0,"",VLOOKUP($A140,貼り付け用!$A$1:$BA$300,COLUMN(),FALSE)),"")</f>
        <v/>
      </c>
      <c r="E140" s="50" t="str">
        <f>IF($A140&lt;&gt;"",IF(VLOOKUP($A140,貼り付け用!$A$1:$BA$300,COLUMN(),FALSE)=0,"",VLOOKUP($A140,貼り付け用!$A$1:$BA$300,COLUMN(),FALSE)),"")</f>
        <v/>
      </c>
      <c r="F140" s="50" t="str">
        <f>IF($A140&lt;&gt;"",IF(VLOOKUP($A140,貼り付け用!$A$1:$BA$300,COLUMN(),FALSE)=0,"",VLOOKUP($A140,貼り付け用!$A$1:$BA$300,COLUMN(),FALSE)),"")</f>
        <v/>
      </c>
      <c r="G140" s="50" t="str">
        <f>IF($A140&lt;&gt;"",IF(VLOOKUP($A140,貼り付け用!$A$1:$BA$300,COLUMN(),FALSE)=0,"",VLOOKUP($A140,貼り付け用!$A$1:$BA$300,COLUMN(),FALSE)),"")</f>
        <v/>
      </c>
      <c r="H140" s="50" t="str">
        <f>IF($A140&lt;&gt;"",IF(VLOOKUP($A140,貼り付け用!$A$1:$BA$300,COLUMN(),FALSE)=0,"",VLOOKUP($A140,貼り付け用!$A$1:$BA$300,COLUMN(),FALSE)),"")</f>
        <v/>
      </c>
      <c r="I140" s="50" t="str">
        <f>IF($A140&lt;&gt;"",IF(VLOOKUP($A140,貼り付け用!$A$1:$BA$300,COLUMN(),FALSE)=0,"",VLOOKUP($A140,貼り付け用!$A$1:$BA$300,COLUMN(),FALSE)),"")</f>
        <v/>
      </c>
      <c r="J140" s="50" t="str">
        <f>IF($A140&lt;&gt;"",IF(VLOOKUP($A140,貼り付け用!$A$1:$BA$300,COLUMN(),FALSE)=0,"",VLOOKUP($A140,貼り付け用!$A$1:$BA$300,COLUMN(),FALSE)),"")</f>
        <v/>
      </c>
      <c r="K140" s="50" t="str">
        <f>IF($A140&lt;&gt;"",IF(VLOOKUP($A140,貼り付け用!$A$1:$BA$300,COLUMN(),FALSE)=0,"",VLOOKUP($A140,貼り付け用!$A$1:$BA$300,COLUMN(),FALSE)),"")</f>
        <v/>
      </c>
      <c r="L140" s="50" t="str">
        <f>IF($A140&lt;&gt;"",
IF(COLUMN(貼り付け用!L140)&gt;MATCH("おやつ",貼り付け用!$3:$3,0),"",
IF(VLOOKUP($A140,貼り付け用!$A$1:$BA$300,COLUMN(),FALSE)=0,"",VLOOKUP($A140,貼り付け用!$A$1:$BA$300,COLUMN(),FALSE))),"")</f>
        <v/>
      </c>
      <c r="M140" s="50" t="str">
        <f>IF($A140&lt;&gt;"",
IF(COLUMN(貼り付け用!M140)&gt;MATCH("おやつ",貼り付け用!$3:$3,0),"",
IF(VLOOKUP($A140,貼り付け用!$A$1:$BA$300,COLUMN(),FALSE)=0,"",VLOOKUP($A140,貼り付け用!$A$1:$BA$300,COLUMN(),FALSE))),"")</f>
        <v/>
      </c>
      <c r="N140" s="50" t="str">
        <f>IF($A140&lt;&gt;"",
IF(COLUMN(貼り付け用!N140)&gt;MATCH("おやつ",貼り付け用!$3:$3,0),"",
IF(VLOOKUP($A140,貼り付け用!$A$1:$BA$300,COLUMN(),FALSE)=0,"",VLOOKUP($A140,貼り付け用!$A$1:$BA$300,COLUMN(),FALSE))),"")</f>
        <v>12</v>
      </c>
      <c r="O140" s="50" t="str">
        <f>IF($A140&lt;&gt;"",
IF(COLUMN(貼り付け用!O140)&gt;MATCH("おやつ",貼り付け用!$3:$3,0),"",
IF(VLOOKUP($A140,貼り付け用!$A$1:$BA$300,COLUMN(),FALSE)=0,"",VLOOKUP($A140,貼り付け用!$A$1:$BA$300,COLUMN(),FALSE))),"")</f>
        <v/>
      </c>
      <c r="P140" s="50" t="str">
        <f>IF($A140&lt;&gt;"",
IF(COLUMN(貼り付け用!P140)&gt;MATCH("おやつ",貼り付け用!$3:$3,0),"",
IF(VLOOKUP($A140,貼り付け用!$A$1:$BA$300,COLUMN(),FALSE)=0,"",VLOOKUP($A140,貼り付け用!$A$1:$BA$300,COLUMN(),FALSE))),"")</f>
        <v/>
      </c>
      <c r="Q140" s="50" t="str">
        <f>IF($A140&lt;&gt;"",
IF(COLUMN(貼り付け用!Q140)&gt;MATCH("おやつ",貼り付け用!$3:$3,0),"",
IF(VLOOKUP($A140,貼り付け用!$A$1:$BA$300,COLUMN(),FALSE)=0,"",VLOOKUP($A140,貼り付け用!$A$1:$BA$300,COLUMN(),FALSE))),"")</f>
        <v/>
      </c>
      <c r="R140" s="50" t="str">
        <f>IF($A140&lt;&gt;"",
IF(COLUMN(貼り付け用!R140)&gt;MATCH("おやつ",貼り付け用!$3:$3,0),"",
IF(VLOOKUP($A140,貼り付け用!$A$1:$BA$300,COLUMN(),FALSE)=0,"",VLOOKUP($A140,貼り付け用!$A$1:$BA$300,COLUMN(),FALSE))),"")</f>
        <v/>
      </c>
      <c r="S140" s="50" t="str">
        <f>IF($A140&lt;&gt;"",
IF(COLUMN(貼り付け用!S140)&gt;MATCH("おやつ",貼り付け用!$3:$3,0),"",
IF(VLOOKUP($A140,貼り付け用!$A$1:$BA$300,COLUMN(),FALSE)=0,"",VLOOKUP($A140,貼り付け用!$A$1:$BA$300,COLUMN(),FALSE))),"")</f>
        <v/>
      </c>
      <c r="T140" s="50" t="str">
        <f>IF(COLUMN(貼り付け用!T140)&gt;MATCH("おやつ",貼り付け用!$3:$3,0),"",
IF(VLOOKUP($A140,貼り付け用!$A$1:$BA$300,COLUMN(),FALSE)=0,"",VLOOKUP($A140,貼り付け用!$A$1:$BA$300,COLUMN(),FALSE)))</f>
        <v/>
      </c>
      <c r="U140" s="23"/>
      <c r="V140" s="21" t="str">
        <f>IF(A140&lt;&gt;"",
IF(VLOOKUP($A140,貼り付け用!$A$1:$BA$300,MATCH("おやつ",貼り付け用!$3:$3,0)+1,FALSE)=0,"",VLOOKUP($A140,貼り付け用!$A$1:$BA$300,MATCH("おやつ",貼り付け用!$3:$3,0)+1,FALSE)),"")</f>
        <v/>
      </c>
      <c r="W140" s="50" t="str">
        <f>IF(A140&lt;&gt;"",
IF(VLOOKUP($A140,貼り付け用!$A$1:$BA$300,MATCH("おやつ",貼り付け用!$3:$3,0)+2,FALSE)=0,"",VLOOKUP($A140,貼り付け用!$A$1:$BA$300,MATCH("おやつ",貼り付け用!$3:$3,0)+2,FALSE)),"")</f>
        <v/>
      </c>
    </row>
    <row r="141" spans="1:23" x14ac:dyDescent="0.45">
      <c r="A141" s="22" t="str">
        <f>IF(貼り付け用!$A$6&lt;&gt;"",
IF(ROW(A140)+1&gt;=MATCH("*【合計】*", 貼り付け用!$A:$A, 0),"",
IF(貼り付け用!A141&lt;&gt;"",貼り付け用!A141,"")),
IF(ROW(A141)+1&gt;=MATCH("*【合計】*", 貼り付け用!$A:$A, 0),"",
IF(貼り付け用!A142&lt;&gt;"",貼り付け用!A142,"")))</f>
        <v>オハナ保育園 春日</v>
      </c>
      <c r="B141" s="45" t="str">
        <f>IF($A141&lt;&gt;"",IF(VLOOKUP($A141,貼り付け用!$A$1:$BA$300,COLUMN(),FALSE)=0,"",VLOOKUP($A141,貼り付け用!$A$1:$BA$300,COLUMN(),FALSE)),"")</f>
        <v/>
      </c>
      <c r="C141" s="45" t="str">
        <f>IF($A141&lt;&gt;"",IF(VLOOKUP($A141,貼り付け用!$A$1:$BA$300,COLUMN(),FALSE)=0,"",VLOOKUP($A141,貼り付け用!$A$1:$BA$300,COLUMN(),FALSE)),"")</f>
        <v/>
      </c>
      <c r="D141" s="45" t="str">
        <f>IF($A141&lt;&gt;"",IF(VLOOKUP($A141,貼り付け用!$A$1:$BA$300,COLUMN(),FALSE)=0,"",VLOOKUP($A141,貼り付け用!$A$1:$BA$300,COLUMN(),FALSE)),"")</f>
        <v/>
      </c>
      <c r="E141" s="45" t="str">
        <f>IF($A141&lt;&gt;"",IF(VLOOKUP($A141,貼り付け用!$A$1:$BA$300,COLUMN(),FALSE)=0,"",VLOOKUP($A141,貼り付け用!$A$1:$BA$300,COLUMN(),FALSE)),"")</f>
        <v/>
      </c>
      <c r="F141" s="45" t="str">
        <f>IF($A141&lt;&gt;"",IF(VLOOKUP($A141,貼り付け用!$A$1:$BA$300,COLUMN(),FALSE)=0,"",VLOOKUP($A141,貼り付け用!$A$1:$BA$300,COLUMN(),FALSE)),"")</f>
        <v/>
      </c>
      <c r="G141" s="45" t="str">
        <f>IF($A141&lt;&gt;"",IF(VLOOKUP($A141,貼り付け用!$A$1:$BA$300,COLUMN(),FALSE)=0,"",VLOOKUP($A141,貼り付け用!$A$1:$BA$300,COLUMN(),FALSE)),"")</f>
        <v/>
      </c>
      <c r="H141" s="45" t="str">
        <f>IF($A141&lt;&gt;"",IF(VLOOKUP($A141,貼り付け用!$A$1:$BA$300,COLUMN(),FALSE)=0,"",VLOOKUP($A141,貼り付け用!$A$1:$BA$300,COLUMN(),FALSE)),"")</f>
        <v/>
      </c>
      <c r="I141" s="45" t="str">
        <f>IF($A141&lt;&gt;"",IF(VLOOKUP($A141,貼り付け用!$A$1:$BA$300,COLUMN(),FALSE)=0,"",VLOOKUP($A141,貼り付け用!$A$1:$BA$300,COLUMN(),FALSE)),"")</f>
        <v/>
      </c>
      <c r="J141" s="45" t="str">
        <f>IF($A141&lt;&gt;"",IF(VLOOKUP($A141,貼り付け用!$A$1:$BA$300,COLUMN(),FALSE)=0,"",VLOOKUP($A141,貼り付け用!$A$1:$BA$300,COLUMN(),FALSE)),"")</f>
        <v/>
      </c>
      <c r="K141" s="45" t="str">
        <f>IF($A141&lt;&gt;"",IF(VLOOKUP($A141,貼り付け用!$A$1:$BA$300,COLUMN(),FALSE)=0,"",VLOOKUP($A141,貼り付け用!$A$1:$BA$300,COLUMN(),FALSE)),"")</f>
        <v/>
      </c>
      <c r="L141" s="45" t="str">
        <f>IF($A141&lt;&gt;"",
IF(COLUMN(貼り付け用!L141)&gt;MATCH("おやつ",貼り付け用!$3:$3,0),"",
IF(VLOOKUP($A141,貼り付け用!$A$1:$BA$300,COLUMN(),FALSE)=0,"",VLOOKUP($A141,貼り付け用!$A$1:$BA$300,COLUMN(),FALSE))),"")</f>
        <v/>
      </c>
      <c r="M141" s="45" t="str">
        <f>IF($A141&lt;&gt;"",
IF(COLUMN(貼り付け用!M141)&gt;MATCH("おやつ",貼り付け用!$3:$3,0),"",
IF(VLOOKUP($A141,貼り付け用!$A$1:$BA$300,COLUMN(),FALSE)=0,"",VLOOKUP($A141,貼り付け用!$A$1:$BA$300,COLUMN(),FALSE))),"")</f>
        <v/>
      </c>
      <c r="N141" s="45" t="str">
        <f>IF($A141&lt;&gt;"",
IF(COLUMN(貼り付け用!N141)&gt;MATCH("おやつ",貼り付け用!$3:$3,0),"",
IF(VLOOKUP($A141,貼り付け用!$A$1:$BA$300,COLUMN(),FALSE)=0,"",VLOOKUP($A141,貼り付け用!$A$1:$BA$300,COLUMN(),FALSE))),"")</f>
        <v>3</v>
      </c>
      <c r="O141" s="45" t="str">
        <f>IF($A141&lt;&gt;"",
IF(COLUMN(貼り付け用!O141)&gt;MATCH("おやつ",貼り付け用!$3:$3,0),"",
IF(VLOOKUP($A141,貼り付け用!$A$1:$BA$300,COLUMN(),FALSE)=0,"",VLOOKUP($A141,貼り付け用!$A$1:$BA$300,COLUMN(),FALSE))),"")</f>
        <v/>
      </c>
      <c r="P141" s="45" t="str">
        <f>IF($A141&lt;&gt;"",
IF(COLUMN(貼り付け用!P141)&gt;MATCH("おやつ",貼り付け用!$3:$3,0),"",
IF(VLOOKUP($A141,貼り付け用!$A$1:$BA$300,COLUMN(),FALSE)=0,"",VLOOKUP($A141,貼り付け用!$A$1:$BA$300,COLUMN(),FALSE))),"")</f>
        <v/>
      </c>
      <c r="Q141" s="45" t="str">
        <f>IF($A141&lt;&gt;"",
IF(COLUMN(貼り付け用!Q141)&gt;MATCH("おやつ",貼り付け用!$3:$3,0),"",
IF(VLOOKUP($A141,貼り付け用!$A$1:$BA$300,COLUMN(),FALSE)=0,"",VLOOKUP($A141,貼り付け用!$A$1:$BA$300,COLUMN(),FALSE))),"")</f>
        <v/>
      </c>
      <c r="R141" s="45" t="str">
        <f>IF($A141&lt;&gt;"",
IF(COLUMN(貼り付け用!R141)&gt;MATCH("おやつ",貼り付け用!$3:$3,0),"",
IF(VLOOKUP($A141,貼り付け用!$A$1:$BA$300,COLUMN(),FALSE)=0,"",VLOOKUP($A141,貼り付け用!$A$1:$BA$300,COLUMN(),FALSE))),"")</f>
        <v/>
      </c>
      <c r="S141" s="45" t="str">
        <f>IF($A141&lt;&gt;"",
IF(COLUMN(貼り付け用!S141)&gt;MATCH("おやつ",貼り付け用!$3:$3,0),"",
IF(VLOOKUP($A141,貼り付け用!$A$1:$BA$300,COLUMN(),FALSE)=0,"",VLOOKUP($A141,貼り付け用!$A$1:$BA$300,COLUMN(),FALSE))),"")</f>
        <v/>
      </c>
      <c r="T141" s="45" t="str">
        <f>IF(COLUMN(貼り付け用!T141)&gt;MATCH("おやつ",貼り付け用!$3:$3,0),"",
IF(VLOOKUP($A141,貼り付け用!$A$1:$BA$300,COLUMN(),FALSE)=0,"",VLOOKUP($A141,貼り付け用!$A$1:$BA$300,COLUMN(),FALSE)))</f>
        <v/>
      </c>
      <c r="U141" s="24"/>
      <c r="V141" s="21" t="str">
        <f>IF(A141&lt;&gt;"",
IF(VLOOKUP($A141,貼り付け用!$A$1:$BA$300,MATCH("おやつ",貼り付け用!$3:$3,0)+1,FALSE)=0,"",VLOOKUP($A141,貼り付け用!$A$1:$BA$300,MATCH("おやつ",貼り付け用!$3:$3,0)+1,FALSE)),"")</f>
        <v/>
      </c>
      <c r="W141" s="50" t="str">
        <f>IF(A141&lt;&gt;"",
IF(VLOOKUP($A141,貼り付け用!$A$1:$BA$300,MATCH("おやつ",貼り付け用!$3:$3,0)+2,FALSE)=0,"",VLOOKUP($A141,貼り付け用!$A$1:$BA$300,MATCH("おやつ",貼り付け用!$3:$3,0)+2,FALSE)),"")</f>
        <v/>
      </c>
    </row>
    <row r="142" spans="1:23" x14ac:dyDescent="0.45">
      <c r="A142" s="10" t="str">
        <f>IF(貼り付け用!$A$6&lt;&gt;"",
IF(ROW(A141)+1&gt;=MATCH("*【合計】*", 貼り付け用!$A:$A, 0),
"",
IF(貼り付け用!A142&lt;&gt;"",貼り付け用!A142,"")),
IF(ROW(A142)+1&gt;=MATCH("*【合計】*", 貼り付け用!$A:$A, 0),
"",
IF(貼り付け用!A143&lt;&gt;"",貼り付け用!A143,"")))</f>
        <v>40800</v>
      </c>
      <c r="B142" s="50" t="str">
        <f>IF($A142&lt;&gt;"",IF(VLOOKUP($A142,貼り付け用!$A$1:$BA$300,COLUMN(),FALSE)=0,"",VLOOKUP($A142,貼り付け用!$A$1:$BA$300,COLUMN(),FALSE)),"")</f>
        <v/>
      </c>
      <c r="C142" s="50" t="str">
        <f>IF($A142&lt;&gt;"",IF(VLOOKUP($A142,貼り付け用!$A$1:$BA$300,COLUMN(),FALSE)=0,"",VLOOKUP($A142,貼り付け用!$A$1:$BA$300,COLUMN(),FALSE)),"")</f>
        <v/>
      </c>
      <c r="D142" s="50" t="str">
        <f>IF($A142&lt;&gt;"",IF(VLOOKUP($A142,貼り付け用!$A$1:$BA$300,COLUMN(),FALSE)=0,"",VLOOKUP($A142,貼り付け用!$A$1:$BA$300,COLUMN(),FALSE)),"")</f>
        <v/>
      </c>
      <c r="E142" s="50" t="str">
        <f>IF($A142&lt;&gt;"",IF(VLOOKUP($A142,貼り付け用!$A$1:$BA$300,COLUMN(),FALSE)=0,"",VLOOKUP($A142,貼り付け用!$A$1:$BA$300,COLUMN(),FALSE)),"")</f>
        <v/>
      </c>
      <c r="F142" s="50" t="str">
        <f>IF($A142&lt;&gt;"",IF(VLOOKUP($A142,貼り付け用!$A$1:$BA$300,COLUMN(),FALSE)=0,"",VLOOKUP($A142,貼り付け用!$A$1:$BA$300,COLUMN(),FALSE)),"")</f>
        <v/>
      </c>
      <c r="G142" s="50" t="str">
        <f>IF($A142&lt;&gt;"",IF(VLOOKUP($A142,貼り付け用!$A$1:$BA$300,COLUMN(),FALSE)=0,"",VLOOKUP($A142,貼り付け用!$A$1:$BA$300,COLUMN(),FALSE)),"")</f>
        <v/>
      </c>
      <c r="H142" s="50" t="str">
        <f>IF($A142&lt;&gt;"",IF(VLOOKUP($A142,貼り付け用!$A$1:$BA$300,COLUMN(),FALSE)=0,"",VLOOKUP($A142,貼り付け用!$A$1:$BA$300,COLUMN(),FALSE)),"")</f>
        <v/>
      </c>
      <c r="I142" s="50" t="str">
        <f>IF($A142&lt;&gt;"",IF(VLOOKUP($A142,貼り付け用!$A$1:$BA$300,COLUMN(),FALSE)=0,"",VLOOKUP($A142,貼り付け用!$A$1:$BA$300,COLUMN(),FALSE)),"")</f>
        <v/>
      </c>
      <c r="J142" s="50" t="str">
        <f>IF($A142&lt;&gt;"",IF(VLOOKUP($A142,貼り付け用!$A$1:$BA$300,COLUMN(),FALSE)=0,"",VLOOKUP($A142,貼り付け用!$A$1:$BA$300,COLUMN(),FALSE)),"")</f>
        <v/>
      </c>
      <c r="K142" s="50" t="str">
        <f>IF($A142&lt;&gt;"",IF(VLOOKUP($A142,貼り付け用!$A$1:$BA$300,COLUMN(),FALSE)=0,"",VLOOKUP($A142,貼り付け用!$A$1:$BA$300,COLUMN(),FALSE)),"")</f>
        <v/>
      </c>
      <c r="L142" s="50" t="str">
        <f>IF($A142&lt;&gt;"",
IF(COLUMN(貼り付け用!L142)&gt;MATCH("おやつ",貼り付け用!$3:$3,0),"",
IF(VLOOKUP($A142,貼り付け用!$A$1:$BA$300,COLUMN(),FALSE)=0,"",VLOOKUP($A142,貼り付け用!$A$1:$BA$300,COLUMN(),FALSE))),"")</f>
        <v/>
      </c>
      <c r="M142" s="50" t="str">
        <f>IF($A142&lt;&gt;"",
IF(COLUMN(貼り付け用!M142)&gt;MATCH("おやつ",貼り付け用!$3:$3,0),"",
IF(VLOOKUP($A142,貼り付け用!$A$1:$BA$300,COLUMN(),FALSE)=0,"",VLOOKUP($A142,貼り付け用!$A$1:$BA$300,COLUMN(),FALSE))),"")</f>
        <v/>
      </c>
      <c r="N142" s="50" t="str">
        <f>IF($A142&lt;&gt;"",
IF(COLUMN(貼り付け用!N142)&gt;MATCH("おやつ",貼り付け用!$3:$3,0),"",
IF(VLOOKUP($A142,貼り付け用!$A$1:$BA$300,COLUMN(),FALSE)=0,"",VLOOKUP($A142,貼り付け用!$A$1:$BA$300,COLUMN(),FALSE))),"")</f>
        <v>47</v>
      </c>
      <c r="O142" s="50" t="str">
        <f>IF($A142&lt;&gt;"",
IF(COLUMN(貼り付け用!O142)&gt;MATCH("おやつ",貼り付け用!$3:$3,0),"",
IF(VLOOKUP($A142,貼り付け用!$A$1:$BA$300,COLUMN(),FALSE)=0,"",VLOOKUP($A142,貼り付け用!$A$1:$BA$300,COLUMN(),FALSE))),"")</f>
        <v/>
      </c>
      <c r="P142" s="50" t="str">
        <f>IF($A142&lt;&gt;"",
IF(COLUMN(貼り付け用!P142)&gt;MATCH("おやつ",貼り付け用!$3:$3,0),"",
IF(VLOOKUP($A142,貼り付け用!$A$1:$BA$300,COLUMN(),FALSE)=0,"",VLOOKUP($A142,貼り付け用!$A$1:$BA$300,COLUMN(),FALSE))),"")</f>
        <v/>
      </c>
      <c r="Q142" s="50" t="str">
        <f>IF($A142&lt;&gt;"",
IF(COLUMN(貼り付け用!Q142)&gt;MATCH("おやつ",貼り付け用!$3:$3,0),"",
IF(VLOOKUP($A142,貼り付け用!$A$1:$BA$300,COLUMN(),FALSE)=0,"",VLOOKUP($A142,貼り付け用!$A$1:$BA$300,COLUMN(),FALSE))),"")</f>
        <v/>
      </c>
      <c r="R142" s="50" t="str">
        <f>IF($A142&lt;&gt;"",
IF(COLUMN(貼り付け用!R142)&gt;MATCH("おやつ",貼り付け用!$3:$3,0),"",
IF(VLOOKUP($A142,貼り付け用!$A$1:$BA$300,COLUMN(),FALSE)=0,"",VLOOKUP($A142,貼り付け用!$A$1:$BA$300,COLUMN(),FALSE))),"")</f>
        <v/>
      </c>
      <c r="S142" s="50" t="str">
        <f>IF($A142&lt;&gt;"",
IF(COLUMN(貼り付け用!S142)&gt;MATCH("おやつ",貼り付け用!$3:$3,0),"",
IF(VLOOKUP($A142,貼り付け用!$A$1:$BA$300,COLUMN(),FALSE)=0,"",VLOOKUP($A142,貼り付け用!$A$1:$BA$300,COLUMN(),FALSE))),"")</f>
        <v/>
      </c>
      <c r="T142" s="50" t="str">
        <f>IF(COLUMN(貼り付け用!T142)&gt;MATCH("おやつ",貼り付け用!$3:$3,0),"",
IF(VLOOKUP($A142,貼り付け用!$A$1:$BA$300,COLUMN(),FALSE)=0,"",VLOOKUP($A142,貼り付け用!$A$1:$BA$300,COLUMN(),FALSE)))</f>
        <v/>
      </c>
      <c r="U142" s="23"/>
      <c r="V142" s="21" t="str">
        <f>IF(A142&lt;&gt;"",
IF(VLOOKUP($A142,貼り付け用!$A$1:$BA$300,MATCH("おやつ",貼り付け用!$3:$3,0)+1,FALSE)=0,"",VLOOKUP($A142,貼り付け用!$A$1:$BA$300,MATCH("おやつ",貼り付け用!$3:$3,0)+1,FALSE)),"")</f>
        <v>3歳児春日納品/4.5歳児長住納品</v>
      </c>
      <c r="W142" s="50" t="str">
        <f>IF(A142&lt;&gt;"",
IF(VLOOKUP($A142,貼り付け用!$A$1:$BA$300,MATCH("おやつ",貼り付け用!$3:$3,0)+2,FALSE)=0,"",VLOOKUP($A142,貼り付け用!$A$1:$BA$300,MATCH("おやつ",貼り付け用!$3:$3,0)+2,FALSE)),"")</f>
        <v/>
      </c>
    </row>
    <row r="143" spans="1:23" x14ac:dyDescent="0.45">
      <c r="A143" s="22" t="str">
        <f>IF(貼り付け用!$A$6&lt;&gt;"",
IF(ROW(A142)+1&gt;=MATCH("*【合計】*", 貼り付け用!$A:$A, 0),"",
IF(貼り付け用!A143&lt;&gt;"",貼り付け用!A143,"")),
IF(ROW(A143)+1&gt;=MATCH("*【合計】*", 貼り付け用!$A:$A, 0),"",
IF(貼り付け用!A144&lt;&gt;"",貼り付け用!A144,"")))</f>
        <v>オハナ保育園 一の谷</v>
      </c>
      <c r="B143" s="45" t="str">
        <f>IF($A143&lt;&gt;"",IF(VLOOKUP($A143,貼り付け用!$A$1:$BA$300,COLUMN(),FALSE)=0,"",VLOOKUP($A143,貼り付け用!$A$1:$BA$300,COLUMN(),FALSE)),"")</f>
        <v/>
      </c>
      <c r="C143" s="45" t="str">
        <f>IF($A143&lt;&gt;"",IF(VLOOKUP($A143,貼り付け用!$A$1:$BA$300,COLUMN(),FALSE)=0,"",VLOOKUP($A143,貼り付け用!$A$1:$BA$300,COLUMN(),FALSE)),"")</f>
        <v/>
      </c>
      <c r="D143" s="45" t="str">
        <f>IF($A143&lt;&gt;"",IF(VLOOKUP($A143,貼り付け用!$A$1:$BA$300,COLUMN(),FALSE)=0,"",VLOOKUP($A143,貼り付け用!$A$1:$BA$300,COLUMN(),FALSE)),"")</f>
        <v/>
      </c>
      <c r="E143" s="45" t="str">
        <f>IF($A143&lt;&gt;"",IF(VLOOKUP($A143,貼り付け用!$A$1:$BA$300,COLUMN(),FALSE)=0,"",VLOOKUP($A143,貼り付け用!$A$1:$BA$300,COLUMN(),FALSE)),"")</f>
        <v/>
      </c>
      <c r="F143" s="45" t="str">
        <f>IF($A143&lt;&gt;"",IF(VLOOKUP($A143,貼り付け用!$A$1:$BA$300,COLUMN(),FALSE)=0,"",VLOOKUP($A143,貼り付け用!$A$1:$BA$300,COLUMN(),FALSE)),"")</f>
        <v/>
      </c>
      <c r="G143" s="45" t="str">
        <f>IF($A143&lt;&gt;"",IF(VLOOKUP($A143,貼り付け用!$A$1:$BA$300,COLUMN(),FALSE)=0,"",VLOOKUP($A143,貼り付け用!$A$1:$BA$300,COLUMN(),FALSE)),"")</f>
        <v/>
      </c>
      <c r="H143" s="45" t="str">
        <f>IF($A143&lt;&gt;"",IF(VLOOKUP($A143,貼り付け用!$A$1:$BA$300,COLUMN(),FALSE)=0,"",VLOOKUP($A143,貼り付け用!$A$1:$BA$300,COLUMN(),FALSE)),"")</f>
        <v/>
      </c>
      <c r="I143" s="45" t="str">
        <f>IF($A143&lt;&gt;"",IF(VLOOKUP($A143,貼り付け用!$A$1:$BA$300,COLUMN(),FALSE)=0,"",VLOOKUP($A143,貼り付け用!$A$1:$BA$300,COLUMN(),FALSE)),"")</f>
        <v/>
      </c>
      <c r="J143" s="45" t="str">
        <f>IF($A143&lt;&gt;"",IF(VLOOKUP($A143,貼り付け用!$A$1:$BA$300,COLUMN(),FALSE)=0,"",VLOOKUP($A143,貼り付け用!$A$1:$BA$300,COLUMN(),FALSE)),"")</f>
        <v/>
      </c>
      <c r="K143" s="45" t="str">
        <f>IF($A143&lt;&gt;"",IF(VLOOKUP($A143,貼り付け用!$A$1:$BA$300,COLUMN(),FALSE)=0,"",VLOOKUP($A143,貼り付け用!$A$1:$BA$300,COLUMN(),FALSE)),"")</f>
        <v/>
      </c>
      <c r="L143" s="45" t="str">
        <f>IF($A143&lt;&gt;"",
IF(COLUMN(貼り付け用!L143)&gt;MATCH("おやつ",貼り付け用!$3:$3,0),"",
IF(VLOOKUP($A143,貼り付け用!$A$1:$BA$300,COLUMN(),FALSE)=0,"",VLOOKUP($A143,貼り付け用!$A$1:$BA$300,COLUMN(),FALSE))),"")</f>
        <v/>
      </c>
      <c r="M143" s="45" t="str">
        <f>IF($A143&lt;&gt;"",
IF(COLUMN(貼り付け用!M143)&gt;MATCH("おやつ",貼り付け用!$3:$3,0),"",
IF(VLOOKUP($A143,貼り付け用!$A$1:$BA$300,COLUMN(),FALSE)=0,"",VLOOKUP($A143,貼り付け用!$A$1:$BA$300,COLUMN(),FALSE))),"")</f>
        <v/>
      </c>
      <c r="N143" s="45" t="str">
        <f>IF($A143&lt;&gt;"",
IF(COLUMN(貼り付け用!N143)&gt;MATCH("おやつ",貼り付け用!$3:$3,0),"",
IF(VLOOKUP($A143,貼り付け用!$A$1:$BA$300,COLUMN(),FALSE)=0,"",VLOOKUP($A143,貼り付け用!$A$1:$BA$300,COLUMN(),FALSE))),"")</f>
        <v>3</v>
      </c>
      <c r="O143" s="45" t="str">
        <f>IF($A143&lt;&gt;"",
IF(COLUMN(貼り付け用!O143)&gt;MATCH("おやつ",貼り付け用!$3:$3,0),"",
IF(VLOOKUP($A143,貼り付け用!$A$1:$BA$300,COLUMN(),FALSE)=0,"",VLOOKUP($A143,貼り付け用!$A$1:$BA$300,COLUMN(),FALSE))),"")</f>
        <v/>
      </c>
      <c r="P143" s="45" t="str">
        <f>IF($A143&lt;&gt;"",
IF(COLUMN(貼り付け用!P143)&gt;MATCH("おやつ",貼り付け用!$3:$3,0),"",
IF(VLOOKUP($A143,貼り付け用!$A$1:$BA$300,COLUMN(),FALSE)=0,"",VLOOKUP($A143,貼り付け用!$A$1:$BA$300,COLUMN(),FALSE))),"")</f>
        <v/>
      </c>
      <c r="Q143" s="45" t="str">
        <f>IF($A143&lt;&gt;"",
IF(COLUMN(貼り付け用!Q143)&gt;MATCH("おやつ",貼り付け用!$3:$3,0),"",
IF(VLOOKUP($A143,貼り付け用!$A$1:$BA$300,COLUMN(),FALSE)=0,"",VLOOKUP($A143,貼り付け用!$A$1:$BA$300,COLUMN(),FALSE))),"")</f>
        <v/>
      </c>
      <c r="R143" s="45" t="str">
        <f>IF($A143&lt;&gt;"",
IF(COLUMN(貼り付け用!R143)&gt;MATCH("おやつ",貼り付け用!$3:$3,0),"",
IF(VLOOKUP($A143,貼り付け用!$A$1:$BA$300,COLUMN(),FALSE)=0,"",VLOOKUP($A143,貼り付け用!$A$1:$BA$300,COLUMN(),FALSE))),"")</f>
        <v/>
      </c>
      <c r="S143" s="45" t="str">
        <f>IF($A143&lt;&gt;"",
IF(COLUMN(貼り付け用!S143)&gt;MATCH("おやつ",貼り付け用!$3:$3,0),"",
IF(VLOOKUP($A143,貼り付け用!$A$1:$BA$300,COLUMN(),FALSE)=0,"",VLOOKUP($A143,貼り付け用!$A$1:$BA$300,COLUMN(),FALSE))),"")</f>
        <v/>
      </c>
      <c r="T143" s="45" t="str">
        <f>IF(COLUMN(貼り付け用!T143)&gt;MATCH("おやつ",貼り付け用!$3:$3,0),"",
IF(VLOOKUP($A143,貼り付け用!$A$1:$BA$300,COLUMN(),FALSE)=0,"",VLOOKUP($A143,貼り付け用!$A$1:$BA$300,COLUMN(),FALSE)))</f>
        <v/>
      </c>
      <c r="U143" s="24"/>
      <c r="V143" s="21" t="str">
        <f>IF(A143&lt;&gt;"",
IF(VLOOKUP($A143,貼り付け用!$A$1:$BA$300,MATCH("おやつ",貼り付け用!$3:$3,0)+1,FALSE)=0,"",VLOOKUP($A143,貼り付け用!$A$1:$BA$300,MATCH("おやつ",貼り付け用!$3:$3,0)+1,FALSE)),"")</f>
        <v/>
      </c>
      <c r="W143" s="50" t="str">
        <f>IF(A143&lt;&gt;"",
IF(VLOOKUP($A143,貼り付け用!$A$1:$BA$300,MATCH("おやつ",貼り付け用!$3:$3,0)+2,FALSE)=0,"",VLOOKUP($A143,貼り付け用!$A$1:$BA$300,MATCH("おやつ",貼り付け用!$3:$3,0)+2,FALSE)),"")</f>
        <v/>
      </c>
    </row>
    <row r="144" spans="1:23" x14ac:dyDescent="0.45">
      <c r="A144" s="10" t="str">
        <f>IF(貼り付け用!$A$6&lt;&gt;"",
IF(ROW(A143)+1&gt;=MATCH("*【合計】*", 貼り付け用!$A:$A, 0),
"",
IF(貼り付け用!A144&lt;&gt;"",貼り付け用!A144,"")),
IF(ROW(A144)+1&gt;=MATCH("*【合計】*", 貼り付け用!$A:$A, 0),
"",
IF(貼り付け用!A145&lt;&gt;"",貼り付け用!A145,"")))</f>
        <v>10002</v>
      </c>
      <c r="B144" s="50" t="str">
        <f>IF($A144&lt;&gt;"",IF(VLOOKUP($A144,貼り付け用!$A$1:$BA$300,COLUMN(),FALSE)=0,"",VLOOKUP($A144,貼り付け用!$A$1:$BA$300,COLUMN(),FALSE)),"")</f>
        <v/>
      </c>
      <c r="C144" s="50" t="str">
        <f>IF($A144&lt;&gt;"",IF(VLOOKUP($A144,貼り付け用!$A$1:$BA$300,COLUMN(),FALSE)=0,"",VLOOKUP($A144,貼り付け用!$A$1:$BA$300,COLUMN(),FALSE)),"")</f>
        <v/>
      </c>
      <c r="D144" s="50" t="str">
        <f>IF($A144&lt;&gt;"",IF(VLOOKUP($A144,貼り付け用!$A$1:$BA$300,COLUMN(),FALSE)=0,"",VLOOKUP($A144,貼り付け用!$A$1:$BA$300,COLUMN(),FALSE)),"")</f>
        <v/>
      </c>
      <c r="E144" s="50" t="str">
        <f>IF($A144&lt;&gt;"",IF(VLOOKUP($A144,貼り付け用!$A$1:$BA$300,COLUMN(),FALSE)=0,"",VLOOKUP($A144,貼り付け用!$A$1:$BA$300,COLUMN(),FALSE)),"")</f>
        <v/>
      </c>
      <c r="F144" s="50" t="str">
        <f>IF($A144&lt;&gt;"",IF(VLOOKUP($A144,貼り付け用!$A$1:$BA$300,COLUMN(),FALSE)=0,"",VLOOKUP($A144,貼り付け用!$A$1:$BA$300,COLUMN(),FALSE)),"")</f>
        <v/>
      </c>
      <c r="G144" s="50" t="str">
        <f>IF($A144&lt;&gt;"",IF(VLOOKUP($A144,貼り付け用!$A$1:$BA$300,COLUMN(),FALSE)=0,"",VLOOKUP($A144,貼り付け用!$A$1:$BA$300,COLUMN(),FALSE)),"")</f>
        <v/>
      </c>
      <c r="H144" s="50" t="str">
        <f>IF($A144&lt;&gt;"",IF(VLOOKUP($A144,貼り付け用!$A$1:$BA$300,COLUMN(),FALSE)=0,"",VLOOKUP($A144,貼り付け用!$A$1:$BA$300,COLUMN(),FALSE)),"")</f>
        <v/>
      </c>
      <c r="I144" s="50" t="str">
        <f>IF($A144&lt;&gt;"",IF(VLOOKUP($A144,貼り付け用!$A$1:$BA$300,COLUMN(),FALSE)=0,"",VLOOKUP($A144,貼り付け用!$A$1:$BA$300,COLUMN(),FALSE)),"")</f>
        <v/>
      </c>
      <c r="J144" s="50" t="str">
        <f>IF($A144&lt;&gt;"",IF(VLOOKUP($A144,貼り付け用!$A$1:$BA$300,COLUMN(),FALSE)=0,"",VLOOKUP($A144,貼り付け用!$A$1:$BA$300,COLUMN(),FALSE)),"")</f>
        <v/>
      </c>
      <c r="K144" s="50" t="str">
        <f>IF($A144&lt;&gt;"",IF(VLOOKUP($A144,貼り付け用!$A$1:$BA$300,COLUMN(),FALSE)=0,"",VLOOKUP($A144,貼り付け用!$A$1:$BA$300,COLUMN(),FALSE)),"")</f>
        <v/>
      </c>
      <c r="L144" s="50" t="str">
        <f>IF($A144&lt;&gt;"",
IF(COLUMN(貼り付け用!L144)&gt;MATCH("おやつ",貼り付け用!$3:$3,0),"",
IF(VLOOKUP($A144,貼り付け用!$A$1:$BA$300,COLUMN(),FALSE)=0,"",VLOOKUP($A144,貼り付け用!$A$1:$BA$300,COLUMN(),FALSE))),"")</f>
        <v/>
      </c>
      <c r="M144" s="50" t="str">
        <f>IF($A144&lt;&gt;"",
IF(COLUMN(貼り付け用!M144)&gt;MATCH("おやつ",貼り付け用!$3:$3,0),"",
IF(VLOOKUP($A144,貼り付け用!$A$1:$BA$300,COLUMN(),FALSE)=0,"",VLOOKUP($A144,貼り付け用!$A$1:$BA$300,COLUMN(),FALSE))),"")</f>
        <v/>
      </c>
      <c r="N144" s="50" t="str">
        <f>IF($A144&lt;&gt;"",
IF(COLUMN(貼り付け用!N144)&gt;MATCH("おやつ",貼り付け用!$3:$3,0),"",
IF(VLOOKUP($A144,貼り付け用!$A$1:$BA$300,COLUMN(),FALSE)=0,"",VLOOKUP($A144,貼り付け用!$A$1:$BA$300,COLUMN(),FALSE))),"")</f>
        <v/>
      </c>
      <c r="O144" s="50" t="str">
        <f>IF($A144&lt;&gt;"",
IF(COLUMN(貼り付け用!O144)&gt;MATCH("おやつ",貼り付け用!$3:$3,0),"",
IF(VLOOKUP($A144,貼り付け用!$A$1:$BA$300,COLUMN(),FALSE)=0,"",VLOOKUP($A144,貼り付け用!$A$1:$BA$300,COLUMN(),FALSE))),"")</f>
        <v/>
      </c>
      <c r="P144" s="50" t="str">
        <f>IF($A144&lt;&gt;"",
IF(COLUMN(貼り付け用!P144)&gt;MATCH("おやつ",貼り付け用!$3:$3,0),"",
IF(VLOOKUP($A144,貼り付け用!$A$1:$BA$300,COLUMN(),FALSE)=0,"",VLOOKUP($A144,貼り付け用!$A$1:$BA$300,COLUMN(),FALSE))),"")</f>
        <v/>
      </c>
      <c r="Q144" s="50" t="str">
        <f>IF($A144&lt;&gt;"",
IF(COLUMN(貼り付け用!Q144)&gt;MATCH("おやつ",貼り付け用!$3:$3,0),"",
IF(VLOOKUP($A144,貼り付け用!$A$1:$BA$300,COLUMN(),FALSE)=0,"",VLOOKUP($A144,貼り付け用!$A$1:$BA$300,COLUMN(),FALSE))),"")</f>
        <v/>
      </c>
      <c r="R144" s="50" t="str">
        <f>IF($A144&lt;&gt;"",
IF(COLUMN(貼り付け用!R144)&gt;MATCH("おやつ",貼り付け用!$3:$3,0),"",
IF(VLOOKUP($A144,貼り付け用!$A$1:$BA$300,COLUMN(),FALSE)=0,"",VLOOKUP($A144,貼り付け用!$A$1:$BA$300,COLUMN(),FALSE))),"")</f>
        <v/>
      </c>
      <c r="S144" s="50" t="str">
        <f>IF($A144&lt;&gt;"",
IF(COLUMN(貼り付け用!S144)&gt;MATCH("おやつ",貼り付け用!$3:$3,0),"",
IF(VLOOKUP($A144,貼り付け用!$A$1:$BA$300,COLUMN(),FALSE)=0,"",VLOOKUP($A144,貼り付け用!$A$1:$BA$300,COLUMN(),FALSE))),"")</f>
        <v/>
      </c>
      <c r="T144" s="50" t="str">
        <f>IF(COLUMN(貼り付け用!T144)&gt;MATCH("おやつ",貼り付け用!$3:$3,0),"",
IF(VLOOKUP($A144,貼り付け用!$A$1:$BA$300,COLUMN(),FALSE)=0,"",VLOOKUP($A144,貼り付け用!$A$1:$BA$300,COLUMN(),FALSE)))</f>
        <v/>
      </c>
      <c r="U144" s="23"/>
      <c r="V144" s="21" t="str">
        <f>IF(A144&lt;&gt;"",
IF(VLOOKUP($A144,貼り付け用!$A$1:$BA$300,MATCH("おやつ",貼り付け用!$3:$3,0)+1,FALSE)=0,"",VLOOKUP($A144,貼り付け用!$A$1:$BA$300,MATCH("おやつ",貼り付け用!$3:$3,0)+1,FALSE)),"")</f>
        <v/>
      </c>
      <c r="W144" s="50" t="str">
        <f>IF(A144&lt;&gt;"",
IF(VLOOKUP($A144,貼り付け用!$A$1:$BA$300,MATCH("おやつ",貼り付け用!$3:$3,0)+2,FALSE)=0,"",VLOOKUP($A144,貼り付け用!$A$1:$BA$300,MATCH("おやつ",貼り付け用!$3:$3,0)+2,FALSE)),"")</f>
        <v/>
      </c>
    </row>
    <row r="145" spans="1:23" x14ac:dyDescent="0.45">
      <c r="A145" s="22" t="str">
        <f>IF(貼り付け用!$A$6&lt;&gt;"",
IF(ROW(A144)+1&gt;=MATCH("*【合計】*", 貼り付け用!$A:$A, 0),"",
IF(貼り付け用!A145&lt;&gt;"",貼り付け用!A145,"")),
IF(ROW(A145)+1&gt;=MATCH("*【合計】*", 貼り付け用!$A:$A, 0),"",
IF(貼り付け用!A146&lt;&gt;"",貼り付け用!A146,"")))</f>
        <v/>
      </c>
      <c r="B145" s="45" t="str">
        <f>IF($A145&lt;&gt;"",IF(VLOOKUP($A145,貼り付け用!$A$1:$BA$300,COLUMN(),FALSE)=0,"",VLOOKUP($A145,貼り付け用!$A$1:$BA$300,COLUMN(),FALSE)),"")</f>
        <v/>
      </c>
      <c r="C145" s="45" t="str">
        <f>IF($A145&lt;&gt;"",IF(VLOOKUP($A145,貼り付け用!$A$1:$BA$300,COLUMN(),FALSE)=0,"",VLOOKUP($A145,貼り付け用!$A$1:$BA$300,COLUMN(),FALSE)),"")</f>
        <v/>
      </c>
      <c r="D145" s="45" t="str">
        <f>IF($A145&lt;&gt;"",IF(VLOOKUP($A145,貼り付け用!$A$1:$BA$300,COLUMN(),FALSE)=0,"",VLOOKUP($A145,貼り付け用!$A$1:$BA$300,COLUMN(),FALSE)),"")</f>
        <v/>
      </c>
      <c r="E145" s="45" t="str">
        <f>IF($A145&lt;&gt;"",IF(VLOOKUP($A145,貼り付け用!$A$1:$BA$300,COLUMN(),FALSE)=0,"",VLOOKUP($A145,貼り付け用!$A$1:$BA$300,COLUMN(),FALSE)),"")</f>
        <v/>
      </c>
      <c r="F145" s="45" t="str">
        <f>IF($A145&lt;&gt;"",IF(VLOOKUP($A145,貼り付け用!$A$1:$BA$300,COLUMN(),FALSE)=0,"",VLOOKUP($A145,貼り付け用!$A$1:$BA$300,COLUMN(),FALSE)),"")</f>
        <v/>
      </c>
      <c r="G145" s="45" t="str">
        <f>IF($A145&lt;&gt;"",IF(VLOOKUP($A145,貼り付け用!$A$1:$BA$300,COLUMN(),FALSE)=0,"",VLOOKUP($A145,貼り付け用!$A$1:$BA$300,COLUMN(),FALSE)),"")</f>
        <v/>
      </c>
      <c r="H145" s="45" t="str">
        <f>IF($A145&lt;&gt;"",IF(VLOOKUP($A145,貼り付け用!$A$1:$BA$300,COLUMN(),FALSE)=0,"",VLOOKUP($A145,貼り付け用!$A$1:$BA$300,COLUMN(),FALSE)),"")</f>
        <v/>
      </c>
      <c r="I145" s="45" t="str">
        <f>IF($A145&lt;&gt;"",IF(VLOOKUP($A145,貼り付け用!$A$1:$BA$300,COLUMN(),FALSE)=0,"",VLOOKUP($A145,貼り付け用!$A$1:$BA$300,COLUMN(),FALSE)),"")</f>
        <v/>
      </c>
      <c r="J145" s="45" t="str">
        <f>IF($A145&lt;&gt;"",IF(VLOOKUP($A145,貼り付け用!$A$1:$BA$300,COLUMN(),FALSE)=0,"",VLOOKUP($A145,貼り付け用!$A$1:$BA$300,COLUMN(),FALSE)),"")</f>
        <v/>
      </c>
      <c r="K145" s="45" t="str">
        <f>IF($A145&lt;&gt;"",IF(VLOOKUP($A145,貼り付け用!$A$1:$BA$300,COLUMN(),FALSE)=0,"",VLOOKUP($A145,貼り付け用!$A$1:$BA$300,COLUMN(),FALSE)),"")</f>
        <v/>
      </c>
      <c r="L145" s="45" t="str">
        <f>IF($A145&lt;&gt;"",
IF(COLUMN(貼り付け用!L145)&gt;MATCH("おやつ",貼り付け用!$3:$3,0),"",
IF(VLOOKUP($A145,貼り付け用!$A$1:$BA$300,COLUMN(),FALSE)=0,"",VLOOKUP($A145,貼り付け用!$A$1:$BA$300,COLUMN(),FALSE))),"")</f>
        <v/>
      </c>
      <c r="M145" s="45" t="str">
        <f>IF($A145&lt;&gt;"",
IF(COLUMN(貼り付け用!M145)&gt;MATCH("おやつ",貼り付け用!$3:$3,0),"",
IF(VLOOKUP($A145,貼り付け用!$A$1:$BA$300,COLUMN(),FALSE)=0,"",VLOOKUP($A145,貼り付け用!$A$1:$BA$300,COLUMN(),FALSE))),"")</f>
        <v/>
      </c>
      <c r="N145" s="45" t="str">
        <f>IF($A145&lt;&gt;"",
IF(COLUMN(貼り付け用!N145)&gt;MATCH("おやつ",貼り付け用!$3:$3,0),"",
IF(VLOOKUP($A145,貼り付け用!$A$1:$BA$300,COLUMN(),FALSE)=0,"",VLOOKUP($A145,貼り付け用!$A$1:$BA$300,COLUMN(),FALSE))),"")</f>
        <v/>
      </c>
      <c r="O145" s="45" t="str">
        <f>IF($A145&lt;&gt;"",
IF(COLUMN(貼り付け用!O145)&gt;MATCH("おやつ",貼り付け用!$3:$3,0),"",
IF(VLOOKUP($A145,貼り付け用!$A$1:$BA$300,COLUMN(),FALSE)=0,"",VLOOKUP($A145,貼り付け用!$A$1:$BA$300,COLUMN(),FALSE))),"")</f>
        <v/>
      </c>
      <c r="P145" s="45" t="str">
        <f>IF($A145&lt;&gt;"",
IF(COLUMN(貼り付け用!P145)&gt;MATCH("おやつ",貼り付け用!$3:$3,0),"",
IF(VLOOKUP($A145,貼り付け用!$A$1:$BA$300,COLUMN(),FALSE)=0,"",VLOOKUP($A145,貼り付け用!$A$1:$BA$300,COLUMN(),FALSE))),"")</f>
        <v/>
      </c>
      <c r="Q145" s="45" t="str">
        <f>IF($A145&lt;&gt;"",
IF(COLUMN(貼り付け用!Q145)&gt;MATCH("おやつ",貼り付け用!$3:$3,0),"",
IF(VLOOKUP($A145,貼り付け用!$A$1:$BA$300,COLUMN(),FALSE)=0,"",VLOOKUP($A145,貼り付け用!$A$1:$BA$300,COLUMN(),FALSE))),"")</f>
        <v/>
      </c>
      <c r="R145" s="45" t="str">
        <f>IF($A145&lt;&gt;"",
IF(COLUMN(貼り付け用!R145)&gt;MATCH("おやつ",貼り付け用!$3:$3,0),"",
IF(VLOOKUP($A145,貼り付け用!$A$1:$BA$300,COLUMN(),FALSE)=0,"",VLOOKUP($A145,貼り付け用!$A$1:$BA$300,COLUMN(),FALSE))),"")</f>
        <v/>
      </c>
      <c r="S145" s="45" t="str">
        <f>IF($A145&lt;&gt;"",
IF(COLUMN(貼り付け用!S145)&gt;MATCH("おやつ",貼り付け用!$3:$3,0),"",
IF(VLOOKUP($A145,貼り付け用!$A$1:$BA$300,COLUMN(),FALSE)=0,"",VLOOKUP($A145,貼り付け用!$A$1:$BA$300,COLUMN(),FALSE))),"")</f>
        <v/>
      </c>
      <c r="T145" s="45" t="e">
        <f>IF(COLUMN(貼り付け用!T145)&gt;MATCH("おやつ",貼り付け用!$3:$3,0),"",
IF(VLOOKUP($A145,貼り付け用!$A$1:$BA$300,COLUMN(),FALSE)=0,"",VLOOKUP($A145,貼り付け用!$A$1:$BA$300,COLUMN(),FALSE)))</f>
        <v>#N/A</v>
      </c>
      <c r="U145" s="24"/>
      <c r="V145" s="21" t="str">
        <f>IF(A145&lt;&gt;"",
IF(VLOOKUP($A145,貼り付け用!$A$1:$BA$300,MATCH("おやつ",貼り付け用!$3:$3,0)+1,FALSE)=0,"",VLOOKUP($A145,貼り付け用!$A$1:$BA$300,MATCH("おやつ",貼り付け用!$3:$3,0)+1,FALSE)),"")</f>
        <v/>
      </c>
      <c r="W145" s="50" t="str">
        <f>IF(A145&lt;&gt;"",
IF(VLOOKUP($A145,貼り付け用!$A$1:$BA$300,MATCH("おやつ",貼り付け用!$3:$3,0)+2,FALSE)=0,"",VLOOKUP($A145,貼り付け用!$A$1:$BA$300,MATCH("おやつ",貼り付け用!$3:$3,0)+2,FALSE)),"")</f>
        <v/>
      </c>
    </row>
    <row r="146" spans="1:23" x14ac:dyDescent="0.45">
      <c r="A146" s="25" t="str">
        <f t="array" ref="A146">IF(INDEX(貼り付け用!A:A, MATCH("*【合計】*", 貼り付け用!A:A, 0)-1)&lt;&gt;0,
INDEX(貼り付け用!A:A, MATCH("*【合計】*", 貼り付け用!A:A, 0)-1),"")</f>
        <v/>
      </c>
      <c r="B146" s="50" t="str">
        <f t="array" ref="B146">IF(INDEX(貼り付け用!B:B, MATCH("*【合計】*", 貼り付け用!$A:$A, 0)-1)&lt;&gt;0,
INDEX(貼り付け用!B:B, MATCH("*【合計】*", 貼り付け用!$A:$A, 0)-1),"")</f>
        <v>92</v>
      </c>
      <c r="C146" s="50" t="str">
        <f t="array" ref="C146">IF(INDEX(貼り付け用!C:C, MATCH("*【合計】*", 貼り付け用!$A:$A, 0)-1)&lt;&gt;0,
INDEX(貼り付け用!C:C, MATCH("*【合計】*", 貼り付け用!$A:$A, 0)-1),"")</f>
        <v>56</v>
      </c>
      <c r="D146" s="50" t="str">
        <f t="array" ref="D146">IF(INDEX(貼り付け用!D:D, MATCH("*【合計】*", 貼り付け用!$A:$A, 0)-1)&lt;&gt;0,
INDEX(貼り付け用!D:D, MATCH("*【合計】*", 貼り付け用!$A:$A, 0)-1),"")</f>
        <v>147</v>
      </c>
      <c r="E146" s="50" t="str">
        <f t="array" ref="E146">IF(INDEX(貼り付け用!E:E, MATCH("*【合計】*", 貼り付け用!$A:$A, 0)-1)&lt;&gt;0,
INDEX(貼り付け用!E:E, MATCH("*【合計】*", 貼り付け用!$A:$A, 0)-1),"")</f>
        <v/>
      </c>
      <c r="F146" s="50" t="str">
        <f t="array" ref="F146">IF(INDEX(貼り付け用!F:F, MATCH("*【合計】*", 貼り付け用!$A:$A, 0)-1)&lt;&gt;0,
INDEX(貼り付け用!F:F, MATCH("*【合計】*", 貼り付け用!$A:$A, 0)-1),"")</f>
        <v>953</v>
      </c>
      <c r="G146" s="50" t="str">
        <f t="array" ref="G146">IF(INDEX(貼り付け用!G:G, MATCH("*【合計】*", 貼り付け用!$A:$A, 0)-1)&lt;&gt;0,
INDEX(貼り付け用!G:G, MATCH("*【合計】*", 貼り付け用!$A:$A, 0)-1),"")</f>
        <v>1,360</v>
      </c>
      <c r="H146" s="50" t="str">
        <f t="array" ref="H146">IF(INDEX(貼り付け用!H:H, MATCH("*【合計】*", 貼り付け用!$A:$A, 0)-1)&lt;&gt;0,
INDEX(貼り付け用!H:H, MATCH("*【合計】*", 貼り付け用!$A:$A, 0)-1),"")</f>
        <v/>
      </c>
      <c r="I146" s="50" t="str">
        <f t="array" ref="I146">IF(INDEX(貼り付け用!I:I, MATCH("*【合計】*", 貼り付け用!$A:$A, 0)-1)&lt;&gt;0,
INDEX(貼り付け用!I:I, MATCH("*【合計】*", 貼り付け用!$A:$A, 0)-1),"")</f>
        <v/>
      </c>
      <c r="J146" s="50" t="str">
        <f t="array" ref="J146">IF(INDEX(貼り付け用!J:J, MATCH("*【合計】*", 貼り付け用!$A:$A, 0)-1)&lt;&gt;0,
INDEX(貼り付け用!J:J, MATCH("*【合計】*", 貼り付け用!$A:$A, 0)-1),"")</f>
        <v>39</v>
      </c>
      <c r="K146" s="50" t="str">
        <f t="array" ref="K146">IF(INDEX(貼り付け用!K:K, MATCH("*【合計】*", 貼り付け用!$A:$A, 0)-1)&lt;&gt;0,
INDEX(貼り付け用!K:K, MATCH("*【合計】*", 貼り付け用!$A:$A, 0)-1),"")</f>
        <v>386</v>
      </c>
      <c r="L146" s="50" t="str">
        <f t="array" ref="L146">IF(INDEX(貼り付け用!L:L, MATCH("*【合計】*", 貼り付け用!$A:$A, 0)-1)&lt;&gt;0,
INDEX(貼り付け用!L:L, MATCH("*【合計】*", 貼り付け用!$A:$A, 0)-1),"")</f>
        <v>67</v>
      </c>
      <c r="M146" s="50" t="str">
        <f t="array" ref="M146">IF(INDEX(貼り付け用!M:M, MATCH("*【合計】*", 貼り付け用!$A:$A, 0)-1)&lt;&gt;0,
INDEX(貼り付け用!M:M, MATCH("*【合計】*", 貼り付け用!$A:$A, 0)-1),"")</f>
        <v>268</v>
      </c>
      <c r="N146" s="50" t="str">
        <f t="array" ref="N146">IF(INDEX(貼り付け用!N:N, MATCH("*【合計】*", 貼り付け用!$A:$A, 0)-1)&lt;&gt;0,
INDEX(貼り付け用!N:N, MATCH("*【合計】*", 貼り付け用!$A:$A, 0)-1),"")</f>
        <v>902</v>
      </c>
      <c r="O146" s="50" t="str">
        <f t="array" ref="O146">IF(INDEX(貼り付け用!O:O, MATCH("*【合計】*", 貼り付け用!$A:$A, 0)-1)&lt;&gt;0,
INDEX(貼り付け用!O:O, MATCH("*【合計】*", 貼り付け用!$A:$A, 0)-1),"")</f>
        <v>344</v>
      </c>
      <c r="P146" s="50" t="str">
        <f t="array" ref="P146">IF(INDEX(貼り付け用!P:P, MATCH("*【合計】*", 貼り付け用!$A:$A, 0)-1)&lt;&gt;0,
INDEX(貼り付け用!P:P, MATCH("*【合計】*", 貼り付け用!$A:$A, 0)-1),"")</f>
        <v/>
      </c>
      <c r="Q146" s="50" t="str">
        <f t="array" ref="Q146">IF(INDEX(貼り付け用!Q:Q, MATCH("*【合計】*", 貼り付け用!$A:$A, 0)-1)&lt;&gt;0,
INDEX(貼り付け用!Q:Q, MATCH("*【合計】*", 貼り付け用!$A:$A, 0)-1),"")</f>
        <v/>
      </c>
      <c r="R146" s="50" t="str">
        <f t="array" ref="R146">IF(INDEX(貼り付け用!R:R, MATCH("*【合計】*", 貼り付け用!$A:$A, 0)-1)&lt;&gt;0,
INDEX(貼り付け用!R:R, MATCH("*【合計】*", 貼り付け用!$A:$A, 0)-1),"")</f>
        <v/>
      </c>
      <c r="S146" s="50" t="str">
        <f t="array" ref="S146">IF(INDEX(貼り付け用!S:S, MATCH("*【合計】*", 貼り付け用!$A:$A, 0)-1)&lt;&gt;0,
INDEX(貼り付け用!S:S, MATCH("*【合計】*", 貼り付け用!$A:$A, 0)-1),"")</f>
        <v/>
      </c>
      <c r="T146" s="50" t="str">
        <f t="array" ref="T146">IF(INDEX(貼り付け用!T:T, MATCH("*【合計】*", 貼り付け用!$A:$A, 0)-1)&lt;&gt;0,
INDEX(貼り付け用!T:T, MATCH("*【合計】*", 貼り付け用!$A:$A, 0)-1),"")</f>
        <v/>
      </c>
      <c r="U146" s="23"/>
      <c r="V146" s="26" t="str">
        <f t="array" ref="V146">IF(INDEX(貼り付け用!U:U, MATCH("*【合計】*", 貼り付け用!$A:$A, 0)-1)&lt;&gt;0,
INDEX(貼り付け用!U:U, MATCH("*【合計】*", 貼り付け用!$A:$A, 0)-1),"")</f>
        <v/>
      </c>
      <c r="W146" s="27" t="str">
        <f t="array" ref="W146">IF(INDEX(貼り付け用!V:V, MATCH("*【合計】*", 貼り付け用!$A:$A, 0)-1)&lt;&gt;0,
INDEX(貼り付け用!V:V, MATCH("*【合計】*", 貼り付け用!$A:$A, 0)-1),"")</f>
        <v/>
      </c>
    </row>
    <row r="147" spans="1:23" x14ac:dyDescent="0.45">
      <c r="A147" s="28" t="str">
        <f>IF(INDEX(貼り付け用!A:A, MATCH("*【合計】*", 貼り付け用!A:A, 0))&lt;&gt;0,
INDEX(貼り付け用!A:A, MATCH("*【合計】*", 貼り付け用!A:A, 0)),"")</f>
        <v>【合計】 5,069</v>
      </c>
      <c r="B147" s="45" t="str">
        <f>IF(INDEX(貼り付け用!B:B, MATCH("*【合計】*", 貼り付け用!$A:$A, 0))&lt;&gt;0,
INDEX(貼り付け用!B:B, MATCH("*【合計】*", 貼り付け用!$A:$A, 0)),"")</f>
        <v/>
      </c>
      <c r="C147" s="45" t="str">
        <f>IF(INDEX(貼り付け用!C:C, MATCH("*【合計】*", 貼り付け用!$A:$A, 0))&lt;&gt;0,
INDEX(貼り付け用!C:C, MATCH("*【合計】*", 貼り付け用!$A:$A, 0)),"")</f>
        <v/>
      </c>
      <c r="D147" s="45" t="str">
        <f>IF(INDEX(貼り付け用!D:D, MATCH("*【合計】*", 貼り付け用!$A:$A, 0))&lt;&gt;0,
INDEX(貼り付け用!D:D, MATCH("*【合計】*", 貼り付け用!$A:$A, 0)),"")</f>
        <v>39</v>
      </c>
      <c r="E147" s="45" t="str">
        <f>IF(INDEX(貼り付け用!E:E, MATCH("*【合計】*", 貼り付け用!$A:$A, 0))&lt;&gt;0,
INDEX(貼り付け用!E:E, MATCH("*【合計】*", 貼り付け用!$A:$A, 0)),"")</f>
        <v/>
      </c>
      <c r="F147" s="45" t="str">
        <f>IF(INDEX(貼り付け用!F:F, MATCH("*【合計】*", 貼り付け用!$A:$A, 0))&lt;&gt;0,
INDEX(貼り付け用!F:F, MATCH("*【合計】*", 貼り付け用!$A:$A, 0)),"")</f>
        <v>54</v>
      </c>
      <c r="G147" s="45" t="str">
        <f>IF(INDEX(貼り付け用!G:G, MATCH("*【合計】*", 貼り付け用!$A:$A, 0))&lt;&gt;0,
INDEX(貼り付け用!G:G, MATCH("*【合計】*", 貼り付け用!$A:$A, 0)),"")</f>
        <v>172</v>
      </c>
      <c r="H147" s="45" t="str">
        <f>IF(INDEX(貼り付け用!H:H, MATCH("*【合計】*", 貼り付け用!$A:$A, 0))&lt;&gt;0,
INDEX(貼り付け用!H:H, MATCH("*【合計】*", 貼り付け用!$A:$A, 0)),"")</f>
        <v/>
      </c>
      <c r="I147" s="45" t="str">
        <f>IF(INDEX(貼り付け用!I:I, MATCH("*【合計】*", 貼り付け用!$A:$A, 0))&lt;&gt;0,
INDEX(貼り付け用!I:I, MATCH("*【合計】*", 貼り付け用!$A:$A, 0)),"")</f>
        <v/>
      </c>
      <c r="J147" s="45" t="str">
        <f>IF(INDEX(貼り付け用!J:J, MATCH("*【合計】*", 貼り付け用!$A:$A, 0))&lt;&gt;0,
INDEX(貼り付け用!J:J, MATCH("*【合計】*", 貼り付け用!$A:$A, 0)),"")</f>
        <v/>
      </c>
      <c r="K147" s="45" t="str">
        <f>IF(INDEX(貼り付け用!K:K, MATCH("*【合計】*", 貼り付け用!$A:$A, 0))&lt;&gt;0,
INDEX(貼り付け用!K:K, MATCH("*【合計】*", 貼り付け用!$A:$A, 0)),"")</f>
        <v>62</v>
      </c>
      <c r="L147" s="45" t="str">
        <f>IF(INDEX(貼り付け用!L:L, MATCH("*【合計】*", 貼り付け用!$A:$A, 0))&lt;&gt;0,
INDEX(貼り付け用!L:L, MATCH("*【合計】*", 貼り付け用!$A:$A, 0)),"")</f>
        <v/>
      </c>
      <c r="M147" s="45" t="str">
        <f>IF(INDEX(貼り付け用!M:M, MATCH("*【合計】*", 貼り付け用!$A:$A, 0))&lt;&gt;0,
INDEX(貼り付け用!M:M, MATCH("*【合計】*", 貼り付け用!$A:$A, 0)),"")</f>
        <v>17</v>
      </c>
      <c r="N147" s="45" t="str">
        <f>IF(INDEX(貼り付け用!N:N, MATCH("*【合計】*", 貼り付け用!$A:$A, 0))&lt;&gt;0,
INDEX(貼り付け用!N:N, MATCH("*【合計】*", 貼り付け用!$A:$A, 0)),"")</f>
        <v>94</v>
      </c>
      <c r="O147" s="45" t="str">
        <f>IF(INDEX(貼り付け用!O:O, MATCH("*【合計】*", 貼り付け用!$A:$A, 0))&lt;&gt;0,
INDEX(貼り付け用!O:O, MATCH("*【合計】*", 貼り付け用!$A:$A, 0)),"")</f>
        <v>17</v>
      </c>
      <c r="P147" s="45" t="str">
        <f>IF(INDEX(貼り付け用!P:P, MATCH("*【合計】*", 貼り付け用!$A:$A, 0))&lt;&gt;0,
INDEX(貼り付け用!P:P, MATCH("*【合計】*", 貼り付け用!$A:$A, 0)),"")</f>
        <v/>
      </c>
      <c r="Q147" s="45" t="str">
        <f>IF(INDEX(貼り付け用!Q:Q, MATCH("*【合計】*", 貼り付け用!$A:$A, 0))&lt;&gt;0,
INDEX(貼り付け用!Q:Q, MATCH("*【合計】*", 貼り付け用!$A:$A, 0)),"")</f>
        <v/>
      </c>
      <c r="R147" s="45" t="str">
        <f>IF(INDEX(貼り付け用!R:R, MATCH("*【合計】*", 貼り付け用!$A:$A, 0))&lt;&gt;0,
INDEX(貼り付け用!R:R, MATCH("*【合計】*", 貼り付け用!$A:$A, 0)),"")</f>
        <v/>
      </c>
      <c r="S147" s="45" t="str">
        <f>IF(INDEX(貼り付け用!S:S, MATCH("*【合計】*", 貼り付け用!$A:$A, 0))&lt;&gt;0,
INDEX(貼り付け用!S:S, MATCH("*【合計】*", 貼り付け用!$A:$A, 0)),"")</f>
        <v/>
      </c>
      <c r="T147" s="45" t="str">
        <f>IF(INDEX(貼り付け用!T:T, MATCH("*【合計】*", 貼り付け用!$A:$A, 0))&lt;&gt;0,
INDEX(貼り付け用!T:T, MATCH("*【合計】*", 貼り付け用!$A:$A, 0)),"")</f>
        <v/>
      </c>
      <c r="U147" s="29"/>
      <c r="V147" s="30" t="str">
        <f>IF(INDEX(貼り付け用!U:U, MATCH("*【合計】*", 貼り付け用!$A:$A, 0))&lt;&gt;0,
INDEX(貼り付け用!U:U, MATCH("*【合計】*", 貼り付け用!$A:$A, 0)),"")</f>
        <v/>
      </c>
      <c r="W147" s="31" t="str">
        <f>IF(INDEX(貼り付け用!V:V, MATCH("*【合計】*", 貼り付け用!$A:$A, 0))&lt;&gt;0,
INDEX(貼り付け用!V:V, MATCH("*【合計】*", 貼り付け用!$A:$A, 0)),"")</f>
        <v/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20"/>
  <sheetViews>
    <sheetView zoomScale="53" zoomScaleNormal="53" workbookViewId="0">
      <selection activeCell="D18" sqref="D18"/>
    </sheetView>
  </sheetViews>
  <sheetFormatPr defaultRowHeight="18" x14ac:dyDescent="0.45"/>
  <cols>
    <col min="1" max="1" width="8.69921875" style="1" customWidth="1"/>
    <col min="2" max="2" width="29.8984375" style="1" customWidth="1"/>
    <col min="3" max="3" width="45.19921875" style="1" customWidth="1"/>
    <col min="4" max="12" width="11.69921875" style="1" customWidth="1"/>
    <col min="13" max="13" width="10.3984375" style="1" customWidth="1"/>
    <col min="14" max="14" width="18.296875" style="1" customWidth="1"/>
    <col min="17" max="17" width="10.3984375" style="1" customWidth="1"/>
    <col min="20" max="20" width="10.3984375" style="1" customWidth="1"/>
    <col min="22" max="22" width="52.5" style="1" customWidth="1"/>
    <col min="28" max="28" width="22.19921875" style="1" customWidth="1"/>
    <col min="29" max="29" width="8.796875" style="1" customWidth="1"/>
    <col min="33" max="33" width="8.796875" style="1" customWidth="1"/>
    <col min="44" max="44" width="1.8984375" style="52" customWidth="1"/>
    <col min="45" max="45" width="10.69921875" style="1" customWidth="1"/>
    <col min="47" max="47" width="9.8984375" style="1" customWidth="1"/>
    <col min="51" max="51" width="1.8984375" style="52" customWidth="1"/>
    <col min="52" max="59" width="13.8984375" style="1" customWidth="1"/>
    <col min="62" max="62" width="8.796875" style="1" customWidth="1"/>
    <col min="70" max="70" width="1.8984375" style="52" customWidth="1"/>
  </cols>
  <sheetData>
    <row r="1" spans="1:69" x14ac:dyDescent="0.45">
      <c r="A1" t="str">
        <f t="array" ref="A1">IF(INDEX(貼り付け用!A:A,(MATCH("園名",貼り付け用!$A$1:$A$10,0)+2)+(ROW()-1)*2)=10000,"",INDEX(貼り付け用!A:A,(MATCH("園名",貼り付け用!$A$1:$A$10,0)+2)+(ROW()-1)*2))</f>
        <v>5100</v>
      </c>
      <c r="B1" t="str">
        <f>IF(A1&lt;&gt;"",
VLOOKUP(A1,得意先マスタ!A:D,2,FALSE),"")</f>
        <v>雙葉小学校</v>
      </c>
      <c r="C1" t="str">
        <f t="array" ref="C1">IF(INDEX(貼り付け用!A:A,(MATCH("園名",貼り付け用!$A$1:$A$10,0)+2)+(ROW()-1)*2)=10000,"",INDEX(貼り付け用!A:A,(MATCH("園名",貼り付け用!$A$1:$A$10,0)+3)+(ROW()-1)*2))</f>
        <v>雙葉小学校 web</v>
      </c>
      <c r="D1" t="str">
        <f ca="1">VLOOKUP(C1,クライアント抽出!$A:$O,10,FALSE)</f>
        <v>キャラ弁（学食）</v>
      </c>
      <c r="E1" t="str">
        <f ca="1">IF(D1&lt;&gt;"",
VLOOKUP(
"*"&amp;IF(COUNTIF(D1,"*キャラ弁*"),"キャラ",
IF(COUNTIF(D1,"*赤*"),"赤",SUBSTITUTE(SUBSTITUTE(D1," ",""),"　","")))&amp;"*",
注文弁当の抽出!$F:$I,4,FALSE)&amp;
IF(COUNTIF(D1,"*おにぎり*"),"　おにぎり",""),"")</f>
        <v>弁当　園児</v>
      </c>
      <c r="F1">
        <f ca="1">IFERROR(IF(E1&lt;&gt;"",
VLOOKUP(C1,クライアント抽出!$A:$G,2,FALSE)+
IF(COUNTIF(Y1,"*-*"),Y1,0),"")
-IFERROR(MID(V1, SEARCH("予備", V1) + LEN("予備"), SEARCH("込み", V1) - (SEARCH("予備", V1) + LEN("予備"))),0),"")</f>
        <v>92</v>
      </c>
      <c r="G1" t="str">
        <f ca="1">VLOOKUP(C1,クライアント抽出!$A:$O,11,FALSE)</f>
        <v>キャラ弁（学食）　飯あり150</v>
      </c>
      <c r="H1" t="str">
        <f ca="1">IF(G1&lt;&gt;"",
VLOOKUP(
"*"&amp;IF(COUNTIF(G1,"*キャラ弁*"),"キャラ",
IF(COUNTIF(G1,"*赤*"),"赤",SUBSTITUTE(SUBSTITUTE(G1," ",""),"　","")))&amp;"*",
注文弁当の抽出!$F:$I,4,FALSE)&amp;
IF(COUNTIF(G1,"*おにぎり*"),"　おにぎり",""),"")</f>
        <v>弁当　園児</v>
      </c>
      <c r="I1">
        <f ca="1">IF(H1&lt;&gt;"",
VLOOKUP(C1,クライアント抽出!$A:$G,3,FALSE)+Z1,"")</f>
        <v>48</v>
      </c>
      <c r="J1" t="str">
        <f ca="1">VLOOKUP(C1,クライアント抽出!$A:$O,12,FALSE)</f>
        <v/>
      </c>
      <c r="K1" t="str">
        <f ca="1">IF(J1&lt;&gt;"",
VLOOKUP(
"*"&amp;IF(COUNTIF(J1,"*キャラ弁*"),"キャラ",
IF(COUNTIF(J1,"*赤*"),"赤",SUBSTITUTE(SUBSTITUTE(J1," ",""),"　","")))&amp;"*",
注文弁当の抽出!$F:$I,4,FALSE)&amp;
IF(COUNTIF(J1,"*おにぎり*"),"　おにぎり",""),"")</f>
        <v/>
      </c>
      <c r="L1" t="str">
        <f ca="1">IF(K1&lt;&gt;"",
VLOOKUP(C1,クライアント抽出!$A:$G,4,FALSE)+AA1,"")</f>
        <v/>
      </c>
      <c r="M1" t="str">
        <f ca="1">VLOOKUP(C1,クライアント抽出!$A:$O,13,FALSE)</f>
        <v/>
      </c>
      <c r="N1" t="str">
        <f ca="1">SUBSTITUTE(
IF(M1&lt;&gt;"",
VLOOKUP(
"*"&amp;IF(COUNTIF(M1,"*キャラ弁*"),"キャラ",
IF(COUNTIF(M1,"*赤*"),"赤",SUBSTITUTE(SUBSTITUTE(D1," ",""),"　","")))&amp;"*",
注文弁当の抽出!$F:$I,4,FALSE),""),"園児","先生")</f>
        <v/>
      </c>
      <c r="O1" t="str">
        <f ca="1">IF(N1&lt;&gt;"",VLOOKUP(C1,クライアント抽出!$A:$G,5,FALSE),"")</f>
        <v/>
      </c>
      <c r="P1" t="str">
        <f ca="1">VLOOKUP(C1,クライアント抽出!$A:$O,14,FALSE)</f>
        <v/>
      </c>
      <c r="Q1" t="str">
        <f ca="1">SUBSTITUTE(
IF(P1&lt;&gt;"",
VLOOKUP(
"*"&amp;IF(COUNTIF(P1,"*キャラ弁*"),"キャラ",
IF(COUNTIF(P1,"*赤*"),"赤",SUBSTITUTE(SUBSTITUTE(G1," ",""),"　","")))&amp;"*",
注文弁当の抽出!$F:$I,4,FALSE),""),"園児","先生")</f>
        <v/>
      </c>
      <c r="R1" t="str">
        <f ca="1">IF(Q1&lt;&gt;"",
VLOOKUP(C1,クライアント抽出!$A:$G,6,FALSE),"")</f>
        <v/>
      </c>
      <c r="S1" t="str">
        <f ca="1">VLOOKUP(C1,クライアント抽出!$A:$O,15,FALSE)</f>
        <v/>
      </c>
      <c r="T1" t="str">
        <f ca="1">SUBSTITUTE(
IF(S1&lt;&gt;"",
VLOOKUP(
"*"&amp;IF(COUNTIF(S1,"*キャラ弁*"),"キャラ",
IF(COUNTIF(S1,"*赤*"),"赤",SUBSTITUTE(SUBSTITUTE(J1," ",""),"　","")))&amp;"*",
注文弁当の抽出!$F:$I,4,FALSE),""),"園児","先生")</f>
        <v/>
      </c>
      <c r="U1" t="str">
        <f ca="1">IF(T1&lt;&gt;"",
VLOOKUP(C1,クライアント抽出!$A:$G,7,FALSE),"")</f>
        <v/>
      </c>
      <c r="V1" t="str">
        <f ca="1">IF(A1&lt;&gt;"",VLOOKUP(""&amp;A1&amp;"",数出表_Excel!$A:$Z,22,FALSE)&amp;VLOOKUP(""&amp;A1&amp;"",数出表_Excel!$A:$Z,23,FALSE),"")</f>
        <v>ｱﾚ小3/大0</v>
      </c>
      <c r="W1" t="str">
        <f ca="1">IF(AND(COUNTIF(V1,"&lt;&gt;*不要*"),A1&lt;&gt;""),VLOOKUP(A1,得意先マスタ!$A:$AD,24,FALSE),0)</f>
        <v>予備</v>
      </c>
      <c r="X1" t="str">
        <f ca="1">IF(AND(COUNTIF(V1,"&lt;&gt;*不要*"),A1&lt;&gt;""),VLOOKUP(A1,得意先マスタ!$A:$AD,25,FALSE),0)</f>
        <v>1</v>
      </c>
      <c r="Y1" t="str">
        <f t="shared" ref="Y1:Y32" ca="1" si="0">IF(X1&lt;&gt;0,
TEXT(IF(COUNTIF(X1,"*.*"),LEFT(X1, FIND(".", X1) - 1),X1),"@"),0)</f>
        <v>1</v>
      </c>
      <c r="Z1">
        <f t="shared" ref="Z1:Z32" ca="1" si="1">IF(X1&lt;&gt;0,
IF(COUNTIF(X1,"*.*"),
IF(COUNTIF(X1,"*.*")=1,MID(X1, FIND(".", X1) + 1,LEN(X1) - FIND(".", X1)),
MID(X1, FIND(".", X1) + 1, FIND(".", X1, FIND(".", X1) + 1) - FIND(".", X1) - 1)),0),0)</f>
        <v>0</v>
      </c>
      <c r="AA1">
        <f ca="1">IF(X1&lt;&gt;0,
IF(COUNTIF(X1,"*.*"),
IF(COUNTIF(X1,"*.*")=1,"",RIGHT(X1, LEN(X1) - FIND(".", X1, FIND(".", X1) + 1))),0),0)</f>
        <v>0</v>
      </c>
      <c r="AB1" t="str">
        <f t="shared" ref="AB1:AB32" ca="1" si="2">IF(AND(E1&lt;&gt;"",W1&lt;&gt;0),
SUBSTITUTE(E1,"園児",W1),"")&amp;
IF(AND(H1&lt;&gt;"",W1&lt;&gt;0),
"、"&amp;SUBSTITUTE(H1,"園児",W1),"")&amp;
IF(AND(K1&lt;&gt;"",W1&lt;&gt;0),
"、"&amp;SUBSTITUTE(K1,"園児",W1),"")</f>
        <v>弁当　予備、弁当　予備</v>
      </c>
      <c r="AC1" t="str">
        <f t="array" aca="1" ref="AC1" ca="1">IFERROR(INDEX(1:1, SMALL(IF($D1:$U1&lt;&gt;"", COLUMN($D$1:$U1)), COLUMN(A1))), "")</f>
        <v>キャラ弁（学食）</v>
      </c>
      <c r="AD1" t="str">
        <f t="array" aca="1" ref="AD1" ca="1">IFERROR(INDEX(1:1, SMALL(IF($D1:$U1&lt;&gt;"", COLUMN($D$1:$U1)), COLUMN(B1))), "")</f>
        <v>弁当　園児</v>
      </c>
      <c r="AE1">
        <f t="array" aca="1" ref="AE1" ca="1">IFERROR(INDEX(1:1, SMALL(IF($D1:$U1&lt;&gt;"", COLUMN($D$1:$U1)), COLUMN(C1))), "")</f>
        <v>92</v>
      </c>
      <c r="AF1" t="str">
        <f t="array" aca="1" ref="AF1" ca="1">IFERROR(INDEX(1:1, SMALL(IF($D1:$U1&lt;&gt;"", COLUMN($D$1:$U1)), COLUMN(D1))), "")</f>
        <v>キャラ弁（学食）　飯あり150</v>
      </c>
      <c r="AG1" t="str">
        <f t="array" aca="1" ref="AG1" ca="1">IFERROR(INDEX(1:1, SMALL(IF($D1:$U1&lt;&gt;"", COLUMN($D$1:$U1)), COLUMN(E1))), "")</f>
        <v>弁当　園児</v>
      </c>
      <c r="AH1">
        <f t="array" aca="1" ref="AH1" ca="1">IFERROR(INDEX(1:1, SMALL(IF($D1:$U1&lt;&gt;"", COLUMN($D$1:$U1)), COLUMN(F1))), "")</f>
        <v>48</v>
      </c>
      <c r="AI1" t="str">
        <f t="array" aca="1" ref="AI1" ca="1">IFERROR(INDEX(1:1, SMALL(IF($D1:$U1&lt;&gt;"", COLUMN($D$1:$U1)), COLUMN(G1))), "")</f>
        <v/>
      </c>
      <c r="AJ1" t="str">
        <f t="array" aca="1" ref="AJ1" ca="1">IFERROR(INDEX(1:1, SMALL(IF($D1:$U1&lt;&gt;"", COLUMN($D$1:$U1)), COLUMN(H1))), "")</f>
        <v/>
      </c>
      <c r="AK1" t="str">
        <f t="array" aca="1" ref="AK1" ca="1">IFERROR(INDEX(1:1, SMALL(IF($D1:$U1&lt;&gt;"", COLUMN($D$1:$U1)), COLUMN(I1))), "")</f>
        <v/>
      </c>
      <c r="AL1" t="str">
        <f t="array" aca="1" ref="AL1" ca="1">IFERROR(INDEX(1:1, SMALL(IF($D1:$U1&lt;&gt;"", COLUMN($D$1:$U1)), COLUMN(J1))), "")</f>
        <v/>
      </c>
      <c r="AM1" t="str">
        <f t="array" aca="1" ref="AM1" ca="1">IFERROR(INDEX(1:1, SMALL(IF($D1:$U1&lt;&gt;"", COLUMN($D$1:$U1)), COLUMN(K1))), "")</f>
        <v/>
      </c>
      <c r="AN1" t="str">
        <f t="array" aca="1" ref="AN1" ca="1">IFERROR(INDEX(1:1, SMALL(IF($D1:$U1&lt;&gt;"", COLUMN($D$1:$U1)), COLUMN(L1))), "")</f>
        <v/>
      </c>
      <c r="AO1" t="str">
        <f t="array" aca="1" ref="AO1" ca="1">IFERROR(INDEX(1:1, SMALL(IF($D1:$U1&lt;&gt;"", COLUMN($D$1:$U1)), COLUMN(M1))), "")</f>
        <v/>
      </c>
      <c r="AP1" t="str">
        <f t="array" aca="1" ref="AP1" ca="1">IFERROR(INDEX(1:1, SMALL(IF($D1:$U1&lt;&gt;"", COLUMN($D$1:$U1)), COLUMN(N1))), "")</f>
        <v/>
      </c>
      <c r="AQ1" t="str">
        <f t="array" aca="1" ref="AQ1" ca="1">IFERROR(INDEX(1:1, SMALL(IF($D1:$U1&lt;&gt;"", COLUMN($D$1:$U1)), COLUMN(O1))), "")</f>
        <v/>
      </c>
      <c r="AR1" s="52" t="s">
        <v>4005</v>
      </c>
      <c r="AS1" t="str">
        <f t="shared" ref="AS1:AS32" ca="1" si="3">IF(Y1&lt;&gt;0,
TRIM(MID(SUBSTITUTE($AB1,"、",REPT(" ",99)),1,99)),
IF(COUNTIF($V1,"*牛乳*"),
IF(COUNTIF(B1,"*奥田*"),"","牛乳"),""))</f>
        <v>弁当　予備</v>
      </c>
      <c r="AT1" t="str">
        <f t="shared" ref="AT1:AT32" ca="1" si="4">IF(Y1&lt;&gt;0,
SUBSTITUTE(Y1,"-",""),
IF(AS1&lt;&gt;"",AE1,""))</f>
        <v>1</v>
      </c>
      <c r="AU1" t="str">
        <f ca="1">IF(Z1&lt;&gt;0,
TRIM(MID(SUBSTITUTE($AB1,"、",REPT(" ",99)),100,99)),IF(COUNTIF(B1,"*博多*"),TRIM(MID(SUBSTITUTE($AB1,"、",REPT(" ",99)),100,99)),
IF(AND(COUNTIF(AS1,"*牛乳*")&lt;&gt;1,COUNTIF($V1,"*牛乳*")),TRIM(LEFT(SUBSTITUTE($V1,"×",REPT(" ",100)),100)),"")))</f>
        <v/>
      </c>
      <c r="AV1" t="str">
        <f ca="1">IF(Z1&lt;&gt;0,
SUBSTITUTE(Z1,"-",""),IF(AND(COUNTIF(B1,"*博多*"),AU1&lt;&gt;""),AT1,
IF(AND(COUNTIF(AS1,"*牛乳*")&lt;&gt;1,COUNTIF(V1,"*牛乳*")),VALUE(TRIM(MID(ASC(V1),SEARCH("×",ASC(V1))+1,SEARCH("本",ASC(V1))-SEARCH("×",ASC(V1))-1))),"")))</f>
        <v/>
      </c>
      <c r="AW1" t="str">
        <f ca="1">IF(AA1&lt;&gt;0,
TRIM(MID(SUBSTITUTE($AB1,"、",REPT(" ",99)),199,99)),
IF(AND(COUNTIF($V1,"*牛乳*"),COUNTIF(AS1,"*牛乳*")&lt;&gt;1,COUNTIF(AU1,"*牛乳*")&lt;&gt;1),TRIM(LEFT(SUBSTITUTE($V1,"×",REPT(" ",100)),100)),""))</f>
        <v/>
      </c>
      <c r="AX1" t="str">
        <f ca="1">IF(AA1&lt;&gt;0,
SUBSTITUTE(AA1,"-",""),
IF(AND(COUNTIF(AS1,"*牛乳*")&lt;&gt;1,COUNTIF(AU1,"*牛乳*")&lt;&gt;1,COUNTIF(V1,"*牛乳*")),VALUE(TRIM(MID(ASC(V1),SEARCH("×",ASC(V1))+1,SEARCH("本",ASC(V1))-SEARCH("×",ASC(V1))-1))),""))</f>
        <v/>
      </c>
      <c r="AZ1" t="str">
        <f t="array" aca="1" ref="AZ1" ca="1">IFERROR(INDEX(1:1, SMALL(IF($AC1:$AX1&lt;&gt;"", COLUMN($AC$1:$AX1)), COLUMN(A1))), "")</f>
        <v>キャラ弁（学食）</v>
      </c>
      <c r="BA1" t="str">
        <f t="array" aca="1" ref="BA1" ca="1">IFERROR(INDEX(1:1, SMALL(IF($AC1:$AX1&lt;&gt;"", COLUMN($AC$1:$AX1)), COLUMN(B1))), "")</f>
        <v>弁当　園児</v>
      </c>
      <c r="BB1">
        <f t="array" aca="1" ref="BB1" ca="1">IFERROR(INDEX(1:1, SMALL(IF($AC1:$AX1&lt;&gt;"", COLUMN($AC$1:$AX1)), COLUMN(C1))), "")</f>
        <v>92</v>
      </c>
      <c r="BC1" t="str">
        <f t="array" aca="1" ref="BC1" ca="1">IFERROR(INDEX(1:1, SMALL(IF($AC1:$AX1&lt;&gt;"", COLUMN($AC$1:$AX1)), COLUMN(D1))), "")</f>
        <v>キャラ弁（学食）　飯あり150</v>
      </c>
      <c r="BD1" t="str">
        <f t="array" aca="1" ref="BD1" ca="1">IFERROR(INDEX(1:1, SMALL(IF($AC1:$AX1&lt;&gt;"", COLUMN($AC$1:$AX1)), COLUMN(E1))), "")</f>
        <v>弁当　園児</v>
      </c>
      <c r="BE1">
        <f t="array" aca="1" ref="BE1" ca="1">IFERROR(INDEX(1:1, SMALL(IF($AC1:$AX1&lt;&gt;"", COLUMN($AC$1:$AX1)), COLUMN(F1))), "")</f>
        <v>48</v>
      </c>
      <c r="BF1" t="str">
        <f t="array" aca="1" ref="BF1" ca="1">IFERROR(IF(AND(COUNTIF($B1,"*泉ヶ丘*"),COUNTIF($B2,"*泉ヶ丘*")),
IFERROR(INDEX(2:2, SMALL(IF($AC2:$AX2&lt;&gt;"", COLUMN($AC$1:$AX2)), COLUMN(A2))), ""),
INDEX(1:1, SMALL(IF($AC1:$AX1&lt;&gt;"", COLUMN($AC$1:$AX1)), COLUMN(G1)))), "")</f>
        <v>●</v>
      </c>
      <c r="BG1" t="str">
        <f t="array" aca="1" ref="BG1" ca="1">IFERROR(IF(AND(COUNTIF($B1,"*泉ヶ丘*"),COUNTIF($B2,"*泉ヶ丘*")),
IFERROR(INDEX(2:2, SMALL(IF($AC2:$AX2&lt;&gt;"", COLUMN($AC$1:$AX2)), COLUMN(B2))), ""),
INDEX(1:1, SMALL(IF($AC1:$AX1&lt;&gt;"", COLUMN($AC$1:$AX1)), COLUMN(H1)))), "")</f>
        <v>弁当　予備</v>
      </c>
      <c r="BH1" t="str">
        <f t="array" aca="1" ref="BH1" ca="1">IFERROR(IF(AND(COUNTIF($B1,"*泉ヶ丘*"),COUNTIF($B2,"*泉ヶ丘*")),
IFERROR(INDEX(2:2, SMALL(IF($AC2:$AX2&lt;&gt;"", COLUMN($AC$1:$AX2)), COLUMN(C2))), ""),
INDEX(1:1, SMALL(IF($AC1:$AX1&lt;&gt;"", COLUMN($AC$1:$AX1)), COLUMN(I1)))), "")</f>
        <v>1</v>
      </c>
      <c r="BI1" t="str">
        <f t="array" aca="1" ref="BI1" ca="1">IFERROR(IF(AND(COUNTIF($B1,"*泉ヶ丘*"),COUNTIF($B2,"*泉ヶ丘*")),
IFERROR(INDEX(2:2, SMALL(IF($AC2:$AX2&lt;&gt;"", COLUMN($AC$1:$AX2)), COLUMN(D2))), ""),
INDEX(1:1, SMALL(IF($AC1:$AX1&lt;&gt;"", COLUMN($AC$1:$AX1)), COLUMN(J1)))), "")</f>
        <v/>
      </c>
      <c r="BJ1" t="str">
        <f t="array" aca="1" ref="BJ1" ca="1">IFERROR(IF(AND(COUNTIF($B1,"*泉ヶ丘*"),COUNTIF($B2,"*泉ヶ丘*")),
IFERROR(INDEX(2:2, SMALL(IF($AC2:$AX2&lt;&gt;"", COLUMN($AC$1:$AX2)), COLUMN(E2))), ""),
INDEX(1:1, SMALL(IF($AC1:$AX1&lt;&gt;"", COLUMN($AC$1:$AX1)), COLUMN(K1)))), "")</f>
        <v/>
      </c>
      <c r="BK1" t="str">
        <f t="array" aca="1" ref="BK1" ca="1">IFERROR(IF(AND(COUNTIF($B1,"*泉ヶ丘*"),COUNTIF($B2,"*泉ヶ丘*")),
IFERROR(INDEX(2:2, SMALL(IF($AC2:$AX2&lt;&gt;"", COLUMN($AC$1:$AX2)), COLUMN(F2))), ""),
INDEX(1:1, SMALL(IF($AC1:$AX1&lt;&gt;"", COLUMN($AC$1:$AX1)), COLUMN(L1)))), "")</f>
        <v/>
      </c>
      <c r="BL1" t="str">
        <f t="array" aca="1" ref="BL1" ca="1">IFERROR(IF(AND(COUNTIF($B1,"*泉ヶ丘*"),COUNTIF($B2,"*泉ヶ丘*")),
IFERROR(INDEX(2:2, SMALL(IF($AC2:$AX2&lt;&gt;"", COLUMN($AC$1:$AX2)), COLUMN(G2))), ""),
INDEX(1:1, SMALL(IF($AC1:$AX1&lt;&gt;"", COLUMN($AC$1:$AX1)), COLUMN(M1)))), "")</f>
        <v/>
      </c>
      <c r="BM1" t="str">
        <f t="array" aca="1" ref="BM1" ca="1">IFERROR(IF(AND(COUNTIF($B1,"*泉ヶ丘*"),COUNTIF($B2,"*泉ヶ丘*")),
IFERROR(INDEX(2:2, SMALL(IF($AC2:$AX2&lt;&gt;"", COLUMN($AC$1:$AX2)), COLUMN(H2))), ""),
INDEX(1:1, SMALL(IF($AC1:$AX1&lt;&gt;"", COLUMN($AC$1:$AX1)), COLUMN(N1)))), "")</f>
        <v/>
      </c>
      <c r="BN1" t="str">
        <f t="array" aca="1" ref="BN1" ca="1">IFERROR(IF(AND(COUNTIF($B1,"*泉ヶ丘*"),COUNTIF($B2,"*泉ヶ丘*")),
IFERROR(INDEX(2:2, SMALL(IF($AC2:$AX2&lt;&gt;"", COLUMN($AC$1:$AX2)), COLUMN(I2))), ""),
INDEX(1:1, SMALL(IF($AC1:$AX1&lt;&gt;"", COLUMN($AC$1:$AX1)), COLUMN(O1)))), "")</f>
        <v/>
      </c>
      <c r="BO1" t="str">
        <f t="array" aca="1" ref="BO1" ca="1">IFERROR(IF(AND(COUNTIF($B1,"*泉ヶ丘*"),COUNTIF($B2,"*泉ヶ丘*")),
IFERROR(INDEX(2:2, SMALL(IF($AC2:$AX2&lt;&gt;"", COLUMN($AC$1:$AX2)), COLUMN(J2))), ""),
INDEX(1:1, SMALL(IF($AC1:$AX1&lt;&gt;"", COLUMN($AC$1:$AX1)), COLUMN(P1)))), "")</f>
        <v/>
      </c>
      <c r="BP1" t="str">
        <f t="array" aca="1" ref="BP1" ca="1">IFERROR(IF(AND(COUNTIF($B1,"*泉ヶ丘*"),COUNTIF($B2,"*泉ヶ丘*")),
IFERROR(INDEX(2:2, SMALL(IF($AC2:$AX2&lt;&gt;"", COLUMN($AC$1:$AX2)), COLUMN(K2))), ""),
INDEX(1:1, SMALL(IF($AC1:$AX1&lt;&gt;"", COLUMN($AC$1:$AX1)), COLUMN(Q1)))), "")</f>
        <v/>
      </c>
      <c r="BQ1" t="str">
        <f t="array" aca="1" ref="BQ1" ca="1">IFERROR(IF(AND(COUNTIF($B1,"*泉ヶ丘*"),COUNTIF($B2,"*泉ヶ丘*")),
IFERROR(INDEX(2:2, SMALL(IF($AC2:$AX2&lt;&gt;"", COLUMN($AC$1:$AX2)), COLUMN(L2))), ""),
INDEX(1:1, SMALL(IF($AC1:$AX1&lt;&gt;"", COLUMN($AC$1:$AX1)), COLUMN(R1)))), "")</f>
        <v/>
      </c>
    </row>
    <row r="2" spans="1:69" x14ac:dyDescent="0.45">
      <c r="A2" t="str">
        <f t="array" ref="A2">IF(INDEX(貼り付け用!A:A,MATCH(A1,貼り付け用!A:A,0)+2)="4700",
IF(INDEX(貼り付け用!A:A,MATCH(A1,貼り付け用!A:A,0)+4)="4800",
INDEX(貼り付け用!A:A,MATCH(A1,貼り付け用!A:A,0)+6),
INDEX(貼り付け用!A:A,MATCH(A1,貼り付け用!A:A,0)+4)),INDEX(貼り付け用!A:A,MATCH(A1,貼り付け用!A:A,0)+2))</f>
        <v>5102</v>
      </c>
      <c r="B2" t="str">
        <f>IF(A2&lt;&gt;"",
VLOOKUP(A2,得意先マスタ!A:D,2,FALSE),"")</f>
        <v>雙葉小学校　先生</v>
      </c>
      <c r="C2" t="str">
        <f t="array" ref="C2">IF(A2="10000","",INDEX(貼り付け用!A:A,MATCH(A2,貼り付け用!A:A,0)+1))</f>
        <v>雙葉小学校 先生</v>
      </c>
      <c r="D2" t="str">
        <f ca="1">VLOOKUP(C2,クライアント抽出!$A:$O,10,FALSE)</f>
        <v>キャラ弁（学食）</v>
      </c>
      <c r="E2" t="str">
        <f ca="1">IF(D2&lt;&gt;"",
IF(COUNTIF(C2,"*ぺんぎん*"),
VLOOKUP(
"*"&amp;IF(COUNTIF(D2,"*キャラ弁*"),"キャラ",
IF(COUNTIF(D2,"*赤*"),"赤",SUBSTITUTE(SUBSTITUTE(D2," ",""),"　","")))&amp;"*",
注文弁当の抽出!$F:$I,4,FALSE)&amp;
IF(COUNTIF(D2,"*おにぎり*"),"　おにぎり","")&amp;"　（ぺんぎん組）",
VLOOKUP(
"*"&amp;IF(COUNTIF(D2,"*キャラ弁*"),"キャラ",
IF(COUNTIF(D2,"*赤*"),"赤",SUBSTITUTE(SUBSTITUTE(D2," ",""),"　","")))&amp;"*",
注文弁当の抽出!$F:$I,4,FALSE)&amp;
IF(COUNTIF(D2,"*おにぎり*"),"　おにぎり","")),"")</f>
        <v>弁当　園児</v>
      </c>
      <c r="F2">
        <f ca="1">IFERROR(IF(E2&lt;&gt;"",
VLOOKUP(C2,クライアント抽出!$A:$G,2,FALSE)+
IF(COUNTIF(Y2,"*-*"),Y2,0),"")
-IFERROR(MID(V2, SEARCH("予備", V2) + LEN("予備"), SEARCH("込み", V2) - (SEARCH("予備", V2) + LEN("予備"))),0),"")</f>
        <v>8</v>
      </c>
      <c r="G2" t="str">
        <f ca="1">VLOOKUP(C2,クライアント抽出!$A:$O,11,FALSE)</f>
        <v/>
      </c>
      <c r="H2" t="str">
        <f ca="1">IF(G2&lt;&gt;"",
VLOOKUP(
"*"&amp;IF(COUNTIF(G2,"*キャラ弁*"),"キャラ",
IF(COUNTIF(G2,"*赤*"),"赤",SUBSTITUTE(SUBSTITUTE(G2," ",""),"　","")))&amp;"*",
注文弁当の抽出!$F:$I,4,FALSE)&amp;
IF(COUNTIF(G2,"*おにぎり*"),"　おにぎり",""),"")</f>
        <v/>
      </c>
      <c r="I2" t="str">
        <f ca="1">IF(H2&lt;&gt;"",
VLOOKUP(C2,クライアント抽出!$A:$G,3,FALSE)+
IF(COUNTIF(C2,"*博多*"),Y2,Z2),"")</f>
        <v/>
      </c>
      <c r="J2" t="str">
        <f ca="1">VLOOKUP(C2,クライアント抽出!$A:$O,12,FALSE)</f>
        <v/>
      </c>
      <c r="K2" t="str">
        <f ca="1">IF(J2&lt;&gt;"",
VLOOKUP(
"*"&amp;IF(COUNTIF(J2,"*キャラ弁*"),"キャラ",
IF(COUNTIF(J2,"*赤*"),"赤",SUBSTITUTE(SUBSTITUTE(J2," ",""),"　","")))&amp;"*",
注文弁当の抽出!$F:$I,4,FALSE)&amp;
IF(COUNTIF(J2,"*おにぎり*"),"　おにぎり",""),"")</f>
        <v/>
      </c>
      <c r="L2" t="str">
        <f ca="1">IF(K2&lt;&gt;"",
VLOOKUP(C2,クライアント抽出!$A:$G,4,FALSE)+AA2,"")</f>
        <v/>
      </c>
      <c r="M2" t="str">
        <f ca="1">VLOOKUP(C2,クライアント抽出!$A:$O,13,FALSE)</f>
        <v/>
      </c>
      <c r="N2" t="str">
        <f ca="1">SUBSTITUTE(
IF(M2&lt;&gt;"",
VLOOKUP(
"*"&amp;IF(COUNTIF(M2,"*キャラ弁*"),"キャラ",
IF(COUNTIF(M2,"*赤*"),"赤",SUBSTITUTE(SUBSTITUTE(D2," ",""),"　","")))&amp;"*",
注文弁当の抽出!$F:$I,4,FALSE),""),"園児","先生")&amp;
IF(COUNTIF(M2,"*おにぎり*"),"　おにぎり","")</f>
        <v/>
      </c>
      <c r="O2" t="str">
        <f ca="1">IF(N2&lt;&gt;"",VLOOKUP(C2,クライアント抽出!$A:$G,5,FALSE),"")</f>
        <v/>
      </c>
      <c r="P2" t="str">
        <f ca="1">VLOOKUP(C2,クライアント抽出!$A:$O,14,FALSE)</f>
        <v/>
      </c>
      <c r="Q2" t="str">
        <f ca="1">SUBSTITUTE(
IF(P2&lt;&gt;"",
VLOOKUP(
"*"&amp;IF(COUNTIF(P2,"*キャラ弁*"),"キャラ",
IF(COUNTIF(P2,"*赤*"),"赤",SUBSTITUTE(SUBSTITUTE(G2," ",""),"　","")))&amp;"*",
注文弁当の抽出!$F:$I,4,FALSE),""),"園児","先生")&amp;
IF(COUNTIF(P2,"*おにぎり*"),"　おにぎり","")</f>
        <v/>
      </c>
      <c r="R2" t="str">
        <f ca="1">IF(Q2&lt;&gt;"",
VLOOKUP(C2,クライアント抽出!$A:$G,6,FALSE),"")</f>
        <v/>
      </c>
      <c r="S2" t="str">
        <f ca="1">VLOOKUP(C2,クライアント抽出!$A:$O,15,FALSE)</f>
        <v/>
      </c>
      <c r="T2" t="str">
        <f ca="1">SUBSTITUTE(
IF(S2&lt;&gt;"",
VLOOKUP(
"*"&amp;IF(COUNTIF(S2,"*キャラ弁*"),"キャラ",
IF(COUNTIF(S2,"*赤*"),"赤",SUBSTITUTE(SUBSTITUTE(J2," ",""),"　","")))&amp;"*",
注文弁当の抽出!$F:$I,4,FALSE),""),"園児","先生")&amp;
IF(COUNTIF(S2,"*おにぎり*"),"　おにぎり","")</f>
        <v/>
      </c>
      <c r="U2" t="str">
        <f ca="1">IF(T2&lt;&gt;"",
VLOOKUP(C2,クライアント抽出!$A:$G,7,FALSE),"")</f>
        <v/>
      </c>
      <c r="V2" t="str">
        <f ca="1">IF(A2&lt;&gt;"",
IF(COUNTIF(V1,"*牛乳*"),
IF(AND(COUNTIF(B1,"*奈良屋*"),COUNTIF(B2,"*奈良屋*")),
V1&amp;"✔",""),VLOOKUP(""&amp;A2&amp;"",数出表_Excel!$A:$Z,22,FALSE)&amp;VLOOKUP(""&amp;A2&amp;"",数出表_Excel!$A:$Z,23,FALSE)
&amp;VLOOKUP(""&amp;C2&amp;"",数出表_Excel!$A:$Z,22,FALSE)&amp;VLOOKUP(""&amp;C2&amp;"",数出表_Excel!$A:$Z,23,FALSE)),"")</f>
        <v>現金集金あり（個数未定）</v>
      </c>
      <c r="W2">
        <f ca="1">IF(AND(COUNTIF(V2,"&lt;&gt;*不要*"),A2&lt;&gt;""),VLOOKUP(A2,得意先マスタ!$A:$AD,24,FALSE),0)</f>
        <v>0</v>
      </c>
      <c r="X2">
        <f ca="1">IF(AND(COUNTIF(V2,"&lt;&gt;*不要*"),A2&lt;&gt;""),VLOOKUP(A2,得意先マスタ!$A:$AD,25,FALSE),0)</f>
        <v>0</v>
      </c>
      <c r="Y2">
        <f t="shared" ca="1" si="0"/>
        <v>0</v>
      </c>
      <c r="Z2">
        <f t="shared" ca="1" si="1"/>
        <v>0</v>
      </c>
      <c r="AA2">
        <f t="shared" ref="AA2:AA33" ca="1" si="5">IF(X2&lt;&gt;0,
IF(COUNTIF(X2,"*.*"),
IF(COUNTIF(X2,"*.*")=1,0,RIGHT(X2, LEN(X2) - FIND(".", X2, FIND(".", X2) + 1))),0),0)</f>
        <v>0</v>
      </c>
      <c r="AB2" t="str">
        <f t="shared" ca="1" si="2"/>
        <v/>
      </c>
      <c r="AC2" t="str">
        <f t="array" aca="1" ref="AC2" ca="1">IFERROR(INDEX(2:2, SMALL(IF($D2:$U2&lt;&gt;"", COLUMN($D$1:$U2)), COLUMN(A2))), "")</f>
        <v>キャラ弁（学食）</v>
      </c>
      <c r="AD2" t="str">
        <f t="array" aca="1" ref="AD2" ca="1">IFERROR(INDEX(2:2, SMALL(IF($D2:$U2&lt;&gt;"", COLUMN($D$1:$U2)), COLUMN(B2))), "")</f>
        <v>弁当　園児</v>
      </c>
      <c r="AE2">
        <f t="array" aca="1" ref="AE2" ca="1">IFERROR(INDEX(2:2, SMALL(IF($D2:$U2&lt;&gt;"", COLUMN($D$1:$U2)), COLUMN(C2))), "")</f>
        <v>8</v>
      </c>
      <c r="AF2" t="str">
        <f t="array" aca="1" ref="AF2" ca="1">IFERROR(INDEX(2:2, SMALL(IF($D2:$U2&lt;&gt;"", COLUMN($D$1:$U2)), COLUMN(D2))), "")</f>
        <v/>
      </c>
      <c r="AG2" t="str">
        <f t="array" aca="1" ref="AG2" ca="1">IFERROR(INDEX(2:2, SMALL(IF($D2:$U2&lt;&gt;"", COLUMN($D$1:$U2)), COLUMN(E2))), "")</f>
        <v/>
      </c>
      <c r="AH2" t="str">
        <f t="array" aca="1" ref="AH2" ca="1">IFERROR(INDEX(2:2, SMALL(IF($D2:$U2&lt;&gt;"", COLUMN($D$1:$U2)), COLUMN(F2))), "")</f>
        <v/>
      </c>
      <c r="AI2" t="str">
        <f t="array" aca="1" ref="AI2" ca="1">IFERROR(INDEX(2:2, SMALL(IF($D2:$U2&lt;&gt;"", COLUMN($D$1:$U2)), COLUMN(G2))), "")</f>
        <v/>
      </c>
      <c r="AJ2" t="str">
        <f t="array" aca="1" ref="AJ2" ca="1">IFERROR(INDEX(2:2, SMALL(IF($D2:$U2&lt;&gt;"", COLUMN($D$1:$U2)), COLUMN(H2))), "")</f>
        <v/>
      </c>
      <c r="AK2" t="str">
        <f t="array" aca="1" ref="AK2" ca="1">IFERROR(INDEX(2:2, SMALL(IF($D2:$U2&lt;&gt;"", COLUMN($D$1:$U2)), COLUMN(I2))), "")</f>
        <v/>
      </c>
      <c r="AL2" t="str">
        <f t="array" aca="1" ref="AL2" ca="1">IFERROR(INDEX(2:2, SMALL(IF($D2:$U2&lt;&gt;"", COLUMN($D$1:$U2)), COLUMN(J2))), "")</f>
        <v/>
      </c>
      <c r="AM2" t="str">
        <f t="array" aca="1" ref="AM2" ca="1">IFERROR(INDEX(2:2, SMALL(IF($D2:$U2&lt;&gt;"", COLUMN($D$1:$U2)), COLUMN(K2))), "")</f>
        <v/>
      </c>
      <c r="AN2" t="str">
        <f t="array" aca="1" ref="AN2" ca="1">IFERROR(INDEX(2:2, SMALL(IF($D2:$U2&lt;&gt;"", COLUMN($D$1:$U2)), COLUMN(L2))), "")</f>
        <v/>
      </c>
      <c r="AO2" t="str">
        <f t="array" aca="1" ref="AO2" ca="1">IFERROR(INDEX(2:2, SMALL(IF($D2:$U2&lt;&gt;"", COLUMN($D$1:$U2)), COLUMN(M2))), "")</f>
        <v/>
      </c>
      <c r="AP2" t="str">
        <f t="array" aca="1" ref="AP2" ca="1">IFERROR(INDEX(2:2, SMALL(IF($D2:$U2&lt;&gt;"", COLUMN($D$1:$U2)), COLUMN(N2))), "")</f>
        <v/>
      </c>
      <c r="AQ2" t="str">
        <f t="array" aca="1" ref="AQ2" ca="1">IFERROR(INDEX(2:2, SMALL(IF($D2:$U2&lt;&gt;"", COLUMN($D$1:$U2)), COLUMN(O2))), "")</f>
        <v/>
      </c>
      <c r="AR2" s="52" t="s">
        <v>4005</v>
      </c>
      <c r="AS2" t="str">
        <f t="shared" ca="1" si="3"/>
        <v/>
      </c>
      <c r="AT2" t="str">
        <f t="shared" ca="1" si="4"/>
        <v/>
      </c>
      <c r="AU2" t="str">
        <f t="shared" ref="AU2:AU33" ca="1" si="6">IF(Z2&lt;&gt;0,
IF(Z2&lt;&gt;"0",
TRIM(MID(SUBSTITUTE($AB2,"、",REPT(" ",99)),100,99)),""),
IF(COUNTIF(B2,"*博多*"),TRIM(MID(SUBSTITUTE($AB2,"、",REPT(" ",99)),100,99)),
IF(AND(COUNTIF(AS2,"*牛乳*")&lt;&gt;1,COUNTIF($V2,"*牛乳*")),
IF(COUNTIF(B2,"*奥田*"),"",TRIM(LEFT(SUBSTITUTE($V2,"×",REPT(" ",100)),100))),"")))</f>
        <v/>
      </c>
      <c r="AV2" t="str">
        <f t="shared" ref="AV2:AV33" ca="1" si="7">IF(Z2&lt;&gt;0,
IF(Z2&lt;&gt;"0",
SUBSTITUTE(Z2,"-",""),""),
IF(AND(COUNTIF(B2,"*博多*"),AU2&lt;&gt;""),AT2,
IF(AND(AU2&lt;&gt;"",COUNTIF(AS2,"*牛乳*")&lt;&gt;1,COUNTIF(V2,"*牛乳*")),VALUE(TRIM(MID(ASC(V2),SEARCH("×",ASC(V2))+1,SEARCH("本",ASC(V2))-SEARCH("×",ASC(V2))-1))),"")))</f>
        <v/>
      </c>
      <c r="AW2" t="str">
        <f t="shared" ref="AW2:AW33" ca="1" si="8">IF(AA2&lt;&gt;0,
TRIM(MID(SUBSTITUTE($AB2,"、",REPT(" ",99)),199,99)),
IF(AND(COUNTIF($V2,"*牛乳*"),COUNTIF(AS2,"*牛乳*")&lt;&gt;1,COUNTIF(AU2,"*牛乳*")&lt;&gt;1),
IF(COUNTIF(B2,"*奥田*"),"",TRIM(LEFT(SUBSTITUTE($V2,"×",REPT(" ",100)),100))),""))</f>
        <v/>
      </c>
      <c r="AX2" t="str">
        <f t="shared" ref="AX2:AX33" ca="1" si="9">IF(AA2&lt;&gt;0,
SUBSTITUTE(AA2,"-",""),
IF(AND(AW2&lt;&gt;"",COUNTIF(AS2,"*牛乳*")&lt;&gt;1,COUNTIF(AU2,"*牛乳*")&lt;&gt;1,COUNTIF(V2,"*牛乳*")),VALUE(TRIM(MID(ASC(V2),SEARCH("×",ASC(V2))+1,SEARCH("本",ASC(V2))-SEARCH("×",ASC(V2))-1))),""))</f>
        <v/>
      </c>
      <c r="AZ2" t="str">
        <f t="array" aca="1" ref="AZ2" ca="1">IFERROR(INDEX(2:2, SMALL(IF($AC2:$AX2&lt;&gt;"", COLUMN($AC$1:$AX2)), COLUMN(A2))), "")</f>
        <v>キャラ弁（学食）</v>
      </c>
      <c r="BA2" t="str">
        <f t="array" aca="1" ref="BA2" ca="1">IFERROR(INDEX(2:2, SMALL(IF($AC2:$AX2&lt;&gt;"", COLUMN($AC$1:$AX2)), COLUMN(B2))), "")</f>
        <v>弁当　園児</v>
      </c>
      <c r="BB2">
        <f t="array" aca="1" ref="BB2" ca="1">IFERROR(INDEX(2:2, SMALL(IF($AC2:$AX2&lt;&gt;"", COLUMN($AC$1:$AX2)), COLUMN(C2))), "")</f>
        <v>8</v>
      </c>
      <c r="BC2" t="str">
        <f t="array" aca="1" ref="BC2" ca="1">IFERROR(INDEX(2:2, SMALL(IF($AC2:$AX2&lt;&gt;"", COLUMN($AC$1:$AX2)), COLUMN(D2))), "")</f>
        <v>●</v>
      </c>
      <c r="BD2" t="str">
        <f t="array" aca="1" ref="BD2" ca="1">IFERROR(INDEX(2:2, SMALL(IF($AC2:$AX2&lt;&gt;"", COLUMN($AC$1:$AX2)), COLUMN(E2))), "")</f>
        <v/>
      </c>
      <c r="BE2" t="str">
        <f t="array" aca="1" ref="BE2" ca="1">IFERROR(INDEX(2:2, SMALL(IF($AC2:$AX2&lt;&gt;"", COLUMN($AC$1:$AX2)), COLUMN(F2))), "")</f>
        <v/>
      </c>
      <c r="BF2" t="str">
        <f t="array" aca="1" ref="BF2" ca="1">IFERROR(IF(AND(COUNTIF($B2,"*泉ヶ丘*"),COUNTIF($B3,"*泉ヶ丘*")),
IFERROR(INDEX(3:3, SMALL(IF($AC3:$AX3&lt;&gt;"", COLUMN($AC$1:$AX3)), COLUMN(A3))), ""),
INDEX(2:2, SMALL(IF($AC2:$AX2&lt;&gt;"", COLUMN($AC$1:$AX2)), COLUMN(G2)))), "")</f>
        <v/>
      </c>
      <c r="BG2" t="str">
        <f t="array" aca="1" ref="BG2" ca="1">IFERROR(IF(AND(COUNTIF($B2,"*泉ヶ丘*"),COUNTIF($B3,"*泉ヶ丘*")),
IFERROR(INDEX(3:3, SMALL(IF($AC3:$AX3&lt;&gt;"", COLUMN($AC$1:$AX3)), COLUMN(B3))), ""),
INDEX(2:2, SMALL(IF($AC2:$AX2&lt;&gt;"", COLUMN($AC$1:$AX2)), COLUMN(H2)))), "")</f>
        <v/>
      </c>
      <c r="BH2" t="str">
        <f t="array" aca="1" ref="BH2" ca="1">IFERROR(IF(AND(COUNTIF($B2,"*泉ヶ丘*"),COUNTIF($B3,"*泉ヶ丘*")),
IFERROR(INDEX(3:3, SMALL(IF($AC3:$AX3&lt;&gt;"", COLUMN($AC$1:$AX3)), COLUMN(C3))), ""),
INDEX(2:2, SMALL(IF($AC2:$AX2&lt;&gt;"", COLUMN($AC$1:$AX2)), COLUMN(I2)))), "")</f>
        <v/>
      </c>
      <c r="BI2" t="str">
        <f t="array" aca="1" ref="BI2" ca="1">IFERROR(IF(AND(COUNTIF($B2,"*泉ヶ丘*"),COUNTIF($B3,"*泉ヶ丘*")),
IFERROR(INDEX(3:3, SMALL(IF($AC3:$AX3&lt;&gt;"", COLUMN($AC$1:$AX3)), COLUMN(D3))), ""),
INDEX(2:2, SMALL(IF($AC2:$AX2&lt;&gt;"", COLUMN($AC$1:$AX2)), COLUMN(J2)))), "")</f>
        <v/>
      </c>
      <c r="BJ2" t="str">
        <f t="array" aca="1" ref="BJ2" ca="1">IFERROR(IF(AND(COUNTIF($B2,"*泉ヶ丘*"),COUNTIF($B3,"*泉ヶ丘*")),
IFERROR(INDEX(3:3, SMALL(IF($AC3:$AX3&lt;&gt;"", COLUMN($AC$1:$AX3)), COLUMN(E3))), ""),
INDEX(2:2, SMALL(IF($AC2:$AX2&lt;&gt;"", COLUMN($AC$1:$AX2)), COLUMN(K2)))), "")</f>
        <v/>
      </c>
      <c r="BK2" t="str">
        <f t="array" aca="1" ref="BK2" ca="1">IFERROR(IF(AND(COUNTIF($B2,"*泉ヶ丘*"),COUNTIF($B3,"*泉ヶ丘*")),
IFERROR(INDEX(3:3, SMALL(IF($AC3:$AX3&lt;&gt;"", COLUMN($AC$1:$AX3)), COLUMN(F3))), ""),
INDEX(2:2, SMALL(IF($AC2:$AX2&lt;&gt;"", COLUMN($AC$1:$AX2)), COLUMN(L2)))), "")</f>
        <v/>
      </c>
      <c r="BL2" t="str">
        <f t="array" aca="1" ref="BL2" ca="1">IFERROR(IF(AND(COUNTIF($B2,"*泉ヶ丘*"),COUNTIF($B3,"*泉ヶ丘*")),
IFERROR(INDEX(3:3, SMALL(IF($AC3:$AX3&lt;&gt;"", COLUMN($AC$1:$AX3)), COLUMN(G3))), ""),
INDEX(2:2, SMALL(IF($AC2:$AX2&lt;&gt;"", COLUMN($AC$1:$AX2)), COLUMN(M2)))), "")</f>
        <v/>
      </c>
      <c r="BM2" t="str">
        <f t="array" aca="1" ref="BM2" ca="1">IFERROR(IF(AND(COUNTIF($B2,"*泉ヶ丘*"),COUNTIF($B3,"*泉ヶ丘*")),
IFERROR(INDEX(3:3, SMALL(IF($AC3:$AX3&lt;&gt;"", COLUMN($AC$1:$AX3)), COLUMN(H3))), ""),
INDEX(2:2, SMALL(IF($AC2:$AX2&lt;&gt;"", COLUMN($AC$1:$AX2)), COLUMN(N2)))), "")</f>
        <v/>
      </c>
      <c r="BN2" t="str">
        <f t="array" aca="1" ref="BN2" ca="1">IFERROR(IF(AND(COUNTIF($B2,"*泉ヶ丘*"),COUNTIF($B3,"*泉ヶ丘*")),
IFERROR(INDEX(3:3, SMALL(IF($AC3:$AX3&lt;&gt;"", COLUMN($AC$1:$AX3)), COLUMN(I3))), ""),
INDEX(2:2, SMALL(IF($AC2:$AX2&lt;&gt;"", COLUMN($AC$1:$AX2)), COLUMN(O2)))), "")</f>
        <v/>
      </c>
      <c r="BO2" t="str">
        <f t="array" aca="1" ref="BO2" ca="1">IFERROR(IF(AND(COUNTIF($B2,"*泉ヶ丘*"),COUNTIF($B3,"*泉ヶ丘*")),
IFERROR(INDEX(3:3, SMALL(IF($AC3:$AX3&lt;&gt;"", COLUMN($AC$1:$AX3)), COLUMN(J3))), ""),
INDEX(2:2, SMALL(IF($AC2:$AX2&lt;&gt;"", COLUMN($AC$1:$AX2)), COLUMN(P2)))), "")</f>
        <v/>
      </c>
      <c r="BP2" t="str">
        <f t="array" aca="1" ref="BP2" ca="1">IFERROR(IF(AND(COUNTIF($B2,"*泉ヶ丘*"),COUNTIF($B3,"*泉ヶ丘*")),
IFERROR(INDEX(3:3, SMALL(IF($AC3:$AX3&lt;&gt;"", COLUMN($AC$1:$AX3)), COLUMN(K3))), ""),
INDEX(2:2, SMALL(IF($AC2:$AX2&lt;&gt;"", COLUMN($AC$1:$AX2)), COLUMN(Q2)))), "")</f>
        <v/>
      </c>
      <c r="BQ2" t="str">
        <f t="array" aca="1" ref="BQ2" ca="1">IFERROR(IF(AND(COUNTIF($B2,"*泉ヶ丘*"),COUNTIF($B3,"*泉ヶ丘*")),
IFERROR(INDEX(3:3, SMALL(IF($AC3:$AX3&lt;&gt;"", COLUMN($AC$1:$AX3)), COLUMN(L3))), ""),
INDEX(2:2, SMALL(IF($AC2:$AX2&lt;&gt;"", COLUMN($AC$1:$AX2)), COLUMN(R2)))), "")</f>
        <v/>
      </c>
    </row>
    <row r="3" spans="1:69" x14ac:dyDescent="0.45">
      <c r="A3" t="str">
        <f t="array" ref="A3">IF(INDEX(貼り付け用!A:A,MATCH(A2,貼り付け用!A:A,0)+2)="4700",
IF(INDEX(貼り付け用!A:A,MATCH(A2,貼り付け用!A:A,0)+4)="4800",
INDEX(貼り付け用!A:A,MATCH(A2,貼り付け用!A:A,0)+6),
INDEX(貼り付け用!A:A,MATCH(A2,貼り付け用!A:A,0)+4)),INDEX(貼り付け用!A:A,MATCH(A2,貼り付け用!A:A,0)+2))</f>
        <v>18600</v>
      </c>
      <c r="B3" t="str">
        <f>IF(A3&lt;&gt;"",
VLOOKUP(A3,得意先マスタ!A:D,2,FALSE),"")</f>
        <v>シンキングキッズ</v>
      </c>
      <c r="C3" t="str">
        <f t="array" ref="C3">IF(A3="10000","",INDEX(貼り付け用!A:A,MATCH(A3,貼り付け用!A:A,0)+1))</f>
        <v>シンキングキッズ</v>
      </c>
      <c r="D3" t="str">
        <f ca="1">VLOOKUP(C3,クライアント抽出!$A:$O,10,FALSE)</f>
        <v>赤　飯あり120</v>
      </c>
      <c r="E3" t="str">
        <f ca="1">IF(D3&lt;&gt;"",
IF(COUNTIF(C3,"*ぺんぎん*"),
VLOOKUP(
"*"&amp;IF(COUNTIF(D3,"*キャラ弁*"),"キャラ",
IF(COUNTIF(D3,"*赤*"),"赤",SUBSTITUTE(SUBSTITUTE(D3," ",""),"　","")))&amp;"*",
注文弁当の抽出!$F:$I,4,FALSE)&amp;
IF(COUNTIF(D3,"*おにぎり*"),"　おにぎり","")&amp;"　（ぺんぎん組）",
VLOOKUP(
"*"&amp;IF(COUNTIF(D3,"*キャラ弁*"),"キャラ",
IF(COUNTIF(D3,"*赤*"),"赤",SUBSTITUTE(SUBSTITUTE(D3," ",""),"　","")))&amp;"*",
注文弁当の抽出!$F:$I,4,FALSE)&amp;
IF(COUNTIF(D3,"*おにぎり*"),"　おにぎり","")),"")</f>
        <v>弁当　園児</v>
      </c>
      <c r="F3">
        <f ca="1">IFERROR(IF(E3&lt;&gt;"",
VLOOKUP(C3,クライアント抽出!$A:$G,2,FALSE)+
IF(COUNTIF(Y3,"*-*"),Y3,0),"")
-IFERROR(MID(V3, SEARCH("予備", V3) + LEN("予備"), SEARCH("込み", V3) - (SEARCH("予備", V3) + LEN("予備"))),0),"")</f>
        <v>4</v>
      </c>
      <c r="G3" t="str">
        <f ca="1">VLOOKUP(C3,クライアント抽出!$A:$O,11,FALSE)</f>
        <v/>
      </c>
      <c r="H3" t="str">
        <f ca="1">IF(G3&lt;&gt;"",
VLOOKUP(
"*"&amp;IF(COUNTIF(G3,"*キャラ弁*"),"キャラ",
IF(COUNTIF(G3,"*赤*"),"赤",SUBSTITUTE(SUBSTITUTE(G3," ",""),"　","")))&amp;"*",
注文弁当の抽出!$F:$I,4,FALSE)&amp;
IF(COUNTIF(G3,"*おにぎり*"),"　おにぎり",""),"")</f>
        <v/>
      </c>
      <c r="I3" t="str">
        <f ca="1">IF(H3&lt;&gt;"",
VLOOKUP(C3,クライアント抽出!$A:$G,3,FALSE)+
IF(COUNTIF(C3,"*博多*"),Y3,Z3),"")</f>
        <v/>
      </c>
      <c r="J3" t="str">
        <f ca="1">VLOOKUP(C3,クライアント抽出!$A:$O,12,FALSE)</f>
        <v/>
      </c>
      <c r="K3" t="str">
        <f ca="1">IF(J3&lt;&gt;"",
VLOOKUP(
"*"&amp;IF(COUNTIF(J3,"*キャラ弁*"),"キャラ",
IF(COUNTIF(J3,"*赤*"),"赤",SUBSTITUTE(SUBSTITUTE(J3," ",""),"　","")))&amp;"*",
注文弁当の抽出!$F:$I,4,FALSE)&amp;
IF(COUNTIF(J3,"*おにぎり*"),"　おにぎり",""),"")</f>
        <v/>
      </c>
      <c r="L3" t="str">
        <f ca="1">IF(K3&lt;&gt;"",
VLOOKUP(C3,クライアント抽出!$A:$G,4,FALSE)+AA3,"")</f>
        <v/>
      </c>
      <c r="M3" t="str">
        <f ca="1">VLOOKUP(C3,クライアント抽出!$A:$O,13,FALSE)</f>
        <v/>
      </c>
      <c r="N3" t="str">
        <f ca="1">SUBSTITUTE(
IF(M3&lt;&gt;"",
VLOOKUP(
"*"&amp;IF(COUNTIF(M3,"*キャラ弁*"),"キャラ",
IF(COUNTIF(M3,"*赤*"),"赤",SUBSTITUTE(SUBSTITUTE(D3," ",""),"　","")))&amp;"*",
注文弁当の抽出!$F:$I,4,FALSE),""),"園児","先生")&amp;
IF(COUNTIF(M3,"*おにぎり*"),"　おにぎり","")</f>
        <v/>
      </c>
      <c r="O3" t="str">
        <f ca="1">IF(N3&lt;&gt;"",VLOOKUP(C3,クライアント抽出!$A:$G,5,FALSE),"")</f>
        <v/>
      </c>
      <c r="P3" t="str">
        <f ca="1">VLOOKUP(C3,クライアント抽出!$A:$O,14,FALSE)</f>
        <v/>
      </c>
      <c r="Q3" t="str">
        <f ca="1">SUBSTITUTE(
IF(P3&lt;&gt;"",
VLOOKUP(
"*"&amp;IF(COUNTIF(P3,"*キャラ弁*"),"キャラ",
IF(COUNTIF(P3,"*赤*"),"赤",SUBSTITUTE(SUBSTITUTE(G3," ",""),"　","")))&amp;"*",
注文弁当の抽出!$F:$I,4,FALSE),""),"園児","先生")&amp;
IF(COUNTIF(P3,"*おにぎり*"),"　おにぎり","")</f>
        <v/>
      </c>
      <c r="R3" t="str">
        <f ca="1">IF(Q3&lt;&gt;"",
VLOOKUP(C3,クライアント抽出!$A:$G,6,FALSE),"")</f>
        <v/>
      </c>
      <c r="S3" t="str">
        <f ca="1">VLOOKUP(C3,クライアント抽出!$A:$O,15,FALSE)</f>
        <v/>
      </c>
      <c r="T3" t="str">
        <f ca="1">SUBSTITUTE(
IF(S3&lt;&gt;"",
VLOOKUP(
"*"&amp;IF(COUNTIF(S3,"*キャラ弁*"),"キャラ",
IF(COUNTIF(S3,"*赤*"),"赤",SUBSTITUTE(SUBSTITUTE(J3," ",""),"　","")))&amp;"*",
注文弁当の抽出!$F:$I,4,FALSE),""),"園児","先生")&amp;
IF(COUNTIF(S3,"*おにぎり*"),"　おにぎり","")</f>
        <v/>
      </c>
      <c r="U3" t="str">
        <f ca="1">IF(T3&lt;&gt;"",
VLOOKUP(C3,クライアント抽出!$A:$G,7,FALSE),"")</f>
        <v/>
      </c>
      <c r="V3" t="str">
        <f ca="1">IF(A3&lt;&gt;"",
IF(COUNTIF(V2,"*牛乳*"),
IF(AND(COUNTIF(B2,"*奈良屋*"),COUNTIF(B3,"*奈良屋*")),
V2&amp;"✔",""),VLOOKUP(""&amp;A3&amp;"",数出表_Excel!$A:$Z,22,FALSE)&amp;VLOOKUP(""&amp;A3&amp;"",数出表_Excel!$A:$Z,23,FALSE)
&amp;VLOOKUP(""&amp;C3&amp;"",数出表_Excel!$A:$Z,22,FALSE)&amp;VLOOKUP(""&amp;C3&amp;"",数出表_Excel!$A:$Z,23,FALSE)),"")</f>
        <v/>
      </c>
      <c r="W3">
        <f ca="1">IF(AND(COUNTIF(V3,"&lt;&gt;*不要*"),A3&lt;&gt;""),VLOOKUP(A3,得意先マスタ!$A:$AD,24,FALSE),0)</f>
        <v>0</v>
      </c>
      <c r="X3">
        <f ca="1">IF(AND(COUNTIF(V3,"&lt;&gt;*不要*"),A3&lt;&gt;""),VLOOKUP(A3,得意先マスタ!$A:$AD,25,FALSE),0)</f>
        <v>0</v>
      </c>
      <c r="Y3">
        <f t="shared" ca="1" si="0"/>
        <v>0</v>
      </c>
      <c r="Z3">
        <f t="shared" ca="1" si="1"/>
        <v>0</v>
      </c>
      <c r="AA3">
        <f t="shared" ca="1" si="5"/>
        <v>0</v>
      </c>
      <c r="AB3" t="str">
        <f t="shared" ca="1" si="2"/>
        <v/>
      </c>
      <c r="AC3" t="str">
        <f t="array" aca="1" ref="AC3" ca="1">IFERROR(INDEX(3:3, SMALL(IF($D3:$U3&lt;&gt;"", COLUMN($D$1:$U3)), COLUMN(A3))), "")</f>
        <v>赤　飯あり120</v>
      </c>
      <c r="AD3" t="str">
        <f t="array" aca="1" ref="AD3" ca="1">IFERROR(INDEX(3:3, SMALL(IF($D3:$U3&lt;&gt;"", COLUMN($D$1:$U3)), COLUMN(B3))), "")</f>
        <v>弁当　園児</v>
      </c>
      <c r="AE3">
        <f t="array" aca="1" ref="AE3" ca="1">IFERROR(INDEX(3:3, SMALL(IF($D3:$U3&lt;&gt;"", COLUMN($D$1:$U3)), COLUMN(C3))), "")</f>
        <v>4</v>
      </c>
      <c r="AF3" t="str">
        <f t="array" aca="1" ref="AF3" ca="1">IFERROR(INDEX(3:3, SMALL(IF($D3:$U3&lt;&gt;"", COLUMN($D$1:$U3)), COLUMN(D3))), "")</f>
        <v/>
      </c>
      <c r="AG3" t="str">
        <f t="array" aca="1" ref="AG3" ca="1">IFERROR(INDEX(3:3, SMALL(IF($D3:$U3&lt;&gt;"", COLUMN($D$1:$U3)), COLUMN(E3))), "")</f>
        <v/>
      </c>
      <c r="AH3" t="str">
        <f t="array" aca="1" ref="AH3" ca="1">IFERROR(INDEX(3:3, SMALL(IF($D3:$U3&lt;&gt;"", COLUMN($D$1:$U3)), COLUMN(F3))), "")</f>
        <v/>
      </c>
      <c r="AI3" t="str">
        <f t="array" aca="1" ref="AI3" ca="1">IFERROR(INDEX(3:3, SMALL(IF($D3:$U3&lt;&gt;"", COLUMN($D$1:$U3)), COLUMN(G3))), "")</f>
        <v/>
      </c>
      <c r="AJ3" t="str">
        <f t="array" aca="1" ref="AJ3" ca="1">IFERROR(INDEX(3:3, SMALL(IF($D3:$U3&lt;&gt;"", COLUMN($D$1:$U3)), COLUMN(H3))), "")</f>
        <v/>
      </c>
      <c r="AK3" t="str">
        <f t="array" aca="1" ref="AK3" ca="1">IFERROR(INDEX(3:3, SMALL(IF($D3:$U3&lt;&gt;"", COLUMN($D$1:$U3)), COLUMN(I3))), "")</f>
        <v/>
      </c>
      <c r="AL3" t="str">
        <f t="array" aca="1" ref="AL3" ca="1">IFERROR(INDEX(3:3, SMALL(IF($D3:$U3&lt;&gt;"", COLUMN($D$1:$U3)), COLUMN(J3))), "")</f>
        <v/>
      </c>
      <c r="AM3" t="str">
        <f t="array" aca="1" ref="AM3" ca="1">IFERROR(INDEX(3:3, SMALL(IF($D3:$U3&lt;&gt;"", COLUMN($D$1:$U3)), COLUMN(K3))), "")</f>
        <v/>
      </c>
      <c r="AN3" t="str">
        <f t="array" aca="1" ref="AN3" ca="1">IFERROR(INDEX(3:3, SMALL(IF($D3:$U3&lt;&gt;"", COLUMN($D$1:$U3)), COLUMN(L3))), "")</f>
        <v/>
      </c>
      <c r="AO3" t="str">
        <f t="array" aca="1" ref="AO3" ca="1">IFERROR(INDEX(3:3, SMALL(IF($D3:$U3&lt;&gt;"", COLUMN($D$1:$U3)), COLUMN(M3))), "")</f>
        <v/>
      </c>
      <c r="AP3" t="str">
        <f t="array" aca="1" ref="AP3" ca="1">IFERROR(INDEX(3:3, SMALL(IF($D3:$U3&lt;&gt;"", COLUMN($D$1:$U3)), COLUMN(N3))), "")</f>
        <v/>
      </c>
      <c r="AQ3" t="str">
        <f t="array" aca="1" ref="AQ3" ca="1">IFERROR(INDEX(3:3, SMALL(IF($D3:$U3&lt;&gt;"", COLUMN($D$1:$U3)), COLUMN(O3))), "")</f>
        <v/>
      </c>
      <c r="AR3" s="52" t="s">
        <v>4005</v>
      </c>
      <c r="AS3" t="str">
        <f t="shared" ca="1" si="3"/>
        <v/>
      </c>
      <c r="AT3" t="str">
        <f t="shared" ca="1" si="4"/>
        <v/>
      </c>
      <c r="AU3" t="str">
        <f t="shared" ca="1" si="6"/>
        <v/>
      </c>
      <c r="AV3" t="str">
        <f t="shared" ca="1" si="7"/>
        <v/>
      </c>
      <c r="AW3" t="str">
        <f t="shared" ca="1" si="8"/>
        <v/>
      </c>
      <c r="AX3" t="str">
        <f t="shared" ca="1" si="9"/>
        <v/>
      </c>
      <c r="AZ3" t="str">
        <f t="array" aca="1" ref="AZ3" ca="1">IFERROR(INDEX(3:3, SMALL(IF($AC3:$AX3&lt;&gt;"", COLUMN($AC$1:$AX3)), COLUMN(A3))), "")</f>
        <v>赤　飯あり120</v>
      </c>
      <c r="BA3" t="str">
        <f t="array" aca="1" ref="BA3" ca="1">IFERROR(INDEX(3:3, SMALL(IF($AC3:$AX3&lt;&gt;"", COLUMN($AC$1:$AX3)), COLUMN(B3))), "")</f>
        <v>弁当　園児</v>
      </c>
      <c r="BB3">
        <f t="array" aca="1" ref="BB3" ca="1">IFERROR(INDEX(3:3, SMALL(IF($AC3:$AX3&lt;&gt;"", COLUMN($AC$1:$AX3)), COLUMN(C3))), "")</f>
        <v>4</v>
      </c>
      <c r="BC3" t="str">
        <f t="array" aca="1" ref="BC3" ca="1">IFERROR(INDEX(3:3, SMALL(IF($AC3:$AX3&lt;&gt;"", COLUMN($AC$1:$AX3)), COLUMN(D3))), "")</f>
        <v>●</v>
      </c>
      <c r="BD3" t="str">
        <f t="array" aca="1" ref="BD3" ca="1">IFERROR(INDEX(3:3, SMALL(IF($AC3:$AX3&lt;&gt;"", COLUMN($AC$1:$AX3)), COLUMN(E3))), "")</f>
        <v/>
      </c>
      <c r="BE3" t="str">
        <f t="array" aca="1" ref="BE3" ca="1">IFERROR(INDEX(3:3, SMALL(IF($AC3:$AX3&lt;&gt;"", COLUMN($AC$1:$AX3)), COLUMN(F3))), "")</f>
        <v/>
      </c>
      <c r="BF3" t="str">
        <f t="array" aca="1" ref="BF3" ca="1">IFERROR(IF(AND(COUNTIF($B3,"*泉ヶ丘*"),COUNTIF($B4,"*泉ヶ丘*")),
IFERROR(INDEX(4:4, SMALL(IF($AC4:$AX4&lt;&gt;"", COLUMN($AC$1:$AX4)), COLUMN(A4))), ""),
INDEX(3:3, SMALL(IF($AC3:$AX3&lt;&gt;"", COLUMN($AC$1:$AX3)), COLUMN(G3)))), "")</f>
        <v/>
      </c>
      <c r="BG3" t="str">
        <f t="array" aca="1" ref="BG3" ca="1">IFERROR(IF(AND(COUNTIF($B3,"*泉ヶ丘*"),COUNTIF($B4,"*泉ヶ丘*")),
IFERROR(INDEX(4:4, SMALL(IF($AC4:$AX4&lt;&gt;"", COLUMN($AC$1:$AX4)), COLUMN(B4))), ""),
INDEX(3:3, SMALL(IF($AC3:$AX3&lt;&gt;"", COLUMN($AC$1:$AX3)), COLUMN(H3)))), "")</f>
        <v/>
      </c>
      <c r="BH3" t="str">
        <f t="array" aca="1" ref="BH3" ca="1">IFERROR(IF(AND(COUNTIF($B3,"*泉ヶ丘*"),COUNTIF($B4,"*泉ヶ丘*")),
IFERROR(INDEX(4:4, SMALL(IF($AC4:$AX4&lt;&gt;"", COLUMN($AC$1:$AX4)), COLUMN(C4))), ""),
INDEX(3:3, SMALL(IF($AC3:$AX3&lt;&gt;"", COLUMN($AC$1:$AX3)), COLUMN(I3)))), "")</f>
        <v/>
      </c>
      <c r="BI3" t="str">
        <f t="array" aca="1" ref="BI3" ca="1">IFERROR(IF(AND(COUNTIF($B3,"*泉ヶ丘*"),COUNTIF($B4,"*泉ヶ丘*")),
IFERROR(INDEX(4:4, SMALL(IF($AC4:$AX4&lt;&gt;"", COLUMN($AC$1:$AX4)), COLUMN(D4))), ""),
INDEX(3:3, SMALL(IF($AC3:$AX3&lt;&gt;"", COLUMN($AC$1:$AX3)), COLUMN(J3)))), "")</f>
        <v/>
      </c>
      <c r="BJ3" t="str">
        <f t="array" aca="1" ref="BJ3" ca="1">IFERROR(IF(AND(COUNTIF($B3,"*泉ヶ丘*"),COUNTIF($B4,"*泉ヶ丘*")),
IFERROR(INDEX(4:4, SMALL(IF($AC4:$AX4&lt;&gt;"", COLUMN($AC$1:$AX4)), COLUMN(E4))), ""),
INDEX(3:3, SMALL(IF($AC3:$AX3&lt;&gt;"", COLUMN($AC$1:$AX3)), COLUMN(K3)))), "")</f>
        <v/>
      </c>
      <c r="BK3" t="str">
        <f t="array" aca="1" ref="BK3" ca="1">IFERROR(IF(AND(COUNTIF($B3,"*泉ヶ丘*"),COUNTIF($B4,"*泉ヶ丘*")),
IFERROR(INDEX(4:4, SMALL(IF($AC4:$AX4&lt;&gt;"", COLUMN($AC$1:$AX4)), COLUMN(F4))), ""),
INDEX(3:3, SMALL(IF($AC3:$AX3&lt;&gt;"", COLUMN($AC$1:$AX3)), COLUMN(L3)))), "")</f>
        <v/>
      </c>
      <c r="BL3" t="str">
        <f t="array" aca="1" ref="BL3" ca="1">IFERROR(IF(AND(COUNTIF($B3,"*泉ヶ丘*"),COUNTIF($B4,"*泉ヶ丘*")),
IFERROR(INDEX(4:4, SMALL(IF($AC4:$AX4&lt;&gt;"", COLUMN($AC$1:$AX4)), COLUMN(G4))), ""),
INDEX(3:3, SMALL(IF($AC3:$AX3&lt;&gt;"", COLUMN($AC$1:$AX3)), COLUMN(M3)))), "")</f>
        <v/>
      </c>
      <c r="BM3" t="str">
        <f t="array" aca="1" ref="BM3" ca="1">IFERROR(IF(AND(COUNTIF($B3,"*泉ヶ丘*"),COUNTIF($B4,"*泉ヶ丘*")),
IFERROR(INDEX(4:4, SMALL(IF($AC4:$AX4&lt;&gt;"", COLUMN($AC$1:$AX4)), COLUMN(H4))), ""),
INDEX(3:3, SMALL(IF($AC3:$AX3&lt;&gt;"", COLUMN($AC$1:$AX3)), COLUMN(N3)))), "")</f>
        <v/>
      </c>
      <c r="BN3" t="str">
        <f t="array" aca="1" ref="BN3" ca="1">IFERROR(IF(AND(COUNTIF($B3,"*泉ヶ丘*"),COUNTIF($B4,"*泉ヶ丘*")),
IFERROR(INDEX(4:4, SMALL(IF($AC4:$AX4&lt;&gt;"", COLUMN($AC$1:$AX4)), COLUMN(I4))), ""),
INDEX(3:3, SMALL(IF($AC3:$AX3&lt;&gt;"", COLUMN($AC$1:$AX3)), COLUMN(O3)))), "")</f>
        <v/>
      </c>
      <c r="BO3" t="str">
        <f t="array" aca="1" ref="BO3" ca="1">IFERROR(IF(AND(COUNTIF($B3,"*泉ヶ丘*"),COUNTIF($B4,"*泉ヶ丘*")),
IFERROR(INDEX(4:4, SMALL(IF($AC4:$AX4&lt;&gt;"", COLUMN($AC$1:$AX4)), COLUMN(J4))), ""),
INDEX(3:3, SMALL(IF($AC3:$AX3&lt;&gt;"", COLUMN($AC$1:$AX3)), COLUMN(P3)))), "")</f>
        <v/>
      </c>
      <c r="BP3" t="str">
        <f t="array" aca="1" ref="BP3" ca="1">IFERROR(IF(AND(COUNTIF($B3,"*泉ヶ丘*"),COUNTIF($B4,"*泉ヶ丘*")),
IFERROR(INDEX(4:4, SMALL(IF($AC4:$AX4&lt;&gt;"", COLUMN($AC$1:$AX4)), COLUMN(K4))), ""),
INDEX(3:3, SMALL(IF($AC3:$AX3&lt;&gt;"", COLUMN($AC$1:$AX3)), COLUMN(Q3)))), "")</f>
        <v/>
      </c>
      <c r="BQ3" t="str">
        <f t="array" aca="1" ref="BQ3" ca="1">IFERROR(IF(AND(COUNTIF($B3,"*泉ヶ丘*"),COUNTIF($B4,"*泉ヶ丘*")),
IFERROR(INDEX(4:4, SMALL(IF($AC4:$AX4&lt;&gt;"", COLUMN($AC$1:$AX4)), COLUMN(L4))), ""),
INDEX(3:3, SMALL(IF($AC3:$AX3&lt;&gt;"", COLUMN($AC$1:$AX3)), COLUMN(R3)))), "")</f>
        <v/>
      </c>
    </row>
    <row r="4" spans="1:69" x14ac:dyDescent="0.45">
      <c r="A4" t="str">
        <f t="array" ref="A4">IF(INDEX(貼り付け用!A:A,MATCH(A3,貼り付け用!A:A,0)+2)="4700",
IF(INDEX(貼り付け用!A:A,MATCH(A3,貼り付け用!A:A,0)+4)="4800",
INDEX(貼り付け用!A:A,MATCH(A3,貼り付け用!A:A,0)+6),
INDEX(貼り付け用!A:A,MATCH(A3,貼り付け用!A:A,0)+4)),INDEX(貼り付け用!A:A,MATCH(A3,貼り付け用!A:A,0)+2))</f>
        <v>19700</v>
      </c>
      <c r="B4" t="str">
        <f>IF(A4&lt;&gt;"",
VLOOKUP(A4,得意先マスタ!A:D,2,FALSE),"")</f>
        <v>なないろキッズ</v>
      </c>
      <c r="C4" t="str">
        <f t="array" ref="C4">IF(A4="10000","",INDEX(貼り付け用!A:A,MATCH(A4,貼り付け用!A:A,0)+1))</f>
        <v>なないろキッズ</v>
      </c>
      <c r="D4" t="str">
        <f ca="1">VLOOKUP(C4,クライアント抽出!$A:$O,10,FALSE)</f>
        <v>赤　飯あり120</v>
      </c>
      <c r="E4" t="str">
        <f ca="1">IF(D4&lt;&gt;"",
IF(COUNTIF(C4,"*ぺんぎん*"),
VLOOKUP(
"*"&amp;IF(COUNTIF(D4,"*キャラ弁*"),"キャラ",
IF(COUNTIF(D4,"*赤*"),"赤",SUBSTITUTE(SUBSTITUTE(D4," ",""),"　","")))&amp;"*",
注文弁当の抽出!$F:$I,4,FALSE)&amp;
IF(COUNTIF(D4,"*おにぎり*"),"　おにぎり","")&amp;"　（ぺんぎん組）",
VLOOKUP(
"*"&amp;IF(COUNTIF(D4,"*キャラ弁*"),"キャラ",
IF(COUNTIF(D4,"*赤*"),"赤",SUBSTITUTE(SUBSTITUTE(D4," ",""),"　","")))&amp;"*",
注文弁当の抽出!$F:$I,4,FALSE)&amp;
IF(COUNTIF(D4,"*おにぎり*"),"　おにぎり","")),"")</f>
        <v>弁当　園児</v>
      </c>
      <c r="F4">
        <f ca="1">IFERROR(IF(E4&lt;&gt;"",
VLOOKUP(C4,クライアント抽出!$A:$G,2,FALSE)+
IF(COUNTIF(Y4,"*-*"),Y4,0),"")
-IFERROR(MID(V4, SEARCH("予備", V4) + LEN("予備"), SEARCH("込み", V4) - (SEARCH("予備", V4) + LEN("予備"))),0),"")</f>
        <v>9</v>
      </c>
      <c r="G4" t="str">
        <f ca="1">VLOOKUP(C4,クライアント抽出!$A:$O,11,FALSE)</f>
        <v/>
      </c>
      <c r="H4" t="str">
        <f ca="1">IF(G4&lt;&gt;"",
VLOOKUP(
"*"&amp;IF(COUNTIF(G4,"*キャラ弁*"),"キャラ",
IF(COUNTIF(G4,"*赤*"),"赤",SUBSTITUTE(SUBSTITUTE(G4," ",""),"　","")))&amp;"*",
注文弁当の抽出!$F:$I,4,FALSE)&amp;
IF(COUNTIF(G4,"*おにぎり*"),"　おにぎり",""),"")</f>
        <v/>
      </c>
      <c r="I4" t="str">
        <f ca="1">IF(H4&lt;&gt;"",
VLOOKUP(C4,クライアント抽出!$A:$G,3,FALSE)+
IF(COUNTIF(C4,"*博多*"),Y4,Z4),"")</f>
        <v/>
      </c>
      <c r="J4" t="str">
        <f ca="1">VLOOKUP(C4,クライアント抽出!$A:$O,12,FALSE)</f>
        <v/>
      </c>
      <c r="K4" t="str">
        <f ca="1">IF(J4&lt;&gt;"",
VLOOKUP(
"*"&amp;IF(COUNTIF(J4,"*キャラ弁*"),"キャラ",
IF(COUNTIF(J4,"*赤*"),"赤",SUBSTITUTE(SUBSTITUTE(J4," ",""),"　","")))&amp;"*",
注文弁当の抽出!$F:$I,4,FALSE)&amp;
IF(COUNTIF(J4,"*おにぎり*"),"　おにぎり",""),"")</f>
        <v/>
      </c>
      <c r="L4" t="str">
        <f ca="1">IF(K4&lt;&gt;"",
VLOOKUP(C4,クライアント抽出!$A:$G,4,FALSE)+AA4,"")</f>
        <v/>
      </c>
      <c r="M4" t="str">
        <f ca="1">VLOOKUP(C4,クライアント抽出!$A:$O,13,FALSE)</f>
        <v/>
      </c>
      <c r="N4" t="str">
        <f ca="1">SUBSTITUTE(
IF(M4&lt;&gt;"",
VLOOKUP(
"*"&amp;IF(COUNTIF(M4,"*キャラ弁*"),"キャラ",
IF(COUNTIF(M4,"*赤*"),"赤",SUBSTITUTE(SUBSTITUTE(D4," ",""),"　","")))&amp;"*",
注文弁当の抽出!$F:$I,4,FALSE),""),"園児","先生")&amp;
IF(COUNTIF(M4,"*おにぎり*"),"　おにぎり","")</f>
        <v/>
      </c>
      <c r="O4" t="str">
        <f ca="1">IF(N4&lt;&gt;"",VLOOKUP(C4,クライアント抽出!$A:$G,5,FALSE),"")</f>
        <v/>
      </c>
      <c r="P4" t="str">
        <f ca="1">VLOOKUP(C4,クライアント抽出!$A:$O,14,FALSE)</f>
        <v/>
      </c>
      <c r="Q4" t="str">
        <f ca="1">SUBSTITUTE(
IF(P4&lt;&gt;"",
VLOOKUP(
"*"&amp;IF(COUNTIF(P4,"*キャラ弁*"),"キャラ",
IF(COUNTIF(P4,"*赤*"),"赤",SUBSTITUTE(SUBSTITUTE(G4," ",""),"　","")))&amp;"*",
注文弁当の抽出!$F:$I,4,FALSE),""),"園児","先生")&amp;
IF(COUNTIF(P4,"*おにぎり*"),"　おにぎり","")</f>
        <v/>
      </c>
      <c r="R4" t="str">
        <f ca="1">IF(Q4&lt;&gt;"",
VLOOKUP(C4,クライアント抽出!$A:$G,6,FALSE),"")</f>
        <v/>
      </c>
      <c r="S4" t="str">
        <f ca="1">VLOOKUP(C4,クライアント抽出!$A:$O,15,FALSE)</f>
        <v/>
      </c>
      <c r="T4" t="str">
        <f ca="1">SUBSTITUTE(
IF(S4&lt;&gt;"",
VLOOKUP(
"*"&amp;IF(COUNTIF(S4,"*キャラ弁*"),"キャラ",
IF(COUNTIF(S4,"*赤*"),"赤",SUBSTITUTE(SUBSTITUTE(J4," ",""),"　","")))&amp;"*",
注文弁当の抽出!$F:$I,4,FALSE),""),"園児","先生")&amp;
IF(COUNTIF(S4,"*おにぎり*"),"　おにぎり","")</f>
        <v/>
      </c>
      <c r="U4" t="str">
        <f ca="1">IF(T4&lt;&gt;"",
VLOOKUP(C4,クライアント抽出!$A:$G,7,FALSE),"")</f>
        <v/>
      </c>
      <c r="V4" t="str">
        <f ca="1">IF(A4&lt;&gt;"",
IF(COUNTIF(V3,"*牛乳*"),
IF(AND(COUNTIF(B3,"*奈良屋*"),COUNTIF(B4,"*奈良屋*")),
V3&amp;"✔",""),VLOOKUP(""&amp;A4&amp;"",数出表_Excel!$A:$Z,22,FALSE)&amp;VLOOKUP(""&amp;A4&amp;"",数出表_Excel!$A:$Z,23,FALSE)
&amp;VLOOKUP(""&amp;C4&amp;"",数出表_Excel!$A:$Z,22,FALSE)&amp;VLOOKUP(""&amp;C4&amp;"",数出表_Excel!$A:$Z,23,FALSE)),"")</f>
        <v/>
      </c>
      <c r="W4">
        <f ca="1">IF(AND(COUNTIF(V4,"&lt;&gt;*不要*"),A4&lt;&gt;""),VLOOKUP(A4,得意先マスタ!$A:$AD,24,FALSE),0)</f>
        <v>0</v>
      </c>
      <c r="X4">
        <f ca="1">IF(AND(COUNTIF(V4,"&lt;&gt;*不要*"),A4&lt;&gt;""),VLOOKUP(A4,得意先マスタ!$A:$AD,25,FALSE),0)</f>
        <v>0</v>
      </c>
      <c r="Y4">
        <f t="shared" ca="1" si="0"/>
        <v>0</v>
      </c>
      <c r="Z4">
        <f t="shared" ca="1" si="1"/>
        <v>0</v>
      </c>
      <c r="AA4">
        <f t="shared" ca="1" si="5"/>
        <v>0</v>
      </c>
      <c r="AB4" t="str">
        <f t="shared" ca="1" si="2"/>
        <v/>
      </c>
      <c r="AC4" t="str">
        <f t="array" aca="1" ref="AC4" ca="1">IFERROR(INDEX(4:4, SMALL(IF($D4:$U4&lt;&gt;"", COLUMN($D$1:$U4)), COLUMN(A4))), "")</f>
        <v>赤　飯あり120</v>
      </c>
      <c r="AD4" t="str">
        <f t="array" aca="1" ref="AD4" ca="1">IFERROR(INDEX(4:4, SMALL(IF($D4:$U4&lt;&gt;"", COLUMN($D$1:$U4)), COLUMN(B4))), "")</f>
        <v>弁当　園児</v>
      </c>
      <c r="AE4">
        <f t="array" aca="1" ref="AE4" ca="1">IFERROR(INDEX(4:4, SMALL(IF($D4:$U4&lt;&gt;"", COLUMN($D$1:$U4)), COLUMN(C4))), "")</f>
        <v>9</v>
      </c>
      <c r="AF4" t="str">
        <f t="array" aca="1" ref="AF4" ca="1">IFERROR(INDEX(4:4, SMALL(IF($D4:$U4&lt;&gt;"", COLUMN($D$1:$U4)), COLUMN(D4))), "")</f>
        <v/>
      </c>
      <c r="AG4" t="str">
        <f t="array" aca="1" ref="AG4" ca="1">IFERROR(INDEX(4:4, SMALL(IF($D4:$U4&lt;&gt;"", COLUMN($D$1:$U4)), COLUMN(E4))), "")</f>
        <v/>
      </c>
      <c r="AH4" t="str">
        <f t="array" aca="1" ref="AH4" ca="1">IFERROR(INDEX(4:4, SMALL(IF($D4:$U4&lt;&gt;"", COLUMN($D$1:$U4)), COLUMN(F4))), "")</f>
        <v/>
      </c>
      <c r="AI4" t="str">
        <f t="array" aca="1" ref="AI4" ca="1">IFERROR(INDEX(4:4, SMALL(IF($D4:$U4&lt;&gt;"", COLUMN($D$1:$U4)), COLUMN(G4))), "")</f>
        <v/>
      </c>
      <c r="AJ4" t="str">
        <f t="array" aca="1" ref="AJ4" ca="1">IFERROR(INDEX(4:4, SMALL(IF($D4:$U4&lt;&gt;"", COLUMN($D$1:$U4)), COLUMN(H4))), "")</f>
        <v/>
      </c>
      <c r="AK4" t="str">
        <f t="array" aca="1" ref="AK4" ca="1">IFERROR(INDEX(4:4, SMALL(IF($D4:$U4&lt;&gt;"", COLUMN($D$1:$U4)), COLUMN(I4))), "")</f>
        <v/>
      </c>
      <c r="AL4" t="str">
        <f t="array" aca="1" ref="AL4" ca="1">IFERROR(INDEX(4:4, SMALL(IF($D4:$U4&lt;&gt;"", COLUMN($D$1:$U4)), COLUMN(J4))), "")</f>
        <v/>
      </c>
      <c r="AM4" t="str">
        <f t="array" aca="1" ref="AM4" ca="1">IFERROR(INDEX(4:4, SMALL(IF($D4:$U4&lt;&gt;"", COLUMN($D$1:$U4)), COLUMN(K4))), "")</f>
        <v/>
      </c>
      <c r="AN4" t="str">
        <f t="array" aca="1" ref="AN4" ca="1">IFERROR(INDEX(4:4, SMALL(IF($D4:$U4&lt;&gt;"", COLUMN($D$1:$U4)), COLUMN(L4))), "")</f>
        <v/>
      </c>
      <c r="AO4" t="str">
        <f t="array" aca="1" ref="AO4" ca="1">IFERROR(INDEX(4:4, SMALL(IF($D4:$U4&lt;&gt;"", COLUMN($D$1:$U4)), COLUMN(M4))), "")</f>
        <v/>
      </c>
      <c r="AP4" t="str">
        <f t="array" aca="1" ref="AP4" ca="1">IFERROR(INDEX(4:4, SMALL(IF($D4:$U4&lt;&gt;"", COLUMN($D$1:$U4)), COLUMN(N4))), "")</f>
        <v/>
      </c>
      <c r="AQ4" t="str">
        <f t="array" aca="1" ref="AQ4" ca="1">IFERROR(INDEX(4:4, SMALL(IF($D4:$U4&lt;&gt;"", COLUMN($D$1:$U4)), COLUMN(O4))), "")</f>
        <v/>
      </c>
      <c r="AR4" s="52" t="s">
        <v>4005</v>
      </c>
      <c r="AS4" t="str">
        <f t="shared" ca="1" si="3"/>
        <v/>
      </c>
      <c r="AT4" t="str">
        <f t="shared" ca="1" si="4"/>
        <v/>
      </c>
      <c r="AU4" t="str">
        <f t="shared" ca="1" si="6"/>
        <v/>
      </c>
      <c r="AV4" t="str">
        <f t="shared" ca="1" si="7"/>
        <v/>
      </c>
      <c r="AW4" t="str">
        <f t="shared" ca="1" si="8"/>
        <v/>
      </c>
      <c r="AX4" t="str">
        <f t="shared" ca="1" si="9"/>
        <v/>
      </c>
      <c r="AZ4" t="str">
        <f t="array" aca="1" ref="AZ4" ca="1">IFERROR(INDEX(4:4, SMALL(IF($AC4:$AX4&lt;&gt;"", COLUMN($AC$1:$AX4)), COLUMN(A4))), "")</f>
        <v>赤　飯あり120</v>
      </c>
      <c r="BA4" t="str">
        <f t="array" aca="1" ref="BA4" ca="1">IFERROR(INDEX(4:4, SMALL(IF($AC4:$AX4&lt;&gt;"", COLUMN($AC$1:$AX4)), COLUMN(B4))), "")</f>
        <v>弁当　園児</v>
      </c>
      <c r="BB4">
        <f t="array" aca="1" ref="BB4" ca="1">IFERROR(INDEX(4:4, SMALL(IF($AC4:$AX4&lt;&gt;"", COLUMN($AC$1:$AX4)), COLUMN(C4))), "")</f>
        <v>9</v>
      </c>
      <c r="BC4" t="str">
        <f t="array" aca="1" ref="BC4" ca="1">IFERROR(INDEX(4:4, SMALL(IF($AC4:$AX4&lt;&gt;"", COLUMN($AC$1:$AX4)), COLUMN(D4))), "")</f>
        <v>●</v>
      </c>
      <c r="BD4" t="str">
        <f t="array" aca="1" ref="BD4" ca="1">IFERROR(INDEX(4:4, SMALL(IF($AC4:$AX4&lt;&gt;"", COLUMN($AC$1:$AX4)), COLUMN(E4))), "")</f>
        <v/>
      </c>
      <c r="BE4" t="str">
        <f t="array" aca="1" ref="BE4" ca="1">IFERROR(INDEX(4:4, SMALL(IF($AC4:$AX4&lt;&gt;"", COLUMN($AC$1:$AX4)), COLUMN(F4))), "")</f>
        <v/>
      </c>
      <c r="BF4" t="str">
        <f t="array" aca="1" ref="BF4" ca="1">IFERROR(IF(AND(COUNTIF($B4,"*泉ヶ丘*"),COUNTIF($B5,"*泉ヶ丘*")),
IFERROR(INDEX(5:5, SMALL(IF($AC5:$AX5&lt;&gt;"", COLUMN($AC$1:$AX5)), COLUMN(A5))), ""),
INDEX(4:4, SMALL(IF($AC4:$AX4&lt;&gt;"", COLUMN($AC$1:$AX4)), COLUMN(G4)))), "")</f>
        <v/>
      </c>
      <c r="BG4" t="str">
        <f t="array" aca="1" ref="BG4" ca="1">IFERROR(IF(AND(COUNTIF($B4,"*泉ヶ丘*"),COUNTIF($B5,"*泉ヶ丘*")),
IFERROR(INDEX(5:5, SMALL(IF($AC5:$AX5&lt;&gt;"", COLUMN($AC$1:$AX5)), COLUMN(B5))), ""),
INDEX(4:4, SMALL(IF($AC4:$AX4&lt;&gt;"", COLUMN($AC$1:$AX4)), COLUMN(H4)))), "")</f>
        <v/>
      </c>
      <c r="BH4" t="str">
        <f t="array" aca="1" ref="BH4" ca="1">IFERROR(IF(AND(COUNTIF($B4,"*泉ヶ丘*"),COUNTIF($B5,"*泉ヶ丘*")),
IFERROR(INDEX(5:5, SMALL(IF($AC5:$AX5&lt;&gt;"", COLUMN($AC$1:$AX5)), COLUMN(C5))), ""),
INDEX(4:4, SMALL(IF($AC4:$AX4&lt;&gt;"", COLUMN($AC$1:$AX4)), COLUMN(I4)))), "")</f>
        <v/>
      </c>
      <c r="BI4" t="str">
        <f t="array" aca="1" ref="BI4" ca="1">IFERROR(IF(AND(COUNTIF($B4,"*泉ヶ丘*"),COUNTIF($B5,"*泉ヶ丘*")),
IFERROR(INDEX(5:5, SMALL(IF($AC5:$AX5&lt;&gt;"", COLUMN($AC$1:$AX5)), COLUMN(D5))), ""),
INDEX(4:4, SMALL(IF($AC4:$AX4&lt;&gt;"", COLUMN($AC$1:$AX4)), COLUMN(J4)))), "")</f>
        <v/>
      </c>
      <c r="BJ4" t="str">
        <f t="array" aca="1" ref="BJ4" ca="1">IFERROR(IF(AND(COUNTIF($B4,"*泉ヶ丘*"),COUNTIF($B5,"*泉ヶ丘*")),
IFERROR(INDEX(5:5, SMALL(IF($AC5:$AX5&lt;&gt;"", COLUMN($AC$1:$AX5)), COLUMN(E5))), ""),
INDEX(4:4, SMALL(IF($AC4:$AX4&lt;&gt;"", COLUMN($AC$1:$AX4)), COLUMN(K4)))), "")</f>
        <v/>
      </c>
      <c r="BK4" t="str">
        <f t="array" aca="1" ref="BK4" ca="1">IFERROR(IF(AND(COUNTIF($B4,"*泉ヶ丘*"),COUNTIF($B5,"*泉ヶ丘*")),
IFERROR(INDEX(5:5, SMALL(IF($AC5:$AX5&lt;&gt;"", COLUMN($AC$1:$AX5)), COLUMN(F5))), ""),
INDEX(4:4, SMALL(IF($AC4:$AX4&lt;&gt;"", COLUMN($AC$1:$AX4)), COLUMN(L4)))), "")</f>
        <v/>
      </c>
      <c r="BL4" t="str">
        <f t="array" aca="1" ref="BL4" ca="1">IFERROR(IF(AND(COUNTIF($B4,"*泉ヶ丘*"),COUNTIF($B5,"*泉ヶ丘*")),
IFERROR(INDEX(5:5, SMALL(IF($AC5:$AX5&lt;&gt;"", COLUMN($AC$1:$AX5)), COLUMN(G5))), ""),
INDEX(4:4, SMALL(IF($AC4:$AX4&lt;&gt;"", COLUMN($AC$1:$AX4)), COLUMN(M4)))), "")</f>
        <v/>
      </c>
      <c r="BM4" t="str">
        <f t="array" aca="1" ref="BM4" ca="1">IFERROR(IF(AND(COUNTIF($B4,"*泉ヶ丘*"),COUNTIF($B5,"*泉ヶ丘*")),
IFERROR(INDEX(5:5, SMALL(IF($AC5:$AX5&lt;&gt;"", COLUMN($AC$1:$AX5)), COLUMN(H5))), ""),
INDEX(4:4, SMALL(IF($AC4:$AX4&lt;&gt;"", COLUMN($AC$1:$AX4)), COLUMN(N4)))), "")</f>
        <v/>
      </c>
      <c r="BN4" t="str">
        <f t="array" aca="1" ref="BN4" ca="1">IFERROR(IF(AND(COUNTIF($B4,"*泉ヶ丘*"),COUNTIF($B5,"*泉ヶ丘*")),
IFERROR(INDEX(5:5, SMALL(IF($AC5:$AX5&lt;&gt;"", COLUMN($AC$1:$AX5)), COLUMN(I5))), ""),
INDEX(4:4, SMALL(IF($AC4:$AX4&lt;&gt;"", COLUMN($AC$1:$AX4)), COLUMN(O4)))), "")</f>
        <v/>
      </c>
      <c r="BO4" t="str">
        <f t="array" aca="1" ref="BO4" ca="1">IFERROR(IF(AND(COUNTIF($B4,"*泉ヶ丘*"),COUNTIF($B5,"*泉ヶ丘*")),
IFERROR(INDEX(5:5, SMALL(IF($AC5:$AX5&lt;&gt;"", COLUMN($AC$1:$AX5)), COLUMN(J5))), ""),
INDEX(4:4, SMALL(IF($AC4:$AX4&lt;&gt;"", COLUMN($AC$1:$AX4)), COLUMN(P4)))), "")</f>
        <v/>
      </c>
      <c r="BP4" t="str">
        <f t="array" aca="1" ref="BP4" ca="1">IFERROR(IF(AND(COUNTIF($B4,"*泉ヶ丘*"),COUNTIF($B5,"*泉ヶ丘*")),
IFERROR(INDEX(5:5, SMALL(IF($AC5:$AX5&lt;&gt;"", COLUMN($AC$1:$AX5)), COLUMN(K5))), ""),
INDEX(4:4, SMALL(IF($AC4:$AX4&lt;&gt;"", COLUMN($AC$1:$AX4)), COLUMN(Q4)))), "")</f>
        <v/>
      </c>
      <c r="BQ4" t="str">
        <f t="array" aca="1" ref="BQ4" ca="1">IFERROR(IF(AND(COUNTIF($B4,"*泉ヶ丘*"),COUNTIF($B5,"*泉ヶ丘*")),
IFERROR(INDEX(5:5, SMALL(IF($AC5:$AX5&lt;&gt;"", COLUMN($AC$1:$AX5)), COLUMN(L5))), ""),
INDEX(4:4, SMALL(IF($AC4:$AX4&lt;&gt;"", COLUMN($AC$1:$AX4)), COLUMN(R4)))), "")</f>
        <v/>
      </c>
    </row>
    <row r="5" spans="1:69" x14ac:dyDescent="0.45">
      <c r="A5" t="str">
        <f t="array" ref="A5">IF(INDEX(貼り付け用!A:A,MATCH(A4,貼り付け用!A:A,0)+2)="4700",
IF(INDEX(貼り付け用!A:A,MATCH(A4,貼り付け用!A:A,0)+4)="4800",
INDEX(貼り付け用!A:A,MATCH(A4,貼り付け用!A:A,0)+6),
INDEX(貼り付け用!A:A,MATCH(A4,貼り付け用!A:A,0)+4)),INDEX(貼り付け用!A:A,MATCH(A4,貼り付け用!A:A,0)+2))</f>
        <v>200</v>
      </c>
      <c r="B5" t="str">
        <f>IF(A5&lt;&gt;"",
VLOOKUP(A5,得意先マスタ!A:D,2,FALSE),"")</f>
        <v>博多南幼稚園　週3ｺｰｽ</v>
      </c>
      <c r="C5" t="str">
        <f t="array" ref="C5">IF(A5="10000","",INDEX(貼り付け用!A:A,MATCH(A5,貼り付け用!A:A,0)+1))</f>
        <v>博多南 週3ｺｰｽ</v>
      </c>
      <c r="D5" t="str">
        <f ca="1">VLOOKUP(C5,クライアント抽出!$A:$O,10,FALSE)</f>
        <v>キャラ弁当　飯なし</v>
      </c>
      <c r="E5" t="str">
        <f ca="1">IF(D5&lt;&gt;"",
IF(COUNTIF(C5,"*ぺんぎん*"),
VLOOKUP(
"*"&amp;IF(COUNTIF(D5,"*キャラ弁*"),"キャラ",
IF(COUNTIF(D5,"*赤*"),"赤",SUBSTITUTE(SUBSTITUTE(D5," ",""),"　","")))&amp;"*",
注文弁当の抽出!$F:$I,4,FALSE)&amp;
IF(COUNTIF(D5,"*おにぎり*"),"　おにぎり","")&amp;"　（ぺんぎん組）",
VLOOKUP(
"*"&amp;IF(COUNTIF(D5,"*キャラ弁*"),"キャラ",
IF(COUNTIF(D5,"*赤*"),"赤",SUBSTITUTE(SUBSTITUTE(D5," ",""),"　","")))&amp;"*",
注文弁当の抽出!$F:$I,4,FALSE)&amp;
IF(COUNTIF(D5,"*おにぎり*"),"　おにぎり","")),"")</f>
        <v>弁当　園児</v>
      </c>
      <c r="F5">
        <f ca="1">IFERROR(IF(E5&lt;&gt;"",
VLOOKUP(C5,クライアント抽出!$A:$G,2,FALSE)+
IF(COUNTIF(Y5,"*-*"),Y5,0),"")
-IFERROR(MID(V5, SEARCH("予備", V5) + LEN("予備"), SEARCH("込み", V5) - (SEARCH("予備", V5) + LEN("予備"))),0),"")</f>
        <v>52</v>
      </c>
      <c r="G5" t="str">
        <f ca="1">VLOOKUP(C5,クライアント抽出!$A:$O,11,FALSE)</f>
        <v>ピクニック</v>
      </c>
      <c r="H5" t="str">
        <f ca="1">IF(G5&lt;&gt;"",
VLOOKUP(
"*"&amp;IF(COUNTIF(G5,"*キャラ弁*"),"キャラ",
IF(COUNTIF(G5,"*赤*"),"赤",SUBSTITUTE(SUBSTITUTE(G5," ",""),"　","")))&amp;"*",
注文弁当の抽出!$F:$I,4,FALSE)&amp;
IF(COUNTIF(G5,"*おにぎり*"),"　おにぎり",""),"")</f>
        <v>ピクニック　園児</v>
      </c>
      <c r="I5">
        <f ca="1">IF(H5&lt;&gt;"",
VLOOKUP(C5,クライアント抽出!$A:$G,3,FALSE)+
IF(COUNTIF(C5,"*博多*"),Y5,Z5),"")</f>
        <v>1</v>
      </c>
      <c r="J5" t="str">
        <f ca="1">VLOOKUP(C5,クライアント抽出!$A:$O,12,FALSE)</f>
        <v/>
      </c>
      <c r="K5" t="str">
        <f ca="1">IF(J5&lt;&gt;"",
VLOOKUP(
"*"&amp;IF(COUNTIF(J5,"*キャラ弁*"),"キャラ",
IF(COUNTIF(J5,"*赤*"),"赤",SUBSTITUTE(SUBSTITUTE(J5," ",""),"　","")))&amp;"*",
注文弁当の抽出!$F:$I,4,FALSE)&amp;
IF(COUNTIF(J5,"*おにぎり*"),"　おにぎり",""),"")</f>
        <v/>
      </c>
      <c r="L5" t="str">
        <f ca="1">IF(K5&lt;&gt;"",
VLOOKUP(C5,クライアント抽出!$A:$G,4,FALSE)+AA5,"")</f>
        <v/>
      </c>
      <c r="M5" t="str">
        <f ca="1">VLOOKUP(C5,クライアント抽出!$A:$O,13,FALSE)</f>
        <v>キャラ弁当　飯なし</v>
      </c>
      <c r="N5" t="str">
        <f ca="1">SUBSTITUTE(
IF(M5&lt;&gt;"",
VLOOKUP(
"*"&amp;IF(COUNTIF(M5,"*キャラ弁*"),"キャラ",
IF(COUNTIF(M5,"*赤*"),"赤",SUBSTITUTE(SUBSTITUTE(D5," ",""),"　","")))&amp;"*",
注文弁当の抽出!$F:$I,4,FALSE),""),"園児","先生")&amp;
IF(COUNTIF(M5,"*おにぎり*"),"　おにぎり","")</f>
        <v>弁当　先生</v>
      </c>
      <c r="O5">
        <f ca="1">IF(N5&lt;&gt;"",VLOOKUP(C5,クライアント抽出!$A:$G,5,FALSE),"")</f>
        <v>12</v>
      </c>
      <c r="P5" t="str">
        <f ca="1">VLOOKUP(C5,クライアント抽出!$A:$O,14,FALSE)</f>
        <v>ピクニック</v>
      </c>
      <c r="Q5" t="str">
        <f ca="1">SUBSTITUTE(
IF(P5&lt;&gt;"",
VLOOKUP(
"*"&amp;IF(COUNTIF(P5,"*キャラ弁*"),"キャラ",
IF(COUNTIF(P5,"*赤*"),"赤",SUBSTITUTE(SUBSTITUTE(G5," ",""),"　","")))&amp;"*",
注文弁当の抽出!$F:$I,4,FALSE),""),"園児","先生")&amp;
IF(COUNTIF(P5,"*おにぎり*"),"　おにぎり","")</f>
        <v>ピクニック　先生</v>
      </c>
      <c r="R5">
        <f ca="1">IF(Q5&lt;&gt;"",
VLOOKUP(C5,クライアント抽出!$A:$G,6,FALSE),"")</f>
        <v>2</v>
      </c>
      <c r="S5" t="str">
        <f ca="1">VLOOKUP(C5,クライアント抽出!$A:$O,15,FALSE)</f>
        <v/>
      </c>
      <c r="T5" t="str">
        <f ca="1">SUBSTITUTE(
IF(S5&lt;&gt;"",
VLOOKUP(
"*"&amp;IF(COUNTIF(S5,"*キャラ弁*"),"キャラ",
IF(COUNTIF(S5,"*赤*"),"赤",SUBSTITUTE(SUBSTITUTE(J5," ",""),"　","")))&amp;"*",
注文弁当の抽出!$F:$I,4,FALSE),""),"園児","先生")&amp;
IF(COUNTIF(S5,"*おにぎり*"),"　おにぎり","")</f>
        <v/>
      </c>
      <c r="U5" t="str">
        <f ca="1">IF(T5&lt;&gt;"",
VLOOKUP(C5,クライアント抽出!$A:$G,7,FALSE),"")</f>
        <v/>
      </c>
      <c r="V5" t="str">
        <f ca="1">IF(A5&lt;&gt;"",
IF(COUNTIF(V4,"*牛乳*"),
IF(AND(COUNTIF(B4,"*奈良屋*"),COUNTIF(B5,"*奈良屋*")),
V4&amp;"✔",""),VLOOKUP(""&amp;A5&amp;"",数出表_Excel!$A:$Z,22,FALSE)&amp;VLOOKUP(""&amp;A5&amp;"",数出表_Excel!$A:$Z,23,FALSE)
&amp;VLOOKUP(""&amp;C5&amp;"",数出表_Excel!$A:$Z,22,FALSE)&amp;VLOOKUP(""&amp;C5&amp;"",数出表_Excel!$A:$Z,23,FALSE)),"")</f>
        <v>ﾋﾟｸｱﾚ0 10：00まで納品</v>
      </c>
      <c r="W5">
        <f ca="1">IF(AND(COUNTIF(V5,"&lt;&gt;*不要*"),A5&lt;&gt;""),VLOOKUP(A5,得意先マスタ!$A:$AD,24,FALSE),0)</f>
        <v>0</v>
      </c>
      <c r="X5">
        <f ca="1">IF(AND(COUNTIF(V5,"&lt;&gt;*不要*"),A5&lt;&gt;""),VLOOKUP(A5,得意先マスタ!$A:$AD,25,FALSE),0)</f>
        <v>0</v>
      </c>
      <c r="Y5">
        <f t="shared" ca="1" si="0"/>
        <v>0</v>
      </c>
      <c r="Z5">
        <f t="shared" ca="1" si="1"/>
        <v>0</v>
      </c>
      <c r="AA5">
        <f t="shared" ca="1" si="5"/>
        <v>0</v>
      </c>
      <c r="AB5" t="str">
        <f t="shared" ca="1" si="2"/>
        <v/>
      </c>
      <c r="AC5" t="str">
        <f t="array" aca="1" ref="AC5" ca="1">IFERROR(INDEX(5:5, SMALL(IF($D5:$U5&lt;&gt;"", COLUMN($D$1:$U5)), COLUMN(A5))), "")</f>
        <v>キャラ弁当　飯なし</v>
      </c>
      <c r="AD5" t="str">
        <f t="array" aca="1" ref="AD5" ca="1">IFERROR(INDEX(5:5, SMALL(IF($D5:$U5&lt;&gt;"", COLUMN($D$1:$U5)), COLUMN(B5))), "")</f>
        <v>弁当　園児</v>
      </c>
      <c r="AE5">
        <f t="array" aca="1" ref="AE5" ca="1">IFERROR(INDEX(5:5, SMALL(IF($D5:$U5&lt;&gt;"", COLUMN($D$1:$U5)), COLUMN(C5))), "")</f>
        <v>52</v>
      </c>
      <c r="AF5" t="str">
        <f t="array" aca="1" ref="AF5" ca="1">IFERROR(INDEX(5:5, SMALL(IF($D5:$U5&lt;&gt;"", COLUMN($D$1:$U5)), COLUMN(D5))), "")</f>
        <v>ピクニック</v>
      </c>
      <c r="AG5" t="str">
        <f t="array" aca="1" ref="AG5" ca="1">IFERROR(INDEX(5:5, SMALL(IF($D5:$U5&lt;&gt;"", COLUMN($D$1:$U5)), COLUMN(E5))), "")</f>
        <v>ピクニック　園児</v>
      </c>
      <c r="AH5">
        <f t="array" aca="1" ref="AH5" ca="1">IFERROR(INDEX(5:5, SMALL(IF($D5:$U5&lt;&gt;"", COLUMN($D$1:$U5)), COLUMN(F5))), "")</f>
        <v>1</v>
      </c>
      <c r="AI5" t="str">
        <f t="array" aca="1" ref="AI5" ca="1">IFERROR(INDEX(5:5, SMALL(IF($D5:$U5&lt;&gt;"", COLUMN($D$1:$U5)), COLUMN(G5))), "")</f>
        <v>キャラ弁当　飯なし</v>
      </c>
      <c r="AJ5" t="str">
        <f t="array" aca="1" ref="AJ5" ca="1">IFERROR(INDEX(5:5, SMALL(IF($D5:$U5&lt;&gt;"", COLUMN($D$1:$U5)), COLUMN(H5))), "")</f>
        <v>弁当　先生</v>
      </c>
      <c r="AK5">
        <f t="array" aca="1" ref="AK5" ca="1">IFERROR(INDEX(5:5, SMALL(IF($D5:$U5&lt;&gt;"", COLUMN($D$1:$U5)), COLUMN(I5))), "")</f>
        <v>12</v>
      </c>
      <c r="AL5" t="str">
        <f t="array" aca="1" ref="AL5" ca="1">IFERROR(INDEX(5:5, SMALL(IF($D5:$U5&lt;&gt;"", COLUMN($D$1:$U5)), COLUMN(J5))), "")</f>
        <v>ピクニック</v>
      </c>
      <c r="AM5" t="str">
        <f t="array" aca="1" ref="AM5" ca="1">IFERROR(INDEX(5:5, SMALL(IF($D5:$U5&lt;&gt;"", COLUMN($D$1:$U5)), COLUMN(K5))), "")</f>
        <v>ピクニック　先生</v>
      </c>
      <c r="AN5">
        <f t="array" aca="1" ref="AN5" ca="1">IFERROR(INDEX(5:5, SMALL(IF($D5:$U5&lt;&gt;"", COLUMN($D$1:$U5)), COLUMN(L5))), "")</f>
        <v>2</v>
      </c>
      <c r="AO5" t="str">
        <f t="array" aca="1" ref="AO5" ca="1">IFERROR(INDEX(5:5, SMALL(IF($D5:$U5&lt;&gt;"", COLUMN($D$1:$U5)), COLUMN(M5))), "")</f>
        <v/>
      </c>
      <c r="AP5" t="str">
        <f t="array" aca="1" ref="AP5" ca="1">IFERROR(INDEX(5:5, SMALL(IF($D5:$U5&lt;&gt;"", COLUMN($D$1:$U5)), COLUMN(N5))), "")</f>
        <v/>
      </c>
      <c r="AQ5" t="str">
        <f t="array" aca="1" ref="AQ5" ca="1">IFERROR(INDEX(5:5, SMALL(IF($D5:$U5&lt;&gt;"", COLUMN($D$1:$U5)), COLUMN(O5))), "")</f>
        <v/>
      </c>
      <c r="AR5" s="52" t="s">
        <v>4005</v>
      </c>
      <c r="AS5" t="str">
        <f t="shared" ca="1" si="3"/>
        <v/>
      </c>
      <c r="AT5" t="str">
        <f t="shared" ca="1" si="4"/>
        <v/>
      </c>
      <c r="AU5" t="str">
        <f t="shared" ca="1" si="6"/>
        <v/>
      </c>
      <c r="AV5" t="str">
        <f t="shared" ca="1" si="7"/>
        <v/>
      </c>
      <c r="AW5" t="str">
        <f t="shared" ca="1" si="8"/>
        <v/>
      </c>
      <c r="AX5" t="str">
        <f t="shared" ca="1" si="9"/>
        <v/>
      </c>
      <c r="AZ5" t="str">
        <f t="array" aca="1" ref="AZ5" ca="1">IFERROR(INDEX(5:5, SMALL(IF($AC5:$AX5&lt;&gt;"", COLUMN($AC$1:$AX5)), COLUMN(A5))), "")</f>
        <v>キャラ弁当　飯なし</v>
      </c>
      <c r="BA5" t="str">
        <f t="array" aca="1" ref="BA5" ca="1">IFERROR(INDEX(5:5, SMALL(IF($AC5:$AX5&lt;&gt;"", COLUMN($AC$1:$AX5)), COLUMN(B5))), "")</f>
        <v>弁当　園児</v>
      </c>
      <c r="BB5">
        <f t="array" aca="1" ref="BB5" ca="1">IFERROR(INDEX(5:5, SMALL(IF($AC5:$AX5&lt;&gt;"", COLUMN($AC$1:$AX5)), COLUMN(C5))), "")</f>
        <v>52</v>
      </c>
      <c r="BC5" t="str">
        <f t="array" aca="1" ref="BC5" ca="1">IFERROR(INDEX(5:5, SMALL(IF($AC5:$AX5&lt;&gt;"", COLUMN($AC$1:$AX5)), COLUMN(D5))), "")</f>
        <v>ピクニック</v>
      </c>
      <c r="BD5" t="str">
        <f t="array" aca="1" ref="BD5" ca="1">IFERROR(INDEX(5:5, SMALL(IF($AC5:$AX5&lt;&gt;"", COLUMN($AC$1:$AX5)), COLUMN(E5))), "")</f>
        <v>ピクニック　園児</v>
      </c>
      <c r="BE5">
        <f t="array" aca="1" ref="BE5" ca="1">IFERROR(INDEX(5:5, SMALL(IF($AC5:$AX5&lt;&gt;"", COLUMN($AC$1:$AX5)), COLUMN(F5))), "")</f>
        <v>1</v>
      </c>
      <c r="BF5" t="str">
        <f t="array" aca="1" ref="BF5" ca="1">IFERROR(IF(AND(COUNTIF($B5,"*泉ヶ丘*"),COUNTIF($B6,"*泉ヶ丘*")),
IFERROR(INDEX(6:6, SMALL(IF($AC6:$AX6&lt;&gt;"", COLUMN($AC$1:$AX6)), COLUMN(A6))), ""),
INDEX(5:5, SMALL(IF($AC5:$AX5&lt;&gt;"", COLUMN($AC$1:$AX5)), COLUMN(G5)))), "")</f>
        <v>キャラ弁当　飯なし</v>
      </c>
      <c r="BG5" t="str">
        <f t="array" aca="1" ref="BG5" ca="1">IFERROR(IF(AND(COUNTIF($B5,"*泉ヶ丘*"),COUNTIF($B6,"*泉ヶ丘*")),
IFERROR(INDEX(6:6, SMALL(IF($AC6:$AX6&lt;&gt;"", COLUMN($AC$1:$AX6)), COLUMN(B6))), ""),
INDEX(5:5, SMALL(IF($AC5:$AX5&lt;&gt;"", COLUMN($AC$1:$AX5)), COLUMN(H5)))), "")</f>
        <v>弁当　先生</v>
      </c>
      <c r="BH5">
        <f t="array" aca="1" ref="BH5" ca="1">IFERROR(IF(AND(COUNTIF($B5,"*泉ヶ丘*"),COUNTIF($B6,"*泉ヶ丘*")),
IFERROR(INDEX(6:6, SMALL(IF($AC6:$AX6&lt;&gt;"", COLUMN($AC$1:$AX6)), COLUMN(C6))), ""),
INDEX(5:5, SMALL(IF($AC5:$AX5&lt;&gt;"", COLUMN($AC$1:$AX5)), COLUMN(I5)))), "")</f>
        <v>12</v>
      </c>
      <c r="BI5" t="str">
        <f t="array" aca="1" ref="BI5" ca="1">IFERROR(IF(AND(COUNTIF($B5,"*泉ヶ丘*"),COUNTIF($B6,"*泉ヶ丘*")),
IFERROR(INDEX(6:6, SMALL(IF($AC6:$AX6&lt;&gt;"", COLUMN($AC$1:$AX6)), COLUMN(D6))), ""),
INDEX(5:5, SMALL(IF($AC5:$AX5&lt;&gt;"", COLUMN($AC$1:$AX5)), COLUMN(J5)))), "")</f>
        <v>ピクニック</v>
      </c>
      <c r="BJ5" t="str">
        <f t="array" aca="1" ref="BJ5" ca="1">IFERROR(IF(AND(COUNTIF($B5,"*泉ヶ丘*"),COUNTIF($B6,"*泉ヶ丘*")),
IFERROR(INDEX(6:6, SMALL(IF($AC6:$AX6&lt;&gt;"", COLUMN($AC$1:$AX6)), COLUMN(E6))), ""),
INDEX(5:5, SMALL(IF($AC5:$AX5&lt;&gt;"", COLUMN($AC$1:$AX5)), COLUMN(K5)))), "")</f>
        <v>ピクニック　先生</v>
      </c>
      <c r="BK5">
        <f t="array" aca="1" ref="BK5" ca="1">IFERROR(IF(AND(COUNTIF($B5,"*泉ヶ丘*"),COUNTIF($B6,"*泉ヶ丘*")),
IFERROR(INDEX(6:6, SMALL(IF($AC6:$AX6&lt;&gt;"", COLUMN($AC$1:$AX6)), COLUMN(F6))), ""),
INDEX(5:5, SMALL(IF($AC5:$AX5&lt;&gt;"", COLUMN($AC$1:$AX5)), COLUMN(L5)))), "")</f>
        <v>2</v>
      </c>
      <c r="BL5" t="str">
        <f t="array" aca="1" ref="BL5" ca="1">IFERROR(IF(AND(COUNTIF($B5,"*泉ヶ丘*"),COUNTIF($B6,"*泉ヶ丘*")),
IFERROR(INDEX(6:6, SMALL(IF($AC6:$AX6&lt;&gt;"", COLUMN($AC$1:$AX6)), COLUMN(G6))), ""),
INDEX(5:5, SMALL(IF($AC5:$AX5&lt;&gt;"", COLUMN($AC$1:$AX5)), COLUMN(M5)))), "")</f>
        <v>●</v>
      </c>
      <c r="BM5" t="str">
        <f t="array" aca="1" ref="BM5" ca="1">IFERROR(IF(AND(COUNTIF($B5,"*泉ヶ丘*"),COUNTIF($B6,"*泉ヶ丘*")),
IFERROR(INDEX(6:6, SMALL(IF($AC6:$AX6&lt;&gt;"", COLUMN($AC$1:$AX6)), COLUMN(H6))), ""),
INDEX(5:5, SMALL(IF($AC5:$AX5&lt;&gt;"", COLUMN($AC$1:$AX5)), COLUMN(N5)))), "")</f>
        <v/>
      </c>
      <c r="BN5" t="str">
        <f t="array" aca="1" ref="BN5" ca="1">IFERROR(IF(AND(COUNTIF($B5,"*泉ヶ丘*"),COUNTIF($B6,"*泉ヶ丘*")),
IFERROR(INDEX(6:6, SMALL(IF($AC6:$AX6&lt;&gt;"", COLUMN($AC$1:$AX6)), COLUMN(I6))), ""),
INDEX(5:5, SMALL(IF($AC5:$AX5&lt;&gt;"", COLUMN($AC$1:$AX5)), COLUMN(O5)))), "")</f>
        <v/>
      </c>
      <c r="BO5" t="str">
        <f t="array" aca="1" ref="BO5" ca="1">IFERROR(IF(AND(COUNTIF($B5,"*泉ヶ丘*"),COUNTIF($B6,"*泉ヶ丘*")),
IFERROR(INDEX(6:6, SMALL(IF($AC6:$AX6&lt;&gt;"", COLUMN($AC$1:$AX6)), COLUMN(J6))), ""),
INDEX(5:5, SMALL(IF($AC5:$AX5&lt;&gt;"", COLUMN($AC$1:$AX5)), COLUMN(P5)))), "")</f>
        <v/>
      </c>
      <c r="BP5" t="str">
        <f t="array" aca="1" ref="BP5" ca="1">IFERROR(IF(AND(COUNTIF($B5,"*泉ヶ丘*"),COUNTIF($B6,"*泉ヶ丘*")),
IFERROR(INDEX(6:6, SMALL(IF($AC6:$AX6&lt;&gt;"", COLUMN($AC$1:$AX6)), COLUMN(K6))), ""),
INDEX(5:5, SMALL(IF($AC5:$AX5&lt;&gt;"", COLUMN($AC$1:$AX5)), COLUMN(Q5)))), "")</f>
        <v/>
      </c>
      <c r="BQ5" t="str">
        <f t="array" aca="1" ref="BQ5" ca="1">IFERROR(IF(AND(COUNTIF($B5,"*泉ヶ丘*"),COUNTIF($B6,"*泉ヶ丘*")),
IFERROR(INDEX(6:6, SMALL(IF($AC6:$AX6&lt;&gt;"", COLUMN($AC$1:$AX6)), COLUMN(L6))), ""),
INDEX(5:5, SMALL(IF($AC5:$AX5&lt;&gt;"", COLUMN($AC$1:$AX5)), COLUMN(R5)))), "")</f>
        <v/>
      </c>
    </row>
    <row r="6" spans="1:69" x14ac:dyDescent="0.45">
      <c r="A6" t="str">
        <f t="array" ref="A6">IF(INDEX(貼り付け用!A:A,MATCH(A5,貼り付け用!A:A,0)+2)="4700",
IF(INDEX(貼り付け用!A:A,MATCH(A5,貼り付け用!A:A,0)+4)="4800",
INDEX(貼り付け用!A:A,MATCH(A5,貼り付け用!A:A,0)+6),
INDEX(貼り付け用!A:A,MATCH(A5,貼り付け用!A:A,0)+4)),INDEX(貼り付け用!A:A,MATCH(A5,貼り付け用!A:A,0)+2))</f>
        <v>206</v>
      </c>
      <c r="B6" t="str">
        <f>IF(A6&lt;&gt;"",
VLOOKUP(A6,得意先マスタ!A:D,2,FALSE),"")</f>
        <v>博多南幼稚園　週5ｺｰｽ</v>
      </c>
      <c r="C6" t="str">
        <f t="array" ref="C6">IF(A6="10000","",INDEX(貼り付け用!A:A,MATCH(A6,貼り付け用!A:A,0)+1))</f>
        <v>博多南 週5ｺｰｽ</v>
      </c>
      <c r="D6" t="str">
        <f ca="1">VLOOKUP(C6,クライアント抽出!$A:$O,10,FALSE)</f>
        <v>キャラ弁当　飯なし</v>
      </c>
      <c r="E6" t="str">
        <f ca="1">IF(D6&lt;&gt;"",
IF(COUNTIF(C6,"*ぺんぎん*"),
VLOOKUP(
"*"&amp;IF(COUNTIF(D6,"*キャラ弁*"),"キャラ",
IF(COUNTIF(D6,"*赤*"),"赤",SUBSTITUTE(SUBSTITUTE(D6," ",""),"　","")))&amp;"*",
注文弁当の抽出!$F:$I,4,FALSE)&amp;
IF(COUNTIF(D6,"*おにぎり*"),"　おにぎり","")&amp;"　（ぺんぎん組）",
VLOOKUP(
"*"&amp;IF(COUNTIF(D6,"*キャラ弁*"),"キャラ",
IF(COUNTIF(D6,"*赤*"),"赤",SUBSTITUTE(SUBSTITUTE(D6," ",""),"　","")))&amp;"*",
注文弁当の抽出!$F:$I,4,FALSE)&amp;
IF(COUNTIF(D6,"*おにぎり*"),"　おにぎり","")),"")</f>
        <v>弁当　園児</v>
      </c>
      <c r="F6">
        <f ca="1">IFERROR(IF(E6&lt;&gt;"",
VLOOKUP(C6,クライアント抽出!$A:$G,2,FALSE)+
IF(COUNTIF(Y6,"*-*"),Y6,0),"")
-IFERROR(MID(V6, SEARCH("予備", V6) + LEN("予備"), SEARCH("込み", V6) - (SEARCH("予備", V6) + LEN("予備"))),0),"")</f>
        <v>153</v>
      </c>
      <c r="G6" t="str">
        <f ca="1">VLOOKUP(C6,クライアント抽出!$A:$O,11,FALSE)</f>
        <v>ピクニック</v>
      </c>
      <c r="H6" t="str">
        <f ca="1">IF(G6&lt;&gt;"",
VLOOKUP(
"*"&amp;IF(COUNTIF(G6,"*キャラ弁*"),"キャラ",
IF(COUNTIF(G6,"*赤*"),"赤",SUBSTITUTE(SUBSTITUTE(G6," ",""),"　","")))&amp;"*",
注文弁当の抽出!$F:$I,4,FALSE)&amp;
IF(COUNTIF(G6,"*おにぎり*"),"　おにぎり",""),"")</f>
        <v>ピクニック　園児</v>
      </c>
      <c r="I6">
        <f ca="1">IF(H6&lt;&gt;"",
VLOOKUP(C6,クライアント抽出!$A:$G,3,FALSE)+
IF(COUNTIF(C6,"*博多*"),Y6,Z6),"")</f>
        <v>35</v>
      </c>
      <c r="J6" t="str">
        <f ca="1">VLOOKUP(C6,クライアント抽出!$A:$O,12,FALSE)</f>
        <v/>
      </c>
      <c r="K6" t="str">
        <f ca="1">IF(J6&lt;&gt;"",
VLOOKUP(
"*"&amp;IF(COUNTIF(J6,"*キャラ弁*"),"キャラ",
IF(COUNTIF(J6,"*赤*"),"赤",SUBSTITUTE(SUBSTITUTE(J6," ",""),"　","")))&amp;"*",
注文弁当の抽出!$F:$I,4,FALSE)&amp;
IF(COUNTIF(J6,"*おにぎり*"),"　おにぎり",""),"")</f>
        <v/>
      </c>
      <c r="L6" t="str">
        <f ca="1">IF(K6&lt;&gt;"",
VLOOKUP(C6,クライアント抽出!$A:$G,4,FALSE)+AA6,"")</f>
        <v/>
      </c>
      <c r="M6" t="str">
        <f ca="1">VLOOKUP(C6,クライアント抽出!$A:$O,13,FALSE)</f>
        <v/>
      </c>
      <c r="N6" t="str">
        <f ca="1">SUBSTITUTE(
IF(M6&lt;&gt;"",
VLOOKUP(
"*"&amp;IF(COUNTIF(M6,"*キャラ弁*"),"キャラ",
IF(COUNTIF(M6,"*赤*"),"赤",SUBSTITUTE(SUBSTITUTE(D6," ",""),"　","")))&amp;"*",
注文弁当の抽出!$F:$I,4,FALSE),""),"園児","先生")&amp;
IF(COUNTIF(M6,"*おにぎり*"),"　おにぎり","")</f>
        <v/>
      </c>
      <c r="O6" t="str">
        <f ca="1">IF(N6&lt;&gt;"",VLOOKUP(C6,クライアント抽出!$A:$G,5,FALSE),"")</f>
        <v/>
      </c>
      <c r="P6" t="str">
        <f ca="1">VLOOKUP(C6,クライアント抽出!$A:$O,14,FALSE)</f>
        <v/>
      </c>
      <c r="Q6" t="str">
        <f ca="1">SUBSTITUTE(
IF(P6&lt;&gt;"",
VLOOKUP(
"*"&amp;IF(COUNTIF(P6,"*キャラ弁*"),"キャラ",
IF(COUNTIF(P6,"*赤*"),"赤",SUBSTITUTE(SUBSTITUTE(G6," ",""),"　","")))&amp;"*",
注文弁当の抽出!$F:$I,4,FALSE),""),"園児","先生")&amp;
IF(COUNTIF(P6,"*おにぎり*"),"　おにぎり","")</f>
        <v/>
      </c>
      <c r="R6" t="str">
        <f ca="1">IF(Q6&lt;&gt;"",
VLOOKUP(C6,クライアント抽出!$A:$G,6,FALSE),"")</f>
        <v/>
      </c>
      <c r="S6" t="str">
        <f ca="1">VLOOKUP(C6,クライアント抽出!$A:$O,15,FALSE)</f>
        <v/>
      </c>
      <c r="T6" t="str">
        <f ca="1">SUBSTITUTE(
IF(S6&lt;&gt;"",
VLOOKUP(
"*"&amp;IF(COUNTIF(S6,"*キャラ弁*"),"キャラ",
IF(COUNTIF(S6,"*赤*"),"赤",SUBSTITUTE(SUBSTITUTE(J6," ",""),"　","")))&amp;"*",
注文弁当の抽出!$F:$I,4,FALSE),""),"園児","先生")&amp;
IF(COUNTIF(S6,"*おにぎり*"),"　おにぎり","")</f>
        <v/>
      </c>
      <c r="U6" t="str">
        <f ca="1">IF(T6&lt;&gt;"",
VLOOKUP(C6,クライアント抽出!$A:$G,7,FALSE),"")</f>
        <v/>
      </c>
      <c r="V6" t="str">
        <f ca="1">IF(A6&lt;&gt;"",
IF(COUNTIF(V5,"*牛乳*"),
IF(AND(COUNTIF(B5,"*奈良屋*"),COUNTIF(B6,"*奈良屋*")),
V5&amp;"✔",""),VLOOKUP(""&amp;A6&amp;"",数出表_Excel!$A:$Z,22,FALSE)&amp;VLOOKUP(""&amp;A6&amp;"",数出表_Excel!$A:$Z,23,FALSE)
&amp;VLOOKUP(""&amp;C6&amp;"",数出表_Excel!$A:$Z,22,FALSE)&amp;VLOOKUP(""&amp;C6&amp;"",数出表_Excel!$A:$Z,23,FALSE)),"")</f>
        <v>ﾋﾟｸｱﾚ0 10：00まで納品</v>
      </c>
      <c r="W6" t="str">
        <f ca="1">IF(AND(COUNTIF(V6,"&lt;&gt;*不要*"),A6&lt;&gt;""),VLOOKUP(A6,得意先マスタ!$A:$AD,24,FALSE),0)</f>
        <v>検食</v>
      </c>
      <c r="X6" t="str">
        <f ca="1">IF(AND(COUNTIF(V6,"&lt;&gt;*不要*"),A6&lt;&gt;""),VLOOKUP(A6,得意先マスタ!$A:$AD,25,FALSE),0)</f>
        <v>-1</v>
      </c>
      <c r="Y6" t="str">
        <f t="shared" ca="1" si="0"/>
        <v>-1</v>
      </c>
      <c r="Z6">
        <f t="shared" ca="1" si="1"/>
        <v>0</v>
      </c>
      <c r="AA6">
        <f t="shared" ca="1" si="5"/>
        <v>0</v>
      </c>
      <c r="AB6" t="str">
        <f t="shared" ca="1" si="2"/>
        <v>弁当　検食、ピクニック　検食</v>
      </c>
      <c r="AC6" t="str">
        <f t="array" aca="1" ref="AC6" ca="1">IFERROR(INDEX(6:6, SMALL(IF($D6:$U6&lt;&gt;"", COLUMN($D$1:$U6)), COLUMN(A6))), "")</f>
        <v>キャラ弁当　飯なし</v>
      </c>
      <c r="AD6" t="str">
        <f t="array" aca="1" ref="AD6" ca="1">IFERROR(INDEX(6:6, SMALL(IF($D6:$U6&lt;&gt;"", COLUMN($D$1:$U6)), COLUMN(B6))), "")</f>
        <v>弁当　園児</v>
      </c>
      <c r="AE6">
        <f t="array" aca="1" ref="AE6" ca="1">IFERROR(INDEX(6:6, SMALL(IF($D6:$U6&lt;&gt;"", COLUMN($D$1:$U6)), COLUMN(C6))), "")</f>
        <v>153</v>
      </c>
      <c r="AF6" t="str">
        <f t="array" aca="1" ref="AF6" ca="1">IFERROR(INDEX(6:6, SMALL(IF($D6:$U6&lt;&gt;"", COLUMN($D$1:$U6)), COLUMN(D6))), "")</f>
        <v>ピクニック</v>
      </c>
      <c r="AG6" t="str">
        <f t="array" aca="1" ref="AG6" ca="1">IFERROR(INDEX(6:6, SMALL(IF($D6:$U6&lt;&gt;"", COLUMN($D$1:$U6)), COLUMN(E6))), "")</f>
        <v>ピクニック　園児</v>
      </c>
      <c r="AH6">
        <f t="array" aca="1" ref="AH6" ca="1">IFERROR(INDEX(6:6, SMALL(IF($D6:$U6&lt;&gt;"", COLUMN($D$1:$U6)), COLUMN(F6))), "")</f>
        <v>35</v>
      </c>
      <c r="AI6" t="str">
        <f t="array" aca="1" ref="AI6" ca="1">IFERROR(INDEX(6:6, SMALL(IF($D6:$U6&lt;&gt;"", COLUMN($D$1:$U6)), COLUMN(G6))), "")</f>
        <v/>
      </c>
      <c r="AJ6" t="str">
        <f t="array" aca="1" ref="AJ6" ca="1">IFERROR(INDEX(6:6, SMALL(IF($D6:$U6&lt;&gt;"", COLUMN($D$1:$U6)), COLUMN(H6))), "")</f>
        <v/>
      </c>
      <c r="AK6" t="str">
        <f t="array" aca="1" ref="AK6" ca="1">IFERROR(INDEX(6:6, SMALL(IF($D6:$U6&lt;&gt;"", COLUMN($D$1:$U6)), COLUMN(I6))), "")</f>
        <v/>
      </c>
      <c r="AL6" t="str">
        <f t="array" aca="1" ref="AL6" ca="1">IFERROR(INDEX(6:6, SMALL(IF($D6:$U6&lt;&gt;"", COLUMN($D$1:$U6)), COLUMN(J6))), "")</f>
        <v/>
      </c>
      <c r="AM6" t="str">
        <f t="array" aca="1" ref="AM6" ca="1">IFERROR(INDEX(6:6, SMALL(IF($D6:$U6&lt;&gt;"", COLUMN($D$1:$U6)), COLUMN(K6))), "")</f>
        <v/>
      </c>
      <c r="AN6" t="str">
        <f t="array" aca="1" ref="AN6" ca="1">IFERROR(INDEX(6:6, SMALL(IF($D6:$U6&lt;&gt;"", COLUMN($D$1:$U6)), COLUMN(L6))), "")</f>
        <v/>
      </c>
      <c r="AO6" t="str">
        <f t="array" aca="1" ref="AO6" ca="1">IFERROR(INDEX(6:6, SMALL(IF($D6:$U6&lt;&gt;"", COLUMN($D$1:$U6)), COLUMN(M6))), "")</f>
        <v/>
      </c>
      <c r="AP6" t="str">
        <f t="array" aca="1" ref="AP6" ca="1">IFERROR(INDEX(6:6, SMALL(IF($D6:$U6&lt;&gt;"", COLUMN($D$1:$U6)), COLUMN(N6))), "")</f>
        <v/>
      </c>
      <c r="AQ6" t="str">
        <f t="array" aca="1" ref="AQ6" ca="1">IFERROR(INDEX(6:6, SMALL(IF($D6:$U6&lt;&gt;"", COLUMN($D$1:$U6)), COLUMN(O6))), "")</f>
        <v/>
      </c>
      <c r="AR6" s="52" t="s">
        <v>4005</v>
      </c>
      <c r="AS6" t="str">
        <f t="shared" ca="1" si="3"/>
        <v>弁当　検食</v>
      </c>
      <c r="AT6" t="str">
        <f t="shared" ca="1" si="4"/>
        <v>1</v>
      </c>
      <c r="AU6" t="str">
        <f t="shared" ca="1" si="6"/>
        <v>ピクニック　検食</v>
      </c>
      <c r="AV6" t="str">
        <f t="shared" ca="1" si="7"/>
        <v>1</v>
      </c>
      <c r="AW6" t="str">
        <f t="shared" ca="1" si="8"/>
        <v/>
      </c>
      <c r="AX6" t="str">
        <f t="shared" ca="1" si="9"/>
        <v/>
      </c>
      <c r="AZ6" t="str">
        <f t="array" aca="1" ref="AZ6" ca="1">IFERROR(INDEX(6:6, SMALL(IF($AC6:$AX6&lt;&gt;"", COLUMN($AC$1:$AX6)), COLUMN(A6))), "")</f>
        <v>キャラ弁当　飯なし</v>
      </c>
      <c r="BA6" t="str">
        <f t="array" aca="1" ref="BA6" ca="1">IFERROR(INDEX(6:6, SMALL(IF($AC6:$AX6&lt;&gt;"", COLUMN($AC$1:$AX6)), COLUMN(B6))), "")</f>
        <v>弁当　園児</v>
      </c>
      <c r="BB6">
        <f t="array" aca="1" ref="BB6" ca="1">IFERROR(INDEX(6:6, SMALL(IF($AC6:$AX6&lt;&gt;"", COLUMN($AC$1:$AX6)), COLUMN(C6))), "")</f>
        <v>153</v>
      </c>
      <c r="BC6" t="str">
        <f t="array" aca="1" ref="BC6" ca="1">IFERROR(INDEX(6:6, SMALL(IF($AC6:$AX6&lt;&gt;"", COLUMN($AC$1:$AX6)), COLUMN(D6))), "")</f>
        <v>ピクニック</v>
      </c>
      <c r="BD6" t="str">
        <f t="array" aca="1" ref="BD6" ca="1">IFERROR(INDEX(6:6, SMALL(IF($AC6:$AX6&lt;&gt;"", COLUMN($AC$1:$AX6)), COLUMN(E6))), "")</f>
        <v>ピクニック　園児</v>
      </c>
      <c r="BE6">
        <f t="array" aca="1" ref="BE6" ca="1">IFERROR(INDEX(6:6, SMALL(IF($AC6:$AX6&lt;&gt;"", COLUMN($AC$1:$AX6)), COLUMN(F6))), "")</f>
        <v>35</v>
      </c>
      <c r="BF6" t="str">
        <f t="array" aca="1" ref="BF6" ca="1">IFERROR(IF(AND(COUNTIF($B6,"*泉ヶ丘*"),COUNTIF($B7,"*泉ヶ丘*")),
IFERROR(INDEX(7:7, SMALL(IF($AC7:$AX7&lt;&gt;"", COLUMN($AC$1:$AX7)), COLUMN(A7))), ""),
INDEX(6:6, SMALL(IF($AC6:$AX6&lt;&gt;"", COLUMN($AC$1:$AX6)), COLUMN(G6)))), "")</f>
        <v>●</v>
      </c>
      <c r="BG6" t="str">
        <f t="array" aca="1" ref="BG6" ca="1">IFERROR(IF(AND(COUNTIF($B6,"*泉ヶ丘*"),COUNTIF($B7,"*泉ヶ丘*")),
IFERROR(INDEX(7:7, SMALL(IF($AC7:$AX7&lt;&gt;"", COLUMN($AC$1:$AX7)), COLUMN(B7))), ""),
INDEX(6:6, SMALL(IF($AC6:$AX6&lt;&gt;"", COLUMN($AC$1:$AX6)), COLUMN(H6)))), "")</f>
        <v>弁当　検食</v>
      </c>
      <c r="BH6" t="str">
        <f t="array" aca="1" ref="BH6" ca="1">IFERROR(IF(AND(COUNTIF($B6,"*泉ヶ丘*"),COUNTIF($B7,"*泉ヶ丘*")),
IFERROR(INDEX(7:7, SMALL(IF($AC7:$AX7&lt;&gt;"", COLUMN($AC$1:$AX7)), COLUMN(C7))), ""),
INDEX(6:6, SMALL(IF($AC6:$AX6&lt;&gt;"", COLUMN($AC$1:$AX6)), COLUMN(I6)))), "")</f>
        <v>1</v>
      </c>
      <c r="BI6" t="str">
        <f t="array" aca="1" ref="BI6" ca="1">IFERROR(IF(AND(COUNTIF($B6,"*泉ヶ丘*"),COUNTIF($B7,"*泉ヶ丘*")),
IFERROR(INDEX(7:7, SMALL(IF($AC7:$AX7&lt;&gt;"", COLUMN($AC$1:$AX7)), COLUMN(D7))), ""),
INDEX(6:6, SMALL(IF($AC6:$AX6&lt;&gt;"", COLUMN($AC$1:$AX6)), COLUMN(J6)))), "")</f>
        <v>ピクニック　検食</v>
      </c>
      <c r="BJ6" t="str">
        <f t="array" aca="1" ref="BJ6" ca="1">IFERROR(IF(AND(COUNTIF($B6,"*泉ヶ丘*"),COUNTIF($B7,"*泉ヶ丘*")),
IFERROR(INDEX(7:7, SMALL(IF($AC7:$AX7&lt;&gt;"", COLUMN($AC$1:$AX7)), COLUMN(E7))), ""),
INDEX(6:6, SMALL(IF($AC6:$AX6&lt;&gt;"", COLUMN($AC$1:$AX6)), COLUMN(K6)))), "")</f>
        <v>1</v>
      </c>
      <c r="BK6" t="str">
        <f t="array" aca="1" ref="BK6" ca="1">IFERROR(IF(AND(COUNTIF($B6,"*泉ヶ丘*"),COUNTIF($B7,"*泉ヶ丘*")),
IFERROR(INDEX(7:7, SMALL(IF($AC7:$AX7&lt;&gt;"", COLUMN($AC$1:$AX7)), COLUMN(F7))), ""),
INDEX(6:6, SMALL(IF($AC6:$AX6&lt;&gt;"", COLUMN($AC$1:$AX6)), COLUMN(L6)))), "")</f>
        <v/>
      </c>
      <c r="BL6" t="str">
        <f t="array" aca="1" ref="BL6" ca="1">IFERROR(IF(AND(COUNTIF($B6,"*泉ヶ丘*"),COUNTIF($B7,"*泉ヶ丘*")),
IFERROR(INDEX(7:7, SMALL(IF($AC7:$AX7&lt;&gt;"", COLUMN($AC$1:$AX7)), COLUMN(G7))), ""),
INDEX(6:6, SMALL(IF($AC6:$AX6&lt;&gt;"", COLUMN($AC$1:$AX6)), COLUMN(M6)))), "")</f>
        <v/>
      </c>
      <c r="BM6" t="str">
        <f t="array" aca="1" ref="BM6" ca="1">IFERROR(IF(AND(COUNTIF($B6,"*泉ヶ丘*"),COUNTIF($B7,"*泉ヶ丘*")),
IFERROR(INDEX(7:7, SMALL(IF($AC7:$AX7&lt;&gt;"", COLUMN($AC$1:$AX7)), COLUMN(H7))), ""),
INDEX(6:6, SMALL(IF($AC6:$AX6&lt;&gt;"", COLUMN($AC$1:$AX6)), COLUMN(N6)))), "")</f>
        <v/>
      </c>
      <c r="BN6" t="str">
        <f t="array" aca="1" ref="BN6" ca="1">IFERROR(IF(AND(COUNTIF($B6,"*泉ヶ丘*"),COUNTIF($B7,"*泉ヶ丘*")),
IFERROR(INDEX(7:7, SMALL(IF($AC7:$AX7&lt;&gt;"", COLUMN($AC$1:$AX7)), COLUMN(I7))), ""),
INDEX(6:6, SMALL(IF($AC6:$AX6&lt;&gt;"", COLUMN($AC$1:$AX6)), COLUMN(O6)))), "")</f>
        <v/>
      </c>
      <c r="BO6" t="str">
        <f t="array" aca="1" ref="BO6" ca="1">IFERROR(IF(AND(COUNTIF($B6,"*泉ヶ丘*"),COUNTIF($B7,"*泉ヶ丘*")),
IFERROR(INDEX(7:7, SMALL(IF($AC7:$AX7&lt;&gt;"", COLUMN($AC$1:$AX7)), COLUMN(J7))), ""),
INDEX(6:6, SMALL(IF($AC6:$AX6&lt;&gt;"", COLUMN($AC$1:$AX6)), COLUMN(P6)))), "")</f>
        <v/>
      </c>
      <c r="BP6" t="str">
        <f t="array" aca="1" ref="BP6" ca="1">IFERROR(IF(AND(COUNTIF($B6,"*泉ヶ丘*"),COUNTIF($B7,"*泉ヶ丘*")),
IFERROR(INDEX(7:7, SMALL(IF($AC7:$AX7&lt;&gt;"", COLUMN($AC$1:$AX7)), COLUMN(K7))), ""),
INDEX(6:6, SMALL(IF($AC6:$AX6&lt;&gt;"", COLUMN($AC$1:$AX6)), COLUMN(Q6)))), "")</f>
        <v/>
      </c>
      <c r="BQ6" t="str">
        <f t="array" aca="1" ref="BQ6" ca="1">IFERROR(IF(AND(COUNTIF($B6,"*泉ヶ丘*"),COUNTIF($B7,"*泉ヶ丘*")),
IFERROR(INDEX(7:7, SMALL(IF($AC7:$AX7&lt;&gt;"", COLUMN($AC$1:$AX7)), COLUMN(L7))), ""),
INDEX(6:6, SMALL(IF($AC6:$AX6&lt;&gt;"", COLUMN($AC$1:$AX6)), COLUMN(R6)))), "")</f>
        <v/>
      </c>
    </row>
    <row r="7" spans="1:69" x14ac:dyDescent="0.45">
      <c r="A7" t="str">
        <f t="array" ref="A7">IF(INDEX(貼り付け用!A:A,MATCH(A6,貼り付け用!A:A,0)+2)="4700",
IF(INDEX(貼り付け用!A:A,MATCH(A6,貼り付け用!A:A,0)+4)="4800",
INDEX(貼り付け用!A:A,MATCH(A6,貼り付け用!A:A,0)+6),
INDEX(貼り付け用!A:A,MATCH(A6,貼り付け用!A:A,0)+4)),INDEX(貼り付け用!A:A,MATCH(A6,貼り付け用!A:A,0)+2))</f>
        <v>207</v>
      </c>
      <c r="B7" t="str">
        <f>IF(A7&lt;&gt;"",
VLOOKUP(A7,得意先マスタ!A:D,2,FALSE),"")</f>
        <v>博多南幼稚園（補助教員）</v>
      </c>
      <c r="C7" t="str">
        <f t="array" ref="C7">IF(A7="10000","",INDEX(貼り付け用!A:A,MATCH(A7,貼り付け用!A:A,0)+1))</f>
        <v>博多南（補助教員） web</v>
      </c>
      <c r="D7" t="str">
        <f ca="1">VLOOKUP(C7,クライアント抽出!$A:$O,10,FALSE)</f>
        <v/>
      </c>
      <c r="E7" t="str">
        <f ca="1">IF(D7&lt;&gt;"",
IF(COUNTIF(C7,"*ぺんぎん*"),
VLOOKUP(
"*"&amp;IF(COUNTIF(D7,"*キャラ弁*"),"キャラ",
IF(COUNTIF(D7,"*赤*"),"赤",SUBSTITUTE(SUBSTITUTE(D7," ",""),"　","")))&amp;"*",
注文弁当の抽出!$F:$I,4,FALSE)&amp;
IF(COUNTIF(D7,"*おにぎり*"),"　おにぎり","")&amp;"　（ぺんぎん組）",
VLOOKUP(
"*"&amp;IF(COUNTIF(D7,"*キャラ弁*"),"キャラ",
IF(COUNTIF(D7,"*赤*"),"赤",SUBSTITUTE(SUBSTITUTE(D7," ",""),"　","")))&amp;"*",
注文弁当の抽出!$F:$I,4,FALSE)&amp;
IF(COUNTIF(D7,"*おにぎり*"),"　おにぎり","")),"")</f>
        <v/>
      </c>
      <c r="F7" t="str">
        <f ca="1">IFERROR(IF(E7&lt;&gt;"",
VLOOKUP(C7,クライアント抽出!$A:$G,2,FALSE)+
IF(COUNTIF(Y7,"*-*"),Y7,0),"")
-IFERROR(MID(V7, SEARCH("予備", V7) + LEN("予備"), SEARCH("込み", V7) - (SEARCH("予備", V7) + LEN("予備"))),0),"")</f>
        <v/>
      </c>
      <c r="G7" t="str">
        <f ca="1">VLOOKUP(C7,クライアント抽出!$A:$O,11,FALSE)</f>
        <v/>
      </c>
      <c r="H7" t="str">
        <f ca="1">IF(G7&lt;&gt;"",
VLOOKUP(
"*"&amp;IF(COUNTIF(G7,"*キャラ弁*"),"キャラ",
IF(COUNTIF(G7,"*赤*"),"赤",SUBSTITUTE(SUBSTITUTE(G7," ",""),"　","")))&amp;"*",
注文弁当の抽出!$F:$I,4,FALSE)&amp;
IF(COUNTIF(G7,"*おにぎり*"),"　おにぎり",""),"")</f>
        <v/>
      </c>
      <c r="I7" t="str">
        <f ca="1">IF(H7&lt;&gt;"",
VLOOKUP(C7,クライアント抽出!$A:$G,3,FALSE)+
IF(COUNTIF(C7,"*博多*"),Y7,Z7),"")</f>
        <v/>
      </c>
      <c r="J7" t="str">
        <f ca="1">VLOOKUP(C7,クライアント抽出!$A:$O,12,FALSE)</f>
        <v/>
      </c>
      <c r="K7" t="str">
        <f ca="1">IF(J7&lt;&gt;"",
VLOOKUP(
"*"&amp;IF(COUNTIF(J7,"*キャラ弁*"),"キャラ",
IF(COUNTIF(J7,"*赤*"),"赤",SUBSTITUTE(SUBSTITUTE(J7," ",""),"　","")))&amp;"*",
注文弁当の抽出!$F:$I,4,FALSE)&amp;
IF(COUNTIF(J7,"*おにぎり*"),"　おにぎり",""),"")</f>
        <v/>
      </c>
      <c r="L7" t="str">
        <f ca="1">IF(K7&lt;&gt;"",
VLOOKUP(C7,クライアント抽出!$A:$G,4,FALSE)+AA7,"")</f>
        <v/>
      </c>
      <c r="M7" t="str">
        <f ca="1">VLOOKUP(C7,クライアント抽出!$A:$O,13,FALSE)</f>
        <v>キャラ弁当　飯あり120</v>
      </c>
      <c r="N7" t="str">
        <f ca="1">SUBSTITUTE(
IF(M7&lt;&gt;"",
VLOOKUP(
"*"&amp;IF(COUNTIF(M7,"*キャラ弁*"),"キャラ",
IF(COUNTIF(M7,"*赤*"),"赤",SUBSTITUTE(SUBSTITUTE(D7," ",""),"　","")))&amp;"*",
注文弁当の抽出!$F:$I,4,FALSE),""),"園児","先生")&amp;
IF(COUNTIF(M7,"*おにぎり*"),"　おにぎり","")</f>
        <v>弁当　先生</v>
      </c>
      <c r="O7">
        <f ca="1">IF(N7&lt;&gt;"",VLOOKUP(C7,クライアント抽出!$A:$G,5,FALSE),"")</f>
        <v>4</v>
      </c>
      <c r="P7" t="str">
        <f ca="1">VLOOKUP(C7,クライアント抽出!$A:$O,14,FALSE)</f>
        <v/>
      </c>
      <c r="Q7" t="str">
        <f ca="1">SUBSTITUTE(
IF(P7&lt;&gt;"",
VLOOKUP(
"*"&amp;IF(COUNTIF(P7,"*キャラ弁*"),"キャラ",
IF(COUNTIF(P7,"*赤*"),"赤",SUBSTITUTE(SUBSTITUTE(G7," ",""),"　","")))&amp;"*",
注文弁当の抽出!$F:$I,4,FALSE),""),"園児","先生")&amp;
IF(COUNTIF(P7,"*おにぎり*"),"　おにぎり","")</f>
        <v/>
      </c>
      <c r="R7" t="str">
        <f ca="1">IF(Q7&lt;&gt;"",
VLOOKUP(C7,クライアント抽出!$A:$G,6,FALSE),"")</f>
        <v/>
      </c>
      <c r="S7" t="str">
        <f ca="1">VLOOKUP(C7,クライアント抽出!$A:$O,15,FALSE)</f>
        <v/>
      </c>
      <c r="T7" t="str">
        <f ca="1">SUBSTITUTE(
IF(S7&lt;&gt;"",
VLOOKUP(
"*"&amp;IF(COUNTIF(S7,"*キャラ弁*"),"キャラ",
IF(COUNTIF(S7,"*赤*"),"赤",SUBSTITUTE(SUBSTITUTE(J7," ",""),"　","")))&amp;"*",
注文弁当の抽出!$F:$I,4,FALSE),""),"園児","先生")&amp;
IF(COUNTIF(S7,"*おにぎり*"),"　おにぎり","")</f>
        <v/>
      </c>
      <c r="U7" t="str">
        <f ca="1">IF(T7&lt;&gt;"",
VLOOKUP(C7,クライアント抽出!$A:$G,7,FALSE),"")</f>
        <v/>
      </c>
      <c r="V7" t="str">
        <f ca="1">IF(A7&lt;&gt;"",
IF(COUNTIF(V6,"*牛乳*"),
IF(AND(COUNTIF(B6,"*奈良屋*"),COUNTIF(B7,"*奈良屋*")),
V6&amp;"✔",""),VLOOKUP(""&amp;A7&amp;"",数出表_Excel!$A:$Z,22,FALSE)&amp;VLOOKUP(""&amp;A7&amp;"",数出表_Excel!$A:$Z,23,FALSE)
&amp;VLOOKUP(""&amp;C7&amp;"",数出表_Excel!$A:$Z,22,FALSE)&amp;VLOOKUP(""&amp;C7&amp;"",数出表_Excel!$A:$Z,23,FALSE)),"")</f>
        <v/>
      </c>
      <c r="W7">
        <f ca="1">IF(AND(COUNTIF(V7,"&lt;&gt;*不要*"),A7&lt;&gt;""),VLOOKUP(A7,得意先マスタ!$A:$AD,24,FALSE),0)</f>
        <v>0</v>
      </c>
      <c r="X7">
        <f ca="1">IF(AND(COUNTIF(V7,"&lt;&gt;*不要*"),A7&lt;&gt;""),VLOOKUP(A7,得意先マスタ!$A:$AD,25,FALSE),0)</f>
        <v>0</v>
      </c>
      <c r="Y7">
        <f t="shared" ca="1" si="0"/>
        <v>0</v>
      </c>
      <c r="Z7">
        <f t="shared" ca="1" si="1"/>
        <v>0</v>
      </c>
      <c r="AA7">
        <f t="shared" ca="1" si="5"/>
        <v>0</v>
      </c>
      <c r="AB7" t="str">
        <f t="shared" ca="1" si="2"/>
        <v/>
      </c>
      <c r="AC7" t="str">
        <f t="array" aca="1" ref="AC7" ca="1">IFERROR(INDEX(7:7, SMALL(IF($D7:$U7&lt;&gt;"", COLUMN($D$1:$U7)), COLUMN(A7))), "")</f>
        <v>キャラ弁当　飯あり120</v>
      </c>
      <c r="AD7" t="str">
        <f t="array" aca="1" ref="AD7" ca="1">IFERROR(INDEX(7:7, SMALL(IF($D7:$U7&lt;&gt;"", COLUMN($D$1:$U7)), COLUMN(B7))), "")</f>
        <v>弁当　先生</v>
      </c>
      <c r="AE7">
        <f t="array" aca="1" ref="AE7" ca="1">IFERROR(INDEX(7:7, SMALL(IF($D7:$U7&lt;&gt;"", COLUMN($D$1:$U7)), COLUMN(C7))), "")</f>
        <v>4</v>
      </c>
      <c r="AF7" t="str">
        <f t="array" aca="1" ref="AF7" ca="1">IFERROR(INDEX(7:7, SMALL(IF($D7:$U7&lt;&gt;"", COLUMN($D$1:$U7)), COLUMN(D7))), "")</f>
        <v/>
      </c>
      <c r="AG7" t="str">
        <f t="array" aca="1" ref="AG7" ca="1">IFERROR(INDEX(7:7, SMALL(IF($D7:$U7&lt;&gt;"", COLUMN($D$1:$U7)), COLUMN(E7))), "")</f>
        <v/>
      </c>
      <c r="AH7" t="str">
        <f t="array" aca="1" ref="AH7" ca="1">IFERROR(INDEX(7:7, SMALL(IF($D7:$U7&lt;&gt;"", COLUMN($D$1:$U7)), COLUMN(F7))), "")</f>
        <v/>
      </c>
      <c r="AI7" t="str">
        <f t="array" aca="1" ref="AI7" ca="1">IFERROR(INDEX(7:7, SMALL(IF($D7:$U7&lt;&gt;"", COLUMN($D$1:$U7)), COLUMN(G7))), "")</f>
        <v/>
      </c>
      <c r="AJ7" t="str">
        <f t="array" aca="1" ref="AJ7" ca="1">IFERROR(INDEX(7:7, SMALL(IF($D7:$U7&lt;&gt;"", COLUMN($D$1:$U7)), COLUMN(H7))), "")</f>
        <v/>
      </c>
      <c r="AK7" t="str">
        <f t="array" aca="1" ref="AK7" ca="1">IFERROR(INDEX(7:7, SMALL(IF($D7:$U7&lt;&gt;"", COLUMN($D$1:$U7)), COLUMN(I7))), "")</f>
        <v/>
      </c>
      <c r="AL7" t="str">
        <f t="array" aca="1" ref="AL7" ca="1">IFERROR(INDEX(7:7, SMALL(IF($D7:$U7&lt;&gt;"", COLUMN($D$1:$U7)), COLUMN(J7))), "")</f>
        <v/>
      </c>
      <c r="AM7" t="str">
        <f t="array" aca="1" ref="AM7" ca="1">IFERROR(INDEX(7:7, SMALL(IF($D7:$U7&lt;&gt;"", COLUMN($D$1:$U7)), COLUMN(K7))), "")</f>
        <v/>
      </c>
      <c r="AN7" t="str">
        <f t="array" aca="1" ref="AN7" ca="1">IFERROR(INDEX(7:7, SMALL(IF($D7:$U7&lt;&gt;"", COLUMN($D$1:$U7)), COLUMN(L7))), "")</f>
        <v/>
      </c>
      <c r="AO7" t="str">
        <f t="array" aca="1" ref="AO7" ca="1">IFERROR(INDEX(7:7, SMALL(IF($D7:$U7&lt;&gt;"", COLUMN($D$1:$U7)), COLUMN(M7))), "")</f>
        <v/>
      </c>
      <c r="AP7" t="str">
        <f t="array" aca="1" ref="AP7" ca="1">IFERROR(INDEX(7:7, SMALL(IF($D7:$U7&lt;&gt;"", COLUMN($D$1:$U7)), COLUMN(N7))), "")</f>
        <v/>
      </c>
      <c r="AQ7" t="str">
        <f t="array" aca="1" ref="AQ7" ca="1">IFERROR(INDEX(7:7, SMALL(IF($D7:$U7&lt;&gt;"", COLUMN($D$1:$U7)), COLUMN(O7))), "")</f>
        <v/>
      </c>
      <c r="AR7" s="52" t="s">
        <v>4005</v>
      </c>
      <c r="AS7" t="str">
        <f t="shared" ca="1" si="3"/>
        <v/>
      </c>
      <c r="AT7" t="str">
        <f t="shared" ca="1" si="4"/>
        <v/>
      </c>
      <c r="AU7" t="str">
        <f t="shared" ca="1" si="6"/>
        <v/>
      </c>
      <c r="AV7" t="str">
        <f t="shared" ca="1" si="7"/>
        <v/>
      </c>
      <c r="AW7" t="str">
        <f t="shared" ca="1" si="8"/>
        <v/>
      </c>
      <c r="AX7" t="str">
        <f t="shared" ca="1" si="9"/>
        <v/>
      </c>
      <c r="AZ7" t="str">
        <f t="array" aca="1" ref="AZ7" ca="1">IFERROR(INDEX(7:7, SMALL(IF($AC7:$AX7&lt;&gt;"", COLUMN($AC$1:$AX7)), COLUMN(A7))), "")</f>
        <v>キャラ弁当　飯あり120</v>
      </c>
      <c r="BA7" t="str">
        <f t="array" aca="1" ref="BA7" ca="1">IFERROR(INDEX(7:7, SMALL(IF($AC7:$AX7&lt;&gt;"", COLUMN($AC$1:$AX7)), COLUMN(B7))), "")</f>
        <v>弁当　先生</v>
      </c>
      <c r="BB7">
        <f t="array" aca="1" ref="BB7" ca="1">IFERROR(INDEX(7:7, SMALL(IF($AC7:$AX7&lt;&gt;"", COLUMN($AC$1:$AX7)), COLUMN(C7))), "")</f>
        <v>4</v>
      </c>
      <c r="BC7" t="str">
        <f t="array" aca="1" ref="BC7" ca="1">IFERROR(INDEX(7:7, SMALL(IF($AC7:$AX7&lt;&gt;"", COLUMN($AC$1:$AX7)), COLUMN(D7))), "")</f>
        <v>●</v>
      </c>
      <c r="BD7" t="str">
        <f t="array" aca="1" ref="BD7" ca="1">IFERROR(INDEX(7:7, SMALL(IF($AC7:$AX7&lt;&gt;"", COLUMN($AC$1:$AX7)), COLUMN(E7))), "")</f>
        <v/>
      </c>
      <c r="BE7" t="str">
        <f t="array" aca="1" ref="BE7" ca="1">IFERROR(INDEX(7:7, SMALL(IF($AC7:$AX7&lt;&gt;"", COLUMN($AC$1:$AX7)), COLUMN(F7))), "")</f>
        <v/>
      </c>
      <c r="BF7" t="str">
        <f t="array" aca="1" ref="BF7" ca="1">IFERROR(IF(AND(COUNTIF($B7,"*泉ヶ丘*"),COUNTIF($B8,"*泉ヶ丘*")),
IFERROR(INDEX(8:8, SMALL(IF($AC8:$AX8&lt;&gt;"", COLUMN($AC$1:$AX8)), COLUMN(A8))), ""),
INDEX(7:7, SMALL(IF($AC7:$AX7&lt;&gt;"", COLUMN($AC$1:$AX7)), COLUMN(G7)))), "")</f>
        <v/>
      </c>
      <c r="BG7" t="str">
        <f t="array" aca="1" ref="BG7" ca="1">IFERROR(IF(AND(COUNTIF($B7,"*泉ヶ丘*"),COUNTIF($B8,"*泉ヶ丘*")),
IFERROR(INDEX(8:8, SMALL(IF($AC8:$AX8&lt;&gt;"", COLUMN($AC$1:$AX8)), COLUMN(B8))), ""),
INDEX(7:7, SMALL(IF($AC7:$AX7&lt;&gt;"", COLUMN($AC$1:$AX7)), COLUMN(H7)))), "")</f>
        <v/>
      </c>
      <c r="BH7" t="str">
        <f t="array" aca="1" ref="BH7" ca="1">IFERROR(IF(AND(COUNTIF($B7,"*泉ヶ丘*"),COUNTIF($B8,"*泉ヶ丘*")),
IFERROR(INDEX(8:8, SMALL(IF($AC8:$AX8&lt;&gt;"", COLUMN($AC$1:$AX8)), COLUMN(C8))), ""),
INDEX(7:7, SMALL(IF($AC7:$AX7&lt;&gt;"", COLUMN($AC$1:$AX7)), COLUMN(I7)))), "")</f>
        <v/>
      </c>
      <c r="BI7" t="str">
        <f t="array" aca="1" ref="BI7" ca="1">IFERROR(IF(AND(COUNTIF($B7,"*泉ヶ丘*"),COUNTIF($B8,"*泉ヶ丘*")),
IFERROR(INDEX(8:8, SMALL(IF($AC8:$AX8&lt;&gt;"", COLUMN($AC$1:$AX8)), COLUMN(D8))), ""),
INDEX(7:7, SMALL(IF($AC7:$AX7&lt;&gt;"", COLUMN($AC$1:$AX7)), COLUMN(J7)))), "")</f>
        <v/>
      </c>
      <c r="BJ7" t="str">
        <f t="array" aca="1" ref="BJ7" ca="1">IFERROR(IF(AND(COUNTIF($B7,"*泉ヶ丘*"),COUNTIF($B8,"*泉ヶ丘*")),
IFERROR(INDEX(8:8, SMALL(IF($AC8:$AX8&lt;&gt;"", COLUMN($AC$1:$AX8)), COLUMN(E8))), ""),
INDEX(7:7, SMALL(IF($AC7:$AX7&lt;&gt;"", COLUMN($AC$1:$AX7)), COLUMN(K7)))), "")</f>
        <v/>
      </c>
      <c r="BK7" t="str">
        <f t="array" aca="1" ref="BK7" ca="1">IFERROR(IF(AND(COUNTIF($B7,"*泉ヶ丘*"),COUNTIF($B8,"*泉ヶ丘*")),
IFERROR(INDEX(8:8, SMALL(IF($AC8:$AX8&lt;&gt;"", COLUMN($AC$1:$AX8)), COLUMN(F8))), ""),
INDEX(7:7, SMALL(IF($AC7:$AX7&lt;&gt;"", COLUMN($AC$1:$AX7)), COLUMN(L7)))), "")</f>
        <v/>
      </c>
      <c r="BL7" t="str">
        <f t="array" aca="1" ref="BL7" ca="1">IFERROR(IF(AND(COUNTIF($B7,"*泉ヶ丘*"),COUNTIF($B8,"*泉ヶ丘*")),
IFERROR(INDEX(8:8, SMALL(IF($AC8:$AX8&lt;&gt;"", COLUMN($AC$1:$AX8)), COLUMN(G8))), ""),
INDEX(7:7, SMALL(IF($AC7:$AX7&lt;&gt;"", COLUMN($AC$1:$AX7)), COLUMN(M7)))), "")</f>
        <v/>
      </c>
      <c r="BM7" t="str">
        <f t="array" aca="1" ref="BM7" ca="1">IFERROR(IF(AND(COUNTIF($B7,"*泉ヶ丘*"),COUNTIF($B8,"*泉ヶ丘*")),
IFERROR(INDEX(8:8, SMALL(IF($AC8:$AX8&lt;&gt;"", COLUMN($AC$1:$AX8)), COLUMN(H8))), ""),
INDEX(7:7, SMALL(IF($AC7:$AX7&lt;&gt;"", COLUMN($AC$1:$AX7)), COLUMN(N7)))), "")</f>
        <v/>
      </c>
      <c r="BN7" t="str">
        <f t="array" aca="1" ref="BN7" ca="1">IFERROR(IF(AND(COUNTIF($B7,"*泉ヶ丘*"),COUNTIF($B8,"*泉ヶ丘*")),
IFERROR(INDEX(8:8, SMALL(IF($AC8:$AX8&lt;&gt;"", COLUMN($AC$1:$AX8)), COLUMN(I8))), ""),
INDEX(7:7, SMALL(IF($AC7:$AX7&lt;&gt;"", COLUMN($AC$1:$AX7)), COLUMN(O7)))), "")</f>
        <v/>
      </c>
      <c r="BO7" t="str">
        <f t="array" aca="1" ref="BO7" ca="1">IFERROR(IF(AND(COUNTIF($B7,"*泉ヶ丘*"),COUNTIF($B8,"*泉ヶ丘*")),
IFERROR(INDEX(8:8, SMALL(IF($AC8:$AX8&lt;&gt;"", COLUMN($AC$1:$AX8)), COLUMN(J8))), ""),
INDEX(7:7, SMALL(IF($AC7:$AX7&lt;&gt;"", COLUMN($AC$1:$AX7)), COLUMN(P7)))), "")</f>
        <v/>
      </c>
      <c r="BP7" t="str">
        <f t="array" aca="1" ref="BP7" ca="1">IFERROR(IF(AND(COUNTIF($B7,"*泉ヶ丘*"),COUNTIF($B8,"*泉ヶ丘*")),
IFERROR(INDEX(8:8, SMALL(IF($AC8:$AX8&lt;&gt;"", COLUMN($AC$1:$AX8)), COLUMN(K8))), ""),
INDEX(7:7, SMALL(IF($AC7:$AX7&lt;&gt;"", COLUMN($AC$1:$AX7)), COLUMN(Q7)))), "")</f>
        <v/>
      </c>
      <c r="BQ7" t="str">
        <f t="array" aca="1" ref="BQ7" ca="1">IFERROR(IF(AND(COUNTIF($B7,"*泉ヶ丘*"),COUNTIF($B8,"*泉ヶ丘*")),
IFERROR(INDEX(8:8, SMALL(IF($AC8:$AX8&lt;&gt;"", COLUMN($AC$1:$AX8)), COLUMN(L8))), ""),
INDEX(7:7, SMALL(IF($AC7:$AX7&lt;&gt;"", COLUMN($AC$1:$AX7)), COLUMN(R7)))), "")</f>
        <v/>
      </c>
    </row>
    <row r="8" spans="1:69" x14ac:dyDescent="0.45">
      <c r="A8" t="str">
        <f t="array" ref="A8">IF(INDEX(貼り付け用!A:A,MATCH(A7,貼り付け用!A:A,0)+2)="4700",
IF(INDEX(貼り付け用!A:A,MATCH(A7,貼り付け用!A:A,0)+4)="4800",
INDEX(貼り付け用!A:A,MATCH(A7,貼り付け用!A:A,0)+6),
INDEX(貼り付け用!A:A,MATCH(A7,貼り付け用!A:A,0)+4)),INDEX(貼り付け用!A:A,MATCH(A7,貼り付け用!A:A,0)+2))</f>
        <v>400</v>
      </c>
      <c r="B8" t="str">
        <f>IF(A8&lt;&gt;"",
VLOOKUP(A8,得意先マスタ!A:D,2,FALSE),"")</f>
        <v>博多中央幼稚園　週3ｺｰｽ</v>
      </c>
      <c r="C8" t="str">
        <f t="array" ref="C8">IF(A8="10000","",INDEX(貼り付け用!A:A,MATCH(A8,貼り付け用!A:A,0)+1))</f>
        <v>博多中央 週3ｺｰｽ</v>
      </c>
      <c r="D8" t="str">
        <f ca="1">VLOOKUP(C8,クライアント抽出!$A:$O,10,FALSE)</f>
        <v>キャラ弁当　飯なし</v>
      </c>
      <c r="E8" t="str">
        <f ca="1">IF(D8&lt;&gt;"",
IF(COUNTIF(C8,"*ぺんぎん*"),
VLOOKUP(
"*"&amp;IF(COUNTIF(D8,"*キャラ弁*"),"キャラ",
IF(COUNTIF(D8,"*赤*"),"赤",SUBSTITUTE(SUBSTITUTE(D8," ",""),"　","")))&amp;"*",
注文弁当の抽出!$F:$I,4,FALSE)&amp;
IF(COUNTIF(D8,"*おにぎり*"),"　おにぎり","")&amp;"　（ぺんぎん組）",
VLOOKUP(
"*"&amp;IF(COUNTIF(D8,"*キャラ弁*"),"キャラ",
IF(COUNTIF(D8,"*赤*"),"赤",SUBSTITUTE(SUBSTITUTE(D8," ",""),"　","")))&amp;"*",
注文弁当の抽出!$F:$I,4,FALSE)&amp;
IF(COUNTIF(D8,"*おにぎり*"),"　おにぎり","")),"")</f>
        <v>弁当　園児</v>
      </c>
      <c r="F8">
        <f ca="1">IFERROR(IF(E8&lt;&gt;"",
VLOOKUP(C8,クライアント抽出!$A:$G,2,FALSE)+
IF(COUNTIF(Y8,"*-*"),Y8,0),"")
-IFERROR(MID(V8, SEARCH("予備", V8) + LEN("予備"), SEARCH("込み", V8) - (SEARCH("予備", V8) + LEN("予備"))),0),"")</f>
        <v>139</v>
      </c>
      <c r="G8" t="str">
        <f ca="1">VLOOKUP(C8,クライアント抽出!$A:$O,11,FALSE)</f>
        <v/>
      </c>
      <c r="H8" t="str">
        <f ca="1">IF(G8&lt;&gt;"",
VLOOKUP(
"*"&amp;IF(COUNTIF(G8,"*キャラ弁*"),"キャラ",
IF(COUNTIF(G8,"*赤*"),"赤",SUBSTITUTE(SUBSTITUTE(G8," ",""),"　","")))&amp;"*",
注文弁当の抽出!$F:$I,4,FALSE)&amp;
IF(COUNTIF(G8,"*おにぎり*"),"　おにぎり",""),"")</f>
        <v/>
      </c>
      <c r="I8" t="str">
        <f ca="1">IF(H8&lt;&gt;"",
VLOOKUP(C8,クライアント抽出!$A:$G,3,FALSE)+
IF(COUNTIF(C8,"*博多*"),Y8,Z8),"")</f>
        <v/>
      </c>
      <c r="J8" t="str">
        <f ca="1">VLOOKUP(C8,クライアント抽出!$A:$O,12,FALSE)</f>
        <v/>
      </c>
      <c r="K8" t="str">
        <f ca="1">IF(J8&lt;&gt;"",
VLOOKUP(
"*"&amp;IF(COUNTIF(J8,"*キャラ弁*"),"キャラ",
IF(COUNTIF(J8,"*赤*"),"赤",SUBSTITUTE(SUBSTITUTE(J8," ",""),"　","")))&amp;"*",
注文弁当の抽出!$F:$I,4,FALSE)&amp;
IF(COUNTIF(J8,"*おにぎり*"),"　おにぎり",""),"")</f>
        <v/>
      </c>
      <c r="L8" t="str">
        <f ca="1">IF(K8&lt;&gt;"",
VLOOKUP(C8,クライアント抽出!$A:$G,4,FALSE)+AA8,"")</f>
        <v/>
      </c>
      <c r="M8" t="str">
        <f ca="1">VLOOKUP(C8,クライアント抽出!$A:$O,13,FALSE)</f>
        <v>キャラ弁当　飯なし</v>
      </c>
      <c r="N8" t="str">
        <f ca="1">SUBSTITUTE(
IF(M8&lt;&gt;"",
VLOOKUP(
"*"&amp;IF(COUNTIF(M8,"*キャラ弁*"),"キャラ",
IF(COUNTIF(M8,"*赤*"),"赤",SUBSTITUTE(SUBSTITUTE(D8," ",""),"　","")))&amp;"*",
注文弁当の抽出!$F:$I,4,FALSE),""),"園児","先生")&amp;
IF(COUNTIF(M8,"*おにぎり*"),"　おにぎり","")</f>
        <v>弁当　先生</v>
      </c>
      <c r="O8">
        <f ca="1">IF(N8&lt;&gt;"",VLOOKUP(C8,クライアント抽出!$A:$G,5,FALSE),"")</f>
        <v>20</v>
      </c>
      <c r="P8" t="str">
        <f ca="1">VLOOKUP(C8,クライアント抽出!$A:$O,14,FALSE)</f>
        <v/>
      </c>
      <c r="Q8" t="str">
        <f ca="1">SUBSTITUTE(
IF(P8&lt;&gt;"",
VLOOKUP(
"*"&amp;IF(COUNTIF(P8,"*キャラ弁*"),"キャラ",
IF(COUNTIF(P8,"*赤*"),"赤",SUBSTITUTE(SUBSTITUTE(G8," ",""),"　","")))&amp;"*",
注文弁当の抽出!$F:$I,4,FALSE),""),"園児","先生")&amp;
IF(COUNTIF(P8,"*おにぎり*"),"　おにぎり","")</f>
        <v/>
      </c>
      <c r="R8" t="str">
        <f ca="1">IF(Q8&lt;&gt;"",
VLOOKUP(C8,クライアント抽出!$A:$G,6,FALSE),"")</f>
        <v/>
      </c>
      <c r="S8" t="str">
        <f ca="1">VLOOKUP(C8,クライアント抽出!$A:$O,15,FALSE)</f>
        <v/>
      </c>
      <c r="T8" t="str">
        <f ca="1">SUBSTITUTE(
IF(S8&lt;&gt;"",
VLOOKUP(
"*"&amp;IF(COUNTIF(S8,"*キャラ弁*"),"キャラ",
IF(COUNTIF(S8,"*赤*"),"赤",SUBSTITUTE(SUBSTITUTE(J8," ",""),"　","")))&amp;"*",
注文弁当の抽出!$F:$I,4,FALSE),""),"園児","先生")&amp;
IF(COUNTIF(S8,"*おにぎり*"),"　おにぎり","")</f>
        <v/>
      </c>
      <c r="U8" t="str">
        <f ca="1">IF(T8&lt;&gt;"",
VLOOKUP(C8,クライアント抽出!$A:$G,7,FALSE),"")</f>
        <v/>
      </c>
      <c r="V8" t="str">
        <f ca="1">IF(A8&lt;&gt;"",
IF(COUNTIF(V7,"*牛乳*"),
IF(AND(COUNTIF(B7,"*奈良屋*"),COUNTIF(B8,"*奈良屋*")),
V7&amp;"✔",""),VLOOKUP(""&amp;A8&amp;"",数出表_Excel!$A:$Z,22,FALSE)&amp;VLOOKUP(""&amp;A8&amp;"",数出表_Excel!$A:$Z,23,FALSE)
&amp;VLOOKUP(""&amp;C8&amp;"",数出表_Excel!$A:$Z,22,FALSE)&amp;VLOOKUP(""&amp;C8&amp;"",数出表_Excel!$A:$Z,23,FALSE)),"")</f>
        <v>別注（味王）あり</v>
      </c>
      <c r="W8">
        <f ca="1">IF(AND(COUNTIF(V8,"&lt;&gt;*不要*"),A8&lt;&gt;""),VLOOKUP(A8,得意先マスタ!$A:$AD,24,FALSE),0)</f>
        <v>0</v>
      </c>
      <c r="X8">
        <f ca="1">IF(AND(COUNTIF(V8,"&lt;&gt;*不要*"),A8&lt;&gt;""),VLOOKUP(A8,得意先マスタ!$A:$AD,25,FALSE),0)</f>
        <v>0</v>
      </c>
      <c r="Y8">
        <f t="shared" ca="1" si="0"/>
        <v>0</v>
      </c>
      <c r="Z8">
        <f t="shared" ca="1" si="1"/>
        <v>0</v>
      </c>
      <c r="AA8">
        <f t="shared" ca="1" si="5"/>
        <v>0</v>
      </c>
      <c r="AB8" t="str">
        <f t="shared" ca="1" si="2"/>
        <v/>
      </c>
      <c r="AC8" t="str">
        <f t="array" aca="1" ref="AC8" ca="1">IFERROR(INDEX(8:8, SMALL(IF($D8:$U8&lt;&gt;"", COLUMN($D$1:$U8)), COLUMN(A8))), "")</f>
        <v>キャラ弁当　飯なし</v>
      </c>
      <c r="AD8" t="str">
        <f t="array" aca="1" ref="AD8" ca="1">IFERROR(INDEX(8:8, SMALL(IF($D8:$U8&lt;&gt;"", COLUMN($D$1:$U8)), COLUMN(B8))), "")</f>
        <v>弁当　園児</v>
      </c>
      <c r="AE8">
        <f t="array" aca="1" ref="AE8" ca="1">IFERROR(INDEX(8:8, SMALL(IF($D8:$U8&lt;&gt;"", COLUMN($D$1:$U8)), COLUMN(C8))), "")</f>
        <v>139</v>
      </c>
      <c r="AF8" t="str">
        <f t="array" aca="1" ref="AF8" ca="1">IFERROR(INDEX(8:8, SMALL(IF($D8:$U8&lt;&gt;"", COLUMN($D$1:$U8)), COLUMN(D8))), "")</f>
        <v>キャラ弁当　飯なし</v>
      </c>
      <c r="AG8" t="str">
        <f t="array" aca="1" ref="AG8" ca="1">IFERROR(INDEX(8:8, SMALL(IF($D8:$U8&lt;&gt;"", COLUMN($D$1:$U8)), COLUMN(E8))), "")</f>
        <v>弁当　先生</v>
      </c>
      <c r="AH8">
        <f t="array" aca="1" ref="AH8" ca="1">IFERROR(INDEX(8:8, SMALL(IF($D8:$U8&lt;&gt;"", COLUMN($D$1:$U8)), COLUMN(F8))), "")</f>
        <v>20</v>
      </c>
      <c r="AI8" t="str">
        <f t="array" aca="1" ref="AI8" ca="1">IFERROR(INDEX(8:8, SMALL(IF($D8:$U8&lt;&gt;"", COLUMN($D$1:$U8)), COLUMN(G8))), "")</f>
        <v/>
      </c>
      <c r="AJ8" t="str">
        <f t="array" aca="1" ref="AJ8" ca="1">IFERROR(INDEX(8:8, SMALL(IF($D8:$U8&lt;&gt;"", COLUMN($D$1:$U8)), COLUMN(H8))), "")</f>
        <v/>
      </c>
      <c r="AK8" t="str">
        <f t="array" aca="1" ref="AK8" ca="1">IFERROR(INDEX(8:8, SMALL(IF($D8:$U8&lt;&gt;"", COLUMN($D$1:$U8)), COLUMN(I8))), "")</f>
        <v/>
      </c>
      <c r="AL8" t="str">
        <f t="array" aca="1" ref="AL8" ca="1">IFERROR(INDEX(8:8, SMALL(IF($D8:$U8&lt;&gt;"", COLUMN($D$1:$U8)), COLUMN(J8))), "")</f>
        <v/>
      </c>
      <c r="AM8" t="str">
        <f t="array" aca="1" ref="AM8" ca="1">IFERROR(INDEX(8:8, SMALL(IF($D8:$U8&lt;&gt;"", COLUMN($D$1:$U8)), COLUMN(K8))), "")</f>
        <v/>
      </c>
      <c r="AN8" t="str">
        <f t="array" aca="1" ref="AN8" ca="1">IFERROR(INDEX(8:8, SMALL(IF($D8:$U8&lt;&gt;"", COLUMN($D$1:$U8)), COLUMN(L8))), "")</f>
        <v/>
      </c>
      <c r="AO8" t="str">
        <f t="array" aca="1" ref="AO8" ca="1">IFERROR(INDEX(8:8, SMALL(IF($D8:$U8&lt;&gt;"", COLUMN($D$1:$U8)), COLUMN(M8))), "")</f>
        <v/>
      </c>
      <c r="AP8" t="str">
        <f t="array" aca="1" ref="AP8" ca="1">IFERROR(INDEX(8:8, SMALL(IF($D8:$U8&lt;&gt;"", COLUMN($D$1:$U8)), COLUMN(N8))), "")</f>
        <v/>
      </c>
      <c r="AQ8" t="str">
        <f t="array" aca="1" ref="AQ8" ca="1">IFERROR(INDEX(8:8, SMALL(IF($D8:$U8&lt;&gt;"", COLUMN($D$1:$U8)), COLUMN(O8))), "")</f>
        <v/>
      </c>
      <c r="AR8" s="52" t="s">
        <v>4005</v>
      </c>
      <c r="AS8" t="str">
        <f t="shared" ca="1" si="3"/>
        <v/>
      </c>
      <c r="AT8" t="str">
        <f t="shared" ca="1" si="4"/>
        <v/>
      </c>
      <c r="AU8" t="str">
        <f t="shared" ca="1" si="6"/>
        <v/>
      </c>
      <c r="AV8" t="str">
        <f t="shared" ca="1" si="7"/>
        <v/>
      </c>
      <c r="AW8" t="str">
        <f t="shared" ca="1" si="8"/>
        <v/>
      </c>
      <c r="AX8" t="str">
        <f t="shared" ca="1" si="9"/>
        <v/>
      </c>
      <c r="AZ8" t="str">
        <f t="array" aca="1" ref="AZ8" ca="1">IFERROR(INDEX(8:8, SMALL(IF($AC8:$AX8&lt;&gt;"", COLUMN($AC$1:$AX8)), COLUMN(A8))), "")</f>
        <v>キャラ弁当　飯なし</v>
      </c>
      <c r="BA8" t="str">
        <f t="array" aca="1" ref="BA8" ca="1">IFERROR(INDEX(8:8, SMALL(IF($AC8:$AX8&lt;&gt;"", COLUMN($AC$1:$AX8)), COLUMN(B8))), "")</f>
        <v>弁当　園児</v>
      </c>
      <c r="BB8">
        <f t="array" aca="1" ref="BB8" ca="1">IFERROR(INDEX(8:8, SMALL(IF($AC8:$AX8&lt;&gt;"", COLUMN($AC$1:$AX8)), COLUMN(C8))), "")</f>
        <v>139</v>
      </c>
      <c r="BC8" t="str">
        <f t="array" aca="1" ref="BC8" ca="1">IFERROR(INDEX(8:8, SMALL(IF($AC8:$AX8&lt;&gt;"", COLUMN($AC$1:$AX8)), COLUMN(D8))), "")</f>
        <v>キャラ弁当　飯なし</v>
      </c>
      <c r="BD8" t="str">
        <f t="array" aca="1" ref="BD8" ca="1">IFERROR(INDEX(8:8, SMALL(IF($AC8:$AX8&lt;&gt;"", COLUMN($AC$1:$AX8)), COLUMN(E8))), "")</f>
        <v>弁当　先生</v>
      </c>
      <c r="BE8">
        <f t="array" aca="1" ref="BE8" ca="1">IFERROR(INDEX(8:8, SMALL(IF($AC8:$AX8&lt;&gt;"", COLUMN($AC$1:$AX8)), COLUMN(F8))), "")</f>
        <v>20</v>
      </c>
      <c r="BF8" t="str">
        <f t="array" aca="1" ref="BF8" ca="1">IFERROR(IF(AND(COUNTIF($B8,"*泉ヶ丘*"),COUNTIF($B9,"*泉ヶ丘*")),
IFERROR(INDEX(9:9, SMALL(IF($AC9:$AX9&lt;&gt;"", COLUMN($AC$1:$AX9)), COLUMN(A9))), ""),
INDEX(8:8, SMALL(IF($AC8:$AX8&lt;&gt;"", COLUMN($AC$1:$AX8)), COLUMN(G8)))), "")</f>
        <v>●</v>
      </c>
      <c r="BG8" t="str">
        <f t="array" aca="1" ref="BG8" ca="1">IFERROR(IF(AND(COUNTIF($B8,"*泉ヶ丘*"),COUNTIF($B9,"*泉ヶ丘*")),
IFERROR(INDEX(9:9, SMALL(IF($AC9:$AX9&lt;&gt;"", COLUMN($AC$1:$AX9)), COLUMN(B9))), ""),
INDEX(8:8, SMALL(IF($AC8:$AX8&lt;&gt;"", COLUMN($AC$1:$AX8)), COLUMN(H8)))), "")</f>
        <v/>
      </c>
      <c r="BH8" t="str">
        <f t="array" aca="1" ref="BH8" ca="1">IFERROR(IF(AND(COUNTIF($B8,"*泉ヶ丘*"),COUNTIF($B9,"*泉ヶ丘*")),
IFERROR(INDEX(9:9, SMALL(IF($AC9:$AX9&lt;&gt;"", COLUMN($AC$1:$AX9)), COLUMN(C9))), ""),
INDEX(8:8, SMALL(IF($AC8:$AX8&lt;&gt;"", COLUMN($AC$1:$AX8)), COLUMN(I8)))), "")</f>
        <v/>
      </c>
      <c r="BI8" t="str">
        <f t="array" aca="1" ref="BI8" ca="1">IFERROR(IF(AND(COUNTIF($B8,"*泉ヶ丘*"),COUNTIF($B9,"*泉ヶ丘*")),
IFERROR(INDEX(9:9, SMALL(IF($AC9:$AX9&lt;&gt;"", COLUMN($AC$1:$AX9)), COLUMN(D9))), ""),
INDEX(8:8, SMALL(IF($AC8:$AX8&lt;&gt;"", COLUMN($AC$1:$AX8)), COLUMN(J8)))), "")</f>
        <v/>
      </c>
      <c r="BJ8" t="str">
        <f t="array" aca="1" ref="BJ8" ca="1">IFERROR(IF(AND(COUNTIF($B8,"*泉ヶ丘*"),COUNTIF($B9,"*泉ヶ丘*")),
IFERROR(INDEX(9:9, SMALL(IF($AC9:$AX9&lt;&gt;"", COLUMN($AC$1:$AX9)), COLUMN(E9))), ""),
INDEX(8:8, SMALL(IF($AC8:$AX8&lt;&gt;"", COLUMN($AC$1:$AX8)), COLUMN(K8)))), "")</f>
        <v/>
      </c>
      <c r="BK8" t="str">
        <f t="array" aca="1" ref="BK8" ca="1">IFERROR(IF(AND(COUNTIF($B8,"*泉ヶ丘*"),COUNTIF($B9,"*泉ヶ丘*")),
IFERROR(INDEX(9:9, SMALL(IF($AC9:$AX9&lt;&gt;"", COLUMN($AC$1:$AX9)), COLUMN(F9))), ""),
INDEX(8:8, SMALL(IF($AC8:$AX8&lt;&gt;"", COLUMN($AC$1:$AX8)), COLUMN(L8)))), "")</f>
        <v/>
      </c>
      <c r="BL8" t="str">
        <f t="array" aca="1" ref="BL8" ca="1">IFERROR(IF(AND(COUNTIF($B8,"*泉ヶ丘*"),COUNTIF($B9,"*泉ヶ丘*")),
IFERROR(INDEX(9:9, SMALL(IF($AC9:$AX9&lt;&gt;"", COLUMN($AC$1:$AX9)), COLUMN(G9))), ""),
INDEX(8:8, SMALL(IF($AC8:$AX8&lt;&gt;"", COLUMN($AC$1:$AX8)), COLUMN(M8)))), "")</f>
        <v/>
      </c>
      <c r="BM8" t="str">
        <f t="array" aca="1" ref="BM8" ca="1">IFERROR(IF(AND(COUNTIF($B8,"*泉ヶ丘*"),COUNTIF($B9,"*泉ヶ丘*")),
IFERROR(INDEX(9:9, SMALL(IF($AC9:$AX9&lt;&gt;"", COLUMN($AC$1:$AX9)), COLUMN(H9))), ""),
INDEX(8:8, SMALL(IF($AC8:$AX8&lt;&gt;"", COLUMN($AC$1:$AX8)), COLUMN(N8)))), "")</f>
        <v/>
      </c>
      <c r="BN8" t="str">
        <f t="array" aca="1" ref="BN8" ca="1">IFERROR(IF(AND(COUNTIF($B8,"*泉ヶ丘*"),COUNTIF($B9,"*泉ヶ丘*")),
IFERROR(INDEX(9:9, SMALL(IF($AC9:$AX9&lt;&gt;"", COLUMN($AC$1:$AX9)), COLUMN(I9))), ""),
INDEX(8:8, SMALL(IF($AC8:$AX8&lt;&gt;"", COLUMN($AC$1:$AX8)), COLUMN(O8)))), "")</f>
        <v/>
      </c>
      <c r="BO8" t="str">
        <f t="array" aca="1" ref="BO8" ca="1">IFERROR(IF(AND(COUNTIF($B8,"*泉ヶ丘*"),COUNTIF($B9,"*泉ヶ丘*")),
IFERROR(INDEX(9:9, SMALL(IF($AC9:$AX9&lt;&gt;"", COLUMN($AC$1:$AX9)), COLUMN(J9))), ""),
INDEX(8:8, SMALL(IF($AC8:$AX8&lt;&gt;"", COLUMN($AC$1:$AX8)), COLUMN(P8)))), "")</f>
        <v/>
      </c>
      <c r="BP8" t="str">
        <f t="array" aca="1" ref="BP8" ca="1">IFERROR(IF(AND(COUNTIF($B8,"*泉ヶ丘*"),COUNTIF($B9,"*泉ヶ丘*")),
IFERROR(INDEX(9:9, SMALL(IF($AC9:$AX9&lt;&gt;"", COLUMN($AC$1:$AX9)), COLUMN(K9))), ""),
INDEX(8:8, SMALL(IF($AC8:$AX8&lt;&gt;"", COLUMN($AC$1:$AX8)), COLUMN(Q8)))), "")</f>
        <v/>
      </c>
      <c r="BQ8" t="str">
        <f t="array" aca="1" ref="BQ8" ca="1">IFERROR(IF(AND(COUNTIF($B8,"*泉ヶ丘*"),COUNTIF($B9,"*泉ヶ丘*")),
IFERROR(INDEX(9:9, SMALL(IF($AC9:$AX9&lt;&gt;"", COLUMN($AC$1:$AX9)), COLUMN(L9))), ""),
INDEX(8:8, SMALL(IF($AC8:$AX8&lt;&gt;"", COLUMN($AC$1:$AX8)), COLUMN(R8)))), "")</f>
        <v/>
      </c>
    </row>
    <row r="9" spans="1:69" x14ac:dyDescent="0.45">
      <c r="A9" t="str">
        <f t="array" ref="A9">IF(INDEX(貼り付け用!A:A,MATCH(A8,貼り付け用!A:A,0)+2)="4700",
IF(INDEX(貼り付け用!A:A,MATCH(A8,貼り付け用!A:A,0)+4)="4800",
INDEX(貼り付け用!A:A,MATCH(A8,貼り付け用!A:A,0)+6),
INDEX(貼り付け用!A:A,MATCH(A8,貼り付け用!A:A,0)+4)),INDEX(貼り付け用!A:A,MATCH(A8,貼り付け用!A:A,0)+2))</f>
        <v>406</v>
      </c>
      <c r="B9" t="str">
        <f>IF(A9&lt;&gt;"",
VLOOKUP(A9,得意先マスタ!A:D,2,FALSE),"")</f>
        <v>博多中央幼稚園　週5ｺｰｽ</v>
      </c>
      <c r="C9" t="str">
        <f t="array" ref="C9">IF(A9="10000","",INDEX(貼り付け用!A:A,MATCH(A9,貼り付け用!A:A,0)+1))</f>
        <v>博多中央 週5ｺｰｽ</v>
      </c>
      <c r="D9" t="str">
        <f ca="1">VLOOKUP(C9,クライアント抽出!$A:$O,10,FALSE)</f>
        <v>キャラ弁当　飯なし</v>
      </c>
      <c r="E9" t="str">
        <f ca="1">IF(D9&lt;&gt;"",
IF(COUNTIF(C9,"*ぺんぎん*"),
VLOOKUP(
"*"&amp;IF(COUNTIF(D9,"*キャラ弁*"),"キャラ",
IF(COUNTIF(D9,"*赤*"),"赤",SUBSTITUTE(SUBSTITUTE(D9," ",""),"　","")))&amp;"*",
注文弁当の抽出!$F:$I,4,FALSE)&amp;
IF(COUNTIF(D9,"*おにぎり*"),"　おにぎり","")&amp;"　（ぺんぎん組）",
VLOOKUP(
"*"&amp;IF(COUNTIF(D9,"*キャラ弁*"),"キャラ",
IF(COUNTIF(D9,"*赤*"),"赤",SUBSTITUTE(SUBSTITUTE(D9," ",""),"　","")))&amp;"*",
注文弁当の抽出!$F:$I,4,FALSE)&amp;
IF(COUNTIF(D9,"*おにぎり*"),"　おにぎり","")),"")</f>
        <v>弁当　園児</v>
      </c>
      <c r="F9">
        <f ca="1">IFERROR(IF(E9&lt;&gt;"",
VLOOKUP(C9,クライアント抽出!$A:$G,2,FALSE)+
IF(COUNTIF(Y9,"*-*"),Y9,0),"")
-IFERROR(MID(V9, SEARCH("予備", V9) + LEN("予備"), SEARCH("込み", V9) - (SEARCH("予備", V9) + LEN("予備"))),0),"")</f>
        <v>178</v>
      </c>
      <c r="G9" t="str">
        <f ca="1">VLOOKUP(C9,クライアント抽出!$A:$O,11,FALSE)</f>
        <v/>
      </c>
      <c r="H9" t="str">
        <f ca="1">IF(G9&lt;&gt;"",
VLOOKUP(
"*"&amp;IF(COUNTIF(G9,"*キャラ弁*"),"キャラ",
IF(COUNTIF(G9,"*赤*"),"赤",SUBSTITUTE(SUBSTITUTE(G9," ",""),"　","")))&amp;"*",
注文弁当の抽出!$F:$I,4,FALSE)&amp;
IF(COUNTIF(G9,"*おにぎり*"),"　おにぎり",""),"")</f>
        <v/>
      </c>
      <c r="I9" t="str">
        <f ca="1">IF(H9&lt;&gt;"",
VLOOKUP(C9,クライアント抽出!$A:$G,3,FALSE)+
IF(COUNTIF(C9,"*博多*"),Y9,Z9),"")</f>
        <v/>
      </c>
      <c r="J9" t="str">
        <f ca="1">VLOOKUP(C9,クライアント抽出!$A:$O,12,FALSE)</f>
        <v/>
      </c>
      <c r="K9" t="str">
        <f ca="1">IF(J9&lt;&gt;"",
VLOOKUP(
"*"&amp;IF(COUNTIF(J9,"*キャラ弁*"),"キャラ",
IF(COUNTIF(J9,"*赤*"),"赤",SUBSTITUTE(SUBSTITUTE(J9," ",""),"　","")))&amp;"*",
注文弁当の抽出!$F:$I,4,FALSE)&amp;
IF(COUNTIF(J9,"*おにぎり*"),"　おにぎり",""),"")</f>
        <v/>
      </c>
      <c r="L9" t="str">
        <f ca="1">IF(K9&lt;&gt;"",
VLOOKUP(C9,クライアント抽出!$A:$G,4,FALSE)+AA9,"")</f>
        <v/>
      </c>
      <c r="M9" t="str">
        <f ca="1">VLOOKUP(C9,クライアント抽出!$A:$O,13,FALSE)</f>
        <v/>
      </c>
      <c r="N9" t="str">
        <f ca="1">SUBSTITUTE(
IF(M9&lt;&gt;"",
VLOOKUP(
"*"&amp;IF(COUNTIF(M9,"*キャラ弁*"),"キャラ",
IF(COUNTIF(M9,"*赤*"),"赤",SUBSTITUTE(SUBSTITUTE(D9," ",""),"　","")))&amp;"*",
注文弁当の抽出!$F:$I,4,FALSE),""),"園児","先生")&amp;
IF(COUNTIF(M9,"*おにぎり*"),"　おにぎり","")</f>
        <v/>
      </c>
      <c r="O9" t="str">
        <f ca="1">IF(N9&lt;&gt;"",VLOOKUP(C9,クライアント抽出!$A:$G,5,FALSE),"")</f>
        <v/>
      </c>
      <c r="P9" t="str">
        <f ca="1">VLOOKUP(C9,クライアント抽出!$A:$O,14,FALSE)</f>
        <v/>
      </c>
      <c r="Q9" t="str">
        <f ca="1">SUBSTITUTE(
IF(P9&lt;&gt;"",
VLOOKUP(
"*"&amp;IF(COUNTIF(P9,"*キャラ弁*"),"キャラ",
IF(COUNTIF(P9,"*赤*"),"赤",SUBSTITUTE(SUBSTITUTE(G9," ",""),"　","")))&amp;"*",
注文弁当の抽出!$F:$I,4,FALSE),""),"園児","先生")&amp;
IF(COUNTIF(P9,"*おにぎり*"),"　おにぎり","")</f>
        <v/>
      </c>
      <c r="R9" t="str">
        <f ca="1">IF(Q9&lt;&gt;"",
VLOOKUP(C9,クライアント抽出!$A:$G,6,FALSE),"")</f>
        <v/>
      </c>
      <c r="S9" t="str">
        <f ca="1">VLOOKUP(C9,クライアント抽出!$A:$O,15,FALSE)</f>
        <v/>
      </c>
      <c r="T9" t="str">
        <f ca="1">SUBSTITUTE(
IF(S9&lt;&gt;"",
VLOOKUP(
"*"&amp;IF(COUNTIF(S9,"*キャラ弁*"),"キャラ",
IF(COUNTIF(S9,"*赤*"),"赤",SUBSTITUTE(SUBSTITUTE(J9," ",""),"　","")))&amp;"*",
注文弁当の抽出!$F:$I,4,FALSE),""),"園児","先生")&amp;
IF(COUNTIF(S9,"*おにぎり*"),"　おにぎり","")</f>
        <v/>
      </c>
      <c r="U9" t="str">
        <f ca="1">IF(T9&lt;&gt;"",
VLOOKUP(C9,クライアント抽出!$A:$G,7,FALSE),"")</f>
        <v/>
      </c>
      <c r="V9" t="str">
        <f ca="1">IF(A9&lt;&gt;"",
IF(COUNTIF(V8,"*牛乳*"),
IF(AND(COUNTIF(B8,"*奈良屋*"),COUNTIF(B9,"*奈良屋*")),
V8&amp;"✔",""),VLOOKUP(""&amp;A9&amp;"",数出表_Excel!$A:$Z,22,FALSE)&amp;VLOOKUP(""&amp;A9&amp;"",数出表_Excel!$A:$Z,23,FALSE)
&amp;VLOOKUP(""&amp;C9&amp;"",数出表_Excel!$A:$Z,22,FALSE)&amp;VLOOKUP(""&amp;C9&amp;"",数出表_Excel!$A:$Z,23,FALSE)),"")</f>
        <v/>
      </c>
      <c r="W9" t="str">
        <f ca="1">IF(AND(COUNTIF(V9,"&lt;&gt;*不要*"),A9&lt;&gt;""),VLOOKUP(A9,得意先マスタ!$A:$AD,24,FALSE),0)</f>
        <v>検食</v>
      </c>
      <c r="X9" t="str">
        <f ca="1">IF(AND(COUNTIF(V9,"&lt;&gt;*不要*"),A9&lt;&gt;""),VLOOKUP(A9,得意先マスタ!$A:$AD,25,FALSE),0)</f>
        <v>-1</v>
      </c>
      <c r="Y9" t="str">
        <f t="shared" ca="1" si="0"/>
        <v>-1</v>
      </c>
      <c r="Z9">
        <f t="shared" ca="1" si="1"/>
        <v>0</v>
      </c>
      <c r="AA9">
        <f t="shared" ca="1" si="5"/>
        <v>0</v>
      </c>
      <c r="AB9" t="str">
        <f t="shared" ca="1" si="2"/>
        <v>弁当　検食</v>
      </c>
      <c r="AC9" t="str">
        <f t="array" aca="1" ref="AC9" ca="1">IFERROR(INDEX(9:9, SMALL(IF($D9:$U9&lt;&gt;"", COLUMN($D$1:$U9)), COLUMN(A9))), "")</f>
        <v>キャラ弁当　飯なし</v>
      </c>
      <c r="AD9" t="str">
        <f t="array" aca="1" ref="AD9" ca="1">IFERROR(INDEX(9:9, SMALL(IF($D9:$U9&lt;&gt;"", COLUMN($D$1:$U9)), COLUMN(B9))), "")</f>
        <v>弁当　園児</v>
      </c>
      <c r="AE9">
        <f t="array" aca="1" ref="AE9" ca="1">IFERROR(INDEX(9:9, SMALL(IF($D9:$U9&lt;&gt;"", COLUMN($D$1:$U9)), COLUMN(C9))), "")</f>
        <v>178</v>
      </c>
      <c r="AF9" t="str">
        <f t="array" aca="1" ref="AF9" ca="1">IFERROR(INDEX(9:9, SMALL(IF($D9:$U9&lt;&gt;"", COLUMN($D$1:$U9)), COLUMN(D9))), "")</f>
        <v/>
      </c>
      <c r="AG9" t="str">
        <f t="array" aca="1" ref="AG9" ca="1">IFERROR(INDEX(9:9, SMALL(IF($D9:$U9&lt;&gt;"", COLUMN($D$1:$U9)), COLUMN(E9))), "")</f>
        <v/>
      </c>
      <c r="AH9" t="str">
        <f t="array" aca="1" ref="AH9" ca="1">IFERROR(INDEX(9:9, SMALL(IF($D9:$U9&lt;&gt;"", COLUMN($D$1:$U9)), COLUMN(F9))), "")</f>
        <v/>
      </c>
      <c r="AI9" t="str">
        <f t="array" aca="1" ref="AI9" ca="1">IFERROR(INDEX(9:9, SMALL(IF($D9:$U9&lt;&gt;"", COLUMN($D$1:$U9)), COLUMN(G9))), "")</f>
        <v/>
      </c>
      <c r="AJ9" t="str">
        <f t="array" aca="1" ref="AJ9" ca="1">IFERROR(INDEX(9:9, SMALL(IF($D9:$U9&lt;&gt;"", COLUMN($D$1:$U9)), COLUMN(H9))), "")</f>
        <v/>
      </c>
      <c r="AK9" t="str">
        <f t="array" aca="1" ref="AK9" ca="1">IFERROR(INDEX(9:9, SMALL(IF($D9:$U9&lt;&gt;"", COLUMN($D$1:$U9)), COLUMN(I9))), "")</f>
        <v/>
      </c>
      <c r="AL9" t="str">
        <f t="array" aca="1" ref="AL9" ca="1">IFERROR(INDEX(9:9, SMALL(IF($D9:$U9&lt;&gt;"", COLUMN($D$1:$U9)), COLUMN(J9))), "")</f>
        <v/>
      </c>
      <c r="AM9" t="str">
        <f t="array" aca="1" ref="AM9" ca="1">IFERROR(INDEX(9:9, SMALL(IF($D9:$U9&lt;&gt;"", COLUMN($D$1:$U9)), COLUMN(K9))), "")</f>
        <v/>
      </c>
      <c r="AN9" t="str">
        <f t="array" aca="1" ref="AN9" ca="1">IFERROR(INDEX(9:9, SMALL(IF($D9:$U9&lt;&gt;"", COLUMN($D$1:$U9)), COLUMN(L9))), "")</f>
        <v/>
      </c>
      <c r="AO9" t="str">
        <f t="array" aca="1" ref="AO9" ca="1">IFERROR(INDEX(9:9, SMALL(IF($D9:$U9&lt;&gt;"", COLUMN($D$1:$U9)), COLUMN(M9))), "")</f>
        <v/>
      </c>
      <c r="AP9" t="str">
        <f t="array" aca="1" ref="AP9" ca="1">IFERROR(INDEX(9:9, SMALL(IF($D9:$U9&lt;&gt;"", COLUMN($D$1:$U9)), COLUMN(N9))), "")</f>
        <v/>
      </c>
      <c r="AQ9" t="str">
        <f t="array" aca="1" ref="AQ9" ca="1">IFERROR(INDEX(9:9, SMALL(IF($D9:$U9&lt;&gt;"", COLUMN($D$1:$U9)), COLUMN(O9))), "")</f>
        <v/>
      </c>
      <c r="AR9" s="52" t="s">
        <v>4005</v>
      </c>
      <c r="AS9" t="str">
        <f t="shared" ca="1" si="3"/>
        <v>弁当　検食</v>
      </c>
      <c r="AT9" t="str">
        <f t="shared" ca="1" si="4"/>
        <v>1</v>
      </c>
      <c r="AU9" t="str">
        <f t="shared" ca="1" si="6"/>
        <v/>
      </c>
      <c r="AV9" t="str">
        <f t="shared" ca="1" si="7"/>
        <v/>
      </c>
      <c r="AW9" t="str">
        <f t="shared" ca="1" si="8"/>
        <v/>
      </c>
      <c r="AX9" t="str">
        <f t="shared" ca="1" si="9"/>
        <v/>
      </c>
      <c r="AZ9" t="str">
        <f t="array" aca="1" ref="AZ9" ca="1">IFERROR(INDEX(9:9, SMALL(IF($AC9:$AX9&lt;&gt;"", COLUMN($AC$1:$AX9)), COLUMN(A9))), "")</f>
        <v>キャラ弁当　飯なし</v>
      </c>
      <c r="BA9" t="str">
        <f t="array" aca="1" ref="BA9" ca="1">IFERROR(INDEX(9:9, SMALL(IF($AC9:$AX9&lt;&gt;"", COLUMN($AC$1:$AX9)), COLUMN(B9))), "")</f>
        <v>弁当　園児</v>
      </c>
      <c r="BB9">
        <f t="array" aca="1" ref="BB9" ca="1">IFERROR(INDEX(9:9, SMALL(IF($AC9:$AX9&lt;&gt;"", COLUMN($AC$1:$AX9)), COLUMN(C9))), "")</f>
        <v>178</v>
      </c>
      <c r="BC9" t="str">
        <f t="array" aca="1" ref="BC9" ca="1">IFERROR(INDEX(9:9, SMALL(IF($AC9:$AX9&lt;&gt;"", COLUMN($AC$1:$AX9)), COLUMN(D9))), "")</f>
        <v>●</v>
      </c>
      <c r="BD9" t="str">
        <f t="array" aca="1" ref="BD9" ca="1">IFERROR(INDEX(9:9, SMALL(IF($AC9:$AX9&lt;&gt;"", COLUMN($AC$1:$AX9)), COLUMN(E9))), "")</f>
        <v>弁当　検食</v>
      </c>
      <c r="BE9" t="str">
        <f t="array" aca="1" ref="BE9" ca="1">IFERROR(INDEX(9:9, SMALL(IF($AC9:$AX9&lt;&gt;"", COLUMN($AC$1:$AX9)), COLUMN(F9))), "")</f>
        <v>1</v>
      </c>
      <c r="BF9" t="str">
        <f t="array" aca="1" ref="BF9" ca="1">IFERROR(IF(AND(COUNTIF($B9,"*泉ヶ丘*"),COUNTIF($B10,"*泉ヶ丘*")),
IFERROR(INDEX(10:10, SMALL(IF($AC10:$AX10&lt;&gt;"", COLUMN($AC$1:$AX10)), COLUMN(A10))), ""),
INDEX(9:9, SMALL(IF($AC9:$AX9&lt;&gt;"", COLUMN($AC$1:$AX9)), COLUMN(G9)))), "")</f>
        <v/>
      </c>
      <c r="BG9" t="str">
        <f t="array" aca="1" ref="BG9" ca="1">IFERROR(IF(AND(COUNTIF($B9,"*泉ヶ丘*"),COUNTIF($B10,"*泉ヶ丘*")),
IFERROR(INDEX(10:10, SMALL(IF($AC10:$AX10&lt;&gt;"", COLUMN($AC$1:$AX10)), COLUMN(B10))), ""),
INDEX(9:9, SMALL(IF($AC9:$AX9&lt;&gt;"", COLUMN($AC$1:$AX9)), COLUMN(H9)))), "")</f>
        <v/>
      </c>
      <c r="BH9" t="str">
        <f t="array" aca="1" ref="BH9" ca="1">IFERROR(IF(AND(COUNTIF($B9,"*泉ヶ丘*"),COUNTIF($B10,"*泉ヶ丘*")),
IFERROR(INDEX(10:10, SMALL(IF($AC10:$AX10&lt;&gt;"", COLUMN($AC$1:$AX10)), COLUMN(C10))), ""),
INDEX(9:9, SMALL(IF($AC9:$AX9&lt;&gt;"", COLUMN($AC$1:$AX9)), COLUMN(I9)))), "")</f>
        <v/>
      </c>
      <c r="BI9" t="str">
        <f t="array" aca="1" ref="BI9" ca="1">IFERROR(IF(AND(COUNTIF($B9,"*泉ヶ丘*"),COUNTIF($B10,"*泉ヶ丘*")),
IFERROR(INDEX(10:10, SMALL(IF($AC10:$AX10&lt;&gt;"", COLUMN($AC$1:$AX10)), COLUMN(D10))), ""),
INDEX(9:9, SMALL(IF($AC9:$AX9&lt;&gt;"", COLUMN($AC$1:$AX9)), COLUMN(J9)))), "")</f>
        <v/>
      </c>
      <c r="BJ9" t="str">
        <f t="array" aca="1" ref="BJ9" ca="1">IFERROR(IF(AND(COUNTIF($B9,"*泉ヶ丘*"),COUNTIF($B10,"*泉ヶ丘*")),
IFERROR(INDEX(10:10, SMALL(IF($AC10:$AX10&lt;&gt;"", COLUMN($AC$1:$AX10)), COLUMN(E10))), ""),
INDEX(9:9, SMALL(IF($AC9:$AX9&lt;&gt;"", COLUMN($AC$1:$AX9)), COLUMN(K9)))), "")</f>
        <v/>
      </c>
      <c r="BK9" t="str">
        <f t="array" aca="1" ref="BK9" ca="1">IFERROR(IF(AND(COUNTIF($B9,"*泉ヶ丘*"),COUNTIF($B10,"*泉ヶ丘*")),
IFERROR(INDEX(10:10, SMALL(IF($AC10:$AX10&lt;&gt;"", COLUMN($AC$1:$AX10)), COLUMN(F10))), ""),
INDEX(9:9, SMALL(IF($AC9:$AX9&lt;&gt;"", COLUMN($AC$1:$AX9)), COLUMN(L9)))), "")</f>
        <v/>
      </c>
      <c r="BL9" t="str">
        <f t="array" aca="1" ref="BL9" ca="1">IFERROR(IF(AND(COUNTIF($B9,"*泉ヶ丘*"),COUNTIF($B10,"*泉ヶ丘*")),
IFERROR(INDEX(10:10, SMALL(IF($AC10:$AX10&lt;&gt;"", COLUMN($AC$1:$AX10)), COLUMN(G10))), ""),
INDEX(9:9, SMALL(IF($AC9:$AX9&lt;&gt;"", COLUMN($AC$1:$AX9)), COLUMN(M9)))), "")</f>
        <v/>
      </c>
      <c r="BM9" t="str">
        <f t="array" aca="1" ref="BM9" ca="1">IFERROR(IF(AND(COUNTIF($B9,"*泉ヶ丘*"),COUNTIF($B10,"*泉ヶ丘*")),
IFERROR(INDEX(10:10, SMALL(IF($AC10:$AX10&lt;&gt;"", COLUMN($AC$1:$AX10)), COLUMN(H10))), ""),
INDEX(9:9, SMALL(IF($AC9:$AX9&lt;&gt;"", COLUMN($AC$1:$AX9)), COLUMN(N9)))), "")</f>
        <v/>
      </c>
      <c r="BN9" t="str">
        <f t="array" aca="1" ref="BN9" ca="1">IFERROR(IF(AND(COUNTIF($B9,"*泉ヶ丘*"),COUNTIF($B10,"*泉ヶ丘*")),
IFERROR(INDEX(10:10, SMALL(IF($AC10:$AX10&lt;&gt;"", COLUMN($AC$1:$AX10)), COLUMN(I10))), ""),
INDEX(9:9, SMALL(IF($AC9:$AX9&lt;&gt;"", COLUMN($AC$1:$AX9)), COLUMN(O9)))), "")</f>
        <v/>
      </c>
      <c r="BO9" t="str">
        <f t="array" aca="1" ref="BO9" ca="1">IFERROR(IF(AND(COUNTIF($B9,"*泉ヶ丘*"),COUNTIF($B10,"*泉ヶ丘*")),
IFERROR(INDEX(10:10, SMALL(IF($AC10:$AX10&lt;&gt;"", COLUMN($AC$1:$AX10)), COLUMN(J10))), ""),
INDEX(9:9, SMALL(IF($AC9:$AX9&lt;&gt;"", COLUMN($AC$1:$AX9)), COLUMN(P9)))), "")</f>
        <v/>
      </c>
      <c r="BP9" t="str">
        <f t="array" aca="1" ref="BP9" ca="1">IFERROR(IF(AND(COUNTIF($B9,"*泉ヶ丘*"),COUNTIF($B10,"*泉ヶ丘*")),
IFERROR(INDEX(10:10, SMALL(IF($AC10:$AX10&lt;&gt;"", COLUMN($AC$1:$AX10)), COLUMN(K10))), ""),
INDEX(9:9, SMALL(IF($AC9:$AX9&lt;&gt;"", COLUMN($AC$1:$AX9)), COLUMN(Q9)))), "")</f>
        <v/>
      </c>
      <c r="BQ9" t="str">
        <f t="array" aca="1" ref="BQ9" ca="1">IFERROR(IF(AND(COUNTIF($B9,"*泉ヶ丘*"),COUNTIF($B10,"*泉ヶ丘*")),
IFERROR(INDEX(10:10, SMALL(IF($AC10:$AX10&lt;&gt;"", COLUMN($AC$1:$AX10)), COLUMN(L10))), ""),
INDEX(9:9, SMALL(IF($AC9:$AX9&lt;&gt;"", COLUMN($AC$1:$AX9)), COLUMN(R9)))), "")</f>
        <v/>
      </c>
    </row>
    <row r="10" spans="1:69" x14ac:dyDescent="0.45">
      <c r="A10" t="str">
        <f t="array" ref="A10">IF(INDEX(貼り付け用!A:A,MATCH(A9,貼り付け用!A:A,0)+2)="4700",
IF(INDEX(貼り付け用!A:A,MATCH(A9,貼り付け用!A:A,0)+4)="4800",
INDEX(貼り付け用!A:A,MATCH(A9,貼り付け用!A:A,0)+6),
INDEX(貼り付け用!A:A,MATCH(A9,貼り付け用!A:A,0)+4)),INDEX(貼り付け用!A:A,MATCH(A9,貼り付け用!A:A,0)+2))</f>
        <v>407</v>
      </c>
      <c r="B10" t="str">
        <f>IF(A10&lt;&gt;"",
VLOOKUP(A10,得意先マスタ!A:D,2,FALSE),"")</f>
        <v>博多中央幼稚園（補助教員）</v>
      </c>
      <c r="C10" t="str">
        <f t="array" ref="C10">IF(A10="10000","",INDEX(貼り付け用!A:A,MATCH(A10,貼り付け用!A:A,0)+1))</f>
        <v>博多中央（補助教員） web</v>
      </c>
      <c r="D10" t="str">
        <f ca="1">VLOOKUP(C10,クライアント抽出!$A:$O,10,FALSE)</f>
        <v/>
      </c>
      <c r="E10" t="str">
        <f ca="1">IF(D10&lt;&gt;"",
IF(COUNTIF(C10,"*ぺんぎん*"),
VLOOKUP(
"*"&amp;IF(COUNTIF(D10,"*キャラ弁*"),"キャラ",
IF(COUNTIF(D10,"*赤*"),"赤",SUBSTITUTE(SUBSTITUTE(D10," ",""),"　","")))&amp;"*",
注文弁当の抽出!$F:$I,4,FALSE)&amp;
IF(COUNTIF(D10,"*おにぎり*"),"　おにぎり","")&amp;"　（ぺんぎん組）",
VLOOKUP(
"*"&amp;IF(COUNTIF(D10,"*キャラ弁*"),"キャラ",
IF(COUNTIF(D10,"*赤*"),"赤",SUBSTITUTE(SUBSTITUTE(D10," ",""),"　","")))&amp;"*",
注文弁当の抽出!$F:$I,4,FALSE)&amp;
IF(COUNTIF(D10,"*おにぎり*"),"　おにぎり","")),"")</f>
        <v/>
      </c>
      <c r="F10" t="str">
        <f ca="1">IFERROR(IF(E10&lt;&gt;"",
VLOOKUP(C10,クライアント抽出!$A:$G,2,FALSE)+
IF(COUNTIF(Y10,"*-*"),Y10,0),"")
-IFERROR(MID(V10, SEARCH("予備", V10) + LEN("予備"), SEARCH("込み", V10) - (SEARCH("予備", V10) + LEN("予備"))),0),"")</f>
        <v/>
      </c>
      <c r="G10" t="str">
        <f ca="1">VLOOKUP(C10,クライアント抽出!$A:$O,11,FALSE)</f>
        <v/>
      </c>
      <c r="H10" t="str">
        <f ca="1">IF(G10&lt;&gt;"",
VLOOKUP(
"*"&amp;IF(COUNTIF(G10,"*キャラ弁*"),"キャラ",
IF(COUNTIF(G10,"*赤*"),"赤",SUBSTITUTE(SUBSTITUTE(G10," ",""),"　","")))&amp;"*",
注文弁当の抽出!$F:$I,4,FALSE)&amp;
IF(COUNTIF(G10,"*おにぎり*"),"　おにぎり",""),"")</f>
        <v/>
      </c>
      <c r="I10" t="str">
        <f ca="1">IF(H10&lt;&gt;"",
VLOOKUP(C10,クライアント抽出!$A:$G,3,FALSE)+
IF(COUNTIF(C10,"*博多*"),Y10,Z10),"")</f>
        <v/>
      </c>
      <c r="J10" t="str">
        <f ca="1">VLOOKUP(C10,クライアント抽出!$A:$O,12,FALSE)</f>
        <v/>
      </c>
      <c r="K10" t="str">
        <f ca="1">IF(J10&lt;&gt;"",
VLOOKUP(
"*"&amp;IF(COUNTIF(J10,"*キャラ弁*"),"キャラ",
IF(COUNTIF(J10,"*赤*"),"赤",SUBSTITUTE(SUBSTITUTE(J10," ",""),"　","")))&amp;"*",
注文弁当の抽出!$F:$I,4,FALSE)&amp;
IF(COUNTIF(J10,"*おにぎり*"),"　おにぎり",""),"")</f>
        <v/>
      </c>
      <c r="L10" t="str">
        <f ca="1">IF(K10&lt;&gt;"",
VLOOKUP(C10,クライアント抽出!$A:$G,4,FALSE)+AA10,"")</f>
        <v/>
      </c>
      <c r="M10" t="str">
        <f ca="1">VLOOKUP(C10,クライアント抽出!$A:$O,13,FALSE)</f>
        <v>キャラ弁当　飯あり120</v>
      </c>
      <c r="N10" t="str">
        <f ca="1">SUBSTITUTE(
IF(M10&lt;&gt;"",
VLOOKUP(
"*"&amp;IF(COUNTIF(M10,"*キャラ弁*"),"キャラ",
IF(COUNTIF(M10,"*赤*"),"赤",SUBSTITUTE(SUBSTITUTE(D10," ",""),"　","")))&amp;"*",
注文弁当の抽出!$F:$I,4,FALSE),""),"園児","先生")&amp;
IF(COUNTIF(M10,"*おにぎり*"),"　おにぎり","")</f>
        <v>弁当　先生</v>
      </c>
      <c r="O10">
        <f ca="1">IF(N10&lt;&gt;"",VLOOKUP(C10,クライアント抽出!$A:$G,5,FALSE),"")</f>
        <v>5</v>
      </c>
      <c r="P10" t="str">
        <f ca="1">VLOOKUP(C10,クライアント抽出!$A:$O,14,FALSE)</f>
        <v/>
      </c>
      <c r="Q10" t="str">
        <f ca="1">SUBSTITUTE(
IF(P10&lt;&gt;"",
VLOOKUP(
"*"&amp;IF(COUNTIF(P10,"*キャラ弁*"),"キャラ",
IF(COUNTIF(P10,"*赤*"),"赤",SUBSTITUTE(SUBSTITUTE(G10," ",""),"　","")))&amp;"*",
注文弁当の抽出!$F:$I,4,FALSE),""),"園児","先生")&amp;
IF(COUNTIF(P10,"*おにぎり*"),"　おにぎり","")</f>
        <v/>
      </c>
      <c r="R10" t="str">
        <f ca="1">IF(Q10&lt;&gt;"",
VLOOKUP(C10,クライアント抽出!$A:$G,6,FALSE),"")</f>
        <v/>
      </c>
      <c r="S10" t="str">
        <f ca="1">VLOOKUP(C10,クライアント抽出!$A:$O,15,FALSE)</f>
        <v/>
      </c>
      <c r="T10" t="str">
        <f ca="1">SUBSTITUTE(
IF(S10&lt;&gt;"",
VLOOKUP(
"*"&amp;IF(COUNTIF(S10,"*キャラ弁*"),"キャラ",
IF(COUNTIF(S10,"*赤*"),"赤",SUBSTITUTE(SUBSTITUTE(J10," ",""),"　","")))&amp;"*",
注文弁当の抽出!$F:$I,4,FALSE),""),"園児","先生")&amp;
IF(COUNTIF(S10,"*おにぎり*"),"　おにぎり","")</f>
        <v/>
      </c>
      <c r="U10" t="str">
        <f ca="1">IF(T10&lt;&gt;"",
VLOOKUP(C10,クライアント抽出!$A:$G,7,FALSE),"")</f>
        <v/>
      </c>
      <c r="V10" t="str">
        <f ca="1">IF(A10&lt;&gt;"",
IF(COUNTIF(V9,"*牛乳*"),
IF(AND(COUNTIF(B9,"*奈良屋*"),COUNTIF(B10,"*奈良屋*")),
V9&amp;"✔",""),VLOOKUP(""&amp;A10&amp;"",数出表_Excel!$A:$Z,22,FALSE)&amp;VLOOKUP(""&amp;A10&amp;"",数出表_Excel!$A:$Z,23,FALSE)
&amp;VLOOKUP(""&amp;C10&amp;"",数出表_Excel!$A:$Z,22,FALSE)&amp;VLOOKUP(""&amp;C10&amp;"",数出表_Excel!$A:$Z,23,FALSE)),"")</f>
        <v/>
      </c>
      <c r="W10">
        <f ca="1">IF(AND(COUNTIF(V10,"&lt;&gt;*不要*"),A10&lt;&gt;""),VLOOKUP(A10,得意先マスタ!$A:$AD,24,FALSE),0)</f>
        <v>0</v>
      </c>
      <c r="X10">
        <f ca="1">IF(AND(COUNTIF(V10,"&lt;&gt;*不要*"),A10&lt;&gt;""),VLOOKUP(A10,得意先マスタ!$A:$AD,25,FALSE),0)</f>
        <v>0</v>
      </c>
      <c r="Y10">
        <f t="shared" ca="1" si="0"/>
        <v>0</v>
      </c>
      <c r="Z10">
        <f t="shared" ca="1" si="1"/>
        <v>0</v>
      </c>
      <c r="AA10">
        <f t="shared" ca="1" si="5"/>
        <v>0</v>
      </c>
      <c r="AB10" t="str">
        <f t="shared" ca="1" si="2"/>
        <v/>
      </c>
      <c r="AC10" t="str">
        <f t="array" aca="1" ref="AC10" ca="1">IFERROR(INDEX(10:10, SMALL(IF($D10:$U10&lt;&gt;"", COLUMN($D$1:$U10)), COLUMN(A10))), "")</f>
        <v>キャラ弁当　飯あり120</v>
      </c>
      <c r="AD10" t="str">
        <f t="array" aca="1" ref="AD10" ca="1">IFERROR(INDEX(10:10, SMALL(IF($D10:$U10&lt;&gt;"", COLUMN($D$1:$U10)), COLUMN(B10))), "")</f>
        <v>弁当　先生</v>
      </c>
      <c r="AE10">
        <f t="array" aca="1" ref="AE10" ca="1">IFERROR(INDEX(10:10, SMALL(IF($D10:$U10&lt;&gt;"", COLUMN($D$1:$U10)), COLUMN(C10))), "")</f>
        <v>5</v>
      </c>
      <c r="AF10" t="str">
        <f t="array" aca="1" ref="AF10" ca="1">IFERROR(INDEX(10:10, SMALL(IF($D10:$U10&lt;&gt;"", COLUMN($D$1:$U10)), COLUMN(D10))), "")</f>
        <v/>
      </c>
      <c r="AG10" t="str">
        <f t="array" aca="1" ref="AG10" ca="1">IFERROR(INDEX(10:10, SMALL(IF($D10:$U10&lt;&gt;"", COLUMN($D$1:$U10)), COLUMN(E10))), "")</f>
        <v/>
      </c>
      <c r="AH10" t="str">
        <f t="array" aca="1" ref="AH10" ca="1">IFERROR(INDEX(10:10, SMALL(IF($D10:$U10&lt;&gt;"", COLUMN($D$1:$U10)), COLUMN(F10))), "")</f>
        <v/>
      </c>
      <c r="AI10" t="str">
        <f t="array" aca="1" ref="AI10" ca="1">IFERROR(INDEX(10:10, SMALL(IF($D10:$U10&lt;&gt;"", COLUMN($D$1:$U10)), COLUMN(G10))), "")</f>
        <v/>
      </c>
      <c r="AJ10" t="str">
        <f t="array" aca="1" ref="AJ10" ca="1">IFERROR(INDEX(10:10, SMALL(IF($D10:$U10&lt;&gt;"", COLUMN($D$1:$U10)), COLUMN(H10))), "")</f>
        <v/>
      </c>
      <c r="AK10" t="str">
        <f t="array" aca="1" ref="AK10" ca="1">IFERROR(INDEX(10:10, SMALL(IF($D10:$U10&lt;&gt;"", COLUMN($D$1:$U10)), COLUMN(I10))), "")</f>
        <v/>
      </c>
      <c r="AL10" t="str">
        <f t="array" aca="1" ref="AL10" ca="1">IFERROR(INDEX(10:10, SMALL(IF($D10:$U10&lt;&gt;"", COLUMN($D$1:$U10)), COLUMN(J10))), "")</f>
        <v/>
      </c>
      <c r="AM10" t="str">
        <f t="array" aca="1" ref="AM10" ca="1">IFERROR(INDEX(10:10, SMALL(IF($D10:$U10&lt;&gt;"", COLUMN($D$1:$U10)), COLUMN(K10))), "")</f>
        <v/>
      </c>
      <c r="AN10" t="str">
        <f t="array" aca="1" ref="AN10" ca="1">IFERROR(INDEX(10:10, SMALL(IF($D10:$U10&lt;&gt;"", COLUMN($D$1:$U10)), COLUMN(L10))), "")</f>
        <v/>
      </c>
      <c r="AO10" t="str">
        <f t="array" aca="1" ref="AO10" ca="1">IFERROR(INDEX(10:10, SMALL(IF($D10:$U10&lt;&gt;"", COLUMN($D$1:$U10)), COLUMN(M10))), "")</f>
        <v/>
      </c>
      <c r="AP10" t="str">
        <f t="array" aca="1" ref="AP10" ca="1">IFERROR(INDEX(10:10, SMALL(IF($D10:$U10&lt;&gt;"", COLUMN($D$1:$U10)), COLUMN(N10))), "")</f>
        <v/>
      </c>
      <c r="AQ10" t="str">
        <f t="array" aca="1" ref="AQ10" ca="1">IFERROR(INDEX(10:10, SMALL(IF($D10:$U10&lt;&gt;"", COLUMN($D$1:$U10)), COLUMN(O10))), "")</f>
        <v/>
      </c>
      <c r="AR10" s="52" t="s">
        <v>4005</v>
      </c>
      <c r="AS10" t="str">
        <f t="shared" ca="1" si="3"/>
        <v/>
      </c>
      <c r="AT10" t="str">
        <f t="shared" ca="1" si="4"/>
        <v/>
      </c>
      <c r="AU10" t="str">
        <f t="shared" ca="1" si="6"/>
        <v/>
      </c>
      <c r="AV10" t="str">
        <f t="shared" ca="1" si="7"/>
        <v/>
      </c>
      <c r="AW10" t="str">
        <f t="shared" ca="1" si="8"/>
        <v/>
      </c>
      <c r="AX10" t="str">
        <f t="shared" ca="1" si="9"/>
        <v/>
      </c>
      <c r="AZ10" t="str">
        <f t="array" aca="1" ref="AZ10" ca="1">IFERROR(INDEX(10:10, SMALL(IF($AC10:$AX10&lt;&gt;"", COLUMN($AC$1:$AX10)), COLUMN(A10))), "")</f>
        <v>キャラ弁当　飯あり120</v>
      </c>
      <c r="BA10" t="str">
        <f t="array" aca="1" ref="BA10" ca="1">IFERROR(INDEX(10:10, SMALL(IF($AC10:$AX10&lt;&gt;"", COLUMN($AC$1:$AX10)), COLUMN(B10))), "")</f>
        <v>弁当　先生</v>
      </c>
      <c r="BB10">
        <f t="array" aca="1" ref="BB10" ca="1">IFERROR(INDEX(10:10, SMALL(IF($AC10:$AX10&lt;&gt;"", COLUMN($AC$1:$AX10)), COLUMN(C10))), "")</f>
        <v>5</v>
      </c>
      <c r="BC10" t="str">
        <f t="array" aca="1" ref="BC10" ca="1">IFERROR(INDEX(10:10, SMALL(IF($AC10:$AX10&lt;&gt;"", COLUMN($AC$1:$AX10)), COLUMN(D10))), "")</f>
        <v>●</v>
      </c>
      <c r="BD10" t="str">
        <f t="array" aca="1" ref="BD10" ca="1">IFERROR(INDEX(10:10, SMALL(IF($AC10:$AX10&lt;&gt;"", COLUMN($AC$1:$AX10)), COLUMN(E10))), "")</f>
        <v/>
      </c>
      <c r="BE10" t="str">
        <f t="array" aca="1" ref="BE10" ca="1">IFERROR(INDEX(10:10, SMALL(IF($AC10:$AX10&lt;&gt;"", COLUMN($AC$1:$AX10)), COLUMN(F10))), "")</f>
        <v/>
      </c>
      <c r="BF10" t="str">
        <f t="array" aca="1" ref="BF10" ca="1">IFERROR(IF(AND(COUNTIF($B10,"*泉ヶ丘*"),COUNTIF($B11,"*泉ヶ丘*")),
IFERROR(INDEX(11:11, SMALL(IF($AC11:$AX11&lt;&gt;"", COLUMN($AC$1:$AX11)), COLUMN(A11))), ""),
INDEX(10:10, SMALL(IF($AC10:$AX10&lt;&gt;"", COLUMN($AC$1:$AX10)), COLUMN(G10)))), "")</f>
        <v/>
      </c>
      <c r="BG10" t="str">
        <f t="array" aca="1" ref="BG10" ca="1">IFERROR(IF(AND(COUNTIF($B10,"*泉ヶ丘*"),COUNTIF($B11,"*泉ヶ丘*")),
IFERROR(INDEX(11:11, SMALL(IF($AC11:$AX11&lt;&gt;"", COLUMN($AC$1:$AX11)), COLUMN(B11))), ""),
INDEX(10:10, SMALL(IF($AC10:$AX10&lt;&gt;"", COLUMN($AC$1:$AX10)), COLUMN(H10)))), "")</f>
        <v/>
      </c>
      <c r="BH10" t="str">
        <f t="array" aca="1" ref="BH10" ca="1">IFERROR(IF(AND(COUNTIF($B10,"*泉ヶ丘*"),COUNTIF($B11,"*泉ヶ丘*")),
IFERROR(INDEX(11:11, SMALL(IF($AC11:$AX11&lt;&gt;"", COLUMN($AC$1:$AX11)), COLUMN(C11))), ""),
INDEX(10:10, SMALL(IF($AC10:$AX10&lt;&gt;"", COLUMN($AC$1:$AX10)), COLUMN(I10)))), "")</f>
        <v/>
      </c>
      <c r="BI10" t="str">
        <f t="array" aca="1" ref="BI10" ca="1">IFERROR(IF(AND(COUNTIF($B10,"*泉ヶ丘*"),COUNTIF($B11,"*泉ヶ丘*")),
IFERROR(INDEX(11:11, SMALL(IF($AC11:$AX11&lt;&gt;"", COLUMN($AC$1:$AX11)), COLUMN(D11))), ""),
INDEX(10:10, SMALL(IF($AC10:$AX10&lt;&gt;"", COLUMN($AC$1:$AX10)), COLUMN(J10)))), "")</f>
        <v/>
      </c>
      <c r="BJ10" t="str">
        <f t="array" aca="1" ref="BJ10" ca="1">IFERROR(IF(AND(COUNTIF($B10,"*泉ヶ丘*"),COUNTIF($B11,"*泉ヶ丘*")),
IFERROR(INDEX(11:11, SMALL(IF($AC11:$AX11&lt;&gt;"", COLUMN($AC$1:$AX11)), COLUMN(E11))), ""),
INDEX(10:10, SMALL(IF($AC10:$AX10&lt;&gt;"", COLUMN($AC$1:$AX10)), COLUMN(K10)))), "")</f>
        <v/>
      </c>
      <c r="BK10" t="str">
        <f t="array" aca="1" ref="BK10" ca="1">IFERROR(IF(AND(COUNTIF($B10,"*泉ヶ丘*"),COUNTIF($B11,"*泉ヶ丘*")),
IFERROR(INDEX(11:11, SMALL(IF($AC11:$AX11&lt;&gt;"", COLUMN($AC$1:$AX11)), COLUMN(F11))), ""),
INDEX(10:10, SMALL(IF($AC10:$AX10&lt;&gt;"", COLUMN($AC$1:$AX10)), COLUMN(L10)))), "")</f>
        <v/>
      </c>
      <c r="BL10" t="str">
        <f t="array" aca="1" ref="BL10" ca="1">IFERROR(IF(AND(COUNTIF($B10,"*泉ヶ丘*"),COUNTIF($B11,"*泉ヶ丘*")),
IFERROR(INDEX(11:11, SMALL(IF($AC11:$AX11&lt;&gt;"", COLUMN($AC$1:$AX11)), COLUMN(G11))), ""),
INDEX(10:10, SMALL(IF($AC10:$AX10&lt;&gt;"", COLUMN($AC$1:$AX10)), COLUMN(M10)))), "")</f>
        <v/>
      </c>
      <c r="BM10" t="str">
        <f t="array" aca="1" ref="BM10" ca="1">IFERROR(IF(AND(COUNTIF($B10,"*泉ヶ丘*"),COUNTIF($B11,"*泉ヶ丘*")),
IFERROR(INDEX(11:11, SMALL(IF($AC11:$AX11&lt;&gt;"", COLUMN($AC$1:$AX11)), COLUMN(H11))), ""),
INDEX(10:10, SMALL(IF($AC10:$AX10&lt;&gt;"", COLUMN($AC$1:$AX10)), COLUMN(N10)))), "")</f>
        <v/>
      </c>
      <c r="BN10" t="str">
        <f t="array" aca="1" ref="BN10" ca="1">IFERROR(IF(AND(COUNTIF($B10,"*泉ヶ丘*"),COUNTIF($B11,"*泉ヶ丘*")),
IFERROR(INDEX(11:11, SMALL(IF($AC11:$AX11&lt;&gt;"", COLUMN($AC$1:$AX11)), COLUMN(I11))), ""),
INDEX(10:10, SMALL(IF($AC10:$AX10&lt;&gt;"", COLUMN($AC$1:$AX10)), COLUMN(O10)))), "")</f>
        <v/>
      </c>
      <c r="BO10" t="str">
        <f t="array" aca="1" ref="BO10" ca="1">IFERROR(IF(AND(COUNTIF($B10,"*泉ヶ丘*"),COUNTIF($B11,"*泉ヶ丘*")),
IFERROR(INDEX(11:11, SMALL(IF($AC11:$AX11&lt;&gt;"", COLUMN($AC$1:$AX11)), COLUMN(J11))), ""),
INDEX(10:10, SMALL(IF($AC10:$AX10&lt;&gt;"", COLUMN($AC$1:$AX10)), COLUMN(P10)))), "")</f>
        <v/>
      </c>
      <c r="BP10" t="str">
        <f t="array" aca="1" ref="BP10" ca="1">IFERROR(IF(AND(COUNTIF($B10,"*泉ヶ丘*"),COUNTIF($B11,"*泉ヶ丘*")),
IFERROR(INDEX(11:11, SMALL(IF($AC11:$AX11&lt;&gt;"", COLUMN($AC$1:$AX11)), COLUMN(K11))), ""),
INDEX(10:10, SMALL(IF($AC10:$AX10&lt;&gt;"", COLUMN($AC$1:$AX10)), COLUMN(Q10)))), "")</f>
        <v/>
      </c>
      <c r="BQ10" t="str">
        <f t="array" aca="1" ref="BQ10" ca="1">IFERROR(IF(AND(COUNTIF($B10,"*泉ヶ丘*"),COUNTIF($B11,"*泉ヶ丘*")),
IFERROR(INDEX(11:11, SMALL(IF($AC11:$AX11&lt;&gt;"", COLUMN($AC$1:$AX11)), COLUMN(L11))), ""),
INDEX(10:10, SMALL(IF($AC10:$AX10&lt;&gt;"", COLUMN($AC$1:$AX10)), COLUMN(R10)))), "")</f>
        <v/>
      </c>
    </row>
    <row r="11" spans="1:69" x14ac:dyDescent="0.45">
      <c r="A11" t="str">
        <f t="array" ref="A11">IF(INDEX(貼り付け用!A:A,MATCH(A10,貼り付け用!A:A,0)+2)="4700",
IF(INDEX(貼り付け用!A:A,MATCH(A10,貼り付け用!A:A,0)+4)="4800",
INDEX(貼り付け用!A:A,MATCH(A10,貼り付け用!A:A,0)+6),
INDEX(貼り付け用!A:A,MATCH(A10,貼り付け用!A:A,0)+4)),INDEX(貼り付け用!A:A,MATCH(A10,貼り付け用!A:A,0)+2))</f>
        <v>500</v>
      </c>
      <c r="B11" t="str">
        <f>IF(A11&lt;&gt;"",
VLOOKUP(A11,得意先マスタ!A:D,2,FALSE),"")</f>
        <v>博多幼稚園　週3ｺｰｽ</v>
      </c>
      <c r="C11" t="str">
        <f t="array" ref="C11">IF(A11="10000","",INDEX(貼り付け用!A:A,MATCH(A11,貼り付け用!A:A,0)+1))</f>
        <v>博多 週3ｺｰｽ</v>
      </c>
      <c r="D11" t="str">
        <f ca="1">VLOOKUP(C11,クライアント抽出!$A:$O,10,FALSE)</f>
        <v>キャラ弁当　飯なし</v>
      </c>
      <c r="E11" t="str">
        <f ca="1">IF(D11&lt;&gt;"",
IF(COUNTIF(C11,"*ぺんぎん*"),
VLOOKUP(
"*"&amp;IF(COUNTIF(D11,"*キャラ弁*"),"キャラ",
IF(COUNTIF(D11,"*赤*"),"赤",SUBSTITUTE(SUBSTITUTE(D11," ",""),"　","")))&amp;"*",
注文弁当の抽出!$F:$I,4,FALSE)&amp;
IF(COUNTIF(D11,"*おにぎり*"),"　おにぎり","")&amp;"　（ぺんぎん組）",
VLOOKUP(
"*"&amp;IF(COUNTIF(D11,"*キャラ弁*"),"キャラ",
IF(COUNTIF(D11,"*赤*"),"赤",SUBSTITUTE(SUBSTITUTE(D11," ",""),"　","")))&amp;"*",
注文弁当の抽出!$F:$I,4,FALSE)&amp;
IF(COUNTIF(D11,"*おにぎり*"),"　おにぎり","")),"")</f>
        <v>弁当　園児</v>
      </c>
      <c r="F11">
        <f ca="1">IFERROR(IF(E11&lt;&gt;"",
VLOOKUP(C11,クライアント抽出!$A:$G,2,FALSE)+
IF(COUNTIF(Y11,"*-*"),Y11,0),"")
-IFERROR(MID(V11, SEARCH("予備", V11) + LEN("予備"), SEARCH("込み", V11) - (SEARCH("予備", V11) + LEN("予備"))),0),"")</f>
        <v>69</v>
      </c>
      <c r="G11" t="str">
        <f ca="1">VLOOKUP(C11,クライアント抽出!$A:$O,11,FALSE)</f>
        <v/>
      </c>
      <c r="H11" t="str">
        <f ca="1">IF(G11&lt;&gt;"",
VLOOKUP(
"*"&amp;IF(COUNTIF(G11,"*キャラ弁*"),"キャラ",
IF(COUNTIF(G11,"*赤*"),"赤",SUBSTITUTE(SUBSTITUTE(G11," ",""),"　","")))&amp;"*",
注文弁当の抽出!$F:$I,4,FALSE)&amp;
IF(COUNTIF(G11,"*おにぎり*"),"　おにぎり",""),"")</f>
        <v/>
      </c>
      <c r="I11" t="str">
        <f ca="1">IF(H11&lt;&gt;"",
VLOOKUP(C11,クライアント抽出!$A:$G,3,FALSE)+
IF(COUNTIF(C11,"*博多*"),Y11,Z11),"")</f>
        <v/>
      </c>
      <c r="J11" t="str">
        <f ca="1">VLOOKUP(C11,クライアント抽出!$A:$O,12,FALSE)</f>
        <v/>
      </c>
      <c r="K11" t="str">
        <f ca="1">IF(J11&lt;&gt;"",
VLOOKUP(
"*"&amp;IF(COUNTIF(J11,"*キャラ弁*"),"キャラ",
IF(COUNTIF(J11,"*赤*"),"赤",SUBSTITUTE(SUBSTITUTE(J11," ",""),"　","")))&amp;"*",
注文弁当の抽出!$F:$I,4,FALSE)&amp;
IF(COUNTIF(J11,"*おにぎり*"),"　おにぎり",""),"")</f>
        <v/>
      </c>
      <c r="L11" t="str">
        <f ca="1">IF(K11&lt;&gt;"",
VLOOKUP(C11,クライアント抽出!$A:$G,4,FALSE)+AA11,"")</f>
        <v/>
      </c>
      <c r="M11" t="str">
        <f ca="1">VLOOKUP(C11,クライアント抽出!$A:$O,13,FALSE)</f>
        <v>キャラ弁当　飯なし</v>
      </c>
      <c r="N11" t="str">
        <f ca="1">SUBSTITUTE(
IF(M11&lt;&gt;"",
VLOOKUP(
"*"&amp;IF(COUNTIF(M11,"*キャラ弁*"),"キャラ",
IF(COUNTIF(M11,"*赤*"),"赤",SUBSTITUTE(SUBSTITUTE(D11," ",""),"　","")))&amp;"*",
注文弁当の抽出!$F:$I,4,FALSE),""),"園児","先生")&amp;
IF(COUNTIF(M11,"*おにぎり*"),"　おにぎり","")</f>
        <v>弁当　先生</v>
      </c>
      <c r="O11">
        <f ca="1">IF(N11&lt;&gt;"",VLOOKUP(C11,クライアント抽出!$A:$G,5,FALSE),"")</f>
        <v>22</v>
      </c>
      <c r="P11" t="str">
        <f ca="1">VLOOKUP(C11,クライアント抽出!$A:$O,14,FALSE)</f>
        <v/>
      </c>
      <c r="Q11" t="str">
        <f ca="1">SUBSTITUTE(
IF(P11&lt;&gt;"",
VLOOKUP(
"*"&amp;IF(COUNTIF(P11,"*キャラ弁*"),"キャラ",
IF(COUNTIF(P11,"*赤*"),"赤",SUBSTITUTE(SUBSTITUTE(G11," ",""),"　","")))&amp;"*",
注文弁当の抽出!$F:$I,4,FALSE),""),"園児","先生")&amp;
IF(COUNTIF(P11,"*おにぎり*"),"　おにぎり","")</f>
        <v/>
      </c>
      <c r="R11" t="str">
        <f ca="1">IF(Q11&lt;&gt;"",
VLOOKUP(C11,クライアント抽出!$A:$G,6,FALSE),"")</f>
        <v/>
      </c>
      <c r="S11" t="str">
        <f ca="1">VLOOKUP(C11,クライアント抽出!$A:$O,15,FALSE)</f>
        <v/>
      </c>
      <c r="T11" t="str">
        <f ca="1">SUBSTITUTE(
IF(S11&lt;&gt;"",
VLOOKUP(
"*"&amp;IF(COUNTIF(S11,"*キャラ弁*"),"キャラ",
IF(COUNTIF(S11,"*赤*"),"赤",SUBSTITUTE(SUBSTITUTE(J11," ",""),"　","")))&amp;"*",
注文弁当の抽出!$F:$I,4,FALSE),""),"園児","先生")&amp;
IF(COUNTIF(S11,"*おにぎり*"),"　おにぎり","")</f>
        <v/>
      </c>
      <c r="U11" t="str">
        <f ca="1">IF(T11&lt;&gt;"",
VLOOKUP(C11,クライアント抽出!$A:$G,7,FALSE),"")</f>
        <v/>
      </c>
      <c r="V11" t="str">
        <f ca="1">IF(A11&lt;&gt;"",
IF(COUNTIF(V10,"*牛乳*"),
IF(AND(COUNTIF(B10,"*奈良屋*"),COUNTIF(B11,"*奈良屋*")),
V10&amp;"✔",""),VLOOKUP(""&amp;A11&amp;"",数出表_Excel!$A:$Z,22,FALSE)&amp;VLOOKUP(""&amp;A11&amp;"",数出表_Excel!$A:$Z,23,FALSE)
&amp;VLOOKUP(""&amp;C11&amp;"",数出表_Excel!$A:$Z,22,FALSE)&amp;VLOOKUP(""&amp;C11&amp;"",数出表_Excel!$A:$Z,23,FALSE)),"")</f>
        <v/>
      </c>
      <c r="W11">
        <f ca="1">IF(AND(COUNTIF(V11,"&lt;&gt;*不要*"),A11&lt;&gt;""),VLOOKUP(A11,得意先マスタ!$A:$AD,24,FALSE),0)</f>
        <v>0</v>
      </c>
      <c r="X11">
        <f ca="1">IF(AND(COUNTIF(V11,"&lt;&gt;*不要*"),A11&lt;&gt;""),VLOOKUP(A11,得意先マスタ!$A:$AD,25,FALSE),0)</f>
        <v>0</v>
      </c>
      <c r="Y11">
        <f t="shared" ca="1" si="0"/>
        <v>0</v>
      </c>
      <c r="Z11">
        <f t="shared" ca="1" si="1"/>
        <v>0</v>
      </c>
      <c r="AA11">
        <f t="shared" ca="1" si="5"/>
        <v>0</v>
      </c>
      <c r="AB11" t="str">
        <f t="shared" ca="1" si="2"/>
        <v/>
      </c>
      <c r="AC11" t="str">
        <f t="array" aca="1" ref="AC11" ca="1">IFERROR(INDEX(11:11, SMALL(IF($D11:$U11&lt;&gt;"", COLUMN($D$1:$U11)), COLUMN(A11))), "")</f>
        <v>キャラ弁当　飯なし</v>
      </c>
      <c r="AD11" t="str">
        <f t="array" aca="1" ref="AD11" ca="1">IFERROR(INDEX(11:11, SMALL(IF($D11:$U11&lt;&gt;"", COLUMN($D$1:$U11)), COLUMN(B11))), "")</f>
        <v>弁当　園児</v>
      </c>
      <c r="AE11">
        <f t="array" aca="1" ref="AE11" ca="1">IFERROR(INDEX(11:11, SMALL(IF($D11:$U11&lt;&gt;"", COLUMN($D$1:$U11)), COLUMN(C11))), "")</f>
        <v>69</v>
      </c>
      <c r="AF11" t="str">
        <f t="array" aca="1" ref="AF11" ca="1">IFERROR(INDEX(11:11, SMALL(IF($D11:$U11&lt;&gt;"", COLUMN($D$1:$U11)), COLUMN(D11))), "")</f>
        <v>キャラ弁当　飯なし</v>
      </c>
      <c r="AG11" t="str">
        <f t="array" aca="1" ref="AG11" ca="1">IFERROR(INDEX(11:11, SMALL(IF($D11:$U11&lt;&gt;"", COLUMN($D$1:$U11)), COLUMN(E11))), "")</f>
        <v>弁当　先生</v>
      </c>
      <c r="AH11">
        <f t="array" aca="1" ref="AH11" ca="1">IFERROR(INDEX(11:11, SMALL(IF($D11:$U11&lt;&gt;"", COLUMN($D$1:$U11)), COLUMN(F11))), "")</f>
        <v>22</v>
      </c>
      <c r="AI11" t="str">
        <f t="array" aca="1" ref="AI11" ca="1">IFERROR(INDEX(11:11, SMALL(IF($D11:$U11&lt;&gt;"", COLUMN($D$1:$U11)), COLUMN(G11))), "")</f>
        <v/>
      </c>
      <c r="AJ11" t="str">
        <f t="array" aca="1" ref="AJ11" ca="1">IFERROR(INDEX(11:11, SMALL(IF($D11:$U11&lt;&gt;"", COLUMN($D$1:$U11)), COLUMN(H11))), "")</f>
        <v/>
      </c>
      <c r="AK11" t="str">
        <f t="array" aca="1" ref="AK11" ca="1">IFERROR(INDEX(11:11, SMALL(IF($D11:$U11&lt;&gt;"", COLUMN($D$1:$U11)), COLUMN(I11))), "")</f>
        <v/>
      </c>
      <c r="AL11" t="str">
        <f t="array" aca="1" ref="AL11" ca="1">IFERROR(INDEX(11:11, SMALL(IF($D11:$U11&lt;&gt;"", COLUMN($D$1:$U11)), COLUMN(J11))), "")</f>
        <v/>
      </c>
      <c r="AM11" t="str">
        <f t="array" aca="1" ref="AM11" ca="1">IFERROR(INDEX(11:11, SMALL(IF($D11:$U11&lt;&gt;"", COLUMN($D$1:$U11)), COLUMN(K11))), "")</f>
        <v/>
      </c>
      <c r="AN11" t="str">
        <f t="array" aca="1" ref="AN11" ca="1">IFERROR(INDEX(11:11, SMALL(IF($D11:$U11&lt;&gt;"", COLUMN($D$1:$U11)), COLUMN(L11))), "")</f>
        <v/>
      </c>
      <c r="AO11" t="str">
        <f t="array" aca="1" ref="AO11" ca="1">IFERROR(INDEX(11:11, SMALL(IF($D11:$U11&lt;&gt;"", COLUMN($D$1:$U11)), COLUMN(M11))), "")</f>
        <v/>
      </c>
      <c r="AP11" t="str">
        <f t="array" aca="1" ref="AP11" ca="1">IFERROR(INDEX(11:11, SMALL(IF($D11:$U11&lt;&gt;"", COLUMN($D$1:$U11)), COLUMN(N11))), "")</f>
        <v/>
      </c>
      <c r="AQ11" t="str">
        <f t="array" aca="1" ref="AQ11" ca="1">IFERROR(INDEX(11:11, SMALL(IF($D11:$U11&lt;&gt;"", COLUMN($D$1:$U11)), COLUMN(O11))), "")</f>
        <v/>
      </c>
      <c r="AR11" s="52" t="s">
        <v>4005</v>
      </c>
      <c r="AS11" t="str">
        <f t="shared" ca="1" si="3"/>
        <v/>
      </c>
      <c r="AT11" t="str">
        <f t="shared" ca="1" si="4"/>
        <v/>
      </c>
      <c r="AU11" t="str">
        <f t="shared" ca="1" si="6"/>
        <v/>
      </c>
      <c r="AV11" t="str">
        <f t="shared" ca="1" si="7"/>
        <v/>
      </c>
      <c r="AW11" t="str">
        <f t="shared" ca="1" si="8"/>
        <v/>
      </c>
      <c r="AX11" t="str">
        <f t="shared" ca="1" si="9"/>
        <v/>
      </c>
      <c r="AZ11" t="str">
        <f t="array" aca="1" ref="AZ11" ca="1">IFERROR(INDEX(11:11, SMALL(IF($AC11:$AX11&lt;&gt;"", COLUMN($AC$1:$AX11)), COLUMN(A11))), "")</f>
        <v>キャラ弁当　飯なし</v>
      </c>
      <c r="BA11" t="str">
        <f t="array" aca="1" ref="BA11" ca="1">IFERROR(INDEX(11:11, SMALL(IF($AC11:$AX11&lt;&gt;"", COLUMN($AC$1:$AX11)), COLUMN(B11))), "")</f>
        <v>弁当　園児</v>
      </c>
      <c r="BB11">
        <f t="array" aca="1" ref="BB11" ca="1">IFERROR(INDEX(11:11, SMALL(IF($AC11:$AX11&lt;&gt;"", COLUMN($AC$1:$AX11)), COLUMN(C11))), "")</f>
        <v>69</v>
      </c>
      <c r="BC11" t="str">
        <f t="array" aca="1" ref="BC11" ca="1">IFERROR(INDEX(11:11, SMALL(IF($AC11:$AX11&lt;&gt;"", COLUMN($AC$1:$AX11)), COLUMN(D11))), "")</f>
        <v>キャラ弁当　飯なし</v>
      </c>
      <c r="BD11" t="str">
        <f t="array" aca="1" ref="BD11" ca="1">IFERROR(INDEX(11:11, SMALL(IF($AC11:$AX11&lt;&gt;"", COLUMN($AC$1:$AX11)), COLUMN(E11))), "")</f>
        <v>弁当　先生</v>
      </c>
      <c r="BE11">
        <f t="array" aca="1" ref="BE11" ca="1">IFERROR(INDEX(11:11, SMALL(IF($AC11:$AX11&lt;&gt;"", COLUMN($AC$1:$AX11)), COLUMN(F11))), "")</f>
        <v>22</v>
      </c>
      <c r="BF11" t="str">
        <f t="array" aca="1" ref="BF11" ca="1">IFERROR(IF(AND(COUNTIF($B11,"*泉ヶ丘*"),COUNTIF($B12,"*泉ヶ丘*")),
IFERROR(INDEX(12:12, SMALL(IF($AC12:$AX12&lt;&gt;"", COLUMN($AC$1:$AX12)), COLUMN(A12))), ""),
INDEX(11:11, SMALL(IF($AC11:$AX11&lt;&gt;"", COLUMN($AC$1:$AX11)), COLUMN(G11)))), "")</f>
        <v>●</v>
      </c>
      <c r="BG11" t="str">
        <f t="array" aca="1" ref="BG11" ca="1">IFERROR(IF(AND(COUNTIF($B11,"*泉ヶ丘*"),COUNTIF($B12,"*泉ヶ丘*")),
IFERROR(INDEX(12:12, SMALL(IF($AC12:$AX12&lt;&gt;"", COLUMN($AC$1:$AX12)), COLUMN(B12))), ""),
INDEX(11:11, SMALL(IF($AC11:$AX11&lt;&gt;"", COLUMN($AC$1:$AX11)), COLUMN(H11)))), "")</f>
        <v/>
      </c>
      <c r="BH11" t="str">
        <f t="array" aca="1" ref="BH11" ca="1">IFERROR(IF(AND(COUNTIF($B11,"*泉ヶ丘*"),COUNTIF($B12,"*泉ヶ丘*")),
IFERROR(INDEX(12:12, SMALL(IF($AC12:$AX12&lt;&gt;"", COLUMN($AC$1:$AX12)), COLUMN(C12))), ""),
INDEX(11:11, SMALL(IF($AC11:$AX11&lt;&gt;"", COLUMN($AC$1:$AX11)), COLUMN(I11)))), "")</f>
        <v/>
      </c>
      <c r="BI11" t="str">
        <f t="array" aca="1" ref="BI11" ca="1">IFERROR(IF(AND(COUNTIF($B11,"*泉ヶ丘*"),COUNTIF($B12,"*泉ヶ丘*")),
IFERROR(INDEX(12:12, SMALL(IF($AC12:$AX12&lt;&gt;"", COLUMN($AC$1:$AX12)), COLUMN(D12))), ""),
INDEX(11:11, SMALL(IF($AC11:$AX11&lt;&gt;"", COLUMN($AC$1:$AX11)), COLUMN(J11)))), "")</f>
        <v/>
      </c>
      <c r="BJ11" t="str">
        <f t="array" aca="1" ref="BJ11" ca="1">IFERROR(IF(AND(COUNTIF($B11,"*泉ヶ丘*"),COUNTIF($B12,"*泉ヶ丘*")),
IFERROR(INDEX(12:12, SMALL(IF($AC12:$AX12&lt;&gt;"", COLUMN($AC$1:$AX12)), COLUMN(E12))), ""),
INDEX(11:11, SMALL(IF($AC11:$AX11&lt;&gt;"", COLUMN($AC$1:$AX11)), COLUMN(K11)))), "")</f>
        <v/>
      </c>
      <c r="BK11" t="str">
        <f t="array" aca="1" ref="BK11" ca="1">IFERROR(IF(AND(COUNTIF($B11,"*泉ヶ丘*"),COUNTIF($B12,"*泉ヶ丘*")),
IFERROR(INDEX(12:12, SMALL(IF($AC12:$AX12&lt;&gt;"", COLUMN($AC$1:$AX12)), COLUMN(F12))), ""),
INDEX(11:11, SMALL(IF($AC11:$AX11&lt;&gt;"", COLUMN($AC$1:$AX11)), COLUMN(L11)))), "")</f>
        <v/>
      </c>
      <c r="BL11" t="str">
        <f t="array" aca="1" ref="BL11" ca="1">IFERROR(IF(AND(COUNTIF($B11,"*泉ヶ丘*"),COUNTIF($B12,"*泉ヶ丘*")),
IFERROR(INDEX(12:12, SMALL(IF($AC12:$AX12&lt;&gt;"", COLUMN($AC$1:$AX12)), COLUMN(G12))), ""),
INDEX(11:11, SMALL(IF($AC11:$AX11&lt;&gt;"", COLUMN($AC$1:$AX11)), COLUMN(M11)))), "")</f>
        <v/>
      </c>
      <c r="BM11" t="str">
        <f t="array" aca="1" ref="BM11" ca="1">IFERROR(IF(AND(COUNTIF($B11,"*泉ヶ丘*"),COUNTIF($B12,"*泉ヶ丘*")),
IFERROR(INDEX(12:12, SMALL(IF($AC12:$AX12&lt;&gt;"", COLUMN($AC$1:$AX12)), COLUMN(H12))), ""),
INDEX(11:11, SMALL(IF($AC11:$AX11&lt;&gt;"", COLUMN($AC$1:$AX11)), COLUMN(N11)))), "")</f>
        <v/>
      </c>
      <c r="BN11" t="str">
        <f t="array" aca="1" ref="BN11" ca="1">IFERROR(IF(AND(COUNTIF($B11,"*泉ヶ丘*"),COUNTIF($B12,"*泉ヶ丘*")),
IFERROR(INDEX(12:12, SMALL(IF($AC12:$AX12&lt;&gt;"", COLUMN($AC$1:$AX12)), COLUMN(I12))), ""),
INDEX(11:11, SMALL(IF($AC11:$AX11&lt;&gt;"", COLUMN($AC$1:$AX11)), COLUMN(O11)))), "")</f>
        <v/>
      </c>
      <c r="BO11" t="str">
        <f t="array" aca="1" ref="BO11" ca="1">IFERROR(IF(AND(COUNTIF($B11,"*泉ヶ丘*"),COUNTIF($B12,"*泉ヶ丘*")),
IFERROR(INDEX(12:12, SMALL(IF($AC12:$AX12&lt;&gt;"", COLUMN($AC$1:$AX12)), COLUMN(J12))), ""),
INDEX(11:11, SMALL(IF($AC11:$AX11&lt;&gt;"", COLUMN($AC$1:$AX11)), COLUMN(P11)))), "")</f>
        <v/>
      </c>
      <c r="BP11" t="str">
        <f t="array" aca="1" ref="BP11" ca="1">IFERROR(IF(AND(COUNTIF($B11,"*泉ヶ丘*"),COUNTIF($B12,"*泉ヶ丘*")),
IFERROR(INDEX(12:12, SMALL(IF($AC12:$AX12&lt;&gt;"", COLUMN($AC$1:$AX12)), COLUMN(K12))), ""),
INDEX(11:11, SMALL(IF($AC11:$AX11&lt;&gt;"", COLUMN($AC$1:$AX11)), COLUMN(Q11)))), "")</f>
        <v/>
      </c>
      <c r="BQ11" t="str">
        <f t="array" aca="1" ref="BQ11" ca="1">IFERROR(IF(AND(COUNTIF($B11,"*泉ヶ丘*"),COUNTIF($B12,"*泉ヶ丘*")),
IFERROR(INDEX(12:12, SMALL(IF($AC12:$AX12&lt;&gt;"", COLUMN($AC$1:$AX12)), COLUMN(L12))), ""),
INDEX(11:11, SMALL(IF($AC11:$AX11&lt;&gt;"", COLUMN($AC$1:$AX11)), COLUMN(R11)))), "")</f>
        <v/>
      </c>
    </row>
    <row r="12" spans="1:69" x14ac:dyDescent="0.45">
      <c r="A12" t="str">
        <f t="array" ref="A12">IF(INDEX(貼り付け用!A:A,MATCH(A11,貼り付け用!A:A,0)+2)="4700",
IF(INDEX(貼り付け用!A:A,MATCH(A11,貼り付け用!A:A,0)+4)="4800",
INDEX(貼り付け用!A:A,MATCH(A11,貼り付け用!A:A,0)+6),
INDEX(貼り付け用!A:A,MATCH(A11,貼り付け用!A:A,0)+4)),INDEX(貼り付け用!A:A,MATCH(A11,貼り付け用!A:A,0)+2))</f>
        <v>506</v>
      </c>
      <c r="B12" t="str">
        <f>IF(A12&lt;&gt;"",
VLOOKUP(A12,得意先マスタ!A:D,2,FALSE),"")</f>
        <v>博多幼稚園　週5ｺｰｽ</v>
      </c>
      <c r="C12" t="str">
        <f t="array" ref="C12">IF(A12="10000","",INDEX(貼り付け用!A:A,MATCH(A12,貼り付け用!A:A,0)+1))</f>
        <v>博多 週5ｺｰｽ</v>
      </c>
      <c r="D12" t="str">
        <f ca="1">VLOOKUP(C12,クライアント抽出!$A:$O,10,FALSE)</f>
        <v>キャラ弁当　飯なし</v>
      </c>
      <c r="E12" t="str">
        <f ca="1">IF(D12&lt;&gt;"",
IF(COUNTIF(C12,"*ぺんぎん*"),
VLOOKUP(
"*"&amp;IF(COUNTIF(D12,"*キャラ弁*"),"キャラ",
IF(COUNTIF(D12,"*赤*"),"赤",SUBSTITUTE(SUBSTITUTE(D12," ",""),"　","")))&amp;"*",
注文弁当の抽出!$F:$I,4,FALSE)&amp;
IF(COUNTIF(D12,"*おにぎり*"),"　おにぎり","")&amp;"　（ぺんぎん組）",
VLOOKUP(
"*"&amp;IF(COUNTIF(D12,"*キャラ弁*"),"キャラ",
IF(COUNTIF(D12,"*赤*"),"赤",SUBSTITUTE(SUBSTITUTE(D12," ",""),"　","")))&amp;"*",
注文弁当の抽出!$F:$I,4,FALSE)&amp;
IF(COUNTIF(D12,"*おにぎり*"),"　おにぎり","")),"")</f>
        <v>弁当　園児</v>
      </c>
      <c r="F12">
        <f ca="1">IFERROR(IF(E12&lt;&gt;"",
VLOOKUP(C12,クライアント抽出!$A:$G,2,FALSE)+
IF(COUNTIF(Y12,"*-*"),Y12,0),"")
-IFERROR(MID(V12, SEARCH("予備", V12) + LEN("予備"), SEARCH("込み", V12) - (SEARCH("予備", V12) + LEN("予備"))),0),"")</f>
        <v>359</v>
      </c>
      <c r="G12" t="str">
        <f ca="1">VLOOKUP(C12,クライアント抽出!$A:$O,11,FALSE)</f>
        <v/>
      </c>
      <c r="H12" t="str">
        <f ca="1">IF(G12&lt;&gt;"",
VLOOKUP(
"*"&amp;IF(COUNTIF(G12,"*キャラ弁*"),"キャラ",
IF(COUNTIF(G12,"*赤*"),"赤",SUBSTITUTE(SUBSTITUTE(G12," ",""),"　","")))&amp;"*",
注文弁当の抽出!$F:$I,4,FALSE)&amp;
IF(COUNTIF(G12,"*おにぎり*"),"　おにぎり",""),"")</f>
        <v/>
      </c>
      <c r="I12" t="str">
        <f ca="1">IF(H12&lt;&gt;"",
VLOOKUP(C12,クライアント抽出!$A:$G,3,FALSE)+
IF(COUNTIF(C12,"*博多*"),Y12,Z12),"")</f>
        <v/>
      </c>
      <c r="J12" t="str">
        <f ca="1">VLOOKUP(C12,クライアント抽出!$A:$O,12,FALSE)</f>
        <v/>
      </c>
      <c r="K12" t="str">
        <f ca="1">IF(J12&lt;&gt;"",
VLOOKUP(
"*"&amp;IF(COUNTIF(J12,"*キャラ弁*"),"キャラ",
IF(COUNTIF(J12,"*赤*"),"赤",SUBSTITUTE(SUBSTITUTE(J12," ",""),"　","")))&amp;"*",
注文弁当の抽出!$F:$I,4,FALSE)&amp;
IF(COUNTIF(J12,"*おにぎり*"),"　おにぎり",""),"")</f>
        <v/>
      </c>
      <c r="L12" t="str">
        <f ca="1">IF(K12&lt;&gt;"",
VLOOKUP(C12,クライアント抽出!$A:$G,4,FALSE)+AA12,"")</f>
        <v/>
      </c>
      <c r="M12" t="str">
        <f ca="1">VLOOKUP(C12,クライアント抽出!$A:$O,13,FALSE)</f>
        <v/>
      </c>
      <c r="N12" t="str">
        <f ca="1">SUBSTITUTE(
IF(M12&lt;&gt;"",
VLOOKUP(
"*"&amp;IF(COUNTIF(M12,"*キャラ弁*"),"キャラ",
IF(COUNTIF(M12,"*赤*"),"赤",SUBSTITUTE(SUBSTITUTE(D12," ",""),"　","")))&amp;"*",
注文弁当の抽出!$F:$I,4,FALSE),""),"園児","先生")&amp;
IF(COUNTIF(M12,"*おにぎり*"),"　おにぎり","")</f>
        <v/>
      </c>
      <c r="O12" t="str">
        <f ca="1">IF(N12&lt;&gt;"",VLOOKUP(C12,クライアント抽出!$A:$G,5,FALSE),"")</f>
        <v/>
      </c>
      <c r="P12" t="str">
        <f ca="1">VLOOKUP(C12,クライアント抽出!$A:$O,14,FALSE)</f>
        <v/>
      </c>
      <c r="Q12" t="str">
        <f ca="1">SUBSTITUTE(
IF(P12&lt;&gt;"",
VLOOKUP(
"*"&amp;IF(COUNTIF(P12,"*キャラ弁*"),"キャラ",
IF(COUNTIF(P12,"*赤*"),"赤",SUBSTITUTE(SUBSTITUTE(G12," ",""),"　","")))&amp;"*",
注文弁当の抽出!$F:$I,4,FALSE),""),"園児","先生")&amp;
IF(COUNTIF(P12,"*おにぎり*"),"　おにぎり","")</f>
        <v/>
      </c>
      <c r="R12" t="str">
        <f ca="1">IF(Q12&lt;&gt;"",
VLOOKUP(C12,クライアント抽出!$A:$G,6,FALSE),"")</f>
        <v/>
      </c>
      <c r="S12" t="str">
        <f ca="1">VLOOKUP(C12,クライアント抽出!$A:$O,15,FALSE)</f>
        <v/>
      </c>
      <c r="T12" t="str">
        <f ca="1">SUBSTITUTE(
IF(S12&lt;&gt;"",
VLOOKUP(
"*"&amp;IF(COUNTIF(S12,"*キャラ弁*"),"キャラ",
IF(COUNTIF(S12,"*赤*"),"赤",SUBSTITUTE(SUBSTITUTE(J12," ",""),"　","")))&amp;"*",
注文弁当の抽出!$F:$I,4,FALSE),""),"園児","先生")&amp;
IF(COUNTIF(S12,"*おにぎり*"),"　おにぎり","")</f>
        <v/>
      </c>
      <c r="U12" t="str">
        <f ca="1">IF(T12&lt;&gt;"",
VLOOKUP(C12,クライアント抽出!$A:$G,7,FALSE),"")</f>
        <v/>
      </c>
      <c r="V12" t="str">
        <f ca="1">IF(A12&lt;&gt;"",
IF(COUNTIF(V11,"*牛乳*"),
IF(AND(COUNTIF(B11,"*奈良屋*"),COUNTIF(B12,"*奈良屋*")),
V11&amp;"✔",""),VLOOKUP(""&amp;A12&amp;"",数出表_Excel!$A:$Z,22,FALSE)&amp;VLOOKUP(""&amp;A12&amp;"",数出表_Excel!$A:$Z,23,FALSE)
&amp;VLOOKUP(""&amp;C12&amp;"",数出表_Excel!$A:$Z,22,FALSE)&amp;VLOOKUP(""&amp;C12&amp;"",数出表_Excel!$A:$Z,23,FALSE)),"")</f>
        <v/>
      </c>
      <c r="W12" t="str">
        <f ca="1">IF(AND(COUNTIF(V12,"&lt;&gt;*不要*"),A12&lt;&gt;""),VLOOKUP(A12,得意先マスタ!$A:$AD,24,FALSE),0)</f>
        <v>検食</v>
      </c>
      <c r="X12" t="str">
        <f ca="1">IF(AND(COUNTIF(V12,"&lt;&gt;*不要*"),A12&lt;&gt;""),VLOOKUP(A12,得意先マスタ!$A:$AD,25,FALSE),0)</f>
        <v>-1</v>
      </c>
      <c r="Y12" t="str">
        <f t="shared" ca="1" si="0"/>
        <v>-1</v>
      </c>
      <c r="Z12">
        <f t="shared" ca="1" si="1"/>
        <v>0</v>
      </c>
      <c r="AA12">
        <f t="shared" ca="1" si="5"/>
        <v>0</v>
      </c>
      <c r="AB12" t="str">
        <f t="shared" ca="1" si="2"/>
        <v>弁当　検食</v>
      </c>
      <c r="AC12" t="str">
        <f t="array" aca="1" ref="AC12" ca="1">IFERROR(INDEX(12:12, SMALL(IF($D12:$U12&lt;&gt;"", COLUMN($D$1:$U12)), COLUMN(A12))), "")</f>
        <v>キャラ弁当　飯なし</v>
      </c>
      <c r="AD12" t="str">
        <f t="array" aca="1" ref="AD12" ca="1">IFERROR(INDEX(12:12, SMALL(IF($D12:$U12&lt;&gt;"", COLUMN($D$1:$U12)), COLUMN(B12))), "")</f>
        <v>弁当　園児</v>
      </c>
      <c r="AE12">
        <f t="array" aca="1" ref="AE12" ca="1">IFERROR(INDEX(12:12, SMALL(IF($D12:$U12&lt;&gt;"", COLUMN($D$1:$U12)), COLUMN(C12))), "")</f>
        <v>359</v>
      </c>
      <c r="AF12" t="str">
        <f t="array" aca="1" ref="AF12" ca="1">IFERROR(INDEX(12:12, SMALL(IF($D12:$U12&lt;&gt;"", COLUMN($D$1:$U12)), COLUMN(D12))), "")</f>
        <v/>
      </c>
      <c r="AG12" t="str">
        <f t="array" aca="1" ref="AG12" ca="1">IFERROR(INDEX(12:12, SMALL(IF($D12:$U12&lt;&gt;"", COLUMN($D$1:$U12)), COLUMN(E12))), "")</f>
        <v/>
      </c>
      <c r="AH12" t="str">
        <f t="array" aca="1" ref="AH12" ca="1">IFERROR(INDEX(12:12, SMALL(IF($D12:$U12&lt;&gt;"", COLUMN($D$1:$U12)), COLUMN(F12))), "")</f>
        <v/>
      </c>
      <c r="AI12" t="str">
        <f t="array" aca="1" ref="AI12" ca="1">IFERROR(INDEX(12:12, SMALL(IF($D12:$U12&lt;&gt;"", COLUMN($D$1:$U12)), COLUMN(G12))), "")</f>
        <v/>
      </c>
      <c r="AJ12" t="str">
        <f t="array" aca="1" ref="AJ12" ca="1">IFERROR(INDEX(12:12, SMALL(IF($D12:$U12&lt;&gt;"", COLUMN($D$1:$U12)), COLUMN(H12))), "")</f>
        <v/>
      </c>
      <c r="AK12" t="str">
        <f t="array" aca="1" ref="AK12" ca="1">IFERROR(INDEX(12:12, SMALL(IF($D12:$U12&lt;&gt;"", COLUMN($D$1:$U12)), COLUMN(I12))), "")</f>
        <v/>
      </c>
      <c r="AL12" t="str">
        <f t="array" aca="1" ref="AL12" ca="1">IFERROR(INDEX(12:12, SMALL(IF($D12:$U12&lt;&gt;"", COLUMN($D$1:$U12)), COLUMN(J12))), "")</f>
        <v/>
      </c>
      <c r="AM12" t="str">
        <f t="array" aca="1" ref="AM12" ca="1">IFERROR(INDEX(12:12, SMALL(IF($D12:$U12&lt;&gt;"", COLUMN($D$1:$U12)), COLUMN(K12))), "")</f>
        <v/>
      </c>
      <c r="AN12" t="str">
        <f t="array" aca="1" ref="AN12" ca="1">IFERROR(INDEX(12:12, SMALL(IF($D12:$U12&lt;&gt;"", COLUMN($D$1:$U12)), COLUMN(L12))), "")</f>
        <v/>
      </c>
      <c r="AO12" t="str">
        <f t="array" aca="1" ref="AO12" ca="1">IFERROR(INDEX(12:12, SMALL(IF($D12:$U12&lt;&gt;"", COLUMN($D$1:$U12)), COLUMN(M12))), "")</f>
        <v/>
      </c>
      <c r="AP12" t="str">
        <f t="array" aca="1" ref="AP12" ca="1">IFERROR(INDEX(12:12, SMALL(IF($D12:$U12&lt;&gt;"", COLUMN($D$1:$U12)), COLUMN(N12))), "")</f>
        <v/>
      </c>
      <c r="AQ12" t="str">
        <f t="array" aca="1" ref="AQ12" ca="1">IFERROR(INDEX(12:12, SMALL(IF($D12:$U12&lt;&gt;"", COLUMN($D$1:$U12)), COLUMN(O12))), "")</f>
        <v/>
      </c>
      <c r="AR12" s="52" t="s">
        <v>4005</v>
      </c>
      <c r="AS12" t="str">
        <f t="shared" ca="1" si="3"/>
        <v>弁当　検食</v>
      </c>
      <c r="AT12" t="str">
        <f t="shared" ca="1" si="4"/>
        <v>1</v>
      </c>
      <c r="AU12" t="str">
        <f t="shared" ca="1" si="6"/>
        <v/>
      </c>
      <c r="AV12" t="str">
        <f t="shared" ca="1" si="7"/>
        <v/>
      </c>
      <c r="AW12" t="str">
        <f t="shared" ca="1" si="8"/>
        <v/>
      </c>
      <c r="AX12" t="str">
        <f t="shared" ca="1" si="9"/>
        <v/>
      </c>
      <c r="AZ12" t="str">
        <f t="array" aca="1" ref="AZ12" ca="1">IFERROR(INDEX(12:12, SMALL(IF($AC12:$AX12&lt;&gt;"", COLUMN($AC$1:$AX12)), COLUMN(A12))), "")</f>
        <v>キャラ弁当　飯なし</v>
      </c>
      <c r="BA12" t="str">
        <f t="array" aca="1" ref="BA12" ca="1">IFERROR(INDEX(12:12, SMALL(IF($AC12:$AX12&lt;&gt;"", COLUMN($AC$1:$AX12)), COLUMN(B12))), "")</f>
        <v>弁当　園児</v>
      </c>
      <c r="BB12">
        <f t="array" aca="1" ref="BB12" ca="1">IFERROR(INDEX(12:12, SMALL(IF($AC12:$AX12&lt;&gt;"", COLUMN($AC$1:$AX12)), COLUMN(C12))), "")</f>
        <v>359</v>
      </c>
      <c r="BC12" t="str">
        <f t="array" aca="1" ref="BC12" ca="1">IFERROR(INDEX(12:12, SMALL(IF($AC12:$AX12&lt;&gt;"", COLUMN($AC$1:$AX12)), COLUMN(D12))), "")</f>
        <v>●</v>
      </c>
      <c r="BD12" t="str">
        <f t="array" aca="1" ref="BD12" ca="1">IFERROR(INDEX(12:12, SMALL(IF($AC12:$AX12&lt;&gt;"", COLUMN($AC$1:$AX12)), COLUMN(E12))), "")</f>
        <v>弁当　検食</v>
      </c>
      <c r="BE12" t="str">
        <f t="array" aca="1" ref="BE12" ca="1">IFERROR(INDEX(12:12, SMALL(IF($AC12:$AX12&lt;&gt;"", COLUMN($AC$1:$AX12)), COLUMN(F12))), "")</f>
        <v>1</v>
      </c>
      <c r="BF12" t="str">
        <f t="array" aca="1" ref="BF12" ca="1">IFERROR(IF(AND(COUNTIF($B12,"*泉ヶ丘*"),COUNTIF($B13,"*泉ヶ丘*")),
IFERROR(INDEX(13:13, SMALL(IF($AC13:$AX13&lt;&gt;"", COLUMN($AC$1:$AX13)), COLUMN(A13))), ""),
INDEX(12:12, SMALL(IF($AC12:$AX12&lt;&gt;"", COLUMN($AC$1:$AX12)), COLUMN(G12)))), "")</f>
        <v/>
      </c>
      <c r="BG12" t="str">
        <f t="array" aca="1" ref="BG12" ca="1">IFERROR(IF(AND(COUNTIF($B12,"*泉ヶ丘*"),COUNTIF($B13,"*泉ヶ丘*")),
IFERROR(INDEX(13:13, SMALL(IF($AC13:$AX13&lt;&gt;"", COLUMN($AC$1:$AX13)), COLUMN(B13))), ""),
INDEX(12:12, SMALL(IF($AC12:$AX12&lt;&gt;"", COLUMN($AC$1:$AX12)), COLUMN(H12)))), "")</f>
        <v/>
      </c>
      <c r="BH12" t="str">
        <f t="array" aca="1" ref="BH12" ca="1">IFERROR(IF(AND(COUNTIF($B12,"*泉ヶ丘*"),COUNTIF($B13,"*泉ヶ丘*")),
IFERROR(INDEX(13:13, SMALL(IF($AC13:$AX13&lt;&gt;"", COLUMN($AC$1:$AX13)), COLUMN(C13))), ""),
INDEX(12:12, SMALL(IF($AC12:$AX12&lt;&gt;"", COLUMN($AC$1:$AX12)), COLUMN(I12)))), "")</f>
        <v/>
      </c>
      <c r="BI12" t="str">
        <f t="array" aca="1" ref="BI12" ca="1">IFERROR(IF(AND(COUNTIF($B12,"*泉ヶ丘*"),COUNTIF($B13,"*泉ヶ丘*")),
IFERROR(INDEX(13:13, SMALL(IF($AC13:$AX13&lt;&gt;"", COLUMN($AC$1:$AX13)), COLUMN(D13))), ""),
INDEX(12:12, SMALL(IF($AC12:$AX12&lt;&gt;"", COLUMN($AC$1:$AX12)), COLUMN(J12)))), "")</f>
        <v/>
      </c>
      <c r="BJ12" t="str">
        <f t="array" aca="1" ref="BJ12" ca="1">IFERROR(IF(AND(COUNTIF($B12,"*泉ヶ丘*"),COUNTIF($B13,"*泉ヶ丘*")),
IFERROR(INDEX(13:13, SMALL(IF($AC13:$AX13&lt;&gt;"", COLUMN($AC$1:$AX13)), COLUMN(E13))), ""),
INDEX(12:12, SMALL(IF($AC12:$AX12&lt;&gt;"", COLUMN($AC$1:$AX12)), COLUMN(K12)))), "")</f>
        <v/>
      </c>
      <c r="BK12" t="str">
        <f t="array" aca="1" ref="BK12" ca="1">IFERROR(IF(AND(COUNTIF($B12,"*泉ヶ丘*"),COUNTIF($B13,"*泉ヶ丘*")),
IFERROR(INDEX(13:13, SMALL(IF($AC13:$AX13&lt;&gt;"", COLUMN($AC$1:$AX13)), COLUMN(F13))), ""),
INDEX(12:12, SMALL(IF($AC12:$AX12&lt;&gt;"", COLUMN($AC$1:$AX12)), COLUMN(L12)))), "")</f>
        <v/>
      </c>
      <c r="BL12" t="str">
        <f t="array" aca="1" ref="BL12" ca="1">IFERROR(IF(AND(COUNTIF($B12,"*泉ヶ丘*"),COUNTIF($B13,"*泉ヶ丘*")),
IFERROR(INDEX(13:13, SMALL(IF($AC13:$AX13&lt;&gt;"", COLUMN($AC$1:$AX13)), COLUMN(G13))), ""),
INDEX(12:12, SMALL(IF($AC12:$AX12&lt;&gt;"", COLUMN($AC$1:$AX12)), COLUMN(M12)))), "")</f>
        <v/>
      </c>
      <c r="BM12" t="str">
        <f t="array" aca="1" ref="BM12" ca="1">IFERROR(IF(AND(COUNTIF($B12,"*泉ヶ丘*"),COUNTIF($B13,"*泉ヶ丘*")),
IFERROR(INDEX(13:13, SMALL(IF($AC13:$AX13&lt;&gt;"", COLUMN($AC$1:$AX13)), COLUMN(H13))), ""),
INDEX(12:12, SMALL(IF($AC12:$AX12&lt;&gt;"", COLUMN($AC$1:$AX12)), COLUMN(N12)))), "")</f>
        <v/>
      </c>
      <c r="BN12" t="str">
        <f t="array" aca="1" ref="BN12" ca="1">IFERROR(IF(AND(COUNTIF($B12,"*泉ヶ丘*"),COUNTIF($B13,"*泉ヶ丘*")),
IFERROR(INDEX(13:13, SMALL(IF($AC13:$AX13&lt;&gt;"", COLUMN($AC$1:$AX13)), COLUMN(I13))), ""),
INDEX(12:12, SMALL(IF($AC12:$AX12&lt;&gt;"", COLUMN($AC$1:$AX12)), COLUMN(O12)))), "")</f>
        <v/>
      </c>
      <c r="BO12" t="str">
        <f t="array" aca="1" ref="BO12" ca="1">IFERROR(IF(AND(COUNTIF($B12,"*泉ヶ丘*"),COUNTIF($B13,"*泉ヶ丘*")),
IFERROR(INDEX(13:13, SMALL(IF($AC13:$AX13&lt;&gt;"", COLUMN($AC$1:$AX13)), COLUMN(J13))), ""),
INDEX(12:12, SMALL(IF($AC12:$AX12&lt;&gt;"", COLUMN($AC$1:$AX12)), COLUMN(P12)))), "")</f>
        <v/>
      </c>
      <c r="BP12" t="str">
        <f t="array" aca="1" ref="BP12" ca="1">IFERROR(IF(AND(COUNTIF($B12,"*泉ヶ丘*"),COUNTIF($B13,"*泉ヶ丘*")),
IFERROR(INDEX(13:13, SMALL(IF($AC13:$AX13&lt;&gt;"", COLUMN($AC$1:$AX13)), COLUMN(K13))), ""),
INDEX(12:12, SMALL(IF($AC12:$AX12&lt;&gt;"", COLUMN($AC$1:$AX12)), COLUMN(Q12)))), "")</f>
        <v/>
      </c>
      <c r="BQ12" t="str">
        <f t="array" aca="1" ref="BQ12" ca="1">IFERROR(IF(AND(COUNTIF($B12,"*泉ヶ丘*"),COUNTIF($B13,"*泉ヶ丘*")),
IFERROR(INDEX(13:13, SMALL(IF($AC13:$AX13&lt;&gt;"", COLUMN($AC$1:$AX13)), COLUMN(L13))), ""),
INDEX(12:12, SMALL(IF($AC12:$AX12&lt;&gt;"", COLUMN($AC$1:$AX12)), COLUMN(R12)))), "")</f>
        <v/>
      </c>
    </row>
    <row r="13" spans="1:69" x14ac:dyDescent="0.45">
      <c r="A13" t="str">
        <f t="array" ref="A13">IF(INDEX(貼り付け用!A:A,MATCH(A12,貼り付け用!A:A,0)+2)="4700",
IF(INDEX(貼り付け用!A:A,MATCH(A12,貼り付け用!A:A,0)+4)="4800",
INDEX(貼り付け用!A:A,MATCH(A12,貼り付け用!A:A,0)+6),
INDEX(貼り付け用!A:A,MATCH(A12,貼り付け用!A:A,0)+4)),INDEX(貼り付け用!A:A,MATCH(A12,貼り付け用!A:A,0)+2))</f>
        <v>507</v>
      </c>
      <c r="B13" t="str">
        <f>IF(A13&lt;&gt;"",
VLOOKUP(A13,得意先マスタ!A:D,2,FALSE),"")</f>
        <v>博多幼稚園（補助教員）</v>
      </c>
      <c r="C13" t="str">
        <f t="array" ref="C13">IF(A13="10000","",INDEX(貼り付け用!A:A,MATCH(A13,貼り付け用!A:A,0)+1))</f>
        <v>博多（補助教員） web</v>
      </c>
      <c r="D13" t="str">
        <f ca="1">VLOOKUP(C13,クライアント抽出!$A:$O,10,FALSE)</f>
        <v/>
      </c>
      <c r="E13" t="str">
        <f ca="1">IF(D13&lt;&gt;"",
IF(COUNTIF(C13,"*ぺんぎん*"),
VLOOKUP(
"*"&amp;IF(COUNTIF(D13,"*キャラ弁*"),"キャラ",
IF(COUNTIF(D13,"*赤*"),"赤",SUBSTITUTE(SUBSTITUTE(D13," ",""),"　","")))&amp;"*",
注文弁当の抽出!$F:$I,4,FALSE)&amp;
IF(COUNTIF(D13,"*おにぎり*"),"　おにぎり","")&amp;"　（ぺんぎん組）",
VLOOKUP(
"*"&amp;IF(COUNTIF(D13,"*キャラ弁*"),"キャラ",
IF(COUNTIF(D13,"*赤*"),"赤",SUBSTITUTE(SUBSTITUTE(D13," ",""),"　","")))&amp;"*",
注文弁当の抽出!$F:$I,4,FALSE)&amp;
IF(COUNTIF(D13,"*おにぎり*"),"　おにぎり","")),"")</f>
        <v/>
      </c>
      <c r="F13" t="str">
        <f ca="1">IFERROR(IF(E13&lt;&gt;"",
VLOOKUP(C13,クライアント抽出!$A:$G,2,FALSE)+
IF(COUNTIF(Y13,"*-*"),Y13,0),"")
-IFERROR(MID(V13, SEARCH("予備", V13) + LEN("予備"), SEARCH("込み", V13) - (SEARCH("予備", V13) + LEN("予備"))),0),"")</f>
        <v/>
      </c>
      <c r="G13" t="str">
        <f ca="1">VLOOKUP(C13,クライアント抽出!$A:$O,11,FALSE)</f>
        <v/>
      </c>
      <c r="H13" t="str">
        <f ca="1">IF(G13&lt;&gt;"",
VLOOKUP(
"*"&amp;IF(COUNTIF(G13,"*キャラ弁*"),"キャラ",
IF(COUNTIF(G13,"*赤*"),"赤",SUBSTITUTE(SUBSTITUTE(G13," ",""),"　","")))&amp;"*",
注文弁当の抽出!$F:$I,4,FALSE)&amp;
IF(COUNTIF(G13,"*おにぎり*"),"　おにぎり",""),"")</f>
        <v/>
      </c>
      <c r="I13" t="str">
        <f ca="1">IF(H13&lt;&gt;"",
VLOOKUP(C13,クライアント抽出!$A:$G,3,FALSE)+
IF(COUNTIF(C13,"*博多*"),Y13,Z13),"")</f>
        <v/>
      </c>
      <c r="J13" t="str">
        <f ca="1">VLOOKUP(C13,クライアント抽出!$A:$O,12,FALSE)</f>
        <v/>
      </c>
      <c r="K13" t="str">
        <f ca="1">IF(J13&lt;&gt;"",
VLOOKUP(
"*"&amp;IF(COUNTIF(J13,"*キャラ弁*"),"キャラ",
IF(COUNTIF(J13,"*赤*"),"赤",SUBSTITUTE(SUBSTITUTE(J13," ",""),"　","")))&amp;"*",
注文弁当の抽出!$F:$I,4,FALSE)&amp;
IF(COUNTIF(J13,"*おにぎり*"),"　おにぎり",""),"")</f>
        <v/>
      </c>
      <c r="L13" t="str">
        <f ca="1">IF(K13&lt;&gt;"",
VLOOKUP(C13,クライアント抽出!$A:$G,4,FALSE)+AA13,"")</f>
        <v/>
      </c>
      <c r="M13" t="str">
        <f ca="1">VLOOKUP(C13,クライアント抽出!$A:$O,13,FALSE)</f>
        <v>キャラ弁当　飯あり120</v>
      </c>
      <c r="N13" t="str">
        <f ca="1">SUBSTITUTE(
IF(M13&lt;&gt;"",
VLOOKUP(
"*"&amp;IF(COUNTIF(M13,"*キャラ弁*"),"キャラ",
IF(COUNTIF(M13,"*赤*"),"赤",SUBSTITUTE(SUBSTITUTE(D13," ",""),"　","")))&amp;"*",
注文弁当の抽出!$F:$I,4,FALSE),""),"園児","先生")&amp;
IF(COUNTIF(M13,"*おにぎり*"),"　おにぎり","")</f>
        <v>弁当　先生</v>
      </c>
      <c r="O13">
        <f ca="1">IF(N13&lt;&gt;"",VLOOKUP(C13,クライアント抽出!$A:$G,5,FALSE),"")</f>
        <v>13</v>
      </c>
      <c r="P13" t="str">
        <f ca="1">VLOOKUP(C13,クライアント抽出!$A:$O,14,FALSE)</f>
        <v/>
      </c>
      <c r="Q13" t="str">
        <f ca="1">SUBSTITUTE(
IF(P13&lt;&gt;"",
VLOOKUP(
"*"&amp;IF(COUNTIF(P13,"*キャラ弁*"),"キャラ",
IF(COUNTIF(P13,"*赤*"),"赤",SUBSTITUTE(SUBSTITUTE(G13," ",""),"　","")))&amp;"*",
注文弁当の抽出!$F:$I,4,FALSE),""),"園児","先生")&amp;
IF(COUNTIF(P13,"*おにぎり*"),"　おにぎり","")</f>
        <v/>
      </c>
      <c r="R13" t="str">
        <f ca="1">IF(Q13&lt;&gt;"",
VLOOKUP(C13,クライアント抽出!$A:$G,6,FALSE),"")</f>
        <v/>
      </c>
      <c r="S13" t="str">
        <f ca="1">VLOOKUP(C13,クライアント抽出!$A:$O,15,FALSE)</f>
        <v/>
      </c>
      <c r="T13" t="str">
        <f ca="1">SUBSTITUTE(
IF(S13&lt;&gt;"",
VLOOKUP(
"*"&amp;IF(COUNTIF(S13,"*キャラ弁*"),"キャラ",
IF(COUNTIF(S13,"*赤*"),"赤",SUBSTITUTE(SUBSTITUTE(J13," ",""),"　","")))&amp;"*",
注文弁当の抽出!$F:$I,4,FALSE),""),"園児","先生")&amp;
IF(COUNTIF(S13,"*おにぎり*"),"　おにぎり","")</f>
        <v/>
      </c>
      <c r="U13" t="str">
        <f ca="1">IF(T13&lt;&gt;"",
VLOOKUP(C13,クライアント抽出!$A:$G,7,FALSE),"")</f>
        <v/>
      </c>
      <c r="V13" t="str">
        <f ca="1">IF(A13&lt;&gt;"",
IF(COUNTIF(V12,"*牛乳*"),
IF(AND(COUNTIF(B12,"*奈良屋*"),COUNTIF(B13,"*奈良屋*")),
V12&amp;"✔",""),VLOOKUP(""&amp;A13&amp;"",数出表_Excel!$A:$Z,22,FALSE)&amp;VLOOKUP(""&amp;A13&amp;"",数出表_Excel!$A:$Z,23,FALSE)
&amp;VLOOKUP(""&amp;C13&amp;"",数出表_Excel!$A:$Z,22,FALSE)&amp;VLOOKUP(""&amp;C13&amp;"",数出表_Excel!$A:$Z,23,FALSE)),"")</f>
        <v/>
      </c>
      <c r="W13">
        <f ca="1">IF(AND(COUNTIF(V13,"&lt;&gt;*不要*"),A13&lt;&gt;""),VLOOKUP(A13,得意先マスタ!$A:$AD,24,FALSE),0)</f>
        <v>0</v>
      </c>
      <c r="X13">
        <f ca="1">IF(AND(COUNTIF(V13,"&lt;&gt;*不要*"),A13&lt;&gt;""),VLOOKUP(A13,得意先マスタ!$A:$AD,25,FALSE),0)</f>
        <v>0</v>
      </c>
      <c r="Y13">
        <f t="shared" ca="1" si="0"/>
        <v>0</v>
      </c>
      <c r="Z13">
        <f t="shared" ca="1" si="1"/>
        <v>0</v>
      </c>
      <c r="AA13">
        <f t="shared" ca="1" si="5"/>
        <v>0</v>
      </c>
      <c r="AB13" t="str">
        <f t="shared" ca="1" si="2"/>
        <v/>
      </c>
      <c r="AC13" t="str">
        <f t="array" aca="1" ref="AC13" ca="1">IFERROR(INDEX(13:13, SMALL(IF($D13:$U13&lt;&gt;"", COLUMN($D$1:$U13)), COLUMN(A13))), "")</f>
        <v>キャラ弁当　飯あり120</v>
      </c>
      <c r="AD13" t="str">
        <f t="array" aca="1" ref="AD13" ca="1">IFERROR(INDEX(13:13, SMALL(IF($D13:$U13&lt;&gt;"", COLUMN($D$1:$U13)), COLUMN(B13))), "")</f>
        <v>弁当　先生</v>
      </c>
      <c r="AE13">
        <f t="array" aca="1" ref="AE13" ca="1">IFERROR(INDEX(13:13, SMALL(IF($D13:$U13&lt;&gt;"", COLUMN($D$1:$U13)), COLUMN(C13))), "")</f>
        <v>13</v>
      </c>
      <c r="AF13" t="str">
        <f t="array" aca="1" ref="AF13" ca="1">IFERROR(INDEX(13:13, SMALL(IF($D13:$U13&lt;&gt;"", COLUMN($D$1:$U13)), COLUMN(D13))), "")</f>
        <v/>
      </c>
      <c r="AG13" t="str">
        <f t="array" aca="1" ref="AG13" ca="1">IFERROR(INDEX(13:13, SMALL(IF($D13:$U13&lt;&gt;"", COLUMN($D$1:$U13)), COLUMN(E13))), "")</f>
        <v/>
      </c>
      <c r="AH13" t="str">
        <f t="array" aca="1" ref="AH13" ca="1">IFERROR(INDEX(13:13, SMALL(IF($D13:$U13&lt;&gt;"", COLUMN($D$1:$U13)), COLUMN(F13))), "")</f>
        <v/>
      </c>
      <c r="AI13" t="str">
        <f t="array" aca="1" ref="AI13" ca="1">IFERROR(INDEX(13:13, SMALL(IF($D13:$U13&lt;&gt;"", COLUMN($D$1:$U13)), COLUMN(G13))), "")</f>
        <v/>
      </c>
      <c r="AJ13" t="str">
        <f t="array" aca="1" ref="AJ13" ca="1">IFERROR(INDEX(13:13, SMALL(IF($D13:$U13&lt;&gt;"", COLUMN($D$1:$U13)), COLUMN(H13))), "")</f>
        <v/>
      </c>
      <c r="AK13" t="str">
        <f t="array" aca="1" ref="AK13" ca="1">IFERROR(INDEX(13:13, SMALL(IF($D13:$U13&lt;&gt;"", COLUMN($D$1:$U13)), COLUMN(I13))), "")</f>
        <v/>
      </c>
      <c r="AL13" t="str">
        <f t="array" aca="1" ref="AL13" ca="1">IFERROR(INDEX(13:13, SMALL(IF($D13:$U13&lt;&gt;"", COLUMN($D$1:$U13)), COLUMN(J13))), "")</f>
        <v/>
      </c>
      <c r="AM13" t="str">
        <f t="array" aca="1" ref="AM13" ca="1">IFERROR(INDEX(13:13, SMALL(IF($D13:$U13&lt;&gt;"", COLUMN($D$1:$U13)), COLUMN(K13))), "")</f>
        <v/>
      </c>
      <c r="AN13" t="str">
        <f t="array" aca="1" ref="AN13" ca="1">IFERROR(INDEX(13:13, SMALL(IF($D13:$U13&lt;&gt;"", COLUMN($D$1:$U13)), COLUMN(L13))), "")</f>
        <v/>
      </c>
      <c r="AO13" t="str">
        <f t="array" aca="1" ref="AO13" ca="1">IFERROR(INDEX(13:13, SMALL(IF($D13:$U13&lt;&gt;"", COLUMN($D$1:$U13)), COLUMN(M13))), "")</f>
        <v/>
      </c>
      <c r="AP13" t="str">
        <f t="array" aca="1" ref="AP13" ca="1">IFERROR(INDEX(13:13, SMALL(IF($D13:$U13&lt;&gt;"", COLUMN($D$1:$U13)), COLUMN(N13))), "")</f>
        <v/>
      </c>
      <c r="AQ13" t="str">
        <f t="array" aca="1" ref="AQ13" ca="1">IFERROR(INDEX(13:13, SMALL(IF($D13:$U13&lt;&gt;"", COLUMN($D$1:$U13)), COLUMN(O13))), "")</f>
        <v/>
      </c>
      <c r="AR13" s="52" t="s">
        <v>4005</v>
      </c>
      <c r="AS13" t="str">
        <f t="shared" ca="1" si="3"/>
        <v/>
      </c>
      <c r="AT13" t="str">
        <f t="shared" ca="1" si="4"/>
        <v/>
      </c>
      <c r="AU13" t="str">
        <f t="shared" ca="1" si="6"/>
        <v/>
      </c>
      <c r="AV13" t="str">
        <f t="shared" ca="1" si="7"/>
        <v/>
      </c>
      <c r="AW13" t="str">
        <f t="shared" ca="1" si="8"/>
        <v/>
      </c>
      <c r="AX13" t="str">
        <f t="shared" ca="1" si="9"/>
        <v/>
      </c>
      <c r="AZ13" t="str">
        <f t="array" aca="1" ref="AZ13" ca="1">IFERROR(INDEX(13:13, SMALL(IF($AC13:$AX13&lt;&gt;"", COLUMN($AC$1:$AX13)), COLUMN(A13))), "")</f>
        <v>キャラ弁当　飯あり120</v>
      </c>
      <c r="BA13" t="str">
        <f t="array" aca="1" ref="BA13" ca="1">IFERROR(INDEX(13:13, SMALL(IF($AC13:$AX13&lt;&gt;"", COLUMN($AC$1:$AX13)), COLUMN(B13))), "")</f>
        <v>弁当　先生</v>
      </c>
      <c r="BB13">
        <f t="array" aca="1" ref="BB13" ca="1">IFERROR(INDEX(13:13, SMALL(IF($AC13:$AX13&lt;&gt;"", COLUMN($AC$1:$AX13)), COLUMN(C13))), "")</f>
        <v>13</v>
      </c>
      <c r="BC13" t="str">
        <f t="array" aca="1" ref="BC13" ca="1">IFERROR(INDEX(13:13, SMALL(IF($AC13:$AX13&lt;&gt;"", COLUMN($AC$1:$AX13)), COLUMN(D13))), "")</f>
        <v>●</v>
      </c>
      <c r="BD13" t="str">
        <f t="array" aca="1" ref="BD13" ca="1">IFERROR(INDEX(13:13, SMALL(IF($AC13:$AX13&lt;&gt;"", COLUMN($AC$1:$AX13)), COLUMN(E13))), "")</f>
        <v/>
      </c>
      <c r="BE13" t="str">
        <f t="array" aca="1" ref="BE13" ca="1">IFERROR(INDEX(13:13, SMALL(IF($AC13:$AX13&lt;&gt;"", COLUMN($AC$1:$AX13)), COLUMN(F13))), "")</f>
        <v/>
      </c>
      <c r="BF13" t="str">
        <f t="array" aca="1" ref="BF13" ca="1">IFERROR(IF(AND(COUNTIF($B13,"*泉ヶ丘*"),COUNTIF($B14,"*泉ヶ丘*")),
IFERROR(INDEX(14:14, SMALL(IF($AC14:$AX14&lt;&gt;"", COLUMN($AC$1:$AX14)), COLUMN(A14))), ""),
INDEX(13:13, SMALL(IF($AC13:$AX13&lt;&gt;"", COLUMN($AC$1:$AX13)), COLUMN(G13)))), "")</f>
        <v/>
      </c>
      <c r="BG13" t="str">
        <f t="array" aca="1" ref="BG13" ca="1">IFERROR(IF(AND(COUNTIF($B13,"*泉ヶ丘*"),COUNTIF($B14,"*泉ヶ丘*")),
IFERROR(INDEX(14:14, SMALL(IF($AC14:$AX14&lt;&gt;"", COLUMN($AC$1:$AX14)), COLUMN(B14))), ""),
INDEX(13:13, SMALL(IF($AC13:$AX13&lt;&gt;"", COLUMN($AC$1:$AX13)), COLUMN(H13)))), "")</f>
        <v/>
      </c>
      <c r="BH13" t="str">
        <f t="array" aca="1" ref="BH13" ca="1">IFERROR(IF(AND(COUNTIF($B13,"*泉ヶ丘*"),COUNTIF($B14,"*泉ヶ丘*")),
IFERROR(INDEX(14:14, SMALL(IF($AC14:$AX14&lt;&gt;"", COLUMN($AC$1:$AX14)), COLUMN(C14))), ""),
INDEX(13:13, SMALL(IF($AC13:$AX13&lt;&gt;"", COLUMN($AC$1:$AX13)), COLUMN(I13)))), "")</f>
        <v/>
      </c>
      <c r="BI13" t="str">
        <f t="array" aca="1" ref="BI13" ca="1">IFERROR(IF(AND(COUNTIF($B13,"*泉ヶ丘*"),COUNTIF($B14,"*泉ヶ丘*")),
IFERROR(INDEX(14:14, SMALL(IF($AC14:$AX14&lt;&gt;"", COLUMN($AC$1:$AX14)), COLUMN(D14))), ""),
INDEX(13:13, SMALL(IF($AC13:$AX13&lt;&gt;"", COLUMN($AC$1:$AX13)), COLUMN(J13)))), "")</f>
        <v/>
      </c>
      <c r="BJ13" t="str">
        <f t="array" aca="1" ref="BJ13" ca="1">IFERROR(IF(AND(COUNTIF($B13,"*泉ヶ丘*"),COUNTIF($B14,"*泉ヶ丘*")),
IFERROR(INDEX(14:14, SMALL(IF($AC14:$AX14&lt;&gt;"", COLUMN($AC$1:$AX14)), COLUMN(E14))), ""),
INDEX(13:13, SMALL(IF($AC13:$AX13&lt;&gt;"", COLUMN($AC$1:$AX13)), COLUMN(K13)))), "")</f>
        <v/>
      </c>
      <c r="BK13" t="str">
        <f t="array" aca="1" ref="BK13" ca="1">IFERROR(IF(AND(COUNTIF($B13,"*泉ヶ丘*"),COUNTIF($B14,"*泉ヶ丘*")),
IFERROR(INDEX(14:14, SMALL(IF($AC14:$AX14&lt;&gt;"", COLUMN($AC$1:$AX14)), COLUMN(F14))), ""),
INDEX(13:13, SMALL(IF($AC13:$AX13&lt;&gt;"", COLUMN($AC$1:$AX13)), COLUMN(L13)))), "")</f>
        <v/>
      </c>
      <c r="BL13" t="str">
        <f t="array" aca="1" ref="BL13" ca="1">IFERROR(IF(AND(COUNTIF($B13,"*泉ヶ丘*"),COUNTIF($B14,"*泉ヶ丘*")),
IFERROR(INDEX(14:14, SMALL(IF($AC14:$AX14&lt;&gt;"", COLUMN($AC$1:$AX14)), COLUMN(G14))), ""),
INDEX(13:13, SMALL(IF($AC13:$AX13&lt;&gt;"", COLUMN($AC$1:$AX13)), COLUMN(M13)))), "")</f>
        <v/>
      </c>
      <c r="BM13" t="str">
        <f t="array" aca="1" ref="BM13" ca="1">IFERROR(IF(AND(COUNTIF($B13,"*泉ヶ丘*"),COUNTIF($B14,"*泉ヶ丘*")),
IFERROR(INDEX(14:14, SMALL(IF($AC14:$AX14&lt;&gt;"", COLUMN($AC$1:$AX14)), COLUMN(H14))), ""),
INDEX(13:13, SMALL(IF($AC13:$AX13&lt;&gt;"", COLUMN($AC$1:$AX13)), COLUMN(N13)))), "")</f>
        <v/>
      </c>
      <c r="BN13" t="str">
        <f t="array" aca="1" ref="BN13" ca="1">IFERROR(IF(AND(COUNTIF($B13,"*泉ヶ丘*"),COUNTIF($B14,"*泉ヶ丘*")),
IFERROR(INDEX(14:14, SMALL(IF($AC14:$AX14&lt;&gt;"", COLUMN($AC$1:$AX14)), COLUMN(I14))), ""),
INDEX(13:13, SMALL(IF($AC13:$AX13&lt;&gt;"", COLUMN($AC$1:$AX13)), COLUMN(O13)))), "")</f>
        <v/>
      </c>
      <c r="BO13" t="str">
        <f t="array" aca="1" ref="BO13" ca="1">IFERROR(IF(AND(COUNTIF($B13,"*泉ヶ丘*"),COUNTIF($B14,"*泉ヶ丘*")),
IFERROR(INDEX(14:14, SMALL(IF($AC14:$AX14&lt;&gt;"", COLUMN($AC$1:$AX14)), COLUMN(J14))), ""),
INDEX(13:13, SMALL(IF($AC13:$AX13&lt;&gt;"", COLUMN($AC$1:$AX13)), COLUMN(P13)))), "")</f>
        <v/>
      </c>
      <c r="BP13" t="str">
        <f t="array" aca="1" ref="BP13" ca="1">IFERROR(IF(AND(COUNTIF($B13,"*泉ヶ丘*"),COUNTIF($B14,"*泉ヶ丘*")),
IFERROR(INDEX(14:14, SMALL(IF($AC14:$AX14&lt;&gt;"", COLUMN($AC$1:$AX14)), COLUMN(K14))), ""),
INDEX(13:13, SMALL(IF($AC13:$AX13&lt;&gt;"", COLUMN($AC$1:$AX13)), COLUMN(Q13)))), "")</f>
        <v/>
      </c>
      <c r="BQ13" t="str">
        <f t="array" aca="1" ref="BQ13" ca="1">IFERROR(IF(AND(COUNTIF($B13,"*泉ヶ丘*"),COUNTIF($B14,"*泉ヶ丘*")),
IFERROR(INDEX(14:14, SMALL(IF($AC14:$AX14&lt;&gt;"", COLUMN($AC$1:$AX14)), COLUMN(L14))), ""),
INDEX(13:13, SMALL(IF($AC13:$AX13&lt;&gt;"", COLUMN($AC$1:$AX13)), COLUMN(R13)))), "")</f>
        <v/>
      </c>
    </row>
    <row r="14" spans="1:69" x14ac:dyDescent="0.45">
      <c r="A14" t="str">
        <f t="array" ref="A14">IF(INDEX(貼り付け用!A:A,MATCH(A13,貼り付け用!A:A,0)+2)="4700",
IF(INDEX(貼り付け用!A:A,MATCH(A13,貼り付け用!A:A,0)+4)="4800",
INDEX(貼り付け用!A:A,MATCH(A13,貼り付け用!A:A,0)+6),
INDEX(貼り付け用!A:A,MATCH(A13,貼り付け用!A:A,0)+4)),INDEX(貼り付け用!A:A,MATCH(A13,貼り付け用!A:A,0)+2))</f>
        <v>13000</v>
      </c>
      <c r="B14" t="str">
        <f>IF(A14&lt;&gt;"",
VLOOKUP(A14,得意先マスタ!A:D,2,FALSE),"")</f>
        <v>学校法人奈良屋学園　奈良屋幼稚園</v>
      </c>
      <c r="C14" t="str">
        <f t="array" ref="C14">IF(A14="10000","",INDEX(貼り付け用!A:A,MATCH(A14,貼り付け用!A:A,0)+1))</f>
        <v>奈良屋幼稚園</v>
      </c>
      <c r="D14" t="str">
        <f ca="1">VLOOKUP(C14,クライアント抽出!$A:$O,10,FALSE)</f>
        <v>パンカップ　</v>
      </c>
      <c r="E14" t="str">
        <f ca="1">IF(D14&lt;&gt;"",
IF(COUNTIF(C14,"*ぺんぎん*"),
VLOOKUP(
"*"&amp;IF(COUNTIF(D14,"*キャラ弁*"),"キャラ",
IF(COUNTIF(D14,"*赤*"),"赤",SUBSTITUTE(SUBSTITUTE(D14," ",""),"　","")))&amp;"*",
注文弁当の抽出!$F:$I,4,FALSE)&amp;
IF(COUNTIF(D14,"*おにぎり*"),"　おにぎり","")&amp;"　（ぺんぎん組）",
VLOOKUP(
"*"&amp;IF(COUNTIF(D14,"*キャラ弁*"),"キャラ",
IF(COUNTIF(D14,"*赤*"),"赤",SUBSTITUTE(SUBSTITUTE(D14," ",""),"　","")))&amp;"*",
注文弁当の抽出!$F:$I,4,FALSE)&amp;
IF(COUNTIF(D14,"*おにぎり*"),"　おにぎり","")),"")</f>
        <v>パン　園児</v>
      </c>
      <c r="F14">
        <f ca="1">IFERROR(IF(E14&lt;&gt;"",
VLOOKUP(C14,クライアント抽出!$A:$G,2,FALSE)+
IF(COUNTIF(Y14,"*-*"),Y14,0),"")
-IFERROR(MID(V14, SEARCH("予備", V14) + LEN("予備"), SEARCH("込み", V14) - (SEARCH("予備", V14) + LEN("予備"))),0),"")</f>
        <v>61</v>
      </c>
      <c r="G14" t="str">
        <f ca="1">VLOOKUP(C14,クライアント抽出!$A:$O,11,FALSE)</f>
        <v/>
      </c>
      <c r="H14" t="str">
        <f ca="1">IF(G14&lt;&gt;"",
VLOOKUP(
"*"&amp;IF(COUNTIF(G14,"*キャラ弁*"),"キャラ",
IF(COUNTIF(G14,"*赤*"),"赤",SUBSTITUTE(SUBSTITUTE(G14," ",""),"　","")))&amp;"*",
注文弁当の抽出!$F:$I,4,FALSE)&amp;
IF(COUNTIF(G14,"*おにぎり*"),"　おにぎり",""),"")</f>
        <v/>
      </c>
      <c r="I14" t="str">
        <f ca="1">IF(H14&lt;&gt;"",
VLOOKUP(C14,クライアント抽出!$A:$G,3,FALSE)+
IF(COUNTIF(C14,"*博多*"),Y14,Z14),"")</f>
        <v/>
      </c>
      <c r="J14" t="str">
        <f ca="1">VLOOKUP(C14,クライアント抽出!$A:$O,12,FALSE)</f>
        <v/>
      </c>
      <c r="K14" t="str">
        <f ca="1">IF(J14&lt;&gt;"",
VLOOKUP(
"*"&amp;IF(COUNTIF(J14,"*キャラ弁*"),"キャラ",
IF(COUNTIF(J14,"*赤*"),"赤",SUBSTITUTE(SUBSTITUTE(J14," ",""),"　","")))&amp;"*",
注文弁当の抽出!$F:$I,4,FALSE)&amp;
IF(COUNTIF(J14,"*おにぎり*"),"　おにぎり",""),"")</f>
        <v/>
      </c>
      <c r="L14" t="str">
        <f ca="1">IF(K14&lt;&gt;"",
VLOOKUP(C14,クライアント抽出!$A:$G,4,FALSE)+AA14,"")</f>
        <v/>
      </c>
      <c r="M14" t="str">
        <f ca="1">VLOOKUP(C14,クライアント抽出!$A:$O,13,FALSE)</f>
        <v/>
      </c>
      <c r="N14" t="str">
        <f ca="1">SUBSTITUTE(
IF(M14&lt;&gt;"",
VLOOKUP(
"*"&amp;IF(COUNTIF(M14,"*キャラ弁*"),"キャラ",
IF(COUNTIF(M14,"*赤*"),"赤",SUBSTITUTE(SUBSTITUTE(D14," ",""),"　","")))&amp;"*",
注文弁当の抽出!$F:$I,4,FALSE),""),"園児","先生")&amp;
IF(COUNTIF(M14,"*おにぎり*"),"　おにぎり","")</f>
        <v/>
      </c>
      <c r="O14" t="str">
        <f ca="1">IF(N14&lt;&gt;"",VLOOKUP(C14,クライアント抽出!$A:$G,5,FALSE),"")</f>
        <v/>
      </c>
      <c r="P14" t="str">
        <f ca="1">VLOOKUP(C14,クライアント抽出!$A:$O,14,FALSE)</f>
        <v/>
      </c>
      <c r="Q14" t="str">
        <f ca="1">SUBSTITUTE(
IF(P14&lt;&gt;"",
VLOOKUP(
"*"&amp;IF(COUNTIF(P14,"*キャラ弁*"),"キャラ",
IF(COUNTIF(P14,"*赤*"),"赤",SUBSTITUTE(SUBSTITUTE(G14," ",""),"　","")))&amp;"*",
注文弁当の抽出!$F:$I,4,FALSE),""),"園児","先生")&amp;
IF(COUNTIF(P14,"*おにぎり*"),"　おにぎり","")</f>
        <v/>
      </c>
      <c r="R14" t="str">
        <f ca="1">IF(Q14&lt;&gt;"",
VLOOKUP(C14,クライアント抽出!$A:$G,6,FALSE),"")</f>
        <v/>
      </c>
      <c r="S14" t="str">
        <f ca="1">VLOOKUP(C14,クライアント抽出!$A:$O,15,FALSE)</f>
        <v/>
      </c>
      <c r="T14" t="str">
        <f ca="1">SUBSTITUTE(
IF(S14&lt;&gt;"",
VLOOKUP(
"*"&amp;IF(COUNTIF(S14,"*キャラ弁*"),"キャラ",
IF(COUNTIF(S14,"*赤*"),"赤",SUBSTITUTE(SUBSTITUTE(J14," ",""),"　","")))&amp;"*",
注文弁当の抽出!$F:$I,4,FALSE),""),"園児","先生")&amp;
IF(COUNTIF(S14,"*おにぎり*"),"　おにぎり","")</f>
        <v/>
      </c>
      <c r="U14" t="str">
        <f ca="1">IF(T14&lt;&gt;"",
VLOOKUP(C14,クライアント抽出!$A:$G,7,FALSE),"")</f>
        <v/>
      </c>
      <c r="V14" t="str">
        <f ca="1">IF(A14&lt;&gt;"",
IF(COUNTIF(V13,"*牛乳*"),
IF(AND(COUNTIF(B13,"*奈良屋*"),COUNTIF(B14,"*奈良屋*")),
V13&amp;"✔",""),VLOOKUP(""&amp;A14&amp;"",数出表_Excel!$A:$Z,22,FALSE)&amp;VLOOKUP(""&amp;A14&amp;"",数出表_Excel!$A:$Z,23,FALSE)
&amp;VLOOKUP(""&amp;C14&amp;"",数出表_Excel!$A:$Z,22,FALSE)&amp;VLOOKUP(""&amp;C14&amp;"",数出表_Excel!$A:$Z,23,FALSE)),"")</f>
        <v>牛乳1Ｌ×7本 カップ</v>
      </c>
      <c r="W14">
        <f ca="1">IF(AND(COUNTIF(V14,"&lt;&gt;*不要*"),A14&lt;&gt;""),VLOOKUP(A14,得意先マスタ!$A:$AD,24,FALSE),0)</f>
        <v>0</v>
      </c>
      <c r="X14">
        <f ca="1">IF(AND(COUNTIF(V14,"&lt;&gt;*不要*"),A14&lt;&gt;""),VLOOKUP(A14,得意先マスタ!$A:$AD,25,FALSE),0)</f>
        <v>0</v>
      </c>
      <c r="Y14">
        <f t="shared" ca="1" si="0"/>
        <v>0</v>
      </c>
      <c r="Z14">
        <f t="shared" ca="1" si="1"/>
        <v>0</v>
      </c>
      <c r="AA14">
        <f t="shared" ca="1" si="5"/>
        <v>0</v>
      </c>
      <c r="AB14" t="str">
        <f t="shared" ca="1" si="2"/>
        <v/>
      </c>
      <c r="AC14" t="str">
        <f t="array" aca="1" ref="AC14" ca="1">IFERROR(INDEX(14:14, SMALL(IF($D14:$U14&lt;&gt;"", COLUMN($D$1:$U14)), COLUMN(A14))), "")</f>
        <v>パンカップ　</v>
      </c>
      <c r="AD14" t="str">
        <f t="array" aca="1" ref="AD14" ca="1">IFERROR(INDEX(14:14, SMALL(IF($D14:$U14&lt;&gt;"", COLUMN($D$1:$U14)), COLUMN(B14))), "")</f>
        <v>パン　園児</v>
      </c>
      <c r="AE14">
        <f t="array" aca="1" ref="AE14" ca="1">IFERROR(INDEX(14:14, SMALL(IF($D14:$U14&lt;&gt;"", COLUMN($D$1:$U14)), COLUMN(C14))), "")</f>
        <v>61</v>
      </c>
      <c r="AF14" t="str">
        <f t="array" aca="1" ref="AF14" ca="1">IFERROR(INDEX(14:14, SMALL(IF($D14:$U14&lt;&gt;"", COLUMN($D$1:$U14)), COLUMN(D14))), "")</f>
        <v/>
      </c>
      <c r="AG14" t="str">
        <f t="array" aca="1" ref="AG14" ca="1">IFERROR(INDEX(14:14, SMALL(IF($D14:$U14&lt;&gt;"", COLUMN($D$1:$U14)), COLUMN(E14))), "")</f>
        <v/>
      </c>
      <c r="AH14" t="str">
        <f t="array" aca="1" ref="AH14" ca="1">IFERROR(INDEX(14:14, SMALL(IF($D14:$U14&lt;&gt;"", COLUMN($D$1:$U14)), COLUMN(F14))), "")</f>
        <v/>
      </c>
      <c r="AI14" t="str">
        <f t="array" aca="1" ref="AI14" ca="1">IFERROR(INDEX(14:14, SMALL(IF($D14:$U14&lt;&gt;"", COLUMN($D$1:$U14)), COLUMN(G14))), "")</f>
        <v/>
      </c>
      <c r="AJ14" t="str">
        <f t="array" aca="1" ref="AJ14" ca="1">IFERROR(INDEX(14:14, SMALL(IF($D14:$U14&lt;&gt;"", COLUMN($D$1:$U14)), COLUMN(H14))), "")</f>
        <v/>
      </c>
      <c r="AK14" t="str">
        <f t="array" aca="1" ref="AK14" ca="1">IFERROR(INDEX(14:14, SMALL(IF($D14:$U14&lt;&gt;"", COLUMN($D$1:$U14)), COLUMN(I14))), "")</f>
        <v/>
      </c>
      <c r="AL14" t="str">
        <f t="array" aca="1" ref="AL14" ca="1">IFERROR(INDEX(14:14, SMALL(IF($D14:$U14&lt;&gt;"", COLUMN($D$1:$U14)), COLUMN(J14))), "")</f>
        <v/>
      </c>
      <c r="AM14" t="str">
        <f t="array" aca="1" ref="AM14" ca="1">IFERROR(INDEX(14:14, SMALL(IF($D14:$U14&lt;&gt;"", COLUMN($D$1:$U14)), COLUMN(K14))), "")</f>
        <v/>
      </c>
      <c r="AN14" t="str">
        <f t="array" aca="1" ref="AN14" ca="1">IFERROR(INDEX(14:14, SMALL(IF($D14:$U14&lt;&gt;"", COLUMN($D$1:$U14)), COLUMN(L14))), "")</f>
        <v/>
      </c>
      <c r="AO14" t="str">
        <f t="array" aca="1" ref="AO14" ca="1">IFERROR(INDEX(14:14, SMALL(IF($D14:$U14&lt;&gt;"", COLUMN($D$1:$U14)), COLUMN(M14))), "")</f>
        <v/>
      </c>
      <c r="AP14" t="str">
        <f t="array" aca="1" ref="AP14" ca="1">IFERROR(INDEX(14:14, SMALL(IF($D14:$U14&lt;&gt;"", COLUMN($D$1:$U14)), COLUMN(N14))), "")</f>
        <v/>
      </c>
      <c r="AQ14" t="str">
        <f t="array" aca="1" ref="AQ14" ca="1">IFERROR(INDEX(14:14, SMALL(IF($D14:$U14&lt;&gt;"", COLUMN($D$1:$U14)), COLUMN(O14))), "")</f>
        <v/>
      </c>
      <c r="AR14" s="52" t="s">
        <v>4005</v>
      </c>
      <c r="AS14" t="str">
        <f t="shared" ca="1" si="3"/>
        <v>牛乳</v>
      </c>
      <c r="AT14">
        <f t="shared" ca="1" si="4"/>
        <v>61</v>
      </c>
      <c r="AU14" t="str">
        <f t="shared" ca="1" si="6"/>
        <v/>
      </c>
      <c r="AV14" t="str">
        <f t="shared" ca="1" si="7"/>
        <v/>
      </c>
      <c r="AW14" t="str">
        <f t="shared" ca="1" si="8"/>
        <v/>
      </c>
      <c r="AX14" t="str">
        <f t="shared" ca="1" si="9"/>
        <v/>
      </c>
      <c r="AZ14" t="str">
        <f t="array" aca="1" ref="AZ14" ca="1">IFERROR(INDEX(14:14, SMALL(IF($AC14:$AX14&lt;&gt;"", COLUMN($AC$1:$AX14)), COLUMN(A14))), "")</f>
        <v>パンカップ　</v>
      </c>
      <c r="BA14" t="str">
        <f t="array" aca="1" ref="BA14" ca="1">IFERROR(INDEX(14:14, SMALL(IF($AC14:$AX14&lt;&gt;"", COLUMN($AC$1:$AX14)), COLUMN(B14))), "")</f>
        <v>パン　園児</v>
      </c>
      <c r="BB14">
        <f t="array" aca="1" ref="BB14" ca="1">IFERROR(INDEX(14:14, SMALL(IF($AC14:$AX14&lt;&gt;"", COLUMN($AC$1:$AX14)), COLUMN(C14))), "")</f>
        <v>61</v>
      </c>
      <c r="BC14" t="str">
        <f t="array" aca="1" ref="BC14" ca="1">IFERROR(INDEX(14:14, SMALL(IF($AC14:$AX14&lt;&gt;"", COLUMN($AC$1:$AX14)), COLUMN(D14))), "")</f>
        <v>●</v>
      </c>
      <c r="BD14" t="str">
        <f t="array" aca="1" ref="BD14" ca="1">IFERROR(INDEX(14:14, SMALL(IF($AC14:$AX14&lt;&gt;"", COLUMN($AC$1:$AX14)), COLUMN(E14))), "")</f>
        <v>牛乳</v>
      </c>
      <c r="BE14">
        <f t="array" aca="1" ref="BE14" ca="1">IFERROR(INDEX(14:14, SMALL(IF($AC14:$AX14&lt;&gt;"", COLUMN($AC$1:$AX14)), COLUMN(F14))), "")</f>
        <v>61</v>
      </c>
      <c r="BF14" t="str">
        <f t="array" aca="1" ref="BF14" ca="1">IFERROR(IF(AND(COUNTIF($B14,"*泉ヶ丘*"),COUNTIF($B15,"*泉ヶ丘*")),
IFERROR(INDEX(15:15, SMALL(IF($AC15:$AX15&lt;&gt;"", COLUMN($AC$1:$AX15)), COLUMN(A15))), ""),
INDEX(14:14, SMALL(IF($AC14:$AX14&lt;&gt;"", COLUMN($AC$1:$AX14)), COLUMN(G14)))), "")</f>
        <v/>
      </c>
      <c r="BG14" t="str">
        <f t="array" aca="1" ref="BG14" ca="1">IFERROR(IF(AND(COUNTIF($B14,"*泉ヶ丘*"),COUNTIF($B15,"*泉ヶ丘*")),
IFERROR(INDEX(15:15, SMALL(IF($AC15:$AX15&lt;&gt;"", COLUMN($AC$1:$AX15)), COLUMN(B15))), ""),
INDEX(14:14, SMALL(IF($AC14:$AX14&lt;&gt;"", COLUMN($AC$1:$AX14)), COLUMN(H14)))), "")</f>
        <v/>
      </c>
      <c r="BH14" t="str">
        <f t="array" aca="1" ref="BH14" ca="1">IFERROR(IF(AND(COUNTIF($B14,"*泉ヶ丘*"),COUNTIF($B15,"*泉ヶ丘*")),
IFERROR(INDEX(15:15, SMALL(IF($AC15:$AX15&lt;&gt;"", COLUMN($AC$1:$AX15)), COLUMN(C15))), ""),
INDEX(14:14, SMALL(IF($AC14:$AX14&lt;&gt;"", COLUMN($AC$1:$AX14)), COLUMN(I14)))), "")</f>
        <v/>
      </c>
      <c r="BI14" t="str">
        <f t="array" aca="1" ref="BI14" ca="1">IFERROR(IF(AND(COUNTIF($B14,"*泉ヶ丘*"),COUNTIF($B15,"*泉ヶ丘*")),
IFERROR(INDEX(15:15, SMALL(IF($AC15:$AX15&lt;&gt;"", COLUMN($AC$1:$AX15)), COLUMN(D15))), ""),
INDEX(14:14, SMALL(IF($AC14:$AX14&lt;&gt;"", COLUMN($AC$1:$AX14)), COLUMN(J14)))), "")</f>
        <v/>
      </c>
      <c r="BJ14" t="str">
        <f t="array" aca="1" ref="BJ14" ca="1">IFERROR(IF(AND(COUNTIF($B14,"*泉ヶ丘*"),COUNTIF($B15,"*泉ヶ丘*")),
IFERROR(INDEX(15:15, SMALL(IF($AC15:$AX15&lt;&gt;"", COLUMN($AC$1:$AX15)), COLUMN(E15))), ""),
INDEX(14:14, SMALL(IF($AC14:$AX14&lt;&gt;"", COLUMN($AC$1:$AX14)), COLUMN(K14)))), "")</f>
        <v/>
      </c>
      <c r="BK14" t="str">
        <f t="array" aca="1" ref="BK14" ca="1">IFERROR(IF(AND(COUNTIF($B14,"*泉ヶ丘*"),COUNTIF($B15,"*泉ヶ丘*")),
IFERROR(INDEX(15:15, SMALL(IF($AC15:$AX15&lt;&gt;"", COLUMN($AC$1:$AX15)), COLUMN(F15))), ""),
INDEX(14:14, SMALL(IF($AC14:$AX14&lt;&gt;"", COLUMN($AC$1:$AX14)), COLUMN(L14)))), "")</f>
        <v/>
      </c>
      <c r="BL14" t="str">
        <f t="array" aca="1" ref="BL14" ca="1">IFERROR(IF(AND(COUNTIF($B14,"*泉ヶ丘*"),COUNTIF($B15,"*泉ヶ丘*")),
IFERROR(INDEX(15:15, SMALL(IF($AC15:$AX15&lt;&gt;"", COLUMN($AC$1:$AX15)), COLUMN(G15))), ""),
INDEX(14:14, SMALL(IF($AC14:$AX14&lt;&gt;"", COLUMN($AC$1:$AX14)), COLUMN(M14)))), "")</f>
        <v/>
      </c>
      <c r="BM14" t="str">
        <f t="array" aca="1" ref="BM14" ca="1">IFERROR(IF(AND(COUNTIF($B14,"*泉ヶ丘*"),COUNTIF($B15,"*泉ヶ丘*")),
IFERROR(INDEX(15:15, SMALL(IF($AC15:$AX15&lt;&gt;"", COLUMN($AC$1:$AX15)), COLUMN(H15))), ""),
INDEX(14:14, SMALL(IF($AC14:$AX14&lt;&gt;"", COLUMN($AC$1:$AX14)), COLUMN(N14)))), "")</f>
        <v/>
      </c>
      <c r="BN14" t="str">
        <f t="array" aca="1" ref="BN14" ca="1">IFERROR(IF(AND(COUNTIF($B14,"*泉ヶ丘*"),COUNTIF($B15,"*泉ヶ丘*")),
IFERROR(INDEX(15:15, SMALL(IF($AC15:$AX15&lt;&gt;"", COLUMN($AC$1:$AX15)), COLUMN(I15))), ""),
INDEX(14:14, SMALL(IF($AC14:$AX14&lt;&gt;"", COLUMN($AC$1:$AX14)), COLUMN(O14)))), "")</f>
        <v/>
      </c>
      <c r="BO14" t="str">
        <f t="array" aca="1" ref="BO14" ca="1">IFERROR(IF(AND(COUNTIF($B14,"*泉ヶ丘*"),COUNTIF($B15,"*泉ヶ丘*")),
IFERROR(INDEX(15:15, SMALL(IF($AC15:$AX15&lt;&gt;"", COLUMN($AC$1:$AX15)), COLUMN(J15))), ""),
INDEX(14:14, SMALL(IF($AC14:$AX14&lt;&gt;"", COLUMN($AC$1:$AX14)), COLUMN(P14)))), "")</f>
        <v/>
      </c>
      <c r="BP14" t="str">
        <f t="array" aca="1" ref="BP14" ca="1">IFERROR(IF(AND(COUNTIF($B14,"*泉ヶ丘*"),COUNTIF($B15,"*泉ヶ丘*")),
IFERROR(INDEX(15:15, SMALL(IF($AC15:$AX15&lt;&gt;"", COLUMN($AC$1:$AX15)), COLUMN(K15))), ""),
INDEX(14:14, SMALL(IF($AC14:$AX14&lt;&gt;"", COLUMN($AC$1:$AX14)), COLUMN(Q14)))), "")</f>
        <v/>
      </c>
      <c r="BQ14" t="str">
        <f t="array" aca="1" ref="BQ14" ca="1">IFERROR(IF(AND(COUNTIF($B14,"*泉ヶ丘*"),COUNTIF($B15,"*泉ヶ丘*")),
IFERROR(INDEX(15:15, SMALL(IF($AC15:$AX15&lt;&gt;"", COLUMN($AC$1:$AX15)), COLUMN(L15))), ""),
INDEX(14:14, SMALL(IF($AC14:$AX14&lt;&gt;"", COLUMN($AC$1:$AX14)), COLUMN(R14)))), "")</f>
        <v/>
      </c>
    </row>
    <row r="15" spans="1:69" x14ac:dyDescent="0.45">
      <c r="A15" t="str">
        <f t="array" ref="A15">IF(INDEX(貼り付け用!A:A,MATCH(A14,貼り付け用!A:A,0)+2)="4700",
IF(INDEX(貼り付け用!A:A,MATCH(A14,貼り付け用!A:A,0)+4)="4800",
INDEX(貼り付け用!A:A,MATCH(A14,貼り付け用!A:A,0)+6),
INDEX(貼り付け用!A:A,MATCH(A14,貼り付け用!A:A,0)+4)),INDEX(貼り付け用!A:A,MATCH(A14,貼り付け用!A:A,0)+2))</f>
        <v>13002</v>
      </c>
      <c r="B15" t="str">
        <f>IF(A15&lt;&gt;"",
VLOOKUP(A15,得意先マスタ!A:D,2,FALSE),"")</f>
        <v>奈良屋幼稚園　奥田先生</v>
      </c>
      <c r="C15" t="str">
        <f t="array" ref="C15">IF(A15="10000","",INDEX(貼り付け用!A:A,MATCH(A15,貼り付け用!A:A,0)+1))</f>
        <v>奈良屋幼稚園 奥田先生</v>
      </c>
      <c r="D15" t="str">
        <f ca="1">VLOOKUP(C15,クライアント抽出!$A:$O,10,FALSE)</f>
        <v>パンカップ　</v>
      </c>
      <c r="E15" t="str">
        <f ca="1">IF(D15&lt;&gt;"",
IF(COUNTIF(C15,"*ぺんぎん*"),
VLOOKUP(
"*"&amp;IF(COUNTIF(D15,"*キャラ弁*"),"キャラ",
IF(COUNTIF(D15,"*赤*"),"赤",SUBSTITUTE(SUBSTITUTE(D15," ",""),"　","")))&amp;"*",
注文弁当の抽出!$F:$I,4,FALSE)&amp;
IF(COUNTIF(D15,"*おにぎり*"),"　おにぎり","")&amp;"　（ぺんぎん組）",
VLOOKUP(
"*"&amp;IF(COUNTIF(D15,"*キャラ弁*"),"キャラ",
IF(COUNTIF(D15,"*赤*"),"赤",SUBSTITUTE(SUBSTITUTE(D15," ",""),"　","")))&amp;"*",
注文弁当の抽出!$F:$I,4,FALSE)&amp;
IF(COUNTIF(D15,"*おにぎり*"),"　おにぎり","")),"")</f>
        <v>パン　園児</v>
      </c>
      <c r="F15">
        <f ca="1">IFERROR(IF(E15&lt;&gt;"",
VLOOKUP(C15,クライアント抽出!$A:$G,2,FALSE)+
IF(COUNTIF(Y15,"*-*"),Y15,0),"")
-IFERROR(MID(V15, SEARCH("予備", V15) + LEN("予備"), SEARCH("込み", V15) - (SEARCH("予備", V15) + LEN("予備"))),0),"")</f>
        <v>1</v>
      </c>
      <c r="G15" t="str">
        <f ca="1">VLOOKUP(C15,クライアント抽出!$A:$O,11,FALSE)</f>
        <v/>
      </c>
      <c r="H15" t="str">
        <f ca="1">IF(G15&lt;&gt;"",
VLOOKUP(
"*"&amp;IF(COUNTIF(G15,"*キャラ弁*"),"キャラ",
IF(COUNTIF(G15,"*赤*"),"赤",SUBSTITUTE(SUBSTITUTE(G15," ",""),"　","")))&amp;"*",
注文弁当の抽出!$F:$I,4,FALSE)&amp;
IF(COUNTIF(G15,"*おにぎり*"),"　おにぎり",""),"")</f>
        <v/>
      </c>
      <c r="I15" t="str">
        <f ca="1">IF(H15&lt;&gt;"",
VLOOKUP(C15,クライアント抽出!$A:$G,3,FALSE)+
IF(COUNTIF(C15,"*博多*"),Y15,Z15),"")</f>
        <v/>
      </c>
      <c r="J15" t="str">
        <f ca="1">VLOOKUP(C15,クライアント抽出!$A:$O,12,FALSE)</f>
        <v/>
      </c>
      <c r="K15" t="str">
        <f ca="1">IF(J15&lt;&gt;"",
VLOOKUP(
"*"&amp;IF(COUNTIF(J15,"*キャラ弁*"),"キャラ",
IF(COUNTIF(J15,"*赤*"),"赤",SUBSTITUTE(SUBSTITUTE(J15," ",""),"　","")))&amp;"*",
注文弁当の抽出!$F:$I,4,FALSE)&amp;
IF(COUNTIF(J15,"*おにぎり*"),"　おにぎり",""),"")</f>
        <v/>
      </c>
      <c r="L15" t="str">
        <f ca="1">IF(K15&lt;&gt;"",
VLOOKUP(C15,クライアント抽出!$A:$G,4,FALSE)+AA15,"")</f>
        <v/>
      </c>
      <c r="M15" t="str">
        <f ca="1">VLOOKUP(C15,クライアント抽出!$A:$O,13,FALSE)</f>
        <v/>
      </c>
      <c r="N15" t="str">
        <f ca="1">SUBSTITUTE(
IF(M15&lt;&gt;"",
VLOOKUP(
"*"&amp;IF(COUNTIF(M15,"*キャラ弁*"),"キャラ",
IF(COUNTIF(M15,"*赤*"),"赤",SUBSTITUTE(SUBSTITUTE(D15," ",""),"　","")))&amp;"*",
注文弁当の抽出!$F:$I,4,FALSE),""),"園児","先生")&amp;
IF(COUNTIF(M15,"*おにぎり*"),"　おにぎり","")</f>
        <v/>
      </c>
      <c r="O15" t="str">
        <f ca="1">IF(N15&lt;&gt;"",VLOOKUP(C15,クライアント抽出!$A:$G,5,FALSE),"")</f>
        <v/>
      </c>
      <c r="P15" t="str">
        <f ca="1">VLOOKUP(C15,クライアント抽出!$A:$O,14,FALSE)</f>
        <v/>
      </c>
      <c r="Q15" t="str">
        <f ca="1">SUBSTITUTE(
IF(P15&lt;&gt;"",
VLOOKUP(
"*"&amp;IF(COUNTIF(P15,"*キャラ弁*"),"キャラ",
IF(COUNTIF(P15,"*赤*"),"赤",SUBSTITUTE(SUBSTITUTE(G15," ",""),"　","")))&amp;"*",
注文弁当の抽出!$F:$I,4,FALSE),""),"園児","先生")&amp;
IF(COUNTIF(P15,"*おにぎり*"),"　おにぎり","")</f>
        <v/>
      </c>
      <c r="R15" t="str">
        <f ca="1">IF(Q15&lt;&gt;"",
VLOOKUP(C15,クライアント抽出!$A:$G,6,FALSE),"")</f>
        <v/>
      </c>
      <c r="S15" t="str">
        <f ca="1">VLOOKUP(C15,クライアント抽出!$A:$O,15,FALSE)</f>
        <v/>
      </c>
      <c r="T15" t="str">
        <f ca="1">SUBSTITUTE(
IF(S15&lt;&gt;"",
VLOOKUP(
"*"&amp;IF(COUNTIF(S15,"*キャラ弁*"),"キャラ",
IF(COUNTIF(S15,"*赤*"),"赤",SUBSTITUTE(SUBSTITUTE(J15," ",""),"　","")))&amp;"*",
注文弁当の抽出!$F:$I,4,FALSE),""),"園児","先生")&amp;
IF(COUNTIF(S15,"*おにぎり*"),"　おにぎり","")</f>
        <v/>
      </c>
      <c r="U15" t="str">
        <f ca="1">IF(T15&lt;&gt;"",
VLOOKUP(C15,クライアント抽出!$A:$G,7,FALSE),"")</f>
        <v/>
      </c>
      <c r="V15" t="str">
        <f ca="1">IF(A15&lt;&gt;"",
IF(COUNTIF(V14,"*牛乳*"),
IF(AND(COUNTIF(B14,"*奈良屋*"),COUNTIF(B15,"*奈良屋*")),
V14&amp;"✔",""),VLOOKUP(""&amp;A15&amp;"",数出表_Excel!$A:$Z,22,FALSE)&amp;VLOOKUP(""&amp;A15&amp;"",数出表_Excel!$A:$Z,23,FALSE)
&amp;VLOOKUP(""&amp;C15&amp;"",数出表_Excel!$A:$Z,22,FALSE)&amp;VLOOKUP(""&amp;C15&amp;"",数出表_Excel!$A:$Z,23,FALSE)),"")</f>
        <v>牛乳1Ｌ×7本 カップ✔</v>
      </c>
      <c r="W15">
        <f ca="1">IF(AND(COUNTIF(V15,"&lt;&gt;*不要*"),A15&lt;&gt;""),VLOOKUP(A15,得意先マスタ!$A:$AD,24,FALSE),0)</f>
        <v>0</v>
      </c>
      <c r="X15">
        <f ca="1">IF(AND(COUNTIF(V15,"&lt;&gt;*不要*"),A15&lt;&gt;""),VLOOKUP(A15,得意先マスタ!$A:$AD,25,FALSE),0)</f>
        <v>0</v>
      </c>
      <c r="Y15">
        <f t="shared" ca="1" si="0"/>
        <v>0</v>
      </c>
      <c r="Z15">
        <f t="shared" ca="1" si="1"/>
        <v>0</v>
      </c>
      <c r="AA15">
        <f t="shared" ca="1" si="5"/>
        <v>0</v>
      </c>
      <c r="AB15" t="str">
        <f t="shared" ca="1" si="2"/>
        <v/>
      </c>
      <c r="AC15" t="str">
        <f t="array" aca="1" ref="AC15" ca="1">IFERROR(INDEX(15:15, SMALL(IF($D15:$U15&lt;&gt;"", COLUMN($D$1:$U15)), COLUMN(A15))), "")</f>
        <v>パンカップ　</v>
      </c>
      <c r="AD15" t="str">
        <f t="array" aca="1" ref="AD15" ca="1">IFERROR(INDEX(15:15, SMALL(IF($D15:$U15&lt;&gt;"", COLUMN($D$1:$U15)), COLUMN(B15))), "")</f>
        <v>パン　園児</v>
      </c>
      <c r="AE15">
        <f t="array" aca="1" ref="AE15" ca="1">IFERROR(INDEX(15:15, SMALL(IF($D15:$U15&lt;&gt;"", COLUMN($D$1:$U15)), COLUMN(C15))), "")</f>
        <v>1</v>
      </c>
      <c r="AF15" t="str">
        <f t="array" aca="1" ref="AF15" ca="1">IFERROR(INDEX(15:15, SMALL(IF($D15:$U15&lt;&gt;"", COLUMN($D$1:$U15)), COLUMN(D15))), "")</f>
        <v/>
      </c>
      <c r="AG15" t="str">
        <f t="array" aca="1" ref="AG15" ca="1">IFERROR(INDEX(15:15, SMALL(IF($D15:$U15&lt;&gt;"", COLUMN($D$1:$U15)), COLUMN(E15))), "")</f>
        <v/>
      </c>
      <c r="AH15" t="str">
        <f t="array" aca="1" ref="AH15" ca="1">IFERROR(INDEX(15:15, SMALL(IF($D15:$U15&lt;&gt;"", COLUMN($D$1:$U15)), COLUMN(F15))), "")</f>
        <v/>
      </c>
      <c r="AI15" t="str">
        <f t="array" aca="1" ref="AI15" ca="1">IFERROR(INDEX(15:15, SMALL(IF($D15:$U15&lt;&gt;"", COLUMN($D$1:$U15)), COLUMN(G15))), "")</f>
        <v/>
      </c>
      <c r="AJ15" t="str">
        <f t="array" aca="1" ref="AJ15" ca="1">IFERROR(INDEX(15:15, SMALL(IF($D15:$U15&lt;&gt;"", COLUMN($D$1:$U15)), COLUMN(H15))), "")</f>
        <v/>
      </c>
      <c r="AK15" t="str">
        <f t="array" aca="1" ref="AK15" ca="1">IFERROR(INDEX(15:15, SMALL(IF($D15:$U15&lt;&gt;"", COLUMN($D$1:$U15)), COLUMN(I15))), "")</f>
        <v/>
      </c>
      <c r="AL15" t="str">
        <f t="array" aca="1" ref="AL15" ca="1">IFERROR(INDEX(15:15, SMALL(IF($D15:$U15&lt;&gt;"", COLUMN($D$1:$U15)), COLUMN(J15))), "")</f>
        <v/>
      </c>
      <c r="AM15" t="str">
        <f t="array" aca="1" ref="AM15" ca="1">IFERROR(INDEX(15:15, SMALL(IF($D15:$U15&lt;&gt;"", COLUMN($D$1:$U15)), COLUMN(K15))), "")</f>
        <v/>
      </c>
      <c r="AN15" t="str">
        <f t="array" aca="1" ref="AN15" ca="1">IFERROR(INDEX(15:15, SMALL(IF($D15:$U15&lt;&gt;"", COLUMN($D$1:$U15)), COLUMN(L15))), "")</f>
        <v/>
      </c>
      <c r="AO15" t="str">
        <f t="array" aca="1" ref="AO15" ca="1">IFERROR(INDEX(15:15, SMALL(IF($D15:$U15&lt;&gt;"", COLUMN($D$1:$U15)), COLUMN(M15))), "")</f>
        <v/>
      </c>
      <c r="AP15" t="str">
        <f t="array" aca="1" ref="AP15" ca="1">IFERROR(INDEX(15:15, SMALL(IF($D15:$U15&lt;&gt;"", COLUMN($D$1:$U15)), COLUMN(N15))), "")</f>
        <v/>
      </c>
      <c r="AQ15" t="str">
        <f t="array" aca="1" ref="AQ15" ca="1">IFERROR(INDEX(15:15, SMALL(IF($D15:$U15&lt;&gt;"", COLUMN($D$1:$U15)), COLUMN(O15))), "")</f>
        <v/>
      </c>
      <c r="AR15" s="52" t="s">
        <v>4005</v>
      </c>
      <c r="AS15" t="str">
        <f t="shared" ca="1" si="3"/>
        <v/>
      </c>
      <c r="AT15" t="str">
        <f t="shared" ca="1" si="4"/>
        <v/>
      </c>
      <c r="AU15" t="str">
        <f t="shared" ca="1" si="6"/>
        <v/>
      </c>
      <c r="AV15" t="str">
        <f t="shared" ca="1" si="7"/>
        <v/>
      </c>
      <c r="AW15" t="str">
        <f t="shared" ca="1" si="8"/>
        <v/>
      </c>
      <c r="AX15" t="str">
        <f t="shared" ca="1" si="9"/>
        <v/>
      </c>
      <c r="AZ15" t="str">
        <f t="array" aca="1" ref="AZ15" ca="1">IFERROR(INDEX(15:15, SMALL(IF($AC15:$AX15&lt;&gt;"", COLUMN($AC$1:$AX15)), COLUMN(A15))), "")</f>
        <v>パンカップ　</v>
      </c>
      <c r="BA15" t="str">
        <f t="array" aca="1" ref="BA15" ca="1">IFERROR(INDEX(15:15, SMALL(IF($AC15:$AX15&lt;&gt;"", COLUMN($AC$1:$AX15)), COLUMN(B15))), "")</f>
        <v>パン　園児</v>
      </c>
      <c r="BB15">
        <f t="array" aca="1" ref="BB15" ca="1">IFERROR(INDEX(15:15, SMALL(IF($AC15:$AX15&lt;&gt;"", COLUMN($AC$1:$AX15)), COLUMN(C15))), "")</f>
        <v>1</v>
      </c>
      <c r="BC15" t="str">
        <f t="array" aca="1" ref="BC15" ca="1">IFERROR(INDEX(15:15, SMALL(IF($AC15:$AX15&lt;&gt;"", COLUMN($AC$1:$AX15)), COLUMN(D15))), "")</f>
        <v>●</v>
      </c>
      <c r="BD15" t="str">
        <f t="array" aca="1" ref="BD15" ca="1">IFERROR(INDEX(15:15, SMALL(IF($AC15:$AX15&lt;&gt;"", COLUMN($AC$1:$AX15)), COLUMN(E15))), "")</f>
        <v/>
      </c>
      <c r="BE15" t="str">
        <f t="array" aca="1" ref="BE15" ca="1">IFERROR(INDEX(15:15, SMALL(IF($AC15:$AX15&lt;&gt;"", COLUMN($AC$1:$AX15)), COLUMN(F15))), "")</f>
        <v/>
      </c>
      <c r="BF15" t="str">
        <f t="array" aca="1" ref="BF15" ca="1">IFERROR(IF(AND(COUNTIF($B15,"*泉ヶ丘*"),COUNTIF($B16,"*泉ヶ丘*")),
IFERROR(INDEX(16:16, SMALL(IF($AC16:$AX16&lt;&gt;"", COLUMN($AC$1:$AX16)), COLUMN(A16))), ""),
INDEX(15:15, SMALL(IF($AC15:$AX15&lt;&gt;"", COLUMN($AC$1:$AX15)), COLUMN(G15)))), "")</f>
        <v/>
      </c>
      <c r="BG15" t="str">
        <f t="array" aca="1" ref="BG15" ca="1">IFERROR(IF(AND(COUNTIF($B15,"*泉ヶ丘*"),COUNTIF($B16,"*泉ヶ丘*")),
IFERROR(INDEX(16:16, SMALL(IF($AC16:$AX16&lt;&gt;"", COLUMN($AC$1:$AX16)), COLUMN(B16))), ""),
INDEX(15:15, SMALL(IF($AC15:$AX15&lt;&gt;"", COLUMN($AC$1:$AX15)), COLUMN(H15)))), "")</f>
        <v/>
      </c>
      <c r="BH15" t="str">
        <f t="array" aca="1" ref="BH15" ca="1">IFERROR(IF(AND(COUNTIF($B15,"*泉ヶ丘*"),COUNTIF($B16,"*泉ヶ丘*")),
IFERROR(INDEX(16:16, SMALL(IF($AC16:$AX16&lt;&gt;"", COLUMN($AC$1:$AX16)), COLUMN(C16))), ""),
INDEX(15:15, SMALL(IF($AC15:$AX15&lt;&gt;"", COLUMN($AC$1:$AX15)), COLUMN(I15)))), "")</f>
        <v/>
      </c>
      <c r="BI15" t="str">
        <f t="array" aca="1" ref="BI15" ca="1">IFERROR(IF(AND(COUNTIF($B15,"*泉ヶ丘*"),COUNTIF($B16,"*泉ヶ丘*")),
IFERROR(INDEX(16:16, SMALL(IF($AC16:$AX16&lt;&gt;"", COLUMN($AC$1:$AX16)), COLUMN(D16))), ""),
INDEX(15:15, SMALL(IF($AC15:$AX15&lt;&gt;"", COLUMN($AC$1:$AX15)), COLUMN(J15)))), "")</f>
        <v/>
      </c>
      <c r="BJ15" t="str">
        <f t="array" aca="1" ref="BJ15" ca="1">IFERROR(IF(AND(COUNTIF($B15,"*泉ヶ丘*"),COUNTIF($B16,"*泉ヶ丘*")),
IFERROR(INDEX(16:16, SMALL(IF($AC16:$AX16&lt;&gt;"", COLUMN($AC$1:$AX16)), COLUMN(E16))), ""),
INDEX(15:15, SMALL(IF($AC15:$AX15&lt;&gt;"", COLUMN($AC$1:$AX15)), COLUMN(K15)))), "")</f>
        <v/>
      </c>
      <c r="BK15" t="str">
        <f t="array" aca="1" ref="BK15" ca="1">IFERROR(IF(AND(COUNTIF($B15,"*泉ヶ丘*"),COUNTIF($B16,"*泉ヶ丘*")),
IFERROR(INDEX(16:16, SMALL(IF($AC16:$AX16&lt;&gt;"", COLUMN($AC$1:$AX16)), COLUMN(F16))), ""),
INDEX(15:15, SMALL(IF($AC15:$AX15&lt;&gt;"", COLUMN($AC$1:$AX15)), COLUMN(L15)))), "")</f>
        <v/>
      </c>
      <c r="BL15" t="str">
        <f t="array" aca="1" ref="BL15" ca="1">IFERROR(IF(AND(COUNTIF($B15,"*泉ヶ丘*"),COUNTIF($B16,"*泉ヶ丘*")),
IFERROR(INDEX(16:16, SMALL(IF($AC16:$AX16&lt;&gt;"", COLUMN($AC$1:$AX16)), COLUMN(G16))), ""),
INDEX(15:15, SMALL(IF($AC15:$AX15&lt;&gt;"", COLUMN($AC$1:$AX15)), COLUMN(M15)))), "")</f>
        <v/>
      </c>
      <c r="BM15" t="str">
        <f t="array" aca="1" ref="BM15" ca="1">IFERROR(IF(AND(COUNTIF($B15,"*泉ヶ丘*"),COUNTIF($B16,"*泉ヶ丘*")),
IFERROR(INDEX(16:16, SMALL(IF($AC16:$AX16&lt;&gt;"", COLUMN($AC$1:$AX16)), COLUMN(H16))), ""),
INDEX(15:15, SMALL(IF($AC15:$AX15&lt;&gt;"", COLUMN($AC$1:$AX15)), COLUMN(N15)))), "")</f>
        <v/>
      </c>
      <c r="BN15" t="str">
        <f t="array" aca="1" ref="BN15" ca="1">IFERROR(IF(AND(COUNTIF($B15,"*泉ヶ丘*"),COUNTIF($B16,"*泉ヶ丘*")),
IFERROR(INDEX(16:16, SMALL(IF($AC16:$AX16&lt;&gt;"", COLUMN($AC$1:$AX16)), COLUMN(I16))), ""),
INDEX(15:15, SMALL(IF($AC15:$AX15&lt;&gt;"", COLUMN($AC$1:$AX15)), COLUMN(O15)))), "")</f>
        <v/>
      </c>
      <c r="BO15" t="str">
        <f t="array" aca="1" ref="BO15" ca="1">IFERROR(IF(AND(COUNTIF($B15,"*泉ヶ丘*"),COUNTIF($B16,"*泉ヶ丘*")),
IFERROR(INDEX(16:16, SMALL(IF($AC16:$AX16&lt;&gt;"", COLUMN($AC$1:$AX16)), COLUMN(J16))), ""),
INDEX(15:15, SMALL(IF($AC15:$AX15&lt;&gt;"", COLUMN($AC$1:$AX15)), COLUMN(P15)))), "")</f>
        <v/>
      </c>
      <c r="BP15" t="str">
        <f t="array" aca="1" ref="BP15" ca="1">IFERROR(IF(AND(COUNTIF($B15,"*泉ヶ丘*"),COUNTIF($B16,"*泉ヶ丘*")),
IFERROR(INDEX(16:16, SMALL(IF($AC16:$AX16&lt;&gt;"", COLUMN($AC$1:$AX16)), COLUMN(K16))), ""),
INDEX(15:15, SMALL(IF($AC15:$AX15&lt;&gt;"", COLUMN($AC$1:$AX15)), COLUMN(Q15)))), "")</f>
        <v/>
      </c>
      <c r="BQ15" t="str">
        <f t="array" aca="1" ref="BQ15" ca="1">IFERROR(IF(AND(COUNTIF($B15,"*泉ヶ丘*"),COUNTIF($B16,"*泉ヶ丘*")),
IFERROR(INDEX(16:16, SMALL(IF($AC16:$AX16&lt;&gt;"", COLUMN($AC$1:$AX16)), COLUMN(L16))), ""),
INDEX(15:15, SMALL(IF($AC15:$AX15&lt;&gt;"", COLUMN($AC$1:$AX15)), COLUMN(R15)))), "")</f>
        <v/>
      </c>
    </row>
    <row r="16" spans="1:69" x14ac:dyDescent="0.45">
      <c r="A16" t="str">
        <f t="array" ref="A16">IF(INDEX(貼り付け用!A:A,MATCH(A15,貼り付け用!A:A,0)+2)="4700",
IF(INDEX(貼り付け用!A:A,MATCH(A15,貼り付け用!A:A,0)+4)="4800",
INDEX(貼り付け用!A:A,MATCH(A15,貼り付け用!A:A,0)+6),
INDEX(貼り付け用!A:A,MATCH(A15,貼り付け用!A:A,0)+4)),INDEX(貼り付け用!A:A,MATCH(A15,貼り付け用!A:A,0)+2))</f>
        <v>13004</v>
      </c>
      <c r="B16" t="str">
        <f>IF(A16&lt;&gt;"",
VLOOKUP(A16,得意先マスタ!A:D,2,FALSE),"")</f>
        <v>奈良屋幼稚園　先生</v>
      </c>
      <c r="C16" t="str">
        <f t="array" ref="C16">IF(A16="10000","",INDEX(貼り付け用!A:A,MATCH(A16,貼り付け用!A:A,0)+1))</f>
        <v>奈良屋幼稚園 先生</v>
      </c>
      <c r="D16" t="str">
        <f ca="1">VLOOKUP(C16,クライアント抽出!$A:$O,10,FALSE)</f>
        <v>パンカップ　</v>
      </c>
      <c r="E16" t="str">
        <f ca="1">IF(D16&lt;&gt;"",
IF(COUNTIF(C16,"*ぺんぎん*"),
VLOOKUP(
"*"&amp;IF(COUNTIF(D16,"*キャラ弁*"),"キャラ",
IF(COUNTIF(D16,"*赤*"),"赤",SUBSTITUTE(SUBSTITUTE(D16," ",""),"　","")))&amp;"*",
注文弁当の抽出!$F:$I,4,FALSE)&amp;
IF(COUNTIF(D16,"*おにぎり*"),"　おにぎり","")&amp;"　（ぺんぎん組）",
VLOOKUP(
"*"&amp;IF(COUNTIF(D16,"*キャラ弁*"),"キャラ",
IF(COUNTIF(D16,"*赤*"),"赤",SUBSTITUTE(SUBSTITUTE(D16," ",""),"　","")))&amp;"*",
注文弁当の抽出!$F:$I,4,FALSE)&amp;
IF(COUNTIF(D16,"*おにぎり*"),"　おにぎり","")),"")</f>
        <v>パン　園児</v>
      </c>
      <c r="F16">
        <f ca="1">IFERROR(IF(E16&lt;&gt;"",
VLOOKUP(C16,クライアント抽出!$A:$G,2,FALSE)+
IF(COUNTIF(Y16,"*-*"),Y16,0),"")
-IFERROR(MID(V16, SEARCH("予備", V16) + LEN("予備"), SEARCH("込み", V16) - (SEARCH("予備", V16) + LEN("予備"))),0),"")</f>
        <v>5</v>
      </c>
      <c r="G16" t="str">
        <f ca="1">VLOOKUP(C16,クライアント抽出!$A:$O,11,FALSE)</f>
        <v/>
      </c>
      <c r="H16" t="str">
        <f ca="1">IF(G16&lt;&gt;"",
VLOOKUP(
"*"&amp;IF(COUNTIF(G16,"*キャラ弁*"),"キャラ",
IF(COUNTIF(G16,"*赤*"),"赤",SUBSTITUTE(SUBSTITUTE(G16," ",""),"　","")))&amp;"*",
注文弁当の抽出!$F:$I,4,FALSE)&amp;
IF(COUNTIF(G16,"*おにぎり*"),"　おにぎり",""),"")</f>
        <v/>
      </c>
      <c r="I16" t="str">
        <f ca="1">IF(H16&lt;&gt;"",
VLOOKUP(C16,クライアント抽出!$A:$G,3,FALSE)+
IF(COUNTIF(C16,"*博多*"),Y16,Z16),"")</f>
        <v/>
      </c>
      <c r="J16" t="str">
        <f ca="1">VLOOKUP(C16,クライアント抽出!$A:$O,12,FALSE)</f>
        <v/>
      </c>
      <c r="K16" t="str">
        <f ca="1">IF(J16&lt;&gt;"",
VLOOKUP(
"*"&amp;IF(COUNTIF(J16,"*キャラ弁*"),"キャラ",
IF(COUNTIF(J16,"*赤*"),"赤",SUBSTITUTE(SUBSTITUTE(J16," ",""),"　","")))&amp;"*",
注文弁当の抽出!$F:$I,4,FALSE)&amp;
IF(COUNTIF(J16,"*おにぎり*"),"　おにぎり",""),"")</f>
        <v/>
      </c>
      <c r="L16" t="str">
        <f ca="1">IF(K16&lt;&gt;"",
VLOOKUP(C16,クライアント抽出!$A:$G,4,FALSE)+AA16,"")</f>
        <v/>
      </c>
      <c r="M16" t="str">
        <f ca="1">VLOOKUP(C16,クライアント抽出!$A:$O,13,FALSE)</f>
        <v/>
      </c>
      <c r="N16" t="str">
        <f ca="1">SUBSTITUTE(
IF(M16&lt;&gt;"",
VLOOKUP(
"*"&amp;IF(COUNTIF(M16,"*キャラ弁*"),"キャラ",
IF(COUNTIF(M16,"*赤*"),"赤",SUBSTITUTE(SUBSTITUTE(D16," ",""),"　","")))&amp;"*",
注文弁当の抽出!$F:$I,4,FALSE),""),"園児","先生")&amp;
IF(COUNTIF(M16,"*おにぎり*"),"　おにぎり","")</f>
        <v/>
      </c>
      <c r="O16" t="str">
        <f ca="1">IF(N16&lt;&gt;"",VLOOKUP(C16,クライアント抽出!$A:$G,5,FALSE),"")</f>
        <v/>
      </c>
      <c r="P16" t="str">
        <f ca="1">VLOOKUP(C16,クライアント抽出!$A:$O,14,FALSE)</f>
        <v/>
      </c>
      <c r="Q16" t="str">
        <f ca="1">SUBSTITUTE(
IF(P16&lt;&gt;"",
VLOOKUP(
"*"&amp;IF(COUNTIF(P16,"*キャラ弁*"),"キャラ",
IF(COUNTIF(P16,"*赤*"),"赤",SUBSTITUTE(SUBSTITUTE(G16," ",""),"　","")))&amp;"*",
注文弁当の抽出!$F:$I,4,FALSE),""),"園児","先生")&amp;
IF(COUNTIF(P16,"*おにぎり*"),"　おにぎり","")</f>
        <v/>
      </c>
      <c r="R16" t="str">
        <f ca="1">IF(Q16&lt;&gt;"",
VLOOKUP(C16,クライアント抽出!$A:$G,6,FALSE),"")</f>
        <v/>
      </c>
      <c r="S16" t="str">
        <f ca="1">VLOOKUP(C16,クライアント抽出!$A:$O,15,FALSE)</f>
        <v/>
      </c>
      <c r="T16" t="str">
        <f ca="1">SUBSTITUTE(
IF(S16&lt;&gt;"",
VLOOKUP(
"*"&amp;IF(COUNTIF(S16,"*キャラ弁*"),"キャラ",
IF(COUNTIF(S16,"*赤*"),"赤",SUBSTITUTE(SUBSTITUTE(J16," ",""),"　","")))&amp;"*",
注文弁当の抽出!$F:$I,4,FALSE),""),"園児","先生")&amp;
IF(COUNTIF(S16,"*おにぎり*"),"　おにぎり","")</f>
        <v/>
      </c>
      <c r="U16" t="str">
        <f ca="1">IF(T16&lt;&gt;"",
VLOOKUP(C16,クライアント抽出!$A:$G,7,FALSE),"")</f>
        <v/>
      </c>
      <c r="V16" t="str">
        <f ca="1">IF(A16&lt;&gt;"",
IF(COUNTIF(V15,"*牛乳*"),
IF(AND(COUNTIF(B15,"*奈良屋*"),COUNTIF(B16,"*奈良屋*")),
V15&amp;"✔",""),VLOOKUP(""&amp;A16&amp;"",数出表_Excel!$A:$Z,22,FALSE)&amp;VLOOKUP(""&amp;A16&amp;"",数出表_Excel!$A:$Z,23,FALSE)
&amp;VLOOKUP(""&amp;C16&amp;"",数出表_Excel!$A:$Z,22,FALSE)&amp;VLOOKUP(""&amp;C16&amp;"",数出表_Excel!$A:$Z,23,FALSE)),"")</f>
        <v>牛乳1Ｌ×7本 カップ✔✔</v>
      </c>
      <c r="W16">
        <f ca="1">IF(AND(COUNTIF(V16,"&lt;&gt;*不要*"),A16&lt;&gt;""),VLOOKUP(A16,得意先マスタ!$A:$AD,24,FALSE),0)</f>
        <v>0</v>
      </c>
      <c r="X16">
        <f ca="1">IF(AND(COUNTIF(V16,"&lt;&gt;*不要*"),A16&lt;&gt;""),VLOOKUP(A16,得意先マスタ!$A:$AD,25,FALSE),0)</f>
        <v>0</v>
      </c>
      <c r="Y16">
        <f t="shared" ca="1" si="0"/>
        <v>0</v>
      </c>
      <c r="Z16">
        <f t="shared" ca="1" si="1"/>
        <v>0</v>
      </c>
      <c r="AA16">
        <f t="shared" ca="1" si="5"/>
        <v>0</v>
      </c>
      <c r="AB16" t="str">
        <f t="shared" ca="1" si="2"/>
        <v/>
      </c>
      <c r="AC16" t="str">
        <f t="array" aca="1" ref="AC16" ca="1">IFERROR(INDEX(16:16, SMALL(IF($D16:$U16&lt;&gt;"", COLUMN($D$1:$U16)), COLUMN(A16))), "")</f>
        <v>パンカップ　</v>
      </c>
      <c r="AD16" t="str">
        <f t="array" aca="1" ref="AD16" ca="1">IFERROR(INDEX(16:16, SMALL(IF($D16:$U16&lt;&gt;"", COLUMN($D$1:$U16)), COLUMN(B16))), "")</f>
        <v>パン　園児</v>
      </c>
      <c r="AE16">
        <f t="array" aca="1" ref="AE16" ca="1">IFERROR(INDEX(16:16, SMALL(IF($D16:$U16&lt;&gt;"", COLUMN($D$1:$U16)), COLUMN(C16))), "")</f>
        <v>5</v>
      </c>
      <c r="AF16" t="str">
        <f t="array" aca="1" ref="AF16" ca="1">IFERROR(INDEX(16:16, SMALL(IF($D16:$U16&lt;&gt;"", COLUMN($D$1:$U16)), COLUMN(D16))), "")</f>
        <v/>
      </c>
      <c r="AG16" t="str">
        <f t="array" aca="1" ref="AG16" ca="1">IFERROR(INDEX(16:16, SMALL(IF($D16:$U16&lt;&gt;"", COLUMN($D$1:$U16)), COLUMN(E16))), "")</f>
        <v/>
      </c>
      <c r="AH16" t="str">
        <f t="array" aca="1" ref="AH16" ca="1">IFERROR(INDEX(16:16, SMALL(IF($D16:$U16&lt;&gt;"", COLUMN($D$1:$U16)), COLUMN(F16))), "")</f>
        <v/>
      </c>
      <c r="AI16" t="str">
        <f t="array" aca="1" ref="AI16" ca="1">IFERROR(INDEX(16:16, SMALL(IF($D16:$U16&lt;&gt;"", COLUMN($D$1:$U16)), COLUMN(G16))), "")</f>
        <v/>
      </c>
      <c r="AJ16" t="str">
        <f t="array" aca="1" ref="AJ16" ca="1">IFERROR(INDEX(16:16, SMALL(IF($D16:$U16&lt;&gt;"", COLUMN($D$1:$U16)), COLUMN(H16))), "")</f>
        <v/>
      </c>
      <c r="AK16" t="str">
        <f t="array" aca="1" ref="AK16" ca="1">IFERROR(INDEX(16:16, SMALL(IF($D16:$U16&lt;&gt;"", COLUMN($D$1:$U16)), COLUMN(I16))), "")</f>
        <v/>
      </c>
      <c r="AL16" t="str">
        <f t="array" aca="1" ref="AL16" ca="1">IFERROR(INDEX(16:16, SMALL(IF($D16:$U16&lt;&gt;"", COLUMN($D$1:$U16)), COLUMN(J16))), "")</f>
        <v/>
      </c>
      <c r="AM16" t="str">
        <f t="array" aca="1" ref="AM16" ca="1">IFERROR(INDEX(16:16, SMALL(IF($D16:$U16&lt;&gt;"", COLUMN($D$1:$U16)), COLUMN(K16))), "")</f>
        <v/>
      </c>
      <c r="AN16" t="str">
        <f t="array" aca="1" ref="AN16" ca="1">IFERROR(INDEX(16:16, SMALL(IF($D16:$U16&lt;&gt;"", COLUMN($D$1:$U16)), COLUMN(L16))), "")</f>
        <v/>
      </c>
      <c r="AO16" t="str">
        <f t="array" aca="1" ref="AO16" ca="1">IFERROR(INDEX(16:16, SMALL(IF($D16:$U16&lt;&gt;"", COLUMN($D$1:$U16)), COLUMN(M16))), "")</f>
        <v/>
      </c>
      <c r="AP16" t="str">
        <f t="array" aca="1" ref="AP16" ca="1">IFERROR(INDEX(16:16, SMALL(IF($D16:$U16&lt;&gt;"", COLUMN($D$1:$U16)), COLUMN(N16))), "")</f>
        <v/>
      </c>
      <c r="AQ16" t="str">
        <f t="array" aca="1" ref="AQ16" ca="1">IFERROR(INDEX(16:16, SMALL(IF($D16:$U16&lt;&gt;"", COLUMN($D$1:$U16)), COLUMN(O16))), "")</f>
        <v/>
      </c>
      <c r="AR16" s="52" t="s">
        <v>4005</v>
      </c>
      <c r="AS16" t="str">
        <f t="shared" ca="1" si="3"/>
        <v>牛乳</v>
      </c>
      <c r="AT16">
        <f t="shared" ca="1" si="4"/>
        <v>5</v>
      </c>
      <c r="AU16" t="str">
        <f t="shared" ca="1" si="6"/>
        <v/>
      </c>
      <c r="AV16" t="str">
        <f t="shared" ca="1" si="7"/>
        <v/>
      </c>
      <c r="AW16" t="str">
        <f t="shared" ca="1" si="8"/>
        <v/>
      </c>
      <c r="AX16" t="str">
        <f t="shared" ca="1" si="9"/>
        <v/>
      </c>
      <c r="AZ16" t="str">
        <f t="array" aca="1" ref="AZ16" ca="1">IFERROR(INDEX(16:16, SMALL(IF($AC16:$AX16&lt;&gt;"", COLUMN($AC$1:$AX16)), COLUMN(A16))), "")</f>
        <v>パンカップ　</v>
      </c>
      <c r="BA16" t="str">
        <f t="array" aca="1" ref="BA16" ca="1">IFERROR(INDEX(16:16, SMALL(IF($AC16:$AX16&lt;&gt;"", COLUMN($AC$1:$AX16)), COLUMN(B16))), "")</f>
        <v>パン　園児</v>
      </c>
      <c r="BB16">
        <f t="array" aca="1" ref="BB16" ca="1">IFERROR(INDEX(16:16, SMALL(IF($AC16:$AX16&lt;&gt;"", COLUMN($AC$1:$AX16)), COLUMN(C16))), "")</f>
        <v>5</v>
      </c>
      <c r="BC16" t="str">
        <f t="array" aca="1" ref="BC16" ca="1">IFERROR(INDEX(16:16, SMALL(IF($AC16:$AX16&lt;&gt;"", COLUMN($AC$1:$AX16)), COLUMN(D16))), "")</f>
        <v>●</v>
      </c>
      <c r="BD16" t="str">
        <f t="array" aca="1" ref="BD16" ca="1">IFERROR(INDEX(16:16, SMALL(IF($AC16:$AX16&lt;&gt;"", COLUMN($AC$1:$AX16)), COLUMN(E16))), "")</f>
        <v>牛乳</v>
      </c>
      <c r="BE16">
        <f t="array" aca="1" ref="BE16" ca="1">IFERROR(INDEX(16:16, SMALL(IF($AC16:$AX16&lt;&gt;"", COLUMN($AC$1:$AX16)), COLUMN(F16))), "")</f>
        <v>5</v>
      </c>
      <c r="BF16" t="str">
        <f t="array" aca="1" ref="BF16" ca="1">IFERROR(IF(AND(COUNTIF($B16,"*泉ヶ丘*"),COUNTIF($B17,"*泉ヶ丘*")),
IFERROR(INDEX(17:17, SMALL(IF($AC17:$AX17&lt;&gt;"", COLUMN($AC$1:$AX17)), COLUMN(A17))), ""),
INDEX(16:16, SMALL(IF($AC16:$AX16&lt;&gt;"", COLUMN($AC$1:$AX16)), COLUMN(G16)))), "")</f>
        <v/>
      </c>
      <c r="BG16" t="str">
        <f t="array" aca="1" ref="BG16" ca="1">IFERROR(IF(AND(COUNTIF($B16,"*泉ヶ丘*"),COUNTIF($B17,"*泉ヶ丘*")),
IFERROR(INDEX(17:17, SMALL(IF($AC17:$AX17&lt;&gt;"", COLUMN($AC$1:$AX17)), COLUMN(B17))), ""),
INDEX(16:16, SMALL(IF($AC16:$AX16&lt;&gt;"", COLUMN($AC$1:$AX16)), COLUMN(H16)))), "")</f>
        <v/>
      </c>
      <c r="BH16" t="str">
        <f t="array" aca="1" ref="BH16" ca="1">IFERROR(IF(AND(COUNTIF($B16,"*泉ヶ丘*"),COUNTIF($B17,"*泉ヶ丘*")),
IFERROR(INDEX(17:17, SMALL(IF($AC17:$AX17&lt;&gt;"", COLUMN($AC$1:$AX17)), COLUMN(C17))), ""),
INDEX(16:16, SMALL(IF($AC16:$AX16&lt;&gt;"", COLUMN($AC$1:$AX16)), COLUMN(I16)))), "")</f>
        <v/>
      </c>
      <c r="BI16" t="str">
        <f t="array" aca="1" ref="BI16" ca="1">IFERROR(IF(AND(COUNTIF($B16,"*泉ヶ丘*"),COUNTIF($B17,"*泉ヶ丘*")),
IFERROR(INDEX(17:17, SMALL(IF($AC17:$AX17&lt;&gt;"", COLUMN($AC$1:$AX17)), COLUMN(D17))), ""),
INDEX(16:16, SMALL(IF($AC16:$AX16&lt;&gt;"", COLUMN($AC$1:$AX16)), COLUMN(J16)))), "")</f>
        <v/>
      </c>
      <c r="BJ16" t="str">
        <f t="array" aca="1" ref="BJ16" ca="1">IFERROR(IF(AND(COUNTIF($B16,"*泉ヶ丘*"),COUNTIF($B17,"*泉ヶ丘*")),
IFERROR(INDEX(17:17, SMALL(IF($AC17:$AX17&lt;&gt;"", COLUMN($AC$1:$AX17)), COLUMN(E17))), ""),
INDEX(16:16, SMALL(IF($AC16:$AX16&lt;&gt;"", COLUMN($AC$1:$AX16)), COLUMN(K16)))), "")</f>
        <v/>
      </c>
      <c r="BK16" t="str">
        <f t="array" aca="1" ref="BK16" ca="1">IFERROR(IF(AND(COUNTIF($B16,"*泉ヶ丘*"),COUNTIF($B17,"*泉ヶ丘*")),
IFERROR(INDEX(17:17, SMALL(IF($AC17:$AX17&lt;&gt;"", COLUMN($AC$1:$AX17)), COLUMN(F17))), ""),
INDEX(16:16, SMALL(IF($AC16:$AX16&lt;&gt;"", COLUMN($AC$1:$AX16)), COLUMN(L16)))), "")</f>
        <v/>
      </c>
      <c r="BL16" t="str">
        <f t="array" aca="1" ref="BL16" ca="1">IFERROR(IF(AND(COUNTIF($B16,"*泉ヶ丘*"),COUNTIF($B17,"*泉ヶ丘*")),
IFERROR(INDEX(17:17, SMALL(IF($AC17:$AX17&lt;&gt;"", COLUMN($AC$1:$AX17)), COLUMN(G17))), ""),
INDEX(16:16, SMALL(IF($AC16:$AX16&lt;&gt;"", COLUMN($AC$1:$AX16)), COLUMN(M16)))), "")</f>
        <v/>
      </c>
      <c r="BM16" t="str">
        <f t="array" aca="1" ref="BM16" ca="1">IFERROR(IF(AND(COUNTIF($B16,"*泉ヶ丘*"),COUNTIF($B17,"*泉ヶ丘*")),
IFERROR(INDEX(17:17, SMALL(IF($AC17:$AX17&lt;&gt;"", COLUMN($AC$1:$AX17)), COLUMN(H17))), ""),
INDEX(16:16, SMALL(IF($AC16:$AX16&lt;&gt;"", COLUMN($AC$1:$AX16)), COLUMN(N16)))), "")</f>
        <v/>
      </c>
      <c r="BN16" t="str">
        <f t="array" aca="1" ref="BN16" ca="1">IFERROR(IF(AND(COUNTIF($B16,"*泉ヶ丘*"),COUNTIF($B17,"*泉ヶ丘*")),
IFERROR(INDEX(17:17, SMALL(IF($AC17:$AX17&lt;&gt;"", COLUMN($AC$1:$AX17)), COLUMN(I17))), ""),
INDEX(16:16, SMALL(IF($AC16:$AX16&lt;&gt;"", COLUMN($AC$1:$AX16)), COLUMN(O16)))), "")</f>
        <v/>
      </c>
      <c r="BO16" t="str">
        <f t="array" aca="1" ref="BO16" ca="1">IFERROR(IF(AND(COUNTIF($B16,"*泉ヶ丘*"),COUNTIF($B17,"*泉ヶ丘*")),
IFERROR(INDEX(17:17, SMALL(IF($AC17:$AX17&lt;&gt;"", COLUMN($AC$1:$AX17)), COLUMN(J17))), ""),
INDEX(16:16, SMALL(IF($AC16:$AX16&lt;&gt;"", COLUMN($AC$1:$AX16)), COLUMN(P16)))), "")</f>
        <v/>
      </c>
      <c r="BP16" t="str">
        <f t="array" aca="1" ref="BP16" ca="1">IFERROR(IF(AND(COUNTIF($B16,"*泉ヶ丘*"),COUNTIF($B17,"*泉ヶ丘*")),
IFERROR(INDEX(17:17, SMALL(IF($AC17:$AX17&lt;&gt;"", COLUMN($AC$1:$AX17)), COLUMN(K17))), ""),
INDEX(16:16, SMALL(IF($AC16:$AX16&lt;&gt;"", COLUMN($AC$1:$AX16)), COLUMN(Q16)))), "")</f>
        <v/>
      </c>
      <c r="BQ16" t="str">
        <f t="array" aca="1" ref="BQ16" ca="1">IFERROR(IF(AND(COUNTIF($B16,"*泉ヶ丘*"),COUNTIF($B17,"*泉ヶ丘*")),
IFERROR(INDEX(17:17, SMALL(IF($AC17:$AX17&lt;&gt;"", COLUMN($AC$1:$AX17)), COLUMN(L17))), ""),
INDEX(16:16, SMALL(IF($AC16:$AX16&lt;&gt;"", COLUMN($AC$1:$AX16)), COLUMN(R16)))), "")</f>
        <v/>
      </c>
    </row>
    <row r="17" spans="1:69" x14ac:dyDescent="0.45">
      <c r="A17" t="str">
        <f t="array" ref="A17">IF(INDEX(貼り付け用!A:A,MATCH(A16,貼り付け用!A:A,0)+2)="4700",
IF(INDEX(貼り付け用!A:A,MATCH(A16,貼り付け用!A:A,0)+4)="4800",
INDEX(貼り付け用!A:A,MATCH(A16,貼り付け用!A:A,0)+6),
INDEX(貼り付け用!A:A,MATCH(A16,貼り付け用!A:A,0)+4)),INDEX(貼り付け用!A:A,MATCH(A16,貼り付け用!A:A,0)+2))</f>
        <v>16300</v>
      </c>
      <c r="B17" t="str">
        <f>IF(A17&lt;&gt;"",
VLOOKUP(A17,得意先マスタ!A:D,2,FALSE),"")</f>
        <v>スマイルキッズ</v>
      </c>
      <c r="C17" t="str">
        <f t="array" ref="C17">IF(A17="10000","",INDEX(貼り付け用!A:A,MATCH(A17,貼り付け用!A:A,0)+1))</f>
        <v>スマイルキッズ</v>
      </c>
      <c r="D17" t="str">
        <f ca="1">VLOOKUP(C17,クライアント抽出!$A:$O,10,FALSE)</f>
        <v>赤　飯あり120</v>
      </c>
      <c r="E17" t="str">
        <f ca="1">IF(D17&lt;&gt;"",
IF(COUNTIF(C17,"*ぺんぎん*"),
VLOOKUP(
"*"&amp;IF(COUNTIF(D17,"*キャラ弁*"),"キャラ",
IF(COUNTIF(D17,"*赤*"),"赤",SUBSTITUTE(SUBSTITUTE(D17," ",""),"　","")))&amp;"*",
注文弁当の抽出!$F:$I,4,FALSE)&amp;
IF(COUNTIF(D17,"*おにぎり*"),"　おにぎり","")&amp;"　（ぺんぎん組）",
VLOOKUP(
"*"&amp;IF(COUNTIF(D17,"*キャラ弁*"),"キャラ",
IF(COUNTIF(D17,"*赤*"),"赤",SUBSTITUTE(SUBSTITUTE(D17," ",""),"　","")))&amp;"*",
注文弁当の抽出!$F:$I,4,FALSE)&amp;
IF(COUNTIF(D17,"*おにぎり*"),"　おにぎり","")),"")</f>
        <v>弁当　園児</v>
      </c>
      <c r="F17">
        <f ca="1">IFERROR(IF(E17&lt;&gt;"",
VLOOKUP(C17,クライアント抽出!$A:$G,2,FALSE)+
IF(COUNTIF(Y17,"*-*"),Y17,0),"")
-IFERROR(MID(V17, SEARCH("予備", V17) + LEN("予備"), SEARCH("込み", V17) - (SEARCH("予備", V17) + LEN("予備"))),0),"")</f>
        <v>7</v>
      </c>
      <c r="G17" t="str">
        <f ca="1">VLOOKUP(C17,クライアント抽出!$A:$O,11,FALSE)</f>
        <v/>
      </c>
      <c r="H17" t="str">
        <f ca="1">IF(G17&lt;&gt;"",
VLOOKUP(
"*"&amp;IF(COUNTIF(G17,"*キャラ弁*"),"キャラ",
IF(COUNTIF(G17,"*赤*"),"赤",SUBSTITUTE(SUBSTITUTE(G17," ",""),"　","")))&amp;"*",
注文弁当の抽出!$F:$I,4,FALSE)&amp;
IF(COUNTIF(G17,"*おにぎり*"),"　おにぎり",""),"")</f>
        <v/>
      </c>
      <c r="I17" t="str">
        <f ca="1">IF(H17&lt;&gt;"",
VLOOKUP(C17,クライアント抽出!$A:$G,3,FALSE)+
IF(COUNTIF(C17,"*博多*"),Y17,Z17),"")</f>
        <v/>
      </c>
      <c r="J17" t="str">
        <f ca="1">VLOOKUP(C17,クライアント抽出!$A:$O,12,FALSE)</f>
        <v/>
      </c>
      <c r="K17" t="str">
        <f ca="1">IF(J17&lt;&gt;"",
VLOOKUP(
"*"&amp;IF(COUNTIF(J17,"*キャラ弁*"),"キャラ",
IF(COUNTIF(J17,"*赤*"),"赤",SUBSTITUTE(SUBSTITUTE(J17," ",""),"　","")))&amp;"*",
注文弁当の抽出!$F:$I,4,FALSE)&amp;
IF(COUNTIF(J17,"*おにぎり*"),"　おにぎり",""),"")</f>
        <v/>
      </c>
      <c r="L17" t="str">
        <f ca="1">IF(K17&lt;&gt;"",
VLOOKUP(C17,クライアント抽出!$A:$G,4,FALSE)+AA17,"")</f>
        <v/>
      </c>
      <c r="M17" t="str">
        <f ca="1">VLOOKUP(C17,クライアント抽出!$A:$O,13,FALSE)</f>
        <v/>
      </c>
      <c r="N17" t="str">
        <f ca="1">SUBSTITUTE(
IF(M17&lt;&gt;"",
VLOOKUP(
"*"&amp;IF(COUNTIF(M17,"*キャラ弁*"),"キャラ",
IF(COUNTIF(M17,"*赤*"),"赤",SUBSTITUTE(SUBSTITUTE(D17," ",""),"　","")))&amp;"*",
注文弁当の抽出!$F:$I,4,FALSE),""),"園児","先生")&amp;
IF(COUNTIF(M17,"*おにぎり*"),"　おにぎり","")</f>
        <v/>
      </c>
      <c r="O17" t="str">
        <f ca="1">IF(N17&lt;&gt;"",VLOOKUP(C17,クライアント抽出!$A:$G,5,FALSE),"")</f>
        <v/>
      </c>
      <c r="P17" t="str">
        <f ca="1">VLOOKUP(C17,クライアント抽出!$A:$O,14,FALSE)</f>
        <v/>
      </c>
      <c r="Q17" t="str">
        <f ca="1">SUBSTITUTE(
IF(P17&lt;&gt;"",
VLOOKUP(
"*"&amp;IF(COUNTIF(P17,"*キャラ弁*"),"キャラ",
IF(COUNTIF(P17,"*赤*"),"赤",SUBSTITUTE(SUBSTITUTE(G17," ",""),"　","")))&amp;"*",
注文弁当の抽出!$F:$I,4,FALSE),""),"園児","先生")&amp;
IF(COUNTIF(P17,"*おにぎり*"),"　おにぎり","")</f>
        <v/>
      </c>
      <c r="R17" t="str">
        <f ca="1">IF(Q17&lt;&gt;"",
VLOOKUP(C17,クライアント抽出!$A:$G,6,FALSE),"")</f>
        <v/>
      </c>
      <c r="S17" t="str">
        <f ca="1">VLOOKUP(C17,クライアント抽出!$A:$O,15,FALSE)</f>
        <v/>
      </c>
      <c r="T17" t="str">
        <f ca="1">SUBSTITUTE(
IF(S17&lt;&gt;"",
VLOOKUP(
"*"&amp;IF(COUNTIF(S17,"*キャラ弁*"),"キャラ",
IF(COUNTIF(S17,"*赤*"),"赤",SUBSTITUTE(SUBSTITUTE(J17," ",""),"　","")))&amp;"*",
注文弁当の抽出!$F:$I,4,FALSE),""),"園児","先生")&amp;
IF(COUNTIF(S17,"*おにぎり*"),"　おにぎり","")</f>
        <v/>
      </c>
      <c r="U17" t="str">
        <f ca="1">IF(T17&lt;&gt;"",
VLOOKUP(C17,クライアント抽出!$A:$G,7,FALSE),"")</f>
        <v/>
      </c>
      <c r="V17" t="str">
        <f ca="1">IF(A17&lt;&gt;"",
IF(COUNTIF(V16,"*牛乳*"),
IF(AND(COUNTIF(B16,"*奈良屋*"),COUNTIF(B17,"*奈良屋*")),
V16&amp;"✔",""),VLOOKUP(""&amp;A17&amp;"",数出表_Excel!$A:$Z,22,FALSE)&amp;VLOOKUP(""&amp;A17&amp;"",数出表_Excel!$A:$Z,23,FALSE)
&amp;VLOOKUP(""&amp;C17&amp;"",数出表_Excel!$A:$Z,22,FALSE)&amp;VLOOKUP(""&amp;C17&amp;"",数出表_Excel!$A:$Z,23,FALSE)),"")</f>
        <v/>
      </c>
      <c r="W17">
        <f ca="1">IF(AND(COUNTIF(V17,"&lt;&gt;*不要*"),A17&lt;&gt;""),VLOOKUP(A17,得意先マスタ!$A:$AD,24,FALSE),0)</f>
        <v>0</v>
      </c>
      <c r="X17">
        <f ca="1">IF(AND(COUNTIF(V17,"&lt;&gt;*不要*"),A17&lt;&gt;""),VLOOKUP(A17,得意先マスタ!$A:$AD,25,FALSE),0)</f>
        <v>0</v>
      </c>
      <c r="Y17">
        <f t="shared" ca="1" si="0"/>
        <v>0</v>
      </c>
      <c r="Z17">
        <f t="shared" ca="1" si="1"/>
        <v>0</v>
      </c>
      <c r="AA17">
        <f t="shared" ca="1" si="5"/>
        <v>0</v>
      </c>
      <c r="AB17" t="str">
        <f t="shared" ca="1" si="2"/>
        <v/>
      </c>
      <c r="AC17" t="str">
        <f t="array" aca="1" ref="AC17" ca="1">IFERROR(INDEX(17:17, SMALL(IF($D17:$U17&lt;&gt;"", COLUMN($D$1:$U17)), COLUMN(A17))), "")</f>
        <v>赤　飯あり120</v>
      </c>
      <c r="AD17" t="str">
        <f t="array" aca="1" ref="AD17" ca="1">IFERROR(INDEX(17:17, SMALL(IF($D17:$U17&lt;&gt;"", COLUMN($D$1:$U17)), COLUMN(B17))), "")</f>
        <v>弁当　園児</v>
      </c>
      <c r="AE17">
        <f t="array" aca="1" ref="AE17" ca="1">IFERROR(INDEX(17:17, SMALL(IF($D17:$U17&lt;&gt;"", COLUMN($D$1:$U17)), COLUMN(C17))), "")</f>
        <v>7</v>
      </c>
      <c r="AF17" t="str">
        <f t="array" aca="1" ref="AF17" ca="1">IFERROR(INDEX(17:17, SMALL(IF($D17:$U17&lt;&gt;"", COLUMN($D$1:$U17)), COLUMN(D17))), "")</f>
        <v/>
      </c>
      <c r="AG17" t="str">
        <f t="array" aca="1" ref="AG17" ca="1">IFERROR(INDEX(17:17, SMALL(IF($D17:$U17&lt;&gt;"", COLUMN($D$1:$U17)), COLUMN(E17))), "")</f>
        <v/>
      </c>
      <c r="AH17" t="str">
        <f t="array" aca="1" ref="AH17" ca="1">IFERROR(INDEX(17:17, SMALL(IF($D17:$U17&lt;&gt;"", COLUMN($D$1:$U17)), COLUMN(F17))), "")</f>
        <v/>
      </c>
      <c r="AI17" t="str">
        <f t="array" aca="1" ref="AI17" ca="1">IFERROR(INDEX(17:17, SMALL(IF($D17:$U17&lt;&gt;"", COLUMN($D$1:$U17)), COLUMN(G17))), "")</f>
        <v/>
      </c>
      <c r="AJ17" t="str">
        <f t="array" aca="1" ref="AJ17" ca="1">IFERROR(INDEX(17:17, SMALL(IF($D17:$U17&lt;&gt;"", COLUMN($D$1:$U17)), COLUMN(H17))), "")</f>
        <v/>
      </c>
      <c r="AK17" t="str">
        <f t="array" aca="1" ref="AK17" ca="1">IFERROR(INDEX(17:17, SMALL(IF($D17:$U17&lt;&gt;"", COLUMN($D$1:$U17)), COLUMN(I17))), "")</f>
        <v/>
      </c>
      <c r="AL17" t="str">
        <f t="array" aca="1" ref="AL17" ca="1">IFERROR(INDEX(17:17, SMALL(IF($D17:$U17&lt;&gt;"", COLUMN($D$1:$U17)), COLUMN(J17))), "")</f>
        <v/>
      </c>
      <c r="AM17" t="str">
        <f t="array" aca="1" ref="AM17" ca="1">IFERROR(INDEX(17:17, SMALL(IF($D17:$U17&lt;&gt;"", COLUMN($D$1:$U17)), COLUMN(K17))), "")</f>
        <v/>
      </c>
      <c r="AN17" t="str">
        <f t="array" aca="1" ref="AN17" ca="1">IFERROR(INDEX(17:17, SMALL(IF($D17:$U17&lt;&gt;"", COLUMN($D$1:$U17)), COLUMN(L17))), "")</f>
        <v/>
      </c>
      <c r="AO17" t="str">
        <f t="array" aca="1" ref="AO17" ca="1">IFERROR(INDEX(17:17, SMALL(IF($D17:$U17&lt;&gt;"", COLUMN($D$1:$U17)), COLUMN(M17))), "")</f>
        <v/>
      </c>
      <c r="AP17" t="str">
        <f t="array" aca="1" ref="AP17" ca="1">IFERROR(INDEX(17:17, SMALL(IF($D17:$U17&lt;&gt;"", COLUMN($D$1:$U17)), COLUMN(N17))), "")</f>
        <v/>
      </c>
      <c r="AQ17" t="str">
        <f t="array" aca="1" ref="AQ17" ca="1">IFERROR(INDEX(17:17, SMALL(IF($D17:$U17&lt;&gt;"", COLUMN($D$1:$U17)), COLUMN(O17))), "")</f>
        <v/>
      </c>
      <c r="AR17" s="52" t="s">
        <v>4005</v>
      </c>
      <c r="AS17" t="str">
        <f t="shared" ca="1" si="3"/>
        <v/>
      </c>
      <c r="AT17" t="str">
        <f t="shared" ca="1" si="4"/>
        <v/>
      </c>
      <c r="AU17" t="str">
        <f t="shared" ca="1" si="6"/>
        <v/>
      </c>
      <c r="AV17" t="str">
        <f t="shared" ca="1" si="7"/>
        <v/>
      </c>
      <c r="AW17" t="str">
        <f t="shared" ca="1" si="8"/>
        <v/>
      </c>
      <c r="AX17" t="str">
        <f t="shared" ca="1" si="9"/>
        <v/>
      </c>
      <c r="AZ17" t="str">
        <f t="array" aca="1" ref="AZ17" ca="1">IFERROR(INDEX(17:17, SMALL(IF($AC17:$AX17&lt;&gt;"", COLUMN($AC$1:$AX17)), COLUMN(A17))), "")</f>
        <v>赤　飯あり120</v>
      </c>
      <c r="BA17" t="str">
        <f t="array" aca="1" ref="BA17" ca="1">IFERROR(INDEX(17:17, SMALL(IF($AC17:$AX17&lt;&gt;"", COLUMN($AC$1:$AX17)), COLUMN(B17))), "")</f>
        <v>弁当　園児</v>
      </c>
      <c r="BB17">
        <f t="array" aca="1" ref="BB17" ca="1">IFERROR(INDEX(17:17, SMALL(IF($AC17:$AX17&lt;&gt;"", COLUMN($AC$1:$AX17)), COLUMN(C17))), "")</f>
        <v>7</v>
      </c>
      <c r="BC17" t="str">
        <f t="array" aca="1" ref="BC17" ca="1">IFERROR(INDEX(17:17, SMALL(IF($AC17:$AX17&lt;&gt;"", COLUMN($AC$1:$AX17)), COLUMN(D17))), "")</f>
        <v>●</v>
      </c>
      <c r="BD17" t="str">
        <f t="array" aca="1" ref="BD17" ca="1">IFERROR(INDEX(17:17, SMALL(IF($AC17:$AX17&lt;&gt;"", COLUMN($AC$1:$AX17)), COLUMN(E17))), "")</f>
        <v/>
      </c>
      <c r="BE17" t="str">
        <f t="array" aca="1" ref="BE17" ca="1">IFERROR(INDEX(17:17, SMALL(IF($AC17:$AX17&lt;&gt;"", COLUMN($AC$1:$AX17)), COLUMN(F17))), "")</f>
        <v/>
      </c>
      <c r="BF17" t="str">
        <f t="array" aca="1" ref="BF17" ca="1">IFERROR(IF(AND(COUNTIF($B17,"*泉ヶ丘*"),COUNTIF($B18,"*泉ヶ丘*")),
IFERROR(INDEX(18:18, SMALL(IF($AC18:$AX18&lt;&gt;"", COLUMN($AC$1:$AX18)), COLUMN(A18))), ""),
INDEX(17:17, SMALL(IF($AC17:$AX17&lt;&gt;"", COLUMN($AC$1:$AX17)), COLUMN(G17)))), "")</f>
        <v/>
      </c>
      <c r="BG17" t="str">
        <f t="array" aca="1" ref="BG17" ca="1">IFERROR(IF(AND(COUNTIF($B17,"*泉ヶ丘*"),COUNTIF($B18,"*泉ヶ丘*")),
IFERROR(INDEX(18:18, SMALL(IF($AC18:$AX18&lt;&gt;"", COLUMN($AC$1:$AX18)), COLUMN(B18))), ""),
INDEX(17:17, SMALL(IF($AC17:$AX17&lt;&gt;"", COLUMN($AC$1:$AX17)), COLUMN(H17)))), "")</f>
        <v/>
      </c>
      <c r="BH17" t="str">
        <f t="array" aca="1" ref="BH17" ca="1">IFERROR(IF(AND(COUNTIF($B17,"*泉ヶ丘*"),COUNTIF($B18,"*泉ヶ丘*")),
IFERROR(INDEX(18:18, SMALL(IF($AC18:$AX18&lt;&gt;"", COLUMN($AC$1:$AX18)), COLUMN(C18))), ""),
INDEX(17:17, SMALL(IF($AC17:$AX17&lt;&gt;"", COLUMN($AC$1:$AX17)), COLUMN(I17)))), "")</f>
        <v/>
      </c>
      <c r="BI17" t="str">
        <f t="array" aca="1" ref="BI17" ca="1">IFERROR(IF(AND(COUNTIF($B17,"*泉ヶ丘*"),COUNTIF($B18,"*泉ヶ丘*")),
IFERROR(INDEX(18:18, SMALL(IF($AC18:$AX18&lt;&gt;"", COLUMN($AC$1:$AX18)), COLUMN(D18))), ""),
INDEX(17:17, SMALL(IF($AC17:$AX17&lt;&gt;"", COLUMN($AC$1:$AX17)), COLUMN(J17)))), "")</f>
        <v/>
      </c>
      <c r="BJ17" t="str">
        <f t="array" aca="1" ref="BJ17" ca="1">IFERROR(IF(AND(COUNTIF($B17,"*泉ヶ丘*"),COUNTIF($B18,"*泉ヶ丘*")),
IFERROR(INDEX(18:18, SMALL(IF($AC18:$AX18&lt;&gt;"", COLUMN($AC$1:$AX18)), COLUMN(E18))), ""),
INDEX(17:17, SMALL(IF($AC17:$AX17&lt;&gt;"", COLUMN($AC$1:$AX17)), COLUMN(K17)))), "")</f>
        <v/>
      </c>
      <c r="BK17" t="str">
        <f t="array" aca="1" ref="BK17" ca="1">IFERROR(IF(AND(COUNTIF($B17,"*泉ヶ丘*"),COUNTIF($B18,"*泉ヶ丘*")),
IFERROR(INDEX(18:18, SMALL(IF($AC18:$AX18&lt;&gt;"", COLUMN($AC$1:$AX18)), COLUMN(F18))), ""),
INDEX(17:17, SMALL(IF($AC17:$AX17&lt;&gt;"", COLUMN($AC$1:$AX17)), COLUMN(L17)))), "")</f>
        <v/>
      </c>
      <c r="BL17" t="str">
        <f t="array" aca="1" ref="BL17" ca="1">IFERROR(IF(AND(COUNTIF($B17,"*泉ヶ丘*"),COUNTIF($B18,"*泉ヶ丘*")),
IFERROR(INDEX(18:18, SMALL(IF($AC18:$AX18&lt;&gt;"", COLUMN($AC$1:$AX18)), COLUMN(G18))), ""),
INDEX(17:17, SMALL(IF($AC17:$AX17&lt;&gt;"", COLUMN($AC$1:$AX17)), COLUMN(M17)))), "")</f>
        <v/>
      </c>
      <c r="BM17" t="str">
        <f t="array" aca="1" ref="BM17" ca="1">IFERROR(IF(AND(COUNTIF($B17,"*泉ヶ丘*"),COUNTIF($B18,"*泉ヶ丘*")),
IFERROR(INDEX(18:18, SMALL(IF($AC18:$AX18&lt;&gt;"", COLUMN($AC$1:$AX18)), COLUMN(H18))), ""),
INDEX(17:17, SMALL(IF($AC17:$AX17&lt;&gt;"", COLUMN($AC$1:$AX17)), COLUMN(N17)))), "")</f>
        <v/>
      </c>
      <c r="BN17" t="str">
        <f t="array" aca="1" ref="BN17" ca="1">IFERROR(IF(AND(COUNTIF($B17,"*泉ヶ丘*"),COUNTIF($B18,"*泉ヶ丘*")),
IFERROR(INDEX(18:18, SMALL(IF($AC18:$AX18&lt;&gt;"", COLUMN($AC$1:$AX18)), COLUMN(I18))), ""),
INDEX(17:17, SMALL(IF($AC17:$AX17&lt;&gt;"", COLUMN($AC$1:$AX17)), COLUMN(O17)))), "")</f>
        <v/>
      </c>
      <c r="BO17" t="str">
        <f t="array" aca="1" ref="BO17" ca="1">IFERROR(IF(AND(COUNTIF($B17,"*泉ヶ丘*"),COUNTIF($B18,"*泉ヶ丘*")),
IFERROR(INDEX(18:18, SMALL(IF($AC18:$AX18&lt;&gt;"", COLUMN($AC$1:$AX18)), COLUMN(J18))), ""),
INDEX(17:17, SMALL(IF($AC17:$AX17&lt;&gt;"", COLUMN($AC$1:$AX17)), COLUMN(P17)))), "")</f>
        <v/>
      </c>
      <c r="BP17" t="str">
        <f t="array" aca="1" ref="BP17" ca="1">IFERROR(IF(AND(COUNTIF($B17,"*泉ヶ丘*"),COUNTIF($B18,"*泉ヶ丘*")),
IFERROR(INDEX(18:18, SMALL(IF($AC18:$AX18&lt;&gt;"", COLUMN($AC$1:$AX18)), COLUMN(K18))), ""),
INDEX(17:17, SMALL(IF($AC17:$AX17&lt;&gt;"", COLUMN($AC$1:$AX17)), COLUMN(Q17)))), "")</f>
        <v/>
      </c>
      <c r="BQ17" t="str">
        <f t="array" aca="1" ref="BQ17" ca="1">IFERROR(IF(AND(COUNTIF($B17,"*泉ヶ丘*"),COUNTIF($B18,"*泉ヶ丘*")),
IFERROR(INDEX(18:18, SMALL(IF($AC18:$AX18&lt;&gt;"", COLUMN($AC$1:$AX18)), COLUMN(L18))), ""),
INDEX(17:17, SMALL(IF($AC17:$AX17&lt;&gt;"", COLUMN($AC$1:$AX17)), COLUMN(R17)))), "")</f>
        <v/>
      </c>
    </row>
    <row r="18" spans="1:69" x14ac:dyDescent="0.45">
      <c r="A18" t="str">
        <f t="array" ref="A18">IF(INDEX(貼り付け用!A:A,MATCH(A17,貼り付け用!A:A,0)+2)="4700",
IF(INDEX(貼り付け用!A:A,MATCH(A17,貼り付け用!A:A,0)+4)="4800",
INDEX(貼り付け用!A:A,MATCH(A17,貼り付け用!A:A,0)+6),
INDEX(貼り付け用!A:A,MATCH(A17,貼り付け用!A:A,0)+4)),INDEX(貼り付け用!A:A,MATCH(A17,貼り付け用!A:A,0)+2))</f>
        <v>600</v>
      </c>
      <c r="B18" t="str">
        <f>IF(A18&lt;&gt;"",
VLOOKUP(A18,得意先マスタ!A:D,2,FALSE),"")</f>
        <v>博多第一幼稚園　週3ｺｰｽ</v>
      </c>
      <c r="C18" t="str">
        <f t="array" ref="C18">IF(A18="10000","",INDEX(貼り付け用!A:A,MATCH(A18,貼り付け用!A:A,0)+1))</f>
        <v>博多第一 週3ｺｰｽ</v>
      </c>
      <c r="D18" t="str">
        <f ca="1">VLOOKUP(C18,クライアント抽出!$A:$O,10,FALSE)</f>
        <v>どんぶり給</v>
      </c>
      <c r="E18" t="str">
        <f ca="1">IF(D18&lt;&gt;"",
IF(COUNTIF(C18,"*ぺんぎん*"),
VLOOKUP(
"*"&amp;IF(COUNTIF(D18,"*キャラ弁*"),"キャラ",
IF(COUNTIF(D18,"*赤*"),"赤",SUBSTITUTE(SUBSTITUTE(D18," ",""),"　","")))&amp;"*",
注文弁当の抽出!$F:$I,4,FALSE)&amp;
IF(COUNTIF(D18,"*おにぎり*"),"　おにぎり","")&amp;"　（ぺんぎん組）",
VLOOKUP(
"*"&amp;IF(COUNTIF(D18,"*キャラ弁*"),"キャラ",
IF(COUNTIF(D18,"*赤*"),"赤",SUBSTITUTE(SUBSTITUTE(D18," ",""),"　","")))&amp;"*",
注文弁当の抽出!$F:$I,4,FALSE)&amp;
IF(COUNTIF(D18,"*おにぎり*"),"　おにぎり","")),"")</f>
        <v>どんぶり給食　園児</v>
      </c>
      <c r="F18">
        <f ca="1">IFERROR(IF(E18&lt;&gt;"",
VLOOKUP(C18,クライアント抽出!$A:$G,2,FALSE)+
IF(COUNTIF(Y18,"*-*"),Y18,0),"")
-IFERROR(MID(V18, SEARCH("予備", V18) + LEN("予備"), SEARCH("込み", V18) - (SEARCH("予備", V18) + LEN("予備"))),0),"")</f>
        <v>108</v>
      </c>
      <c r="G18" t="str">
        <f ca="1">VLOOKUP(C18,クライアント抽出!$A:$O,11,FALSE)</f>
        <v/>
      </c>
      <c r="H18" t="str">
        <f ca="1">IF(G18&lt;&gt;"",
VLOOKUP(
"*"&amp;IF(COUNTIF(G18,"*キャラ弁*"),"キャラ",
IF(COUNTIF(G18,"*赤*"),"赤",SUBSTITUTE(SUBSTITUTE(G18," ",""),"　","")))&amp;"*",
注文弁当の抽出!$F:$I,4,FALSE)&amp;
IF(COUNTIF(G18,"*おにぎり*"),"　おにぎり",""),"")</f>
        <v/>
      </c>
      <c r="I18" t="str">
        <f ca="1">IF(H18&lt;&gt;"",
VLOOKUP(C18,クライアント抽出!$A:$G,3,FALSE)+
IF(COUNTIF(C18,"*博多*"),Y18,Z18),"")</f>
        <v/>
      </c>
      <c r="J18" t="str">
        <f ca="1">VLOOKUP(C18,クライアント抽出!$A:$O,12,FALSE)</f>
        <v/>
      </c>
      <c r="K18" t="str">
        <f ca="1">IF(J18&lt;&gt;"",
VLOOKUP(
"*"&amp;IF(COUNTIF(J18,"*キャラ弁*"),"キャラ",
IF(COUNTIF(J18,"*赤*"),"赤",SUBSTITUTE(SUBSTITUTE(J18," ",""),"　","")))&amp;"*",
注文弁当の抽出!$F:$I,4,FALSE)&amp;
IF(COUNTIF(J18,"*おにぎり*"),"　おにぎり",""),"")</f>
        <v/>
      </c>
      <c r="L18" t="str">
        <f ca="1">IF(K18&lt;&gt;"",
VLOOKUP(C18,クライアント抽出!$A:$G,4,FALSE)+AA18,"")</f>
        <v/>
      </c>
      <c r="M18" t="str">
        <f ca="1">VLOOKUP(C18,クライアント抽出!$A:$O,13,FALSE)</f>
        <v>どんぶり給</v>
      </c>
      <c r="N18" t="str">
        <f ca="1">SUBSTITUTE(
IF(M18&lt;&gt;"",
VLOOKUP(
"*"&amp;IF(COUNTIF(M18,"*キャラ弁*"),"キャラ",
IF(COUNTIF(M18,"*赤*"),"赤",SUBSTITUTE(SUBSTITUTE(D18," ",""),"　","")))&amp;"*",
注文弁当の抽出!$F:$I,4,FALSE),""),"園児","先生")&amp;
IF(COUNTIF(M18,"*おにぎり*"),"　おにぎり","")</f>
        <v>どんぶり給食　先生</v>
      </c>
      <c r="O18">
        <f ca="1">IF(N18&lt;&gt;"",VLOOKUP(C18,クライアント抽出!$A:$G,5,FALSE),"")</f>
        <v>17</v>
      </c>
      <c r="P18" t="str">
        <f ca="1">VLOOKUP(C18,クライアント抽出!$A:$O,14,FALSE)</f>
        <v/>
      </c>
      <c r="Q18" t="str">
        <f ca="1">SUBSTITUTE(
IF(P18&lt;&gt;"",
VLOOKUP(
"*"&amp;IF(COUNTIF(P18,"*キャラ弁*"),"キャラ",
IF(COUNTIF(P18,"*赤*"),"赤",SUBSTITUTE(SUBSTITUTE(G18," ",""),"　","")))&amp;"*",
注文弁当の抽出!$F:$I,4,FALSE),""),"園児","先生")&amp;
IF(COUNTIF(P18,"*おにぎり*"),"　おにぎり","")</f>
        <v/>
      </c>
      <c r="R18" t="str">
        <f ca="1">IF(Q18&lt;&gt;"",
VLOOKUP(C18,クライアント抽出!$A:$G,6,FALSE),"")</f>
        <v/>
      </c>
      <c r="S18" t="str">
        <f ca="1">VLOOKUP(C18,クライアント抽出!$A:$O,15,FALSE)</f>
        <v/>
      </c>
      <c r="T18" t="str">
        <f ca="1">SUBSTITUTE(
IF(S18&lt;&gt;"",
VLOOKUP(
"*"&amp;IF(COUNTIF(S18,"*キャラ弁*"),"キャラ",
IF(COUNTIF(S18,"*赤*"),"赤",SUBSTITUTE(SUBSTITUTE(J18," ",""),"　","")))&amp;"*",
注文弁当の抽出!$F:$I,4,FALSE),""),"園児","先生")&amp;
IF(COUNTIF(S18,"*おにぎり*"),"　おにぎり","")</f>
        <v/>
      </c>
      <c r="U18" t="str">
        <f ca="1">IF(T18&lt;&gt;"",
VLOOKUP(C18,クライアント抽出!$A:$G,7,FALSE),"")</f>
        <v/>
      </c>
      <c r="V18" t="str">
        <f ca="1">IF(A18&lt;&gt;"",
IF(COUNTIF(V17,"*牛乳*"),
IF(AND(COUNTIF(B17,"*奈良屋*"),COUNTIF(B18,"*奈良屋*")),
V17&amp;"✔",""),VLOOKUP(""&amp;A18&amp;"",数出表_Excel!$A:$Z,22,FALSE)&amp;VLOOKUP(""&amp;A18&amp;"",数出表_Excel!$A:$Z,23,FALSE)
&amp;VLOOKUP(""&amp;C18&amp;"",数出表_Excel!$A:$Z,22,FALSE)&amp;VLOOKUP(""&amp;C18&amp;"",数出表_Excel!$A:$Z,23,FALSE)),"")</f>
        <v>スープ付き</v>
      </c>
      <c r="W18">
        <f ca="1">IF(AND(COUNTIF(V18,"&lt;&gt;*不要*"),A18&lt;&gt;""),VLOOKUP(A18,得意先マスタ!$A:$AD,24,FALSE),0)</f>
        <v>0</v>
      </c>
      <c r="X18">
        <f ca="1">IF(AND(COUNTIF(V18,"&lt;&gt;*不要*"),A18&lt;&gt;""),VLOOKUP(A18,得意先マスタ!$A:$AD,25,FALSE),0)</f>
        <v>0</v>
      </c>
      <c r="Y18">
        <f t="shared" ca="1" si="0"/>
        <v>0</v>
      </c>
      <c r="Z18">
        <f t="shared" ca="1" si="1"/>
        <v>0</v>
      </c>
      <c r="AA18">
        <f t="shared" ca="1" si="5"/>
        <v>0</v>
      </c>
      <c r="AB18" t="str">
        <f t="shared" ca="1" si="2"/>
        <v/>
      </c>
      <c r="AC18" t="str">
        <f t="array" aca="1" ref="AC18" ca="1">IFERROR(INDEX(18:18, SMALL(IF($D18:$U18&lt;&gt;"", COLUMN($D$1:$U18)), COLUMN(A18))), "")</f>
        <v>どんぶり給</v>
      </c>
      <c r="AD18" t="str">
        <f t="array" aca="1" ref="AD18" ca="1">IFERROR(INDEX(18:18, SMALL(IF($D18:$U18&lt;&gt;"", COLUMN($D$1:$U18)), COLUMN(B18))), "")</f>
        <v>どんぶり給食　園児</v>
      </c>
      <c r="AE18">
        <f t="array" aca="1" ref="AE18" ca="1">IFERROR(INDEX(18:18, SMALL(IF($D18:$U18&lt;&gt;"", COLUMN($D$1:$U18)), COLUMN(C18))), "")</f>
        <v>108</v>
      </c>
      <c r="AF18" t="str">
        <f t="array" aca="1" ref="AF18" ca="1">IFERROR(INDEX(18:18, SMALL(IF($D18:$U18&lt;&gt;"", COLUMN($D$1:$U18)), COLUMN(D18))), "")</f>
        <v>どんぶり給</v>
      </c>
      <c r="AG18" t="str">
        <f t="array" aca="1" ref="AG18" ca="1">IFERROR(INDEX(18:18, SMALL(IF($D18:$U18&lt;&gt;"", COLUMN($D$1:$U18)), COLUMN(E18))), "")</f>
        <v>どんぶり給食　先生</v>
      </c>
      <c r="AH18">
        <f t="array" aca="1" ref="AH18" ca="1">IFERROR(INDEX(18:18, SMALL(IF($D18:$U18&lt;&gt;"", COLUMN($D$1:$U18)), COLUMN(F18))), "")</f>
        <v>17</v>
      </c>
      <c r="AI18" t="str">
        <f t="array" aca="1" ref="AI18" ca="1">IFERROR(INDEX(18:18, SMALL(IF($D18:$U18&lt;&gt;"", COLUMN($D$1:$U18)), COLUMN(G18))), "")</f>
        <v/>
      </c>
      <c r="AJ18" t="str">
        <f t="array" aca="1" ref="AJ18" ca="1">IFERROR(INDEX(18:18, SMALL(IF($D18:$U18&lt;&gt;"", COLUMN($D$1:$U18)), COLUMN(H18))), "")</f>
        <v/>
      </c>
      <c r="AK18" t="str">
        <f t="array" aca="1" ref="AK18" ca="1">IFERROR(INDEX(18:18, SMALL(IF($D18:$U18&lt;&gt;"", COLUMN($D$1:$U18)), COLUMN(I18))), "")</f>
        <v/>
      </c>
      <c r="AL18" t="str">
        <f t="array" aca="1" ref="AL18" ca="1">IFERROR(INDEX(18:18, SMALL(IF($D18:$U18&lt;&gt;"", COLUMN($D$1:$U18)), COLUMN(J18))), "")</f>
        <v/>
      </c>
      <c r="AM18" t="str">
        <f t="array" aca="1" ref="AM18" ca="1">IFERROR(INDEX(18:18, SMALL(IF($D18:$U18&lt;&gt;"", COLUMN($D$1:$U18)), COLUMN(K18))), "")</f>
        <v/>
      </c>
      <c r="AN18" t="str">
        <f t="array" aca="1" ref="AN18" ca="1">IFERROR(INDEX(18:18, SMALL(IF($D18:$U18&lt;&gt;"", COLUMN($D$1:$U18)), COLUMN(L18))), "")</f>
        <v/>
      </c>
      <c r="AO18" t="str">
        <f t="array" aca="1" ref="AO18" ca="1">IFERROR(INDEX(18:18, SMALL(IF($D18:$U18&lt;&gt;"", COLUMN($D$1:$U18)), COLUMN(M18))), "")</f>
        <v/>
      </c>
      <c r="AP18" t="str">
        <f t="array" aca="1" ref="AP18" ca="1">IFERROR(INDEX(18:18, SMALL(IF($D18:$U18&lt;&gt;"", COLUMN($D$1:$U18)), COLUMN(N18))), "")</f>
        <v/>
      </c>
      <c r="AQ18" t="str">
        <f t="array" aca="1" ref="AQ18" ca="1">IFERROR(INDEX(18:18, SMALL(IF($D18:$U18&lt;&gt;"", COLUMN($D$1:$U18)), COLUMN(O18))), "")</f>
        <v/>
      </c>
      <c r="AR18" s="52" t="s">
        <v>4005</v>
      </c>
      <c r="AS18" t="str">
        <f t="shared" ca="1" si="3"/>
        <v/>
      </c>
      <c r="AT18" t="str">
        <f t="shared" ca="1" si="4"/>
        <v/>
      </c>
      <c r="AU18" t="str">
        <f t="shared" ca="1" si="6"/>
        <v/>
      </c>
      <c r="AV18" t="str">
        <f t="shared" ca="1" si="7"/>
        <v/>
      </c>
      <c r="AW18" t="str">
        <f t="shared" ca="1" si="8"/>
        <v/>
      </c>
      <c r="AX18" t="str">
        <f t="shared" ca="1" si="9"/>
        <v/>
      </c>
      <c r="AZ18" t="str">
        <f t="array" aca="1" ref="AZ18" ca="1">IFERROR(INDEX(18:18, SMALL(IF($AC18:$AX18&lt;&gt;"", COLUMN($AC$1:$AX18)), COLUMN(A18))), "")</f>
        <v>どんぶり給</v>
      </c>
      <c r="BA18" t="str">
        <f t="array" aca="1" ref="BA18" ca="1">IFERROR(INDEX(18:18, SMALL(IF($AC18:$AX18&lt;&gt;"", COLUMN($AC$1:$AX18)), COLUMN(B18))), "")</f>
        <v>どんぶり給食　園児</v>
      </c>
      <c r="BB18">
        <f t="array" aca="1" ref="BB18" ca="1">IFERROR(INDEX(18:18, SMALL(IF($AC18:$AX18&lt;&gt;"", COLUMN($AC$1:$AX18)), COLUMN(C18))), "")</f>
        <v>108</v>
      </c>
      <c r="BC18" t="str">
        <f t="array" aca="1" ref="BC18" ca="1">IFERROR(INDEX(18:18, SMALL(IF($AC18:$AX18&lt;&gt;"", COLUMN($AC$1:$AX18)), COLUMN(D18))), "")</f>
        <v>どんぶり給</v>
      </c>
      <c r="BD18" t="str">
        <f t="array" aca="1" ref="BD18" ca="1">IFERROR(INDEX(18:18, SMALL(IF($AC18:$AX18&lt;&gt;"", COLUMN($AC$1:$AX18)), COLUMN(E18))), "")</f>
        <v>どんぶり給食　先生</v>
      </c>
      <c r="BE18">
        <f t="array" aca="1" ref="BE18" ca="1">IFERROR(INDEX(18:18, SMALL(IF($AC18:$AX18&lt;&gt;"", COLUMN($AC$1:$AX18)), COLUMN(F18))), "")</f>
        <v>17</v>
      </c>
      <c r="BF18" t="str">
        <f t="array" aca="1" ref="BF18" ca="1">IFERROR(IF(AND(COUNTIF($B18,"*泉ヶ丘*"),COUNTIF($B19,"*泉ヶ丘*")),
IFERROR(INDEX(19:19, SMALL(IF($AC19:$AX19&lt;&gt;"", COLUMN($AC$1:$AX19)), COLUMN(A19))), ""),
INDEX(18:18, SMALL(IF($AC18:$AX18&lt;&gt;"", COLUMN($AC$1:$AX18)), COLUMN(G18)))), "")</f>
        <v>●</v>
      </c>
      <c r="BG18" t="str">
        <f t="array" aca="1" ref="BG18" ca="1">IFERROR(IF(AND(COUNTIF($B18,"*泉ヶ丘*"),COUNTIF($B19,"*泉ヶ丘*")),
IFERROR(INDEX(19:19, SMALL(IF($AC19:$AX19&lt;&gt;"", COLUMN($AC$1:$AX19)), COLUMN(B19))), ""),
INDEX(18:18, SMALL(IF($AC18:$AX18&lt;&gt;"", COLUMN($AC$1:$AX18)), COLUMN(H18)))), "")</f>
        <v/>
      </c>
      <c r="BH18" t="str">
        <f t="array" aca="1" ref="BH18" ca="1">IFERROR(IF(AND(COUNTIF($B18,"*泉ヶ丘*"),COUNTIF($B19,"*泉ヶ丘*")),
IFERROR(INDEX(19:19, SMALL(IF($AC19:$AX19&lt;&gt;"", COLUMN($AC$1:$AX19)), COLUMN(C19))), ""),
INDEX(18:18, SMALL(IF($AC18:$AX18&lt;&gt;"", COLUMN($AC$1:$AX18)), COLUMN(I18)))), "")</f>
        <v/>
      </c>
      <c r="BI18" t="str">
        <f t="array" aca="1" ref="BI18" ca="1">IFERROR(IF(AND(COUNTIF($B18,"*泉ヶ丘*"),COUNTIF($B19,"*泉ヶ丘*")),
IFERROR(INDEX(19:19, SMALL(IF($AC19:$AX19&lt;&gt;"", COLUMN($AC$1:$AX19)), COLUMN(D19))), ""),
INDEX(18:18, SMALL(IF($AC18:$AX18&lt;&gt;"", COLUMN($AC$1:$AX18)), COLUMN(J18)))), "")</f>
        <v/>
      </c>
      <c r="BJ18" t="str">
        <f t="array" aca="1" ref="BJ18" ca="1">IFERROR(IF(AND(COUNTIF($B18,"*泉ヶ丘*"),COUNTIF($B19,"*泉ヶ丘*")),
IFERROR(INDEX(19:19, SMALL(IF($AC19:$AX19&lt;&gt;"", COLUMN($AC$1:$AX19)), COLUMN(E19))), ""),
INDEX(18:18, SMALL(IF($AC18:$AX18&lt;&gt;"", COLUMN($AC$1:$AX18)), COLUMN(K18)))), "")</f>
        <v/>
      </c>
      <c r="BK18" t="str">
        <f t="array" aca="1" ref="BK18" ca="1">IFERROR(IF(AND(COUNTIF($B18,"*泉ヶ丘*"),COUNTIF($B19,"*泉ヶ丘*")),
IFERROR(INDEX(19:19, SMALL(IF($AC19:$AX19&lt;&gt;"", COLUMN($AC$1:$AX19)), COLUMN(F19))), ""),
INDEX(18:18, SMALL(IF($AC18:$AX18&lt;&gt;"", COLUMN($AC$1:$AX18)), COLUMN(L18)))), "")</f>
        <v/>
      </c>
      <c r="BL18" t="str">
        <f t="array" aca="1" ref="BL18" ca="1">IFERROR(IF(AND(COUNTIF($B18,"*泉ヶ丘*"),COUNTIF($B19,"*泉ヶ丘*")),
IFERROR(INDEX(19:19, SMALL(IF($AC19:$AX19&lt;&gt;"", COLUMN($AC$1:$AX19)), COLUMN(G19))), ""),
INDEX(18:18, SMALL(IF($AC18:$AX18&lt;&gt;"", COLUMN($AC$1:$AX18)), COLUMN(M18)))), "")</f>
        <v/>
      </c>
      <c r="BM18" t="str">
        <f t="array" aca="1" ref="BM18" ca="1">IFERROR(IF(AND(COUNTIF($B18,"*泉ヶ丘*"),COUNTIF($B19,"*泉ヶ丘*")),
IFERROR(INDEX(19:19, SMALL(IF($AC19:$AX19&lt;&gt;"", COLUMN($AC$1:$AX19)), COLUMN(H19))), ""),
INDEX(18:18, SMALL(IF($AC18:$AX18&lt;&gt;"", COLUMN($AC$1:$AX18)), COLUMN(N18)))), "")</f>
        <v/>
      </c>
      <c r="BN18" t="str">
        <f t="array" aca="1" ref="BN18" ca="1">IFERROR(IF(AND(COUNTIF($B18,"*泉ヶ丘*"),COUNTIF($B19,"*泉ヶ丘*")),
IFERROR(INDEX(19:19, SMALL(IF($AC19:$AX19&lt;&gt;"", COLUMN($AC$1:$AX19)), COLUMN(I19))), ""),
INDEX(18:18, SMALL(IF($AC18:$AX18&lt;&gt;"", COLUMN($AC$1:$AX18)), COLUMN(O18)))), "")</f>
        <v/>
      </c>
      <c r="BO18" t="str">
        <f t="array" aca="1" ref="BO18" ca="1">IFERROR(IF(AND(COUNTIF($B18,"*泉ヶ丘*"),COUNTIF($B19,"*泉ヶ丘*")),
IFERROR(INDEX(19:19, SMALL(IF($AC19:$AX19&lt;&gt;"", COLUMN($AC$1:$AX19)), COLUMN(J19))), ""),
INDEX(18:18, SMALL(IF($AC18:$AX18&lt;&gt;"", COLUMN($AC$1:$AX18)), COLUMN(P18)))), "")</f>
        <v/>
      </c>
      <c r="BP18" t="str">
        <f t="array" aca="1" ref="BP18" ca="1">IFERROR(IF(AND(COUNTIF($B18,"*泉ヶ丘*"),COUNTIF($B19,"*泉ヶ丘*")),
IFERROR(INDEX(19:19, SMALL(IF($AC19:$AX19&lt;&gt;"", COLUMN($AC$1:$AX19)), COLUMN(K19))), ""),
INDEX(18:18, SMALL(IF($AC18:$AX18&lt;&gt;"", COLUMN($AC$1:$AX18)), COLUMN(Q18)))), "")</f>
        <v/>
      </c>
      <c r="BQ18" t="str">
        <f t="array" aca="1" ref="BQ18" ca="1">IFERROR(IF(AND(COUNTIF($B18,"*泉ヶ丘*"),COUNTIF($B19,"*泉ヶ丘*")),
IFERROR(INDEX(19:19, SMALL(IF($AC19:$AX19&lt;&gt;"", COLUMN($AC$1:$AX19)), COLUMN(L19))), ""),
INDEX(18:18, SMALL(IF($AC18:$AX18&lt;&gt;"", COLUMN($AC$1:$AX18)), COLUMN(R18)))), "")</f>
        <v/>
      </c>
    </row>
    <row r="19" spans="1:69" x14ac:dyDescent="0.45">
      <c r="A19" t="str">
        <f t="array" ref="A19">IF(INDEX(貼り付け用!A:A,MATCH(A18,貼り付け用!A:A,0)+2)="4700",
IF(INDEX(貼り付け用!A:A,MATCH(A18,貼り付け用!A:A,0)+4)="4800",
INDEX(貼り付け用!A:A,MATCH(A18,貼り付け用!A:A,0)+6),
INDEX(貼り付け用!A:A,MATCH(A18,貼り付け用!A:A,0)+4)),INDEX(貼り付け用!A:A,MATCH(A18,貼り付け用!A:A,0)+2))</f>
        <v>606</v>
      </c>
      <c r="B19" t="str">
        <f>IF(A19&lt;&gt;"",
VLOOKUP(A19,得意先マスタ!A:D,2,FALSE),"")</f>
        <v>博多第一幼稚園　週5ｺｰｽ</v>
      </c>
      <c r="C19" t="str">
        <f t="array" ref="C19">IF(A19="10000","",INDEX(貼り付け用!A:A,MATCH(A19,貼り付け用!A:A,0)+1))</f>
        <v>博多第一 週5ｺｰｽ</v>
      </c>
      <c r="D19" t="str">
        <f ca="1">VLOOKUP(C19,クライアント抽出!$A:$O,10,FALSE)</f>
        <v>どんぶり給</v>
      </c>
      <c r="E19" t="str">
        <f ca="1">IF(D19&lt;&gt;"",
IF(COUNTIF(C19,"*ぺんぎん*"),
VLOOKUP(
"*"&amp;IF(COUNTIF(D19,"*キャラ弁*"),"キャラ",
IF(COUNTIF(D19,"*赤*"),"赤",SUBSTITUTE(SUBSTITUTE(D19," ",""),"　","")))&amp;"*",
注文弁当の抽出!$F:$I,4,FALSE)&amp;
IF(COUNTIF(D19,"*おにぎり*"),"　おにぎり","")&amp;"　（ぺんぎん組）",
VLOOKUP(
"*"&amp;IF(COUNTIF(D19,"*キャラ弁*"),"キャラ",
IF(COUNTIF(D19,"*赤*"),"赤",SUBSTITUTE(SUBSTITUTE(D19," ",""),"　","")))&amp;"*",
注文弁当の抽出!$F:$I,4,FALSE)&amp;
IF(COUNTIF(D19,"*おにぎり*"),"　おにぎり","")),"")</f>
        <v>どんぶり給食　園児</v>
      </c>
      <c r="F19">
        <f ca="1">IFERROR(IF(E19&lt;&gt;"",
VLOOKUP(C19,クライアント抽出!$A:$G,2,FALSE)+
IF(COUNTIF(Y19,"*-*"),Y19,0),"")
-IFERROR(MID(V19, SEARCH("予備", V19) + LEN("予備"), SEARCH("込み", V19) - (SEARCH("予備", V19) + LEN("予備"))),0),"")</f>
        <v>235</v>
      </c>
      <c r="G19" t="str">
        <f ca="1">VLOOKUP(C19,クライアント抽出!$A:$O,11,FALSE)</f>
        <v/>
      </c>
      <c r="H19" t="str">
        <f ca="1">IF(G19&lt;&gt;"",
VLOOKUP(
"*"&amp;IF(COUNTIF(G19,"*キャラ弁*"),"キャラ",
IF(COUNTIF(G19,"*赤*"),"赤",SUBSTITUTE(SUBSTITUTE(G19," ",""),"　","")))&amp;"*",
注文弁当の抽出!$F:$I,4,FALSE)&amp;
IF(COUNTIF(G19,"*おにぎり*"),"　おにぎり",""),"")</f>
        <v/>
      </c>
      <c r="I19" t="str">
        <f ca="1">IF(H19&lt;&gt;"",
VLOOKUP(C19,クライアント抽出!$A:$G,3,FALSE)+
IF(COUNTIF(C19,"*博多*"),Y19,Z19),"")</f>
        <v/>
      </c>
      <c r="J19" t="str">
        <f ca="1">VLOOKUP(C19,クライアント抽出!$A:$O,12,FALSE)</f>
        <v/>
      </c>
      <c r="K19" t="str">
        <f ca="1">IF(J19&lt;&gt;"",
VLOOKUP(
"*"&amp;IF(COUNTIF(J19,"*キャラ弁*"),"キャラ",
IF(COUNTIF(J19,"*赤*"),"赤",SUBSTITUTE(SUBSTITUTE(J19," ",""),"　","")))&amp;"*",
注文弁当の抽出!$F:$I,4,FALSE)&amp;
IF(COUNTIF(J19,"*おにぎり*"),"　おにぎり",""),"")</f>
        <v/>
      </c>
      <c r="L19" t="str">
        <f ca="1">IF(K19&lt;&gt;"",
VLOOKUP(C19,クライアント抽出!$A:$G,4,FALSE)+AA19,"")</f>
        <v/>
      </c>
      <c r="M19" t="str">
        <f ca="1">VLOOKUP(C19,クライアント抽出!$A:$O,13,FALSE)</f>
        <v/>
      </c>
      <c r="N19" t="str">
        <f ca="1">SUBSTITUTE(
IF(M19&lt;&gt;"",
VLOOKUP(
"*"&amp;IF(COUNTIF(M19,"*キャラ弁*"),"キャラ",
IF(COUNTIF(M19,"*赤*"),"赤",SUBSTITUTE(SUBSTITUTE(D19," ",""),"　","")))&amp;"*",
注文弁当の抽出!$F:$I,4,FALSE),""),"園児","先生")&amp;
IF(COUNTIF(M19,"*おにぎり*"),"　おにぎり","")</f>
        <v/>
      </c>
      <c r="O19" t="str">
        <f ca="1">IF(N19&lt;&gt;"",VLOOKUP(C19,クライアント抽出!$A:$G,5,FALSE),"")</f>
        <v/>
      </c>
      <c r="P19" t="str">
        <f ca="1">VLOOKUP(C19,クライアント抽出!$A:$O,14,FALSE)</f>
        <v/>
      </c>
      <c r="Q19" t="str">
        <f ca="1">SUBSTITUTE(
IF(P19&lt;&gt;"",
VLOOKUP(
"*"&amp;IF(COUNTIF(P19,"*キャラ弁*"),"キャラ",
IF(COUNTIF(P19,"*赤*"),"赤",SUBSTITUTE(SUBSTITUTE(G19," ",""),"　","")))&amp;"*",
注文弁当の抽出!$F:$I,4,FALSE),""),"園児","先生")&amp;
IF(COUNTIF(P19,"*おにぎり*"),"　おにぎり","")</f>
        <v/>
      </c>
      <c r="R19" t="str">
        <f ca="1">IF(Q19&lt;&gt;"",
VLOOKUP(C19,クライアント抽出!$A:$G,6,FALSE),"")</f>
        <v/>
      </c>
      <c r="S19" t="str">
        <f ca="1">VLOOKUP(C19,クライアント抽出!$A:$O,15,FALSE)</f>
        <v/>
      </c>
      <c r="T19" t="str">
        <f ca="1">SUBSTITUTE(
IF(S19&lt;&gt;"",
VLOOKUP(
"*"&amp;IF(COUNTIF(S19,"*キャラ弁*"),"キャラ",
IF(COUNTIF(S19,"*赤*"),"赤",SUBSTITUTE(SUBSTITUTE(J19," ",""),"　","")))&amp;"*",
注文弁当の抽出!$F:$I,4,FALSE),""),"園児","先生")&amp;
IF(COUNTIF(S19,"*おにぎり*"),"　おにぎり","")</f>
        <v/>
      </c>
      <c r="U19" t="str">
        <f ca="1">IF(T19&lt;&gt;"",
VLOOKUP(C19,クライアント抽出!$A:$G,7,FALSE),"")</f>
        <v/>
      </c>
      <c r="V19" t="str">
        <f ca="1">IF(A19&lt;&gt;"",
IF(COUNTIF(V18,"*牛乳*"),
IF(AND(COUNTIF(B18,"*奈良屋*"),COUNTIF(B19,"*奈良屋*")),
V18&amp;"✔",""),VLOOKUP(""&amp;A19&amp;"",数出表_Excel!$A:$Z,22,FALSE)&amp;VLOOKUP(""&amp;A19&amp;"",数出表_Excel!$A:$Z,23,FALSE)
&amp;VLOOKUP(""&amp;C19&amp;"",数出表_Excel!$A:$Z,22,FALSE)&amp;VLOOKUP(""&amp;C19&amp;"",数出表_Excel!$A:$Z,23,FALSE)),"")</f>
        <v>スープ付き</v>
      </c>
      <c r="W19" t="str">
        <f ca="1">IF(AND(COUNTIF(V19,"&lt;&gt;*不要*"),A19&lt;&gt;""),VLOOKUP(A19,得意先マスタ!$A:$AD,24,FALSE),0)</f>
        <v>検食</v>
      </c>
      <c r="X19" t="str">
        <f ca="1">IF(AND(COUNTIF(V19,"&lt;&gt;*不要*"),A19&lt;&gt;""),VLOOKUP(A19,得意先マスタ!$A:$AD,25,FALSE),0)</f>
        <v>-1</v>
      </c>
      <c r="Y19" t="str">
        <f t="shared" ca="1" si="0"/>
        <v>-1</v>
      </c>
      <c r="Z19">
        <f t="shared" ca="1" si="1"/>
        <v>0</v>
      </c>
      <c r="AA19">
        <f t="shared" ca="1" si="5"/>
        <v>0</v>
      </c>
      <c r="AB19" t="str">
        <f t="shared" ca="1" si="2"/>
        <v>どんぶり給食　検食</v>
      </c>
      <c r="AC19" t="str">
        <f t="array" aca="1" ref="AC19" ca="1">IFERROR(INDEX(19:19, SMALL(IF($D19:$U19&lt;&gt;"", COLUMN($D$1:$U19)), COLUMN(A19))), "")</f>
        <v>どんぶり給</v>
      </c>
      <c r="AD19" t="str">
        <f t="array" aca="1" ref="AD19" ca="1">IFERROR(INDEX(19:19, SMALL(IF($D19:$U19&lt;&gt;"", COLUMN($D$1:$U19)), COLUMN(B19))), "")</f>
        <v>どんぶり給食　園児</v>
      </c>
      <c r="AE19">
        <f t="array" aca="1" ref="AE19" ca="1">IFERROR(INDEX(19:19, SMALL(IF($D19:$U19&lt;&gt;"", COLUMN($D$1:$U19)), COLUMN(C19))), "")</f>
        <v>235</v>
      </c>
      <c r="AF19" t="str">
        <f t="array" aca="1" ref="AF19" ca="1">IFERROR(INDEX(19:19, SMALL(IF($D19:$U19&lt;&gt;"", COLUMN($D$1:$U19)), COLUMN(D19))), "")</f>
        <v/>
      </c>
      <c r="AG19" t="str">
        <f t="array" aca="1" ref="AG19" ca="1">IFERROR(INDEX(19:19, SMALL(IF($D19:$U19&lt;&gt;"", COLUMN($D$1:$U19)), COLUMN(E19))), "")</f>
        <v/>
      </c>
      <c r="AH19" t="str">
        <f t="array" aca="1" ref="AH19" ca="1">IFERROR(INDEX(19:19, SMALL(IF($D19:$U19&lt;&gt;"", COLUMN($D$1:$U19)), COLUMN(F19))), "")</f>
        <v/>
      </c>
      <c r="AI19" t="str">
        <f t="array" aca="1" ref="AI19" ca="1">IFERROR(INDEX(19:19, SMALL(IF($D19:$U19&lt;&gt;"", COLUMN($D$1:$U19)), COLUMN(G19))), "")</f>
        <v/>
      </c>
      <c r="AJ19" t="str">
        <f t="array" aca="1" ref="AJ19" ca="1">IFERROR(INDEX(19:19, SMALL(IF($D19:$U19&lt;&gt;"", COLUMN($D$1:$U19)), COLUMN(H19))), "")</f>
        <v/>
      </c>
      <c r="AK19" t="str">
        <f t="array" aca="1" ref="AK19" ca="1">IFERROR(INDEX(19:19, SMALL(IF($D19:$U19&lt;&gt;"", COLUMN($D$1:$U19)), COLUMN(I19))), "")</f>
        <v/>
      </c>
      <c r="AL19" t="str">
        <f t="array" aca="1" ref="AL19" ca="1">IFERROR(INDEX(19:19, SMALL(IF($D19:$U19&lt;&gt;"", COLUMN($D$1:$U19)), COLUMN(J19))), "")</f>
        <v/>
      </c>
      <c r="AM19" t="str">
        <f t="array" aca="1" ref="AM19" ca="1">IFERROR(INDEX(19:19, SMALL(IF($D19:$U19&lt;&gt;"", COLUMN($D$1:$U19)), COLUMN(K19))), "")</f>
        <v/>
      </c>
      <c r="AN19" t="str">
        <f t="array" aca="1" ref="AN19" ca="1">IFERROR(INDEX(19:19, SMALL(IF($D19:$U19&lt;&gt;"", COLUMN($D$1:$U19)), COLUMN(L19))), "")</f>
        <v/>
      </c>
      <c r="AO19" t="str">
        <f t="array" aca="1" ref="AO19" ca="1">IFERROR(INDEX(19:19, SMALL(IF($D19:$U19&lt;&gt;"", COLUMN($D$1:$U19)), COLUMN(M19))), "")</f>
        <v/>
      </c>
      <c r="AP19" t="str">
        <f t="array" aca="1" ref="AP19" ca="1">IFERROR(INDEX(19:19, SMALL(IF($D19:$U19&lt;&gt;"", COLUMN($D$1:$U19)), COLUMN(N19))), "")</f>
        <v/>
      </c>
      <c r="AQ19" t="str">
        <f t="array" aca="1" ref="AQ19" ca="1">IFERROR(INDEX(19:19, SMALL(IF($D19:$U19&lt;&gt;"", COLUMN($D$1:$U19)), COLUMN(O19))), "")</f>
        <v/>
      </c>
      <c r="AR19" s="52" t="s">
        <v>4005</v>
      </c>
      <c r="AS19" t="str">
        <f t="shared" ca="1" si="3"/>
        <v>どんぶり給食　検食</v>
      </c>
      <c r="AT19" t="str">
        <f t="shared" ca="1" si="4"/>
        <v>1</v>
      </c>
      <c r="AU19" t="str">
        <f t="shared" ca="1" si="6"/>
        <v/>
      </c>
      <c r="AV19" t="str">
        <f t="shared" ca="1" si="7"/>
        <v/>
      </c>
      <c r="AW19" t="str">
        <f t="shared" ca="1" si="8"/>
        <v/>
      </c>
      <c r="AX19" t="str">
        <f t="shared" ca="1" si="9"/>
        <v/>
      </c>
      <c r="AZ19" t="str">
        <f t="array" aca="1" ref="AZ19" ca="1">IFERROR(INDEX(19:19, SMALL(IF($AC19:$AX19&lt;&gt;"", COLUMN($AC$1:$AX19)), COLUMN(A19))), "")</f>
        <v>どんぶり給</v>
      </c>
      <c r="BA19" t="str">
        <f t="array" aca="1" ref="BA19" ca="1">IFERROR(INDEX(19:19, SMALL(IF($AC19:$AX19&lt;&gt;"", COLUMN($AC$1:$AX19)), COLUMN(B19))), "")</f>
        <v>どんぶり給食　園児</v>
      </c>
      <c r="BB19">
        <f t="array" aca="1" ref="BB19" ca="1">IFERROR(INDEX(19:19, SMALL(IF($AC19:$AX19&lt;&gt;"", COLUMN($AC$1:$AX19)), COLUMN(C19))), "")</f>
        <v>235</v>
      </c>
      <c r="BC19" t="str">
        <f t="array" aca="1" ref="BC19" ca="1">IFERROR(INDEX(19:19, SMALL(IF($AC19:$AX19&lt;&gt;"", COLUMN($AC$1:$AX19)), COLUMN(D19))), "")</f>
        <v>●</v>
      </c>
      <c r="BD19" t="str">
        <f t="array" aca="1" ref="BD19" ca="1">IFERROR(INDEX(19:19, SMALL(IF($AC19:$AX19&lt;&gt;"", COLUMN($AC$1:$AX19)), COLUMN(E19))), "")</f>
        <v>どんぶり給食　検食</v>
      </c>
      <c r="BE19" t="str">
        <f t="array" aca="1" ref="BE19" ca="1">IFERROR(INDEX(19:19, SMALL(IF($AC19:$AX19&lt;&gt;"", COLUMN($AC$1:$AX19)), COLUMN(F19))), "")</f>
        <v>1</v>
      </c>
      <c r="BF19" t="str">
        <f t="array" aca="1" ref="BF19" ca="1">IFERROR(IF(AND(COUNTIF($B19,"*泉ヶ丘*"),COUNTIF($B20,"*泉ヶ丘*")),
IFERROR(INDEX(20:20, SMALL(IF($AC20:$AX20&lt;&gt;"", COLUMN($AC$1:$AX20)), COLUMN(A20))), ""),
INDEX(19:19, SMALL(IF($AC19:$AX19&lt;&gt;"", COLUMN($AC$1:$AX19)), COLUMN(G19)))), "")</f>
        <v/>
      </c>
      <c r="BG19" t="str">
        <f t="array" aca="1" ref="BG19" ca="1">IFERROR(IF(AND(COUNTIF($B19,"*泉ヶ丘*"),COUNTIF($B20,"*泉ヶ丘*")),
IFERROR(INDEX(20:20, SMALL(IF($AC20:$AX20&lt;&gt;"", COLUMN($AC$1:$AX20)), COLUMN(B20))), ""),
INDEX(19:19, SMALL(IF($AC19:$AX19&lt;&gt;"", COLUMN($AC$1:$AX19)), COLUMN(H19)))), "")</f>
        <v/>
      </c>
      <c r="BH19" t="str">
        <f t="array" aca="1" ref="BH19" ca="1">IFERROR(IF(AND(COUNTIF($B19,"*泉ヶ丘*"),COUNTIF($B20,"*泉ヶ丘*")),
IFERROR(INDEX(20:20, SMALL(IF($AC20:$AX20&lt;&gt;"", COLUMN($AC$1:$AX20)), COLUMN(C20))), ""),
INDEX(19:19, SMALL(IF($AC19:$AX19&lt;&gt;"", COLUMN($AC$1:$AX19)), COLUMN(I19)))), "")</f>
        <v/>
      </c>
      <c r="BI19" t="str">
        <f t="array" aca="1" ref="BI19" ca="1">IFERROR(IF(AND(COUNTIF($B19,"*泉ヶ丘*"),COUNTIF($B20,"*泉ヶ丘*")),
IFERROR(INDEX(20:20, SMALL(IF($AC20:$AX20&lt;&gt;"", COLUMN($AC$1:$AX20)), COLUMN(D20))), ""),
INDEX(19:19, SMALL(IF($AC19:$AX19&lt;&gt;"", COLUMN($AC$1:$AX19)), COLUMN(J19)))), "")</f>
        <v/>
      </c>
      <c r="BJ19" t="str">
        <f t="array" aca="1" ref="BJ19" ca="1">IFERROR(IF(AND(COUNTIF($B19,"*泉ヶ丘*"),COUNTIF($B20,"*泉ヶ丘*")),
IFERROR(INDEX(20:20, SMALL(IF($AC20:$AX20&lt;&gt;"", COLUMN($AC$1:$AX20)), COLUMN(E20))), ""),
INDEX(19:19, SMALL(IF($AC19:$AX19&lt;&gt;"", COLUMN($AC$1:$AX19)), COLUMN(K19)))), "")</f>
        <v/>
      </c>
      <c r="BK19" t="str">
        <f t="array" aca="1" ref="BK19" ca="1">IFERROR(IF(AND(COUNTIF($B19,"*泉ヶ丘*"),COUNTIF($B20,"*泉ヶ丘*")),
IFERROR(INDEX(20:20, SMALL(IF($AC20:$AX20&lt;&gt;"", COLUMN($AC$1:$AX20)), COLUMN(F20))), ""),
INDEX(19:19, SMALL(IF($AC19:$AX19&lt;&gt;"", COLUMN($AC$1:$AX19)), COLUMN(L19)))), "")</f>
        <v/>
      </c>
      <c r="BL19" t="str">
        <f t="array" aca="1" ref="BL19" ca="1">IFERROR(IF(AND(COUNTIF($B19,"*泉ヶ丘*"),COUNTIF($B20,"*泉ヶ丘*")),
IFERROR(INDEX(20:20, SMALL(IF($AC20:$AX20&lt;&gt;"", COLUMN($AC$1:$AX20)), COLUMN(G20))), ""),
INDEX(19:19, SMALL(IF($AC19:$AX19&lt;&gt;"", COLUMN($AC$1:$AX19)), COLUMN(M19)))), "")</f>
        <v/>
      </c>
      <c r="BM19" t="str">
        <f t="array" aca="1" ref="BM19" ca="1">IFERROR(IF(AND(COUNTIF($B19,"*泉ヶ丘*"),COUNTIF($B20,"*泉ヶ丘*")),
IFERROR(INDEX(20:20, SMALL(IF($AC20:$AX20&lt;&gt;"", COLUMN($AC$1:$AX20)), COLUMN(H20))), ""),
INDEX(19:19, SMALL(IF($AC19:$AX19&lt;&gt;"", COLUMN($AC$1:$AX19)), COLUMN(N19)))), "")</f>
        <v/>
      </c>
      <c r="BN19" t="str">
        <f t="array" aca="1" ref="BN19" ca="1">IFERROR(IF(AND(COUNTIF($B19,"*泉ヶ丘*"),COUNTIF($B20,"*泉ヶ丘*")),
IFERROR(INDEX(20:20, SMALL(IF($AC20:$AX20&lt;&gt;"", COLUMN($AC$1:$AX20)), COLUMN(I20))), ""),
INDEX(19:19, SMALL(IF($AC19:$AX19&lt;&gt;"", COLUMN($AC$1:$AX19)), COLUMN(O19)))), "")</f>
        <v/>
      </c>
      <c r="BO19" t="str">
        <f t="array" aca="1" ref="BO19" ca="1">IFERROR(IF(AND(COUNTIF($B19,"*泉ヶ丘*"),COUNTIF($B20,"*泉ヶ丘*")),
IFERROR(INDEX(20:20, SMALL(IF($AC20:$AX20&lt;&gt;"", COLUMN($AC$1:$AX20)), COLUMN(J20))), ""),
INDEX(19:19, SMALL(IF($AC19:$AX19&lt;&gt;"", COLUMN($AC$1:$AX19)), COLUMN(P19)))), "")</f>
        <v/>
      </c>
      <c r="BP19" t="str">
        <f t="array" aca="1" ref="BP19" ca="1">IFERROR(IF(AND(COUNTIF($B19,"*泉ヶ丘*"),COUNTIF($B20,"*泉ヶ丘*")),
IFERROR(INDEX(20:20, SMALL(IF($AC20:$AX20&lt;&gt;"", COLUMN($AC$1:$AX20)), COLUMN(K20))), ""),
INDEX(19:19, SMALL(IF($AC19:$AX19&lt;&gt;"", COLUMN($AC$1:$AX19)), COLUMN(Q19)))), "")</f>
        <v/>
      </c>
      <c r="BQ19" t="str">
        <f t="array" aca="1" ref="BQ19" ca="1">IFERROR(IF(AND(COUNTIF($B19,"*泉ヶ丘*"),COUNTIF($B20,"*泉ヶ丘*")),
IFERROR(INDEX(20:20, SMALL(IF($AC20:$AX20&lt;&gt;"", COLUMN($AC$1:$AX20)), COLUMN(L20))), ""),
INDEX(19:19, SMALL(IF($AC19:$AX19&lt;&gt;"", COLUMN($AC$1:$AX19)), COLUMN(R19)))), "")</f>
        <v/>
      </c>
    </row>
    <row r="20" spans="1:69" x14ac:dyDescent="0.45">
      <c r="A20" t="str">
        <f t="array" ref="A20">IF(INDEX(貼り付け用!A:A,MATCH(A19,貼り付け用!A:A,0)+2)="4700",
IF(INDEX(貼り付け用!A:A,MATCH(A19,貼り付け用!A:A,0)+4)="4800",
INDEX(貼り付け用!A:A,MATCH(A19,貼り付け用!A:A,0)+6),
INDEX(貼り付け用!A:A,MATCH(A19,貼り付け用!A:A,0)+4)),INDEX(貼り付け用!A:A,MATCH(A19,貼り付け用!A:A,0)+2))</f>
        <v>607</v>
      </c>
      <c r="B20" t="str">
        <f>IF(A20&lt;&gt;"",
VLOOKUP(A20,得意先マスタ!A:D,2,FALSE),"")</f>
        <v>博多第一幼稚園（補助教員）</v>
      </c>
      <c r="C20" t="str">
        <f t="array" ref="C20">IF(A20="10000","",INDEX(貼り付け用!A:A,MATCH(A20,貼り付け用!A:A,0)+1))</f>
        <v>博多第一（補助教員） web</v>
      </c>
      <c r="D20" t="str">
        <f ca="1">VLOOKUP(C20,クライアント抽出!$A:$O,10,FALSE)</f>
        <v/>
      </c>
      <c r="E20" t="str">
        <f ca="1">IF(D20&lt;&gt;"",
IF(COUNTIF(C20,"*ぺんぎん*"),
VLOOKUP(
"*"&amp;IF(COUNTIF(D20,"*キャラ弁*"),"キャラ",
IF(COUNTIF(D20,"*赤*"),"赤",SUBSTITUTE(SUBSTITUTE(D20," ",""),"　","")))&amp;"*",
注文弁当の抽出!$F:$I,4,FALSE)&amp;
IF(COUNTIF(D20,"*おにぎり*"),"　おにぎり","")&amp;"　（ぺんぎん組）",
VLOOKUP(
"*"&amp;IF(COUNTIF(D20,"*キャラ弁*"),"キャラ",
IF(COUNTIF(D20,"*赤*"),"赤",SUBSTITUTE(SUBSTITUTE(D20," ",""),"　","")))&amp;"*",
注文弁当の抽出!$F:$I,4,FALSE)&amp;
IF(COUNTIF(D20,"*おにぎり*"),"　おにぎり","")),"")</f>
        <v/>
      </c>
      <c r="F20" t="str">
        <f ca="1">IFERROR(IF(E20&lt;&gt;"",
VLOOKUP(C20,クライアント抽出!$A:$G,2,FALSE)+
IF(COUNTIF(Y20,"*-*"),Y20,0),"")
-IFERROR(MID(V20, SEARCH("予備", V20) + LEN("予備"), SEARCH("込み", V20) - (SEARCH("予備", V20) + LEN("予備"))),0),"")</f>
        <v/>
      </c>
      <c r="G20" t="str">
        <f ca="1">VLOOKUP(C20,クライアント抽出!$A:$O,11,FALSE)</f>
        <v/>
      </c>
      <c r="H20" t="str">
        <f ca="1">IF(G20&lt;&gt;"",
VLOOKUP(
"*"&amp;IF(COUNTIF(G20,"*キャラ弁*"),"キャラ",
IF(COUNTIF(G20,"*赤*"),"赤",SUBSTITUTE(SUBSTITUTE(G20," ",""),"　","")))&amp;"*",
注文弁当の抽出!$F:$I,4,FALSE)&amp;
IF(COUNTIF(G20,"*おにぎり*"),"　おにぎり",""),"")</f>
        <v/>
      </c>
      <c r="I20" t="str">
        <f ca="1">IF(H20&lt;&gt;"",
VLOOKUP(C20,クライアント抽出!$A:$G,3,FALSE)+
IF(COUNTIF(C20,"*博多*"),Y20,Z20),"")</f>
        <v/>
      </c>
      <c r="J20" t="str">
        <f ca="1">VLOOKUP(C20,クライアント抽出!$A:$O,12,FALSE)</f>
        <v/>
      </c>
      <c r="K20" t="str">
        <f ca="1">IF(J20&lt;&gt;"",
VLOOKUP(
"*"&amp;IF(COUNTIF(J20,"*キャラ弁*"),"キャラ",
IF(COUNTIF(J20,"*赤*"),"赤",SUBSTITUTE(SUBSTITUTE(J20," ",""),"　","")))&amp;"*",
注文弁当の抽出!$F:$I,4,FALSE)&amp;
IF(COUNTIF(J20,"*おにぎり*"),"　おにぎり",""),"")</f>
        <v/>
      </c>
      <c r="L20" t="str">
        <f ca="1">IF(K20&lt;&gt;"",
VLOOKUP(C20,クライアント抽出!$A:$G,4,FALSE)+AA20,"")</f>
        <v/>
      </c>
      <c r="M20" t="str">
        <f ca="1">VLOOKUP(C20,クライアント抽出!$A:$O,13,FALSE)</f>
        <v>キャラ弁当　飯あり120</v>
      </c>
      <c r="N20" t="str">
        <f ca="1">SUBSTITUTE(
IF(M20&lt;&gt;"",
VLOOKUP(
"*"&amp;IF(COUNTIF(M20,"*キャラ弁*"),"キャラ",
IF(COUNTIF(M20,"*赤*"),"赤",SUBSTITUTE(SUBSTITUTE(D20," ",""),"　","")))&amp;"*",
注文弁当の抽出!$F:$I,4,FALSE),""),"園児","先生")&amp;
IF(COUNTIF(M20,"*おにぎり*"),"　おにぎり","")</f>
        <v>弁当　先生</v>
      </c>
      <c r="O20">
        <f ca="1">IF(N20&lt;&gt;"",VLOOKUP(C20,クライアント抽出!$A:$G,5,FALSE),"")</f>
        <v>13</v>
      </c>
      <c r="P20" t="str">
        <f ca="1">VLOOKUP(C20,クライアント抽出!$A:$O,14,FALSE)</f>
        <v/>
      </c>
      <c r="Q20" t="str">
        <f ca="1">SUBSTITUTE(
IF(P20&lt;&gt;"",
VLOOKUP(
"*"&amp;IF(COUNTIF(P20,"*キャラ弁*"),"キャラ",
IF(COUNTIF(P20,"*赤*"),"赤",SUBSTITUTE(SUBSTITUTE(G20," ",""),"　","")))&amp;"*",
注文弁当の抽出!$F:$I,4,FALSE),""),"園児","先生")&amp;
IF(COUNTIF(P20,"*おにぎり*"),"　おにぎり","")</f>
        <v/>
      </c>
      <c r="R20" t="str">
        <f ca="1">IF(Q20&lt;&gt;"",
VLOOKUP(C20,クライアント抽出!$A:$G,6,FALSE),"")</f>
        <v/>
      </c>
      <c r="S20" t="str">
        <f ca="1">VLOOKUP(C20,クライアント抽出!$A:$O,15,FALSE)</f>
        <v/>
      </c>
      <c r="T20" t="str">
        <f ca="1">SUBSTITUTE(
IF(S20&lt;&gt;"",
VLOOKUP(
"*"&amp;IF(COUNTIF(S20,"*キャラ弁*"),"キャラ",
IF(COUNTIF(S20,"*赤*"),"赤",SUBSTITUTE(SUBSTITUTE(J20," ",""),"　","")))&amp;"*",
注文弁当の抽出!$F:$I,4,FALSE),""),"園児","先生")&amp;
IF(COUNTIF(S20,"*おにぎり*"),"　おにぎり","")</f>
        <v/>
      </c>
      <c r="U20" t="str">
        <f ca="1">IF(T20&lt;&gt;"",
VLOOKUP(C20,クライアント抽出!$A:$G,7,FALSE),"")</f>
        <v/>
      </c>
      <c r="V20" t="str">
        <f ca="1">IF(A20&lt;&gt;"",
IF(COUNTIF(V19,"*牛乳*"),
IF(AND(COUNTIF(B19,"*奈良屋*"),COUNTIF(B20,"*奈良屋*")),
V19&amp;"✔",""),VLOOKUP(""&amp;A20&amp;"",数出表_Excel!$A:$Z,22,FALSE)&amp;VLOOKUP(""&amp;A20&amp;"",数出表_Excel!$A:$Z,23,FALSE)
&amp;VLOOKUP(""&amp;C20&amp;"",数出表_Excel!$A:$Z,22,FALSE)&amp;VLOOKUP(""&amp;C20&amp;"",数出表_Excel!$A:$Z,23,FALSE)),"")</f>
        <v/>
      </c>
      <c r="W20">
        <f ca="1">IF(AND(COUNTIF(V20,"&lt;&gt;*不要*"),A20&lt;&gt;""),VLOOKUP(A20,得意先マスタ!$A:$AD,24,FALSE),0)</f>
        <v>0</v>
      </c>
      <c r="X20">
        <f ca="1">IF(AND(COUNTIF(V20,"&lt;&gt;*不要*"),A20&lt;&gt;""),VLOOKUP(A20,得意先マスタ!$A:$AD,25,FALSE),0)</f>
        <v>0</v>
      </c>
      <c r="Y20">
        <f t="shared" ca="1" si="0"/>
        <v>0</v>
      </c>
      <c r="Z20">
        <f t="shared" ca="1" si="1"/>
        <v>0</v>
      </c>
      <c r="AA20">
        <f t="shared" ca="1" si="5"/>
        <v>0</v>
      </c>
      <c r="AB20" t="str">
        <f t="shared" ca="1" si="2"/>
        <v/>
      </c>
      <c r="AC20" t="str">
        <f t="array" aca="1" ref="AC20" ca="1">IFERROR(INDEX(20:20, SMALL(IF($D20:$U20&lt;&gt;"", COLUMN($D$1:$U20)), COLUMN(A20))), "")</f>
        <v>キャラ弁当　飯あり120</v>
      </c>
      <c r="AD20" t="str">
        <f t="array" aca="1" ref="AD20" ca="1">IFERROR(INDEX(20:20, SMALL(IF($D20:$U20&lt;&gt;"", COLUMN($D$1:$U20)), COLUMN(B20))), "")</f>
        <v>弁当　先生</v>
      </c>
      <c r="AE20">
        <f t="array" aca="1" ref="AE20" ca="1">IFERROR(INDEX(20:20, SMALL(IF($D20:$U20&lt;&gt;"", COLUMN($D$1:$U20)), COLUMN(C20))), "")</f>
        <v>13</v>
      </c>
      <c r="AF20" t="str">
        <f t="array" aca="1" ref="AF20" ca="1">IFERROR(INDEX(20:20, SMALL(IF($D20:$U20&lt;&gt;"", COLUMN($D$1:$U20)), COLUMN(D20))), "")</f>
        <v/>
      </c>
      <c r="AG20" t="str">
        <f t="array" aca="1" ref="AG20" ca="1">IFERROR(INDEX(20:20, SMALL(IF($D20:$U20&lt;&gt;"", COLUMN($D$1:$U20)), COLUMN(E20))), "")</f>
        <v/>
      </c>
      <c r="AH20" t="str">
        <f t="array" aca="1" ref="AH20" ca="1">IFERROR(INDEX(20:20, SMALL(IF($D20:$U20&lt;&gt;"", COLUMN($D$1:$U20)), COLUMN(F20))), "")</f>
        <v/>
      </c>
      <c r="AI20" t="str">
        <f t="array" aca="1" ref="AI20" ca="1">IFERROR(INDEX(20:20, SMALL(IF($D20:$U20&lt;&gt;"", COLUMN($D$1:$U20)), COLUMN(G20))), "")</f>
        <v/>
      </c>
      <c r="AJ20" t="str">
        <f t="array" aca="1" ref="AJ20" ca="1">IFERROR(INDEX(20:20, SMALL(IF($D20:$U20&lt;&gt;"", COLUMN($D$1:$U20)), COLUMN(H20))), "")</f>
        <v/>
      </c>
      <c r="AK20" t="str">
        <f t="array" aca="1" ref="AK20" ca="1">IFERROR(INDEX(20:20, SMALL(IF($D20:$U20&lt;&gt;"", COLUMN($D$1:$U20)), COLUMN(I20))), "")</f>
        <v/>
      </c>
      <c r="AL20" t="str">
        <f t="array" aca="1" ref="AL20" ca="1">IFERROR(INDEX(20:20, SMALL(IF($D20:$U20&lt;&gt;"", COLUMN($D$1:$U20)), COLUMN(J20))), "")</f>
        <v/>
      </c>
      <c r="AM20" t="str">
        <f t="array" aca="1" ref="AM20" ca="1">IFERROR(INDEX(20:20, SMALL(IF($D20:$U20&lt;&gt;"", COLUMN($D$1:$U20)), COLUMN(K20))), "")</f>
        <v/>
      </c>
      <c r="AN20" t="str">
        <f t="array" aca="1" ref="AN20" ca="1">IFERROR(INDEX(20:20, SMALL(IF($D20:$U20&lt;&gt;"", COLUMN($D$1:$U20)), COLUMN(L20))), "")</f>
        <v/>
      </c>
      <c r="AO20" t="str">
        <f t="array" aca="1" ref="AO20" ca="1">IFERROR(INDEX(20:20, SMALL(IF($D20:$U20&lt;&gt;"", COLUMN($D$1:$U20)), COLUMN(M20))), "")</f>
        <v/>
      </c>
      <c r="AP20" t="str">
        <f t="array" aca="1" ref="AP20" ca="1">IFERROR(INDEX(20:20, SMALL(IF($D20:$U20&lt;&gt;"", COLUMN($D$1:$U20)), COLUMN(N20))), "")</f>
        <v/>
      </c>
      <c r="AQ20" t="str">
        <f t="array" aca="1" ref="AQ20" ca="1">IFERROR(INDEX(20:20, SMALL(IF($D20:$U20&lt;&gt;"", COLUMN($D$1:$U20)), COLUMN(O20))), "")</f>
        <v/>
      </c>
      <c r="AR20" s="52" t="s">
        <v>4005</v>
      </c>
      <c r="AS20" t="str">
        <f t="shared" ca="1" si="3"/>
        <v/>
      </c>
      <c r="AT20" t="str">
        <f t="shared" ca="1" si="4"/>
        <v/>
      </c>
      <c r="AU20" t="str">
        <f t="shared" ca="1" si="6"/>
        <v/>
      </c>
      <c r="AV20" t="str">
        <f t="shared" ca="1" si="7"/>
        <v/>
      </c>
      <c r="AW20" t="str">
        <f t="shared" ca="1" si="8"/>
        <v/>
      </c>
      <c r="AX20" t="str">
        <f t="shared" ca="1" si="9"/>
        <v/>
      </c>
      <c r="AZ20" t="str">
        <f t="array" aca="1" ref="AZ20" ca="1">IFERROR(INDEX(20:20, SMALL(IF($AC20:$AX20&lt;&gt;"", COLUMN($AC$1:$AX20)), COLUMN(A20))), "")</f>
        <v>キャラ弁当　飯あり120</v>
      </c>
      <c r="BA20" t="str">
        <f t="array" aca="1" ref="BA20" ca="1">IFERROR(INDEX(20:20, SMALL(IF($AC20:$AX20&lt;&gt;"", COLUMN($AC$1:$AX20)), COLUMN(B20))), "")</f>
        <v>弁当　先生</v>
      </c>
      <c r="BB20">
        <f t="array" aca="1" ref="BB20" ca="1">IFERROR(INDEX(20:20, SMALL(IF($AC20:$AX20&lt;&gt;"", COLUMN($AC$1:$AX20)), COLUMN(C20))), "")</f>
        <v>13</v>
      </c>
      <c r="BC20" t="str">
        <f t="array" aca="1" ref="BC20" ca="1">IFERROR(INDEX(20:20, SMALL(IF($AC20:$AX20&lt;&gt;"", COLUMN($AC$1:$AX20)), COLUMN(D20))), "")</f>
        <v>●</v>
      </c>
      <c r="BD20" t="str">
        <f t="array" aca="1" ref="BD20" ca="1">IFERROR(INDEX(20:20, SMALL(IF($AC20:$AX20&lt;&gt;"", COLUMN($AC$1:$AX20)), COLUMN(E20))), "")</f>
        <v/>
      </c>
      <c r="BE20" t="str">
        <f t="array" aca="1" ref="BE20" ca="1">IFERROR(INDEX(20:20, SMALL(IF($AC20:$AX20&lt;&gt;"", COLUMN($AC$1:$AX20)), COLUMN(F20))), "")</f>
        <v/>
      </c>
      <c r="BF20" t="str">
        <f t="array" aca="1" ref="BF20" ca="1">IFERROR(IF(AND(COUNTIF($B20,"*泉ヶ丘*"),COUNTIF($B21,"*泉ヶ丘*")),
IFERROR(INDEX(21:21, SMALL(IF($AC21:$AX21&lt;&gt;"", COLUMN($AC$1:$AX21)), COLUMN(A21))), ""),
INDEX(20:20, SMALL(IF($AC20:$AX20&lt;&gt;"", COLUMN($AC$1:$AX20)), COLUMN(G20)))), "")</f>
        <v/>
      </c>
      <c r="BG20" t="str">
        <f t="array" aca="1" ref="BG20" ca="1">IFERROR(IF(AND(COUNTIF($B20,"*泉ヶ丘*"),COUNTIF($B21,"*泉ヶ丘*")),
IFERROR(INDEX(21:21, SMALL(IF($AC21:$AX21&lt;&gt;"", COLUMN($AC$1:$AX21)), COLUMN(B21))), ""),
INDEX(20:20, SMALL(IF($AC20:$AX20&lt;&gt;"", COLUMN($AC$1:$AX20)), COLUMN(H20)))), "")</f>
        <v/>
      </c>
      <c r="BH20" t="str">
        <f t="array" aca="1" ref="BH20" ca="1">IFERROR(IF(AND(COUNTIF($B20,"*泉ヶ丘*"),COUNTIF($B21,"*泉ヶ丘*")),
IFERROR(INDEX(21:21, SMALL(IF($AC21:$AX21&lt;&gt;"", COLUMN($AC$1:$AX21)), COLUMN(C21))), ""),
INDEX(20:20, SMALL(IF($AC20:$AX20&lt;&gt;"", COLUMN($AC$1:$AX20)), COLUMN(I20)))), "")</f>
        <v/>
      </c>
      <c r="BI20" t="str">
        <f t="array" aca="1" ref="BI20" ca="1">IFERROR(IF(AND(COUNTIF($B20,"*泉ヶ丘*"),COUNTIF($B21,"*泉ヶ丘*")),
IFERROR(INDEX(21:21, SMALL(IF($AC21:$AX21&lt;&gt;"", COLUMN($AC$1:$AX21)), COLUMN(D21))), ""),
INDEX(20:20, SMALL(IF($AC20:$AX20&lt;&gt;"", COLUMN($AC$1:$AX20)), COLUMN(J20)))), "")</f>
        <v/>
      </c>
      <c r="BJ20" t="str">
        <f t="array" aca="1" ref="BJ20" ca="1">IFERROR(IF(AND(COUNTIF($B20,"*泉ヶ丘*"),COUNTIF($B21,"*泉ヶ丘*")),
IFERROR(INDEX(21:21, SMALL(IF($AC21:$AX21&lt;&gt;"", COLUMN($AC$1:$AX21)), COLUMN(E21))), ""),
INDEX(20:20, SMALL(IF($AC20:$AX20&lt;&gt;"", COLUMN($AC$1:$AX20)), COLUMN(K20)))), "")</f>
        <v/>
      </c>
      <c r="BK20" t="str">
        <f t="array" aca="1" ref="BK20" ca="1">IFERROR(IF(AND(COUNTIF($B20,"*泉ヶ丘*"),COUNTIF($B21,"*泉ヶ丘*")),
IFERROR(INDEX(21:21, SMALL(IF($AC21:$AX21&lt;&gt;"", COLUMN($AC$1:$AX21)), COLUMN(F21))), ""),
INDEX(20:20, SMALL(IF($AC20:$AX20&lt;&gt;"", COLUMN($AC$1:$AX20)), COLUMN(L20)))), "")</f>
        <v/>
      </c>
      <c r="BL20" t="str">
        <f t="array" aca="1" ref="BL20" ca="1">IFERROR(IF(AND(COUNTIF($B20,"*泉ヶ丘*"),COUNTIF($B21,"*泉ヶ丘*")),
IFERROR(INDEX(21:21, SMALL(IF($AC21:$AX21&lt;&gt;"", COLUMN($AC$1:$AX21)), COLUMN(G21))), ""),
INDEX(20:20, SMALL(IF($AC20:$AX20&lt;&gt;"", COLUMN($AC$1:$AX20)), COLUMN(M20)))), "")</f>
        <v/>
      </c>
      <c r="BM20" t="str">
        <f t="array" aca="1" ref="BM20" ca="1">IFERROR(IF(AND(COUNTIF($B20,"*泉ヶ丘*"),COUNTIF($B21,"*泉ヶ丘*")),
IFERROR(INDEX(21:21, SMALL(IF($AC21:$AX21&lt;&gt;"", COLUMN($AC$1:$AX21)), COLUMN(H21))), ""),
INDEX(20:20, SMALL(IF($AC20:$AX20&lt;&gt;"", COLUMN($AC$1:$AX20)), COLUMN(N20)))), "")</f>
        <v/>
      </c>
      <c r="BN20" t="str">
        <f t="array" aca="1" ref="BN20" ca="1">IFERROR(IF(AND(COUNTIF($B20,"*泉ヶ丘*"),COUNTIF($B21,"*泉ヶ丘*")),
IFERROR(INDEX(21:21, SMALL(IF($AC21:$AX21&lt;&gt;"", COLUMN($AC$1:$AX21)), COLUMN(I21))), ""),
INDEX(20:20, SMALL(IF($AC20:$AX20&lt;&gt;"", COLUMN($AC$1:$AX20)), COLUMN(O20)))), "")</f>
        <v/>
      </c>
      <c r="BO20" t="str">
        <f t="array" aca="1" ref="BO20" ca="1">IFERROR(IF(AND(COUNTIF($B20,"*泉ヶ丘*"),COUNTIF($B21,"*泉ヶ丘*")),
IFERROR(INDEX(21:21, SMALL(IF($AC21:$AX21&lt;&gt;"", COLUMN($AC$1:$AX21)), COLUMN(J21))), ""),
INDEX(20:20, SMALL(IF($AC20:$AX20&lt;&gt;"", COLUMN($AC$1:$AX20)), COLUMN(P20)))), "")</f>
        <v/>
      </c>
      <c r="BP20" t="str">
        <f t="array" aca="1" ref="BP20" ca="1">IFERROR(IF(AND(COUNTIF($B20,"*泉ヶ丘*"),COUNTIF($B21,"*泉ヶ丘*")),
IFERROR(INDEX(21:21, SMALL(IF($AC21:$AX21&lt;&gt;"", COLUMN($AC$1:$AX21)), COLUMN(K21))), ""),
INDEX(20:20, SMALL(IF($AC20:$AX20&lt;&gt;"", COLUMN($AC$1:$AX20)), COLUMN(Q20)))), "")</f>
        <v/>
      </c>
      <c r="BQ20" t="str">
        <f t="array" aca="1" ref="BQ20" ca="1">IFERROR(IF(AND(COUNTIF($B20,"*泉ヶ丘*"),COUNTIF($B21,"*泉ヶ丘*")),
IFERROR(INDEX(21:21, SMALL(IF($AC21:$AX21&lt;&gt;"", COLUMN($AC$1:$AX21)), COLUMN(L21))), ""),
INDEX(20:20, SMALL(IF($AC20:$AX20&lt;&gt;"", COLUMN($AC$1:$AX20)), COLUMN(R20)))), "")</f>
        <v/>
      </c>
    </row>
    <row r="21" spans="1:69" x14ac:dyDescent="0.45">
      <c r="A21" t="str">
        <f t="array" ref="A21">IF(INDEX(貼り付け用!A:A,MATCH(A20,貼り付け用!A:A,0)+2)="4700",
IF(INDEX(貼り付け用!A:A,MATCH(A20,貼り付け用!A:A,0)+4)="4800",
INDEX(貼り付け用!A:A,MATCH(A20,貼り付け用!A:A,0)+6),
INDEX(貼り付け用!A:A,MATCH(A20,貼り付け用!A:A,0)+4)),INDEX(貼り付け用!A:A,MATCH(A20,貼り付け用!A:A,0)+2))</f>
        <v>700</v>
      </c>
      <c r="B21" t="str">
        <f>IF(A21&lt;&gt;"",
VLOOKUP(A21,得意先マスタ!A:D,2,FALSE),"")</f>
        <v>博多第二幼稚園　週3ｺｰｽ</v>
      </c>
      <c r="C21" t="str">
        <f t="array" ref="C21">IF(A21="10000","",INDEX(貼り付け用!A:A,MATCH(A21,貼り付け用!A:A,0)+1))</f>
        <v>博多第二 週3ｺｰｽ</v>
      </c>
      <c r="D21" t="str">
        <f ca="1">VLOOKUP(C21,クライアント抽出!$A:$O,10,FALSE)</f>
        <v>ピクニック</v>
      </c>
      <c r="E21" t="str">
        <f ca="1">IF(D21&lt;&gt;"",
IF(COUNTIF(C21,"*ぺんぎん*"),
VLOOKUP(
"*"&amp;IF(COUNTIF(D21,"*キャラ弁*"),"キャラ",
IF(COUNTIF(D21,"*赤*"),"赤",SUBSTITUTE(SUBSTITUTE(D21," ",""),"　","")))&amp;"*",
注文弁当の抽出!$F:$I,4,FALSE)&amp;
IF(COUNTIF(D21,"*おにぎり*"),"　おにぎり","")&amp;"　（ぺんぎん組）",
VLOOKUP(
"*"&amp;IF(COUNTIF(D21,"*キャラ弁*"),"キャラ",
IF(COUNTIF(D21,"*赤*"),"赤",SUBSTITUTE(SUBSTITUTE(D21," ",""),"　","")))&amp;"*",
注文弁当の抽出!$F:$I,4,FALSE)&amp;
IF(COUNTIF(D21,"*おにぎり*"),"　おにぎり","")),"")</f>
        <v>ピクニック　園児</v>
      </c>
      <c r="F21">
        <f ca="1">IFERROR(IF(E21&lt;&gt;"",
VLOOKUP(C21,クライアント抽出!$A:$G,2,FALSE)+
IF(COUNTIF(Y21,"*-*"),Y21,0),"")
-IFERROR(MID(V21, SEARCH("予備", V21) + LEN("予備"), SEARCH("込み", V21) - (SEARCH("予備", V21) + LEN("予備"))),0),"")</f>
        <v>90</v>
      </c>
      <c r="G21" t="str">
        <f ca="1">VLOOKUP(C21,クライアント抽出!$A:$O,11,FALSE)</f>
        <v/>
      </c>
      <c r="H21" t="str">
        <f ca="1">IF(G21&lt;&gt;"",
VLOOKUP(
"*"&amp;IF(COUNTIF(G21,"*キャラ弁*"),"キャラ",
IF(COUNTIF(G21,"*赤*"),"赤",SUBSTITUTE(SUBSTITUTE(G21," ",""),"　","")))&amp;"*",
注文弁当の抽出!$F:$I,4,FALSE)&amp;
IF(COUNTIF(G21,"*おにぎり*"),"　おにぎり",""),"")</f>
        <v/>
      </c>
      <c r="I21" t="str">
        <f ca="1">IF(H21&lt;&gt;"",
VLOOKUP(C21,クライアント抽出!$A:$G,3,FALSE)+
IF(COUNTIF(C21,"*博多*"),Y21,Z21),"")</f>
        <v/>
      </c>
      <c r="J21" t="str">
        <f ca="1">VLOOKUP(C21,クライアント抽出!$A:$O,12,FALSE)</f>
        <v/>
      </c>
      <c r="K21" t="str">
        <f ca="1">IF(J21&lt;&gt;"",
VLOOKUP(
"*"&amp;IF(COUNTIF(J21,"*キャラ弁*"),"キャラ",
IF(COUNTIF(J21,"*赤*"),"赤",SUBSTITUTE(SUBSTITUTE(J21," ",""),"　","")))&amp;"*",
注文弁当の抽出!$F:$I,4,FALSE)&amp;
IF(COUNTIF(J21,"*おにぎり*"),"　おにぎり",""),"")</f>
        <v/>
      </c>
      <c r="L21" t="str">
        <f ca="1">IF(K21&lt;&gt;"",
VLOOKUP(C21,クライアント抽出!$A:$G,4,FALSE)+AA21,"")</f>
        <v/>
      </c>
      <c r="M21" t="str">
        <f ca="1">VLOOKUP(C21,クライアント抽出!$A:$O,13,FALSE)</f>
        <v>ピクニック</v>
      </c>
      <c r="N21" t="str">
        <f ca="1">SUBSTITUTE(
IF(M21&lt;&gt;"",
VLOOKUP(
"*"&amp;IF(COUNTIF(M21,"*キャラ弁*"),"キャラ",
IF(COUNTIF(M21,"*赤*"),"赤",SUBSTITUTE(SUBSTITUTE(D21," ",""),"　","")))&amp;"*",
注文弁当の抽出!$F:$I,4,FALSE),""),"園児","先生")&amp;
IF(COUNTIF(M21,"*おにぎり*"),"　おにぎり","")</f>
        <v>ピクニック　先生</v>
      </c>
      <c r="O21">
        <f ca="1">IF(N21&lt;&gt;"",VLOOKUP(C21,クライアント抽出!$A:$G,5,FALSE),"")</f>
        <v>15</v>
      </c>
      <c r="P21" t="str">
        <f ca="1">VLOOKUP(C21,クライアント抽出!$A:$O,14,FALSE)</f>
        <v/>
      </c>
      <c r="Q21" t="str">
        <f ca="1">SUBSTITUTE(
IF(P21&lt;&gt;"",
VLOOKUP(
"*"&amp;IF(COUNTIF(P21,"*キャラ弁*"),"キャラ",
IF(COUNTIF(P21,"*赤*"),"赤",SUBSTITUTE(SUBSTITUTE(G21," ",""),"　","")))&amp;"*",
注文弁当の抽出!$F:$I,4,FALSE),""),"園児","先生")&amp;
IF(COUNTIF(P21,"*おにぎり*"),"　おにぎり","")</f>
        <v/>
      </c>
      <c r="R21" t="str">
        <f ca="1">IF(Q21&lt;&gt;"",
VLOOKUP(C21,クライアント抽出!$A:$G,6,FALSE),"")</f>
        <v/>
      </c>
      <c r="S21" t="str">
        <f ca="1">VLOOKUP(C21,クライアント抽出!$A:$O,15,FALSE)</f>
        <v/>
      </c>
      <c r="T21" t="str">
        <f ca="1">SUBSTITUTE(
IF(S21&lt;&gt;"",
VLOOKUP(
"*"&amp;IF(COUNTIF(S21,"*キャラ弁*"),"キャラ",
IF(COUNTIF(S21,"*赤*"),"赤",SUBSTITUTE(SUBSTITUTE(J21," ",""),"　","")))&amp;"*",
注文弁当の抽出!$F:$I,4,FALSE),""),"園児","先生")&amp;
IF(COUNTIF(S21,"*おにぎり*"),"　おにぎり","")</f>
        <v/>
      </c>
      <c r="U21" t="str">
        <f ca="1">IF(T21&lt;&gt;"",
VLOOKUP(C21,クライアント抽出!$A:$G,7,FALSE),"")</f>
        <v/>
      </c>
      <c r="V21" t="str">
        <f ca="1">IF(A21&lt;&gt;"",
IF(COUNTIF(V20,"*牛乳*"),
IF(AND(COUNTIF(B20,"*奈良屋*"),COUNTIF(B21,"*奈良屋*")),
V20&amp;"✔",""),VLOOKUP(""&amp;A21&amp;"",数出表_Excel!$A:$Z,22,FALSE)&amp;VLOOKUP(""&amp;A21&amp;"",数出表_Excel!$A:$Z,23,FALSE)
&amp;VLOOKUP(""&amp;C21&amp;"",数出表_Excel!$A:$Z,22,FALSE)&amp;VLOOKUP(""&amp;C21&amp;"",数出表_Excel!$A:$Z,23,FALSE)),"")</f>
        <v>通常時間納品</v>
      </c>
      <c r="W21">
        <f ca="1">IF(AND(COUNTIF(V21,"&lt;&gt;*不要*"),A21&lt;&gt;""),VLOOKUP(A21,得意先マスタ!$A:$AD,24,FALSE),0)</f>
        <v>0</v>
      </c>
      <c r="X21">
        <f ca="1">IF(AND(COUNTIF(V21,"&lt;&gt;*不要*"),A21&lt;&gt;""),VLOOKUP(A21,得意先マスタ!$A:$AD,25,FALSE),0)</f>
        <v>0</v>
      </c>
      <c r="Y21">
        <f t="shared" ca="1" si="0"/>
        <v>0</v>
      </c>
      <c r="Z21">
        <f t="shared" ca="1" si="1"/>
        <v>0</v>
      </c>
      <c r="AA21">
        <f t="shared" ca="1" si="5"/>
        <v>0</v>
      </c>
      <c r="AB21" t="str">
        <f t="shared" ca="1" si="2"/>
        <v/>
      </c>
      <c r="AC21" t="str">
        <f t="array" aca="1" ref="AC21" ca="1">IFERROR(INDEX(21:21, SMALL(IF($D21:$U21&lt;&gt;"", COLUMN($D$1:$U21)), COLUMN(A21))), "")</f>
        <v>ピクニック</v>
      </c>
      <c r="AD21" t="str">
        <f t="array" aca="1" ref="AD21" ca="1">IFERROR(INDEX(21:21, SMALL(IF($D21:$U21&lt;&gt;"", COLUMN($D$1:$U21)), COLUMN(B21))), "")</f>
        <v>ピクニック　園児</v>
      </c>
      <c r="AE21">
        <f t="array" aca="1" ref="AE21" ca="1">IFERROR(INDEX(21:21, SMALL(IF($D21:$U21&lt;&gt;"", COLUMN($D$1:$U21)), COLUMN(C21))), "")</f>
        <v>90</v>
      </c>
      <c r="AF21" t="str">
        <f t="array" aca="1" ref="AF21" ca="1">IFERROR(INDEX(21:21, SMALL(IF($D21:$U21&lt;&gt;"", COLUMN($D$1:$U21)), COLUMN(D21))), "")</f>
        <v>ピクニック</v>
      </c>
      <c r="AG21" t="str">
        <f t="array" aca="1" ref="AG21" ca="1">IFERROR(INDEX(21:21, SMALL(IF($D21:$U21&lt;&gt;"", COLUMN($D$1:$U21)), COLUMN(E21))), "")</f>
        <v>ピクニック　先生</v>
      </c>
      <c r="AH21">
        <f t="array" aca="1" ref="AH21" ca="1">IFERROR(INDEX(21:21, SMALL(IF($D21:$U21&lt;&gt;"", COLUMN($D$1:$U21)), COLUMN(F21))), "")</f>
        <v>15</v>
      </c>
      <c r="AI21" t="str">
        <f t="array" aca="1" ref="AI21" ca="1">IFERROR(INDEX(21:21, SMALL(IF($D21:$U21&lt;&gt;"", COLUMN($D$1:$U21)), COLUMN(G21))), "")</f>
        <v/>
      </c>
      <c r="AJ21" t="str">
        <f t="array" aca="1" ref="AJ21" ca="1">IFERROR(INDEX(21:21, SMALL(IF($D21:$U21&lt;&gt;"", COLUMN($D$1:$U21)), COLUMN(H21))), "")</f>
        <v/>
      </c>
      <c r="AK21" t="str">
        <f t="array" aca="1" ref="AK21" ca="1">IFERROR(INDEX(21:21, SMALL(IF($D21:$U21&lt;&gt;"", COLUMN($D$1:$U21)), COLUMN(I21))), "")</f>
        <v/>
      </c>
      <c r="AL21" t="str">
        <f t="array" aca="1" ref="AL21" ca="1">IFERROR(INDEX(21:21, SMALL(IF($D21:$U21&lt;&gt;"", COLUMN($D$1:$U21)), COLUMN(J21))), "")</f>
        <v/>
      </c>
      <c r="AM21" t="str">
        <f t="array" aca="1" ref="AM21" ca="1">IFERROR(INDEX(21:21, SMALL(IF($D21:$U21&lt;&gt;"", COLUMN($D$1:$U21)), COLUMN(K21))), "")</f>
        <v/>
      </c>
      <c r="AN21" t="str">
        <f t="array" aca="1" ref="AN21" ca="1">IFERROR(INDEX(21:21, SMALL(IF($D21:$U21&lt;&gt;"", COLUMN($D$1:$U21)), COLUMN(L21))), "")</f>
        <v/>
      </c>
      <c r="AO21" t="str">
        <f t="array" aca="1" ref="AO21" ca="1">IFERROR(INDEX(21:21, SMALL(IF($D21:$U21&lt;&gt;"", COLUMN($D$1:$U21)), COLUMN(M21))), "")</f>
        <v/>
      </c>
      <c r="AP21" t="str">
        <f t="array" aca="1" ref="AP21" ca="1">IFERROR(INDEX(21:21, SMALL(IF($D21:$U21&lt;&gt;"", COLUMN($D$1:$U21)), COLUMN(N21))), "")</f>
        <v/>
      </c>
      <c r="AQ21" t="str">
        <f t="array" aca="1" ref="AQ21" ca="1">IFERROR(INDEX(21:21, SMALL(IF($D21:$U21&lt;&gt;"", COLUMN($D$1:$U21)), COLUMN(O21))), "")</f>
        <v/>
      </c>
      <c r="AR21" s="52" t="s">
        <v>4005</v>
      </c>
      <c r="AS21" t="str">
        <f t="shared" ca="1" si="3"/>
        <v/>
      </c>
      <c r="AT21" t="str">
        <f t="shared" ca="1" si="4"/>
        <v/>
      </c>
      <c r="AU21" t="str">
        <f t="shared" ca="1" si="6"/>
        <v/>
      </c>
      <c r="AV21" t="str">
        <f t="shared" ca="1" si="7"/>
        <v/>
      </c>
      <c r="AW21" t="str">
        <f t="shared" ca="1" si="8"/>
        <v/>
      </c>
      <c r="AX21" t="str">
        <f t="shared" ca="1" si="9"/>
        <v/>
      </c>
      <c r="AZ21" t="str">
        <f t="array" aca="1" ref="AZ21" ca="1">IFERROR(INDEX(21:21, SMALL(IF($AC21:$AX21&lt;&gt;"", COLUMN($AC$1:$AX21)), COLUMN(A21))), "")</f>
        <v>ピクニック</v>
      </c>
      <c r="BA21" t="str">
        <f t="array" aca="1" ref="BA21" ca="1">IFERROR(INDEX(21:21, SMALL(IF($AC21:$AX21&lt;&gt;"", COLUMN($AC$1:$AX21)), COLUMN(B21))), "")</f>
        <v>ピクニック　園児</v>
      </c>
      <c r="BB21">
        <f t="array" aca="1" ref="BB21" ca="1">IFERROR(INDEX(21:21, SMALL(IF($AC21:$AX21&lt;&gt;"", COLUMN($AC$1:$AX21)), COLUMN(C21))), "")</f>
        <v>90</v>
      </c>
      <c r="BC21" t="str">
        <f t="array" aca="1" ref="BC21" ca="1">IFERROR(INDEX(21:21, SMALL(IF($AC21:$AX21&lt;&gt;"", COLUMN($AC$1:$AX21)), COLUMN(D21))), "")</f>
        <v>ピクニック</v>
      </c>
      <c r="BD21" t="str">
        <f t="array" aca="1" ref="BD21" ca="1">IFERROR(INDEX(21:21, SMALL(IF($AC21:$AX21&lt;&gt;"", COLUMN($AC$1:$AX21)), COLUMN(E21))), "")</f>
        <v>ピクニック　先生</v>
      </c>
      <c r="BE21">
        <f t="array" aca="1" ref="BE21" ca="1">IFERROR(INDEX(21:21, SMALL(IF($AC21:$AX21&lt;&gt;"", COLUMN($AC$1:$AX21)), COLUMN(F21))), "")</f>
        <v>15</v>
      </c>
      <c r="BF21" t="str">
        <f t="array" aca="1" ref="BF21" ca="1">IFERROR(IF(AND(COUNTIF($B21,"*泉ヶ丘*"),COUNTIF($B22,"*泉ヶ丘*")),
IFERROR(INDEX(22:22, SMALL(IF($AC22:$AX22&lt;&gt;"", COLUMN($AC$1:$AX22)), COLUMN(A22))), ""),
INDEX(21:21, SMALL(IF($AC21:$AX21&lt;&gt;"", COLUMN($AC$1:$AX21)), COLUMN(G21)))), "")</f>
        <v>●</v>
      </c>
      <c r="BG21" t="str">
        <f t="array" aca="1" ref="BG21" ca="1">IFERROR(IF(AND(COUNTIF($B21,"*泉ヶ丘*"),COUNTIF($B22,"*泉ヶ丘*")),
IFERROR(INDEX(22:22, SMALL(IF($AC22:$AX22&lt;&gt;"", COLUMN($AC$1:$AX22)), COLUMN(B22))), ""),
INDEX(21:21, SMALL(IF($AC21:$AX21&lt;&gt;"", COLUMN($AC$1:$AX21)), COLUMN(H21)))), "")</f>
        <v/>
      </c>
      <c r="BH21" t="str">
        <f t="array" aca="1" ref="BH21" ca="1">IFERROR(IF(AND(COUNTIF($B21,"*泉ヶ丘*"),COUNTIF($B22,"*泉ヶ丘*")),
IFERROR(INDEX(22:22, SMALL(IF($AC22:$AX22&lt;&gt;"", COLUMN($AC$1:$AX22)), COLUMN(C22))), ""),
INDEX(21:21, SMALL(IF($AC21:$AX21&lt;&gt;"", COLUMN($AC$1:$AX21)), COLUMN(I21)))), "")</f>
        <v/>
      </c>
      <c r="BI21" t="str">
        <f t="array" aca="1" ref="BI21" ca="1">IFERROR(IF(AND(COUNTIF($B21,"*泉ヶ丘*"),COUNTIF($B22,"*泉ヶ丘*")),
IFERROR(INDEX(22:22, SMALL(IF($AC22:$AX22&lt;&gt;"", COLUMN($AC$1:$AX22)), COLUMN(D22))), ""),
INDEX(21:21, SMALL(IF($AC21:$AX21&lt;&gt;"", COLUMN($AC$1:$AX21)), COLUMN(J21)))), "")</f>
        <v/>
      </c>
      <c r="BJ21" t="str">
        <f t="array" aca="1" ref="BJ21" ca="1">IFERROR(IF(AND(COUNTIF($B21,"*泉ヶ丘*"),COUNTIF($B22,"*泉ヶ丘*")),
IFERROR(INDEX(22:22, SMALL(IF($AC22:$AX22&lt;&gt;"", COLUMN($AC$1:$AX22)), COLUMN(E22))), ""),
INDEX(21:21, SMALL(IF($AC21:$AX21&lt;&gt;"", COLUMN($AC$1:$AX21)), COLUMN(K21)))), "")</f>
        <v/>
      </c>
      <c r="BK21" t="str">
        <f t="array" aca="1" ref="BK21" ca="1">IFERROR(IF(AND(COUNTIF($B21,"*泉ヶ丘*"),COUNTIF($B22,"*泉ヶ丘*")),
IFERROR(INDEX(22:22, SMALL(IF($AC22:$AX22&lt;&gt;"", COLUMN($AC$1:$AX22)), COLUMN(F22))), ""),
INDEX(21:21, SMALL(IF($AC21:$AX21&lt;&gt;"", COLUMN($AC$1:$AX21)), COLUMN(L21)))), "")</f>
        <v/>
      </c>
      <c r="BL21" t="str">
        <f t="array" aca="1" ref="BL21" ca="1">IFERROR(IF(AND(COUNTIF($B21,"*泉ヶ丘*"),COUNTIF($B22,"*泉ヶ丘*")),
IFERROR(INDEX(22:22, SMALL(IF($AC22:$AX22&lt;&gt;"", COLUMN($AC$1:$AX22)), COLUMN(G22))), ""),
INDEX(21:21, SMALL(IF($AC21:$AX21&lt;&gt;"", COLUMN($AC$1:$AX21)), COLUMN(M21)))), "")</f>
        <v/>
      </c>
      <c r="BM21" t="str">
        <f t="array" aca="1" ref="BM21" ca="1">IFERROR(IF(AND(COUNTIF($B21,"*泉ヶ丘*"),COUNTIF($B22,"*泉ヶ丘*")),
IFERROR(INDEX(22:22, SMALL(IF($AC22:$AX22&lt;&gt;"", COLUMN($AC$1:$AX22)), COLUMN(H22))), ""),
INDEX(21:21, SMALL(IF($AC21:$AX21&lt;&gt;"", COLUMN($AC$1:$AX21)), COLUMN(N21)))), "")</f>
        <v/>
      </c>
      <c r="BN21" t="str">
        <f t="array" aca="1" ref="BN21" ca="1">IFERROR(IF(AND(COUNTIF($B21,"*泉ヶ丘*"),COUNTIF($B22,"*泉ヶ丘*")),
IFERROR(INDEX(22:22, SMALL(IF($AC22:$AX22&lt;&gt;"", COLUMN($AC$1:$AX22)), COLUMN(I22))), ""),
INDEX(21:21, SMALL(IF($AC21:$AX21&lt;&gt;"", COLUMN($AC$1:$AX21)), COLUMN(O21)))), "")</f>
        <v/>
      </c>
      <c r="BO21" t="str">
        <f t="array" aca="1" ref="BO21" ca="1">IFERROR(IF(AND(COUNTIF($B21,"*泉ヶ丘*"),COUNTIF($B22,"*泉ヶ丘*")),
IFERROR(INDEX(22:22, SMALL(IF($AC22:$AX22&lt;&gt;"", COLUMN($AC$1:$AX22)), COLUMN(J22))), ""),
INDEX(21:21, SMALL(IF($AC21:$AX21&lt;&gt;"", COLUMN($AC$1:$AX21)), COLUMN(P21)))), "")</f>
        <v/>
      </c>
      <c r="BP21" t="str">
        <f t="array" aca="1" ref="BP21" ca="1">IFERROR(IF(AND(COUNTIF($B21,"*泉ヶ丘*"),COUNTIF($B22,"*泉ヶ丘*")),
IFERROR(INDEX(22:22, SMALL(IF($AC22:$AX22&lt;&gt;"", COLUMN($AC$1:$AX22)), COLUMN(K22))), ""),
INDEX(21:21, SMALL(IF($AC21:$AX21&lt;&gt;"", COLUMN($AC$1:$AX21)), COLUMN(Q21)))), "")</f>
        <v/>
      </c>
      <c r="BQ21" t="str">
        <f t="array" aca="1" ref="BQ21" ca="1">IFERROR(IF(AND(COUNTIF($B21,"*泉ヶ丘*"),COUNTIF($B22,"*泉ヶ丘*")),
IFERROR(INDEX(22:22, SMALL(IF($AC22:$AX22&lt;&gt;"", COLUMN($AC$1:$AX22)), COLUMN(L22))), ""),
INDEX(21:21, SMALL(IF($AC21:$AX21&lt;&gt;"", COLUMN($AC$1:$AX21)), COLUMN(R21)))), "")</f>
        <v/>
      </c>
    </row>
    <row r="22" spans="1:69" x14ac:dyDescent="0.45">
      <c r="A22" t="str">
        <f t="array" ref="A22">IF(INDEX(貼り付け用!A:A,MATCH(A21,貼り付け用!A:A,0)+2)="4700",
IF(INDEX(貼り付け用!A:A,MATCH(A21,貼り付け用!A:A,0)+4)="4800",
INDEX(貼り付け用!A:A,MATCH(A21,貼り付け用!A:A,0)+6),
INDEX(貼り付け用!A:A,MATCH(A21,貼り付け用!A:A,0)+4)),INDEX(貼り付け用!A:A,MATCH(A21,貼り付け用!A:A,0)+2))</f>
        <v>706</v>
      </c>
      <c r="B22" t="str">
        <f>IF(A22&lt;&gt;"",
VLOOKUP(A22,得意先マスタ!A:D,2,FALSE),"")</f>
        <v>博多第二幼稚園　週5ｺｰｽ</v>
      </c>
      <c r="C22" t="str">
        <f t="array" ref="C22">IF(A22="10000","",INDEX(貼り付け用!A:A,MATCH(A22,貼り付け用!A:A,0)+1))</f>
        <v>博多第二 週5ｺｰｽ</v>
      </c>
      <c r="D22" t="str">
        <f ca="1">VLOOKUP(C22,クライアント抽出!$A:$O,10,FALSE)</f>
        <v>ピクニック</v>
      </c>
      <c r="E22" t="str">
        <f ca="1">IF(D22&lt;&gt;"",
IF(COUNTIF(C22,"*ぺんぎん*"),
VLOOKUP(
"*"&amp;IF(COUNTIF(D22,"*キャラ弁*"),"キャラ",
IF(COUNTIF(D22,"*赤*"),"赤",SUBSTITUTE(SUBSTITUTE(D22," ",""),"　","")))&amp;"*",
注文弁当の抽出!$F:$I,4,FALSE)&amp;
IF(COUNTIF(D22,"*おにぎり*"),"　おにぎり","")&amp;"　（ぺんぎん組）",
VLOOKUP(
"*"&amp;IF(COUNTIF(D22,"*キャラ弁*"),"キャラ",
IF(COUNTIF(D22,"*赤*"),"赤",SUBSTITUTE(SUBSTITUTE(D22," ",""),"　","")))&amp;"*",
注文弁当の抽出!$F:$I,4,FALSE)&amp;
IF(COUNTIF(D22,"*おにぎり*"),"　おにぎり","")),"")</f>
        <v>ピクニック　園児</v>
      </c>
      <c r="F22">
        <f ca="1">IFERROR(IF(E22&lt;&gt;"",
VLOOKUP(C22,クライアント抽出!$A:$G,2,FALSE)+
IF(COUNTIF(Y22,"*-*"),Y22,0),"")
-IFERROR(MID(V22, SEARCH("予備", V22) + LEN("予備"), SEARCH("込み", V22) - (SEARCH("予備", V22) + LEN("予備"))),0),"")</f>
        <v>140</v>
      </c>
      <c r="G22" t="str">
        <f ca="1">VLOOKUP(C22,クライアント抽出!$A:$O,11,FALSE)</f>
        <v/>
      </c>
      <c r="H22" t="str">
        <f ca="1">IF(G22&lt;&gt;"",
VLOOKUP(
"*"&amp;IF(COUNTIF(G22,"*キャラ弁*"),"キャラ",
IF(COUNTIF(G22,"*赤*"),"赤",SUBSTITUTE(SUBSTITUTE(G22," ",""),"　","")))&amp;"*",
注文弁当の抽出!$F:$I,4,FALSE)&amp;
IF(COUNTIF(G22,"*おにぎり*"),"　おにぎり",""),"")</f>
        <v/>
      </c>
      <c r="I22" t="str">
        <f ca="1">IF(H22&lt;&gt;"",
VLOOKUP(C22,クライアント抽出!$A:$G,3,FALSE)+
IF(COUNTIF(C22,"*博多*"),Y22,Z22),"")</f>
        <v/>
      </c>
      <c r="J22" t="str">
        <f ca="1">VLOOKUP(C22,クライアント抽出!$A:$O,12,FALSE)</f>
        <v/>
      </c>
      <c r="K22" t="str">
        <f ca="1">IF(J22&lt;&gt;"",
VLOOKUP(
"*"&amp;IF(COUNTIF(J22,"*キャラ弁*"),"キャラ",
IF(COUNTIF(J22,"*赤*"),"赤",SUBSTITUTE(SUBSTITUTE(J22," ",""),"　","")))&amp;"*",
注文弁当の抽出!$F:$I,4,FALSE)&amp;
IF(COUNTIF(J22,"*おにぎり*"),"　おにぎり",""),"")</f>
        <v/>
      </c>
      <c r="L22" t="str">
        <f ca="1">IF(K22&lt;&gt;"",
VLOOKUP(C22,クライアント抽出!$A:$G,4,FALSE)+AA22,"")</f>
        <v/>
      </c>
      <c r="M22" t="str">
        <f ca="1">VLOOKUP(C22,クライアント抽出!$A:$O,13,FALSE)</f>
        <v/>
      </c>
      <c r="N22" t="str">
        <f ca="1">SUBSTITUTE(
IF(M22&lt;&gt;"",
VLOOKUP(
"*"&amp;IF(COUNTIF(M22,"*キャラ弁*"),"キャラ",
IF(COUNTIF(M22,"*赤*"),"赤",SUBSTITUTE(SUBSTITUTE(D22," ",""),"　","")))&amp;"*",
注文弁当の抽出!$F:$I,4,FALSE),""),"園児","先生")&amp;
IF(COUNTIF(M22,"*おにぎり*"),"　おにぎり","")</f>
        <v/>
      </c>
      <c r="O22" t="str">
        <f ca="1">IF(N22&lt;&gt;"",VLOOKUP(C22,クライアント抽出!$A:$G,5,FALSE),"")</f>
        <v/>
      </c>
      <c r="P22" t="str">
        <f ca="1">VLOOKUP(C22,クライアント抽出!$A:$O,14,FALSE)</f>
        <v/>
      </c>
      <c r="Q22" t="str">
        <f ca="1">SUBSTITUTE(
IF(P22&lt;&gt;"",
VLOOKUP(
"*"&amp;IF(COUNTIF(P22,"*キャラ弁*"),"キャラ",
IF(COUNTIF(P22,"*赤*"),"赤",SUBSTITUTE(SUBSTITUTE(G22," ",""),"　","")))&amp;"*",
注文弁当の抽出!$F:$I,4,FALSE),""),"園児","先生")&amp;
IF(COUNTIF(P22,"*おにぎり*"),"　おにぎり","")</f>
        <v/>
      </c>
      <c r="R22" t="str">
        <f ca="1">IF(Q22&lt;&gt;"",
VLOOKUP(C22,クライアント抽出!$A:$G,6,FALSE),"")</f>
        <v/>
      </c>
      <c r="S22" t="str">
        <f ca="1">VLOOKUP(C22,クライアント抽出!$A:$O,15,FALSE)</f>
        <v/>
      </c>
      <c r="T22" t="str">
        <f ca="1">SUBSTITUTE(
IF(S22&lt;&gt;"",
VLOOKUP(
"*"&amp;IF(COUNTIF(S22,"*キャラ弁*"),"キャラ",
IF(COUNTIF(S22,"*赤*"),"赤",SUBSTITUTE(SUBSTITUTE(J22," ",""),"　","")))&amp;"*",
注文弁当の抽出!$F:$I,4,FALSE),""),"園児","先生")&amp;
IF(COUNTIF(S22,"*おにぎり*"),"　おにぎり","")</f>
        <v/>
      </c>
      <c r="U22" t="str">
        <f ca="1">IF(T22&lt;&gt;"",
VLOOKUP(C22,クライアント抽出!$A:$G,7,FALSE),"")</f>
        <v/>
      </c>
      <c r="V22" t="str">
        <f ca="1">IF(A22&lt;&gt;"",
IF(COUNTIF(V21,"*牛乳*"),
IF(AND(COUNTIF(B21,"*奈良屋*"),COUNTIF(B22,"*奈良屋*")),
V21&amp;"✔",""),VLOOKUP(""&amp;A22&amp;"",数出表_Excel!$A:$Z,22,FALSE)&amp;VLOOKUP(""&amp;A22&amp;"",数出表_Excel!$A:$Z,23,FALSE)
&amp;VLOOKUP(""&amp;C22&amp;"",数出表_Excel!$A:$Z,22,FALSE)&amp;VLOOKUP(""&amp;C22&amp;"",数出表_Excel!$A:$Z,23,FALSE)),"")</f>
        <v>通常時間納品</v>
      </c>
      <c r="W22" t="str">
        <f ca="1">IF(AND(COUNTIF(V22,"&lt;&gt;*不要*"),A22&lt;&gt;""),VLOOKUP(A22,得意先マスタ!$A:$AD,24,FALSE),0)</f>
        <v>検食</v>
      </c>
      <c r="X22" t="str">
        <f ca="1">IF(AND(COUNTIF(V22,"&lt;&gt;*不要*"),A22&lt;&gt;""),VLOOKUP(A22,得意先マスタ!$A:$AD,25,FALSE),0)</f>
        <v>-1</v>
      </c>
      <c r="Y22" t="str">
        <f t="shared" ca="1" si="0"/>
        <v>-1</v>
      </c>
      <c r="Z22">
        <f t="shared" ca="1" si="1"/>
        <v>0</v>
      </c>
      <c r="AA22">
        <f t="shared" ca="1" si="5"/>
        <v>0</v>
      </c>
      <c r="AB22" t="str">
        <f t="shared" ca="1" si="2"/>
        <v>ピクニック　検食</v>
      </c>
      <c r="AC22" t="str">
        <f t="array" aca="1" ref="AC22" ca="1">IFERROR(INDEX(22:22, SMALL(IF($D22:$U22&lt;&gt;"", COLUMN($D$1:$U22)), COLUMN(A22))), "")</f>
        <v>ピクニック</v>
      </c>
      <c r="AD22" t="str">
        <f t="array" aca="1" ref="AD22" ca="1">IFERROR(INDEX(22:22, SMALL(IF($D22:$U22&lt;&gt;"", COLUMN($D$1:$U22)), COLUMN(B22))), "")</f>
        <v>ピクニック　園児</v>
      </c>
      <c r="AE22">
        <f t="array" aca="1" ref="AE22" ca="1">IFERROR(INDEX(22:22, SMALL(IF($D22:$U22&lt;&gt;"", COLUMN($D$1:$U22)), COLUMN(C22))), "")</f>
        <v>140</v>
      </c>
      <c r="AF22" t="str">
        <f t="array" aca="1" ref="AF22" ca="1">IFERROR(INDEX(22:22, SMALL(IF($D22:$U22&lt;&gt;"", COLUMN($D$1:$U22)), COLUMN(D22))), "")</f>
        <v/>
      </c>
      <c r="AG22" t="str">
        <f t="array" aca="1" ref="AG22" ca="1">IFERROR(INDEX(22:22, SMALL(IF($D22:$U22&lt;&gt;"", COLUMN($D$1:$U22)), COLUMN(E22))), "")</f>
        <v/>
      </c>
      <c r="AH22" t="str">
        <f t="array" aca="1" ref="AH22" ca="1">IFERROR(INDEX(22:22, SMALL(IF($D22:$U22&lt;&gt;"", COLUMN($D$1:$U22)), COLUMN(F22))), "")</f>
        <v/>
      </c>
      <c r="AI22" t="str">
        <f t="array" aca="1" ref="AI22" ca="1">IFERROR(INDEX(22:22, SMALL(IF($D22:$U22&lt;&gt;"", COLUMN($D$1:$U22)), COLUMN(G22))), "")</f>
        <v/>
      </c>
      <c r="AJ22" t="str">
        <f t="array" aca="1" ref="AJ22" ca="1">IFERROR(INDEX(22:22, SMALL(IF($D22:$U22&lt;&gt;"", COLUMN($D$1:$U22)), COLUMN(H22))), "")</f>
        <v/>
      </c>
      <c r="AK22" t="str">
        <f t="array" aca="1" ref="AK22" ca="1">IFERROR(INDEX(22:22, SMALL(IF($D22:$U22&lt;&gt;"", COLUMN($D$1:$U22)), COLUMN(I22))), "")</f>
        <v/>
      </c>
      <c r="AL22" t="str">
        <f t="array" aca="1" ref="AL22" ca="1">IFERROR(INDEX(22:22, SMALL(IF($D22:$U22&lt;&gt;"", COLUMN($D$1:$U22)), COLUMN(J22))), "")</f>
        <v/>
      </c>
      <c r="AM22" t="str">
        <f t="array" aca="1" ref="AM22" ca="1">IFERROR(INDEX(22:22, SMALL(IF($D22:$U22&lt;&gt;"", COLUMN($D$1:$U22)), COLUMN(K22))), "")</f>
        <v/>
      </c>
      <c r="AN22" t="str">
        <f t="array" aca="1" ref="AN22" ca="1">IFERROR(INDEX(22:22, SMALL(IF($D22:$U22&lt;&gt;"", COLUMN($D$1:$U22)), COLUMN(L22))), "")</f>
        <v/>
      </c>
      <c r="AO22" t="str">
        <f t="array" aca="1" ref="AO22" ca="1">IFERROR(INDEX(22:22, SMALL(IF($D22:$U22&lt;&gt;"", COLUMN($D$1:$U22)), COLUMN(M22))), "")</f>
        <v/>
      </c>
      <c r="AP22" t="str">
        <f t="array" aca="1" ref="AP22" ca="1">IFERROR(INDEX(22:22, SMALL(IF($D22:$U22&lt;&gt;"", COLUMN($D$1:$U22)), COLUMN(N22))), "")</f>
        <v/>
      </c>
      <c r="AQ22" t="str">
        <f t="array" aca="1" ref="AQ22" ca="1">IFERROR(INDEX(22:22, SMALL(IF($D22:$U22&lt;&gt;"", COLUMN($D$1:$U22)), COLUMN(O22))), "")</f>
        <v/>
      </c>
      <c r="AR22" s="52" t="s">
        <v>4005</v>
      </c>
      <c r="AS22" t="str">
        <f t="shared" ca="1" si="3"/>
        <v>ピクニック　検食</v>
      </c>
      <c r="AT22" t="str">
        <f t="shared" ca="1" si="4"/>
        <v>1</v>
      </c>
      <c r="AU22" t="str">
        <f t="shared" ca="1" si="6"/>
        <v/>
      </c>
      <c r="AV22" t="str">
        <f t="shared" ca="1" si="7"/>
        <v/>
      </c>
      <c r="AW22" t="str">
        <f t="shared" ca="1" si="8"/>
        <v/>
      </c>
      <c r="AX22" t="str">
        <f t="shared" ca="1" si="9"/>
        <v/>
      </c>
      <c r="AZ22" t="str">
        <f t="array" aca="1" ref="AZ22" ca="1">IFERROR(INDEX(22:22, SMALL(IF($AC22:$AX22&lt;&gt;"", COLUMN($AC$1:$AX22)), COLUMN(A22))), "")</f>
        <v>ピクニック</v>
      </c>
      <c r="BA22" t="str">
        <f t="array" aca="1" ref="BA22" ca="1">IFERROR(INDEX(22:22, SMALL(IF($AC22:$AX22&lt;&gt;"", COLUMN($AC$1:$AX22)), COLUMN(B22))), "")</f>
        <v>ピクニック　園児</v>
      </c>
      <c r="BB22">
        <f t="array" aca="1" ref="BB22" ca="1">IFERROR(INDEX(22:22, SMALL(IF($AC22:$AX22&lt;&gt;"", COLUMN($AC$1:$AX22)), COLUMN(C22))), "")</f>
        <v>140</v>
      </c>
      <c r="BC22" t="str">
        <f t="array" aca="1" ref="BC22" ca="1">IFERROR(INDEX(22:22, SMALL(IF($AC22:$AX22&lt;&gt;"", COLUMN($AC$1:$AX22)), COLUMN(D22))), "")</f>
        <v>●</v>
      </c>
      <c r="BD22" t="str">
        <f t="array" aca="1" ref="BD22" ca="1">IFERROR(INDEX(22:22, SMALL(IF($AC22:$AX22&lt;&gt;"", COLUMN($AC$1:$AX22)), COLUMN(E22))), "")</f>
        <v>ピクニック　検食</v>
      </c>
      <c r="BE22" t="str">
        <f t="array" aca="1" ref="BE22" ca="1">IFERROR(INDEX(22:22, SMALL(IF($AC22:$AX22&lt;&gt;"", COLUMN($AC$1:$AX22)), COLUMN(F22))), "")</f>
        <v>1</v>
      </c>
      <c r="BF22" t="str">
        <f t="array" aca="1" ref="BF22" ca="1">IFERROR(IF(AND(COUNTIF($B22,"*泉ヶ丘*"),COUNTIF($B23,"*泉ヶ丘*")),
IFERROR(INDEX(23:23, SMALL(IF($AC23:$AX23&lt;&gt;"", COLUMN($AC$1:$AX23)), COLUMN(A23))), ""),
INDEX(22:22, SMALL(IF($AC22:$AX22&lt;&gt;"", COLUMN($AC$1:$AX22)), COLUMN(G22)))), "")</f>
        <v/>
      </c>
      <c r="BG22" t="str">
        <f t="array" aca="1" ref="BG22" ca="1">IFERROR(IF(AND(COUNTIF($B22,"*泉ヶ丘*"),COUNTIF($B23,"*泉ヶ丘*")),
IFERROR(INDEX(23:23, SMALL(IF($AC23:$AX23&lt;&gt;"", COLUMN($AC$1:$AX23)), COLUMN(B23))), ""),
INDEX(22:22, SMALL(IF($AC22:$AX22&lt;&gt;"", COLUMN($AC$1:$AX22)), COLUMN(H22)))), "")</f>
        <v/>
      </c>
      <c r="BH22" t="str">
        <f t="array" aca="1" ref="BH22" ca="1">IFERROR(IF(AND(COUNTIF($B22,"*泉ヶ丘*"),COUNTIF($B23,"*泉ヶ丘*")),
IFERROR(INDEX(23:23, SMALL(IF($AC23:$AX23&lt;&gt;"", COLUMN($AC$1:$AX23)), COLUMN(C23))), ""),
INDEX(22:22, SMALL(IF($AC22:$AX22&lt;&gt;"", COLUMN($AC$1:$AX22)), COLUMN(I22)))), "")</f>
        <v/>
      </c>
      <c r="BI22" t="str">
        <f t="array" aca="1" ref="BI22" ca="1">IFERROR(IF(AND(COUNTIF($B22,"*泉ヶ丘*"),COUNTIF($B23,"*泉ヶ丘*")),
IFERROR(INDEX(23:23, SMALL(IF($AC23:$AX23&lt;&gt;"", COLUMN($AC$1:$AX23)), COLUMN(D23))), ""),
INDEX(22:22, SMALL(IF($AC22:$AX22&lt;&gt;"", COLUMN($AC$1:$AX22)), COLUMN(J22)))), "")</f>
        <v/>
      </c>
      <c r="BJ22" t="str">
        <f t="array" aca="1" ref="BJ22" ca="1">IFERROR(IF(AND(COUNTIF($B22,"*泉ヶ丘*"),COUNTIF($B23,"*泉ヶ丘*")),
IFERROR(INDEX(23:23, SMALL(IF($AC23:$AX23&lt;&gt;"", COLUMN($AC$1:$AX23)), COLUMN(E23))), ""),
INDEX(22:22, SMALL(IF($AC22:$AX22&lt;&gt;"", COLUMN($AC$1:$AX22)), COLUMN(K22)))), "")</f>
        <v/>
      </c>
      <c r="BK22" t="str">
        <f t="array" aca="1" ref="BK22" ca="1">IFERROR(IF(AND(COUNTIF($B22,"*泉ヶ丘*"),COUNTIF($B23,"*泉ヶ丘*")),
IFERROR(INDEX(23:23, SMALL(IF($AC23:$AX23&lt;&gt;"", COLUMN($AC$1:$AX23)), COLUMN(F23))), ""),
INDEX(22:22, SMALL(IF($AC22:$AX22&lt;&gt;"", COLUMN($AC$1:$AX22)), COLUMN(L22)))), "")</f>
        <v/>
      </c>
      <c r="BL22" t="str">
        <f t="array" aca="1" ref="BL22" ca="1">IFERROR(IF(AND(COUNTIF($B22,"*泉ヶ丘*"),COUNTIF($B23,"*泉ヶ丘*")),
IFERROR(INDEX(23:23, SMALL(IF($AC23:$AX23&lt;&gt;"", COLUMN($AC$1:$AX23)), COLUMN(G23))), ""),
INDEX(22:22, SMALL(IF($AC22:$AX22&lt;&gt;"", COLUMN($AC$1:$AX22)), COLUMN(M22)))), "")</f>
        <v/>
      </c>
      <c r="BM22" t="str">
        <f t="array" aca="1" ref="BM22" ca="1">IFERROR(IF(AND(COUNTIF($B22,"*泉ヶ丘*"),COUNTIF($B23,"*泉ヶ丘*")),
IFERROR(INDEX(23:23, SMALL(IF($AC23:$AX23&lt;&gt;"", COLUMN($AC$1:$AX23)), COLUMN(H23))), ""),
INDEX(22:22, SMALL(IF($AC22:$AX22&lt;&gt;"", COLUMN($AC$1:$AX22)), COLUMN(N22)))), "")</f>
        <v/>
      </c>
      <c r="BN22" t="str">
        <f t="array" aca="1" ref="BN22" ca="1">IFERROR(IF(AND(COUNTIF($B22,"*泉ヶ丘*"),COUNTIF($B23,"*泉ヶ丘*")),
IFERROR(INDEX(23:23, SMALL(IF($AC23:$AX23&lt;&gt;"", COLUMN($AC$1:$AX23)), COLUMN(I23))), ""),
INDEX(22:22, SMALL(IF($AC22:$AX22&lt;&gt;"", COLUMN($AC$1:$AX22)), COLUMN(O22)))), "")</f>
        <v/>
      </c>
      <c r="BO22" t="str">
        <f t="array" aca="1" ref="BO22" ca="1">IFERROR(IF(AND(COUNTIF($B22,"*泉ヶ丘*"),COUNTIF($B23,"*泉ヶ丘*")),
IFERROR(INDEX(23:23, SMALL(IF($AC23:$AX23&lt;&gt;"", COLUMN($AC$1:$AX23)), COLUMN(J23))), ""),
INDEX(22:22, SMALL(IF($AC22:$AX22&lt;&gt;"", COLUMN($AC$1:$AX22)), COLUMN(P22)))), "")</f>
        <v/>
      </c>
      <c r="BP22" t="str">
        <f t="array" aca="1" ref="BP22" ca="1">IFERROR(IF(AND(COUNTIF($B22,"*泉ヶ丘*"),COUNTIF($B23,"*泉ヶ丘*")),
IFERROR(INDEX(23:23, SMALL(IF($AC23:$AX23&lt;&gt;"", COLUMN($AC$1:$AX23)), COLUMN(K23))), ""),
INDEX(22:22, SMALL(IF($AC22:$AX22&lt;&gt;"", COLUMN($AC$1:$AX22)), COLUMN(Q22)))), "")</f>
        <v/>
      </c>
      <c r="BQ22" t="str">
        <f t="array" aca="1" ref="BQ22" ca="1">IFERROR(IF(AND(COUNTIF($B22,"*泉ヶ丘*"),COUNTIF($B23,"*泉ヶ丘*")),
IFERROR(INDEX(23:23, SMALL(IF($AC23:$AX23&lt;&gt;"", COLUMN($AC$1:$AX23)), COLUMN(L23))), ""),
INDEX(22:22, SMALL(IF($AC22:$AX22&lt;&gt;"", COLUMN($AC$1:$AX22)), COLUMN(R22)))), "")</f>
        <v/>
      </c>
    </row>
    <row r="23" spans="1:69" x14ac:dyDescent="0.45">
      <c r="A23" t="str">
        <f t="array" ref="A23">IF(INDEX(貼り付け用!A:A,MATCH(A22,貼り付け用!A:A,0)+2)="4700",
IF(INDEX(貼り付け用!A:A,MATCH(A22,貼り付け用!A:A,0)+4)="4800",
INDEX(貼り付け用!A:A,MATCH(A22,貼り付け用!A:A,0)+6),
INDEX(貼り付け用!A:A,MATCH(A22,貼り付け用!A:A,0)+4)),INDEX(貼り付け用!A:A,MATCH(A22,貼り付け用!A:A,0)+2))</f>
        <v>707</v>
      </c>
      <c r="B23" t="str">
        <f>IF(A23&lt;&gt;"",
VLOOKUP(A23,得意先マスタ!A:D,2,FALSE),"")</f>
        <v>博多第二幼稚園（補助教員）</v>
      </c>
      <c r="C23" t="str">
        <f t="array" ref="C23">IF(A23="10000","",INDEX(貼り付け用!A:A,MATCH(A23,貼り付け用!A:A,0)+1))</f>
        <v>博多第二（補助教員） web</v>
      </c>
      <c r="D23" t="str">
        <f ca="1">VLOOKUP(C23,クライアント抽出!$A:$O,10,FALSE)</f>
        <v/>
      </c>
      <c r="E23" t="str">
        <f ca="1">IF(D23&lt;&gt;"",
IF(COUNTIF(C23,"*ぺんぎん*"),
VLOOKUP(
"*"&amp;IF(COUNTIF(D23,"*キャラ弁*"),"キャラ",
IF(COUNTIF(D23,"*赤*"),"赤",SUBSTITUTE(SUBSTITUTE(D23," ",""),"　","")))&amp;"*",
注文弁当の抽出!$F:$I,4,FALSE)&amp;
IF(COUNTIF(D23,"*おにぎり*"),"　おにぎり","")&amp;"　（ぺんぎん組）",
VLOOKUP(
"*"&amp;IF(COUNTIF(D23,"*キャラ弁*"),"キャラ",
IF(COUNTIF(D23,"*赤*"),"赤",SUBSTITUTE(SUBSTITUTE(D23," ",""),"　","")))&amp;"*",
注文弁当の抽出!$F:$I,4,FALSE)&amp;
IF(COUNTIF(D23,"*おにぎり*"),"　おにぎり","")),"")</f>
        <v/>
      </c>
      <c r="F23" t="str">
        <f ca="1">IFERROR(IF(E23&lt;&gt;"",
VLOOKUP(C23,クライアント抽出!$A:$G,2,FALSE)+
IF(COUNTIF(Y23,"*-*"),Y23,0),"")
-IFERROR(MID(V23, SEARCH("予備", V23) + LEN("予備"), SEARCH("込み", V23) - (SEARCH("予備", V23) + LEN("予備"))),0),"")</f>
        <v/>
      </c>
      <c r="G23" t="str">
        <f ca="1">VLOOKUP(C23,クライアント抽出!$A:$O,11,FALSE)</f>
        <v/>
      </c>
      <c r="H23" t="str">
        <f ca="1">IF(G23&lt;&gt;"",
VLOOKUP(
"*"&amp;IF(COUNTIF(G23,"*キャラ弁*"),"キャラ",
IF(COUNTIF(G23,"*赤*"),"赤",SUBSTITUTE(SUBSTITUTE(G23," ",""),"　","")))&amp;"*",
注文弁当の抽出!$F:$I,4,FALSE)&amp;
IF(COUNTIF(G23,"*おにぎり*"),"　おにぎり",""),"")</f>
        <v/>
      </c>
      <c r="I23" t="str">
        <f ca="1">IF(H23&lt;&gt;"",
VLOOKUP(C23,クライアント抽出!$A:$G,3,FALSE)+
IF(COUNTIF(C23,"*博多*"),Y23,Z23),"")</f>
        <v/>
      </c>
      <c r="J23" t="str">
        <f ca="1">VLOOKUP(C23,クライアント抽出!$A:$O,12,FALSE)</f>
        <v/>
      </c>
      <c r="K23" t="str">
        <f ca="1">IF(J23&lt;&gt;"",
VLOOKUP(
"*"&amp;IF(COUNTIF(J23,"*キャラ弁*"),"キャラ",
IF(COUNTIF(J23,"*赤*"),"赤",SUBSTITUTE(SUBSTITUTE(J23," ",""),"　","")))&amp;"*",
注文弁当の抽出!$F:$I,4,FALSE)&amp;
IF(COUNTIF(J23,"*おにぎり*"),"　おにぎり",""),"")</f>
        <v/>
      </c>
      <c r="L23" t="str">
        <f ca="1">IF(K23&lt;&gt;"",
VLOOKUP(C23,クライアント抽出!$A:$G,4,FALSE)+AA23,"")</f>
        <v/>
      </c>
      <c r="M23" t="str">
        <f ca="1">VLOOKUP(C23,クライアント抽出!$A:$O,13,FALSE)</f>
        <v>キャラ弁当　飯あり120</v>
      </c>
      <c r="N23" t="str">
        <f ca="1">SUBSTITUTE(
IF(M23&lt;&gt;"",
VLOOKUP(
"*"&amp;IF(COUNTIF(M23,"*キャラ弁*"),"キャラ",
IF(COUNTIF(M23,"*赤*"),"赤",SUBSTITUTE(SUBSTITUTE(D23," ",""),"　","")))&amp;"*",
注文弁当の抽出!$F:$I,4,FALSE),""),"園児","先生")&amp;
IF(COUNTIF(M23,"*おにぎり*"),"　おにぎり","")</f>
        <v>弁当　先生</v>
      </c>
      <c r="O23">
        <f ca="1">IF(N23&lt;&gt;"",VLOOKUP(C23,クライアント抽出!$A:$G,5,FALSE),"")</f>
        <v>1</v>
      </c>
      <c r="P23" t="str">
        <f ca="1">VLOOKUP(C23,クライアント抽出!$A:$O,14,FALSE)</f>
        <v/>
      </c>
      <c r="Q23" t="str">
        <f ca="1">SUBSTITUTE(
IF(P23&lt;&gt;"",
VLOOKUP(
"*"&amp;IF(COUNTIF(P23,"*キャラ弁*"),"キャラ",
IF(COUNTIF(P23,"*赤*"),"赤",SUBSTITUTE(SUBSTITUTE(G23," ",""),"　","")))&amp;"*",
注文弁当の抽出!$F:$I,4,FALSE),""),"園児","先生")&amp;
IF(COUNTIF(P23,"*おにぎり*"),"　おにぎり","")</f>
        <v/>
      </c>
      <c r="R23" t="str">
        <f ca="1">IF(Q23&lt;&gt;"",
VLOOKUP(C23,クライアント抽出!$A:$G,6,FALSE),"")</f>
        <v/>
      </c>
      <c r="S23" t="str">
        <f ca="1">VLOOKUP(C23,クライアント抽出!$A:$O,15,FALSE)</f>
        <v/>
      </c>
      <c r="T23" t="str">
        <f ca="1">SUBSTITUTE(
IF(S23&lt;&gt;"",
VLOOKUP(
"*"&amp;IF(COUNTIF(S23,"*キャラ弁*"),"キャラ",
IF(COUNTIF(S23,"*赤*"),"赤",SUBSTITUTE(SUBSTITUTE(J23," ",""),"　","")))&amp;"*",
注文弁当の抽出!$F:$I,4,FALSE),""),"園児","先生")&amp;
IF(COUNTIF(S23,"*おにぎり*"),"　おにぎり","")</f>
        <v/>
      </c>
      <c r="U23" t="str">
        <f ca="1">IF(T23&lt;&gt;"",
VLOOKUP(C23,クライアント抽出!$A:$G,7,FALSE),"")</f>
        <v/>
      </c>
      <c r="V23" t="str">
        <f ca="1">IF(A23&lt;&gt;"",
IF(COUNTIF(V22,"*牛乳*"),
IF(AND(COUNTIF(B22,"*奈良屋*"),COUNTIF(B23,"*奈良屋*")),
V22&amp;"✔",""),VLOOKUP(""&amp;A23&amp;"",数出表_Excel!$A:$Z,22,FALSE)&amp;VLOOKUP(""&amp;A23&amp;"",数出表_Excel!$A:$Z,23,FALSE)
&amp;VLOOKUP(""&amp;C23&amp;"",数出表_Excel!$A:$Z,22,FALSE)&amp;VLOOKUP(""&amp;C23&amp;"",数出表_Excel!$A:$Z,23,FALSE)),"")</f>
        <v/>
      </c>
      <c r="W23">
        <f ca="1">IF(AND(COUNTIF(V23,"&lt;&gt;*不要*"),A23&lt;&gt;""),VLOOKUP(A23,得意先マスタ!$A:$AD,24,FALSE),0)</f>
        <v>0</v>
      </c>
      <c r="X23">
        <f ca="1">IF(AND(COUNTIF(V23,"&lt;&gt;*不要*"),A23&lt;&gt;""),VLOOKUP(A23,得意先マスタ!$A:$AD,25,FALSE),0)</f>
        <v>0</v>
      </c>
      <c r="Y23">
        <f t="shared" ca="1" si="0"/>
        <v>0</v>
      </c>
      <c r="Z23">
        <f t="shared" ca="1" si="1"/>
        <v>0</v>
      </c>
      <c r="AA23">
        <f t="shared" ca="1" si="5"/>
        <v>0</v>
      </c>
      <c r="AB23" t="str">
        <f t="shared" ca="1" si="2"/>
        <v/>
      </c>
      <c r="AC23" t="str">
        <f t="array" aca="1" ref="AC23" ca="1">IFERROR(INDEX(23:23, SMALL(IF($D23:$U23&lt;&gt;"", COLUMN($D$1:$U23)), COLUMN(A23))), "")</f>
        <v>キャラ弁当　飯あり120</v>
      </c>
      <c r="AD23" t="str">
        <f t="array" aca="1" ref="AD23" ca="1">IFERROR(INDEX(23:23, SMALL(IF($D23:$U23&lt;&gt;"", COLUMN($D$1:$U23)), COLUMN(B23))), "")</f>
        <v>弁当　先生</v>
      </c>
      <c r="AE23">
        <f t="array" aca="1" ref="AE23" ca="1">IFERROR(INDEX(23:23, SMALL(IF($D23:$U23&lt;&gt;"", COLUMN($D$1:$U23)), COLUMN(C23))), "")</f>
        <v>1</v>
      </c>
      <c r="AF23" t="str">
        <f t="array" aca="1" ref="AF23" ca="1">IFERROR(INDEX(23:23, SMALL(IF($D23:$U23&lt;&gt;"", COLUMN($D$1:$U23)), COLUMN(D23))), "")</f>
        <v/>
      </c>
      <c r="AG23" t="str">
        <f t="array" aca="1" ref="AG23" ca="1">IFERROR(INDEX(23:23, SMALL(IF($D23:$U23&lt;&gt;"", COLUMN($D$1:$U23)), COLUMN(E23))), "")</f>
        <v/>
      </c>
      <c r="AH23" t="str">
        <f t="array" aca="1" ref="AH23" ca="1">IFERROR(INDEX(23:23, SMALL(IF($D23:$U23&lt;&gt;"", COLUMN($D$1:$U23)), COLUMN(F23))), "")</f>
        <v/>
      </c>
      <c r="AI23" t="str">
        <f t="array" aca="1" ref="AI23" ca="1">IFERROR(INDEX(23:23, SMALL(IF($D23:$U23&lt;&gt;"", COLUMN($D$1:$U23)), COLUMN(G23))), "")</f>
        <v/>
      </c>
      <c r="AJ23" t="str">
        <f t="array" aca="1" ref="AJ23" ca="1">IFERROR(INDEX(23:23, SMALL(IF($D23:$U23&lt;&gt;"", COLUMN($D$1:$U23)), COLUMN(H23))), "")</f>
        <v/>
      </c>
      <c r="AK23" t="str">
        <f t="array" aca="1" ref="AK23" ca="1">IFERROR(INDEX(23:23, SMALL(IF($D23:$U23&lt;&gt;"", COLUMN($D$1:$U23)), COLUMN(I23))), "")</f>
        <v/>
      </c>
      <c r="AL23" t="str">
        <f t="array" aca="1" ref="AL23" ca="1">IFERROR(INDEX(23:23, SMALL(IF($D23:$U23&lt;&gt;"", COLUMN($D$1:$U23)), COLUMN(J23))), "")</f>
        <v/>
      </c>
      <c r="AM23" t="str">
        <f t="array" aca="1" ref="AM23" ca="1">IFERROR(INDEX(23:23, SMALL(IF($D23:$U23&lt;&gt;"", COLUMN($D$1:$U23)), COLUMN(K23))), "")</f>
        <v/>
      </c>
      <c r="AN23" t="str">
        <f t="array" aca="1" ref="AN23" ca="1">IFERROR(INDEX(23:23, SMALL(IF($D23:$U23&lt;&gt;"", COLUMN($D$1:$U23)), COLUMN(L23))), "")</f>
        <v/>
      </c>
      <c r="AO23" t="str">
        <f t="array" aca="1" ref="AO23" ca="1">IFERROR(INDEX(23:23, SMALL(IF($D23:$U23&lt;&gt;"", COLUMN($D$1:$U23)), COLUMN(M23))), "")</f>
        <v/>
      </c>
      <c r="AP23" t="str">
        <f t="array" aca="1" ref="AP23" ca="1">IFERROR(INDEX(23:23, SMALL(IF($D23:$U23&lt;&gt;"", COLUMN($D$1:$U23)), COLUMN(N23))), "")</f>
        <v/>
      </c>
      <c r="AQ23" t="str">
        <f t="array" aca="1" ref="AQ23" ca="1">IFERROR(INDEX(23:23, SMALL(IF($D23:$U23&lt;&gt;"", COLUMN($D$1:$U23)), COLUMN(O23))), "")</f>
        <v/>
      </c>
      <c r="AR23" s="52" t="s">
        <v>4005</v>
      </c>
      <c r="AS23" t="str">
        <f t="shared" ca="1" si="3"/>
        <v/>
      </c>
      <c r="AT23" t="str">
        <f t="shared" ca="1" si="4"/>
        <v/>
      </c>
      <c r="AU23" t="str">
        <f t="shared" ca="1" si="6"/>
        <v/>
      </c>
      <c r="AV23" t="str">
        <f t="shared" ca="1" si="7"/>
        <v/>
      </c>
      <c r="AW23" t="str">
        <f t="shared" ca="1" si="8"/>
        <v/>
      </c>
      <c r="AX23" t="str">
        <f t="shared" ca="1" si="9"/>
        <v/>
      </c>
      <c r="AZ23" t="str">
        <f t="array" aca="1" ref="AZ23" ca="1">IFERROR(INDEX(23:23, SMALL(IF($AC23:$AX23&lt;&gt;"", COLUMN($AC$1:$AX23)), COLUMN(A23))), "")</f>
        <v>キャラ弁当　飯あり120</v>
      </c>
      <c r="BA23" t="str">
        <f t="array" aca="1" ref="BA23" ca="1">IFERROR(INDEX(23:23, SMALL(IF($AC23:$AX23&lt;&gt;"", COLUMN($AC$1:$AX23)), COLUMN(B23))), "")</f>
        <v>弁当　先生</v>
      </c>
      <c r="BB23">
        <f t="array" aca="1" ref="BB23" ca="1">IFERROR(INDEX(23:23, SMALL(IF($AC23:$AX23&lt;&gt;"", COLUMN($AC$1:$AX23)), COLUMN(C23))), "")</f>
        <v>1</v>
      </c>
      <c r="BC23" t="str">
        <f t="array" aca="1" ref="BC23" ca="1">IFERROR(INDEX(23:23, SMALL(IF($AC23:$AX23&lt;&gt;"", COLUMN($AC$1:$AX23)), COLUMN(D23))), "")</f>
        <v>●</v>
      </c>
      <c r="BD23" t="str">
        <f t="array" aca="1" ref="BD23" ca="1">IFERROR(INDEX(23:23, SMALL(IF($AC23:$AX23&lt;&gt;"", COLUMN($AC$1:$AX23)), COLUMN(E23))), "")</f>
        <v/>
      </c>
      <c r="BE23" t="str">
        <f t="array" aca="1" ref="BE23" ca="1">IFERROR(INDEX(23:23, SMALL(IF($AC23:$AX23&lt;&gt;"", COLUMN($AC$1:$AX23)), COLUMN(F23))), "")</f>
        <v/>
      </c>
      <c r="BF23" t="str">
        <f t="array" aca="1" ref="BF23" ca="1">IFERROR(IF(AND(COUNTIF($B23,"*泉ヶ丘*"),COUNTIF($B24,"*泉ヶ丘*")),
IFERROR(INDEX(24:24, SMALL(IF($AC24:$AX24&lt;&gt;"", COLUMN($AC$1:$AX24)), COLUMN(A24))), ""),
INDEX(23:23, SMALL(IF($AC23:$AX23&lt;&gt;"", COLUMN($AC$1:$AX23)), COLUMN(G23)))), "")</f>
        <v/>
      </c>
      <c r="BG23" t="str">
        <f t="array" aca="1" ref="BG23" ca="1">IFERROR(IF(AND(COUNTIF($B23,"*泉ヶ丘*"),COUNTIF($B24,"*泉ヶ丘*")),
IFERROR(INDEX(24:24, SMALL(IF($AC24:$AX24&lt;&gt;"", COLUMN($AC$1:$AX24)), COLUMN(B24))), ""),
INDEX(23:23, SMALL(IF($AC23:$AX23&lt;&gt;"", COLUMN($AC$1:$AX23)), COLUMN(H23)))), "")</f>
        <v/>
      </c>
      <c r="BH23" t="str">
        <f t="array" aca="1" ref="BH23" ca="1">IFERROR(IF(AND(COUNTIF($B23,"*泉ヶ丘*"),COUNTIF($B24,"*泉ヶ丘*")),
IFERROR(INDEX(24:24, SMALL(IF($AC24:$AX24&lt;&gt;"", COLUMN($AC$1:$AX24)), COLUMN(C24))), ""),
INDEX(23:23, SMALL(IF($AC23:$AX23&lt;&gt;"", COLUMN($AC$1:$AX23)), COLUMN(I23)))), "")</f>
        <v/>
      </c>
      <c r="BI23" t="str">
        <f t="array" aca="1" ref="BI23" ca="1">IFERROR(IF(AND(COUNTIF($B23,"*泉ヶ丘*"),COUNTIF($B24,"*泉ヶ丘*")),
IFERROR(INDEX(24:24, SMALL(IF($AC24:$AX24&lt;&gt;"", COLUMN($AC$1:$AX24)), COLUMN(D24))), ""),
INDEX(23:23, SMALL(IF($AC23:$AX23&lt;&gt;"", COLUMN($AC$1:$AX23)), COLUMN(J23)))), "")</f>
        <v/>
      </c>
      <c r="BJ23" t="str">
        <f t="array" aca="1" ref="BJ23" ca="1">IFERROR(IF(AND(COUNTIF($B23,"*泉ヶ丘*"),COUNTIF($B24,"*泉ヶ丘*")),
IFERROR(INDEX(24:24, SMALL(IF($AC24:$AX24&lt;&gt;"", COLUMN($AC$1:$AX24)), COLUMN(E24))), ""),
INDEX(23:23, SMALL(IF($AC23:$AX23&lt;&gt;"", COLUMN($AC$1:$AX23)), COLUMN(K23)))), "")</f>
        <v/>
      </c>
      <c r="BK23" t="str">
        <f t="array" aca="1" ref="BK23" ca="1">IFERROR(IF(AND(COUNTIF($B23,"*泉ヶ丘*"),COUNTIF($B24,"*泉ヶ丘*")),
IFERROR(INDEX(24:24, SMALL(IF($AC24:$AX24&lt;&gt;"", COLUMN($AC$1:$AX24)), COLUMN(F24))), ""),
INDEX(23:23, SMALL(IF($AC23:$AX23&lt;&gt;"", COLUMN($AC$1:$AX23)), COLUMN(L23)))), "")</f>
        <v/>
      </c>
      <c r="BL23" t="str">
        <f t="array" aca="1" ref="BL23" ca="1">IFERROR(IF(AND(COUNTIF($B23,"*泉ヶ丘*"),COUNTIF($B24,"*泉ヶ丘*")),
IFERROR(INDEX(24:24, SMALL(IF($AC24:$AX24&lt;&gt;"", COLUMN($AC$1:$AX24)), COLUMN(G24))), ""),
INDEX(23:23, SMALL(IF($AC23:$AX23&lt;&gt;"", COLUMN($AC$1:$AX23)), COLUMN(M23)))), "")</f>
        <v/>
      </c>
      <c r="BM23" t="str">
        <f t="array" aca="1" ref="BM23" ca="1">IFERROR(IF(AND(COUNTIF($B23,"*泉ヶ丘*"),COUNTIF($B24,"*泉ヶ丘*")),
IFERROR(INDEX(24:24, SMALL(IF($AC24:$AX24&lt;&gt;"", COLUMN($AC$1:$AX24)), COLUMN(H24))), ""),
INDEX(23:23, SMALL(IF($AC23:$AX23&lt;&gt;"", COLUMN($AC$1:$AX23)), COLUMN(N23)))), "")</f>
        <v/>
      </c>
      <c r="BN23" t="str">
        <f t="array" aca="1" ref="BN23" ca="1">IFERROR(IF(AND(COUNTIF($B23,"*泉ヶ丘*"),COUNTIF($B24,"*泉ヶ丘*")),
IFERROR(INDEX(24:24, SMALL(IF($AC24:$AX24&lt;&gt;"", COLUMN($AC$1:$AX24)), COLUMN(I24))), ""),
INDEX(23:23, SMALL(IF($AC23:$AX23&lt;&gt;"", COLUMN($AC$1:$AX23)), COLUMN(O23)))), "")</f>
        <v/>
      </c>
      <c r="BO23" t="str">
        <f t="array" aca="1" ref="BO23" ca="1">IFERROR(IF(AND(COUNTIF($B23,"*泉ヶ丘*"),COUNTIF($B24,"*泉ヶ丘*")),
IFERROR(INDEX(24:24, SMALL(IF($AC24:$AX24&lt;&gt;"", COLUMN($AC$1:$AX24)), COLUMN(J24))), ""),
INDEX(23:23, SMALL(IF($AC23:$AX23&lt;&gt;"", COLUMN($AC$1:$AX23)), COLUMN(P23)))), "")</f>
        <v/>
      </c>
      <c r="BP23" t="str">
        <f t="array" aca="1" ref="BP23" ca="1">IFERROR(IF(AND(COUNTIF($B23,"*泉ヶ丘*"),COUNTIF($B24,"*泉ヶ丘*")),
IFERROR(INDEX(24:24, SMALL(IF($AC24:$AX24&lt;&gt;"", COLUMN($AC$1:$AX24)), COLUMN(K24))), ""),
INDEX(23:23, SMALL(IF($AC23:$AX23&lt;&gt;"", COLUMN($AC$1:$AX23)), COLUMN(Q23)))), "")</f>
        <v/>
      </c>
      <c r="BQ23" t="str">
        <f t="array" aca="1" ref="BQ23" ca="1">IFERROR(IF(AND(COUNTIF($B23,"*泉ヶ丘*"),COUNTIF($B24,"*泉ヶ丘*")),
IFERROR(INDEX(24:24, SMALL(IF($AC24:$AX24&lt;&gt;"", COLUMN($AC$1:$AX24)), COLUMN(L24))), ""),
INDEX(23:23, SMALL(IF($AC23:$AX23&lt;&gt;"", COLUMN($AC$1:$AX23)), COLUMN(R23)))), "")</f>
        <v/>
      </c>
    </row>
    <row r="24" spans="1:69" x14ac:dyDescent="0.45">
      <c r="A24" t="str">
        <f t="array" ref="A24">IF(INDEX(貼り付け用!A:A,MATCH(A23,貼り付け用!A:A,0)+2)="4700",
IF(INDEX(貼り付け用!A:A,MATCH(A23,貼り付け用!A:A,0)+4)="4800",
INDEX(貼り付け用!A:A,MATCH(A23,貼り付け用!A:A,0)+6),
INDEX(貼り付け用!A:A,MATCH(A23,貼り付け用!A:A,0)+4)),INDEX(貼り付け用!A:A,MATCH(A23,貼り付け用!A:A,0)+2))</f>
        <v>2100</v>
      </c>
      <c r="B24" t="str">
        <f>IF(A24&lt;&gt;"",
VLOOKUP(A24,得意先マスタ!A:D,2,FALSE),"")</f>
        <v>志免幼稚園</v>
      </c>
      <c r="C24" t="str">
        <f t="array" ref="C24">IF(A24="10000","",INDEX(貼り付け用!A:A,MATCH(A24,貼り付け用!A:A,0)+1))</f>
        <v>志免幼稚園</v>
      </c>
      <c r="D24" t="str">
        <f ca="1">VLOOKUP(C24,クライアント抽出!$A:$O,10,FALSE)</f>
        <v>赤　飯あり120</v>
      </c>
      <c r="E24" t="str">
        <f ca="1">IF(D24&lt;&gt;"",
IF(COUNTIF(C24,"*ぺんぎん*"),
VLOOKUP(
"*"&amp;IF(COUNTIF(D24,"*キャラ弁*"),"キャラ",
IF(COUNTIF(D24,"*赤*"),"赤",SUBSTITUTE(SUBSTITUTE(D24," ",""),"　","")))&amp;"*",
注文弁当の抽出!$F:$I,4,FALSE)&amp;
IF(COUNTIF(D24,"*おにぎり*"),"　おにぎり","")&amp;"　（ぺんぎん組）",
VLOOKUP(
"*"&amp;IF(COUNTIF(D24,"*キャラ弁*"),"キャラ",
IF(COUNTIF(D24,"*赤*"),"赤",SUBSTITUTE(SUBSTITUTE(D24," ",""),"　","")))&amp;"*",
注文弁当の抽出!$F:$I,4,FALSE)&amp;
IF(COUNTIF(D24,"*おにぎり*"),"　おにぎり","")),"")</f>
        <v>弁当　園児</v>
      </c>
      <c r="F24">
        <f ca="1">IFERROR(IF(E24&lt;&gt;"",
VLOOKUP(C24,クライアント抽出!$A:$G,2,FALSE)+
IF(COUNTIF(Y24,"*-*"),Y24,0),"")
-IFERROR(MID(V24, SEARCH("予備", V24) + LEN("予備"), SEARCH("込み", V24) - (SEARCH("予備", V24) + LEN("予備"))),0),"")</f>
        <v>122</v>
      </c>
      <c r="G24" t="str">
        <f ca="1">VLOOKUP(C24,クライアント抽出!$A:$O,11,FALSE)</f>
        <v/>
      </c>
      <c r="H24" t="str">
        <f ca="1">IF(G24&lt;&gt;"",
VLOOKUP(
"*"&amp;IF(COUNTIF(G24,"*キャラ弁*"),"キャラ",
IF(COUNTIF(G24,"*赤*"),"赤",SUBSTITUTE(SUBSTITUTE(G24," ",""),"　","")))&amp;"*",
注文弁当の抽出!$F:$I,4,FALSE)&amp;
IF(COUNTIF(G24,"*おにぎり*"),"　おにぎり",""),"")</f>
        <v/>
      </c>
      <c r="I24" t="str">
        <f ca="1">IF(H24&lt;&gt;"",
VLOOKUP(C24,クライアント抽出!$A:$G,3,FALSE)+
IF(COUNTIF(C24,"*博多*"),Y24,Z24),"")</f>
        <v/>
      </c>
      <c r="J24" t="str">
        <f ca="1">VLOOKUP(C24,クライアント抽出!$A:$O,12,FALSE)</f>
        <v/>
      </c>
      <c r="K24" t="str">
        <f ca="1">IF(J24&lt;&gt;"",
VLOOKUP(
"*"&amp;IF(COUNTIF(J24,"*キャラ弁*"),"キャラ",
IF(COUNTIF(J24,"*赤*"),"赤",SUBSTITUTE(SUBSTITUTE(J24," ",""),"　","")))&amp;"*",
注文弁当の抽出!$F:$I,4,FALSE)&amp;
IF(COUNTIF(J24,"*おにぎり*"),"　おにぎり",""),"")</f>
        <v/>
      </c>
      <c r="L24" t="str">
        <f ca="1">IF(K24&lt;&gt;"",
VLOOKUP(C24,クライアント抽出!$A:$G,4,FALSE)+AA24,"")</f>
        <v/>
      </c>
      <c r="M24" t="str">
        <f ca="1">VLOOKUP(C24,クライアント抽出!$A:$O,13,FALSE)</f>
        <v>赤　飯あり120</v>
      </c>
      <c r="N24" t="str">
        <f ca="1">SUBSTITUTE(
IF(M24&lt;&gt;"",
VLOOKUP(
"*"&amp;IF(COUNTIF(M24,"*キャラ弁*"),"キャラ",
IF(COUNTIF(M24,"*赤*"),"赤",SUBSTITUTE(SUBSTITUTE(D24," ",""),"　","")))&amp;"*",
注文弁当の抽出!$F:$I,4,FALSE),""),"園児","先生")&amp;
IF(COUNTIF(M24,"*おにぎり*"),"　おにぎり","")</f>
        <v>弁当　先生</v>
      </c>
      <c r="O24">
        <f ca="1">IF(N24&lt;&gt;"",VLOOKUP(C24,クライアント抽出!$A:$G,5,FALSE),"")</f>
        <v>16</v>
      </c>
      <c r="P24" t="str">
        <f ca="1">VLOOKUP(C24,クライアント抽出!$A:$O,14,FALSE)</f>
        <v/>
      </c>
      <c r="Q24" t="str">
        <f ca="1">SUBSTITUTE(
IF(P24&lt;&gt;"",
VLOOKUP(
"*"&amp;IF(COUNTIF(P24,"*キャラ弁*"),"キャラ",
IF(COUNTIF(P24,"*赤*"),"赤",SUBSTITUTE(SUBSTITUTE(G24," ",""),"　","")))&amp;"*",
注文弁当の抽出!$F:$I,4,FALSE),""),"園児","先生")&amp;
IF(COUNTIF(P24,"*おにぎり*"),"　おにぎり","")</f>
        <v/>
      </c>
      <c r="R24" t="str">
        <f ca="1">IF(Q24&lt;&gt;"",
VLOOKUP(C24,クライアント抽出!$A:$G,6,FALSE),"")</f>
        <v/>
      </c>
      <c r="S24" t="str">
        <f ca="1">VLOOKUP(C24,クライアント抽出!$A:$O,15,FALSE)</f>
        <v/>
      </c>
      <c r="T24" t="str">
        <f ca="1">SUBSTITUTE(
IF(S24&lt;&gt;"",
VLOOKUP(
"*"&amp;IF(COUNTIF(S24,"*キャラ弁*"),"キャラ",
IF(COUNTIF(S24,"*赤*"),"赤",SUBSTITUTE(SUBSTITUTE(J24," ",""),"　","")))&amp;"*",
注文弁当の抽出!$F:$I,4,FALSE),""),"園児","先生")&amp;
IF(COUNTIF(S24,"*おにぎり*"),"　おにぎり","")</f>
        <v/>
      </c>
      <c r="U24" t="str">
        <f ca="1">IF(T24&lt;&gt;"",
VLOOKUP(C24,クライアント抽出!$A:$G,7,FALSE),"")</f>
        <v/>
      </c>
      <c r="V24" t="str">
        <f ca="1">IF(A24&lt;&gt;"",
IF(COUNTIF(V23,"*牛乳*"),
IF(AND(COUNTIF(B23,"*奈良屋*"),COUNTIF(B24,"*奈良屋*")),
V23&amp;"✔",""),VLOOKUP(""&amp;A24&amp;"",数出表_Excel!$A:$Z,22,FALSE)&amp;VLOOKUP(""&amp;A24&amp;"",数出表_Excel!$A:$Z,23,FALSE)
&amp;VLOOKUP(""&amp;C24&amp;"",数出表_Excel!$A:$Z,22,FALSE)&amp;VLOOKUP(""&amp;C24&amp;"",数出表_Excel!$A:$Z,23,FALSE)),"")</f>
        <v/>
      </c>
      <c r="W24">
        <f ca="1">IF(AND(COUNTIF(V24,"&lt;&gt;*不要*"),A24&lt;&gt;""),VLOOKUP(A24,得意先マスタ!$A:$AD,24,FALSE),0)</f>
        <v>0</v>
      </c>
      <c r="X24">
        <f ca="1">IF(AND(COUNTIF(V24,"&lt;&gt;*不要*"),A24&lt;&gt;""),VLOOKUP(A24,得意先マスタ!$A:$AD,25,FALSE),0)</f>
        <v>0</v>
      </c>
      <c r="Y24">
        <f t="shared" ca="1" si="0"/>
        <v>0</v>
      </c>
      <c r="Z24">
        <f t="shared" ca="1" si="1"/>
        <v>0</v>
      </c>
      <c r="AA24">
        <f t="shared" ca="1" si="5"/>
        <v>0</v>
      </c>
      <c r="AB24" t="str">
        <f t="shared" ca="1" si="2"/>
        <v/>
      </c>
      <c r="AC24" t="str">
        <f t="array" aca="1" ref="AC24" ca="1">IFERROR(INDEX(24:24, SMALL(IF($D24:$U24&lt;&gt;"", COLUMN($D$1:$U24)), COLUMN(A24))), "")</f>
        <v>赤　飯あり120</v>
      </c>
      <c r="AD24" t="str">
        <f t="array" aca="1" ref="AD24" ca="1">IFERROR(INDEX(24:24, SMALL(IF($D24:$U24&lt;&gt;"", COLUMN($D$1:$U24)), COLUMN(B24))), "")</f>
        <v>弁当　園児</v>
      </c>
      <c r="AE24">
        <f t="array" aca="1" ref="AE24" ca="1">IFERROR(INDEX(24:24, SMALL(IF($D24:$U24&lt;&gt;"", COLUMN($D$1:$U24)), COLUMN(C24))), "")</f>
        <v>122</v>
      </c>
      <c r="AF24" t="str">
        <f t="array" aca="1" ref="AF24" ca="1">IFERROR(INDEX(24:24, SMALL(IF($D24:$U24&lt;&gt;"", COLUMN($D$1:$U24)), COLUMN(D24))), "")</f>
        <v>赤　飯あり120</v>
      </c>
      <c r="AG24" t="str">
        <f t="array" aca="1" ref="AG24" ca="1">IFERROR(INDEX(24:24, SMALL(IF($D24:$U24&lt;&gt;"", COLUMN($D$1:$U24)), COLUMN(E24))), "")</f>
        <v>弁当　先生</v>
      </c>
      <c r="AH24">
        <f t="array" aca="1" ref="AH24" ca="1">IFERROR(INDEX(24:24, SMALL(IF($D24:$U24&lt;&gt;"", COLUMN($D$1:$U24)), COLUMN(F24))), "")</f>
        <v>16</v>
      </c>
      <c r="AI24" t="str">
        <f t="array" aca="1" ref="AI24" ca="1">IFERROR(INDEX(24:24, SMALL(IF($D24:$U24&lt;&gt;"", COLUMN($D$1:$U24)), COLUMN(G24))), "")</f>
        <v/>
      </c>
      <c r="AJ24" t="str">
        <f t="array" aca="1" ref="AJ24" ca="1">IFERROR(INDEX(24:24, SMALL(IF($D24:$U24&lt;&gt;"", COLUMN($D$1:$U24)), COLUMN(H24))), "")</f>
        <v/>
      </c>
      <c r="AK24" t="str">
        <f t="array" aca="1" ref="AK24" ca="1">IFERROR(INDEX(24:24, SMALL(IF($D24:$U24&lt;&gt;"", COLUMN($D$1:$U24)), COLUMN(I24))), "")</f>
        <v/>
      </c>
      <c r="AL24" t="str">
        <f t="array" aca="1" ref="AL24" ca="1">IFERROR(INDEX(24:24, SMALL(IF($D24:$U24&lt;&gt;"", COLUMN($D$1:$U24)), COLUMN(J24))), "")</f>
        <v/>
      </c>
      <c r="AM24" t="str">
        <f t="array" aca="1" ref="AM24" ca="1">IFERROR(INDEX(24:24, SMALL(IF($D24:$U24&lt;&gt;"", COLUMN($D$1:$U24)), COLUMN(K24))), "")</f>
        <v/>
      </c>
      <c r="AN24" t="str">
        <f t="array" aca="1" ref="AN24" ca="1">IFERROR(INDEX(24:24, SMALL(IF($D24:$U24&lt;&gt;"", COLUMN($D$1:$U24)), COLUMN(L24))), "")</f>
        <v/>
      </c>
      <c r="AO24" t="str">
        <f t="array" aca="1" ref="AO24" ca="1">IFERROR(INDEX(24:24, SMALL(IF($D24:$U24&lt;&gt;"", COLUMN($D$1:$U24)), COLUMN(M24))), "")</f>
        <v/>
      </c>
      <c r="AP24" t="str">
        <f t="array" aca="1" ref="AP24" ca="1">IFERROR(INDEX(24:24, SMALL(IF($D24:$U24&lt;&gt;"", COLUMN($D$1:$U24)), COLUMN(N24))), "")</f>
        <v/>
      </c>
      <c r="AQ24" t="str">
        <f t="array" aca="1" ref="AQ24" ca="1">IFERROR(INDEX(24:24, SMALL(IF($D24:$U24&lt;&gt;"", COLUMN($D$1:$U24)), COLUMN(O24))), "")</f>
        <v/>
      </c>
      <c r="AR24" s="52" t="s">
        <v>4005</v>
      </c>
      <c r="AS24" t="str">
        <f t="shared" ca="1" si="3"/>
        <v/>
      </c>
      <c r="AT24" t="str">
        <f t="shared" ca="1" si="4"/>
        <v/>
      </c>
      <c r="AU24" t="str">
        <f t="shared" ca="1" si="6"/>
        <v/>
      </c>
      <c r="AV24" t="str">
        <f t="shared" ca="1" si="7"/>
        <v/>
      </c>
      <c r="AW24" t="str">
        <f t="shared" ca="1" si="8"/>
        <v/>
      </c>
      <c r="AX24" t="str">
        <f t="shared" ca="1" si="9"/>
        <v/>
      </c>
      <c r="AZ24" t="str">
        <f t="array" aca="1" ref="AZ24" ca="1">IFERROR(INDEX(24:24, SMALL(IF($AC24:$AX24&lt;&gt;"", COLUMN($AC$1:$AX24)), COLUMN(A24))), "")</f>
        <v>赤　飯あり120</v>
      </c>
      <c r="BA24" t="str">
        <f t="array" aca="1" ref="BA24" ca="1">IFERROR(INDEX(24:24, SMALL(IF($AC24:$AX24&lt;&gt;"", COLUMN($AC$1:$AX24)), COLUMN(B24))), "")</f>
        <v>弁当　園児</v>
      </c>
      <c r="BB24">
        <f t="array" aca="1" ref="BB24" ca="1">IFERROR(INDEX(24:24, SMALL(IF($AC24:$AX24&lt;&gt;"", COLUMN($AC$1:$AX24)), COLUMN(C24))), "")</f>
        <v>122</v>
      </c>
      <c r="BC24" t="str">
        <f t="array" aca="1" ref="BC24" ca="1">IFERROR(INDEX(24:24, SMALL(IF($AC24:$AX24&lt;&gt;"", COLUMN($AC$1:$AX24)), COLUMN(D24))), "")</f>
        <v>赤　飯あり120</v>
      </c>
      <c r="BD24" t="str">
        <f t="array" aca="1" ref="BD24" ca="1">IFERROR(INDEX(24:24, SMALL(IF($AC24:$AX24&lt;&gt;"", COLUMN($AC$1:$AX24)), COLUMN(E24))), "")</f>
        <v>弁当　先生</v>
      </c>
      <c r="BE24">
        <f t="array" aca="1" ref="BE24" ca="1">IFERROR(INDEX(24:24, SMALL(IF($AC24:$AX24&lt;&gt;"", COLUMN($AC$1:$AX24)), COLUMN(F24))), "")</f>
        <v>16</v>
      </c>
      <c r="BF24" t="str">
        <f t="array" aca="1" ref="BF24" ca="1">IFERROR(IF(AND(COUNTIF($B24,"*泉ヶ丘*"),COUNTIF($B25,"*泉ヶ丘*")),
IFERROR(INDEX(25:25, SMALL(IF($AC25:$AX25&lt;&gt;"", COLUMN($AC$1:$AX25)), COLUMN(A25))), ""),
INDEX(24:24, SMALL(IF($AC24:$AX24&lt;&gt;"", COLUMN($AC$1:$AX24)), COLUMN(G24)))), "")</f>
        <v>●</v>
      </c>
      <c r="BG24" t="str">
        <f t="array" aca="1" ref="BG24" ca="1">IFERROR(IF(AND(COUNTIF($B24,"*泉ヶ丘*"),COUNTIF($B25,"*泉ヶ丘*")),
IFERROR(INDEX(25:25, SMALL(IF($AC25:$AX25&lt;&gt;"", COLUMN($AC$1:$AX25)), COLUMN(B25))), ""),
INDEX(24:24, SMALL(IF($AC24:$AX24&lt;&gt;"", COLUMN($AC$1:$AX24)), COLUMN(H24)))), "")</f>
        <v/>
      </c>
      <c r="BH24" t="str">
        <f t="array" aca="1" ref="BH24" ca="1">IFERROR(IF(AND(COUNTIF($B24,"*泉ヶ丘*"),COUNTIF($B25,"*泉ヶ丘*")),
IFERROR(INDEX(25:25, SMALL(IF($AC25:$AX25&lt;&gt;"", COLUMN($AC$1:$AX25)), COLUMN(C25))), ""),
INDEX(24:24, SMALL(IF($AC24:$AX24&lt;&gt;"", COLUMN($AC$1:$AX24)), COLUMN(I24)))), "")</f>
        <v/>
      </c>
      <c r="BI24" t="str">
        <f t="array" aca="1" ref="BI24" ca="1">IFERROR(IF(AND(COUNTIF($B24,"*泉ヶ丘*"),COUNTIF($B25,"*泉ヶ丘*")),
IFERROR(INDEX(25:25, SMALL(IF($AC25:$AX25&lt;&gt;"", COLUMN($AC$1:$AX25)), COLUMN(D25))), ""),
INDEX(24:24, SMALL(IF($AC24:$AX24&lt;&gt;"", COLUMN($AC$1:$AX24)), COLUMN(J24)))), "")</f>
        <v/>
      </c>
      <c r="BJ24" t="str">
        <f t="array" aca="1" ref="BJ24" ca="1">IFERROR(IF(AND(COUNTIF($B24,"*泉ヶ丘*"),COUNTIF($B25,"*泉ヶ丘*")),
IFERROR(INDEX(25:25, SMALL(IF($AC25:$AX25&lt;&gt;"", COLUMN($AC$1:$AX25)), COLUMN(E25))), ""),
INDEX(24:24, SMALL(IF($AC24:$AX24&lt;&gt;"", COLUMN($AC$1:$AX24)), COLUMN(K24)))), "")</f>
        <v/>
      </c>
      <c r="BK24" t="str">
        <f t="array" aca="1" ref="BK24" ca="1">IFERROR(IF(AND(COUNTIF($B24,"*泉ヶ丘*"),COUNTIF($B25,"*泉ヶ丘*")),
IFERROR(INDEX(25:25, SMALL(IF($AC25:$AX25&lt;&gt;"", COLUMN($AC$1:$AX25)), COLUMN(F25))), ""),
INDEX(24:24, SMALL(IF($AC24:$AX24&lt;&gt;"", COLUMN($AC$1:$AX24)), COLUMN(L24)))), "")</f>
        <v/>
      </c>
      <c r="BL24" t="str">
        <f t="array" aca="1" ref="BL24" ca="1">IFERROR(IF(AND(COUNTIF($B24,"*泉ヶ丘*"),COUNTIF($B25,"*泉ヶ丘*")),
IFERROR(INDEX(25:25, SMALL(IF($AC25:$AX25&lt;&gt;"", COLUMN($AC$1:$AX25)), COLUMN(G25))), ""),
INDEX(24:24, SMALL(IF($AC24:$AX24&lt;&gt;"", COLUMN($AC$1:$AX24)), COLUMN(M24)))), "")</f>
        <v/>
      </c>
      <c r="BM24" t="str">
        <f t="array" aca="1" ref="BM24" ca="1">IFERROR(IF(AND(COUNTIF($B24,"*泉ヶ丘*"),COUNTIF($B25,"*泉ヶ丘*")),
IFERROR(INDEX(25:25, SMALL(IF($AC25:$AX25&lt;&gt;"", COLUMN($AC$1:$AX25)), COLUMN(H25))), ""),
INDEX(24:24, SMALL(IF($AC24:$AX24&lt;&gt;"", COLUMN($AC$1:$AX24)), COLUMN(N24)))), "")</f>
        <v/>
      </c>
      <c r="BN24" t="str">
        <f t="array" aca="1" ref="BN24" ca="1">IFERROR(IF(AND(COUNTIF($B24,"*泉ヶ丘*"),COUNTIF($B25,"*泉ヶ丘*")),
IFERROR(INDEX(25:25, SMALL(IF($AC25:$AX25&lt;&gt;"", COLUMN($AC$1:$AX25)), COLUMN(I25))), ""),
INDEX(24:24, SMALL(IF($AC24:$AX24&lt;&gt;"", COLUMN($AC$1:$AX24)), COLUMN(O24)))), "")</f>
        <v/>
      </c>
      <c r="BO24" t="str">
        <f t="array" aca="1" ref="BO24" ca="1">IFERROR(IF(AND(COUNTIF($B24,"*泉ヶ丘*"),COUNTIF($B25,"*泉ヶ丘*")),
IFERROR(INDEX(25:25, SMALL(IF($AC25:$AX25&lt;&gt;"", COLUMN($AC$1:$AX25)), COLUMN(J25))), ""),
INDEX(24:24, SMALL(IF($AC24:$AX24&lt;&gt;"", COLUMN($AC$1:$AX24)), COLUMN(P24)))), "")</f>
        <v/>
      </c>
      <c r="BP24" t="str">
        <f t="array" aca="1" ref="BP24" ca="1">IFERROR(IF(AND(COUNTIF($B24,"*泉ヶ丘*"),COUNTIF($B25,"*泉ヶ丘*")),
IFERROR(INDEX(25:25, SMALL(IF($AC25:$AX25&lt;&gt;"", COLUMN($AC$1:$AX25)), COLUMN(K25))), ""),
INDEX(24:24, SMALL(IF($AC24:$AX24&lt;&gt;"", COLUMN($AC$1:$AX24)), COLUMN(Q24)))), "")</f>
        <v/>
      </c>
      <c r="BQ24" t="str">
        <f t="array" aca="1" ref="BQ24" ca="1">IFERROR(IF(AND(COUNTIF($B24,"*泉ヶ丘*"),COUNTIF($B25,"*泉ヶ丘*")),
IFERROR(INDEX(25:25, SMALL(IF($AC25:$AX25&lt;&gt;"", COLUMN($AC$1:$AX25)), COLUMN(L25))), ""),
INDEX(24:24, SMALL(IF($AC24:$AX24&lt;&gt;"", COLUMN($AC$1:$AX24)), COLUMN(R24)))), "")</f>
        <v/>
      </c>
    </row>
    <row r="25" spans="1:69" x14ac:dyDescent="0.45">
      <c r="A25" t="str">
        <f t="array" ref="A25">IF(INDEX(貼り付け用!A:A,MATCH(A24,貼り付け用!A:A,0)+2)="4700",
IF(INDEX(貼り付け用!A:A,MATCH(A24,貼り付け用!A:A,0)+4)="4800",
INDEX(貼り付け用!A:A,MATCH(A24,貼り付け用!A:A,0)+6),
INDEX(貼り付け用!A:A,MATCH(A24,貼り付け用!A:A,0)+4)),INDEX(貼り付け用!A:A,MATCH(A24,貼り付け用!A:A,0)+2))</f>
        <v>2200</v>
      </c>
      <c r="B25" t="str">
        <f>IF(A25&lt;&gt;"",
VLOOKUP(A25,得意先マスタ!A:D,2,FALSE),"")</f>
        <v>志免中央幼稚園　園児</v>
      </c>
      <c r="C25" t="str">
        <f t="array" ref="C25">IF(A25="10000","",INDEX(貼り付け用!A:A,MATCH(A25,貼り付け用!A:A,0)+1))</f>
        <v>志免中央幼稚園</v>
      </c>
      <c r="D25" t="str">
        <f ca="1">VLOOKUP(C25,クライアント抽出!$A:$O,10,FALSE)</f>
        <v>配膳スマ</v>
      </c>
      <c r="E25" t="str">
        <f ca="1">IF(D25&lt;&gt;"",
IF(COUNTIF(C25,"*ぺんぎん*"),
VLOOKUP(
"*"&amp;IF(COUNTIF(D25,"*キャラ弁*"),"キャラ",
IF(COUNTIF(D25,"*赤*"),"赤",SUBSTITUTE(SUBSTITUTE(D25," ",""),"　","")))&amp;"*",
注文弁当の抽出!$F:$I,4,FALSE)&amp;
IF(COUNTIF(D25,"*おにぎり*"),"　おにぎり","")&amp;"　（ぺんぎん組）",
VLOOKUP(
"*"&amp;IF(COUNTIF(D25,"*キャラ弁*"),"キャラ",
IF(COUNTIF(D25,"*赤*"),"赤",SUBSTITUTE(SUBSTITUTE(D25," ",""),"　","")))&amp;"*",
注文弁当の抽出!$F:$I,4,FALSE)&amp;
IF(COUNTIF(D25,"*おにぎり*"),"　おにぎり","")),"")</f>
        <v>配膳給食　園児</v>
      </c>
      <c r="F25">
        <f ca="1">IFERROR(IF(E25&lt;&gt;"",
VLOOKUP(C25,クライアント抽出!$A:$G,2,FALSE)+
IF(COUNTIF(Y25,"*-*"),Y25,0),"")
-IFERROR(MID(V25, SEARCH("予備", V25) + LEN("予備"), SEARCH("込み", V25) - (SEARCH("予備", V25) + LEN("予備"))),0),"")</f>
        <v>219</v>
      </c>
      <c r="G25" t="str">
        <f ca="1">VLOOKUP(C25,クライアント抽出!$A:$O,11,FALSE)</f>
        <v/>
      </c>
      <c r="H25" t="str">
        <f ca="1">IF(G25&lt;&gt;"",
VLOOKUP(
"*"&amp;IF(COUNTIF(G25,"*キャラ弁*"),"キャラ",
IF(COUNTIF(G25,"*赤*"),"赤",SUBSTITUTE(SUBSTITUTE(G25," ",""),"　","")))&amp;"*",
注文弁当の抽出!$F:$I,4,FALSE)&amp;
IF(COUNTIF(G25,"*おにぎり*"),"　おにぎり",""),"")</f>
        <v/>
      </c>
      <c r="I25" t="str">
        <f ca="1">IF(H25&lt;&gt;"",
VLOOKUP(C25,クライアント抽出!$A:$G,3,FALSE)+
IF(COUNTIF(C25,"*博多*"),Y25,Z25),"")</f>
        <v/>
      </c>
      <c r="J25" t="str">
        <f ca="1">VLOOKUP(C25,クライアント抽出!$A:$O,12,FALSE)</f>
        <v/>
      </c>
      <c r="K25" t="str">
        <f ca="1">IF(J25&lt;&gt;"",
VLOOKUP(
"*"&amp;IF(COUNTIF(J25,"*キャラ弁*"),"キャラ",
IF(COUNTIF(J25,"*赤*"),"赤",SUBSTITUTE(SUBSTITUTE(J25," ",""),"　","")))&amp;"*",
注文弁当の抽出!$F:$I,4,FALSE)&amp;
IF(COUNTIF(J25,"*おにぎり*"),"　おにぎり",""),"")</f>
        <v/>
      </c>
      <c r="L25" t="str">
        <f ca="1">IF(K25&lt;&gt;"",
VLOOKUP(C25,クライアント抽出!$A:$G,4,FALSE)+AA25,"")</f>
        <v/>
      </c>
      <c r="M25" t="str">
        <f ca="1">VLOOKUP(C25,クライアント抽出!$A:$O,13,FALSE)</f>
        <v>配膳スマ</v>
      </c>
      <c r="N25" t="str">
        <f ca="1">SUBSTITUTE(
IF(M25&lt;&gt;"",
VLOOKUP(
"*"&amp;IF(COUNTIF(M25,"*キャラ弁*"),"キャラ",
IF(COUNTIF(M25,"*赤*"),"赤",SUBSTITUTE(SUBSTITUTE(D25," ",""),"　","")))&amp;"*",
注文弁当の抽出!$F:$I,4,FALSE),""),"園児","先生")&amp;
IF(COUNTIF(M25,"*おにぎり*"),"　おにぎり","")</f>
        <v>配膳給食　先生</v>
      </c>
      <c r="O25">
        <f ca="1">IF(N25&lt;&gt;"",VLOOKUP(C25,クライアント抽出!$A:$G,5,FALSE),"")</f>
        <v>29</v>
      </c>
      <c r="P25" t="str">
        <f ca="1">VLOOKUP(C25,クライアント抽出!$A:$O,14,FALSE)</f>
        <v/>
      </c>
      <c r="Q25" t="str">
        <f ca="1">SUBSTITUTE(
IF(P25&lt;&gt;"",
VLOOKUP(
"*"&amp;IF(COUNTIF(P25,"*キャラ弁*"),"キャラ",
IF(COUNTIF(P25,"*赤*"),"赤",SUBSTITUTE(SUBSTITUTE(G25," ",""),"　","")))&amp;"*",
注文弁当の抽出!$F:$I,4,FALSE),""),"園児","先生")&amp;
IF(COUNTIF(P25,"*おにぎり*"),"　おにぎり","")</f>
        <v/>
      </c>
      <c r="R25" t="str">
        <f ca="1">IF(Q25&lt;&gt;"",
VLOOKUP(C25,クライアント抽出!$A:$G,6,FALSE),"")</f>
        <v/>
      </c>
      <c r="S25" t="str">
        <f ca="1">VLOOKUP(C25,クライアント抽出!$A:$O,15,FALSE)</f>
        <v/>
      </c>
      <c r="T25" t="str">
        <f ca="1">SUBSTITUTE(
IF(S25&lt;&gt;"",
VLOOKUP(
"*"&amp;IF(COUNTIF(S25,"*キャラ弁*"),"キャラ",
IF(COUNTIF(S25,"*赤*"),"赤",SUBSTITUTE(SUBSTITUTE(J25," ",""),"　","")))&amp;"*",
注文弁当の抽出!$F:$I,4,FALSE),""),"園児","先生")&amp;
IF(COUNTIF(S25,"*おにぎり*"),"　おにぎり","")</f>
        <v/>
      </c>
      <c r="U25" t="str">
        <f ca="1">IF(T25&lt;&gt;"",
VLOOKUP(C25,クライアント抽出!$A:$G,7,FALSE),"")</f>
        <v/>
      </c>
      <c r="V25" t="str">
        <f ca="1">IF(A25&lt;&gt;"",
IF(COUNTIF(V24,"*牛乳*"),
IF(AND(COUNTIF(B24,"*奈良屋*"),COUNTIF(B25,"*奈良屋*")),
V24&amp;"✔",""),VLOOKUP(""&amp;A25&amp;"",数出表_Excel!$A:$Z,22,FALSE)&amp;VLOOKUP(""&amp;A25&amp;"",数出表_Excel!$A:$Z,23,FALSE)
&amp;VLOOKUP(""&amp;C25&amp;"",数出表_Excel!$A:$Z,22,FALSE)&amp;VLOOKUP(""&amp;C25&amp;"",数出表_Excel!$A:$Z,23,FALSE)),"")</f>
        <v>先生+2</v>
      </c>
      <c r="W25">
        <f ca="1">IF(AND(COUNTIF(V25,"&lt;&gt;*不要*"),A25&lt;&gt;""),VLOOKUP(A25,得意先マスタ!$A:$AD,24,FALSE),0)</f>
        <v>0</v>
      </c>
      <c r="X25">
        <f ca="1">IF(AND(COUNTIF(V25,"&lt;&gt;*不要*"),A25&lt;&gt;""),VLOOKUP(A25,得意先マスタ!$A:$AD,25,FALSE),0)</f>
        <v>0</v>
      </c>
      <c r="Y25">
        <f t="shared" ca="1" si="0"/>
        <v>0</v>
      </c>
      <c r="Z25">
        <f t="shared" ca="1" si="1"/>
        <v>0</v>
      </c>
      <c r="AA25">
        <f t="shared" ca="1" si="5"/>
        <v>0</v>
      </c>
      <c r="AB25" t="str">
        <f t="shared" ca="1" si="2"/>
        <v/>
      </c>
      <c r="AC25" t="str">
        <f t="array" aca="1" ref="AC25" ca="1">IFERROR(INDEX(25:25, SMALL(IF($D25:$U25&lt;&gt;"", COLUMN($D$1:$U25)), COLUMN(A25))), "")</f>
        <v>配膳スマ</v>
      </c>
      <c r="AD25" t="str">
        <f t="array" aca="1" ref="AD25" ca="1">IFERROR(INDEX(25:25, SMALL(IF($D25:$U25&lt;&gt;"", COLUMN($D$1:$U25)), COLUMN(B25))), "")</f>
        <v>配膳給食　園児</v>
      </c>
      <c r="AE25">
        <f t="array" aca="1" ref="AE25" ca="1">IFERROR(INDEX(25:25, SMALL(IF($D25:$U25&lt;&gt;"", COLUMN($D$1:$U25)), COLUMN(C25))), "")</f>
        <v>219</v>
      </c>
      <c r="AF25" t="str">
        <f t="array" aca="1" ref="AF25" ca="1">IFERROR(INDEX(25:25, SMALL(IF($D25:$U25&lt;&gt;"", COLUMN($D$1:$U25)), COLUMN(D25))), "")</f>
        <v>配膳スマ</v>
      </c>
      <c r="AG25" t="str">
        <f t="array" aca="1" ref="AG25" ca="1">IFERROR(INDEX(25:25, SMALL(IF($D25:$U25&lt;&gt;"", COLUMN($D$1:$U25)), COLUMN(E25))), "")</f>
        <v>配膳給食　先生</v>
      </c>
      <c r="AH25">
        <f t="array" aca="1" ref="AH25" ca="1">IFERROR(INDEX(25:25, SMALL(IF($D25:$U25&lt;&gt;"", COLUMN($D$1:$U25)), COLUMN(F25))), "")</f>
        <v>29</v>
      </c>
      <c r="AI25" t="str">
        <f t="array" aca="1" ref="AI25" ca="1">IFERROR(INDEX(25:25, SMALL(IF($D25:$U25&lt;&gt;"", COLUMN($D$1:$U25)), COLUMN(G25))), "")</f>
        <v/>
      </c>
      <c r="AJ25" t="str">
        <f t="array" aca="1" ref="AJ25" ca="1">IFERROR(INDEX(25:25, SMALL(IF($D25:$U25&lt;&gt;"", COLUMN($D$1:$U25)), COLUMN(H25))), "")</f>
        <v/>
      </c>
      <c r="AK25" t="str">
        <f t="array" aca="1" ref="AK25" ca="1">IFERROR(INDEX(25:25, SMALL(IF($D25:$U25&lt;&gt;"", COLUMN($D$1:$U25)), COLUMN(I25))), "")</f>
        <v/>
      </c>
      <c r="AL25" t="str">
        <f t="array" aca="1" ref="AL25" ca="1">IFERROR(INDEX(25:25, SMALL(IF($D25:$U25&lt;&gt;"", COLUMN($D$1:$U25)), COLUMN(J25))), "")</f>
        <v/>
      </c>
      <c r="AM25" t="str">
        <f t="array" aca="1" ref="AM25" ca="1">IFERROR(INDEX(25:25, SMALL(IF($D25:$U25&lt;&gt;"", COLUMN($D$1:$U25)), COLUMN(K25))), "")</f>
        <v/>
      </c>
      <c r="AN25" t="str">
        <f t="array" aca="1" ref="AN25" ca="1">IFERROR(INDEX(25:25, SMALL(IF($D25:$U25&lt;&gt;"", COLUMN($D$1:$U25)), COLUMN(L25))), "")</f>
        <v/>
      </c>
      <c r="AO25" t="str">
        <f t="array" aca="1" ref="AO25" ca="1">IFERROR(INDEX(25:25, SMALL(IF($D25:$U25&lt;&gt;"", COLUMN($D$1:$U25)), COLUMN(M25))), "")</f>
        <v/>
      </c>
      <c r="AP25" t="str">
        <f t="array" aca="1" ref="AP25" ca="1">IFERROR(INDEX(25:25, SMALL(IF($D25:$U25&lt;&gt;"", COLUMN($D$1:$U25)), COLUMN(N25))), "")</f>
        <v/>
      </c>
      <c r="AQ25" t="str">
        <f t="array" aca="1" ref="AQ25" ca="1">IFERROR(INDEX(25:25, SMALL(IF($D25:$U25&lt;&gt;"", COLUMN($D$1:$U25)), COLUMN(O25))), "")</f>
        <v/>
      </c>
      <c r="AR25" s="52" t="s">
        <v>4005</v>
      </c>
      <c r="AS25" t="str">
        <f t="shared" ca="1" si="3"/>
        <v/>
      </c>
      <c r="AT25" t="str">
        <f t="shared" ca="1" si="4"/>
        <v/>
      </c>
      <c r="AU25" t="str">
        <f t="shared" ca="1" si="6"/>
        <v/>
      </c>
      <c r="AV25" t="str">
        <f t="shared" ca="1" si="7"/>
        <v/>
      </c>
      <c r="AW25" t="str">
        <f t="shared" ca="1" si="8"/>
        <v/>
      </c>
      <c r="AX25" t="str">
        <f t="shared" ca="1" si="9"/>
        <v/>
      </c>
      <c r="AZ25" t="str">
        <f t="array" aca="1" ref="AZ25" ca="1">IFERROR(INDEX(25:25, SMALL(IF($AC25:$AX25&lt;&gt;"", COLUMN($AC$1:$AX25)), COLUMN(A25))), "")</f>
        <v>配膳スマ</v>
      </c>
      <c r="BA25" t="str">
        <f t="array" aca="1" ref="BA25" ca="1">IFERROR(INDEX(25:25, SMALL(IF($AC25:$AX25&lt;&gt;"", COLUMN($AC$1:$AX25)), COLUMN(B25))), "")</f>
        <v>配膳給食　園児</v>
      </c>
      <c r="BB25">
        <f t="array" aca="1" ref="BB25" ca="1">IFERROR(INDEX(25:25, SMALL(IF($AC25:$AX25&lt;&gt;"", COLUMN($AC$1:$AX25)), COLUMN(C25))), "")</f>
        <v>219</v>
      </c>
      <c r="BC25" t="str">
        <f t="array" aca="1" ref="BC25" ca="1">IFERROR(INDEX(25:25, SMALL(IF($AC25:$AX25&lt;&gt;"", COLUMN($AC$1:$AX25)), COLUMN(D25))), "")</f>
        <v>配膳スマ</v>
      </c>
      <c r="BD25" t="str">
        <f t="array" aca="1" ref="BD25" ca="1">IFERROR(INDEX(25:25, SMALL(IF($AC25:$AX25&lt;&gt;"", COLUMN($AC$1:$AX25)), COLUMN(E25))), "")</f>
        <v>配膳給食　先生</v>
      </c>
      <c r="BE25">
        <f t="array" aca="1" ref="BE25" ca="1">IFERROR(INDEX(25:25, SMALL(IF($AC25:$AX25&lt;&gt;"", COLUMN($AC$1:$AX25)), COLUMN(F25))), "")</f>
        <v>29</v>
      </c>
      <c r="BF25" t="str">
        <f t="array" aca="1" ref="BF25" ca="1">IFERROR(IF(AND(COUNTIF($B25,"*泉ヶ丘*"),COUNTIF($B26,"*泉ヶ丘*")),
IFERROR(INDEX(26:26, SMALL(IF($AC26:$AX26&lt;&gt;"", COLUMN($AC$1:$AX26)), COLUMN(A26))), ""),
INDEX(25:25, SMALL(IF($AC25:$AX25&lt;&gt;"", COLUMN($AC$1:$AX25)), COLUMN(G25)))), "")</f>
        <v>●</v>
      </c>
      <c r="BG25" t="str">
        <f t="array" aca="1" ref="BG25" ca="1">IFERROR(IF(AND(COUNTIF($B25,"*泉ヶ丘*"),COUNTIF($B26,"*泉ヶ丘*")),
IFERROR(INDEX(26:26, SMALL(IF($AC26:$AX26&lt;&gt;"", COLUMN($AC$1:$AX26)), COLUMN(B26))), ""),
INDEX(25:25, SMALL(IF($AC25:$AX25&lt;&gt;"", COLUMN($AC$1:$AX25)), COLUMN(H25)))), "")</f>
        <v/>
      </c>
      <c r="BH25" t="str">
        <f t="array" aca="1" ref="BH25" ca="1">IFERROR(IF(AND(COUNTIF($B25,"*泉ヶ丘*"),COUNTIF($B26,"*泉ヶ丘*")),
IFERROR(INDEX(26:26, SMALL(IF($AC26:$AX26&lt;&gt;"", COLUMN($AC$1:$AX26)), COLUMN(C26))), ""),
INDEX(25:25, SMALL(IF($AC25:$AX25&lt;&gt;"", COLUMN($AC$1:$AX25)), COLUMN(I25)))), "")</f>
        <v/>
      </c>
      <c r="BI25" t="str">
        <f t="array" aca="1" ref="BI25" ca="1">IFERROR(IF(AND(COUNTIF($B25,"*泉ヶ丘*"),COUNTIF($B26,"*泉ヶ丘*")),
IFERROR(INDEX(26:26, SMALL(IF($AC26:$AX26&lt;&gt;"", COLUMN($AC$1:$AX26)), COLUMN(D26))), ""),
INDEX(25:25, SMALL(IF($AC25:$AX25&lt;&gt;"", COLUMN($AC$1:$AX25)), COLUMN(J25)))), "")</f>
        <v/>
      </c>
      <c r="BJ25" t="str">
        <f t="array" aca="1" ref="BJ25" ca="1">IFERROR(IF(AND(COUNTIF($B25,"*泉ヶ丘*"),COUNTIF($B26,"*泉ヶ丘*")),
IFERROR(INDEX(26:26, SMALL(IF($AC26:$AX26&lt;&gt;"", COLUMN($AC$1:$AX26)), COLUMN(E26))), ""),
INDEX(25:25, SMALL(IF($AC25:$AX25&lt;&gt;"", COLUMN($AC$1:$AX25)), COLUMN(K25)))), "")</f>
        <v/>
      </c>
      <c r="BK25" t="str">
        <f t="array" aca="1" ref="BK25" ca="1">IFERROR(IF(AND(COUNTIF($B25,"*泉ヶ丘*"),COUNTIF($B26,"*泉ヶ丘*")),
IFERROR(INDEX(26:26, SMALL(IF($AC26:$AX26&lt;&gt;"", COLUMN($AC$1:$AX26)), COLUMN(F26))), ""),
INDEX(25:25, SMALL(IF($AC25:$AX25&lt;&gt;"", COLUMN($AC$1:$AX25)), COLUMN(L25)))), "")</f>
        <v/>
      </c>
      <c r="BL25" t="str">
        <f t="array" aca="1" ref="BL25" ca="1">IFERROR(IF(AND(COUNTIF($B25,"*泉ヶ丘*"),COUNTIF($B26,"*泉ヶ丘*")),
IFERROR(INDEX(26:26, SMALL(IF($AC26:$AX26&lt;&gt;"", COLUMN($AC$1:$AX26)), COLUMN(G26))), ""),
INDEX(25:25, SMALL(IF($AC25:$AX25&lt;&gt;"", COLUMN($AC$1:$AX25)), COLUMN(M25)))), "")</f>
        <v/>
      </c>
      <c r="BM25" t="str">
        <f t="array" aca="1" ref="BM25" ca="1">IFERROR(IF(AND(COUNTIF($B25,"*泉ヶ丘*"),COUNTIF($B26,"*泉ヶ丘*")),
IFERROR(INDEX(26:26, SMALL(IF($AC26:$AX26&lt;&gt;"", COLUMN($AC$1:$AX26)), COLUMN(H26))), ""),
INDEX(25:25, SMALL(IF($AC25:$AX25&lt;&gt;"", COLUMN($AC$1:$AX25)), COLUMN(N25)))), "")</f>
        <v/>
      </c>
      <c r="BN25" t="str">
        <f t="array" aca="1" ref="BN25" ca="1">IFERROR(IF(AND(COUNTIF($B25,"*泉ヶ丘*"),COUNTIF($B26,"*泉ヶ丘*")),
IFERROR(INDEX(26:26, SMALL(IF($AC26:$AX26&lt;&gt;"", COLUMN($AC$1:$AX26)), COLUMN(I26))), ""),
INDEX(25:25, SMALL(IF($AC25:$AX25&lt;&gt;"", COLUMN($AC$1:$AX25)), COLUMN(O25)))), "")</f>
        <v/>
      </c>
      <c r="BO25" t="str">
        <f t="array" aca="1" ref="BO25" ca="1">IFERROR(IF(AND(COUNTIF($B25,"*泉ヶ丘*"),COUNTIF($B26,"*泉ヶ丘*")),
IFERROR(INDEX(26:26, SMALL(IF($AC26:$AX26&lt;&gt;"", COLUMN($AC$1:$AX26)), COLUMN(J26))), ""),
INDEX(25:25, SMALL(IF($AC25:$AX25&lt;&gt;"", COLUMN($AC$1:$AX25)), COLUMN(P25)))), "")</f>
        <v/>
      </c>
      <c r="BP25" t="str">
        <f t="array" aca="1" ref="BP25" ca="1">IFERROR(IF(AND(COUNTIF($B25,"*泉ヶ丘*"),COUNTIF($B26,"*泉ヶ丘*")),
IFERROR(INDEX(26:26, SMALL(IF($AC26:$AX26&lt;&gt;"", COLUMN($AC$1:$AX26)), COLUMN(K26))), ""),
INDEX(25:25, SMALL(IF($AC25:$AX25&lt;&gt;"", COLUMN($AC$1:$AX25)), COLUMN(Q25)))), "")</f>
        <v/>
      </c>
      <c r="BQ25" t="str">
        <f t="array" aca="1" ref="BQ25" ca="1">IFERROR(IF(AND(COUNTIF($B25,"*泉ヶ丘*"),COUNTIF($B26,"*泉ヶ丘*")),
IFERROR(INDEX(26:26, SMALL(IF($AC26:$AX26&lt;&gt;"", COLUMN($AC$1:$AX26)), COLUMN(L26))), ""),
INDEX(25:25, SMALL(IF($AC25:$AX25&lt;&gt;"", COLUMN($AC$1:$AX25)), COLUMN(R25)))), "")</f>
        <v/>
      </c>
    </row>
    <row r="26" spans="1:69" x14ac:dyDescent="0.45">
      <c r="A26" t="str">
        <f t="array" ref="A26">IF(INDEX(貼り付け用!A:A,MATCH(A25,貼り付け用!A:A,0)+2)="4700",
IF(INDEX(貼り付け用!A:A,MATCH(A25,貼り付け用!A:A,0)+4)="4800",
INDEX(貼り付け用!A:A,MATCH(A25,貼り付け用!A:A,0)+6),
INDEX(貼り付け用!A:A,MATCH(A25,貼り付け用!A:A,0)+4)),INDEX(貼り付け用!A:A,MATCH(A25,貼り付け用!A:A,0)+2))</f>
        <v>17600</v>
      </c>
      <c r="B26" t="str">
        <f>IF(A26&lt;&gt;"",
VLOOKUP(A26,得意先マスタ!A:D,2,FALSE),"")</f>
        <v>シャインスターキッズ</v>
      </c>
      <c r="C26" t="str">
        <f t="array" ref="C26">IF(A26="10000","",INDEX(貼り付け用!A:A,MATCH(A26,貼り付け用!A:A,0)+1))</f>
        <v>シャインスターキッズ</v>
      </c>
      <c r="D26" t="str">
        <f ca="1">VLOOKUP(C26,クライアント抽出!$A:$O,10,FALSE)</f>
        <v>赤　飯あり120</v>
      </c>
      <c r="E26" t="str">
        <f ca="1">IF(D26&lt;&gt;"",
IF(COUNTIF(C26,"*ぺんぎん*"),
VLOOKUP(
"*"&amp;IF(COUNTIF(D26,"*キャラ弁*"),"キャラ",
IF(COUNTIF(D26,"*赤*"),"赤",SUBSTITUTE(SUBSTITUTE(D26," ",""),"　","")))&amp;"*",
注文弁当の抽出!$F:$I,4,FALSE)&amp;
IF(COUNTIF(D26,"*おにぎり*"),"　おにぎり","")&amp;"　（ぺんぎん組）",
VLOOKUP(
"*"&amp;IF(COUNTIF(D26,"*キャラ弁*"),"キャラ",
IF(COUNTIF(D26,"*赤*"),"赤",SUBSTITUTE(SUBSTITUTE(D26," ",""),"　","")))&amp;"*",
注文弁当の抽出!$F:$I,4,FALSE)&amp;
IF(COUNTIF(D26,"*おにぎり*"),"　おにぎり","")),"")</f>
        <v>弁当　園児</v>
      </c>
      <c r="F26">
        <f ca="1">IFERROR(IF(E26&lt;&gt;"",
VLOOKUP(C26,クライアント抽出!$A:$G,2,FALSE)+
IF(COUNTIF(Y26,"*-*"),Y26,0),"")
-IFERROR(MID(V26, SEARCH("予備", V26) + LEN("予備"), SEARCH("込み", V26) - (SEARCH("予備", V26) + LEN("予備"))),0),"")</f>
        <v>6</v>
      </c>
      <c r="G26" t="str">
        <f ca="1">VLOOKUP(C26,クライアント抽出!$A:$O,11,FALSE)</f>
        <v/>
      </c>
      <c r="H26" t="str">
        <f ca="1">IF(G26&lt;&gt;"",
VLOOKUP(
"*"&amp;IF(COUNTIF(G26,"*キャラ弁*"),"キャラ",
IF(COUNTIF(G26,"*赤*"),"赤",SUBSTITUTE(SUBSTITUTE(G26," ",""),"　","")))&amp;"*",
注文弁当の抽出!$F:$I,4,FALSE)&amp;
IF(COUNTIF(G26,"*おにぎり*"),"　おにぎり",""),"")</f>
        <v/>
      </c>
      <c r="I26" t="str">
        <f ca="1">IF(H26&lt;&gt;"",
VLOOKUP(C26,クライアント抽出!$A:$G,3,FALSE)+
IF(COUNTIF(C26,"*博多*"),Y26,Z26),"")</f>
        <v/>
      </c>
      <c r="J26" t="str">
        <f ca="1">VLOOKUP(C26,クライアント抽出!$A:$O,12,FALSE)</f>
        <v/>
      </c>
      <c r="K26" t="str">
        <f ca="1">IF(J26&lt;&gt;"",
VLOOKUP(
"*"&amp;IF(COUNTIF(J26,"*キャラ弁*"),"キャラ",
IF(COUNTIF(J26,"*赤*"),"赤",SUBSTITUTE(SUBSTITUTE(J26," ",""),"　","")))&amp;"*",
注文弁当の抽出!$F:$I,4,FALSE)&amp;
IF(COUNTIF(J26,"*おにぎり*"),"　おにぎり",""),"")</f>
        <v/>
      </c>
      <c r="L26" t="str">
        <f ca="1">IF(K26&lt;&gt;"",
VLOOKUP(C26,クライアント抽出!$A:$G,4,FALSE)+AA26,"")</f>
        <v/>
      </c>
      <c r="M26" t="str">
        <f ca="1">VLOOKUP(C26,クライアント抽出!$A:$O,13,FALSE)</f>
        <v>赤　飯あり120</v>
      </c>
      <c r="N26" t="str">
        <f ca="1">SUBSTITUTE(
IF(M26&lt;&gt;"",
VLOOKUP(
"*"&amp;IF(COUNTIF(M26,"*キャラ弁*"),"キャラ",
IF(COUNTIF(M26,"*赤*"),"赤",SUBSTITUTE(SUBSTITUTE(D26," ",""),"　","")))&amp;"*",
注文弁当の抽出!$F:$I,4,FALSE),""),"園児","先生")&amp;
IF(COUNTIF(M26,"*おにぎり*"),"　おにぎり","")</f>
        <v>弁当　先生</v>
      </c>
      <c r="O26">
        <f ca="1">IF(N26&lt;&gt;"",VLOOKUP(C26,クライアント抽出!$A:$G,5,FALSE),"")</f>
        <v>1</v>
      </c>
      <c r="P26" t="str">
        <f ca="1">VLOOKUP(C26,クライアント抽出!$A:$O,14,FALSE)</f>
        <v/>
      </c>
      <c r="Q26" t="str">
        <f ca="1">SUBSTITUTE(
IF(P26&lt;&gt;"",
VLOOKUP(
"*"&amp;IF(COUNTIF(P26,"*キャラ弁*"),"キャラ",
IF(COUNTIF(P26,"*赤*"),"赤",SUBSTITUTE(SUBSTITUTE(G26," ",""),"　","")))&amp;"*",
注文弁当の抽出!$F:$I,4,FALSE),""),"園児","先生")&amp;
IF(COUNTIF(P26,"*おにぎり*"),"　おにぎり","")</f>
        <v/>
      </c>
      <c r="R26" t="str">
        <f ca="1">IF(Q26&lt;&gt;"",
VLOOKUP(C26,クライアント抽出!$A:$G,6,FALSE),"")</f>
        <v/>
      </c>
      <c r="S26" t="str">
        <f ca="1">VLOOKUP(C26,クライアント抽出!$A:$O,15,FALSE)</f>
        <v/>
      </c>
      <c r="T26" t="str">
        <f ca="1">SUBSTITUTE(
IF(S26&lt;&gt;"",
VLOOKUP(
"*"&amp;IF(COUNTIF(S26,"*キャラ弁*"),"キャラ",
IF(COUNTIF(S26,"*赤*"),"赤",SUBSTITUTE(SUBSTITUTE(J26," ",""),"　","")))&amp;"*",
注文弁当の抽出!$F:$I,4,FALSE),""),"園児","先生")&amp;
IF(COUNTIF(S26,"*おにぎり*"),"　おにぎり","")</f>
        <v/>
      </c>
      <c r="U26" t="str">
        <f ca="1">IF(T26&lt;&gt;"",
VLOOKUP(C26,クライアント抽出!$A:$G,7,FALSE),"")</f>
        <v/>
      </c>
      <c r="V26" t="str">
        <f ca="1">IF(A26&lt;&gt;"",
IF(COUNTIF(V25,"*牛乳*"),
IF(AND(COUNTIF(B25,"*奈良屋*"),COUNTIF(B26,"*奈良屋*")),
V25&amp;"✔",""),VLOOKUP(""&amp;A26&amp;"",数出表_Excel!$A:$Z,22,FALSE)&amp;VLOOKUP(""&amp;A26&amp;"",数出表_Excel!$A:$Z,23,FALSE)
&amp;VLOOKUP(""&amp;C26&amp;"",数出表_Excel!$A:$Z,22,FALSE)&amp;VLOOKUP(""&amp;C26&amp;"",数出表_Excel!$A:$Z,23,FALSE)),"")</f>
        <v>ｱﾚ0</v>
      </c>
      <c r="W26">
        <f ca="1">IF(AND(COUNTIF(V26,"&lt;&gt;*不要*"),A26&lt;&gt;""),VLOOKUP(A26,得意先マスタ!$A:$AD,24,FALSE),0)</f>
        <v>0</v>
      </c>
      <c r="X26">
        <f ca="1">IF(AND(COUNTIF(V26,"&lt;&gt;*不要*"),A26&lt;&gt;""),VLOOKUP(A26,得意先マスタ!$A:$AD,25,FALSE),0)</f>
        <v>0</v>
      </c>
      <c r="Y26">
        <f t="shared" ca="1" si="0"/>
        <v>0</v>
      </c>
      <c r="Z26">
        <f t="shared" ca="1" si="1"/>
        <v>0</v>
      </c>
      <c r="AA26">
        <f t="shared" ca="1" si="5"/>
        <v>0</v>
      </c>
      <c r="AB26" t="str">
        <f t="shared" ca="1" si="2"/>
        <v/>
      </c>
      <c r="AC26" t="str">
        <f t="array" aca="1" ref="AC26" ca="1">IFERROR(INDEX(26:26, SMALL(IF($D26:$U26&lt;&gt;"", COLUMN($D$1:$U26)), COLUMN(A26))), "")</f>
        <v>赤　飯あり120</v>
      </c>
      <c r="AD26" t="str">
        <f t="array" aca="1" ref="AD26" ca="1">IFERROR(INDEX(26:26, SMALL(IF($D26:$U26&lt;&gt;"", COLUMN($D$1:$U26)), COLUMN(B26))), "")</f>
        <v>弁当　園児</v>
      </c>
      <c r="AE26">
        <f t="array" aca="1" ref="AE26" ca="1">IFERROR(INDEX(26:26, SMALL(IF($D26:$U26&lt;&gt;"", COLUMN($D$1:$U26)), COLUMN(C26))), "")</f>
        <v>6</v>
      </c>
      <c r="AF26" t="str">
        <f t="array" aca="1" ref="AF26" ca="1">IFERROR(INDEX(26:26, SMALL(IF($D26:$U26&lt;&gt;"", COLUMN($D$1:$U26)), COLUMN(D26))), "")</f>
        <v>赤　飯あり120</v>
      </c>
      <c r="AG26" t="str">
        <f t="array" aca="1" ref="AG26" ca="1">IFERROR(INDEX(26:26, SMALL(IF($D26:$U26&lt;&gt;"", COLUMN($D$1:$U26)), COLUMN(E26))), "")</f>
        <v>弁当　先生</v>
      </c>
      <c r="AH26">
        <f t="array" aca="1" ref="AH26" ca="1">IFERROR(INDEX(26:26, SMALL(IF($D26:$U26&lt;&gt;"", COLUMN($D$1:$U26)), COLUMN(F26))), "")</f>
        <v>1</v>
      </c>
      <c r="AI26" t="str">
        <f t="array" aca="1" ref="AI26" ca="1">IFERROR(INDEX(26:26, SMALL(IF($D26:$U26&lt;&gt;"", COLUMN($D$1:$U26)), COLUMN(G26))), "")</f>
        <v/>
      </c>
      <c r="AJ26" t="str">
        <f t="array" aca="1" ref="AJ26" ca="1">IFERROR(INDEX(26:26, SMALL(IF($D26:$U26&lt;&gt;"", COLUMN($D$1:$U26)), COLUMN(H26))), "")</f>
        <v/>
      </c>
      <c r="AK26" t="str">
        <f t="array" aca="1" ref="AK26" ca="1">IFERROR(INDEX(26:26, SMALL(IF($D26:$U26&lt;&gt;"", COLUMN($D$1:$U26)), COLUMN(I26))), "")</f>
        <v/>
      </c>
      <c r="AL26" t="str">
        <f t="array" aca="1" ref="AL26" ca="1">IFERROR(INDEX(26:26, SMALL(IF($D26:$U26&lt;&gt;"", COLUMN($D$1:$U26)), COLUMN(J26))), "")</f>
        <v/>
      </c>
      <c r="AM26" t="str">
        <f t="array" aca="1" ref="AM26" ca="1">IFERROR(INDEX(26:26, SMALL(IF($D26:$U26&lt;&gt;"", COLUMN($D$1:$U26)), COLUMN(K26))), "")</f>
        <v/>
      </c>
      <c r="AN26" t="str">
        <f t="array" aca="1" ref="AN26" ca="1">IFERROR(INDEX(26:26, SMALL(IF($D26:$U26&lt;&gt;"", COLUMN($D$1:$U26)), COLUMN(L26))), "")</f>
        <v/>
      </c>
      <c r="AO26" t="str">
        <f t="array" aca="1" ref="AO26" ca="1">IFERROR(INDEX(26:26, SMALL(IF($D26:$U26&lt;&gt;"", COLUMN($D$1:$U26)), COLUMN(M26))), "")</f>
        <v/>
      </c>
      <c r="AP26" t="str">
        <f t="array" aca="1" ref="AP26" ca="1">IFERROR(INDEX(26:26, SMALL(IF($D26:$U26&lt;&gt;"", COLUMN($D$1:$U26)), COLUMN(N26))), "")</f>
        <v/>
      </c>
      <c r="AQ26" t="str">
        <f t="array" aca="1" ref="AQ26" ca="1">IFERROR(INDEX(26:26, SMALL(IF($D26:$U26&lt;&gt;"", COLUMN($D$1:$U26)), COLUMN(O26))), "")</f>
        <v/>
      </c>
      <c r="AR26" s="52" t="s">
        <v>4005</v>
      </c>
      <c r="AS26" t="str">
        <f t="shared" ca="1" si="3"/>
        <v/>
      </c>
      <c r="AT26" t="str">
        <f t="shared" ca="1" si="4"/>
        <v/>
      </c>
      <c r="AU26" t="str">
        <f t="shared" ca="1" si="6"/>
        <v/>
      </c>
      <c r="AV26" t="str">
        <f t="shared" ca="1" si="7"/>
        <v/>
      </c>
      <c r="AW26" t="str">
        <f t="shared" ca="1" si="8"/>
        <v/>
      </c>
      <c r="AX26" t="str">
        <f t="shared" ca="1" si="9"/>
        <v/>
      </c>
      <c r="AZ26" t="str">
        <f t="array" aca="1" ref="AZ26" ca="1">IFERROR(INDEX(26:26, SMALL(IF($AC26:$AX26&lt;&gt;"", COLUMN($AC$1:$AX26)), COLUMN(A26))), "")</f>
        <v>赤　飯あり120</v>
      </c>
      <c r="BA26" t="str">
        <f t="array" aca="1" ref="BA26" ca="1">IFERROR(INDEX(26:26, SMALL(IF($AC26:$AX26&lt;&gt;"", COLUMN($AC$1:$AX26)), COLUMN(B26))), "")</f>
        <v>弁当　園児</v>
      </c>
      <c r="BB26">
        <f t="array" aca="1" ref="BB26" ca="1">IFERROR(INDEX(26:26, SMALL(IF($AC26:$AX26&lt;&gt;"", COLUMN($AC$1:$AX26)), COLUMN(C26))), "")</f>
        <v>6</v>
      </c>
      <c r="BC26" t="str">
        <f t="array" aca="1" ref="BC26" ca="1">IFERROR(INDEX(26:26, SMALL(IF($AC26:$AX26&lt;&gt;"", COLUMN($AC$1:$AX26)), COLUMN(D26))), "")</f>
        <v>赤　飯あり120</v>
      </c>
      <c r="BD26" t="str">
        <f t="array" aca="1" ref="BD26" ca="1">IFERROR(INDEX(26:26, SMALL(IF($AC26:$AX26&lt;&gt;"", COLUMN($AC$1:$AX26)), COLUMN(E26))), "")</f>
        <v>弁当　先生</v>
      </c>
      <c r="BE26">
        <f t="array" aca="1" ref="BE26" ca="1">IFERROR(INDEX(26:26, SMALL(IF($AC26:$AX26&lt;&gt;"", COLUMN($AC$1:$AX26)), COLUMN(F26))), "")</f>
        <v>1</v>
      </c>
      <c r="BF26" t="str">
        <f t="array" aca="1" ref="BF26" ca="1">IFERROR(IF(AND(COUNTIF($B26,"*泉ヶ丘*"),COUNTIF($B27,"*泉ヶ丘*")),
IFERROR(INDEX(27:27, SMALL(IF($AC27:$AX27&lt;&gt;"", COLUMN($AC$1:$AX27)), COLUMN(A27))), ""),
INDEX(26:26, SMALL(IF($AC26:$AX26&lt;&gt;"", COLUMN($AC$1:$AX26)), COLUMN(G26)))), "")</f>
        <v>●</v>
      </c>
      <c r="BG26" t="str">
        <f t="array" aca="1" ref="BG26" ca="1">IFERROR(IF(AND(COUNTIF($B26,"*泉ヶ丘*"),COUNTIF($B27,"*泉ヶ丘*")),
IFERROR(INDEX(27:27, SMALL(IF($AC27:$AX27&lt;&gt;"", COLUMN($AC$1:$AX27)), COLUMN(B27))), ""),
INDEX(26:26, SMALL(IF($AC26:$AX26&lt;&gt;"", COLUMN($AC$1:$AX26)), COLUMN(H26)))), "")</f>
        <v/>
      </c>
      <c r="BH26" t="str">
        <f t="array" aca="1" ref="BH26" ca="1">IFERROR(IF(AND(COUNTIF($B26,"*泉ヶ丘*"),COUNTIF($B27,"*泉ヶ丘*")),
IFERROR(INDEX(27:27, SMALL(IF($AC27:$AX27&lt;&gt;"", COLUMN($AC$1:$AX27)), COLUMN(C27))), ""),
INDEX(26:26, SMALL(IF($AC26:$AX26&lt;&gt;"", COLUMN($AC$1:$AX26)), COLUMN(I26)))), "")</f>
        <v/>
      </c>
      <c r="BI26" t="str">
        <f t="array" aca="1" ref="BI26" ca="1">IFERROR(IF(AND(COUNTIF($B26,"*泉ヶ丘*"),COUNTIF($B27,"*泉ヶ丘*")),
IFERROR(INDEX(27:27, SMALL(IF($AC27:$AX27&lt;&gt;"", COLUMN($AC$1:$AX27)), COLUMN(D27))), ""),
INDEX(26:26, SMALL(IF($AC26:$AX26&lt;&gt;"", COLUMN($AC$1:$AX26)), COLUMN(J26)))), "")</f>
        <v/>
      </c>
      <c r="BJ26" t="str">
        <f t="array" aca="1" ref="BJ26" ca="1">IFERROR(IF(AND(COUNTIF($B26,"*泉ヶ丘*"),COUNTIF($B27,"*泉ヶ丘*")),
IFERROR(INDEX(27:27, SMALL(IF($AC27:$AX27&lt;&gt;"", COLUMN($AC$1:$AX27)), COLUMN(E27))), ""),
INDEX(26:26, SMALL(IF($AC26:$AX26&lt;&gt;"", COLUMN($AC$1:$AX26)), COLUMN(K26)))), "")</f>
        <v/>
      </c>
      <c r="BK26" t="str">
        <f t="array" aca="1" ref="BK26" ca="1">IFERROR(IF(AND(COUNTIF($B26,"*泉ヶ丘*"),COUNTIF($B27,"*泉ヶ丘*")),
IFERROR(INDEX(27:27, SMALL(IF($AC27:$AX27&lt;&gt;"", COLUMN($AC$1:$AX27)), COLUMN(F27))), ""),
INDEX(26:26, SMALL(IF($AC26:$AX26&lt;&gt;"", COLUMN($AC$1:$AX26)), COLUMN(L26)))), "")</f>
        <v/>
      </c>
      <c r="BL26" t="str">
        <f t="array" aca="1" ref="BL26" ca="1">IFERROR(IF(AND(COUNTIF($B26,"*泉ヶ丘*"),COUNTIF($B27,"*泉ヶ丘*")),
IFERROR(INDEX(27:27, SMALL(IF($AC27:$AX27&lt;&gt;"", COLUMN($AC$1:$AX27)), COLUMN(G27))), ""),
INDEX(26:26, SMALL(IF($AC26:$AX26&lt;&gt;"", COLUMN($AC$1:$AX26)), COLUMN(M26)))), "")</f>
        <v/>
      </c>
      <c r="BM26" t="str">
        <f t="array" aca="1" ref="BM26" ca="1">IFERROR(IF(AND(COUNTIF($B26,"*泉ヶ丘*"),COUNTIF($B27,"*泉ヶ丘*")),
IFERROR(INDEX(27:27, SMALL(IF($AC27:$AX27&lt;&gt;"", COLUMN($AC$1:$AX27)), COLUMN(H27))), ""),
INDEX(26:26, SMALL(IF($AC26:$AX26&lt;&gt;"", COLUMN($AC$1:$AX26)), COLUMN(N26)))), "")</f>
        <v/>
      </c>
      <c r="BN26" t="str">
        <f t="array" aca="1" ref="BN26" ca="1">IFERROR(IF(AND(COUNTIF($B26,"*泉ヶ丘*"),COUNTIF($B27,"*泉ヶ丘*")),
IFERROR(INDEX(27:27, SMALL(IF($AC27:$AX27&lt;&gt;"", COLUMN($AC$1:$AX27)), COLUMN(I27))), ""),
INDEX(26:26, SMALL(IF($AC26:$AX26&lt;&gt;"", COLUMN($AC$1:$AX26)), COLUMN(O26)))), "")</f>
        <v/>
      </c>
      <c r="BO26" t="str">
        <f t="array" aca="1" ref="BO26" ca="1">IFERROR(IF(AND(COUNTIF($B26,"*泉ヶ丘*"),COUNTIF($B27,"*泉ヶ丘*")),
IFERROR(INDEX(27:27, SMALL(IF($AC27:$AX27&lt;&gt;"", COLUMN($AC$1:$AX27)), COLUMN(J27))), ""),
INDEX(26:26, SMALL(IF($AC26:$AX26&lt;&gt;"", COLUMN($AC$1:$AX26)), COLUMN(P26)))), "")</f>
        <v/>
      </c>
      <c r="BP26" t="str">
        <f t="array" aca="1" ref="BP26" ca="1">IFERROR(IF(AND(COUNTIF($B26,"*泉ヶ丘*"),COUNTIF($B27,"*泉ヶ丘*")),
IFERROR(INDEX(27:27, SMALL(IF($AC27:$AX27&lt;&gt;"", COLUMN($AC$1:$AX27)), COLUMN(K27))), ""),
INDEX(26:26, SMALL(IF($AC26:$AX26&lt;&gt;"", COLUMN($AC$1:$AX26)), COLUMN(Q26)))), "")</f>
        <v/>
      </c>
      <c r="BQ26" t="str">
        <f t="array" aca="1" ref="BQ26" ca="1">IFERROR(IF(AND(COUNTIF($B26,"*泉ヶ丘*"),COUNTIF($B27,"*泉ヶ丘*")),
IFERROR(INDEX(27:27, SMALL(IF($AC27:$AX27&lt;&gt;"", COLUMN($AC$1:$AX27)), COLUMN(L27))), ""),
INDEX(26:26, SMALL(IF($AC26:$AX26&lt;&gt;"", COLUMN($AC$1:$AX26)), COLUMN(R26)))), "")</f>
        <v/>
      </c>
    </row>
    <row r="27" spans="1:69" x14ac:dyDescent="0.45">
      <c r="A27" t="str">
        <f t="array" ref="A27">IF(INDEX(貼り付け用!A:A,MATCH(A26,貼り付け用!A:A,0)+2)="4700",
IF(INDEX(貼り付け用!A:A,MATCH(A26,貼り付け用!A:A,0)+4)="4800",
INDEX(貼り付け用!A:A,MATCH(A26,貼り付け用!A:A,0)+6),
INDEX(貼り付け用!A:A,MATCH(A26,貼り付け用!A:A,0)+4)),INDEX(貼り付け用!A:A,MATCH(A26,貼り付け用!A:A,0)+2))</f>
        <v>18500</v>
      </c>
      <c r="B27" t="str">
        <f>IF(A27&lt;&gt;"",
VLOOKUP(A27,得意先マスタ!A:D,2,FALSE),"")</f>
        <v>ことばの森プリスクール</v>
      </c>
      <c r="C27" t="str">
        <f t="array" ref="C27">IF(A27="10000","",INDEX(貼り付け用!A:A,MATCH(A27,貼り付け用!A:A,0)+1))</f>
        <v>ことばの森プリスクール</v>
      </c>
      <c r="D27" t="str">
        <f ca="1">VLOOKUP(C27,クライアント抽出!$A:$O,10,FALSE)</f>
        <v>赤　飯あり120</v>
      </c>
      <c r="E27" t="str">
        <f ca="1">IF(D27&lt;&gt;"",
IF(COUNTIF(C27,"*ぺんぎん*"),
VLOOKUP(
"*"&amp;IF(COUNTIF(D27,"*キャラ弁*"),"キャラ",
IF(COUNTIF(D27,"*赤*"),"赤",SUBSTITUTE(SUBSTITUTE(D27," ",""),"　","")))&amp;"*",
注文弁当の抽出!$F:$I,4,FALSE)&amp;
IF(COUNTIF(D27,"*おにぎり*"),"　おにぎり","")&amp;"　（ぺんぎん組）",
VLOOKUP(
"*"&amp;IF(COUNTIF(D27,"*キャラ弁*"),"キャラ",
IF(COUNTIF(D27,"*赤*"),"赤",SUBSTITUTE(SUBSTITUTE(D27," ",""),"　","")))&amp;"*",
注文弁当の抽出!$F:$I,4,FALSE)&amp;
IF(COUNTIF(D27,"*おにぎり*"),"　おにぎり","")),"")</f>
        <v>弁当　園児</v>
      </c>
      <c r="F27">
        <f ca="1">IFERROR(IF(E27&lt;&gt;"",
VLOOKUP(C27,クライアント抽出!$A:$G,2,FALSE)+
IF(COUNTIF(Y27,"*-*"),Y27,0),"")
-IFERROR(MID(V27, SEARCH("予備", V27) + LEN("予備"), SEARCH("込み", V27) - (SEARCH("予備", V27) + LEN("予備"))),0),"")</f>
        <v>3</v>
      </c>
      <c r="G27" t="str">
        <f ca="1">VLOOKUP(C27,クライアント抽出!$A:$O,11,FALSE)</f>
        <v/>
      </c>
      <c r="H27" t="str">
        <f ca="1">IF(G27&lt;&gt;"",
VLOOKUP(
"*"&amp;IF(COUNTIF(G27,"*キャラ弁*"),"キャラ",
IF(COUNTIF(G27,"*赤*"),"赤",SUBSTITUTE(SUBSTITUTE(G27," ",""),"　","")))&amp;"*",
注文弁当の抽出!$F:$I,4,FALSE)&amp;
IF(COUNTIF(G27,"*おにぎり*"),"　おにぎり",""),"")</f>
        <v/>
      </c>
      <c r="I27" t="str">
        <f ca="1">IF(H27&lt;&gt;"",
VLOOKUP(C27,クライアント抽出!$A:$G,3,FALSE)+
IF(COUNTIF(C27,"*博多*"),Y27,Z27),"")</f>
        <v/>
      </c>
      <c r="J27" t="str">
        <f ca="1">VLOOKUP(C27,クライアント抽出!$A:$O,12,FALSE)</f>
        <v/>
      </c>
      <c r="K27" t="str">
        <f ca="1">IF(J27&lt;&gt;"",
VLOOKUP(
"*"&amp;IF(COUNTIF(J27,"*キャラ弁*"),"キャラ",
IF(COUNTIF(J27,"*赤*"),"赤",SUBSTITUTE(SUBSTITUTE(J27," ",""),"　","")))&amp;"*",
注文弁当の抽出!$F:$I,4,FALSE)&amp;
IF(COUNTIF(J27,"*おにぎり*"),"　おにぎり",""),"")</f>
        <v/>
      </c>
      <c r="L27" t="str">
        <f ca="1">IF(K27&lt;&gt;"",
VLOOKUP(C27,クライアント抽出!$A:$G,4,FALSE)+AA27,"")</f>
        <v/>
      </c>
      <c r="M27" t="str">
        <f ca="1">VLOOKUP(C27,クライアント抽出!$A:$O,13,FALSE)</f>
        <v/>
      </c>
      <c r="N27" t="str">
        <f ca="1">SUBSTITUTE(
IF(M27&lt;&gt;"",
VLOOKUP(
"*"&amp;IF(COUNTIF(M27,"*キャラ弁*"),"キャラ",
IF(COUNTIF(M27,"*赤*"),"赤",SUBSTITUTE(SUBSTITUTE(D27," ",""),"　","")))&amp;"*",
注文弁当の抽出!$F:$I,4,FALSE),""),"園児","先生")&amp;
IF(COUNTIF(M27,"*おにぎり*"),"　おにぎり","")</f>
        <v/>
      </c>
      <c r="O27" t="str">
        <f ca="1">IF(N27&lt;&gt;"",VLOOKUP(C27,クライアント抽出!$A:$G,5,FALSE),"")</f>
        <v/>
      </c>
      <c r="P27" t="str">
        <f ca="1">VLOOKUP(C27,クライアント抽出!$A:$O,14,FALSE)</f>
        <v/>
      </c>
      <c r="Q27" t="str">
        <f ca="1">SUBSTITUTE(
IF(P27&lt;&gt;"",
VLOOKUP(
"*"&amp;IF(COUNTIF(P27,"*キャラ弁*"),"キャラ",
IF(COUNTIF(P27,"*赤*"),"赤",SUBSTITUTE(SUBSTITUTE(G27," ",""),"　","")))&amp;"*",
注文弁当の抽出!$F:$I,4,FALSE),""),"園児","先生")&amp;
IF(COUNTIF(P27,"*おにぎり*"),"　おにぎり","")</f>
        <v/>
      </c>
      <c r="R27" t="str">
        <f ca="1">IF(Q27&lt;&gt;"",
VLOOKUP(C27,クライアント抽出!$A:$G,6,FALSE),"")</f>
        <v/>
      </c>
      <c r="S27" t="str">
        <f ca="1">VLOOKUP(C27,クライアント抽出!$A:$O,15,FALSE)</f>
        <v/>
      </c>
      <c r="T27" t="str">
        <f ca="1">SUBSTITUTE(
IF(S27&lt;&gt;"",
VLOOKUP(
"*"&amp;IF(COUNTIF(S27,"*キャラ弁*"),"キャラ",
IF(COUNTIF(S27,"*赤*"),"赤",SUBSTITUTE(SUBSTITUTE(J27," ",""),"　","")))&amp;"*",
注文弁当の抽出!$F:$I,4,FALSE),""),"園児","先生")&amp;
IF(COUNTIF(S27,"*おにぎり*"),"　おにぎり","")</f>
        <v/>
      </c>
      <c r="U27" t="str">
        <f ca="1">IF(T27&lt;&gt;"",
VLOOKUP(C27,クライアント抽出!$A:$G,7,FALSE),"")</f>
        <v/>
      </c>
      <c r="V27" t="str">
        <f ca="1">IF(A27&lt;&gt;"",
IF(COUNTIF(V26,"*牛乳*"),
IF(AND(COUNTIF(B26,"*奈良屋*"),COUNTIF(B27,"*奈良屋*")),
V26&amp;"✔",""),VLOOKUP(""&amp;A27&amp;"",数出表_Excel!$A:$Z,22,FALSE)&amp;VLOOKUP(""&amp;A27&amp;"",数出表_Excel!$A:$Z,23,FALSE)
&amp;VLOOKUP(""&amp;C27&amp;"",数出表_Excel!$A:$Z,22,FALSE)&amp;VLOOKUP(""&amp;C27&amp;"",数出表_Excel!$A:$Z,23,FALSE)),"")</f>
        <v>ｱﾚ0</v>
      </c>
      <c r="W27">
        <f ca="1">IF(AND(COUNTIF(V27,"&lt;&gt;*不要*"),A27&lt;&gt;""),VLOOKUP(A27,得意先マスタ!$A:$AD,24,FALSE),0)</f>
        <v>0</v>
      </c>
      <c r="X27">
        <f ca="1">IF(AND(COUNTIF(V27,"&lt;&gt;*不要*"),A27&lt;&gt;""),VLOOKUP(A27,得意先マスタ!$A:$AD,25,FALSE),0)</f>
        <v>0</v>
      </c>
      <c r="Y27">
        <f t="shared" ca="1" si="0"/>
        <v>0</v>
      </c>
      <c r="Z27">
        <f t="shared" ca="1" si="1"/>
        <v>0</v>
      </c>
      <c r="AA27">
        <f t="shared" ca="1" si="5"/>
        <v>0</v>
      </c>
      <c r="AB27" t="str">
        <f t="shared" ca="1" si="2"/>
        <v/>
      </c>
      <c r="AC27" t="str">
        <f t="array" aca="1" ref="AC27" ca="1">IFERROR(INDEX(27:27, SMALL(IF($D27:$U27&lt;&gt;"", COLUMN($D$1:$U27)), COLUMN(A27))), "")</f>
        <v>赤　飯あり120</v>
      </c>
      <c r="AD27" t="str">
        <f t="array" aca="1" ref="AD27" ca="1">IFERROR(INDEX(27:27, SMALL(IF($D27:$U27&lt;&gt;"", COLUMN($D$1:$U27)), COLUMN(B27))), "")</f>
        <v>弁当　園児</v>
      </c>
      <c r="AE27">
        <f t="array" aca="1" ref="AE27" ca="1">IFERROR(INDEX(27:27, SMALL(IF($D27:$U27&lt;&gt;"", COLUMN($D$1:$U27)), COLUMN(C27))), "")</f>
        <v>3</v>
      </c>
      <c r="AF27" t="str">
        <f t="array" aca="1" ref="AF27" ca="1">IFERROR(INDEX(27:27, SMALL(IF($D27:$U27&lt;&gt;"", COLUMN($D$1:$U27)), COLUMN(D27))), "")</f>
        <v/>
      </c>
      <c r="AG27" t="str">
        <f t="array" aca="1" ref="AG27" ca="1">IFERROR(INDEX(27:27, SMALL(IF($D27:$U27&lt;&gt;"", COLUMN($D$1:$U27)), COLUMN(E27))), "")</f>
        <v/>
      </c>
      <c r="AH27" t="str">
        <f t="array" aca="1" ref="AH27" ca="1">IFERROR(INDEX(27:27, SMALL(IF($D27:$U27&lt;&gt;"", COLUMN($D$1:$U27)), COLUMN(F27))), "")</f>
        <v/>
      </c>
      <c r="AI27" t="str">
        <f t="array" aca="1" ref="AI27" ca="1">IFERROR(INDEX(27:27, SMALL(IF($D27:$U27&lt;&gt;"", COLUMN($D$1:$U27)), COLUMN(G27))), "")</f>
        <v/>
      </c>
      <c r="AJ27" t="str">
        <f t="array" aca="1" ref="AJ27" ca="1">IFERROR(INDEX(27:27, SMALL(IF($D27:$U27&lt;&gt;"", COLUMN($D$1:$U27)), COLUMN(H27))), "")</f>
        <v/>
      </c>
      <c r="AK27" t="str">
        <f t="array" aca="1" ref="AK27" ca="1">IFERROR(INDEX(27:27, SMALL(IF($D27:$U27&lt;&gt;"", COLUMN($D$1:$U27)), COLUMN(I27))), "")</f>
        <v/>
      </c>
      <c r="AL27" t="str">
        <f t="array" aca="1" ref="AL27" ca="1">IFERROR(INDEX(27:27, SMALL(IF($D27:$U27&lt;&gt;"", COLUMN($D$1:$U27)), COLUMN(J27))), "")</f>
        <v/>
      </c>
      <c r="AM27" t="str">
        <f t="array" aca="1" ref="AM27" ca="1">IFERROR(INDEX(27:27, SMALL(IF($D27:$U27&lt;&gt;"", COLUMN($D$1:$U27)), COLUMN(K27))), "")</f>
        <v/>
      </c>
      <c r="AN27" t="str">
        <f t="array" aca="1" ref="AN27" ca="1">IFERROR(INDEX(27:27, SMALL(IF($D27:$U27&lt;&gt;"", COLUMN($D$1:$U27)), COLUMN(L27))), "")</f>
        <v/>
      </c>
      <c r="AO27" t="str">
        <f t="array" aca="1" ref="AO27" ca="1">IFERROR(INDEX(27:27, SMALL(IF($D27:$U27&lt;&gt;"", COLUMN($D$1:$U27)), COLUMN(M27))), "")</f>
        <v/>
      </c>
      <c r="AP27" t="str">
        <f t="array" aca="1" ref="AP27" ca="1">IFERROR(INDEX(27:27, SMALL(IF($D27:$U27&lt;&gt;"", COLUMN($D$1:$U27)), COLUMN(N27))), "")</f>
        <v/>
      </c>
      <c r="AQ27" t="str">
        <f t="array" aca="1" ref="AQ27" ca="1">IFERROR(INDEX(27:27, SMALL(IF($D27:$U27&lt;&gt;"", COLUMN($D$1:$U27)), COLUMN(O27))), "")</f>
        <v/>
      </c>
      <c r="AR27" s="52" t="s">
        <v>4005</v>
      </c>
      <c r="AS27" t="str">
        <f t="shared" ca="1" si="3"/>
        <v/>
      </c>
      <c r="AT27" t="str">
        <f t="shared" ca="1" si="4"/>
        <v/>
      </c>
      <c r="AU27" t="str">
        <f t="shared" ca="1" si="6"/>
        <v/>
      </c>
      <c r="AV27" t="str">
        <f t="shared" ca="1" si="7"/>
        <v/>
      </c>
      <c r="AW27" t="str">
        <f t="shared" ca="1" si="8"/>
        <v/>
      </c>
      <c r="AX27" t="str">
        <f t="shared" ca="1" si="9"/>
        <v/>
      </c>
      <c r="AZ27" t="str">
        <f t="array" aca="1" ref="AZ27" ca="1">IFERROR(INDEX(27:27, SMALL(IF($AC27:$AX27&lt;&gt;"", COLUMN($AC$1:$AX27)), COLUMN(A27))), "")</f>
        <v>赤　飯あり120</v>
      </c>
      <c r="BA27" t="str">
        <f t="array" aca="1" ref="BA27" ca="1">IFERROR(INDEX(27:27, SMALL(IF($AC27:$AX27&lt;&gt;"", COLUMN($AC$1:$AX27)), COLUMN(B27))), "")</f>
        <v>弁当　園児</v>
      </c>
      <c r="BB27">
        <f t="array" aca="1" ref="BB27" ca="1">IFERROR(INDEX(27:27, SMALL(IF($AC27:$AX27&lt;&gt;"", COLUMN($AC$1:$AX27)), COLUMN(C27))), "")</f>
        <v>3</v>
      </c>
      <c r="BC27" t="str">
        <f t="array" aca="1" ref="BC27" ca="1">IFERROR(INDEX(27:27, SMALL(IF($AC27:$AX27&lt;&gt;"", COLUMN($AC$1:$AX27)), COLUMN(D27))), "")</f>
        <v>●</v>
      </c>
      <c r="BD27" t="str">
        <f t="array" aca="1" ref="BD27" ca="1">IFERROR(INDEX(27:27, SMALL(IF($AC27:$AX27&lt;&gt;"", COLUMN($AC$1:$AX27)), COLUMN(E27))), "")</f>
        <v/>
      </c>
      <c r="BE27" t="str">
        <f t="array" aca="1" ref="BE27" ca="1">IFERROR(INDEX(27:27, SMALL(IF($AC27:$AX27&lt;&gt;"", COLUMN($AC$1:$AX27)), COLUMN(F27))), "")</f>
        <v/>
      </c>
      <c r="BF27" t="str">
        <f t="array" aca="1" ref="BF27" ca="1">IFERROR(IF(AND(COUNTIF($B27,"*泉ヶ丘*"),COUNTIF($B28,"*泉ヶ丘*")),
IFERROR(INDEX(28:28, SMALL(IF($AC28:$AX28&lt;&gt;"", COLUMN($AC$1:$AX28)), COLUMN(A28))), ""),
INDEX(27:27, SMALL(IF($AC27:$AX27&lt;&gt;"", COLUMN($AC$1:$AX27)), COLUMN(G27)))), "")</f>
        <v/>
      </c>
      <c r="BG27" t="str">
        <f t="array" aca="1" ref="BG27" ca="1">IFERROR(IF(AND(COUNTIF($B27,"*泉ヶ丘*"),COUNTIF($B28,"*泉ヶ丘*")),
IFERROR(INDEX(28:28, SMALL(IF($AC28:$AX28&lt;&gt;"", COLUMN($AC$1:$AX28)), COLUMN(B28))), ""),
INDEX(27:27, SMALL(IF($AC27:$AX27&lt;&gt;"", COLUMN($AC$1:$AX27)), COLUMN(H27)))), "")</f>
        <v/>
      </c>
      <c r="BH27" t="str">
        <f t="array" aca="1" ref="BH27" ca="1">IFERROR(IF(AND(COUNTIF($B27,"*泉ヶ丘*"),COUNTIF($B28,"*泉ヶ丘*")),
IFERROR(INDEX(28:28, SMALL(IF($AC28:$AX28&lt;&gt;"", COLUMN($AC$1:$AX28)), COLUMN(C28))), ""),
INDEX(27:27, SMALL(IF($AC27:$AX27&lt;&gt;"", COLUMN($AC$1:$AX27)), COLUMN(I27)))), "")</f>
        <v/>
      </c>
      <c r="BI27" t="str">
        <f t="array" aca="1" ref="BI27" ca="1">IFERROR(IF(AND(COUNTIF($B27,"*泉ヶ丘*"),COUNTIF($B28,"*泉ヶ丘*")),
IFERROR(INDEX(28:28, SMALL(IF($AC28:$AX28&lt;&gt;"", COLUMN($AC$1:$AX28)), COLUMN(D28))), ""),
INDEX(27:27, SMALL(IF($AC27:$AX27&lt;&gt;"", COLUMN($AC$1:$AX27)), COLUMN(J27)))), "")</f>
        <v/>
      </c>
      <c r="BJ27" t="str">
        <f t="array" aca="1" ref="BJ27" ca="1">IFERROR(IF(AND(COUNTIF($B27,"*泉ヶ丘*"),COUNTIF($B28,"*泉ヶ丘*")),
IFERROR(INDEX(28:28, SMALL(IF($AC28:$AX28&lt;&gt;"", COLUMN($AC$1:$AX28)), COLUMN(E28))), ""),
INDEX(27:27, SMALL(IF($AC27:$AX27&lt;&gt;"", COLUMN($AC$1:$AX27)), COLUMN(K27)))), "")</f>
        <v/>
      </c>
      <c r="BK27" t="str">
        <f t="array" aca="1" ref="BK27" ca="1">IFERROR(IF(AND(COUNTIF($B27,"*泉ヶ丘*"),COUNTIF($B28,"*泉ヶ丘*")),
IFERROR(INDEX(28:28, SMALL(IF($AC28:$AX28&lt;&gt;"", COLUMN($AC$1:$AX28)), COLUMN(F28))), ""),
INDEX(27:27, SMALL(IF($AC27:$AX27&lt;&gt;"", COLUMN($AC$1:$AX27)), COLUMN(L27)))), "")</f>
        <v/>
      </c>
      <c r="BL27" t="str">
        <f t="array" aca="1" ref="BL27" ca="1">IFERROR(IF(AND(COUNTIF($B27,"*泉ヶ丘*"),COUNTIF($B28,"*泉ヶ丘*")),
IFERROR(INDEX(28:28, SMALL(IF($AC28:$AX28&lt;&gt;"", COLUMN($AC$1:$AX28)), COLUMN(G28))), ""),
INDEX(27:27, SMALL(IF($AC27:$AX27&lt;&gt;"", COLUMN($AC$1:$AX27)), COLUMN(M27)))), "")</f>
        <v/>
      </c>
      <c r="BM27" t="str">
        <f t="array" aca="1" ref="BM27" ca="1">IFERROR(IF(AND(COUNTIF($B27,"*泉ヶ丘*"),COUNTIF($B28,"*泉ヶ丘*")),
IFERROR(INDEX(28:28, SMALL(IF($AC28:$AX28&lt;&gt;"", COLUMN($AC$1:$AX28)), COLUMN(H28))), ""),
INDEX(27:27, SMALL(IF($AC27:$AX27&lt;&gt;"", COLUMN($AC$1:$AX27)), COLUMN(N27)))), "")</f>
        <v/>
      </c>
      <c r="BN27" t="str">
        <f t="array" aca="1" ref="BN27" ca="1">IFERROR(IF(AND(COUNTIF($B27,"*泉ヶ丘*"),COUNTIF($B28,"*泉ヶ丘*")),
IFERROR(INDEX(28:28, SMALL(IF($AC28:$AX28&lt;&gt;"", COLUMN($AC$1:$AX28)), COLUMN(I28))), ""),
INDEX(27:27, SMALL(IF($AC27:$AX27&lt;&gt;"", COLUMN($AC$1:$AX27)), COLUMN(O27)))), "")</f>
        <v/>
      </c>
      <c r="BO27" t="str">
        <f t="array" aca="1" ref="BO27" ca="1">IFERROR(IF(AND(COUNTIF($B27,"*泉ヶ丘*"),COUNTIF($B28,"*泉ヶ丘*")),
IFERROR(INDEX(28:28, SMALL(IF($AC28:$AX28&lt;&gt;"", COLUMN($AC$1:$AX28)), COLUMN(J28))), ""),
INDEX(27:27, SMALL(IF($AC27:$AX27&lt;&gt;"", COLUMN($AC$1:$AX27)), COLUMN(P27)))), "")</f>
        <v/>
      </c>
      <c r="BP27" t="str">
        <f t="array" aca="1" ref="BP27" ca="1">IFERROR(IF(AND(COUNTIF($B27,"*泉ヶ丘*"),COUNTIF($B28,"*泉ヶ丘*")),
IFERROR(INDEX(28:28, SMALL(IF($AC28:$AX28&lt;&gt;"", COLUMN($AC$1:$AX28)), COLUMN(K28))), ""),
INDEX(27:27, SMALL(IF($AC27:$AX27&lt;&gt;"", COLUMN($AC$1:$AX27)), COLUMN(Q27)))), "")</f>
        <v/>
      </c>
      <c r="BQ27" t="str">
        <f t="array" aca="1" ref="BQ27" ca="1">IFERROR(IF(AND(COUNTIF($B27,"*泉ヶ丘*"),COUNTIF($B28,"*泉ヶ丘*")),
IFERROR(INDEX(28:28, SMALL(IF($AC28:$AX28&lt;&gt;"", COLUMN($AC$1:$AX28)), COLUMN(L28))), ""),
INDEX(27:27, SMALL(IF($AC27:$AX27&lt;&gt;"", COLUMN($AC$1:$AX27)), COLUMN(R27)))), "")</f>
        <v/>
      </c>
    </row>
    <row r="28" spans="1:69" x14ac:dyDescent="0.45">
      <c r="A28" t="str">
        <f t="array" ref="A28">IF(INDEX(貼り付け用!A:A,MATCH(A27,貼り付け用!A:A,0)+2)="4700",
IF(INDEX(貼り付け用!A:A,MATCH(A27,貼り付け用!A:A,0)+4)="4800",
INDEX(貼り付け用!A:A,MATCH(A27,貼り付け用!A:A,0)+6),
INDEX(貼り付け用!A:A,MATCH(A27,貼り付け用!A:A,0)+4)),INDEX(貼り付け用!A:A,MATCH(A27,貼り付け用!A:A,0)+2))</f>
        <v>8000</v>
      </c>
      <c r="B28" t="str">
        <f>IF(A28&lt;&gt;"",
VLOOKUP(A28,得意先マスタ!A:D,2,FALSE),"")</f>
        <v>かしはら幼稚園</v>
      </c>
      <c r="C28" t="str">
        <f t="array" ref="C28">IF(A28="10000","",INDEX(貼り付け用!A:A,MATCH(A28,貼り付け用!A:A,0)+1))</f>
        <v>かしはら幼稚園</v>
      </c>
      <c r="D28" t="str">
        <f ca="1">VLOOKUP(C28,クライアント抽出!$A:$O,10,FALSE)</f>
        <v>赤　飯あり120</v>
      </c>
      <c r="E28" t="str">
        <f ca="1">IF(D28&lt;&gt;"",
IF(COUNTIF(C28,"*ぺんぎん*"),
VLOOKUP(
"*"&amp;IF(COUNTIF(D28,"*キャラ弁*"),"キャラ",
IF(COUNTIF(D28,"*赤*"),"赤",SUBSTITUTE(SUBSTITUTE(D28," ",""),"　","")))&amp;"*",
注文弁当の抽出!$F:$I,4,FALSE)&amp;
IF(COUNTIF(D28,"*おにぎり*"),"　おにぎり","")&amp;"　（ぺんぎん組）",
VLOOKUP(
"*"&amp;IF(COUNTIF(D28,"*キャラ弁*"),"キャラ",
IF(COUNTIF(D28,"*赤*"),"赤",SUBSTITUTE(SUBSTITUTE(D28," ",""),"　","")))&amp;"*",
注文弁当の抽出!$F:$I,4,FALSE)&amp;
IF(COUNTIF(D28,"*おにぎり*"),"　おにぎり","")),"")</f>
        <v>弁当　園児</v>
      </c>
      <c r="F28">
        <f ca="1">IFERROR(IF(E28&lt;&gt;"",
VLOOKUP(C28,クライアント抽出!$A:$G,2,FALSE)+
IF(COUNTIF(Y28,"*-*"),Y28,0),"")
-IFERROR(MID(V28, SEARCH("予備", V28) + LEN("予備"), SEARCH("込み", V28) - (SEARCH("予備", V28) + LEN("予備"))),0),"")</f>
        <v>25</v>
      </c>
      <c r="G28" t="str">
        <f ca="1">VLOOKUP(C28,クライアント抽出!$A:$O,11,FALSE)</f>
        <v/>
      </c>
      <c r="H28" t="str">
        <f ca="1">IF(G28&lt;&gt;"",
VLOOKUP(
"*"&amp;IF(COUNTIF(G28,"*キャラ弁*"),"キャラ",
IF(COUNTIF(G28,"*赤*"),"赤",SUBSTITUTE(SUBSTITUTE(G28," ",""),"　","")))&amp;"*",
注文弁当の抽出!$F:$I,4,FALSE)&amp;
IF(COUNTIF(G28,"*おにぎり*"),"　おにぎり",""),"")</f>
        <v/>
      </c>
      <c r="I28" t="str">
        <f ca="1">IF(H28&lt;&gt;"",
VLOOKUP(C28,クライアント抽出!$A:$G,3,FALSE)+
IF(COUNTIF(C28,"*博多*"),Y28,Z28),"")</f>
        <v/>
      </c>
      <c r="J28" t="str">
        <f ca="1">VLOOKUP(C28,クライアント抽出!$A:$O,12,FALSE)</f>
        <v/>
      </c>
      <c r="K28" t="str">
        <f ca="1">IF(J28&lt;&gt;"",
VLOOKUP(
"*"&amp;IF(COUNTIF(J28,"*キャラ弁*"),"キャラ",
IF(COUNTIF(J28,"*赤*"),"赤",SUBSTITUTE(SUBSTITUTE(J28," ",""),"　","")))&amp;"*",
注文弁当の抽出!$F:$I,4,FALSE)&amp;
IF(COUNTIF(J28,"*おにぎり*"),"　おにぎり",""),"")</f>
        <v/>
      </c>
      <c r="L28" t="str">
        <f ca="1">IF(K28&lt;&gt;"",
VLOOKUP(C28,クライアント抽出!$A:$G,4,FALSE)+AA28,"")</f>
        <v/>
      </c>
      <c r="M28" t="str">
        <f ca="1">VLOOKUP(C28,クライアント抽出!$A:$O,13,FALSE)</f>
        <v/>
      </c>
      <c r="N28" t="str">
        <f ca="1">SUBSTITUTE(
IF(M28&lt;&gt;"",
VLOOKUP(
"*"&amp;IF(COUNTIF(M28,"*キャラ弁*"),"キャラ",
IF(COUNTIF(M28,"*赤*"),"赤",SUBSTITUTE(SUBSTITUTE(D28," ",""),"　","")))&amp;"*",
注文弁当の抽出!$F:$I,4,FALSE),""),"園児","先生")&amp;
IF(COUNTIF(M28,"*おにぎり*"),"　おにぎり","")</f>
        <v/>
      </c>
      <c r="O28" t="str">
        <f ca="1">IF(N28&lt;&gt;"",VLOOKUP(C28,クライアント抽出!$A:$G,5,FALSE),"")</f>
        <v/>
      </c>
      <c r="P28" t="str">
        <f ca="1">VLOOKUP(C28,クライアント抽出!$A:$O,14,FALSE)</f>
        <v/>
      </c>
      <c r="Q28" t="str">
        <f ca="1">SUBSTITUTE(
IF(P28&lt;&gt;"",
VLOOKUP(
"*"&amp;IF(COUNTIF(P28,"*キャラ弁*"),"キャラ",
IF(COUNTIF(P28,"*赤*"),"赤",SUBSTITUTE(SUBSTITUTE(G28," ",""),"　","")))&amp;"*",
注文弁当の抽出!$F:$I,4,FALSE),""),"園児","先生")&amp;
IF(COUNTIF(P28,"*おにぎり*"),"　おにぎり","")</f>
        <v/>
      </c>
      <c r="R28" t="str">
        <f ca="1">IF(Q28&lt;&gt;"",
VLOOKUP(C28,クライアント抽出!$A:$G,6,FALSE),"")</f>
        <v/>
      </c>
      <c r="S28" t="str">
        <f ca="1">VLOOKUP(C28,クライアント抽出!$A:$O,15,FALSE)</f>
        <v/>
      </c>
      <c r="T28" t="str">
        <f ca="1">SUBSTITUTE(
IF(S28&lt;&gt;"",
VLOOKUP(
"*"&amp;IF(COUNTIF(S28,"*キャラ弁*"),"キャラ",
IF(COUNTIF(S28,"*赤*"),"赤",SUBSTITUTE(SUBSTITUTE(J28," ",""),"　","")))&amp;"*",
注文弁当の抽出!$F:$I,4,FALSE),""),"園児","先生")&amp;
IF(COUNTIF(S28,"*おにぎり*"),"　おにぎり","")</f>
        <v/>
      </c>
      <c r="U28" t="str">
        <f ca="1">IF(T28&lt;&gt;"",
VLOOKUP(C28,クライアント抽出!$A:$G,7,FALSE),"")</f>
        <v/>
      </c>
      <c r="V28" t="str">
        <f ca="1">IF(A28&lt;&gt;"",
IF(COUNTIF(V27,"*牛乳*"),
IF(AND(COUNTIF(B27,"*奈良屋*"),COUNTIF(B28,"*奈良屋*")),
V27&amp;"✔",""),VLOOKUP(""&amp;A28&amp;"",数出表_Excel!$A:$Z,22,FALSE)&amp;VLOOKUP(""&amp;A28&amp;"",数出表_Excel!$A:$Z,23,FALSE)
&amp;VLOOKUP(""&amp;C28&amp;"",数出表_Excel!$A:$Z,22,FALSE)&amp;VLOOKUP(""&amp;C28&amp;"",数出表_Excel!$A:$Z,23,FALSE)),"")</f>
        <v/>
      </c>
      <c r="W28" t="str">
        <f ca="1">IF(AND(COUNTIF(V28,"&lt;&gt;*不要*"),A28&lt;&gt;""),VLOOKUP(A28,得意先マスタ!$A:$AD,24,FALSE),0)</f>
        <v>検食</v>
      </c>
      <c r="X28" t="str">
        <f ca="1">IF(AND(COUNTIF(V28,"&lt;&gt;*不要*"),A28&lt;&gt;""),VLOOKUP(A28,得意先マスタ!$A:$AD,25,FALSE),0)</f>
        <v>-1</v>
      </c>
      <c r="Y28" t="str">
        <f t="shared" ca="1" si="0"/>
        <v>-1</v>
      </c>
      <c r="Z28">
        <f t="shared" ca="1" si="1"/>
        <v>0</v>
      </c>
      <c r="AA28">
        <f t="shared" ca="1" si="5"/>
        <v>0</v>
      </c>
      <c r="AB28" t="str">
        <f t="shared" ca="1" si="2"/>
        <v>弁当　検食</v>
      </c>
      <c r="AC28" t="str">
        <f t="array" aca="1" ref="AC28" ca="1">IFERROR(INDEX(28:28, SMALL(IF($D28:$U28&lt;&gt;"", COLUMN($D$1:$U28)), COLUMN(A28))), "")</f>
        <v>赤　飯あり120</v>
      </c>
      <c r="AD28" t="str">
        <f t="array" aca="1" ref="AD28" ca="1">IFERROR(INDEX(28:28, SMALL(IF($D28:$U28&lt;&gt;"", COLUMN($D$1:$U28)), COLUMN(B28))), "")</f>
        <v>弁当　園児</v>
      </c>
      <c r="AE28">
        <f t="array" aca="1" ref="AE28" ca="1">IFERROR(INDEX(28:28, SMALL(IF($D28:$U28&lt;&gt;"", COLUMN($D$1:$U28)), COLUMN(C28))), "")</f>
        <v>25</v>
      </c>
      <c r="AF28" t="str">
        <f t="array" aca="1" ref="AF28" ca="1">IFERROR(INDEX(28:28, SMALL(IF($D28:$U28&lt;&gt;"", COLUMN($D$1:$U28)), COLUMN(D28))), "")</f>
        <v/>
      </c>
      <c r="AG28" t="str">
        <f t="array" aca="1" ref="AG28" ca="1">IFERROR(INDEX(28:28, SMALL(IF($D28:$U28&lt;&gt;"", COLUMN($D$1:$U28)), COLUMN(E28))), "")</f>
        <v/>
      </c>
      <c r="AH28" t="str">
        <f t="array" aca="1" ref="AH28" ca="1">IFERROR(INDEX(28:28, SMALL(IF($D28:$U28&lt;&gt;"", COLUMN($D$1:$U28)), COLUMN(F28))), "")</f>
        <v/>
      </c>
      <c r="AI28" t="str">
        <f t="array" aca="1" ref="AI28" ca="1">IFERROR(INDEX(28:28, SMALL(IF($D28:$U28&lt;&gt;"", COLUMN($D$1:$U28)), COLUMN(G28))), "")</f>
        <v/>
      </c>
      <c r="AJ28" t="str">
        <f t="array" aca="1" ref="AJ28" ca="1">IFERROR(INDEX(28:28, SMALL(IF($D28:$U28&lt;&gt;"", COLUMN($D$1:$U28)), COLUMN(H28))), "")</f>
        <v/>
      </c>
      <c r="AK28" t="str">
        <f t="array" aca="1" ref="AK28" ca="1">IFERROR(INDEX(28:28, SMALL(IF($D28:$U28&lt;&gt;"", COLUMN($D$1:$U28)), COLUMN(I28))), "")</f>
        <v/>
      </c>
      <c r="AL28" t="str">
        <f t="array" aca="1" ref="AL28" ca="1">IFERROR(INDEX(28:28, SMALL(IF($D28:$U28&lt;&gt;"", COLUMN($D$1:$U28)), COLUMN(J28))), "")</f>
        <v/>
      </c>
      <c r="AM28" t="str">
        <f t="array" aca="1" ref="AM28" ca="1">IFERROR(INDEX(28:28, SMALL(IF($D28:$U28&lt;&gt;"", COLUMN($D$1:$U28)), COLUMN(K28))), "")</f>
        <v/>
      </c>
      <c r="AN28" t="str">
        <f t="array" aca="1" ref="AN28" ca="1">IFERROR(INDEX(28:28, SMALL(IF($D28:$U28&lt;&gt;"", COLUMN($D$1:$U28)), COLUMN(L28))), "")</f>
        <v/>
      </c>
      <c r="AO28" t="str">
        <f t="array" aca="1" ref="AO28" ca="1">IFERROR(INDEX(28:28, SMALL(IF($D28:$U28&lt;&gt;"", COLUMN($D$1:$U28)), COLUMN(M28))), "")</f>
        <v/>
      </c>
      <c r="AP28" t="str">
        <f t="array" aca="1" ref="AP28" ca="1">IFERROR(INDEX(28:28, SMALL(IF($D28:$U28&lt;&gt;"", COLUMN($D$1:$U28)), COLUMN(N28))), "")</f>
        <v/>
      </c>
      <c r="AQ28" t="str">
        <f t="array" aca="1" ref="AQ28" ca="1">IFERROR(INDEX(28:28, SMALL(IF($D28:$U28&lt;&gt;"", COLUMN($D$1:$U28)), COLUMN(O28))), "")</f>
        <v/>
      </c>
      <c r="AR28" s="52" t="s">
        <v>4005</v>
      </c>
      <c r="AS28" t="str">
        <f t="shared" ca="1" si="3"/>
        <v>弁当　検食</v>
      </c>
      <c r="AT28" t="str">
        <f t="shared" ca="1" si="4"/>
        <v>1</v>
      </c>
      <c r="AU28" t="str">
        <f t="shared" ca="1" si="6"/>
        <v/>
      </c>
      <c r="AV28" t="str">
        <f t="shared" ca="1" si="7"/>
        <v/>
      </c>
      <c r="AW28" t="str">
        <f t="shared" ca="1" si="8"/>
        <v/>
      </c>
      <c r="AX28" t="str">
        <f t="shared" ca="1" si="9"/>
        <v/>
      </c>
      <c r="AZ28" t="str">
        <f t="array" aca="1" ref="AZ28" ca="1">IFERROR(INDEX(28:28, SMALL(IF($AC28:$AX28&lt;&gt;"", COLUMN($AC$1:$AX28)), COLUMN(A28))), "")</f>
        <v>赤　飯あり120</v>
      </c>
      <c r="BA28" t="str">
        <f t="array" aca="1" ref="BA28" ca="1">IFERROR(INDEX(28:28, SMALL(IF($AC28:$AX28&lt;&gt;"", COLUMN($AC$1:$AX28)), COLUMN(B28))), "")</f>
        <v>弁当　園児</v>
      </c>
      <c r="BB28">
        <f t="array" aca="1" ref="BB28" ca="1">IFERROR(INDEX(28:28, SMALL(IF($AC28:$AX28&lt;&gt;"", COLUMN($AC$1:$AX28)), COLUMN(C28))), "")</f>
        <v>25</v>
      </c>
      <c r="BC28" t="str">
        <f t="array" aca="1" ref="BC28" ca="1">IFERROR(INDEX(28:28, SMALL(IF($AC28:$AX28&lt;&gt;"", COLUMN($AC$1:$AX28)), COLUMN(D28))), "")</f>
        <v>●</v>
      </c>
      <c r="BD28" t="str">
        <f t="array" aca="1" ref="BD28" ca="1">IFERROR(INDEX(28:28, SMALL(IF($AC28:$AX28&lt;&gt;"", COLUMN($AC$1:$AX28)), COLUMN(E28))), "")</f>
        <v>弁当　検食</v>
      </c>
      <c r="BE28" t="str">
        <f t="array" aca="1" ref="BE28" ca="1">IFERROR(INDEX(28:28, SMALL(IF($AC28:$AX28&lt;&gt;"", COLUMN($AC$1:$AX28)), COLUMN(F28))), "")</f>
        <v>1</v>
      </c>
      <c r="BF28" t="str">
        <f t="array" aca="1" ref="BF28" ca="1">IFERROR(IF(AND(COUNTIF($B28,"*泉ヶ丘*"),COUNTIF($B29,"*泉ヶ丘*")),
IFERROR(INDEX(29:29, SMALL(IF($AC29:$AX29&lt;&gt;"", COLUMN($AC$1:$AX29)), COLUMN(A29))), ""),
INDEX(28:28, SMALL(IF($AC28:$AX28&lt;&gt;"", COLUMN($AC$1:$AX28)), COLUMN(G28)))), "")</f>
        <v/>
      </c>
      <c r="BG28" t="str">
        <f t="array" aca="1" ref="BG28" ca="1">IFERROR(IF(AND(COUNTIF($B28,"*泉ヶ丘*"),COUNTIF($B29,"*泉ヶ丘*")),
IFERROR(INDEX(29:29, SMALL(IF($AC29:$AX29&lt;&gt;"", COLUMN($AC$1:$AX29)), COLUMN(B29))), ""),
INDEX(28:28, SMALL(IF($AC28:$AX28&lt;&gt;"", COLUMN($AC$1:$AX28)), COLUMN(H28)))), "")</f>
        <v/>
      </c>
      <c r="BH28" t="str">
        <f t="array" aca="1" ref="BH28" ca="1">IFERROR(IF(AND(COUNTIF($B28,"*泉ヶ丘*"),COUNTIF($B29,"*泉ヶ丘*")),
IFERROR(INDEX(29:29, SMALL(IF($AC29:$AX29&lt;&gt;"", COLUMN($AC$1:$AX29)), COLUMN(C29))), ""),
INDEX(28:28, SMALL(IF($AC28:$AX28&lt;&gt;"", COLUMN($AC$1:$AX28)), COLUMN(I28)))), "")</f>
        <v/>
      </c>
      <c r="BI28" t="str">
        <f t="array" aca="1" ref="BI28" ca="1">IFERROR(IF(AND(COUNTIF($B28,"*泉ヶ丘*"),COUNTIF($B29,"*泉ヶ丘*")),
IFERROR(INDEX(29:29, SMALL(IF($AC29:$AX29&lt;&gt;"", COLUMN($AC$1:$AX29)), COLUMN(D29))), ""),
INDEX(28:28, SMALL(IF($AC28:$AX28&lt;&gt;"", COLUMN($AC$1:$AX28)), COLUMN(J28)))), "")</f>
        <v/>
      </c>
      <c r="BJ28" t="str">
        <f t="array" aca="1" ref="BJ28" ca="1">IFERROR(IF(AND(COUNTIF($B28,"*泉ヶ丘*"),COUNTIF($B29,"*泉ヶ丘*")),
IFERROR(INDEX(29:29, SMALL(IF($AC29:$AX29&lt;&gt;"", COLUMN($AC$1:$AX29)), COLUMN(E29))), ""),
INDEX(28:28, SMALL(IF($AC28:$AX28&lt;&gt;"", COLUMN($AC$1:$AX28)), COLUMN(K28)))), "")</f>
        <v/>
      </c>
      <c r="BK28" t="str">
        <f t="array" aca="1" ref="BK28" ca="1">IFERROR(IF(AND(COUNTIF($B28,"*泉ヶ丘*"),COUNTIF($B29,"*泉ヶ丘*")),
IFERROR(INDEX(29:29, SMALL(IF($AC29:$AX29&lt;&gt;"", COLUMN($AC$1:$AX29)), COLUMN(F29))), ""),
INDEX(28:28, SMALL(IF($AC28:$AX28&lt;&gt;"", COLUMN($AC$1:$AX28)), COLUMN(L28)))), "")</f>
        <v/>
      </c>
      <c r="BL28" t="str">
        <f t="array" aca="1" ref="BL28" ca="1">IFERROR(IF(AND(COUNTIF($B28,"*泉ヶ丘*"),COUNTIF($B29,"*泉ヶ丘*")),
IFERROR(INDEX(29:29, SMALL(IF($AC29:$AX29&lt;&gt;"", COLUMN($AC$1:$AX29)), COLUMN(G29))), ""),
INDEX(28:28, SMALL(IF($AC28:$AX28&lt;&gt;"", COLUMN($AC$1:$AX28)), COLUMN(M28)))), "")</f>
        <v/>
      </c>
      <c r="BM28" t="str">
        <f t="array" aca="1" ref="BM28" ca="1">IFERROR(IF(AND(COUNTIF($B28,"*泉ヶ丘*"),COUNTIF($B29,"*泉ヶ丘*")),
IFERROR(INDEX(29:29, SMALL(IF($AC29:$AX29&lt;&gt;"", COLUMN($AC$1:$AX29)), COLUMN(H29))), ""),
INDEX(28:28, SMALL(IF($AC28:$AX28&lt;&gt;"", COLUMN($AC$1:$AX28)), COLUMN(N28)))), "")</f>
        <v/>
      </c>
      <c r="BN28" t="str">
        <f t="array" aca="1" ref="BN28" ca="1">IFERROR(IF(AND(COUNTIF($B28,"*泉ヶ丘*"),COUNTIF($B29,"*泉ヶ丘*")),
IFERROR(INDEX(29:29, SMALL(IF($AC29:$AX29&lt;&gt;"", COLUMN($AC$1:$AX29)), COLUMN(I29))), ""),
INDEX(28:28, SMALL(IF($AC28:$AX28&lt;&gt;"", COLUMN($AC$1:$AX28)), COLUMN(O28)))), "")</f>
        <v/>
      </c>
      <c r="BO28" t="str">
        <f t="array" aca="1" ref="BO28" ca="1">IFERROR(IF(AND(COUNTIF($B28,"*泉ヶ丘*"),COUNTIF($B29,"*泉ヶ丘*")),
IFERROR(INDEX(29:29, SMALL(IF($AC29:$AX29&lt;&gt;"", COLUMN($AC$1:$AX29)), COLUMN(J29))), ""),
INDEX(28:28, SMALL(IF($AC28:$AX28&lt;&gt;"", COLUMN($AC$1:$AX28)), COLUMN(P28)))), "")</f>
        <v/>
      </c>
      <c r="BP28" t="str">
        <f t="array" aca="1" ref="BP28" ca="1">IFERROR(IF(AND(COUNTIF($B28,"*泉ヶ丘*"),COUNTIF($B29,"*泉ヶ丘*")),
IFERROR(INDEX(29:29, SMALL(IF($AC29:$AX29&lt;&gt;"", COLUMN($AC$1:$AX29)), COLUMN(K29))), ""),
INDEX(28:28, SMALL(IF($AC28:$AX28&lt;&gt;"", COLUMN($AC$1:$AX28)), COLUMN(Q28)))), "")</f>
        <v/>
      </c>
      <c r="BQ28" t="str">
        <f t="array" aca="1" ref="BQ28" ca="1">IFERROR(IF(AND(COUNTIF($B28,"*泉ヶ丘*"),COUNTIF($B29,"*泉ヶ丘*")),
IFERROR(INDEX(29:29, SMALL(IF($AC29:$AX29&lt;&gt;"", COLUMN($AC$1:$AX29)), COLUMN(L29))), ""),
INDEX(28:28, SMALL(IF($AC28:$AX28&lt;&gt;"", COLUMN($AC$1:$AX28)), COLUMN(R28)))), "")</f>
        <v/>
      </c>
    </row>
    <row r="29" spans="1:69" x14ac:dyDescent="0.45">
      <c r="A29" t="str">
        <f t="array" ref="A29">IF(INDEX(貼り付け用!A:A,MATCH(A28,貼り付け用!A:A,0)+2)="4700",
IF(INDEX(貼り付け用!A:A,MATCH(A28,貼り付け用!A:A,0)+4)="4800",
INDEX(貼り付け用!A:A,MATCH(A28,貼り付け用!A:A,0)+6),
INDEX(貼り付け用!A:A,MATCH(A28,貼り付け用!A:A,0)+4)),INDEX(貼り付け用!A:A,MATCH(A28,貼り付け用!A:A,0)+2))</f>
        <v>20200</v>
      </c>
      <c r="B29" t="str">
        <f>IF(A29&lt;&gt;"",
VLOOKUP(A29,得意先マスタ!A:D,2,FALSE),"")</f>
        <v>さらやま保育園</v>
      </c>
      <c r="C29" t="str">
        <f t="array" ref="C29">IF(A29="10000","",INDEX(貼り付け用!A:A,MATCH(A29,貼り付け用!A:A,0)+1))</f>
        <v>さらやま保育園</v>
      </c>
      <c r="D29" t="str">
        <f ca="1">VLOOKUP(C29,クライアント抽出!$A:$O,10,FALSE)</f>
        <v>赤　飯あり120</v>
      </c>
      <c r="E29" t="str">
        <f ca="1">IF(D29&lt;&gt;"",
IF(COUNTIF(C29,"*ぺんぎん*"),
VLOOKUP(
"*"&amp;IF(COUNTIF(D29,"*キャラ弁*"),"キャラ",
IF(COUNTIF(D29,"*赤*"),"赤",SUBSTITUTE(SUBSTITUTE(D29," ",""),"　","")))&amp;"*",
注文弁当の抽出!$F:$I,4,FALSE)&amp;
IF(COUNTIF(D29,"*おにぎり*"),"　おにぎり","")&amp;"　（ぺんぎん組）",
VLOOKUP(
"*"&amp;IF(COUNTIF(D29,"*キャラ弁*"),"キャラ",
IF(COUNTIF(D29,"*赤*"),"赤",SUBSTITUTE(SUBSTITUTE(D29," ",""),"　","")))&amp;"*",
注文弁当の抽出!$F:$I,4,FALSE)&amp;
IF(COUNTIF(D29,"*おにぎり*"),"　おにぎり","")),"")</f>
        <v>弁当　園児</v>
      </c>
      <c r="F29">
        <f ca="1">IFERROR(IF(E29&lt;&gt;"",
VLOOKUP(C29,クライアント抽出!$A:$G,2,FALSE)+
IF(COUNTIF(Y29,"*-*"),Y29,0),"")
-IFERROR(MID(V29, SEARCH("予備", V29) + LEN("予備"), SEARCH("込み", V29) - (SEARCH("予備", V29) + LEN("予備"))),0),"")</f>
        <v>13</v>
      </c>
      <c r="G29" t="str">
        <f ca="1">VLOOKUP(C29,クライアント抽出!$A:$O,11,FALSE)</f>
        <v/>
      </c>
      <c r="H29" t="str">
        <f ca="1">IF(G29&lt;&gt;"",
VLOOKUP(
"*"&amp;IF(COUNTIF(G29,"*キャラ弁*"),"キャラ",
IF(COUNTIF(G29,"*赤*"),"赤",SUBSTITUTE(SUBSTITUTE(G29," ",""),"　","")))&amp;"*",
注文弁当の抽出!$F:$I,4,FALSE)&amp;
IF(COUNTIF(G29,"*おにぎり*"),"　おにぎり",""),"")</f>
        <v/>
      </c>
      <c r="I29" t="str">
        <f ca="1">IF(H29&lt;&gt;"",
VLOOKUP(C29,クライアント抽出!$A:$G,3,FALSE)+
IF(COUNTIF(C29,"*博多*"),Y29,Z29),"")</f>
        <v/>
      </c>
      <c r="J29" t="str">
        <f ca="1">VLOOKUP(C29,クライアント抽出!$A:$O,12,FALSE)</f>
        <v/>
      </c>
      <c r="K29" t="str">
        <f ca="1">IF(J29&lt;&gt;"",
VLOOKUP(
"*"&amp;IF(COUNTIF(J29,"*キャラ弁*"),"キャラ",
IF(COUNTIF(J29,"*赤*"),"赤",SUBSTITUTE(SUBSTITUTE(J29," ",""),"　","")))&amp;"*",
注文弁当の抽出!$F:$I,4,FALSE)&amp;
IF(COUNTIF(J29,"*おにぎり*"),"　おにぎり",""),"")</f>
        <v/>
      </c>
      <c r="L29" t="str">
        <f ca="1">IF(K29&lt;&gt;"",
VLOOKUP(C29,クライアント抽出!$A:$G,4,FALSE)+AA29,"")</f>
        <v/>
      </c>
      <c r="M29" t="str">
        <f ca="1">VLOOKUP(C29,クライアント抽出!$A:$O,13,FALSE)</f>
        <v/>
      </c>
      <c r="N29" t="str">
        <f ca="1">SUBSTITUTE(
IF(M29&lt;&gt;"",
VLOOKUP(
"*"&amp;IF(COUNTIF(M29,"*キャラ弁*"),"キャラ",
IF(COUNTIF(M29,"*赤*"),"赤",SUBSTITUTE(SUBSTITUTE(D29," ",""),"　","")))&amp;"*",
注文弁当の抽出!$F:$I,4,FALSE),""),"園児","先生")&amp;
IF(COUNTIF(M29,"*おにぎり*"),"　おにぎり","")</f>
        <v/>
      </c>
      <c r="O29" t="str">
        <f ca="1">IF(N29&lt;&gt;"",VLOOKUP(C29,クライアント抽出!$A:$G,5,FALSE),"")</f>
        <v/>
      </c>
      <c r="P29" t="str">
        <f ca="1">VLOOKUP(C29,クライアント抽出!$A:$O,14,FALSE)</f>
        <v/>
      </c>
      <c r="Q29" t="str">
        <f ca="1">SUBSTITUTE(
IF(P29&lt;&gt;"",
VLOOKUP(
"*"&amp;IF(COUNTIF(P29,"*キャラ弁*"),"キャラ",
IF(COUNTIF(P29,"*赤*"),"赤",SUBSTITUTE(SUBSTITUTE(G29," ",""),"　","")))&amp;"*",
注文弁当の抽出!$F:$I,4,FALSE),""),"園児","先生")&amp;
IF(COUNTIF(P29,"*おにぎり*"),"　おにぎり","")</f>
        <v/>
      </c>
      <c r="R29" t="str">
        <f ca="1">IF(Q29&lt;&gt;"",
VLOOKUP(C29,クライアント抽出!$A:$G,6,FALSE),"")</f>
        <v/>
      </c>
      <c r="S29" t="str">
        <f ca="1">VLOOKUP(C29,クライアント抽出!$A:$O,15,FALSE)</f>
        <v/>
      </c>
      <c r="T29" t="str">
        <f ca="1">SUBSTITUTE(
IF(S29&lt;&gt;"",
VLOOKUP(
"*"&amp;IF(COUNTIF(S29,"*キャラ弁*"),"キャラ",
IF(COUNTIF(S29,"*赤*"),"赤",SUBSTITUTE(SUBSTITUTE(J29," ",""),"　","")))&amp;"*",
注文弁当の抽出!$F:$I,4,FALSE),""),"園児","先生")&amp;
IF(COUNTIF(S29,"*おにぎり*"),"　おにぎり","")</f>
        <v/>
      </c>
      <c r="U29" t="str">
        <f ca="1">IF(T29&lt;&gt;"",
VLOOKUP(C29,クライアント抽出!$A:$G,7,FALSE),"")</f>
        <v/>
      </c>
      <c r="V29" t="str">
        <f ca="1">IF(A29&lt;&gt;"",
IF(COUNTIF(V28,"*牛乳*"),
IF(AND(COUNTIF(B28,"*奈良屋*"),COUNTIF(B29,"*奈良屋*")),
V28&amp;"✔",""),VLOOKUP(""&amp;A29&amp;"",数出表_Excel!$A:$Z,22,FALSE)&amp;VLOOKUP(""&amp;A29&amp;"",数出表_Excel!$A:$Z,23,FALSE)
&amp;VLOOKUP(""&amp;C29&amp;"",数出表_Excel!$A:$Z,22,FALSE)&amp;VLOOKUP(""&amp;C29&amp;"",数出表_Excel!$A:$Z,23,FALSE)),"")</f>
        <v/>
      </c>
      <c r="W29">
        <f ca="1">IF(AND(COUNTIF(V29,"&lt;&gt;*不要*"),A29&lt;&gt;""),VLOOKUP(A29,得意先マスタ!$A:$AD,24,FALSE),0)</f>
        <v>0</v>
      </c>
      <c r="X29">
        <f ca="1">IF(AND(COUNTIF(V29,"&lt;&gt;*不要*"),A29&lt;&gt;""),VLOOKUP(A29,得意先マスタ!$A:$AD,25,FALSE),0)</f>
        <v>0</v>
      </c>
      <c r="Y29">
        <f t="shared" ca="1" si="0"/>
        <v>0</v>
      </c>
      <c r="Z29">
        <f t="shared" ca="1" si="1"/>
        <v>0</v>
      </c>
      <c r="AA29">
        <f t="shared" ca="1" si="5"/>
        <v>0</v>
      </c>
      <c r="AB29" t="str">
        <f t="shared" ca="1" si="2"/>
        <v/>
      </c>
      <c r="AC29" t="str">
        <f t="array" aca="1" ref="AC29" ca="1">IFERROR(INDEX(29:29, SMALL(IF($D29:$U29&lt;&gt;"", COLUMN($D$1:$U29)), COLUMN(A29))), "")</f>
        <v>赤　飯あり120</v>
      </c>
      <c r="AD29" t="str">
        <f t="array" aca="1" ref="AD29" ca="1">IFERROR(INDEX(29:29, SMALL(IF($D29:$U29&lt;&gt;"", COLUMN($D$1:$U29)), COLUMN(B29))), "")</f>
        <v>弁当　園児</v>
      </c>
      <c r="AE29">
        <f t="array" aca="1" ref="AE29" ca="1">IFERROR(INDEX(29:29, SMALL(IF($D29:$U29&lt;&gt;"", COLUMN($D$1:$U29)), COLUMN(C29))), "")</f>
        <v>13</v>
      </c>
      <c r="AF29" t="str">
        <f t="array" aca="1" ref="AF29" ca="1">IFERROR(INDEX(29:29, SMALL(IF($D29:$U29&lt;&gt;"", COLUMN($D$1:$U29)), COLUMN(D29))), "")</f>
        <v/>
      </c>
      <c r="AG29" t="str">
        <f t="array" aca="1" ref="AG29" ca="1">IFERROR(INDEX(29:29, SMALL(IF($D29:$U29&lt;&gt;"", COLUMN($D$1:$U29)), COLUMN(E29))), "")</f>
        <v/>
      </c>
      <c r="AH29" t="str">
        <f t="array" aca="1" ref="AH29" ca="1">IFERROR(INDEX(29:29, SMALL(IF($D29:$U29&lt;&gt;"", COLUMN($D$1:$U29)), COLUMN(F29))), "")</f>
        <v/>
      </c>
      <c r="AI29" t="str">
        <f t="array" aca="1" ref="AI29" ca="1">IFERROR(INDEX(29:29, SMALL(IF($D29:$U29&lt;&gt;"", COLUMN($D$1:$U29)), COLUMN(G29))), "")</f>
        <v/>
      </c>
      <c r="AJ29" t="str">
        <f t="array" aca="1" ref="AJ29" ca="1">IFERROR(INDEX(29:29, SMALL(IF($D29:$U29&lt;&gt;"", COLUMN($D$1:$U29)), COLUMN(H29))), "")</f>
        <v/>
      </c>
      <c r="AK29" t="str">
        <f t="array" aca="1" ref="AK29" ca="1">IFERROR(INDEX(29:29, SMALL(IF($D29:$U29&lt;&gt;"", COLUMN($D$1:$U29)), COLUMN(I29))), "")</f>
        <v/>
      </c>
      <c r="AL29" t="str">
        <f t="array" aca="1" ref="AL29" ca="1">IFERROR(INDEX(29:29, SMALL(IF($D29:$U29&lt;&gt;"", COLUMN($D$1:$U29)), COLUMN(J29))), "")</f>
        <v/>
      </c>
      <c r="AM29" t="str">
        <f t="array" aca="1" ref="AM29" ca="1">IFERROR(INDEX(29:29, SMALL(IF($D29:$U29&lt;&gt;"", COLUMN($D$1:$U29)), COLUMN(K29))), "")</f>
        <v/>
      </c>
      <c r="AN29" t="str">
        <f t="array" aca="1" ref="AN29" ca="1">IFERROR(INDEX(29:29, SMALL(IF($D29:$U29&lt;&gt;"", COLUMN($D$1:$U29)), COLUMN(L29))), "")</f>
        <v/>
      </c>
      <c r="AO29" t="str">
        <f t="array" aca="1" ref="AO29" ca="1">IFERROR(INDEX(29:29, SMALL(IF($D29:$U29&lt;&gt;"", COLUMN($D$1:$U29)), COLUMN(M29))), "")</f>
        <v/>
      </c>
      <c r="AP29" t="str">
        <f t="array" aca="1" ref="AP29" ca="1">IFERROR(INDEX(29:29, SMALL(IF($D29:$U29&lt;&gt;"", COLUMN($D$1:$U29)), COLUMN(N29))), "")</f>
        <v/>
      </c>
      <c r="AQ29" t="str">
        <f t="array" aca="1" ref="AQ29" ca="1">IFERROR(INDEX(29:29, SMALL(IF($D29:$U29&lt;&gt;"", COLUMN($D$1:$U29)), COLUMN(O29))), "")</f>
        <v/>
      </c>
      <c r="AR29" s="52" t="s">
        <v>4005</v>
      </c>
      <c r="AS29" t="str">
        <f t="shared" ca="1" si="3"/>
        <v/>
      </c>
      <c r="AT29" t="str">
        <f t="shared" ca="1" si="4"/>
        <v/>
      </c>
      <c r="AU29" t="str">
        <f t="shared" ca="1" si="6"/>
        <v/>
      </c>
      <c r="AV29" t="str">
        <f t="shared" ca="1" si="7"/>
        <v/>
      </c>
      <c r="AW29" t="str">
        <f t="shared" ca="1" si="8"/>
        <v/>
      </c>
      <c r="AX29" t="str">
        <f t="shared" ca="1" si="9"/>
        <v/>
      </c>
      <c r="AZ29" t="str">
        <f t="array" aca="1" ref="AZ29" ca="1">IFERROR(INDEX(29:29, SMALL(IF($AC29:$AX29&lt;&gt;"", COLUMN($AC$1:$AX29)), COLUMN(A29))), "")</f>
        <v>赤　飯あり120</v>
      </c>
      <c r="BA29" t="str">
        <f t="array" aca="1" ref="BA29" ca="1">IFERROR(INDEX(29:29, SMALL(IF($AC29:$AX29&lt;&gt;"", COLUMN($AC$1:$AX29)), COLUMN(B29))), "")</f>
        <v>弁当　園児</v>
      </c>
      <c r="BB29">
        <f t="array" aca="1" ref="BB29" ca="1">IFERROR(INDEX(29:29, SMALL(IF($AC29:$AX29&lt;&gt;"", COLUMN($AC$1:$AX29)), COLUMN(C29))), "")</f>
        <v>13</v>
      </c>
      <c r="BC29" t="str">
        <f t="array" aca="1" ref="BC29" ca="1">IFERROR(INDEX(29:29, SMALL(IF($AC29:$AX29&lt;&gt;"", COLUMN($AC$1:$AX29)), COLUMN(D29))), "")</f>
        <v>●</v>
      </c>
      <c r="BD29" t="str">
        <f t="array" aca="1" ref="BD29" ca="1">IFERROR(INDEX(29:29, SMALL(IF($AC29:$AX29&lt;&gt;"", COLUMN($AC$1:$AX29)), COLUMN(E29))), "")</f>
        <v/>
      </c>
      <c r="BE29" t="str">
        <f t="array" aca="1" ref="BE29" ca="1">IFERROR(INDEX(29:29, SMALL(IF($AC29:$AX29&lt;&gt;"", COLUMN($AC$1:$AX29)), COLUMN(F29))), "")</f>
        <v/>
      </c>
      <c r="BF29" t="str">
        <f t="array" aca="1" ref="BF29" ca="1">IFERROR(IF(AND(COUNTIF($B29,"*泉ヶ丘*"),COUNTIF($B30,"*泉ヶ丘*")),
IFERROR(INDEX(30:30, SMALL(IF($AC30:$AX30&lt;&gt;"", COLUMN($AC$1:$AX30)), COLUMN(A30))), ""),
INDEX(29:29, SMALL(IF($AC29:$AX29&lt;&gt;"", COLUMN($AC$1:$AX29)), COLUMN(G29)))), "")</f>
        <v/>
      </c>
      <c r="BG29" t="str">
        <f t="array" aca="1" ref="BG29" ca="1">IFERROR(IF(AND(COUNTIF($B29,"*泉ヶ丘*"),COUNTIF($B30,"*泉ヶ丘*")),
IFERROR(INDEX(30:30, SMALL(IF($AC30:$AX30&lt;&gt;"", COLUMN($AC$1:$AX30)), COLUMN(B30))), ""),
INDEX(29:29, SMALL(IF($AC29:$AX29&lt;&gt;"", COLUMN($AC$1:$AX29)), COLUMN(H29)))), "")</f>
        <v/>
      </c>
      <c r="BH29" t="str">
        <f t="array" aca="1" ref="BH29" ca="1">IFERROR(IF(AND(COUNTIF($B29,"*泉ヶ丘*"),COUNTIF($B30,"*泉ヶ丘*")),
IFERROR(INDEX(30:30, SMALL(IF($AC30:$AX30&lt;&gt;"", COLUMN($AC$1:$AX30)), COLUMN(C30))), ""),
INDEX(29:29, SMALL(IF($AC29:$AX29&lt;&gt;"", COLUMN($AC$1:$AX29)), COLUMN(I29)))), "")</f>
        <v/>
      </c>
      <c r="BI29" t="str">
        <f t="array" aca="1" ref="BI29" ca="1">IFERROR(IF(AND(COUNTIF($B29,"*泉ヶ丘*"),COUNTIF($B30,"*泉ヶ丘*")),
IFERROR(INDEX(30:30, SMALL(IF($AC30:$AX30&lt;&gt;"", COLUMN($AC$1:$AX30)), COLUMN(D30))), ""),
INDEX(29:29, SMALL(IF($AC29:$AX29&lt;&gt;"", COLUMN($AC$1:$AX29)), COLUMN(J29)))), "")</f>
        <v/>
      </c>
      <c r="BJ29" t="str">
        <f t="array" aca="1" ref="BJ29" ca="1">IFERROR(IF(AND(COUNTIF($B29,"*泉ヶ丘*"),COUNTIF($B30,"*泉ヶ丘*")),
IFERROR(INDEX(30:30, SMALL(IF($AC30:$AX30&lt;&gt;"", COLUMN($AC$1:$AX30)), COLUMN(E30))), ""),
INDEX(29:29, SMALL(IF($AC29:$AX29&lt;&gt;"", COLUMN($AC$1:$AX29)), COLUMN(K29)))), "")</f>
        <v/>
      </c>
      <c r="BK29" t="str">
        <f t="array" aca="1" ref="BK29" ca="1">IFERROR(IF(AND(COUNTIF($B29,"*泉ヶ丘*"),COUNTIF($B30,"*泉ヶ丘*")),
IFERROR(INDEX(30:30, SMALL(IF($AC30:$AX30&lt;&gt;"", COLUMN($AC$1:$AX30)), COLUMN(F30))), ""),
INDEX(29:29, SMALL(IF($AC29:$AX29&lt;&gt;"", COLUMN($AC$1:$AX29)), COLUMN(L29)))), "")</f>
        <v/>
      </c>
      <c r="BL29" t="str">
        <f t="array" aca="1" ref="BL29" ca="1">IFERROR(IF(AND(COUNTIF($B29,"*泉ヶ丘*"),COUNTIF($B30,"*泉ヶ丘*")),
IFERROR(INDEX(30:30, SMALL(IF($AC30:$AX30&lt;&gt;"", COLUMN($AC$1:$AX30)), COLUMN(G30))), ""),
INDEX(29:29, SMALL(IF($AC29:$AX29&lt;&gt;"", COLUMN($AC$1:$AX29)), COLUMN(M29)))), "")</f>
        <v/>
      </c>
      <c r="BM29" t="str">
        <f t="array" aca="1" ref="BM29" ca="1">IFERROR(IF(AND(COUNTIF($B29,"*泉ヶ丘*"),COUNTIF($B30,"*泉ヶ丘*")),
IFERROR(INDEX(30:30, SMALL(IF($AC30:$AX30&lt;&gt;"", COLUMN($AC$1:$AX30)), COLUMN(H30))), ""),
INDEX(29:29, SMALL(IF($AC29:$AX29&lt;&gt;"", COLUMN($AC$1:$AX29)), COLUMN(N29)))), "")</f>
        <v/>
      </c>
      <c r="BN29" t="str">
        <f t="array" aca="1" ref="BN29" ca="1">IFERROR(IF(AND(COUNTIF($B29,"*泉ヶ丘*"),COUNTIF($B30,"*泉ヶ丘*")),
IFERROR(INDEX(30:30, SMALL(IF($AC30:$AX30&lt;&gt;"", COLUMN($AC$1:$AX30)), COLUMN(I30))), ""),
INDEX(29:29, SMALL(IF($AC29:$AX29&lt;&gt;"", COLUMN($AC$1:$AX29)), COLUMN(O29)))), "")</f>
        <v/>
      </c>
      <c r="BO29" t="str">
        <f t="array" aca="1" ref="BO29" ca="1">IFERROR(IF(AND(COUNTIF($B29,"*泉ヶ丘*"),COUNTIF($B30,"*泉ヶ丘*")),
IFERROR(INDEX(30:30, SMALL(IF($AC30:$AX30&lt;&gt;"", COLUMN($AC$1:$AX30)), COLUMN(J30))), ""),
INDEX(29:29, SMALL(IF($AC29:$AX29&lt;&gt;"", COLUMN($AC$1:$AX29)), COLUMN(P29)))), "")</f>
        <v/>
      </c>
      <c r="BP29" t="str">
        <f t="array" aca="1" ref="BP29" ca="1">IFERROR(IF(AND(COUNTIF($B29,"*泉ヶ丘*"),COUNTIF($B30,"*泉ヶ丘*")),
IFERROR(INDEX(30:30, SMALL(IF($AC30:$AX30&lt;&gt;"", COLUMN($AC$1:$AX30)), COLUMN(K30))), ""),
INDEX(29:29, SMALL(IF($AC29:$AX29&lt;&gt;"", COLUMN($AC$1:$AX29)), COLUMN(Q29)))), "")</f>
        <v/>
      </c>
      <c r="BQ29" t="str">
        <f t="array" aca="1" ref="BQ29" ca="1">IFERROR(IF(AND(COUNTIF($B29,"*泉ヶ丘*"),COUNTIF($B30,"*泉ヶ丘*")),
IFERROR(INDEX(30:30, SMALL(IF($AC30:$AX30&lt;&gt;"", COLUMN($AC$1:$AX30)), COLUMN(L30))), ""),
INDEX(29:29, SMALL(IF($AC29:$AX29&lt;&gt;"", COLUMN($AC$1:$AX29)), COLUMN(R29)))), "")</f>
        <v/>
      </c>
    </row>
    <row r="30" spans="1:69" x14ac:dyDescent="0.45">
      <c r="A30" t="str">
        <f t="array" ref="A30">IF(INDEX(貼り付け用!A:A,MATCH(A29,貼り付け用!A:A,0)+2)="4700",
IF(INDEX(貼り付け用!A:A,MATCH(A29,貼り付け用!A:A,0)+4)="4800",
INDEX(貼り付け用!A:A,MATCH(A29,貼り付け用!A:A,0)+6),
INDEX(貼り付け用!A:A,MATCH(A29,貼り付け用!A:A,0)+4)),INDEX(貼り付け用!A:A,MATCH(A29,貼り付け用!A:A,0)+2))</f>
        <v>7200</v>
      </c>
      <c r="B30" t="str">
        <f>IF(A30&lt;&gt;"",
VLOOKUP(A30,得意先マスタ!A:D,2,FALSE),"")</f>
        <v>九州中央病院　ひよこ保育園</v>
      </c>
      <c r="C30" t="str">
        <f t="array" ref="C30">IF(A30="10000","",INDEX(貼り付け用!A:A,MATCH(A30,貼り付け用!A:A,0)+1))</f>
        <v>ひよこ保育園</v>
      </c>
      <c r="D30" t="str">
        <f ca="1">VLOOKUP(C30,クライアント抽出!$A:$O,10,FALSE)</f>
        <v>赤　飯あり120</v>
      </c>
      <c r="E30" t="str">
        <f ca="1">IF(D30&lt;&gt;"",
IF(COUNTIF(C30,"*ぺんぎん*"),
VLOOKUP(
"*"&amp;IF(COUNTIF(D30,"*キャラ弁*"),"キャラ",
IF(COUNTIF(D30,"*赤*"),"赤",SUBSTITUTE(SUBSTITUTE(D30," ",""),"　","")))&amp;"*",
注文弁当の抽出!$F:$I,4,FALSE)&amp;
IF(COUNTIF(D30,"*おにぎり*"),"　おにぎり","")&amp;"　（ぺんぎん組）",
VLOOKUP(
"*"&amp;IF(COUNTIF(D30,"*キャラ弁*"),"キャラ",
IF(COUNTIF(D30,"*赤*"),"赤",SUBSTITUTE(SUBSTITUTE(D30," ",""),"　","")))&amp;"*",
注文弁当の抽出!$F:$I,4,FALSE)&amp;
IF(COUNTIF(D30,"*おにぎり*"),"　おにぎり","")),"")</f>
        <v>弁当　園児</v>
      </c>
      <c r="F30">
        <f ca="1">IFERROR(IF(E30&lt;&gt;"",
VLOOKUP(C30,クライアント抽出!$A:$G,2,FALSE)+
IF(COUNTIF(Y30,"*-*"),Y30,0),"")
-IFERROR(MID(V30, SEARCH("予備", V30) + LEN("予備"), SEARCH("込み", V30) - (SEARCH("予備", V30) + LEN("予備"))),0),"")</f>
        <v>1</v>
      </c>
      <c r="G30" t="str">
        <f ca="1">VLOOKUP(C30,クライアント抽出!$A:$O,11,FALSE)</f>
        <v/>
      </c>
      <c r="H30" t="str">
        <f ca="1">IF(G30&lt;&gt;"",
VLOOKUP(
"*"&amp;IF(COUNTIF(G30,"*キャラ弁*"),"キャラ",
IF(COUNTIF(G30,"*赤*"),"赤",SUBSTITUTE(SUBSTITUTE(G30," ",""),"　","")))&amp;"*",
注文弁当の抽出!$F:$I,4,FALSE)&amp;
IF(COUNTIF(G30,"*おにぎり*"),"　おにぎり",""),"")</f>
        <v/>
      </c>
      <c r="I30" t="str">
        <f ca="1">IF(H30&lt;&gt;"",
VLOOKUP(C30,クライアント抽出!$A:$G,3,FALSE)+
IF(COUNTIF(C30,"*博多*"),Y30,Z30),"")</f>
        <v/>
      </c>
      <c r="J30" t="str">
        <f ca="1">VLOOKUP(C30,クライアント抽出!$A:$O,12,FALSE)</f>
        <v/>
      </c>
      <c r="K30" t="str">
        <f ca="1">IF(J30&lt;&gt;"",
VLOOKUP(
"*"&amp;IF(COUNTIF(J30,"*キャラ弁*"),"キャラ",
IF(COUNTIF(J30,"*赤*"),"赤",SUBSTITUTE(SUBSTITUTE(J30," ",""),"　","")))&amp;"*",
注文弁当の抽出!$F:$I,4,FALSE)&amp;
IF(COUNTIF(J30,"*おにぎり*"),"　おにぎり",""),"")</f>
        <v/>
      </c>
      <c r="L30" t="str">
        <f ca="1">IF(K30&lt;&gt;"",
VLOOKUP(C30,クライアント抽出!$A:$G,4,FALSE)+AA30,"")</f>
        <v/>
      </c>
      <c r="M30" t="str">
        <f ca="1">VLOOKUP(C30,クライアント抽出!$A:$O,13,FALSE)</f>
        <v/>
      </c>
      <c r="N30" t="str">
        <f ca="1">SUBSTITUTE(
IF(M30&lt;&gt;"",
VLOOKUP(
"*"&amp;IF(COUNTIF(M30,"*キャラ弁*"),"キャラ",
IF(COUNTIF(M30,"*赤*"),"赤",SUBSTITUTE(SUBSTITUTE(D30," ",""),"　","")))&amp;"*",
注文弁当の抽出!$F:$I,4,FALSE),""),"園児","先生")&amp;
IF(COUNTIF(M30,"*おにぎり*"),"　おにぎり","")</f>
        <v/>
      </c>
      <c r="O30" t="str">
        <f ca="1">IF(N30&lt;&gt;"",VLOOKUP(C30,クライアント抽出!$A:$G,5,FALSE),"")</f>
        <v/>
      </c>
      <c r="P30" t="str">
        <f ca="1">VLOOKUP(C30,クライアント抽出!$A:$O,14,FALSE)</f>
        <v/>
      </c>
      <c r="Q30" t="str">
        <f ca="1">SUBSTITUTE(
IF(P30&lt;&gt;"",
VLOOKUP(
"*"&amp;IF(COUNTIF(P30,"*キャラ弁*"),"キャラ",
IF(COUNTIF(P30,"*赤*"),"赤",SUBSTITUTE(SUBSTITUTE(G30," ",""),"　","")))&amp;"*",
注文弁当の抽出!$F:$I,4,FALSE),""),"園児","先生")&amp;
IF(COUNTIF(P30,"*おにぎり*"),"　おにぎり","")</f>
        <v/>
      </c>
      <c r="R30" t="str">
        <f ca="1">IF(Q30&lt;&gt;"",
VLOOKUP(C30,クライアント抽出!$A:$G,6,FALSE),"")</f>
        <v/>
      </c>
      <c r="S30" t="str">
        <f ca="1">VLOOKUP(C30,クライアント抽出!$A:$O,15,FALSE)</f>
        <v/>
      </c>
      <c r="T30" t="str">
        <f ca="1">SUBSTITUTE(
IF(S30&lt;&gt;"",
VLOOKUP(
"*"&amp;IF(COUNTIF(S30,"*キャラ弁*"),"キャラ",
IF(COUNTIF(S30,"*赤*"),"赤",SUBSTITUTE(SUBSTITUTE(J30," ",""),"　","")))&amp;"*",
注文弁当の抽出!$F:$I,4,FALSE),""),"園児","先生")&amp;
IF(COUNTIF(S30,"*おにぎり*"),"　おにぎり","")</f>
        <v/>
      </c>
      <c r="U30" t="str">
        <f ca="1">IF(T30&lt;&gt;"",
VLOOKUP(C30,クライアント抽出!$A:$G,7,FALSE),"")</f>
        <v/>
      </c>
      <c r="V30" t="str">
        <f ca="1">IF(A30&lt;&gt;"",
IF(COUNTIF(V29,"*牛乳*"),
IF(AND(COUNTIF(B29,"*奈良屋*"),COUNTIF(B30,"*奈良屋*")),
V29&amp;"✔",""),VLOOKUP(""&amp;A30&amp;"",数出表_Excel!$A:$Z,22,FALSE)&amp;VLOOKUP(""&amp;A30&amp;"",数出表_Excel!$A:$Z,23,FALSE)
&amp;VLOOKUP(""&amp;C30&amp;"",数出表_Excel!$A:$Z,22,FALSE)&amp;VLOOKUP(""&amp;C30&amp;"",数出表_Excel!$A:$Z,23,FALSE)),"")</f>
        <v/>
      </c>
      <c r="W30">
        <f ca="1">IF(AND(COUNTIF(V30,"&lt;&gt;*不要*"),A30&lt;&gt;""),VLOOKUP(A30,得意先マスタ!$A:$AD,24,FALSE),0)</f>
        <v>0</v>
      </c>
      <c r="X30">
        <f ca="1">IF(AND(COUNTIF(V30,"&lt;&gt;*不要*"),A30&lt;&gt;""),VLOOKUP(A30,得意先マスタ!$A:$AD,25,FALSE),0)</f>
        <v>0</v>
      </c>
      <c r="Y30">
        <f t="shared" ca="1" si="0"/>
        <v>0</v>
      </c>
      <c r="Z30">
        <f t="shared" ca="1" si="1"/>
        <v>0</v>
      </c>
      <c r="AA30">
        <f t="shared" ca="1" si="5"/>
        <v>0</v>
      </c>
      <c r="AB30" t="str">
        <f t="shared" ca="1" si="2"/>
        <v/>
      </c>
      <c r="AC30" t="str">
        <f t="array" aca="1" ref="AC30" ca="1">IFERROR(INDEX(30:30, SMALL(IF($D30:$U30&lt;&gt;"", COLUMN($D$1:$U30)), COLUMN(A30))), "")</f>
        <v>赤　飯あり120</v>
      </c>
      <c r="AD30" t="str">
        <f t="array" aca="1" ref="AD30" ca="1">IFERROR(INDEX(30:30, SMALL(IF($D30:$U30&lt;&gt;"", COLUMN($D$1:$U30)), COLUMN(B30))), "")</f>
        <v>弁当　園児</v>
      </c>
      <c r="AE30">
        <f t="array" aca="1" ref="AE30" ca="1">IFERROR(INDEX(30:30, SMALL(IF($D30:$U30&lt;&gt;"", COLUMN($D$1:$U30)), COLUMN(C30))), "")</f>
        <v>1</v>
      </c>
      <c r="AF30" t="str">
        <f t="array" aca="1" ref="AF30" ca="1">IFERROR(INDEX(30:30, SMALL(IF($D30:$U30&lt;&gt;"", COLUMN($D$1:$U30)), COLUMN(D30))), "")</f>
        <v/>
      </c>
      <c r="AG30" t="str">
        <f t="array" aca="1" ref="AG30" ca="1">IFERROR(INDEX(30:30, SMALL(IF($D30:$U30&lt;&gt;"", COLUMN($D$1:$U30)), COLUMN(E30))), "")</f>
        <v/>
      </c>
      <c r="AH30" t="str">
        <f t="array" aca="1" ref="AH30" ca="1">IFERROR(INDEX(30:30, SMALL(IF($D30:$U30&lt;&gt;"", COLUMN($D$1:$U30)), COLUMN(F30))), "")</f>
        <v/>
      </c>
      <c r="AI30" t="str">
        <f t="array" aca="1" ref="AI30" ca="1">IFERROR(INDEX(30:30, SMALL(IF($D30:$U30&lt;&gt;"", COLUMN($D$1:$U30)), COLUMN(G30))), "")</f>
        <v/>
      </c>
      <c r="AJ30" t="str">
        <f t="array" aca="1" ref="AJ30" ca="1">IFERROR(INDEX(30:30, SMALL(IF($D30:$U30&lt;&gt;"", COLUMN($D$1:$U30)), COLUMN(H30))), "")</f>
        <v/>
      </c>
      <c r="AK30" t="str">
        <f t="array" aca="1" ref="AK30" ca="1">IFERROR(INDEX(30:30, SMALL(IF($D30:$U30&lt;&gt;"", COLUMN($D$1:$U30)), COLUMN(I30))), "")</f>
        <v/>
      </c>
      <c r="AL30" t="str">
        <f t="array" aca="1" ref="AL30" ca="1">IFERROR(INDEX(30:30, SMALL(IF($D30:$U30&lt;&gt;"", COLUMN($D$1:$U30)), COLUMN(J30))), "")</f>
        <v/>
      </c>
      <c r="AM30" t="str">
        <f t="array" aca="1" ref="AM30" ca="1">IFERROR(INDEX(30:30, SMALL(IF($D30:$U30&lt;&gt;"", COLUMN($D$1:$U30)), COLUMN(K30))), "")</f>
        <v/>
      </c>
      <c r="AN30" t="str">
        <f t="array" aca="1" ref="AN30" ca="1">IFERROR(INDEX(30:30, SMALL(IF($D30:$U30&lt;&gt;"", COLUMN($D$1:$U30)), COLUMN(L30))), "")</f>
        <v/>
      </c>
      <c r="AO30" t="str">
        <f t="array" aca="1" ref="AO30" ca="1">IFERROR(INDEX(30:30, SMALL(IF($D30:$U30&lt;&gt;"", COLUMN($D$1:$U30)), COLUMN(M30))), "")</f>
        <v/>
      </c>
      <c r="AP30" t="str">
        <f t="array" aca="1" ref="AP30" ca="1">IFERROR(INDEX(30:30, SMALL(IF($D30:$U30&lt;&gt;"", COLUMN($D$1:$U30)), COLUMN(N30))), "")</f>
        <v/>
      </c>
      <c r="AQ30" t="str">
        <f t="array" aca="1" ref="AQ30" ca="1">IFERROR(INDEX(30:30, SMALL(IF($D30:$U30&lt;&gt;"", COLUMN($D$1:$U30)), COLUMN(O30))), "")</f>
        <v/>
      </c>
      <c r="AR30" s="52" t="s">
        <v>4005</v>
      </c>
      <c r="AS30" t="str">
        <f t="shared" ca="1" si="3"/>
        <v/>
      </c>
      <c r="AT30" t="str">
        <f t="shared" ca="1" si="4"/>
        <v/>
      </c>
      <c r="AU30" t="str">
        <f t="shared" ca="1" si="6"/>
        <v/>
      </c>
      <c r="AV30" t="str">
        <f t="shared" ca="1" si="7"/>
        <v/>
      </c>
      <c r="AW30" t="str">
        <f t="shared" ca="1" si="8"/>
        <v/>
      </c>
      <c r="AX30" t="str">
        <f t="shared" ca="1" si="9"/>
        <v/>
      </c>
      <c r="AZ30" t="str">
        <f t="array" aca="1" ref="AZ30" ca="1">IFERROR(INDEX(30:30, SMALL(IF($AC30:$AX30&lt;&gt;"", COLUMN($AC$1:$AX30)), COLUMN(A30))), "")</f>
        <v>赤　飯あり120</v>
      </c>
      <c r="BA30" t="str">
        <f t="array" aca="1" ref="BA30" ca="1">IFERROR(INDEX(30:30, SMALL(IF($AC30:$AX30&lt;&gt;"", COLUMN($AC$1:$AX30)), COLUMN(B30))), "")</f>
        <v>弁当　園児</v>
      </c>
      <c r="BB30">
        <f t="array" aca="1" ref="BB30" ca="1">IFERROR(INDEX(30:30, SMALL(IF($AC30:$AX30&lt;&gt;"", COLUMN($AC$1:$AX30)), COLUMN(C30))), "")</f>
        <v>1</v>
      </c>
      <c r="BC30" t="str">
        <f t="array" aca="1" ref="BC30" ca="1">IFERROR(INDEX(30:30, SMALL(IF($AC30:$AX30&lt;&gt;"", COLUMN($AC$1:$AX30)), COLUMN(D30))), "")</f>
        <v>●</v>
      </c>
      <c r="BD30" t="str">
        <f t="array" aca="1" ref="BD30" ca="1">IFERROR(INDEX(30:30, SMALL(IF($AC30:$AX30&lt;&gt;"", COLUMN($AC$1:$AX30)), COLUMN(E30))), "")</f>
        <v/>
      </c>
      <c r="BE30" t="str">
        <f t="array" aca="1" ref="BE30" ca="1">IFERROR(INDEX(30:30, SMALL(IF($AC30:$AX30&lt;&gt;"", COLUMN($AC$1:$AX30)), COLUMN(F30))), "")</f>
        <v/>
      </c>
      <c r="BF30" t="str">
        <f t="array" aca="1" ref="BF30" ca="1">IFERROR(IF(AND(COUNTIF($B30,"*泉ヶ丘*"),COUNTIF($B31,"*泉ヶ丘*")),
IFERROR(INDEX(31:31, SMALL(IF($AC31:$AX31&lt;&gt;"", COLUMN($AC$1:$AX31)), COLUMN(A31))), ""),
INDEX(30:30, SMALL(IF($AC30:$AX30&lt;&gt;"", COLUMN($AC$1:$AX30)), COLUMN(G30)))), "")</f>
        <v/>
      </c>
      <c r="BG30" t="str">
        <f t="array" aca="1" ref="BG30" ca="1">IFERROR(IF(AND(COUNTIF($B30,"*泉ヶ丘*"),COUNTIF($B31,"*泉ヶ丘*")),
IFERROR(INDEX(31:31, SMALL(IF($AC31:$AX31&lt;&gt;"", COLUMN($AC$1:$AX31)), COLUMN(B31))), ""),
INDEX(30:30, SMALL(IF($AC30:$AX30&lt;&gt;"", COLUMN($AC$1:$AX30)), COLUMN(H30)))), "")</f>
        <v/>
      </c>
      <c r="BH30" t="str">
        <f t="array" aca="1" ref="BH30" ca="1">IFERROR(IF(AND(COUNTIF($B30,"*泉ヶ丘*"),COUNTIF($B31,"*泉ヶ丘*")),
IFERROR(INDEX(31:31, SMALL(IF($AC31:$AX31&lt;&gt;"", COLUMN($AC$1:$AX31)), COLUMN(C31))), ""),
INDEX(30:30, SMALL(IF($AC30:$AX30&lt;&gt;"", COLUMN($AC$1:$AX30)), COLUMN(I30)))), "")</f>
        <v/>
      </c>
      <c r="BI30" t="str">
        <f t="array" aca="1" ref="BI30" ca="1">IFERROR(IF(AND(COUNTIF($B30,"*泉ヶ丘*"),COUNTIF($B31,"*泉ヶ丘*")),
IFERROR(INDEX(31:31, SMALL(IF($AC31:$AX31&lt;&gt;"", COLUMN($AC$1:$AX31)), COLUMN(D31))), ""),
INDEX(30:30, SMALL(IF($AC30:$AX30&lt;&gt;"", COLUMN($AC$1:$AX30)), COLUMN(J30)))), "")</f>
        <v/>
      </c>
      <c r="BJ30" t="str">
        <f t="array" aca="1" ref="BJ30" ca="1">IFERROR(IF(AND(COUNTIF($B30,"*泉ヶ丘*"),COUNTIF($B31,"*泉ヶ丘*")),
IFERROR(INDEX(31:31, SMALL(IF($AC31:$AX31&lt;&gt;"", COLUMN($AC$1:$AX31)), COLUMN(E31))), ""),
INDEX(30:30, SMALL(IF($AC30:$AX30&lt;&gt;"", COLUMN($AC$1:$AX30)), COLUMN(K30)))), "")</f>
        <v/>
      </c>
      <c r="BK30" t="str">
        <f t="array" aca="1" ref="BK30" ca="1">IFERROR(IF(AND(COUNTIF($B30,"*泉ヶ丘*"),COUNTIF($B31,"*泉ヶ丘*")),
IFERROR(INDEX(31:31, SMALL(IF($AC31:$AX31&lt;&gt;"", COLUMN($AC$1:$AX31)), COLUMN(F31))), ""),
INDEX(30:30, SMALL(IF($AC30:$AX30&lt;&gt;"", COLUMN($AC$1:$AX30)), COLUMN(L30)))), "")</f>
        <v/>
      </c>
      <c r="BL30" t="str">
        <f t="array" aca="1" ref="BL30" ca="1">IFERROR(IF(AND(COUNTIF($B30,"*泉ヶ丘*"),COUNTIF($B31,"*泉ヶ丘*")),
IFERROR(INDEX(31:31, SMALL(IF($AC31:$AX31&lt;&gt;"", COLUMN($AC$1:$AX31)), COLUMN(G31))), ""),
INDEX(30:30, SMALL(IF($AC30:$AX30&lt;&gt;"", COLUMN($AC$1:$AX30)), COLUMN(M30)))), "")</f>
        <v/>
      </c>
      <c r="BM30" t="str">
        <f t="array" aca="1" ref="BM30" ca="1">IFERROR(IF(AND(COUNTIF($B30,"*泉ヶ丘*"),COUNTIF($B31,"*泉ヶ丘*")),
IFERROR(INDEX(31:31, SMALL(IF($AC31:$AX31&lt;&gt;"", COLUMN($AC$1:$AX31)), COLUMN(H31))), ""),
INDEX(30:30, SMALL(IF($AC30:$AX30&lt;&gt;"", COLUMN($AC$1:$AX30)), COLUMN(N30)))), "")</f>
        <v/>
      </c>
      <c r="BN30" t="str">
        <f t="array" aca="1" ref="BN30" ca="1">IFERROR(IF(AND(COUNTIF($B30,"*泉ヶ丘*"),COUNTIF($B31,"*泉ヶ丘*")),
IFERROR(INDEX(31:31, SMALL(IF($AC31:$AX31&lt;&gt;"", COLUMN($AC$1:$AX31)), COLUMN(I31))), ""),
INDEX(30:30, SMALL(IF($AC30:$AX30&lt;&gt;"", COLUMN($AC$1:$AX30)), COLUMN(O30)))), "")</f>
        <v/>
      </c>
      <c r="BO30" t="str">
        <f t="array" aca="1" ref="BO30" ca="1">IFERROR(IF(AND(COUNTIF($B30,"*泉ヶ丘*"),COUNTIF($B31,"*泉ヶ丘*")),
IFERROR(INDEX(31:31, SMALL(IF($AC31:$AX31&lt;&gt;"", COLUMN($AC$1:$AX31)), COLUMN(J31))), ""),
INDEX(30:30, SMALL(IF($AC30:$AX30&lt;&gt;"", COLUMN($AC$1:$AX30)), COLUMN(P30)))), "")</f>
        <v/>
      </c>
      <c r="BP30" t="str">
        <f t="array" aca="1" ref="BP30" ca="1">IFERROR(IF(AND(COUNTIF($B30,"*泉ヶ丘*"),COUNTIF($B31,"*泉ヶ丘*")),
IFERROR(INDEX(31:31, SMALL(IF($AC31:$AX31&lt;&gt;"", COLUMN($AC$1:$AX31)), COLUMN(K31))), ""),
INDEX(30:30, SMALL(IF($AC30:$AX30&lt;&gt;"", COLUMN($AC$1:$AX30)), COLUMN(Q30)))), "")</f>
        <v/>
      </c>
      <c r="BQ30" t="str">
        <f t="array" aca="1" ref="BQ30" ca="1">IFERROR(IF(AND(COUNTIF($B30,"*泉ヶ丘*"),COUNTIF($B31,"*泉ヶ丘*")),
IFERROR(INDEX(31:31, SMALL(IF($AC31:$AX31&lt;&gt;"", COLUMN($AC$1:$AX31)), COLUMN(L31))), ""),
INDEX(30:30, SMALL(IF($AC30:$AX30&lt;&gt;"", COLUMN($AC$1:$AX30)), COLUMN(R30)))), "")</f>
        <v/>
      </c>
    </row>
    <row r="31" spans="1:69" x14ac:dyDescent="0.45">
      <c r="A31" t="str">
        <f t="array" ref="A31">IF(INDEX(貼り付け用!A:A,MATCH(A30,貼り付け用!A:A,0)+2)="4700",
IF(INDEX(貼り付け用!A:A,MATCH(A30,貼り付け用!A:A,0)+4)="4800",
INDEX(貼り付け用!A:A,MATCH(A30,貼り付け用!A:A,0)+6),
INDEX(貼り付け用!A:A,MATCH(A30,貼り付け用!A:A,0)+4)),INDEX(貼り付け用!A:A,MATCH(A30,貼り付け用!A:A,0)+2))</f>
        <v>5900</v>
      </c>
      <c r="B31" t="str">
        <f>IF(A31&lt;&gt;"",
VLOOKUP(A31,得意先マスタ!A:D,2,FALSE),"")</f>
        <v>リリィ保育園</v>
      </c>
      <c r="C31" t="str">
        <f t="array" ref="C31">IF(A31="10000","",INDEX(貼り付け用!A:A,MATCH(A31,貼り付け用!A:A,0)+1))</f>
        <v>リリィ保育園</v>
      </c>
      <c r="D31" t="str">
        <f ca="1">VLOOKUP(C31,クライアント抽出!$A:$O,10,FALSE)</f>
        <v>赤　飯あり120</v>
      </c>
      <c r="E31" t="str">
        <f ca="1">IF(D31&lt;&gt;"",
IF(COUNTIF(C31,"*ぺんぎん*"),
VLOOKUP(
"*"&amp;IF(COUNTIF(D31,"*キャラ弁*"),"キャラ",
IF(COUNTIF(D31,"*赤*"),"赤",SUBSTITUTE(SUBSTITUTE(D31," ",""),"　","")))&amp;"*",
注文弁当の抽出!$F:$I,4,FALSE)&amp;
IF(COUNTIF(D31,"*おにぎり*"),"　おにぎり","")&amp;"　（ぺんぎん組）",
VLOOKUP(
"*"&amp;IF(COUNTIF(D31,"*キャラ弁*"),"キャラ",
IF(COUNTIF(D31,"*赤*"),"赤",SUBSTITUTE(SUBSTITUTE(D31," ",""),"　","")))&amp;"*",
注文弁当の抽出!$F:$I,4,FALSE)&amp;
IF(COUNTIF(D31,"*おにぎり*"),"　おにぎり","")),"")</f>
        <v>弁当　園児</v>
      </c>
      <c r="F31">
        <f ca="1">IFERROR(IF(E31&lt;&gt;"",
VLOOKUP(C31,クライアント抽出!$A:$G,2,FALSE)+
IF(COUNTIF(Y31,"*-*"),Y31,0),"")
-IFERROR(MID(V31, SEARCH("予備", V31) + LEN("予備"), SEARCH("込み", V31) - (SEARCH("予備", V31) + LEN("予備"))),0),"")</f>
        <v>5</v>
      </c>
      <c r="G31" t="str">
        <f ca="1">VLOOKUP(C31,クライアント抽出!$A:$O,11,FALSE)</f>
        <v/>
      </c>
      <c r="H31" t="str">
        <f ca="1">IF(G31&lt;&gt;"",
VLOOKUP(
"*"&amp;IF(COUNTIF(G31,"*キャラ弁*"),"キャラ",
IF(COUNTIF(G31,"*赤*"),"赤",SUBSTITUTE(SUBSTITUTE(G31," ",""),"　","")))&amp;"*",
注文弁当の抽出!$F:$I,4,FALSE)&amp;
IF(COUNTIF(G31,"*おにぎり*"),"　おにぎり",""),"")</f>
        <v/>
      </c>
      <c r="I31" t="str">
        <f ca="1">IF(H31&lt;&gt;"",
VLOOKUP(C31,クライアント抽出!$A:$G,3,FALSE)+
IF(COUNTIF(C31,"*博多*"),Y31,Z31),"")</f>
        <v/>
      </c>
      <c r="J31" t="str">
        <f ca="1">VLOOKUP(C31,クライアント抽出!$A:$O,12,FALSE)</f>
        <v/>
      </c>
      <c r="K31" t="str">
        <f ca="1">IF(J31&lt;&gt;"",
VLOOKUP(
"*"&amp;IF(COUNTIF(J31,"*キャラ弁*"),"キャラ",
IF(COUNTIF(J31,"*赤*"),"赤",SUBSTITUTE(SUBSTITUTE(J31," ",""),"　","")))&amp;"*",
注文弁当の抽出!$F:$I,4,FALSE)&amp;
IF(COUNTIF(J31,"*おにぎり*"),"　おにぎり",""),"")</f>
        <v/>
      </c>
      <c r="L31" t="str">
        <f ca="1">IF(K31&lt;&gt;"",
VLOOKUP(C31,クライアント抽出!$A:$G,4,FALSE)+AA31,"")</f>
        <v/>
      </c>
      <c r="M31" t="str">
        <f ca="1">VLOOKUP(C31,クライアント抽出!$A:$O,13,FALSE)</f>
        <v/>
      </c>
      <c r="N31" t="str">
        <f ca="1">SUBSTITUTE(
IF(M31&lt;&gt;"",
VLOOKUP(
"*"&amp;IF(COUNTIF(M31,"*キャラ弁*"),"キャラ",
IF(COUNTIF(M31,"*赤*"),"赤",SUBSTITUTE(SUBSTITUTE(D31," ",""),"　","")))&amp;"*",
注文弁当の抽出!$F:$I,4,FALSE),""),"園児","先生")&amp;
IF(COUNTIF(M31,"*おにぎり*"),"　おにぎり","")</f>
        <v/>
      </c>
      <c r="O31" t="str">
        <f ca="1">IF(N31&lt;&gt;"",VLOOKUP(C31,クライアント抽出!$A:$G,5,FALSE),"")</f>
        <v/>
      </c>
      <c r="P31" t="str">
        <f ca="1">VLOOKUP(C31,クライアント抽出!$A:$O,14,FALSE)</f>
        <v/>
      </c>
      <c r="Q31" t="str">
        <f ca="1">SUBSTITUTE(
IF(P31&lt;&gt;"",
VLOOKUP(
"*"&amp;IF(COUNTIF(P31,"*キャラ弁*"),"キャラ",
IF(COUNTIF(P31,"*赤*"),"赤",SUBSTITUTE(SUBSTITUTE(G31," ",""),"　","")))&amp;"*",
注文弁当の抽出!$F:$I,4,FALSE),""),"園児","先生")&amp;
IF(COUNTIF(P31,"*おにぎり*"),"　おにぎり","")</f>
        <v/>
      </c>
      <c r="R31" t="str">
        <f ca="1">IF(Q31&lt;&gt;"",
VLOOKUP(C31,クライアント抽出!$A:$G,6,FALSE),"")</f>
        <v/>
      </c>
      <c r="S31" t="str">
        <f ca="1">VLOOKUP(C31,クライアント抽出!$A:$O,15,FALSE)</f>
        <v/>
      </c>
      <c r="T31" t="str">
        <f ca="1">SUBSTITUTE(
IF(S31&lt;&gt;"",
VLOOKUP(
"*"&amp;IF(COUNTIF(S31,"*キャラ弁*"),"キャラ",
IF(COUNTIF(S31,"*赤*"),"赤",SUBSTITUTE(SUBSTITUTE(J31," ",""),"　","")))&amp;"*",
注文弁当の抽出!$F:$I,4,FALSE),""),"園児","先生")&amp;
IF(COUNTIF(S31,"*おにぎり*"),"　おにぎり","")</f>
        <v/>
      </c>
      <c r="U31" t="str">
        <f ca="1">IF(T31&lt;&gt;"",
VLOOKUP(C31,クライアント抽出!$A:$G,7,FALSE),"")</f>
        <v/>
      </c>
      <c r="V31" t="str">
        <f ca="1">IF(A31&lt;&gt;"",
IF(COUNTIF(V30,"*牛乳*"),
IF(AND(COUNTIF(B30,"*奈良屋*"),COUNTIF(B31,"*奈良屋*")),
V30&amp;"✔",""),VLOOKUP(""&amp;A31&amp;"",数出表_Excel!$A:$Z,22,FALSE)&amp;VLOOKUP(""&amp;A31&amp;"",数出表_Excel!$A:$Z,23,FALSE)
&amp;VLOOKUP(""&amp;C31&amp;"",数出表_Excel!$A:$Z,22,FALSE)&amp;VLOOKUP(""&amp;C31&amp;"",数出表_Excel!$A:$Z,23,FALSE)),"")</f>
        <v/>
      </c>
      <c r="W31">
        <f ca="1">IF(AND(COUNTIF(V31,"&lt;&gt;*不要*"),A31&lt;&gt;""),VLOOKUP(A31,得意先マスタ!$A:$AD,24,FALSE),0)</f>
        <v>0</v>
      </c>
      <c r="X31">
        <f ca="1">IF(AND(COUNTIF(V31,"&lt;&gt;*不要*"),A31&lt;&gt;""),VLOOKUP(A31,得意先マスタ!$A:$AD,25,FALSE),0)</f>
        <v>0</v>
      </c>
      <c r="Y31">
        <f t="shared" ca="1" si="0"/>
        <v>0</v>
      </c>
      <c r="Z31">
        <f t="shared" ca="1" si="1"/>
        <v>0</v>
      </c>
      <c r="AA31">
        <f t="shared" ca="1" si="5"/>
        <v>0</v>
      </c>
      <c r="AB31" t="str">
        <f t="shared" ca="1" si="2"/>
        <v/>
      </c>
      <c r="AC31" t="str">
        <f t="array" aca="1" ref="AC31" ca="1">IFERROR(INDEX(31:31, SMALL(IF($D31:$U31&lt;&gt;"", COLUMN($D$1:$U31)), COLUMN(A31))), "")</f>
        <v>赤　飯あり120</v>
      </c>
      <c r="AD31" t="str">
        <f t="array" aca="1" ref="AD31" ca="1">IFERROR(INDEX(31:31, SMALL(IF($D31:$U31&lt;&gt;"", COLUMN($D$1:$U31)), COLUMN(B31))), "")</f>
        <v>弁当　園児</v>
      </c>
      <c r="AE31">
        <f t="array" aca="1" ref="AE31" ca="1">IFERROR(INDEX(31:31, SMALL(IF($D31:$U31&lt;&gt;"", COLUMN($D$1:$U31)), COLUMN(C31))), "")</f>
        <v>5</v>
      </c>
      <c r="AF31" t="str">
        <f t="array" aca="1" ref="AF31" ca="1">IFERROR(INDEX(31:31, SMALL(IF($D31:$U31&lt;&gt;"", COLUMN($D$1:$U31)), COLUMN(D31))), "")</f>
        <v/>
      </c>
      <c r="AG31" t="str">
        <f t="array" aca="1" ref="AG31" ca="1">IFERROR(INDEX(31:31, SMALL(IF($D31:$U31&lt;&gt;"", COLUMN($D$1:$U31)), COLUMN(E31))), "")</f>
        <v/>
      </c>
      <c r="AH31" t="str">
        <f t="array" aca="1" ref="AH31" ca="1">IFERROR(INDEX(31:31, SMALL(IF($D31:$U31&lt;&gt;"", COLUMN($D$1:$U31)), COLUMN(F31))), "")</f>
        <v/>
      </c>
      <c r="AI31" t="str">
        <f t="array" aca="1" ref="AI31" ca="1">IFERROR(INDEX(31:31, SMALL(IF($D31:$U31&lt;&gt;"", COLUMN($D$1:$U31)), COLUMN(G31))), "")</f>
        <v/>
      </c>
      <c r="AJ31" t="str">
        <f t="array" aca="1" ref="AJ31" ca="1">IFERROR(INDEX(31:31, SMALL(IF($D31:$U31&lt;&gt;"", COLUMN($D$1:$U31)), COLUMN(H31))), "")</f>
        <v/>
      </c>
      <c r="AK31" t="str">
        <f t="array" aca="1" ref="AK31" ca="1">IFERROR(INDEX(31:31, SMALL(IF($D31:$U31&lt;&gt;"", COLUMN($D$1:$U31)), COLUMN(I31))), "")</f>
        <v/>
      </c>
      <c r="AL31" t="str">
        <f t="array" aca="1" ref="AL31" ca="1">IFERROR(INDEX(31:31, SMALL(IF($D31:$U31&lt;&gt;"", COLUMN($D$1:$U31)), COLUMN(J31))), "")</f>
        <v/>
      </c>
      <c r="AM31" t="str">
        <f t="array" aca="1" ref="AM31" ca="1">IFERROR(INDEX(31:31, SMALL(IF($D31:$U31&lt;&gt;"", COLUMN($D$1:$U31)), COLUMN(K31))), "")</f>
        <v/>
      </c>
      <c r="AN31" t="str">
        <f t="array" aca="1" ref="AN31" ca="1">IFERROR(INDEX(31:31, SMALL(IF($D31:$U31&lt;&gt;"", COLUMN($D$1:$U31)), COLUMN(L31))), "")</f>
        <v/>
      </c>
      <c r="AO31" t="str">
        <f t="array" aca="1" ref="AO31" ca="1">IFERROR(INDEX(31:31, SMALL(IF($D31:$U31&lt;&gt;"", COLUMN($D$1:$U31)), COLUMN(M31))), "")</f>
        <v/>
      </c>
      <c r="AP31" t="str">
        <f t="array" aca="1" ref="AP31" ca="1">IFERROR(INDEX(31:31, SMALL(IF($D31:$U31&lt;&gt;"", COLUMN($D$1:$U31)), COLUMN(N31))), "")</f>
        <v/>
      </c>
      <c r="AQ31" t="str">
        <f t="array" aca="1" ref="AQ31" ca="1">IFERROR(INDEX(31:31, SMALL(IF($D31:$U31&lt;&gt;"", COLUMN($D$1:$U31)), COLUMN(O31))), "")</f>
        <v/>
      </c>
      <c r="AR31" s="52" t="s">
        <v>4005</v>
      </c>
      <c r="AS31" t="str">
        <f t="shared" ca="1" si="3"/>
        <v/>
      </c>
      <c r="AT31" t="str">
        <f t="shared" ca="1" si="4"/>
        <v/>
      </c>
      <c r="AU31" t="str">
        <f t="shared" ca="1" si="6"/>
        <v/>
      </c>
      <c r="AV31" t="str">
        <f t="shared" ca="1" si="7"/>
        <v/>
      </c>
      <c r="AW31" t="str">
        <f t="shared" ca="1" si="8"/>
        <v/>
      </c>
      <c r="AX31" t="str">
        <f t="shared" ca="1" si="9"/>
        <v/>
      </c>
      <c r="AZ31" t="str">
        <f t="array" aca="1" ref="AZ31" ca="1">IFERROR(INDEX(31:31, SMALL(IF($AC31:$AX31&lt;&gt;"", COLUMN($AC$1:$AX31)), COLUMN(A31))), "")</f>
        <v>赤　飯あり120</v>
      </c>
      <c r="BA31" t="str">
        <f t="array" aca="1" ref="BA31" ca="1">IFERROR(INDEX(31:31, SMALL(IF($AC31:$AX31&lt;&gt;"", COLUMN($AC$1:$AX31)), COLUMN(B31))), "")</f>
        <v>弁当　園児</v>
      </c>
      <c r="BB31">
        <f t="array" aca="1" ref="BB31" ca="1">IFERROR(INDEX(31:31, SMALL(IF($AC31:$AX31&lt;&gt;"", COLUMN($AC$1:$AX31)), COLUMN(C31))), "")</f>
        <v>5</v>
      </c>
      <c r="BC31" t="str">
        <f t="array" aca="1" ref="BC31" ca="1">IFERROR(INDEX(31:31, SMALL(IF($AC31:$AX31&lt;&gt;"", COLUMN($AC$1:$AX31)), COLUMN(D31))), "")</f>
        <v>●</v>
      </c>
      <c r="BD31" t="str">
        <f t="array" aca="1" ref="BD31" ca="1">IFERROR(INDEX(31:31, SMALL(IF($AC31:$AX31&lt;&gt;"", COLUMN($AC$1:$AX31)), COLUMN(E31))), "")</f>
        <v/>
      </c>
      <c r="BE31" t="str">
        <f t="array" aca="1" ref="BE31" ca="1">IFERROR(INDEX(31:31, SMALL(IF($AC31:$AX31&lt;&gt;"", COLUMN($AC$1:$AX31)), COLUMN(F31))), "")</f>
        <v/>
      </c>
      <c r="BF31" t="str">
        <f t="array" aca="1" ref="BF31" ca="1">IFERROR(IF(AND(COUNTIF($B31,"*泉ヶ丘*"),COUNTIF($B32,"*泉ヶ丘*")),
IFERROR(INDEX(32:32, SMALL(IF($AC32:$AX32&lt;&gt;"", COLUMN($AC$1:$AX32)), COLUMN(A32))), ""),
INDEX(31:31, SMALL(IF($AC31:$AX31&lt;&gt;"", COLUMN($AC$1:$AX31)), COLUMN(G31)))), "")</f>
        <v/>
      </c>
      <c r="BG31" t="str">
        <f t="array" aca="1" ref="BG31" ca="1">IFERROR(IF(AND(COUNTIF($B31,"*泉ヶ丘*"),COUNTIF($B32,"*泉ヶ丘*")),
IFERROR(INDEX(32:32, SMALL(IF($AC32:$AX32&lt;&gt;"", COLUMN($AC$1:$AX32)), COLUMN(B32))), ""),
INDEX(31:31, SMALL(IF($AC31:$AX31&lt;&gt;"", COLUMN($AC$1:$AX31)), COLUMN(H31)))), "")</f>
        <v/>
      </c>
      <c r="BH31" t="str">
        <f t="array" aca="1" ref="BH31" ca="1">IFERROR(IF(AND(COUNTIF($B31,"*泉ヶ丘*"),COUNTIF($B32,"*泉ヶ丘*")),
IFERROR(INDEX(32:32, SMALL(IF($AC32:$AX32&lt;&gt;"", COLUMN($AC$1:$AX32)), COLUMN(C32))), ""),
INDEX(31:31, SMALL(IF($AC31:$AX31&lt;&gt;"", COLUMN($AC$1:$AX31)), COLUMN(I31)))), "")</f>
        <v/>
      </c>
      <c r="BI31" t="str">
        <f t="array" aca="1" ref="BI31" ca="1">IFERROR(IF(AND(COUNTIF($B31,"*泉ヶ丘*"),COUNTIF($B32,"*泉ヶ丘*")),
IFERROR(INDEX(32:32, SMALL(IF($AC32:$AX32&lt;&gt;"", COLUMN($AC$1:$AX32)), COLUMN(D32))), ""),
INDEX(31:31, SMALL(IF($AC31:$AX31&lt;&gt;"", COLUMN($AC$1:$AX31)), COLUMN(J31)))), "")</f>
        <v/>
      </c>
      <c r="BJ31" t="str">
        <f t="array" aca="1" ref="BJ31" ca="1">IFERROR(IF(AND(COUNTIF($B31,"*泉ヶ丘*"),COUNTIF($B32,"*泉ヶ丘*")),
IFERROR(INDEX(32:32, SMALL(IF($AC32:$AX32&lt;&gt;"", COLUMN($AC$1:$AX32)), COLUMN(E32))), ""),
INDEX(31:31, SMALL(IF($AC31:$AX31&lt;&gt;"", COLUMN($AC$1:$AX31)), COLUMN(K31)))), "")</f>
        <v/>
      </c>
      <c r="BK31" t="str">
        <f t="array" aca="1" ref="BK31" ca="1">IFERROR(IF(AND(COUNTIF($B31,"*泉ヶ丘*"),COUNTIF($B32,"*泉ヶ丘*")),
IFERROR(INDEX(32:32, SMALL(IF($AC32:$AX32&lt;&gt;"", COLUMN($AC$1:$AX32)), COLUMN(F32))), ""),
INDEX(31:31, SMALL(IF($AC31:$AX31&lt;&gt;"", COLUMN($AC$1:$AX31)), COLUMN(L31)))), "")</f>
        <v/>
      </c>
      <c r="BL31" t="str">
        <f t="array" aca="1" ref="BL31" ca="1">IFERROR(IF(AND(COUNTIF($B31,"*泉ヶ丘*"),COUNTIF($B32,"*泉ヶ丘*")),
IFERROR(INDEX(32:32, SMALL(IF($AC32:$AX32&lt;&gt;"", COLUMN($AC$1:$AX32)), COLUMN(G32))), ""),
INDEX(31:31, SMALL(IF($AC31:$AX31&lt;&gt;"", COLUMN($AC$1:$AX31)), COLUMN(M31)))), "")</f>
        <v/>
      </c>
      <c r="BM31" t="str">
        <f t="array" aca="1" ref="BM31" ca="1">IFERROR(IF(AND(COUNTIF($B31,"*泉ヶ丘*"),COUNTIF($B32,"*泉ヶ丘*")),
IFERROR(INDEX(32:32, SMALL(IF($AC32:$AX32&lt;&gt;"", COLUMN($AC$1:$AX32)), COLUMN(H32))), ""),
INDEX(31:31, SMALL(IF($AC31:$AX31&lt;&gt;"", COLUMN($AC$1:$AX31)), COLUMN(N31)))), "")</f>
        <v/>
      </c>
      <c r="BN31" t="str">
        <f t="array" aca="1" ref="BN31" ca="1">IFERROR(IF(AND(COUNTIF($B31,"*泉ヶ丘*"),COUNTIF($B32,"*泉ヶ丘*")),
IFERROR(INDEX(32:32, SMALL(IF($AC32:$AX32&lt;&gt;"", COLUMN($AC$1:$AX32)), COLUMN(I32))), ""),
INDEX(31:31, SMALL(IF($AC31:$AX31&lt;&gt;"", COLUMN($AC$1:$AX31)), COLUMN(O31)))), "")</f>
        <v/>
      </c>
      <c r="BO31" t="str">
        <f t="array" aca="1" ref="BO31" ca="1">IFERROR(IF(AND(COUNTIF($B31,"*泉ヶ丘*"),COUNTIF($B32,"*泉ヶ丘*")),
IFERROR(INDEX(32:32, SMALL(IF($AC32:$AX32&lt;&gt;"", COLUMN($AC$1:$AX32)), COLUMN(J32))), ""),
INDEX(31:31, SMALL(IF($AC31:$AX31&lt;&gt;"", COLUMN($AC$1:$AX31)), COLUMN(P31)))), "")</f>
        <v/>
      </c>
      <c r="BP31" t="str">
        <f t="array" aca="1" ref="BP31" ca="1">IFERROR(IF(AND(COUNTIF($B31,"*泉ヶ丘*"),COUNTIF($B32,"*泉ヶ丘*")),
IFERROR(INDEX(32:32, SMALL(IF($AC32:$AX32&lt;&gt;"", COLUMN($AC$1:$AX32)), COLUMN(K32))), ""),
INDEX(31:31, SMALL(IF($AC31:$AX31&lt;&gt;"", COLUMN($AC$1:$AX31)), COLUMN(Q31)))), "")</f>
        <v/>
      </c>
      <c r="BQ31" t="str">
        <f t="array" aca="1" ref="BQ31" ca="1">IFERROR(IF(AND(COUNTIF($B31,"*泉ヶ丘*"),COUNTIF($B32,"*泉ヶ丘*")),
IFERROR(INDEX(32:32, SMALL(IF($AC32:$AX32&lt;&gt;"", COLUMN($AC$1:$AX32)), COLUMN(L32))), ""),
INDEX(31:31, SMALL(IF($AC31:$AX31&lt;&gt;"", COLUMN($AC$1:$AX31)), COLUMN(R31)))), "")</f>
        <v/>
      </c>
    </row>
    <row r="32" spans="1:69" x14ac:dyDescent="0.45">
      <c r="A32" t="str">
        <f t="array" ref="A32">IF(INDEX(貼り付け用!A:A,MATCH(A31,貼り付け用!A:A,0)+2)="4700",
IF(INDEX(貼り付け用!A:A,MATCH(A31,貼り付け用!A:A,0)+4)="4800",
INDEX(貼り付け用!A:A,MATCH(A31,貼り付け用!A:A,0)+6),
INDEX(貼り付け用!A:A,MATCH(A31,貼り付け用!A:A,0)+4)),INDEX(貼り付け用!A:A,MATCH(A31,貼り付け用!A:A,0)+2))</f>
        <v>7100</v>
      </c>
      <c r="B32" t="str">
        <f>IF(A32&lt;&gt;"",
VLOOKUP(A32,得意先マスタ!A:D,2,FALSE),"")</f>
        <v>バディスポーツ幼育園　博多南校</v>
      </c>
      <c r="C32" t="str">
        <f t="array" ref="C32">IF(A32="10000","",INDEX(貼り付け用!A:A,MATCH(A32,貼り付け用!A:A,0)+1))</f>
        <v>バディ博多南校 web</v>
      </c>
      <c r="D32" t="str">
        <f ca="1">VLOOKUP(C32,クライアント抽出!$A:$O,10,FALSE)</f>
        <v>赤　飯あり120</v>
      </c>
      <c r="E32" t="str">
        <f ca="1">IF(D32&lt;&gt;"",
IF(COUNTIF(C32,"*ぺんぎん*"),
VLOOKUP(
"*"&amp;IF(COUNTIF(D32,"*キャラ弁*"),"キャラ",
IF(COUNTIF(D32,"*赤*"),"赤",SUBSTITUTE(SUBSTITUTE(D32," ",""),"　","")))&amp;"*",
注文弁当の抽出!$F:$I,4,FALSE)&amp;
IF(COUNTIF(D32,"*おにぎり*"),"　おにぎり","")&amp;"　（ぺんぎん組）",
VLOOKUP(
"*"&amp;IF(COUNTIF(D32,"*キャラ弁*"),"キャラ",
IF(COUNTIF(D32,"*赤*"),"赤",SUBSTITUTE(SUBSTITUTE(D32," ",""),"　","")))&amp;"*",
注文弁当の抽出!$F:$I,4,FALSE)&amp;
IF(COUNTIF(D32,"*おにぎり*"),"　おにぎり","")),"")</f>
        <v>弁当　園児</v>
      </c>
      <c r="F32">
        <f ca="1">IFERROR(IF(E32&lt;&gt;"",
VLOOKUP(C32,クライアント抽出!$A:$G,2,FALSE)+
IF(COUNTIF(Y32,"*-*"),Y32,0),"")
-IFERROR(MID(V32, SEARCH("予備", V32) + LEN("予備"), SEARCH("込み", V32) - (SEARCH("予備", V32) + LEN("予備"))),0),"")</f>
        <v>13</v>
      </c>
      <c r="G32" t="str">
        <f ca="1">VLOOKUP(C32,クライアント抽出!$A:$O,11,FALSE)</f>
        <v/>
      </c>
      <c r="H32" t="str">
        <f ca="1">IF(G32&lt;&gt;"",
VLOOKUP(
"*"&amp;IF(COUNTIF(G32,"*キャラ弁*"),"キャラ",
IF(COUNTIF(G32,"*赤*"),"赤",SUBSTITUTE(SUBSTITUTE(G32," ",""),"　","")))&amp;"*",
注文弁当の抽出!$F:$I,4,FALSE)&amp;
IF(COUNTIF(G32,"*おにぎり*"),"　おにぎり",""),"")</f>
        <v/>
      </c>
      <c r="I32" t="str">
        <f ca="1">IF(H32&lt;&gt;"",
VLOOKUP(C32,クライアント抽出!$A:$G,3,FALSE)+
IF(COUNTIF(C32,"*博多*"),Y32,Z32),"")</f>
        <v/>
      </c>
      <c r="J32" t="str">
        <f ca="1">VLOOKUP(C32,クライアント抽出!$A:$O,12,FALSE)</f>
        <v/>
      </c>
      <c r="K32" t="str">
        <f ca="1">IF(J32&lt;&gt;"",
VLOOKUP(
"*"&amp;IF(COUNTIF(J32,"*キャラ弁*"),"キャラ",
IF(COUNTIF(J32,"*赤*"),"赤",SUBSTITUTE(SUBSTITUTE(J32," ",""),"　","")))&amp;"*",
注文弁当の抽出!$F:$I,4,FALSE)&amp;
IF(COUNTIF(J32,"*おにぎり*"),"　おにぎり",""),"")</f>
        <v/>
      </c>
      <c r="L32" t="str">
        <f ca="1">IF(K32&lt;&gt;"",
VLOOKUP(C32,クライアント抽出!$A:$G,4,FALSE)+AA32,"")</f>
        <v/>
      </c>
      <c r="M32" t="str">
        <f ca="1">VLOOKUP(C32,クライアント抽出!$A:$O,13,FALSE)</f>
        <v/>
      </c>
      <c r="N32" t="str">
        <f ca="1">SUBSTITUTE(
IF(M32&lt;&gt;"",
VLOOKUP(
"*"&amp;IF(COUNTIF(M32,"*キャラ弁*"),"キャラ",
IF(COUNTIF(M32,"*赤*"),"赤",SUBSTITUTE(SUBSTITUTE(D32," ",""),"　","")))&amp;"*",
注文弁当の抽出!$F:$I,4,FALSE),""),"園児","先生")&amp;
IF(COUNTIF(M32,"*おにぎり*"),"　おにぎり","")</f>
        <v/>
      </c>
      <c r="O32" t="str">
        <f ca="1">IF(N32&lt;&gt;"",VLOOKUP(C32,クライアント抽出!$A:$G,5,FALSE),"")</f>
        <v/>
      </c>
      <c r="P32" t="str">
        <f ca="1">VLOOKUP(C32,クライアント抽出!$A:$O,14,FALSE)</f>
        <v/>
      </c>
      <c r="Q32" t="str">
        <f ca="1">SUBSTITUTE(
IF(P32&lt;&gt;"",
VLOOKUP(
"*"&amp;IF(COUNTIF(P32,"*キャラ弁*"),"キャラ",
IF(COUNTIF(P32,"*赤*"),"赤",SUBSTITUTE(SUBSTITUTE(G32," ",""),"　","")))&amp;"*",
注文弁当の抽出!$F:$I,4,FALSE),""),"園児","先生")&amp;
IF(COUNTIF(P32,"*おにぎり*"),"　おにぎり","")</f>
        <v/>
      </c>
      <c r="R32" t="str">
        <f ca="1">IF(Q32&lt;&gt;"",
VLOOKUP(C32,クライアント抽出!$A:$G,6,FALSE),"")</f>
        <v/>
      </c>
      <c r="S32" t="str">
        <f ca="1">VLOOKUP(C32,クライアント抽出!$A:$O,15,FALSE)</f>
        <v/>
      </c>
      <c r="T32" t="str">
        <f ca="1">SUBSTITUTE(
IF(S32&lt;&gt;"",
VLOOKUP(
"*"&amp;IF(COUNTIF(S32,"*キャラ弁*"),"キャラ",
IF(COUNTIF(S32,"*赤*"),"赤",SUBSTITUTE(SUBSTITUTE(J32," ",""),"　","")))&amp;"*",
注文弁当の抽出!$F:$I,4,FALSE),""),"園児","先生")&amp;
IF(COUNTIF(S32,"*おにぎり*"),"　おにぎり","")</f>
        <v/>
      </c>
      <c r="U32" t="str">
        <f ca="1">IF(T32&lt;&gt;"",
VLOOKUP(C32,クライアント抽出!$A:$G,7,FALSE),"")</f>
        <v/>
      </c>
      <c r="V32" t="str">
        <f ca="1">IF(A32&lt;&gt;"",
IF(COUNTIF(V31,"*牛乳*"),
IF(AND(COUNTIF(B31,"*奈良屋*"),COUNTIF(B32,"*奈良屋*")),
V31&amp;"✔",""),VLOOKUP(""&amp;A32&amp;"",数出表_Excel!$A:$Z,22,FALSE)&amp;VLOOKUP(""&amp;A32&amp;"",数出表_Excel!$A:$Z,23,FALSE)
&amp;VLOOKUP(""&amp;C32&amp;"",数出表_Excel!$A:$Z,22,FALSE)&amp;VLOOKUP(""&amp;C32&amp;"",数出表_Excel!$A:$Z,23,FALSE)),"")</f>
        <v>ｱﾚ0</v>
      </c>
      <c r="W32">
        <f ca="1">IF(AND(COUNTIF(V32,"&lt;&gt;*不要*"),A32&lt;&gt;""),VLOOKUP(A32,得意先マスタ!$A:$AD,24,FALSE),0)</f>
        <v>0</v>
      </c>
      <c r="X32">
        <f ca="1">IF(AND(COUNTIF(V32,"&lt;&gt;*不要*"),A32&lt;&gt;""),VLOOKUP(A32,得意先マスタ!$A:$AD,25,FALSE),0)</f>
        <v>0</v>
      </c>
      <c r="Y32">
        <f t="shared" ca="1" si="0"/>
        <v>0</v>
      </c>
      <c r="Z32">
        <f t="shared" ca="1" si="1"/>
        <v>0</v>
      </c>
      <c r="AA32">
        <f t="shared" ca="1" si="5"/>
        <v>0</v>
      </c>
      <c r="AB32" t="str">
        <f t="shared" ca="1" si="2"/>
        <v/>
      </c>
      <c r="AC32" t="str">
        <f t="array" aca="1" ref="AC32" ca="1">IFERROR(INDEX(32:32, SMALL(IF($D32:$U32&lt;&gt;"", COLUMN($D$1:$U32)), COLUMN(A32))), "")</f>
        <v>赤　飯あり120</v>
      </c>
      <c r="AD32" t="str">
        <f t="array" aca="1" ref="AD32" ca="1">IFERROR(INDEX(32:32, SMALL(IF($D32:$U32&lt;&gt;"", COLUMN($D$1:$U32)), COLUMN(B32))), "")</f>
        <v>弁当　園児</v>
      </c>
      <c r="AE32">
        <f t="array" aca="1" ref="AE32" ca="1">IFERROR(INDEX(32:32, SMALL(IF($D32:$U32&lt;&gt;"", COLUMN($D$1:$U32)), COLUMN(C32))), "")</f>
        <v>13</v>
      </c>
      <c r="AF32" t="str">
        <f t="array" aca="1" ref="AF32" ca="1">IFERROR(INDEX(32:32, SMALL(IF($D32:$U32&lt;&gt;"", COLUMN($D$1:$U32)), COLUMN(D32))), "")</f>
        <v/>
      </c>
      <c r="AG32" t="str">
        <f t="array" aca="1" ref="AG32" ca="1">IFERROR(INDEX(32:32, SMALL(IF($D32:$U32&lt;&gt;"", COLUMN($D$1:$U32)), COLUMN(E32))), "")</f>
        <v/>
      </c>
      <c r="AH32" t="str">
        <f t="array" aca="1" ref="AH32" ca="1">IFERROR(INDEX(32:32, SMALL(IF($D32:$U32&lt;&gt;"", COLUMN($D$1:$U32)), COLUMN(F32))), "")</f>
        <v/>
      </c>
      <c r="AI32" t="str">
        <f t="array" aca="1" ref="AI32" ca="1">IFERROR(INDEX(32:32, SMALL(IF($D32:$U32&lt;&gt;"", COLUMN($D$1:$U32)), COLUMN(G32))), "")</f>
        <v/>
      </c>
      <c r="AJ32" t="str">
        <f t="array" aca="1" ref="AJ32" ca="1">IFERROR(INDEX(32:32, SMALL(IF($D32:$U32&lt;&gt;"", COLUMN($D$1:$U32)), COLUMN(H32))), "")</f>
        <v/>
      </c>
      <c r="AK32" t="str">
        <f t="array" aca="1" ref="AK32" ca="1">IFERROR(INDEX(32:32, SMALL(IF($D32:$U32&lt;&gt;"", COLUMN($D$1:$U32)), COLUMN(I32))), "")</f>
        <v/>
      </c>
      <c r="AL32" t="str">
        <f t="array" aca="1" ref="AL32" ca="1">IFERROR(INDEX(32:32, SMALL(IF($D32:$U32&lt;&gt;"", COLUMN($D$1:$U32)), COLUMN(J32))), "")</f>
        <v/>
      </c>
      <c r="AM32" t="str">
        <f t="array" aca="1" ref="AM32" ca="1">IFERROR(INDEX(32:32, SMALL(IF($D32:$U32&lt;&gt;"", COLUMN($D$1:$U32)), COLUMN(K32))), "")</f>
        <v/>
      </c>
      <c r="AN32" t="str">
        <f t="array" aca="1" ref="AN32" ca="1">IFERROR(INDEX(32:32, SMALL(IF($D32:$U32&lt;&gt;"", COLUMN($D$1:$U32)), COLUMN(L32))), "")</f>
        <v/>
      </c>
      <c r="AO32" t="str">
        <f t="array" aca="1" ref="AO32" ca="1">IFERROR(INDEX(32:32, SMALL(IF($D32:$U32&lt;&gt;"", COLUMN($D$1:$U32)), COLUMN(M32))), "")</f>
        <v/>
      </c>
      <c r="AP32" t="str">
        <f t="array" aca="1" ref="AP32" ca="1">IFERROR(INDEX(32:32, SMALL(IF($D32:$U32&lt;&gt;"", COLUMN($D$1:$U32)), COLUMN(N32))), "")</f>
        <v/>
      </c>
      <c r="AQ32" t="str">
        <f t="array" aca="1" ref="AQ32" ca="1">IFERROR(INDEX(32:32, SMALL(IF($D32:$U32&lt;&gt;"", COLUMN($D$1:$U32)), COLUMN(O32))), "")</f>
        <v/>
      </c>
      <c r="AR32" s="52" t="s">
        <v>4005</v>
      </c>
      <c r="AS32" t="str">
        <f t="shared" ca="1" si="3"/>
        <v/>
      </c>
      <c r="AT32" t="str">
        <f t="shared" ca="1" si="4"/>
        <v/>
      </c>
      <c r="AU32" t="str">
        <f t="shared" ca="1" si="6"/>
        <v/>
      </c>
      <c r="AV32" t="str">
        <f t="shared" ca="1" si="7"/>
        <v/>
      </c>
      <c r="AW32" t="str">
        <f t="shared" ca="1" si="8"/>
        <v/>
      </c>
      <c r="AX32" t="str">
        <f t="shared" ca="1" si="9"/>
        <v/>
      </c>
      <c r="AZ32" t="str">
        <f t="array" aca="1" ref="AZ32" ca="1">IFERROR(INDEX(32:32, SMALL(IF($AC32:$AX32&lt;&gt;"", COLUMN($AC$1:$AX32)), COLUMN(A32))), "")</f>
        <v>赤　飯あり120</v>
      </c>
      <c r="BA32" t="str">
        <f t="array" aca="1" ref="BA32" ca="1">IFERROR(INDEX(32:32, SMALL(IF($AC32:$AX32&lt;&gt;"", COLUMN($AC$1:$AX32)), COLUMN(B32))), "")</f>
        <v>弁当　園児</v>
      </c>
      <c r="BB32">
        <f t="array" aca="1" ref="BB32" ca="1">IFERROR(INDEX(32:32, SMALL(IF($AC32:$AX32&lt;&gt;"", COLUMN($AC$1:$AX32)), COLUMN(C32))), "")</f>
        <v>13</v>
      </c>
      <c r="BC32" t="str">
        <f t="array" aca="1" ref="BC32" ca="1">IFERROR(INDEX(32:32, SMALL(IF($AC32:$AX32&lt;&gt;"", COLUMN($AC$1:$AX32)), COLUMN(D32))), "")</f>
        <v>●</v>
      </c>
      <c r="BD32" t="str">
        <f t="array" aca="1" ref="BD32" ca="1">IFERROR(INDEX(32:32, SMALL(IF($AC32:$AX32&lt;&gt;"", COLUMN($AC$1:$AX32)), COLUMN(E32))), "")</f>
        <v/>
      </c>
      <c r="BE32" t="str">
        <f t="array" aca="1" ref="BE32" ca="1">IFERROR(INDEX(32:32, SMALL(IF($AC32:$AX32&lt;&gt;"", COLUMN($AC$1:$AX32)), COLUMN(F32))), "")</f>
        <v/>
      </c>
      <c r="BF32" t="str">
        <f t="array" aca="1" ref="BF32" ca="1">IFERROR(IF(AND(COUNTIF($B32,"*泉ヶ丘*"),COUNTIF($B33,"*泉ヶ丘*")),
IFERROR(INDEX(33:33, SMALL(IF($AC33:$AX33&lt;&gt;"", COLUMN($AC$1:$AX33)), COLUMN(A33))), ""),
INDEX(32:32, SMALL(IF($AC32:$AX32&lt;&gt;"", COLUMN($AC$1:$AX32)), COLUMN(G32)))), "")</f>
        <v/>
      </c>
      <c r="BG32" t="str">
        <f t="array" aca="1" ref="BG32" ca="1">IFERROR(IF(AND(COUNTIF($B32,"*泉ヶ丘*"),COUNTIF($B33,"*泉ヶ丘*")),
IFERROR(INDEX(33:33, SMALL(IF($AC33:$AX33&lt;&gt;"", COLUMN($AC$1:$AX33)), COLUMN(B33))), ""),
INDEX(32:32, SMALL(IF($AC32:$AX32&lt;&gt;"", COLUMN($AC$1:$AX32)), COLUMN(H32)))), "")</f>
        <v/>
      </c>
      <c r="BH32" t="str">
        <f t="array" aca="1" ref="BH32" ca="1">IFERROR(IF(AND(COUNTIF($B32,"*泉ヶ丘*"),COUNTIF($B33,"*泉ヶ丘*")),
IFERROR(INDEX(33:33, SMALL(IF($AC33:$AX33&lt;&gt;"", COLUMN($AC$1:$AX33)), COLUMN(C33))), ""),
INDEX(32:32, SMALL(IF($AC32:$AX32&lt;&gt;"", COLUMN($AC$1:$AX32)), COLUMN(I32)))), "")</f>
        <v/>
      </c>
      <c r="BI32" t="str">
        <f t="array" aca="1" ref="BI32" ca="1">IFERROR(IF(AND(COUNTIF($B32,"*泉ヶ丘*"),COUNTIF($B33,"*泉ヶ丘*")),
IFERROR(INDEX(33:33, SMALL(IF($AC33:$AX33&lt;&gt;"", COLUMN($AC$1:$AX33)), COLUMN(D33))), ""),
INDEX(32:32, SMALL(IF($AC32:$AX32&lt;&gt;"", COLUMN($AC$1:$AX32)), COLUMN(J32)))), "")</f>
        <v/>
      </c>
      <c r="BJ32" t="str">
        <f t="array" aca="1" ref="BJ32" ca="1">IFERROR(IF(AND(COUNTIF($B32,"*泉ヶ丘*"),COUNTIF($B33,"*泉ヶ丘*")),
IFERROR(INDEX(33:33, SMALL(IF($AC33:$AX33&lt;&gt;"", COLUMN($AC$1:$AX33)), COLUMN(E33))), ""),
INDEX(32:32, SMALL(IF($AC32:$AX32&lt;&gt;"", COLUMN($AC$1:$AX32)), COLUMN(K32)))), "")</f>
        <v/>
      </c>
      <c r="BK32" t="str">
        <f t="array" aca="1" ref="BK32" ca="1">IFERROR(IF(AND(COUNTIF($B32,"*泉ヶ丘*"),COUNTIF($B33,"*泉ヶ丘*")),
IFERROR(INDEX(33:33, SMALL(IF($AC33:$AX33&lt;&gt;"", COLUMN($AC$1:$AX33)), COLUMN(F33))), ""),
INDEX(32:32, SMALL(IF($AC32:$AX32&lt;&gt;"", COLUMN($AC$1:$AX32)), COLUMN(L32)))), "")</f>
        <v/>
      </c>
      <c r="BL32" t="str">
        <f t="array" aca="1" ref="BL32" ca="1">IFERROR(IF(AND(COUNTIF($B32,"*泉ヶ丘*"),COUNTIF($B33,"*泉ヶ丘*")),
IFERROR(INDEX(33:33, SMALL(IF($AC33:$AX33&lt;&gt;"", COLUMN($AC$1:$AX33)), COLUMN(G33))), ""),
INDEX(32:32, SMALL(IF($AC32:$AX32&lt;&gt;"", COLUMN($AC$1:$AX32)), COLUMN(M32)))), "")</f>
        <v/>
      </c>
      <c r="BM32" t="str">
        <f t="array" aca="1" ref="BM32" ca="1">IFERROR(IF(AND(COUNTIF($B32,"*泉ヶ丘*"),COUNTIF($B33,"*泉ヶ丘*")),
IFERROR(INDEX(33:33, SMALL(IF($AC33:$AX33&lt;&gt;"", COLUMN($AC$1:$AX33)), COLUMN(H33))), ""),
INDEX(32:32, SMALL(IF($AC32:$AX32&lt;&gt;"", COLUMN($AC$1:$AX32)), COLUMN(N32)))), "")</f>
        <v/>
      </c>
      <c r="BN32" t="str">
        <f t="array" aca="1" ref="BN32" ca="1">IFERROR(IF(AND(COUNTIF($B32,"*泉ヶ丘*"),COUNTIF($B33,"*泉ヶ丘*")),
IFERROR(INDEX(33:33, SMALL(IF($AC33:$AX33&lt;&gt;"", COLUMN($AC$1:$AX33)), COLUMN(I33))), ""),
INDEX(32:32, SMALL(IF($AC32:$AX32&lt;&gt;"", COLUMN($AC$1:$AX32)), COLUMN(O32)))), "")</f>
        <v/>
      </c>
      <c r="BO32" t="str">
        <f t="array" aca="1" ref="BO32" ca="1">IFERROR(IF(AND(COUNTIF($B32,"*泉ヶ丘*"),COUNTIF($B33,"*泉ヶ丘*")),
IFERROR(INDEX(33:33, SMALL(IF($AC33:$AX33&lt;&gt;"", COLUMN($AC$1:$AX33)), COLUMN(J33))), ""),
INDEX(32:32, SMALL(IF($AC32:$AX32&lt;&gt;"", COLUMN($AC$1:$AX32)), COLUMN(P32)))), "")</f>
        <v/>
      </c>
      <c r="BP32" t="str">
        <f t="array" aca="1" ref="BP32" ca="1">IFERROR(IF(AND(COUNTIF($B32,"*泉ヶ丘*"),COUNTIF($B33,"*泉ヶ丘*")),
IFERROR(INDEX(33:33, SMALL(IF($AC33:$AX33&lt;&gt;"", COLUMN($AC$1:$AX33)), COLUMN(K33))), ""),
INDEX(32:32, SMALL(IF($AC32:$AX32&lt;&gt;"", COLUMN($AC$1:$AX32)), COLUMN(Q32)))), "")</f>
        <v/>
      </c>
      <c r="BQ32" t="str">
        <f t="array" aca="1" ref="BQ32" ca="1">IFERROR(IF(AND(COUNTIF($B32,"*泉ヶ丘*"),COUNTIF($B33,"*泉ヶ丘*")),
IFERROR(INDEX(33:33, SMALL(IF($AC33:$AX33&lt;&gt;"", COLUMN($AC$1:$AX33)), COLUMN(L33))), ""),
INDEX(32:32, SMALL(IF($AC32:$AX32&lt;&gt;"", COLUMN($AC$1:$AX32)), COLUMN(R32)))), "")</f>
        <v/>
      </c>
    </row>
    <row r="33" spans="1:69" x14ac:dyDescent="0.45">
      <c r="A33" t="str">
        <f t="array" ref="A33">IF(INDEX(貼り付け用!A:A,MATCH(A32,貼り付け用!A:A,0)+2)="4700",
IF(INDEX(貼り付け用!A:A,MATCH(A32,貼り付け用!A:A,0)+4)="4800",
INDEX(貼り付け用!A:A,MATCH(A32,貼り付け用!A:A,0)+6),
INDEX(貼り付け用!A:A,MATCH(A32,貼り付け用!A:A,0)+4)),INDEX(貼り付け用!A:A,MATCH(A32,貼り付け用!A:A,0)+2))</f>
        <v>7103</v>
      </c>
      <c r="B33" t="str">
        <f>IF(A33&lt;&gt;"",
VLOOKUP(A33,得意先マスタ!A:D,2,FALSE),"")</f>
        <v>バディスポーツ幼育園博多南校　2号認定</v>
      </c>
      <c r="C33" t="str">
        <f t="array" ref="C33">IF(A33="10000","",INDEX(貼り付け用!A:A,MATCH(A33,貼り付け用!A:A,0)+1))</f>
        <v>バディ博多南校 2号</v>
      </c>
      <c r="D33" t="str">
        <f ca="1">VLOOKUP(C33,クライアント抽出!$A:$O,10,FALSE)</f>
        <v>赤　飯あり120</v>
      </c>
      <c r="E33" t="str">
        <f ca="1">IF(D33&lt;&gt;"",
IF(COUNTIF(C33,"*ぺんぎん*"),
VLOOKUP(
"*"&amp;IF(COUNTIF(D33,"*キャラ弁*"),"キャラ",
IF(COUNTIF(D33,"*赤*"),"赤",SUBSTITUTE(SUBSTITUTE(D33," ",""),"　","")))&amp;"*",
注文弁当の抽出!$F:$I,4,FALSE)&amp;
IF(COUNTIF(D33,"*おにぎり*"),"　おにぎり","")&amp;"　（ぺんぎん組）",
VLOOKUP(
"*"&amp;IF(COUNTIF(D33,"*キャラ弁*"),"キャラ",
IF(COUNTIF(D33,"*赤*"),"赤",SUBSTITUTE(SUBSTITUTE(D33," ",""),"　","")))&amp;"*",
注文弁当の抽出!$F:$I,4,FALSE)&amp;
IF(COUNTIF(D33,"*おにぎり*"),"　おにぎり","")),"")</f>
        <v>弁当　園児</v>
      </c>
      <c r="F33">
        <f ca="1">IFERROR(IF(E33&lt;&gt;"",
VLOOKUP(C33,クライアント抽出!$A:$G,2,FALSE)+
IF(COUNTIF(Y33,"*-*"),Y33,0),"")
-IFERROR(MID(V33, SEARCH("予備", V33) + LEN("予備"), SEARCH("込み", V33) - (SEARCH("予備", V33) + LEN("予備"))),0),"")</f>
        <v>25</v>
      </c>
      <c r="G33" t="str">
        <f ca="1">VLOOKUP(C33,クライアント抽出!$A:$O,11,FALSE)</f>
        <v/>
      </c>
      <c r="H33" t="str">
        <f ca="1">IF(G33&lt;&gt;"",
VLOOKUP(
"*"&amp;IF(COUNTIF(G33,"*キャラ弁*"),"キャラ",
IF(COUNTIF(G33,"*赤*"),"赤",SUBSTITUTE(SUBSTITUTE(G33," ",""),"　","")))&amp;"*",
注文弁当の抽出!$F:$I,4,FALSE)&amp;
IF(COUNTIF(G33,"*おにぎり*"),"　おにぎり",""),"")</f>
        <v/>
      </c>
      <c r="I33" t="str">
        <f ca="1">IF(H33&lt;&gt;"",
VLOOKUP(C33,クライアント抽出!$A:$G,3,FALSE)+
IF(COUNTIF(C33,"*博多*"),Y33,Z33),"")</f>
        <v/>
      </c>
      <c r="J33" t="str">
        <f ca="1">VLOOKUP(C33,クライアント抽出!$A:$O,12,FALSE)</f>
        <v/>
      </c>
      <c r="K33" t="str">
        <f ca="1">IF(J33&lt;&gt;"",
VLOOKUP(
"*"&amp;IF(COUNTIF(J33,"*キャラ弁*"),"キャラ",
IF(COUNTIF(J33,"*赤*"),"赤",SUBSTITUTE(SUBSTITUTE(J33," ",""),"　","")))&amp;"*",
注文弁当の抽出!$F:$I,4,FALSE)&amp;
IF(COUNTIF(J33,"*おにぎり*"),"　おにぎり",""),"")</f>
        <v/>
      </c>
      <c r="L33" t="str">
        <f ca="1">IF(K33&lt;&gt;"",
VLOOKUP(C33,クライアント抽出!$A:$G,4,FALSE)+AA33,"")</f>
        <v/>
      </c>
      <c r="M33" t="str">
        <f ca="1">VLOOKUP(C33,クライアント抽出!$A:$O,13,FALSE)</f>
        <v/>
      </c>
      <c r="N33" t="str">
        <f ca="1">SUBSTITUTE(
IF(M33&lt;&gt;"",
VLOOKUP(
"*"&amp;IF(COUNTIF(M33,"*キャラ弁*"),"キャラ",
IF(COUNTIF(M33,"*赤*"),"赤",SUBSTITUTE(SUBSTITUTE(D33," ",""),"　","")))&amp;"*",
注文弁当の抽出!$F:$I,4,FALSE),""),"園児","先生")&amp;
IF(COUNTIF(M33,"*おにぎり*"),"　おにぎり","")</f>
        <v/>
      </c>
      <c r="O33" t="str">
        <f ca="1">IF(N33&lt;&gt;"",VLOOKUP(C33,クライアント抽出!$A:$G,5,FALSE),"")</f>
        <v/>
      </c>
      <c r="P33" t="str">
        <f ca="1">VLOOKUP(C33,クライアント抽出!$A:$O,14,FALSE)</f>
        <v/>
      </c>
      <c r="Q33" t="str">
        <f ca="1">SUBSTITUTE(
IF(P33&lt;&gt;"",
VLOOKUP(
"*"&amp;IF(COUNTIF(P33,"*キャラ弁*"),"キャラ",
IF(COUNTIF(P33,"*赤*"),"赤",SUBSTITUTE(SUBSTITUTE(G33," ",""),"　","")))&amp;"*",
注文弁当の抽出!$F:$I,4,FALSE),""),"園児","先生")&amp;
IF(COUNTIF(P33,"*おにぎり*"),"　おにぎり","")</f>
        <v/>
      </c>
      <c r="R33" t="str">
        <f ca="1">IF(Q33&lt;&gt;"",
VLOOKUP(C33,クライアント抽出!$A:$G,6,FALSE),"")</f>
        <v/>
      </c>
      <c r="S33" t="str">
        <f ca="1">VLOOKUP(C33,クライアント抽出!$A:$O,15,FALSE)</f>
        <v/>
      </c>
      <c r="T33" t="str">
        <f ca="1">SUBSTITUTE(
IF(S33&lt;&gt;"",
VLOOKUP(
"*"&amp;IF(COUNTIF(S33,"*キャラ弁*"),"キャラ",
IF(COUNTIF(S33,"*赤*"),"赤",SUBSTITUTE(SUBSTITUTE(J33," ",""),"　","")))&amp;"*",
注文弁当の抽出!$F:$I,4,FALSE),""),"園児","先生")&amp;
IF(COUNTIF(S33,"*おにぎり*"),"　おにぎり","")</f>
        <v/>
      </c>
      <c r="U33" t="str">
        <f ca="1">IF(T33&lt;&gt;"",
VLOOKUP(C33,クライアント抽出!$A:$G,7,FALSE),"")</f>
        <v/>
      </c>
      <c r="V33" t="str">
        <f ca="1">IF(A33&lt;&gt;"",
IF(COUNTIF(V32,"*牛乳*"),
IF(AND(COUNTIF(B32,"*奈良屋*"),COUNTIF(B33,"*奈良屋*")),
V32&amp;"✔",""),VLOOKUP(""&amp;A33&amp;"",数出表_Excel!$A:$Z,22,FALSE)&amp;VLOOKUP(""&amp;A33&amp;"",数出表_Excel!$A:$Z,23,FALSE)
&amp;VLOOKUP(""&amp;C33&amp;"",数出表_Excel!$A:$Z,22,FALSE)&amp;VLOOKUP(""&amp;C33&amp;"",数出表_Excel!$A:$Z,23,FALSE)),"")</f>
        <v>おかわり用保温箱2K×1</v>
      </c>
      <c r="W33">
        <f ca="1">IF(AND(COUNTIF(V33,"&lt;&gt;*不要*"),A33&lt;&gt;""),VLOOKUP(A33,得意先マスタ!$A:$AD,24,FALSE),0)</f>
        <v>0</v>
      </c>
      <c r="X33">
        <f ca="1">IF(AND(COUNTIF(V33,"&lt;&gt;*不要*"),A33&lt;&gt;""),VLOOKUP(A33,得意先マスタ!$A:$AD,25,FALSE),0)</f>
        <v>0</v>
      </c>
      <c r="Y33">
        <f t="shared" ref="Y33:Y64" ca="1" si="10">IF(X33&lt;&gt;0,
TEXT(IF(COUNTIF(X33,"*.*"),LEFT(X33, FIND(".", X33) - 1),X33),"@"),0)</f>
        <v>0</v>
      </c>
      <c r="Z33">
        <f t="shared" ref="Z33:Z64" ca="1" si="11">IF(X33&lt;&gt;0,
IF(COUNTIF(X33,"*.*"),
IF(COUNTIF(X33,"*.*")=1,MID(X33, FIND(".", X33) + 1,LEN(X33) - FIND(".", X33)),
MID(X33, FIND(".", X33) + 1, FIND(".", X33, FIND(".", X33) + 1) - FIND(".", X33) - 1)),0),0)</f>
        <v>0</v>
      </c>
      <c r="AA33">
        <f t="shared" ca="1" si="5"/>
        <v>0</v>
      </c>
      <c r="AB33" t="str">
        <f t="shared" ref="AB33:AB64" ca="1" si="12">IF(AND(E33&lt;&gt;"",W33&lt;&gt;0),
SUBSTITUTE(E33,"園児",W33),"")&amp;
IF(AND(H33&lt;&gt;"",W33&lt;&gt;0),
"、"&amp;SUBSTITUTE(H33,"園児",W33),"")&amp;
IF(AND(K33&lt;&gt;"",W33&lt;&gt;0),
"、"&amp;SUBSTITUTE(K33,"園児",W33),"")</f>
        <v/>
      </c>
      <c r="AC33" t="str">
        <f t="array" aca="1" ref="AC33" ca="1">IFERROR(INDEX(33:33, SMALL(IF($D33:$U33&lt;&gt;"", COLUMN($D$1:$U33)), COLUMN(A33))), "")</f>
        <v>赤　飯あり120</v>
      </c>
      <c r="AD33" t="str">
        <f t="array" aca="1" ref="AD33" ca="1">IFERROR(INDEX(33:33, SMALL(IF($D33:$U33&lt;&gt;"", COLUMN($D$1:$U33)), COLUMN(B33))), "")</f>
        <v>弁当　園児</v>
      </c>
      <c r="AE33">
        <f t="array" aca="1" ref="AE33" ca="1">IFERROR(INDEX(33:33, SMALL(IF($D33:$U33&lt;&gt;"", COLUMN($D$1:$U33)), COLUMN(C33))), "")</f>
        <v>25</v>
      </c>
      <c r="AF33" t="str">
        <f t="array" aca="1" ref="AF33" ca="1">IFERROR(INDEX(33:33, SMALL(IF($D33:$U33&lt;&gt;"", COLUMN($D$1:$U33)), COLUMN(D33))), "")</f>
        <v/>
      </c>
      <c r="AG33" t="str">
        <f t="array" aca="1" ref="AG33" ca="1">IFERROR(INDEX(33:33, SMALL(IF($D33:$U33&lt;&gt;"", COLUMN($D$1:$U33)), COLUMN(E33))), "")</f>
        <v/>
      </c>
      <c r="AH33" t="str">
        <f t="array" aca="1" ref="AH33" ca="1">IFERROR(INDEX(33:33, SMALL(IF($D33:$U33&lt;&gt;"", COLUMN($D$1:$U33)), COLUMN(F33))), "")</f>
        <v/>
      </c>
      <c r="AI33" t="str">
        <f t="array" aca="1" ref="AI33" ca="1">IFERROR(INDEX(33:33, SMALL(IF($D33:$U33&lt;&gt;"", COLUMN($D$1:$U33)), COLUMN(G33))), "")</f>
        <v/>
      </c>
      <c r="AJ33" t="str">
        <f t="array" aca="1" ref="AJ33" ca="1">IFERROR(INDEX(33:33, SMALL(IF($D33:$U33&lt;&gt;"", COLUMN($D$1:$U33)), COLUMN(H33))), "")</f>
        <v/>
      </c>
      <c r="AK33" t="str">
        <f t="array" aca="1" ref="AK33" ca="1">IFERROR(INDEX(33:33, SMALL(IF($D33:$U33&lt;&gt;"", COLUMN($D$1:$U33)), COLUMN(I33))), "")</f>
        <v/>
      </c>
      <c r="AL33" t="str">
        <f t="array" aca="1" ref="AL33" ca="1">IFERROR(INDEX(33:33, SMALL(IF($D33:$U33&lt;&gt;"", COLUMN($D$1:$U33)), COLUMN(J33))), "")</f>
        <v/>
      </c>
      <c r="AM33" t="str">
        <f t="array" aca="1" ref="AM33" ca="1">IFERROR(INDEX(33:33, SMALL(IF($D33:$U33&lt;&gt;"", COLUMN($D$1:$U33)), COLUMN(K33))), "")</f>
        <v/>
      </c>
      <c r="AN33" t="str">
        <f t="array" aca="1" ref="AN33" ca="1">IFERROR(INDEX(33:33, SMALL(IF($D33:$U33&lt;&gt;"", COLUMN($D$1:$U33)), COLUMN(L33))), "")</f>
        <v/>
      </c>
      <c r="AO33" t="str">
        <f t="array" aca="1" ref="AO33" ca="1">IFERROR(INDEX(33:33, SMALL(IF($D33:$U33&lt;&gt;"", COLUMN($D$1:$U33)), COLUMN(M33))), "")</f>
        <v/>
      </c>
      <c r="AP33" t="str">
        <f t="array" aca="1" ref="AP33" ca="1">IFERROR(INDEX(33:33, SMALL(IF($D33:$U33&lt;&gt;"", COLUMN($D$1:$U33)), COLUMN(N33))), "")</f>
        <v/>
      </c>
      <c r="AQ33" t="str">
        <f t="array" aca="1" ref="AQ33" ca="1">IFERROR(INDEX(33:33, SMALL(IF($D33:$U33&lt;&gt;"", COLUMN($D$1:$U33)), COLUMN(O33))), "")</f>
        <v/>
      </c>
      <c r="AR33" s="52" t="s">
        <v>4005</v>
      </c>
      <c r="AS33" t="str">
        <f t="shared" ref="AS33:AS64" ca="1" si="13">IF(Y33&lt;&gt;0,
TRIM(MID(SUBSTITUTE($AB33,"、",REPT(" ",99)),1,99)),
IF(COUNTIF($V33,"*牛乳*"),
IF(COUNTIF(B33,"*奥田*"),"","牛乳"),""))</f>
        <v/>
      </c>
      <c r="AT33" t="str">
        <f t="shared" ref="AT33:AT64" ca="1" si="14">IF(Y33&lt;&gt;0,
SUBSTITUTE(Y33,"-",""),
IF(AS33&lt;&gt;"",AE33,""))</f>
        <v/>
      </c>
      <c r="AU33" t="str">
        <f t="shared" ca="1" si="6"/>
        <v/>
      </c>
      <c r="AV33" t="str">
        <f t="shared" ca="1" si="7"/>
        <v/>
      </c>
      <c r="AW33" t="str">
        <f t="shared" ca="1" si="8"/>
        <v/>
      </c>
      <c r="AX33" t="str">
        <f t="shared" ca="1" si="9"/>
        <v/>
      </c>
      <c r="AZ33" t="str">
        <f t="array" aca="1" ref="AZ33" ca="1">IFERROR(INDEX(33:33, SMALL(IF($AC33:$AX33&lt;&gt;"", COLUMN($AC$1:$AX33)), COLUMN(A33))), "")</f>
        <v>赤　飯あり120</v>
      </c>
      <c r="BA33" t="str">
        <f t="array" aca="1" ref="BA33" ca="1">IFERROR(INDEX(33:33, SMALL(IF($AC33:$AX33&lt;&gt;"", COLUMN($AC$1:$AX33)), COLUMN(B33))), "")</f>
        <v>弁当　園児</v>
      </c>
      <c r="BB33">
        <f t="array" aca="1" ref="BB33" ca="1">IFERROR(INDEX(33:33, SMALL(IF($AC33:$AX33&lt;&gt;"", COLUMN($AC$1:$AX33)), COLUMN(C33))), "")</f>
        <v>25</v>
      </c>
      <c r="BC33" t="str">
        <f t="array" aca="1" ref="BC33" ca="1">IFERROR(INDEX(33:33, SMALL(IF($AC33:$AX33&lt;&gt;"", COLUMN($AC$1:$AX33)), COLUMN(D33))), "")</f>
        <v>●</v>
      </c>
      <c r="BD33" t="str">
        <f t="array" aca="1" ref="BD33" ca="1">IFERROR(INDEX(33:33, SMALL(IF($AC33:$AX33&lt;&gt;"", COLUMN($AC$1:$AX33)), COLUMN(E33))), "")</f>
        <v/>
      </c>
      <c r="BE33" t="str">
        <f t="array" aca="1" ref="BE33" ca="1">IFERROR(INDEX(33:33, SMALL(IF($AC33:$AX33&lt;&gt;"", COLUMN($AC$1:$AX33)), COLUMN(F33))), "")</f>
        <v/>
      </c>
      <c r="BF33" t="str">
        <f t="array" aca="1" ref="BF33" ca="1">IFERROR(IF(AND(COUNTIF($B33,"*泉ヶ丘*"),COUNTIF($B34,"*泉ヶ丘*")),
IFERROR(INDEX(34:34, SMALL(IF($AC34:$AX34&lt;&gt;"", COLUMN($AC$1:$AX34)), COLUMN(A34))), ""),
INDEX(33:33, SMALL(IF($AC33:$AX33&lt;&gt;"", COLUMN($AC$1:$AX33)), COLUMN(G33)))), "")</f>
        <v/>
      </c>
      <c r="BG33" t="str">
        <f t="array" aca="1" ref="BG33" ca="1">IFERROR(IF(AND(COUNTIF($B33,"*泉ヶ丘*"),COUNTIF($B34,"*泉ヶ丘*")),
IFERROR(INDEX(34:34, SMALL(IF($AC34:$AX34&lt;&gt;"", COLUMN($AC$1:$AX34)), COLUMN(B34))), ""),
INDEX(33:33, SMALL(IF($AC33:$AX33&lt;&gt;"", COLUMN($AC$1:$AX33)), COLUMN(H33)))), "")</f>
        <v/>
      </c>
      <c r="BH33" t="str">
        <f t="array" aca="1" ref="BH33" ca="1">IFERROR(IF(AND(COUNTIF($B33,"*泉ヶ丘*"),COUNTIF($B34,"*泉ヶ丘*")),
IFERROR(INDEX(34:34, SMALL(IF($AC34:$AX34&lt;&gt;"", COLUMN($AC$1:$AX34)), COLUMN(C34))), ""),
INDEX(33:33, SMALL(IF($AC33:$AX33&lt;&gt;"", COLUMN($AC$1:$AX33)), COLUMN(I33)))), "")</f>
        <v/>
      </c>
      <c r="BI33" t="str">
        <f t="array" aca="1" ref="BI33" ca="1">IFERROR(IF(AND(COUNTIF($B33,"*泉ヶ丘*"),COUNTIF($B34,"*泉ヶ丘*")),
IFERROR(INDEX(34:34, SMALL(IF($AC34:$AX34&lt;&gt;"", COLUMN($AC$1:$AX34)), COLUMN(D34))), ""),
INDEX(33:33, SMALL(IF($AC33:$AX33&lt;&gt;"", COLUMN($AC$1:$AX33)), COLUMN(J33)))), "")</f>
        <v/>
      </c>
      <c r="BJ33" t="str">
        <f t="array" aca="1" ref="BJ33" ca="1">IFERROR(IF(AND(COUNTIF($B33,"*泉ヶ丘*"),COUNTIF($B34,"*泉ヶ丘*")),
IFERROR(INDEX(34:34, SMALL(IF($AC34:$AX34&lt;&gt;"", COLUMN($AC$1:$AX34)), COLUMN(E34))), ""),
INDEX(33:33, SMALL(IF($AC33:$AX33&lt;&gt;"", COLUMN($AC$1:$AX33)), COLUMN(K33)))), "")</f>
        <v/>
      </c>
      <c r="BK33" t="str">
        <f t="array" aca="1" ref="BK33" ca="1">IFERROR(IF(AND(COUNTIF($B33,"*泉ヶ丘*"),COUNTIF($B34,"*泉ヶ丘*")),
IFERROR(INDEX(34:34, SMALL(IF($AC34:$AX34&lt;&gt;"", COLUMN($AC$1:$AX34)), COLUMN(F34))), ""),
INDEX(33:33, SMALL(IF($AC33:$AX33&lt;&gt;"", COLUMN($AC$1:$AX33)), COLUMN(L33)))), "")</f>
        <v/>
      </c>
      <c r="BL33" t="str">
        <f t="array" aca="1" ref="BL33" ca="1">IFERROR(IF(AND(COUNTIF($B33,"*泉ヶ丘*"),COUNTIF($B34,"*泉ヶ丘*")),
IFERROR(INDEX(34:34, SMALL(IF($AC34:$AX34&lt;&gt;"", COLUMN($AC$1:$AX34)), COLUMN(G34))), ""),
INDEX(33:33, SMALL(IF($AC33:$AX33&lt;&gt;"", COLUMN($AC$1:$AX33)), COLUMN(M33)))), "")</f>
        <v/>
      </c>
      <c r="BM33" t="str">
        <f t="array" aca="1" ref="BM33" ca="1">IFERROR(IF(AND(COUNTIF($B33,"*泉ヶ丘*"),COUNTIF($B34,"*泉ヶ丘*")),
IFERROR(INDEX(34:34, SMALL(IF($AC34:$AX34&lt;&gt;"", COLUMN($AC$1:$AX34)), COLUMN(H34))), ""),
INDEX(33:33, SMALL(IF($AC33:$AX33&lt;&gt;"", COLUMN($AC$1:$AX33)), COLUMN(N33)))), "")</f>
        <v/>
      </c>
      <c r="BN33" t="str">
        <f t="array" aca="1" ref="BN33" ca="1">IFERROR(IF(AND(COUNTIF($B33,"*泉ヶ丘*"),COUNTIF($B34,"*泉ヶ丘*")),
IFERROR(INDEX(34:34, SMALL(IF($AC34:$AX34&lt;&gt;"", COLUMN($AC$1:$AX34)), COLUMN(I34))), ""),
INDEX(33:33, SMALL(IF($AC33:$AX33&lt;&gt;"", COLUMN($AC$1:$AX33)), COLUMN(O33)))), "")</f>
        <v/>
      </c>
      <c r="BO33" t="str">
        <f t="array" aca="1" ref="BO33" ca="1">IFERROR(IF(AND(COUNTIF($B33,"*泉ヶ丘*"),COUNTIF($B34,"*泉ヶ丘*")),
IFERROR(INDEX(34:34, SMALL(IF($AC34:$AX34&lt;&gt;"", COLUMN($AC$1:$AX34)), COLUMN(J34))), ""),
INDEX(33:33, SMALL(IF($AC33:$AX33&lt;&gt;"", COLUMN($AC$1:$AX33)), COLUMN(P33)))), "")</f>
        <v/>
      </c>
      <c r="BP33" t="str">
        <f t="array" aca="1" ref="BP33" ca="1">IFERROR(IF(AND(COUNTIF($B33,"*泉ヶ丘*"),COUNTIF($B34,"*泉ヶ丘*")),
IFERROR(INDEX(34:34, SMALL(IF($AC34:$AX34&lt;&gt;"", COLUMN($AC$1:$AX34)), COLUMN(K34))), ""),
INDEX(33:33, SMALL(IF($AC33:$AX33&lt;&gt;"", COLUMN($AC$1:$AX33)), COLUMN(Q33)))), "")</f>
        <v/>
      </c>
      <c r="BQ33" t="str">
        <f t="array" aca="1" ref="BQ33" ca="1">IFERROR(IF(AND(COUNTIF($B33,"*泉ヶ丘*"),COUNTIF($B34,"*泉ヶ丘*")),
IFERROR(INDEX(34:34, SMALL(IF($AC34:$AX34&lt;&gt;"", COLUMN($AC$1:$AX34)), COLUMN(L34))), ""),
INDEX(33:33, SMALL(IF($AC33:$AX33&lt;&gt;"", COLUMN($AC$1:$AX33)), COLUMN(R33)))), "")</f>
        <v/>
      </c>
    </row>
    <row r="34" spans="1:69" x14ac:dyDescent="0.45">
      <c r="A34" t="str">
        <f t="array" ref="A34">IF(INDEX(貼り付け用!A:A,MATCH(A33,貼り付け用!A:A,0)+2)="4700",
IF(INDEX(貼り付け用!A:A,MATCH(A33,貼り付け用!A:A,0)+4)="4800",
INDEX(貼り付け用!A:A,MATCH(A33,貼り付け用!A:A,0)+6),
INDEX(貼り付け用!A:A,MATCH(A33,貼り付け用!A:A,0)+4)),INDEX(貼り付け用!A:A,MATCH(A33,貼り付け用!A:A,0)+2))</f>
        <v>20700</v>
      </c>
      <c r="B34" t="str">
        <f>IF(A34&lt;&gt;"",
VLOOKUP(A34,得意先マスタ!A:D,2,FALSE),"")</f>
        <v>つるた保育園</v>
      </c>
      <c r="C34" t="str">
        <f t="array" ref="C34">IF(A34="10000","",INDEX(貼り付け用!A:A,MATCH(A34,貼り付け用!A:A,0)+1))</f>
        <v>つるた保育園</v>
      </c>
      <c r="D34" t="str">
        <f ca="1">VLOOKUP(C34,クライアント抽出!$A:$O,10,FALSE)</f>
        <v>キャラ弁当　飯あり120</v>
      </c>
      <c r="E34" t="str">
        <f ca="1">IF(D34&lt;&gt;"",
IF(COUNTIF(C34,"*ぺんぎん*"),
VLOOKUP(
"*"&amp;IF(COUNTIF(D34,"*キャラ弁*"),"キャラ",
IF(COUNTIF(D34,"*赤*"),"赤",SUBSTITUTE(SUBSTITUTE(D34," ",""),"　","")))&amp;"*",
注文弁当の抽出!$F:$I,4,FALSE)&amp;
IF(COUNTIF(D34,"*おにぎり*"),"　おにぎり","")&amp;"　（ぺんぎん組）",
VLOOKUP(
"*"&amp;IF(COUNTIF(D34,"*キャラ弁*"),"キャラ",
IF(COUNTIF(D34,"*赤*"),"赤",SUBSTITUTE(SUBSTITUTE(D34," ",""),"　","")))&amp;"*",
注文弁当の抽出!$F:$I,4,FALSE)&amp;
IF(COUNTIF(D34,"*おにぎり*"),"　おにぎり","")),"")</f>
        <v>弁当　園児</v>
      </c>
      <c r="F34">
        <f ca="1">IFERROR(IF(E34&lt;&gt;"",
VLOOKUP(C34,クライアント抽出!$A:$G,2,FALSE)+
IF(COUNTIF(Y34,"*-*"),Y34,0),"")
-IFERROR(MID(V34, SEARCH("予備", V34) + LEN("予備"), SEARCH("込み", V34) - (SEARCH("予備", V34) + LEN("予備"))),0),"")</f>
        <v>14</v>
      </c>
      <c r="G34" t="str">
        <f ca="1">VLOOKUP(C34,クライアント抽出!$A:$O,11,FALSE)</f>
        <v/>
      </c>
      <c r="H34" t="str">
        <f ca="1">IF(G34&lt;&gt;"",
VLOOKUP(
"*"&amp;IF(COUNTIF(G34,"*キャラ弁*"),"キャラ",
IF(COUNTIF(G34,"*赤*"),"赤",SUBSTITUTE(SUBSTITUTE(G34," ",""),"　","")))&amp;"*",
注文弁当の抽出!$F:$I,4,FALSE)&amp;
IF(COUNTIF(G34,"*おにぎり*"),"　おにぎり",""),"")</f>
        <v/>
      </c>
      <c r="I34" t="str">
        <f ca="1">IF(H34&lt;&gt;"",
VLOOKUP(C34,クライアント抽出!$A:$G,3,FALSE)+
IF(COUNTIF(C34,"*博多*"),Y34,Z34),"")</f>
        <v/>
      </c>
      <c r="J34" t="str">
        <f ca="1">VLOOKUP(C34,クライアント抽出!$A:$O,12,FALSE)</f>
        <v/>
      </c>
      <c r="K34" t="str">
        <f ca="1">IF(J34&lt;&gt;"",
VLOOKUP(
"*"&amp;IF(COUNTIF(J34,"*キャラ弁*"),"キャラ",
IF(COUNTIF(J34,"*赤*"),"赤",SUBSTITUTE(SUBSTITUTE(J34," ",""),"　","")))&amp;"*",
注文弁当の抽出!$F:$I,4,FALSE)&amp;
IF(COUNTIF(J34,"*おにぎり*"),"　おにぎり",""),"")</f>
        <v/>
      </c>
      <c r="L34" t="str">
        <f ca="1">IF(K34&lt;&gt;"",
VLOOKUP(C34,クライアント抽出!$A:$G,4,FALSE)+AA34,"")</f>
        <v/>
      </c>
      <c r="M34" t="str">
        <f ca="1">VLOOKUP(C34,クライアント抽出!$A:$O,13,FALSE)</f>
        <v/>
      </c>
      <c r="N34" t="str">
        <f ca="1">SUBSTITUTE(
IF(M34&lt;&gt;"",
VLOOKUP(
"*"&amp;IF(COUNTIF(M34,"*キャラ弁*"),"キャラ",
IF(COUNTIF(M34,"*赤*"),"赤",SUBSTITUTE(SUBSTITUTE(D34," ",""),"　","")))&amp;"*",
注文弁当の抽出!$F:$I,4,FALSE),""),"園児","先生")&amp;
IF(COUNTIF(M34,"*おにぎり*"),"　おにぎり","")</f>
        <v/>
      </c>
      <c r="O34" t="str">
        <f ca="1">IF(N34&lt;&gt;"",VLOOKUP(C34,クライアント抽出!$A:$G,5,FALSE),"")</f>
        <v/>
      </c>
      <c r="P34" t="str">
        <f ca="1">VLOOKUP(C34,クライアント抽出!$A:$O,14,FALSE)</f>
        <v/>
      </c>
      <c r="Q34" t="str">
        <f ca="1">SUBSTITUTE(
IF(P34&lt;&gt;"",
VLOOKUP(
"*"&amp;IF(COUNTIF(P34,"*キャラ弁*"),"キャラ",
IF(COUNTIF(P34,"*赤*"),"赤",SUBSTITUTE(SUBSTITUTE(G34," ",""),"　","")))&amp;"*",
注文弁当の抽出!$F:$I,4,FALSE),""),"園児","先生")&amp;
IF(COUNTIF(P34,"*おにぎり*"),"　おにぎり","")</f>
        <v/>
      </c>
      <c r="R34" t="str">
        <f ca="1">IF(Q34&lt;&gt;"",
VLOOKUP(C34,クライアント抽出!$A:$G,6,FALSE),"")</f>
        <v/>
      </c>
      <c r="S34" t="str">
        <f ca="1">VLOOKUP(C34,クライアント抽出!$A:$O,15,FALSE)</f>
        <v/>
      </c>
      <c r="T34" t="str">
        <f ca="1">SUBSTITUTE(
IF(S34&lt;&gt;"",
VLOOKUP(
"*"&amp;IF(COUNTIF(S34,"*キャラ弁*"),"キャラ",
IF(COUNTIF(S34,"*赤*"),"赤",SUBSTITUTE(SUBSTITUTE(J34," ",""),"　","")))&amp;"*",
注文弁当の抽出!$F:$I,4,FALSE),""),"園児","先生")&amp;
IF(COUNTIF(S34,"*おにぎり*"),"　おにぎり","")</f>
        <v/>
      </c>
      <c r="U34" t="str">
        <f ca="1">IF(T34&lt;&gt;"",
VLOOKUP(C34,クライアント抽出!$A:$G,7,FALSE),"")</f>
        <v/>
      </c>
      <c r="V34" t="str">
        <f ca="1">IF(A34&lt;&gt;"",
IF(COUNTIF(V33,"*牛乳*"),
IF(AND(COUNTIF(B33,"*奈良屋*"),COUNTIF(B34,"*奈良屋*")),
V33&amp;"✔",""),VLOOKUP(""&amp;A34&amp;"",数出表_Excel!$A:$Z,22,FALSE)&amp;VLOOKUP(""&amp;A34&amp;"",数出表_Excel!$A:$Z,23,FALSE)
&amp;VLOOKUP(""&amp;C34&amp;"",数出表_Excel!$A:$Z,22,FALSE)&amp;VLOOKUP(""&amp;C34&amp;"",数出表_Excel!$A:$Z,23,FALSE)),"")</f>
        <v/>
      </c>
      <c r="W34">
        <f ca="1">IF(AND(COUNTIF(V34,"&lt;&gt;*不要*"),A34&lt;&gt;""),VLOOKUP(A34,得意先マスタ!$A:$AD,24,FALSE),0)</f>
        <v>0</v>
      </c>
      <c r="X34">
        <f ca="1">IF(AND(COUNTIF(V34,"&lt;&gt;*不要*"),A34&lt;&gt;""),VLOOKUP(A34,得意先マスタ!$A:$AD,25,FALSE),0)</f>
        <v>0</v>
      </c>
      <c r="Y34">
        <f t="shared" ca="1" si="10"/>
        <v>0</v>
      </c>
      <c r="Z34">
        <f t="shared" ca="1" si="11"/>
        <v>0</v>
      </c>
      <c r="AA34">
        <f t="shared" ref="AA34:AA65" ca="1" si="15">IF(X34&lt;&gt;0,
IF(COUNTIF(X34,"*.*"),
IF(COUNTIF(X34,"*.*")=1,0,RIGHT(X34, LEN(X34) - FIND(".", X34, FIND(".", X34) + 1))),0),0)</f>
        <v>0</v>
      </c>
      <c r="AB34" t="str">
        <f t="shared" ca="1" si="12"/>
        <v/>
      </c>
      <c r="AC34" t="str">
        <f t="array" aca="1" ref="AC34" ca="1">IFERROR(INDEX(34:34, SMALL(IF($D34:$U34&lt;&gt;"", COLUMN($D$1:$U34)), COLUMN(A34))), "")</f>
        <v>キャラ弁当　飯あり120</v>
      </c>
      <c r="AD34" t="str">
        <f t="array" aca="1" ref="AD34" ca="1">IFERROR(INDEX(34:34, SMALL(IF($D34:$U34&lt;&gt;"", COLUMN($D$1:$U34)), COLUMN(B34))), "")</f>
        <v>弁当　園児</v>
      </c>
      <c r="AE34">
        <f t="array" aca="1" ref="AE34" ca="1">IFERROR(INDEX(34:34, SMALL(IF($D34:$U34&lt;&gt;"", COLUMN($D$1:$U34)), COLUMN(C34))), "")</f>
        <v>14</v>
      </c>
      <c r="AF34" t="str">
        <f t="array" aca="1" ref="AF34" ca="1">IFERROR(INDEX(34:34, SMALL(IF($D34:$U34&lt;&gt;"", COLUMN($D$1:$U34)), COLUMN(D34))), "")</f>
        <v/>
      </c>
      <c r="AG34" t="str">
        <f t="array" aca="1" ref="AG34" ca="1">IFERROR(INDEX(34:34, SMALL(IF($D34:$U34&lt;&gt;"", COLUMN($D$1:$U34)), COLUMN(E34))), "")</f>
        <v/>
      </c>
      <c r="AH34" t="str">
        <f t="array" aca="1" ref="AH34" ca="1">IFERROR(INDEX(34:34, SMALL(IF($D34:$U34&lt;&gt;"", COLUMN($D$1:$U34)), COLUMN(F34))), "")</f>
        <v/>
      </c>
      <c r="AI34" t="str">
        <f t="array" aca="1" ref="AI34" ca="1">IFERROR(INDEX(34:34, SMALL(IF($D34:$U34&lt;&gt;"", COLUMN($D$1:$U34)), COLUMN(G34))), "")</f>
        <v/>
      </c>
      <c r="AJ34" t="str">
        <f t="array" aca="1" ref="AJ34" ca="1">IFERROR(INDEX(34:34, SMALL(IF($D34:$U34&lt;&gt;"", COLUMN($D$1:$U34)), COLUMN(H34))), "")</f>
        <v/>
      </c>
      <c r="AK34" t="str">
        <f t="array" aca="1" ref="AK34" ca="1">IFERROR(INDEX(34:34, SMALL(IF($D34:$U34&lt;&gt;"", COLUMN($D$1:$U34)), COLUMN(I34))), "")</f>
        <v/>
      </c>
      <c r="AL34" t="str">
        <f t="array" aca="1" ref="AL34" ca="1">IFERROR(INDEX(34:34, SMALL(IF($D34:$U34&lt;&gt;"", COLUMN($D$1:$U34)), COLUMN(J34))), "")</f>
        <v/>
      </c>
      <c r="AM34" t="str">
        <f t="array" aca="1" ref="AM34" ca="1">IFERROR(INDEX(34:34, SMALL(IF($D34:$U34&lt;&gt;"", COLUMN($D$1:$U34)), COLUMN(K34))), "")</f>
        <v/>
      </c>
      <c r="AN34" t="str">
        <f t="array" aca="1" ref="AN34" ca="1">IFERROR(INDEX(34:34, SMALL(IF($D34:$U34&lt;&gt;"", COLUMN($D$1:$U34)), COLUMN(L34))), "")</f>
        <v/>
      </c>
      <c r="AO34" t="str">
        <f t="array" aca="1" ref="AO34" ca="1">IFERROR(INDEX(34:34, SMALL(IF($D34:$U34&lt;&gt;"", COLUMN($D$1:$U34)), COLUMN(M34))), "")</f>
        <v/>
      </c>
      <c r="AP34" t="str">
        <f t="array" aca="1" ref="AP34" ca="1">IFERROR(INDEX(34:34, SMALL(IF($D34:$U34&lt;&gt;"", COLUMN($D$1:$U34)), COLUMN(N34))), "")</f>
        <v/>
      </c>
      <c r="AQ34" t="str">
        <f t="array" aca="1" ref="AQ34" ca="1">IFERROR(INDEX(34:34, SMALL(IF($D34:$U34&lt;&gt;"", COLUMN($D$1:$U34)), COLUMN(O34))), "")</f>
        <v/>
      </c>
      <c r="AR34" s="52" t="s">
        <v>4005</v>
      </c>
      <c r="AS34" t="str">
        <f t="shared" ca="1" si="13"/>
        <v/>
      </c>
      <c r="AT34" t="str">
        <f t="shared" ca="1" si="14"/>
        <v/>
      </c>
      <c r="AU34" t="str">
        <f t="shared" ref="AU34:AU65" ca="1" si="16">IF(Z34&lt;&gt;0,
IF(Z34&lt;&gt;"0",
TRIM(MID(SUBSTITUTE($AB34,"、",REPT(" ",99)),100,99)),""),
IF(COUNTIF(B34,"*博多*"),TRIM(MID(SUBSTITUTE($AB34,"、",REPT(" ",99)),100,99)),
IF(AND(COUNTIF(AS34,"*牛乳*")&lt;&gt;1,COUNTIF($V34,"*牛乳*")),
IF(COUNTIF(B34,"*奥田*"),"",TRIM(LEFT(SUBSTITUTE($V34,"×",REPT(" ",100)),100))),"")))</f>
        <v/>
      </c>
      <c r="AV34" t="str">
        <f t="shared" ref="AV34:AV65" ca="1" si="17">IF(Z34&lt;&gt;0,
IF(Z34&lt;&gt;"0",
SUBSTITUTE(Z34,"-",""),""),
IF(AND(COUNTIF(B34,"*博多*"),AU34&lt;&gt;""),AT34,
IF(AND(AU34&lt;&gt;"",COUNTIF(AS34,"*牛乳*")&lt;&gt;1,COUNTIF(V34,"*牛乳*")),VALUE(TRIM(MID(ASC(V34),SEARCH("×",ASC(V34))+1,SEARCH("本",ASC(V34))-SEARCH("×",ASC(V34))-1))),"")))</f>
        <v/>
      </c>
      <c r="AW34" t="str">
        <f t="shared" ref="AW34:AW65" ca="1" si="18">IF(AA34&lt;&gt;0,
TRIM(MID(SUBSTITUTE($AB34,"、",REPT(" ",99)),199,99)),
IF(AND(COUNTIF($V34,"*牛乳*"),COUNTIF(AS34,"*牛乳*")&lt;&gt;1,COUNTIF(AU34,"*牛乳*")&lt;&gt;1),
IF(COUNTIF(B34,"*奥田*"),"",TRIM(LEFT(SUBSTITUTE($V34,"×",REPT(" ",100)),100))),""))</f>
        <v/>
      </c>
      <c r="AX34" t="str">
        <f t="shared" ref="AX34:AX65" ca="1" si="19">IF(AA34&lt;&gt;0,
SUBSTITUTE(AA34,"-",""),
IF(AND(AW34&lt;&gt;"",COUNTIF(AS34,"*牛乳*")&lt;&gt;1,COUNTIF(AU34,"*牛乳*")&lt;&gt;1,COUNTIF(V34,"*牛乳*")),VALUE(TRIM(MID(ASC(V34),SEARCH("×",ASC(V34))+1,SEARCH("本",ASC(V34))-SEARCH("×",ASC(V34))-1))),""))</f>
        <v/>
      </c>
      <c r="AZ34" t="str">
        <f t="array" aca="1" ref="AZ34" ca="1">IFERROR(INDEX(34:34, SMALL(IF($AC34:$AX34&lt;&gt;"", COLUMN($AC$1:$AX34)), COLUMN(A34))), "")</f>
        <v>キャラ弁当　飯あり120</v>
      </c>
      <c r="BA34" t="str">
        <f t="array" aca="1" ref="BA34" ca="1">IFERROR(INDEX(34:34, SMALL(IF($AC34:$AX34&lt;&gt;"", COLUMN($AC$1:$AX34)), COLUMN(B34))), "")</f>
        <v>弁当　園児</v>
      </c>
      <c r="BB34">
        <f t="array" aca="1" ref="BB34" ca="1">IFERROR(INDEX(34:34, SMALL(IF($AC34:$AX34&lt;&gt;"", COLUMN($AC$1:$AX34)), COLUMN(C34))), "")</f>
        <v>14</v>
      </c>
      <c r="BC34" t="str">
        <f t="array" aca="1" ref="BC34" ca="1">IFERROR(INDEX(34:34, SMALL(IF($AC34:$AX34&lt;&gt;"", COLUMN($AC$1:$AX34)), COLUMN(D34))), "")</f>
        <v>●</v>
      </c>
      <c r="BD34" t="str">
        <f t="array" aca="1" ref="BD34" ca="1">IFERROR(INDEX(34:34, SMALL(IF($AC34:$AX34&lt;&gt;"", COLUMN($AC$1:$AX34)), COLUMN(E34))), "")</f>
        <v/>
      </c>
      <c r="BE34" t="str">
        <f t="array" aca="1" ref="BE34" ca="1">IFERROR(INDEX(34:34, SMALL(IF($AC34:$AX34&lt;&gt;"", COLUMN($AC$1:$AX34)), COLUMN(F34))), "")</f>
        <v/>
      </c>
      <c r="BF34" t="str">
        <f t="array" aca="1" ref="BF34" ca="1">IFERROR(IF(AND(COUNTIF($B34,"*泉ヶ丘*"),COUNTIF($B35,"*泉ヶ丘*")),
IFERROR(INDEX(35:35, SMALL(IF($AC35:$AX35&lt;&gt;"", COLUMN($AC$1:$AX35)), COLUMN(A35))), ""),
INDEX(34:34, SMALL(IF($AC34:$AX34&lt;&gt;"", COLUMN($AC$1:$AX34)), COLUMN(G34)))), "")</f>
        <v/>
      </c>
      <c r="BG34" t="str">
        <f t="array" aca="1" ref="BG34" ca="1">IFERROR(IF(AND(COUNTIF($B34,"*泉ヶ丘*"),COUNTIF($B35,"*泉ヶ丘*")),
IFERROR(INDEX(35:35, SMALL(IF($AC35:$AX35&lt;&gt;"", COLUMN($AC$1:$AX35)), COLUMN(B35))), ""),
INDEX(34:34, SMALL(IF($AC34:$AX34&lt;&gt;"", COLUMN($AC$1:$AX34)), COLUMN(H34)))), "")</f>
        <v/>
      </c>
      <c r="BH34" t="str">
        <f t="array" aca="1" ref="BH34" ca="1">IFERROR(IF(AND(COUNTIF($B34,"*泉ヶ丘*"),COUNTIF($B35,"*泉ヶ丘*")),
IFERROR(INDEX(35:35, SMALL(IF($AC35:$AX35&lt;&gt;"", COLUMN($AC$1:$AX35)), COLUMN(C35))), ""),
INDEX(34:34, SMALL(IF($AC34:$AX34&lt;&gt;"", COLUMN($AC$1:$AX34)), COLUMN(I34)))), "")</f>
        <v/>
      </c>
      <c r="BI34" t="str">
        <f t="array" aca="1" ref="BI34" ca="1">IFERROR(IF(AND(COUNTIF($B34,"*泉ヶ丘*"),COUNTIF($B35,"*泉ヶ丘*")),
IFERROR(INDEX(35:35, SMALL(IF($AC35:$AX35&lt;&gt;"", COLUMN($AC$1:$AX35)), COLUMN(D35))), ""),
INDEX(34:34, SMALL(IF($AC34:$AX34&lt;&gt;"", COLUMN($AC$1:$AX34)), COLUMN(J34)))), "")</f>
        <v/>
      </c>
      <c r="BJ34" t="str">
        <f t="array" aca="1" ref="BJ34" ca="1">IFERROR(IF(AND(COUNTIF($B34,"*泉ヶ丘*"),COUNTIF($B35,"*泉ヶ丘*")),
IFERROR(INDEX(35:35, SMALL(IF($AC35:$AX35&lt;&gt;"", COLUMN($AC$1:$AX35)), COLUMN(E35))), ""),
INDEX(34:34, SMALL(IF($AC34:$AX34&lt;&gt;"", COLUMN($AC$1:$AX34)), COLUMN(K34)))), "")</f>
        <v/>
      </c>
      <c r="BK34" t="str">
        <f t="array" aca="1" ref="BK34" ca="1">IFERROR(IF(AND(COUNTIF($B34,"*泉ヶ丘*"),COUNTIF($B35,"*泉ヶ丘*")),
IFERROR(INDEX(35:35, SMALL(IF($AC35:$AX35&lt;&gt;"", COLUMN($AC$1:$AX35)), COLUMN(F35))), ""),
INDEX(34:34, SMALL(IF($AC34:$AX34&lt;&gt;"", COLUMN($AC$1:$AX34)), COLUMN(L34)))), "")</f>
        <v/>
      </c>
      <c r="BL34" t="str">
        <f t="array" aca="1" ref="BL34" ca="1">IFERROR(IF(AND(COUNTIF($B34,"*泉ヶ丘*"),COUNTIF($B35,"*泉ヶ丘*")),
IFERROR(INDEX(35:35, SMALL(IF($AC35:$AX35&lt;&gt;"", COLUMN($AC$1:$AX35)), COLUMN(G35))), ""),
INDEX(34:34, SMALL(IF($AC34:$AX34&lt;&gt;"", COLUMN($AC$1:$AX34)), COLUMN(M34)))), "")</f>
        <v/>
      </c>
      <c r="BM34" t="str">
        <f t="array" aca="1" ref="BM34" ca="1">IFERROR(IF(AND(COUNTIF($B34,"*泉ヶ丘*"),COUNTIF($B35,"*泉ヶ丘*")),
IFERROR(INDEX(35:35, SMALL(IF($AC35:$AX35&lt;&gt;"", COLUMN($AC$1:$AX35)), COLUMN(H35))), ""),
INDEX(34:34, SMALL(IF($AC34:$AX34&lt;&gt;"", COLUMN($AC$1:$AX34)), COLUMN(N34)))), "")</f>
        <v/>
      </c>
      <c r="BN34" t="str">
        <f t="array" aca="1" ref="BN34" ca="1">IFERROR(IF(AND(COUNTIF($B34,"*泉ヶ丘*"),COUNTIF($B35,"*泉ヶ丘*")),
IFERROR(INDEX(35:35, SMALL(IF($AC35:$AX35&lt;&gt;"", COLUMN($AC$1:$AX35)), COLUMN(I35))), ""),
INDEX(34:34, SMALL(IF($AC34:$AX34&lt;&gt;"", COLUMN($AC$1:$AX34)), COLUMN(O34)))), "")</f>
        <v/>
      </c>
      <c r="BO34" t="str">
        <f t="array" aca="1" ref="BO34" ca="1">IFERROR(IF(AND(COUNTIF($B34,"*泉ヶ丘*"),COUNTIF($B35,"*泉ヶ丘*")),
IFERROR(INDEX(35:35, SMALL(IF($AC35:$AX35&lt;&gt;"", COLUMN($AC$1:$AX35)), COLUMN(J35))), ""),
INDEX(34:34, SMALL(IF($AC34:$AX34&lt;&gt;"", COLUMN($AC$1:$AX34)), COLUMN(P34)))), "")</f>
        <v/>
      </c>
      <c r="BP34" t="str">
        <f t="array" aca="1" ref="BP34" ca="1">IFERROR(IF(AND(COUNTIF($B34,"*泉ヶ丘*"),COUNTIF($B35,"*泉ヶ丘*")),
IFERROR(INDEX(35:35, SMALL(IF($AC35:$AX35&lt;&gt;"", COLUMN($AC$1:$AX35)), COLUMN(K35))), ""),
INDEX(34:34, SMALL(IF($AC34:$AX34&lt;&gt;"", COLUMN($AC$1:$AX34)), COLUMN(Q34)))), "")</f>
        <v/>
      </c>
      <c r="BQ34" t="str">
        <f t="array" aca="1" ref="BQ34" ca="1">IFERROR(IF(AND(COUNTIF($B34,"*泉ヶ丘*"),COUNTIF($B35,"*泉ヶ丘*")),
IFERROR(INDEX(35:35, SMALL(IF($AC35:$AX35&lt;&gt;"", COLUMN($AC$1:$AX35)), COLUMN(L35))), ""),
INDEX(34:34, SMALL(IF($AC34:$AX34&lt;&gt;"", COLUMN($AC$1:$AX34)), COLUMN(R34)))), "")</f>
        <v/>
      </c>
    </row>
    <row r="35" spans="1:69" x14ac:dyDescent="0.45">
      <c r="A35" t="str">
        <f t="array" ref="A35">IF(INDEX(貼り付け用!A:A,MATCH(A34,貼り付け用!A:A,0)+2)="4700",
IF(INDEX(貼り付け用!A:A,MATCH(A34,貼り付け用!A:A,0)+4)="4800",
INDEX(貼り付け用!A:A,MATCH(A34,貼り付け用!A:A,0)+6),
INDEX(貼り付け用!A:A,MATCH(A34,貼り付け用!A:A,0)+4)),INDEX(貼り付け用!A:A,MATCH(A34,貼り付け用!A:A,0)+2))</f>
        <v>16800</v>
      </c>
      <c r="B35" t="str">
        <f>IF(A35&lt;&gt;"",
VLOOKUP(A35,得意先マスタ!A:D,2,FALSE),"")</f>
        <v>学校法人清光学園　宝幼稚園</v>
      </c>
      <c r="C35" t="str">
        <f t="array" ref="C35">IF(A35="10000","",INDEX(貼り付け用!A:A,MATCH(A35,貼り付け用!A:A,0)+1))</f>
        <v>宝幼稚園</v>
      </c>
      <c r="D35" t="str">
        <f ca="1">VLOOKUP(C35,クライアント抽出!$A:$O,10,FALSE)</f>
        <v>赤　飯あり120</v>
      </c>
      <c r="E35" t="str">
        <f ca="1">IF(D35&lt;&gt;"",
IF(COUNTIF(C35,"*ぺんぎん*"),
VLOOKUP(
"*"&amp;IF(COUNTIF(D35,"*キャラ弁*"),"キャラ",
IF(COUNTIF(D35,"*赤*"),"赤",SUBSTITUTE(SUBSTITUTE(D35," ",""),"　","")))&amp;"*",
注文弁当の抽出!$F:$I,4,FALSE)&amp;
IF(COUNTIF(D35,"*おにぎり*"),"　おにぎり","")&amp;"　（ぺんぎん組）",
VLOOKUP(
"*"&amp;IF(COUNTIF(D35,"*キャラ弁*"),"キャラ",
IF(COUNTIF(D35,"*赤*"),"赤",SUBSTITUTE(SUBSTITUTE(D35," ",""),"　","")))&amp;"*",
注文弁当の抽出!$F:$I,4,FALSE)&amp;
IF(COUNTIF(D35,"*おにぎり*"),"　おにぎり","")),"")</f>
        <v>弁当　園児</v>
      </c>
      <c r="F35">
        <f ca="1">IFERROR(IF(E35&lt;&gt;"",
VLOOKUP(C35,クライアント抽出!$A:$G,2,FALSE)+
IF(COUNTIF(Y35,"*-*"),Y35,0),"")
-IFERROR(MID(V35, SEARCH("予備", V35) + LEN("予備"), SEARCH("込み", V35) - (SEARCH("予備", V35) + LEN("予備"))),0),"")</f>
        <v>15</v>
      </c>
      <c r="G35" t="str">
        <f ca="1">VLOOKUP(C35,クライアント抽出!$A:$O,11,FALSE)</f>
        <v>赤　飯なし</v>
      </c>
      <c r="H35" t="str">
        <f ca="1">IF(G35&lt;&gt;"",
VLOOKUP(
"*"&amp;IF(COUNTIF(G35,"*キャラ弁*"),"キャラ",
IF(COUNTIF(G35,"*赤*"),"赤",SUBSTITUTE(SUBSTITUTE(G35," ",""),"　","")))&amp;"*",
注文弁当の抽出!$F:$I,4,FALSE)&amp;
IF(COUNTIF(G35,"*おにぎり*"),"　おにぎり",""),"")</f>
        <v>弁当　園児</v>
      </c>
      <c r="I35">
        <f ca="1">IF(H35&lt;&gt;"",
VLOOKUP(C35,クライアント抽出!$A:$G,3,FALSE)+
IF(COUNTIF(C35,"*博多*"),Y35,Z35),"")</f>
        <v>99</v>
      </c>
      <c r="J35" t="str">
        <f ca="1">VLOOKUP(C35,クライアント抽出!$A:$O,12,FALSE)</f>
        <v/>
      </c>
      <c r="K35" t="str">
        <f ca="1">IF(J35&lt;&gt;"",
VLOOKUP(
"*"&amp;IF(COUNTIF(J35,"*キャラ弁*"),"キャラ",
IF(COUNTIF(J35,"*赤*"),"赤",SUBSTITUTE(SUBSTITUTE(J35," ",""),"　","")))&amp;"*",
注文弁当の抽出!$F:$I,4,FALSE)&amp;
IF(COUNTIF(J35,"*おにぎり*"),"　おにぎり",""),"")</f>
        <v/>
      </c>
      <c r="L35" t="str">
        <f ca="1">IF(K35&lt;&gt;"",
VLOOKUP(C35,クライアント抽出!$A:$G,4,FALSE)+AA35,"")</f>
        <v/>
      </c>
      <c r="M35" t="str">
        <f ca="1">VLOOKUP(C35,クライアント抽出!$A:$O,13,FALSE)</f>
        <v>赤　飯あり120</v>
      </c>
      <c r="N35" t="str">
        <f ca="1">SUBSTITUTE(
IF(M35&lt;&gt;"",
VLOOKUP(
"*"&amp;IF(COUNTIF(M35,"*キャラ弁*"),"キャラ",
IF(COUNTIF(M35,"*赤*"),"赤",SUBSTITUTE(SUBSTITUTE(D35," ",""),"　","")))&amp;"*",
注文弁当の抽出!$F:$I,4,FALSE),""),"園児","先生")&amp;
IF(COUNTIF(M35,"*おにぎり*"),"　おにぎり","")</f>
        <v>弁当　先生</v>
      </c>
      <c r="O35">
        <f ca="1">IF(N35&lt;&gt;"",VLOOKUP(C35,クライアント抽出!$A:$G,5,FALSE),"")</f>
        <v>3</v>
      </c>
      <c r="P35" t="str">
        <f ca="1">VLOOKUP(C35,クライアント抽出!$A:$O,14,FALSE)</f>
        <v>赤　飯なし</v>
      </c>
      <c r="Q35" t="str">
        <f ca="1">SUBSTITUTE(
IF(P35&lt;&gt;"",
VLOOKUP(
"*"&amp;IF(COUNTIF(P35,"*キャラ弁*"),"キャラ",
IF(COUNTIF(P35,"*赤*"),"赤",SUBSTITUTE(SUBSTITUTE(G35," ",""),"　","")))&amp;"*",
注文弁当の抽出!$F:$I,4,FALSE),""),"園児","先生")&amp;
IF(COUNTIF(P35,"*おにぎり*"),"　おにぎり","")</f>
        <v>弁当　先生</v>
      </c>
      <c r="R35">
        <f ca="1">IF(Q35&lt;&gt;"",
VLOOKUP(C35,クライアント抽出!$A:$G,6,FALSE),"")</f>
        <v>15</v>
      </c>
      <c r="S35" t="str">
        <f ca="1">VLOOKUP(C35,クライアント抽出!$A:$O,15,FALSE)</f>
        <v/>
      </c>
      <c r="T35" t="str">
        <f ca="1">SUBSTITUTE(
IF(S35&lt;&gt;"",
VLOOKUP(
"*"&amp;IF(COUNTIF(S35,"*キャラ弁*"),"キャラ",
IF(COUNTIF(S35,"*赤*"),"赤",SUBSTITUTE(SUBSTITUTE(J35," ",""),"　","")))&amp;"*",
注文弁当の抽出!$F:$I,4,FALSE),""),"園児","先生")&amp;
IF(COUNTIF(S35,"*おにぎり*"),"　おにぎり","")</f>
        <v/>
      </c>
      <c r="U35" t="str">
        <f ca="1">IF(T35&lt;&gt;"",
VLOOKUP(C35,クライアント抽出!$A:$G,7,FALSE),"")</f>
        <v/>
      </c>
      <c r="V35" t="str">
        <f ca="1">IF(A35&lt;&gt;"",
IF(COUNTIF(V34,"*牛乳*"),
IF(AND(COUNTIF(B34,"*奈良屋*"),COUNTIF(B35,"*奈良屋*")),
V34&amp;"✔",""),VLOOKUP(""&amp;A35&amp;"",数出表_Excel!$A:$Z,22,FALSE)&amp;VLOOKUP(""&amp;A35&amp;"",数出表_Excel!$A:$Z,23,FALSE)
&amp;VLOOKUP(""&amp;C35&amp;"",数出表_Excel!$A:$Z,22,FALSE)&amp;VLOOKUP(""&amp;C35&amp;"",数出表_Excel!$A:$Z,23,FALSE)),"")</f>
        <v/>
      </c>
      <c r="W35">
        <f ca="1">IF(AND(COUNTIF(V35,"&lt;&gt;*不要*"),A35&lt;&gt;""),VLOOKUP(A35,得意先マスタ!$A:$AD,24,FALSE),0)</f>
        <v>0</v>
      </c>
      <c r="X35">
        <f ca="1">IF(AND(COUNTIF(V35,"&lt;&gt;*不要*"),A35&lt;&gt;""),VLOOKUP(A35,得意先マスタ!$A:$AD,25,FALSE),0)</f>
        <v>0</v>
      </c>
      <c r="Y35">
        <f t="shared" ca="1" si="10"/>
        <v>0</v>
      </c>
      <c r="Z35">
        <f t="shared" ca="1" si="11"/>
        <v>0</v>
      </c>
      <c r="AA35">
        <f t="shared" ca="1" si="15"/>
        <v>0</v>
      </c>
      <c r="AB35" t="str">
        <f t="shared" ca="1" si="12"/>
        <v/>
      </c>
      <c r="AC35" t="str">
        <f t="array" aca="1" ref="AC35" ca="1">IFERROR(INDEX(35:35, SMALL(IF($D35:$U35&lt;&gt;"", COLUMN($D$1:$U35)), COLUMN(A35))), "")</f>
        <v>赤　飯あり120</v>
      </c>
      <c r="AD35" t="str">
        <f t="array" aca="1" ref="AD35" ca="1">IFERROR(INDEX(35:35, SMALL(IF($D35:$U35&lt;&gt;"", COLUMN($D$1:$U35)), COLUMN(B35))), "")</f>
        <v>弁当　園児</v>
      </c>
      <c r="AE35">
        <f t="array" aca="1" ref="AE35" ca="1">IFERROR(INDEX(35:35, SMALL(IF($D35:$U35&lt;&gt;"", COLUMN($D$1:$U35)), COLUMN(C35))), "")</f>
        <v>15</v>
      </c>
      <c r="AF35" t="str">
        <f t="array" aca="1" ref="AF35" ca="1">IFERROR(INDEX(35:35, SMALL(IF($D35:$U35&lt;&gt;"", COLUMN($D$1:$U35)), COLUMN(D35))), "")</f>
        <v>赤　飯なし</v>
      </c>
      <c r="AG35" t="str">
        <f t="array" aca="1" ref="AG35" ca="1">IFERROR(INDEX(35:35, SMALL(IF($D35:$U35&lt;&gt;"", COLUMN($D$1:$U35)), COLUMN(E35))), "")</f>
        <v>弁当　園児</v>
      </c>
      <c r="AH35">
        <f t="array" aca="1" ref="AH35" ca="1">IFERROR(INDEX(35:35, SMALL(IF($D35:$U35&lt;&gt;"", COLUMN($D$1:$U35)), COLUMN(F35))), "")</f>
        <v>99</v>
      </c>
      <c r="AI35" t="str">
        <f t="array" aca="1" ref="AI35" ca="1">IFERROR(INDEX(35:35, SMALL(IF($D35:$U35&lt;&gt;"", COLUMN($D$1:$U35)), COLUMN(G35))), "")</f>
        <v>赤　飯あり120</v>
      </c>
      <c r="AJ35" t="str">
        <f t="array" aca="1" ref="AJ35" ca="1">IFERROR(INDEX(35:35, SMALL(IF($D35:$U35&lt;&gt;"", COLUMN($D$1:$U35)), COLUMN(H35))), "")</f>
        <v>弁当　先生</v>
      </c>
      <c r="AK35">
        <f t="array" aca="1" ref="AK35" ca="1">IFERROR(INDEX(35:35, SMALL(IF($D35:$U35&lt;&gt;"", COLUMN($D$1:$U35)), COLUMN(I35))), "")</f>
        <v>3</v>
      </c>
      <c r="AL35" t="str">
        <f t="array" aca="1" ref="AL35" ca="1">IFERROR(INDEX(35:35, SMALL(IF($D35:$U35&lt;&gt;"", COLUMN($D$1:$U35)), COLUMN(J35))), "")</f>
        <v>赤　飯なし</v>
      </c>
      <c r="AM35" t="str">
        <f t="array" aca="1" ref="AM35" ca="1">IFERROR(INDEX(35:35, SMALL(IF($D35:$U35&lt;&gt;"", COLUMN($D$1:$U35)), COLUMN(K35))), "")</f>
        <v>弁当　先生</v>
      </c>
      <c r="AN35">
        <f t="array" aca="1" ref="AN35" ca="1">IFERROR(INDEX(35:35, SMALL(IF($D35:$U35&lt;&gt;"", COLUMN($D$1:$U35)), COLUMN(L35))), "")</f>
        <v>15</v>
      </c>
      <c r="AO35" t="str">
        <f t="array" aca="1" ref="AO35" ca="1">IFERROR(INDEX(35:35, SMALL(IF($D35:$U35&lt;&gt;"", COLUMN($D$1:$U35)), COLUMN(M35))), "")</f>
        <v/>
      </c>
      <c r="AP35" t="str">
        <f t="array" aca="1" ref="AP35" ca="1">IFERROR(INDEX(35:35, SMALL(IF($D35:$U35&lt;&gt;"", COLUMN($D$1:$U35)), COLUMN(N35))), "")</f>
        <v/>
      </c>
      <c r="AQ35" t="str">
        <f t="array" aca="1" ref="AQ35" ca="1">IFERROR(INDEX(35:35, SMALL(IF($D35:$U35&lt;&gt;"", COLUMN($D$1:$U35)), COLUMN(O35))), "")</f>
        <v/>
      </c>
      <c r="AR35" s="52" t="s">
        <v>4005</v>
      </c>
      <c r="AS35" t="str">
        <f t="shared" ca="1" si="13"/>
        <v/>
      </c>
      <c r="AT35" t="str">
        <f t="shared" ca="1" si="14"/>
        <v/>
      </c>
      <c r="AU35" t="str">
        <f t="shared" ca="1" si="16"/>
        <v/>
      </c>
      <c r="AV35" t="str">
        <f t="shared" ca="1" si="17"/>
        <v/>
      </c>
      <c r="AW35" t="str">
        <f t="shared" ca="1" si="18"/>
        <v/>
      </c>
      <c r="AX35" t="str">
        <f t="shared" ca="1" si="19"/>
        <v/>
      </c>
      <c r="AZ35" t="str">
        <f t="array" aca="1" ref="AZ35" ca="1">IFERROR(INDEX(35:35, SMALL(IF($AC35:$AX35&lt;&gt;"", COLUMN($AC$1:$AX35)), COLUMN(A35))), "")</f>
        <v>赤　飯あり120</v>
      </c>
      <c r="BA35" t="str">
        <f t="array" aca="1" ref="BA35" ca="1">IFERROR(INDEX(35:35, SMALL(IF($AC35:$AX35&lt;&gt;"", COLUMN($AC$1:$AX35)), COLUMN(B35))), "")</f>
        <v>弁当　園児</v>
      </c>
      <c r="BB35">
        <f t="array" aca="1" ref="BB35" ca="1">IFERROR(INDEX(35:35, SMALL(IF($AC35:$AX35&lt;&gt;"", COLUMN($AC$1:$AX35)), COLUMN(C35))), "")</f>
        <v>15</v>
      </c>
      <c r="BC35" t="str">
        <f t="array" aca="1" ref="BC35" ca="1">IFERROR(INDEX(35:35, SMALL(IF($AC35:$AX35&lt;&gt;"", COLUMN($AC$1:$AX35)), COLUMN(D35))), "")</f>
        <v>赤　飯なし</v>
      </c>
      <c r="BD35" t="str">
        <f t="array" aca="1" ref="BD35" ca="1">IFERROR(INDEX(35:35, SMALL(IF($AC35:$AX35&lt;&gt;"", COLUMN($AC$1:$AX35)), COLUMN(E35))), "")</f>
        <v>弁当　園児</v>
      </c>
      <c r="BE35">
        <f t="array" aca="1" ref="BE35" ca="1">IFERROR(INDEX(35:35, SMALL(IF($AC35:$AX35&lt;&gt;"", COLUMN($AC$1:$AX35)), COLUMN(F35))), "")</f>
        <v>99</v>
      </c>
      <c r="BF35" t="str">
        <f t="array" aca="1" ref="BF35" ca="1">IFERROR(IF(AND(COUNTIF($B35,"*泉ヶ丘*"),COUNTIF($B36,"*泉ヶ丘*")),
IFERROR(INDEX(36:36, SMALL(IF($AC36:$AX36&lt;&gt;"", COLUMN($AC$1:$AX36)), COLUMN(A36))), ""),
INDEX(35:35, SMALL(IF($AC35:$AX35&lt;&gt;"", COLUMN($AC$1:$AX35)), COLUMN(G35)))), "")</f>
        <v>赤　飯あり120</v>
      </c>
      <c r="BG35" t="str">
        <f t="array" aca="1" ref="BG35" ca="1">IFERROR(IF(AND(COUNTIF($B35,"*泉ヶ丘*"),COUNTIF($B36,"*泉ヶ丘*")),
IFERROR(INDEX(36:36, SMALL(IF($AC36:$AX36&lt;&gt;"", COLUMN($AC$1:$AX36)), COLUMN(B36))), ""),
INDEX(35:35, SMALL(IF($AC35:$AX35&lt;&gt;"", COLUMN($AC$1:$AX35)), COLUMN(H35)))), "")</f>
        <v>弁当　先生</v>
      </c>
      <c r="BH35">
        <f t="array" aca="1" ref="BH35" ca="1">IFERROR(IF(AND(COUNTIF($B35,"*泉ヶ丘*"),COUNTIF($B36,"*泉ヶ丘*")),
IFERROR(INDEX(36:36, SMALL(IF($AC36:$AX36&lt;&gt;"", COLUMN($AC$1:$AX36)), COLUMN(C36))), ""),
INDEX(35:35, SMALL(IF($AC35:$AX35&lt;&gt;"", COLUMN($AC$1:$AX35)), COLUMN(I35)))), "")</f>
        <v>3</v>
      </c>
      <c r="BI35" t="str">
        <f t="array" aca="1" ref="BI35" ca="1">IFERROR(IF(AND(COUNTIF($B35,"*泉ヶ丘*"),COUNTIF($B36,"*泉ヶ丘*")),
IFERROR(INDEX(36:36, SMALL(IF($AC36:$AX36&lt;&gt;"", COLUMN($AC$1:$AX36)), COLUMN(D36))), ""),
INDEX(35:35, SMALL(IF($AC35:$AX35&lt;&gt;"", COLUMN($AC$1:$AX35)), COLUMN(J35)))), "")</f>
        <v>赤　飯なし</v>
      </c>
      <c r="BJ35" t="str">
        <f t="array" aca="1" ref="BJ35" ca="1">IFERROR(IF(AND(COUNTIF($B35,"*泉ヶ丘*"),COUNTIF($B36,"*泉ヶ丘*")),
IFERROR(INDEX(36:36, SMALL(IF($AC36:$AX36&lt;&gt;"", COLUMN($AC$1:$AX36)), COLUMN(E36))), ""),
INDEX(35:35, SMALL(IF($AC35:$AX35&lt;&gt;"", COLUMN($AC$1:$AX35)), COLUMN(K35)))), "")</f>
        <v>弁当　先生</v>
      </c>
      <c r="BK35">
        <f t="array" aca="1" ref="BK35" ca="1">IFERROR(IF(AND(COUNTIF($B35,"*泉ヶ丘*"),COUNTIF($B36,"*泉ヶ丘*")),
IFERROR(INDEX(36:36, SMALL(IF($AC36:$AX36&lt;&gt;"", COLUMN($AC$1:$AX36)), COLUMN(F36))), ""),
INDEX(35:35, SMALL(IF($AC35:$AX35&lt;&gt;"", COLUMN($AC$1:$AX35)), COLUMN(L35)))), "")</f>
        <v>15</v>
      </c>
      <c r="BL35" t="str">
        <f t="array" aca="1" ref="BL35" ca="1">IFERROR(IF(AND(COUNTIF($B35,"*泉ヶ丘*"),COUNTIF($B36,"*泉ヶ丘*")),
IFERROR(INDEX(36:36, SMALL(IF($AC36:$AX36&lt;&gt;"", COLUMN($AC$1:$AX36)), COLUMN(G36))), ""),
INDEX(35:35, SMALL(IF($AC35:$AX35&lt;&gt;"", COLUMN($AC$1:$AX35)), COLUMN(M35)))), "")</f>
        <v>●</v>
      </c>
      <c r="BM35" t="str">
        <f t="array" aca="1" ref="BM35" ca="1">IFERROR(IF(AND(COUNTIF($B35,"*泉ヶ丘*"),COUNTIF($B36,"*泉ヶ丘*")),
IFERROR(INDEX(36:36, SMALL(IF($AC36:$AX36&lt;&gt;"", COLUMN($AC$1:$AX36)), COLUMN(H36))), ""),
INDEX(35:35, SMALL(IF($AC35:$AX35&lt;&gt;"", COLUMN($AC$1:$AX35)), COLUMN(N35)))), "")</f>
        <v/>
      </c>
      <c r="BN35" t="str">
        <f t="array" aca="1" ref="BN35" ca="1">IFERROR(IF(AND(COUNTIF($B35,"*泉ヶ丘*"),COUNTIF($B36,"*泉ヶ丘*")),
IFERROR(INDEX(36:36, SMALL(IF($AC36:$AX36&lt;&gt;"", COLUMN($AC$1:$AX36)), COLUMN(I36))), ""),
INDEX(35:35, SMALL(IF($AC35:$AX35&lt;&gt;"", COLUMN($AC$1:$AX35)), COLUMN(O35)))), "")</f>
        <v/>
      </c>
      <c r="BO35" t="str">
        <f t="array" aca="1" ref="BO35" ca="1">IFERROR(IF(AND(COUNTIF($B35,"*泉ヶ丘*"),COUNTIF($B36,"*泉ヶ丘*")),
IFERROR(INDEX(36:36, SMALL(IF($AC36:$AX36&lt;&gt;"", COLUMN($AC$1:$AX36)), COLUMN(J36))), ""),
INDEX(35:35, SMALL(IF($AC35:$AX35&lt;&gt;"", COLUMN($AC$1:$AX35)), COLUMN(P35)))), "")</f>
        <v/>
      </c>
      <c r="BP35" t="str">
        <f t="array" aca="1" ref="BP35" ca="1">IFERROR(IF(AND(COUNTIF($B35,"*泉ヶ丘*"),COUNTIF($B36,"*泉ヶ丘*")),
IFERROR(INDEX(36:36, SMALL(IF($AC36:$AX36&lt;&gt;"", COLUMN($AC$1:$AX36)), COLUMN(K36))), ""),
INDEX(35:35, SMALL(IF($AC35:$AX35&lt;&gt;"", COLUMN($AC$1:$AX35)), COLUMN(Q35)))), "")</f>
        <v/>
      </c>
      <c r="BQ35" t="str">
        <f t="array" aca="1" ref="BQ35" ca="1">IFERROR(IF(AND(COUNTIF($B35,"*泉ヶ丘*"),COUNTIF($B36,"*泉ヶ丘*")),
IFERROR(INDEX(36:36, SMALL(IF($AC36:$AX36&lt;&gt;"", COLUMN($AC$1:$AX36)), COLUMN(L36))), ""),
INDEX(35:35, SMALL(IF($AC35:$AX35&lt;&gt;"", COLUMN($AC$1:$AX35)), COLUMN(R35)))), "")</f>
        <v/>
      </c>
    </row>
    <row r="36" spans="1:69" x14ac:dyDescent="0.45">
      <c r="A36" t="str">
        <f t="array" ref="A36">IF(INDEX(貼り付け用!A:A,MATCH(A35,貼り付け用!A:A,0)+2)="4700",
IF(INDEX(貼り付け用!A:A,MATCH(A35,貼り付け用!A:A,0)+4)="4800",
INDEX(貼り付け用!A:A,MATCH(A35,貼り付け用!A:A,0)+6),
INDEX(貼り付け用!A:A,MATCH(A35,貼り付け用!A:A,0)+4)),INDEX(貼り付け用!A:A,MATCH(A35,貼り付け用!A:A,0)+2))</f>
        <v>11600</v>
      </c>
      <c r="B36" t="str">
        <f>IF(A36&lt;&gt;"",
VLOOKUP(A36,得意先マスタ!A:D,2,FALSE),"")</f>
        <v>須玖幼稚園</v>
      </c>
      <c r="C36" t="str">
        <f t="array" ref="C36">IF(A36="10000","",INDEX(貼り付け用!A:A,MATCH(A36,貼り付け用!A:A,0)+1))</f>
        <v>須玖幼稚園</v>
      </c>
      <c r="D36" t="str">
        <f ca="1">VLOOKUP(C36,クライアント抽出!$A:$O,10,FALSE)</f>
        <v>赤　飯あり120</v>
      </c>
      <c r="E36" t="str">
        <f ca="1">IF(D36&lt;&gt;"",
IF(COUNTIF(C36,"*ぺんぎん*"),
VLOOKUP(
"*"&amp;IF(COUNTIF(D36,"*キャラ弁*"),"キャラ",
IF(COUNTIF(D36,"*赤*"),"赤",SUBSTITUTE(SUBSTITUTE(D36," ",""),"　","")))&amp;"*",
注文弁当の抽出!$F:$I,4,FALSE)&amp;
IF(COUNTIF(D36,"*おにぎり*"),"　おにぎり","")&amp;"　（ぺんぎん組）",
VLOOKUP(
"*"&amp;IF(COUNTIF(D36,"*キャラ弁*"),"キャラ",
IF(COUNTIF(D36,"*赤*"),"赤",SUBSTITUTE(SUBSTITUTE(D36," ",""),"　","")))&amp;"*",
注文弁当の抽出!$F:$I,4,FALSE)&amp;
IF(COUNTIF(D36,"*おにぎり*"),"　おにぎり","")),"")</f>
        <v>弁当　園児</v>
      </c>
      <c r="F36">
        <f ca="1">IFERROR(IF(E36&lt;&gt;"",
VLOOKUP(C36,クライアント抽出!$A:$G,2,FALSE)+
IF(COUNTIF(Y36,"*-*"),Y36,0),"")
-IFERROR(MID(V36, SEARCH("予備", V36) + LEN("予備"), SEARCH("込み", V36) - (SEARCH("予備", V36) + LEN("予備"))),0),"")</f>
        <v>87</v>
      </c>
      <c r="G36" t="str">
        <f ca="1">VLOOKUP(C36,クライアント抽出!$A:$O,11,FALSE)</f>
        <v>赤　おにぎり半俵</v>
      </c>
      <c r="H36" t="str">
        <f ca="1">IF(G36&lt;&gt;"",
VLOOKUP(
"*"&amp;IF(COUNTIF(G36,"*キャラ弁*"),"キャラ",
IF(COUNTIF(G36,"*赤*"),"赤",SUBSTITUTE(SUBSTITUTE(G36," ",""),"　","")))&amp;"*",
注文弁当の抽出!$F:$I,4,FALSE)&amp;
IF(COUNTIF(G36,"*おにぎり*"),"　おにぎり",""),"")</f>
        <v>弁当　園児　おにぎり</v>
      </c>
      <c r="I36">
        <f ca="1">IF(H36&lt;&gt;"",
VLOOKUP(C36,クライアント抽出!$A:$G,3,FALSE)+
IF(COUNTIF(C36,"*博多*"),Y36,Z36),"")</f>
        <v>12</v>
      </c>
      <c r="J36" t="str">
        <f ca="1">VLOOKUP(C36,クライアント抽出!$A:$O,12,FALSE)</f>
        <v/>
      </c>
      <c r="K36" t="str">
        <f ca="1">IF(J36&lt;&gt;"",
VLOOKUP(
"*"&amp;IF(COUNTIF(J36,"*キャラ弁*"),"キャラ",
IF(COUNTIF(J36,"*赤*"),"赤",SUBSTITUTE(SUBSTITUTE(J36," ",""),"　","")))&amp;"*",
注文弁当の抽出!$F:$I,4,FALSE)&amp;
IF(COUNTIF(J36,"*おにぎり*"),"　おにぎり",""),"")</f>
        <v/>
      </c>
      <c r="L36" t="str">
        <f ca="1">IF(K36&lt;&gt;"",
VLOOKUP(C36,クライアント抽出!$A:$G,4,FALSE)+AA36,"")</f>
        <v/>
      </c>
      <c r="M36" t="str">
        <f ca="1">VLOOKUP(C36,クライアント抽出!$A:$O,13,FALSE)</f>
        <v>赤　飯あり120</v>
      </c>
      <c r="N36" t="str">
        <f ca="1">SUBSTITUTE(
IF(M36&lt;&gt;"",
VLOOKUP(
"*"&amp;IF(COUNTIF(M36,"*キャラ弁*"),"キャラ",
IF(COUNTIF(M36,"*赤*"),"赤",SUBSTITUTE(SUBSTITUTE(D36," ",""),"　","")))&amp;"*",
注文弁当の抽出!$F:$I,4,FALSE),""),"園児","先生")&amp;
IF(COUNTIF(M36,"*おにぎり*"),"　おにぎり","")</f>
        <v>弁当　先生</v>
      </c>
      <c r="O36">
        <f ca="1">IF(N36&lt;&gt;"",VLOOKUP(C36,クライアント抽出!$A:$G,5,FALSE),"")</f>
        <v>12</v>
      </c>
      <c r="P36" t="str">
        <f ca="1">VLOOKUP(C36,クライアント抽出!$A:$O,14,FALSE)</f>
        <v/>
      </c>
      <c r="Q36" t="str">
        <f ca="1">SUBSTITUTE(
IF(P36&lt;&gt;"",
VLOOKUP(
"*"&amp;IF(COUNTIF(P36,"*キャラ弁*"),"キャラ",
IF(COUNTIF(P36,"*赤*"),"赤",SUBSTITUTE(SUBSTITUTE(G36," ",""),"　","")))&amp;"*",
注文弁当の抽出!$F:$I,4,FALSE),""),"園児","先生")&amp;
IF(COUNTIF(P36,"*おにぎり*"),"　おにぎり","")</f>
        <v/>
      </c>
      <c r="R36" t="str">
        <f ca="1">IF(Q36&lt;&gt;"",
VLOOKUP(C36,クライアント抽出!$A:$G,6,FALSE),"")</f>
        <v/>
      </c>
      <c r="S36" t="str">
        <f ca="1">VLOOKUP(C36,クライアント抽出!$A:$O,15,FALSE)</f>
        <v/>
      </c>
      <c r="T36" t="str">
        <f ca="1">SUBSTITUTE(
IF(S36&lt;&gt;"",
VLOOKUP(
"*"&amp;IF(COUNTIF(S36,"*キャラ弁*"),"キャラ",
IF(COUNTIF(S36,"*赤*"),"赤",SUBSTITUTE(SUBSTITUTE(J36," ",""),"　","")))&amp;"*",
注文弁当の抽出!$F:$I,4,FALSE),""),"園児","先生")&amp;
IF(COUNTIF(S36,"*おにぎり*"),"　おにぎり","")</f>
        <v/>
      </c>
      <c r="U36" t="str">
        <f ca="1">IF(T36&lt;&gt;"",
VLOOKUP(C36,クライアント抽出!$A:$G,7,FALSE),"")</f>
        <v/>
      </c>
      <c r="V36" t="str">
        <f ca="1">IF(A36&lt;&gt;"",
IF(COUNTIF(V35,"*牛乳*"),
IF(AND(COUNTIF(B35,"*奈良屋*"),COUNTIF(B36,"*奈良屋*")),
V35&amp;"✔",""),VLOOKUP(""&amp;A36&amp;"",数出表_Excel!$A:$Z,22,FALSE)&amp;VLOOKUP(""&amp;A36&amp;"",数出表_Excel!$A:$Z,23,FALSE)
&amp;VLOOKUP(""&amp;C36&amp;"",数出表_Excel!$A:$Z,22,FALSE)&amp;VLOOKUP(""&amp;C36&amp;"",数出表_Excel!$A:$Z,23,FALSE)),"")</f>
        <v/>
      </c>
      <c r="W36">
        <f ca="1">IF(AND(COUNTIF(V36,"&lt;&gt;*不要*"),A36&lt;&gt;""),VLOOKUP(A36,得意先マスタ!$A:$AD,24,FALSE),0)</f>
        <v>0</v>
      </c>
      <c r="X36">
        <f ca="1">IF(AND(COUNTIF(V36,"&lt;&gt;*不要*"),A36&lt;&gt;""),VLOOKUP(A36,得意先マスタ!$A:$AD,25,FALSE),0)</f>
        <v>0</v>
      </c>
      <c r="Y36">
        <f t="shared" ca="1" si="10"/>
        <v>0</v>
      </c>
      <c r="Z36">
        <f t="shared" ca="1" si="11"/>
        <v>0</v>
      </c>
      <c r="AA36">
        <f t="shared" ca="1" si="15"/>
        <v>0</v>
      </c>
      <c r="AB36" t="str">
        <f t="shared" ca="1" si="12"/>
        <v/>
      </c>
      <c r="AC36" t="str">
        <f t="array" aca="1" ref="AC36" ca="1">IFERROR(INDEX(36:36, SMALL(IF($D36:$U36&lt;&gt;"", COLUMN($D$1:$U36)), COLUMN(A36))), "")</f>
        <v>赤　飯あり120</v>
      </c>
      <c r="AD36" t="str">
        <f t="array" aca="1" ref="AD36" ca="1">IFERROR(INDEX(36:36, SMALL(IF($D36:$U36&lt;&gt;"", COLUMN($D$1:$U36)), COLUMN(B36))), "")</f>
        <v>弁当　園児</v>
      </c>
      <c r="AE36">
        <f t="array" aca="1" ref="AE36" ca="1">IFERROR(INDEX(36:36, SMALL(IF($D36:$U36&lt;&gt;"", COLUMN($D$1:$U36)), COLUMN(C36))), "")</f>
        <v>87</v>
      </c>
      <c r="AF36" t="str">
        <f t="array" aca="1" ref="AF36" ca="1">IFERROR(INDEX(36:36, SMALL(IF($D36:$U36&lt;&gt;"", COLUMN($D$1:$U36)), COLUMN(D36))), "")</f>
        <v>赤　おにぎり半俵</v>
      </c>
      <c r="AG36" t="str">
        <f t="array" aca="1" ref="AG36" ca="1">IFERROR(INDEX(36:36, SMALL(IF($D36:$U36&lt;&gt;"", COLUMN($D$1:$U36)), COLUMN(E36))), "")</f>
        <v>弁当　園児　おにぎり</v>
      </c>
      <c r="AH36">
        <f t="array" aca="1" ref="AH36" ca="1">IFERROR(INDEX(36:36, SMALL(IF($D36:$U36&lt;&gt;"", COLUMN($D$1:$U36)), COLUMN(F36))), "")</f>
        <v>12</v>
      </c>
      <c r="AI36" t="str">
        <f t="array" aca="1" ref="AI36" ca="1">IFERROR(INDEX(36:36, SMALL(IF($D36:$U36&lt;&gt;"", COLUMN($D$1:$U36)), COLUMN(G36))), "")</f>
        <v>赤　飯あり120</v>
      </c>
      <c r="AJ36" t="str">
        <f t="array" aca="1" ref="AJ36" ca="1">IFERROR(INDEX(36:36, SMALL(IF($D36:$U36&lt;&gt;"", COLUMN($D$1:$U36)), COLUMN(H36))), "")</f>
        <v>弁当　先生</v>
      </c>
      <c r="AK36">
        <f t="array" aca="1" ref="AK36" ca="1">IFERROR(INDEX(36:36, SMALL(IF($D36:$U36&lt;&gt;"", COLUMN($D$1:$U36)), COLUMN(I36))), "")</f>
        <v>12</v>
      </c>
      <c r="AL36" t="str">
        <f t="array" aca="1" ref="AL36" ca="1">IFERROR(INDEX(36:36, SMALL(IF($D36:$U36&lt;&gt;"", COLUMN($D$1:$U36)), COLUMN(J36))), "")</f>
        <v/>
      </c>
      <c r="AM36" t="str">
        <f t="array" aca="1" ref="AM36" ca="1">IFERROR(INDEX(36:36, SMALL(IF($D36:$U36&lt;&gt;"", COLUMN($D$1:$U36)), COLUMN(K36))), "")</f>
        <v/>
      </c>
      <c r="AN36" t="str">
        <f t="array" aca="1" ref="AN36" ca="1">IFERROR(INDEX(36:36, SMALL(IF($D36:$U36&lt;&gt;"", COLUMN($D$1:$U36)), COLUMN(L36))), "")</f>
        <v/>
      </c>
      <c r="AO36" t="str">
        <f t="array" aca="1" ref="AO36" ca="1">IFERROR(INDEX(36:36, SMALL(IF($D36:$U36&lt;&gt;"", COLUMN($D$1:$U36)), COLUMN(M36))), "")</f>
        <v/>
      </c>
      <c r="AP36" t="str">
        <f t="array" aca="1" ref="AP36" ca="1">IFERROR(INDEX(36:36, SMALL(IF($D36:$U36&lt;&gt;"", COLUMN($D$1:$U36)), COLUMN(N36))), "")</f>
        <v/>
      </c>
      <c r="AQ36" t="str">
        <f t="array" aca="1" ref="AQ36" ca="1">IFERROR(INDEX(36:36, SMALL(IF($D36:$U36&lt;&gt;"", COLUMN($D$1:$U36)), COLUMN(O36))), "")</f>
        <v/>
      </c>
      <c r="AR36" s="52" t="s">
        <v>4005</v>
      </c>
      <c r="AS36" t="str">
        <f t="shared" ca="1" si="13"/>
        <v/>
      </c>
      <c r="AT36" t="str">
        <f t="shared" ca="1" si="14"/>
        <v/>
      </c>
      <c r="AU36" t="str">
        <f t="shared" ca="1" si="16"/>
        <v/>
      </c>
      <c r="AV36" t="str">
        <f t="shared" ca="1" si="17"/>
        <v/>
      </c>
      <c r="AW36" t="str">
        <f t="shared" ca="1" si="18"/>
        <v/>
      </c>
      <c r="AX36" t="str">
        <f t="shared" ca="1" si="19"/>
        <v/>
      </c>
      <c r="AZ36" t="str">
        <f t="array" aca="1" ref="AZ36" ca="1">IFERROR(INDEX(36:36, SMALL(IF($AC36:$AX36&lt;&gt;"", COLUMN($AC$1:$AX36)), COLUMN(A36))), "")</f>
        <v>赤　飯あり120</v>
      </c>
      <c r="BA36" t="str">
        <f t="array" aca="1" ref="BA36" ca="1">IFERROR(INDEX(36:36, SMALL(IF($AC36:$AX36&lt;&gt;"", COLUMN($AC$1:$AX36)), COLUMN(B36))), "")</f>
        <v>弁当　園児</v>
      </c>
      <c r="BB36">
        <f t="array" aca="1" ref="BB36" ca="1">IFERROR(INDEX(36:36, SMALL(IF($AC36:$AX36&lt;&gt;"", COLUMN($AC$1:$AX36)), COLUMN(C36))), "")</f>
        <v>87</v>
      </c>
      <c r="BC36" t="str">
        <f t="array" aca="1" ref="BC36" ca="1">IFERROR(INDEX(36:36, SMALL(IF($AC36:$AX36&lt;&gt;"", COLUMN($AC$1:$AX36)), COLUMN(D36))), "")</f>
        <v>赤　おにぎり半俵</v>
      </c>
      <c r="BD36" t="str">
        <f t="array" aca="1" ref="BD36" ca="1">IFERROR(INDEX(36:36, SMALL(IF($AC36:$AX36&lt;&gt;"", COLUMN($AC$1:$AX36)), COLUMN(E36))), "")</f>
        <v>弁当　園児　おにぎり</v>
      </c>
      <c r="BE36">
        <f t="array" aca="1" ref="BE36" ca="1">IFERROR(INDEX(36:36, SMALL(IF($AC36:$AX36&lt;&gt;"", COLUMN($AC$1:$AX36)), COLUMN(F36))), "")</f>
        <v>12</v>
      </c>
      <c r="BF36" t="str">
        <f t="array" aca="1" ref="BF36" ca="1">IFERROR(IF(AND(COUNTIF($B36,"*泉ヶ丘*"),COUNTIF($B37,"*泉ヶ丘*")),
IFERROR(INDEX(37:37, SMALL(IF($AC37:$AX37&lt;&gt;"", COLUMN($AC$1:$AX37)), COLUMN(A37))), ""),
INDEX(36:36, SMALL(IF($AC36:$AX36&lt;&gt;"", COLUMN($AC$1:$AX36)), COLUMN(G36)))), "")</f>
        <v>赤　飯あり120</v>
      </c>
      <c r="BG36" t="str">
        <f t="array" aca="1" ref="BG36" ca="1">IFERROR(IF(AND(COUNTIF($B36,"*泉ヶ丘*"),COUNTIF($B37,"*泉ヶ丘*")),
IFERROR(INDEX(37:37, SMALL(IF($AC37:$AX37&lt;&gt;"", COLUMN($AC$1:$AX37)), COLUMN(B37))), ""),
INDEX(36:36, SMALL(IF($AC36:$AX36&lt;&gt;"", COLUMN($AC$1:$AX36)), COLUMN(H36)))), "")</f>
        <v>弁当　先生</v>
      </c>
      <c r="BH36">
        <f t="array" aca="1" ref="BH36" ca="1">IFERROR(IF(AND(COUNTIF($B36,"*泉ヶ丘*"),COUNTIF($B37,"*泉ヶ丘*")),
IFERROR(INDEX(37:37, SMALL(IF($AC37:$AX37&lt;&gt;"", COLUMN($AC$1:$AX37)), COLUMN(C37))), ""),
INDEX(36:36, SMALL(IF($AC36:$AX36&lt;&gt;"", COLUMN($AC$1:$AX36)), COLUMN(I36)))), "")</f>
        <v>12</v>
      </c>
      <c r="BI36" t="str">
        <f t="array" aca="1" ref="BI36" ca="1">IFERROR(IF(AND(COUNTIF($B36,"*泉ヶ丘*"),COUNTIF($B37,"*泉ヶ丘*")),
IFERROR(INDEX(37:37, SMALL(IF($AC37:$AX37&lt;&gt;"", COLUMN($AC$1:$AX37)), COLUMN(D37))), ""),
INDEX(36:36, SMALL(IF($AC36:$AX36&lt;&gt;"", COLUMN($AC$1:$AX36)), COLUMN(J36)))), "")</f>
        <v>●</v>
      </c>
      <c r="BJ36" t="str">
        <f t="array" aca="1" ref="BJ36" ca="1">IFERROR(IF(AND(COUNTIF($B36,"*泉ヶ丘*"),COUNTIF($B37,"*泉ヶ丘*")),
IFERROR(INDEX(37:37, SMALL(IF($AC37:$AX37&lt;&gt;"", COLUMN($AC$1:$AX37)), COLUMN(E37))), ""),
INDEX(36:36, SMALL(IF($AC36:$AX36&lt;&gt;"", COLUMN($AC$1:$AX36)), COLUMN(K36)))), "")</f>
        <v/>
      </c>
      <c r="BK36" t="str">
        <f t="array" aca="1" ref="BK36" ca="1">IFERROR(IF(AND(COUNTIF($B36,"*泉ヶ丘*"),COUNTIF($B37,"*泉ヶ丘*")),
IFERROR(INDEX(37:37, SMALL(IF($AC37:$AX37&lt;&gt;"", COLUMN($AC$1:$AX37)), COLUMN(F37))), ""),
INDEX(36:36, SMALL(IF($AC36:$AX36&lt;&gt;"", COLUMN($AC$1:$AX36)), COLUMN(L36)))), "")</f>
        <v/>
      </c>
      <c r="BL36" t="str">
        <f t="array" aca="1" ref="BL36" ca="1">IFERROR(IF(AND(COUNTIF($B36,"*泉ヶ丘*"),COUNTIF($B37,"*泉ヶ丘*")),
IFERROR(INDEX(37:37, SMALL(IF($AC37:$AX37&lt;&gt;"", COLUMN($AC$1:$AX37)), COLUMN(G37))), ""),
INDEX(36:36, SMALL(IF($AC36:$AX36&lt;&gt;"", COLUMN($AC$1:$AX36)), COLUMN(M36)))), "")</f>
        <v/>
      </c>
      <c r="BM36" t="str">
        <f t="array" aca="1" ref="BM36" ca="1">IFERROR(IF(AND(COUNTIF($B36,"*泉ヶ丘*"),COUNTIF($B37,"*泉ヶ丘*")),
IFERROR(INDEX(37:37, SMALL(IF($AC37:$AX37&lt;&gt;"", COLUMN($AC$1:$AX37)), COLUMN(H37))), ""),
INDEX(36:36, SMALL(IF($AC36:$AX36&lt;&gt;"", COLUMN($AC$1:$AX36)), COLUMN(N36)))), "")</f>
        <v/>
      </c>
      <c r="BN36" t="str">
        <f t="array" aca="1" ref="BN36" ca="1">IFERROR(IF(AND(COUNTIF($B36,"*泉ヶ丘*"),COUNTIF($B37,"*泉ヶ丘*")),
IFERROR(INDEX(37:37, SMALL(IF($AC37:$AX37&lt;&gt;"", COLUMN($AC$1:$AX37)), COLUMN(I37))), ""),
INDEX(36:36, SMALL(IF($AC36:$AX36&lt;&gt;"", COLUMN($AC$1:$AX36)), COLUMN(O36)))), "")</f>
        <v/>
      </c>
      <c r="BO36" t="str">
        <f t="array" aca="1" ref="BO36" ca="1">IFERROR(IF(AND(COUNTIF($B36,"*泉ヶ丘*"),COUNTIF($B37,"*泉ヶ丘*")),
IFERROR(INDEX(37:37, SMALL(IF($AC37:$AX37&lt;&gt;"", COLUMN($AC$1:$AX37)), COLUMN(J37))), ""),
INDEX(36:36, SMALL(IF($AC36:$AX36&lt;&gt;"", COLUMN($AC$1:$AX36)), COLUMN(P36)))), "")</f>
        <v/>
      </c>
      <c r="BP36" t="str">
        <f t="array" aca="1" ref="BP36" ca="1">IFERROR(IF(AND(COUNTIF($B36,"*泉ヶ丘*"),COUNTIF($B37,"*泉ヶ丘*")),
IFERROR(INDEX(37:37, SMALL(IF($AC37:$AX37&lt;&gt;"", COLUMN($AC$1:$AX37)), COLUMN(K37))), ""),
INDEX(36:36, SMALL(IF($AC36:$AX36&lt;&gt;"", COLUMN($AC$1:$AX36)), COLUMN(Q36)))), "")</f>
        <v/>
      </c>
      <c r="BQ36" t="str">
        <f t="array" aca="1" ref="BQ36" ca="1">IFERROR(IF(AND(COUNTIF($B36,"*泉ヶ丘*"),COUNTIF($B37,"*泉ヶ丘*")),
IFERROR(INDEX(37:37, SMALL(IF($AC37:$AX37&lt;&gt;"", COLUMN($AC$1:$AX37)), COLUMN(L37))), ""),
INDEX(36:36, SMALL(IF($AC36:$AX36&lt;&gt;"", COLUMN($AC$1:$AX36)), COLUMN(R36)))), "")</f>
        <v/>
      </c>
    </row>
    <row r="37" spans="1:69" x14ac:dyDescent="0.45">
      <c r="A37" t="str">
        <f t="array" ref="A37">IF(INDEX(貼り付け用!A:A,MATCH(A36,貼り付け用!A:A,0)+2)="4700",
IF(INDEX(貼り付け用!A:A,MATCH(A36,貼り付け用!A:A,0)+4)="4800",
INDEX(貼り付け用!A:A,MATCH(A36,貼り付け用!A:A,0)+6),
INDEX(貼り付け用!A:A,MATCH(A36,貼り付け用!A:A,0)+4)),INDEX(貼り付け用!A:A,MATCH(A36,貼り付け用!A:A,0)+2))</f>
        <v>1600</v>
      </c>
      <c r="B37" t="str">
        <f>IF(A37&lt;&gt;"",
VLOOKUP(A37,得意先マスタ!A:D,2,FALSE),"")</f>
        <v>南ヶ丘幼稚園</v>
      </c>
      <c r="C37" t="str">
        <f t="array" ref="C37">IF(A37="10000","",INDEX(貼り付け用!A:A,MATCH(A37,貼り付け用!A:A,0)+1))</f>
        <v>南ヶ丘幼稚園</v>
      </c>
      <c r="D37" t="str">
        <f ca="1">VLOOKUP(C37,クライアント抽出!$A:$O,10,FALSE)</f>
        <v>赤　飯あり120</v>
      </c>
      <c r="E37" t="str">
        <f ca="1">IF(D37&lt;&gt;"",
IF(COUNTIF(C37,"*ぺんぎん*"),
VLOOKUP(
"*"&amp;IF(COUNTIF(D37,"*キャラ弁*"),"キャラ",
IF(COUNTIF(D37,"*赤*"),"赤",SUBSTITUTE(SUBSTITUTE(D37," ",""),"　","")))&amp;"*",
注文弁当の抽出!$F:$I,4,FALSE)&amp;
IF(COUNTIF(D37,"*おにぎり*"),"　おにぎり","")&amp;"　（ぺんぎん組）",
VLOOKUP(
"*"&amp;IF(COUNTIF(D37,"*キャラ弁*"),"キャラ",
IF(COUNTIF(D37,"*赤*"),"赤",SUBSTITUTE(SUBSTITUTE(D37," ",""),"　","")))&amp;"*",
注文弁当の抽出!$F:$I,4,FALSE)&amp;
IF(COUNTIF(D37,"*おにぎり*"),"　おにぎり","")),"")</f>
        <v>弁当　園児</v>
      </c>
      <c r="F37">
        <f ca="1">IFERROR(IF(E37&lt;&gt;"",
VLOOKUP(C37,クライアント抽出!$A:$G,2,FALSE)+
IF(COUNTIF(Y37,"*-*"),Y37,0),"")
-IFERROR(MID(V37, SEARCH("予備", V37) + LEN("予備"), SEARCH("込み", V37) - (SEARCH("予備", V37) + LEN("予備"))),0),"")</f>
        <v>118</v>
      </c>
      <c r="G37" t="str">
        <f ca="1">VLOOKUP(C37,クライアント抽出!$A:$O,11,FALSE)</f>
        <v>赤　おにぎり半俵</v>
      </c>
      <c r="H37" t="str">
        <f ca="1">IF(G37&lt;&gt;"",
VLOOKUP(
"*"&amp;IF(COUNTIF(G37,"*キャラ弁*"),"キャラ",
IF(COUNTIF(G37,"*赤*"),"赤",SUBSTITUTE(SUBSTITUTE(G37," ",""),"　","")))&amp;"*",
注文弁当の抽出!$F:$I,4,FALSE)&amp;
IF(COUNTIF(G37,"*おにぎり*"),"　おにぎり",""),"")</f>
        <v>弁当　園児　おにぎり</v>
      </c>
      <c r="I37">
        <f ca="1">IF(H37&lt;&gt;"",
VLOOKUP(C37,クライアント抽出!$A:$G,3,FALSE)+
IF(COUNTIF(C37,"*博多*"),Y37,Z37),"")</f>
        <v>16</v>
      </c>
      <c r="J37" t="str">
        <f ca="1">VLOOKUP(C37,クライアント抽出!$A:$O,12,FALSE)</f>
        <v/>
      </c>
      <c r="K37" t="str">
        <f ca="1">IF(J37&lt;&gt;"",
VLOOKUP(
"*"&amp;IF(COUNTIF(J37,"*キャラ弁*"),"キャラ",
IF(COUNTIF(J37,"*赤*"),"赤",SUBSTITUTE(SUBSTITUTE(J37," ",""),"　","")))&amp;"*",
注文弁当の抽出!$F:$I,4,FALSE)&amp;
IF(COUNTIF(J37,"*おにぎり*"),"　おにぎり",""),"")</f>
        <v/>
      </c>
      <c r="L37" t="str">
        <f ca="1">IF(K37&lt;&gt;"",
VLOOKUP(C37,クライアント抽出!$A:$G,4,FALSE)+AA37,"")</f>
        <v/>
      </c>
      <c r="M37" t="str">
        <f ca="1">VLOOKUP(C37,クライアント抽出!$A:$O,13,FALSE)</f>
        <v>赤　飯あり120</v>
      </c>
      <c r="N37" t="str">
        <f ca="1">SUBSTITUTE(
IF(M37&lt;&gt;"",
VLOOKUP(
"*"&amp;IF(COUNTIF(M37,"*キャラ弁*"),"キャラ",
IF(COUNTIF(M37,"*赤*"),"赤",SUBSTITUTE(SUBSTITUTE(D37," ",""),"　","")))&amp;"*",
注文弁当の抽出!$F:$I,4,FALSE),""),"園児","先生")&amp;
IF(COUNTIF(M37,"*おにぎり*"),"　おにぎり","")</f>
        <v>弁当　先生</v>
      </c>
      <c r="O37">
        <f ca="1">IF(N37&lt;&gt;"",VLOOKUP(C37,クライアント抽出!$A:$G,5,FALSE),"")</f>
        <v>14</v>
      </c>
      <c r="P37" t="str">
        <f ca="1">VLOOKUP(C37,クライアント抽出!$A:$O,14,FALSE)</f>
        <v/>
      </c>
      <c r="Q37" t="str">
        <f ca="1">SUBSTITUTE(
IF(P37&lt;&gt;"",
VLOOKUP(
"*"&amp;IF(COUNTIF(P37,"*キャラ弁*"),"キャラ",
IF(COUNTIF(P37,"*赤*"),"赤",SUBSTITUTE(SUBSTITUTE(G37," ",""),"　","")))&amp;"*",
注文弁当の抽出!$F:$I,4,FALSE),""),"園児","先生")&amp;
IF(COUNTIF(P37,"*おにぎり*"),"　おにぎり","")</f>
        <v/>
      </c>
      <c r="R37" t="str">
        <f ca="1">IF(Q37&lt;&gt;"",
VLOOKUP(C37,クライアント抽出!$A:$G,6,FALSE),"")</f>
        <v/>
      </c>
      <c r="S37" t="str">
        <f ca="1">VLOOKUP(C37,クライアント抽出!$A:$O,15,FALSE)</f>
        <v/>
      </c>
      <c r="T37" t="str">
        <f ca="1">SUBSTITUTE(
IF(S37&lt;&gt;"",
VLOOKUP(
"*"&amp;IF(COUNTIF(S37,"*キャラ弁*"),"キャラ",
IF(COUNTIF(S37,"*赤*"),"赤",SUBSTITUTE(SUBSTITUTE(J37," ",""),"　","")))&amp;"*",
注文弁当の抽出!$F:$I,4,FALSE),""),"園児","先生")&amp;
IF(COUNTIF(S37,"*おにぎり*"),"　おにぎり","")</f>
        <v/>
      </c>
      <c r="U37" t="str">
        <f ca="1">IF(T37&lt;&gt;"",
VLOOKUP(C37,クライアント抽出!$A:$G,7,FALSE),"")</f>
        <v/>
      </c>
      <c r="V37" t="str">
        <f ca="1">IF(A37&lt;&gt;"",
IF(COUNTIF(V36,"*牛乳*"),
IF(AND(COUNTIF(B36,"*奈良屋*"),COUNTIF(B37,"*奈良屋*")),
V36&amp;"✔",""),VLOOKUP(""&amp;A37&amp;"",数出表_Excel!$A:$Z,22,FALSE)&amp;VLOOKUP(""&amp;A37&amp;"",数出表_Excel!$A:$Z,23,FALSE)
&amp;VLOOKUP(""&amp;C37&amp;"",数出表_Excel!$A:$Z,22,FALSE)&amp;VLOOKUP(""&amp;C37&amp;"",数出表_Excel!$A:$Z,23,FALSE)),"")</f>
        <v>おかわり用保温箱2K×1 先生+1</v>
      </c>
      <c r="W37" t="str">
        <f ca="1">IF(AND(COUNTIF(V37,"&lt;&gt;*不要*"),A37&lt;&gt;""),VLOOKUP(A37,得意先マスタ!$A:$AD,24,FALSE),0)</f>
        <v>予備</v>
      </c>
      <c r="X37" t="str">
        <f ca="1">IF(AND(COUNTIF(V37,"&lt;&gt;*不要*"),A37&lt;&gt;""),VLOOKUP(A37,得意先マスタ!$A:$AD,25,FALSE),0)</f>
        <v>3.0</v>
      </c>
      <c r="Y37" t="str">
        <f t="shared" ca="1" si="10"/>
        <v>3</v>
      </c>
      <c r="Z37" t="str">
        <f t="shared" ca="1" si="11"/>
        <v>0</v>
      </c>
      <c r="AA37">
        <f t="shared" ca="1" si="15"/>
        <v>0</v>
      </c>
      <c r="AB37" t="str">
        <f t="shared" ca="1" si="12"/>
        <v>弁当　予備、弁当　予備　おにぎり</v>
      </c>
      <c r="AC37" t="str">
        <f t="array" aca="1" ref="AC37" ca="1">IFERROR(INDEX(37:37, SMALL(IF($D37:$U37&lt;&gt;"", COLUMN($D$1:$U37)), COLUMN(A37))), "")</f>
        <v>赤　飯あり120</v>
      </c>
      <c r="AD37" t="str">
        <f t="array" aca="1" ref="AD37" ca="1">IFERROR(INDEX(37:37, SMALL(IF($D37:$U37&lt;&gt;"", COLUMN($D$1:$U37)), COLUMN(B37))), "")</f>
        <v>弁当　園児</v>
      </c>
      <c r="AE37">
        <f t="array" aca="1" ref="AE37" ca="1">IFERROR(INDEX(37:37, SMALL(IF($D37:$U37&lt;&gt;"", COLUMN($D$1:$U37)), COLUMN(C37))), "")</f>
        <v>118</v>
      </c>
      <c r="AF37" t="str">
        <f t="array" aca="1" ref="AF37" ca="1">IFERROR(INDEX(37:37, SMALL(IF($D37:$U37&lt;&gt;"", COLUMN($D$1:$U37)), COLUMN(D37))), "")</f>
        <v>赤　おにぎり半俵</v>
      </c>
      <c r="AG37" t="str">
        <f t="array" aca="1" ref="AG37" ca="1">IFERROR(INDEX(37:37, SMALL(IF($D37:$U37&lt;&gt;"", COLUMN($D$1:$U37)), COLUMN(E37))), "")</f>
        <v>弁当　園児　おにぎり</v>
      </c>
      <c r="AH37">
        <f t="array" aca="1" ref="AH37" ca="1">IFERROR(INDEX(37:37, SMALL(IF($D37:$U37&lt;&gt;"", COLUMN($D$1:$U37)), COLUMN(F37))), "")</f>
        <v>16</v>
      </c>
      <c r="AI37" t="str">
        <f t="array" aca="1" ref="AI37" ca="1">IFERROR(INDEX(37:37, SMALL(IF($D37:$U37&lt;&gt;"", COLUMN($D$1:$U37)), COLUMN(G37))), "")</f>
        <v>赤　飯あり120</v>
      </c>
      <c r="AJ37" t="str">
        <f t="array" aca="1" ref="AJ37" ca="1">IFERROR(INDEX(37:37, SMALL(IF($D37:$U37&lt;&gt;"", COLUMN($D$1:$U37)), COLUMN(H37))), "")</f>
        <v>弁当　先生</v>
      </c>
      <c r="AK37">
        <f t="array" aca="1" ref="AK37" ca="1">IFERROR(INDEX(37:37, SMALL(IF($D37:$U37&lt;&gt;"", COLUMN($D$1:$U37)), COLUMN(I37))), "")</f>
        <v>14</v>
      </c>
      <c r="AL37" t="str">
        <f t="array" aca="1" ref="AL37" ca="1">IFERROR(INDEX(37:37, SMALL(IF($D37:$U37&lt;&gt;"", COLUMN($D$1:$U37)), COLUMN(J37))), "")</f>
        <v/>
      </c>
      <c r="AM37" t="str">
        <f t="array" aca="1" ref="AM37" ca="1">IFERROR(INDEX(37:37, SMALL(IF($D37:$U37&lt;&gt;"", COLUMN($D$1:$U37)), COLUMN(K37))), "")</f>
        <v/>
      </c>
      <c r="AN37" t="str">
        <f t="array" aca="1" ref="AN37" ca="1">IFERROR(INDEX(37:37, SMALL(IF($D37:$U37&lt;&gt;"", COLUMN($D$1:$U37)), COLUMN(L37))), "")</f>
        <v/>
      </c>
      <c r="AO37" t="str">
        <f t="array" aca="1" ref="AO37" ca="1">IFERROR(INDEX(37:37, SMALL(IF($D37:$U37&lt;&gt;"", COLUMN($D$1:$U37)), COLUMN(M37))), "")</f>
        <v/>
      </c>
      <c r="AP37" t="str">
        <f t="array" aca="1" ref="AP37" ca="1">IFERROR(INDEX(37:37, SMALL(IF($D37:$U37&lt;&gt;"", COLUMN($D$1:$U37)), COLUMN(N37))), "")</f>
        <v/>
      </c>
      <c r="AQ37" t="str">
        <f t="array" aca="1" ref="AQ37" ca="1">IFERROR(INDEX(37:37, SMALL(IF($D37:$U37&lt;&gt;"", COLUMN($D$1:$U37)), COLUMN(O37))), "")</f>
        <v/>
      </c>
      <c r="AR37" s="52" t="s">
        <v>4005</v>
      </c>
      <c r="AS37" t="str">
        <f t="shared" ca="1" si="13"/>
        <v>弁当　予備</v>
      </c>
      <c r="AT37" t="str">
        <f t="shared" ca="1" si="14"/>
        <v>3</v>
      </c>
      <c r="AU37" t="str">
        <f t="shared" ca="1" si="16"/>
        <v/>
      </c>
      <c r="AV37" t="str">
        <f t="shared" ca="1" si="17"/>
        <v/>
      </c>
      <c r="AW37" t="str">
        <f t="shared" ca="1" si="18"/>
        <v/>
      </c>
      <c r="AX37" t="str">
        <f t="shared" ca="1" si="19"/>
        <v/>
      </c>
      <c r="AZ37" t="str">
        <f t="array" aca="1" ref="AZ37" ca="1">IFERROR(INDEX(37:37, SMALL(IF($AC37:$AX37&lt;&gt;"", COLUMN($AC$1:$AX37)), COLUMN(A37))), "")</f>
        <v>赤　飯あり120</v>
      </c>
      <c r="BA37" t="str">
        <f t="array" aca="1" ref="BA37" ca="1">IFERROR(INDEX(37:37, SMALL(IF($AC37:$AX37&lt;&gt;"", COLUMN($AC$1:$AX37)), COLUMN(B37))), "")</f>
        <v>弁当　園児</v>
      </c>
      <c r="BB37">
        <f t="array" aca="1" ref="BB37" ca="1">IFERROR(INDEX(37:37, SMALL(IF($AC37:$AX37&lt;&gt;"", COLUMN($AC$1:$AX37)), COLUMN(C37))), "")</f>
        <v>118</v>
      </c>
      <c r="BC37" t="str">
        <f t="array" aca="1" ref="BC37" ca="1">IFERROR(INDEX(37:37, SMALL(IF($AC37:$AX37&lt;&gt;"", COLUMN($AC$1:$AX37)), COLUMN(D37))), "")</f>
        <v>赤　おにぎり半俵</v>
      </c>
      <c r="BD37" t="str">
        <f t="array" aca="1" ref="BD37" ca="1">IFERROR(INDEX(37:37, SMALL(IF($AC37:$AX37&lt;&gt;"", COLUMN($AC$1:$AX37)), COLUMN(E37))), "")</f>
        <v>弁当　園児　おにぎり</v>
      </c>
      <c r="BE37">
        <f t="array" aca="1" ref="BE37" ca="1">IFERROR(INDEX(37:37, SMALL(IF($AC37:$AX37&lt;&gt;"", COLUMN($AC$1:$AX37)), COLUMN(F37))), "")</f>
        <v>16</v>
      </c>
      <c r="BF37" t="str">
        <f t="array" aca="1" ref="BF37" ca="1">IFERROR(IF(AND(COUNTIF($B37,"*泉ヶ丘*"),COUNTIF($B38,"*泉ヶ丘*")),
IFERROR(INDEX(38:38, SMALL(IF($AC38:$AX38&lt;&gt;"", COLUMN($AC$1:$AX38)), COLUMN(A38))), ""),
INDEX(37:37, SMALL(IF($AC37:$AX37&lt;&gt;"", COLUMN($AC$1:$AX37)), COLUMN(G37)))), "")</f>
        <v>赤　飯あり120</v>
      </c>
      <c r="BG37" t="str">
        <f t="array" aca="1" ref="BG37" ca="1">IFERROR(IF(AND(COUNTIF($B37,"*泉ヶ丘*"),COUNTIF($B38,"*泉ヶ丘*")),
IFERROR(INDEX(38:38, SMALL(IF($AC38:$AX38&lt;&gt;"", COLUMN($AC$1:$AX38)), COLUMN(B38))), ""),
INDEX(37:37, SMALL(IF($AC37:$AX37&lt;&gt;"", COLUMN($AC$1:$AX37)), COLUMN(H37)))), "")</f>
        <v>弁当　先生</v>
      </c>
      <c r="BH37">
        <f t="array" aca="1" ref="BH37" ca="1">IFERROR(IF(AND(COUNTIF($B37,"*泉ヶ丘*"),COUNTIF($B38,"*泉ヶ丘*")),
IFERROR(INDEX(38:38, SMALL(IF($AC38:$AX38&lt;&gt;"", COLUMN($AC$1:$AX38)), COLUMN(C38))), ""),
INDEX(37:37, SMALL(IF($AC37:$AX37&lt;&gt;"", COLUMN($AC$1:$AX37)), COLUMN(I37)))), "")</f>
        <v>14</v>
      </c>
      <c r="BI37" t="str">
        <f t="array" aca="1" ref="BI37" ca="1">IFERROR(IF(AND(COUNTIF($B37,"*泉ヶ丘*"),COUNTIF($B38,"*泉ヶ丘*")),
IFERROR(INDEX(38:38, SMALL(IF($AC38:$AX38&lt;&gt;"", COLUMN($AC$1:$AX38)), COLUMN(D38))), ""),
INDEX(37:37, SMALL(IF($AC37:$AX37&lt;&gt;"", COLUMN($AC$1:$AX37)), COLUMN(J37)))), "")</f>
        <v>●</v>
      </c>
      <c r="BJ37" t="str">
        <f t="array" aca="1" ref="BJ37" ca="1">IFERROR(IF(AND(COUNTIF($B37,"*泉ヶ丘*"),COUNTIF($B38,"*泉ヶ丘*")),
IFERROR(INDEX(38:38, SMALL(IF($AC38:$AX38&lt;&gt;"", COLUMN($AC$1:$AX38)), COLUMN(E38))), ""),
INDEX(37:37, SMALL(IF($AC37:$AX37&lt;&gt;"", COLUMN($AC$1:$AX37)), COLUMN(K37)))), "")</f>
        <v>弁当　予備</v>
      </c>
      <c r="BK37" t="str">
        <f t="array" aca="1" ref="BK37" ca="1">IFERROR(IF(AND(COUNTIF($B37,"*泉ヶ丘*"),COUNTIF($B38,"*泉ヶ丘*")),
IFERROR(INDEX(38:38, SMALL(IF($AC38:$AX38&lt;&gt;"", COLUMN($AC$1:$AX38)), COLUMN(F38))), ""),
INDEX(37:37, SMALL(IF($AC37:$AX37&lt;&gt;"", COLUMN($AC$1:$AX37)), COLUMN(L37)))), "")</f>
        <v>3</v>
      </c>
      <c r="BL37" t="str">
        <f t="array" aca="1" ref="BL37" ca="1">IFERROR(IF(AND(COUNTIF($B37,"*泉ヶ丘*"),COUNTIF($B38,"*泉ヶ丘*")),
IFERROR(INDEX(38:38, SMALL(IF($AC38:$AX38&lt;&gt;"", COLUMN($AC$1:$AX38)), COLUMN(G38))), ""),
INDEX(37:37, SMALL(IF($AC37:$AX37&lt;&gt;"", COLUMN($AC$1:$AX37)), COLUMN(M37)))), "")</f>
        <v/>
      </c>
      <c r="BM37" t="str">
        <f t="array" aca="1" ref="BM37" ca="1">IFERROR(IF(AND(COUNTIF($B37,"*泉ヶ丘*"),COUNTIF($B38,"*泉ヶ丘*")),
IFERROR(INDEX(38:38, SMALL(IF($AC38:$AX38&lt;&gt;"", COLUMN($AC$1:$AX38)), COLUMN(H38))), ""),
INDEX(37:37, SMALL(IF($AC37:$AX37&lt;&gt;"", COLUMN($AC$1:$AX37)), COLUMN(N37)))), "")</f>
        <v/>
      </c>
      <c r="BN37" t="str">
        <f t="array" aca="1" ref="BN37" ca="1">IFERROR(IF(AND(COUNTIF($B37,"*泉ヶ丘*"),COUNTIF($B38,"*泉ヶ丘*")),
IFERROR(INDEX(38:38, SMALL(IF($AC38:$AX38&lt;&gt;"", COLUMN($AC$1:$AX38)), COLUMN(I38))), ""),
INDEX(37:37, SMALL(IF($AC37:$AX37&lt;&gt;"", COLUMN($AC$1:$AX37)), COLUMN(O37)))), "")</f>
        <v/>
      </c>
      <c r="BO37" t="str">
        <f t="array" aca="1" ref="BO37" ca="1">IFERROR(IF(AND(COUNTIF($B37,"*泉ヶ丘*"),COUNTIF($B38,"*泉ヶ丘*")),
IFERROR(INDEX(38:38, SMALL(IF($AC38:$AX38&lt;&gt;"", COLUMN($AC$1:$AX38)), COLUMN(J38))), ""),
INDEX(37:37, SMALL(IF($AC37:$AX37&lt;&gt;"", COLUMN($AC$1:$AX37)), COLUMN(P37)))), "")</f>
        <v/>
      </c>
      <c r="BP37" t="str">
        <f t="array" aca="1" ref="BP37" ca="1">IFERROR(IF(AND(COUNTIF($B37,"*泉ヶ丘*"),COUNTIF($B38,"*泉ヶ丘*")),
IFERROR(INDEX(38:38, SMALL(IF($AC38:$AX38&lt;&gt;"", COLUMN($AC$1:$AX38)), COLUMN(K38))), ""),
INDEX(37:37, SMALL(IF($AC37:$AX37&lt;&gt;"", COLUMN($AC$1:$AX37)), COLUMN(Q37)))), "")</f>
        <v/>
      </c>
      <c r="BQ37" t="str">
        <f t="array" aca="1" ref="BQ37" ca="1">IFERROR(IF(AND(COUNTIF($B37,"*泉ヶ丘*"),COUNTIF($B38,"*泉ヶ丘*")),
IFERROR(INDEX(38:38, SMALL(IF($AC38:$AX38&lt;&gt;"", COLUMN($AC$1:$AX38)), COLUMN(L38))), ""),
INDEX(37:37, SMALL(IF($AC37:$AX37&lt;&gt;"", COLUMN($AC$1:$AX37)), COLUMN(R37)))), "")</f>
        <v/>
      </c>
    </row>
    <row r="38" spans="1:69" x14ac:dyDescent="0.45">
      <c r="A38" t="str">
        <f t="array" ref="A38">IF(INDEX(貼り付け用!A:A,MATCH(A37,貼り付け用!A:A,0)+2)="4700",
IF(INDEX(貼り付け用!A:A,MATCH(A37,貼り付け用!A:A,0)+4)="4800",
INDEX(貼り付け用!A:A,MATCH(A37,貼り付け用!A:A,0)+6),
INDEX(貼り付け用!A:A,MATCH(A37,貼り付け用!A:A,0)+4)),INDEX(貼り付け用!A:A,MATCH(A37,貼り付け用!A:A,0)+2))</f>
        <v>1700</v>
      </c>
      <c r="B38" t="str">
        <f>IF(A38&lt;&gt;"",
VLOOKUP(A38,得意先マスタ!A:D,2,FALSE),"")</f>
        <v>南ヶ丘第二幼稚園</v>
      </c>
      <c r="C38" t="str">
        <f t="array" ref="C38">IF(A38="10000","",INDEX(貼り付け用!A:A,MATCH(A38,貼り付け用!A:A,0)+1))</f>
        <v>南ヶ丘第二幼稚園</v>
      </c>
      <c r="D38" t="str">
        <f ca="1">VLOOKUP(C38,クライアント抽出!$A:$O,10,FALSE)</f>
        <v>赤　飯あり120</v>
      </c>
      <c r="E38" t="str">
        <f ca="1">IF(D38&lt;&gt;"",
IF(COUNTIF(C38,"*ぺんぎん*"),
VLOOKUP(
"*"&amp;IF(COUNTIF(D38,"*キャラ弁*"),"キャラ",
IF(COUNTIF(D38,"*赤*"),"赤",SUBSTITUTE(SUBSTITUTE(D38," ",""),"　","")))&amp;"*",
注文弁当の抽出!$F:$I,4,FALSE)&amp;
IF(COUNTIF(D38,"*おにぎり*"),"　おにぎり","")&amp;"　（ぺんぎん組）",
VLOOKUP(
"*"&amp;IF(COUNTIF(D38,"*キャラ弁*"),"キャラ",
IF(COUNTIF(D38,"*赤*"),"赤",SUBSTITUTE(SUBSTITUTE(D38," ",""),"　","")))&amp;"*",
注文弁当の抽出!$F:$I,4,FALSE)&amp;
IF(COUNTIF(D38,"*おにぎり*"),"　おにぎり","")),"")</f>
        <v>弁当　園児</v>
      </c>
      <c r="F38">
        <f ca="1">IFERROR(IF(E38&lt;&gt;"",
VLOOKUP(C38,クライアント抽出!$A:$G,2,FALSE)+
IF(COUNTIF(Y38,"*-*"),Y38,0),"")
-IFERROR(MID(V38, SEARCH("予備", V38) + LEN("予備"), SEARCH("込み", V38) - (SEARCH("予備", V38) + LEN("予備"))),0),"")</f>
        <v>209</v>
      </c>
      <c r="G38" t="str">
        <f ca="1">VLOOKUP(C38,クライアント抽出!$A:$O,11,FALSE)</f>
        <v/>
      </c>
      <c r="H38" t="str">
        <f ca="1">IF(G38&lt;&gt;"",
VLOOKUP(
"*"&amp;IF(COUNTIF(G38,"*キャラ弁*"),"キャラ",
IF(COUNTIF(G38,"*赤*"),"赤",SUBSTITUTE(SUBSTITUTE(G38," ",""),"　","")))&amp;"*",
注文弁当の抽出!$F:$I,4,FALSE)&amp;
IF(COUNTIF(G38,"*おにぎり*"),"　おにぎり",""),"")</f>
        <v/>
      </c>
      <c r="I38" t="str">
        <f ca="1">IF(H38&lt;&gt;"",
VLOOKUP(C38,クライアント抽出!$A:$G,3,FALSE)+
IF(COUNTIF(C38,"*博多*"),Y38,Z38),"")</f>
        <v/>
      </c>
      <c r="J38" t="str">
        <f ca="1">VLOOKUP(C38,クライアント抽出!$A:$O,12,FALSE)</f>
        <v/>
      </c>
      <c r="K38" t="str">
        <f ca="1">IF(J38&lt;&gt;"",
VLOOKUP(
"*"&amp;IF(COUNTIF(J38,"*キャラ弁*"),"キャラ",
IF(COUNTIF(J38,"*赤*"),"赤",SUBSTITUTE(SUBSTITUTE(J38," ",""),"　","")))&amp;"*",
注文弁当の抽出!$F:$I,4,FALSE)&amp;
IF(COUNTIF(J38,"*おにぎり*"),"　おにぎり",""),"")</f>
        <v/>
      </c>
      <c r="L38" t="str">
        <f ca="1">IF(K38&lt;&gt;"",
VLOOKUP(C38,クライアント抽出!$A:$G,4,FALSE)+AA38,"")</f>
        <v/>
      </c>
      <c r="M38" t="str">
        <f ca="1">VLOOKUP(C38,クライアント抽出!$A:$O,13,FALSE)</f>
        <v>赤　飯あり120</v>
      </c>
      <c r="N38" t="str">
        <f ca="1">SUBSTITUTE(
IF(M38&lt;&gt;"",
VLOOKUP(
"*"&amp;IF(COUNTIF(M38,"*キャラ弁*"),"キャラ",
IF(COUNTIF(M38,"*赤*"),"赤",SUBSTITUTE(SUBSTITUTE(D38," ",""),"　","")))&amp;"*",
注文弁当の抽出!$F:$I,4,FALSE),""),"園児","先生")&amp;
IF(COUNTIF(M38,"*おにぎり*"),"　おにぎり","")</f>
        <v>弁当　先生</v>
      </c>
      <c r="O38">
        <f ca="1">IF(N38&lt;&gt;"",VLOOKUP(C38,クライアント抽出!$A:$G,5,FALSE),"")</f>
        <v>24</v>
      </c>
      <c r="P38" t="str">
        <f ca="1">VLOOKUP(C38,クライアント抽出!$A:$O,14,FALSE)</f>
        <v/>
      </c>
      <c r="Q38" t="str">
        <f ca="1">SUBSTITUTE(
IF(P38&lt;&gt;"",
VLOOKUP(
"*"&amp;IF(COUNTIF(P38,"*キャラ弁*"),"キャラ",
IF(COUNTIF(P38,"*赤*"),"赤",SUBSTITUTE(SUBSTITUTE(G38," ",""),"　","")))&amp;"*",
注文弁当の抽出!$F:$I,4,FALSE),""),"園児","先生")&amp;
IF(COUNTIF(P38,"*おにぎり*"),"　おにぎり","")</f>
        <v/>
      </c>
      <c r="R38" t="str">
        <f ca="1">IF(Q38&lt;&gt;"",
VLOOKUP(C38,クライアント抽出!$A:$G,6,FALSE),"")</f>
        <v/>
      </c>
      <c r="S38" t="str">
        <f ca="1">VLOOKUP(C38,クライアント抽出!$A:$O,15,FALSE)</f>
        <v/>
      </c>
      <c r="T38" t="str">
        <f ca="1">SUBSTITUTE(
IF(S38&lt;&gt;"",
VLOOKUP(
"*"&amp;IF(COUNTIF(S38,"*キャラ弁*"),"キャラ",
IF(COUNTIF(S38,"*赤*"),"赤",SUBSTITUTE(SUBSTITUTE(J38," ",""),"　","")))&amp;"*",
注文弁当の抽出!$F:$I,4,FALSE),""),"園児","先生")&amp;
IF(COUNTIF(S38,"*おにぎり*"),"　おにぎり","")</f>
        <v/>
      </c>
      <c r="U38" t="str">
        <f ca="1">IF(T38&lt;&gt;"",
VLOOKUP(C38,クライアント抽出!$A:$G,7,FALSE),"")</f>
        <v/>
      </c>
      <c r="V38" t="str">
        <f ca="1">IF(A38&lt;&gt;"",
IF(COUNTIF(V37,"*牛乳*"),
IF(AND(COUNTIF(B37,"*奈良屋*"),COUNTIF(B38,"*奈良屋*")),
V37&amp;"✔",""),VLOOKUP(""&amp;A38&amp;"",数出表_Excel!$A:$Z,22,FALSE)&amp;VLOOKUP(""&amp;A38&amp;"",数出表_Excel!$A:$Z,23,FALSE)
&amp;VLOOKUP(""&amp;C38&amp;"",数出表_Excel!$A:$Z,22,FALSE)&amp;VLOOKUP(""&amp;C38&amp;"",数出表_Excel!$A:$Z,23,FALSE)),"")</f>
        <v>おかわり用保温箱2K×1 先生+4</v>
      </c>
      <c r="W38" t="str">
        <f ca="1">IF(AND(COUNTIF(V38,"&lt;&gt;*不要*"),A38&lt;&gt;""),VLOOKUP(A38,得意先マスタ!$A:$AD,24,FALSE),0)</f>
        <v>予備</v>
      </c>
      <c r="X38" t="str">
        <f ca="1">IF(AND(COUNTIF(V38,"&lt;&gt;*不要*"),A38&lt;&gt;""),VLOOKUP(A38,得意先マスタ!$A:$AD,25,FALSE),0)</f>
        <v>3.0</v>
      </c>
      <c r="Y38" t="str">
        <f t="shared" ca="1" si="10"/>
        <v>3</v>
      </c>
      <c r="Z38" t="str">
        <f t="shared" ca="1" si="11"/>
        <v>0</v>
      </c>
      <c r="AA38">
        <f t="shared" ca="1" si="15"/>
        <v>0</v>
      </c>
      <c r="AB38" t="str">
        <f t="shared" ca="1" si="12"/>
        <v>弁当　予備</v>
      </c>
      <c r="AC38" t="str">
        <f t="array" aca="1" ref="AC38" ca="1">IFERROR(INDEX(38:38, SMALL(IF($D38:$U38&lt;&gt;"", COLUMN($D$1:$U38)), COLUMN(A38))), "")</f>
        <v>赤　飯あり120</v>
      </c>
      <c r="AD38" t="str">
        <f t="array" aca="1" ref="AD38" ca="1">IFERROR(INDEX(38:38, SMALL(IF($D38:$U38&lt;&gt;"", COLUMN($D$1:$U38)), COLUMN(B38))), "")</f>
        <v>弁当　園児</v>
      </c>
      <c r="AE38">
        <f t="array" aca="1" ref="AE38" ca="1">IFERROR(INDEX(38:38, SMALL(IF($D38:$U38&lt;&gt;"", COLUMN($D$1:$U38)), COLUMN(C38))), "")</f>
        <v>209</v>
      </c>
      <c r="AF38" t="str">
        <f t="array" aca="1" ref="AF38" ca="1">IFERROR(INDEX(38:38, SMALL(IF($D38:$U38&lt;&gt;"", COLUMN($D$1:$U38)), COLUMN(D38))), "")</f>
        <v>赤　飯あり120</v>
      </c>
      <c r="AG38" t="str">
        <f t="array" aca="1" ref="AG38" ca="1">IFERROR(INDEX(38:38, SMALL(IF($D38:$U38&lt;&gt;"", COLUMN($D$1:$U38)), COLUMN(E38))), "")</f>
        <v>弁当　先生</v>
      </c>
      <c r="AH38">
        <f t="array" aca="1" ref="AH38" ca="1">IFERROR(INDEX(38:38, SMALL(IF($D38:$U38&lt;&gt;"", COLUMN($D$1:$U38)), COLUMN(F38))), "")</f>
        <v>24</v>
      </c>
      <c r="AI38" t="str">
        <f t="array" aca="1" ref="AI38" ca="1">IFERROR(INDEX(38:38, SMALL(IF($D38:$U38&lt;&gt;"", COLUMN($D$1:$U38)), COLUMN(G38))), "")</f>
        <v/>
      </c>
      <c r="AJ38" t="str">
        <f t="array" aca="1" ref="AJ38" ca="1">IFERROR(INDEX(38:38, SMALL(IF($D38:$U38&lt;&gt;"", COLUMN($D$1:$U38)), COLUMN(H38))), "")</f>
        <v/>
      </c>
      <c r="AK38" t="str">
        <f t="array" aca="1" ref="AK38" ca="1">IFERROR(INDEX(38:38, SMALL(IF($D38:$U38&lt;&gt;"", COLUMN($D$1:$U38)), COLUMN(I38))), "")</f>
        <v/>
      </c>
      <c r="AL38" t="str">
        <f t="array" aca="1" ref="AL38" ca="1">IFERROR(INDEX(38:38, SMALL(IF($D38:$U38&lt;&gt;"", COLUMN($D$1:$U38)), COLUMN(J38))), "")</f>
        <v/>
      </c>
      <c r="AM38" t="str">
        <f t="array" aca="1" ref="AM38" ca="1">IFERROR(INDEX(38:38, SMALL(IF($D38:$U38&lt;&gt;"", COLUMN($D$1:$U38)), COLUMN(K38))), "")</f>
        <v/>
      </c>
      <c r="AN38" t="str">
        <f t="array" aca="1" ref="AN38" ca="1">IFERROR(INDEX(38:38, SMALL(IF($D38:$U38&lt;&gt;"", COLUMN($D$1:$U38)), COLUMN(L38))), "")</f>
        <v/>
      </c>
      <c r="AO38" t="str">
        <f t="array" aca="1" ref="AO38" ca="1">IFERROR(INDEX(38:38, SMALL(IF($D38:$U38&lt;&gt;"", COLUMN($D$1:$U38)), COLUMN(M38))), "")</f>
        <v/>
      </c>
      <c r="AP38" t="str">
        <f t="array" aca="1" ref="AP38" ca="1">IFERROR(INDEX(38:38, SMALL(IF($D38:$U38&lt;&gt;"", COLUMN($D$1:$U38)), COLUMN(N38))), "")</f>
        <v/>
      </c>
      <c r="AQ38" t="str">
        <f t="array" aca="1" ref="AQ38" ca="1">IFERROR(INDEX(38:38, SMALL(IF($D38:$U38&lt;&gt;"", COLUMN($D$1:$U38)), COLUMN(O38))), "")</f>
        <v/>
      </c>
      <c r="AR38" s="52" t="s">
        <v>4005</v>
      </c>
      <c r="AS38" t="str">
        <f t="shared" ca="1" si="13"/>
        <v>弁当　予備</v>
      </c>
      <c r="AT38" t="str">
        <f t="shared" ca="1" si="14"/>
        <v>3</v>
      </c>
      <c r="AU38" t="str">
        <f t="shared" ca="1" si="16"/>
        <v/>
      </c>
      <c r="AV38" t="str">
        <f t="shared" ca="1" si="17"/>
        <v/>
      </c>
      <c r="AW38" t="str">
        <f t="shared" ca="1" si="18"/>
        <v/>
      </c>
      <c r="AX38" t="str">
        <f t="shared" ca="1" si="19"/>
        <v/>
      </c>
      <c r="AZ38" t="str">
        <f t="array" aca="1" ref="AZ38" ca="1">IFERROR(INDEX(38:38, SMALL(IF($AC38:$AX38&lt;&gt;"", COLUMN($AC$1:$AX38)), COLUMN(A38))), "")</f>
        <v>赤　飯あり120</v>
      </c>
      <c r="BA38" t="str">
        <f t="array" aca="1" ref="BA38" ca="1">IFERROR(INDEX(38:38, SMALL(IF($AC38:$AX38&lt;&gt;"", COLUMN($AC$1:$AX38)), COLUMN(B38))), "")</f>
        <v>弁当　園児</v>
      </c>
      <c r="BB38">
        <f t="array" aca="1" ref="BB38" ca="1">IFERROR(INDEX(38:38, SMALL(IF($AC38:$AX38&lt;&gt;"", COLUMN($AC$1:$AX38)), COLUMN(C38))), "")</f>
        <v>209</v>
      </c>
      <c r="BC38" t="str">
        <f t="array" aca="1" ref="BC38" ca="1">IFERROR(INDEX(38:38, SMALL(IF($AC38:$AX38&lt;&gt;"", COLUMN($AC$1:$AX38)), COLUMN(D38))), "")</f>
        <v>赤　飯あり120</v>
      </c>
      <c r="BD38" t="str">
        <f t="array" aca="1" ref="BD38" ca="1">IFERROR(INDEX(38:38, SMALL(IF($AC38:$AX38&lt;&gt;"", COLUMN($AC$1:$AX38)), COLUMN(E38))), "")</f>
        <v>弁当　先生</v>
      </c>
      <c r="BE38">
        <f t="array" aca="1" ref="BE38" ca="1">IFERROR(INDEX(38:38, SMALL(IF($AC38:$AX38&lt;&gt;"", COLUMN($AC$1:$AX38)), COLUMN(F38))), "")</f>
        <v>24</v>
      </c>
      <c r="BF38" t="str">
        <f t="array" aca="1" ref="BF38" ca="1">IFERROR(IF(AND(COUNTIF($B38,"*泉ヶ丘*"),COUNTIF($B39,"*泉ヶ丘*")),
IFERROR(INDEX(39:39, SMALL(IF($AC39:$AX39&lt;&gt;"", COLUMN($AC$1:$AX39)), COLUMN(A39))), ""),
INDEX(38:38, SMALL(IF($AC38:$AX38&lt;&gt;"", COLUMN($AC$1:$AX38)), COLUMN(G38)))), "")</f>
        <v>●</v>
      </c>
      <c r="BG38" t="str">
        <f t="array" aca="1" ref="BG38" ca="1">IFERROR(IF(AND(COUNTIF($B38,"*泉ヶ丘*"),COUNTIF($B39,"*泉ヶ丘*")),
IFERROR(INDEX(39:39, SMALL(IF($AC39:$AX39&lt;&gt;"", COLUMN($AC$1:$AX39)), COLUMN(B39))), ""),
INDEX(38:38, SMALL(IF($AC38:$AX38&lt;&gt;"", COLUMN($AC$1:$AX38)), COLUMN(H38)))), "")</f>
        <v>弁当　予備</v>
      </c>
      <c r="BH38" t="str">
        <f t="array" aca="1" ref="BH38" ca="1">IFERROR(IF(AND(COUNTIF($B38,"*泉ヶ丘*"),COUNTIF($B39,"*泉ヶ丘*")),
IFERROR(INDEX(39:39, SMALL(IF($AC39:$AX39&lt;&gt;"", COLUMN($AC$1:$AX39)), COLUMN(C39))), ""),
INDEX(38:38, SMALL(IF($AC38:$AX38&lt;&gt;"", COLUMN($AC$1:$AX38)), COLUMN(I38)))), "")</f>
        <v>3</v>
      </c>
      <c r="BI38" t="str">
        <f t="array" aca="1" ref="BI38" ca="1">IFERROR(IF(AND(COUNTIF($B38,"*泉ヶ丘*"),COUNTIF($B39,"*泉ヶ丘*")),
IFERROR(INDEX(39:39, SMALL(IF($AC39:$AX39&lt;&gt;"", COLUMN($AC$1:$AX39)), COLUMN(D39))), ""),
INDEX(38:38, SMALL(IF($AC38:$AX38&lt;&gt;"", COLUMN($AC$1:$AX38)), COLUMN(J38)))), "")</f>
        <v/>
      </c>
      <c r="BJ38" t="str">
        <f t="array" aca="1" ref="BJ38" ca="1">IFERROR(IF(AND(COUNTIF($B38,"*泉ヶ丘*"),COUNTIF($B39,"*泉ヶ丘*")),
IFERROR(INDEX(39:39, SMALL(IF($AC39:$AX39&lt;&gt;"", COLUMN($AC$1:$AX39)), COLUMN(E39))), ""),
INDEX(38:38, SMALL(IF($AC38:$AX38&lt;&gt;"", COLUMN($AC$1:$AX38)), COLUMN(K38)))), "")</f>
        <v/>
      </c>
      <c r="BK38" t="str">
        <f t="array" aca="1" ref="BK38" ca="1">IFERROR(IF(AND(COUNTIF($B38,"*泉ヶ丘*"),COUNTIF($B39,"*泉ヶ丘*")),
IFERROR(INDEX(39:39, SMALL(IF($AC39:$AX39&lt;&gt;"", COLUMN($AC$1:$AX39)), COLUMN(F39))), ""),
INDEX(38:38, SMALL(IF($AC38:$AX38&lt;&gt;"", COLUMN($AC$1:$AX38)), COLUMN(L38)))), "")</f>
        <v/>
      </c>
      <c r="BL38" t="str">
        <f t="array" aca="1" ref="BL38" ca="1">IFERROR(IF(AND(COUNTIF($B38,"*泉ヶ丘*"),COUNTIF($B39,"*泉ヶ丘*")),
IFERROR(INDEX(39:39, SMALL(IF($AC39:$AX39&lt;&gt;"", COLUMN($AC$1:$AX39)), COLUMN(G39))), ""),
INDEX(38:38, SMALL(IF($AC38:$AX38&lt;&gt;"", COLUMN($AC$1:$AX38)), COLUMN(M38)))), "")</f>
        <v/>
      </c>
      <c r="BM38" t="str">
        <f t="array" aca="1" ref="BM38" ca="1">IFERROR(IF(AND(COUNTIF($B38,"*泉ヶ丘*"),COUNTIF($B39,"*泉ヶ丘*")),
IFERROR(INDEX(39:39, SMALL(IF($AC39:$AX39&lt;&gt;"", COLUMN($AC$1:$AX39)), COLUMN(H39))), ""),
INDEX(38:38, SMALL(IF($AC38:$AX38&lt;&gt;"", COLUMN($AC$1:$AX38)), COLUMN(N38)))), "")</f>
        <v/>
      </c>
      <c r="BN38" t="str">
        <f t="array" aca="1" ref="BN38" ca="1">IFERROR(IF(AND(COUNTIF($B38,"*泉ヶ丘*"),COUNTIF($B39,"*泉ヶ丘*")),
IFERROR(INDEX(39:39, SMALL(IF($AC39:$AX39&lt;&gt;"", COLUMN($AC$1:$AX39)), COLUMN(I39))), ""),
INDEX(38:38, SMALL(IF($AC38:$AX38&lt;&gt;"", COLUMN($AC$1:$AX38)), COLUMN(O38)))), "")</f>
        <v/>
      </c>
      <c r="BO38" t="str">
        <f t="array" aca="1" ref="BO38" ca="1">IFERROR(IF(AND(COUNTIF($B38,"*泉ヶ丘*"),COUNTIF($B39,"*泉ヶ丘*")),
IFERROR(INDEX(39:39, SMALL(IF($AC39:$AX39&lt;&gt;"", COLUMN($AC$1:$AX39)), COLUMN(J39))), ""),
INDEX(38:38, SMALL(IF($AC38:$AX38&lt;&gt;"", COLUMN($AC$1:$AX38)), COLUMN(P38)))), "")</f>
        <v/>
      </c>
      <c r="BP38" t="str">
        <f t="array" aca="1" ref="BP38" ca="1">IFERROR(IF(AND(COUNTIF($B38,"*泉ヶ丘*"),COUNTIF($B39,"*泉ヶ丘*")),
IFERROR(INDEX(39:39, SMALL(IF($AC39:$AX39&lt;&gt;"", COLUMN($AC$1:$AX39)), COLUMN(K39))), ""),
INDEX(38:38, SMALL(IF($AC38:$AX38&lt;&gt;"", COLUMN($AC$1:$AX38)), COLUMN(Q38)))), "")</f>
        <v/>
      </c>
      <c r="BQ38" t="str">
        <f t="array" aca="1" ref="BQ38" ca="1">IFERROR(IF(AND(COUNTIF($B38,"*泉ヶ丘*"),COUNTIF($B39,"*泉ヶ丘*")),
IFERROR(INDEX(39:39, SMALL(IF($AC39:$AX39&lt;&gt;"", COLUMN($AC$1:$AX39)), COLUMN(L39))), ""),
INDEX(38:38, SMALL(IF($AC38:$AX38&lt;&gt;"", COLUMN($AC$1:$AX38)), COLUMN(R38)))), "")</f>
        <v/>
      </c>
    </row>
    <row r="39" spans="1:69" x14ac:dyDescent="0.45">
      <c r="A39" t="str">
        <f t="array" ref="A39">IF(INDEX(貼り付け用!A:A,MATCH(A38,貼り付け用!A:A,0)+2)="4700",
IF(INDEX(貼り付け用!A:A,MATCH(A38,貼り付け用!A:A,0)+4)="4800",
INDEX(貼り付け用!A:A,MATCH(A38,貼り付け用!A:A,0)+6),
INDEX(貼り付け用!A:A,MATCH(A38,貼り付け用!A:A,0)+4)),INDEX(貼り付け用!A:A,MATCH(A38,貼り付け用!A:A,0)+2))</f>
        <v>1800</v>
      </c>
      <c r="B39" t="str">
        <f>IF(A39&lt;&gt;"",
VLOOKUP(A39,得意先マスタ!A:D,2,FALSE),"")</f>
        <v>月の浦幼稚園</v>
      </c>
      <c r="C39" t="str">
        <f t="array" ref="C39">IF(A39="10000","",INDEX(貼り付け用!A:A,MATCH(A39,貼り付け用!A:A,0)+1))</f>
        <v>月の浦幼稚園</v>
      </c>
      <c r="D39" t="str">
        <f ca="1">VLOOKUP(C39,クライアント抽出!$A:$O,10,FALSE)</f>
        <v>赤　飯あり120</v>
      </c>
      <c r="E39" t="str">
        <f ca="1">IF(D39&lt;&gt;"",
IF(COUNTIF(C39,"*ぺんぎん*"),
VLOOKUP(
"*"&amp;IF(COUNTIF(D39,"*キャラ弁*"),"キャラ",
IF(COUNTIF(D39,"*赤*"),"赤",SUBSTITUTE(SUBSTITUTE(D39," ",""),"　","")))&amp;"*",
注文弁当の抽出!$F:$I,4,FALSE)&amp;
IF(COUNTIF(D39,"*おにぎり*"),"　おにぎり","")&amp;"　（ぺんぎん組）",
VLOOKUP(
"*"&amp;IF(COUNTIF(D39,"*キャラ弁*"),"キャラ",
IF(COUNTIF(D39,"*赤*"),"赤",SUBSTITUTE(SUBSTITUTE(D39," ",""),"　","")))&amp;"*",
注文弁当の抽出!$F:$I,4,FALSE)&amp;
IF(COUNTIF(D39,"*おにぎり*"),"　おにぎり","")),"")</f>
        <v>弁当　園児</v>
      </c>
      <c r="F39">
        <f ca="1">IFERROR(IF(E39&lt;&gt;"",
VLOOKUP(C39,クライアント抽出!$A:$G,2,FALSE)+
IF(COUNTIF(Y39,"*-*"),Y39,0),"")
-IFERROR(MID(V39, SEARCH("予備", V39) + LEN("予備"), SEARCH("込み", V39) - (SEARCH("予備", V39) + LEN("予備"))),0),"")</f>
        <v>89</v>
      </c>
      <c r="G39" t="str">
        <f ca="1">VLOOKUP(C39,クライアント抽出!$A:$O,11,FALSE)</f>
        <v>赤　おにぎり半俵</v>
      </c>
      <c r="H39" t="str">
        <f ca="1">IF(G39&lt;&gt;"",
VLOOKUP(
"*"&amp;IF(COUNTIF(G39,"*キャラ弁*"),"キャラ",
IF(COUNTIF(G39,"*赤*"),"赤",SUBSTITUTE(SUBSTITUTE(G39," ",""),"　","")))&amp;"*",
注文弁当の抽出!$F:$I,4,FALSE)&amp;
IF(COUNTIF(G39,"*おにぎり*"),"　おにぎり",""),"")</f>
        <v>弁当　園児　おにぎり</v>
      </c>
      <c r="I39">
        <f ca="1">IF(H39&lt;&gt;"",
VLOOKUP(C39,クライアント抽出!$A:$G,3,FALSE)+
IF(COUNTIF(C39,"*博多*"),Y39,Z39),"")</f>
        <v>11</v>
      </c>
      <c r="J39" t="str">
        <f ca="1">VLOOKUP(C39,クライアント抽出!$A:$O,12,FALSE)</f>
        <v/>
      </c>
      <c r="K39" t="str">
        <f ca="1">IF(J39&lt;&gt;"",
VLOOKUP(
"*"&amp;IF(COUNTIF(J39,"*キャラ弁*"),"キャラ",
IF(COUNTIF(J39,"*赤*"),"赤",SUBSTITUTE(SUBSTITUTE(J39," ",""),"　","")))&amp;"*",
注文弁当の抽出!$F:$I,4,FALSE)&amp;
IF(COUNTIF(J39,"*おにぎり*"),"　おにぎり",""),"")</f>
        <v/>
      </c>
      <c r="L39" t="str">
        <f ca="1">IF(K39&lt;&gt;"",
VLOOKUP(C39,クライアント抽出!$A:$G,4,FALSE)+AA39,"")</f>
        <v/>
      </c>
      <c r="M39" t="str">
        <f ca="1">VLOOKUP(C39,クライアント抽出!$A:$O,13,FALSE)</f>
        <v>赤　飯あり120</v>
      </c>
      <c r="N39" t="str">
        <f ca="1">SUBSTITUTE(
IF(M39&lt;&gt;"",
VLOOKUP(
"*"&amp;IF(COUNTIF(M39,"*キャラ弁*"),"キャラ",
IF(COUNTIF(M39,"*赤*"),"赤",SUBSTITUTE(SUBSTITUTE(D39," ",""),"　","")))&amp;"*",
注文弁当の抽出!$F:$I,4,FALSE),""),"園児","先生")&amp;
IF(COUNTIF(M39,"*おにぎり*"),"　おにぎり","")</f>
        <v>弁当　先生</v>
      </c>
      <c r="O39">
        <f ca="1">IF(N39&lt;&gt;"",VLOOKUP(C39,クライアント抽出!$A:$G,5,FALSE),"")</f>
        <v>12</v>
      </c>
      <c r="P39" t="str">
        <f ca="1">VLOOKUP(C39,クライアント抽出!$A:$O,14,FALSE)</f>
        <v/>
      </c>
      <c r="Q39" t="str">
        <f ca="1">SUBSTITUTE(
IF(P39&lt;&gt;"",
VLOOKUP(
"*"&amp;IF(COUNTIF(P39,"*キャラ弁*"),"キャラ",
IF(COUNTIF(P39,"*赤*"),"赤",SUBSTITUTE(SUBSTITUTE(G39," ",""),"　","")))&amp;"*",
注文弁当の抽出!$F:$I,4,FALSE),""),"園児","先生")&amp;
IF(COUNTIF(P39,"*おにぎり*"),"　おにぎり","")</f>
        <v/>
      </c>
      <c r="R39" t="str">
        <f ca="1">IF(Q39&lt;&gt;"",
VLOOKUP(C39,クライアント抽出!$A:$G,6,FALSE),"")</f>
        <v/>
      </c>
      <c r="S39" t="str">
        <f ca="1">VLOOKUP(C39,クライアント抽出!$A:$O,15,FALSE)</f>
        <v/>
      </c>
      <c r="T39" t="str">
        <f ca="1">SUBSTITUTE(
IF(S39&lt;&gt;"",
VLOOKUP(
"*"&amp;IF(COUNTIF(S39,"*キャラ弁*"),"キャラ",
IF(COUNTIF(S39,"*赤*"),"赤",SUBSTITUTE(SUBSTITUTE(J39," ",""),"　","")))&amp;"*",
注文弁当の抽出!$F:$I,4,FALSE),""),"園児","先生")&amp;
IF(COUNTIF(S39,"*おにぎり*"),"　おにぎり","")</f>
        <v/>
      </c>
      <c r="U39" t="str">
        <f ca="1">IF(T39&lt;&gt;"",
VLOOKUP(C39,クライアント抽出!$A:$G,7,FALSE),"")</f>
        <v/>
      </c>
      <c r="V39" t="str">
        <f ca="1">IF(A39&lt;&gt;"",
IF(COUNTIF(V38,"*牛乳*"),
IF(AND(COUNTIF(B38,"*奈良屋*"),COUNTIF(B39,"*奈良屋*")),
V38&amp;"✔",""),VLOOKUP(""&amp;A39&amp;"",数出表_Excel!$A:$Z,22,FALSE)&amp;VLOOKUP(""&amp;A39&amp;"",数出表_Excel!$A:$Z,23,FALSE)
&amp;VLOOKUP(""&amp;C39&amp;"",数出表_Excel!$A:$Z,22,FALSE)&amp;VLOOKUP(""&amp;C39&amp;"",数出表_Excel!$A:$Z,23,FALSE)),"")</f>
        <v>おかわり用保温箱2K×1</v>
      </c>
      <c r="W39" t="str">
        <f ca="1">IF(AND(COUNTIF(V39,"&lt;&gt;*不要*"),A39&lt;&gt;""),VLOOKUP(A39,得意先マスタ!$A:$AD,24,FALSE),0)</f>
        <v>予備</v>
      </c>
      <c r="X39" t="str">
        <f ca="1">IF(AND(COUNTIF(V39,"&lt;&gt;*不要*"),A39&lt;&gt;""),VLOOKUP(A39,得意先マスタ!$A:$AD,25,FALSE),0)</f>
        <v>3.0</v>
      </c>
      <c r="Y39" t="str">
        <f t="shared" ca="1" si="10"/>
        <v>3</v>
      </c>
      <c r="Z39" t="str">
        <f t="shared" ca="1" si="11"/>
        <v>0</v>
      </c>
      <c r="AA39">
        <f t="shared" ca="1" si="15"/>
        <v>0</v>
      </c>
      <c r="AB39" t="str">
        <f t="shared" ca="1" si="12"/>
        <v>弁当　予備、弁当　予備　おにぎり</v>
      </c>
      <c r="AC39" t="str">
        <f t="array" aca="1" ref="AC39" ca="1">IFERROR(INDEX(39:39, SMALL(IF($D39:$U39&lt;&gt;"", COLUMN($D$1:$U39)), COLUMN(A39))), "")</f>
        <v>赤　飯あり120</v>
      </c>
      <c r="AD39" t="str">
        <f t="array" aca="1" ref="AD39" ca="1">IFERROR(INDEX(39:39, SMALL(IF($D39:$U39&lt;&gt;"", COLUMN($D$1:$U39)), COLUMN(B39))), "")</f>
        <v>弁当　園児</v>
      </c>
      <c r="AE39">
        <f t="array" aca="1" ref="AE39" ca="1">IFERROR(INDEX(39:39, SMALL(IF($D39:$U39&lt;&gt;"", COLUMN($D$1:$U39)), COLUMN(C39))), "")</f>
        <v>89</v>
      </c>
      <c r="AF39" t="str">
        <f t="array" aca="1" ref="AF39" ca="1">IFERROR(INDEX(39:39, SMALL(IF($D39:$U39&lt;&gt;"", COLUMN($D$1:$U39)), COLUMN(D39))), "")</f>
        <v>赤　おにぎり半俵</v>
      </c>
      <c r="AG39" t="str">
        <f t="array" aca="1" ref="AG39" ca="1">IFERROR(INDEX(39:39, SMALL(IF($D39:$U39&lt;&gt;"", COLUMN($D$1:$U39)), COLUMN(E39))), "")</f>
        <v>弁当　園児　おにぎり</v>
      </c>
      <c r="AH39">
        <f t="array" aca="1" ref="AH39" ca="1">IFERROR(INDEX(39:39, SMALL(IF($D39:$U39&lt;&gt;"", COLUMN($D$1:$U39)), COLUMN(F39))), "")</f>
        <v>11</v>
      </c>
      <c r="AI39" t="str">
        <f t="array" aca="1" ref="AI39" ca="1">IFERROR(INDEX(39:39, SMALL(IF($D39:$U39&lt;&gt;"", COLUMN($D$1:$U39)), COLUMN(G39))), "")</f>
        <v>赤　飯あり120</v>
      </c>
      <c r="AJ39" t="str">
        <f t="array" aca="1" ref="AJ39" ca="1">IFERROR(INDEX(39:39, SMALL(IF($D39:$U39&lt;&gt;"", COLUMN($D$1:$U39)), COLUMN(H39))), "")</f>
        <v>弁当　先生</v>
      </c>
      <c r="AK39">
        <f t="array" aca="1" ref="AK39" ca="1">IFERROR(INDEX(39:39, SMALL(IF($D39:$U39&lt;&gt;"", COLUMN($D$1:$U39)), COLUMN(I39))), "")</f>
        <v>12</v>
      </c>
      <c r="AL39" t="str">
        <f t="array" aca="1" ref="AL39" ca="1">IFERROR(INDEX(39:39, SMALL(IF($D39:$U39&lt;&gt;"", COLUMN($D$1:$U39)), COLUMN(J39))), "")</f>
        <v/>
      </c>
      <c r="AM39" t="str">
        <f t="array" aca="1" ref="AM39" ca="1">IFERROR(INDEX(39:39, SMALL(IF($D39:$U39&lt;&gt;"", COLUMN($D$1:$U39)), COLUMN(K39))), "")</f>
        <v/>
      </c>
      <c r="AN39" t="str">
        <f t="array" aca="1" ref="AN39" ca="1">IFERROR(INDEX(39:39, SMALL(IF($D39:$U39&lt;&gt;"", COLUMN($D$1:$U39)), COLUMN(L39))), "")</f>
        <v/>
      </c>
      <c r="AO39" t="str">
        <f t="array" aca="1" ref="AO39" ca="1">IFERROR(INDEX(39:39, SMALL(IF($D39:$U39&lt;&gt;"", COLUMN($D$1:$U39)), COLUMN(M39))), "")</f>
        <v/>
      </c>
      <c r="AP39" t="str">
        <f t="array" aca="1" ref="AP39" ca="1">IFERROR(INDEX(39:39, SMALL(IF($D39:$U39&lt;&gt;"", COLUMN($D$1:$U39)), COLUMN(N39))), "")</f>
        <v/>
      </c>
      <c r="AQ39" t="str">
        <f t="array" aca="1" ref="AQ39" ca="1">IFERROR(INDEX(39:39, SMALL(IF($D39:$U39&lt;&gt;"", COLUMN($D$1:$U39)), COLUMN(O39))), "")</f>
        <v/>
      </c>
      <c r="AR39" s="52" t="s">
        <v>4005</v>
      </c>
      <c r="AS39" t="str">
        <f t="shared" ca="1" si="13"/>
        <v>弁当　予備</v>
      </c>
      <c r="AT39" t="str">
        <f t="shared" ca="1" si="14"/>
        <v>3</v>
      </c>
      <c r="AU39" t="str">
        <f t="shared" ca="1" si="16"/>
        <v/>
      </c>
      <c r="AV39" t="str">
        <f t="shared" ca="1" si="17"/>
        <v/>
      </c>
      <c r="AW39" t="str">
        <f t="shared" ca="1" si="18"/>
        <v/>
      </c>
      <c r="AX39" t="str">
        <f t="shared" ca="1" si="19"/>
        <v/>
      </c>
      <c r="AZ39" t="str">
        <f t="array" aca="1" ref="AZ39" ca="1">IFERROR(INDEX(39:39, SMALL(IF($AC39:$AX39&lt;&gt;"", COLUMN($AC$1:$AX39)), COLUMN(A39))), "")</f>
        <v>赤　飯あり120</v>
      </c>
      <c r="BA39" t="str">
        <f t="array" aca="1" ref="BA39" ca="1">IFERROR(INDEX(39:39, SMALL(IF($AC39:$AX39&lt;&gt;"", COLUMN($AC$1:$AX39)), COLUMN(B39))), "")</f>
        <v>弁当　園児</v>
      </c>
      <c r="BB39">
        <f t="array" aca="1" ref="BB39" ca="1">IFERROR(INDEX(39:39, SMALL(IF($AC39:$AX39&lt;&gt;"", COLUMN($AC$1:$AX39)), COLUMN(C39))), "")</f>
        <v>89</v>
      </c>
      <c r="BC39" t="str">
        <f t="array" aca="1" ref="BC39" ca="1">IFERROR(INDEX(39:39, SMALL(IF($AC39:$AX39&lt;&gt;"", COLUMN($AC$1:$AX39)), COLUMN(D39))), "")</f>
        <v>赤　おにぎり半俵</v>
      </c>
      <c r="BD39" t="str">
        <f t="array" aca="1" ref="BD39" ca="1">IFERROR(INDEX(39:39, SMALL(IF($AC39:$AX39&lt;&gt;"", COLUMN($AC$1:$AX39)), COLUMN(E39))), "")</f>
        <v>弁当　園児　おにぎり</v>
      </c>
      <c r="BE39">
        <f t="array" aca="1" ref="BE39" ca="1">IFERROR(INDEX(39:39, SMALL(IF($AC39:$AX39&lt;&gt;"", COLUMN($AC$1:$AX39)), COLUMN(F39))), "")</f>
        <v>11</v>
      </c>
      <c r="BF39" t="str">
        <f t="array" aca="1" ref="BF39" ca="1">IFERROR(IF(AND(COUNTIF($B39,"*泉ヶ丘*"),COUNTIF($B40,"*泉ヶ丘*")),
IFERROR(INDEX(40:40, SMALL(IF($AC40:$AX40&lt;&gt;"", COLUMN($AC$1:$AX40)), COLUMN(A40))), ""),
INDEX(39:39, SMALL(IF($AC39:$AX39&lt;&gt;"", COLUMN($AC$1:$AX39)), COLUMN(G39)))), "")</f>
        <v>赤　飯あり120</v>
      </c>
      <c r="BG39" t="str">
        <f t="array" aca="1" ref="BG39" ca="1">IFERROR(IF(AND(COUNTIF($B39,"*泉ヶ丘*"),COUNTIF($B40,"*泉ヶ丘*")),
IFERROR(INDEX(40:40, SMALL(IF($AC40:$AX40&lt;&gt;"", COLUMN($AC$1:$AX40)), COLUMN(B40))), ""),
INDEX(39:39, SMALL(IF($AC39:$AX39&lt;&gt;"", COLUMN($AC$1:$AX39)), COLUMN(H39)))), "")</f>
        <v>弁当　先生</v>
      </c>
      <c r="BH39">
        <f t="array" aca="1" ref="BH39" ca="1">IFERROR(IF(AND(COUNTIF($B39,"*泉ヶ丘*"),COUNTIF($B40,"*泉ヶ丘*")),
IFERROR(INDEX(40:40, SMALL(IF($AC40:$AX40&lt;&gt;"", COLUMN($AC$1:$AX40)), COLUMN(C40))), ""),
INDEX(39:39, SMALL(IF($AC39:$AX39&lt;&gt;"", COLUMN($AC$1:$AX39)), COLUMN(I39)))), "")</f>
        <v>12</v>
      </c>
      <c r="BI39" t="str">
        <f t="array" aca="1" ref="BI39" ca="1">IFERROR(IF(AND(COUNTIF($B39,"*泉ヶ丘*"),COUNTIF($B40,"*泉ヶ丘*")),
IFERROR(INDEX(40:40, SMALL(IF($AC40:$AX40&lt;&gt;"", COLUMN($AC$1:$AX40)), COLUMN(D40))), ""),
INDEX(39:39, SMALL(IF($AC39:$AX39&lt;&gt;"", COLUMN($AC$1:$AX39)), COLUMN(J39)))), "")</f>
        <v>●</v>
      </c>
      <c r="BJ39" t="str">
        <f t="array" aca="1" ref="BJ39" ca="1">IFERROR(IF(AND(COUNTIF($B39,"*泉ヶ丘*"),COUNTIF($B40,"*泉ヶ丘*")),
IFERROR(INDEX(40:40, SMALL(IF($AC40:$AX40&lt;&gt;"", COLUMN($AC$1:$AX40)), COLUMN(E40))), ""),
INDEX(39:39, SMALL(IF($AC39:$AX39&lt;&gt;"", COLUMN($AC$1:$AX39)), COLUMN(K39)))), "")</f>
        <v>弁当　予備</v>
      </c>
      <c r="BK39" t="str">
        <f t="array" aca="1" ref="BK39" ca="1">IFERROR(IF(AND(COUNTIF($B39,"*泉ヶ丘*"),COUNTIF($B40,"*泉ヶ丘*")),
IFERROR(INDEX(40:40, SMALL(IF($AC40:$AX40&lt;&gt;"", COLUMN($AC$1:$AX40)), COLUMN(F40))), ""),
INDEX(39:39, SMALL(IF($AC39:$AX39&lt;&gt;"", COLUMN($AC$1:$AX39)), COLUMN(L39)))), "")</f>
        <v>3</v>
      </c>
      <c r="BL39" t="str">
        <f t="array" aca="1" ref="BL39" ca="1">IFERROR(IF(AND(COUNTIF($B39,"*泉ヶ丘*"),COUNTIF($B40,"*泉ヶ丘*")),
IFERROR(INDEX(40:40, SMALL(IF($AC40:$AX40&lt;&gt;"", COLUMN($AC$1:$AX40)), COLUMN(G40))), ""),
INDEX(39:39, SMALL(IF($AC39:$AX39&lt;&gt;"", COLUMN($AC$1:$AX39)), COLUMN(M39)))), "")</f>
        <v/>
      </c>
      <c r="BM39" t="str">
        <f t="array" aca="1" ref="BM39" ca="1">IFERROR(IF(AND(COUNTIF($B39,"*泉ヶ丘*"),COUNTIF($B40,"*泉ヶ丘*")),
IFERROR(INDEX(40:40, SMALL(IF($AC40:$AX40&lt;&gt;"", COLUMN($AC$1:$AX40)), COLUMN(H40))), ""),
INDEX(39:39, SMALL(IF($AC39:$AX39&lt;&gt;"", COLUMN($AC$1:$AX39)), COLUMN(N39)))), "")</f>
        <v/>
      </c>
      <c r="BN39" t="str">
        <f t="array" aca="1" ref="BN39" ca="1">IFERROR(IF(AND(COUNTIF($B39,"*泉ヶ丘*"),COUNTIF($B40,"*泉ヶ丘*")),
IFERROR(INDEX(40:40, SMALL(IF($AC40:$AX40&lt;&gt;"", COLUMN($AC$1:$AX40)), COLUMN(I40))), ""),
INDEX(39:39, SMALL(IF($AC39:$AX39&lt;&gt;"", COLUMN($AC$1:$AX39)), COLUMN(O39)))), "")</f>
        <v/>
      </c>
      <c r="BO39" t="str">
        <f t="array" aca="1" ref="BO39" ca="1">IFERROR(IF(AND(COUNTIF($B39,"*泉ヶ丘*"),COUNTIF($B40,"*泉ヶ丘*")),
IFERROR(INDEX(40:40, SMALL(IF($AC40:$AX40&lt;&gt;"", COLUMN($AC$1:$AX40)), COLUMN(J40))), ""),
INDEX(39:39, SMALL(IF($AC39:$AX39&lt;&gt;"", COLUMN($AC$1:$AX39)), COLUMN(P39)))), "")</f>
        <v/>
      </c>
      <c r="BP39" t="str">
        <f t="array" aca="1" ref="BP39" ca="1">IFERROR(IF(AND(COUNTIF($B39,"*泉ヶ丘*"),COUNTIF($B40,"*泉ヶ丘*")),
IFERROR(INDEX(40:40, SMALL(IF($AC40:$AX40&lt;&gt;"", COLUMN($AC$1:$AX40)), COLUMN(K40))), ""),
INDEX(39:39, SMALL(IF($AC39:$AX39&lt;&gt;"", COLUMN($AC$1:$AX39)), COLUMN(Q39)))), "")</f>
        <v/>
      </c>
      <c r="BQ39" t="str">
        <f t="array" aca="1" ref="BQ39" ca="1">IFERROR(IF(AND(COUNTIF($B39,"*泉ヶ丘*"),COUNTIF($B40,"*泉ヶ丘*")),
IFERROR(INDEX(40:40, SMALL(IF($AC40:$AX40&lt;&gt;"", COLUMN($AC$1:$AX40)), COLUMN(L40))), ""),
INDEX(39:39, SMALL(IF($AC39:$AX39&lt;&gt;"", COLUMN($AC$1:$AX39)), COLUMN(R39)))), "")</f>
        <v/>
      </c>
    </row>
    <row r="40" spans="1:69" x14ac:dyDescent="0.45">
      <c r="A40" t="str">
        <f t="array" ref="A40">IF(INDEX(貼り付け用!A:A,MATCH(A39,貼り付け用!A:A,0)+2)="4700",
IF(INDEX(貼り付け用!A:A,MATCH(A39,貼り付け用!A:A,0)+4)="4800",
INDEX(貼り付け用!A:A,MATCH(A39,貼り付け用!A:A,0)+6),
INDEX(貼り付け用!A:A,MATCH(A39,貼り付け用!A:A,0)+4)),INDEX(貼り付け用!A:A,MATCH(A39,貼り付け用!A:A,0)+2))</f>
        <v>7800</v>
      </c>
      <c r="B40" t="str">
        <f>IF(A40&lt;&gt;"",
VLOOKUP(A40,得意先マスタ!A:D,2,FALSE),"")</f>
        <v>大野南幼稚園</v>
      </c>
      <c r="C40" t="str">
        <f t="array" ref="C40">IF(A40="10000","",INDEX(貼り付け用!A:A,MATCH(A40,貼り付け用!A:A,0)+1))</f>
        <v>大野南幼稚園</v>
      </c>
      <c r="D40" t="str">
        <f ca="1">VLOOKUP(C40,クライアント抽出!$A:$O,10,FALSE)</f>
        <v>赤　飯あり120</v>
      </c>
      <c r="E40" t="str">
        <f ca="1">IF(D40&lt;&gt;"",
IF(COUNTIF(C40,"*ぺんぎん*"),
VLOOKUP(
"*"&amp;IF(COUNTIF(D40,"*キャラ弁*"),"キャラ",
IF(COUNTIF(D40,"*赤*"),"赤",SUBSTITUTE(SUBSTITUTE(D40," ",""),"　","")))&amp;"*",
注文弁当の抽出!$F:$I,4,FALSE)&amp;
IF(COUNTIF(D40,"*おにぎり*"),"　おにぎり","")&amp;"　（ぺんぎん組）",
VLOOKUP(
"*"&amp;IF(COUNTIF(D40,"*キャラ弁*"),"キャラ",
IF(COUNTIF(D40,"*赤*"),"赤",SUBSTITUTE(SUBSTITUTE(D40," ",""),"　","")))&amp;"*",
注文弁当の抽出!$F:$I,4,FALSE)&amp;
IF(COUNTIF(D40,"*おにぎり*"),"　おにぎり","")),"")</f>
        <v>弁当　園児</v>
      </c>
      <c r="F40">
        <f ca="1">IFERROR(IF(E40&lt;&gt;"",
VLOOKUP(C40,クライアント抽出!$A:$G,2,FALSE)+
IF(COUNTIF(Y40,"*-*"),Y40,0),"")
-IFERROR(MID(V40, SEARCH("予備", V40) + LEN("予備"), SEARCH("込み", V40) - (SEARCH("予備", V40) + LEN("予備"))),0),"")</f>
        <v>146</v>
      </c>
      <c r="G40" t="str">
        <f ca="1">VLOOKUP(C40,クライアント抽出!$A:$O,11,FALSE)</f>
        <v/>
      </c>
      <c r="H40" t="str">
        <f ca="1">IF(G40&lt;&gt;"",
VLOOKUP(
"*"&amp;IF(COUNTIF(G40,"*キャラ弁*"),"キャラ",
IF(COUNTIF(G40,"*赤*"),"赤",SUBSTITUTE(SUBSTITUTE(G40," ",""),"　","")))&amp;"*",
注文弁当の抽出!$F:$I,4,FALSE)&amp;
IF(COUNTIF(G40,"*おにぎり*"),"　おにぎり",""),"")</f>
        <v/>
      </c>
      <c r="I40" t="str">
        <f ca="1">IF(H40&lt;&gt;"",
VLOOKUP(C40,クライアント抽出!$A:$G,3,FALSE)+
IF(COUNTIF(C40,"*博多*"),Y40,Z40),"")</f>
        <v/>
      </c>
      <c r="J40" t="str">
        <f ca="1">VLOOKUP(C40,クライアント抽出!$A:$O,12,FALSE)</f>
        <v/>
      </c>
      <c r="K40" t="str">
        <f ca="1">IF(J40&lt;&gt;"",
VLOOKUP(
"*"&amp;IF(COUNTIF(J40,"*キャラ弁*"),"キャラ",
IF(COUNTIF(J40,"*赤*"),"赤",SUBSTITUTE(SUBSTITUTE(J40," ",""),"　","")))&amp;"*",
注文弁当の抽出!$F:$I,4,FALSE)&amp;
IF(COUNTIF(J40,"*おにぎり*"),"　おにぎり",""),"")</f>
        <v/>
      </c>
      <c r="L40" t="str">
        <f ca="1">IF(K40&lt;&gt;"",
VLOOKUP(C40,クライアント抽出!$A:$G,4,FALSE)+AA40,"")</f>
        <v/>
      </c>
      <c r="M40" t="str">
        <f ca="1">VLOOKUP(C40,クライアント抽出!$A:$O,13,FALSE)</f>
        <v>赤　飯あり120</v>
      </c>
      <c r="N40" t="str">
        <f ca="1">SUBSTITUTE(
IF(M40&lt;&gt;"",
VLOOKUP(
"*"&amp;IF(COUNTIF(M40,"*キャラ弁*"),"キャラ",
IF(COUNTIF(M40,"*赤*"),"赤",SUBSTITUTE(SUBSTITUTE(D40," ",""),"　","")))&amp;"*",
注文弁当の抽出!$F:$I,4,FALSE),""),"園児","先生")&amp;
IF(COUNTIF(M40,"*おにぎり*"),"　おにぎり","")</f>
        <v>弁当　先生</v>
      </c>
      <c r="O40">
        <f ca="1">IF(N40&lt;&gt;"",VLOOKUP(C40,クライアント抽出!$A:$G,5,FALSE),"")</f>
        <v>17</v>
      </c>
      <c r="P40" t="str">
        <f ca="1">VLOOKUP(C40,クライアント抽出!$A:$O,14,FALSE)</f>
        <v/>
      </c>
      <c r="Q40" t="str">
        <f ca="1">SUBSTITUTE(
IF(P40&lt;&gt;"",
VLOOKUP(
"*"&amp;IF(COUNTIF(P40,"*キャラ弁*"),"キャラ",
IF(COUNTIF(P40,"*赤*"),"赤",SUBSTITUTE(SUBSTITUTE(G40," ",""),"　","")))&amp;"*",
注文弁当の抽出!$F:$I,4,FALSE),""),"園児","先生")&amp;
IF(COUNTIF(P40,"*おにぎり*"),"　おにぎり","")</f>
        <v/>
      </c>
      <c r="R40" t="str">
        <f ca="1">IF(Q40&lt;&gt;"",
VLOOKUP(C40,クライアント抽出!$A:$G,6,FALSE),"")</f>
        <v/>
      </c>
      <c r="S40" t="str">
        <f ca="1">VLOOKUP(C40,クライアント抽出!$A:$O,15,FALSE)</f>
        <v/>
      </c>
      <c r="T40" t="str">
        <f ca="1">SUBSTITUTE(
IF(S40&lt;&gt;"",
VLOOKUP(
"*"&amp;IF(COUNTIF(S40,"*キャラ弁*"),"キャラ",
IF(COUNTIF(S40,"*赤*"),"赤",SUBSTITUTE(SUBSTITUTE(J40," ",""),"　","")))&amp;"*",
注文弁当の抽出!$F:$I,4,FALSE),""),"園児","先生")&amp;
IF(COUNTIF(S40,"*おにぎり*"),"　おにぎり","")</f>
        <v/>
      </c>
      <c r="U40" t="str">
        <f ca="1">IF(T40&lt;&gt;"",
VLOOKUP(C40,クライアント抽出!$A:$G,7,FALSE),"")</f>
        <v/>
      </c>
      <c r="V40" t="str">
        <f ca="1">IF(A40&lt;&gt;"",
IF(COUNTIF(V39,"*牛乳*"),
IF(AND(COUNTIF(B39,"*奈良屋*"),COUNTIF(B40,"*奈良屋*")),
V39&amp;"✔",""),VLOOKUP(""&amp;A40&amp;"",数出表_Excel!$A:$Z,22,FALSE)&amp;VLOOKUP(""&amp;A40&amp;"",数出表_Excel!$A:$Z,23,FALSE)
&amp;VLOOKUP(""&amp;C40&amp;"",数出表_Excel!$A:$Z,22,FALSE)&amp;VLOOKUP(""&amp;C40&amp;"",数出表_Excel!$A:$Z,23,FALSE)),"")</f>
        <v/>
      </c>
      <c r="W40" t="str">
        <f ca="1">IF(AND(COUNTIF(V40,"&lt;&gt;*不要*"),A40&lt;&gt;""),VLOOKUP(A40,得意先マスタ!$A:$AD,24,FALSE),0)</f>
        <v>予備</v>
      </c>
      <c r="X40" t="str">
        <f ca="1">IF(AND(COUNTIF(V40,"&lt;&gt;*不要*"),A40&lt;&gt;""),VLOOKUP(A40,得意先マスタ!$A:$AD,25,FALSE),0)</f>
        <v>-2</v>
      </c>
      <c r="Y40" t="str">
        <f t="shared" ca="1" si="10"/>
        <v>-2</v>
      </c>
      <c r="Z40">
        <f t="shared" ca="1" si="11"/>
        <v>0</v>
      </c>
      <c r="AA40">
        <f t="shared" ca="1" si="15"/>
        <v>0</v>
      </c>
      <c r="AB40" t="str">
        <f t="shared" ca="1" si="12"/>
        <v>弁当　予備</v>
      </c>
      <c r="AC40" t="str">
        <f t="array" aca="1" ref="AC40" ca="1">IFERROR(INDEX(40:40, SMALL(IF($D40:$U40&lt;&gt;"", COLUMN($D$1:$U40)), COLUMN(A40))), "")</f>
        <v>赤　飯あり120</v>
      </c>
      <c r="AD40" t="str">
        <f t="array" aca="1" ref="AD40" ca="1">IFERROR(INDEX(40:40, SMALL(IF($D40:$U40&lt;&gt;"", COLUMN($D$1:$U40)), COLUMN(B40))), "")</f>
        <v>弁当　園児</v>
      </c>
      <c r="AE40">
        <f t="array" aca="1" ref="AE40" ca="1">IFERROR(INDEX(40:40, SMALL(IF($D40:$U40&lt;&gt;"", COLUMN($D$1:$U40)), COLUMN(C40))), "")</f>
        <v>146</v>
      </c>
      <c r="AF40" t="str">
        <f t="array" aca="1" ref="AF40" ca="1">IFERROR(INDEX(40:40, SMALL(IF($D40:$U40&lt;&gt;"", COLUMN($D$1:$U40)), COLUMN(D40))), "")</f>
        <v>赤　飯あり120</v>
      </c>
      <c r="AG40" t="str">
        <f t="array" aca="1" ref="AG40" ca="1">IFERROR(INDEX(40:40, SMALL(IF($D40:$U40&lt;&gt;"", COLUMN($D$1:$U40)), COLUMN(E40))), "")</f>
        <v>弁当　先生</v>
      </c>
      <c r="AH40">
        <f t="array" aca="1" ref="AH40" ca="1">IFERROR(INDEX(40:40, SMALL(IF($D40:$U40&lt;&gt;"", COLUMN($D$1:$U40)), COLUMN(F40))), "")</f>
        <v>17</v>
      </c>
      <c r="AI40" t="str">
        <f t="array" aca="1" ref="AI40" ca="1">IFERROR(INDEX(40:40, SMALL(IF($D40:$U40&lt;&gt;"", COLUMN($D$1:$U40)), COLUMN(G40))), "")</f>
        <v/>
      </c>
      <c r="AJ40" t="str">
        <f t="array" aca="1" ref="AJ40" ca="1">IFERROR(INDEX(40:40, SMALL(IF($D40:$U40&lt;&gt;"", COLUMN($D$1:$U40)), COLUMN(H40))), "")</f>
        <v/>
      </c>
      <c r="AK40" t="str">
        <f t="array" aca="1" ref="AK40" ca="1">IFERROR(INDEX(40:40, SMALL(IF($D40:$U40&lt;&gt;"", COLUMN($D$1:$U40)), COLUMN(I40))), "")</f>
        <v/>
      </c>
      <c r="AL40" t="str">
        <f t="array" aca="1" ref="AL40" ca="1">IFERROR(INDEX(40:40, SMALL(IF($D40:$U40&lt;&gt;"", COLUMN($D$1:$U40)), COLUMN(J40))), "")</f>
        <v/>
      </c>
      <c r="AM40" t="str">
        <f t="array" aca="1" ref="AM40" ca="1">IFERROR(INDEX(40:40, SMALL(IF($D40:$U40&lt;&gt;"", COLUMN($D$1:$U40)), COLUMN(K40))), "")</f>
        <v/>
      </c>
      <c r="AN40" t="str">
        <f t="array" aca="1" ref="AN40" ca="1">IFERROR(INDEX(40:40, SMALL(IF($D40:$U40&lt;&gt;"", COLUMN($D$1:$U40)), COLUMN(L40))), "")</f>
        <v/>
      </c>
      <c r="AO40" t="str">
        <f t="array" aca="1" ref="AO40" ca="1">IFERROR(INDEX(40:40, SMALL(IF($D40:$U40&lt;&gt;"", COLUMN($D$1:$U40)), COLUMN(M40))), "")</f>
        <v/>
      </c>
      <c r="AP40" t="str">
        <f t="array" aca="1" ref="AP40" ca="1">IFERROR(INDEX(40:40, SMALL(IF($D40:$U40&lt;&gt;"", COLUMN($D$1:$U40)), COLUMN(N40))), "")</f>
        <v/>
      </c>
      <c r="AQ40" t="str">
        <f t="array" aca="1" ref="AQ40" ca="1">IFERROR(INDEX(40:40, SMALL(IF($D40:$U40&lt;&gt;"", COLUMN($D$1:$U40)), COLUMN(O40))), "")</f>
        <v/>
      </c>
      <c r="AR40" s="52" t="s">
        <v>4005</v>
      </c>
      <c r="AS40" t="str">
        <f t="shared" ca="1" si="13"/>
        <v>弁当　予備</v>
      </c>
      <c r="AT40" t="str">
        <f t="shared" ca="1" si="14"/>
        <v>2</v>
      </c>
      <c r="AU40" t="str">
        <f t="shared" ca="1" si="16"/>
        <v/>
      </c>
      <c r="AV40" t="str">
        <f t="shared" ca="1" si="17"/>
        <v/>
      </c>
      <c r="AW40" t="str">
        <f t="shared" ca="1" si="18"/>
        <v/>
      </c>
      <c r="AX40" t="str">
        <f t="shared" ca="1" si="19"/>
        <v/>
      </c>
      <c r="AZ40" t="str">
        <f t="array" aca="1" ref="AZ40" ca="1">IFERROR(INDEX(40:40, SMALL(IF($AC40:$AX40&lt;&gt;"", COLUMN($AC$1:$AX40)), COLUMN(A40))), "")</f>
        <v>赤　飯あり120</v>
      </c>
      <c r="BA40" t="str">
        <f t="array" aca="1" ref="BA40" ca="1">IFERROR(INDEX(40:40, SMALL(IF($AC40:$AX40&lt;&gt;"", COLUMN($AC$1:$AX40)), COLUMN(B40))), "")</f>
        <v>弁当　園児</v>
      </c>
      <c r="BB40">
        <f t="array" aca="1" ref="BB40" ca="1">IFERROR(INDEX(40:40, SMALL(IF($AC40:$AX40&lt;&gt;"", COLUMN($AC$1:$AX40)), COLUMN(C40))), "")</f>
        <v>146</v>
      </c>
      <c r="BC40" t="str">
        <f t="array" aca="1" ref="BC40" ca="1">IFERROR(INDEX(40:40, SMALL(IF($AC40:$AX40&lt;&gt;"", COLUMN($AC$1:$AX40)), COLUMN(D40))), "")</f>
        <v>赤　飯あり120</v>
      </c>
      <c r="BD40" t="str">
        <f t="array" aca="1" ref="BD40" ca="1">IFERROR(INDEX(40:40, SMALL(IF($AC40:$AX40&lt;&gt;"", COLUMN($AC$1:$AX40)), COLUMN(E40))), "")</f>
        <v>弁当　先生</v>
      </c>
      <c r="BE40">
        <f t="array" aca="1" ref="BE40" ca="1">IFERROR(INDEX(40:40, SMALL(IF($AC40:$AX40&lt;&gt;"", COLUMN($AC$1:$AX40)), COLUMN(F40))), "")</f>
        <v>17</v>
      </c>
      <c r="BF40" t="str">
        <f t="array" aca="1" ref="BF40" ca="1">IFERROR(IF(AND(COUNTIF($B40,"*泉ヶ丘*"),COUNTIF($B41,"*泉ヶ丘*")),
IFERROR(INDEX(41:41, SMALL(IF($AC41:$AX41&lt;&gt;"", COLUMN($AC$1:$AX41)), COLUMN(A41))), ""),
INDEX(40:40, SMALL(IF($AC40:$AX40&lt;&gt;"", COLUMN($AC$1:$AX40)), COLUMN(G40)))), "")</f>
        <v>●</v>
      </c>
      <c r="BG40" t="str">
        <f t="array" aca="1" ref="BG40" ca="1">IFERROR(IF(AND(COUNTIF($B40,"*泉ヶ丘*"),COUNTIF($B41,"*泉ヶ丘*")),
IFERROR(INDEX(41:41, SMALL(IF($AC41:$AX41&lt;&gt;"", COLUMN($AC$1:$AX41)), COLUMN(B41))), ""),
INDEX(40:40, SMALL(IF($AC40:$AX40&lt;&gt;"", COLUMN($AC$1:$AX40)), COLUMN(H40)))), "")</f>
        <v>弁当　予備</v>
      </c>
      <c r="BH40" t="str">
        <f t="array" aca="1" ref="BH40" ca="1">IFERROR(IF(AND(COUNTIF($B40,"*泉ヶ丘*"),COUNTIF($B41,"*泉ヶ丘*")),
IFERROR(INDEX(41:41, SMALL(IF($AC41:$AX41&lt;&gt;"", COLUMN($AC$1:$AX41)), COLUMN(C41))), ""),
INDEX(40:40, SMALL(IF($AC40:$AX40&lt;&gt;"", COLUMN($AC$1:$AX40)), COLUMN(I40)))), "")</f>
        <v>2</v>
      </c>
      <c r="BI40" t="str">
        <f t="array" aca="1" ref="BI40" ca="1">IFERROR(IF(AND(COUNTIF($B40,"*泉ヶ丘*"),COUNTIF($B41,"*泉ヶ丘*")),
IFERROR(INDEX(41:41, SMALL(IF($AC41:$AX41&lt;&gt;"", COLUMN($AC$1:$AX41)), COLUMN(D41))), ""),
INDEX(40:40, SMALL(IF($AC40:$AX40&lt;&gt;"", COLUMN($AC$1:$AX40)), COLUMN(J40)))), "")</f>
        <v/>
      </c>
      <c r="BJ40" t="str">
        <f t="array" aca="1" ref="BJ40" ca="1">IFERROR(IF(AND(COUNTIF($B40,"*泉ヶ丘*"),COUNTIF($B41,"*泉ヶ丘*")),
IFERROR(INDEX(41:41, SMALL(IF($AC41:$AX41&lt;&gt;"", COLUMN($AC$1:$AX41)), COLUMN(E41))), ""),
INDEX(40:40, SMALL(IF($AC40:$AX40&lt;&gt;"", COLUMN($AC$1:$AX40)), COLUMN(K40)))), "")</f>
        <v/>
      </c>
      <c r="BK40" t="str">
        <f t="array" aca="1" ref="BK40" ca="1">IFERROR(IF(AND(COUNTIF($B40,"*泉ヶ丘*"),COUNTIF($B41,"*泉ヶ丘*")),
IFERROR(INDEX(41:41, SMALL(IF($AC41:$AX41&lt;&gt;"", COLUMN($AC$1:$AX41)), COLUMN(F41))), ""),
INDEX(40:40, SMALL(IF($AC40:$AX40&lt;&gt;"", COLUMN($AC$1:$AX40)), COLUMN(L40)))), "")</f>
        <v/>
      </c>
      <c r="BL40" t="str">
        <f t="array" aca="1" ref="BL40" ca="1">IFERROR(IF(AND(COUNTIF($B40,"*泉ヶ丘*"),COUNTIF($B41,"*泉ヶ丘*")),
IFERROR(INDEX(41:41, SMALL(IF($AC41:$AX41&lt;&gt;"", COLUMN($AC$1:$AX41)), COLUMN(G41))), ""),
INDEX(40:40, SMALL(IF($AC40:$AX40&lt;&gt;"", COLUMN($AC$1:$AX40)), COLUMN(M40)))), "")</f>
        <v/>
      </c>
      <c r="BM40" t="str">
        <f t="array" aca="1" ref="BM40" ca="1">IFERROR(IF(AND(COUNTIF($B40,"*泉ヶ丘*"),COUNTIF($B41,"*泉ヶ丘*")),
IFERROR(INDEX(41:41, SMALL(IF($AC41:$AX41&lt;&gt;"", COLUMN($AC$1:$AX41)), COLUMN(H41))), ""),
INDEX(40:40, SMALL(IF($AC40:$AX40&lt;&gt;"", COLUMN($AC$1:$AX40)), COLUMN(N40)))), "")</f>
        <v/>
      </c>
      <c r="BN40" t="str">
        <f t="array" aca="1" ref="BN40" ca="1">IFERROR(IF(AND(COUNTIF($B40,"*泉ヶ丘*"),COUNTIF($B41,"*泉ヶ丘*")),
IFERROR(INDEX(41:41, SMALL(IF($AC41:$AX41&lt;&gt;"", COLUMN($AC$1:$AX41)), COLUMN(I41))), ""),
INDEX(40:40, SMALL(IF($AC40:$AX40&lt;&gt;"", COLUMN($AC$1:$AX40)), COLUMN(O40)))), "")</f>
        <v/>
      </c>
      <c r="BO40" t="str">
        <f t="array" aca="1" ref="BO40" ca="1">IFERROR(IF(AND(COUNTIF($B40,"*泉ヶ丘*"),COUNTIF($B41,"*泉ヶ丘*")),
IFERROR(INDEX(41:41, SMALL(IF($AC41:$AX41&lt;&gt;"", COLUMN($AC$1:$AX41)), COLUMN(J41))), ""),
INDEX(40:40, SMALL(IF($AC40:$AX40&lt;&gt;"", COLUMN($AC$1:$AX40)), COLUMN(P40)))), "")</f>
        <v/>
      </c>
      <c r="BP40" t="str">
        <f t="array" aca="1" ref="BP40" ca="1">IFERROR(IF(AND(COUNTIF($B40,"*泉ヶ丘*"),COUNTIF($B41,"*泉ヶ丘*")),
IFERROR(INDEX(41:41, SMALL(IF($AC41:$AX41&lt;&gt;"", COLUMN($AC$1:$AX41)), COLUMN(K41))), ""),
INDEX(40:40, SMALL(IF($AC40:$AX40&lt;&gt;"", COLUMN($AC$1:$AX40)), COLUMN(Q40)))), "")</f>
        <v/>
      </c>
      <c r="BQ40" t="str">
        <f t="array" aca="1" ref="BQ40" ca="1">IFERROR(IF(AND(COUNTIF($B40,"*泉ヶ丘*"),COUNTIF($B41,"*泉ヶ丘*")),
IFERROR(INDEX(41:41, SMALL(IF($AC41:$AX41&lt;&gt;"", COLUMN($AC$1:$AX41)), COLUMN(L41))), ""),
INDEX(40:40, SMALL(IF($AC40:$AX40&lt;&gt;"", COLUMN($AC$1:$AX40)), COLUMN(R40)))), "")</f>
        <v/>
      </c>
    </row>
    <row r="41" spans="1:69" x14ac:dyDescent="0.45">
      <c r="A41" t="str">
        <f t="array" ref="A41">IF(INDEX(貼り付け用!A:A,MATCH(A40,貼り付け用!A:A,0)+2)="4700",
IF(INDEX(貼り付け用!A:A,MATCH(A40,貼り付け用!A:A,0)+4)="4800",
INDEX(貼り付け用!A:A,MATCH(A40,貼り付け用!A:A,0)+6),
INDEX(貼り付け用!A:A,MATCH(A40,貼り付け用!A:A,0)+4)),INDEX(貼り付け用!A:A,MATCH(A40,貼り付け用!A:A,0)+2))</f>
        <v>12900</v>
      </c>
      <c r="B41" t="str">
        <f>IF(A41&lt;&gt;"",
VLOOKUP(A41,得意先マスタ!A:D,2,FALSE),"")</f>
        <v>児童発達支援　いろは　そうり</v>
      </c>
      <c r="C41" t="str">
        <f t="array" ref="C41">IF(A41="10000","",INDEX(貼り付け用!A:A,MATCH(A41,貼り付け用!A:A,0)+1))</f>
        <v>児童発達支援 いろは そうり</v>
      </c>
      <c r="D41" t="str">
        <f ca="1">VLOOKUP(C41,クライアント抽出!$A:$O,10,FALSE)</f>
        <v>赤　飯あり120</v>
      </c>
      <c r="E41" t="str">
        <f ca="1">IF(D41&lt;&gt;"",
IF(COUNTIF(C41,"*ぺんぎん*"),
VLOOKUP(
"*"&amp;IF(COUNTIF(D41,"*キャラ弁*"),"キャラ",
IF(COUNTIF(D41,"*赤*"),"赤",SUBSTITUTE(SUBSTITUTE(D41," ",""),"　","")))&amp;"*",
注文弁当の抽出!$F:$I,4,FALSE)&amp;
IF(COUNTIF(D41,"*おにぎり*"),"　おにぎり","")&amp;"　（ぺんぎん組）",
VLOOKUP(
"*"&amp;IF(COUNTIF(D41,"*キャラ弁*"),"キャラ",
IF(COUNTIF(D41,"*赤*"),"赤",SUBSTITUTE(SUBSTITUTE(D41," ",""),"　","")))&amp;"*",
注文弁当の抽出!$F:$I,4,FALSE)&amp;
IF(COUNTIF(D41,"*おにぎり*"),"　おにぎり","")),"")</f>
        <v>弁当　園児</v>
      </c>
      <c r="F41">
        <f ca="1">IFERROR(IF(E41&lt;&gt;"",
VLOOKUP(C41,クライアント抽出!$A:$G,2,FALSE)+
IF(COUNTIF(Y41,"*-*"),Y41,0),"")
-IFERROR(MID(V41, SEARCH("予備", V41) + LEN("予備"), SEARCH("込み", V41) - (SEARCH("予備", V41) + LEN("予備"))),0),"")</f>
        <v>4</v>
      </c>
      <c r="G41" t="str">
        <f ca="1">VLOOKUP(C41,クライアント抽出!$A:$O,11,FALSE)</f>
        <v/>
      </c>
      <c r="H41" t="str">
        <f ca="1">IF(G41&lt;&gt;"",
VLOOKUP(
"*"&amp;IF(COUNTIF(G41,"*キャラ弁*"),"キャラ",
IF(COUNTIF(G41,"*赤*"),"赤",SUBSTITUTE(SUBSTITUTE(G41," ",""),"　","")))&amp;"*",
注文弁当の抽出!$F:$I,4,FALSE)&amp;
IF(COUNTIF(G41,"*おにぎり*"),"　おにぎり",""),"")</f>
        <v/>
      </c>
      <c r="I41" t="str">
        <f ca="1">IF(H41&lt;&gt;"",
VLOOKUP(C41,クライアント抽出!$A:$G,3,FALSE)+
IF(COUNTIF(C41,"*博多*"),Y41,Z41),"")</f>
        <v/>
      </c>
      <c r="J41" t="str">
        <f ca="1">VLOOKUP(C41,クライアント抽出!$A:$O,12,FALSE)</f>
        <v/>
      </c>
      <c r="K41" t="str">
        <f ca="1">IF(J41&lt;&gt;"",
VLOOKUP(
"*"&amp;IF(COUNTIF(J41,"*キャラ弁*"),"キャラ",
IF(COUNTIF(J41,"*赤*"),"赤",SUBSTITUTE(SUBSTITUTE(J41," ",""),"　","")))&amp;"*",
注文弁当の抽出!$F:$I,4,FALSE)&amp;
IF(COUNTIF(J41,"*おにぎり*"),"　おにぎり",""),"")</f>
        <v/>
      </c>
      <c r="L41" t="str">
        <f ca="1">IF(K41&lt;&gt;"",
VLOOKUP(C41,クライアント抽出!$A:$G,4,FALSE)+AA41,"")</f>
        <v/>
      </c>
      <c r="M41" t="str">
        <f ca="1">VLOOKUP(C41,クライアント抽出!$A:$O,13,FALSE)</f>
        <v/>
      </c>
      <c r="N41" t="str">
        <f ca="1">SUBSTITUTE(
IF(M41&lt;&gt;"",
VLOOKUP(
"*"&amp;IF(COUNTIF(M41,"*キャラ弁*"),"キャラ",
IF(COUNTIF(M41,"*赤*"),"赤",SUBSTITUTE(SUBSTITUTE(D41," ",""),"　","")))&amp;"*",
注文弁当の抽出!$F:$I,4,FALSE),""),"園児","先生")&amp;
IF(COUNTIF(M41,"*おにぎり*"),"　おにぎり","")</f>
        <v/>
      </c>
      <c r="O41" t="str">
        <f ca="1">IF(N41&lt;&gt;"",VLOOKUP(C41,クライアント抽出!$A:$G,5,FALSE),"")</f>
        <v/>
      </c>
      <c r="P41" t="str">
        <f ca="1">VLOOKUP(C41,クライアント抽出!$A:$O,14,FALSE)</f>
        <v/>
      </c>
      <c r="Q41" t="str">
        <f ca="1">SUBSTITUTE(
IF(P41&lt;&gt;"",
VLOOKUP(
"*"&amp;IF(COUNTIF(P41,"*キャラ弁*"),"キャラ",
IF(COUNTIF(P41,"*赤*"),"赤",SUBSTITUTE(SUBSTITUTE(G41," ",""),"　","")))&amp;"*",
注文弁当の抽出!$F:$I,4,FALSE),""),"園児","先生")&amp;
IF(COUNTIF(P41,"*おにぎり*"),"　おにぎり","")</f>
        <v/>
      </c>
      <c r="R41" t="str">
        <f ca="1">IF(Q41&lt;&gt;"",
VLOOKUP(C41,クライアント抽出!$A:$G,6,FALSE),"")</f>
        <v/>
      </c>
      <c r="S41" t="str">
        <f ca="1">VLOOKUP(C41,クライアント抽出!$A:$O,15,FALSE)</f>
        <v/>
      </c>
      <c r="T41" t="str">
        <f ca="1">SUBSTITUTE(
IF(S41&lt;&gt;"",
VLOOKUP(
"*"&amp;IF(COUNTIF(S41,"*キャラ弁*"),"キャラ",
IF(COUNTIF(S41,"*赤*"),"赤",SUBSTITUTE(SUBSTITUTE(J41," ",""),"　","")))&amp;"*",
注文弁当の抽出!$F:$I,4,FALSE),""),"園児","先生")&amp;
IF(COUNTIF(S41,"*おにぎり*"),"　おにぎり","")</f>
        <v/>
      </c>
      <c r="U41" t="str">
        <f ca="1">IF(T41&lt;&gt;"",
VLOOKUP(C41,クライアント抽出!$A:$G,7,FALSE),"")</f>
        <v/>
      </c>
      <c r="V41" t="str">
        <f ca="1">IF(A41&lt;&gt;"",
IF(COUNTIF(V40,"*牛乳*"),
IF(AND(COUNTIF(B40,"*奈良屋*"),COUNTIF(B41,"*奈良屋*")),
V40&amp;"✔",""),VLOOKUP(""&amp;A41&amp;"",数出表_Excel!$A:$Z,22,FALSE)&amp;VLOOKUP(""&amp;A41&amp;"",数出表_Excel!$A:$Z,23,FALSE)
&amp;VLOOKUP(""&amp;C41&amp;"",数出表_Excel!$A:$Z,22,FALSE)&amp;VLOOKUP(""&amp;C41&amp;"",数出表_Excel!$A:$Z,23,FALSE)),"")</f>
        <v/>
      </c>
      <c r="W41">
        <f ca="1">IF(AND(COUNTIF(V41,"&lt;&gt;*不要*"),A41&lt;&gt;""),VLOOKUP(A41,得意先マスタ!$A:$AD,24,FALSE),0)</f>
        <v>0</v>
      </c>
      <c r="X41">
        <f ca="1">IF(AND(COUNTIF(V41,"&lt;&gt;*不要*"),A41&lt;&gt;""),VLOOKUP(A41,得意先マスタ!$A:$AD,25,FALSE),0)</f>
        <v>0</v>
      </c>
      <c r="Y41">
        <f t="shared" ca="1" si="10"/>
        <v>0</v>
      </c>
      <c r="Z41">
        <f t="shared" ca="1" si="11"/>
        <v>0</v>
      </c>
      <c r="AA41">
        <f t="shared" ca="1" si="15"/>
        <v>0</v>
      </c>
      <c r="AB41" t="str">
        <f t="shared" ca="1" si="12"/>
        <v/>
      </c>
      <c r="AC41" t="str">
        <f t="array" aca="1" ref="AC41" ca="1">IFERROR(INDEX(41:41, SMALL(IF($D41:$U41&lt;&gt;"", COLUMN($D$1:$U41)), COLUMN(A41))), "")</f>
        <v>赤　飯あり120</v>
      </c>
      <c r="AD41" t="str">
        <f t="array" aca="1" ref="AD41" ca="1">IFERROR(INDEX(41:41, SMALL(IF($D41:$U41&lt;&gt;"", COLUMN($D$1:$U41)), COLUMN(B41))), "")</f>
        <v>弁当　園児</v>
      </c>
      <c r="AE41">
        <f t="array" aca="1" ref="AE41" ca="1">IFERROR(INDEX(41:41, SMALL(IF($D41:$U41&lt;&gt;"", COLUMN($D$1:$U41)), COLUMN(C41))), "")</f>
        <v>4</v>
      </c>
      <c r="AF41" t="str">
        <f t="array" aca="1" ref="AF41" ca="1">IFERROR(INDEX(41:41, SMALL(IF($D41:$U41&lt;&gt;"", COLUMN($D$1:$U41)), COLUMN(D41))), "")</f>
        <v/>
      </c>
      <c r="AG41" t="str">
        <f t="array" aca="1" ref="AG41" ca="1">IFERROR(INDEX(41:41, SMALL(IF($D41:$U41&lt;&gt;"", COLUMN($D$1:$U41)), COLUMN(E41))), "")</f>
        <v/>
      </c>
      <c r="AH41" t="str">
        <f t="array" aca="1" ref="AH41" ca="1">IFERROR(INDEX(41:41, SMALL(IF($D41:$U41&lt;&gt;"", COLUMN($D$1:$U41)), COLUMN(F41))), "")</f>
        <v/>
      </c>
      <c r="AI41" t="str">
        <f t="array" aca="1" ref="AI41" ca="1">IFERROR(INDEX(41:41, SMALL(IF($D41:$U41&lt;&gt;"", COLUMN($D$1:$U41)), COLUMN(G41))), "")</f>
        <v/>
      </c>
      <c r="AJ41" t="str">
        <f t="array" aca="1" ref="AJ41" ca="1">IFERROR(INDEX(41:41, SMALL(IF($D41:$U41&lt;&gt;"", COLUMN($D$1:$U41)), COLUMN(H41))), "")</f>
        <v/>
      </c>
      <c r="AK41" t="str">
        <f t="array" aca="1" ref="AK41" ca="1">IFERROR(INDEX(41:41, SMALL(IF($D41:$U41&lt;&gt;"", COLUMN($D$1:$U41)), COLUMN(I41))), "")</f>
        <v/>
      </c>
      <c r="AL41" t="str">
        <f t="array" aca="1" ref="AL41" ca="1">IFERROR(INDEX(41:41, SMALL(IF($D41:$U41&lt;&gt;"", COLUMN($D$1:$U41)), COLUMN(J41))), "")</f>
        <v/>
      </c>
      <c r="AM41" t="str">
        <f t="array" aca="1" ref="AM41" ca="1">IFERROR(INDEX(41:41, SMALL(IF($D41:$U41&lt;&gt;"", COLUMN($D$1:$U41)), COLUMN(K41))), "")</f>
        <v/>
      </c>
      <c r="AN41" t="str">
        <f t="array" aca="1" ref="AN41" ca="1">IFERROR(INDEX(41:41, SMALL(IF($D41:$U41&lt;&gt;"", COLUMN($D$1:$U41)), COLUMN(L41))), "")</f>
        <v/>
      </c>
      <c r="AO41" t="str">
        <f t="array" aca="1" ref="AO41" ca="1">IFERROR(INDEX(41:41, SMALL(IF($D41:$U41&lt;&gt;"", COLUMN($D$1:$U41)), COLUMN(M41))), "")</f>
        <v/>
      </c>
      <c r="AP41" t="str">
        <f t="array" aca="1" ref="AP41" ca="1">IFERROR(INDEX(41:41, SMALL(IF($D41:$U41&lt;&gt;"", COLUMN($D$1:$U41)), COLUMN(N41))), "")</f>
        <v/>
      </c>
      <c r="AQ41" t="str">
        <f t="array" aca="1" ref="AQ41" ca="1">IFERROR(INDEX(41:41, SMALL(IF($D41:$U41&lt;&gt;"", COLUMN($D$1:$U41)), COLUMN(O41))), "")</f>
        <v/>
      </c>
      <c r="AR41" s="52" t="s">
        <v>4005</v>
      </c>
      <c r="AS41" t="str">
        <f t="shared" ca="1" si="13"/>
        <v/>
      </c>
      <c r="AT41" t="str">
        <f t="shared" ca="1" si="14"/>
        <v/>
      </c>
      <c r="AU41" t="str">
        <f t="shared" ca="1" si="16"/>
        <v/>
      </c>
      <c r="AV41" t="str">
        <f t="shared" ca="1" si="17"/>
        <v/>
      </c>
      <c r="AW41" t="str">
        <f t="shared" ca="1" si="18"/>
        <v/>
      </c>
      <c r="AX41" t="str">
        <f t="shared" ca="1" si="19"/>
        <v/>
      </c>
      <c r="AZ41" t="str">
        <f t="array" aca="1" ref="AZ41" ca="1">IFERROR(INDEX(41:41, SMALL(IF($AC41:$AX41&lt;&gt;"", COLUMN($AC$1:$AX41)), COLUMN(A41))), "")</f>
        <v>赤　飯あり120</v>
      </c>
      <c r="BA41" t="str">
        <f t="array" aca="1" ref="BA41" ca="1">IFERROR(INDEX(41:41, SMALL(IF($AC41:$AX41&lt;&gt;"", COLUMN($AC$1:$AX41)), COLUMN(B41))), "")</f>
        <v>弁当　園児</v>
      </c>
      <c r="BB41">
        <f t="array" aca="1" ref="BB41" ca="1">IFERROR(INDEX(41:41, SMALL(IF($AC41:$AX41&lt;&gt;"", COLUMN($AC$1:$AX41)), COLUMN(C41))), "")</f>
        <v>4</v>
      </c>
      <c r="BC41" t="str">
        <f t="array" aca="1" ref="BC41" ca="1">IFERROR(INDEX(41:41, SMALL(IF($AC41:$AX41&lt;&gt;"", COLUMN($AC$1:$AX41)), COLUMN(D41))), "")</f>
        <v>●</v>
      </c>
      <c r="BD41" t="str">
        <f t="array" aca="1" ref="BD41" ca="1">IFERROR(INDEX(41:41, SMALL(IF($AC41:$AX41&lt;&gt;"", COLUMN($AC$1:$AX41)), COLUMN(E41))), "")</f>
        <v/>
      </c>
      <c r="BE41" t="str">
        <f t="array" aca="1" ref="BE41" ca="1">IFERROR(INDEX(41:41, SMALL(IF($AC41:$AX41&lt;&gt;"", COLUMN($AC$1:$AX41)), COLUMN(F41))), "")</f>
        <v/>
      </c>
      <c r="BF41" t="str">
        <f t="array" aca="1" ref="BF41" ca="1">IFERROR(IF(AND(COUNTIF($B41,"*泉ヶ丘*"),COUNTIF($B42,"*泉ヶ丘*")),
IFERROR(INDEX(42:42, SMALL(IF($AC42:$AX42&lt;&gt;"", COLUMN($AC$1:$AX42)), COLUMN(A42))), ""),
INDEX(41:41, SMALL(IF($AC41:$AX41&lt;&gt;"", COLUMN($AC$1:$AX41)), COLUMN(G41)))), "")</f>
        <v/>
      </c>
      <c r="BG41" t="str">
        <f t="array" aca="1" ref="BG41" ca="1">IFERROR(IF(AND(COUNTIF($B41,"*泉ヶ丘*"),COUNTIF($B42,"*泉ヶ丘*")),
IFERROR(INDEX(42:42, SMALL(IF($AC42:$AX42&lt;&gt;"", COLUMN($AC$1:$AX42)), COLUMN(B42))), ""),
INDEX(41:41, SMALL(IF($AC41:$AX41&lt;&gt;"", COLUMN($AC$1:$AX41)), COLUMN(H41)))), "")</f>
        <v/>
      </c>
      <c r="BH41" t="str">
        <f t="array" aca="1" ref="BH41" ca="1">IFERROR(IF(AND(COUNTIF($B41,"*泉ヶ丘*"),COUNTIF($B42,"*泉ヶ丘*")),
IFERROR(INDEX(42:42, SMALL(IF($AC42:$AX42&lt;&gt;"", COLUMN($AC$1:$AX42)), COLUMN(C42))), ""),
INDEX(41:41, SMALL(IF($AC41:$AX41&lt;&gt;"", COLUMN($AC$1:$AX41)), COLUMN(I41)))), "")</f>
        <v/>
      </c>
      <c r="BI41" t="str">
        <f t="array" aca="1" ref="BI41" ca="1">IFERROR(IF(AND(COUNTIF($B41,"*泉ヶ丘*"),COUNTIF($B42,"*泉ヶ丘*")),
IFERROR(INDEX(42:42, SMALL(IF($AC42:$AX42&lt;&gt;"", COLUMN($AC$1:$AX42)), COLUMN(D42))), ""),
INDEX(41:41, SMALL(IF($AC41:$AX41&lt;&gt;"", COLUMN($AC$1:$AX41)), COLUMN(J41)))), "")</f>
        <v/>
      </c>
      <c r="BJ41" t="str">
        <f t="array" aca="1" ref="BJ41" ca="1">IFERROR(IF(AND(COUNTIF($B41,"*泉ヶ丘*"),COUNTIF($B42,"*泉ヶ丘*")),
IFERROR(INDEX(42:42, SMALL(IF($AC42:$AX42&lt;&gt;"", COLUMN($AC$1:$AX42)), COLUMN(E42))), ""),
INDEX(41:41, SMALL(IF($AC41:$AX41&lt;&gt;"", COLUMN($AC$1:$AX41)), COLUMN(K41)))), "")</f>
        <v/>
      </c>
      <c r="BK41" t="str">
        <f t="array" aca="1" ref="BK41" ca="1">IFERROR(IF(AND(COUNTIF($B41,"*泉ヶ丘*"),COUNTIF($B42,"*泉ヶ丘*")),
IFERROR(INDEX(42:42, SMALL(IF($AC42:$AX42&lt;&gt;"", COLUMN($AC$1:$AX42)), COLUMN(F42))), ""),
INDEX(41:41, SMALL(IF($AC41:$AX41&lt;&gt;"", COLUMN($AC$1:$AX41)), COLUMN(L41)))), "")</f>
        <v/>
      </c>
      <c r="BL41" t="str">
        <f t="array" aca="1" ref="BL41" ca="1">IFERROR(IF(AND(COUNTIF($B41,"*泉ヶ丘*"),COUNTIF($B42,"*泉ヶ丘*")),
IFERROR(INDEX(42:42, SMALL(IF($AC42:$AX42&lt;&gt;"", COLUMN($AC$1:$AX42)), COLUMN(G42))), ""),
INDEX(41:41, SMALL(IF($AC41:$AX41&lt;&gt;"", COLUMN($AC$1:$AX41)), COLUMN(M41)))), "")</f>
        <v/>
      </c>
      <c r="BM41" t="str">
        <f t="array" aca="1" ref="BM41" ca="1">IFERROR(IF(AND(COUNTIF($B41,"*泉ヶ丘*"),COUNTIF($B42,"*泉ヶ丘*")),
IFERROR(INDEX(42:42, SMALL(IF($AC42:$AX42&lt;&gt;"", COLUMN($AC$1:$AX42)), COLUMN(H42))), ""),
INDEX(41:41, SMALL(IF($AC41:$AX41&lt;&gt;"", COLUMN($AC$1:$AX41)), COLUMN(N41)))), "")</f>
        <v/>
      </c>
      <c r="BN41" t="str">
        <f t="array" aca="1" ref="BN41" ca="1">IFERROR(IF(AND(COUNTIF($B41,"*泉ヶ丘*"),COUNTIF($B42,"*泉ヶ丘*")),
IFERROR(INDEX(42:42, SMALL(IF($AC42:$AX42&lt;&gt;"", COLUMN($AC$1:$AX42)), COLUMN(I42))), ""),
INDEX(41:41, SMALL(IF($AC41:$AX41&lt;&gt;"", COLUMN($AC$1:$AX41)), COLUMN(O41)))), "")</f>
        <v/>
      </c>
      <c r="BO41" t="str">
        <f t="array" aca="1" ref="BO41" ca="1">IFERROR(IF(AND(COUNTIF($B41,"*泉ヶ丘*"),COUNTIF($B42,"*泉ヶ丘*")),
IFERROR(INDEX(42:42, SMALL(IF($AC42:$AX42&lt;&gt;"", COLUMN($AC$1:$AX42)), COLUMN(J42))), ""),
INDEX(41:41, SMALL(IF($AC41:$AX41&lt;&gt;"", COLUMN($AC$1:$AX41)), COLUMN(P41)))), "")</f>
        <v/>
      </c>
      <c r="BP41" t="str">
        <f t="array" aca="1" ref="BP41" ca="1">IFERROR(IF(AND(COUNTIF($B41,"*泉ヶ丘*"),COUNTIF($B42,"*泉ヶ丘*")),
IFERROR(INDEX(42:42, SMALL(IF($AC42:$AX42&lt;&gt;"", COLUMN($AC$1:$AX42)), COLUMN(K42))), ""),
INDEX(41:41, SMALL(IF($AC41:$AX41&lt;&gt;"", COLUMN($AC$1:$AX41)), COLUMN(Q41)))), "")</f>
        <v/>
      </c>
      <c r="BQ41" t="str">
        <f t="array" aca="1" ref="BQ41" ca="1">IFERROR(IF(AND(COUNTIF($B41,"*泉ヶ丘*"),COUNTIF($B42,"*泉ヶ丘*")),
IFERROR(INDEX(42:42, SMALL(IF($AC42:$AX42&lt;&gt;"", COLUMN($AC$1:$AX42)), COLUMN(L42))), ""),
INDEX(41:41, SMALL(IF($AC41:$AX41&lt;&gt;"", COLUMN($AC$1:$AX41)), COLUMN(R41)))), "")</f>
        <v/>
      </c>
    </row>
    <row r="42" spans="1:69" x14ac:dyDescent="0.45">
      <c r="A42" t="str">
        <f t="array" ref="A42">IF(INDEX(貼り付け用!A:A,MATCH(A41,貼り付け用!A:A,0)+2)="4700",
IF(INDEX(貼り付け用!A:A,MATCH(A41,貼り付け用!A:A,0)+4)="4800",
INDEX(貼り付け用!A:A,MATCH(A41,貼り付け用!A:A,0)+6),
INDEX(貼り付け用!A:A,MATCH(A41,貼り付け用!A:A,0)+4)),INDEX(貼り付け用!A:A,MATCH(A41,貼り付け用!A:A,0)+2))</f>
        <v>12910</v>
      </c>
      <c r="B42" t="str">
        <f>IF(A42&lt;&gt;"",
VLOOKUP(A42,得意先マスタ!A:D,2,FALSE),"")</f>
        <v>児童発達支援　いろは</v>
      </c>
      <c r="C42" t="str">
        <f t="array" ref="C42">IF(A42="10000","",INDEX(貼り付け用!A:A,MATCH(A42,貼り付け用!A:A,0)+1))</f>
        <v>児童発達支援 いろは</v>
      </c>
      <c r="D42" t="str">
        <f ca="1">VLOOKUP(C42,クライアント抽出!$A:$O,10,FALSE)</f>
        <v>赤　飯あり120</v>
      </c>
      <c r="E42" t="str">
        <f ca="1">IF(D42&lt;&gt;"",
IF(COUNTIF(C42,"*ぺんぎん*"),
VLOOKUP(
"*"&amp;IF(COUNTIF(D42,"*キャラ弁*"),"キャラ",
IF(COUNTIF(D42,"*赤*"),"赤",SUBSTITUTE(SUBSTITUTE(D42," ",""),"　","")))&amp;"*",
注文弁当の抽出!$F:$I,4,FALSE)&amp;
IF(COUNTIF(D42,"*おにぎり*"),"　おにぎり","")&amp;"　（ぺんぎん組）",
VLOOKUP(
"*"&amp;IF(COUNTIF(D42,"*キャラ弁*"),"キャラ",
IF(COUNTIF(D42,"*赤*"),"赤",SUBSTITUTE(SUBSTITUTE(D42," ",""),"　","")))&amp;"*",
注文弁当の抽出!$F:$I,4,FALSE)&amp;
IF(COUNTIF(D42,"*おにぎり*"),"　おにぎり","")),"")</f>
        <v>弁当　園児</v>
      </c>
      <c r="F42">
        <f ca="1">IFERROR(IF(E42&lt;&gt;"",
VLOOKUP(C42,クライアント抽出!$A:$G,2,FALSE)+
IF(COUNTIF(Y42,"*-*"),Y42,0),"")
-IFERROR(MID(V42, SEARCH("予備", V42) + LEN("予備"), SEARCH("込み", V42) - (SEARCH("予備", V42) + LEN("予備"))),0),"")</f>
        <v>4</v>
      </c>
      <c r="G42" t="str">
        <f ca="1">VLOOKUP(C42,クライアント抽出!$A:$O,11,FALSE)</f>
        <v/>
      </c>
      <c r="H42" t="str">
        <f ca="1">IF(G42&lt;&gt;"",
VLOOKUP(
"*"&amp;IF(COUNTIF(G42,"*キャラ弁*"),"キャラ",
IF(COUNTIF(G42,"*赤*"),"赤",SUBSTITUTE(SUBSTITUTE(G42," ",""),"　","")))&amp;"*",
注文弁当の抽出!$F:$I,4,FALSE)&amp;
IF(COUNTIF(G42,"*おにぎり*"),"　おにぎり",""),"")</f>
        <v/>
      </c>
      <c r="I42" t="str">
        <f ca="1">IF(H42&lt;&gt;"",
VLOOKUP(C42,クライアント抽出!$A:$G,3,FALSE)+
IF(COUNTIF(C42,"*博多*"),Y42,Z42),"")</f>
        <v/>
      </c>
      <c r="J42" t="str">
        <f ca="1">VLOOKUP(C42,クライアント抽出!$A:$O,12,FALSE)</f>
        <v/>
      </c>
      <c r="K42" t="str">
        <f ca="1">IF(J42&lt;&gt;"",
VLOOKUP(
"*"&amp;IF(COUNTIF(J42,"*キャラ弁*"),"キャラ",
IF(COUNTIF(J42,"*赤*"),"赤",SUBSTITUTE(SUBSTITUTE(J42," ",""),"　","")))&amp;"*",
注文弁当の抽出!$F:$I,4,FALSE)&amp;
IF(COUNTIF(J42,"*おにぎり*"),"　おにぎり",""),"")</f>
        <v/>
      </c>
      <c r="L42" t="str">
        <f ca="1">IF(K42&lt;&gt;"",
VLOOKUP(C42,クライアント抽出!$A:$G,4,FALSE)+AA42,"")</f>
        <v/>
      </c>
      <c r="M42" t="str">
        <f ca="1">VLOOKUP(C42,クライアント抽出!$A:$O,13,FALSE)</f>
        <v>赤　飯あり120</v>
      </c>
      <c r="N42" t="str">
        <f ca="1">SUBSTITUTE(
IF(M42&lt;&gt;"",
VLOOKUP(
"*"&amp;IF(COUNTIF(M42,"*キャラ弁*"),"キャラ",
IF(COUNTIF(M42,"*赤*"),"赤",SUBSTITUTE(SUBSTITUTE(D42," ",""),"　","")))&amp;"*",
注文弁当の抽出!$F:$I,4,FALSE),""),"園児","先生")&amp;
IF(COUNTIF(M42,"*おにぎり*"),"　おにぎり","")</f>
        <v>弁当　先生</v>
      </c>
      <c r="O42">
        <f ca="1">IF(N42&lt;&gt;"",VLOOKUP(C42,クライアント抽出!$A:$G,5,FALSE),"")</f>
        <v>1</v>
      </c>
      <c r="P42" t="str">
        <f ca="1">VLOOKUP(C42,クライアント抽出!$A:$O,14,FALSE)</f>
        <v/>
      </c>
      <c r="Q42" t="str">
        <f ca="1">SUBSTITUTE(
IF(P42&lt;&gt;"",
VLOOKUP(
"*"&amp;IF(COUNTIF(P42,"*キャラ弁*"),"キャラ",
IF(COUNTIF(P42,"*赤*"),"赤",SUBSTITUTE(SUBSTITUTE(G42," ",""),"　","")))&amp;"*",
注文弁当の抽出!$F:$I,4,FALSE),""),"園児","先生")&amp;
IF(COUNTIF(P42,"*おにぎり*"),"　おにぎり","")</f>
        <v/>
      </c>
      <c r="R42" t="str">
        <f ca="1">IF(Q42&lt;&gt;"",
VLOOKUP(C42,クライアント抽出!$A:$G,6,FALSE),"")</f>
        <v/>
      </c>
      <c r="S42" t="str">
        <f ca="1">VLOOKUP(C42,クライアント抽出!$A:$O,15,FALSE)</f>
        <v/>
      </c>
      <c r="T42" t="str">
        <f ca="1">SUBSTITUTE(
IF(S42&lt;&gt;"",
VLOOKUP(
"*"&amp;IF(COUNTIF(S42,"*キャラ弁*"),"キャラ",
IF(COUNTIF(S42,"*赤*"),"赤",SUBSTITUTE(SUBSTITUTE(J42," ",""),"　","")))&amp;"*",
注文弁当の抽出!$F:$I,4,FALSE),""),"園児","先生")&amp;
IF(COUNTIF(S42,"*おにぎり*"),"　おにぎり","")</f>
        <v/>
      </c>
      <c r="U42" t="str">
        <f ca="1">IF(T42&lt;&gt;"",
VLOOKUP(C42,クライアント抽出!$A:$G,7,FALSE),"")</f>
        <v/>
      </c>
      <c r="V42" t="str">
        <f ca="1">IF(A42&lt;&gt;"",
IF(COUNTIF(V41,"*牛乳*"),
IF(AND(COUNTIF(B41,"*奈良屋*"),COUNTIF(B42,"*奈良屋*")),
V41&amp;"✔",""),VLOOKUP(""&amp;A42&amp;"",数出表_Excel!$A:$Z,22,FALSE)&amp;VLOOKUP(""&amp;A42&amp;"",数出表_Excel!$A:$Z,23,FALSE)
&amp;VLOOKUP(""&amp;C42&amp;"",数出表_Excel!$A:$Z,22,FALSE)&amp;VLOOKUP(""&amp;C42&amp;"",数出表_Excel!$A:$Z,23,FALSE)),"")</f>
        <v/>
      </c>
      <c r="W42">
        <f ca="1">IF(AND(COUNTIF(V42,"&lt;&gt;*不要*"),A42&lt;&gt;""),VLOOKUP(A42,得意先マスタ!$A:$AD,24,FALSE),0)</f>
        <v>0</v>
      </c>
      <c r="X42">
        <f ca="1">IF(AND(COUNTIF(V42,"&lt;&gt;*不要*"),A42&lt;&gt;""),VLOOKUP(A42,得意先マスタ!$A:$AD,25,FALSE),0)</f>
        <v>0</v>
      </c>
      <c r="Y42">
        <f t="shared" ca="1" si="10"/>
        <v>0</v>
      </c>
      <c r="Z42">
        <f t="shared" ca="1" si="11"/>
        <v>0</v>
      </c>
      <c r="AA42">
        <f t="shared" ca="1" si="15"/>
        <v>0</v>
      </c>
      <c r="AB42" t="str">
        <f t="shared" ca="1" si="12"/>
        <v/>
      </c>
      <c r="AC42" t="str">
        <f t="array" aca="1" ref="AC42" ca="1">IFERROR(INDEX(42:42, SMALL(IF($D42:$U42&lt;&gt;"", COLUMN($D$1:$U42)), COLUMN(A42))), "")</f>
        <v>赤　飯あり120</v>
      </c>
      <c r="AD42" t="str">
        <f t="array" aca="1" ref="AD42" ca="1">IFERROR(INDEX(42:42, SMALL(IF($D42:$U42&lt;&gt;"", COLUMN($D$1:$U42)), COLUMN(B42))), "")</f>
        <v>弁当　園児</v>
      </c>
      <c r="AE42">
        <f t="array" aca="1" ref="AE42" ca="1">IFERROR(INDEX(42:42, SMALL(IF($D42:$U42&lt;&gt;"", COLUMN($D$1:$U42)), COLUMN(C42))), "")</f>
        <v>4</v>
      </c>
      <c r="AF42" t="str">
        <f t="array" aca="1" ref="AF42" ca="1">IFERROR(INDEX(42:42, SMALL(IF($D42:$U42&lt;&gt;"", COLUMN($D$1:$U42)), COLUMN(D42))), "")</f>
        <v>赤　飯あり120</v>
      </c>
      <c r="AG42" t="str">
        <f t="array" aca="1" ref="AG42" ca="1">IFERROR(INDEX(42:42, SMALL(IF($D42:$U42&lt;&gt;"", COLUMN($D$1:$U42)), COLUMN(E42))), "")</f>
        <v>弁当　先生</v>
      </c>
      <c r="AH42">
        <f t="array" aca="1" ref="AH42" ca="1">IFERROR(INDEX(42:42, SMALL(IF($D42:$U42&lt;&gt;"", COLUMN($D$1:$U42)), COLUMN(F42))), "")</f>
        <v>1</v>
      </c>
      <c r="AI42" t="str">
        <f t="array" aca="1" ref="AI42" ca="1">IFERROR(INDEX(42:42, SMALL(IF($D42:$U42&lt;&gt;"", COLUMN($D$1:$U42)), COLUMN(G42))), "")</f>
        <v/>
      </c>
      <c r="AJ42" t="str">
        <f t="array" aca="1" ref="AJ42" ca="1">IFERROR(INDEX(42:42, SMALL(IF($D42:$U42&lt;&gt;"", COLUMN($D$1:$U42)), COLUMN(H42))), "")</f>
        <v/>
      </c>
      <c r="AK42" t="str">
        <f t="array" aca="1" ref="AK42" ca="1">IFERROR(INDEX(42:42, SMALL(IF($D42:$U42&lt;&gt;"", COLUMN($D$1:$U42)), COLUMN(I42))), "")</f>
        <v/>
      </c>
      <c r="AL42" t="str">
        <f t="array" aca="1" ref="AL42" ca="1">IFERROR(INDEX(42:42, SMALL(IF($D42:$U42&lt;&gt;"", COLUMN($D$1:$U42)), COLUMN(J42))), "")</f>
        <v/>
      </c>
      <c r="AM42" t="str">
        <f t="array" aca="1" ref="AM42" ca="1">IFERROR(INDEX(42:42, SMALL(IF($D42:$U42&lt;&gt;"", COLUMN($D$1:$U42)), COLUMN(K42))), "")</f>
        <v/>
      </c>
      <c r="AN42" t="str">
        <f t="array" aca="1" ref="AN42" ca="1">IFERROR(INDEX(42:42, SMALL(IF($D42:$U42&lt;&gt;"", COLUMN($D$1:$U42)), COLUMN(L42))), "")</f>
        <v/>
      </c>
      <c r="AO42" t="str">
        <f t="array" aca="1" ref="AO42" ca="1">IFERROR(INDEX(42:42, SMALL(IF($D42:$U42&lt;&gt;"", COLUMN($D$1:$U42)), COLUMN(M42))), "")</f>
        <v/>
      </c>
      <c r="AP42" t="str">
        <f t="array" aca="1" ref="AP42" ca="1">IFERROR(INDEX(42:42, SMALL(IF($D42:$U42&lt;&gt;"", COLUMN($D$1:$U42)), COLUMN(N42))), "")</f>
        <v/>
      </c>
      <c r="AQ42" t="str">
        <f t="array" aca="1" ref="AQ42" ca="1">IFERROR(INDEX(42:42, SMALL(IF($D42:$U42&lt;&gt;"", COLUMN($D$1:$U42)), COLUMN(O42))), "")</f>
        <v/>
      </c>
      <c r="AR42" s="52" t="s">
        <v>4005</v>
      </c>
      <c r="AS42" t="str">
        <f t="shared" ca="1" si="13"/>
        <v/>
      </c>
      <c r="AT42" t="str">
        <f t="shared" ca="1" si="14"/>
        <v/>
      </c>
      <c r="AU42" t="str">
        <f t="shared" ca="1" si="16"/>
        <v/>
      </c>
      <c r="AV42" t="str">
        <f t="shared" ca="1" si="17"/>
        <v/>
      </c>
      <c r="AW42" t="str">
        <f t="shared" ca="1" si="18"/>
        <v/>
      </c>
      <c r="AX42" t="str">
        <f t="shared" ca="1" si="19"/>
        <v/>
      </c>
      <c r="AZ42" t="str">
        <f t="array" aca="1" ref="AZ42" ca="1">IFERROR(INDEX(42:42, SMALL(IF($AC42:$AX42&lt;&gt;"", COLUMN($AC$1:$AX42)), COLUMN(A42))), "")</f>
        <v>赤　飯あり120</v>
      </c>
      <c r="BA42" t="str">
        <f t="array" aca="1" ref="BA42" ca="1">IFERROR(INDEX(42:42, SMALL(IF($AC42:$AX42&lt;&gt;"", COLUMN($AC$1:$AX42)), COLUMN(B42))), "")</f>
        <v>弁当　園児</v>
      </c>
      <c r="BB42">
        <f t="array" aca="1" ref="BB42" ca="1">IFERROR(INDEX(42:42, SMALL(IF($AC42:$AX42&lt;&gt;"", COLUMN($AC$1:$AX42)), COLUMN(C42))), "")</f>
        <v>4</v>
      </c>
      <c r="BC42" t="str">
        <f t="array" aca="1" ref="BC42" ca="1">IFERROR(INDEX(42:42, SMALL(IF($AC42:$AX42&lt;&gt;"", COLUMN($AC$1:$AX42)), COLUMN(D42))), "")</f>
        <v>赤　飯あり120</v>
      </c>
      <c r="BD42" t="str">
        <f t="array" aca="1" ref="BD42" ca="1">IFERROR(INDEX(42:42, SMALL(IF($AC42:$AX42&lt;&gt;"", COLUMN($AC$1:$AX42)), COLUMN(E42))), "")</f>
        <v>弁当　先生</v>
      </c>
      <c r="BE42">
        <f t="array" aca="1" ref="BE42" ca="1">IFERROR(INDEX(42:42, SMALL(IF($AC42:$AX42&lt;&gt;"", COLUMN($AC$1:$AX42)), COLUMN(F42))), "")</f>
        <v>1</v>
      </c>
      <c r="BF42" t="str">
        <f t="array" aca="1" ref="BF42" ca="1">IFERROR(IF(AND(COUNTIF($B42,"*泉ヶ丘*"),COUNTIF($B43,"*泉ヶ丘*")),
IFERROR(INDEX(43:43, SMALL(IF($AC43:$AX43&lt;&gt;"", COLUMN($AC$1:$AX43)), COLUMN(A43))), ""),
INDEX(42:42, SMALL(IF($AC42:$AX42&lt;&gt;"", COLUMN($AC$1:$AX42)), COLUMN(G42)))), "")</f>
        <v>●</v>
      </c>
      <c r="BG42" t="str">
        <f t="array" aca="1" ref="BG42" ca="1">IFERROR(IF(AND(COUNTIF($B42,"*泉ヶ丘*"),COUNTIF($B43,"*泉ヶ丘*")),
IFERROR(INDEX(43:43, SMALL(IF($AC43:$AX43&lt;&gt;"", COLUMN($AC$1:$AX43)), COLUMN(B43))), ""),
INDEX(42:42, SMALL(IF($AC42:$AX42&lt;&gt;"", COLUMN($AC$1:$AX42)), COLUMN(H42)))), "")</f>
        <v/>
      </c>
      <c r="BH42" t="str">
        <f t="array" aca="1" ref="BH42" ca="1">IFERROR(IF(AND(COUNTIF($B42,"*泉ヶ丘*"),COUNTIF($B43,"*泉ヶ丘*")),
IFERROR(INDEX(43:43, SMALL(IF($AC43:$AX43&lt;&gt;"", COLUMN($AC$1:$AX43)), COLUMN(C43))), ""),
INDEX(42:42, SMALL(IF($AC42:$AX42&lt;&gt;"", COLUMN($AC$1:$AX42)), COLUMN(I42)))), "")</f>
        <v/>
      </c>
      <c r="BI42" t="str">
        <f t="array" aca="1" ref="BI42" ca="1">IFERROR(IF(AND(COUNTIF($B42,"*泉ヶ丘*"),COUNTIF($B43,"*泉ヶ丘*")),
IFERROR(INDEX(43:43, SMALL(IF($AC43:$AX43&lt;&gt;"", COLUMN($AC$1:$AX43)), COLUMN(D43))), ""),
INDEX(42:42, SMALL(IF($AC42:$AX42&lt;&gt;"", COLUMN($AC$1:$AX42)), COLUMN(J42)))), "")</f>
        <v/>
      </c>
      <c r="BJ42" t="str">
        <f t="array" aca="1" ref="BJ42" ca="1">IFERROR(IF(AND(COUNTIF($B42,"*泉ヶ丘*"),COUNTIF($B43,"*泉ヶ丘*")),
IFERROR(INDEX(43:43, SMALL(IF($AC43:$AX43&lt;&gt;"", COLUMN($AC$1:$AX43)), COLUMN(E43))), ""),
INDEX(42:42, SMALL(IF($AC42:$AX42&lt;&gt;"", COLUMN($AC$1:$AX42)), COLUMN(K42)))), "")</f>
        <v/>
      </c>
      <c r="BK42" t="str">
        <f t="array" aca="1" ref="BK42" ca="1">IFERROR(IF(AND(COUNTIF($B42,"*泉ヶ丘*"),COUNTIF($B43,"*泉ヶ丘*")),
IFERROR(INDEX(43:43, SMALL(IF($AC43:$AX43&lt;&gt;"", COLUMN($AC$1:$AX43)), COLUMN(F43))), ""),
INDEX(42:42, SMALL(IF($AC42:$AX42&lt;&gt;"", COLUMN($AC$1:$AX42)), COLUMN(L42)))), "")</f>
        <v/>
      </c>
      <c r="BL42" t="str">
        <f t="array" aca="1" ref="BL42" ca="1">IFERROR(IF(AND(COUNTIF($B42,"*泉ヶ丘*"),COUNTIF($B43,"*泉ヶ丘*")),
IFERROR(INDEX(43:43, SMALL(IF($AC43:$AX43&lt;&gt;"", COLUMN($AC$1:$AX43)), COLUMN(G43))), ""),
INDEX(42:42, SMALL(IF($AC42:$AX42&lt;&gt;"", COLUMN($AC$1:$AX42)), COLUMN(M42)))), "")</f>
        <v/>
      </c>
      <c r="BM42" t="str">
        <f t="array" aca="1" ref="BM42" ca="1">IFERROR(IF(AND(COUNTIF($B42,"*泉ヶ丘*"),COUNTIF($B43,"*泉ヶ丘*")),
IFERROR(INDEX(43:43, SMALL(IF($AC43:$AX43&lt;&gt;"", COLUMN($AC$1:$AX43)), COLUMN(H43))), ""),
INDEX(42:42, SMALL(IF($AC42:$AX42&lt;&gt;"", COLUMN($AC$1:$AX42)), COLUMN(N42)))), "")</f>
        <v/>
      </c>
      <c r="BN42" t="str">
        <f t="array" aca="1" ref="BN42" ca="1">IFERROR(IF(AND(COUNTIF($B42,"*泉ヶ丘*"),COUNTIF($B43,"*泉ヶ丘*")),
IFERROR(INDEX(43:43, SMALL(IF($AC43:$AX43&lt;&gt;"", COLUMN($AC$1:$AX43)), COLUMN(I43))), ""),
INDEX(42:42, SMALL(IF($AC42:$AX42&lt;&gt;"", COLUMN($AC$1:$AX42)), COLUMN(O42)))), "")</f>
        <v/>
      </c>
      <c r="BO42" t="str">
        <f t="array" aca="1" ref="BO42" ca="1">IFERROR(IF(AND(COUNTIF($B42,"*泉ヶ丘*"),COUNTIF($B43,"*泉ヶ丘*")),
IFERROR(INDEX(43:43, SMALL(IF($AC43:$AX43&lt;&gt;"", COLUMN($AC$1:$AX43)), COLUMN(J43))), ""),
INDEX(42:42, SMALL(IF($AC42:$AX42&lt;&gt;"", COLUMN($AC$1:$AX42)), COLUMN(P42)))), "")</f>
        <v/>
      </c>
      <c r="BP42" t="str">
        <f t="array" aca="1" ref="BP42" ca="1">IFERROR(IF(AND(COUNTIF($B42,"*泉ヶ丘*"),COUNTIF($B43,"*泉ヶ丘*")),
IFERROR(INDEX(43:43, SMALL(IF($AC43:$AX43&lt;&gt;"", COLUMN($AC$1:$AX43)), COLUMN(K43))), ""),
INDEX(42:42, SMALL(IF($AC42:$AX42&lt;&gt;"", COLUMN($AC$1:$AX42)), COLUMN(Q42)))), "")</f>
        <v/>
      </c>
      <c r="BQ42" t="str">
        <f t="array" aca="1" ref="BQ42" ca="1">IFERROR(IF(AND(COUNTIF($B42,"*泉ヶ丘*"),COUNTIF($B43,"*泉ヶ丘*")),
IFERROR(INDEX(43:43, SMALL(IF($AC43:$AX43&lt;&gt;"", COLUMN($AC$1:$AX43)), COLUMN(L43))), ""),
INDEX(42:42, SMALL(IF($AC42:$AX42&lt;&gt;"", COLUMN($AC$1:$AX42)), COLUMN(R42)))), "")</f>
        <v/>
      </c>
    </row>
    <row r="43" spans="1:69" x14ac:dyDescent="0.45">
      <c r="A43" t="str">
        <f t="array" ref="A43">IF(INDEX(貼り付け用!A:A,MATCH(A42,貼り付け用!A:A,0)+2)="4700",
IF(INDEX(貼り付け用!A:A,MATCH(A42,貼り付け用!A:A,0)+4)="4800",
INDEX(貼り付け用!A:A,MATCH(A42,貼り付け用!A:A,0)+6),
INDEX(貼り付け用!A:A,MATCH(A42,貼り付け用!A:A,0)+4)),INDEX(貼り付け用!A:A,MATCH(A42,貼り付け用!A:A,0)+2))</f>
        <v>19900</v>
      </c>
      <c r="B43" t="str">
        <f>IF(A43&lt;&gt;"",
VLOOKUP(A43,得意先マスタ!A:D,2,FALSE),"")</f>
        <v>イーズィーピーズィーイングリッシュ保育園</v>
      </c>
      <c r="C43" t="str">
        <f t="array" ref="C43">IF(A43="10000","",INDEX(貼り付け用!A:A,MATCH(A43,貼り付け用!A:A,0)+1))</f>
        <v>イーズィピーズィーイングリッシ</v>
      </c>
      <c r="D43" t="str">
        <f ca="1">VLOOKUP(C43,クライアント抽出!$A:$O,10,FALSE)</f>
        <v>キャラ弁当　飯あり120</v>
      </c>
      <c r="E43" t="str">
        <f ca="1">IF(D43&lt;&gt;"",
IF(COUNTIF(C43,"*ぺんぎん*"),
VLOOKUP(
"*"&amp;IF(COUNTIF(D43,"*キャラ弁*"),"キャラ",
IF(COUNTIF(D43,"*赤*"),"赤",SUBSTITUTE(SUBSTITUTE(D43," ",""),"　","")))&amp;"*",
注文弁当の抽出!$F:$I,4,FALSE)&amp;
IF(COUNTIF(D43,"*おにぎり*"),"　おにぎり","")&amp;"　（ぺんぎん組）",
VLOOKUP(
"*"&amp;IF(COUNTIF(D43,"*キャラ弁*"),"キャラ",
IF(COUNTIF(D43,"*赤*"),"赤",SUBSTITUTE(SUBSTITUTE(D43," ",""),"　","")))&amp;"*",
注文弁当の抽出!$F:$I,4,FALSE)&amp;
IF(COUNTIF(D43,"*おにぎり*"),"　おにぎり","")),"")</f>
        <v>弁当　園児</v>
      </c>
      <c r="F43">
        <f ca="1">IFERROR(IF(E43&lt;&gt;"",
VLOOKUP(C43,クライアント抽出!$A:$G,2,FALSE)+
IF(COUNTIF(Y43,"*-*"),Y43,0),"")
-IFERROR(MID(V43, SEARCH("予備", V43) + LEN("予備"), SEARCH("込み", V43) - (SEARCH("予備", V43) + LEN("予備"))),0),"")</f>
        <v>16</v>
      </c>
      <c r="G43" t="str">
        <f ca="1">VLOOKUP(C43,クライアント抽出!$A:$O,11,FALSE)</f>
        <v/>
      </c>
      <c r="H43" t="str">
        <f ca="1">IF(G43&lt;&gt;"",
VLOOKUP(
"*"&amp;IF(COUNTIF(G43,"*キャラ弁*"),"キャラ",
IF(COUNTIF(G43,"*赤*"),"赤",SUBSTITUTE(SUBSTITUTE(G43," ",""),"　","")))&amp;"*",
注文弁当の抽出!$F:$I,4,FALSE)&amp;
IF(COUNTIF(G43,"*おにぎり*"),"　おにぎり",""),"")</f>
        <v/>
      </c>
      <c r="I43" t="str">
        <f ca="1">IF(H43&lt;&gt;"",
VLOOKUP(C43,クライアント抽出!$A:$G,3,FALSE)+
IF(COUNTIF(C43,"*博多*"),Y43,Z43),"")</f>
        <v/>
      </c>
      <c r="J43" t="str">
        <f ca="1">VLOOKUP(C43,クライアント抽出!$A:$O,12,FALSE)</f>
        <v/>
      </c>
      <c r="K43" t="str">
        <f ca="1">IF(J43&lt;&gt;"",
VLOOKUP(
"*"&amp;IF(COUNTIF(J43,"*キャラ弁*"),"キャラ",
IF(COUNTIF(J43,"*赤*"),"赤",SUBSTITUTE(SUBSTITUTE(J43," ",""),"　","")))&amp;"*",
注文弁当の抽出!$F:$I,4,FALSE)&amp;
IF(COUNTIF(J43,"*おにぎり*"),"　おにぎり",""),"")</f>
        <v/>
      </c>
      <c r="L43" t="str">
        <f ca="1">IF(K43&lt;&gt;"",
VLOOKUP(C43,クライアント抽出!$A:$G,4,FALSE)+AA43,"")</f>
        <v/>
      </c>
      <c r="M43" t="str">
        <f ca="1">VLOOKUP(C43,クライアント抽出!$A:$O,13,FALSE)</f>
        <v>キャラ弁当　飯あり120</v>
      </c>
      <c r="N43" t="str">
        <f ca="1">SUBSTITUTE(
IF(M43&lt;&gt;"",
VLOOKUP(
"*"&amp;IF(COUNTIF(M43,"*キャラ弁*"),"キャラ",
IF(COUNTIF(M43,"*赤*"),"赤",SUBSTITUTE(SUBSTITUTE(D43," ",""),"　","")))&amp;"*",
注文弁当の抽出!$F:$I,4,FALSE),""),"園児","先生")&amp;
IF(COUNTIF(M43,"*おにぎり*"),"　おにぎり","")</f>
        <v>弁当　先生</v>
      </c>
      <c r="O43">
        <f ca="1">IF(N43&lt;&gt;"",VLOOKUP(C43,クライアント抽出!$A:$G,5,FALSE),"")</f>
        <v>2</v>
      </c>
      <c r="P43" t="str">
        <f ca="1">VLOOKUP(C43,クライアント抽出!$A:$O,14,FALSE)</f>
        <v/>
      </c>
      <c r="Q43" t="str">
        <f ca="1">SUBSTITUTE(
IF(P43&lt;&gt;"",
VLOOKUP(
"*"&amp;IF(COUNTIF(P43,"*キャラ弁*"),"キャラ",
IF(COUNTIF(P43,"*赤*"),"赤",SUBSTITUTE(SUBSTITUTE(G43," ",""),"　","")))&amp;"*",
注文弁当の抽出!$F:$I,4,FALSE),""),"園児","先生")&amp;
IF(COUNTIF(P43,"*おにぎり*"),"　おにぎり","")</f>
        <v/>
      </c>
      <c r="R43" t="str">
        <f ca="1">IF(Q43&lt;&gt;"",
VLOOKUP(C43,クライアント抽出!$A:$G,6,FALSE),"")</f>
        <v/>
      </c>
      <c r="S43" t="str">
        <f ca="1">VLOOKUP(C43,クライアント抽出!$A:$O,15,FALSE)</f>
        <v/>
      </c>
      <c r="T43" t="str">
        <f ca="1">SUBSTITUTE(
IF(S43&lt;&gt;"",
VLOOKUP(
"*"&amp;IF(COUNTIF(S43,"*キャラ弁*"),"キャラ",
IF(COUNTIF(S43,"*赤*"),"赤",SUBSTITUTE(SUBSTITUTE(J43," ",""),"　","")))&amp;"*",
注文弁当の抽出!$F:$I,4,FALSE),""),"園児","先生")&amp;
IF(COUNTIF(S43,"*おにぎり*"),"　おにぎり","")</f>
        <v/>
      </c>
      <c r="U43" t="str">
        <f ca="1">IF(T43&lt;&gt;"",
VLOOKUP(C43,クライアント抽出!$A:$G,7,FALSE),"")</f>
        <v/>
      </c>
      <c r="V43" t="str">
        <f ca="1">IF(A43&lt;&gt;"",
IF(COUNTIF(V42,"*牛乳*"),
IF(AND(COUNTIF(B42,"*奈良屋*"),COUNTIF(B43,"*奈良屋*")),
V42&amp;"✔",""),VLOOKUP(""&amp;A43&amp;"",数出表_Excel!$A:$Z,22,FALSE)&amp;VLOOKUP(""&amp;A43&amp;"",数出表_Excel!$A:$Z,23,FALSE)
&amp;VLOOKUP(""&amp;C43&amp;"",数出表_Excel!$A:$Z,22,FALSE)&amp;VLOOKUP(""&amp;C43&amp;"",数出表_Excel!$A:$Z,23,FALSE)),"")</f>
        <v/>
      </c>
      <c r="W43">
        <f ca="1">IF(AND(COUNTIF(V43,"&lt;&gt;*不要*"),A43&lt;&gt;""),VLOOKUP(A43,得意先マスタ!$A:$AD,24,FALSE),0)</f>
        <v>0</v>
      </c>
      <c r="X43">
        <f ca="1">IF(AND(COUNTIF(V43,"&lt;&gt;*不要*"),A43&lt;&gt;""),VLOOKUP(A43,得意先マスタ!$A:$AD,25,FALSE),0)</f>
        <v>0</v>
      </c>
      <c r="Y43">
        <f t="shared" ca="1" si="10"/>
        <v>0</v>
      </c>
      <c r="Z43">
        <f t="shared" ca="1" si="11"/>
        <v>0</v>
      </c>
      <c r="AA43">
        <f t="shared" ca="1" si="15"/>
        <v>0</v>
      </c>
      <c r="AB43" t="str">
        <f t="shared" ca="1" si="12"/>
        <v/>
      </c>
      <c r="AC43" t="str">
        <f t="array" aca="1" ref="AC43" ca="1">IFERROR(INDEX(43:43, SMALL(IF($D43:$U43&lt;&gt;"", COLUMN($D$1:$U43)), COLUMN(A43))), "")</f>
        <v>キャラ弁当　飯あり120</v>
      </c>
      <c r="AD43" t="str">
        <f t="array" aca="1" ref="AD43" ca="1">IFERROR(INDEX(43:43, SMALL(IF($D43:$U43&lt;&gt;"", COLUMN($D$1:$U43)), COLUMN(B43))), "")</f>
        <v>弁当　園児</v>
      </c>
      <c r="AE43">
        <f t="array" aca="1" ref="AE43" ca="1">IFERROR(INDEX(43:43, SMALL(IF($D43:$U43&lt;&gt;"", COLUMN($D$1:$U43)), COLUMN(C43))), "")</f>
        <v>16</v>
      </c>
      <c r="AF43" t="str">
        <f t="array" aca="1" ref="AF43" ca="1">IFERROR(INDEX(43:43, SMALL(IF($D43:$U43&lt;&gt;"", COLUMN($D$1:$U43)), COLUMN(D43))), "")</f>
        <v>キャラ弁当　飯あり120</v>
      </c>
      <c r="AG43" t="str">
        <f t="array" aca="1" ref="AG43" ca="1">IFERROR(INDEX(43:43, SMALL(IF($D43:$U43&lt;&gt;"", COLUMN($D$1:$U43)), COLUMN(E43))), "")</f>
        <v>弁当　先生</v>
      </c>
      <c r="AH43">
        <f t="array" aca="1" ref="AH43" ca="1">IFERROR(INDEX(43:43, SMALL(IF($D43:$U43&lt;&gt;"", COLUMN($D$1:$U43)), COLUMN(F43))), "")</f>
        <v>2</v>
      </c>
      <c r="AI43" t="str">
        <f t="array" aca="1" ref="AI43" ca="1">IFERROR(INDEX(43:43, SMALL(IF($D43:$U43&lt;&gt;"", COLUMN($D$1:$U43)), COLUMN(G43))), "")</f>
        <v/>
      </c>
      <c r="AJ43" t="str">
        <f t="array" aca="1" ref="AJ43" ca="1">IFERROR(INDEX(43:43, SMALL(IF($D43:$U43&lt;&gt;"", COLUMN($D$1:$U43)), COLUMN(H43))), "")</f>
        <v/>
      </c>
      <c r="AK43" t="str">
        <f t="array" aca="1" ref="AK43" ca="1">IFERROR(INDEX(43:43, SMALL(IF($D43:$U43&lt;&gt;"", COLUMN($D$1:$U43)), COLUMN(I43))), "")</f>
        <v/>
      </c>
      <c r="AL43" t="str">
        <f t="array" aca="1" ref="AL43" ca="1">IFERROR(INDEX(43:43, SMALL(IF($D43:$U43&lt;&gt;"", COLUMN($D$1:$U43)), COLUMN(J43))), "")</f>
        <v/>
      </c>
      <c r="AM43" t="str">
        <f t="array" aca="1" ref="AM43" ca="1">IFERROR(INDEX(43:43, SMALL(IF($D43:$U43&lt;&gt;"", COLUMN($D$1:$U43)), COLUMN(K43))), "")</f>
        <v/>
      </c>
      <c r="AN43" t="str">
        <f t="array" aca="1" ref="AN43" ca="1">IFERROR(INDEX(43:43, SMALL(IF($D43:$U43&lt;&gt;"", COLUMN($D$1:$U43)), COLUMN(L43))), "")</f>
        <v/>
      </c>
      <c r="AO43" t="str">
        <f t="array" aca="1" ref="AO43" ca="1">IFERROR(INDEX(43:43, SMALL(IF($D43:$U43&lt;&gt;"", COLUMN($D$1:$U43)), COLUMN(M43))), "")</f>
        <v/>
      </c>
      <c r="AP43" t="str">
        <f t="array" aca="1" ref="AP43" ca="1">IFERROR(INDEX(43:43, SMALL(IF($D43:$U43&lt;&gt;"", COLUMN($D$1:$U43)), COLUMN(N43))), "")</f>
        <v/>
      </c>
      <c r="AQ43" t="str">
        <f t="array" aca="1" ref="AQ43" ca="1">IFERROR(INDEX(43:43, SMALL(IF($D43:$U43&lt;&gt;"", COLUMN($D$1:$U43)), COLUMN(O43))), "")</f>
        <v/>
      </c>
      <c r="AR43" s="52" t="s">
        <v>4005</v>
      </c>
      <c r="AS43" t="str">
        <f t="shared" ca="1" si="13"/>
        <v/>
      </c>
      <c r="AT43" t="str">
        <f t="shared" ca="1" si="14"/>
        <v/>
      </c>
      <c r="AU43" t="str">
        <f t="shared" ca="1" si="16"/>
        <v/>
      </c>
      <c r="AV43" t="str">
        <f t="shared" ca="1" si="17"/>
        <v/>
      </c>
      <c r="AW43" t="str">
        <f t="shared" ca="1" si="18"/>
        <v/>
      </c>
      <c r="AX43" t="str">
        <f t="shared" ca="1" si="19"/>
        <v/>
      </c>
      <c r="AZ43" t="str">
        <f t="array" aca="1" ref="AZ43" ca="1">IFERROR(INDEX(43:43, SMALL(IF($AC43:$AX43&lt;&gt;"", COLUMN($AC$1:$AX43)), COLUMN(A43))), "")</f>
        <v>キャラ弁当　飯あり120</v>
      </c>
      <c r="BA43" t="str">
        <f t="array" aca="1" ref="BA43" ca="1">IFERROR(INDEX(43:43, SMALL(IF($AC43:$AX43&lt;&gt;"", COLUMN($AC$1:$AX43)), COLUMN(B43))), "")</f>
        <v>弁当　園児</v>
      </c>
      <c r="BB43">
        <f t="array" aca="1" ref="BB43" ca="1">IFERROR(INDEX(43:43, SMALL(IF($AC43:$AX43&lt;&gt;"", COLUMN($AC$1:$AX43)), COLUMN(C43))), "")</f>
        <v>16</v>
      </c>
      <c r="BC43" t="str">
        <f t="array" aca="1" ref="BC43" ca="1">IFERROR(INDEX(43:43, SMALL(IF($AC43:$AX43&lt;&gt;"", COLUMN($AC$1:$AX43)), COLUMN(D43))), "")</f>
        <v>キャラ弁当　飯あり120</v>
      </c>
      <c r="BD43" t="str">
        <f t="array" aca="1" ref="BD43" ca="1">IFERROR(INDEX(43:43, SMALL(IF($AC43:$AX43&lt;&gt;"", COLUMN($AC$1:$AX43)), COLUMN(E43))), "")</f>
        <v>弁当　先生</v>
      </c>
      <c r="BE43">
        <f t="array" aca="1" ref="BE43" ca="1">IFERROR(INDEX(43:43, SMALL(IF($AC43:$AX43&lt;&gt;"", COLUMN($AC$1:$AX43)), COLUMN(F43))), "")</f>
        <v>2</v>
      </c>
      <c r="BF43" t="str">
        <f t="array" aca="1" ref="BF43" ca="1">IFERROR(IF(AND(COUNTIF($B43,"*泉ヶ丘*"),COUNTIF($B44,"*泉ヶ丘*")),
IFERROR(INDEX(44:44, SMALL(IF($AC44:$AX44&lt;&gt;"", COLUMN($AC$1:$AX44)), COLUMN(A44))), ""),
INDEX(43:43, SMALL(IF($AC43:$AX43&lt;&gt;"", COLUMN($AC$1:$AX43)), COLUMN(G43)))), "")</f>
        <v>●</v>
      </c>
      <c r="BG43" t="str">
        <f t="array" aca="1" ref="BG43" ca="1">IFERROR(IF(AND(COUNTIF($B43,"*泉ヶ丘*"),COUNTIF($B44,"*泉ヶ丘*")),
IFERROR(INDEX(44:44, SMALL(IF($AC44:$AX44&lt;&gt;"", COLUMN($AC$1:$AX44)), COLUMN(B44))), ""),
INDEX(43:43, SMALL(IF($AC43:$AX43&lt;&gt;"", COLUMN($AC$1:$AX43)), COLUMN(H43)))), "")</f>
        <v/>
      </c>
      <c r="BH43" t="str">
        <f t="array" aca="1" ref="BH43" ca="1">IFERROR(IF(AND(COUNTIF($B43,"*泉ヶ丘*"),COUNTIF($B44,"*泉ヶ丘*")),
IFERROR(INDEX(44:44, SMALL(IF($AC44:$AX44&lt;&gt;"", COLUMN($AC$1:$AX44)), COLUMN(C44))), ""),
INDEX(43:43, SMALL(IF($AC43:$AX43&lt;&gt;"", COLUMN($AC$1:$AX43)), COLUMN(I43)))), "")</f>
        <v/>
      </c>
      <c r="BI43" t="str">
        <f t="array" aca="1" ref="BI43" ca="1">IFERROR(IF(AND(COUNTIF($B43,"*泉ヶ丘*"),COUNTIF($B44,"*泉ヶ丘*")),
IFERROR(INDEX(44:44, SMALL(IF($AC44:$AX44&lt;&gt;"", COLUMN($AC$1:$AX44)), COLUMN(D44))), ""),
INDEX(43:43, SMALL(IF($AC43:$AX43&lt;&gt;"", COLUMN($AC$1:$AX43)), COLUMN(J43)))), "")</f>
        <v/>
      </c>
      <c r="BJ43" t="str">
        <f t="array" aca="1" ref="BJ43" ca="1">IFERROR(IF(AND(COUNTIF($B43,"*泉ヶ丘*"),COUNTIF($B44,"*泉ヶ丘*")),
IFERROR(INDEX(44:44, SMALL(IF($AC44:$AX44&lt;&gt;"", COLUMN($AC$1:$AX44)), COLUMN(E44))), ""),
INDEX(43:43, SMALL(IF($AC43:$AX43&lt;&gt;"", COLUMN($AC$1:$AX43)), COLUMN(K43)))), "")</f>
        <v/>
      </c>
      <c r="BK43" t="str">
        <f t="array" aca="1" ref="BK43" ca="1">IFERROR(IF(AND(COUNTIF($B43,"*泉ヶ丘*"),COUNTIF($B44,"*泉ヶ丘*")),
IFERROR(INDEX(44:44, SMALL(IF($AC44:$AX44&lt;&gt;"", COLUMN($AC$1:$AX44)), COLUMN(F44))), ""),
INDEX(43:43, SMALL(IF($AC43:$AX43&lt;&gt;"", COLUMN($AC$1:$AX43)), COLUMN(L43)))), "")</f>
        <v/>
      </c>
      <c r="BL43" t="str">
        <f t="array" aca="1" ref="BL43" ca="1">IFERROR(IF(AND(COUNTIF($B43,"*泉ヶ丘*"),COUNTIF($B44,"*泉ヶ丘*")),
IFERROR(INDEX(44:44, SMALL(IF($AC44:$AX44&lt;&gt;"", COLUMN($AC$1:$AX44)), COLUMN(G44))), ""),
INDEX(43:43, SMALL(IF($AC43:$AX43&lt;&gt;"", COLUMN($AC$1:$AX43)), COLUMN(M43)))), "")</f>
        <v/>
      </c>
      <c r="BM43" t="str">
        <f t="array" aca="1" ref="BM43" ca="1">IFERROR(IF(AND(COUNTIF($B43,"*泉ヶ丘*"),COUNTIF($B44,"*泉ヶ丘*")),
IFERROR(INDEX(44:44, SMALL(IF($AC44:$AX44&lt;&gt;"", COLUMN($AC$1:$AX44)), COLUMN(H44))), ""),
INDEX(43:43, SMALL(IF($AC43:$AX43&lt;&gt;"", COLUMN($AC$1:$AX43)), COLUMN(N43)))), "")</f>
        <v/>
      </c>
      <c r="BN43" t="str">
        <f t="array" aca="1" ref="BN43" ca="1">IFERROR(IF(AND(COUNTIF($B43,"*泉ヶ丘*"),COUNTIF($B44,"*泉ヶ丘*")),
IFERROR(INDEX(44:44, SMALL(IF($AC44:$AX44&lt;&gt;"", COLUMN($AC$1:$AX44)), COLUMN(I44))), ""),
INDEX(43:43, SMALL(IF($AC43:$AX43&lt;&gt;"", COLUMN($AC$1:$AX43)), COLUMN(O43)))), "")</f>
        <v/>
      </c>
      <c r="BO43" t="str">
        <f t="array" aca="1" ref="BO43" ca="1">IFERROR(IF(AND(COUNTIF($B43,"*泉ヶ丘*"),COUNTIF($B44,"*泉ヶ丘*")),
IFERROR(INDEX(44:44, SMALL(IF($AC44:$AX44&lt;&gt;"", COLUMN($AC$1:$AX44)), COLUMN(J44))), ""),
INDEX(43:43, SMALL(IF($AC43:$AX43&lt;&gt;"", COLUMN($AC$1:$AX43)), COLUMN(P43)))), "")</f>
        <v/>
      </c>
      <c r="BP43" t="str">
        <f t="array" aca="1" ref="BP43" ca="1">IFERROR(IF(AND(COUNTIF($B43,"*泉ヶ丘*"),COUNTIF($B44,"*泉ヶ丘*")),
IFERROR(INDEX(44:44, SMALL(IF($AC44:$AX44&lt;&gt;"", COLUMN($AC$1:$AX44)), COLUMN(K44))), ""),
INDEX(43:43, SMALL(IF($AC43:$AX43&lt;&gt;"", COLUMN($AC$1:$AX43)), COLUMN(Q43)))), "")</f>
        <v/>
      </c>
      <c r="BQ43" t="str">
        <f t="array" aca="1" ref="BQ43" ca="1">IFERROR(IF(AND(COUNTIF($B43,"*泉ヶ丘*"),COUNTIF($B44,"*泉ヶ丘*")),
IFERROR(INDEX(44:44, SMALL(IF($AC44:$AX44&lt;&gt;"", COLUMN($AC$1:$AX44)), COLUMN(L44))), ""),
INDEX(43:43, SMALL(IF($AC43:$AX43&lt;&gt;"", COLUMN($AC$1:$AX43)), COLUMN(R43)))), "")</f>
        <v/>
      </c>
    </row>
    <row r="44" spans="1:69" x14ac:dyDescent="0.45">
      <c r="A44" t="str">
        <f t="array" ref="A44">IF(INDEX(貼り付け用!A:A,MATCH(A43,貼り付け用!A:A,0)+2)="4700",
IF(INDEX(貼り付け用!A:A,MATCH(A43,貼り付け用!A:A,0)+4)="4800",
INDEX(貼り付け用!A:A,MATCH(A43,貼り付け用!A:A,0)+6),
INDEX(貼り付け用!A:A,MATCH(A43,貼り付け用!A:A,0)+4)),INDEX(貼り付け用!A:A,MATCH(A43,貼り付け用!A:A,0)+2))</f>
        <v>8100</v>
      </c>
      <c r="B44" t="str">
        <f>IF(A44&lt;&gt;"",
VLOOKUP(A44,得意先マスタ!A:D,2,FALSE),"")</f>
        <v>香蘭幼稚園</v>
      </c>
      <c r="C44" t="str">
        <f t="array" ref="C44">IF(A44="10000","",INDEX(貼り付け用!A:A,MATCH(A44,貼り付け用!A:A,0)+1))</f>
        <v>香蘭幼稚園</v>
      </c>
      <c r="D44" t="str">
        <f ca="1">VLOOKUP(C44,クライアント抽出!$A:$O,10,FALSE)</f>
        <v>赤　飯なし</v>
      </c>
      <c r="E44" t="str">
        <f ca="1">IF(D44&lt;&gt;"",
IF(COUNTIF(C44,"*ぺんぎん*"),
VLOOKUP(
"*"&amp;IF(COUNTIF(D44,"*キャラ弁*"),"キャラ",
IF(COUNTIF(D44,"*赤*"),"赤",SUBSTITUTE(SUBSTITUTE(D44," ",""),"　","")))&amp;"*",
注文弁当の抽出!$F:$I,4,FALSE)&amp;
IF(COUNTIF(D44,"*おにぎり*"),"　おにぎり","")&amp;"　（ぺんぎん組）",
VLOOKUP(
"*"&amp;IF(COUNTIF(D44,"*キャラ弁*"),"キャラ",
IF(COUNTIF(D44,"*赤*"),"赤",SUBSTITUTE(SUBSTITUTE(D44," ",""),"　","")))&amp;"*",
注文弁当の抽出!$F:$I,4,FALSE)&amp;
IF(COUNTIF(D44,"*おにぎり*"),"　おにぎり","")),"")</f>
        <v>弁当　園児</v>
      </c>
      <c r="F44">
        <f ca="1">IFERROR(IF(E44&lt;&gt;"",
VLOOKUP(C44,クライアント抽出!$A:$G,2,FALSE)+
IF(COUNTIF(Y44,"*-*"),Y44,0),"")
-IFERROR(MID(V44, SEARCH("予備", V44) + LEN("予備"), SEARCH("込み", V44) - (SEARCH("予備", V44) + LEN("予備"))),0),"")</f>
        <v>278</v>
      </c>
      <c r="G44" t="str">
        <f ca="1">VLOOKUP(C44,クライアント抽出!$A:$O,11,FALSE)</f>
        <v/>
      </c>
      <c r="H44" t="str">
        <f ca="1">IF(G44&lt;&gt;"",
VLOOKUP(
"*"&amp;IF(COUNTIF(G44,"*キャラ弁*"),"キャラ",
IF(COUNTIF(G44,"*赤*"),"赤",SUBSTITUTE(SUBSTITUTE(G44," ",""),"　","")))&amp;"*",
注文弁当の抽出!$F:$I,4,FALSE)&amp;
IF(COUNTIF(G44,"*おにぎり*"),"　おにぎり",""),"")</f>
        <v/>
      </c>
      <c r="I44" t="str">
        <f ca="1">IF(H44&lt;&gt;"",
VLOOKUP(C44,クライアント抽出!$A:$G,3,FALSE)+
IF(COUNTIF(C44,"*博多*"),Y44,Z44),"")</f>
        <v/>
      </c>
      <c r="J44" t="str">
        <f ca="1">VLOOKUP(C44,クライアント抽出!$A:$O,12,FALSE)</f>
        <v/>
      </c>
      <c r="K44" t="str">
        <f ca="1">IF(J44&lt;&gt;"",
VLOOKUP(
"*"&amp;IF(COUNTIF(J44,"*キャラ弁*"),"キャラ",
IF(COUNTIF(J44,"*赤*"),"赤",SUBSTITUTE(SUBSTITUTE(J44," ",""),"　","")))&amp;"*",
注文弁当の抽出!$F:$I,4,FALSE)&amp;
IF(COUNTIF(J44,"*おにぎり*"),"　おにぎり",""),"")</f>
        <v/>
      </c>
      <c r="L44" t="str">
        <f ca="1">IF(K44&lt;&gt;"",
VLOOKUP(C44,クライアント抽出!$A:$G,4,FALSE)+AA44,"")</f>
        <v/>
      </c>
      <c r="M44" t="str">
        <f ca="1">VLOOKUP(C44,クライアント抽出!$A:$O,13,FALSE)</f>
        <v>赤　飯なし</v>
      </c>
      <c r="N44" t="str">
        <f ca="1">SUBSTITUTE(
IF(M44&lt;&gt;"",
VLOOKUP(
"*"&amp;IF(COUNTIF(M44,"*キャラ弁*"),"キャラ",
IF(COUNTIF(M44,"*赤*"),"赤",SUBSTITUTE(SUBSTITUTE(D44," ",""),"　","")))&amp;"*",
注文弁当の抽出!$F:$I,4,FALSE),""),"園児","先生")&amp;
IF(COUNTIF(M44,"*おにぎり*"),"　おにぎり","")</f>
        <v>弁当　先生</v>
      </c>
      <c r="O44">
        <f ca="1">IF(N44&lt;&gt;"",VLOOKUP(C44,クライアント抽出!$A:$G,5,FALSE),"")</f>
        <v>27</v>
      </c>
      <c r="P44" t="str">
        <f ca="1">VLOOKUP(C44,クライアント抽出!$A:$O,14,FALSE)</f>
        <v/>
      </c>
      <c r="Q44" t="str">
        <f ca="1">SUBSTITUTE(
IF(P44&lt;&gt;"",
VLOOKUP(
"*"&amp;IF(COUNTIF(P44,"*キャラ弁*"),"キャラ",
IF(COUNTIF(P44,"*赤*"),"赤",SUBSTITUTE(SUBSTITUTE(G44," ",""),"　","")))&amp;"*",
注文弁当の抽出!$F:$I,4,FALSE),""),"園児","先生")&amp;
IF(COUNTIF(P44,"*おにぎり*"),"　おにぎり","")</f>
        <v/>
      </c>
      <c r="R44" t="str">
        <f ca="1">IF(Q44&lt;&gt;"",
VLOOKUP(C44,クライアント抽出!$A:$G,6,FALSE),"")</f>
        <v/>
      </c>
      <c r="S44" t="str">
        <f ca="1">VLOOKUP(C44,クライアント抽出!$A:$O,15,FALSE)</f>
        <v/>
      </c>
      <c r="T44" t="str">
        <f ca="1">SUBSTITUTE(
IF(S44&lt;&gt;"",
VLOOKUP(
"*"&amp;IF(COUNTIF(S44,"*キャラ弁*"),"キャラ",
IF(COUNTIF(S44,"*赤*"),"赤",SUBSTITUTE(SUBSTITUTE(J44," ",""),"　","")))&amp;"*",
注文弁当の抽出!$F:$I,4,FALSE),""),"園児","先生")&amp;
IF(COUNTIF(S44,"*おにぎり*"),"　おにぎり","")</f>
        <v/>
      </c>
      <c r="U44" t="str">
        <f ca="1">IF(T44&lt;&gt;"",
VLOOKUP(C44,クライアント抽出!$A:$G,7,FALSE),"")</f>
        <v/>
      </c>
      <c r="V44" t="str">
        <f ca="1">IF(A44&lt;&gt;"",
IF(COUNTIF(V43,"*牛乳*"),
IF(AND(COUNTIF(B43,"*奈良屋*"),COUNTIF(B44,"*奈良屋*")),
V43&amp;"✔",""),VLOOKUP(""&amp;A44&amp;"",数出表_Excel!$A:$Z,22,FALSE)&amp;VLOOKUP(""&amp;A44&amp;"",数出表_Excel!$A:$Z,23,FALSE)
&amp;VLOOKUP(""&amp;C44&amp;"",数出表_Excel!$A:$Z,22,FALSE)&amp;VLOOKUP(""&amp;C44&amp;"",数出表_Excel!$A:$Z,23,FALSE)),"")</f>
        <v>おかわり用保温箱1.5Ｋ×1</v>
      </c>
      <c r="W44" t="str">
        <f ca="1">IF(AND(COUNTIF(V44,"&lt;&gt;*不要*"),A44&lt;&gt;""),VLOOKUP(A44,得意先マスタ!$A:$AD,24,FALSE),0)</f>
        <v>予備</v>
      </c>
      <c r="X44" t="str">
        <f ca="1">IF(AND(COUNTIF(V44,"&lt;&gt;*不要*"),A44&lt;&gt;""),VLOOKUP(A44,得意先マスタ!$A:$AD,25,FALSE),0)</f>
        <v>2</v>
      </c>
      <c r="Y44" t="str">
        <f t="shared" ca="1" si="10"/>
        <v>2</v>
      </c>
      <c r="Z44">
        <f t="shared" ca="1" si="11"/>
        <v>0</v>
      </c>
      <c r="AA44">
        <f t="shared" ca="1" si="15"/>
        <v>0</v>
      </c>
      <c r="AB44" t="str">
        <f t="shared" ca="1" si="12"/>
        <v>弁当　予備</v>
      </c>
      <c r="AC44" t="str">
        <f t="array" aca="1" ref="AC44" ca="1">IFERROR(INDEX(44:44, SMALL(IF($D44:$U44&lt;&gt;"", COLUMN($D$1:$U44)), COLUMN(A44))), "")</f>
        <v>赤　飯なし</v>
      </c>
      <c r="AD44" t="str">
        <f t="array" aca="1" ref="AD44" ca="1">IFERROR(INDEX(44:44, SMALL(IF($D44:$U44&lt;&gt;"", COLUMN($D$1:$U44)), COLUMN(B44))), "")</f>
        <v>弁当　園児</v>
      </c>
      <c r="AE44">
        <f t="array" aca="1" ref="AE44" ca="1">IFERROR(INDEX(44:44, SMALL(IF($D44:$U44&lt;&gt;"", COLUMN($D$1:$U44)), COLUMN(C44))), "")</f>
        <v>278</v>
      </c>
      <c r="AF44" t="str">
        <f t="array" aca="1" ref="AF44" ca="1">IFERROR(INDEX(44:44, SMALL(IF($D44:$U44&lt;&gt;"", COLUMN($D$1:$U44)), COLUMN(D44))), "")</f>
        <v>赤　飯なし</v>
      </c>
      <c r="AG44" t="str">
        <f t="array" aca="1" ref="AG44" ca="1">IFERROR(INDEX(44:44, SMALL(IF($D44:$U44&lt;&gt;"", COLUMN($D$1:$U44)), COLUMN(E44))), "")</f>
        <v>弁当　先生</v>
      </c>
      <c r="AH44">
        <f t="array" aca="1" ref="AH44" ca="1">IFERROR(INDEX(44:44, SMALL(IF($D44:$U44&lt;&gt;"", COLUMN($D$1:$U44)), COLUMN(F44))), "")</f>
        <v>27</v>
      </c>
      <c r="AI44" t="str">
        <f t="array" aca="1" ref="AI44" ca="1">IFERROR(INDEX(44:44, SMALL(IF($D44:$U44&lt;&gt;"", COLUMN($D$1:$U44)), COLUMN(G44))), "")</f>
        <v/>
      </c>
      <c r="AJ44" t="str">
        <f t="array" aca="1" ref="AJ44" ca="1">IFERROR(INDEX(44:44, SMALL(IF($D44:$U44&lt;&gt;"", COLUMN($D$1:$U44)), COLUMN(H44))), "")</f>
        <v/>
      </c>
      <c r="AK44" t="str">
        <f t="array" aca="1" ref="AK44" ca="1">IFERROR(INDEX(44:44, SMALL(IF($D44:$U44&lt;&gt;"", COLUMN($D$1:$U44)), COLUMN(I44))), "")</f>
        <v/>
      </c>
      <c r="AL44" t="str">
        <f t="array" aca="1" ref="AL44" ca="1">IFERROR(INDEX(44:44, SMALL(IF($D44:$U44&lt;&gt;"", COLUMN($D$1:$U44)), COLUMN(J44))), "")</f>
        <v/>
      </c>
      <c r="AM44" t="str">
        <f t="array" aca="1" ref="AM44" ca="1">IFERROR(INDEX(44:44, SMALL(IF($D44:$U44&lt;&gt;"", COLUMN($D$1:$U44)), COLUMN(K44))), "")</f>
        <v/>
      </c>
      <c r="AN44" t="str">
        <f t="array" aca="1" ref="AN44" ca="1">IFERROR(INDEX(44:44, SMALL(IF($D44:$U44&lt;&gt;"", COLUMN($D$1:$U44)), COLUMN(L44))), "")</f>
        <v/>
      </c>
      <c r="AO44" t="str">
        <f t="array" aca="1" ref="AO44" ca="1">IFERROR(INDEX(44:44, SMALL(IF($D44:$U44&lt;&gt;"", COLUMN($D$1:$U44)), COLUMN(M44))), "")</f>
        <v/>
      </c>
      <c r="AP44" t="str">
        <f t="array" aca="1" ref="AP44" ca="1">IFERROR(INDEX(44:44, SMALL(IF($D44:$U44&lt;&gt;"", COLUMN($D$1:$U44)), COLUMN(N44))), "")</f>
        <v/>
      </c>
      <c r="AQ44" t="str">
        <f t="array" aca="1" ref="AQ44" ca="1">IFERROR(INDEX(44:44, SMALL(IF($D44:$U44&lt;&gt;"", COLUMN($D$1:$U44)), COLUMN(O44))), "")</f>
        <v/>
      </c>
      <c r="AR44" s="52" t="s">
        <v>4005</v>
      </c>
      <c r="AS44" t="str">
        <f t="shared" ca="1" si="13"/>
        <v>弁当　予備</v>
      </c>
      <c r="AT44" t="str">
        <f t="shared" ca="1" si="14"/>
        <v>2</v>
      </c>
      <c r="AU44" t="str">
        <f t="shared" ca="1" si="16"/>
        <v/>
      </c>
      <c r="AV44" t="str">
        <f t="shared" ca="1" si="17"/>
        <v/>
      </c>
      <c r="AW44" t="str">
        <f t="shared" ca="1" si="18"/>
        <v/>
      </c>
      <c r="AX44" t="str">
        <f t="shared" ca="1" si="19"/>
        <v/>
      </c>
      <c r="AZ44" t="str">
        <f t="array" aca="1" ref="AZ44" ca="1">IFERROR(INDEX(44:44, SMALL(IF($AC44:$AX44&lt;&gt;"", COLUMN($AC$1:$AX44)), COLUMN(A44))), "")</f>
        <v>赤　飯なし</v>
      </c>
      <c r="BA44" t="str">
        <f t="array" aca="1" ref="BA44" ca="1">IFERROR(INDEX(44:44, SMALL(IF($AC44:$AX44&lt;&gt;"", COLUMN($AC$1:$AX44)), COLUMN(B44))), "")</f>
        <v>弁当　園児</v>
      </c>
      <c r="BB44">
        <f t="array" aca="1" ref="BB44" ca="1">IFERROR(INDEX(44:44, SMALL(IF($AC44:$AX44&lt;&gt;"", COLUMN($AC$1:$AX44)), COLUMN(C44))), "")</f>
        <v>278</v>
      </c>
      <c r="BC44" t="str">
        <f t="array" aca="1" ref="BC44" ca="1">IFERROR(INDEX(44:44, SMALL(IF($AC44:$AX44&lt;&gt;"", COLUMN($AC$1:$AX44)), COLUMN(D44))), "")</f>
        <v>赤　飯なし</v>
      </c>
      <c r="BD44" t="str">
        <f t="array" aca="1" ref="BD44" ca="1">IFERROR(INDEX(44:44, SMALL(IF($AC44:$AX44&lt;&gt;"", COLUMN($AC$1:$AX44)), COLUMN(E44))), "")</f>
        <v>弁当　先生</v>
      </c>
      <c r="BE44">
        <f t="array" aca="1" ref="BE44" ca="1">IFERROR(INDEX(44:44, SMALL(IF($AC44:$AX44&lt;&gt;"", COLUMN($AC$1:$AX44)), COLUMN(F44))), "")</f>
        <v>27</v>
      </c>
      <c r="BF44" t="str">
        <f t="array" aca="1" ref="BF44" ca="1">IFERROR(IF(AND(COUNTIF($B44,"*泉ヶ丘*"),COUNTIF($B45,"*泉ヶ丘*")),
IFERROR(INDEX(45:45, SMALL(IF($AC45:$AX45&lt;&gt;"", COLUMN($AC$1:$AX45)), COLUMN(A45))), ""),
INDEX(44:44, SMALL(IF($AC44:$AX44&lt;&gt;"", COLUMN($AC$1:$AX44)), COLUMN(G44)))), "")</f>
        <v>●</v>
      </c>
      <c r="BG44" t="str">
        <f t="array" aca="1" ref="BG44" ca="1">IFERROR(IF(AND(COUNTIF($B44,"*泉ヶ丘*"),COUNTIF($B45,"*泉ヶ丘*")),
IFERROR(INDEX(45:45, SMALL(IF($AC45:$AX45&lt;&gt;"", COLUMN($AC$1:$AX45)), COLUMN(B45))), ""),
INDEX(44:44, SMALL(IF($AC44:$AX44&lt;&gt;"", COLUMN($AC$1:$AX44)), COLUMN(H44)))), "")</f>
        <v>弁当　予備</v>
      </c>
      <c r="BH44" t="str">
        <f t="array" aca="1" ref="BH44" ca="1">IFERROR(IF(AND(COUNTIF($B44,"*泉ヶ丘*"),COUNTIF($B45,"*泉ヶ丘*")),
IFERROR(INDEX(45:45, SMALL(IF($AC45:$AX45&lt;&gt;"", COLUMN($AC$1:$AX45)), COLUMN(C45))), ""),
INDEX(44:44, SMALL(IF($AC44:$AX44&lt;&gt;"", COLUMN($AC$1:$AX44)), COLUMN(I44)))), "")</f>
        <v>2</v>
      </c>
      <c r="BI44" t="str">
        <f t="array" aca="1" ref="BI44" ca="1">IFERROR(IF(AND(COUNTIF($B44,"*泉ヶ丘*"),COUNTIF($B45,"*泉ヶ丘*")),
IFERROR(INDEX(45:45, SMALL(IF($AC45:$AX45&lt;&gt;"", COLUMN($AC$1:$AX45)), COLUMN(D45))), ""),
INDEX(44:44, SMALL(IF($AC44:$AX44&lt;&gt;"", COLUMN($AC$1:$AX44)), COLUMN(J44)))), "")</f>
        <v/>
      </c>
      <c r="BJ44" t="str">
        <f t="array" aca="1" ref="BJ44" ca="1">IFERROR(IF(AND(COUNTIF($B44,"*泉ヶ丘*"),COUNTIF($B45,"*泉ヶ丘*")),
IFERROR(INDEX(45:45, SMALL(IF($AC45:$AX45&lt;&gt;"", COLUMN($AC$1:$AX45)), COLUMN(E45))), ""),
INDEX(44:44, SMALL(IF($AC44:$AX44&lt;&gt;"", COLUMN($AC$1:$AX44)), COLUMN(K44)))), "")</f>
        <v/>
      </c>
      <c r="BK44" t="str">
        <f t="array" aca="1" ref="BK44" ca="1">IFERROR(IF(AND(COUNTIF($B44,"*泉ヶ丘*"),COUNTIF($B45,"*泉ヶ丘*")),
IFERROR(INDEX(45:45, SMALL(IF($AC45:$AX45&lt;&gt;"", COLUMN($AC$1:$AX45)), COLUMN(F45))), ""),
INDEX(44:44, SMALL(IF($AC44:$AX44&lt;&gt;"", COLUMN($AC$1:$AX44)), COLUMN(L44)))), "")</f>
        <v/>
      </c>
      <c r="BL44" t="str">
        <f t="array" aca="1" ref="BL44" ca="1">IFERROR(IF(AND(COUNTIF($B44,"*泉ヶ丘*"),COUNTIF($B45,"*泉ヶ丘*")),
IFERROR(INDEX(45:45, SMALL(IF($AC45:$AX45&lt;&gt;"", COLUMN($AC$1:$AX45)), COLUMN(G45))), ""),
INDEX(44:44, SMALL(IF($AC44:$AX44&lt;&gt;"", COLUMN($AC$1:$AX44)), COLUMN(M44)))), "")</f>
        <v/>
      </c>
      <c r="BM44" t="str">
        <f t="array" aca="1" ref="BM44" ca="1">IFERROR(IF(AND(COUNTIF($B44,"*泉ヶ丘*"),COUNTIF($B45,"*泉ヶ丘*")),
IFERROR(INDEX(45:45, SMALL(IF($AC45:$AX45&lt;&gt;"", COLUMN($AC$1:$AX45)), COLUMN(H45))), ""),
INDEX(44:44, SMALL(IF($AC44:$AX44&lt;&gt;"", COLUMN($AC$1:$AX44)), COLUMN(N44)))), "")</f>
        <v/>
      </c>
      <c r="BN44" t="str">
        <f t="array" aca="1" ref="BN44" ca="1">IFERROR(IF(AND(COUNTIF($B44,"*泉ヶ丘*"),COUNTIF($B45,"*泉ヶ丘*")),
IFERROR(INDEX(45:45, SMALL(IF($AC45:$AX45&lt;&gt;"", COLUMN($AC$1:$AX45)), COLUMN(I45))), ""),
INDEX(44:44, SMALL(IF($AC44:$AX44&lt;&gt;"", COLUMN($AC$1:$AX44)), COLUMN(O44)))), "")</f>
        <v/>
      </c>
      <c r="BO44" t="str">
        <f t="array" aca="1" ref="BO44" ca="1">IFERROR(IF(AND(COUNTIF($B44,"*泉ヶ丘*"),COUNTIF($B45,"*泉ヶ丘*")),
IFERROR(INDEX(45:45, SMALL(IF($AC45:$AX45&lt;&gt;"", COLUMN($AC$1:$AX45)), COLUMN(J45))), ""),
INDEX(44:44, SMALL(IF($AC44:$AX44&lt;&gt;"", COLUMN($AC$1:$AX44)), COLUMN(P44)))), "")</f>
        <v/>
      </c>
      <c r="BP44" t="str">
        <f t="array" aca="1" ref="BP44" ca="1">IFERROR(IF(AND(COUNTIF($B44,"*泉ヶ丘*"),COUNTIF($B45,"*泉ヶ丘*")),
IFERROR(INDEX(45:45, SMALL(IF($AC45:$AX45&lt;&gt;"", COLUMN($AC$1:$AX45)), COLUMN(K45))), ""),
INDEX(44:44, SMALL(IF($AC44:$AX44&lt;&gt;"", COLUMN($AC$1:$AX44)), COLUMN(Q44)))), "")</f>
        <v/>
      </c>
      <c r="BQ44" t="str">
        <f t="array" aca="1" ref="BQ44" ca="1">IFERROR(IF(AND(COUNTIF($B44,"*泉ヶ丘*"),COUNTIF($B45,"*泉ヶ丘*")),
IFERROR(INDEX(45:45, SMALL(IF($AC45:$AX45&lt;&gt;"", COLUMN($AC$1:$AX45)), COLUMN(L45))), ""),
INDEX(44:44, SMALL(IF($AC44:$AX44&lt;&gt;"", COLUMN($AC$1:$AX44)), COLUMN(R44)))), "")</f>
        <v/>
      </c>
    </row>
    <row r="45" spans="1:69" x14ac:dyDescent="0.45">
      <c r="A45" t="str">
        <f t="array" ref="A45">IF(INDEX(貼り付け用!A:A,MATCH(A44,貼り付け用!A:A,0)+2)="4700",
IF(INDEX(貼り付け用!A:A,MATCH(A44,貼り付け用!A:A,0)+4)="4800",
INDEX(貼り付け用!A:A,MATCH(A44,貼り付け用!A:A,0)+6),
INDEX(貼り付け用!A:A,MATCH(A44,貼り付け用!A:A,0)+4)),INDEX(貼り付け用!A:A,MATCH(A44,貼り付け用!A:A,0)+2))</f>
        <v>8107</v>
      </c>
      <c r="B45" t="str">
        <f>IF(A45&lt;&gt;"",
VLOOKUP(A45,得意先マスタ!A:D,2,FALSE),"")</f>
        <v>香蘭幼稚園　つぼみ組</v>
      </c>
      <c r="C45" t="str">
        <f t="array" ref="C45">IF(A45="10000","",INDEX(貼り付け用!A:A,MATCH(A45,貼り付け用!A:A,0)+1))</f>
        <v>香蘭 つぼみ</v>
      </c>
      <c r="D45" t="str">
        <f ca="1">VLOOKUP(C45,クライアント抽出!$A:$O,10,FALSE)</f>
        <v>赤　飯なし</v>
      </c>
      <c r="E45" t="str">
        <f ca="1">IF(D45&lt;&gt;"",
IF(COUNTIF(C45,"*ぺんぎん*"),
VLOOKUP(
"*"&amp;IF(COUNTIF(D45,"*キャラ弁*"),"キャラ",
IF(COUNTIF(D45,"*赤*"),"赤",SUBSTITUTE(SUBSTITUTE(D45," ",""),"　","")))&amp;"*",
注文弁当の抽出!$F:$I,4,FALSE)&amp;
IF(COUNTIF(D45,"*おにぎり*"),"　おにぎり","")&amp;"　（ぺんぎん組）",
VLOOKUP(
"*"&amp;IF(COUNTIF(D45,"*キャラ弁*"),"キャラ",
IF(COUNTIF(D45,"*赤*"),"赤",SUBSTITUTE(SUBSTITUTE(D45," ",""),"　","")))&amp;"*",
注文弁当の抽出!$F:$I,4,FALSE)&amp;
IF(COUNTIF(D45,"*おにぎり*"),"　おにぎり","")),"")</f>
        <v>弁当　園児</v>
      </c>
      <c r="F45">
        <f ca="1">IFERROR(IF(E45&lt;&gt;"",
VLOOKUP(C45,クライアント抽出!$A:$G,2,FALSE)+
IF(COUNTIF(Y45,"*-*"),Y45,0),"")
-IFERROR(MID(V45, SEARCH("予備", V45) + LEN("予備"), SEARCH("込み", V45) - (SEARCH("予備", V45) + LEN("予備"))),0),"")</f>
        <v>9</v>
      </c>
      <c r="G45" t="str">
        <f ca="1">VLOOKUP(C45,クライアント抽出!$A:$O,11,FALSE)</f>
        <v/>
      </c>
      <c r="H45" t="str">
        <f ca="1">IF(G45&lt;&gt;"",
VLOOKUP(
"*"&amp;IF(COUNTIF(G45,"*キャラ弁*"),"キャラ",
IF(COUNTIF(G45,"*赤*"),"赤",SUBSTITUTE(SUBSTITUTE(G45," ",""),"　","")))&amp;"*",
注文弁当の抽出!$F:$I,4,FALSE)&amp;
IF(COUNTIF(G45,"*おにぎり*"),"　おにぎり",""),"")</f>
        <v/>
      </c>
      <c r="I45" t="str">
        <f ca="1">IF(H45&lt;&gt;"",
VLOOKUP(C45,クライアント抽出!$A:$G,3,FALSE)+
IF(COUNTIF(C45,"*博多*"),Y45,Z45),"")</f>
        <v/>
      </c>
      <c r="J45" t="str">
        <f ca="1">VLOOKUP(C45,クライアント抽出!$A:$O,12,FALSE)</f>
        <v/>
      </c>
      <c r="K45" t="str">
        <f ca="1">IF(J45&lt;&gt;"",
VLOOKUP(
"*"&amp;IF(COUNTIF(J45,"*キャラ弁*"),"キャラ",
IF(COUNTIF(J45,"*赤*"),"赤",SUBSTITUTE(SUBSTITUTE(J45," ",""),"　","")))&amp;"*",
注文弁当の抽出!$F:$I,4,FALSE)&amp;
IF(COUNTIF(J45,"*おにぎり*"),"　おにぎり",""),"")</f>
        <v/>
      </c>
      <c r="L45" t="str">
        <f ca="1">IF(K45&lt;&gt;"",
VLOOKUP(C45,クライアント抽出!$A:$G,4,FALSE)+AA45,"")</f>
        <v/>
      </c>
      <c r="M45" t="str">
        <f ca="1">VLOOKUP(C45,クライアント抽出!$A:$O,13,FALSE)</f>
        <v/>
      </c>
      <c r="N45" t="str">
        <f ca="1">SUBSTITUTE(
IF(M45&lt;&gt;"",
VLOOKUP(
"*"&amp;IF(COUNTIF(M45,"*キャラ弁*"),"キャラ",
IF(COUNTIF(M45,"*赤*"),"赤",SUBSTITUTE(SUBSTITUTE(D45," ",""),"　","")))&amp;"*",
注文弁当の抽出!$F:$I,4,FALSE),""),"園児","先生")&amp;
IF(COUNTIF(M45,"*おにぎり*"),"　おにぎり","")</f>
        <v/>
      </c>
      <c r="O45" t="str">
        <f ca="1">IF(N45&lt;&gt;"",VLOOKUP(C45,クライアント抽出!$A:$G,5,FALSE),"")</f>
        <v/>
      </c>
      <c r="P45" t="str">
        <f ca="1">VLOOKUP(C45,クライアント抽出!$A:$O,14,FALSE)</f>
        <v/>
      </c>
      <c r="Q45" t="str">
        <f ca="1">SUBSTITUTE(
IF(P45&lt;&gt;"",
VLOOKUP(
"*"&amp;IF(COUNTIF(P45,"*キャラ弁*"),"キャラ",
IF(COUNTIF(P45,"*赤*"),"赤",SUBSTITUTE(SUBSTITUTE(G45," ",""),"　","")))&amp;"*",
注文弁当の抽出!$F:$I,4,FALSE),""),"園児","先生")&amp;
IF(COUNTIF(P45,"*おにぎり*"),"　おにぎり","")</f>
        <v/>
      </c>
      <c r="R45" t="str">
        <f ca="1">IF(Q45&lt;&gt;"",
VLOOKUP(C45,クライアント抽出!$A:$G,6,FALSE),"")</f>
        <v/>
      </c>
      <c r="S45" t="str">
        <f ca="1">VLOOKUP(C45,クライアント抽出!$A:$O,15,FALSE)</f>
        <v/>
      </c>
      <c r="T45" t="str">
        <f ca="1">SUBSTITUTE(
IF(S45&lt;&gt;"",
VLOOKUP(
"*"&amp;IF(COUNTIF(S45,"*キャラ弁*"),"キャラ",
IF(COUNTIF(S45,"*赤*"),"赤",SUBSTITUTE(SUBSTITUTE(J45," ",""),"　","")))&amp;"*",
注文弁当の抽出!$F:$I,4,FALSE),""),"園児","先生")&amp;
IF(COUNTIF(S45,"*おにぎり*"),"　おにぎり","")</f>
        <v/>
      </c>
      <c r="U45" t="str">
        <f ca="1">IF(T45&lt;&gt;"",
VLOOKUP(C45,クライアント抽出!$A:$G,7,FALSE),"")</f>
        <v/>
      </c>
      <c r="V45" t="str">
        <f ca="1">IF(A45&lt;&gt;"",
IF(COUNTIF(V44,"*牛乳*"),
IF(AND(COUNTIF(B44,"*奈良屋*"),COUNTIF(B45,"*奈良屋*")),
V44&amp;"✔",""),VLOOKUP(""&amp;A45&amp;"",数出表_Excel!$A:$Z,22,FALSE)&amp;VLOOKUP(""&amp;A45&amp;"",数出表_Excel!$A:$Z,23,FALSE)
&amp;VLOOKUP(""&amp;C45&amp;"",数出表_Excel!$A:$Z,22,FALSE)&amp;VLOOKUP(""&amp;C45&amp;"",数出表_Excel!$A:$Z,23,FALSE)),"")</f>
        <v/>
      </c>
      <c r="W45">
        <f ca="1">IF(AND(COUNTIF(V45,"&lt;&gt;*不要*"),A45&lt;&gt;""),VLOOKUP(A45,得意先マスタ!$A:$AD,24,FALSE),0)</f>
        <v>0</v>
      </c>
      <c r="X45">
        <f ca="1">IF(AND(COUNTIF(V45,"&lt;&gt;*不要*"),A45&lt;&gt;""),VLOOKUP(A45,得意先マスタ!$A:$AD,25,FALSE),0)</f>
        <v>0</v>
      </c>
      <c r="Y45">
        <f t="shared" ca="1" si="10"/>
        <v>0</v>
      </c>
      <c r="Z45">
        <f t="shared" ca="1" si="11"/>
        <v>0</v>
      </c>
      <c r="AA45">
        <f t="shared" ca="1" si="15"/>
        <v>0</v>
      </c>
      <c r="AB45" t="str">
        <f t="shared" ca="1" si="12"/>
        <v/>
      </c>
      <c r="AC45" t="str">
        <f t="array" aca="1" ref="AC45" ca="1">IFERROR(INDEX(45:45, SMALL(IF($D45:$U45&lt;&gt;"", COLUMN($D$1:$U45)), COLUMN(A45))), "")</f>
        <v>赤　飯なし</v>
      </c>
      <c r="AD45" t="str">
        <f t="array" aca="1" ref="AD45" ca="1">IFERROR(INDEX(45:45, SMALL(IF($D45:$U45&lt;&gt;"", COLUMN($D$1:$U45)), COLUMN(B45))), "")</f>
        <v>弁当　園児</v>
      </c>
      <c r="AE45">
        <f t="array" aca="1" ref="AE45" ca="1">IFERROR(INDEX(45:45, SMALL(IF($D45:$U45&lt;&gt;"", COLUMN($D$1:$U45)), COLUMN(C45))), "")</f>
        <v>9</v>
      </c>
      <c r="AF45" t="str">
        <f t="array" aca="1" ref="AF45" ca="1">IFERROR(INDEX(45:45, SMALL(IF($D45:$U45&lt;&gt;"", COLUMN($D$1:$U45)), COLUMN(D45))), "")</f>
        <v/>
      </c>
      <c r="AG45" t="str">
        <f t="array" aca="1" ref="AG45" ca="1">IFERROR(INDEX(45:45, SMALL(IF($D45:$U45&lt;&gt;"", COLUMN($D$1:$U45)), COLUMN(E45))), "")</f>
        <v/>
      </c>
      <c r="AH45" t="str">
        <f t="array" aca="1" ref="AH45" ca="1">IFERROR(INDEX(45:45, SMALL(IF($D45:$U45&lt;&gt;"", COLUMN($D$1:$U45)), COLUMN(F45))), "")</f>
        <v/>
      </c>
      <c r="AI45" t="str">
        <f t="array" aca="1" ref="AI45" ca="1">IFERROR(INDEX(45:45, SMALL(IF($D45:$U45&lt;&gt;"", COLUMN($D$1:$U45)), COLUMN(G45))), "")</f>
        <v/>
      </c>
      <c r="AJ45" t="str">
        <f t="array" aca="1" ref="AJ45" ca="1">IFERROR(INDEX(45:45, SMALL(IF($D45:$U45&lt;&gt;"", COLUMN($D$1:$U45)), COLUMN(H45))), "")</f>
        <v/>
      </c>
      <c r="AK45" t="str">
        <f t="array" aca="1" ref="AK45" ca="1">IFERROR(INDEX(45:45, SMALL(IF($D45:$U45&lt;&gt;"", COLUMN($D$1:$U45)), COLUMN(I45))), "")</f>
        <v/>
      </c>
      <c r="AL45" t="str">
        <f t="array" aca="1" ref="AL45" ca="1">IFERROR(INDEX(45:45, SMALL(IF($D45:$U45&lt;&gt;"", COLUMN($D$1:$U45)), COLUMN(J45))), "")</f>
        <v/>
      </c>
      <c r="AM45" t="str">
        <f t="array" aca="1" ref="AM45" ca="1">IFERROR(INDEX(45:45, SMALL(IF($D45:$U45&lt;&gt;"", COLUMN($D$1:$U45)), COLUMN(K45))), "")</f>
        <v/>
      </c>
      <c r="AN45" t="str">
        <f t="array" aca="1" ref="AN45" ca="1">IFERROR(INDEX(45:45, SMALL(IF($D45:$U45&lt;&gt;"", COLUMN($D$1:$U45)), COLUMN(L45))), "")</f>
        <v/>
      </c>
      <c r="AO45" t="str">
        <f t="array" aca="1" ref="AO45" ca="1">IFERROR(INDEX(45:45, SMALL(IF($D45:$U45&lt;&gt;"", COLUMN($D$1:$U45)), COLUMN(M45))), "")</f>
        <v/>
      </c>
      <c r="AP45" t="str">
        <f t="array" aca="1" ref="AP45" ca="1">IFERROR(INDEX(45:45, SMALL(IF($D45:$U45&lt;&gt;"", COLUMN($D$1:$U45)), COLUMN(N45))), "")</f>
        <v/>
      </c>
      <c r="AQ45" t="str">
        <f t="array" aca="1" ref="AQ45" ca="1">IFERROR(INDEX(45:45, SMALL(IF($D45:$U45&lt;&gt;"", COLUMN($D$1:$U45)), COLUMN(O45))), "")</f>
        <v/>
      </c>
      <c r="AR45" s="52" t="s">
        <v>4005</v>
      </c>
      <c r="AS45" t="str">
        <f t="shared" ca="1" si="13"/>
        <v/>
      </c>
      <c r="AT45" t="str">
        <f t="shared" ca="1" si="14"/>
        <v/>
      </c>
      <c r="AU45" t="str">
        <f t="shared" ca="1" si="16"/>
        <v/>
      </c>
      <c r="AV45" t="str">
        <f t="shared" ca="1" si="17"/>
        <v/>
      </c>
      <c r="AW45" t="str">
        <f t="shared" ca="1" si="18"/>
        <v/>
      </c>
      <c r="AX45" t="str">
        <f t="shared" ca="1" si="19"/>
        <v/>
      </c>
      <c r="AZ45" t="str">
        <f t="array" aca="1" ref="AZ45" ca="1">IFERROR(INDEX(45:45, SMALL(IF($AC45:$AX45&lt;&gt;"", COLUMN($AC$1:$AX45)), COLUMN(A45))), "")</f>
        <v>赤　飯なし</v>
      </c>
      <c r="BA45" t="str">
        <f t="array" aca="1" ref="BA45" ca="1">IFERROR(INDEX(45:45, SMALL(IF($AC45:$AX45&lt;&gt;"", COLUMN($AC$1:$AX45)), COLUMN(B45))), "")</f>
        <v>弁当　園児</v>
      </c>
      <c r="BB45">
        <f t="array" aca="1" ref="BB45" ca="1">IFERROR(INDEX(45:45, SMALL(IF($AC45:$AX45&lt;&gt;"", COLUMN($AC$1:$AX45)), COLUMN(C45))), "")</f>
        <v>9</v>
      </c>
      <c r="BC45" t="str">
        <f t="array" aca="1" ref="BC45" ca="1">IFERROR(INDEX(45:45, SMALL(IF($AC45:$AX45&lt;&gt;"", COLUMN($AC$1:$AX45)), COLUMN(D45))), "")</f>
        <v>●</v>
      </c>
      <c r="BD45" t="str">
        <f t="array" aca="1" ref="BD45" ca="1">IFERROR(INDEX(45:45, SMALL(IF($AC45:$AX45&lt;&gt;"", COLUMN($AC$1:$AX45)), COLUMN(E45))), "")</f>
        <v/>
      </c>
      <c r="BE45" t="str">
        <f t="array" aca="1" ref="BE45" ca="1">IFERROR(INDEX(45:45, SMALL(IF($AC45:$AX45&lt;&gt;"", COLUMN($AC$1:$AX45)), COLUMN(F45))), "")</f>
        <v/>
      </c>
      <c r="BF45" t="str">
        <f t="array" aca="1" ref="BF45" ca="1">IFERROR(IF(AND(COUNTIF($B45,"*泉ヶ丘*"),COUNTIF($B46,"*泉ヶ丘*")),
IFERROR(INDEX(46:46, SMALL(IF($AC46:$AX46&lt;&gt;"", COLUMN($AC$1:$AX46)), COLUMN(A46))), ""),
INDEX(45:45, SMALL(IF($AC45:$AX45&lt;&gt;"", COLUMN($AC$1:$AX45)), COLUMN(G45)))), "")</f>
        <v/>
      </c>
      <c r="BG45" t="str">
        <f t="array" aca="1" ref="BG45" ca="1">IFERROR(IF(AND(COUNTIF($B45,"*泉ヶ丘*"),COUNTIF($B46,"*泉ヶ丘*")),
IFERROR(INDEX(46:46, SMALL(IF($AC46:$AX46&lt;&gt;"", COLUMN($AC$1:$AX46)), COLUMN(B46))), ""),
INDEX(45:45, SMALL(IF($AC45:$AX45&lt;&gt;"", COLUMN($AC$1:$AX45)), COLUMN(H45)))), "")</f>
        <v/>
      </c>
      <c r="BH45" t="str">
        <f t="array" aca="1" ref="BH45" ca="1">IFERROR(IF(AND(COUNTIF($B45,"*泉ヶ丘*"),COUNTIF($B46,"*泉ヶ丘*")),
IFERROR(INDEX(46:46, SMALL(IF($AC46:$AX46&lt;&gt;"", COLUMN($AC$1:$AX46)), COLUMN(C46))), ""),
INDEX(45:45, SMALL(IF($AC45:$AX45&lt;&gt;"", COLUMN($AC$1:$AX45)), COLUMN(I45)))), "")</f>
        <v/>
      </c>
      <c r="BI45" t="str">
        <f t="array" aca="1" ref="BI45" ca="1">IFERROR(IF(AND(COUNTIF($B45,"*泉ヶ丘*"),COUNTIF($B46,"*泉ヶ丘*")),
IFERROR(INDEX(46:46, SMALL(IF($AC46:$AX46&lt;&gt;"", COLUMN($AC$1:$AX46)), COLUMN(D46))), ""),
INDEX(45:45, SMALL(IF($AC45:$AX45&lt;&gt;"", COLUMN($AC$1:$AX45)), COLUMN(J45)))), "")</f>
        <v/>
      </c>
      <c r="BJ45" t="str">
        <f t="array" aca="1" ref="BJ45" ca="1">IFERROR(IF(AND(COUNTIF($B45,"*泉ヶ丘*"),COUNTIF($B46,"*泉ヶ丘*")),
IFERROR(INDEX(46:46, SMALL(IF($AC46:$AX46&lt;&gt;"", COLUMN($AC$1:$AX46)), COLUMN(E46))), ""),
INDEX(45:45, SMALL(IF($AC45:$AX45&lt;&gt;"", COLUMN($AC$1:$AX45)), COLUMN(K45)))), "")</f>
        <v/>
      </c>
      <c r="BK45" t="str">
        <f t="array" aca="1" ref="BK45" ca="1">IFERROR(IF(AND(COUNTIF($B45,"*泉ヶ丘*"),COUNTIF($B46,"*泉ヶ丘*")),
IFERROR(INDEX(46:46, SMALL(IF($AC46:$AX46&lt;&gt;"", COLUMN($AC$1:$AX46)), COLUMN(F46))), ""),
INDEX(45:45, SMALL(IF($AC45:$AX45&lt;&gt;"", COLUMN($AC$1:$AX45)), COLUMN(L45)))), "")</f>
        <v/>
      </c>
      <c r="BL45" t="str">
        <f t="array" aca="1" ref="BL45" ca="1">IFERROR(IF(AND(COUNTIF($B45,"*泉ヶ丘*"),COUNTIF($B46,"*泉ヶ丘*")),
IFERROR(INDEX(46:46, SMALL(IF($AC46:$AX46&lt;&gt;"", COLUMN($AC$1:$AX46)), COLUMN(G46))), ""),
INDEX(45:45, SMALL(IF($AC45:$AX45&lt;&gt;"", COLUMN($AC$1:$AX45)), COLUMN(M45)))), "")</f>
        <v/>
      </c>
      <c r="BM45" t="str">
        <f t="array" aca="1" ref="BM45" ca="1">IFERROR(IF(AND(COUNTIF($B45,"*泉ヶ丘*"),COUNTIF($B46,"*泉ヶ丘*")),
IFERROR(INDEX(46:46, SMALL(IF($AC46:$AX46&lt;&gt;"", COLUMN($AC$1:$AX46)), COLUMN(H46))), ""),
INDEX(45:45, SMALL(IF($AC45:$AX45&lt;&gt;"", COLUMN($AC$1:$AX45)), COLUMN(N45)))), "")</f>
        <v/>
      </c>
      <c r="BN45" t="str">
        <f t="array" aca="1" ref="BN45" ca="1">IFERROR(IF(AND(COUNTIF($B45,"*泉ヶ丘*"),COUNTIF($B46,"*泉ヶ丘*")),
IFERROR(INDEX(46:46, SMALL(IF($AC46:$AX46&lt;&gt;"", COLUMN($AC$1:$AX46)), COLUMN(I46))), ""),
INDEX(45:45, SMALL(IF($AC45:$AX45&lt;&gt;"", COLUMN($AC$1:$AX45)), COLUMN(O45)))), "")</f>
        <v/>
      </c>
      <c r="BO45" t="str">
        <f t="array" aca="1" ref="BO45" ca="1">IFERROR(IF(AND(COUNTIF($B45,"*泉ヶ丘*"),COUNTIF($B46,"*泉ヶ丘*")),
IFERROR(INDEX(46:46, SMALL(IF($AC46:$AX46&lt;&gt;"", COLUMN($AC$1:$AX46)), COLUMN(J46))), ""),
INDEX(45:45, SMALL(IF($AC45:$AX45&lt;&gt;"", COLUMN($AC$1:$AX45)), COLUMN(P45)))), "")</f>
        <v/>
      </c>
      <c r="BP45" t="str">
        <f t="array" aca="1" ref="BP45" ca="1">IFERROR(IF(AND(COUNTIF($B45,"*泉ヶ丘*"),COUNTIF($B46,"*泉ヶ丘*")),
IFERROR(INDEX(46:46, SMALL(IF($AC46:$AX46&lt;&gt;"", COLUMN($AC$1:$AX46)), COLUMN(K46))), ""),
INDEX(45:45, SMALL(IF($AC45:$AX45&lt;&gt;"", COLUMN($AC$1:$AX45)), COLUMN(Q45)))), "")</f>
        <v/>
      </c>
      <c r="BQ45" t="str">
        <f t="array" aca="1" ref="BQ45" ca="1">IFERROR(IF(AND(COUNTIF($B45,"*泉ヶ丘*"),COUNTIF($B46,"*泉ヶ丘*")),
IFERROR(INDEX(46:46, SMALL(IF($AC46:$AX46&lt;&gt;"", COLUMN($AC$1:$AX46)), COLUMN(L46))), ""),
INDEX(45:45, SMALL(IF($AC45:$AX45&lt;&gt;"", COLUMN($AC$1:$AX45)), COLUMN(R45)))), "")</f>
        <v/>
      </c>
    </row>
    <row r="46" spans="1:69" x14ac:dyDescent="0.45">
      <c r="A46" t="str">
        <f t="array" ref="A46">IF(INDEX(貼り付け用!A:A,MATCH(A45,貼り付け用!A:A,0)+2)="4700",
IF(INDEX(貼り付け用!A:A,MATCH(A45,貼り付け用!A:A,0)+4)="4800",
INDEX(貼り付け用!A:A,MATCH(A45,貼り付け用!A:A,0)+6),
INDEX(貼り付け用!A:A,MATCH(A45,貼り付け用!A:A,0)+4)),INDEX(貼り付け用!A:A,MATCH(A45,貼り付け用!A:A,0)+2))</f>
        <v>13900</v>
      </c>
      <c r="B46" t="str">
        <f>IF(A46&lt;&gt;"",
VLOOKUP(A46,得意先マスタ!A:D,2,FALSE),"")</f>
        <v>東京インターナショナルスクール　大濠キンダーガーテン</v>
      </c>
      <c r="C46" t="str">
        <f t="array" ref="C46">IF(A46="10000","",INDEX(貼り付け用!A:A,MATCH(A46,貼り付け用!A:A,0)+1))</f>
        <v>大濠キンダーガーテン web</v>
      </c>
      <c r="D46" t="str">
        <f ca="1">VLOOKUP(C46,クライアント抽出!$A:$O,10,FALSE)</f>
        <v>赤　飯あり120</v>
      </c>
      <c r="E46" t="str">
        <f ca="1">IF(D46&lt;&gt;"",
IF(COUNTIF(C46,"*ぺんぎん*"),
VLOOKUP(
"*"&amp;IF(COUNTIF(D46,"*キャラ弁*"),"キャラ",
IF(COUNTIF(D46,"*赤*"),"赤",SUBSTITUTE(SUBSTITUTE(D46," ",""),"　","")))&amp;"*",
注文弁当の抽出!$F:$I,4,FALSE)&amp;
IF(COUNTIF(D46,"*おにぎり*"),"　おにぎり","")&amp;"　（ぺんぎん組）",
VLOOKUP(
"*"&amp;IF(COUNTIF(D46,"*キャラ弁*"),"キャラ",
IF(COUNTIF(D46,"*赤*"),"赤",SUBSTITUTE(SUBSTITUTE(D46," ",""),"　","")))&amp;"*",
注文弁当の抽出!$F:$I,4,FALSE)&amp;
IF(COUNTIF(D46,"*おにぎり*"),"　おにぎり","")),"")</f>
        <v>弁当　園児</v>
      </c>
      <c r="F46">
        <f ca="1">IFERROR(IF(E46&lt;&gt;"",
VLOOKUP(C46,クライアント抽出!$A:$G,2,FALSE)+
IF(COUNTIF(Y46,"*-*"),Y46,0),"")
-IFERROR(MID(V46, SEARCH("予備", V46) + LEN("予備"), SEARCH("込み", V46) - (SEARCH("予備", V46) + LEN("予備"))),0),"")</f>
        <v>10</v>
      </c>
      <c r="G46" t="str">
        <f ca="1">VLOOKUP(C46,クライアント抽出!$A:$O,11,FALSE)</f>
        <v/>
      </c>
      <c r="H46" t="str">
        <f ca="1">IF(G46&lt;&gt;"",
VLOOKUP(
"*"&amp;IF(COUNTIF(G46,"*キャラ弁*"),"キャラ",
IF(COUNTIF(G46,"*赤*"),"赤",SUBSTITUTE(SUBSTITUTE(G46," ",""),"　","")))&amp;"*",
注文弁当の抽出!$F:$I,4,FALSE)&amp;
IF(COUNTIF(G46,"*おにぎり*"),"　おにぎり",""),"")</f>
        <v/>
      </c>
      <c r="I46" t="str">
        <f ca="1">IF(H46&lt;&gt;"",
VLOOKUP(C46,クライアント抽出!$A:$G,3,FALSE)+
IF(COUNTIF(C46,"*博多*"),Y46,Z46),"")</f>
        <v/>
      </c>
      <c r="J46" t="str">
        <f ca="1">VLOOKUP(C46,クライアント抽出!$A:$O,12,FALSE)</f>
        <v/>
      </c>
      <c r="K46" t="str">
        <f ca="1">IF(J46&lt;&gt;"",
VLOOKUP(
"*"&amp;IF(COUNTIF(J46,"*キャラ弁*"),"キャラ",
IF(COUNTIF(J46,"*赤*"),"赤",SUBSTITUTE(SUBSTITUTE(J46," ",""),"　","")))&amp;"*",
注文弁当の抽出!$F:$I,4,FALSE)&amp;
IF(COUNTIF(J46,"*おにぎり*"),"　おにぎり",""),"")</f>
        <v/>
      </c>
      <c r="L46" t="str">
        <f ca="1">IF(K46&lt;&gt;"",
VLOOKUP(C46,クライアント抽出!$A:$G,4,FALSE)+AA46,"")</f>
        <v/>
      </c>
      <c r="M46" t="str">
        <f ca="1">VLOOKUP(C46,クライアント抽出!$A:$O,13,FALSE)</f>
        <v>赤　飯あり120</v>
      </c>
      <c r="N46" t="str">
        <f ca="1">SUBSTITUTE(
IF(M46&lt;&gt;"",
VLOOKUP(
"*"&amp;IF(COUNTIF(M46,"*キャラ弁*"),"キャラ",
IF(COUNTIF(M46,"*赤*"),"赤",SUBSTITUTE(SUBSTITUTE(D46," ",""),"　","")))&amp;"*",
注文弁当の抽出!$F:$I,4,FALSE),""),"園児","先生")&amp;
IF(COUNTIF(M46,"*おにぎり*"),"　おにぎり","")</f>
        <v>弁当　先生</v>
      </c>
      <c r="O46">
        <f ca="1">IF(N46&lt;&gt;"",VLOOKUP(C46,クライアント抽出!$A:$G,5,FALSE),"")</f>
        <v>2</v>
      </c>
      <c r="P46" t="str">
        <f ca="1">VLOOKUP(C46,クライアント抽出!$A:$O,14,FALSE)</f>
        <v/>
      </c>
      <c r="Q46" t="str">
        <f ca="1">SUBSTITUTE(
IF(P46&lt;&gt;"",
VLOOKUP(
"*"&amp;IF(COUNTIF(P46,"*キャラ弁*"),"キャラ",
IF(COUNTIF(P46,"*赤*"),"赤",SUBSTITUTE(SUBSTITUTE(G46," ",""),"　","")))&amp;"*",
注文弁当の抽出!$F:$I,4,FALSE),""),"園児","先生")&amp;
IF(COUNTIF(P46,"*おにぎり*"),"　おにぎり","")</f>
        <v/>
      </c>
      <c r="R46" t="str">
        <f ca="1">IF(Q46&lt;&gt;"",
VLOOKUP(C46,クライアント抽出!$A:$G,6,FALSE),"")</f>
        <v/>
      </c>
      <c r="S46" t="str">
        <f ca="1">VLOOKUP(C46,クライアント抽出!$A:$O,15,FALSE)</f>
        <v/>
      </c>
      <c r="T46" t="str">
        <f ca="1">SUBSTITUTE(
IF(S46&lt;&gt;"",
VLOOKUP(
"*"&amp;IF(COUNTIF(S46,"*キャラ弁*"),"キャラ",
IF(COUNTIF(S46,"*赤*"),"赤",SUBSTITUTE(SUBSTITUTE(J46," ",""),"　","")))&amp;"*",
注文弁当の抽出!$F:$I,4,FALSE),""),"園児","先生")&amp;
IF(COUNTIF(S46,"*おにぎり*"),"　おにぎり","")</f>
        <v/>
      </c>
      <c r="U46" t="str">
        <f ca="1">IF(T46&lt;&gt;"",
VLOOKUP(C46,クライアント抽出!$A:$G,7,FALSE),"")</f>
        <v/>
      </c>
      <c r="V46" t="str">
        <f ca="1">IF(A46&lt;&gt;"",
IF(COUNTIF(V45,"*牛乳*"),
IF(AND(COUNTIF(B45,"*奈良屋*"),COUNTIF(B46,"*奈良屋*")),
V45&amp;"✔",""),VLOOKUP(""&amp;A46&amp;"",数出表_Excel!$A:$Z,22,FALSE)&amp;VLOOKUP(""&amp;A46&amp;"",数出表_Excel!$A:$Z,23,FALSE)
&amp;VLOOKUP(""&amp;C46&amp;"",数出表_Excel!$A:$Z,22,FALSE)&amp;VLOOKUP(""&amp;C46&amp;"",数出表_Excel!$A:$Z,23,FALSE)),"")</f>
        <v/>
      </c>
      <c r="W46">
        <f ca="1">IF(AND(COUNTIF(V46,"&lt;&gt;*不要*"),A46&lt;&gt;""),VLOOKUP(A46,得意先マスタ!$A:$AD,24,FALSE),0)</f>
        <v>0</v>
      </c>
      <c r="X46">
        <f ca="1">IF(AND(COUNTIF(V46,"&lt;&gt;*不要*"),A46&lt;&gt;""),VLOOKUP(A46,得意先マスタ!$A:$AD,25,FALSE),0)</f>
        <v>0</v>
      </c>
      <c r="Y46">
        <f t="shared" ca="1" si="10"/>
        <v>0</v>
      </c>
      <c r="Z46">
        <f t="shared" ca="1" si="11"/>
        <v>0</v>
      </c>
      <c r="AA46">
        <f t="shared" ca="1" si="15"/>
        <v>0</v>
      </c>
      <c r="AB46" t="str">
        <f t="shared" ca="1" si="12"/>
        <v/>
      </c>
      <c r="AC46" t="str">
        <f t="array" aca="1" ref="AC46" ca="1">IFERROR(INDEX(46:46, SMALL(IF($D46:$U46&lt;&gt;"", COLUMN($D$1:$U46)), COLUMN(A46))), "")</f>
        <v>赤　飯あり120</v>
      </c>
      <c r="AD46" t="str">
        <f t="array" aca="1" ref="AD46" ca="1">IFERROR(INDEX(46:46, SMALL(IF($D46:$U46&lt;&gt;"", COLUMN($D$1:$U46)), COLUMN(B46))), "")</f>
        <v>弁当　園児</v>
      </c>
      <c r="AE46">
        <f t="array" aca="1" ref="AE46" ca="1">IFERROR(INDEX(46:46, SMALL(IF($D46:$U46&lt;&gt;"", COLUMN($D$1:$U46)), COLUMN(C46))), "")</f>
        <v>10</v>
      </c>
      <c r="AF46" t="str">
        <f t="array" aca="1" ref="AF46" ca="1">IFERROR(INDEX(46:46, SMALL(IF($D46:$U46&lt;&gt;"", COLUMN($D$1:$U46)), COLUMN(D46))), "")</f>
        <v>赤　飯あり120</v>
      </c>
      <c r="AG46" t="str">
        <f t="array" aca="1" ref="AG46" ca="1">IFERROR(INDEX(46:46, SMALL(IF($D46:$U46&lt;&gt;"", COLUMN($D$1:$U46)), COLUMN(E46))), "")</f>
        <v>弁当　先生</v>
      </c>
      <c r="AH46">
        <f t="array" aca="1" ref="AH46" ca="1">IFERROR(INDEX(46:46, SMALL(IF($D46:$U46&lt;&gt;"", COLUMN($D$1:$U46)), COLUMN(F46))), "")</f>
        <v>2</v>
      </c>
      <c r="AI46" t="str">
        <f t="array" aca="1" ref="AI46" ca="1">IFERROR(INDEX(46:46, SMALL(IF($D46:$U46&lt;&gt;"", COLUMN($D$1:$U46)), COLUMN(G46))), "")</f>
        <v/>
      </c>
      <c r="AJ46" t="str">
        <f t="array" aca="1" ref="AJ46" ca="1">IFERROR(INDEX(46:46, SMALL(IF($D46:$U46&lt;&gt;"", COLUMN($D$1:$U46)), COLUMN(H46))), "")</f>
        <v/>
      </c>
      <c r="AK46" t="str">
        <f t="array" aca="1" ref="AK46" ca="1">IFERROR(INDEX(46:46, SMALL(IF($D46:$U46&lt;&gt;"", COLUMN($D$1:$U46)), COLUMN(I46))), "")</f>
        <v/>
      </c>
      <c r="AL46" t="str">
        <f t="array" aca="1" ref="AL46" ca="1">IFERROR(INDEX(46:46, SMALL(IF($D46:$U46&lt;&gt;"", COLUMN($D$1:$U46)), COLUMN(J46))), "")</f>
        <v/>
      </c>
      <c r="AM46" t="str">
        <f t="array" aca="1" ref="AM46" ca="1">IFERROR(INDEX(46:46, SMALL(IF($D46:$U46&lt;&gt;"", COLUMN($D$1:$U46)), COLUMN(K46))), "")</f>
        <v/>
      </c>
      <c r="AN46" t="str">
        <f t="array" aca="1" ref="AN46" ca="1">IFERROR(INDEX(46:46, SMALL(IF($D46:$U46&lt;&gt;"", COLUMN($D$1:$U46)), COLUMN(L46))), "")</f>
        <v/>
      </c>
      <c r="AO46" t="str">
        <f t="array" aca="1" ref="AO46" ca="1">IFERROR(INDEX(46:46, SMALL(IF($D46:$U46&lt;&gt;"", COLUMN($D$1:$U46)), COLUMN(M46))), "")</f>
        <v/>
      </c>
      <c r="AP46" t="str">
        <f t="array" aca="1" ref="AP46" ca="1">IFERROR(INDEX(46:46, SMALL(IF($D46:$U46&lt;&gt;"", COLUMN($D$1:$U46)), COLUMN(N46))), "")</f>
        <v/>
      </c>
      <c r="AQ46" t="str">
        <f t="array" aca="1" ref="AQ46" ca="1">IFERROR(INDEX(46:46, SMALL(IF($D46:$U46&lt;&gt;"", COLUMN($D$1:$U46)), COLUMN(O46))), "")</f>
        <v/>
      </c>
      <c r="AR46" s="52" t="s">
        <v>4005</v>
      </c>
      <c r="AS46" t="str">
        <f t="shared" ca="1" si="13"/>
        <v/>
      </c>
      <c r="AT46" t="str">
        <f t="shared" ca="1" si="14"/>
        <v/>
      </c>
      <c r="AU46" t="str">
        <f t="shared" ca="1" si="16"/>
        <v/>
      </c>
      <c r="AV46" t="str">
        <f t="shared" ca="1" si="17"/>
        <v/>
      </c>
      <c r="AW46" t="str">
        <f t="shared" ca="1" si="18"/>
        <v/>
      </c>
      <c r="AX46" t="str">
        <f t="shared" ca="1" si="19"/>
        <v/>
      </c>
      <c r="AZ46" t="str">
        <f t="array" aca="1" ref="AZ46" ca="1">IFERROR(INDEX(46:46, SMALL(IF($AC46:$AX46&lt;&gt;"", COLUMN($AC$1:$AX46)), COLUMN(A46))), "")</f>
        <v>赤　飯あり120</v>
      </c>
      <c r="BA46" t="str">
        <f t="array" aca="1" ref="BA46" ca="1">IFERROR(INDEX(46:46, SMALL(IF($AC46:$AX46&lt;&gt;"", COLUMN($AC$1:$AX46)), COLUMN(B46))), "")</f>
        <v>弁当　園児</v>
      </c>
      <c r="BB46">
        <f t="array" aca="1" ref="BB46" ca="1">IFERROR(INDEX(46:46, SMALL(IF($AC46:$AX46&lt;&gt;"", COLUMN($AC$1:$AX46)), COLUMN(C46))), "")</f>
        <v>10</v>
      </c>
      <c r="BC46" t="str">
        <f t="array" aca="1" ref="BC46" ca="1">IFERROR(INDEX(46:46, SMALL(IF($AC46:$AX46&lt;&gt;"", COLUMN($AC$1:$AX46)), COLUMN(D46))), "")</f>
        <v>赤　飯あり120</v>
      </c>
      <c r="BD46" t="str">
        <f t="array" aca="1" ref="BD46" ca="1">IFERROR(INDEX(46:46, SMALL(IF($AC46:$AX46&lt;&gt;"", COLUMN($AC$1:$AX46)), COLUMN(E46))), "")</f>
        <v>弁当　先生</v>
      </c>
      <c r="BE46">
        <f t="array" aca="1" ref="BE46" ca="1">IFERROR(INDEX(46:46, SMALL(IF($AC46:$AX46&lt;&gt;"", COLUMN($AC$1:$AX46)), COLUMN(F46))), "")</f>
        <v>2</v>
      </c>
      <c r="BF46" t="str">
        <f t="array" aca="1" ref="BF46" ca="1">IFERROR(IF(AND(COUNTIF($B46,"*泉ヶ丘*"),COUNTIF($B47,"*泉ヶ丘*")),
IFERROR(INDEX(47:47, SMALL(IF($AC47:$AX47&lt;&gt;"", COLUMN($AC$1:$AX47)), COLUMN(A47))), ""),
INDEX(46:46, SMALL(IF($AC46:$AX46&lt;&gt;"", COLUMN($AC$1:$AX46)), COLUMN(G46)))), "")</f>
        <v>●</v>
      </c>
      <c r="BG46" t="str">
        <f t="array" aca="1" ref="BG46" ca="1">IFERROR(IF(AND(COUNTIF($B46,"*泉ヶ丘*"),COUNTIF($B47,"*泉ヶ丘*")),
IFERROR(INDEX(47:47, SMALL(IF($AC47:$AX47&lt;&gt;"", COLUMN($AC$1:$AX47)), COLUMN(B47))), ""),
INDEX(46:46, SMALL(IF($AC46:$AX46&lt;&gt;"", COLUMN($AC$1:$AX46)), COLUMN(H46)))), "")</f>
        <v/>
      </c>
      <c r="BH46" t="str">
        <f t="array" aca="1" ref="BH46" ca="1">IFERROR(IF(AND(COUNTIF($B46,"*泉ヶ丘*"),COUNTIF($B47,"*泉ヶ丘*")),
IFERROR(INDEX(47:47, SMALL(IF($AC47:$AX47&lt;&gt;"", COLUMN($AC$1:$AX47)), COLUMN(C47))), ""),
INDEX(46:46, SMALL(IF($AC46:$AX46&lt;&gt;"", COLUMN($AC$1:$AX46)), COLUMN(I46)))), "")</f>
        <v/>
      </c>
      <c r="BI46" t="str">
        <f t="array" aca="1" ref="BI46" ca="1">IFERROR(IF(AND(COUNTIF($B46,"*泉ヶ丘*"),COUNTIF($B47,"*泉ヶ丘*")),
IFERROR(INDEX(47:47, SMALL(IF($AC47:$AX47&lt;&gt;"", COLUMN($AC$1:$AX47)), COLUMN(D47))), ""),
INDEX(46:46, SMALL(IF($AC46:$AX46&lt;&gt;"", COLUMN($AC$1:$AX46)), COLUMN(J46)))), "")</f>
        <v/>
      </c>
      <c r="BJ46" t="str">
        <f t="array" aca="1" ref="BJ46" ca="1">IFERROR(IF(AND(COUNTIF($B46,"*泉ヶ丘*"),COUNTIF($B47,"*泉ヶ丘*")),
IFERROR(INDEX(47:47, SMALL(IF($AC47:$AX47&lt;&gt;"", COLUMN($AC$1:$AX47)), COLUMN(E47))), ""),
INDEX(46:46, SMALL(IF($AC46:$AX46&lt;&gt;"", COLUMN($AC$1:$AX46)), COLUMN(K46)))), "")</f>
        <v/>
      </c>
      <c r="BK46" t="str">
        <f t="array" aca="1" ref="BK46" ca="1">IFERROR(IF(AND(COUNTIF($B46,"*泉ヶ丘*"),COUNTIF($B47,"*泉ヶ丘*")),
IFERROR(INDEX(47:47, SMALL(IF($AC47:$AX47&lt;&gt;"", COLUMN($AC$1:$AX47)), COLUMN(F47))), ""),
INDEX(46:46, SMALL(IF($AC46:$AX46&lt;&gt;"", COLUMN($AC$1:$AX46)), COLUMN(L46)))), "")</f>
        <v/>
      </c>
      <c r="BL46" t="str">
        <f t="array" aca="1" ref="BL46" ca="1">IFERROR(IF(AND(COUNTIF($B46,"*泉ヶ丘*"),COUNTIF($B47,"*泉ヶ丘*")),
IFERROR(INDEX(47:47, SMALL(IF($AC47:$AX47&lt;&gt;"", COLUMN($AC$1:$AX47)), COLUMN(G47))), ""),
INDEX(46:46, SMALL(IF($AC46:$AX46&lt;&gt;"", COLUMN($AC$1:$AX46)), COLUMN(M46)))), "")</f>
        <v/>
      </c>
      <c r="BM46" t="str">
        <f t="array" aca="1" ref="BM46" ca="1">IFERROR(IF(AND(COUNTIF($B46,"*泉ヶ丘*"),COUNTIF($B47,"*泉ヶ丘*")),
IFERROR(INDEX(47:47, SMALL(IF($AC47:$AX47&lt;&gt;"", COLUMN($AC$1:$AX47)), COLUMN(H47))), ""),
INDEX(46:46, SMALL(IF($AC46:$AX46&lt;&gt;"", COLUMN($AC$1:$AX46)), COLUMN(N46)))), "")</f>
        <v/>
      </c>
      <c r="BN46" t="str">
        <f t="array" aca="1" ref="BN46" ca="1">IFERROR(IF(AND(COUNTIF($B46,"*泉ヶ丘*"),COUNTIF($B47,"*泉ヶ丘*")),
IFERROR(INDEX(47:47, SMALL(IF($AC47:$AX47&lt;&gt;"", COLUMN($AC$1:$AX47)), COLUMN(I47))), ""),
INDEX(46:46, SMALL(IF($AC46:$AX46&lt;&gt;"", COLUMN($AC$1:$AX46)), COLUMN(O46)))), "")</f>
        <v/>
      </c>
      <c r="BO46" t="str">
        <f t="array" aca="1" ref="BO46" ca="1">IFERROR(IF(AND(COUNTIF($B46,"*泉ヶ丘*"),COUNTIF($B47,"*泉ヶ丘*")),
IFERROR(INDEX(47:47, SMALL(IF($AC47:$AX47&lt;&gt;"", COLUMN($AC$1:$AX47)), COLUMN(J47))), ""),
INDEX(46:46, SMALL(IF($AC46:$AX46&lt;&gt;"", COLUMN($AC$1:$AX46)), COLUMN(P46)))), "")</f>
        <v/>
      </c>
      <c r="BP46" t="str">
        <f t="array" aca="1" ref="BP46" ca="1">IFERROR(IF(AND(COUNTIF($B46,"*泉ヶ丘*"),COUNTIF($B47,"*泉ヶ丘*")),
IFERROR(INDEX(47:47, SMALL(IF($AC47:$AX47&lt;&gt;"", COLUMN($AC$1:$AX47)), COLUMN(K47))), ""),
INDEX(46:46, SMALL(IF($AC46:$AX46&lt;&gt;"", COLUMN($AC$1:$AX46)), COLUMN(Q46)))), "")</f>
        <v/>
      </c>
      <c r="BQ46" t="str">
        <f t="array" aca="1" ref="BQ46" ca="1">IFERROR(IF(AND(COUNTIF($B46,"*泉ヶ丘*"),COUNTIF($B47,"*泉ヶ丘*")),
IFERROR(INDEX(47:47, SMALL(IF($AC47:$AX47&lt;&gt;"", COLUMN($AC$1:$AX47)), COLUMN(L47))), ""),
INDEX(46:46, SMALL(IF($AC46:$AX46&lt;&gt;"", COLUMN($AC$1:$AX46)), COLUMN(R46)))), "")</f>
        <v/>
      </c>
    </row>
    <row r="47" spans="1:69" x14ac:dyDescent="0.45">
      <c r="A47" t="str">
        <f t="array" ref="A47">IF(INDEX(貼り付け用!A:A,MATCH(A46,貼り付け用!A:A,0)+2)="4700",
IF(INDEX(貼り付け用!A:A,MATCH(A46,貼り付け用!A:A,0)+4)="4800",
INDEX(貼り付け用!A:A,MATCH(A46,貼り付け用!A:A,0)+6),
INDEX(貼り付け用!A:A,MATCH(A46,貼り付け用!A:A,0)+4)),INDEX(貼り付け用!A:A,MATCH(A46,貼り付け用!A:A,0)+2))</f>
        <v>18900</v>
      </c>
      <c r="B47" t="str">
        <f>IF(A47&lt;&gt;"",
VLOOKUP(A47,得意先マスタ!A:D,2,FALSE),"")</f>
        <v>サンシャインイングリッシュスクール</v>
      </c>
      <c r="C47" t="str">
        <f t="array" ref="C47">IF(A47="10000","",INDEX(貼り付け用!A:A,MATCH(A47,貼り付け用!A:A,0)+1))</f>
        <v>イングリッシュスク―ル</v>
      </c>
      <c r="D47" t="str">
        <f ca="1">VLOOKUP(C47,クライアント抽出!$A:$O,10,FALSE)</f>
        <v>赤　飯あり120</v>
      </c>
      <c r="E47" t="str">
        <f ca="1">IF(D47&lt;&gt;"",
IF(COUNTIF(C47,"*ぺんぎん*"),
VLOOKUP(
"*"&amp;IF(COUNTIF(D47,"*キャラ弁*"),"キャラ",
IF(COUNTIF(D47,"*赤*"),"赤",SUBSTITUTE(SUBSTITUTE(D47," ",""),"　","")))&amp;"*",
注文弁当の抽出!$F:$I,4,FALSE)&amp;
IF(COUNTIF(D47,"*おにぎり*"),"　おにぎり","")&amp;"　（ぺんぎん組）",
VLOOKUP(
"*"&amp;IF(COUNTIF(D47,"*キャラ弁*"),"キャラ",
IF(COUNTIF(D47,"*赤*"),"赤",SUBSTITUTE(SUBSTITUTE(D47," ",""),"　","")))&amp;"*",
注文弁当の抽出!$F:$I,4,FALSE)&amp;
IF(COUNTIF(D47,"*おにぎり*"),"　おにぎり","")),"")</f>
        <v>弁当　園児</v>
      </c>
      <c r="F47">
        <f ca="1">IFERROR(IF(E47&lt;&gt;"",
VLOOKUP(C47,クライアント抽出!$A:$G,2,FALSE)+
IF(COUNTIF(Y47,"*-*"),Y47,0),"")
-IFERROR(MID(V47, SEARCH("予備", V47) + LEN("予備"), SEARCH("込み", V47) - (SEARCH("予備", V47) + LEN("予備"))),0),"")</f>
        <v>12</v>
      </c>
      <c r="G47" t="str">
        <f ca="1">VLOOKUP(C47,クライアント抽出!$A:$O,11,FALSE)</f>
        <v/>
      </c>
      <c r="H47" t="str">
        <f ca="1">IF(G47&lt;&gt;"",
VLOOKUP(
"*"&amp;IF(COUNTIF(G47,"*キャラ弁*"),"キャラ",
IF(COUNTIF(G47,"*赤*"),"赤",SUBSTITUTE(SUBSTITUTE(G47," ",""),"　","")))&amp;"*",
注文弁当の抽出!$F:$I,4,FALSE)&amp;
IF(COUNTIF(G47,"*おにぎり*"),"　おにぎり",""),"")</f>
        <v/>
      </c>
      <c r="I47" t="str">
        <f ca="1">IF(H47&lt;&gt;"",
VLOOKUP(C47,クライアント抽出!$A:$G,3,FALSE)+
IF(COUNTIF(C47,"*博多*"),Y47,Z47),"")</f>
        <v/>
      </c>
      <c r="J47" t="str">
        <f ca="1">VLOOKUP(C47,クライアント抽出!$A:$O,12,FALSE)</f>
        <v/>
      </c>
      <c r="K47" t="str">
        <f ca="1">IF(J47&lt;&gt;"",
VLOOKUP(
"*"&amp;IF(COUNTIF(J47,"*キャラ弁*"),"キャラ",
IF(COUNTIF(J47,"*赤*"),"赤",SUBSTITUTE(SUBSTITUTE(J47," ",""),"　","")))&amp;"*",
注文弁当の抽出!$F:$I,4,FALSE)&amp;
IF(COUNTIF(J47,"*おにぎり*"),"　おにぎり",""),"")</f>
        <v/>
      </c>
      <c r="L47" t="str">
        <f ca="1">IF(K47&lt;&gt;"",
VLOOKUP(C47,クライアント抽出!$A:$G,4,FALSE)+AA47,"")</f>
        <v/>
      </c>
      <c r="M47" t="str">
        <f ca="1">VLOOKUP(C47,クライアント抽出!$A:$O,13,FALSE)</f>
        <v>赤　飯あり120</v>
      </c>
      <c r="N47" t="str">
        <f ca="1">SUBSTITUTE(
IF(M47&lt;&gt;"",
VLOOKUP(
"*"&amp;IF(COUNTIF(M47,"*キャラ弁*"),"キャラ",
IF(COUNTIF(M47,"*赤*"),"赤",SUBSTITUTE(SUBSTITUTE(D47," ",""),"　","")))&amp;"*",
注文弁当の抽出!$F:$I,4,FALSE),""),"園児","先生")&amp;
IF(COUNTIF(M47,"*おにぎり*"),"　おにぎり","")</f>
        <v>弁当　先生</v>
      </c>
      <c r="O47">
        <f ca="1">IF(N47&lt;&gt;"",VLOOKUP(C47,クライアント抽出!$A:$G,5,FALSE),"")</f>
        <v>2</v>
      </c>
      <c r="P47" t="str">
        <f ca="1">VLOOKUP(C47,クライアント抽出!$A:$O,14,FALSE)</f>
        <v/>
      </c>
      <c r="Q47" t="str">
        <f ca="1">SUBSTITUTE(
IF(P47&lt;&gt;"",
VLOOKUP(
"*"&amp;IF(COUNTIF(P47,"*キャラ弁*"),"キャラ",
IF(COUNTIF(P47,"*赤*"),"赤",SUBSTITUTE(SUBSTITUTE(G47," ",""),"　","")))&amp;"*",
注文弁当の抽出!$F:$I,4,FALSE),""),"園児","先生")&amp;
IF(COUNTIF(P47,"*おにぎり*"),"　おにぎり","")</f>
        <v/>
      </c>
      <c r="R47" t="str">
        <f ca="1">IF(Q47&lt;&gt;"",
VLOOKUP(C47,クライアント抽出!$A:$G,6,FALSE),"")</f>
        <v/>
      </c>
      <c r="S47" t="str">
        <f ca="1">VLOOKUP(C47,クライアント抽出!$A:$O,15,FALSE)</f>
        <v/>
      </c>
      <c r="T47" t="str">
        <f ca="1">SUBSTITUTE(
IF(S47&lt;&gt;"",
VLOOKUP(
"*"&amp;IF(COUNTIF(S47,"*キャラ弁*"),"キャラ",
IF(COUNTIF(S47,"*赤*"),"赤",SUBSTITUTE(SUBSTITUTE(J47," ",""),"　","")))&amp;"*",
注文弁当の抽出!$F:$I,4,FALSE),""),"園児","先生")&amp;
IF(COUNTIF(S47,"*おにぎり*"),"　おにぎり","")</f>
        <v/>
      </c>
      <c r="U47" t="str">
        <f ca="1">IF(T47&lt;&gt;"",
VLOOKUP(C47,クライアント抽出!$A:$G,7,FALSE),"")</f>
        <v/>
      </c>
      <c r="V47" t="str">
        <f ca="1">IF(A47&lt;&gt;"",
IF(COUNTIF(V46,"*牛乳*"),
IF(AND(COUNTIF(B46,"*奈良屋*"),COUNTIF(B47,"*奈良屋*")),
V46&amp;"✔",""),VLOOKUP(""&amp;A47&amp;"",数出表_Excel!$A:$Z,22,FALSE)&amp;VLOOKUP(""&amp;A47&amp;"",数出表_Excel!$A:$Z,23,FALSE)
&amp;VLOOKUP(""&amp;C47&amp;"",数出表_Excel!$A:$Z,22,FALSE)&amp;VLOOKUP(""&amp;C47&amp;"",数出表_Excel!$A:$Z,23,FALSE)),"")</f>
        <v/>
      </c>
      <c r="W47">
        <f ca="1">IF(AND(COUNTIF(V47,"&lt;&gt;*不要*"),A47&lt;&gt;""),VLOOKUP(A47,得意先マスタ!$A:$AD,24,FALSE),0)</f>
        <v>0</v>
      </c>
      <c r="X47">
        <f ca="1">IF(AND(COUNTIF(V47,"&lt;&gt;*不要*"),A47&lt;&gt;""),VLOOKUP(A47,得意先マスタ!$A:$AD,25,FALSE),0)</f>
        <v>0</v>
      </c>
      <c r="Y47">
        <f t="shared" ca="1" si="10"/>
        <v>0</v>
      </c>
      <c r="Z47">
        <f t="shared" ca="1" si="11"/>
        <v>0</v>
      </c>
      <c r="AA47">
        <f t="shared" ca="1" si="15"/>
        <v>0</v>
      </c>
      <c r="AB47" t="str">
        <f t="shared" ca="1" si="12"/>
        <v/>
      </c>
      <c r="AC47" t="str">
        <f t="array" aca="1" ref="AC47" ca="1">IFERROR(INDEX(47:47, SMALL(IF($D47:$U47&lt;&gt;"", COLUMN($D$1:$U47)), COLUMN(A47))), "")</f>
        <v>赤　飯あり120</v>
      </c>
      <c r="AD47" t="str">
        <f t="array" aca="1" ref="AD47" ca="1">IFERROR(INDEX(47:47, SMALL(IF($D47:$U47&lt;&gt;"", COLUMN($D$1:$U47)), COLUMN(B47))), "")</f>
        <v>弁当　園児</v>
      </c>
      <c r="AE47">
        <f t="array" aca="1" ref="AE47" ca="1">IFERROR(INDEX(47:47, SMALL(IF($D47:$U47&lt;&gt;"", COLUMN($D$1:$U47)), COLUMN(C47))), "")</f>
        <v>12</v>
      </c>
      <c r="AF47" t="str">
        <f t="array" aca="1" ref="AF47" ca="1">IFERROR(INDEX(47:47, SMALL(IF($D47:$U47&lt;&gt;"", COLUMN($D$1:$U47)), COLUMN(D47))), "")</f>
        <v>赤　飯あり120</v>
      </c>
      <c r="AG47" t="str">
        <f t="array" aca="1" ref="AG47" ca="1">IFERROR(INDEX(47:47, SMALL(IF($D47:$U47&lt;&gt;"", COLUMN($D$1:$U47)), COLUMN(E47))), "")</f>
        <v>弁当　先生</v>
      </c>
      <c r="AH47">
        <f t="array" aca="1" ref="AH47" ca="1">IFERROR(INDEX(47:47, SMALL(IF($D47:$U47&lt;&gt;"", COLUMN($D$1:$U47)), COLUMN(F47))), "")</f>
        <v>2</v>
      </c>
      <c r="AI47" t="str">
        <f t="array" aca="1" ref="AI47" ca="1">IFERROR(INDEX(47:47, SMALL(IF($D47:$U47&lt;&gt;"", COLUMN($D$1:$U47)), COLUMN(G47))), "")</f>
        <v/>
      </c>
      <c r="AJ47" t="str">
        <f t="array" aca="1" ref="AJ47" ca="1">IFERROR(INDEX(47:47, SMALL(IF($D47:$U47&lt;&gt;"", COLUMN($D$1:$U47)), COLUMN(H47))), "")</f>
        <v/>
      </c>
      <c r="AK47" t="str">
        <f t="array" aca="1" ref="AK47" ca="1">IFERROR(INDEX(47:47, SMALL(IF($D47:$U47&lt;&gt;"", COLUMN($D$1:$U47)), COLUMN(I47))), "")</f>
        <v/>
      </c>
      <c r="AL47" t="str">
        <f t="array" aca="1" ref="AL47" ca="1">IFERROR(INDEX(47:47, SMALL(IF($D47:$U47&lt;&gt;"", COLUMN($D$1:$U47)), COLUMN(J47))), "")</f>
        <v/>
      </c>
      <c r="AM47" t="str">
        <f t="array" aca="1" ref="AM47" ca="1">IFERROR(INDEX(47:47, SMALL(IF($D47:$U47&lt;&gt;"", COLUMN($D$1:$U47)), COLUMN(K47))), "")</f>
        <v/>
      </c>
      <c r="AN47" t="str">
        <f t="array" aca="1" ref="AN47" ca="1">IFERROR(INDEX(47:47, SMALL(IF($D47:$U47&lt;&gt;"", COLUMN($D$1:$U47)), COLUMN(L47))), "")</f>
        <v/>
      </c>
      <c r="AO47" t="str">
        <f t="array" aca="1" ref="AO47" ca="1">IFERROR(INDEX(47:47, SMALL(IF($D47:$U47&lt;&gt;"", COLUMN($D$1:$U47)), COLUMN(M47))), "")</f>
        <v/>
      </c>
      <c r="AP47" t="str">
        <f t="array" aca="1" ref="AP47" ca="1">IFERROR(INDEX(47:47, SMALL(IF($D47:$U47&lt;&gt;"", COLUMN($D$1:$U47)), COLUMN(N47))), "")</f>
        <v/>
      </c>
      <c r="AQ47" t="str">
        <f t="array" aca="1" ref="AQ47" ca="1">IFERROR(INDEX(47:47, SMALL(IF($D47:$U47&lt;&gt;"", COLUMN($D$1:$U47)), COLUMN(O47))), "")</f>
        <v/>
      </c>
      <c r="AR47" s="52" t="s">
        <v>4005</v>
      </c>
      <c r="AS47" t="str">
        <f t="shared" ca="1" si="13"/>
        <v/>
      </c>
      <c r="AT47" t="str">
        <f t="shared" ca="1" si="14"/>
        <v/>
      </c>
      <c r="AU47" t="str">
        <f t="shared" ca="1" si="16"/>
        <v/>
      </c>
      <c r="AV47" t="str">
        <f t="shared" ca="1" si="17"/>
        <v/>
      </c>
      <c r="AW47" t="str">
        <f t="shared" ca="1" si="18"/>
        <v/>
      </c>
      <c r="AX47" t="str">
        <f t="shared" ca="1" si="19"/>
        <v/>
      </c>
      <c r="AZ47" t="str">
        <f t="array" aca="1" ref="AZ47" ca="1">IFERROR(INDEX(47:47, SMALL(IF($AC47:$AX47&lt;&gt;"", COLUMN($AC$1:$AX47)), COLUMN(A47))), "")</f>
        <v>赤　飯あり120</v>
      </c>
      <c r="BA47" t="str">
        <f t="array" aca="1" ref="BA47" ca="1">IFERROR(INDEX(47:47, SMALL(IF($AC47:$AX47&lt;&gt;"", COLUMN($AC$1:$AX47)), COLUMN(B47))), "")</f>
        <v>弁当　園児</v>
      </c>
      <c r="BB47">
        <f t="array" aca="1" ref="BB47" ca="1">IFERROR(INDEX(47:47, SMALL(IF($AC47:$AX47&lt;&gt;"", COLUMN($AC$1:$AX47)), COLUMN(C47))), "")</f>
        <v>12</v>
      </c>
      <c r="BC47" t="str">
        <f t="array" aca="1" ref="BC47" ca="1">IFERROR(INDEX(47:47, SMALL(IF($AC47:$AX47&lt;&gt;"", COLUMN($AC$1:$AX47)), COLUMN(D47))), "")</f>
        <v>赤　飯あり120</v>
      </c>
      <c r="BD47" t="str">
        <f t="array" aca="1" ref="BD47" ca="1">IFERROR(INDEX(47:47, SMALL(IF($AC47:$AX47&lt;&gt;"", COLUMN($AC$1:$AX47)), COLUMN(E47))), "")</f>
        <v>弁当　先生</v>
      </c>
      <c r="BE47">
        <f t="array" aca="1" ref="BE47" ca="1">IFERROR(INDEX(47:47, SMALL(IF($AC47:$AX47&lt;&gt;"", COLUMN($AC$1:$AX47)), COLUMN(F47))), "")</f>
        <v>2</v>
      </c>
      <c r="BF47" t="str">
        <f t="array" aca="1" ref="BF47" ca="1">IFERROR(IF(AND(COUNTIF($B47,"*泉ヶ丘*"),COUNTIF($B48,"*泉ヶ丘*")),
IFERROR(INDEX(48:48, SMALL(IF($AC48:$AX48&lt;&gt;"", COLUMN($AC$1:$AX48)), COLUMN(A48))), ""),
INDEX(47:47, SMALL(IF($AC47:$AX47&lt;&gt;"", COLUMN($AC$1:$AX47)), COLUMN(G47)))), "")</f>
        <v>●</v>
      </c>
      <c r="BG47" t="str">
        <f t="array" aca="1" ref="BG47" ca="1">IFERROR(IF(AND(COUNTIF($B47,"*泉ヶ丘*"),COUNTIF($B48,"*泉ヶ丘*")),
IFERROR(INDEX(48:48, SMALL(IF($AC48:$AX48&lt;&gt;"", COLUMN($AC$1:$AX48)), COLUMN(B48))), ""),
INDEX(47:47, SMALL(IF($AC47:$AX47&lt;&gt;"", COLUMN($AC$1:$AX47)), COLUMN(H47)))), "")</f>
        <v/>
      </c>
      <c r="BH47" t="str">
        <f t="array" aca="1" ref="BH47" ca="1">IFERROR(IF(AND(COUNTIF($B47,"*泉ヶ丘*"),COUNTIF($B48,"*泉ヶ丘*")),
IFERROR(INDEX(48:48, SMALL(IF($AC48:$AX48&lt;&gt;"", COLUMN($AC$1:$AX48)), COLUMN(C48))), ""),
INDEX(47:47, SMALL(IF($AC47:$AX47&lt;&gt;"", COLUMN($AC$1:$AX47)), COLUMN(I47)))), "")</f>
        <v/>
      </c>
      <c r="BI47" t="str">
        <f t="array" aca="1" ref="BI47" ca="1">IFERROR(IF(AND(COUNTIF($B47,"*泉ヶ丘*"),COUNTIF($B48,"*泉ヶ丘*")),
IFERROR(INDEX(48:48, SMALL(IF($AC48:$AX48&lt;&gt;"", COLUMN($AC$1:$AX48)), COLUMN(D48))), ""),
INDEX(47:47, SMALL(IF($AC47:$AX47&lt;&gt;"", COLUMN($AC$1:$AX47)), COLUMN(J47)))), "")</f>
        <v/>
      </c>
      <c r="BJ47" t="str">
        <f t="array" aca="1" ref="BJ47" ca="1">IFERROR(IF(AND(COUNTIF($B47,"*泉ヶ丘*"),COUNTIF($B48,"*泉ヶ丘*")),
IFERROR(INDEX(48:48, SMALL(IF($AC48:$AX48&lt;&gt;"", COLUMN($AC$1:$AX48)), COLUMN(E48))), ""),
INDEX(47:47, SMALL(IF($AC47:$AX47&lt;&gt;"", COLUMN($AC$1:$AX47)), COLUMN(K47)))), "")</f>
        <v/>
      </c>
      <c r="BK47" t="str">
        <f t="array" aca="1" ref="BK47" ca="1">IFERROR(IF(AND(COUNTIF($B47,"*泉ヶ丘*"),COUNTIF($B48,"*泉ヶ丘*")),
IFERROR(INDEX(48:48, SMALL(IF($AC48:$AX48&lt;&gt;"", COLUMN($AC$1:$AX48)), COLUMN(F48))), ""),
INDEX(47:47, SMALL(IF($AC47:$AX47&lt;&gt;"", COLUMN($AC$1:$AX47)), COLUMN(L47)))), "")</f>
        <v/>
      </c>
      <c r="BL47" t="str">
        <f t="array" aca="1" ref="BL47" ca="1">IFERROR(IF(AND(COUNTIF($B47,"*泉ヶ丘*"),COUNTIF($B48,"*泉ヶ丘*")),
IFERROR(INDEX(48:48, SMALL(IF($AC48:$AX48&lt;&gt;"", COLUMN($AC$1:$AX48)), COLUMN(G48))), ""),
INDEX(47:47, SMALL(IF($AC47:$AX47&lt;&gt;"", COLUMN($AC$1:$AX47)), COLUMN(M47)))), "")</f>
        <v/>
      </c>
      <c r="BM47" t="str">
        <f t="array" aca="1" ref="BM47" ca="1">IFERROR(IF(AND(COUNTIF($B47,"*泉ヶ丘*"),COUNTIF($B48,"*泉ヶ丘*")),
IFERROR(INDEX(48:48, SMALL(IF($AC48:$AX48&lt;&gt;"", COLUMN($AC$1:$AX48)), COLUMN(H48))), ""),
INDEX(47:47, SMALL(IF($AC47:$AX47&lt;&gt;"", COLUMN($AC$1:$AX47)), COLUMN(N47)))), "")</f>
        <v/>
      </c>
      <c r="BN47" t="str">
        <f t="array" aca="1" ref="BN47" ca="1">IFERROR(IF(AND(COUNTIF($B47,"*泉ヶ丘*"),COUNTIF($B48,"*泉ヶ丘*")),
IFERROR(INDEX(48:48, SMALL(IF($AC48:$AX48&lt;&gt;"", COLUMN($AC$1:$AX48)), COLUMN(I48))), ""),
INDEX(47:47, SMALL(IF($AC47:$AX47&lt;&gt;"", COLUMN($AC$1:$AX47)), COLUMN(O47)))), "")</f>
        <v/>
      </c>
      <c r="BO47" t="str">
        <f t="array" aca="1" ref="BO47" ca="1">IFERROR(IF(AND(COUNTIF($B47,"*泉ヶ丘*"),COUNTIF($B48,"*泉ヶ丘*")),
IFERROR(INDEX(48:48, SMALL(IF($AC48:$AX48&lt;&gt;"", COLUMN($AC$1:$AX48)), COLUMN(J48))), ""),
INDEX(47:47, SMALL(IF($AC47:$AX47&lt;&gt;"", COLUMN($AC$1:$AX47)), COLUMN(P47)))), "")</f>
        <v/>
      </c>
      <c r="BP47" t="str">
        <f t="array" aca="1" ref="BP47" ca="1">IFERROR(IF(AND(COUNTIF($B47,"*泉ヶ丘*"),COUNTIF($B48,"*泉ヶ丘*")),
IFERROR(INDEX(48:48, SMALL(IF($AC48:$AX48&lt;&gt;"", COLUMN($AC$1:$AX48)), COLUMN(K48))), ""),
INDEX(47:47, SMALL(IF($AC47:$AX47&lt;&gt;"", COLUMN($AC$1:$AX47)), COLUMN(Q47)))), "")</f>
        <v/>
      </c>
      <c r="BQ47" t="str">
        <f t="array" aca="1" ref="BQ47" ca="1">IFERROR(IF(AND(COUNTIF($B47,"*泉ヶ丘*"),COUNTIF($B48,"*泉ヶ丘*")),
IFERROR(INDEX(48:48, SMALL(IF($AC48:$AX48&lt;&gt;"", COLUMN($AC$1:$AX48)), COLUMN(L48))), ""),
INDEX(47:47, SMALL(IF($AC47:$AX47&lt;&gt;"", COLUMN($AC$1:$AX47)), COLUMN(R47)))), "")</f>
        <v/>
      </c>
    </row>
    <row r="48" spans="1:69" x14ac:dyDescent="0.45">
      <c r="A48" t="str">
        <f t="array" ref="A48">IF(INDEX(貼り付け用!A:A,MATCH(A47,貼り付け用!A:A,0)+2)="4700",
IF(INDEX(貼り付け用!A:A,MATCH(A47,貼り付け用!A:A,0)+4)="4800",
INDEX(貼り付け用!A:A,MATCH(A47,貼り付け用!A:A,0)+6),
INDEX(貼り付け用!A:A,MATCH(A47,貼り付け用!A:A,0)+4)),INDEX(貼り付け用!A:A,MATCH(A47,貼り付け用!A:A,0)+2))</f>
        <v>14700</v>
      </c>
      <c r="B48" t="str">
        <f>IF(A48&lt;&gt;"",
VLOOKUP(A48,得意先マスタ!A:D,2,FALSE),"")</f>
        <v>アメリカンチャターボックス</v>
      </c>
      <c r="C48" t="str">
        <f t="array" ref="C48">IF(A48="10000","",INDEX(貼り付け用!A:A,MATCH(A48,貼り付け用!A:A,0)+1))</f>
        <v>アメリカンチャターボックス</v>
      </c>
      <c r="D48" t="str">
        <f ca="1">VLOOKUP(C48,クライアント抽出!$A:$O,10,FALSE)</f>
        <v>赤　飯あり120</v>
      </c>
      <c r="E48" t="str">
        <f ca="1">IF(D48&lt;&gt;"",
IF(COUNTIF(C48,"*ぺんぎん*"),
VLOOKUP(
"*"&amp;IF(COUNTIF(D48,"*キャラ弁*"),"キャラ",
IF(COUNTIF(D48,"*赤*"),"赤",SUBSTITUTE(SUBSTITUTE(D48," ",""),"　","")))&amp;"*",
注文弁当の抽出!$F:$I,4,FALSE)&amp;
IF(COUNTIF(D48,"*おにぎり*"),"　おにぎり","")&amp;"　（ぺんぎん組）",
VLOOKUP(
"*"&amp;IF(COUNTIF(D48,"*キャラ弁*"),"キャラ",
IF(COUNTIF(D48,"*赤*"),"赤",SUBSTITUTE(SUBSTITUTE(D48," ",""),"　","")))&amp;"*",
注文弁当の抽出!$F:$I,4,FALSE)&amp;
IF(COUNTIF(D48,"*おにぎり*"),"　おにぎり","")),"")</f>
        <v>弁当　園児</v>
      </c>
      <c r="F48">
        <f ca="1">IFERROR(IF(E48&lt;&gt;"",
VLOOKUP(C48,クライアント抽出!$A:$G,2,FALSE)+
IF(COUNTIF(Y48,"*-*"),Y48,0),"")
-IFERROR(MID(V48, SEARCH("予備", V48) + LEN("予備"), SEARCH("込み", V48) - (SEARCH("予備", V48) + LEN("予備"))),0),"")</f>
        <v>12</v>
      </c>
      <c r="G48" t="str">
        <f ca="1">VLOOKUP(C48,クライアント抽出!$A:$O,11,FALSE)</f>
        <v/>
      </c>
      <c r="H48" t="str">
        <f ca="1">IF(G48&lt;&gt;"",
VLOOKUP(
"*"&amp;IF(COUNTIF(G48,"*キャラ弁*"),"キャラ",
IF(COUNTIF(G48,"*赤*"),"赤",SUBSTITUTE(SUBSTITUTE(G48," ",""),"　","")))&amp;"*",
注文弁当の抽出!$F:$I,4,FALSE)&amp;
IF(COUNTIF(G48,"*おにぎり*"),"　おにぎり",""),"")</f>
        <v/>
      </c>
      <c r="I48" t="str">
        <f ca="1">IF(H48&lt;&gt;"",
VLOOKUP(C48,クライアント抽出!$A:$G,3,FALSE)+
IF(COUNTIF(C48,"*博多*"),Y48,Z48),"")</f>
        <v/>
      </c>
      <c r="J48" t="str">
        <f ca="1">VLOOKUP(C48,クライアント抽出!$A:$O,12,FALSE)</f>
        <v/>
      </c>
      <c r="K48" t="str">
        <f ca="1">IF(J48&lt;&gt;"",
VLOOKUP(
"*"&amp;IF(COUNTIF(J48,"*キャラ弁*"),"キャラ",
IF(COUNTIF(J48,"*赤*"),"赤",SUBSTITUTE(SUBSTITUTE(J48," ",""),"　","")))&amp;"*",
注文弁当の抽出!$F:$I,4,FALSE)&amp;
IF(COUNTIF(J48,"*おにぎり*"),"　おにぎり",""),"")</f>
        <v/>
      </c>
      <c r="L48" t="str">
        <f ca="1">IF(K48&lt;&gt;"",
VLOOKUP(C48,クライアント抽出!$A:$G,4,FALSE)+AA48,"")</f>
        <v/>
      </c>
      <c r="M48" t="str">
        <f ca="1">VLOOKUP(C48,クライアント抽出!$A:$O,13,FALSE)</f>
        <v/>
      </c>
      <c r="N48" t="str">
        <f ca="1">SUBSTITUTE(
IF(M48&lt;&gt;"",
VLOOKUP(
"*"&amp;IF(COUNTIF(M48,"*キャラ弁*"),"キャラ",
IF(COUNTIF(M48,"*赤*"),"赤",SUBSTITUTE(SUBSTITUTE(D48," ",""),"　","")))&amp;"*",
注文弁当の抽出!$F:$I,4,FALSE),""),"園児","先生")&amp;
IF(COUNTIF(M48,"*おにぎり*"),"　おにぎり","")</f>
        <v/>
      </c>
      <c r="O48" t="str">
        <f ca="1">IF(N48&lt;&gt;"",VLOOKUP(C48,クライアント抽出!$A:$G,5,FALSE),"")</f>
        <v/>
      </c>
      <c r="P48" t="str">
        <f ca="1">VLOOKUP(C48,クライアント抽出!$A:$O,14,FALSE)</f>
        <v/>
      </c>
      <c r="Q48" t="str">
        <f ca="1">SUBSTITUTE(
IF(P48&lt;&gt;"",
VLOOKUP(
"*"&amp;IF(COUNTIF(P48,"*キャラ弁*"),"キャラ",
IF(COUNTIF(P48,"*赤*"),"赤",SUBSTITUTE(SUBSTITUTE(G48," ",""),"　","")))&amp;"*",
注文弁当の抽出!$F:$I,4,FALSE),""),"園児","先生")&amp;
IF(COUNTIF(P48,"*おにぎり*"),"　おにぎり","")</f>
        <v/>
      </c>
      <c r="R48" t="str">
        <f ca="1">IF(Q48&lt;&gt;"",
VLOOKUP(C48,クライアント抽出!$A:$G,6,FALSE),"")</f>
        <v/>
      </c>
      <c r="S48" t="str">
        <f ca="1">VLOOKUP(C48,クライアント抽出!$A:$O,15,FALSE)</f>
        <v/>
      </c>
      <c r="T48" t="str">
        <f ca="1">SUBSTITUTE(
IF(S48&lt;&gt;"",
VLOOKUP(
"*"&amp;IF(COUNTIF(S48,"*キャラ弁*"),"キャラ",
IF(COUNTIF(S48,"*赤*"),"赤",SUBSTITUTE(SUBSTITUTE(J48," ",""),"　","")))&amp;"*",
注文弁当の抽出!$F:$I,4,FALSE),""),"園児","先生")&amp;
IF(COUNTIF(S48,"*おにぎり*"),"　おにぎり","")</f>
        <v/>
      </c>
      <c r="U48" t="str">
        <f ca="1">IF(T48&lt;&gt;"",
VLOOKUP(C48,クライアント抽出!$A:$G,7,FALSE),"")</f>
        <v/>
      </c>
      <c r="V48" t="str">
        <f ca="1">IF(A48&lt;&gt;"",
IF(COUNTIF(V47,"*牛乳*"),
IF(AND(COUNTIF(B47,"*奈良屋*"),COUNTIF(B48,"*奈良屋*")),
V47&amp;"✔",""),VLOOKUP(""&amp;A48&amp;"",数出表_Excel!$A:$Z,22,FALSE)&amp;VLOOKUP(""&amp;A48&amp;"",数出表_Excel!$A:$Z,23,FALSE)
&amp;VLOOKUP(""&amp;C48&amp;"",数出表_Excel!$A:$Z,22,FALSE)&amp;VLOOKUP(""&amp;C48&amp;"",数出表_Excel!$A:$Z,23,FALSE)),"")</f>
        <v>ｱﾚ1</v>
      </c>
      <c r="W48">
        <f ca="1">IF(AND(COUNTIF(V48,"&lt;&gt;*不要*"),A48&lt;&gt;""),VLOOKUP(A48,得意先マスタ!$A:$AD,24,FALSE),0)</f>
        <v>0</v>
      </c>
      <c r="X48">
        <f ca="1">IF(AND(COUNTIF(V48,"&lt;&gt;*不要*"),A48&lt;&gt;""),VLOOKUP(A48,得意先マスタ!$A:$AD,25,FALSE),0)</f>
        <v>0</v>
      </c>
      <c r="Y48">
        <f t="shared" ca="1" si="10"/>
        <v>0</v>
      </c>
      <c r="Z48">
        <f t="shared" ca="1" si="11"/>
        <v>0</v>
      </c>
      <c r="AA48">
        <f t="shared" ca="1" si="15"/>
        <v>0</v>
      </c>
      <c r="AB48" t="str">
        <f t="shared" ca="1" si="12"/>
        <v/>
      </c>
      <c r="AC48" t="str">
        <f t="array" aca="1" ref="AC48" ca="1">IFERROR(INDEX(48:48, SMALL(IF($D48:$U48&lt;&gt;"", COLUMN($D$1:$U48)), COLUMN(A48))), "")</f>
        <v>赤　飯あり120</v>
      </c>
      <c r="AD48" t="str">
        <f t="array" aca="1" ref="AD48" ca="1">IFERROR(INDEX(48:48, SMALL(IF($D48:$U48&lt;&gt;"", COLUMN($D$1:$U48)), COLUMN(B48))), "")</f>
        <v>弁当　園児</v>
      </c>
      <c r="AE48">
        <f t="array" aca="1" ref="AE48" ca="1">IFERROR(INDEX(48:48, SMALL(IF($D48:$U48&lt;&gt;"", COLUMN($D$1:$U48)), COLUMN(C48))), "")</f>
        <v>12</v>
      </c>
      <c r="AF48" t="str">
        <f t="array" aca="1" ref="AF48" ca="1">IFERROR(INDEX(48:48, SMALL(IF($D48:$U48&lt;&gt;"", COLUMN($D$1:$U48)), COLUMN(D48))), "")</f>
        <v/>
      </c>
      <c r="AG48" t="str">
        <f t="array" aca="1" ref="AG48" ca="1">IFERROR(INDEX(48:48, SMALL(IF($D48:$U48&lt;&gt;"", COLUMN($D$1:$U48)), COLUMN(E48))), "")</f>
        <v/>
      </c>
      <c r="AH48" t="str">
        <f t="array" aca="1" ref="AH48" ca="1">IFERROR(INDEX(48:48, SMALL(IF($D48:$U48&lt;&gt;"", COLUMN($D$1:$U48)), COLUMN(F48))), "")</f>
        <v/>
      </c>
      <c r="AI48" t="str">
        <f t="array" aca="1" ref="AI48" ca="1">IFERROR(INDEX(48:48, SMALL(IF($D48:$U48&lt;&gt;"", COLUMN($D$1:$U48)), COLUMN(G48))), "")</f>
        <v/>
      </c>
      <c r="AJ48" t="str">
        <f t="array" aca="1" ref="AJ48" ca="1">IFERROR(INDEX(48:48, SMALL(IF($D48:$U48&lt;&gt;"", COLUMN($D$1:$U48)), COLUMN(H48))), "")</f>
        <v/>
      </c>
      <c r="AK48" t="str">
        <f t="array" aca="1" ref="AK48" ca="1">IFERROR(INDEX(48:48, SMALL(IF($D48:$U48&lt;&gt;"", COLUMN($D$1:$U48)), COLUMN(I48))), "")</f>
        <v/>
      </c>
      <c r="AL48" t="str">
        <f t="array" aca="1" ref="AL48" ca="1">IFERROR(INDEX(48:48, SMALL(IF($D48:$U48&lt;&gt;"", COLUMN($D$1:$U48)), COLUMN(J48))), "")</f>
        <v/>
      </c>
      <c r="AM48" t="str">
        <f t="array" aca="1" ref="AM48" ca="1">IFERROR(INDEX(48:48, SMALL(IF($D48:$U48&lt;&gt;"", COLUMN($D$1:$U48)), COLUMN(K48))), "")</f>
        <v/>
      </c>
      <c r="AN48" t="str">
        <f t="array" aca="1" ref="AN48" ca="1">IFERROR(INDEX(48:48, SMALL(IF($D48:$U48&lt;&gt;"", COLUMN($D$1:$U48)), COLUMN(L48))), "")</f>
        <v/>
      </c>
      <c r="AO48" t="str">
        <f t="array" aca="1" ref="AO48" ca="1">IFERROR(INDEX(48:48, SMALL(IF($D48:$U48&lt;&gt;"", COLUMN($D$1:$U48)), COLUMN(M48))), "")</f>
        <v/>
      </c>
      <c r="AP48" t="str">
        <f t="array" aca="1" ref="AP48" ca="1">IFERROR(INDEX(48:48, SMALL(IF($D48:$U48&lt;&gt;"", COLUMN($D$1:$U48)), COLUMN(N48))), "")</f>
        <v/>
      </c>
      <c r="AQ48" t="str">
        <f t="array" aca="1" ref="AQ48" ca="1">IFERROR(INDEX(48:48, SMALL(IF($D48:$U48&lt;&gt;"", COLUMN($D$1:$U48)), COLUMN(O48))), "")</f>
        <v/>
      </c>
      <c r="AR48" s="52" t="s">
        <v>4005</v>
      </c>
      <c r="AS48" t="str">
        <f t="shared" ca="1" si="13"/>
        <v/>
      </c>
      <c r="AT48" t="str">
        <f t="shared" ca="1" si="14"/>
        <v/>
      </c>
      <c r="AU48" t="str">
        <f t="shared" ca="1" si="16"/>
        <v/>
      </c>
      <c r="AV48" t="str">
        <f t="shared" ca="1" si="17"/>
        <v/>
      </c>
      <c r="AW48" t="str">
        <f t="shared" ca="1" si="18"/>
        <v/>
      </c>
      <c r="AX48" t="str">
        <f t="shared" ca="1" si="19"/>
        <v/>
      </c>
      <c r="AZ48" t="str">
        <f t="array" aca="1" ref="AZ48" ca="1">IFERROR(INDEX(48:48, SMALL(IF($AC48:$AX48&lt;&gt;"", COLUMN($AC$1:$AX48)), COLUMN(A48))), "")</f>
        <v>赤　飯あり120</v>
      </c>
      <c r="BA48" t="str">
        <f t="array" aca="1" ref="BA48" ca="1">IFERROR(INDEX(48:48, SMALL(IF($AC48:$AX48&lt;&gt;"", COLUMN($AC$1:$AX48)), COLUMN(B48))), "")</f>
        <v>弁当　園児</v>
      </c>
      <c r="BB48">
        <f t="array" aca="1" ref="BB48" ca="1">IFERROR(INDEX(48:48, SMALL(IF($AC48:$AX48&lt;&gt;"", COLUMN($AC$1:$AX48)), COLUMN(C48))), "")</f>
        <v>12</v>
      </c>
      <c r="BC48" t="str">
        <f t="array" aca="1" ref="BC48" ca="1">IFERROR(INDEX(48:48, SMALL(IF($AC48:$AX48&lt;&gt;"", COLUMN($AC$1:$AX48)), COLUMN(D48))), "")</f>
        <v>●</v>
      </c>
      <c r="BD48" t="str">
        <f t="array" aca="1" ref="BD48" ca="1">IFERROR(INDEX(48:48, SMALL(IF($AC48:$AX48&lt;&gt;"", COLUMN($AC$1:$AX48)), COLUMN(E48))), "")</f>
        <v/>
      </c>
      <c r="BE48" t="str">
        <f t="array" aca="1" ref="BE48" ca="1">IFERROR(INDEX(48:48, SMALL(IF($AC48:$AX48&lt;&gt;"", COLUMN($AC$1:$AX48)), COLUMN(F48))), "")</f>
        <v/>
      </c>
      <c r="BF48" t="str">
        <f t="array" aca="1" ref="BF48" ca="1">IFERROR(IF(AND(COUNTIF($B48,"*泉ヶ丘*"),COUNTIF($B49,"*泉ヶ丘*")),
IFERROR(INDEX(49:49, SMALL(IF($AC49:$AX49&lt;&gt;"", COLUMN($AC$1:$AX49)), COLUMN(A49))), ""),
INDEX(48:48, SMALL(IF($AC48:$AX48&lt;&gt;"", COLUMN($AC$1:$AX48)), COLUMN(G48)))), "")</f>
        <v/>
      </c>
      <c r="BG48" t="str">
        <f t="array" aca="1" ref="BG48" ca="1">IFERROR(IF(AND(COUNTIF($B48,"*泉ヶ丘*"),COUNTIF($B49,"*泉ヶ丘*")),
IFERROR(INDEX(49:49, SMALL(IF($AC49:$AX49&lt;&gt;"", COLUMN($AC$1:$AX49)), COLUMN(B49))), ""),
INDEX(48:48, SMALL(IF($AC48:$AX48&lt;&gt;"", COLUMN($AC$1:$AX48)), COLUMN(H48)))), "")</f>
        <v/>
      </c>
      <c r="BH48" t="str">
        <f t="array" aca="1" ref="BH48" ca="1">IFERROR(IF(AND(COUNTIF($B48,"*泉ヶ丘*"),COUNTIF($B49,"*泉ヶ丘*")),
IFERROR(INDEX(49:49, SMALL(IF($AC49:$AX49&lt;&gt;"", COLUMN($AC$1:$AX49)), COLUMN(C49))), ""),
INDEX(48:48, SMALL(IF($AC48:$AX48&lt;&gt;"", COLUMN($AC$1:$AX48)), COLUMN(I48)))), "")</f>
        <v/>
      </c>
      <c r="BI48" t="str">
        <f t="array" aca="1" ref="BI48" ca="1">IFERROR(IF(AND(COUNTIF($B48,"*泉ヶ丘*"),COUNTIF($B49,"*泉ヶ丘*")),
IFERROR(INDEX(49:49, SMALL(IF($AC49:$AX49&lt;&gt;"", COLUMN($AC$1:$AX49)), COLUMN(D49))), ""),
INDEX(48:48, SMALL(IF($AC48:$AX48&lt;&gt;"", COLUMN($AC$1:$AX48)), COLUMN(J48)))), "")</f>
        <v/>
      </c>
      <c r="BJ48" t="str">
        <f t="array" aca="1" ref="BJ48" ca="1">IFERROR(IF(AND(COUNTIF($B48,"*泉ヶ丘*"),COUNTIF($B49,"*泉ヶ丘*")),
IFERROR(INDEX(49:49, SMALL(IF($AC49:$AX49&lt;&gt;"", COLUMN($AC$1:$AX49)), COLUMN(E49))), ""),
INDEX(48:48, SMALL(IF($AC48:$AX48&lt;&gt;"", COLUMN($AC$1:$AX48)), COLUMN(K48)))), "")</f>
        <v/>
      </c>
      <c r="BK48" t="str">
        <f t="array" aca="1" ref="BK48" ca="1">IFERROR(IF(AND(COUNTIF($B48,"*泉ヶ丘*"),COUNTIF($B49,"*泉ヶ丘*")),
IFERROR(INDEX(49:49, SMALL(IF($AC49:$AX49&lt;&gt;"", COLUMN($AC$1:$AX49)), COLUMN(F49))), ""),
INDEX(48:48, SMALL(IF($AC48:$AX48&lt;&gt;"", COLUMN($AC$1:$AX48)), COLUMN(L48)))), "")</f>
        <v/>
      </c>
      <c r="BL48" t="str">
        <f t="array" aca="1" ref="BL48" ca="1">IFERROR(IF(AND(COUNTIF($B48,"*泉ヶ丘*"),COUNTIF($B49,"*泉ヶ丘*")),
IFERROR(INDEX(49:49, SMALL(IF($AC49:$AX49&lt;&gt;"", COLUMN($AC$1:$AX49)), COLUMN(G49))), ""),
INDEX(48:48, SMALL(IF($AC48:$AX48&lt;&gt;"", COLUMN($AC$1:$AX48)), COLUMN(M48)))), "")</f>
        <v/>
      </c>
      <c r="BM48" t="str">
        <f t="array" aca="1" ref="BM48" ca="1">IFERROR(IF(AND(COUNTIF($B48,"*泉ヶ丘*"),COUNTIF($B49,"*泉ヶ丘*")),
IFERROR(INDEX(49:49, SMALL(IF($AC49:$AX49&lt;&gt;"", COLUMN($AC$1:$AX49)), COLUMN(H49))), ""),
INDEX(48:48, SMALL(IF($AC48:$AX48&lt;&gt;"", COLUMN($AC$1:$AX48)), COLUMN(N48)))), "")</f>
        <v/>
      </c>
      <c r="BN48" t="str">
        <f t="array" aca="1" ref="BN48" ca="1">IFERROR(IF(AND(COUNTIF($B48,"*泉ヶ丘*"),COUNTIF($B49,"*泉ヶ丘*")),
IFERROR(INDEX(49:49, SMALL(IF($AC49:$AX49&lt;&gt;"", COLUMN($AC$1:$AX49)), COLUMN(I49))), ""),
INDEX(48:48, SMALL(IF($AC48:$AX48&lt;&gt;"", COLUMN($AC$1:$AX48)), COLUMN(O48)))), "")</f>
        <v/>
      </c>
      <c r="BO48" t="str">
        <f t="array" aca="1" ref="BO48" ca="1">IFERROR(IF(AND(COUNTIF($B48,"*泉ヶ丘*"),COUNTIF($B49,"*泉ヶ丘*")),
IFERROR(INDEX(49:49, SMALL(IF($AC49:$AX49&lt;&gt;"", COLUMN($AC$1:$AX49)), COLUMN(J49))), ""),
INDEX(48:48, SMALL(IF($AC48:$AX48&lt;&gt;"", COLUMN($AC$1:$AX48)), COLUMN(P48)))), "")</f>
        <v/>
      </c>
      <c r="BP48" t="str">
        <f t="array" aca="1" ref="BP48" ca="1">IFERROR(IF(AND(COUNTIF($B48,"*泉ヶ丘*"),COUNTIF($B49,"*泉ヶ丘*")),
IFERROR(INDEX(49:49, SMALL(IF($AC49:$AX49&lt;&gt;"", COLUMN($AC$1:$AX49)), COLUMN(K49))), ""),
INDEX(48:48, SMALL(IF($AC48:$AX48&lt;&gt;"", COLUMN($AC$1:$AX48)), COLUMN(Q48)))), "")</f>
        <v/>
      </c>
      <c r="BQ48" t="str">
        <f t="array" aca="1" ref="BQ48" ca="1">IFERROR(IF(AND(COUNTIF($B48,"*泉ヶ丘*"),COUNTIF($B49,"*泉ヶ丘*")),
IFERROR(INDEX(49:49, SMALL(IF($AC49:$AX49&lt;&gt;"", COLUMN($AC$1:$AX49)), COLUMN(L49))), ""),
INDEX(48:48, SMALL(IF($AC48:$AX48&lt;&gt;"", COLUMN($AC$1:$AX48)), COLUMN(R48)))), "")</f>
        <v/>
      </c>
    </row>
    <row r="49" spans="1:69" x14ac:dyDescent="0.45">
      <c r="A49" t="str">
        <f t="array" ref="A49">IF(INDEX(貼り付け用!A:A,MATCH(A48,貼り付け用!A:A,0)+2)="4700",
IF(INDEX(貼り付け用!A:A,MATCH(A48,貼り付け用!A:A,0)+4)="4800",
INDEX(貼り付け用!A:A,MATCH(A48,貼り付け用!A:A,0)+6),
INDEX(貼り付け用!A:A,MATCH(A48,貼り付け用!A:A,0)+4)),INDEX(貼り付け用!A:A,MATCH(A48,貼り付け用!A:A,0)+2))</f>
        <v>19100</v>
      </c>
      <c r="B49" t="str">
        <f>IF(A49&lt;&gt;"",
VLOOKUP(A49,得意先マスタ!A:D,2,FALSE),"")</f>
        <v>コーナーズインターナショナルスクール</v>
      </c>
      <c r="C49" t="str">
        <f t="array" ref="C49">IF(A49="10000","",INDEX(貼り付け用!A:A,MATCH(A49,貼り付け用!A:A,0)+1))</f>
        <v>コーナーズインターナショナル</v>
      </c>
      <c r="D49" t="str">
        <f ca="1">VLOOKUP(C49,クライアント抽出!$A:$O,10,FALSE)</f>
        <v>赤　飯あり120</v>
      </c>
      <c r="E49" t="str">
        <f ca="1">IF(D49&lt;&gt;"",
IF(COUNTIF(C49,"*ぺんぎん*"),
VLOOKUP(
"*"&amp;IF(COUNTIF(D49,"*キャラ弁*"),"キャラ",
IF(COUNTIF(D49,"*赤*"),"赤",SUBSTITUTE(SUBSTITUTE(D49," ",""),"　","")))&amp;"*",
注文弁当の抽出!$F:$I,4,FALSE)&amp;
IF(COUNTIF(D49,"*おにぎり*"),"　おにぎり","")&amp;"　（ぺんぎん組）",
VLOOKUP(
"*"&amp;IF(COUNTIF(D49,"*キャラ弁*"),"キャラ",
IF(COUNTIF(D49,"*赤*"),"赤",SUBSTITUTE(SUBSTITUTE(D49," ",""),"　","")))&amp;"*",
注文弁当の抽出!$F:$I,4,FALSE)&amp;
IF(COUNTIF(D49,"*おにぎり*"),"　おにぎり","")),"")</f>
        <v>弁当　園児</v>
      </c>
      <c r="F49">
        <f ca="1">IFERROR(IF(E49&lt;&gt;"",
VLOOKUP(C49,クライアント抽出!$A:$G,2,FALSE)+
IF(COUNTIF(Y49,"*-*"),Y49,0),"")
-IFERROR(MID(V49, SEARCH("予備", V49) + LEN("予備"), SEARCH("込み", V49) - (SEARCH("予備", V49) + LEN("予備"))),0),"")</f>
        <v>22</v>
      </c>
      <c r="G49" t="str">
        <f ca="1">VLOOKUP(C49,クライアント抽出!$A:$O,11,FALSE)</f>
        <v/>
      </c>
      <c r="H49" t="str">
        <f ca="1">IF(G49&lt;&gt;"",
VLOOKUP(
"*"&amp;IF(COUNTIF(G49,"*キャラ弁*"),"キャラ",
IF(COUNTIF(G49,"*赤*"),"赤",SUBSTITUTE(SUBSTITUTE(G49," ",""),"　","")))&amp;"*",
注文弁当の抽出!$F:$I,4,FALSE)&amp;
IF(COUNTIF(G49,"*おにぎり*"),"　おにぎり",""),"")</f>
        <v/>
      </c>
      <c r="I49" t="str">
        <f ca="1">IF(H49&lt;&gt;"",
VLOOKUP(C49,クライアント抽出!$A:$G,3,FALSE)+
IF(COUNTIF(C49,"*博多*"),Y49,Z49),"")</f>
        <v/>
      </c>
      <c r="J49" t="str">
        <f ca="1">VLOOKUP(C49,クライアント抽出!$A:$O,12,FALSE)</f>
        <v/>
      </c>
      <c r="K49" t="str">
        <f ca="1">IF(J49&lt;&gt;"",
VLOOKUP(
"*"&amp;IF(COUNTIF(J49,"*キャラ弁*"),"キャラ",
IF(COUNTIF(J49,"*赤*"),"赤",SUBSTITUTE(SUBSTITUTE(J49," ",""),"　","")))&amp;"*",
注文弁当の抽出!$F:$I,4,FALSE)&amp;
IF(COUNTIF(J49,"*おにぎり*"),"　おにぎり",""),"")</f>
        <v/>
      </c>
      <c r="L49" t="str">
        <f ca="1">IF(K49&lt;&gt;"",
VLOOKUP(C49,クライアント抽出!$A:$G,4,FALSE)+AA49,"")</f>
        <v/>
      </c>
      <c r="M49" t="str">
        <f ca="1">VLOOKUP(C49,クライアント抽出!$A:$O,13,FALSE)</f>
        <v/>
      </c>
      <c r="N49" t="str">
        <f ca="1">SUBSTITUTE(
IF(M49&lt;&gt;"",
VLOOKUP(
"*"&amp;IF(COUNTIF(M49,"*キャラ弁*"),"キャラ",
IF(COUNTIF(M49,"*赤*"),"赤",SUBSTITUTE(SUBSTITUTE(D49," ",""),"　","")))&amp;"*",
注文弁当の抽出!$F:$I,4,FALSE),""),"園児","先生")&amp;
IF(COUNTIF(M49,"*おにぎり*"),"　おにぎり","")</f>
        <v/>
      </c>
      <c r="O49" t="str">
        <f ca="1">IF(N49&lt;&gt;"",VLOOKUP(C49,クライアント抽出!$A:$G,5,FALSE),"")</f>
        <v/>
      </c>
      <c r="P49" t="str">
        <f ca="1">VLOOKUP(C49,クライアント抽出!$A:$O,14,FALSE)</f>
        <v/>
      </c>
      <c r="Q49" t="str">
        <f ca="1">SUBSTITUTE(
IF(P49&lt;&gt;"",
VLOOKUP(
"*"&amp;IF(COUNTIF(P49,"*キャラ弁*"),"キャラ",
IF(COUNTIF(P49,"*赤*"),"赤",SUBSTITUTE(SUBSTITUTE(G49," ",""),"　","")))&amp;"*",
注文弁当の抽出!$F:$I,4,FALSE),""),"園児","先生")&amp;
IF(COUNTIF(P49,"*おにぎり*"),"　おにぎり","")</f>
        <v/>
      </c>
      <c r="R49" t="str">
        <f ca="1">IF(Q49&lt;&gt;"",
VLOOKUP(C49,クライアント抽出!$A:$G,6,FALSE),"")</f>
        <v/>
      </c>
      <c r="S49" t="str">
        <f ca="1">VLOOKUP(C49,クライアント抽出!$A:$O,15,FALSE)</f>
        <v/>
      </c>
      <c r="T49" t="str">
        <f ca="1">SUBSTITUTE(
IF(S49&lt;&gt;"",
VLOOKUP(
"*"&amp;IF(COUNTIF(S49,"*キャラ弁*"),"キャラ",
IF(COUNTIF(S49,"*赤*"),"赤",SUBSTITUTE(SUBSTITUTE(J49," ",""),"　","")))&amp;"*",
注文弁当の抽出!$F:$I,4,FALSE),""),"園児","先生")&amp;
IF(COUNTIF(S49,"*おにぎり*"),"　おにぎり","")</f>
        <v/>
      </c>
      <c r="U49" t="str">
        <f ca="1">IF(T49&lt;&gt;"",
VLOOKUP(C49,クライアント抽出!$A:$G,7,FALSE),"")</f>
        <v/>
      </c>
      <c r="V49" t="str">
        <f ca="1">IF(A49&lt;&gt;"",
IF(COUNTIF(V48,"*牛乳*"),
IF(AND(COUNTIF(B48,"*奈良屋*"),COUNTIF(B49,"*奈良屋*")),
V48&amp;"✔",""),VLOOKUP(""&amp;A49&amp;"",数出表_Excel!$A:$Z,22,FALSE)&amp;VLOOKUP(""&amp;A49&amp;"",数出表_Excel!$A:$Z,23,FALSE)
&amp;VLOOKUP(""&amp;C49&amp;"",数出表_Excel!$A:$Z,22,FALSE)&amp;VLOOKUP(""&amp;C49&amp;"",数出表_Excel!$A:$Z,23,FALSE)),"")</f>
        <v>スープ付き</v>
      </c>
      <c r="W49">
        <f ca="1">IF(AND(COUNTIF(V49,"&lt;&gt;*不要*"),A49&lt;&gt;""),VLOOKUP(A49,得意先マスタ!$A:$AD,24,FALSE),0)</f>
        <v>0</v>
      </c>
      <c r="X49">
        <f ca="1">IF(AND(COUNTIF(V49,"&lt;&gt;*不要*"),A49&lt;&gt;""),VLOOKUP(A49,得意先マスタ!$A:$AD,25,FALSE),0)</f>
        <v>0</v>
      </c>
      <c r="Y49">
        <f t="shared" ca="1" si="10"/>
        <v>0</v>
      </c>
      <c r="Z49">
        <f t="shared" ca="1" si="11"/>
        <v>0</v>
      </c>
      <c r="AA49">
        <f t="shared" ca="1" si="15"/>
        <v>0</v>
      </c>
      <c r="AB49" t="str">
        <f t="shared" ca="1" si="12"/>
        <v/>
      </c>
      <c r="AC49" t="str">
        <f t="array" aca="1" ref="AC49" ca="1">IFERROR(INDEX(49:49, SMALL(IF($D49:$U49&lt;&gt;"", COLUMN($D$1:$U49)), COLUMN(A49))), "")</f>
        <v>赤　飯あり120</v>
      </c>
      <c r="AD49" t="str">
        <f t="array" aca="1" ref="AD49" ca="1">IFERROR(INDEX(49:49, SMALL(IF($D49:$U49&lt;&gt;"", COLUMN($D$1:$U49)), COLUMN(B49))), "")</f>
        <v>弁当　園児</v>
      </c>
      <c r="AE49">
        <f t="array" aca="1" ref="AE49" ca="1">IFERROR(INDEX(49:49, SMALL(IF($D49:$U49&lt;&gt;"", COLUMN($D$1:$U49)), COLUMN(C49))), "")</f>
        <v>22</v>
      </c>
      <c r="AF49" t="str">
        <f t="array" aca="1" ref="AF49" ca="1">IFERROR(INDEX(49:49, SMALL(IF($D49:$U49&lt;&gt;"", COLUMN($D$1:$U49)), COLUMN(D49))), "")</f>
        <v/>
      </c>
      <c r="AG49" t="str">
        <f t="array" aca="1" ref="AG49" ca="1">IFERROR(INDEX(49:49, SMALL(IF($D49:$U49&lt;&gt;"", COLUMN($D$1:$U49)), COLUMN(E49))), "")</f>
        <v/>
      </c>
      <c r="AH49" t="str">
        <f t="array" aca="1" ref="AH49" ca="1">IFERROR(INDEX(49:49, SMALL(IF($D49:$U49&lt;&gt;"", COLUMN($D$1:$U49)), COLUMN(F49))), "")</f>
        <v/>
      </c>
      <c r="AI49" t="str">
        <f t="array" aca="1" ref="AI49" ca="1">IFERROR(INDEX(49:49, SMALL(IF($D49:$U49&lt;&gt;"", COLUMN($D$1:$U49)), COLUMN(G49))), "")</f>
        <v/>
      </c>
      <c r="AJ49" t="str">
        <f t="array" aca="1" ref="AJ49" ca="1">IFERROR(INDEX(49:49, SMALL(IF($D49:$U49&lt;&gt;"", COLUMN($D$1:$U49)), COLUMN(H49))), "")</f>
        <v/>
      </c>
      <c r="AK49" t="str">
        <f t="array" aca="1" ref="AK49" ca="1">IFERROR(INDEX(49:49, SMALL(IF($D49:$U49&lt;&gt;"", COLUMN($D$1:$U49)), COLUMN(I49))), "")</f>
        <v/>
      </c>
      <c r="AL49" t="str">
        <f t="array" aca="1" ref="AL49" ca="1">IFERROR(INDEX(49:49, SMALL(IF($D49:$U49&lt;&gt;"", COLUMN($D$1:$U49)), COLUMN(J49))), "")</f>
        <v/>
      </c>
      <c r="AM49" t="str">
        <f t="array" aca="1" ref="AM49" ca="1">IFERROR(INDEX(49:49, SMALL(IF($D49:$U49&lt;&gt;"", COLUMN($D$1:$U49)), COLUMN(K49))), "")</f>
        <v/>
      </c>
      <c r="AN49" t="str">
        <f t="array" aca="1" ref="AN49" ca="1">IFERROR(INDEX(49:49, SMALL(IF($D49:$U49&lt;&gt;"", COLUMN($D$1:$U49)), COLUMN(L49))), "")</f>
        <v/>
      </c>
      <c r="AO49" t="str">
        <f t="array" aca="1" ref="AO49" ca="1">IFERROR(INDEX(49:49, SMALL(IF($D49:$U49&lt;&gt;"", COLUMN($D$1:$U49)), COLUMN(M49))), "")</f>
        <v/>
      </c>
      <c r="AP49" t="str">
        <f t="array" aca="1" ref="AP49" ca="1">IFERROR(INDEX(49:49, SMALL(IF($D49:$U49&lt;&gt;"", COLUMN($D$1:$U49)), COLUMN(N49))), "")</f>
        <v/>
      </c>
      <c r="AQ49" t="str">
        <f t="array" aca="1" ref="AQ49" ca="1">IFERROR(INDEX(49:49, SMALL(IF($D49:$U49&lt;&gt;"", COLUMN($D$1:$U49)), COLUMN(O49))), "")</f>
        <v/>
      </c>
      <c r="AR49" s="52" t="s">
        <v>4005</v>
      </c>
      <c r="AS49" t="str">
        <f t="shared" ca="1" si="13"/>
        <v/>
      </c>
      <c r="AT49" t="str">
        <f t="shared" ca="1" si="14"/>
        <v/>
      </c>
      <c r="AU49" t="str">
        <f t="shared" ca="1" si="16"/>
        <v/>
      </c>
      <c r="AV49" t="str">
        <f t="shared" ca="1" si="17"/>
        <v/>
      </c>
      <c r="AW49" t="str">
        <f t="shared" ca="1" si="18"/>
        <v/>
      </c>
      <c r="AX49" t="str">
        <f t="shared" ca="1" si="19"/>
        <v/>
      </c>
      <c r="AZ49" t="str">
        <f t="array" aca="1" ref="AZ49" ca="1">IFERROR(INDEX(49:49, SMALL(IF($AC49:$AX49&lt;&gt;"", COLUMN($AC$1:$AX49)), COLUMN(A49))), "")</f>
        <v>赤　飯あり120</v>
      </c>
      <c r="BA49" t="str">
        <f t="array" aca="1" ref="BA49" ca="1">IFERROR(INDEX(49:49, SMALL(IF($AC49:$AX49&lt;&gt;"", COLUMN($AC$1:$AX49)), COLUMN(B49))), "")</f>
        <v>弁当　園児</v>
      </c>
      <c r="BB49">
        <f t="array" aca="1" ref="BB49" ca="1">IFERROR(INDEX(49:49, SMALL(IF($AC49:$AX49&lt;&gt;"", COLUMN($AC$1:$AX49)), COLUMN(C49))), "")</f>
        <v>22</v>
      </c>
      <c r="BC49" t="str">
        <f t="array" aca="1" ref="BC49" ca="1">IFERROR(INDEX(49:49, SMALL(IF($AC49:$AX49&lt;&gt;"", COLUMN($AC$1:$AX49)), COLUMN(D49))), "")</f>
        <v>●</v>
      </c>
      <c r="BD49" t="str">
        <f t="array" aca="1" ref="BD49" ca="1">IFERROR(INDEX(49:49, SMALL(IF($AC49:$AX49&lt;&gt;"", COLUMN($AC$1:$AX49)), COLUMN(E49))), "")</f>
        <v/>
      </c>
      <c r="BE49" t="str">
        <f t="array" aca="1" ref="BE49" ca="1">IFERROR(INDEX(49:49, SMALL(IF($AC49:$AX49&lt;&gt;"", COLUMN($AC$1:$AX49)), COLUMN(F49))), "")</f>
        <v/>
      </c>
      <c r="BF49" t="str">
        <f t="array" aca="1" ref="BF49" ca="1">IFERROR(IF(AND(COUNTIF($B49,"*泉ヶ丘*"),COUNTIF($B50,"*泉ヶ丘*")),
IFERROR(INDEX(50:50, SMALL(IF($AC50:$AX50&lt;&gt;"", COLUMN($AC$1:$AX50)), COLUMN(A50))), ""),
INDEX(49:49, SMALL(IF($AC49:$AX49&lt;&gt;"", COLUMN($AC$1:$AX49)), COLUMN(G49)))), "")</f>
        <v/>
      </c>
      <c r="BG49" t="str">
        <f t="array" aca="1" ref="BG49" ca="1">IFERROR(IF(AND(COUNTIF($B49,"*泉ヶ丘*"),COUNTIF($B50,"*泉ヶ丘*")),
IFERROR(INDEX(50:50, SMALL(IF($AC50:$AX50&lt;&gt;"", COLUMN($AC$1:$AX50)), COLUMN(B50))), ""),
INDEX(49:49, SMALL(IF($AC49:$AX49&lt;&gt;"", COLUMN($AC$1:$AX49)), COLUMN(H49)))), "")</f>
        <v/>
      </c>
      <c r="BH49" t="str">
        <f t="array" aca="1" ref="BH49" ca="1">IFERROR(IF(AND(COUNTIF($B49,"*泉ヶ丘*"),COUNTIF($B50,"*泉ヶ丘*")),
IFERROR(INDEX(50:50, SMALL(IF($AC50:$AX50&lt;&gt;"", COLUMN($AC$1:$AX50)), COLUMN(C50))), ""),
INDEX(49:49, SMALL(IF($AC49:$AX49&lt;&gt;"", COLUMN($AC$1:$AX49)), COLUMN(I49)))), "")</f>
        <v/>
      </c>
      <c r="BI49" t="str">
        <f t="array" aca="1" ref="BI49" ca="1">IFERROR(IF(AND(COUNTIF($B49,"*泉ヶ丘*"),COUNTIF($B50,"*泉ヶ丘*")),
IFERROR(INDEX(50:50, SMALL(IF($AC50:$AX50&lt;&gt;"", COLUMN($AC$1:$AX50)), COLUMN(D50))), ""),
INDEX(49:49, SMALL(IF($AC49:$AX49&lt;&gt;"", COLUMN($AC$1:$AX49)), COLUMN(J49)))), "")</f>
        <v/>
      </c>
      <c r="BJ49" t="str">
        <f t="array" aca="1" ref="BJ49" ca="1">IFERROR(IF(AND(COUNTIF($B49,"*泉ヶ丘*"),COUNTIF($B50,"*泉ヶ丘*")),
IFERROR(INDEX(50:50, SMALL(IF($AC50:$AX50&lt;&gt;"", COLUMN($AC$1:$AX50)), COLUMN(E50))), ""),
INDEX(49:49, SMALL(IF($AC49:$AX49&lt;&gt;"", COLUMN($AC$1:$AX49)), COLUMN(K49)))), "")</f>
        <v/>
      </c>
      <c r="BK49" t="str">
        <f t="array" aca="1" ref="BK49" ca="1">IFERROR(IF(AND(COUNTIF($B49,"*泉ヶ丘*"),COUNTIF($B50,"*泉ヶ丘*")),
IFERROR(INDEX(50:50, SMALL(IF($AC50:$AX50&lt;&gt;"", COLUMN($AC$1:$AX50)), COLUMN(F50))), ""),
INDEX(49:49, SMALL(IF($AC49:$AX49&lt;&gt;"", COLUMN($AC$1:$AX49)), COLUMN(L49)))), "")</f>
        <v/>
      </c>
      <c r="BL49" t="str">
        <f t="array" aca="1" ref="BL49" ca="1">IFERROR(IF(AND(COUNTIF($B49,"*泉ヶ丘*"),COUNTIF($B50,"*泉ヶ丘*")),
IFERROR(INDEX(50:50, SMALL(IF($AC50:$AX50&lt;&gt;"", COLUMN($AC$1:$AX50)), COLUMN(G50))), ""),
INDEX(49:49, SMALL(IF($AC49:$AX49&lt;&gt;"", COLUMN($AC$1:$AX49)), COLUMN(M49)))), "")</f>
        <v/>
      </c>
      <c r="BM49" t="str">
        <f t="array" aca="1" ref="BM49" ca="1">IFERROR(IF(AND(COUNTIF($B49,"*泉ヶ丘*"),COUNTIF($B50,"*泉ヶ丘*")),
IFERROR(INDEX(50:50, SMALL(IF($AC50:$AX50&lt;&gt;"", COLUMN($AC$1:$AX50)), COLUMN(H50))), ""),
INDEX(49:49, SMALL(IF($AC49:$AX49&lt;&gt;"", COLUMN($AC$1:$AX49)), COLUMN(N49)))), "")</f>
        <v/>
      </c>
      <c r="BN49" t="str">
        <f t="array" aca="1" ref="BN49" ca="1">IFERROR(IF(AND(COUNTIF($B49,"*泉ヶ丘*"),COUNTIF($B50,"*泉ヶ丘*")),
IFERROR(INDEX(50:50, SMALL(IF($AC50:$AX50&lt;&gt;"", COLUMN($AC$1:$AX50)), COLUMN(I50))), ""),
INDEX(49:49, SMALL(IF($AC49:$AX49&lt;&gt;"", COLUMN($AC$1:$AX49)), COLUMN(O49)))), "")</f>
        <v/>
      </c>
      <c r="BO49" t="str">
        <f t="array" aca="1" ref="BO49" ca="1">IFERROR(IF(AND(COUNTIF($B49,"*泉ヶ丘*"),COUNTIF($B50,"*泉ヶ丘*")),
IFERROR(INDEX(50:50, SMALL(IF($AC50:$AX50&lt;&gt;"", COLUMN($AC$1:$AX50)), COLUMN(J50))), ""),
INDEX(49:49, SMALL(IF($AC49:$AX49&lt;&gt;"", COLUMN($AC$1:$AX49)), COLUMN(P49)))), "")</f>
        <v/>
      </c>
      <c r="BP49" t="str">
        <f t="array" aca="1" ref="BP49" ca="1">IFERROR(IF(AND(COUNTIF($B49,"*泉ヶ丘*"),COUNTIF($B50,"*泉ヶ丘*")),
IFERROR(INDEX(50:50, SMALL(IF($AC50:$AX50&lt;&gt;"", COLUMN($AC$1:$AX50)), COLUMN(K50))), ""),
INDEX(49:49, SMALL(IF($AC49:$AX49&lt;&gt;"", COLUMN($AC$1:$AX49)), COLUMN(Q49)))), "")</f>
        <v/>
      </c>
      <c r="BQ49" t="str">
        <f t="array" aca="1" ref="BQ49" ca="1">IFERROR(IF(AND(COUNTIF($B49,"*泉ヶ丘*"),COUNTIF($B50,"*泉ヶ丘*")),
IFERROR(INDEX(50:50, SMALL(IF($AC50:$AX50&lt;&gt;"", COLUMN($AC$1:$AX50)), COLUMN(L50))), ""),
INDEX(49:49, SMALL(IF($AC49:$AX49&lt;&gt;"", COLUMN($AC$1:$AX49)), COLUMN(R49)))), "")</f>
        <v/>
      </c>
    </row>
    <row r="50" spans="1:69" x14ac:dyDescent="0.45">
      <c r="A50" t="str">
        <f t="array" ref="A50">IF(INDEX(貼り付け用!A:A,MATCH(A49,貼り付け用!A:A,0)+2)="4700",
IF(INDEX(貼り付け用!A:A,MATCH(A49,貼り付け用!A:A,0)+4)="4800",
INDEX(貼り付け用!A:A,MATCH(A49,貼り付け用!A:A,0)+6),
INDEX(貼り付け用!A:A,MATCH(A49,貼り付け用!A:A,0)+4)),INDEX(貼り付け用!A:A,MATCH(A49,貼り付け用!A:A,0)+2))</f>
        <v>7000</v>
      </c>
      <c r="B50" t="str">
        <f>IF(A50&lt;&gt;"",
VLOOKUP(A50,得意先マスタ!A:D,2,FALSE),"")</f>
        <v>バディスポーツ幼育園　筑紫野校</v>
      </c>
      <c r="C50" t="str">
        <f t="array" ref="C50">IF(A50="10000","",INDEX(貼り付け用!A:A,MATCH(A50,貼り付け用!A:A,0)+1))</f>
        <v>バディ筑紫野校 web</v>
      </c>
      <c r="D50" t="str">
        <f ca="1">VLOOKUP(C50,クライアント抽出!$A:$O,10,FALSE)</f>
        <v>赤　飯あり120</v>
      </c>
      <c r="E50" t="str">
        <f ca="1">IF(D50&lt;&gt;"",
IF(COUNTIF(C50,"*ぺんぎん*"),
VLOOKUP(
"*"&amp;IF(COUNTIF(D50,"*キャラ弁*"),"キャラ",
IF(COUNTIF(D50,"*赤*"),"赤",SUBSTITUTE(SUBSTITUTE(D50," ",""),"　","")))&amp;"*",
注文弁当の抽出!$F:$I,4,FALSE)&amp;
IF(COUNTIF(D50,"*おにぎり*"),"　おにぎり","")&amp;"　（ぺんぎん組）",
VLOOKUP(
"*"&amp;IF(COUNTIF(D50,"*キャラ弁*"),"キャラ",
IF(COUNTIF(D50,"*赤*"),"赤",SUBSTITUTE(SUBSTITUTE(D50," ",""),"　","")))&amp;"*",
注文弁当の抽出!$F:$I,4,FALSE)&amp;
IF(COUNTIF(D50,"*おにぎり*"),"　おにぎり","")),"")</f>
        <v>弁当　園児</v>
      </c>
      <c r="F50">
        <f ca="1">IFERROR(IF(E50&lt;&gt;"",
VLOOKUP(C50,クライアント抽出!$A:$G,2,FALSE)+
IF(COUNTIF(Y50,"*-*"),Y50,0),"")
-IFERROR(MID(V50, SEARCH("予備", V50) + LEN("予備"), SEARCH("込み", V50) - (SEARCH("予備", V50) + LEN("予備"))),0),"")</f>
        <v>9</v>
      </c>
      <c r="G50" t="str">
        <f ca="1">VLOOKUP(C50,クライアント抽出!$A:$O,11,FALSE)</f>
        <v/>
      </c>
      <c r="H50" t="str">
        <f ca="1">IF(G50&lt;&gt;"",
VLOOKUP(
"*"&amp;IF(COUNTIF(G50,"*キャラ弁*"),"キャラ",
IF(COUNTIF(G50,"*赤*"),"赤",SUBSTITUTE(SUBSTITUTE(G50," ",""),"　","")))&amp;"*",
注文弁当の抽出!$F:$I,4,FALSE)&amp;
IF(COUNTIF(G50,"*おにぎり*"),"　おにぎり",""),"")</f>
        <v/>
      </c>
      <c r="I50" t="str">
        <f ca="1">IF(H50&lt;&gt;"",
VLOOKUP(C50,クライアント抽出!$A:$G,3,FALSE)+
IF(COUNTIF(C50,"*博多*"),Y50,Z50),"")</f>
        <v/>
      </c>
      <c r="J50" t="str">
        <f ca="1">VLOOKUP(C50,クライアント抽出!$A:$O,12,FALSE)</f>
        <v/>
      </c>
      <c r="K50" t="str">
        <f ca="1">IF(J50&lt;&gt;"",
VLOOKUP(
"*"&amp;IF(COUNTIF(J50,"*キャラ弁*"),"キャラ",
IF(COUNTIF(J50,"*赤*"),"赤",SUBSTITUTE(SUBSTITUTE(J50," ",""),"　","")))&amp;"*",
注文弁当の抽出!$F:$I,4,FALSE)&amp;
IF(COUNTIF(J50,"*おにぎり*"),"　おにぎり",""),"")</f>
        <v/>
      </c>
      <c r="L50" t="str">
        <f ca="1">IF(K50&lt;&gt;"",
VLOOKUP(C50,クライアント抽出!$A:$G,4,FALSE)+AA50,"")</f>
        <v/>
      </c>
      <c r="M50" t="str">
        <f ca="1">VLOOKUP(C50,クライアント抽出!$A:$O,13,FALSE)</f>
        <v/>
      </c>
      <c r="N50" t="str">
        <f ca="1">SUBSTITUTE(
IF(M50&lt;&gt;"",
VLOOKUP(
"*"&amp;IF(COUNTIF(M50,"*キャラ弁*"),"キャラ",
IF(COUNTIF(M50,"*赤*"),"赤",SUBSTITUTE(SUBSTITUTE(D50," ",""),"　","")))&amp;"*",
注文弁当の抽出!$F:$I,4,FALSE),""),"園児","先生")&amp;
IF(COUNTIF(M50,"*おにぎり*"),"　おにぎり","")</f>
        <v/>
      </c>
      <c r="O50" t="str">
        <f ca="1">IF(N50&lt;&gt;"",VLOOKUP(C50,クライアント抽出!$A:$G,5,FALSE),"")</f>
        <v/>
      </c>
      <c r="P50" t="str">
        <f ca="1">VLOOKUP(C50,クライアント抽出!$A:$O,14,FALSE)</f>
        <v/>
      </c>
      <c r="Q50" t="str">
        <f ca="1">SUBSTITUTE(
IF(P50&lt;&gt;"",
VLOOKUP(
"*"&amp;IF(COUNTIF(P50,"*キャラ弁*"),"キャラ",
IF(COUNTIF(P50,"*赤*"),"赤",SUBSTITUTE(SUBSTITUTE(G50," ",""),"　","")))&amp;"*",
注文弁当の抽出!$F:$I,4,FALSE),""),"園児","先生")&amp;
IF(COUNTIF(P50,"*おにぎり*"),"　おにぎり","")</f>
        <v/>
      </c>
      <c r="R50" t="str">
        <f ca="1">IF(Q50&lt;&gt;"",
VLOOKUP(C50,クライアント抽出!$A:$G,6,FALSE),"")</f>
        <v/>
      </c>
      <c r="S50" t="str">
        <f ca="1">VLOOKUP(C50,クライアント抽出!$A:$O,15,FALSE)</f>
        <v/>
      </c>
      <c r="T50" t="str">
        <f ca="1">SUBSTITUTE(
IF(S50&lt;&gt;"",
VLOOKUP(
"*"&amp;IF(COUNTIF(S50,"*キャラ弁*"),"キャラ",
IF(COUNTIF(S50,"*赤*"),"赤",SUBSTITUTE(SUBSTITUTE(J50," ",""),"　","")))&amp;"*",
注文弁当の抽出!$F:$I,4,FALSE),""),"園児","先生")&amp;
IF(COUNTIF(S50,"*おにぎり*"),"　おにぎり","")</f>
        <v/>
      </c>
      <c r="U50" t="str">
        <f ca="1">IF(T50&lt;&gt;"",
VLOOKUP(C50,クライアント抽出!$A:$G,7,FALSE),"")</f>
        <v/>
      </c>
      <c r="V50" t="str">
        <f ca="1">IF(A50&lt;&gt;"",
IF(COUNTIF(V49,"*牛乳*"),
IF(AND(COUNTIF(B49,"*奈良屋*"),COUNTIF(B50,"*奈良屋*")),
V49&amp;"✔",""),VLOOKUP(""&amp;A50&amp;"",数出表_Excel!$A:$Z,22,FALSE)&amp;VLOOKUP(""&amp;A50&amp;"",数出表_Excel!$A:$Z,23,FALSE)
&amp;VLOOKUP(""&amp;C50&amp;"",数出表_Excel!$A:$Z,22,FALSE)&amp;VLOOKUP(""&amp;C50&amp;"",数出表_Excel!$A:$Z,23,FALSE)),"")</f>
        <v>ｱﾚ0</v>
      </c>
      <c r="W50">
        <f ca="1">IF(AND(COUNTIF(V50,"&lt;&gt;*不要*"),A50&lt;&gt;""),VLOOKUP(A50,得意先マスタ!$A:$AD,24,FALSE),0)</f>
        <v>0</v>
      </c>
      <c r="X50">
        <f ca="1">IF(AND(COUNTIF(V50,"&lt;&gt;*不要*"),A50&lt;&gt;""),VLOOKUP(A50,得意先マスタ!$A:$AD,25,FALSE),0)</f>
        <v>0</v>
      </c>
      <c r="Y50">
        <f t="shared" ca="1" si="10"/>
        <v>0</v>
      </c>
      <c r="Z50">
        <f t="shared" ca="1" si="11"/>
        <v>0</v>
      </c>
      <c r="AA50">
        <f t="shared" ca="1" si="15"/>
        <v>0</v>
      </c>
      <c r="AB50" t="str">
        <f t="shared" ca="1" si="12"/>
        <v/>
      </c>
      <c r="AC50" t="str">
        <f t="array" aca="1" ref="AC50" ca="1">IFERROR(INDEX(50:50, SMALL(IF($D50:$U50&lt;&gt;"", COLUMN($D$1:$U50)), COLUMN(A50))), "")</f>
        <v>赤　飯あり120</v>
      </c>
      <c r="AD50" t="str">
        <f t="array" aca="1" ref="AD50" ca="1">IFERROR(INDEX(50:50, SMALL(IF($D50:$U50&lt;&gt;"", COLUMN($D$1:$U50)), COLUMN(B50))), "")</f>
        <v>弁当　園児</v>
      </c>
      <c r="AE50">
        <f t="array" aca="1" ref="AE50" ca="1">IFERROR(INDEX(50:50, SMALL(IF($D50:$U50&lt;&gt;"", COLUMN($D$1:$U50)), COLUMN(C50))), "")</f>
        <v>9</v>
      </c>
      <c r="AF50" t="str">
        <f t="array" aca="1" ref="AF50" ca="1">IFERROR(INDEX(50:50, SMALL(IF($D50:$U50&lt;&gt;"", COLUMN($D$1:$U50)), COLUMN(D50))), "")</f>
        <v/>
      </c>
      <c r="AG50" t="str">
        <f t="array" aca="1" ref="AG50" ca="1">IFERROR(INDEX(50:50, SMALL(IF($D50:$U50&lt;&gt;"", COLUMN($D$1:$U50)), COLUMN(E50))), "")</f>
        <v/>
      </c>
      <c r="AH50" t="str">
        <f t="array" aca="1" ref="AH50" ca="1">IFERROR(INDEX(50:50, SMALL(IF($D50:$U50&lt;&gt;"", COLUMN($D$1:$U50)), COLUMN(F50))), "")</f>
        <v/>
      </c>
      <c r="AI50" t="str">
        <f t="array" aca="1" ref="AI50" ca="1">IFERROR(INDEX(50:50, SMALL(IF($D50:$U50&lt;&gt;"", COLUMN($D$1:$U50)), COLUMN(G50))), "")</f>
        <v/>
      </c>
      <c r="AJ50" t="str">
        <f t="array" aca="1" ref="AJ50" ca="1">IFERROR(INDEX(50:50, SMALL(IF($D50:$U50&lt;&gt;"", COLUMN($D$1:$U50)), COLUMN(H50))), "")</f>
        <v/>
      </c>
      <c r="AK50" t="str">
        <f t="array" aca="1" ref="AK50" ca="1">IFERROR(INDEX(50:50, SMALL(IF($D50:$U50&lt;&gt;"", COLUMN($D$1:$U50)), COLUMN(I50))), "")</f>
        <v/>
      </c>
      <c r="AL50" t="str">
        <f t="array" aca="1" ref="AL50" ca="1">IFERROR(INDEX(50:50, SMALL(IF($D50:$U50&lt;&gt;"", COLUMN($D$1:$U50)), COLUMN(J50))), "")</f>
        <v/>
      </c>
      <c r="AM50" t="str">
        <f t="array" aca="1" ref="AM50" ca="1">IFERROR(INDEX(50:50, SMALL(IF($D50:$U50&lt;&gt;"", COLUMN($D$1:$U50)), COLUMN(K50))), "")</f>
        <v/>
      </c>
      <c r="AN50" t="str">
        <f t="array" aca="1" ref="AN50" ca="1">IFERROR(INDEX(50:50, SMALL(IF($D50:$U50&lt;&gt;"", COLUMN($D$1:$U50)), COLUMN(L50))), "")</f>
        <v/>
      </c>
      <c r="AO50" t="str">
        <f t="array" aca="1" ref="AO50" ca="1">IFERROR(INDEX(50:50, SMALL(IF($D50:$U50&lt;&gt;"", COLUMN($D$1:$U50)), COLUMN(M50))), "")</f>
        <v/>
      </c>
      <c r="AP50" t="str">
        <f t="array" aca="1" ref="AP50" ca="1">IFERROR(INDEX(50:50, SMALL(IF($D50:$U50&lt;&gt;"", COLUMN($D$1:$U50)), COLUMN(N50))), "")</f>
        <v/>
      </c>
      <c r="AQ50" t="str">
        <f t="array" aca="1" ref="AQ50" ca="1">IFERROR(INDEX(50:50, SMALL(IF($D50:$U50&lt;&gt;"", COLUMN($D$1:$U50)), COLUMN(O50))), "")</f>
        <v/>
      </c>
      <c r="AR50" s="52" t="s">
        <v>4005</v>
      </c>
      <c r="AS50" t="str">
        <f t="shared" ca="1" si="13"/>
        <v/>
      </c>
      <c r="AT50" t="str">
        <f t="shared" ca="1" si="14"/>
        <v/>
      </c>
      <c r="AU50" t="str">
        <f t="shared" ca="1" si="16"/>
        <v/>
      </c>
      <c r="AV50" t="str">
        <f t="shared" ca="1" si="17"/>
        <v/>
      </c>
      <c r="AW50" t="str">
        <f t="shared" ca="1" si="18"/>
        <v/>
      </c>
      <c r="AX50" t="str">
        <f t="shared" ca="1" si="19"/>
        <v/>
      </c>
      <c r="AZ50" t="str">
        <f t="array" aca="1" ref="AZ50" ca="1">IFERROR(INDEX(50:50, SMALL(IF($AC50:$AX50&lt;&gt;"", COLUMN($AC$1:$AX50)), COLUMN(A50))), "")</f>
        <v>赤　飯あり120</v>
      </c>
      <c r="BA50" t="str">
        <f t="array" aca="1" ref="BA50" ca="1">IFERROR(INDEX(50:50, SMALL(IF($AC50:$AX50&lt;&gt;"", COLUMN($AC$1:$AX50)), COLUMN(B50))), "")</f>
        <v>弁当　園児</v>
      </c>
      <c r="BB50">
        <f t="array" aca="1" ref="BB50" ca="1">IFERROR(INDEX(50:50, SMALL(IF($AC50:$AX50&lt;&gt;"", COLUMN($AC$1:$AX50)), COLUMN(C50))), "")</f>
        <v>9</v>
      </c>
      <c r="BC50" t="str">
        <f t="array" aca="1" ref="BC50" ca="1">IFERROR(INDEX(50:50, SMALL(IF($AC50:$AX50&lt;&gt;"", COLUMN($AC$1:$AX50)), COLUMN(D50))), "")</f>
        <v>●</v>
      </c>
      <c r="BD50" t="str">
        <f t="array" aca="1" ref="BD50" ca="1">IFERROR(INDEX(50:50, SMALL(IF($AC50:$AX50&lt;&gt;"", COLUMN($AC$1:$AX50)), COLUMN(E50))), "")</f>
        <v/>
      </c>
      <c r="BE50" t="str">
        <f t="array" aca="1" ref="BE50" ca="1">IFERROR(INDEX(50:50, SMALL(IF($AC50:$AX50&lt;&gt;"", COLUMN($AC$1:$AX50)), COLUMN(F50))), "")</f>
        <v/>
      </c>
      <c r="BF50" t="str">
        <f t="array" aca="1" ref="BF50" ca="1">IFERROR(IF(AND(COUNTIF($B50,"*泉ヶ丘*"),COUNTIF($B51,"*泉ヶ丘*")),
IFERROR(INDEX(51:51, SMALL(IF($AC51:$AX51&lt;&gt;"", COLUMN($AC$1:$AX51)), COLUMN(A51))), ""),
INDEX(50:50, SMALL(IF($AC50:$AX50&lt;&gt;"", COLUMN($AC$1:$AX50)), COLUMN(G50)))), "")</f>
        <v/>
      </c>
      <c r="BG50" t="str">
        <f t="array" aca="1" ref="BG50" ca="1">IFERROR(IF(AND(COUNTIF($B50,"*泉ヶ丘*"),COUNTIF($B51,"*泉ヶ丘*")),
IFERROR(INDEX(51:51, SMALL(IF($AC51:$AX51&lt;&gt;"", COLUMN($AC$1:$AX51)), COLUMN(B51))), ""),
INDEX(50:50, SMALL(IF($AC50:$AX50&lt;&gt;"", COLUMN($AC$1:$AX50)), COLUMN(H50)))), "")</f>
        <v/>
      </c>
      <c r="BH50" t="str">
        <f t="array" aca="1" ref="BH50" ca="1">IFERROR(IF(AND(COUNTIF($B50,"*泉ヶ丘*"),COUNTIF($B51,"*泉ヶ丘*")),
IFERROR(INDEX(51:51, SMALL(IF($AC51:$AX51&lt;&gt;"", COLUMN($AC$1:$AX51)), COLUMN(C51))), ""),
INDEX(50:50, SMALL(IF($AC50:$AX50&lt;&gt;"", COLUMN($AC$1:$AX50)), COLUMN(I50)))), "")</f>
        <v/>
      </c>
      <c r="BI50" t="str">
        <f t="array" aca="1" ref="BI50" ca="1">IFERROR(IF(AND(COUNTIF($B50,"*泉ヶ丘*"),COUNTIF($B51,"*泉ヶ丘*")),
IFERROR(INDEX(51:51, SMALL(IF($AC51:$AX51&lt;&gt;"", COLUMN($AC$1:$AX51)), COLUMN(D51))), ""),
INDEX(50:50, SMALL(IF($AC50:$AX50&lt;&gt;"", COLUMN($AC$1:$AX50)), COLUMN(J50)))), "")</f>
        <v/>
      </c>
      <c r="BJ50" t="str">
        <f t="array" aca="1" ref="BJ50" ca="1">IFERROR(IF(AND(COUNTIF($B50,"*泉ヶ丘*"),COUNTIF($B51,"*泉ヶ丘*")),
IFERROR(INDEX(51:51, SMALL(IF($AC51:$AX51&lt;&gt;"", COLUMN($AC$1:$AX51)), COLUMN(E51))), ""),
INDEX(50:50, SMALL(IF($AC50:$AX50&lt;&gt;"", COLUMN($AC$1:$AX50)), COLUMN(K50)))), "")</f>
        <v/>
      </c>
      <c r="BK50" t="str">
        <f t="array" aca="1" ref="BK50" ca="1">IFERROR(IF(AND(COUNTIF($B50,"*泉ヶ丘*"),COUNTIF($B51,"*泉ヶ丘*")),
IFERROR(INDEX(51:51, SMALL(IF($AC51:$AX51&lt;&gt;"", COLUMN($AC$1:$AX51)), COLUMN(F51))), ""),
INDEX(50:50, SMALL(IF($AC50:$AX50&lt;&gt;"", COLUMN($AC$1:$AX50)), COLUMN(L50)))), "")</f>
        <v/>
      </c>
      <c r="BL50" t="str">
        <f t="array" aca="1" ref="BL50" ca="1">IFERROR(IF(AND(COUNTIF($B50,"*泉ヶ丘*"),COUNTIF($B51,"*泉ヶ丘*")),
IFERROR(INDEX(51:51, SMALL(IF($AC51:$AX51&lt;&gt;"", COLUMN($AC$1:$AX51)), COLUMN(G51))), ""),
INDEX(50:50, SMALL(IF($AC50:$AX50&lt;&gt;"", COLUMN($AC$1:$AX50)), COLUMN(M50)))), "")</f>
        <v/>
      </c>
      <c r="BM50" t="str">
        <f t="array" aca="1" ref="BM50" ca="1">IFERROR(IF(AND(COUNTIF($B50,"*泉ヶ丘*"),COUNTIF($B51,"*泉ヶ丘*")),
IFERROR(INDEX(51:51, SMALL(IF($AC51:$AX51&lt;&gt;"", COLUMN($AC$1:$AX51)), COLUMN(H51))), ""),
INDEX(50:50, SMALL(IF($AC50:$AX50&lt;&gt;"", COLUMN($AC$1:$AX50)), COLUMN(N50)))), "")</f>
        <v/>
      </c>
      <c r="BN50" t="str">
        <f t="array" aca="1" ref="BN50" ca="1">IFERROR(IF(AND(COUNTIF($B50,"*泉ヶ丘*"),COUNTIF($B51,"*泉ヶ丘*")),
IFERROR(INDEX(51:51, SMALL(IF($AC51:$AX51&lt;&gt;"", COLUMN($AC$1:$AX51)), COLUMN(I51))), ""),
INDEX(50:50, SMALL(IF($AC50:$AX50&lt;&gt;"", COLUMN($AC$1:$AX50)), COLUMN(O50)))), "")</f>
        <v/>
      </c>
      <c r="BO50" t="str">
        <f t="array" aca="1" ref="BO50" ca="1">IFERROR(IF(AND(COUNTIF($B50,"*泉ヶ丘*"),COUNTIF($B51,"*泉ヶ丘*")),
IFERROR(INDEX(51:51, SMALL(IF($AC51:$AX51&lt;&gt;"", COLUMN($AC$1:$AX51)), COLUMN(J51))), ""),
INDEX(50:50, SMALL(IF($AC50:$AX50&lt;&gt;"", COLUMN($AC$1:$AX50)), COLUMN(P50)))), "")</f>
        <v/>
      </c>
      <c r="BP50" t="str">
        <f t="array" aca="1" ref="BP50" ca="1">IFERROR(IF(AND(COUNTIF($B50,"*泉ヶ丘*"),COUNTIF($B51,"*泉ヶ丘*")),
IFERROR(INDEX(51:51, SMALL(IF($AC51:$AX51&lt;&gt;"", COLUMN($AC$1:$AX51)), COLUMN(K51))), ""),
INDEX(50:50, SMALL(IF($AC50:$AX50&lt;&gt;"", COLUMN($AC$1:$AX50)), COLUMN(Q50)))), "")</f>
        <v/>
      </c>
      <c r="BQ50" t="str">
        <f t="array" aca="1" ref="BQ50" ca="1">IFERROR(IF(AND(COUNTIF($B50,"*泉ヶ丘*"),COUNTIF($B51,"*泉ヶ丘*")),
IFERROR(INDEX(51:51, SMALL(IF($AC51:$AX51&lt;&gt;"", COLUMN($AC$1:$AX51)), COLUMN(L51))), ""),
INDEX(50:50, SMALL(IF($AC50:$AX50&lt;&gt;"", COLUMN($AC$1:$AX50)), COLUMN(R50)))), "")</f>
        <v/>
      </c>
    </row>
    <row r="51" spans="1:69" x14ac:dyDescent="0.45">
      <c r="A51" t="str">
        <f t="array" ref="A51">IF(INDEX(貼り付け用!A:A,MATCH(A50,貼り付け用!A:A,0)+2)="4700",
IF(INDEX(貼り付け用!A:A,MATCH(A50,貼り付け用!A:A,0)+4)="4800",
INDEX(貼り付け用!A:A,MATCH(A50,貼り付け用!A:A,0)+6),
INDEX(貼り付け用!A:A,MATCH(A50,貼り付け用!A:A,0)+4)),INDEX(貼り付け用!A:A,MATCH(A50,貼り付け用!A:A,0)+2))</f>
        <v>7003</v>
      </c>
      <c r="B51" t="str">
        <f>IF(A51&lt;&gt;"",
VLOOKUP(A51,得意先マスタ!A:D,2,FALSE),"")</f>
        <v>バディスポーツ幼育園筑紫野校　2号認定</v>
      </c>
      <c r="C51" t="str">
        <f t="array" ref="C51">IF(A51="10000","",INDEX(貼り付け用!A:A,MATCH(A51,貼り付け用!A:A,0)+1))</f>
        <v>バディ筑紫野校 2号</v>
      </c>
      <c r="D51" t="str">
        <f ca="1">VLOOKUP(C51,クライアント抽出!$A:$O,10,FALSE)</f>
        <v>赤　飯あり120</v>
      </c>
      <c r="E51" t="str">
        <f ca="1">IF(D51&lt;&gt;"",
IF(COUNTIF(C51,"*ぺんぎん*"),
VLOOKUP(
"*"&amp;IF(COUNTIF(D51,"*キャラ弁*"),"キャラ",
IF(COUNTIF(D51,"*赤*"),"赤",SUBSTITUTE(SUBSTITUTE(D51," ",""),"　","")))&amp;"*",
注文弁当の抽出!$F:$I,4,FALSE)&amp;
IF(COUNTIF(D51,"*おにぎり*"),"　おにぎり","")&amp;"　（ぺんぎん組）",
VLOOKUP(
"*"&amp;IF(COUNTIF(D51,"*キャラ弁*"),"キャラ",
IF(COUNTIF(D51,"*赤*"),"赤",SUBSTITUTE(SUBSTITUTE(D51," ",""),"　","")))&amp;"*",
注文弁当の抽出!$F:$I,4,FALSE)&amp;
IF(COUNTIF(D51,"*おにぎり*"),"　おにぎり","")),"")</f>
        <v>弁当　園児</v>
      </c>
      <c r="F51">
        <f ca="1">IFERROR(IF(E51&lt;&gt;"",
VLOOKUP(C51,クライアント抽出!$A:$G,2,FALSE)+
IF(COUNTIF(Y51,"*-*"),Y51,0),"")
-IFERROR(MID(V51, SEARCH("予備", V51) + LEN("予備"), SEARCH("込み", V51) - (SEARCH("予備", V51) + LEN("予備"))),0),"")</f>
        <v>73</v>
      </c>
      <c r="G51" t="str">
        <f ca="1">VLOOKUP(C51,クライアント抽出!$A:$O,11,FALSE)</f>
        <v/>
      </c>
      <c r="H51" t="str">
        <f ca="1">IF(G51&lt;&gt;"",
VLOOKUP(
"*"&amp;IF(COUNTIF(G51,"*キャラ弁*"),"キャラ",
IF(COUNTIF(G51,"*赤*"),"赤",SUBSTITUTE(SUBSTITUTE(G51," ",""),"　","")))&amp;"*",
注文弁当の抽出!$F:$I,4,FALSE)&amp;
IF(COUNTIF(G51,"*おにぎり*"),"　おにぎり",""),"")</f>
        <v/>
      </c>
      <c r="I51" t="str">
        <f ca="1">IF(H51&lt;&gt;"",
VLOOKUP(C51,クライアント抽出!$A:$G,3,FALSE)+
IF(COUNTIF(C51,"*博多*"),Y51,Z51),"")</f>
        <v/>
      </c>
      <c r="J51" t="str">
        <f ca="1">VLOOKUP(C51,クライアント抽出!$A:$O,12,FALSE)</f>
        <v/>
      </c>
      <c r="K51" t="str">
        <f ca="1">IF(J51&lt;&gt;"",
VLOOKUP(
"*"&amp;IF(COUNTIF(J51,"*キャラ弁*"),"キャラ",
IF(COUNTIF(J51,"*赤*"),"赤",SUBSTITUTE(SUBSTITUTE(J51," ",""),"　","")))&amp;"*",
注文弁当の抽出!$F:$I,4,FALSE)&amp;
IF(COUNTIF(J51,"*おにぎり*"),"　おにぎり",""),"")</f>
        <v/>
      </c>
      <c r="L51" t="str">
        <f ca="1">IF(K51&lt;&gt;"",
VLOOKUP(C51,クライアント抽出!$A:$G,4,FALSE)+AA51,"")</f>
        <v/>
      </c>
      <c r="M51" t="str">
        <f ca="1">VLOOKUP(C51,クライアント抽出!$A:$O,13,FALSE)</f>
        <v/>
      </c>
      <c r="N51" t="str">
        <f ca="1">SUBSTITUTE(
IF(M51&lt;&gt;"",
VLOOKUP(
"*"&amp;IF(COUNTIF(M51,"*キャラ弁*"),"キャラ",
IF(COUNTIF(M51,"*赤*"),"赤",SUBSTITUTE(SUBSTITUTE(D51," ",""),"　","")))&amp;"*",
注文弁当の抽出!$F:$I,4,FALSE),""),"園児","先生")&amp;
IF(COUNTIF(M51,"*おにぎり*"),"　おにぎり","")</f>
        <v/>
      </c>
      <c r="O51" t="str">
        <f ca="1">IF(N51&lt;&gt;"",VLOOKUP(C51,クライアント抽出!$A:$G,5,FALSE),"")</f>
        <v/>
      </c>
      <c r="P51" t="str">
        <f ca="1">VLOOKUP(C51,クライアント抽出!$A:$O,14,FALSE)</f>
        <v/>
      </c>
      <c r="Q51" t="str">
        <f ca="1">SUBSTITUTE(
IF(P51&lt;&gt;"",
VLOOKUP(
"*"&amp;IF(COUNTIF(P51,"*キャラ弁*"),"キャラ",
IF(COUNTIF(P51,"*赤*"),"赤",SUBSTITUTE(SUBSTITUTE(G51," ",""),"　","")))&amp;"*",
注文弁当の抽出!$F:$I,4,FALSE),""),"園児","先生")&amp;
IF(COUNTIF(P51,"*おにぎり*"),"　おにぎり","")</f>
        <v/>
      </c>
      <c r="R51" t="str">
        <f ca="1">IF(Q51&lt;&gt;"",
VLOOKUP(C51,クライアント抽出!$A:$G,6,FALSE),"")</f>
        <v/>
      </c>
      <c r="S51" t="str">
        <f ca="1">VLOOKUP(C51,クライアント抽出!$A:$O,15,FALSE)</f>
        <v/>
      </c>
      <c r="T51" t="str">
        <f ca="1">SUBSTITUTE(
IF(S51&lt;&gt;"",
VLOOKUP(
"*"&amp;IF(COUNTIF(S51,"*キャラ弁*"),"キャラ",
IF(COUNTIF(S51,"*赤*"),"赤",SUBSTITUTE(SUBSTITUTE(J51," ",""),"　","")))&amp;"*",
注文弁当の抽出!$F:$I,4,FALSE),""),"園児","先生")&amp;
IF(COUNTIF(S51,"*おにぎり*"),"　おにぎり","")</f>
        <v/>
      </c>
      <c r="U51" t="str">
        <f ca="1">IF(T51&lt;&gt;"",
VLOOKUP(C51,クライアント抽出!$A:$G,7,FALSE),"")</f>
        <v/>
      </c>
      <c r="V51" t="str">
        <f ca="1">IF(A51&lt;&gt;"",
IF(COUNTIF(V50,"*牛乳*"),
IF(AND(COUNTIF(B50,"*奈良屋*"),COUNTIF(B51,"*奈良屋*")),
V50&amp;"✔",""),VLOOKUP(""&amp;A51&amp;"",数出表_Excel!$A:$Z,22,FALSE)&amp;VLOOKUP(""&amp;A51&amp;"",数出表_Excel!$A:$Z,23,FALSE)
&amp;VLOOKUP(""&amp;C51&amp;"",数出表_Excel!$A:$Z,22,FALSE)&amp;VLOOKUP(""&amp;C51&amp;"",数出表_Excel!$A:$Z,23,FALSE)),"")</f>
        <v>おかわり用保温箱2K×1</v>
      </c>
      <c r="W51">
        <f ca="1">IF(AND(COUNTIF(V51,"&lt;&gt;*不要*"),A51&lt;&gt;""),VLOOKUP(A51,得意先マスタ!$A:$AD,24,FALSE),0)</f>
        <v>0</v>
      </c>
      <c r="X51">
        <f ca="1">IF(AND(COUNTIF(V51,"&lt;&gt;*不要*"),A51&lt;&gt;""),VLOOKUP(A51,得意先マスタ!$A:$AD,25,FALSE),0)</f>
        <v>0</v>
      </c>
      <c r="Y51">
        <f t="shared" ca="1" si="10"/>
        <v>0</v>
      </c>
      <c r="Z51">
        <f t="shared" ca="1" si="11"/>
        <v>0</v>
      </c>
      <c r="AA51">
        <f t="shared" ca="1" si="15"/>
        <v>0</v>
      </c>
      <c r="AB51" t="str">
        <f t="shared" ca="1" si="12"/>
        <v/>
      </c>
      <c r="AC51" t="str">
        <f t="array" aca="1" ref="AC51" ca="1">IFERROR(INDEX(51:51, SMALL(IF($D51:$U51&lt;&gt;"", COLUMN($D$1:$U51)), COLUMN(A51))), "")</f>
        <v>赤　飯あり120</v>
      </c>
      <c r="AD51" t="str">
        <f t="array" aca="1" ref="AD51" ca="1">IFERROR(INDEX(51:51, SMALL(IF($D51:$U51&lt;&gt;"", COLUMN($D$1:$U51)), COLUMN(B51))), "")</f>
        <v>弁当　園児</v>
      </c>
      <c r="AE51">
        <f t="array" aca="1" ref="AE51" ca="1">IFERROR(INDEX(51:51, SMALL(IF($D51:$U51&lt;&gt;"", COLUMN($D$1:$U51)), COLUMN(C51))), "")</f>
        <v>73</v>
      </c>
      <c r="AF51" t="str">
        <f t="array" aca="1" ref="AF51" ca="1">IFERROR(INDEX(51:51, SMALL(IF($D51:$U51&lt;&gt;"", COLUMN($D$1:$U51)), COLUMN(D51))), "")</f>
        <v/>
      </c>
      <c r="AG51" t="str">
        <f t="array" aca="1" ref="AG51" ca="1">IFERROR(INDEX(51:51, SMALL(IF($D51:$U51&lt;&gt;"", COLUMN($D$1:$U51)), COLUMN(E51))), "")</f>
        <v/>
      </c>
      <c r="AH51" t="str">
        <f t="array" aca="1" ref="AH51" ca="1">IFERROR(INDEX(51:51, SMALL(IF($D51:$U51&lt;&gt;"", COLUMN($D$1:$U51)), COLUMN(F51))), "")</f>
        <v/>
      </c>
      <c r="AI51" t="str">
        <f t="array" aca="1" ref="AI51" ca="1">IFERROR(INDEX(51:51, SMALL(IF($D51:$U51&lt;&gt;"", COLUMN($D$1:$U51)), COLUMN(G51))), "")</f>
        <v/>
      </c>
      <c r="AJ51" t="str">
        <f t="array" aca="1" ref="AJ51" ca="1">IFERROR(INDEX(51:51, SMALL(IF($D51:$U51&lt;&gt;"", COLUMN($D$1:$U51)), COLUMN(H51))), "")</f>
        <v/>
      </c>
      <c r="AK51" t="str">
        <f t="array" aca="1" ref="AK51" ca="1">IFERROR(INDEX(51:51, SMALL(IF($D51:$U51&lt;&gt;"", COLUMN($D$1:$U51)), COLUMN(I51))), "")</f>
        <v/>
      </c>
      <c r="AL51" t="str">
        <f t="array" aca="1" ref="AL51" ca="1">IFERROR(INDEX(51:51, SMALL(IF($D51:$U51&lt;&gt;"", COLUMN($D$1:$U51)), COLUMN(J51))), "")</f>
        <v/>
      </c>
      <c r="AM51" t="str">
        <f t="array" aca="1" ref="AM51" ca="1">IFERROR(INDEX(51:51, SMALL(IF($D51:$U51&lt;&gt;"", COLUMN($D$1:$U51)), COLUMN(K51))), "")</f>
        <v/>
      </c>
      <c r="AN51" t="str">
        <f t="array" aca="1" ref="AN51" ca="1">IFERROR(INDEX(51:51, SMALL(IF($D51:$U51&lt;&gt;"", COLUMN($D$1:$U51)), COLUMN(L51))), "")</f>
        <v/>
      </c>
      <c r="AO51" t="str">
        <f t="array" aca="1" ref="AO51" ca="1">IFERROR(INDEX(51:51, SMALL(IF($D51:$U51&lt;&gt;"", COLUMN($D$1:$U51)), COLUMN(M51))), "")</f>
        <v/>
      </c>
      <c r="AP51" t="str">
        <f t="array" aca="1" ref="AP51" ca="1">IFERROR(INDEX(51:51, SMALL(IF($D51:$U51&lt;&gt;"", COLUMN($D$1:$U51)), COLUMN(N51))), "")</f>
        <v/>
      </c>
      <c r="AQ51" t="str">
        <f t="array" aca="1" ref="AQ51" ca="1">IFERROR(INDEX(51:51, SMALL(IF($D51:$U51&lt;&gt;"", COLUMN($D$1:$U51)), COLUMN(O51))), "")</f>
        <v/>
      </c>
      <c r="AR51" s="52" t="s">
        <v>4005</v>
      </c>
      <c r="AS51" t="str">
        <f t="shared" ca="1" si="13"/>
        <v/>
      </c>
      <c r="AT51" t="str">
        <f t="shared" ca="1" si="14"/>
        <v/>
      </c>
      <c r="AU51" t="str">
        <f t="shared" ca="1" si="16"/>
        <v/>
      </c>
      <c r="AV51" t="str">
        <f t="shared" ca="1" si="17"/>
        <v/>
      </c>
      <c r="AW51" t="str">
        <f t="shared" ca="1" si="18"/>
        <v/>
      </c>
      <c r="AX51" t="str">
        <f t="shared" ca="1" si="19"/>
        <v/>
      </c>
      <c r="AZ51" t="str">
        <f t="array" aca="1" ref="AZ51" ca="1">IFERROR(INDEX(51:51, SMALL(IF($AC51:$AX51&lt;&gt;"", COLUMN($AC$1:$AX51)), COLUMN(A51))), "")</f>
        <v>赤　飯あり120</v>
      </c>
      <c r="BA51" t="str">
        <f t="array" aca="1" ref="BA51" ca="1">IFERROR(INDEX(51:51, SMALL(IF($AC51:$AX51&lt;&gt;"", COLUMN($AC$1:$AX51)), COLUMN(B51))), "")</f>
        <v>弁当　園児</v>
      </c>
      <c r="BB51">
        <f t="array" aca="1" ref="BB51" ca="1">IFERROR(INDEX(51:51, SMALL(IF($AC51:$AX51&lt;&gt;"", COLUMN($AC$1:$AX51)), COLUMN(C51))), "")</f>
        <v>73</v>
      </c>
      <c r="BC51" t="str">
        <f t="array" aca="1" ref="BC51" ca="1">IFERROR(INDEX(51:51, SMALL(IF($AC51:$AX51&lt;&gt;"", COLUMN($AC$1:$AX51)), COLUMN(D51))), "")</f>
        <v>●</v>
      </c>
      <c r="BD51" t="str">
        <f t="array" aca="1" ref="BD51" ca="1">IFERROR(INDEX(51:51, SMALL(IF($AC51:$AX51&lt;&gt;"", COLUMN($AC$1:$AX51)), COLUMN(E51))), "")</f>
        <v/>
      </c>
      <c r="BE51" t="str">
        <f t="array" aca="1" ref="BE51" ca="1">IFERROR(INDEX(51:51, SMALL(IF($AC51:$AX51&lt;&gt;"", COLUMN($AC$1:$AX51)), COLUMN(F51))), "")</f>
        <v/>
      </c>
      <c r="BF51" t="str">
        <f t="array" aca="1" ref="BF51" ca="1">IFERROR(IF(AND(COUNTIF($B51,"*泉ヶ丘*"),COUNTIF($B52,"*泉ヶ丘*")),
IFERROR(INDEX(52:52, SMALL(IF($AC52:$AX52&lt;&gt;"", COLUMN($AC$1:$AX52)), COLUMN(A52))), ""),
INDEX(51:51, SMALL(IF($AC51:$AX51&lt;&gt;"", COLUMN($AC$1:$AX51)), COLUMN(G51)))), "")</f>
        <v/>
      </c>
      <c r="BG51" t="str">
        <f t="array" aca="1" ref="BG51" ca="1">IFERROR(IF(AND(COUNTIF($B51,"*泉ヶ丘*"),COUNTIF($B52,"*泉ヶ丘*")),
IFERROR(INDEX(52:52, SMALL(IF($AC52:$AX52&lt;&gt;"", COLUMN($AC$1:$AX52)), COLUMN(B52))), ""),
INDEX(51:51, SMALL(IF($AC51:$AX51&lt;&gt;"", COLUMN($AC$1:$AX51)), COLUMN(H51)))), "")</f>
        <v/>
      </c>
      <c r="BH51" t="str">
        <f t="array" aca="1" ref="BH51" ca="1">IFERROR(IF(AND(COUNTIF($B51,"*泉ヶ丘*"),COUNTIF($B52,"*泉ヶ丘*")),
IFERROR(INDEX(52:52, SMALL(IF($AC52:$AX52&lt;&gt;"", COLUMN($AC$1:$AX52)), COLUMN(C52))), ""),
INDEX(51:51, SMALL(IF($AC51:$AX51&lt;&gt;"", COLUMN($AC$1:$AX51)), COLUMN(I51)))), "")</f>
        <v/>
      </c>
      <c r="BI51" t="str">
        <f t="array" aca="1" ref="BI51" ca="1">IFERROR(IF(AND(COUNTIF($B51,"*泉ヶ丘*"),COUNTIF($B52,"*泉ヶ丘*")),
IFERROR(INDEX(52:52, SMALL(IF($AC52:$AX52&lt;&gt;"", COLUMN($AC$1:$AX52)), COLUMN(D52))), ""),
INDEX(51:51, SMALL(IF($AC51:$AX51&lt;&gt;"", COLUMN($AC$1:$AX51)), COLUMN(J51)))), "")</f>
        <v/>
      </c>
      <c r="BJ51" t="str">
        <f t="array" aca="1" ref="BJ51" ca="1">IFERROR(IF(AND(COUNTIF($B51,"*泉ヶ丘*"),COUNTIF($B52,"*泉ヶ丘*")),
IFERROR(INDEX(52:52, SMALL(IF($AC52:$AX52&lt;&gt;"", COLUMN($AC$1:$AX52)), COLUMN(E52))), ""),
INDEX(51:51, SMALL(IF($AC51:$AX51&lt;&gt;"", COLUMN($AC$1:$AX51)), COLUMN(K51)))), "")</f>
        <v/>
      </c>
      <c r="BK51" t="str">
        <f t="array" aca="1" ref="BK51" ca="1">IFERROR(IF(AND(COUNTIF($B51,"*泉ヶ丘*"),COUNTIF($B52,"*泉ヶ丘*")),
IFERROR(INDEX(52:52, SMALL(IF($AC52:$AX52&lt;&gt;"", COLUMN($AC$1:$AX52)), COLUMN(F52))), ""),
INDEX(51:51, SMALL(IF($AC51:$AX51&lt;&gt;"", COLUMN($AC$1:$AX51)), COLUMN(L51)))), "")</f>
        <v/>
      </c>
      <c r="BL51" t="str">
        <f t="array" aca="1" ref="BL51" ca="1">IFERROR(IF(AND(COUNTIF($B51,"*泉ヶ丘*"),COUNTIF($B52,"*泉ヶ丘*")),
IFERROR(INDEX(52:52, SMALL(IF($AC52:$AX52&lt;&gt;"", COLUMN($AC$1:$AX52)), COLUMN(G52))), ""),
INDEX(51:51, SMALL(IF($AC51:$AX51&lt;&gt;"", COLUMN($AC$1:$AX51)), COLUMN(M51)))), "")</f>
        <v/>
      </c>
      <c r="BM51" t="str">
        <f t="array" aca="1" ref="BM51" ca="1">IFERROR(IF(AND(COUNTIF($B51,"*泉ヶ丘*"),COUNTIF($B52,"*泉ヶ丘*")),
IFERROR(INDEX(52:52, SMALL(IF($AC52:$AX52&lt;&gt;"", COLUMN($AC$1:$AX52)), COLUMN(H52))), ""),
INDEX(51:51, SMALL(IF($AC51:$AX51&lt;&gt;"", COLUMN($AC$1:$AX51)), COLUMN(N51)))), "")</f>
        <v/>
      </c>
      <c r="BN51" t="str">
        <f t="array" aca="1" ref="BN51" ca="1">IFERROR(IF(AND(COUNTIF($B51,"*泉ヶ丘*"),COUNTIF($B52,"*泉ヶ丘*")),
IFERROR(INDEX(52:52, SMALL(IF($AC52:$AX52&lt;&gt;"", COLUMN($AC$1:$AX52)), COLUMN(I52))), ""),
INDEX(51:51, SMALL(IF($AC51:$AX51&lt;&gt;"", COLUMN($AC$1:$AX51)), COLUMN(O51)))), "")</f>
        <v/>
      </c>
      <c r="BO51" t="str">
        <f t="array" aca="1" ref="BO51" ca="1">IFERROR(IF(AND(COUNTIF($B51,"*泉ヶ丘*"),COUNTIF($B52,"*泉ヶ丘*")),
IFERROR(INDEX(52:52, SMALL(IF($AC52:$AX52&lt;&gt;"", COLUMN($AC$1:$AX52)), COLUMN(J52))), ""),
INDEX(51:51, SMALL(IF($AC51:$AX51&lt;&gt;"", COLUMN($AC$1:$AX51)), COLUMN(P51)))), "")</f>
        <v/>
      </c>
      <c r="BP51" t="str">
        <f t="array" aca="1" ref="BP51" ca="1">IFERROR(IF(AND(COUNTIF($B51,"*泉ヶ丘*"),COUNTIF($B52,"*泉ヶ丘*")),
IFERROR(INDEX(52:52, SMALL(IF($AC52:$AX52&lt;&gt;"", COLUMN($AC$1:$AX52)), COLUMN(K52))), ""),
INDEX(51:51, SMALL(IF($AC51:$AX51&lt;&gt;"", COLUMN($AC$1:$AX51)), COLUMN(Q51)))), "")</f>
        <v/>
      </c>
      <c r="BQ51" t="str">
        <f t="array" aca="1" ref="BQ51" ca="1">IFERROR(IF(AND(COUNTIF($B51,"*泉ヶ丘*"),COUNTIF($B52,"*泉ヶ丘*")),
IFERROR(INDEX(52:52, SMALL(IF($AC52:$AX52&lt;&gt;"", COLUMN($AC$1:$AX52)), COLUMN(L52))), ""),
INDEX(51:51, SMALL(IF($AC51:$AX51&lt;&gt;"", COLUMN($AC$1:$AX51)), COLUMN(R51)))), "")</f>
        <v/>
      </c>
    </row>
    <row r="52" spans="1:69" x14ac:dyDescent="0.45">
      <c r="A52" t="str">
        <f t="array" ref="A52">IF(INDEX(貼り付け用!A:A,MATCH(A51,貼り付け用!A:A,0)+2)="4700",
IF(INDEX(貼り付け用!A:A,MATCH(A51,貼り付け用!A:A,0)+4)="4800",
INDEX(貼り付け用!A:A,MATCH(A51,貼り付け用!A:A,0)+6),
INDEX(貼り付け用!A:A,MATCH(A51,貼り付け用!A:A,0)+4)),INDEX(貼り付け用!A:A,MATCH(A51,貼り付け用!A:A,0)+2))</f>
        <v>7010</v>
      </c>
      <c r="B52" t="str">
        <f>IF(A52&lt;&gt;"",
VLOOKUP(A52,得意先マスタ!A:D,2,FALSE),"")</f>
        <v>BUDDY GSA International School</v>
      </c>
      <c r="C52" t="str">
        <f t="array" ref="C52">IF(A52="10000","",INDEX(貼り付け用!A:A,MATCH(A52,貼り付け用!A:A,0)+1))</f>
        <v>BUDDY GSA InternationalSch web</v>
      </c>
      <c r="D52" t="str">
        <f ca="1">VLOOKUP(C52,クライアント抽出!$A:$O,10,FALSE)</f>
        <v>赤　飯あり120</v>
      </c>
      <c r="E52" t="str">
        <f ca="1">IF(D52&lt;&gt;"",
IF(COUNTIF(C52,"*ぺんぎん*"),
VLOOKUP(
"*"&amp;IF(COUNTIF(D52,"*キャラ弁*"),"キャラ",
IF(COUNTIF(D52,"*赤*"),"赤",SUBSTITUTE(SUBSTITUTE(D52," ",""),"　","")))&amp;"*",
注文弁当の抽出!$F:$I,4,FALSE)&amp;
IF(COUNTIF(D52,"*おにぎり*"),"　おにぎり","")&amp;"　（ぺんぎん組）",
VLOOKUP(
"*"&amp;IF(COUNTIF(D52,"*キャラ弁*"),"キャラ",
IF(COUNTIF(D52,"*赤*"),"赤",SUBSTITUTE(SUBSTITUTE(D52," ",""),"　","")))&amp;"*",
注文弁当の抽出!$F:$I,4,FALSE)&amp;
IF(COUNTIF(D52,"*おにぎり*"),"　おにぎり","")),"")</f>
        <v>弁当　園児</v>
      </c>
      <c r="F52">
        <f ca="1">IFERROR(IF(E52&lt;&gt;"",
VLOOKUP(C52,クライアント抽出!$A:$G,2,FALSE)+
IF(COUNTIF(Y52,"*-*"),Y52,0),"")
-IFERROR(MID(V52, SEARCH("予備", V52) + LEN("予備"), SEARCH("込み", V52) - (SEARCH("予備", V52) + LEN("予備"))),0),"")</f>
        <v>15</v>
      </c>
      <c r="G52" t="str">
        <f ca="1">VLOOKUP(C52,クライアント抽出!$A:$O,11,FALSE)</f>
        <v/>
      </c>
      <c r="H52" t="str">
        <f ca="1">IF(G52&lt;&gt;"",
VLOOKUP(
"*"&amp;IF(COUNTIF(G52,"*キャラ弁*"),"キャラ",
IF(COUNTIF(G52,"*赤*"),"赤",SUBSTITUTE(SUBSTITUTE(G52," ",""),"　","")))&amp;"*",
注文弁当の抽出!$F:$I,4,FALSE)&amp;
IF(COUNTIF(G52,"*おにぎり*"),"　おにぎり",""),"")</f>
        <v/>
      </c>
      <c r="I52" t="str">
        <f ca="1">IF(H52&lt;&gt;"",
VLOOKUP(C52,クライアント抽出!$A:$G,3,FALSE)+
IF(COUNTIF(C52,"*博多*"),Y52,Z52),"")</f>
        <v/>
      </c>
      <c r="J52" t="str">
        <f ca="1">VLOOKUP(C52,クライアント抽出!$A:$O,12,FALSE)</f>
        <v/>
      </c>
      <c r="K52" t="str">
        <f ca="1">IF(J52&lt;&gt;"",
VLOOKUP(
"*"&amp;IF(COUNTIF(J52,"*キャラ弁*"),"キャラ",
IF(COUNTIF(J52,"*赤*"),"赤",SUBSTITUTE(SUBSTITUTE(J52," ",""),"　","")))&amp;"*",
注文弁当の抽出!$F:$I,4,FALSE)&amp;
IF(COUNTIF(J52,"*おにぎり*"),"　おにぎり",""),"")</f>
        <v/>
      </c>
      <c r="L52" t="str">
        <f ca="1">IF(K52&lt;&gt;"",
VLOOKUP(C52,クライアント抽出!$A:$G,4,FALSE)+AA52,"")</f>
        <v/>
      </c>
      <c r="M52" t="str">
        <f ca="1">VLOOKUP(C52,クライアント抽出!$A:$O,13,FALSE)</f>
        <v/>
      </c>
      <c r="N52" t="str">
        <f ca="1">SUBSTITUTE(
IF(M52&lt;&gt;"",
VLOOKUP(
"*"&amp;IF(COUNTIF(M52,"*キャラ弁*"),"キャラ",
IF(COUNTIF(M52,"*赤*"),"赤",SUBSTITUTE(SUBSTITUTE(D52," ",""),"　","")))&amp;"*",
注文弁当の抽出!$F:$I,4,FALSE),""),"園児","先生")&amp;
IF(COUNTIF(M52,"*おにぎり*"),"　おにぎり","")</f>
        <v/>
      </c>
      <c r="O52" t="str">
        <f ca="1">IF(N52&lt;&gt;"",VLOOKUP(C52,クライアント抽出!$A:$G,5,FALSE),"")</f>
        <v/>
      </c>
      <c r="P52" t="str">
        <f ca="1">VLOOKUP(C52,クライアント抽出!$A:$O,14,FALSE)</f>
        <v/>
      </c>
      <c r="Q52" t="str">
        <f ca="1">SUBSTITUTE(
IF(P52&lt;&gt;"",
VLOOKUP(
"*"&amp;IF(COUNTIF(P52,"*キャラ弁*"),"キャラ",
IF(COUNTIF(P52,"*赤*"),"赤",SUBSTITUTE(SUBSTITUTE(G52," ",""),"　","")))&amp;"*",
注文弁当の抽出!$F:$I,4,FALSE),""),"園児","先生")&amp;
IF(COUNTIF(P52,"*おにぎり*"),"　おにぎり","")</f>
        <v/>
      </c>
      <c r="R52" t="str">
        <f ca="1">IF(Q52&lt;&gt;"",
VLOOKUP(C52,クライアント抽出!$A:$G,6,FALSE),"")</f>
        <v/>
      </c>
      <c r="S52" t="str">
        <f ca="1">VLOOKUP(C52,クライアント抽出!$A:$O,15,FALSE)</f>
        <v/>
      </c>
      <c r="T52" t="str">
        <f ca="1">SUBSTITUTE(
IF(S52&lt;&gt;"",
VLOOKUP(
"*"&amp;IF(COUNTIF(S52,"*キャラ弁*"),"キャラ",
IF(COUNTIF(S52,"*赤*"),"赤",SUBSTITUTE(SUBSTITUTE(J52," ",""),"　","")))&amp;"*",
注文弁当の抽出!$F:$I,4,FALSE),""),"園児","先生")&amp;
IF(COUNTIF(S52,"*おにぎり*"),"　おにぎり","")</f>
        <v/>
      </c>
      <c r="U52" t="str">
        <f ca="1">IF(T52&lt;&gt;"",
VLOOKUP(C52,クライアント抽出!$A:$G,7,FALSE),"")</f>
        <v/>
      </c>
      <c r="V52" t="str">
        <f ca="1">IF(A52&lt;&gt;"",
IF(COUNTIF(V51,"*牛乳*"),
IF(AND(COUNTIF(B51,"*奈良屋*"),COUNTIF(B52,"*奈良屋*")),
V51&amp;"✔",""),VLOOKUP(""&amp;A52&amp;"",数出表_Excel!$A:$Z,22,FALSE)&amp;VLOOKUP(""&amp;A52&amp;"",数出表_Excel!$A:$Z,23,FALSE)
&amp;VLOOKUP(""&amp;C52&amp;"",数出表_Excel!$A:$Z,22,FALSE)&amp;VLOOKUP(""&amp;C52&amp;"",数出表_Excel!$A:$Z,23,FALSE)),"")</f>
        <v>ｱﾚ2</v>
      </c>
      <c r="W52">
        <f ca="1">IF(AND(COUNTIF(V52,"&lt;&gt;*不要*"),A52&lt;&gt;""),VLOOKUP(A52,得意先マスタ!$A:$AD,24,FALSE),0)</f>
        <v>0</v>
      </c>
      <c r="X52">
        <f ca="1">IF(AND(COUNTIF(V52,"&lt;&gt;*不要*"),A52&lt;&gt;""),VLOOKUP(A52,得意先マスタ!$A:$AD,25,FALSE),0)</f>
        <v>0</v>
      </c>
      <c r="Y52">
        <f t="shared" ca="1" si="10"/>
        <v>0</v>
      </c>
      <c r="Z52">
        <f t="shared" ca="1" si="11"/>
        <v>0</v>
      </c>
      <c r="AA52">
        <f t="shared" ca="1" si="15"/>
        <v>0</v>
      </c>
      <c r="AB52" t="str">
        <f t="shared" ca="1" si="12"/>
        <v/>
      </c>
      <c r="AC52" t="str">
        <f t="array" aca="1" ref="AC52" ca="1">IFERROR(INDEX(52:52, SMALL(IF($D52:$U52&lt;&gt;"", COLUMN($D$1:$U52)), COLUMN(A52))), "")</f>
        <v>赤　飯あり120</v>
      </c>
      <c r="AD52" t="str">
        <f t="array" aca="1" ref="AD52" ca="1">IFERROR(INDEX(52:52, SMALL(IF($D52:$U52&lt;&gt;"", COLUMN($D$1:$U52)), COLUMN(B52))), "")</f>
        <v>弁当　園児</v>
      </c>
      <c r="AE52">
        <f t="array" aca="1" ref="AE52" ca="1">IFERROR(INDEX(52:52, SMALL(IF($D52:$U52&lt;&gt;"", COLUMN($D$1:$U52)), COLUMN(C52))), "")</f>
        <v>15</v>
      </c>
      <c r="AF52" t="str">
        <f t="array" aca="1" ref="AF52" ca="1">IFERROR(INDEX(52:52, SMALL(IF($D52:$U52&lt;&gt;"", COLUMN($D$1:$U52)), COLUMN(D52))), "")</f>
        <v/>
      </c>
      <c r="AG52" t="str">
        <f t="array" aca="1" ref="AG52" ca="1">IFERROR(INDEX(52:52, SMALL(IF($D52:$U52&lt;&gt;"", COLUMN($D$1:$U52)), COLUMN(E52))), "")</f>
        <v/>
      </c>
      <c r="AH52" t="str">
        <f t="array" aca="1" ref="AH52" ca="1">IFERROR(INDEX(52:52, SMALL(IF($D52:$U52&lt;&gt;"", COLUMN($D$1:$U52)), COLUMN(F52))), "")</f>
        <v/>
      </c>
      <c r="AI52" t="str">
        <f t="array" aca="1" ref="AI52" ca="1">IFERROR(INDEX(52:52, SMALL(IF($D52:$U52&lt;&gt;"", COLUMN($D$1:$U52)), COLUMN(G52))), "")</f>
        <v/>
      </c>
      <c r="AJ52" t="str">
        <f t="array" aca="1" ref="AJ52" ca="1">IFERROR(INDEX(52:52, SMALL(IF($D52:$U52&lt;&gt;"", COLUMN($D$1:$U52)), COLUMN(H52))), "")</f>
        <v/>
      </c>
      <c r="AK52" t="str">
        <f t="array" aca="1" ref="AK52" ca="1">IFERROR(INDEX(52:52, SMALL(IF($D52:$U52&lt;&gt;"", COLUMN($D$1:$U52)), COLUMN(I52))), "")</f>
        <v/>
      </c>
      <c r="AL52" t="str">
        <f t="array" aca="1" ref="AL52" ca="1">IFERROR(INDEX(52:52, SMALL(IF($D52:$U52&lt;&gt;"", COLUMN($D$1:$U52)), COLUMN(J52))), "")</f>
        <v/>
      </c>
      <c r="AM52" t="str">
        <f t="array" aca="1" ref="AM52" ca="1">IFERROR(INDEX(52:52, SMALL(IF($D52:$U52&lt;&gt;"", COLUMN($D$1:$U52)), COLUMN(K52))), "")</f>
        <v/>
      </c>
      <c r="AN52" t="str">
        <f t="array" aca="1" ref="AN52" ca="1">IFERROR(INDEX(52:52, SMALL(IF($D52:$U52&lt;&gt;"", COLUMN($D$1:$U52)), COLUMN(L52))), "")</f>
        <v/>
      </c>
      <c r="AO52" t="str">
        <f t="array" aca="1" ref="AO52" ca="1">IFERROR(INDEX(52:52, SMALL(IF($D52:$U52&lt;&gt;"", COLUMN($D$1:$U52)), COLUMN(M52))), "")</f>
        <v/>
      </c>
      <c r="AP52" t="str">
        <f t="array" aca="1" ref="AP52" ca="1">IFERROR(INDEX(52:52, SMALL(IF($D52:$U52&lt;&gt;"", COLUMN($D$1:$U52)), COLUMN(N52))), "")</f>
        <v/>
      </c>
      <c r="AQ52" t="str">
        <f t="array" aca="1" ref="AQ52" ca="1">IFERROR(INDEX(52:52, SMALL(IF($D52:$U52&lt;&gt;"", COLUMN($D$1:$U52)), COLUMN(O52))), "")</f>
        <v/>
      </c>
      <c r="AR52" s="52" t="s">
        <v>4005</v>
      </c>
      <c r="AS52" t="str">
        <f t="shared" ca="1" si="13"/>
        <v/>
      </c>
      <c r="AT52" t="str">
        <f t="shared" ca="1" si="14"/>
        <v/>
      </c>
      <c r="AU52" t="str">
        <f t="shared" ca="1" si="16"/>
        <v/>
      </c>
      <c r="AV52" t="str">
        <f t="shared" ca="1" si="17"/>
        <v/>
      </c>
      <c r="AW52" t="str">
        <f t="shared" ca="1" si="18"/>
        <v/>
      </c>
      <c r="AX52" t="str">
        <f t="shared" ca="1" si="19"/>
        <v/>
      </c>
      <c r="AZ52" t="str">
        <f t="array" aca="1" ref="AZ52" ca="1">IFERROR(INDEX(52:52, SMALL(IF($AC52:$AX52&lt;&gt;"", COLUMN($AC$1:$AX52)), COLUMN(A52))), "")</f>
        <v>赤　飯あり120</v>
      </c>
      <c r="BA52" t="str">
        <f t="array" aca="1" ref="BA52" ca="1">IFERROR(INDEX(52:52, SMALL(IF($AC52:$AX52&lt;&gt;"", COLUMN($AC$1:$AX52)), COLUMN(B52))), "")</f>
        <v>弁当　園児</v>
      </c>
      <c r="BB52">
        <f t="array" aca="1" ref="BB52" ca="1">IFERROR(INDEX(52:52, SMALL(IF($AC52:$AX52&lt;&gt;"", COLUMN($AC$1:$AX52)), COLUMN(C52))), "")</f>
        <v>15</v>
      </c>
      <c r="BC52" t="str">
        <f t="array" aca="1" ref="BC52" ca="1">IFERROR(INDEX(52:52, SMALL(IF($AC52:$AX52&lt;&gt;"", COLUMN($AC$1:$AX52)), COLUMN(D52))), "")</f>
        <v>●</v>
      </c>
      <c r="BD52" t="str">
        <f t="array" aca="1" ref="BD52" ca="1">IFERROR(INDEX(52:52, SMALL(IF($AC52:$AX52&lt;&gt;"", COLUMN($AC$1:$AX52)), COLUMN(E52))), "")</f>
        <v/>
      </c>
      <c r="BE52" t="str">
        <f t="array" aca="1" ref="BE52" ca="1">IFERROR(INDEX(52:52, SMALL(IF($AC52:$AX52&lt;&gt;"", COLUMN($AC$1:$AX52)), COLUMN(F52))), "")</f>
        <v/>
      </c>
      <c r="BF52" t="str">
        <f t="array" aca="1" ref="BF52" ca="1">IFERROR(IF(AND(COUNTIF($B52,"*泉ヶ丘*"),COUNTIF($B53,"*泉ヶ丘*")),
IFERROR(INDEX(53:53, SMALL(IF($AC53:$AX53&lt;&gt;"", COLUMN($AC$1:$AX53)), COLUMN(A53))), ""),
INDEX(52:52, SMALL(IF($AC52:$AX52&lt;&gt;"", COLUMN($AC$1:$AX52)), COLUMN(G52)))), "")</f>
        <v/>
      </c>
      <c r="BG52" t="str">
        <f t="array" aca="1" ref="BG52" ca="1">IFERROR(IF(AND(COUNTIF($B52,"*泉ヶ丘*"),COUNTIF($B53,"*泉ヶ丘*")),
IFERROR(INDEX(53:53, SMALL(IF($AC53:$AX53&lt;&gt;"", COLUMN($AC$1:$AX53)), COLUMN(B53))), ""),
INDEX(52:52, SMALL(IF($AC52:$AX52&lt;&gt;"", COLUMN($AC$1:$AX52)), COLUMN(H52)))), "")</f>
        <v/>
      </c>
      <c r="BH52" t="str">
        <f t="array" aca="1" ref="BH52" ca="1">IFERROR(IF(AND(COUNTIF($B52,"*泉ヶ丘*"),COUNTIF($B53,"*泉ヶ丘*")),
IFERROR(INDEX(53:53, SMALL(IF($AC53:$AX53&lt;&gt;"", COLUMN($AC$1:$AX53)), COLUMN(C53))), ""),
INDEX(52:52, SMALL(IF($AC52:$AX52&lt;&gt;"", COLUMN($AC$1:$AX52)), COLUMN(I52)))), "")</f>
        <v/>
      </c>
      <c r="BI52" t="str">
        <f t="array" aca="1" ref="BI52" ca="1">IFERROR(IF(AND(COUNTIF($B52,"*泉ヶ丘*"),COUNTIF($B53,"*泉ヶ丘*")),
IFERROR(INDEX(53:53, SMALL(IF($AC53:$AX53&lt;&gt;"", COLUMN($AC$1:$AX53)), COLUMN(D53))), ""),
INDEX(52:52, SMALL(IF($AC52:$AX52&lt;&gt;"", COLUMN($AC$1:$AX52)), COLUMN(J52)))), "")</f>
        <v/>
      </c>
      <c r="BJ52" t="str">
        <f t="array" aca="1" ref="BJ52" ca="1">IFERROR(IF(AND(COUNTIF($B52,"*泉ヶ丘*"),COUNTIF($B53,"*泉ヶ丘*")),
IFERROR(INDEX(53:53, SMALL(IF($AC53:$AX53&lt;&gt;"", COLUMN($AC$1:$AX53)), COLUMN(E53))), ""),
INDEX(52:52, SMALL(IF($AC52:$AX52&lt;&gt;"", COLUMN($AC$1:$AX52)), COLUMN(K52)))), "")</f>
        <v/>
      </c>
      <c r="BK52" t="str">
        <f t="array" aca="1" ref="BK52" ca="1">IFERROR(IF(AND(COUNTIF($B52,"*泉ヶ丘*"),COUNTIF($B53,"*泉ヶ丘*")),
IFERROR(INDEX(53:53, SMALL(IF($AC53:$AX53&lt;&gt;"", COLUMN($AC$1:$AX53)), COLUMN(F53))), ""),
INDEX(52:52, SMALL(IF($AC52:$AX52&lt;&gt;"", COLUMN($AC$1:$AX52)), COLUMN(L52)))), "")</f>
        <v/>
      </c>
      <c r="BL52" t="str">
        <f t="array" aca="1" ref="BL52" ca="1">IFERROR(IF(AND(COUNTIF($B52,"*泉ヶ丘*"),COUNTIF($B53,"*泉ヶ丘*")),
IFERROR(INDEX(53:53, SMALL(IF($AC53:$AX53&lt;&gt;"", COLUMN($AC$1:$AX53)), COLUMN(G53))), ""),
INDEX(52:52, SMALL(IF($AC52:$AX52&lt;&gt;"", COLUMN($AC$1:$AX52)), COLUMN(M52)))), "")</f>
        <v/>
      </c>
      <c r="BM52" t="str">
        <f t="array" aca="1" ref="BM52" ca="1">IFERROR(IF(AND(COUNTIF($B52,"*泉ヶ丘*"),COUNTIF($B53,"*泉ヶ丘*")),
IFERROR(INDEX(53:53, SMALL(IF($AC53:$AX53&lt;&gt;"", COLUMN($AC$1:$AX53)), COLUMN(H53))), ""),
INDEX(52:52, SMALL(IF($AC52:$AX52&lt;&gt;"", COLUMN($AC$1:$AX52)), COLUMN(N52)))), "")</f>
        <v/>
      </c>
      <c r="BN52" t="str">
        <f t="array" aca="1" ref="BN52" ca="1">IFERROR(IF(AND(COUNTIF($B52,"*泉ヶ丘*"),COUNTIF($B53,"*泉ヶ丘*")),
IFERROR(INDEX(53:53, SMALL(IF($AC53:$AX53&lt;&gt;"", COLUMN($AC$1:$AX53)), COLUMN(I53))), ""),
INDEX(52:52, SMALL(IF($AC52:$AX52&lt;&gt;"", COLUMN($AC$1:$AX52)), COLUMN(O52)))), "")</f>
        <v/>
      </c>
      <c r="BO52" t="str">
        <f t="array" aca="1" ref="BO52" ca="1">IFERROR(IF(AND(COUNTIF($B52,"*泉ヶ丘*"),COUNTIF($B53,"*泉ヶ丘*")),
IFERROR(INDEX(53:53, SMALL(IF($AC53:$AX53&lt;&gt;"", COLUMN($AC$1:$AX53)), COLUMN(J53))), ""),
INDEX(52:52, SMALL(IF($AC52:$AX52&lt;&gt;"", COLUMN($AC$1:$AX52)), COLUMN(P52)))), "")</f>
        <v/>
      </c>
      <c r="BP52" t="str">
        <f t="array" aca="1" ref="BP52" ca="1">IFERROR(IF(AND(COUNTIF($B52,"*泉ヶ丘*"),COUNTIF($B53,"*泉ヶ丘*")),
IFERROR(INDEX(53:53, SMALL(IF($AC53:$AX53&lt;&gt;"", COLUMN($AC$1:$AX53)), COLUMN(K53))), ""),
INDEX(52:52, SMALL(IF($AC52:$AX52&lt;&gt;"", COLUMN($AC$1:$AX52)), COLUMN(Q52)))), "")</f>
        <v/>
      </c>
      <c r="BQ52" t="str">
        <f t="array" aca="1" ref="BQ52" ca="1">IFERROR(IF(AND(COUNTIF($B52,"*泉ヶ丘*"),COUNTIF($B53,"*泉ヶ丘*")),
IFERROR(INDEX(53:53, SMALL(IF($AC53:$AX53&lt;&gt;"", COLUMN($AC$1:$AX53)), COLUMN(L53))), ""),
INDEX(52:52, SMALL(IF($AC52:$AX52&lt;&gt;"", COLUMN($AC$1:$AX52)), COLUMN(R52)))), "")</f>
        <v/>
      </c>
    </row>
    <row r="53" spans="1:69" x14ac:dyDescent="0.45">
      <c r="A53" t="str">
        <f t="array" ref="A53">IF(INDEX(貼り付け用!A:A,MATCH(A52,貼り付け用!A:A,0)+2)="4700",
IF(INDEX(貼り付け用!A:A,MATCH(A52,貼り付け用!A:A,0)+4)="4800",
INDEX(貼り付け用!A:A,MATCH(A52,貼り付け用!A:A,0)+6),
INDEX(貼り付け用!A:A,MATCH(A52,貼り付け用!A:A,0)+4)),INDEX(貼り付け用!A:A,MATCH(A52,貼り付け用!A:A,0)+2))</f>
        <v>20400</v>
      </c>
      <c r="B53" t="str">
        <f>IF(A53&lt;&gt;"",
VLOOKUP(A53,得意先マスタ!A:D,2,FALSE),"")</f>
        <v>アンクラス</v>
      </c>
      <c r="C53" t="str">
        <f t="array" ref="C53">IF(A53="10000","",INDEX(貼り付け用!A:A,MATCH(A53,貼り付け用!A:A,0)+1))</f>
        <v>アンクラス</v>
      </c>
      <c r="D53" t="str">
        <f ca="1">VLOOKUP(C53,クライアント抽出!$A:$O,10,FALSE)</f>
        <v/>
      </c>
      <c r="E53" t="str">
        <f ca="1">IF(D53&lt;&gt;"",
IF(COUNTIF(C53,"*ぺんぎん*"),
VLOOKUP(
"*"&amp;IF(COUNTIF(D53,"*キャラ弁*"),"キャラ",
IF(COUNTIF(D53,"*赤*"),"赤",SUBSTITUTE(SUBSTITUTE(D53," ",""),"　","")))&amp;"*",
注文弁当の抽出!$F:$I,4,FALSE)&amp;
IF(COUNTIF(D53,"*おにぎり*"),"　おにぎり","")&amp;"　（ぺんぎん組）",
VLOOKUP(
"*"&amp;IF(COUNTIF(D53,"*キャラ弁*"),"キャラ",
IF(COUNTIF(D53,"*赤*"),"赤",SUBSTITUTE(SUBSTITUTE(D53," ",""),"　","")))&amp;"*",
注文弁当の抽出!$F:$I,4,FALSE)&amp;
IF(COUNTIF(D53,"*おにぎり*"),"　おにぎり","")),"")</f>
        <v/>
      </c>
      <c r="F53" t="str">
        <f ca="1">IFERROR(IF(E53&lt;&gt;"",
VLOOKUP(C53,クライアント抽出!$A:$G,2,FALSE)+
IF(COUNTIF(Y53,"*-*"),Y53,0),"")
-IFERROR(MID(V53, SEARCH("予備", V53) + LEN("予備"), SEARCH("込み", V53) - (SEARCH("予備", V53) + LEN("予備"))),0),"")</f>
        <v/>
      </c>
      <c r="G53" t="str">
        <f ca="1">VLOOKUP(C53,クライアント抽出!$A:$O,11,FALSE)</f>
        <v/>
      </c>
      <c r="H53" t="str">
        <f ca="1">IF(G53&lt;&gt;"",
VLOOKUP(
"*"&amp;IF(COUNTIF(G53,"*キャラ弁*"),"キャラ",
IF(COUNTIF(G53,"*赤*"),"赤",SUBSTITUTE(SUBSTITUTE(G53," ",""),"　","")))&amp;"*",
注文弁当の抽出!$F:$I,4,FALSE)&amp;
IF(COUNTIF(G53,"*おにぎり*"),"　おにぎり",""),"")</f>
        <v/>
      </c>
      <c r="I53" t="str">
        <f ca="1">IF(H53&lt;&gt;"",
VLOOKUP(C53,クライアント抽出!$A:$G,3,FALSE)+
IF(COUNTIF(C53,"*博多*"),Y53,Z53),"")</f>
        <v/>
      </c>
      <c r="J53" t="str">
        <f ca="1">VLOOKUP(C53,クライアント抽出!$A:$O,12,FALSE)</f>
        <v/>
      </c>
      <c r="K53" t="str">
        <f ca="1">IF(J53&lt;&gt;"",
VLOOKUP(
"*"&amp;IF(COUNTIF(J53,"*キャラ弁*"),"キャラ",
IF(COUNTIF(J53,"*赤*"),"赤",SUBSTITUTE(SUBSTITUTE(J53," ",""),"　","")))&amp;"*",
注文弁当の抽出!$F:$I,4,FALSE)&amp;
IF(COUNTIF(J53,"*おにぎり*"),"　おにぎり",""),"")</f>
        <v/>
      </c>
      <c r="L53" t="str">
        <f ca="1">IF(K53&lt;&gt;"",
VLOOKUP(C53,クライアント抽出!$A:$G,4,FALSE)+AA53,"")</f>
        <v/>
      </c>
      <c r="M53" t="str">
        <f ca="1">VLOOKUP(C53,クライアント抽出!$A:$O,13,FALSE)</f>
        <v>赤　飯あり120</v>
      </c>
      <c r="N53" t="str">
        <f ca="1">SUBSTITUTE(
IF(M53&lt;&gt;"",
VLOOKUP(
"*"&amp;IF(COUNTIF(M53,"*キャラ弁*"),"キャラ",
IF(COUNTIF(M53,"*赤*"),"赤",SUBSTITUTE(SUBSTITUTE(D53," ",""),"　","")))&amp;"*",
注文弁当の抽出!$F:$I,4,FALSE),""),"園児","先生")&amp;
IF(COUNTIF(M53,"*おにぎり*"),"　おにぎり","")</f>
        <v>弁当　先生</v>
      </c>
      <c r="O53">
        <f ca="1">IF(N53&lt;&gt;"",VLOOKUP(C53,クライアント抽出!$A:$G,5,FALSE),"")</f>
        <v>19</v>
      </c>
      <c r="P53" t="str">
        <f ca="1">VLOOKUP(C53,クライアント抽出!$A:$O,14,FALSE)</f>
        <v/>
      </c>
      <c r="Q53" t="str">
        <f ca="1">SUBSTITUTE(
IF(P53&lt;&gt;"",
VLOOKUP(
"*"&amp;IF(COUNTIF(P53,"*キャラ弁*"),"キャラ",
IF(COUNTIF(P53,"*赤*"),"赤",SUBSTITUTE(SUBSTITUTE(G53," ",""),"　","")))&amp;"*",
注文弁当の抽出!$F:$I,4,FALSE),""),"園児","先生")&amp;
IF(COUNTIF(P53,"*おにぎり*"),"　おにぎり","")</f>
        <v/>
      </c>
      <c r="R53" t="str">
        <f ca="1">IF(Q53&lt;&gt;"",
VLOOKUP(C53,クライアント抽出!$A:$G,6,FALSE),"")</f>
        <v/>
      </c>
      <c r="S53" t="str">
        <f ca="1">VLOOKUP(C53,クライアント抽出!$A:$O,15,FALSE)</f>
        <v/>
      </c>
      <c r="T53" t="str">
        <f ca="1">SUBSTITUTE(
IF(S53&lt;&gt;"",
VLOOKUP(
"*"&amp;IF(COUNTIF(S53,"*キャラ弁*"),"キャラ",
IF(COUNTIF(S53,"*赤*"),"赤",SUBSTITUTE(SUBSTITUTE(J53," ",""),"　","")))&amp;"*",
注文弁当の抽出!$F:$I,4,FALSE),""),"園児","先生")&amp;
IF(COUNTIF(S53,"*おにぎり*"),"　おにぎり","")</f>
        <v/>
      </c>
      <c r="U53" t="str">
        <f ca="1">IF(T53&lt;&gt;"",
VLOOKUP(C53,クライアント抽出!$A:$G,7,FALSE),"")</f>
        <v/>
      </c>
      <c r="V53" t="str">
        <f ca="1">IF(A53&lt;&gt;"",
IF(COUNTIF(V52,"*牛乳*"),
IF(AND(COUNTIF(B52,"*奈良屋*"),COUNTIF(B53,"*奈良屋*")),
V52&amp;"✔",""),VLOOKUP(""&amp;A53&amp;"",数出表_Excel!$A:$Z,22,FALSE)&amp;VLOOKUP(""&amp;A53&amp;"",数出表_Excel!$A:$Z,23,FALSE)
&amp;VLOOKUP(""&amp;C53&amp;"",数出表_Excel!$A:$Z,22,FALSE)&amp;VLOOKUP(""&amp;C53&amp;"",数出表_Excel!$A:$Z,23,FALSE)),"")</f>
        <v/>
      </c>
      <c r="W53">
        <f ca="1">IF(AND(COUNTIF(V53,"&lt;&gt;*不要*"),A53&lt;&gt;""),VLOOKUP(A53,得意先マスタ!$A:$AD,24,FALSE),0)</f>
        <v>0</v>
      </c>
      <c r="X53">
        <f ca="1">IF(AND(COUNTIF(V53,"&lt;&gt;*不要*"),A53&lt;&gt;""),VLOOKUP(A53,得意先マスタ!$A:$AD,25,FALSE),0)</f>
        <v>0</v>
      </c>
      <c r="Y53">
        <f t="shared" ca="1" si="10"/>
        <v>0</v>
      </c>
      <c r="Z53">
        <f t="shared" ca="1" si="11"/>
        <v>0</v>
      </c>
      <c r="AA53">
        <f t="shared" ca="1" si="15"/>
        <v>0</v>
      </c>
      <c r="AB53" t="str">
        <f t="shared" ca="1" si="12"/>
        <v/>
      </c>
      <c r="AC53" t="str">
        <f t="array" aca="1" ref="AC53" ca="1">IFERROR(INDEX(53:53, SMALL(IF($D53:$U53&lt;&gt;"", COLUMN($D$1:$U53)), COLUMN(A53))), "")</f>
        <v>赤　飯あり120</v>
      </c>
      <c r="AD53" t="str">
        <f t="array" aca="1" ref="AD53" ca="1">IFERROR(INDEX(53:53, SMALL(IF($D53:$U53&lt;&gt;"", COLUMN($D$1:$U53)), COLUMN(B53))), "")</f>
        <v>弁当　先生</v>
      </c>
      <c r="AE53">
        <f t="array" aca="1" ref="AE53" ca="1">IFERROR(INDEX(53:53, SMALL(IF($D53:$U53&lt;&gt;"", COLUMN($D$1:$U53)), COLUMN(C53))), "")</f>
        <v>19</v>
      </c>
      <c r="AF53" t="str">
        <f t="array" aca="1" ref="AF53" ca="1">IFERROR(INDEX(53:53, SMALL(IF($D53:$U53&lt;&gt;"", COLUMN($D$1:$U53)), COLUMN(D53))), "")</f>
        <v/>
      </c>
      <c r="AG53" t="str">
        <f t="array" aca="1" ref="AG53" ca="1">IFERROR(INDEX(53:53, SMALL(IF($D53:$U53&lt;&gt;"", COLUMN($D$1:$U53)), COLUMN(E53))), "")</f>
        <v/>
      </c>
      <c r="AH53" t="str">
        <f t="array" aca="1" ref="AH53" ca="1">IFERROR(INDEX(53:53, SMALL(IF($D53:$U53&lt;&gt;"", COLUMN($D$1:$U53)), COLUMN(F53))), "")</f>
        <v/>
      </c>
      <c r="AI53" t="str">
        <f t="array" aca="1" ref="AI53" ca="1">IFERROR(INDEX(53:53, SMALL(IF($D53:$U53&lt;&gt;"", COLUMN($D$1:$U53)), COLUMN(G53))), "")</f>
        <v/>
      </c>
      <c r="AJ53" t="str">
        <f t="array" aca="1" ref="AJ53" ca="1">IFERROR(INDEX(53:53, SMALL(IF($D53:$U53&lt;&gt;"", COLUMN($D$1:$U53)), COLUMN(H53))), "")</f>
        <v/>
      </c>
      <c r="AK53" t="str">
        <f t="array" aca="1" ref="AK53" ca="1">IFERROR(INDEX(53:53, SMALL(IF($D53:$U53&lt;&gt;"", COLUMN($D$1:$U53)), COLUMN(I53))), "")</f>
        <v/>
      </c>
      <c r="AL53" t="str">
        <f t="array" aca="1" ref="AL53" ca="1">IFERROR(INDEX(53:53, SMALL(IF($D53:$U53&lt;&gt;"", COLUMN($D$1:$U53)), COLUMN(J53))), "")</f>
        <v/>
      </c>
      <c r="AM53" t="str">
        <f t="array" aca="1" ref="AM53" ca="1">IFERROR(INDEX(53:53, SMALL(IF($D53:$U53&lt;&gt;"", COLUMN($D$1:$U53)), COLUMN(K53))), "")</f>
        <v/>
      </c>
      <c r="AN53" t="str">
        <f t="array" aca="1" ref="AN53" ca="1">IFERROR(INDEX(53:53, SMALL(IF($D53:$U53&lt;&gt;"", COLUMN($D$1:$U53)), COLUMN(L53))), "")</f>
        <v/>
      </c>
      <c r="AO53" t="str">
        <f t="array" aca="1" ref="AO53" ca="1">IFERROR(INDEX(53:53, SMALL(IF($D53:$U53&lt;&gt;"", COLUMN($D$1:$U53)), COLUMN(M53))), "")</f>
        <v/>
      </c>
      <c r="AP53" t="str">
        <f t="array" aca="1" ref="AP53" ca="1">IFERROR(INDEX(53:53, SMALL(IF($D53:$U53&lt;&gt;"", COLUMN($D$1:$U53)), COLUMN(N53))), "")</f>
        <v/>
      </c>
      <c r="AQ53" t="str">
        <f t="array" aca="1" ref="AQ53" ca="1">IFERROR(INDEX(53:53, SMALL(IF($D53:$U53&lt;&gt;"", COLUMN($D$1:$U53)), COLUMN(O53))), "")</f>
        <v/>
      </c>
      <c r="AR53" s="52" t="s">
        <v>4005</v>
      </c>
      <c r="AS53" t="str">
        <f t="shared" ca="1" si="13"/>
        <v/>
      </c>
      <c r="AT53" t="str">
        <f t="shared" ca="1" si="14"/>
        <v/>
      </c>
      <c r="AU53" t="str">
        <f t="shared" ca="1" si="16"/>
        <v/>
      </c>
      <c r="AV53" t="str">
        <f t="shared" ca="1" si="17"/>
        <v/>
      </c>
      <c r="AW53" t="str">
        <f t="shared" ca="1" si="18"/>
        <v/>
      </c>
      <c r="AX53" t="str">
        <f t="shared" ca="1" si="19"/>
        <v/>
      </c>
      <c r="AZ53" t="str">
        <f t="array" aca="1" ref="AZ53" ca="1">IFERROR(INDEX(53:53, SMALL(IF($AC53:$AX53&lt;&gt;"", COLUMN($AC$1:$AX53)), COLUMN(A53))), "")</f>
        <v>赤　飯あり120</v>
      </c>
      <c r="BA53" t="str">
        <f t="array" aca="1" ref="BA53" ca="1">IFERROR(INDEX(53:53, SMALL(IF($AC53:$AX53&lt;&gt;"", COLUMN($AC$1:$AX53)), COLUMN(B53))), "")</f>
        <v>弁当　先生</v>
      </c>
      <c r="BB53">
        <f t="array" aca="1" ref="BB53" ca="1">IFERROR(INDEX(53:53, SMALL(IF($AC53:$AX53&lt;&gt;"", COLUMN($AC$1:$AX53)), COLUMN(C53))), "")</f>
        <v>19</v>
      </c>
      <c r="BC53" t="str">
        <f t="array" aca="1" ref="BC53" ca="1">IFERROR(INDEX(53:53, SMALL(IF($AC53:$AX53&lt;&gt;"", COLUMN($AC$1:$AX53)), COLUMN(D53))), "")</f>
        <v>●</v>
      </c>
      <c r="BD53" t="str">
        <f t="array" aca="1" ref="BD53" ca="1">IFERROR(INDEX(53:53, SMALL(IF($AC53:$AX53&lt;&gt;"", COLUMN($AC$1:$AX53)), COLUMN(E53))), "")</f>
        <v/>
      </c>
      <c r="BE53" t="str">
        <f t="array" aca="1" ref="BE53" ca="1">IFERROR(INDEX(53:53, SMALL(IF($AC53:$AX53&lt;&gt;"", COLUMN($AC$1:$AX53)), COLUMN(F53))), "")</f>
        <v/>
      </c>
      <c r="BF53" t="str">
        <f t="array" aca="1" ref="BF53" ca="1">IFERROR(IF(AND(COUNTIF($B53,"*泉ヶ丘*"),COUNTIF($B54,"*泉ヶ丘*")),
IFERROR(INDEX(54:54, SMALL(IF($AC54:$AX54&lt;&gt;"", COLUMN($AC$1:$AX54)), COLUMN(A54))), ""),
INDEX(53:53, SMALL(IF($AC53:$AX53&lt;&gt;"", COLUMN($AC$1:$AX53)), COLUMN(G53)))), "")</f>
        <v/>
      </c>
      <c r="BG53" t="str">
        <f t="array" aca="1" ref="BG53" ca="1">IFERROR(IF(AND(COUNTIF($B53,"*泉ヶ丘*"),COUNTIF($B54,"*泉ヶ丘*")),
IFERROR(INDEX(54:54, SMALL(IF($AC54:$AX54&lt;&gt;"", COLUMN($AC$1:$AX54)), COLUMN(B54))), ""),
INDEX(53:53, SMALL(IF($AC53:$AX53&lt;&gt;"", COLUMN($AC$1:$AX53)), COLUMN(H53)))), "")</f>
        <v/>
      </c>
      <c r="BH53" t="str">
        <f t="array" aca="1" ref="BH53" ca="1">IFERROR(IF(AND(COUNTIF($B53,"*泉ヶ丘*"),COUNTIF($B54,"*泉ヶ丘*")),
IFERROR(INDEX(54:54, SMALL(IF($AC54:$AX54&lt;&gt;"", COLUMN($AC$1:$AX54)), COLUMN(C54))), ""),
INDEX(53:53, SMALL(IF($AC53:$AX53&lt;&gt;"", COLUMN($AC$1:$AX53)), COLUMN(I53)))), "")</f>
        <v/>
      </c>
      <c r="BI53" t="str">
        <f t="array" aca="1" ref="BI53" ca="1">IFERROR(IF(AND(COUNTIF($B53,"*泉ヶ丘*"),COUNTIF($B54,"*泉ヶ丘*")),
IFERROR(INDEX(54:54, SMALL(IF($AC54:$AX54&lt;&gt;"", COLUMN($AC$1:$AX54)), COLUMN(D54))), ""),
INDEX(53:53, SMALL(IF($AC53:$AX53&lt;&gt;"", COLUMN($AC$1:$AX53)), COLUMN(J53)))), "")</f>
        <v/>
      </c>
      <c r="BJ53" t="str">
        <f t="array" aca="1" ref="BJ53" ca="1">IFERROR(IF(AND(COUNTIF($B53,"*泉ヶ丘*"),COUNTIF($B54,"*泉ヶ丘*")),
IFERROR(INDEX(54:54, SMALL(IF($AC54:$AX54&lt;&gt;"", COLUMN($AC$1:$AX54)), COLUMN(E54))), ""),
INDEX(53:53, SMALL(IF($AC53:$AX53&lt;&gt;"", COLUMN($AC$1:$AX53)), COLUMN(K53)))), "")</f>
        <v/>
      </c>
      <c r="BK53" t="str">
        <f t="array" aca="1" ref="BK53" ca="1">IFERROR(IF(AND(COUNTIF($B53,"*泉ヶ丘*"),COUNTIF($B54,"*泉ヶ丘*")),
IFERROR(INDEX(54:54, SMALL(IF($AC54:$AX54&lt;&gt;"", COLUMN($AC$1:$AX54)), COLUMN(F54))), ""),
INDEX(53:53, SMALL(IF($AC53:$AX53&lt;&gt;"", COLUMN($AC$1:$AX53)), COLUMN(L53)))), "")</f>
        <v/>
      </c>
      <c r="BL53" t="str">
        <f t="array" aca="1" ref="BL53" ca="1">IFERROR(IF(AND(COUNTIF($B53,"*泉ヶ丘*"),COUNTIF($B54,"*泉ヶ丘*")),
IFERROR(INDEX(54:54, SMALL(IF($AC54:$AX54&lt;&gt;"", COLUMN($AC$1:$AX54)), COLUMN(G54))), ""),
INDEX(53:53, SMALL(IF($AC53:$AX53&lt;&gt;"", COLUMN($AC$1:$AX53)), COLUMN(M53)))), "")</f>
        <v/>
      </c>
      <c r="BM53" t="str">
        <f t="array" aca="1" ref="BM53" ca="1">IFERROR(IF(AND(COUNTIF($B53,"*泉ヶ丘*"),COUNTIF($B54,"*泉ヶ丘*")),
IFERROR(INDEX(54:54, SMALL(IF($AC54:$AX54&lt;&gt;"", COLUMN($AC$1:$AX54)), COLUMN(H54))), ""),
INDEX(53:53, SMALL(IF($AC53:$AX53&lt;&gt;"", COLUMN($AC$1:$AX53)), COLUMN(N53)))), "")</f>
        <v/>
      </c>
      <c r="BN53" t="str">
        <f t="array" aca="1" ref="BN53" ca="1">IFERROR(IF(AND(COUNTIF($B53,"*泉ヶ丘*"),COUNTIF($B54,"*泉ヶ丘*")),
IFERROR(INDEX(54:54, SMALL(IF($AC54:$AX54&lt;&gt;"", COLUMN($AC$1:$AX54)), COLUMN(I54))), ""),
INDEX(53:53, SMALL(IF($AC53:$AX53&lt;&gt;"", COLUMN($AC$1:$AX53)), COLUMN(O53)))), "")</f>
        <v/>
      </c>
      <c r="BO53" t="str">
        <f t="array" aca="1" ref="BO53" ca="1">IFERROR(IF(AND(COUNTIF($B53,"*泉ヶ丘*"),COUNTIF($B54,"*泉ヶ丘*")),
IFERROR(INDEX(54:54, SMALL(IF($AC54:$AX54&lt;&gt;"", COLUMN($AC$1:$AX54)), COLUMN(J54))), ""),
INDEX(53:53, SMALL(IF($AC53:$AX53&lt;&gt;"", COLUMN($AC$1:$AX53)), COLUMN(P53)))), "")</f>
        <v/>
      </c>
      <c r="BP53" t="str">
        <f t="array" aca="1" ref="BP53" ca="1">IFERROR(IF(AND(COUNTIF($B53,"*泉ヶ丘*"),COUNTIF($B54,"*泉ヶ丘*")),
IFERROR(INDEX(54:54, SMALL(IF($AC54:$AX54&lt;&gt;"", COLUMN($AC$1:$AX54)), COLUMN(K54))), ""),
INDEX(53:53, SMALL(IF($AC53:$AX53&lt;&gt;"", COLUMN($AC$1:$AX53)), COLUMN(Q53)))), "")</f>
        <v/>
      </c>
      <c r="BQ53" t="str">
        <f t="array" aca="1" ref="BQ53" ca="1">IFERROR(IF(AND(COUNTIF($B53,"*泉ヶ丘*"),COUNTIF($B54,"*泉ヶ丘*")),
IFERROR(INDEX(54:54, SMALL(IF($AC54:$AX54&lt;&gt;"", COLUMN($AC$1:$AX54)), COLUMN(L54))), ""),
INDEX(53:53, SMALL(IF($AC53:$AX53&lt;&gt;"", COLUMN($AC$1:$AX53)), COLUMN(R53)))), "")</f>
        <v/>
      </c>
    </row>
    <row r="54" spans="1:69" x14ac:dyDescent="0.45">
      <c r="A54" t="str">
        <f t="array" ref="A54">IF(INDEX(貼り付け用!A:A,MATCH(A53,貼り付け用!A:A,0)+2)="4700",
IF(INDEX(貼り付け用!A:A,MATCH(A53,貼り付け用!A:A,0)+4)="4800",
INDEX(貼り付け用!A:A,MATCH(A53,貼り付け用!A:A,0)+6),
INDEX(貼り付け用!A:A,MATCH(A53,貼り付け用!A:A,0)+4)),INDEX(貼り付け用!A:A,MATCH(A53,貼り付け用!A:A,0)+2))</f>
        <v>30003</v>
      </c>
      <c r="B54" t="str">
        <f>IF(A54&lt;&gt;"",
VLOOKUP(A54,得意先マスタ!A:D,2,FALSE),"")</f>
        <v>福岡セントラル　春日やよい</v>
      </c>
      <c r="C54" t="str">
        <f t="array" ref="C54">IF(A54="10000","",INDEX(貼り付け用!A:A,MATCH(A54,貼り付け用!A:A,0)+1))</f>
        <v>セントラル やよい</v>
      </c>
      <c r="D54" t="str">
        <f ca="1">VLOOKUP(C54,クライアント抽出!$A:$O,10,FALSE)</f>
        <v/>
      </c>
      <c r="E54" t="str">
        <f ca="1">IF(D54&lt;&gt;"",
IF(COUNTIF(C54,"*ぺんぎん*"),
VLOOKUP(
"*"&amp;IF(COUNTIF(D54,"*キャラ弁*"),"キャラ",
IF(COUNTIF(D54,"*赤*"),"赤",SUBSTITUTE(SUBSTITUTE(D54," ",""),"　","")))&amp;"*",
注文弁当の抽出!$F:$I,4,FALSE)&amp;
IF(COUNTIF(D54,"*おにぎり*"),"　おにぎり","")&amp;"　（ぺんぎん組）",
VLOOKUP(
"*"&amp;IF(COUNTIF(D54,"*キャラ弁*"),"キャラ",
IF(COUNTIF(D54,"*赤*"),"赤",SUBSTITUTE(SUBSTITUTE(D54," ",""),"　","")))&amp;"*",
注文弁当の抽出!$F:$I,4,FALSE)&amp;
IF(COUNTIF(D54,"*おにぎり*"),"　おにぎり","")),"")</f>
        <v/>
      </c>
      <c r="F54" t="str">
        <f ca="1">IFERROR(IF(E54&lt;&gt;"",
VLOOKUP(C54,クライアント抽出!$A:$G,2,FALSE)+
IF(COUNTIF(Y54,"*-*"),Y54,0),"")
-IFERROR(MID(V54, SEARCH("予備", V54) + LEN("予備"), SEARCH("込み", V54) - (SEARCH("予備", V54) + LEN("予備"))),0),"")</f>
        <v/>
      </c>
      <c r="G54" t="str">
        <f ca="1">VLOOKUP(C54,クライアント抽出!$A:$O,11,FALSE)</f>
        <v/>
      </c>
      <c r="H54" t="str">
        <f ca="1">IF(G54&lt;&gt;"",
VLOOKUP(
"*"&amp;IF(COUNTIF(G54,"*キャラ弁*"),"キャラ",
IF(COUNTIF(G54,"*赤*"),"赤",SUBSTITUTE(SUBSTITUTE(G54," ",""),"　","")))&amp;"*",
注文弁当の抽出!$F:$I,4,FALSE)&amp;
IF(COUNTIF(G54,"*おにぎり*"),"　おにぎり",""),"")</f>
        <v/>
      </c>
      <c r="I54" t="str">
        <f ca="1">IF(H54&lt;&gt;"",
VLOOKUP(C54,クライアント抽出!$A:$G,3,FALSE)+
IF(COUNTIF(C54,"*博多*"),Y54,Z54),"")</f>
        <v/>
      </c>
      <c r="J54" t="str">
        <f ca="1">VLOOKUP(C54,クライアント抽出!$A:$O,12,FALSE)</f>
        <v/>
      </c>
      <c r="K54" t="str">
        <f ca="1">IF(J54&lt;&gt;"",
VLOOKUP(
"*"&amp;IF(COUNTIF(J54,"*キャラ弁*"),"キャラ",
IF(COUNTIF(J54,"*赤*"),"赤",SUBSTITUTE(SUBSTITUTE(J54," ",""),"　","")))&amp;"*",
注文弁当の抽出!$F:$I,4,FALSE)&amp;
IF(COUNTIF(J54,"*おにぎり*"),"　おにぎり",""),"")</f>
        <v/>
      </c>
      <c r="L54" t="str">
        <f ca="1">IF(K54&lt;&gt;"",
VLOOKUP(C54,クライアント抽出!$A:$G,4,FALSE)+AA54,"")</f>
        <v/>
      </c>
      <c r="M54" t="str">
        <f ca="1">VLOOKUP(C54,クライアント抽出!$A:$O,13,FALSE)</f>
        <v/>
      </c>
      <c r="N54" t="str">
        <f ca="1">SUBSTITUTE(
IF(M54&lt;&gt;"",
VLOOKUP(
"*"&amp;IF(COUNTIF(M54,"*キャラ弁*"),"キャラ",
IF(COUNTIF(M54,"*赤*"),"赤",SUBSTITUTE(SUBSTITUTE(D54," ",""),"　","")))&amp;"*",
注文弁当の抽出!$F:$I,4,FALSE),""),"園児","先生")&amp;
IF(COUNTIF(M54,"*おにぎり*"),"　おにぎり","")</f>
        <v/>
      </c>
      <c r="O54" t="str">
        <f ca="1">IF(N54&lt;&gt;"",VLOOKUP(C54,クライアント抽出!$A:$G,5,FALSE),"")</f>
        <v/>
      </c>
      <c r="P54" t="str">
        <f ca="1">VLOOKUP(C54,クライアント抽出!$A:$O,14,FALSE)</f>
        <v/>
      </c>
      <c r="Q54" t="str">
        <f ca="1">SUBSTITUTE(
IF(P54&lt;&gt;"",
VLOOKUP(
"*"&amp;IF(COUNTIF(P54,"*キャラ弁*"),"キャラ",
IF(COUNTIF(P54,"*赤*"),"赤",SUBSTITUTE(SUBSTITUTE(G54," ",""),"　","")))&amp;"*",
注文弁当の抽出!$F:$I,4,FALSE),""),"園児","先生")&amp;
IF(COUNTIF(P54,"*おにぎり*"),"　おにぎり","")</f>
        <v/>
      </c>
      <c r="R54" t="str">
        <f ca="1">IF(Q54&lt;&gt;"",
VLOOKUP(C54,クライアント抽出!$A:$G,6,FALSE),"")</f>
        <v/>
      </c>
      <c r="S54" t="str">
        <f ca="1">VLOOKUP(C54,クライアント抽出!$A:$O,15,FALSE)</f>
        <v/>
      </c>
      <c r="T54" t="str">
        <f ca="1">SUBSTITUTE(
IF(S54&lt;&gt;"",
VLOOKUP(
"*"&amp;IF(COUNTIF(S54,"*キャラ弁*"),"キャラ",
IF(COUNTIF(S54,"*赤*"),"赤",SUBSTITUTE(SUBSTITUTE(J54," ",""),"　","")))&amp;"*",
注文弁当の抽出!$F:$I,4,FALSE),""),"園児","先生")&amp;
IF(COUNTIF(S54,"*おにぎり*"),"　おにぎり","")</f>
        <v/>
      </c>
      <c r="U54" t="str">
        <f ca="1">IF(T54&lt;&gt;"",
VLOOKUP(C54,クライアント抽出!$A:$G,7,FALSE),"")</f>
        <v/>
      </c>
      <c r="V54" t="str">
        <f ca="1">IF(A54&lt;&gt;"",
IF(COUNTIF(V53,"*牛乳*"),
IF(AND(COUNTIF(B53,"*奈良屋*"),COUNTIF(B54,"*奈良屋*")),
V53&amp;"✔",""),VLOOKUP(""&amp;A54&amp;"",数出表_Excel!$A:$Z,22,FALSE)&amp;VLOOKUP(""&amp;A54&amp;"",数出表_Excel!$A:$Z,23,FALSE)
&amp;VLOOKUP(""&amp;C54&amp;"",数出表_Excel!$A:$Z,22,FALSE)&amp;VLOOKUP(""&amp;C54&amp;"",数出表_Excel!$A:$Z,23,FALSE)),"")</f>
        <v>マリービスケット12箱 源氏パイ4袋マンナウエハース5箱ムーンライト4箱</v>
      </c>
      <c r="W54">
        <f ca="1">IF(AND(COUNTIF(V54,"&lt;&gt;*不要*"),A54&lt;&gt;""),VLOOKUP(A54,得意先マスタ!$A:$AD,24,FALSE),0)</f>
        <v>0</v>
      </c>
      <c r="X54">
        <f ca="1">IF(AND(COUNTIF(V54,"&lt;&gt;*不要*"),A54&lt;&gt;""),VLOOKUP(A54,得意先マスタ!$A:$AD,25,FALSE),0)</f>
        <v>0</v>
      </c>
      <c r="Y54">
        <f t="shared" ca="1" si="10"/>
        <v>0</v>
      </c>
      <c r="Z54">
        <f t="shared" ca="1" si="11"/>
        <v>0</v>
      </c>
      <c r="AA54">
        <f t="shared" ca="1" si="15"/>
        <v>0</v>
      </c>
      <c r="AB54" t="str">
        <f t="shared" ca="1" si="12"/>
        <v/>
      </c>
      <c r="AC54" t="str">
        <f t="array" aca="1" ref="AC54" ca="1">IFERROR(INDEX(54:54, SMALL(IF($D54:$U54&lt;&gt;"", COLUMN($D$1:$U54)), COLUMN(A54))), "")</f>
        <v/>
      </c>
      <c r="AD54" t="str">
        <f t="array" aca="1" ref="AD54" ca="1">IFERROR(INDEX(54:54, SMALL(IF($D54:$U54&lt;&gt;"", COLUMN($D$1:$U54)), COLUMN(B54))), "")</f>
        <v/>
      </c>
      <c r="AE54" t="str">
        <f t="array" aca="1" ref="AE54" ca="1">IFERROR(INDEX(54:54, SMALL(IF($D54:$U54&lt;&gt;"", COLUMN($D$1:$U54)), COLUMN(C54))), "")</f>
        <v/>
      </c>
      <c r="AF54" t="str">
        <f t="array" aca="1" ref="AF54" ca="1">IFERROR(INDEX(54:54, SMALL(IF($D54:$U54&lt;&gt;"", COLUMN($D$1:$U54)), COLUMN(D54))), "")</f>
        <v/>
      </c>
      <c r="AG54" t="str">
        <f t="array" aca="1" ref="AG54" ca="1">IFERROR(INDEX(54:54, SMALL(IF($D54:$U54&lt;&gt;"", COLUMN($D$1:$U54)), COLUMN(E54))), "")</f>
        <v/>
      </c>
      <c r="AH54" t="str">
        <f t="array" aca="1" ref="AH54" ca="1">IFERROR(INDEX(54:54, SMALL(IF($D54:$U54&lt;&gt;"", COLUMN($D$1:$U54)), COLUMN(F54))), "")</f>
        <v/>
      </c>
      <c r="AI54" t="str">
        <f t="array" aca="1" ref="AI54" ca="1">IFERROR(INDEX(54:54, SMALL(IF($D54:$U54&lt;&gt;"", COLUMN($D$1:$U54)), COLUMN(G54))), "")</f>
        <v/>
      </c>
      <c r="AJ54" t="str">
        <f t="array" aca="1" ref="AJ54" ca="1">IFERROR(INDEX(54:54, SMALL(IF($D54:$U54&lt;&gt;"", COLUMN($D$1:$U54)), COLUMN(H54))), "")</f>
        <v/>
      </c>
      <c r="AK54" t="str">
        <f t="array" aca="1" ref="AK54" ca="1">IFERROR(INDEX(54:54, SMALL(IF($D54:$U54&lt;&gt;"", COLUMN($D$1:$U54)), COLUMN(I54))), "")</f>
        <v/>
      </c>
      <c r="AL54" t="str">
        <f t="array" aca="1" ref="AL54" ca="1">IFERROR(INDEX(54:54, SMALL(IF($D54:$U54&lt;&gt;"", COLUMN($D$1:$U54)), COLUMN(J54))), "")</f>
        <v/>
      </c>
      <c r="AM54" t="str">
        <f t="array" aca="1" ref="AM54" ca="1">IFERROR(INDEX(54:54, SMALL(IF($D54:$U54&lt;&gt;"", COLUMN($D$1:$U54)), COLUMN(K54))), "")</f>
        <v/>
      </c>
      <c r="AN54" t="str">
        <f t="array" aca="1" ref="AN54" ca="1">IFERROR(INDEX(54:54, SMALL(IF($D54:$U54&lt;&gt;"", COLUMN($D$1:$U54)), COLUMN(L54))), "")</f>
        <v/>
      </c>
      <c r="AO54" t="str">
        <f t="array" aca="1" ref="AO54" ca="1">IFERROR(INDEX(54:54, SMALL(IF($D54:$U54&lt;&gt;"", COLUMN($D$1:$U54)), COLUMN(M54))), "")</f>
        <v/>
      </c>
      <c r="AP54" t="str">
        <f t="array" aca="1" ref="AP54" ca="1">IFERROR(INDEX(54:54, SMALL(IF($D54:$U54&lt;&gt;"", COLUMN($D$1:$U54)), COLUMN(N54))), "")</f>
        <v/>
      </c>
      <c r="AQ54" t="str">
        <f t="array" aca="1" ref="AQ54" ca="1">IFERROR(INDEX(54:54, SMALL(IF($D54:$U54&lt;&gt;"", COLUMN($D$1:$U54)), COLUMN(O54))), "")</f>
        <v/>
      </c>
      <c r="AR54" s="52" t="s">
        <v>4005</v>
      </c>
      <c r="AS54" t="str">
        <f t="shared" ca="1" si="13"/>
        <v/>
      </c>
      <c r="AT54" t="str">
        <f t="shared" ca="1" si="14"/>
        <v/>
      </c>
      <c r="AU54" t="str">
        <f t="shared" ca="1" si="16"/>
        <v/>
      </c>
      <c r="AV54" t="str">
        <f t="shared" ca="1" si="17"/>
        <v/>
      </c>
      <c r="AW54" t="str">
        <f t="shared" ca="1" si="18"/>
        <v/>
      </c>
      <c r="AX54" t="str">
        <f t="shared" ca="1" si="19"/>
        <v/>
      </c>
      <c r="AZ54" t="str">
        <f t="array" aca="1" ref="AZ54" ca="1">IFERROR(INDEX(54:54, SMALL(IF($AC54:$AX54&lt;&gt;"", COLUMN($AC$1:$AX54)), COLUMN(A54))), "")</f>
        <v>●</v>
      </c>
      <c r="BA54" t="str">
        <f t="array" aca="1" ref="BA54" ca="1">IFERROR(INDEX(54:54, SMALL(IF($AC54:$AX54&lt;&gt;"", COLUMN($AC$1:$AX54)), COLUMN(B54))), "")</f>
        <v/>
      </c>
      <c r="BB54" t="str">
        <f t="array" aca="1" ref="BB54" ca="1">IFERROR(INDEX(54:54, SMALL(IF($AC54:$AX54&lt;&gt;"", COLUMN($AC$1:$AX54)), COLUMN(C54))), "")</f>
        <v/>
      </c>
      <c r="BC54" t="str">
        <f t="array" aca="1" ref="BC54" ca="1">IFERROR(INDEX(54:54, SMALL(IF($AC54:$AX54&lt;&gt;"", COLUMN($AC$1:$AX54)), COLUMN(D54))), "")</f>
        <v/>
      </c>
      <c r="BD54" t="str">
        <f t="array" aca="1" ref="BD54" ca="1">IFERROR(INDEX(54:54, SMALL(IF($AC54:$AX54&lt;&gt;"", COLUMN($AC$1:$AX54)), COLUMN(E54))), "")</f>
        <v/>
      </c>
      <c r="BE54" t="str">
        <f t="array" aca="1" ref="BE54" ca="1">IFERROR(INDEX(54:54, SMALL(IF($AC54:$AX54&lt;&gt;"", COLUMN($AC$1:$AX54)), COLUMN(F54))), "")</f>
        <v/>
      </c>
      <c r="BF54" t="str">
        <f t="array" aca="1" ref="BF54" ca="1">IFERROR(IF(AND(COUNTIF($B54,"*泉ヶ丘*"),COUNTIF($B55,"*泉ヶ丘*")),
IFERROR(INDEX(55:55, SMALL(IF($AC55:$AX55&lt;&gt;"", COLUMN($AC$1:$AX55)), COLUMN(A55))), ""),
INDEX(54:54, SMALL(IF($AC54:$AX54&lt;&gt;"", COLUMN($AC$1:$AX54)), COLUMN(G54)))), "")</f>
        <v/>
      </c>
      <c r="BG54" t="str">
        <f t="array" aca="1" ref="BG54" ca="1">IFERROR(IF(AND(COUNTIF($B54,"*泉ヶ丘*"),COUNTIF($B55,"*泉ヶ丘*")),
IFERROR(INDEX(55:55, SMALL(IF($AC55:$AX55&lt;&gt;"", COLUMN($AC$1:$AX55)), COLUMN(B55))), ""),
INDEX(54:54, SMALL(IF($AC54:$AX54&lt;&gt;"", COLUMN($AC$1:$AX54)), COLUMN(H54)))), "")</f>
        <v/>
      </c>
      <c r="BH54" t="str">
        <f t="array" aca="1" ref="BH54" ca="1">IFERROR(IF(AND(COUNTIF($B54,"*泉ヶ丘*"),COUNTIF($B55,"*泉ヶ丘*")),
IFERROR(INDEX(55:55, SMALL(IF($AC55:$AX55&lt;&gt;"", COLUMN($AC$1:$AX55)), COLUMN(C55))), ""),
INDEX(54:54, SMALL(IF($AC54:$AX54&lt;&gt;"", COLUMN($AC$1:$AX54)), COLUMN(I54)))), "")</f>
        <v/>
      </c>
      <c r="BI54" t="str">
        <f t="array" aca="1" ref="BI54" ca="1">IFERROR(IF(AND(COUNTIF($B54,"*泉ヶ丘*"),COUNTIF($B55,"*泉ヶ丘*")),
IFERROR(INDEX(55:55, SMALL(IF($AC55:$AX55&lt;&gt;"", COLUMN($AC$1:$AX55)), COLUMN(D55))), ""),
INDEX(54:54, SMALL(IF($AC54:$AX54&lt;&gt;"", COLUMN($AC$1:$AX54)), COLUMN(J54)))), "")</f>
        <v/>
      </c>
      <c r="BJ54" t="str">
        <f t="array" aca="1" ref="BJ54" ca="1">IFERROR(IF(AND(COUNTIF($B54,"*泉ヶ丘*"),COUNTIF($B55,"*泉ヶ丘*")),
IFERROR(INDEX(55:55, SMALL(IF($AC55:$AX55&lt;&gt;"", COLUMN($AC$1:$AX55)), COLUMN(E55))), ""),
INDEX(54:54, SMALL(IF($AC54:$AX54&lt;&gt;"", COLUMN($AC$1:$AX54)), COLUMN(K54)))), "")</f>
        <v/>
      </c>
      <c r="BK54" t="str">
        <f t="array" aca="1" ref="BK54" ca="1">IFERROR(IF(AND(COUNTIF($B54,"*泉ヶ丘*"),COUNTIF($B55,"*泉ヶ丘*")),
IFERROR(INDEX(55:55, SMALL(IF($AC55:$AX55&lt;&gt;"", COLUMN($AC$1:$AX55)), COLUMN(F55))), ""),
INDEX(54:54, SMALL(IF($AC54:$AX54&lt;&gt;"", COLUMN($AC$1:$AX54)), COLUMN(L54)))), "")</f>
        <v/>
      </c>
      <c r="BL54" t="str">
        <f t="array" aca="1" ref="BL54" ca="1">IFERROR(IF(AND(COUNTIF($B54,"*泉ヶ丘*"),COUNTIF($B55,"*泉ヶ丘*")),
IFERROR(INDEX(55:55, SMALL(IF($AC55:$AX55&lt;&gt;"", COLUMN($AC$1:$AX55)), COLUMN(G55))), ""),
INDEX(54:54, SMALL(IF($AC54:$AX54&lt;&gt;"", COLUMN($AC$1:$AX54)), COLUMN(M54)))), "")</f>
        <v/>
      </c>
      <c r="BM54" t="str">
        <f t="array" aca="1" ref="BM54" ca="1">IFERROR(IF(AND(COUNTIF($B54,"*泉ヶ丘*"),COUNTIF($B55,"*泉ヶ丘*")),
IFERROR(INDEX(55:55, SMALL(IF($AC55:$AX55&lt;&gt;"", COLUMN($AC$1:$AX55)), COLUMN(H55))), ""),
INDEX(54:54, SMALL(IF($AC54:$AX54&lt;&gt;"", COLUMN($AC$1:$AX54)), COLUMN(N54)))), "")</f>
        <v/>
      </c>
      <c r="BN54" t="str">
        <f t="array" aca="1" ref="BN54" ca="1">IFERROR(IF(AND(COUNTIF($B54,"*泉ヶ丘*"),COUNTIF($B55,"*泉ヶ丘*")),
IFERROR(INDEX(55:55, SMALL(IF($AC55:$AX55&lt;&gt;"", COLUMN($AC$1:$AX55)), COLUMN(I55))), ""),
INDEX(54:54, SMALL(IF($AC54:$AX54&lt;&gt;"", COLUMN($AC$1:$AX54)), COLUMN(O54)))), "")</f>
        <v/>
      </c>
      <c r="BO54" t="str">
        <f t="array" aca="1" ref="BO54" ca="1">IFERROR(IF(AND(COUNTIF($B54,"*泉ヶ丘*"),COUNTIF($B55,"*泉ヶ丘*")),
IFERROR(INDEX(55:55, SMALL(IF($AC55:$AX55&lt;&gt;"", COLUMN($AC$1:$AX55)), COLUMN(J55))), ""),
INDEX(54:54, SMALL(IF($AC54:$AX54&lt;&gt;"", COLUMN($AC$1:$AX54)), COLUMN(P54)))), "")</f>
        <v/>
      </c>
      <c r="BP54" t="str">
        <f t="array" aca="1" ref="BP54" ca="1">IFERROR(IF(AND(COUNTIF($B54,"*泉ヶ丘*"),COUNTIF($B55,"*泉ヶ丘*")),
IFERROR(INDEX(55:55, SMALL(IF($AC55:$AX55&lt;&gt;"", COLUMN($AC$1:$AX55)), COLUMN(K55))), ""),
INDEX(54:54, SMALL(IF($AC54:$AX54&lt;&gt;"", COLUMN($AC$1:$AX54)), COLUMN(Q54)))), "")</f>
        <v/>
      </c>
      <c r="BQ54" t="str">
        <f t="array" aca="1" ref="BQ54" ca="1">IFERROR(IF(AND(COUNTIF($B54,"*泉ヶ丘*"),COUNTIF($B55,"*泉ヶ丘*")),
IFERROR(INDEX(55:55, SMALL(IF($AC55:$AX55&lt;&gt;"", COLUMN($AC$1:$AX55)), COLUMN(L55))), ""),
INDEX(54:54, SMALL(IF($AC54:$AX54&lt;&gt;"", COLUMN($AC$1:$AX54)), COLUMN(R54)))), "")</f>
        <v/>
      </c>
    </row>
    <row r="55" spans="1:69" x14ac:dyDescent="0.45">
      <c r="A55" t="str">
        <f t="array" ref="A55">IF(INDEX(貼り付け用!A:A,MATCH(A54,貼り付け用!A:A,0)+2)="4700",
IF(INDEX(貼り付け用!A:A,MATCH(A54,貼り付け用!A:A,0)+4)="4800",
INDEX(貼り付け用!A:A,MATCH(A54,貼り付け用!A:A,0)+6),
INDEX(貼り付け用!A:A,MATCH(A54,貼り付け用!A:A,0)+4)),INDEX(貼り付け用!A:A,MATCH(A54,貼り付け用!A:A,0)+2))</f>
        <v>30004</v>
      </c>
      <c r="B55" t="str">
        <f>IF(A55&lt;&gt;"",
VLOOKUP(A55,得意先マスタ!A:D,2,FALSE),"")</f>
        <v>福岡セントラル　筑紫野</v>
      </c>
      <c r="C55" t="str">
        <f t="array" ref="C55">IF(A55="10000","",INDEX(貼り付け用!A:A,MATCH(A55,貼り付け用!A:A,0)+1))</f>
        <v>セントラル 筑紫野</v>
      </c>
      <c r="D55" t="str">
        <f ca="1">VLOOKUP(C55,クライアント抽出!$A:$O,10,FALSE)</f>
        <v/>
      </c>
      <c r="E55" t="str">
        <f ca="1">IF(D55&lt;&gt;"",
IF(COUNTIF(C55,"*ぺんぎん*"),
VLOOKUP(
"*"&amp;IF(COUNTIF(D55,"*キャラ弁*"),"キャラ",
IF(COUNTIF(D55,"*赤*"),"赤",SUBSTITUTE(SUBSTITUTE(D55," ",""),"　","")))&amp;"*",
注文弁当の抽出!$F:$I,4,FALSE)&amp;
IF(COUNTIF(D55,"*おにぎり*"),"　おにぎり","")&amp;"　（ぺんぎん組）",
VLOOKUP(
"*"&amp;IF(COUNTIF(D55,"*キャラ弁*"),"キャラ",
IF(COUNTIF(D55,"*赤*"),"赤",SUBSTITUTE(SUBSTITUTE(D55," ",""),"　","")))&amp;"*",
注文弁当の抽出!$F:$I,4,FALSE)&amp;
IF(COUNTIF(D55,"*おにぎり*"),"　おにぎり","")),"")</f>
        <v/>
      </c>
      <c r="F55" t="str">
        <f ca="1">IFERROR(IF(E55&lt;&gt;"",
VLOOKUP(C55,クライアント抽出!$A:$G,2,FALSE)+
IF(COUNTIF(Y55,"*-*"),Y55,0),"")
-IFERROR(MID(V55, SEARCH("予備", V55) + LEN("予備"), SEARCH("込み", V55) - (SEARCH("予備", V55) + LEN("予備"))),0),"")</f>
        <v/>
      </c>
      <c r="G55" t="str">
        <f ca="1">VLOOKUP(C55,クライアント抽出!$A:$O,11,FALSE)</f>
        <v/>
      </c>
      <c r="H55" t="str">
        <f ca="1">IF(G55&lt;&gt;"",
VLOOKUP(
"*"&amp;IF(COUNTIF(G55,"*キャラ弁*"),"キャラ",
IF(COUNTIF(G55,"*赤*"),"赤",SUBSTITUTE(SUBSTITUTE(G55," ",""),"　","")))&amp;"*",
注文弁当の抽出!$F:$I,4,FALSE)&amp;
IF(COUNTIF(G55,"*おにぎり*"),"　おにぎり",""),"")</f>
        <v/>
      </c>
      <c r="I55" t="str">
        <f ca="1">IF(H55&lt;&gt;"",
VLOOKUP(C55,クライアント抽出!$A:$G,3,FALSE)+
IF(COUNTIF(C55,"*博多*"),Y55,Z55),"")</f>
        <v/>
      </c>
      <c r="J55" t="str">
        <f ca="1">VLOOKUP(C55,クライアント抽出!$A:$O,12,FALSE)</f>
        <v/>
      </c>
      <c r="K55" t="str">
        <f ca="1">IF(J55&lt;&gt;"",
VLOOKUP(
"*"&amp;IF(COUNTIF(J55,"*キャラ弁*"),"キャラ",
IF(COUNTIF(J55,"*赤*"),"赤",SUBSTITUTE(SUBSTITUTE(J55," ",""),"　","")))&amp;"*",
注文弁当の抽出!$F:$I,4,FALSE)&amp;
IF(COUNTIF(J55,"*おにぎり*"),"　おにぎり",""),"")</f>
        <v/>
      </c>
      <c r="L55" t="str">
        <f ca="1">IF(K55&lt;&gt;"",
VLOOKUP(C55,クライアント抽出!$A:$G,4,FALSE)+AA55,"")</f>
        <v/>
      </c>
      <c r="M55" t="str">
        <f ca="1">VLOOKUP(C55,クライアント抽出!$A:$O,13,FALSE)</f>
        <v/>
      </c>
      <c r="N55" t="str">
        <f ca="1">SUBSTITUTE(
IF(M55&lt;&gt;"",
VLOOKUP(
"*"&amp;IF(COUNTIF(M55,"*キャラ弁*"),"キャラ",
IF(COUNTIF(M55,"*赤*"),"赤",SUBSTITUTE(SUBSTITUTE(D55," ",""),"　","")))&amp;"*",
注文弁当の抽出!$F:$I,4,FALSE),""),"園児","先生")&amp;
IF(COUNTIF(M55,"*おにぎり*"),"　おにぎり","")</f>
        <v/>
      </c>
      <c r="O55" t="str">
        <f ca="1">IF(N55&lt;&gt;"",VLOOKUP(C55,クライアント抽出!$A:$G,5,FALSE),"")</f>
        <v/>
      </c>
      <c r="P55" t="str">
        <f ca="1">VLOOKUP(C55,クライアント抽出!$A:$O,14,FALSE)</f>
        <v/>
      </c>
      <c r="Q55" t="str">
        <f ca="1">SUBSTITUTE(
IF(P55&lt;&gt;"",
VLOOKUP(
"*"&amp;IF(COUNTIF(P55,"*キャラ弁*"),"キャラ",
IF(COUNTIF(P55,"*赤*"),"赤",SUBSTITUTE(SUBSTITUTE(G55," ",""),"　","")))&amp;"*",
注文弁当の抽出!$F:$I,4,FALSE),""),"園児","先生")&amp;
IF(COUNTIF(P55,"*おにぎり*"),"　おにぎり","")</f>
        <v/>
      </c>
      <c r="R55" t="str">
        <f ca="1">IF(Q55&lt;&gt;"",
VLOOKUP(C55,クライアント抽出!$A:$G,6,FALSE),"")</f>
        <v/>
      </c>
      <c r="S55" t="str">
        <f ca="1">VLOOKUP(C55,クライアント抽出!$A:$O,15,FALSE)</f>
        <v/>
      </c>
      <c r="T55" t="str">
        <f ca="1">SUBSTITUTE(
IF(S55&lt;&gt;"",
VLOOKUP(
"*"&amp;IF(COUNTIF(S55,"*キャラ弁*"),"キャラ",
IF(COUNTIF(S55,"*赤*"),"赤",SUBSTITUTE(SUBSTITUTE(J55," ",""),"　","")))&amp;"*",
注文弁当の抽出!$F:$I,4,FALSE),""),"園児","先生")&amp;
IF(COUNTIF(S55,"*おにぎり*"),"　おにぎり","")</f>
        <v/>
      </c>
      <c r="U55" t="str">
        <f ca="1">IF(T55&lt;&gt;"",
VLOOKUP(C55,クライアント抽出!$A:$G,7,FALSE),"")</f>
        <v/>
      </c>
      <c r="V55" t="str">
        <f ca="1">IF(A55&lt;&gt;"",
IF(COUNTIF(V54,"*牛乳*"),
IF(AND(COUNTIF(B54,"*奈良屋*"),COUNTIF(B55,"*奈良屋*")),
V54&amp;"✔",""),VLOOKUP(""&amp;A55&amp;"",数出表_Excel!$A:$Z,22,FALSE)&amp;VLOOKUP(""&amp;A55&amp;"",数出表_Excel!$A:$Z,23,FALSE)
&amp;VLOOKUP(""&amp;C55&amp;"",数出表_Excel!$A:$Z,22,FALSE)&amp;VLOOKUP(""&amp;C55&amp;"",数出表_Excel!$A:$Z,23,FALSE)),"")</f>
        <v>マンナウエハース3箱 ミニサラダ3袋おにぎり煎餅1袋</v>
      </c>
      <c r="W55">
        <f ca="1">IF(AND(COUNTIF(V55,"&lt;&gt;*不要*"),A55&lt;&gt;""),VLOOKUP(A55,得意先マスタ!$A:$AD,24,FALSE),0)</f>
        <v>0</v>
      </c>
      <c r="X55">
        <f ca="1">IF(AND(COUNTIF(V55,"&lt;&gt;*不要*"),A55&lt;&gt;""),VLOOKUP(A55,得意先マスタ!$A:$AD,25,FALSE),0)</f>
        <v>0</v>
      </c>
      <c r="Y55">
        <f t="shared" ca="1" si="10"/>
        <v>0</v>
      </c>
      <c r="Z55">
        <f t="shared" ca="1" si="11"/>
        <v>0</v>
      </c>
      <c r="AA55">
        <f t="shared" ca="1" si="15"/>
        <v>0</v>
      </c>
      <c r="AB55" t="str">
        <f t="shared" ca="1" si="12"/>
        <v/>
      </c>
      <c r="AC55" t="str">
        <f t="array" aca="1" ref="AC55" ca="1">IFERROR(INDEX(55:55, SMALL(IF($D55:$U55&lt;&gt;"", COLUMN($D$1:$U55)), COLUMN(A55))), "")</f>
        <v/>
      </c>
      <c r="AD55" t="str">
        <f t="array" aca="1" ref="AD55" ca="1">IFERROR(INDEX(55:55, SMALL(IF($D55:$U55&lt;&gt;"", COLUMN($D$1:$U55)), COLUMN(B55))), "")</f>
        <v/>
      </c>
      <c r="AE55" t="str">
        <f t="array" aca="1" ref="AE55" ca="1">IFERROR(INDEX(55:55, SMALL(IF($D55:$U55&lt;&gt;"", COLUMN($D$1:$U55)), COLUMN(C55))), "")</f>
        <v/>
      </c>
      <c r="AF55" t="str">
        <f t="array" aca="1" ref="AF55" ca="1">IFERROR(INDEX(55:55, SMALL(IF($D55:$U55&lt;&gt;"", COLUMN($D$1:$U55)), COLUMN(D55))), "")</f>
        <v/>
      </c>
      <c r="AG55" t="str">
        <f t="array" aca="1" ref="AG55" ca="1">IFERROR(INDEX(55:55, SMALL(IF($D55:$U55&lt;&gt;"", COLUMN($D$1:$U55)), COLUMN(E55))), "")</f>
        <v/>
      </c>
      <c r="AH55" t="str">
        <f t="array" aca="1" ref="AH55" ca="1">IFERROR(INDEX(55:55, SMALL(IF($D55:$U55&lt;&gt;"", COLUMN($D$1:$U55)), COLUMN(F55))), "")</f>
        <v/>
      </c>
      <c r="AI55" t="str">
        <f t="array" aca="1" ref="AI55" ca="1">IFERROR(INDEX(55:55, SMALL(IF($D55:$U55&lt;&gt;"", COLUMN($D$1:$U55)), COLUMN(G55))), "")</f>
        <v/>
      </c>
      <c r="AJ55" t="str">
        <f t="array" aca="1" ref="AJ55" ca="1">IFERROR(INDEX(55:55, SMALL(IF($D55:$U55&lt;&gt;"", COLUMN($D$1:$U55)), COLUMN(H55))), "")</f>
        <v/>
      </c>
      <c r="AK55" t="str">
        <f t="array" aca="1" ref="AK55" ca="1">IFERROR(INDEX(55:55, SMALL(IF($D55:$U55&lt;&gt;"", COLUMN($D$1:$U55)), COLUMN(I55))), "")</f>
        <v/>
      </c>
      <c r="AL55" t="str">
        <f t="array" aca="1" ref="AL55" ca="1">IFERROR(INDEX(55:55, SMALL(IF($D55:$U55&lt;&gt;"", COLUMN($D$1:$U55)), COLUMN(J55))), "")</f>
        <v/>
      </c>
      <c r="AM55" t="str">
        <f t="array" aca="1" ref="AM55" ca="1">IFERROR(INDEX(55:55, SMALL(IF($D55:$U55&lt;&gt;"", COLUMN($D$1:$U55)), COLUMN(K55))), "")</f>
        <v/>
      </c>
      <c r="AN55" t="str">
        <f t="array" aca="1" ref="AN55" ca="1">IFERROR(INDEX(55:55, SMALL(IF($D55:$U55&lt;&gt;"", COLUMN($D$1:$U55)), COLUMN(L55))), "")</f>
        <v/>
      </c>
      <c r="AO55" t="str">
        <f t="array" aca="1" ref="AO55" ca="1">IFERROR(INDEX(55:55, SMALL(IF($D55:$U55&lt;&gt;"", COLUMN($D$1:$U55)), COLUMN(M55))), "")</f>
        <v/>
      </c>
      <c r="AP55" t="str">
        <f t="array" aca="1" ref="AP55" ca="1">IFERROR(INDEX(55:55, SMALL(IF($D55:$U55&lt;&gt;"", COLUMN($D$1:$U55)), COLUMN(N55))), "")</f>
        <v/>
      </c>
      <c r="AQ55" t="str">
        <f t="array" aca="1" ref="AQ55" ca="1">IFERROR(INDEX(55:55, SMALL(IF($D55:$U55&lt;&gt;"", COLUMN($D$1:$U55)), COLUMN(O55))), "")</f>
        <v/>
      </c>
      <c r="AR55" s="52" t="s">
        <v>4005</v>
      </c>
      <c r="AS55" t="str">
        <f t="shared" ca="1" si="13"/>
        <v/>
      </c>
      <c r="AT55" t="str">
        <f t="shared" ca="1" si="14"/>
        <v/>
      </c>
      <c r="AU55" t="str">
        <f t="shared" ca="1" si="16"/>
        <v/>
      </c>
      <c r="AV55" t="str">
        <f t="shared" ca="1" si="17"/>
        <v/>
      </c>
      <c r="AW55" t="str">
        <f t="shared" ca="1" si="18"/>
        <v/>
      </c>
      <c r="AX55" t="str">
        <f t="shared" ca="1" si="19"/>
        <v/>
      </c>
      <c r="AZ55" t="str">
        <f t="array" aca="1" ref="AZ55" ca="1">IFERROR(INDEX(55:55, SMALL(IF($AC55:$AX55&lt;&gt;"", COLUMN($AC$1:$AX55)), COLUMN(A55))), "")</f>
        <v>●</v>
      </c>
      <c r="BA55" t="str">
        <f t="array" aca="1" ref="BA55" ca="1">IFERROR(INDEX(55:55, SMALL(IF($AC55:$AX55&lt;&gt;"", COLUMN($AC$1:$AX55)), COLUMN(B55))), "")</f>
        <v/>
      </c>
      <c r="BB55" t="str">
        <f t="array" aca="1" ref="BB55" ca="1">IFERROR(INDEX(55:55, SMALL(IF($AC55:$AX55&lt;&gt;"", COLUMN($AC$1:$AX55)), COLUMN(C55))), "")</f>
        <v/>
      </c>
      <c r="BC55" t="str">
        <f t="array" aca="1" ref="BC55" ca="1">IFERROR(INDEX(55:55, SMALL(IF($AC55:$AX55&lt;&gt;"", COLUMN($AC$1:$AX55)), COLUMN(D55))), "")</f>
        <v/>
      </c>
      <c r="BD55" t="str">
        <f t="array" aca="1" ref="BD55" ca="1">IFERROR(INDEX(55:55, SMALL(IF($AC55:$AX55&lt;&gt;"", COLUMN($AC$1:$AX55)), COLUMN(E55))), "")</f>
        <v/>
      </c>
      <c r="BE55" t="str">
        <f t="array" aca="1" ref="BE55" ca="1">IFERROR(INDEX(55:55, SMALL(IF($AC55:$AX55&lt;&gt;"", COLUMN($AC$1:$AX55)), COLUMN(F55))), "")</f>
        <v/>
      </c>
      <c r="BF55" t="str">
        <f t="array" aca="1" ref="BF55" ca="1">IFERROR(IF(AND(COUNTIF($B55,"*泉ヶ丘*"),COUNTIF($B56,"*泉ヶ丘*")),
IFERROR(INDEX(56:56, SMALL(IF($AC56:$AX56&lt;&gt;"", COLUMN($AC$1:$AX56)), COLUMN(A56))), ""),
INDEX(55:55, SMALL(IF($AC55:$AX55&lt;&gt;"", COLUMN($AC$1:$AX55)), COLUMN(G55)))), "")</f>
        <v/>
      </c>
      <c r="BG55" t="str">
        <f t="array" aca="1" ref="BG55" ca="1">IFERROR(IF(AND(COUNTIF($B55,"*泉ヶ丘*"),COUNTIF($B56,"*泉ヶ丘*")),
IFERROR(INDEX(56:56, SMALL(IF($AC56:$AX56&lt;&gt;"", COLUMN($AC$1:$AX56)), COLUMN(B56))), ""),
INDEX(55:55, SMALL(IF($AC55:$AX55&lt;&gt;"", COLUMN($AC$1:$AX55)), COLUMN(H55)))), "")</f>
        <v/>
      </c>
      <c r="BH55" t="str">
        <f t="array" aca="1" ref="BH55" ca="1">IFERROR(IF(AND(COUNTIF($B55,"*泉ヶ丘*"),COUNTIF($B56,"*泉ヶ丘*")),
IFERROR(INDEX(56:56, SMALL(IF($AC56:$AX56&lt;&gt;"", COLUMN($AC$1:$AX56)), COLUMN(C56))), ""),
INDEX(55:55, SMALL(IF($AC55:$AX55&lt;&gt;"", COLUMN($AC$1:$AX55)), COLUMN(I55)))), "")</f>
        <v/>
      </c>
      <c r="BI55" t="str">
        <f t="array" aca="1" ref="BI55" ca="1">IFERROR(IF(AND(COUNTIF($B55,"*泉ヶ丘*"),COUNTIF($B56,"*泉ヶ丘*")),
IFERROR(INDEX(56:56, SMALL(IF($AC56:$AX56&lt;&gt;"", COLUMN($AC$1:$AX56)), COLUMN(D56))), ""),
INDEX(55:55, SMALL(IF($AC55:$AX55&lt;&gt;"", COLUMN($AC$1:$AX55)), COLUMN(J55)))), "")</f>
        <v/>
      </c>
      <c r="BJ55" t="str">
        <f t="array" aca="1" ref="BJ55" ca="1">IFERROR(IF(AND(COUNTIF($B55,"*泉ヶ丘*"),COUNTIF($B56,"*泉ヶ丘*")),
IFERROR(INDEX(56:56, SMALL(IF($AC56:$AX56&lt;&gt;"", COLUMN($AC$1:$AX56)), COLUMN(E56))), ""),
INDEX(55:55, SMALL(IF($AC55:$AX55&lt;&gt;"", COLUMN($AC$1:$AX55)), COLUMN(K55)))), "")</f>
        <v/>
      </c>
      <c r="BK55" t="str">
        <f t="array" aca="1" ref="BK55" ca="1">IFERROR(IF(AND(COUNTIF($B55,"*泉ヶ丘*"),COUNTIF($B56,"*泉ヶ丘*")),
IFERROR(INDEX(56:56, SMALL(IF($AC56:$AX56&lt;&gt;"", COLUMN($AC$1:$AX56)), COLUMN(F56))), ""),
INDEX(55:55, SMALL(IF($AC55:$AX55&lt;&gt;"", COLUMN($AC$1:$AX55)), COLUMN(L55)))), "")</f>
        <v/>
      </c>
      <c r="BL55" t="str">
        <f t="array" aca="1" ref="BL55" ca="1">IFERROR(IF(AND(COUNTIF($B55,"*泉ヶ丘*"),COUNTIF($B56,"*泉ヶ丘*")),
IFERROR(INDEX(56:56, SMALL(IF($AC56:$AX56&lt;&gt;"", COLUMN($AC$1:$AX56)), COLUMN(G56))), ""),
INDEX(55:55, SMALL(IF($AC55:$AX55&lt;&gt;"", COLUMN($AC$1:$AX55)), COLUMN(M55)))), "")</f>
        <v/>
      </c>
      <c r="BM55" t="str">
        <f t="array" aca="1" ref="BM55" ca="1">IFERROR(IF(AND(COUNTIF($B55,"*泉ヶ丘*"),COUNTIF($B56,"*泉ヶ丘*")),
IFERROR(INDEX(56:56, SMALL(IF($AC56:$AX56&lt;&gt;"", COLUMN($AC$1:$AX56)), COLUMN(H56))), ""),
INDEX(55:55, SMALL(IF($AC55:$AX55&lt;&gt;"", COLUMN($AC$1:$AX55)), COLUMN(N55)))), "")</f>
        <v/>
      </c>
      <c r="BN55" t="str">
        <f t="array" aca="1" ref="BN55" ca="1">IFERROR(IF(AND(COUNTIF($B55,"*泉ヶ丘*"),COUNTIF($B56,"*泉ヶ丘*")),
IFERROR(INDEX(56:56, SMALL(IF($AC56:$AX56&lt;&gt;"", COLUMN($AC$1:$AX56)), COLUMN(I56))), ""),
INDEX(55:55, SMALL(IF($AC55:$AX55&lt;&gt;"", COLUMN($AC$1:$AX55)), COLUMN(O55)))), "")</f>
        <v/>
      </c>
      <c r="BO55" t="str">
        <f t="array" aca="1" ref="BO55" ca="1">IFERROR(IF(AND(COUNTIF($B55,"*泉ヶ丘*"),COUNTIF($B56,"*泉ヶ丘*")),
IFERROR(INDEX(56:56, SMALL(IF($AC56:$AX56&lt;&gt;"", COLUMN($AC$1:$AX56)), COLUMN(J56))), ""),
INDEX(55:55, SMALL(IF($AC55:$AX55&lt;&gt;"", COLUMN($AC$1:$AX55)), COLUMN(P55)))), "")</f>
        <v/>
      </c>
      <c r="BP55" t="str">
        <f t="array" aca="1" ref="BP55" ca="1">IFERROR(IF(AND(COUNTIF($B55,"*泉ヶ丘*"),COUNTIF($B56,"*泉ヶ丘*")),
IFERROR(INDEX(56:56, SMALL(IF($AC56:$AX56&lt;&gt;"", COLUMN($AC$1:$AX56)), COLUMN(K56))), ""),
INDEX(55:55, SMALL(IF($AC55:$AX55&lt;&gt;"", COLUMN($AC$1:$AX55)), COLUMN(Q55)))), "")</f>
        <v/>
      </c>
      <c r="BQ55" t="str">
        <f t="array" aca="1" ref="BQ55" ca="1">IFERROR(IF(AND(COUNTIF($B55,"*泉ヶ丘*"),COUNTIF($B56,"*泉ヶ丘*")),
IFERROR(INDEX(56:56, SMALL(IF($AC56:$AX56&lt;&gt;"", COLUMN($AC$1:$AX56)), COLUMN(L56))), ""),
INDEX(55:55, SMALL(IF($AC55:$AX55&lt;&gt;"", COLUMN($AC$1:$AX55)), COLUMN(R55)))), "")</f>
        <v/>
      </c>
    </row>
    <row r="56" spans="1:69" x14ac:dyDescent="0.45">
      <c r="A56" t="str">
        <f t="array" ref="A56">IF(INDEX(貼り付け用!A:A,MATCH(A55,貼り付け用!A:A,0)+2)="4700",
IF(INDEX(貼り付け用!A:A,MATCH(A55,貼り付け用!A:A,0)+4)="4800",
INDEX(貼り付け用!A:A,MATCH(A55,貼り付け用!A:A,0)+6),
INDEX(貼り付け用!A:A,MATCH(A55,貼り付け用!A:A,0)+4)),INDEX(貼り付け用!A:A,MATCH(A55,貼り付け用!A:A,0)+2))</f>
        <v>800</v>
      </c>
      <c r="B56" t="str">
        <f>IF(A56&lt;&gt;"",
VLOOKUP(A56,得意先マスタ!A:D,2,FALSE),"")</f>
        <v>吉塚ゆりの樹幼稚園</v>
      </c>
      <c r="C56" t="str">
        <f t="array" ref="C56">IF(A56="10000","",INDEX(貼り付け用!A:A,MATCH(A56,貼り付け用!A:A,0)+1))</f>
        <v>吉塚ゆりの樹 スマぶろ web</v>
      </c>
      <c r="D56" t="str">
        <f ca="1">VLOOKUP(C56,クライアント抽出!$A:$O,10,FALSE)</f>
        <v>配膳スマ</v>
      </c>
      <c r="E56" t="str">
        <f ca="1">IF(D56&lt;&gt;"",
IF(COUNTIF(C56,"*ぺんぎん*"),
VLOOKUP(
"*"&amp;IF(COUNTIF(D56,"*キャラ弁*"),"キャラ",
IF(COUNTIF(D56,"*赤*"),"赤",SUBSTITUTE(SUBSTITUTE(D56," ",""),"　","")))&amp;"*",
注文弁当の抽出!$F:$I,4,FALSE)&amp;
IF(COUNTIF(D56,"*おにぎり*"),"　おにぎり","")&amp;"　（ぺんぎん組）",
VLOOKUP(
"*"&amp;IF(COUNTIF(D56,"*キャラ弁*"),"キャラ",
IF(COUNTIF(D56,"*赤*"),"赤",SUBSTITUTE(SUBSTITUTE(D56," ",""),"　","")))&amp;"*",
注文弁当の抽出!$F:$I,4,FALSE)&amp;
IF(COUNTIF(D56,"*おにぎり*"),"　おにぎり","")),"")</f>
        <v>配膳給食　園児</v>
      </c>
      <c r="F56">
        <f ca="1">IFERROR(IF(E56&lt;&gt;"",
VLOOKUP(C56,クライアント抽出!$A:$G,2,FALSE)+
IF(COUNTIF(Y56,"*-*"),Y56,0),"")
-IFERROR(MID(V56, SEARCH("予備", V56) + LEN("予備"), SEARCH("込み", V56) - (SEARCH("予備", V56) + LEN("予備"))),0),"")</f>
        <v>149</v>
      </c>
      <c r="G56" t="str">
        <f ca="1">VLOOKUP(C56,クライアント抽出!$A:$O,11,FALSE)</f>
        <v/>
      </c>
      <c r="H56" t="str">
        <f ca="1">IF(G56&lt;&gt;"",
VLOOKUP(
"*"&amp;IF(COUNTIF(G56,"*キャラ弁*"),"キャラ",
IF(COUNTIF(G56,"*赤*"),"赤",SUBSTITUTE(SUBSTITUTE(G56," ",""),"　","")))&amp;"*",
注文弁当の抽出!$F:$I,4,FALSE)&amp;
IF(COUNTIF(G56,"*おにぎり*"),"　おにぎり",""),"")</f>
        <v/>
      </c>
      <c r="I56" t="str">
        <f ca="1">IF(H56&lt;&gt;"",
VLOOKUP(C56,クライアント抽出!$A:$G,3,FALSE)+
IF(COUNTIF(C56,"*博多*"),Y56,Z56),"")</f>
        <v/>
      </c>
      <c r="J56" t="str">
        <f ca="1">VLOOKUP(C56,クライアント抽出!$A:$O,12,FALSE)</f>
        <v/>
      </c>
      <c r="K56" t="str">
        <f ca="1">IF(J56&lt;&gt;"",
VLOOKUP(
"*"&amp;IF(COUNTIF(J56,"*キャラ弁*"),"キャラ",
IF(COUNTIF(J56,"*赤*"),"赤",SUBSTITUTE(SUBSTITUTE(J56," ",""),"　","")))&amp;"*",
注文弁当の抽出!$F:$I,4,FALSE)&amp;
IF(COUNTIF(J56,"*おにぎり*"),"　おにぎり",""),"")</f>
        <v/>
      </c>
      <c r="L56" t="str">
        <f ca="1">IF(K56&lt;&gt;"",
VLOOKUP(C56,クライアント抽出!$A:$G,4,FALSE)+AA56,"")</f>
        <v/>
      </c>
      <c r="M56" t="str">
        <f ca="1">VLOOKUP(C56,クライアント抽出!$A:$O,13,FALSE)</f>
        <v/>
      </c>
      <c r="N56" t="str">
        <f ca="1">SUBSTITUTE(
IF(M56&lt;&gt;"",
VLOOKUP(
"*"&amp;IF(COUNTIF(M56,"*キャラ弁*"),"キャラ",
IF(COUNTIF(M56,"*赤*"),"赤",SUBSTITUTE(SUBSTITUTE(D56," ",""),"　","")))&amp;"*",
注文弁当の抽出!$F:$I,4,FALSE),""),"園児","先生")&amp;
IF(COUNTIF(M56,"*おにぎり*"),"　おにぎり","")</f>
        <v/>
      </c>
      <c r="O56" t="str">
        <f ca="1">IF(N56&lt;&gt;"",VLOOKUP(C56,クライアント抽出!$A:$G,5,FALSE),"")</f>
        <v/>
      </c>
      <c r="P56" t="str">
        <f ca="1">VLOOKUP(C56,クライアント抽出!$A:$O,14,FALSE)</f>
        <v/>
      </c>
      <c r="Q56" t="str">
        <f ca="1">SUBSTITUTE(
IF(P56&lt;&gt;"",
VLOOKUP(
"*"&amp;IF(COUNTIF(P56,"*キャラ弁*"),"キャラ",
IF(COUNTIF(P56,"*赤*"),"赤",SUBSTITUTE(SUBSTITUTE(G56," ",""),"　","")))&amp;"*",
注文弁当の抽出!$F:$I,4,FALSE),""),"園児","先生")&amp;
IF(COUNTIF(P56,"*おにぎり*"),"　おにぎり","")</f>
        <v/>
      </c>
      <c r="R56" t="str">
        <f ca="1">IF(Q56&lt;&gt;"",
VLOOKUP(C56,クライアント抽出!$A:$G,6,FALSE),"")</f>
        <v/>
      </c>
      <c r="S56" t="str">
        <f ca="1">VLOOKUP(C56,クライアント抽出!$A:$O,15,FALSE)</f>
        <v/>
      </c>
      <c r="T56" t="str">
        <f ca="1">SUBSTITUTE(
IF(S56&lt;&gt;"",
VLOOKUP(
"*"&amp;IF(COUNTIF(S56,"*キャラ弁*"),"キャラ",
IF(COUNTIF(S56,"*赤*"),"赤",SUBSTITUTE(SUBSTITUTE(J56," ",""),"　","")))&amp;"*",
注文弁当の抽出!$F:$I,4,FALSE),""),"園児","先生")&amp;
IF(COUNTIF(S56,"*おにぎり*"),"　おにぎり","")</f>
        <v/>
      </c>
      <c r="U56" t="str">
        <f ca="1">IF(T56&lt;&gt;"",
VLOOKUP(C56,クライアント抽出!$A:$G,7,FALSE),"")</f>
        <v/>
      </c>
      <c r="V56" t="str">
        <f ca="1">IF(A56&lt;&gt;"",
IF(COUNTIF(V55,"*牛乳*"),
IF(AND(COUNTIF(B55,"*奈良屋*"),COUNTIF(B56,"*奈良屋*")),
V55&amp;"✔",""),VLOOKUP(""&amp;A56&amp;"",数出表_Excel!$A:$Z,22,FALSE)&amp;VLOOKUP(""&amp;A56&amp;"",数出表_Excel!$A:$Z,23,FALSE)
&amp;VLOOKUP(""&amp;C56&amp;"",数出表_Excel!$A:$Z,22,FALSE)&amp;VLOOKUP(""&amp;C56&amp;"",数出表_Excel!$A:$Z,23,FALSE)),"")</f>
        <v>ｱﾚ6</v>
      </c>
      <c r="W56" t="str">
        <f ca="1">IF(AND(COUNTIF(V56,"&lt;&gt;*不要*"),A56&lt;&gt;""),VLOOKUP(A56,得意先マスタ!$A:$AD,24,FALSE),0)</f>
        <v>検食</v>
      </c>
      <c r="X56" t="str">
        <f ca="1">IF(AND(COUNTIF(V56,"&lt;&gt;*不要*"),A56&lt;&gt;""),VLOOKUP(A56,得意先マスタ!$A:$AD,25,FALSE),0)</f>
        <v>1</v>
      </c>
      <c r="Y56" t="str">
        <f t="shared" ca="1" si="10"/>
        <v>1</v>
      </c>
      <c r="Z56">
        <f t="shared" ca="1" si="11"/>
        <v>0</v>
      </c>
      <c r="AA56">
        <f t="shared" ca="1" si="15"/>
        <v>0</v>
      </c>
      <c r="AB56" t="str">
        <f t="shared" ca="1" si="12"/>
        <v>配膳給食　検食</v>
      </c>
      <c r="AC56" t="str">
        <f t="array" aca="1" ref="AC56" ca="1">IFERROR(INDEX(56:56, SMALL(IF($D56:$U56&lt;&gt;"", COLUMN($D$1:$U56)), COLUMN(A56))), "")</f>
        <v>配膳スマ</v>
      </c>
      <c r="AD56" t="str">
        <f t="array" aca="1" ref="AD56" ca="1">IFERROR(INDEX(56:56, SMALL(IF($D56:$U56&lt;&gt;"", COLUMN($D$1:$U56)), COLUMN(B56))), "")</f>
        <v>配膳給食　園児</v>
      </c>
      <c r="AE56">
        <f t="array" aca="1" ref="AE56" ca="1">IFERROR(INDEX(56:56, SMALL(IF($D56:$U56&lt;&gt;"", COLUMN($D$1:$U56)), COLUMN(C56))), "")</f>
        <v>149</v>
      </c>
      <c r="AF56" t="str">
        <f t="array" aca="1" ref="AF56" ca="1">IFERROR(INDEX(56:56, SMALL(IF($D56:$U56&lt;&gt;"", COLUMN($D$1:$U56)), COLUMN(D56))), "")</f>
        <v/>
      </c>
      <c r="AG56" t="str">
        <f t="array" aca="1" ref="AG56" ca="1">IFERROR(INDEX(56:56, SMALL(IF($D56:$U56&lt;&gt;"", COLUMN($D$1:$U56)), COLUMN(E56))), "")</f>
        <v/>
      </c>
      <c r="AH56" t="str">
        <f t="array" aca="1" ref="AH56" ca="1">IFERROR(INDEX(56:56, SMALL(IF($D56:$U56&lt;&gt;"", COLUMN($D$1:$U56)), COLUMN(F56))), "")</f>
        <v/>
      </c>
      <c r="AI56" t="str">
        <f t="array" aca="1" ref="AI56" ca="1">IFERROR(INDEX(56:56, SMALL(IF($D56:$U56&lt;&gt;"", COLUMN($D$1:$U56)), COLUMN(G56))), "")</f>
        <v/>
      </c>
      <c r="AJ56" t="str">
        <f t="array" aca="1" ref="AJ56" ca="1">IFERROR(INDEX(56:56, SMALL(IF($D56:$U56&lt;&gt;"", COLUMN($D$1:$U56)), COLUMN(H56))), "")</f>
        <v/>
      </c>
      <c r="AK56" t="str">
        <f t="array" aca="1" ref="AK56" ca="1">IFERROR(INDEX(56:56, SMALL(IF($D56:$U56&lt;&gt;"", COLUMN($D$1:$U56)), COLUMN(I56))), "")</f>
        <v/>
      </c>
      <c r="AL56" t="str">
        <f t="array" aca="1" ref="AL56" ca="1">IFERROR(INDEX(56:56, SMALL(IF($D56:$U56&lt;&gt;"", COLUMN($D$1:$U56)), COLUMN(J56))), "")</f>
        <v/>
      </c>
      <c r="AM56" t="str">
        <f t="array" aca="1" ref="AM56" ca="1">IFERROR(INDEX(56:56, SMALL(IF($D56:$U56&lt;&gt;"", COLUMN($D$1:$U56)), COLUMN(K56))), "")</f>
        <v/>
      </c>
      <c r="AN56" t="str">
        <f t="array" aca="1" ref="AN56" ca="1">IFERROR(INDEX(56:56, SMALL(IF($D56:$U56&lt;&gt;"", COLUMN($D$1:$U56)), COLUMN(L56))), "")</f>
        <v/>
      </c>
      <c r="AO56" t="str">
        <f t="array" aca="1" ref="AO56" ca="1">IFERROR(INDEX(56:56, SMALL(IF($D56:$U56&lt;&gt;"", COLUMN($D$1:$U56)), COLUMN(M56))), "")</f>
        <v/>
      </c>
      <c r="AP56" t="str">
        <f t="array" aca="1" ref="AP56" ca="1">IFERROR(INDEX(56:56, SMALL(IF($D56:$U56&lt;&gt;"", COLUMN($D$1:$U56)), COLUMN(N56))), "")</f>
        <v/>
      </c>
      <c r="AQ56" t="str">
        <f t="array" aca="1" ref="AQ56" ca="1">IFERROR(INDEX(56:56, SMALL(IF($D56:$U56&lt;&gt;"", COLUMN($D$1:$U56)), COLUMN(O56))), "")</f>
        <v/>
      </c>
      <c r="AR56" s="52" t="s">
        <v>4005</v>
      </c>
      <c r="AS56" t="str">
        <f t="shared" ca="1" si="13"/>
        <v>配膳給食　検食</v>
      </c>
      <c r="AT56" t="str">
        <f t="shared" ca="1" si="14"/>
        <v>1</v>
      </c>
      <c r="AU56" t="str">
        <f t="shared" ca="1" si="16"/>
        <v/>
      </c>
      <c r="AV56" t="str">
        <f t="shared" ca="1" si="17"/>
        <v/>
      </c>
      <c r="AW56" t="str">
        <f t="shared" ca="1" si="18"/>
        <v/>
      </c>
      <c r="AX56" t="str">
        <f t="shared" ca="1" si="19"/>
        <v/>
      </c>
      <c r="AZ56" t="str">
        <f t="array" aca="1" ref="AZ56" ca="1">IFERROR(INDEX(56:56, SMALL(IF($AC56:$AX56&lt;&gt;"", COLUMN($AC$1:$AX56)), COLUMN(A56))), "")</f>
        <v>配膳スマ</v>
      </c>
      <c r="BA56" t="str">
        <f t="array" aca="1" ref="BA56" ca="1">IFERROR(INDEX(56:56, SMALL(IF($AC56:$AX56&lt;&gt;"", COLUMN($AC$1:$AX56)), COLUMN(B56))), "")</f>
        <v>配膳給食　園児</v>
      </c>
      <c r="BB56">
        <f t="array" aca="1" ref="BB56" ca="1">IFERROR(INDEX(56:56, SMALL(IF($AC56:$AX56&lt;&gt;"", COLUMN($AC$1:$AX56)), COLUMN(C56))), "")</f>
        <v>149</v>
      </c>
      <c r="BC56" t="str">
        <f t="array" aca="1" ref="BC56" ca="1">IFERROR(INDEX(56:56, SMALL(IF($AC56:$AX56&lt;&gt;"", COLUMN($AC$1:$AX56)), COLUMN(D56))), "")</f>
        <v>●</v>
      </c>
      <c r="BD56" t="str">
        <f t="array" aca="1" ref="BD56" ca="1">IFERROR(INDEX(56:56, SMALL(IF($AC56:$AX56&lt;&gt;"", COLUMN($AC$1:$AX56)), COLUMN(E56))), "")</f>
        <v>配膳給食　検食</v>
      </c>
      <c r="BE56" t="str">
        <f t="array" aca="1" ref="BE56" ca="1">IFERROR(INDEX(56:56, SMALL(IF($AC56:$AX56&lt;&gt;"", COLUMN($AC$1:$AX56)), COLUMN(F56))), "")</f>
        <v>1</v>
      </c>
      <c r="BF56" t="str">
        <f t="array" aca="1" ref="BF56" ca="1">IFERROR(IF(AND(COUNTIF($B56,"*泉ヶ丘*"),COUNTIF($B57,"*泉ヶ丘*")),
IFERROR(INDEX(57:57, SMALL(IF($AC57:$AX57&lt;&gt;"", COLUMN($AC$1:$AX57)), COLUMN(A57))), ""),
INDEX(56:56, SMALL(IF($AC56:$AX56&lt;&gt;"", COLUMN($AC$1:$AX56)), COLUMN(G56)))), "")</f>
        <v/>
      </c>
      <c r="BG56" t="str">
        <f t="array" aca="1" ref="BG56" ca="1">IFERROR(IF(AND(COUNTIF($B56,"*泉ヶ丘*"),COUNTIF($B57,"*泉ヶ丘*")),
IFERROR(INDEX(57:57, SMALL(IF($AC57:$AX57&lt;&gt;"", COLUMN($AC$1:$AX57)), COLUMN(B57))), ""),
INDEX(56:56, SMALL(IF($AC56:$AX56&lt;&gt;"", COLUMN($AC$1:$AX56)), COLUMN(H56)))), "")</f>
        <v/>
      </c>
      <c r="BH56" t="str">
        <f t="array" aca="1" ref="BH56" ca="1">IFERROR(IF(AND(COUNTIF($B56,"*泉ヶ丘*"),COUNTIF($B57,"*泉ヶ丘*")),
IFERROR(INDEX(57:57, SMALL(IF($AC57:$AX57&lt;&gt;"", COLUMN($AC$1:$AX57)), COLUMN(C57))), ""),
INDEX(56:56, SMALL(IF($AC56:$AX56&lt;&gt;"", COLUMN($AC$1:$AX56)), COLUMN(I56)))), "")</f>
        <v/>
      </c>
      <c r="BI56" t="str">
        <f t="array" aca="1" ref="BI56" ca="1">IFERROR(IF(AND(COUNTIF($B56,"*泉ヶ丘*"),COUNTIF($B57,"*泉ヶ丘*")),
IFERROR(INDEX(57:57, SMALL(IF($AC57:$AX57&lt;&gt;"", COLUMN($AC$1:$AX57)), COLUMN(D57))), ""),
INDEX(56:56, SMALL(IF($AC56:$AX56&lt;&gt;"", COLUMN($AC$1:$AX56)), COLUMN(J56)))), "")</f>
        <v/>
      </c>
      <c r="BJ56" t="str">
        <f t="array" aca="1" ref="BJ56" ca="1">IFERROR(IF(AND(COUNTIF($B56,"*泉ヶ丘*"),COUNTIF($B57,"*泉ヶ丘*")),
IFERROR(INDEX(57:57, SMALL(IF($AC57:$AX57&lt;&gt;"", COLUMN($AC$1:$AX57)), COLUMN(E57))), ""),
INDEX(56:56, SMALL(IF($AC56:$AX56&lt;&gt;"", COLUMN($AC$1:$AX56)), COLUMN(K56)))), "")</f>
        <v/>
      </c>
      <c r="BK56" t="str">
        <f t="array" aca="1" ref="BK56" ca="1">IFERROR(IF(AND(COUNTIF($B56,"*泉ヶ丘*"),COUNTIF($B57,"*泉ヶ丘*")),
IFERROR(INDEX(57:57, SMALL(IF($AC57:$AX57&lt;&gt;"", COLUMN($AC$1:$AX57)), COLUMN(F57))), ""),
INDEX(56:56, SMALL(IF($AC56:$AX56&lt;&gt;"", COLUMN($AC$1:$AX56)), COLUMN(L56)))), "")</f>
        <v/>
      </c>
      <c r="BL56" t="str">
        <f t="array" aca="1" ref="BL56" ca="1">IFERROR(IF(AND(COUNTIF($B56,"*泉ヶ丘*"),COUNTIF($B57,"*泉ヶ丘*")),
IFERROR(INDEX(57:57, SMALL(IF($AC57:$AX57&lt;&gt;"", COLUMN($AC$1:$AX57)), COLUMN(G57))), ""),
INDEX(56:56, SMALL(IF($AC56:$AX56&lt;&gt;"", COLUMN($AC$1:$AX56)), COLUMN(M56)))), "")</f>
        <v/>
      </c>
      <c r="BM56" t="str">
        <f t="array" aca="1" ref="BM56" ca="1">IFERROR(IF(AND(COUNTIF($B56,"*泉ヶ丘*"),COUNTIF($B57,"*泉ヶ丘*")),
IFERROR(INDEX(57:57, SMALL(IF($AC57:$AX57&lt;&gt;"", COLUMN($AC$1:$AX57)), COLUMN(H57))), ""),
INDEX(56:56, SMALL(IF($AC56:$AX56&lt;&gt;"", COLUMN($AC$1:$AX56)), COLUMN(N56)))), "")</f>
        <v/>
      </c>
      <c r="BN56" t="str">
        <f t="array" aca="1" ref="BN56" ca="1">IFERROR(IF(AND(COUNTIF($B56,"*泉ヶ丘*"),COUNTIF($B57,"*泉ヶ丘*")),
IFERROR(INDEX(57:57, SMALL(IF($AC57:$AX57&lt;&gt;"", COLUMN($AC$1:$AX57)), COLUMN(I57))), ""),
INDEX(56:56, SMALL(IF($AC56:$AX56&lt;&gt;"", COLUMN($AC$1:$AX56)), COLUMN(O56)))), "")</f>
        <v/>
      </c>
      <c r="BO56" t="str">
        <f t="array" aca="1" ref="BO56" ca="1">IFERROR(IF(AND(COUNTIF($B56,"*泉ヶ丘*"),COUNTIF($B57,"*泉ヶ丘*")),
IFERROR(INDEX(57:57, SMALL(IF($AC57:$AX57&lt;&gt;"", COLUMN($AC$1:$AX57)), COLUMN(J57))), ""),
INDEX(56:56, SMALL(IF($AC56:$AX56&lt;&gt;"", COLUMN($AC$1:$AX56)), COLUMN(P56)))), "")</f>
        <v/>
      </c>
      <c r="BP56" t="str">
        <f t="array" aca="1" ref="BP56" ca="1">IFERROR(IF(AND(COUNTIF($B56,"*泉ヶ丘*"),COUNTIF($B57,"*泉ヶ丘*")),
IFERROR(INDEX(57:57, SMALL(IF($AC57:$AX57&lt;&gt;"", COLUMN($AC$1:$AX57)), COLUMN(K57))), ""),
INDEX(56:56, SMALL(IF($AC56:$AX56&lt;&gt;"", COLUMN($AC$1:$AX56)), COLUMN(Q56)))), "")</f>
        <v/>
      </c>
      <c r="BQ56" t="str">
        <f t="array" aca="1" ref="BQ56" ca="1">IFERROR(IF(AND(COUNTIF($B56,"*泉ヶ丘*"),COUNTIF($B57,"*泉ヶ丘*")),
IFERROR(INDEX(57:57, SMALL(IF($AC57:$AX57&lt;&gt;"", COLUMN($AC$1:$AX57)), COLUMN(L57))), ""),
INDEX(56:56, SMALL(IF($AC56:$AX56&lt;&gt;"", COLUMN($AC$1:$AX56)), COLUMN(R56)))), "")</f>
        <v/>
      </c>
    </row>
    <row r="57" spans="1:69" x14ac:dyDescent="0.45">
      <c r="A57" t="str">
        <f t="array" ref="A57">IF(INDEX(貼り付け用!A:A,MATCH(A56,貼り付け用!A:A,0)+2)="4700",
IF(INDEX(貼り付け用!A:A,MATCH(A56,貼り付け用!A:A,0)+4)="4800",
INDEX(貼り付け用!A:A,MATCH(A56,貼り付け用!A:A,0)+6),
INDEX(貼り付け用!A:A,MATCH(A56,貼り付け用!A:A,0)+4)),INDEX(貼り付け用!A:A,MATCH(A56,貼り付け用!A:A,0)+2))</f>
        <v>802</v>
      </c>
      <c r="B57" t="str">
        <f>IF(A57&lt;&gt;"",
VLOOKUP(A57,得意先マスタ!A:D,2,FALSE),"")</f>
        <v>吉塚ゆりの樹幼稚園（別）</v>
      </c>
      <c r="C57" t="str">
        <f t="array" ref="C57">IF(A57="10000","",INDEX(貼り付け用!A:A,MATCH(A57,貼り付け用!A:A,0)+1))</f>
        <v>吉塚ゆりの樹幼稚園（別）</v>
      </c>
      <c r="D57" t="str">
        <f ca="1">VLOOKUP(C57,クライアント抽出!$A:$O,10,FALSE)</f>
        <v/>
      </c>
      <c r="E57" t="str">
        <f ca="1">IF(D57&lt;&gt;"",
IF(COUNTIF(C57,"*ぺんぎん*"),
VLOOKUP(
"*"&amp;IF(COUNTIF(D57,"*キャラ弁*"),"キャラ",
IF(COUNTIF(D57,"*赤*"),"赤",SUBSTITUTE(SUBSTITUTE(D57," ",""),"　","")))&amp;"*",
注文弁当の抽出!$F:$I,4,FALSE)&amp;
IF(COUNTIF(D57,"*おにぎり*"),"　おにぎり","")&amp;"　（ぺんぎん組）",
VLOOKUP(
"*"&amp;IF(COUNTIF(D57,"*キャラ弁*"),"キャラ",
IF(COUNTIF(D57,"*赤*"),"赤",SUBSTITUTE(SUBSTITUTE(D57," ",""),"　","")))&amp;"*",
注文弁当の抽出!$F:$I,4,FALSE)&amp;
IF(COUNTIF(D57,"*おにぎり*"),"　おにぎり","")),"")</f>
        <v/>
      </c>
      <c r="F57" t="str">
        <f ca="1">IFERROR(IF(E57&lt;&gt;"",
VLOOKUP(C57,クライアント抽出!$A:$G,2,FALSE)+
IF(COUNTIF(Y57,"*-*"),Y57,0),"")
-IFERROR(MID(V57, SEARCH("予備", V57) + LEN("予備"), SEARCH("込み", V57) - (SEARCH("予備", V57) + LEN("予備"))),0),"")</f>
        <v/>
      </c>
      <c r="G57" t="str">
        <f ca="1">VLOOKUP(C57,クライアント抽出!$A:$O,11,FALSE)</f>
        <v/>
      </c>
      <c r="H57" t="str">
        <f ca="1">IF(G57&lt;&gt;"",
VLOOKUP(
"*"&amp;IF(COUNTIF(G57,"*キャラ弁*"),"キャラ",
IF(COUNTIF(G57,"*赤*"),"赤",SUBSTITUTE(SUBSTITUTE(G57," ",""),"　","")))&amp;"*",
注文弁当の抽出!$F:$I,4,FALSE)&amp;
IF(COUNTIF(G57,"*おにぎり*"),"　おにぎり",""),"")</f>
        <v/>
      </c>
      <c r="I57" t="str">
        <f ca="1">IF(H57&lt;&gt;"",
VLOOKUP(C57,クライアント抽出!$A:$G,3,FALSE)+
IF(COUNTIF(C57,"*博多*"),Y57,Z57),"")</f>
        <v/>
      </c>
      <c r="J57" t="str">
        <f ca="1">VLOOKUP(C57,クライアント抽出!$A:$O,12,FALSE)</f>
        <v/>
      </c>
      <c r="K57" t="str">
        <f ca="1">IF(J57&lt;&gt;"",
VLOOKUP(
"*"&amp;IF(COUNTIF(J57,"*キャラ弁*"),"キャラ",
IF(COUNTIF(J57,"*赤*"),"赤",SUBSTITUTE(SUBSTITUTE(J57," ",""),"　","")))&amp;"*",
注文弁当の抽出!$F:$I,4,FALSE)&amp;
IF(COUNTIF(J57,"*おにぎり*"),"　おにぎり",""),"")</f>
        <v/>
      </c>
      <c r="L57" t="str">
        <f ca="1">IF(K57&lt;&gt;"",
VLOOKUP(C57,クライアント抽出!$A:$G,4,FALSE)+AA57,"")</f>
        <v/>
      </c>
      <c r="M57" t="str">
        <f ca="1">VLOOKUP(C57,クライアント抽出!$A:$O,13,FALSE)</f>
        <v/>
      </c>
      <c r="N57" t="str">
        <f ca="1">SUBSTITUTE(
IF(M57&lt;&gt;"",
VLOOKUP(
"*"&amp;IF(COUNTIF(M57,"*キャラ弁*"),"キャラ",
IF(COUNTIF(M57,"*赤*"),"赤",SUBSTITUTE(SUBSTITUTE(D57," ",""),"　","")))&amp;"*",
注文弁当の抽出!$F:$I,4,FALSE),""),"園児","先生")&amp;
IF(COUNTIF(M57,"*おにぎり*"),"　おにぎり","")</f>
        <v/>
      </c>
      <c r="O57" t="str">
        <f ca="1">IF(N57&lt;&gt;"",VLOOKUP(C57,クライアント抽出!$A:$G,5,FALSE),"")</f>
        <v/>
      </c>
      <c r="P57" t="str">
        <f ca="1">VLOOKUP(C57,クライアント抽出!$A:$O,14,FALSE)</f>
        <v/>
      </c>
      <c r="Q57" t="str">
        <f ca="1">SUBSTITUTE(
IF(P57&lt;&gt;"",
VLOOKUP(
"*"&amp;IF(COUNTIF(P57,"*キャラ弁*"),"キャラ",
IF(COUNTIF(P57,"*赤*"),"赤",SUBSTITUTE(SUBSTITUTE(G57," ",""),"　","")))&amp;"*",
注文弁当の抽出!$F:$I,4,FALSE),""),"園児","先生")&amp;
IF(COUNTIF(P57,"*おにぎり*"),"　おにぎり","")</f>
        <v/>
      </c>
      <c r="R57" t="str">
        <f ca="1">IF(Q57&lt;&gt;"",
VLOOKUP(C57,クライアント抽出!$A:$G,6,FALSE),"")</f>
        <v/>
      </c>
      <c r="S57" t="str">
        <f ca="1">VLOOKUP(C57,クライアント抽出!$A:$O,15,FALSE)</f>
        <v/>
      </c>
      <c r="T57" t="str">
        <f ca="1">SUBSTITUTE(
IF(S57&lt;&gt;"",
VLOOKUP(
"*"&amp;IF(COUNTIF(S57,"*キャラ弁*"),"キャラ",
IF(COUNTIF(S57,"*赤*"),"赤",SUBSTITUTE(SUBSTITUTE(J57," ",""),"　","")))&amp;"*",
注文弁当の抽出!$F:$I,4,FALSE),""),"園児","先生")&amp;
IF(COUNTIF(S57,"*おにぎり*"),"　おにぎり","")</f>
        <v/>
      </c>
      <c r="U57" t="str">
        <f ca="1">IF(T57&lt;&gt;"",
VLOOKUP(C57,クライアント抽出!$A:$G,7,FALSE),"")</f>
        <v/>
      </c>
      <c r="V57" t="str">
        <f ca="1">IF(A57&lt;&gt;"",
IF(COUNTIF(V56,"*牛乳*"),
IF(AND(COUNTIF(B56,"*奈良屋*"),COUNTIF(B57,"*奈良屋*")),
V56&amp;"✔",""),VLOOKUP(""&amp;A57&amp;"",数出表_Excel!$A:$Z,22,FALSE)&amp;VLOOKUP(""&amp;A57&amp;"",数出表_Excel!$A:$Z,23,FALSE)
&amp;VLOOKUP(""&amp;C57&amp;"",数出表_Excel!$A:$Z,22,FALSE)&amp;VLOOKUP(""&amp;C57&amp;"",数出表_Excel!$A:$Z,23,FALSE)),"")</f>
        <v/>
      </c>
      <c r="W57">
        <f ca="1">IF(AND(COUNTIF(V57,"&lt;&gt;*不要*"),A57&lt;&gt;""),VLOOKUP(A57,得意先マスタ!$A:$AD,24,FALSE),0)</f>
        <v>0</v>
      </c>
      <c r="X57">
        <f ca="1">IF(AND(COUNTIF(V57,"&lt;&gt;*不要*"),A57&lt;&gt;""),VLOOKUP(A57,得意先マスタ!$A:$AD,25,FALSE),0)</f>
        <v>0</v>
      </c>
      <c r="Y57">
        <f t="shared" ca="1" si="10"/>
        <v>0</v>
      </c>
      <c r="Z57">
        <f t="shared" ca="1" si="11"/>
        <v>0</v>
      </c>
      <c r="AA57">
        <f t="shared" ca="1" si="15"/>
        <v>0</v>
      </c>
      <c r="AB57" t="str">
        <f t="shared" ca="1" si="12"/>
        <v/>
      </c>
      <c r="AC57" t="str">
        <f t="array" aca="1" ref="AC57" ca="1">IFERROR(INDEX(57:57, SMALL(IF($D57:$U57&lt;&gt;"", COLUMN($D$1:$U57)), COLUMN(A57))), "")</f>
        <v/>
      </c>
      <c r="AD57" t="str">
        <f t="array" aca="1" ref="AD57" ca="1">IFERROR(INDEX(57:57, SMALL(IF($D57:$U57&lt;&gt;"", COLUMN($D$1:$U57)), COLUMN(B57))), "")</f>
        <v/>
      </c>
      <c r="AE57" t="str">
        <f t="array" aca="1" ref="AE57" ca="1">IFERROR(INDEX(57:57, SMALL(IF($D57:$U57&lt;&gt;"", COLUMN($D$1:$U57)), COLUMN(C57))), "")</f>
        <v/>
      </c>
      <c r="AF57" t="str">
        <f t="array" aca="1" ref="AF57" ca="1">IFERROR(INDEX(57:57, SMALL(IF($D57:$U57&lt;&gt;"", COLUMN($D$1:$U57)), COLUMN(D57))), "")</f>
        <v/>
      </c>
      <c r="AG57" t="str">
        <f t="array" aca="1" ref="AG57" ca="1">IFERROR(INDEX(57:57, SMALL(IF($D57:$U57&lt;&gt;"", COLUMN($D$1:$U57)), COLUMN(E57))), "")</f>
        <v/>
      </c>
      <c r="AH57" t="str">
        <f t="array" aca="1" ref="AH57" ca="1">IFERROR(INDEX(57:57, SMALL(IF($D57:$U57&lt;&gt;"", COLUMN($D$1:$U57)), COLUMN(F57))), "")</f>
        <v/>
      </c>
      <c r="AI57" t="str">
        <f t="array" aca="1" ref="AI57" ca="1">IFERROR(INDEX(57:57, SMALL(IF($D57:$U57&lt;&gt;"", COLUMN($D$1:$U57)), COLUMN(G57))), "")</f>
        <v/>
      </c>
      <c r="AJ57" t="str">
        <f t="array" aca="1" ref="AJ57" ca="1">IFERROR(INDEX(57:57, SMALL(IF($D57:$U57&lt;&gt;"", COLUMN($D$1:$U57)), COLUMN(H57))), "")</f>
        <v/>
      </c>
      <c r="AK57" t="str">
        <f t="array" aca="1" ref="AK57" ca="1">IFERROR(INDEX(57:57, SMALL(IF($D57:$U57&lt;&gt;"", COLUMN($D$1:$U57)), COLUMN(I57))), "")</f>
        <v/>
      </c>
      <c r="AL57" t="str">
        <f t="array" aca="1" ref="AL57" ca="1">IFERROR(INDEX(57:57, SMALL(IF($D57:$U57&lt;&gt;"", COLUMN($D$1:$U57)), COLUMN(J57))), "")</f>
        <v/>
      </c>
      <c r="AM57" t="str">
        <f t="array" aca="1" ref="AM57" ca="1">IFERROR(INDEX(57:57, SMALL(IF($D57:$U57&lt;&gt;"", COLUMN($D$1:$U57)), COLUMN(K57))), "")</f>
        <v/>
      </c>
      <c r="AN57" t="str">
        <f t="array" aca="1" ref="AN57" ca="1">IFERROR(INDEX(57:57, SMALL(IF($D57:$U57&lt;&gt;"", COLUMN($D$1:$U57)), COLUMN(L57))), "")</f>
        <v/>
      </c>
      <c r="AO57" t="str">
        <f t="array" aca="1" ref="AO57" ca="1">IFERROR(INDEX(57:57, SMALL(IF($D57:$U57&lt;&gt;"", COLUMN($D$1:$U57)), COLUMN(M57))), "")</f>
        <v/>
      </c>
      <c r="AP57" t="str">
        <f t="array" aca="1" ref="AP57" ca="1">IFERROR(INDEX(57:57, SMALL(IF($D57:$U57&lt;&gt;"", COLUMN($D$1:$U57)), COLUMN(N57))), "")</f>
        <v/>
      </c>
      <c r="AQ57" t="str">
        <f t="array" aca="1" ref="AQ57" ca="1">IFERROR(INDEX(57:57, SMALL(IF($D57:$U57&lt;&gt;"", COLUMN($D$1:$U57)), COLUMN(O57))), "")</f>
        <v/>
      </c>
      <c r="AR57" s="52" t="s">
        <v>4005</v>
      </c>
      <c r="AS57" t="str">
        <f t="shared" ca="1" si="13"/>
        <v/>
      </c>
      <c r="AT57" t="str">
        <f t="shared" ca="1" si="14"/>
        <v/>
      </c>
      <c r="AU57" t="str">
        <f t="shared" ca="1" si="16"/>
        <v/>
      </c>
      <c r="AV57" t="str">
        <f t="shared" ca="1" si="17"/>
        <v/>
      </c>
      <c r="AW57" t="str">
        <f t="shared" ca="1" si="18"/>
        <v/>
      </c>
      <c r="AX57" t="str">
        <f t="shared" ca="1" si="19"/>
        <v/>
      </c>
      <c r="AZ57" t="str">
        <f t="array" aca="1" ref="AZ57" ca="1">IFERROR(INDEX(57:57, SMALL(IF($AC57:$AX57&lt;&gt;"", COLUMN($AC$1:$AX57)), COLUMN(A57))), "")</f>
        <v>●</v>
      </c>
      <c r="BA57" t="str">
        <f t="array" aca="1" ref="BA57" ca="1">IFERROR(INDEX(57:57, SMALL(IF($AC57:$AX57&lt;&gt;"", COLUMN($AC$1:$AX57)), COLUMN(B57))), "")</f>
        <v/>
      </c>
      <c r="BB57" t="str">
        <f t="array" aca="1" ref="BB57" ca="1">IFERROR(INDEX(57:57, SMALL(IF($AC57:$AX57&lt;&gt;"", COLUMN($AC$1:$AX57)), COLUMN(C57))), "")</f>
        <v/>
      </c>
      <c r="BC57" t="str">
        <f t="array" aca="1" ref="BC57" ca="1">IFERROR(INDEX(57:57, SMALL(IF($AC57:$AX57&lt;&gt;"", COLUMN($AC$1:$AX57)), COLUMN(D57))), "")</f>
        <v/>
      </c>
      <c r="BD57" t="str">
        <f t="array" aca="1" ref="BD57" ca="1">IFERROR(INDEX(57:57, SMALL(IF($AC57:$AX57&lt;&gt;"", COLUMN($AC$1:$AX57)), COLUMN(E57))), "")</f>
        <v/>
      </c>
      <c r="BE57" t="str">
        <f t="array" aca="1" ref="BE57" ca="1">IFERROR(INDEX(57:57, SMALL(IF($AC57:$AX57&lt;&gt;"", COLUMN($AC$1:$AX57)), COLUMN(F57))), "")</f>
        <v/>
      </c>
      <c r="BF57" t="str">
        <f t="array" aca="1" ref="BF57" ca="1">IFERROR(IF(AND(COUNTIF($B57,"*泉ヶ丘*"),COUNTIF($B58,"*泉ヶ丘*")),
IFERROR(INDEX(58:58, SMALL(IF($AC58:$AX58&lt;&gt;"", COLUMN($AC$1:$AX58)), COLUMN(A58))), ""),
INDEX(57:57, SMALL(IF($AC57:$AX57&lt;&gt;"", COLUMN($AC$1:$AX57)), COLUMN(G57)))), "")</f>
        <v/>
      </c>
      <c r="BG57" t="str">
        <f t="array" aca="1" ref="BG57" ca="1">IFERROR(IF(AND(COUNTIF($B57,"*泉ヶ丘*"),COUNTIF($B58,"*泉ヶ丘*")),
IFERROR(INDEX(58:58, SMALL(IF($AC58:$AX58&lt;&gt;"", COLUMN($AC$1:$AX58)), COLUMN(B58))), ""),
INDEX(57:57, SMALL(IF($AC57:$AX57&lt;&gt;"", COLUMN($AC$1:$AX57)), COLUMN(H57)))), "")</f>
        <v/>
      </c>
      <c r="BH57" t="str">
        <f t="array" aca="1" ref="BH57" ca="1">IFERROR(IF(AND(COUNTIF($B57,"*泉ヶ丘*"),COUNTIF($B58,"*泉ヶ丘*")),
IFERROR(INDEX(58:58, SMALL(IF($AC58:$AX58&lt;&gt;"", COLUMN($AC$1:$AX58)), COLUMN(C58))), ""),
INDEX(57:57, SMALL(IF($AC57:$AX57&lt;&gt;"", COLUMN($AC$1:$AX57)), COLUMN(I57)))), "")</f>
        <v/>
      </c>
      <c r="BI57" t="str">
        <f t="array" aca="1" ref="BI57" ca="1">IFERROR(IF(AND(COUNTIF($B57,"*泉ヶ丘*"),COUNTIF($B58,"*泉ヶ丘*")),
IFERROR(INDEX(58:58, SMALL(IF($AC58:$AX58&lt;&gt;"", COLUMN($AC$1:$AX58)), COLUMN(D58))), ""),
INDEX(57:57, SMALL(IF($AC57:$AX57&lt;&gt;"", COLUMN($AC$1:$AX57)), COLUMN(J57)))), "")</f>
        <v/>
      </c>
      <c r="BJ57" t="str">
        <f t="array" aca="1" ref="BJ57" ca="1">IFERROR(IF(AND(COUNTIF($B57,"*泉ヶ丘*"),COUNTIF($B58,"*泉ヶ丘*")),
IFERROR(INDEX(58:58, SMALL(IF($AC58:$AX58&lt;&gt;"", COLUMN($AC$1:$AX58)), COLUMN(E58))), ""),
INDEX(57:57, SMALL(IF($AC57:$AX57&lt;&gt;"", COLUMN($AC$1:$AX57)), COLUMN(K57)))), "")</f>
        <v/>
      </c>
      <c r="BK57" t="str">
        <f t="array" aca="1" ref="BK57" ca="1">IFERROR(IF(AND(COUNTIF($B57,"*泉ヶ丘*"),COUNTIF($B58,"*泉ヶ丘*")),
IFERROR(INDEX(58:58, SMALL(IF($AC58:$AX58&lt;&gt;"", COLUMN($AC$1:$AX58)), COLUMN(F58))), ""),
INDEX(57:57, SMALL(IF($AC57:$AX57&lt;&gt;"", COLUMN($AC$1:$AX57)), COLUMN(L57)))), "")</f>
        <v/>
      </c>
      <c r="BL57" t="str">
        <f t="array" aca="1" ref="BL57" ca="1">IFERROR(IF(AND(COUNTIF($B57,"*泉ヶ丘*"),COUNTIF($B58,"*泉ヶ丘*")),
IFERROR(INDEX(58:58, SMALL(IF($AC58:$AX58&lt;&gt;"", COLUMN($AC$1:$AX58)), COLUMN(G58))), ""),
INDEX(57:57, SMALL(IF($AC57:$AX57&lt;&gt;"", COLUMN($AC$1:$AX57)), COLUMN(M57)))), "")</f>
        <v/>
      </c>
      <c r="BM57" t="str">
        <f t="array" aca="1" ref="BM57" ca="1">IFERROR(IF(AND(COUNTIF($B57,"*泉ヶ丘*"),COUNTIF($B58,"*泉ヶ丘*")),
IFERROR(INDEX(58:58, SMALL(IF($AC58:$AX58&lt;&gt;"", COLUMN($AC$1:$AX58)), COLUMN(H58))), ""),
INDEX(57:57, SMALL(IF($AC57:$AX57&lt;&gt;"", COLUMN($AC$1:$AX57)), COLUMN(N57)))), "")</f>
        <v/>
      </c>
      <c r="BN57" t="str">
        <f t="array" aca="1" ref="BN57" ca="1">IFERROR(IF(AND(COUNTIF($B57,"*泉ヶ丘*"),COUNTIF($B58,"*泉ヶ丘*")),
IFERROR(INDEX(58:58, SMALL(IF($AC58:$AX58&lt;&gt;"", COLUMN($AC$1:$AX58)), COLUMN(I58))), ""),
INDEX(57:57, SMALL(IF($AC57:$AX57&lt;&gt;"", COLUMN($AC$1:$AX57)), COLUMN(O57)))), "")</f>
        <v/>
      </c>
      <c r="BO57" t="str">
        <f t="array" aca="1" ref="BO57" ca="1">IFERROR(IF(AND(COUNTIF($B57,"*泉ヶ丘*"),COUNTIF($B58,"*泉ヶ丘*")),
IFERROR(INDEX(58:58, SMALL(IF($AC58:$AX58&lt;&gt;"", COLUMN($AC$1:$AX58)), COLUMN(J58))), ""),
INDEX(57:57, SMALL(IF($AC57:$AX57&lt;&gt;"", COLUMN($AC$1:$AX57)), COLUMN(P57)))), "")</f>
        <v/>
      </c>
      <c r="BP57" t="str">
        <f t="array" aca="1" ref="BP57" ca="1">IFERROR(IF(AND(COUNTIF($B57,"*泉ヶ丘*"),COUNTIF($B58,"*泉ヶ丘*")),
IFERROR(INDEX(58:58, SMALL(IF($AC58:$AX58&lt;&gt;"", COLUMN($AC$1:$AX58)), COLUMN(K58))), ""),
INDEX(57:57, SMALL(IF($AC57:$AX57&lt;&gt;"", COLUMN($AC$1:$AX57)), COLUMN(Q57)))), "")</f>
        <v/>
      </c>
      <c r="BQ57" t="str">
        <f t="array" aca="1" ref="BQ57" ca="1">IFERROR(IF(AND(COUNTIF($B57,"*泉ヶ丘*"),COUNTIF($B58,"*泉ヶ丘*")),
IFERROR(INDEX(58:58, SMALL(IF($AC58:$AX58&lt;&gt;"", COLUMN($AC$1:$AX58)), COLUMN(L58))), ""),
INDEX(57:57, SMALL(IF($AC57:$AX57&lt;&gt;"", COLUMN($AC$1:$AX57)), COLUMN(R57)))), "")</f>
        <v/>
      </c>
    </row>
    <row r="58" spans="1:69" x14ac:dyDescent="0.45">
      <c r="A58" t="str">
        <f t="array" ref="A58">IF(INDEX(貼り付け用!A:A,MATCH(A57,貼り付け用!A:A,0)+2)="4700",
IF(INDEX(貼り付け用!A:A,MATCH(A57,貼り付け用!A:A,0)+4)="4800",
INDEX(貼り付け用!A:A,MATCH(A57,貼り付け用!A:A,0)+6),
INDEX(貼り付け用!A:A,MATCH(A57,貼り付け用!A:A,0)+4)),INDEX(貼り付け用!A:A,MATCH(A57,貼り付け用!A:A,0)+2))</f>
        <v>805</v>
      </c>
      <c r="B58" t="str">
        <f>IF(A58&lt;&gt;"",
VLOOKUP(A58,得意先マスタ!A:D,2,FALSE),"")</f>
        <v>吉塚ゆりの樹幼稚園</v>
      </c>
      <c r="C58" t="str">
        <f t="array" ref="C58">IF(A58="10000","",INDEX(貼り付け用!A:A,MATCH(A58,貼り付け用!A:A,0)+1))</f>
        <v>吉塚ゆりの樹 ママミール web</v>
      </c>
      <c r="D58" t="str">
        <f ca="1">VLOOKUP(C58,クライアント抽出!$A:$O,10,FALSE)</f>
        <v>キャラ弁当　飯あり120</v>
      </c>
      <c r="E58" t="str">
        <f ca="1">IF(D58&lt;&gt;"",
IF(COUNTIF(C58,"*ぺんぎん*"),
VLOOKUP(
"*"&amp;IF(COUNTIF(D58,"*キャラ弁*"),"キャラ",
IF(COUNTIF(D58,"*赤*"),"赤",SUBSTITUTE(SUBSTITUTE(D58," ",""),"　","")))&amp;"*",
注文弁当の抽出!$F:$I,4,FALSE)&amp;
IF(COUNTIF(D58,"*おにぎり*"),"　おにぎり","")&amp;"　（ぺんぎん組）",
VLOOKUP(
"*"&amp;IF(COUNTIF(D58,"*キャラ弁*"),"キャラ",
IF(COUNTIF(D58,"*赤*"),"赤",SUBSTITUTE(SUBSTITUTE(D58," ",""),"　","")))&amp;"*",
注文弁当の抽出!$F:$I,4,FALSE)&amp;
IF(COUNTIF(D58,"*おにぎり*"),"　おにぎり","")),"")</f>
        <v>弁当　園児</v>
      </c>
      <c r="F58">
        <f ca="1">IFERROR(IF(E58&lt;&gt;"",
VLOOKUP(C58,クライアント抽出!$A:$G,2,FALSE)+
IF(COUNTIF(Y58,"*-*"),Y58,0),"")
-IFERROR(MID(V58, SEARCH("予備", V58) + LEN("予備"), SEARCH("込み", V58) - (SEARCH("予備", V58) + LEN("予備"))),0),"")</f>
        <v>117</v>
      </c>
      <c r="G58" t="str">
        <f ca="1">VLOOKUP(C58,クライアント抽出!$A:$O,11,FALSE)</f>
        <v/>
      </c>
      <c r="H58" t="str">
        <f ca="1">IF(G58&lt;&gt;"",
VLOOKUP(
"*"&amp;IF(COUNTIF(G58,"*キャラ弁*"),"キャラ",
IF(COUNTIF(G58,"*赤*"),"赤",SUBSTITUTE(SUBSTITUTE(G58," ",""),"　","")))&amp;"*",
注文弁当の抽出!$F:$I,4,FALSE)&amp;
IF(COUNTIF(G58,"*おにぎり*"),"　おにぎり",""),"")</f>
        <v/>
      </c>
      <c r="I58" t="str">
        <f ca="1">IF(H58&lt;&gt;"",
VLOOKUP(C58,クライアント抽出!$A:$G,3,FALSE)+
IF(COUNTIF(C58,"*博多*"),Y58,Z58),"")</f>
        <v/>
      </c>
      <c r="J58" t="str">
        <f ca="1">VLOOKUP(C58,クライアント抽出!$A:$O,12,FALSE)</f>
        <v/>
      </c>
      <c r="K58" t="str">
        <f ca="1">IF(J58&lt;&gt;"",
VLOOKUP(
"*"&amp;IF(COUNTIF(J58,"*キャラ弁*"),"キャラ",
IF(COUNTIF(J58,"*赤*"),"赤",SUBSTITUTE(SUBSTITUTE(J58," ",""),"　","")))&amp;"*",
注文弁当の抽出!$F:$I,4,FALSE)&amp;
IF(COUNTIF(J58,"*おにぎり*"),"　おにぎり",""),"")</f>
        <v/>
      </c>
      <c r="L58" t="str">
        <f ca="1">IF(K58&lt;&gt;"",
VLOOKUP(C58,クライアント抽出!$A:$G,4,FALSE)+AA58,"")</f>
        <v/>
      </c>
      <c r="M58" t="str">
        <f ca="1">VLOOKUP(C58,クライアント抽出!$A:$O,13,FALSE)</f>
        <v>キャラ弁当　飯あり120</v>
      </c>
      <c r="N58" t="str">
        <f ca="1">SUBSTITUTE(
IF(M58&lt;&gt;"",
VLOOKUP(
"*"&amp;IF(COUNTIF(M58,"*キャラ弁*"),"キャラ",
IF(COUNTIF(M58,"*赤*"),"赤",SUBSTITUTE(SUBSTITUTE(D58," ",""),"　","")))&amp;"*",
注文弁当の抽出!$F:$I,4,FALSE),""),"園児","先生")&amp;
IF(COUNTIF(M58,"*おにぎり*"),"　おにぎり","")</f>
        <v>弁当　先生</v>
      </c>
      <c r="O58">
        <f ca="1">IF(N58&lt;&gt;"",VLOOKUP(C58,クライアント抽出!$A:$G,5,FALSE),"")</f>
        <v>1</v>
      </c>
      <c r="P58" t="str">
        <f ca="1">VLOOKUP(C58,クライアント抽出!$A:$O,14,FALSE)</f>
        <v/>
      </c>
      <c r="Q58" t="str">
        <f ca="1">SUBSTITUTE(
IF(P58&lt;&gt;"",
VLOOKUP(
"*"&amp;IF(COUNTIF(P58,"*キャラ弁*"),"キャラ",
IF(COUNTIF(P58,"*赤*"),"赤",SUBSTITUTE(SUBSTITUTE(G58," ",""),"　","")))&amp;"*",
注文弁当の抽出!$F:$I,4,FALSE),""),"園児","先生")&amp;
IF(COUNTIF(P58,"*おにぎり*"),"　おにぎり","")</f>
        <v/>
      </c>
      <c r="R58" t="str">
        <f ca="1">IF(Q58&lt;&gt;"",
VLOOKUP(C58,クライアント抽出!$A:$G,6,FALSE),"")</f>
        <v/>
      </c>
      <c r="S58" t="str">
        <f ca="1">VLOOKUP(C58,クライアント抽出!$A:$O,15,FALSE)</f>
        <v/>
      </c>
      <c r="T58" t="str">
        <f ca="1">SUBSTITUTE(
IF(S58&lt;&gt;"",
VLOOKUP(
"*"&amp;IF(COUNTIF(S58,"*キャラ弁*"),"キャラ",
IF(COUNTIF(S58,"*赤*"),"赤",SUBSTITUTE(SUBSTITUTE(J58," ",""),"　","")))&amp;"*",
注文弁当の抽出!$F:$I,4,FALSE),""),"園児","先生")&amp;
IF(COUNTIF(S58,"*おにぎり*"),"　おにぎり","")</f>
        <v/>
      </c>
      <c r="U58" t="str">
        <f ca="1">IF(T58&lt;&gt;"",
VLOOKUP(C58,クライアント抽出!$A:$G,7,FALSE),"")</f>
        <v/>
      </c>
      <c r="V58" t="str">
        <f ca="1">IF(A58&lt;&gt;"",
IF(COUNTIF(V57,"*牛乳*"),
IF(AND(COUNTIF(B57,"*奈良屋*"),COUNTIF(B58,"*奈良屋*")),
V57&amp;"✔",""),VLOOKUP(""&amp;A58&amp;"",数出表_Excel!$A:$Z,22,FALSE)&amp;VLOOKUP(""&amp;A58&amp;"",数出表_Excel!$A:$Z,23,FALSE)
&amp;VLOOKUP(""&amp;C58&amp;"",数出表_Excel!$A:$Z,22,FALSE)&amp;VLOOKUP(""&amp;C58&amp;"",数出表_Excel!$A:$Z,23,FALSE)),"")</f>
        <v>ｱﾚ4</v>
      </c>
      <c r="W58" t="str">
        <f ca="1">IF(AND(COUNTIF(V58,"&lt;&gt;*不要*"),A58&lt;&gt;""),VLOOKUP(A58,得意先マスタ!$A:$AD,24,FALSE),0)</f>
        <v>管理職</v>
      </c>
      <c r="X58" t="str">
        <f ca="1">IF(AND(COUNTIF(V58,"&lt;&gt;*不要*"),A58&lt;&gt;""),VLOOKUP(A58,得意先マスタ!$A:$AD,25,FALSE),0)</f>
        <v>1</v>
      </c>
      <c r="Y58" t="str">
        <f t="shared" ca="1" si="10"/>
        <v>1</v>
      </c>
      <c r="Z58">
        <f t="shared" ca="1" si="11"/>
        <v>0</v>
      </c>
      <c r="AA58">
        <f t="shared" ca="1" si="15"/>
        <v>0</v>
      </c>
      <c r="AB58" t="str">
        <f t="shared" ca="1" si="12"/>
        <v>弁当　管理職</v>
      </c>
      <c r="AC58" t="str">
        <f t="array" aca="1" ref="AC58" ca="1">IFERROR(INDEX(58:58, SMALL(IF($D58:$U58&lt;&gt;"", COLUMN($D$1:$U58)), COLUMN(A58))), "")</f>
        <v>キャラ弁当　飯あり120</v>
      </c>
      <c r="AD58" t="str">
        <f t="array" aca="1" ref="AD58" ca="1">IFERROR(INDEX(58:58, SMALL(IF($D58:$U58&lt;&gt;"", COLUMN($D$1:$U58)), COLUMN(B58))), "")</f>
        <v>弁当　園児</v>
      </c>
      <c r="AE58">
        <f t="array" aca="1" ref="AE58" ca="1">IFERROR(INDEX(58:58, SMALL(IF($D58:$U58&lt;&gt;"", COLUMN($D$1:$U58)), COLUMN(C58))), "")</f>
        <v>117</v>
      </c>
      <c r="AF58" t="str">
        <f t="array" aca="1" ref="AF58" ca="1">IFERROR(INDEX(58:58, SMALL(IF($D58:$U58&lt;&gt;"", COLUMN($D$1:$U58)), COLUMN(D58))), "")</f>
        <v>キャラ弁当　飯あり120</v>
      </c>
      <c r="AG58" t="str">
        <f t="array" aca="1" ref="AG58" ca="1">IFERROR(INDEX(58:58, SMALL(IF($D58:$U58&lt;&gt;"", COLUMN($D$1:$U58)), COLUMN(E58))), "")</f>
        <v>弁当　先生</v>
      </c>
      <c r="AH58">
        <f t="array" aca="1" ref="AH58" ca="1">IFERROR(INDEX(58:58, SMALL(IF($D58:$U58&lt;&gt;"", COLUMN($D$1:$U58)), COLUMN(F58))), "")</f>
        <v>1</v>
      </c>
      <c r="AI58" t="str">
        <f t="array" aca="1" ref="AI58" ca="1">IFERROR(INDEX(58:58, SMALL(IF($D58:$U58&lt;&gt;"", COLUMN($D$1:$U58)), COLUMN(G58))), "")</f>
        <v/>
      </c>
      <c r="AJ58" t="str">
        <f t="array" aca="1" ref="AJ58" ca="1">IFERROR(INDEX(58:58, SMALL(IF($D58:$U58&lt;&gt;"", COLUMN($D$1:$U58)), COLUMN(H58))), "")</f>
        <v/>
      </c>
      <c r="AK58" t="str">
        <f t="array" aca="1" ref="AK58" ca="1">IFERROR(INDEX(58:58, SMALL(IF($D58:$U58&lt;&gt;"", COLUMN($D$1:$U58)), COLUMN(I58))), "")</f>
        <v/>
      </c>
      <c r="AL58" t="str">
        <f t="array" aca="1" ref="AL58" ca="1">IFERROR(INDEX(58:58, SMALL(IF($D58:$U58&lt;&gt;"", COLUMN($D$1:$U58)), COLUMN(J58))), "")</f>
        <v/>
      </c>
      <c r="AM58" t="str">
        <f t="array" aca="1" ref="AM58" ca="1">IFERROR(INDEX(58:58, SMALL(IF($D58:$U58&lt;&gt;"", COLUMN($D$1:$U58)), COLUMN(K58))), "")</f>
        <v/>
      </c>
      <c r="AN58" t="str">
        <f t="array" aca="1" ref="AN58" ca="1">IFERROR(INDEX(58:58, SMALL(IF($D58:$U58&lt;&gt;"", COLUMN($D$1:$U58)), COLUMN(L58))), "")</f>
        <v/>
      </c>
      <c r="AO58" t="str">
        <f t="array" aca="1" ref="AO58" ca="1">IFERROR(INDEX(58:58, SMALL(IF($D58:$U58&lt;&gt;"", COLUMN($D$1:$U58)), COLUMN(M58))), "")</f>
        <v/>
      </c>
      <c r="AP58" t="str">
        <f t="array" aca="1" ref="AP58" ca="1">IFERROR(INDEX(58:58, SMALL(IF($D58:$U58&lt;&gt;"", COLUMN($D$1:$U58)), COLUMN(N58))), "")</f>
        <v/>
      </c>
      <c r="AQ58" t="str">
        <f t="array" aca="1" ref="AQ58" ca="1">IFERROR(INDEX(58:58, SMALL(IF($D58:$U58&lt;&gt;"", COLUMN($D$1:$U58)), COLUMN(O58))), "")</f>
        <v/>
      </c>
      <c r="AR58" s="52" t="s">
        <v>4005</v>
      </c>
      <c r="AS58" t="str">
        <f t="shared" ca="1" si="13"/>
        <v>弁当　管理職</v>
      </c>
      <c r="AT58" t="str">
        <f t="shared" ca="1" si="14"/>
        <v>1</v>
      </c>
      <c r="AU58" t="str">
        <f t="shared" ca="1" si="16"/>
        <v/>
      </c>
      <c r="AV58" t="str">
        <f t="shared" ca="1" si="17"/>
        <v/>
      </c>
      <c r="AW58" t="str">
        <f t="shared" ca="1" si="18"/>
        <v/>
      </c>
      <c r="AX58" t="str">
        <f t="shared" ca="1" si="19"/>
        <v/>
      </c>
      <c r="AZ58" t="str">
        <f t="array" aca="1" ref="AZ58" ca="1">IFERROR(INDEX(58:58, SMALL(IF($AC58:$AX58&lt;&gt;"", COLUMN($AC$1:$AX58)), COLUMN(A58))), "")</f>
        <v>キャラ弁当　飯あり120</v>
      </c>
      <c r="BA58" t="str">
        <f t="array" aca="1" ref="BA58" ca="1">IFERROR(INDEX(58:58, SMALL(IF($AC58:$AX58&lt;&gt;"", COLUMN($AC$1:$AX58)), COLUMN(B58))), "")</f>
        <v>弁当　園児</v>
      </c>
      <c r="BB58">
        <f t="array" aca="1" ref="BB58" ca="1">IFERROR(INDEX(58:58, SMALL(IF($AC58:$AX58&lt;&gt;"", COLUMN($AC$1:$AX58)), COLUMN(C58))), "")</f>
        <v>117</v>
      </c>
      <c r="BC58" t="str">
        <f t="array" aca="1" ref="BC58" ca="1">IFERROR(INDEX(58:58, SMALL(IF($AC58:$AX58&lt;&gt;"", COLUMN($AC$1:$AX58)), COLUMN(D58))), "")</f>
        <v>キャラ弁当　飯あり120</v>
      </c>
      <c r="BD58" t="str">
        <f t="array" aca="1" ref="BD58" ca="1">IFERROR(INDEX(58:58, SMALL(IF($AC58:$AX58&lt;&gt;"", COLUMN($AC$1:$AX58)), COLUMN(E58))), "")</f>
        <v>弁当　先生</v>
      </c>
      <c r="BE58">
        <f t="array" aca="1" ref="BE58" ca="1">IFERROR(INDEX(58:58, SMALL(IF($AC58:$AX58&lt;&gt;"", COLUMN($AC$1:$AX58)), COLUMN(F58))), "")</f>
        <v>1</v>
      </c>
      <c r="BF58" t="str">
        <f t="array" aca="1" ref="BF58" ca="1">IFERROR(IF(AND(COUNTIF($B58,"*泉ヶ丘*"),COUNTIF($B59,"*泉ヶ丘*")),
IFERROR(INDEX(59:59, SMALL(IF($AC59:$AX59&lt;&gt;"", COLUMN($AC$1:$AX59)), COLUMN(A59))), ""),
INDEX(58:58, SMALL(IF($AC58:$AX58&lt;&gt;"", COLUMN($AC$1:$AX58)), COLUMN(G58)))), "")</f>
        <v>●</v>
      </c>
      <c r="BG58" t="str">
        <f t="array" aca="1" ref="BG58" ca="1">IFERROR(IF(AND(COUNTIF($B58,"*泉ヶ丘*"),COUNTIF($B59,"*泉ヶ丘*")),
IFERROR(INDEX(59:59, SMALL(IF($AC59:$AX59&lt;&gt;"", COLUMN($AC$1:$AX59)), COLUMN(B59))), ""),
INDEX(58:58, SMALL(IF($AC58:$AX58&lt;&gt;"", COLUMN($AC$1:$AX58)), COLUMN(H58)))), "")</f>
        <v>弁当　管理職</v>
      </c>
      <c r="BH58" t="str">
        <f t="array" aca="1" ref="BH58" ca="1">IFERROR(IF(AND(COUNTIF($B58,"*泉ヶ丘*"),COUNTIF($B59,"*泉ヶ丘*")),
IFERROR(INDEX(59:59, SMALL(IF($AC59:$AX59&lt;&gt;"", COLUMN($AC$1:$AX59)), COLUMN(C59))), ""),
INDEX(58:58, SMALL(IF($AC58:$AX58&lt;&gt;"", COLUMN($AC$1:$AX58)), COLUMN(I58)))), "")</f>
        <v>1</v>
      </c>
      <c r="BI58" t="str">
        <f t="array" aca="1" ref="BI58" ca="1">IFERROR(IF(AND(COUNTIF($B58,"*泉ヶ丘*"),COUNTIF($B59,"*泉ヶ丘*")),
IFERROR(INDEX(59:59, SMALL(IF($AC59:$AX59&lt;&gt;"", COLUMN($AC$1:$AX59)), COLUMN(D59))), ""),
INDEX(58:58, SMALL(IF($AC58:$AX58&lt;&gt;"", COLUMN($AC$1:$AX58)), COLUMN(J58)))), "")</f>
        <v/>
      </c>
      <c r="BJ58" t="str">
        <f t="array" aca="1" ref="BJ58" ca="1">IFERROR(IF(AND(COUNTIF($B58,"*泉ヶ丘*"),COUNTIF($B59,"*泉ヶ丘*")),
IFERROR(INDEX(59:59, SMALL(IF($AC59:$AX59&lt;&gt;"", COLUMN($AC$1:$AX59)), COLUMN(E59))), ""),
INDEX(58:58, SMALL(IF($AC58:$AX58&lt;&gt;"", COLUMN($AC$1:$AX58)), COLUMN(K58)))), "")</f>
        <v/>
      </c>
      <c r="BK58" t="str">
        <f t="array" aca="1" ref="BK58" ca="1">IFERROR(IF(AND(COUNTIF($B58,"*泉ヶ丘*"),COUNTIF($B59,"*泉ヶ丘*")),
IFERROR(INDEX(59:59, SMALL(IF($AC59:$AX59&lt;&gt;"", COLUMN($AC$1:$AX59)), COLUMN(F59))), ""),
INDEX(58:58, SMALL(IF($AC58:$AX58&lt;&gt;"", COLUMN($AC$1:$AX58)), COLUMN(L58)))), "")</f>
        <v/>
      </c>
      <c r="BL58" t="str">
        <f t="array" aca="1" ref="BL58" ca="1">IFERROR(IF(AND(COUNTIF($B58,"*泉ヶ丘*"),COUNTIF($B59,"*泉ヶ丘*")),
IFERROR(INDEX(59:59, SMALL(IF($AC59:$AX59&lt;&gt;"", COLUMN($AC$1:$AX59)), COLUMN(G59))), ""),
INDEX(58:58, SMALL(IF($AC58:$AX58&lt;&gt;"", COLUMN($AC$1:$AX58)), COLUMN(M58)))), "")</f>
        <v/>
      </c>
      <c r="BM58" t="str">
        <f t="array" aca="1" ref="BM58" ca="1">IFERROR(IF(AND(COUNTIF($B58,"*泉ヶ丘*"),COUNTIF($B59,"*泉ヶ丘*")),
IFERROR(INDEX(59:59, SMALL(IF($AC59:$AX59&lt;&gt;"", COLUMN($AC$1:$AX59)), COLUMN(H59))), ""),
INDEX(58:58, SMALL(IF($AC58:$AX58&lt;&gt;"", COLUMN($AC$1:$AX58)), COLUMN(N58)))), "")</f>
        <v/>
      </c>
      <c r="BN58" t="str">
        <f t="array" aca="1" ref="BN58" ca="1">IFERROR(IF(AND(COUNTIF($B58,"*泉ヶ丘*"),COUNTIF($B59,"*泉ヶ丘*")),
IFERROR(INDEX(59:59, SMALL(IF($AC59:$AX59&lt;&gt;"", COLUMN($AC$1:$AX59)), COLUMN(I59))), ""),
INDEX(58:58, SMALL(IF($AC58:$AX58&lt;&gt;"", COLUMN($AC$1:$AX58)), COLUMN(O58)))), "")</f>
        <v/>
      </c>
      <c r="BO58" t="str">
        <f t="array" aca="1" ref="BO58" ca="1">IFERROR(IF(AND(COUNTIF($B58,"*泉ヶ丘*"),COUNTIF($B59,"*泉ヶ丘*")),
IFERROR(INDEX(59:59, SMALL(IF($AC59:$AX59&lt;&gt;"", COLUMN($AC$1:$AX59)), COLUMN(J59))), ""),
INDEX(58:58, SMALL(IF($AC58:$AX58&lt;&gt;"", COLUMN($AC$1:$AX58)), COLUMN(P58)))), "")</f>
        <v/>
      </c>
      <c r="BP58" t="str">
        <f t="array" aca="1" ref="BP58" ca="1">IFERROR(IF(AND(COUNTIF($B58,"*泉ヶ丘*"),COUNTIF($B59,"*泉ヶ丘*")),
IFERROR(INDEX(59:59, SMALL(IF($AC59:$AX59&lt;&gt;"", COLUMN($AC$1:$AX59)), COLUMN(K59))), ""),
INDEX(58:58, SMALL(IF($AC58:$AX58&lt;&gt;"", COLUMN($AC$1:$AX58)), COLUMN(Q58)))), "")</f>
        <v/>
      </c>
      <c r="BQ58" t="str">
        <f t="array" aca="1" ref="BQ58" ca="1">IFERROR(IF(AND(COUNTIF($B58,"*泉ヶ丘*"),COUNTIF($B59,"*泉ヶ丘*")),
IFERROR(INDEX(59:59, SMALL(IF($AC59:$AX59&lt;&gt;"", COLUMN($AC$1:$AX59)), COLUMN(L59))), ""),
INDEX(58:58, SMALL(IF($AC58:$AX58&lt;&gt;"", COLUMN($AC$1:$AX58)), COLUMN(R58)))), "")</f>
        <v/>
      </c>
    </row>
    <row r="59" spans="1:69" x14ac:dyDescent="0.45">
      <c r="A59" t="str">
        <f t="array" ref="A59">IF(INDEX(貼り付け用!A:A,MATCH(A58,貼り付け用!A:A,0)+2)="4700",
IF(INDEX(貼り付け用!A:A,MATCH(A58,貼り付け用!A:A,0)+4)="4800",
INDEX(貼り付け用!A:A,MATCH(A58,貼り付け用!A:A,0)+6),
INDEX(貼り付け用!A:A,MATCH(A58,貼り付け用!A:A,0)+4)),INDEX(貼り付け用!A:A,MATCH(A58,貼り付け用!A:A,0)+2))</f>
        <v>40100</v>
      </c>
      <c r="B59" t="str">
        <f>IF(A59&lt;&gt;"",
VLOOKUP(A59,得意先マスタ!A:D,2,FALSE),"")</f>
        <v>学校法人　清洋学園　泉ヶ丘幼稚園</v>
      </c>
      <c r="C59" t="str">
        <f t="array" ref="C59">IF(A59="10000","",INDEX(貼り付け用!A:A,MATCH(A59,貼り付け用!A:A,0)+1))</f>
        <v>泉ヶ丘幼稚園</v>
      </c>
      <c r="D59" t="str">
        <f ca="1">VLOOKUP(C59,クライアント抽出!$A:$O,10,FALSE)</f>
        <v>赤　飯あり120</v>
      </c>
      <c r="E59" t="str">
        <f ca="1">IF(D59&lt;&gt;"",
IF(COUNTIF(C59,"*ぺんぎん*"),
VLOOKUP(
"*"&amp;IF(COUNTIF(D59,"*キャラ弁*"),"キャラ",
IF(COUNTIF(D59,"*赤*"),"赤",SUBSTITUTE(SUBSTITUTE(D59," ",""),"　","")))&amp;"*",
注文弁当の抽出!$F:$I,4,FALSE)&amp;
IF(COUNTIF(D59,"*おにぎり*"),"　おにぎり","")&amp;"　（ぺんぎん組）",
VLOOKUP(
"*"&amp;IF(COUNTIF(D59,"*キャラ弁*"),"キャラ",
IF(COUNTIF(D59,"*赤*"),"赤",SUBSTITUTE(SUBSTITUTE(D59," ",""),"　","")))&amp;"*",
注文弁当の抽出!$F:$I,4,FALSE)&amp;
IF(COUNTIF(D59,"*おにぎり*"),"　おにぎり","")),"")</f>
        <v>弁当　園児</v>
      </c>
      <c r="F59">
        <f ca="1">IFERROR(IF(E59&lt;&gt;"",
VLOOKUP(C59,クライアント抽出!$A:$G,2,FALSE)+
IF(COUNTIF(Y59,"*-*"),Y59,0),"")
-IFERROR(MID(V59, SEARCH("予備", V59) + LEN("予備"), SEARCH("込み", V59) - (SEARCH("予備", V59) + LEN("予備"))),0),"")</f>
        <v>134</v>
      </c>
      <c r="G59" t="str">
        <f ca="1">VLOOKUP(C59,クライアント抽出!$A:$O,11,FALSE)</f>
        <v/>
      </c>
      <c r="H59" t="str">
        <f ca="1">IF(G59&lt;&gt;"",
VLOOKUP(
"*"&amp;IF(COUNTIF(G59,"*キャラ弁*"),"キャラ",
IF(COUNTIF(G59,"*赤*"),"赤",SUBSTITUTE(SUBSTITUTE(G59," ",""),"　","")))&amp;"*",
注文弁当の抽出!$F:$I,4,FALSE)&amp;
IF(COUNTIF(G59,"*おにぎり*"),"　おにぎり",""),"")</f>
        <v/>
      </c>
      <c r="I59" t="str">
        <f ca="1">IF(H59&lt;&gt;"",
VLOOKUP(C59,クライアント抽出!$A:$G,3,FALSE)+
IF(COUNTIF(C59,"*博多*"),Y59,Z59),"")</f>
        <v/>
      </c>
      <c r="J59" t="str">
        <f ca="1">VLOOKUP(C59,クライアント抽出!$A:$O,12,FALSE)</f>
        <v/>
      </c>
      <c r="K59" t="str">
        <f ca="1">IF(J59&lt;&gt;"",
VLOOKUP(
"*"&amp;IF(COUNTIF(J59,"*キャラ弁*"),"キャラ",
IF(COUNTIF(J59,"*赤*"),"赤",SUBSTITUTE(SUBSTITUTE(J59," ",""),"　","")))&amp;"*",
注文弁当の抽出!$F:$I,4,FALSE)&amp;
IF(COUNTIF(J59,"*おにぎり*"),"　おにぎり",""),"")</f>
        <v/>
      </c>
      <c r="L59" t="str">
        <f ca="1">IF(K59&lt;&gt;"",
VLOOKUP(C59,クライアント抽出!$A:$G,4,FALSE)+AA59,"")</f>
        <v/>
      </c>
      <c r="M59" t="str">
        <f ca="1">VLOOKUP(C59,クライアント抽出!$A:$O,13,FALSE)</f>
        <v>赤　飯あり120</v>
      </c>
      <c r="N59" t="str">
        <f ca="1">SUBSTITUTE(
IF(M59&lt;&gt;"",
VLOOKUP(
"*"&amp;IF(COUNTIF(M59,"*キャラ弁*"),"キャラ",
IF(COUNTIF(M59,"*赤*"),"赤",SUBSTITUTE(SUBSTITUTE(D59," ",""),"　","")))&amp;"*",
注文弁当の抽出!$F:$I,4,FALSE),""),"園児","先生")&amp;
IF(COUNTIF(M59,"*おにぎり*"),"　おにぎり","")</f>
        <v>弁当　先生</v>
      </c>
      <c r="O59">
        <f ca="1">IF(N59&lt;&gt;"",VLOOKUP(C59,クライアント抽出!$A:$G,5,FALSE),"")</f>
        <v>18</v>
      </c>
      <c r="P59" t="str">
        <f ca="1">VLOOKUP(C59,クライアント抽出!$A:$O,14,FALSE)</f>
        <v/>
      </c>
      <c r="Q59" t="str">
        <f ca="1">SUBSTITUTE(
IF(P59&lt;&gt;"",
VLOOKUP(
"*"&amp;IF(COUNTIF(P59,"*キャラ弁*"),"キャラ",
IF(COUNTIF(P59,"*赤*"),"赤",SUBSTITUTE(SUBSTITUTE(G59," ",""),"　","")))&amp;"*",
注文弁当の抽出!$F:$I,4,FALSE),""),"園児","先生")&amp;
IF(COUNTIF(P59,"*おにぎり*"),"　おにぎり","")</f>
        <v/>
      </c>
      <c r="R59" t="str">
        <f ca="1">IF(Q59&lt;&gt;"",
VLOOKUP(C59,クライアント抽出!$A:$G,6,FALSE),"")</f>
        <v/>
      </c>
      <c r="S59" t="str">
        <f ca="1">VLOOKUP(C59,クライアント抽出!$A:$O,15,FALSE)</f>
        <v/>
      </c>
      <c r="T59" t="str">
        <f ca="1">SUBSTITUTE(
IF(S59&lt;&gt;"",
VLOOKUP(
"*"&amp;IF(COUNTIF(S59,"*キャラ弁*"),"キャラ",
IF(COUNTIF(S59,"*赤*"),"赤",SUBSTITUTE(SUBSTITUTE(J59," ",""),"　","")))&amp;"*",
注文弁当の抽出!$F:$I,4,FALSE),""),"園児","先生")&amp;
IF(COUNTIF(S59,"*おにぎり*"),"　おにぎり","")</f>
        <v/>
      </c>
      <c r="U59" t="str">
        <f ca="1">IF(T59&lt;&gt;"",
VLOOKUP(C59,クライアント抽出!$A:$G,7,FALSE),"")</f>
        <v/>
      </c>
      <c r="V59" t="str">
        <f ca="1">IF(A59&lt;&gt;"",
IF(COUNTIF(V58,"*牛乳*"),
IF(AND(COUNTIF(B58,"*奈良屋*"),COUNTIF(B59,"*奈良屋*")),
V58&amp;"✔",""),VLOOKUP(""&amp;A59&amp;"",数出表_Excel!$A:$Z,22,FALSE)&amp;VLOOKUP(""&amp;A59&amp;"",数出表_Excel!$A:$Z,23,FALSE)
&amp;VLOOKUP(""&amp;C59&amp;"",数出表_Excel!$A:$Z,22,FALSE)&amp;VLOOKUP(""&amp;C59&amp;"",数出表_Excel!$A:$Z,23,FALSE)),"")</f>
        <v/>
      </c>
      <c r="W59">
        <f ca="1">IF(AND(COUNTIF(V59,"&lt;&gt;*不要*"),A59&lt;&gt;""),VLOOKUP(A59,得意先マスタ!$A:$AD,24,FALSE),0)</f>
        <v>0</v>
      </c>
      <c r="X59">
        <f ca="1">IF(AND(COUNTIF(V59,"&lt;&gt;*不要*"),A59&lt;&gt;""),VLOOKUP(A59,得意先マスタ!$A:$AD,25,FALSE),0)</f>
        <v>0</v>
      </c>
      <c r="Y59">
        <f t="shared" ca="1" si="10"/>
        <v>0</v>
      </c>
      <c r="Z59">
        <f t="shared" ca="1" si="11"/>
        <v>0</v>
      </c>
      <c r="AA59">
        <f t="shared" ca="1" si="15"/>
        <v>0</v>
      </c>
      <c r="AB59" t="str">
        <f t="shared" ca="1" si="12"/>
        <v/>
      </c>
      <c r="AC59" t="str">
        <f t="array" aca="1" ref="AC59" ca="1">IFERROR(INDEX(59:59, SMALL(IF($D59:$U59&lt;&gt;"", COLUMN($D$1:$U59)), COLUMN(A59))), "")</f>
        <v>赤　飯あり120</v>
      </c>
      <c r="AD59" t="str">
        <f t="array" aca="1" ref="AD59" ca="1">IFERROR(INDEX(59:59, SMALL(IF($D59:$U59&lt;&gt;"", COLUMN($D$1:$U59)), COLUMN(B59))), "")</f>
        <v>弁当　園児</v>
      </c>
      <c r="AE59">
        <f t="array" aca="1" ref="AE59" ca="1">IFERROR(INDEX(59:59, SMALL(IF($D59:$U59&lt;&gt;"", COLUMN($D$1:$U59)), COLUMN(C59))), "")</f>
        <v>134</v>
      </c>
      <c r="AF59" t="str">
        <f t="array" aca="1" ref="AF59" ca="1">IFERROR(INDEX(59:59, SMALL(IF($D59:$U59&lt;&gt;"", COLUMN($D$1:$U59)), COLUMN(D59))), "")</f>
        <v>赤　飯あり120</v>
      </c>
      <c r="AG59" t="str">
        <f t="array" aca="1" ref="AG59" ca="1">IFERROR(INDEX(59:59, SMALL(IF($D59:$U59&lt;&gt;"", COLUMN($D$1:$U59)), COLUMN(E59))), "")</f>
        <v>弁当　先生</v>
      </c>
      <c r="AH59">
        <f t="array" aca="1" ref="AH59" ca="1">IFERROR(INDEX(59:59, SMALL(IF($D59:$U59&lt;&gt;"", COLUMN($D$1:$U59)), COLUMN(F59))), "")</f>
        <v>18</v>
      </c>
      <c r="AI59" t="str">
        <f t="array" aca="1" ref="AI59" ca="1">IFERROR(INDEX(59:59, SMALL(IF($D59:$U59&lt;&gt;"", COLUMN($D$1:$U59)), COLUMN(G59))), "")</f>
        <v/>
      </c>
      <c r="AJ59" t="str">
        <f t="array" aca="1" ref="AJ59" ca="1">IFERROR(INDEX(59:59, SMALL(IF($D59:$U59&lt;&gt;"", COLUMN($D$1:$U59)), COLUMN(H59))), "")</f>
        <v/>
      </c>
      <c r="AK59" t="str">
        <f t="array" aca="1" ref="AK59" ca="1">IFERROR(INDEX(59:59, SMALL(IF($D59:$U59&lt;&gt;"", COLUMN($D$1:$U59)), COLUMN(I59))), "")</f>
        <v/>
      </c>
      <c r="AL59" t="str">
        <f t="array" aca="1" ref="AL59" ca="1">IFERROR(INDEX(59:59, SMALL(IF($D59:$U59&lt;&gt;"", COLUMN($D$1:$U59)), COLUMN(J59))), "")</f>
        <v/>
      </c>
      <c r="AM59" t="str">
        <f t="array" aca="1" ref="AM59" ca="1">IFERROR(INDEX(59:59, SMALL(IF($D59:$U59&lt;&gt;"", COLUMN($D$1:$U59)), COLUMN(K59))), "")</f>
        <v/>
      </c>
      <c r="AN59" t="str">
        <f t="array" aca="1" ref="AN59" ca="1">IFERROR(INDEX(59:59, SMALL(IF($D59:$U59&lt;&gt;"", COLUMN($D$1:$U59)), COLUMN(L59))), "")</f>
        <v/>
      </c>
      <c r="AO59" t="str">
        <f t="array" aca="1" ref="AO59" ca="1">IFERROR(INDEX(59:59, SMALL(IF($D59:$U59&lt;&gt;"", COLUMN($D$1:$U59)), COLUMN(M59))), "")</f>
        <v/>
      </c>
      <c r="AP59" t="str">
        <f t="array" aca="1" ref="AP59" ca="1">IFERROR(INDEX(59:59, SMALL(IF($D59:$U59&lt;&gt;"", COLUMN($D$1:$U59)), COLUMN(N59))), "")</f>
        <v/>
      </c>
      <c r="AQ59" t="str">
        <f t="array" aca="1" ref="AQ59" ca="1">IFERROR(INDEX(59:59, SMALL(IF($D59:$U59&lt;&gt;"", COLUMN($D$1:$U59)), COLUMN(O59))), "")</f>
        <v/>
      </c>
      <c r="AR59" s="52" t="s">
        <v>4005</v>
      </c>
      <c r="AS59" t="str">
        <f t="shared" ca="1" si="13"/>
        <v/>
      </c>
      <c r="AT59" t="str">
        <f t="shared" ca="1" si="14"/>
        <v/>
      </c>
      <c r="AU59" t="str">
        <f t="shared" ca="1" si="16"/>
        <v/>
      </c>
      <c r="AV59" t="str">
        <f t="shared" ca="1" si="17"/>
        <v/>
      </c>
      <c r="AW59" t="str">
        <f t="shared" ca="1" si="18"/>
        <v/>
      </c>
      <c r="AX59" t="str">
        <f t="shared" ca="1" si="19"/>
        <v/>
      </c>
      <c r="AZ59" t="str">
        <f t="array" aca="1" ref="AZ59" ca="1">IFERROR(INDEX(59:59, SMALL(IF($AC59:$AX59&lt;&gt;"", COLUMN($AC$1:$AX59)), COLUMN(A59))), "")</f>
        <v>赤　飯あり120</v>
      </c>
      <c r="BA59" t="str">
        <f t="array" aca="1" ref="BA59" ca="1">IFERROR(INDEX(59:59, SMALL(IF($AC59:$AX59&lt;&gt;"", COLUMN($AC$1:$AX59)), COLUMN(B59))), "")</f>
        <v>弁当　園児</v>
      </c>
      <c r="BB59">
        <f t="array" aca="1" ref="BB59" ca="1">IFERROR(INDEX(59:59, SMALL(IF($AC59:$AX59&lt;&gt;"", COLUMN($AC$1:$AX59)), COLUMN(C59))), "")</f>
        <v>134</v>
      </c>
      <c r="BC59" t="str">
        <f t="array" aca="1" ref="BC59" ca="1">IFERROR(INDEX(59:59, SMALL(IF($AC59:$AX59&lt;&gt;"", COLUMN($AC$1:$AX59)), COLUMN(D59))), "")</f>
        <v>赤　飯あり120</v>
      </c>
      <c r="BD59" t="str">
        <f t="array" aca="1" ref="BD59" ca="1">IFERROR(INDEX(59:59, SMALL(IF($AC59:$AX59&lt;&gt;"", COLUMN($AC$1:$AX59)), COLUMN(E59))), "")</f>
        <v>弁当　先生</v>
      </c>
      <c r="BE59">
        <f t="array" aca="1" ref="BE59" ca="1">IFERROR(INDEX(59:59, SMALL(IF($AC59:$AX59&lt;&gt;"", COLUMN($AC$1:$AX59)), COLUMN(F59))), "")</f>
        <v>18</v>
      </c>
      <c r="BF59" t="str">
        <f t="array" aca="1" ref="BF59" ca="1">IFERROR(IF(AND(COUNTIF($B59,"*泉ヶ丘*"),COUNTIF($B60,"*泉ヶ丘*")),
IFERROR(INDEX(60:60, SMALL(IF($AC60:$AX60&lt;&gt;"", COLUMN($AC$1:$AX60)), COLUMN(A60))), ""),
INDEX(59:59, SMALL(IF($AC59:$AX59&lt;&gt;"", COLUMN($AC$1:$AX59)), COLUMN(G59)))), "")</f>
        <v>赤　飯あり120</v>
      </c>
      <c r="BG59" t="str">
        <f t="array" aca="1" ref="BG59" ca="1">IFERROR(IF(AND(COUNTIF($B59,"*泉ヶ丘*"),COUNTIF($B60,"*泉ヶ丘*")),
IFERROR(INDEX(60:60, SMALL(IF($AC60:$AX60&lt;&gt;"", COLUMN($AC$1:$AX60)), COLUMN(B60))), ""),
INDEX(59:59, SMALL(IF($AC59:$AX59&lt;&gt;"", COLUMN($AC$1:$AX59)), COLUMN(H59)))), "")</f>
        <v>弁当　園児　（ぺんぎん組）</v>
      </c>
      <c r="BH59">
        <f t="array" aca="1" ref="BH59" ca="1">IFERROR(IF(AND(COUNTIF($B59,"*泉ヶ丘*"),COUNTIF($B60,"*泉ヶ丘*")),
IFERROR(INDEX(60:60, SMALL(IF($AC60:$AX60&lt;&gt;"", COLUMN($AC$1:$AX60)), COLUMN(C60))), ""),
INDEX(59:59, SMALL(IF($AC59:$AX59&lt;&gt;"", COLUMN($AC$1:$AX59)), COLUMN(I59)))), "")</f>
        <v>22</v>
      </c>
      <c r="BI59" t="str">
        <f t="array" aca="1" ref="BI59" ca="1">IFERROR(IF(AND(COUNTIF($B59,"*泉ヶ丘*"),COUNTIF($B60,"*泉ヶ丘*")),
IFERROR(INDEX(60:60, SMALL(IF($AC60:$AX60&lt;&gt;"", COLUMN($AC$1:$AX60)), COLUMN(D60))), ""),
INDEX(59:59, SMALL(IF($AC59:$AX59&lt;&gt;"", COLUMN($AC$1:$AX59)), COLUMN(J59)))), "")</f>
        <v>●</v>
      </c>
      <c r="BJ59" t="str">
        <f t="array" aca="1" ref="BJ59" ca="1">IFERROR(IF(AND(COUNTIF($B59,"*泉ヶ丘*"),COUNTIF($B60,"*泉ヶ丘*")),
IFERROR(INDEX(60:60, SMALL(IF($AC60:$AX60&lt;&gt;"", COLUMN($AC$1:$AX60)), COLUMN(E60))), ""),
INDEX(59:59, SMALL(IF($AC59:$AX59&lt;&gt;"", COLUMN($AC$1:$AX59)), COLUMN(K59)))), "")</f>
        <v/>
      </c>
      <c r="BK59" t="str">
        <f t="array" aca="1" ref="BK59" ca="1">IFERROR(IF(AND(COUNTIF($B59,"*泉ヶ丘*"),COUNTIF($B60,"*泉ヶ丘*")),
IFERROR(INDEX(60:60, SMALL(IF($AC60:$AX60&lt;&gt;"", COLUMN($AC$1:$AX60)), COLUMN(F60))), ""),
INDEX(59:59, SMALL(IF($AC59:$AX59&lt;&gt;"", COLUMN($AC$1:$AX59)), COLUMN(L59)))), "")</f>
        <v/>
      </c>
      <c r="BL59" t="str">
        <f t="array" aca="1" ref="BL59" ca="1">IFERROR(IF(AND(COUNTIF($B59,"*泉ヶ丘*"),COUNTIF($B60,"*泉ヶ丘*")),
IFERROR(INDEX(60:60, SMALL(IF($AC60:$AX60&lt;&gt;"", COLUMN($AC$1:$AX60)), COLUMN(G60))), ""),
INDEX(59:59, SMALL(IF($AC59:$AX59&lt;&gt;"", COLUMN($AC$1:$AX59)), COLUMN(M59)))), "")</f>
        <v/>
      </c>
      <c r="BM59" t="str">
        <f t="array" aca="1" ref="BM59" ca="1">IFERROR(IF(AND(COUNTIF($B59,"*泉ヶ丘*"),COUNTIF($B60,"*泉ヶ丘*")),
IFERROR(INDEX(60:60, SMALL(IF($AC60:$AX60&lt;&gt;"", COLUMN($AC$1:$AX60)), COLUMN(H60))), ""),
INDEX(59:59, SMALL(IF($AC59:$AX59&lt;&gt;"", COLUMN($AC$1:$AX59)), COLUMN(N59)))), "")</f>
        <v/>
      </c>
      <c r="BN59" t="str">
        <f t="array" aca="1" ref="BN59" ca="1">IFERROR(IF(AND(COUNTIF($B59,"*泉ヶ丘*"),COUNTIF($B60,"*泉ヶ丘*")),
IFERROR(INDEX(60:60, SMALL(IF($AC60:$AX60&lt;&gt;"", COLUMN($AC$1:$AX60)), COLUMN(I60))), ""),
INDEX(59:59, SMALL(IF($AC59:$AX59&lt;&gt;"", COLUMN($AC$1:$AX59)), COLUMN(O59)))), "")</f>
        <v/>
      </c>
      <c r="BO59" t="str">
        <f t="array" aca="1" ref="BO59" ca="1">IFERROR(IF(AND(COUNTIF($B59,"*泉ヶ丘*"),COUNTIF($B60,"*泉ヶ丘*")),
IFERROR(INDEX(60:60, SMALL(IF($AC60:$AX60&lt;&gt;"", COLUMN($AC$1:$AX60)), COLUMN(J60))), ""),
INDEX(59:59, SMALL(IF($AC59:$AX59&lt;&gt;"", COLUMN($AC$1:$AX59)), COLUMN(P59)))), "")</f>
        <v/>
      </c>
      <c r="BP59" t="str">
        <f t="array" aca="1" ref="BP59" ca="1">IFERROR(IF(AND(COUNTIF($B59,"*泉ヶ丘*"),COUNTIF($B60,"*泉ヶ丘*")),
IFERROR(INDEX(60:60, SMALL(IF($AC60:$AX60&lt;&gt;"", COLUMN($AC$1:$AX60)), COLUMN(K60))), ""),
INDEX(59:59, SMALL(IF($AC59:$AX59&lt;&gt;"", COLUMN($AC$1:$AX59)), COLUMN(Q59)))), "")</f>
        <v/>
      </c>
      <c r="BQ59" t="str">
        <f t="array" aca="1" ref="BQ59" ca="1">IFERROR(IF(AND(COUNTIF($B59,"*泉ヶ丘*"),COUNTIF($B60,"*泉ヶ丘*")),
IFERROR(INDEX(60:60, SMALL(IF($AC60:$AX60&lt;&gt;"", COLUMN($AC$1:$AX60)), COLUMN(L60))), ""),
INDEX(59:59, SMALL(IF($AC59:$AX59&lt;&gt;"", COLUMN($AC$1:$AX59)), COLUMN(R59)))), "")</f>
        <v/>
      </c>
    </row>
    <row r="60" spans="1:69" x14ac:dyDescent="0.45">
      <c r="A60" t="str">
        <f t="array" ref="A60">IF(INDEX(貼り付け用!A:A,MATCH(A59,貼り付け用!A:A,0)+2)="4700",
IF(INDEX(貼り付け用!A:A,MATCH(A59,貼り付け用!A:A,0)+4)="4800",
INDEX(貼り付け用!A:A,MATCH(A59,貼り付け用!A:A,0)+6),
INDEX(貼り付け用!A:A,MATCH(A59,貼り付け用!A:A,0)+4)),INDEX(貼り付け用!A:A,MATCH(A59,貼り付け用!A:A,0)+2))</f>
        <v>40102</v>
      </c>
      <c r="B60" t="str">
        <f>IF(A60&lt;&gt;"",
VLOOKUP(A60,得意先マスタ!A:D,2,FALSE),"")</f>
        <v>泉ヶ丘幼稚園　ぺんぎん組</v>
      </c>
      <c r="C60" t="str">
        <f t="array" ref="C60">IF(A60="10000","",INDEX(貼り付け用!A:A,MATCH(A60,貼り付け用!A:A,0)+1))</f>
        <v>泉ヶ丘幼稚園ぺんぎん組</v>
      </c>
      <c r="D60" t="str">
        <f ca="1">VLOOKUP(C60,クライアント抽出!$A:$O,10,FALSE)</f>
        <v>赤　飯あり120</v>
      </c>
      <c r="E60" t="str">
        <f ca="1">IF(D60&lt;&gt;"",
IF(COUNTIF(C60,"*ぺんぎん*"),
VLOOKUP(
"*"&amp;IF(COUNTIF(D60,"*キャラ弁*"),"キャラ",
IF(COUNTIF(D60,"*赤*"),"赤",SUBSTITUTE(SUBSTITUTE(D60," ",""),"　","")))&amp;"*",
注文弁当の抽出!$F:$I,4,FALSE)&amp;
IF(COUNTIF(D60,"*おにぎり*"),"　おにぎり","")&amp;"　（ぺんぎん組）",
VLOOKUP(
"*"&amp;IF(COUNTIF(D60,"*キャラ弁*"),"キャラ",
IF(COUNTIF(D60,"*赤*"),"赤",SUBSTITUTE(SUBSTITUTE(D60," ",""),"　","")))&amp;"*",
注文弁当の抽出!$F:$I,4,FALSE)&amp;
IF(COUNTIF(D60,"*おにぎり*"),"　おにぎり","")),"")</f>
        <v>弁当　園児　（ぺんぎん組）</v>
      </c>
      <c r="F60">
        <f ca="1">IFERROR(IF(E60&lt;&gt;"",
VLOOKUP(C60,クライアント抽出!$A:$G,2,FALSE)+
IF(COUNTIF(Y60,"*-*"),Y60,0),"")
-IFERROR(MID(V60, SEARCH("予備", V60) + LEN("予備"), SEARCH("込み", V60) - (SEARCH("予備", V60) + LEN("予備"))),0),"")</f>
        <v>22</v>
      </c>
      <c r="G60" t="str">
        <f ca="1">VLOOKUP(C60,クライアント抽出!$A:$O,11,FALSE)</f>
        <v/>
      </c>
      <c r="H60" t="str">
        <f ca="1">IF(G60&lt;&gt;"",
VLOOKUP(
"*"&amp;IF(COUNTIF(G60,"*キャラ弁*"),"キャラ",
IF(COUNTIF(G60,"*赤*"),"赤",SUBSTITUTE(SUBSTITUTE(G60," ",""),"　","")))&amp;"*",
注文弁当の抽出!$F:$I,4,FALSE)&amp;
IF(COUNTIF(G60,"*おにぎり*"),"　おにぎり",""),"")</f>
        <v/>
      </c>
      <c r="I60" t="str">
        <f ca="1">IF(H60&lt;&gt;"",
VLOOKUP(C60,クライアント抽出!$A:$G,3,FALSE)+
IF(COUNTIF(C60,"*博多*"),Y60,Z60),"")</f>
        <v/>
      </c>
      <c r="J60" t="str">
        <f ca="1">VLOOKUP(C60,クライアント抽出!$A:$O,12,FALSE)</f>
        <v/>
      </c>
      <c r="K60" t="str">
        <f ca="1">IF(J60&lt;&gt;"",
VLOOKUP(
"*"&amp;IF(COUNTIF(J60,"*キャラ弁*"),"キャラ",
IF(COUNTIF(J60,"*赤*"),"赤",SUBSTITUTE(SUBSTITUTE(J60," ",""),"　","")))&amp;"*",
注文弁当の抽出!$F:$I,4,FALSE)&amp;
IF(COUNTIF(J60,"*おにぎり*"),"　おにぎり",""),"")</f>
        <v/>
      </c>
      <c r="L60" t="str">
        <f ca="1">IF(K60&lt;&gt;"",
VLOOKUP(C60,クライアント抽出!$A:$G,4,FALSE)+AA60,"")</f>
        <v/>
      </c>
      <c r="M60" t="str">
        <f ca="1">VLOOKUP(C60,クライアント抽出!$A:$O,13,FALSE)</f>
        <v/>
      </c>
      <c r="N60" t="str">
        <f ca="1">SUBSTITUTE(
IF(M60&lt;&gt;"",
VLOOKUP(
"*"&amp;IF(COUNTIF(M60,"*キャラ弁*"),"キャラ",
IF(COUNTIF(M60,"*赤*"),"赤",SUBSTITUTE(SUBSTITUTE(D60," ",""),"　","")))&amp;"*",
注文弁当の抽出!$F:$I,4,FALSE),""),"園児","先生")&amp;
IF(COUNTIF(M60,"*おにぎり*"),"　おにぎり","")</f>
        <v/>
      </c>
      <c r="O60" t="str">
        <f ca="1">IF(N60&lt;&gt;"",VLOOKUP(C60,クライアント抽出!$A:$G,5,FALSE),"")</f>
        <v/>
      </c>
      <c r="P60" t="str">
        <f ca="1">VLOOKUP(C60,クライアント抽出!$A:$O,14,FALSE)</f>
        <v/>
      </c>
      <c r="Q60" t="str">
        <f ca="1">SUBSTITUTE(
IF(P60&lt;&gt;"",
VLOOKUP(
"*"&amp;IF(COUNTIF(P60,"*キャラ弁*"),"キャラ",
IF(COUNTIF(P60,"*赤*"),"赤",SUBSTITUTE(SUBSTITUTE(G60," ",""),"　","")))&amp;"*",
注文弁当の抽出!$F:$I,4,FALSE),""),"園児","先生")&amp;
IF(COUNTIF(P60,"*おにぎり*"),"　おにぎり","")</f>
        <v/>
      </c>
      <c r="R60" t="str">
        <f ca="1">IF(Q60&lt;&gt;"",
VLOOKUP(C60,クライアント抽出!$A:$G,6,FALSE),"")</f>
        <v/>
      </c>
      <c r="S60" t="str">
        <f ca="1">VLOOKUP(C60,クライアント抽出!$A:$O,15,FALSE)</f>
        <v/>
      </c>
      <c r="T60" t="str">
        <f ca="1">SUBSTITUTE(
IF(S60&lt;&gt;"",
VLOOKUP(
"*"&amp;IF(COUNTIF(S60,"*キャラ弁*"),"キャラ",
IF(COUNTIF(S60,"*赤*"),"赤",SUBSTITUTE(SUBSTITUTE(J60," ",""),"　","")))&amp;"*",
注文弁当の抽出!$F:$I,4,FALSE),""),"園児","先生")&amp;
IF(COUNTIF(S60,"*おにぎり*"),"　おにぎり","")</f>
        <v/>
      </c>
      <c r="U60" t="str">
        <f ca="1">IF(T60&lt;&gt;"",
VLOOKUP(C60,クライアント抽出!$A:$G,7,FALSE),"")</f>
        <v/>
      </c>
      <c r="V60" t="str">
        <f ca="1">IF(A60&lt;&gt;"",
IF(COUNTIF(V59,"*牛乳*"),
IF(AND(COUNTIF(B59,"*奈良屋*"),COUNTIF(B60,"*奈良屋*")),
V59&amp;"✔",""),VLOOKUP(""&amp;A60&amp;"",数出表_Excel!$A:$Z,22,FALSE)&amp;VLOOKUP(""&amp;A60&amp;"",数出表_Excel!$A:$Z,23,FALSE)
&amp;VLOOKUP(""&amp;C60&amp;"",数出表_Excel!$A:$Z,22,FALSE)&amp;VLOOKUP(""&amp;C60&amp;"",数出表_Excel!$A:$Z,23,FALSE)),"")</f>
        <v/>
      </c>
      <c r="W60">
        <f ca="1">IF(AND(COUNTIF(V60,"&lt;&gt;*不要*"),A60&lt;&gt;""),VLOOKUP(A60,得意先マスタ!$A:$AD,24,FALSE),0)</f>
        <v>0</v>
      </c>
      <c r="X60">
        <f ca="1">IF(AND(COUNTIF(V60,"&lt;&gt;*不要*"),A60&lt;&gt;""),VLOOKUP(A60,得意先マスタ!$A:$AD,25,FALSE),0)</f>
        <v>0</v>
      </c>
      <c r="Y60">
        <f t="shared" ca="1" si="10"/>
        <v>0</v>
      </c>
      <c r="Z60">
        <f t="shared" ca="1" si="11"/>
        <v>0</v>
      </c>
      <c r="AA60">
        <f t="shared" ca="1" si="15"/>
        <v>0</v>
      </c>
      <c r="AB60" t="str">
        <f t="shared" ca="1" si="12"/>
        <v/>
      </c>
      <c r="AC60" t="str">
        <f t="array" aca="1" ref="AC60" ca="1">IFERROR(INDEX(60:60, SMALL(IF($D60:$U60&lt;&gt;"", COLUMN($D$1:$U60)), COLUMN(A60))), "")</f>
        <v>赤　飯あり120</v>
      </c>
      <c r="AD60" t="str">
        <f t="array" aca="1" ref="AD60" ca="1">IFERROR(INDEX(60:60, SMALL(IF($D60:$U60&lt;&gt;"", COLUMN($D$1:$U60)), COLUMN(B60))), "")</f>
        <v>弁当　園児　（ぺんぎん組）</v>
      </c>
      <c r="AE60">
        <f t="array" aca="1" ref="AE60" ca="1">IFERROR(INDEX(60:60, SMALL(IF($D60:$U60&lt;&gt;"", COLUMN($D$1:$U60)), COLUMN(C60))), "")</f>
        <v>22</v>
      </c>
      <c r="AF60" t="str">
        <f t="array" aca="1" ref="AF60" ca="1">IFERROR(INDEX(60:60, SMALL(IF($D60:$U60&lt;&gt;"", COLUMN($D$1:$U60)), COLUMN(D60))), "")</f>
        <v/>
      </c>
      <c r="AG60" t="str">
        <f t="array" aca="1" ref="AG60" ca="1">IFERROR(INDEX(60:60, SMALL(IF($D60:$U60&lt;&gt;"", COLUMN($D$1:$U60)), COLUMN(E60))), "")</f>
        <v/>
      </c>
      <c r="AH60" t="str">
        <f t="array" aca="1" ref="AH60" ca="1">IFERROR(INDEX(60:60, SMALL(IF($D60:$U60&lt;&gt;"", COLUMN($D$1:$U60)), COLUMN(F60))), "")</f>
        <v/>
      </c>
      <c r="AI60" t="str">
        <f t="array" aca="1" ref="AI60" ca="1">IFERROR(INDEX(60:60, SMALL(IF($D60:$U60&lt;&gt;"", COLUMN($D$1:$U60)), COLUMN(G60))), "")</f>
        <v/>
      </c>
      <c r="AJ60" t="str">
        <f t="array" aca="1" ref="AJ60" ca="1">IFERROR(INDEX(60:60, SMALL(IF($D60:$U60&lt;&gt;"", COLUMN($D$1:$U60)), COLUMN(H60))), "")</f>
        <v/>
      </c>
      <c r="AK60" t="str">
        <f t="array" aca="1" ref="AK60" ca="1">IFERROR(INDEX(60:60, SMALL(IF($D60:$U60&lt;&gt;"", COLUMN($D$1:$U60)), COLUMN(I60))), "")</f>
        <v/>
      </c>
      <c r="AL60" t="str">
        <f t="array" aca="1" ref="AL60" ca="1">IFERROR(INDEX(60:60, SMALL(IF($D60:$U60&lt;&gt;"", COLUMN($D$1:$U60)), COLUMN(J60))), "")</f>
        <v/>
      </c>
      <c r="AM60" t="str">
        <f t="array" aca="1" ref="AM60" ca="1">IFERROR(INDEX(60:60, SMALL(IF($D60:$U60&lt;&gt;"", COLUMN($D$1:$U60)), COLUMN(K60))), "")</f>
        <v/>
      </c>
      <c r="AN60" t="str">
        <f t="array" aca="1" ref="AN60" ca="1">IFERROR(INDEX(60:60, SMALL(IF($D60:$U60&lt;&gt;"", COLUMN($D$1:$U60)), COLUMN(L60))), "")</f>
        <v/>
      </c>
      <c r="AO60" t="str">
        <f t="array" aca="1" ref="AO60" ca="1">IFERROR(INDEX(60:60, SMALL(IF($D60:$U60&lt;&gt;"", COLUMN($D$1:$U60)), COLUMN(M60))), "")</f>
        <v/>
      </c>
      <c r="AP60" t="str">
        <f t="array" aca="1" ref="AP60" ca="1">IFERROR(INDEX(60:60, SMALL(IF($D60:$U60&lt;&gt;"", COLUMN($D$1:$U60)), COLUMN(N60))), "")</f>
        <v/>
      </c>
      <c r="AQ60" t="str">
        <f t="array" aca="1" ref="AQ60" ca="1">IFERROR(INDEX(60:60, SMALL(IF($D60:$U60&lt;&gt;"", COLUMN($D$1:$U60)), COLUMN(O60))), "")</f>
        <v/>
      </c>
      <c r="AR60" s="52" t="s">
        <v>4005</v>
      </c>
      <c r="AS60" t="str">
        <f t="shared" ca="1" si="13"/>
        <v/>
      </c>
      <c r="AT60" t="str">
        <f t="shared" ca="1" si="14"/>
        <v/>
      </c>
      <c r="AU60" t="str">
        <f t="shared" ca="1" si="16"/>
        <v/>
      </c>
      <c r="AV60" t="str">
        <f t="shared" ca="1" si="17"/>
        <v/>
      </c>
      <c r="AW60" t="str">
        <f t="shared" ca="1" si="18"/>
        <v/>
      </c>
      <c r="AX60" t="str">
        <f t="shared" ca="1" si="19"/>
        <v/>
      </c>
      <c r="AZ60" t="str">
        <f t="array" aca="1" ref="AZ60" ca="1">IFERROR(INDEX(60:60, SMALL(IF($AC60:$AX60&lt;&gt;"", COLUMN($AC$1:$AX60)), COLUMN(A60))), "")</f>
        <v>赤　飯あり120</v>
      </c>
      <c r="BA60" t="str">
        <f t="array" aca="1" ref="BA60" ca="1">IFERROR(INDEX(60:60, SMALL(IF($AC60:$AX60&lt;&gt;"", COLUMN($AC$1:$AX60)), COLUMN(B60))), "")</f>
        <v>弁当　園児　（ぺんぎん組）</v>
      </c>
      <c r="BB60">
        <f t="array" aca="1" ref="BB60" ca="1">IFERROR(INDEX(60:60, SMALL(IF($AC60:$AX60&lt;&gt;"", COLUMN($AC$1:$AX60)), COLUMN(C60))), "")</f>
        <v>22</v>
      </c>
      <c r="BC60" t="str">
        <f t="array" aca="1" ref="BC60" ca="1">IFERROR(INDEX(60:60, SMALL(IF($AC60:$AX60&lt;&gt;"", COLUMN($AC$1:$AX60)), COLUMN(D60))), "")</f>
        <v>●</v>
      </c>
      <c r="BD60" t="str">
        <f t="array" aca="1" ref="BD60" ca="1">IFERROR(INDEX(60:60, SMALL(IF($AC60:$AX60&lt;&gt;"", COLUMN($AC$1:$AX60)), COLUMN(E60))), "")</f>
        <v/>
      </c>
      <c r="BE60" t="str">
        <f t="array" aca="1" ref="BE60" ca="1">IFERROR(INDEX(60:60, SMALL(IF($AC60:$AX60&lt;&gt;"", COLUMN($AC$1:$AX60)), COLUMN(F60))), "")</f>
        <v/>
      </c>
      <c r="BF60" t="str">
        <f t="array" aca="1" ref="BF60" ca="1">IFERROR(IF(AND(COUNTIF($B60,"*泉ヶ丘*"),COUNTIF($B61,"*泉ヶ丘*")),
IFERROR(INDEX(61:61, SMALL(IF($AC61:$AX61&lt;&gt;"", COLUMN($AC$1:$AX61)), COLUMN(A61))), ""),
INDEX(60:60, SMALL(IF($AC60:$AX60&lt;&gt;"", COLUMN($AC$1:$AX60)), COLUMN(G60)))), "")</f>
        <v/>
      </c>
      <c r="BG60" t="str">
        <f t="array" aca="1" ref="BG60" ca="1">IFERROR(IF(AND(COUNTIF($B60,"*泉ヶ丘*"),COUNTIF($B61,"*泉ヶ丘*")),
IFERROR(INDEX(61:61, SMALL(IF($AC61:$AX61&lt;&gt;"", COLUMN($AC$1:$AX61)), COLUMN(B61))), ""),
INDEX(60:60, SMALL(IF($AC60:$AX60&lt;&gt;"", COLUMN($AC$1:$AX60)), COLUMN(H60)))), "")</f>
        <v/>
      </c>
      <c r="BH60" t="str">
        <f t="array" aca="1" ref="BH60" ca="1">IFERROR(IF(AND(COUNTIF($B60,"*泉ヶ丘*"),COUNTIF($B61,"*泉ヶ丘*")),
IFERROR(INDEX(61:61, SMALL(IF($AC61:$AX61&lt;&gt;"", COLUMN($AC$1:$AX61)), COLUMN(C61))), ""),
INDEX(60:60, SMALL(IF($AC60:$AX60&lt;&gt;"", COLUMN($AC$1:$AX60)), COLUMN(I60)))), "")</f>
        <v/>
      </c>
      <c r="BI60" t="str">
        <f t="array" aca="1" ref="BI60" ca="1">IFERROR(IF(AND(COUNTIF($B60,"*泉ヶ丘*"),COUNTIF($B61,"*泉ヶ丘*")),
IFERROR(INDEX(61:61, SMALL(IF($AC61:$AX61&lt;&gt;"", COLUMN($AC$1:$AX61)), COLUMN(D61))), ""),
INDEX(60:60, SMALL(IF($AC60:$AX60&lt;&gt;"", COLUMN($AC$1:$AX60)), COLUMN(J60)))), "")</f>
        <v/>
      </c>
      <c r="BJ60" t="str">
        <f t="array" aca="1" ref="BJ60" ca="1">IFERROR(IF(AND(COUNTIF($B60,"*泉ヶ丘*"),COUNTIF($B61,"*泉ヶ丘*")),
IFERROR(INDEX(61:61, SMALL(IF($AC61:$AX61&lt;&gt;"", COLUMN($AC$1:$AX61)), COLUMN(E61))), ""),
INDEX(60:60, SMALL(IF($AC60:$AX60&lt;&gt;"", COLUMN($AC$1:$AX60)), COLUMN(K60)))), "")</f>
        <v/>
      </c>
      <c r="BK60" t="str">
        <f t="array" aca="1" ref="BK60" ca="1">IFERROR(IF(AND(COUNTIF($B60,"*泉ヶ丘*"),COUNTIF($B61,"*泉ヶ丘*")),
IFERROR(INDEX(61:61, SMALL(IF($AC61:$AX61&lt;&gt;"", COLUMN($AC$1:$AX61)), COLUMN(F61))), ""),
INDEX(60:60, SMALL(IF($AC60:$AX60&lt;&gt;"", COLUMN($AC$1:$AX60)), COLUMN(L60)))), "")</f>
        <v/>
      </c>
      <c r="BL60" t="str">
        <f t="array" aca="1" ref="BL60" ca="1">IFERROR(IF(AND(COUNTIF($B60,"*泉ヶ丘*"),COUNTIF($B61,"*泉ヶ丘*")),
IFERROR(INDEX(61:61, SMALL(IF($AC61:$AX61&lt;&gt;"", COLUMN($AC$1:$AX61)), COLUMN(G61))), ""),
INDEX(60:60, SMALL(IF($AC60:$AX60&lt;&gt;"", COLUMN($AC$1:$AX60)), COLUMN(M60)))), "")</f>
        <v/>
      </c>
      <c r="BM60" t="str">
        <f t="array" aca="1" ref="BM60" ca="1">IFERROR(IF(AND(COUNTIF($B60,"*泉ヶ丘*"),COUNTIF($B61,"*泉ヶ丘*")),
IFERROR(INDEX(61:61, SMALL(IF($AC61:$AX61&lt;&gt;"", COLUMN($AC$1:$AX61)), COLUMN(H61))), ""),
INDEX(60:60, SMALL(IF($AC60:$AX60&lt;&gt;"", COLUMN($AC$1:$AX60)), COLUMN(N60)))), "")</f>
        <v/>
      </c>
      <c r="BN60" t="str">
        <f t="array" aca="1" ref="BN60" ca="1">IFERROR(IF(AND(COUNTIF($B60,"*泉ヶ丘*"),COUNTIF($B61,"*泉ヶ丘*")),
IFERROR(INDEX(61:61, SMALL(IF($AC61:$AX61&lt;&gt;"", COLUMN($AC$1:$AX61)), COLUMN(I61))), ""),
INDEX(60:60, SMALL(IF($AC60:$AX60&lt;&gt;"", COLUMN($AC$1:$AX60)), COLUMN(O60)))), "")</f>
        <v/>
      </c>
      <c r="BO60" t="str">
        <f t="array" aca="1" ref="BO60" ca="1">IFERROR(IF(AND(COUNTIF($B60,"*泉ヶ丘*"),COUNTIF($B61,"*泉ヶ丘*")),
IFERROR(INDEX(61:61, SMALL(IF($AC61:$AX61&lt;&gt;"", COLUMN($AC$1:$AX61)), COLUMN(J61))), ""),
INDEX(60:60, SMALL(IF($AC60:$AX60&lt;&gt;"", COLUMN($AC$1:$AX60)), COLUMN(P60)))), "")</f>
        <v/>
      </c>
      <c r="BP60" t="str">
        <f t="array" aca="1" ref="BP60" ca="1">IFERROR(IF(AND(COUNTIF($B60,"*泉ヶ丘*"),COUNTIF($B61,"*泉ヶ丘*")),
IFERROR(INDEX(61:61, SMALL(IF($AC61:$AX61&lt;&gt;"", COLUMN($AC$1:$AX61)), COLUMN(K61))), ""),
INDEX(60:60, SMALL(IF($AC60:$AX60&lt;&gt;"", COLUMN($AC$1:$AX60)), COLUMN(Q60)))), "")</f>
        <v/>
      </c>
      <c r="BQ60" t="str">
        <f t="array" aca="1" ref="BQ60" ca="1">IFERROR(IF(AND(COUNTIF($B60,"*泉ヶ丘*"),COUNTIF($B61,"*泉ヶ丘*")),
IFERROR(INDEX(61:61, SMALL(IF($AC61:$AX61&lt;&gt;"", COLUMN($AC$1:$AX61)), COLUMN(L61))), ""),
INDEX(60:60, SMALL(IF($AC60:$AX60&lt;&gt;"", COLUMN($AC$1:$AX60)), COLUMN(R60)))), "")</f>
        <v/>
      </c>
    </row>
    <row r="61" spans="1:69" x14ac:dyDescent="0.45">
      <c r="A61" t="str">
        <f t="array" ref="A61">IF(INDEX(貼り付け用!A:A,MATCH(A60,貼り付け用!A:A,0)+2)="4700",
IF(INDEX(貼り付け用!A:A,MATCH(A60,貼り付け用!A:A,0)+4)="4800",
INDEX(貼り付け用!A:A,MATCH(A60,貼り付け用!A:A,0)+6),
INDEX(貼り付け用!A:A,MATCH(A60,貼り付け用!A:A,0)+4)),INDEX(貼り付け用!A:A,MATCH(A60,貼り付け用!A:A,0)+2))</f>
        <v>40200</v>
      </c>
      <c r="B61" t="str">
        <f>IF(A61&lt;&gt;"",
VLOOKUP(A61,得意先マスタ!A:D,2,FALSE),"")</f>
        <v>春日小鳩幼稚園</v>
      </c>
      <c r="C61" t="str">
        <f t="array" ref="C61">IF(A61="10000","",INDEX(貼り付け用!A:A,MATCH(A61,貼り付け用!A:A,0)+1))</f>
        <v>春日小鳩幼稚園</v>
      </c>
      <c r="D61" t="str">
        <f ca="1">VLOOKUP(C61,クライアント抽出!$A:$O,10,FALSE)</f>
        <v>配膳スマ</v>
      </c>
      <c r="E61" t="str">
        <f ca="1">IF(D61&lt;&gt;"",
IF(COUNTIF(C61,"*ぺんぎん*"),
VLOOKUP(
"*"&amp;IF(COUNTIF(D61,"*キャラ弁*"),"キャラ",
IF(COUNTIF(D61,"*赤*"),"赤",SUBSTITUTE(SUBSTITUTE(D61," ",""),"　","")))&amp;"*",
注文弁当の抽出!$F:$I,4,FALSE)&amp;
IF(COUNTIF(D61,"*おにぎり*"),"　おにぎり","")&amp;"　（ぺんぎん組）",
VLOOKUP(
"*"&amp;IF(COUNTIF(D61,"*キャラ弁*"),"キャラ",
IF(COUNTIF(D61,"*赤*"),"赤",SUBSTITUTE(SUBSTITUTE(D61," ",""),"　","")))&amp;"*",
注文弁当の抽出!$F:$I,4,FALSE)&amp;
IF(COUNTIF(D61,"*おにぎり*"),"　おにぎり","")),"")</f>
        <v>配膳給食　園児</v>
      </c>
      <c r="F61">
        <f ca="1">IFERROR(IF(E61&lt;&gt;"",
VLOOKUP(C61,クライアント抽出!$A:$G,2,FALSE)+
IF(COUNTIF(Y61,"*-*"),Y61,0),"")
-IFERROR(MID(V61, SEARCH("予備", V61) + LEN("予備"), SEARCH("込み", V61) - (SEARCH("予備", V61) + LEN("予備"))),0),"")</f>
        <v>126</v>
      </c>
      <c r="G61" t="str">
        <f ca="1">VLOOKUP(C61,クライアント抽出!$A:$O,11,FALSE)</f>
        <v/>
      </c>
      <c r="H61" t="str">
        <f ca="1">IF(G61&lt;&gt;"",
VLOOKUP(
"*"&amp;IF(COUNTIF(G61,"*キャラ弁*"),"キャラ",
IF(COUNTIF(G61,"*赤*"),"赤",SUBSTITUTE(SUBSTITUTE(G61," ",""),"　","")))&amp;"*",
注文弁当の抽出!$F:$I,4,FALSE)&amp;
IF(COUNTIF(G61,"*おにぎり*"),"　おにぎり",""),"")</f>
        <v/>
      </c>
      <c r="I61" t="str">
        <f ca="1">IF(H61&lt;&gt;"",
VLOOKUP(C61,クライアント抽出!$A:$G,3,FALSE)+
IF(COUNTIF(C61,"*博多*"),Y61,Z61),"")</f>
        <v/>
      </c>
      <c r="J61" t="str">
        <f ca="1">VLOOKUP(C61,クライアント抽出!$A:$O,12,FALSE)</f>
        <v/>
      </c>
      <c r="K61" t="str">
        <f ca="1">IF(J61&lt;&gt;"",
VLOOKUP(
"*"&amp;IF(COUNTIF(J61,"*キャラ弁*"),"キャラ",
IF(COUNTIF(J61,"*赤*"),"赤",SUBSTITUTE(SUBSTITUTE(J61," ",""),"　","")))&amp;"*",
注文弁当の抽出!$F:$I,4,FALSE)&amp;
IF(COUNTIF(J61,"*おにぎり*"),"　おにぎり",""),"")</f>
        <v/>
      </c>
      <c r="L61" t="str">
        <f ca="1">IF(K61&lt;&gt;"",
VLOOKUP(C61,クライアント抽出!$A:$G,4,FALSE)+AA61,"")</f>
        <v/>
      </c>
      <c r="M61" t="str">
        <f ca="1">VLOOKUP(C61,クライアント抽出!$A:$O,13,FALSE)</f>
        <v>配膳スマ</v>
      </c>
      <c r="N61" t="str">
        <f ca="1">SUBSTITUTE(
IF(M61&lt;&gt;"",
VLOOKUP(
"*"&amp;IF(COUNTIF(M61,"*キャラ弁*"),"キャラ",
IF(COUNTIF(M61,"*赤*"),"赤",SUBSTITUTE(SUBSTITUTE(D61," ",""),"　","")))&amp;"*",
注文弁当の抽出!$F:$I,4,FALSE),""),"園児","先生")&amp;
IF(COUNTIF(M61,"*おにぎり*"),"　おにぎり","")</f>
        <v>配膳給食　先生</v>
      </c>
      <c r="O61">
        <f ca="1">IF(N61&lt;&gt;"",VLOOKUP(C61,クライアント抽出!$A:$G,5,FALSE),"")</f>
        <v>18</v>
      </c>
      <c r="P61" t="str">
        <f ca="1">VLOOKUP(C61,クライアント抽出!$A:$O,14,FALSE)</f>
        <v/>
      </c>
      <c r="Q61" t="str">
        <f ca="1">SUBSTITUTE(
IF(P61&lt;&gt;"",
VLOOKUP(
"*"&amp;IF(COUNTIF(P61,"*キャラ弁*"),"キャラ",
IF(COUNTIF(P61,"*赤*"),"赤",SUBSTITUTE(SUBSTITUTE(G61," ",""),"　","")))&amp;"*",
注文弁当の抽出!$F:$I,4,FALSE),""),"園児","先生")&amp;
IF(COUNTIF(P61,"*おにぎり*"),"　おにぎり","")</f>
        <v/>
      </c>
      <c r="R61" t="str">
        <f ca="1">IF(Q61&lt;&gt;"",
VLOOKUP(C61,クライアント抽出!$A:$G,6,FALSE),"")</f>
        <v/>
      </c>
      <c r="S61" t="str">
        <f ca="1">VLOOKUP(C61,クライアント抽出!$A:$O,15,FALSE)</f>
        <v/>
      </c>
      <c r="T61" t="str">
        <f ca="1">SUBSTITUTE(
IF(S61&lt;&gt;"",
VLOOKUP(
"*"&amp;IF(COUNTIF(S61,"*キャラ弁*"),"キャラ",
IF(COUNTIF(S61,"*赤*"),"赤",SUBSTITUTE(SUBSTITUTE(J61," ",""),"　","")))&amp;"*",
注文弁当の抽出!$F:$I,4,FALSE),""),"園児","先生")&amp;
IF(COUNTIF(S61,"*おにぎり*"),"　おにぎり","")</f>
        <v/>
      </c>
      <c r="U61" t="str">
        <f ca="1">IF(T61&lt;&gt;"",
VLOOKUP(C61,クライアント抽出!$A:$G,7,FALSE),"")</f>
        <v/>
      </c>
      <c r="V61" t="str">
        <f ca="1">IF(A61&lt;&gt;"",
IF(COUNTIF(V60,"*牛乳*"),
IF(AND(COUNTIF(B60,"*奈良屋*"),COUNTIF(B61,"*奈良屋*")),
V60&amp;"✔",""),VLOOKUP(""&amp;A61&amp;"",数出表_Excel!$A:$Z,22,FALSE)&amp;VLOOKUP(""&amp;A61&amp;"",数出表_Excel!$A:$Z,23,FALSE)
&amp;VLOOKUP(""&amp;C61&amp;"",数出表_Excel!$A:$Z,22,FALSE)&amp;VLOOKUP(""&amp;C61&amp;"",数出表_Excel!$A:$Z,23,FALSE)),"")</f>
        <v/>
      </c>
      <c r="W61">
        <f ca="1">IF(AND(COUNTIF(V61,"&lt;&gt;*不要*"),A61&lt;&gt;""),VLOOKUP(A61,得意先マスタ!$A:$AD,24,FALSE),0)</f>
        <v>0</v>
      </c>
      <c r="X61">
        <f ca="1">IF(AND(COUNTIF(V61,"&lt;&gt;*不要*"),A61&lt;&gt;""),VLOOKUP(A61,得意先マスタ!$A:$AD,25,FALSE),0)</f>
        <v>0</v>
      </c>
      <c r="Y61">
        <f t="shared" ca="1" si="10"/>
        <v>0</v>
      </c>
      <c r="Z61">
        <f t="shared" ca="1" si="11"/>
        <v>0</v>
      </c>
      <c r="AA61">
        <f t="shared" ca="1" si="15"/>
        <v>0</v>
      </c>
      <c r="AB61" t="str">
        <f t="shared" ca="1" si="12"/>
        <v/>
      </c>
      <c r="AC61" t="str">
        <f t="array" aca="1" ref="AC61" ca="1">IFERROR(INDEX(61:61, SMALL(IF($D61:$U61&lt;&gt;"", COLUMN($D$1:$U61)), COLUMN(A61))), "")</f>
        <v>配膳スマ</v>
      </c>
      <c r="AD61" t="str">
        <f t="array" aca="1" ref="AD61" ca="1">IFERROR(INDEX(61:61, SMALL(IF($D61:$U61&lt;&gt;"", COLUMN($D$1:$U61)), COLUMN(B61))), "")</f>
        <v>配膳給食　園児</v>
      </c>
      <c r="AE61">
        <f t="array" aca="1" ref="AE61" ca="1">IFERROR(INDEX(61:61, SMALL(IF($D61:$U61&lt;&gt;"", COLUMN($D$1:$U61)), COLUMN(C61))), "")</f>
        <v>126</v>
      </c>
      <c r="AF61" t="str">
        <f t="array" aca="1" ref="AF61" ca="1">IFERROR(INDEX(61:61, SMALL(IF($D61:$U61&lt;&gt;"", COLUMN($D$1:$U61)), COLUMN(D61))), "")</f>
        <v>配膳スマ</v>
      </c>
      <c r="AG61" t="str">
        <f t="array" aca="1" ref="AG61" ca="1">IFERROR(INDEX(61:61, SMALL(IF($D61:$U61&lt;&gt;"", COLUMN($D$1:$U61)), COLUMN(E61))), "")</f>
        <v>配膳給食　先生</v>
      </c>
      <c r="AH61">
        <f t="array" aca="1" ref="AH61" ca="1">IFERROR(INDEX(61:61, SMALL(IF($D61:$U61&lt;&gt;"", COLUMN($D$1:$U61)), COLUMN(F61))), "")</f>
        <v>18</v>
      </c>
      <c r="AI61" t="str">
        <f t="array" aca="1" ref="AI61" ca="1">IFERROR(INDEX(61:61, SMALL(IF($D61:$U61&lt;&gt;"", COLUMN($D$1:$U61)), COLUMN(G61))), "")</f>
        <v/>
      </c>
      <c r="AJ61" t="str">
        <f t="array" aca="1" ref="AJ61" ca="1">IFERROR(INDEX(61:61, SMALL(IF($D61:$U61&lt;&gt;"", COLUMN($D$1:$U61)), COLUMN(H61))), "")</f>
        <v/>
      </c>
      <c r="AK61" t="str">
        <f t="array" aca="1" ref="AK61" ca="1">IFERROR(INDEX(61:61, SMALL(IF($D61:$U61&lt;&gt;"", COLUMN($D$1:$U61)), COLUMN(I61))), "")</f>
        <v/>
      </c>
      <c r="AL61" t="str">
        <f t="array" aca="1" ref="AL61" ca="1">IFERROR(INDEX(61:61, SMALL(IF($D61:$U61&lt;&gt;"", COLUMN($D$1:$U61)), COLUMN(J61))), "")</f>
        <v/>
      </c>
      <c r="AM61" t="str">
        <f t="array" aca="1" ref="AM61" ca="1">IFERROR(INDEX(61:61, SMALL(IF($D61:$U61&lt;&gt;"", COLUMN($D$1:$U61)), COLUMN(K61))), "")</f>
        <v/>
      </c>
      <c r="AN61" t="str">
        <f t="array" aca="1" ref="AN61" ca="1">IFERROR(INDEX(61:61, SMALL(IF($D61:$U61&lt;&gt;"", COLUMN($D$1:$U61)), COLUMN(L61))), "")</f>
        <v/>
      </c>
      <c r="AO61" t="str">
        <f t="array" aca="1" ref="AO61" ca="1">IFERROR(INDEX(61:61, SMALL(IF($D61:$U61&lt;&gt;"", COLUMN($D$1:$U61)), COLUMN(M61))), "")</f>
        <v/>
      </c>
      <c r="AP61" t="str">
        <f t="array" aca="1" ref="AP61" ca="1">IFERROR(INDEX(61:61, SMALL(IF($D61:$U61&lt;&gt;"", COLUMN($D$1:$U61)), COLUMN(N61))), "")</f>
        <v/>
      </c>
      <c r="AQ61" t="str">
        <f t="array" aca="1" ref="AQ61" ca="1">IFERROR(INDEX(61:61, SMALL(IF($D61:$U61&lt;&gt;"", COLUMN($D$1:$U61)), COLUMN(O61))), "")</f>
        <v/>
      </c>
      <c r="AR61" s="52" t="s">
        <v>4005</v>
      </c>
      <c r="AS61" t="str">
        <f t="shared" ca="1" si="13"/>
        <v/>
      </c>
      <c r="AT61" t="str">
        <f t="shared" ca="1" si="14"/>
        <v/>
      </c>
      <c r="AU61" t="str">
        <f t="shared" ca="1" si="16"/>
        <v/>
      </c>
      <c r="AV61" t="str">
        <f t="shared" ca="1" si="17"/>
        <v/>
      </c>
      <c r="AW61" t="str">
        <f t="shared" ca="1" si="18"/>
        <v/>
      </c>
      <c r="AX61" t="str">
        <f t="shared" ca="1" si="19"/>
        <v/>
      </c>
      <c r="AZ61" t="str">
        <f t="array" aca="1" ref="AZ61" ca="1">IFERROR(INDEX(61:61, SMALL(IF($AC61:$AX61&lt;&gt;"", COLUMN($AC$1:$AX61)), COLUMN(A61))), "")</f>
        <v>配膳スマ</v>
      </c>
      <c r="BA61" t="str">
        <f t="array" aca="1" ref="BA61" ca="1">IFERROR(INDEX(61:61, SMALL(IF($AC61:$AX61&lt;&gt;"", COLUMN($AC$1:$AX61)), COLUMN(B61))), "")</f>
        <v>配膳給食　園児</v>
      </c>
      <c r="BB61">
        <f t="array" aca="1" ref="BB61" ca="1">IFERROR(INDEX(61:61, SMALL(IF($AC61:$AX61&lt;&gt;"", COLUMN($AC$1:$AX61)), COLUMN(C61))), "")</f>
        <v>126</v>
      </c>
      <c r="BC61" t="str">
        <f t="array" aca="1" ref="BC61" ca="1">IFERROR(INDEX(61:61, SMALL(IF($AC61:$AX61&lt;&gt;"", COLUMN($AC$1:$AX61)), COLUMN(D61))), "")</f>
        <v>配膳スマ</v>
      </c>
      <c r="BD61" t="str">
        <f t="array" aca="1" ref="BD61" ca="1">IFERROR(INDEX(61:61, SMALL(IF($AC61:$AX61&lt;&gt;"", COLUMN($AC$1:$AX61)), COLUMN(E61))), "")</f>
        <v>配膳給食　先生</v>
      </c>
      <c r="BE61">
        <f t="array" aca="1" ref="BE61" ca="1">IFERROR(INDEX(61:61, SMALL(IF($AC61:$AX61&lt;&gt;"", COLUMN($AC$1:$AX61)), COLUMN(F61))), "")</f>
        <v>18</v>
      </c>
      <c r="BF61" t="str">
        <f t="array" aca="1" ref="BF61" ca="1">IFERROR(IF(AND(COUNTIF($B61,"*泉ヶ丘*"),COUNTIF($B62,"*泉ヶ丘*")),
IFERROR(INDEX(62:62, SMALL(IF($AC62:$AX62&lt;&gt;"", COLUMN($AC$1:$AX62)), COLUMN(A62))), ""),
INDEX(61:61, SMALL(IF($AC61:$AX61&lt;&gt;"", COLUMN($AC$1:$AX61)), COLUMN(G61)))), "")</f>
        <v>●</v>
      </c>
      <c r="BG61" t="str">
        <f t="array" aca="1" ref="BG61" ca="1">IFERROR(IF(AND(COUNTIF($B61,"*泉ヶ丘*"),COUNTIF($B62,"*泉ヶ丘*")),
IFERROR(INDEX(62:62, SMALL(IF($AC62:$AX62&lt;&gt;"", COLUMN($AC$1:$AX62)), COLUMN(B62))), ""),
INDEX(61:61, SMALL(IF($AC61:$AX61&lt;&gt;"", COLUMN($AC$1:$AX61)), COLUMN(H61)))), "")</f>
        <v/>
      </c>
      <c r="BH61" t="str">
        <f t="array" aca="1" ref="BH61" ca="1">IFERROR(IF(AND(COUNTIF($B61,"*泉ヶ丘*"),COUNTIF($B62,"*泉ヶ丘*")),
IFERROR(INDEX(62:62, SMALL(IF($AC62:$AX62&lt;&gt;"", COLUMN($AC$1:$AX62)), COLUMN(C62))), ""),
INDEX(61:61, SMALL(IF($AC61:$AX61&lt;&gt;"", COLUMN($AC$1:$AX61)), COLUMN(I61)))), "")</f>
        <v/>
      </c>
      <c r="BI61" t="str">
        <f t="array" aca="1" ref="BI61" ca="1">IFERROR(IF(AND(COUNTIF($B61,"*泉ヶ丘*"),COUNTIF($B62,"*泉ヶ丘*")),
IFERROR(INDEX(62:62, SMALL(IF($AC62:$AX62&lt;&gt;"", COLUMN($AC$1:$AX62)), COLUMN(D62))), ""),
INDEX(61:61, SMALL(IF($AC61:$AX61&lt;&gt;"", COLUMN($AC$1:$AX61)), COLUMN(J61)))), "")</f>
        <v/>
      </c>
      <c r="BJ61" t="str">
        <f t="array" aca="1" ref="BJ61" ca="1">IFERROR(IF(AND(COUNTIF($B61,"*泉ヶ丘*"),COUNTIF($B62,"*泉ヶ丘*")),
IFERROR(INDEX(62:62, SMALL(IF($AC62:$AX62&lt;&gt;"", COLUMN($AC$1:$AX62)), COLUMN(E62))), ""),
INDEX(61:61, SMALL(IF($AC61:$AX61&lt;&gt;"", COLUMN($AC$1:$AX61)), COLUMN(K61)))), "")</f>
        <v/>
      </c>
      <c r="BK61" t="str">
        <f t="array" aca="1" ref="BK61" ca="1">IFERROR(IF(AND(COUNTIF($B61,"*泉ヶ丘*"),COUNTIF($B62,"*泉ヶ丘*")),
IFERROR(INDEX(62:62, SMALL(IF($AC62:$AX62&lt;&gt;"", COLUMN($AC$1:$AX62)), COLUMN(F62))), ""),
INDEX(61:61, SMALL(IF($AC61:$AX61&lt;&gt;"", COLUMN($AC$1:$AX61)), COLUMN(L61)))), "")</f>
        <v/>
      </c>
      <c r="BL61" t="str">
        <f t="array" aca="1" ref="BL61" ca="1">IFERROR(IF(AND(COUNTIF($B61,"*泉ヶ丘*"),COUNTIF($B62,"*泉ヶ丘*")),
IFERROR(INDEX(62:62, SMALL(IF($AC62:$AX62&lt;&gt;"", COLUMN($AC$1:$AX62)), COLUMN(G62))), ""),
INDEX(61:61, SMALL(IF($AC61:$AX61&lt;&gt;"", COLUMN($AC$1:$AX61)), COLUMN(M61)))), "")</f>
        <v/>
      </c>
      <c r="BM61" t="str">
        <f t="array" aca="1" ref="BM61" ca="1">IFERROR(IF(AND(COUNTIF($B61,"*泉ヶ丘*"),COUNTIF($B62,"*泉ヶ丘*")),
IFERROR(INDEX(62:62, SMALL(IF($AC62:$AX62&lt;&gt;"", COLUMN($AC$1:$AX62)), COLUMN(H62))), ""),
INDEX(61:61, SMALL(IF($AC61:$AX61&lt;&gt;"", COLUMN($AC$1:$AX61)), COLUMN(N61)))), "")</f>
        <v/>
      </c>
      <c r="BN61" t="str">
        <f t="array" aca="1" ref="BN61" ca="1">IFERROR(IF(AND(COUNTIF($B61,"*泉ヶ丘*"),COUNTIF($B62,"*泉ヶ丘*")),
IFERROR(INDEX(62:62, SMALL(IF($AC62:$AX62&lt;&gt;"", COLUMN($AC$1:$AX62)), COLUMN(I62))), ""),
INDEX(61:61, SMALL(IF($AC61:$AX61&lt;&gt;"", COLUMN($AC$1:$AX61)), COLUMN(O61)))), "")</f>
        <v/>
      </c>
      <c r="BO61" t="str">
        <f t="array" aca="1" ref="BO61" ca="1">IFERROR(IF(AND(COUNTIF($B61,"*泉ヶ丘*"),COUNTIF($B62,"*泉ヶ丘*")),
IFERROR(INDEX(62:62, SMALL(IF($AC62:$AX62&lt;&gt;"", COLUMN($AC$1:$AX62)), COLUMN(J62))), ""),
INDEX(61:61, SMALL(IF($AC61:$AX61&lt;&gt;"", COLUMN($AC$1:$AX61)), COLUMN(P61)))), "")</f>
        <v/>
      </c>
      <c r="BP61" t="str">
        <f t="array" aca="1" ref="BP61" ca="1">IFERROR(IF(AND(COUNTIF($B61,"*泉ヶ丘*"),COUNTIF($B62,"*泉ヶ丘*")),
IFERROR(INDEX(62:62, SMALL(IF($AC62:$AX62&lt;&gt;"", COLUMN($AC$1:$AX62)), COLUMN(K62))), ""),
INDEX(61:61, SMALL(IF($AC61:$AX61&lt;&gt;"", COLUMN($AC$1:$AX61)), COLUMN(Q61)))), "")</f>
        <v/>
      </c>
      <c r="BQ61" t="str">
        <f t="array" aca="1" ref="BQ61" ca="1">IFERROR(IF(AND(COUNTIF($B61,"*泉ヶ丘*"),COUNTIF($B62,"*泉ヶ丘*")),
IFERROR(INDEX(62:62, SMALL(IF($AC62:$AX62&lt;&gt;"", COLUMN($AC$1:$AX62)), COLUMN(L62))), ""),
INDEX(61:61, SMALL(IF($AC61:$AX61&lt;&gt;"", COLUMN($AC$1:$AX61)), COLUMN(R61)))), "")</f>
        <v/>
      </c>
    </row>
    <row r="62" spans="1:69" x14ac:dyDescent="0.45">
      <c r="A62" t="str">
        <f t="array" ref="A62">IF(INDEX(貼り付け用!A:A,MATCH(A61,貼り付け用!A:A,0)+2)="4700",
IF(INDEX(貼り付け用!A:A,MATCH(A61,貼り付け用!A:A,0)+4)="4800",
INDEX(貼り付け用!A:A,MATCH(A61,貼り付け用!A:A,0)+6),
INDEX(貼り付け用!A:A,MATCH(A61,貼り付け用!A:A,0)+4)),INDEX(貼り付け用!A:A,MATCH(A61,貼り付け用!A:A,0)+2))</f>
        <v>40250</v>
      </c>
      <c r="B62" t="str">
        <f>IF(A62&lt;&gt;"",
VLOOKUP(A62,得意先マスタ!A:D,2,FALSE),"")</f>
        <v>かなやま幼稚園</v>
      </c>
      <c r="C62" t="str">
        <f t="array" ref="C62">IF(A62="10000","",INDEX(貼り付け用!A:A,MATCH(A62,貼り付け用!A:A,0)+1))</f>
        <v>かなやま幼稚園</v>
      </c>
      <c r="D62" t="str">
        <f ca="1">VLOOKUP(C62,クライアント抽出!$A:$O,10,FALSE)</f>
        <v>配膳スマ</v>
      </c>
      <c r="E62" t="str">
        <f ca="1">IF(D62&lt;&gt;"",
IF(COUNTIF(C62,"*ぺんぎん*"),
VLOOKUP(
"*"&amp;IF(COUNTIF(D62,"*キャラ弁*"),"キャラ",
IF(COUNTIF(D62,"*赤*"),"赤",SUBSTITUTE(SUBSTITUTE(D62," ",""),"　","")))&amp;"*",
注文弁当の抽出!$F:$I,4,FALSE)&amp;
IF(COUNTIF(D62,"*おにぎり*"),"　おにぎり","")&amp;"　（ぺんぎん組）",
VLOOKUP(
"*"&amp;IF(COUNTIF(D62,"*キャラ弁*"),"キャラ",
IF(COUNTIF(D62,"*赤*"),"赤",SUBSTITUTE(SUBSTITUTE(D62," ",""),"　","")))&amp;"*",
注文弁当の抽出!$F:$I,4,FALSE)&amp;
IF(COUNTIF(D62,"*おにぎり*"),"　おにぎり","")),"")</f>
        <v>配膳給食　園児</v>
      </c>
      <c r="F62">
        <f ca="1">IFERROR(IF(E62&lt;&gt;"",
VLOOKUP(C62,クライアント抽出!$A:$G,2,FALSE)+
IF(COUNTIF(Y62,"*-*"),Y62,0),"")
-IFERROR(MID(V62, SEARCH("予備", V62) + LEN("予備"), SEARCH("込み", V62) - (SEARCH("予備", V62) + LEN("予備"))),0),"")</f>
        <v>153</v>
      </c>
      <c r="G62" t="str">
        <f ca="1">VLOOKUP(C62,クライアント抽出!$A:$O,11,FALSE)</f>
        <v/>
      </c>
      <c r="H62" t="str">
        <f ca="1">IF(G62&lt;&gt;"",
VLOOKUP(
"*"&amp;IF(COUNTIF(G62,"*キャラ弁*"),"キャラ",
IF(COUNTIF(G62,"*赤*"),"赤",SUBSTITUTE(SUBSTITUTE(G62," ",""),"　","")))&amp;"*",
注文弁当の抽出!$F:$I,4,FALSE)&amp;
IF(COUNTIF(G62,"*おにぎり*"),"　おにぎり",""),"")</f>
        <v/>
      </c>
      <c r="I62" t="str">
        <f ca="1">IF(H62&lt;&gt;"",
VLOOKUP(C62,クライアント抽出!$A:$G,3,FALSE)+
IF(COUNTIF(C62,"*博多*"),Y62,Z62),"")</f>
        <v/>
      </c>
      <c r="J62" t="str">
        <f ca="1">VLOOKUP(C62,クライアント抽出!$A:$O,12,FALSE)</f>
        <v/>
      </c>
      <c r="K62" t="str">
        <f ca="1">IF(J62&lt;&gt;"",
VLOOKUP(
"*"&amp;IF(COUNTIF(J62,"*キャラ弁*"),"キャラ",
IF(COUNTIF(J62,"*赤*"),"赤",SUBSTITUTE(SUBSTITUTE(J62," ",""),"　","")))&amp;"*",
注文弁当の抽出!$F:$I,4,FALSE)&amp;
IF(COUNTIF(J62,"*おにぎり*"),"　おにぎり",""),"")</f>
        <v/>
      </c>
      <c r="L62" t="str">
        <f ca="1">IF(K62&lt;&gt;"",
VLOOKUP(C62,クライアント抽出!$A:$G,4,FALSE)+AA62,"")</f>
        <v/>
      </c>
      <c r="M62" t="str">
        <f ca="1">VLOOKUP(C62,クライアント抽出!$A:$O,13,FALSE)</f>
        <v>配膳スマ</v>
      </c>
      <c r="N62" t="str">
        <f ca="1">SUBSTITUTE(
IF(M62&lt;&gt;"",
VLOOKUP(
"*"&amp;IF(COUNTIF(M62,"*キャラ弁*"),"キャラ",
IF(COUNTIF(M62,"*赤*"),"赤",SUBSTITUTE(SUBSTITUTE(D62," ",""),"　","")))&amp;"*",
注文弁当の抽出!$F:$I,4,FALSE),""),"園児","先生")&amp;
IF(COUNTIF(M62,"*おにぎり*"),"　おにぎり","")</f>
        <v>配膳給食　先生</v>
      </c>
      <c r="O62">
        <f ca="1">IF(N62&lt;&gt;"",VLOOKUP(C62,クライアント抽出!$A:$G,5,FALSE),"")</f>
        <v>18</v>
      </c>
      <c r="P62" t="str">
        <f ca="1">VLOOKUP(C62,クライアント抽出!$A:$O,14,FALSE)</f>
        <v/>
      </c>
      <c r="Q62" t="str">
        <f ca="1">SUBSTITUTE(
IF(P62&lt;&gt;"",
VLOOKUP(
"*"&amp;IF(COUNTIF(P62,"*キャラ弁*"),"キャラ",
IF(COUNTIF(P62,"*赤*"),"赤",SUBSTITUTE(SUBSTITUTE(G62," ",""),"　","")))&amp;"*",
注文弁当の抽出!$F:$I,4,FALSE),""),"園児","先生")&amp;
IF(COUNTIF(P62,"*おにぎり*"),"　おにぎり","")</f>
        <v/>
      </c>
      <c r="R62" t="str">
        <f ca="1">IF(Q62&lt;&gt;"",
VLOOKUP(C62,クライアント抽出!$A:$G,6,FALSE),"")</f>
        <v/>
      </c>
      <c r="S62" t="str">
        <f ca="1">VLOOKUP(C62,クライアント抽出!$A:$O,15,FALSE)</f>
        <v/>
      </c>
      <c r="T62" t="str">
        <f ca="1">SUBSTITUTE(
IF(S62&lt;&gt;"",
VLOOKUP(
"*"&amp;IF(COUNTIF(S62,"*キャラ弁*"),"キャラ",
IF(COUNTIF(S62,"*赤*"),"赤",SUBSTITUTE(SUBSTITUTE(J62," ",""),"　","")))&amp;"*",
注文弁当の抽出!$F:$I,4,FALSE),""),"園児","先生")&amp;
IF(COUNTIF(S62,"*おにぎり*"),"　おにぎり","")</f>
        <v/>
      </c>
      <c r="U62" t="str">
        <f ca="1">IF(T62&lt;&gt;"",
VLOOKUP(C62,クライアント抽出!$A:$G,7,FALSE),"")</f>
        <v/>
      </c>
      <c r="V62" t="str">
        <f ca="1">IF(A62&lt;&gt;"",
IF(COUNTIF(V61,"*牛乳*"),
IF(AND(COUNTIF(B61,"*奈良屋*"),COUNTIF(B62,"*奈良屋*")),
V61&amp;"✔",""),VLOOKUP(""&amp;A62&amp;"",数出表_Excel!$A:$Z,22,FALSE)&amp;VLOOKUP(""&amp;A62&amp;"",数出表_Excel!$A:$Z,23,FALSE)
&amp;VLOOKUP(""&amp;C62&amp;"",数出表_Excel!$A:$Z,22,FALSE)&amp;VLOOKUP(""&amp;C62&amp;"",数出表_Excel!$A:$Z,23,FALSE)),"")</f>
        <v>きく組学級閉鎖</v>
      </c>
      <c r="W62">
        <f ca="1">IF(AND(COUNTIF(V62,"&lt;&gt;*不要*"),A62&lt;&gt;""),VLOOKUP(A62,得意先マスタ!$A:$AD,24,FALSE),0)</f>
        <v>0</v>
      </c>
      <c r="X62">
        <f ca="1">IF(AND(COUNTIF(V62,"&lt;&gt;*不要*"),A62&lt;&gt;""),VLOOKUP(A62,得意先マスタ!$A:$AD,25,FALSE),0)</f>
        <v>0</v>
      </c>
      <c r="Y62">
        <f t="shared" ca="1" si="10"/>
        <v>0</v>
      </c>
      <c r="Z62">
        <f t="shared" ca="1" si="11"/>
        <v>0</v>
      </c>
      <c r="AA62">
        <f t="shared" ca="1" si="15"/>
        <v>0</v>
      </c>
      <c r="AB62" t="str">
        <f t="shared" ca="1" si="12"/>
        <v/>
      </c>
      <c r="AC62" t="str">
        <f t="array" aca="1" ref="AC62" ca="1">IFERROR(INDEX(62:62, SMALL(IF($D62:$U62&lt;&gt;"", COLUMN($D$1:$U62)), COLUMN(A62))), "")</f>
        <v>配膳スマ</v>
      </c>
      <c r="AD62" t="str">
        <f t="array" aca="1" ref="AD62" ca="1">IFERROR(INDEX(62:62, SMALL(IF($D62:$U62&lt;&gt;"", COLUMN($D$1:$U62)), COLUMN(B62))), "")</f>
        <v>配膳給食　園児</v>
      </c>
      <c r="AE62">
        <f t="array" aca="1" ref="AE62" ca="1">IFERROR(INDEX(62:62, SMALL(IF($D62:$U62&lt;&gt;"", COLUMN($D$1:$U62)), COLUMN(C62))), "")</f>
        <v>153</v>
      </c>
      <c r="AF62" t="str">
        <f t="array" aca="1" ref="AF62" ca="1">IFERROR(INDEX(62:62, SMALL(IF($D62:$U62&lt;&gt;"", COLUMN($D$1:$U62)), COLUMN(D62))), "")</f>
        <v>配膳スマ</v>
      </c>
      <c r="AG62" t="str">
        <f t="array" aca="1" ref="AG62" ca="1">IFERROR(INDEX(62:62, SMALL(IF($D62:$U62&lt;&gt;"", COLUMN($D$1:$U62)), COLUMN(E62))), "")</f>
        <v>配膳給食　先生</v>
      </c>
      <c r="AH62">
        <f t="array" aca="1" ref="AH62" ca="1">IFERROR(INDEX(62:62, SMALL(IF($D62:$U62&lt;&gt;"", COLUMN($D$1:$U62)), COLUMN(F62))), "")</f>
        <v>18</v>
      </c>
      <c r="AI62" t="str">
        <f t="array" aca="1" ref="AI62" ca="1">IFERROR(INDEX(62:62, SMALL(IF($D62:$U62&lt;&gt;"", COLUMN($D$1:$U62)), COLUMN(G62))), "")</f>
        <v/>
      </c>
      <c r="AJ62" t="str">
        <f t="array" aca="1" ref="AJ62" ca="1">IFERROR(INDEX(62:62, SMALL(IF($D62:$U62&lt;&gt;"", COLUMN($D$1:$U62)), COLUMN(H62))), "")</f>
        <v/>
      </c>
      <c r="AK62" t="str">
        <f t="array" aca="1" ref="AK62" ca="1">IFERROR(INDEX(62:62, SMALL(IF($D62:$U62&lt;&gt;"", COLUMN($D$1:$U62)), COLUMN(I62))), "")</f>
        <v/>
      </c>
      <c r="AL62" t="str">
        <f t="array" aca="1" ref="AL62" ca="1">IFERROR(INDEX(62:62, SMALL(IF($D62:$U62&lt;&gt;"", COLUMN($D$1:$U62)), COLUMN(J62))), "")</f>
        <v/>
      </c>
      <c r="AM62" t="str">
        <f t="array" aca="1" ref="AM62" ca="1">IFERROR(INDEX(62:62, SMALL(IF($D62:$U62&lt;&gt;"", COLUMN($D$1:$U62)), COLUMN(K62))), "")</f>
        <v/>
      </c>
      <c r="AN62" t="str">
        <f t="array" aca="1" ref="AN62" ca="1">IFERROR(INDEX(62:62, SMALL(IF($D62:$U62&lt;&gt;"", COLUMN($D$1:$U62)), COLUMN(L62))), "")</f>
        <v/>
      </c>
      <c r="AO62" t="str">
        <f t="array" aca="1" ref="AO62" ca="1">IFERROR(INDEX(62:62, SMALL(IF($D62:$U62&lt;&gt;"", COLUMN($D$1:$U62)), COLUMN(M62))), "")</f>
        <v/>
      </c>
      <c r="AP62" t="str">
        <f t="array" aca="1" ref="AP62" ca="1">IFERROR(INDEX(62:62, SMALL(IF($D62:$U62&lt;&gt;"", COLUMN($D$1:$U62)), COLUMN(N62))), "")</f>
        <v/>
      </c>
      <c r="AQ62" t="str">
        <f t="array" aca="1" ref="AQ62" ca="1">IFERROR(INDEX(62:62, SMALL(IF($D62:$U62&lt;&gt;"", COLUMN($D$1:$U62)), COLUMN(O62))), "")</f>
        <v/>
      </c>
      <c r="AR62" s="52" t="s">
        <v>4005</v>
      </c>
      <c r="AS62" t="str">
        <f t="shared" ca="1" si="13"/>
        <v/>
      </c>
      <c r="AT62" t="str">
        <f t="shared" ca="1" si="14"/>
        <v/>
      </c>
      <c r="AU62" t="str">
        <f t="shared" ca="1" si="16"/>
        <v/>
      </c>
      <c r="AV62" t="str">
        <f t="shared" ca="1" si="17"/>
        <v/>
      </c>
      <c r="AW62" t="str">
        <f t="shared" ca="1" si="18"/>
        <v/>
      </c>
      <c r="AX62" t="str">
        <f t="shared" ca="1" si="19"/>
        <v/>
      </c>
      <c r="AZ62" t="str">
        <f t="array" aca="1" ref="AZ62" ca="1">IFERROR(INDEX(62:62, SMALL(IF($AC62:$AX62&lt;&gt;"", COLUMN($AC$1:$AX62)), COLUMN(A62))), "")</f>
        <v>配膳スマ</v>
      </c>
      <c r="BA62" t="str">
        <f t="array" aca="1" ref="BA62" ca="1">IFERROR(INDEX(62:62, SMALL(IF($AC62:$AX62&lt;&gt;"", COLUMN($AC$1:$AX62)), COLUMN(B62))), "")</f>
        <v>配膳給食　園児</v>
      </c>
      <c r="BB62">
        <f t="array" aca="1" ref="BB62" ca="1">IFERROR(INDEX(62:62, SMALL(IF($AC62:$AX62&lt;&gt;"", COLUMN($AC$1:$AX62)), COLUMN(C62))), "")</f>
        <v>153</v>
      </c>
      <c r="BC62" t="str">
        <f t="array" aca="1" ref="BC62" ca="1">IFERROR(INDEX(62:62, SMALL(IF($AC62:$AX62&lt;&gt;"", COLUMN($AC$1:$AX62)), COLUMN(D62))), "")</f>
        <v>配膳スマ</v>
      </c>
      <c r="BD62" t="str">
        <f t="array" aca="1" ref="BD62" ca="1">IFERROR(INDEX(62:62, SMALL(IF($AC62:$AX62&lt;&gt;"", COLUMN($AC$1:$AX62)), COLUMN(E62))), "")</f>
        <v>配膳給食　先生</v>
      </c>
      <c r="BE62">
        <f t="array" aca="1" ref="BE62" ca="1">IFERROR(INDEX(62:62, SMALL(IF($AC62:$AX62&lt;&gt;"", COLUMN($AC$1:$AX62)), COLUMN(F62))), "")</f>
        <v>18</v>
      </c>
      <c r="BF62" t="str">
        <f t="array" aca="1" ref="BF62" ca="1">IFERROR(IF(AND(COUNTIF($B62,"*泉ヶ丘*"),COUNTIF($B63,"*泉ヶ丘*")),
IFERROR(INDEX(63:63, SMALL(IF($AC63:$AX63&lt;&gt;"", COLUMN($AC$1:$AX63)), COLUMN(A63))), ""),
INDEX(62:62, SMALL(IF($AC62:$AX62&lt;&gt;"", COLUMN($AC$1:$AX62)), COLUMN(G62)))), "")</f>
        <v>●</v>
      </c>
      <c r="BG62" t="str">
        <f t="array" aca="1" ref="BG62" ca="1">IFERROR(IF(AND(COUNTIF($B62,"*泉ヶ丘*"),COUNTIF($B63,"*泉ヶ丘*")),
IFERROR(INDEX(63:63, SMALL(IF($AC63:$AX63&lt;&gt;"", COLUMN($AC$1:$AX63)), COLUMN(B63))), ""),
INDEX(62:62, SMALL(IF($AC62:$AX62&lt;&gt;"", COLUMN($AC$1:$AX62)), COLUMN(H62)))), "")</f>
        <v/>
      </c>
      <c r="BH62" t="str">
        <f t="array" aca="1" ref="BH62" ca="1">IFERROR(IF(AND(COUNTIF($B62,"*泉ヶ丘*"),COUNTIF($B63,"*泉ヶ丘*")),
IFERROR(INDEX(63:63, SMALL(IF($AC63:$AX63&lt;&gt;"", COLUMN($AC$1:$AX63)), COLUMN(C63))), ""),
INDEX(62:62, SMALL(IF($AC62:$AX62&lt;&gt;"", COLUMN($AC$1:$AX62)), COLUMN(I62)))), "")</f>
        <v/>
      </c>
      <c r="BI62" t="str">
        <f t="array" aca="1" ref="BI62" ca="1">IFERROR(IF(AND(COUNTIF($B62,"*泉ヶ丘*"),COUNTIF($B63,"*泉ヶ丘*")),
IFERROR(INDEX(63:63, SMALL(IF($AC63:$AX63&lt;&gt;"", COLUMN($AC$1:$AX63)), COLUMN(D63))), ""),
INDEX(62:62, SMALL(IF($AC62:$AX62&lt;&gt;"", COLUMN($AC$1:$AX62)), COLUMN(J62)))), "")</f>
        <v/>
      </c>
      <c r="BJ62" t="str">
        <f t="array" aca="1" ref="BJ62" ca="1">IFERROR(IF(AND(COUNTIF($B62,"*泉ヶ丘*"),COUNTIF($B63,"*泉ヶ丘*")),
IFERROR(INDEX(63:63, SMALL(IF($AC63:$AX63&lt;&gt;"", COLUMN($AC$1:$AX63)), COLUMN(E63))), ""),
INDEX(62:62, SMALL(IF($AC62:$AX62&lt;&gt;"", COLUMN($AC$1:$AX62)), COLUMN(K62)))), "")</f>
        <v/>
      </c>
      <c r="BK62" t="str">
        <f t="array" aca="1" ref="BK62" ca="1">IFERROR(IF(AND(COUNTIF($B62,"*泉ヶ丘*"),COUNTIF($B63,"*泉ヶ丘*")),
IFERROR(INDEX(63:63, SMALL(IF($AC63:$AX63&lt;&gt;"", COLUMN($AC$1:$AX63)), COLUMN(F63))), ""),
INDEX(62:62, SMALL(IF($AC62:$AX62&lt;&gt;"", COLUMN($AC$1:$AX62)), COLUMN(L62)))), "")</f>
        <v/>
      </c>
      <c r="BL62" t="str">
        <f t="array" aca="1" ref="BL62" ca="1">IFERROR(IF(AND(COUNTIF($B62,"*泉ヶ丘*"),COUNTIF($B63,"*泉ヶ丘*")),
IFERROR(INDEX(63:63, SMALL(IF($AC63:$AX63&lt;&gt;"", COLUMN($AC$1:$AX63)), COLUMN(G63))), ""),
INDEX(62:62, SMALL(IF($AC62:$AX62&lt;&gt;"", COLUMN($AC$1:$AX62)), COLUMN(M62)))), "")</f>
        <v/>
      </c>
      <c r="BM62" t="str">
        <f t="array" aca="1" ref="BM62" ca="1">IFERROR(IF(AND(COUNTIF($B62,"*泉ヶ丘*"),COUNTIF($B63,"*泉ヶ丘*")),
IFERROR(INDEX(63:63, SMALL(IF($AC63:$AX63&lt;&gt;"", COLUMN($AC$1:$AX63)), COLUMN(H63))), ""),
INDEX(62:62, SMALL(IF($AC62:$AX62&lt;&gt;"", COLUMN($AC$1:$AX62)), COLUMN(N62)))), "")</f>
        <v/>
      </c>
      <c r="BN62" t="str">
        <f t="array" aca="1" ref="BN62" ca="1">IFERROR(IF(AND(COUNTIF($B62,"*泉ヶ丘*"),COUNTIF($B63,"*泉ヶ丘*")),
IFERROR(INDEX(63:63, SMALL(IF($AC63:$AX63&lt;&gt;"", COLUMN($AC$1:$AX63)), COLUMN(I63))), ""),
INDEX(62:62, SMALL(IF($AC62:$AX62&lt;&gt;"", COLUMN($AC$1:$AX62)), COLUMN(O62)))), "")</f>
        <v/>
      </c>
      <c r="BO62" t="str">
        <f t="array" aca="1" ref="BO62" ca="1">IFERROR(IF(AND(COUNTIF($B62,"*泉ヶ丘*"),COUNTIF($B63,"*泉ヶ丘*")),
IFERROR(INDEX(63:63, SMALL(IF($AC63:$AX63&lt;&gt;"", COLUMN($AC$1:$AX63)), COLUMN(J63))), ""),
INDEX(62:62, SMALL(IF($AC62:$AX62&lt;&gt;"", COLUMN($AC$1:$AX62)), COLUMN(P62)))), "")</f>
        <v/>
      </c>
      <c r="BP62" t="str">
        <f t="array" aca="1" ref="BP62" ca="1">IFERROR(IF(AND(COUNTIF($B62,"*泉ヶ丘*"),COUNTIF($B63,"*泉ヶ丘*")),
IFERROR(INDEX(63:63, SMALL(IF($AC63:$AX63&lt;&gt;"", COLUMN($AC$1:$AX63)), COLUMN(K63))), ""),
INDEX(62:62, SMALL(IF($AC62:$AX62&lt;&gt;"", COLUMN($AC$1:$AX62)), COLUMN(Q62)))), "")</f>
        <v/>
      </c>
      <c r="BQ62" t="str">
        <f t="array" aca="1" ref="BQ62" ca="1">IFERROR(IF(AND(COUNTIF($B62,"*泉ヶ丘*"),COUNTIF($B63,"*泉ヶ丘*")),
IFERROR(INDEX(63:63, SMALL(IF($AC63:$AX63&lt;&gt;"", COLUMN($AC$1:$AX63)), COLUMN(L63))), ""),
INDEX(62:62, SMALL(IF($AC62:$AX62&lt;&gt;"", COLUMN($AC$1:$AX62)), COLUMN(R62)))), "")</f>
        <v/>
      </c>
    </row>
    <row r="63" spans="1:69" x14ac:dyDescent="0.45">
      <c r="A63" t="str">
        <f t="array" ref="A63">IF(INDEX(貼り付け用!A:A,MATCH(A62,貼り付け用!A:A,0)+2)="4700",
IF(INDEX(貼り付け用!A:A,MATCH(A62,貼り付け用!A:A,0)+4)="4800",
INDEX(貼り付け用!A:A,MATCH(A62,貼り付け用!A:A,0)+6),
INDEX(貼り付け用!A:A,MATCH(A62,貼り付け用!A:A,0)+4)),INDEX(貼り付け用!A:A,MATCH(A62,貼り付け用!A:A,0)+2))</f>
        <v>40350</v>
      </c>
      <c r="B63" t="str">
        <f>IF(A63&lt;&gt;"",
VLOOKUP(A63,得意先マスタ!A:D,2,FALSE),"")</f>
        <v>学校法人　石田学園　山王幼稚園</v>
      </c>
      <c r="C63" t="str">
        <f t="array" ref="C63">IF(A63="10000","",INDEX(貼り付け用!A:A,MATCH(A63,貼り付け用!A:A,0)+1))</f>
        <v>山王幼稚園</v>
      </c>
      <c r="D63" t="str">
        <f ca="1">VLOOKUP(C63,クライアント抽出!$A:$O,10,FALSE)</f>
        <v>赤　飯あり120</v>
      </c>
      <c r="E63" t="str">
        <f ca="1">IF(D63&lt;&gt;"",
IF(COUNTIF(C63,"*ぺんぎん*"),
VLOOKUP(
"*"&amp;IF(COUNTIF(D63,"*キャラ弁*"),"キャラ",
IF(COUNTIF(D63,"*赤*"),"赤",SUBSTITUTE(SUBSTITUTE(D63," ",""),"　","")))&amp;"*",
注文弁当の抽出!$F:$I,4,FALSE)&amp;
IF(COUNTIF(D63,"*おにぎり*"),"　おにぎり","")&amp;"　（ぺんぎん組）",
VLOOKUP(
"*"&amp;IF(COUNTIF(D63,"*キャラ弁*"),"キャラ",
IF(COUNTIF(D63,"*赤*"),"赤",SUBSTITUTE(SUBSTITUTE(D63," ",""),"　","")))&amp;"*",
注文弁当の抽出!$F:$I,4,FALSE)&amp;
IF(COUNTIF(D63,"*おにぎり*"),"　おにぎり","")),"")</f>
        <v>弁当　園児</v>
      </c>
      <c r="F63">
        <f ca="1">IFERROR(IF(E63&lt;&gt;"",
VLOOKUP(C63,クライアント抽出!$A:$G,2,FALSE)+
IF(COUNTIF(Y63,"*-*"),Y63,0),"")
-IFERROR(MID(V63, SEARCH("予備", V63) + LEN("予備"), SEARCH("込み", V63) - (SEARCH("予備", V63) + LEN("予備"))),0),"")</f>
        <v>127</v>
      </c>
      <c r="G63" t="str">
        <f ca="1">VLOOKUP(C63,クライアント抽出!$A:$O,11,FALSE)</f>
        <v/>
      </c>
      <c r="H63" t="str">
        <f ca="1">IF(G63&lt;&gt;"",
VLOOKUP(
"*"&amp;IF(COUNTIF(G63,"*キャラ弁*"),"キャラ",
IF(COUNTIF(G63,"*赤*"),"赤",SUBSTITUTE(SUBSTITUTE(G63," ",""),"　","")))&amp;"*",
注文弁当の抽出!$F:$I,4,FALSE)&amp;
IF(COUNTIF(G63,"*おにぎり*"),"　おにぎり",""),"")</f>
        <v/>
      </c>
      <c r="I63" t="str">
        <f ca="1">IF(H63&lt;&gt;"",
VLOOKUP(C63,クライアント抽出!$A:$G,3,FALSE)+
IF(COUNTIF(C63,"*博多*"),Y63,Z63),"")</f>
        <v/>
      </c>
      <c r="J63" t="str">
        <f ca="1">VLOOKUP(C63,クライアント抽出!$A:$O,12,FALSE)</f>
        <v/>
      </c>
      <c r="K63" t="str">
        <f ca="1">IF(J63&lt;&gt;"",
VLOOKUP(
"*"&amp;IF(COUNTIF(J63,"*キャラ弁*"),"キャラ",
IF(COUNTIF(J63,"*赤*"),"赤",SUBSTITUTE(SUBSTITUTE(J63," ",""),"　","")))&amp;"*",
注文弁当の抽出!$F:$I,4,FALSE)&amp;
IF(COUNTIF(J63,"*おにぎり*"),"　おにぎり",""),"")</f>
        <v/>
      </c>
      <c r="L63" t="str">
        <f ca="1">IF(K63&lt;&gt;"",
VLOOKUP(C63,クライアント抽出!$A:$G,4,FALSE)+AA63,"")</f>
        <v/>
      </c>
      <c r="M63" t="str">
        <f ca="1">VLOOKUP(C63,クライアント抽出!$A:$O,13,FALSE)</f>
        <v>赤　飯あり120</v>
      </c>
      <c r="N63" t="str">
        <f ca="1">SUBSTITUTE(
IF(M63&lt;&gt;"",
VLOOKUP(
"*"&amp;IF(COUNTIF(M63,"*キャラ弁*"),"キャラ",
IF(COUNTIF(M63,"*赤*"),"赤",SUBSTITUTE(SUBSTITUTE(D63," ",""),"　","")))&amp;"*",
注文弁当の抽出!$F:$I,4,FALSE),""),"園児","先生")&amp;
IF(COUNTIF(M63,"*おにぎり*"),"　おにぎり","")</f>
        <v>弁当　先生</v>
      </c>
      <c r="O63">
        <f ca="1">IF(N63&lt;&gt;"",VLOOKUP(C63,クライアント抽出!$A:$G,5,FALSE),"")</f>
        <v>19</v>
      </c>
      <c r="P63" t="str">
        <f ca="1">VLOOKUP(C63,クライアント抽出!$A:$O,14,FALSE)</f>
        <v/>
      </c>
      <c r="Q63" t="str">
        <f ca="1">SUBSTITUTE(
IF(P63&lt;&gt;"",
VLOOKUP(
"*"&amp;IF(COUNTIF(P63,"*キャラ弁*"),"キャラ",
IF(COUNTIF(P63,"*赤*"),"赤",SUBSTITUTE(SUBSTITUTE(G63," ",""),"　","")))&amp;"*",
注文弁当の抽出!$F:$I,4,FALSE),""),"園児","先生")&amp;
IF(COUNTIF(P63,"*おにぎり*"),"　おにぎり","")</f>
        <v/>
      </c>
      <c r="R63" t="str">
        <f ca="1">IF(Q63&lt;&gt;"",
VLOOKUP(C63,クライアント抽出!$A:$G,6,FALSE),"")</f>
        <v/>
      </c>
      <c r="S63" t="str">
        <f ca="1">VLOOKUP(C63,クライアント抽出!$A:$O,15,FALSE)</f>
        <v/>
      </c>
      <c r="T63" t="str">
        <f ca="1">SUBSTITUTE(
IF(S63&lt;&gt;"",
VLOOKUP(
"*"&amp;IF(COUNTIF(S63,"*キャラ弁*"),"キャラ",
IF(COUNTIF(S63,"*赤*"),"赤",SUBSTITUTE(SUBSTITUTE(J63," ",""),"　","")))&amp;"*",
注文弁当の抽出!$F:$I,4,FALSE),""),"園児","先生")&amp;
IF(COUNTIF(S63,"*おにぎり*"),"　おにぎり","")</f>
        <v/>
      </c>
      <c r="U63" t="str">
        <f ca="1">IF(T63&lt;&gt;"",
VLOOKUP(C63,クライアント抽出!$A:$G,7,FALSE),"")</f>
        <v/>
      </c>
      <c r="V63" t="str">
        <f ca="1">IF(A63&lt;&gt;"",
IF(COUNTIF(V62,"*牛乳*"),
IF(AND(COUNTIF(B62,"*奈良屋*"),COUNTIF(B63,"*奈良屋*")),
V62&amp;"✔",""),VLOOKUP(""&amp;A63&amp;"",数出表_Excel!$A:$Z,22,FALSE)&amp;VLOOKUP(""&amp;A63&amp;"",数出表_Excel!$A:$Z,23,FALSE)
&amp;VLOOKUP(""&amp;C63&amp;"",数出表_Excel!$A:$Z,22,FALSE)&amp;VLOOKUP(""&amp;C63&amp;"",数出表_Excel!$A:$Z,23,FALSE)),"")</f>
        <v/>
      </c>
      <c r="W63">
        <f ca="1">IF(AND(COUNTIF(V63,"&lt;&gt;*不要*"),A63&lt;&gt;""),VLOOKUP(A63,得意先マスタ!$A:$AD,24,FALSE),0)</f>
        <v>0</v>
      </c>
      <c r="X63">
        <f ca="1">IF(AND(COUNTIF(V63,"&lt;&gt;*不要*"),A63&lt;&gt;""),VLOOKUP(A63,得意先マスタ!$A:$AD,25,FALSE),0)</f>
        <v>0</v>
      </c>
      <c r="Y63">
        <f t="shared" ca="1" si="10"/>
        <v>0</v>
      </c>
      <c r="Z63">
        <f t="shared" ca="1" si="11"/>
        <v>0</v>
      </c>
      <c r="AA63">
        <f t="shared" ca="1" si="15"/>
        <v>0</v>
      </c>
      <c r="AB63" t="str">
        <f t="shared" ca="1" si="12"/>
        <v/>
      </c>
      <c r="AC63" t="str">
        <f t="array" aca="1" ref="AC63" ca="1">IFERROR(INDEX(63:63, SMALL(IF($D63:$U63&lt;&gt;"", COLUMN($D$1:$U63)), COLUMN(A63))), "")</f>
        <v>赤　飯あり120</v>
      </c>
      <c r="AD63" t="str">
        <f t="array" aca="1" ref="AD63" ca="1">IFERROR(INDEX(63:63, SMALL(IF($D63:$U63&lt;&gt;"", COLUMN($D$1:$U63)), COLUMN(B63))), "")</f>
        <v>弁当　園児</v>
      </c>
      <c r="AE63">
        <f t="array" aca="1" ref="AE63" ca="1">IFERROR(INDEX(63:63, SMALL(IF($D63:$U63&lt;&gt;"", COLUMN($D$1:$U63)), COLUMN(C63))), "")</f>
        <v>127</v>
      </c>
      <c r="AF63" t="str">
        <f t="array" aca="1" ref="AF63" ca="1">IFERROR(INDEX(63:63, SMALL(IF($D63:$U63&lt;&gt;"", COLUMN($D$1:$U63)), COLUMN(D63))), "")</f>
        <v>赤　飯あり120</v>
      </c>
      <c r="AG63" t="str">
        <f t="array" aca="1" ref="AG63" ca="1">IFERROR(INDEX(63:63, SMALL(IF($D63:$U63&lt;&gt;"", COLUMN($D$1:$U63)), COLUMN(E63))), "")</f>
        <v>弁当　先生</v>
      </c>
      <c r="AH63">
        <f t="array" aca="1" ref="AH63" ca="1">IFERROR(INDEX(63:63, SMALL(IF($D63:$U63&lt;&gt;"", COLUMN($D$1:$U63)), COLUMN(F63))), "")</f>
        <v>19</v>
      </c>
      <c r="AI63" t="str">
        <f t="array" aca="1" ref="AI63" ca="1">IFERROR(INDEX(63:63, SMALL(IF($D63:$U63&lt;&gt;"", COLUMN($D$1:$U63)), COLUMN(G63))), "")</f>
        <v/>
      </c>
      <c r="AJ63" t="str">
        <f t="array" aca="1" ref="AJ63" ca="1">IFERROR(INDEX(63:63, SMALL(IF($D63:$U63&lt;&gt;"", COLUMN($D$1:$U63)), COLUMN(H63))), "")</f>
        <v/>
      </c>
      <c r="AK63" t="str">
        <f t="array" aca="1" ref="AK63" ca="1">IFERROR(INDEX(63:63, SMALL(IF($D63:$U63&lt;&gt;"", COLUMN($D$1:$U63)), COLUMN(I63))), "")</f>
        <v/>
      </c>
      <c r="AL63" t="str">
        <f t="array" aca="1" ref="AL63" ca="1">IFERROR(INDEX(63:63, SMALL(IF($D63:$U63&lt;&gt;"", COLUMN($D$1:$U63)), COLUMN(J63))), "")</f>
        <v/>
      </c>
      <c r="AM63" t="str">
        <f t="array" aca="1" ref="AM63" ca="1">IFERROR(INDEX(63:63, SMALL(IF($D63:$U63&lt;&gt;"", COLUMN($D$1:$U63)), COLUMN(K63))), "")</f>
        <v/>
      </c>
      <c r="AN63" t="str">
        <f t="array" aca="1" ref="AN63" ca="1">IFERROR(INDEX(63:63, SMALL(IF($D63:$U63&lt;&gt;"", COLUMN($D$1:$U63)), COLUMN(L63))), "")</f>
        <v/>
      </c>
      <c r="AO63" t="str">
        <f t="array" aca="1" ref="AO63" ca="1">IFERROR(INDEX(63:63, SMALL(IF($D63:$U63&lt;&gt;"", COLUMN($D$1:$U63)), COLUMN(M63))), "")</f>
        <v/>
      </c>
      <c r="AP63" t="str">
        <f t="array" aca="1" ref="AP63" ca="1">IFERROR(INDEX(63:63, SMALL(IF($D63:$U63&lt;&gt;"", COLUMN($D$1:$U63)), COLUMN(N63))), "")</f>
        <v/>
      </c>
      <c r="AQ63" t="str">
        <f t="array" aca="1" ref="AQ63" ca="1">IFERROR(INDEX(63:63, SMALL(IF($D63:$U63&lt;&gt;"", COLUMN($D$1:$U63)), COLUMN(O63))), "")</f>
        <v/>
      </c>
      <c r="AR63" s="52" t="s">
        <v>4005</v>
      </c>
      <c r="AS63" t="str">
        <f t="shared" ca="1" si="13"/>
        <v/>
      </c>
      <c r="AT63" t="str">
        <f t="shared" ca="1" si="14"/>
        <v/>
      </c>
      <c r="AU63" t="str">
        <f t="shared" ca="1" si="16"/>
        <v/>
      </c>
      <c r="AV63" t="str">
        <f t="shared" ca="1" si="17"/>
        <v/>
      </c>
      <c r="AW63" t="str">
        <f t="shared" ca="1" si="18"/>
        <v/>
      </c>
      <c r="AX63" t="str">
        <f t="shared" ca="1" si="19"/>
        <v/>
      </c>
      <c r="AZ63" t="str">
        <f t="array" aca="1" ref="AZ63" ca="1">IFERROR(INDEX(63:63, SMALL(IF($AC63:$AX63&lt;&gt;"", COLUMN($AC$1:$AX63)), COLUMN(A63))), "")</f>
        <v>赤　飯あり120</v>
      </c>
      <c r="BA63" t="str">
        <f t="array" aca="1" ref="BA63" ca="1">IFERROR(INDEX(63:63, SMALL(IF($AC63:$AX63&lt;&gt;"", COLUMN($AC$1:$AX63)), COLUMN(B63))), "")</f>
        <v>弁当　園児</v>
      </c>
      <c r="BB63">
        <f t="array" aca="1" ref="BB63" ca="1">IFERROR(INDEX(63:63, SMALL(IF($AC63:$AX63&lt;&gt;"", COLUMN($AC$1:$AX63)), COLUMN(C63))), "")</f>
        <v>127</v>
      </c>
      <c r="BC63" t="str">
        <f t="array" aca="1" ref="BC63" ca="1">IFERROR(INDEX(63:63, SMALL(IF($AC63:$AX63&lt;&gt;"", COLUMN($AC$1:$AX63)), COLUMN(D63))), "")</f>
        <v>赤　飯あり120</v>
      </c>
      <c r="BD63" t="str">
        <f t="array" aca="1" ref="BD63" ca="1">IFERROR(INDEX(63:63, SMALL(IF($AC63:$AX63&lt;&gt;"", COLUMN($AC$1:$AX63)), COLUMN(E63))), "")</f>
        <v>弁当　先生</v>
      </c>
      <c r="BE63">
        <f t="array" aca="1" ref="BE63" ca="1">IFERROR(INDEX(63:63, SMALL(IF($AC63:$AX63&lt;&gt;"", COLUMN($AC$1:$AX63)), COLUMN(F63))), "")</f>
        <v>19</v>
      </c>
      <c r="BF63" t="str">
        <f t="array" aca="1" ref="BF63" ca="1">IFERROR(IF(AND(COUNTIF($B63,"*泉ヶ丘*"),COUNTIF($B64,"*泉ヶ丘*")),
IFERROR(INDEX(64:64, SMALL(IF($AC64:$AX64&lt;&gt;"", COLUMN($AC$1:$AX64)), COLUMN(A64))), ""),
INDEX(63:63, SMALL(IF($AC63:$AX63&lt;&gt;"", COLUMN($AC$1:$AX63)), COLUMN(G63)))), "")</f>
        <v>●</v>
      </c>
      <c r="BG63" t="str">
        <f t="array" aca="1" ref="BG63" ca="1">IFERROR(IF(AND(COUNTIF($B63,"*泉ヶ丘*"),COUNTIF($B64,"*泉ヶ丘*")),
IFERROR(INDEX(64:64, SMALL(IF($AC64:$AX64&lt;&gt;"", COLUMN($AC$1:$AX64)), COLUMN(B64))), ""),
INDEX(63:63, SMALL(IF($AC63:$AX63&lt;&gt;"", COLUMN($AC$1:$AX63)), COLUMN(H63)))), "")</f>
        <v/>
      </c>
      <c r="BH63" t="str">
        <f t="array" aca="1" ref="BH63" ca="1">IFERROR(IF(AND(COUNTIF($B63,"*泉ヶ丘*"),COUNTIF($B64,"*泉ヶ丘*")),
IFERROR(INDEX(64:64, SMALL(IF($AC64:$AX64&lt;&gt;"", COLUMN($AC$1:$AX64)), COLUMN(C64))), ""),
INDEX(63:63, SMALL(IF($AC63:$AX63&lt;&gt;"", COLUMN($AC$1:$AX63)), COLUMN(I63)))), "")</f>
        <v/>
      </c>
      <c r="BI63" t="str">
        <f t="array" aca="1" ref="BI63" ca="1">IFERROR(IF(AND(COUNTIF($B63,"*泉ヶ丘*"),COUNTIF($B64,"*泉ヶ丘*")),
IFERROR(INDEX(64:64, SMALL(IF($AC64:$AX64&lt;&gt;"", COLUMN($AC$1:$AX64)), COLUMN(D64))), ""),
INDEX(63:63, SMALL(IF($AC63:$AX63&lt;&gt;"", COLUMN($AC$1:$AX63)), COLUMN(J63)))), "")</f>
        <v/>
      </c>
      <c r="BJ63" t="str">
        <f t="array" aca="1" ref="BJ63" ca="1">IFERROR(IF(AND(COUNTIF($B63,"*泉ヶ丘*"),COUNTIF($B64,"*泉ヶ丘*")),
IFERROR(INDEX(64:64, SMALL(IF($AC64:$AX64&lt;&gt;"", COLUMN($AC$1:$AX64)), COLUMN(E64))), ""),
INDEX(63:63, SMALL(IF($AC63:$AX63&lt;&gt;"", COLUMN($AC$1:$AX63)), COLUMN(K63)))), "")</f>
        <v/>
      </c>
      <c r="BK63" t="str">
        <f t="array" aca="1" ref="BK63" ca="1">IFERROR(IF(AND(COUNTIF($B63,"*泉ヶ丘*"),COUNTIF($B64,"*泉ヶ丘*")),
IFERROR(INDEX(64:64, SMALL(IF($AC64:$AX64&lt;&gt;"", COLUMN($AC$1:$AX64)), COLUMN(F64))), ""),
INDEX(63:63, SMALL(IF($AC63:$AX63&lt;&gt;"", COLUMN($AC$1:$AX63)), COLUMN(L63)))), "")</f>
        <v/>
      </c>
      <c r="BL63" t="str">
        <f t="array" aca="1" ref="BL63" ca="1">IFERROR(IF(AND(COUNTIF($B63,"*泉ヶ丘*"),COUNTIF($B64,"*泉ヶ丘*")),
IFERROR(INDEX(64:64, SMALL(IF($AC64:$AX64&lt;&gt;"", COLUMN($AC$1:$AX64)), COLUMN(G64))), ""),
INDEX(63:63, SMALL(IF($AC63:$AX63&lt;&gt;"", COLUMN($AC$1:$AX63)), COLUMN(M63)))), "")</f>
        <v/>
      </c>
      <c r="BM63" t="str">
        <f t="array" aca="1" ref="BM63" ca="1">IFERROR(IF(AND(COUNTIF($B63,"*泉ヶ丘*"),COUNTIF($B64,"*泉ヶ丘*")),
IFERROR(INDEX(64:64, SMALL(IF($AC64:$AX64&lt;&gt;"", COLUMN($AC$1:$AX64)), COLUMN(H64))), ""),
INDEX(63:63, SMALL(IF($AC63:$AX63&lt;&gt;"", COLUMN($AC$1:$AX63)), COLUMN(N63)))), "")</f>
        <v/>
      </c>
      <c r="BN63" t="str">
        <f t="array" aca="1" ref="BN63" ca="1">IFERROR(IF(AND(COUNTIF($B63,"*泉ヶ丘*"),COUNTIF($B64,"*泉ヶ丘*")),
IFERROR(INDEX(64:64, SMALL(IF($AC64:$AX64&lt;&gt;"", COLUMN($AC$1:$AX64)), COLUMN(I64))), ""),
INDEX(63:63, SMALL(IF($AC63:$AX63&lt;&gt;"", COLUMN($AC$1:$AX63)), COLUMN(O63)))), "")</f>
        <v/>
      </c>
      <c r="BO63" t="str">
        <f t="array" aca="1" ref="BO63" ca="1">IFERROR(IF(AND(COUNTIF($B63,"*泉ヶ丘*"),COUNTIF($B64,"*泉ヶ丘*")),
IFERROR(INDEX(64:64, SMALL(IF($AC64:$AX64&lt;&gt;"", COLUMN($AC$1:$AX64)), COLUMN(J64))), ""),
INDEX(63:63, SMALL(IF($AC63:$AX63&lt;&gt;"", COLUMN($AC$1:$AX63)), COLUMN(P63)))), "")</f>
        <v/>
      </c>
      <c r="BP63" t="str">
        <f t="array" aca="1" ref="BP63" ca="1">IFERROR(IF(AND(COUNTIF($B63,"*泉ヶ丘*"),COUNTIF($B64,"*泉ヶ丘*")),
IFERROR(INDEX(64:64, SMALL(IF($AC64:$AX64&lt;&gt;"", COLUMN($AC$1:$AX64)), COLUMN(K64))), ""),
INDEX(63:63, SMALL(IF($AC63:$AX63&lt;&gt;"", COLUMN($AC$1:$AX63)), COLUMN(Q63)))), "")</f>
        <v/>
      </c>
      <c r="BQ63" t="str">
        <f t="array" aca="1" ref="BQ63" ca="1">IFERROR(IF(AND(COUNTIF($B63,"*泉ヶ丘*"),COUNTIF($B64,"*泉ヶ丘*")),
IFERROR(INDEX(64:64, SMALL(IF($AC64:$AX64&lt;&gt;"", COLUMN($AC$1:$AX64)), COLUMN(L64))), ""),
INDEX(63:63, SMALL(IF($AC63:$AX63&lt;&gt;"", COLUMN($AC$1:$AX63)), COLUMN(R63)))), "")</f>
        <v/>
      </c>
    </row>
    <row r="64" spans="1:69" x14ac:dyDescent="0.45">
      <c r="A64" t="str">
        <f t="array" ref="A64">IF(INDEX(貼り付け用!A:A,MATCH(A63,貼り付け用!A:A,0)+2)="4700",
IF(INDEX(貼り付け用!A:A,MATCH(A63,貼り付け用!A:A,0)+4)="4800",
INDEX(貼り付け用!A:A,MATCH(A63,貼り付け用!A:A,0)+6),
INDEX(貼り付け用!A:A,MATCH(A63,貼り付け用!A:A,0)+4)),INDEX(貼り付け用!A:A,MATCH(A63,貼り付け用!A:A,0)+2))</f>
        <v>40400</v>
      </c>
      <c r="B64" t="str">
        <f>IF(A64&lt;&gt;"",
VLOOKUP(A64,得意先マスタ!A:D,2,FALSE),"")</f>
        <v>福岡インターナショナルアイスクール幼稚園</v>
      </c>
      <c r="C64" t="str">
        <f t="array" ref="C64">IF(A64="10000","",INDEX(貼り付け用!A:A,MATCH(A64,貼り付け用!A:A,0)+1))</f>
        <v>アイスクール幼稚園</v>
      </c>
      <c r="D64" t="str">
        <f ca="1">VLOOKUP(C64,クライアント抽出!$A:$O,10,FALSE)</f>
        <v>配膳スマ</v>
      </c>
      <c r="E64" t="str">
        <f ca="1">IF(D64&lt;&gt;"",
IF(COUNTIF(C64,"*ぺんぎん*"),
VLOOKUP(
"*"&amp;IF(COUNTIF(D64,"*キャラ弁*"),"キャラ",
IF(COUNTIF(D64,"*赤*"),"赤",SUBSTITUTE(SUBSTITUTE(D64," ",""),"　","")))&amp;"*",
注文弁当の抽出!$F:$I,4,FALSE)&amp;
IF(COUNTIF(D64,"*おにぎり*"),"　おにぎり","")&amp;"　（ぺんぎん組）",
VLOOKUP(
"*"&amp;IF(COUNTIF(D64,"*キャラ弁*"),"キャラ",
IF(COUNTIF(D64,"*赤*"),"赤",SUBSTITUTE(SUBSTITUTE(D64," ",""),"　","")))&amp;"*",
注文弁当の抽出!$F:$I,4,FALSE)&amp;
IF(COUNTIF(D64,"*おにぎり*"),"　おにぎり","")),"")</f>
        <v>配膳給食　園児</v>
      </c>
      <c r="F64">
        <f ca="1">IFERROR(IF(E64&lt;&gt;"",
VLOOKUP(C64,クライアント抽出!$A:$G,2,FALSE)+
IF(COUNTIF(Y64,"*-*"),Y64,0),"")
-IFERROR(MID(V64, SEARCH("予備", V64) + LEN("予備"), SEARCH("込み", V64) - (SEARCH("予備", V64) + LEN("予備"))),0),"")</f>
        <v>174</v>
      </c>
      <c r="G64" t="str">
        <f ca="1">VLOOKUP(C64,クライアント抽出!$A:$O,11,FALSE)</f>
        <v/>
      </c>
      <c r="H64" t="str">
        <f ca="1">IF(G64&lt;&gt;"",
VLOOKUP(
"*"&amp;IF(COUNTIF(G64,"*キャラ弁*"),"キャラ",
IF(COUNTIF(G64,"*赤*"),"赤",SUBSTITUTE(SUBSTITUTE(G64," ",""),"　","")))&amp;"*",
注文弁当の抽出!$F:$I,4,FALSE)&amp;
IF(COUNTIF(G64,"*おにぎり*"),"　おにぎり",""),"")</f>
        <v/>
      </c>
      <c r="I64" t="str">
        <f ca="1">IF(H64&lt;&gt;"",
VLOOKUP(C64,クライアント抽出!$A:$G,3,FALSE)+
IF(COUNTIF(C64,"*博多*"),Y64,Z64),"")</f>
        <v/>
      </c>
      <c r="J64" t="str">
        <f ca="1">VLOOKUP(C64,クライアント抽出!$A:$O,12,FALSE)</f>
        <v/>
      </c>
      <c r="K64" t="str">
        <f ca="1">IF(J64&lt;&gt;"",
VLOOKUP(
"*"&amp;IF(COUNTIF(J64,"*キャラ弁*"),"キャラ",
IF(COUNTIF(J64,"*赤*"),"赤",SUBSTITUTE(SUBSTITUTE(J64," ",""),"　","")))&amp;"*",
注文弁当の抽出!$F:$I,4,FALSE)&amp;
IF(COUNTIF(J64,"*おにぎり*"),"　おにぎり",""),"")</f>
        <v/>
      </c>
      <c r="L64" t="str">
        <f ca="1">IF(K64&lt;&gt;"",
VLOOKUP(C64,クライアント抽出!$A:$G,4,FALSE)+AA64,"")</f>
        <v/>
      </c>
      <c r="M64" t="str">
        <f ca="1">VLOOKUP(C64,クライアント抽出!$A:$O,13,FALSE)</f>
        <v>配膳スマ</v>
      </c>
      <c r="N64" t="str">
        <f ca="1">SUBSTITUTE(
IF(M64&lt;&gt;"",
VLOOKUP(
"*"&amp;IF(COUNTIF(M64,"*キャラ弁*"),"キャラ",
IF(COUNTIF(M64,"*赤*"),"赤",SUBSTITUTE(SUBSTITUTE(D64," ",""),"　","")))&amp;"*",
注文弁当の抽出!$F:$I,4,FALSE),""),"園児","先生")&amp;
IF(COUNTIF(M64,"*おにぎり*"),"　おにぎり","")</f>
        <v>配膳給食　先生</v>
      </c>
      <c r="O64">
        <f ca="1">IF(N64&lt;&gt;"",VLOOKUP(C64,クライアント抽出!$A:$G,5,FALSE),"")</f>
        <v>20</v>
      </c>
      <c r="P64" t="str">
        <f ca="1">VLOOKUP(C64,クライアント抽出!$A:$O,14,FALSE)</f>
        <v/>
      </c>
      <c r="Q64" t="str">
        <f ca="1">SUBSTITUTE(
IF(P64&lt;&gt;"",
VLOOKUP(
"*"&amp;IF(COUNTIF(P64,"*キャラ弁*"),"キャラ",
IF(COUNTIF(P64,"*赤*"),"赤",SUBSTITUTE(SUBSTITUTE(G64," ",""),"　","")))&amp;"*",
注文弁当の抽出!$F:$I,4,FALSE),""),"園児","先生")&amp;
IF(COUNTIF(P64,"*おにぎり*"),"　おにぎり","")</f>
        <v/>
      </c>
      <c r="R64" t="str">
        <f ca="1">IF(Q64&lt;&gt;"",
VLOOKUP(C64,クライアント抽出!$A:$G,6,FALSE),"")</f>
        <v/>
      </c>
      <c r="S64" t="str">
        <f ca="1">VLOOKUP(C64,クライアント抽出!$A:$O,15,FALSE)</f>
        <v/>
      </c>
      <c r="T64" t="str">
        <f ca="1">SUBSTITUTE(
IF(S64&lt;&gt;"",
VLOOKUP(
"*"&amp;IF(COUNTIF(S64,"*キャラ弁*"),"キャラ",
IF(COUNTIF(S64,"*赤*"),"赤",SUBSTITUTE(SUBSTITUTE(J64," ",""),"　","")))&amp;"*",
注文弁当の抽出!$F:$I,4,FALSE),""),"園児","先生")&amp;
IF(COUNTIF(S64,"*おにぎり*"),"　おにぎり","")</f>
        <v/>
      </c>
      <c r="U64" t="str">
        <f ca="1">IF(T64&lt;&gt;"",
VLOOKUP(C64,クライアント抽出!$A:$G,7,FALSE),"")</f>
        <v/>
      </c>
      <c r="V64" t="str">
        <f ca="1">IF(A64&lt;&gt;"",
IF(COUNTIF(V63,"*牛乳*"),
IF(AND(COUNTIF(B63,"*奈良屋*"),COUNTIF(B64,"*奈良屋*")),
V63&amp;"✔",""),VLOOKUP(""&amp;A64&amp;"",数出表_Excel!$A:$Z,22,FALSE)&amp;VLOOKUP(""&amp;A64&amp;"",数出表_Excel!$A:$Z,23,FALSE)
&amp;VLOOKUP(""&amp;C64&amp;"",数出表_Excel!$A:$Z,22,FALSE)&amp;VLOOKUP(""&amp;C64&amp;"",数出表_Excel!$A:$Z,23,FALSE)),"")</f>
        <v/>
      </c>
      <c r="W64">
        <f ca="1">IF(AND(COUNTIF(V64,"&lt;&gt;*不要*"),A64&lt;&gt;""),VLOOKUP(A64,得意先マスタ!$A:$AD,24,FALSE),0)</f>
        <v>0</v>
      </c>
      <c r="X64">
        <f ca="1">IF(AND(COUNTIF(V64,"&lt;&gt;*不要*"),A64&lt;&gt;""),VLOOKUP(A64,得意先マスタ!$A:$AD,25,FALSE),0)</f>
        <v>0</v>
      </c>
      <c r="Y64">
        <f t="shared" ca="1" si="10"/>
        <v>0</v>
      </c>
      <c r="Z64">
        <f t="shared" ca="1" si="11"/>
        <v>0</v>
      </c>
      <c r="AA64">
        <f t="shared" ca="1" si="15"/>
        <v>0</v>
      </c>
      <c r="AB64" t="str">
        <f t="shared" ca="1" si="12"/>
        <v/>
      </c>
      <c r="AC64" t="str">
        <f t="array" aca="1" ref="AC64" ca="1">IFERROR(INDEX(64:64, SMALL(IF($D64:$U64&lt;&gt;"", COLUMN($D$1:$U64)), COLUMN(A64))), "")</f>
        <v>配膳スマ</v>
      </c>
      <c r="AD64" t="str">
        <f t="array" aca="1" ref="AD64" ca="1">IFERROR(INDEX(64:64, SMALL(IF($D64:$U64&lt;&gt;"", COLUMN($D$1:$U64)), COLUMN(B64))), "")</f>
        <v>配膳給食　園児</v>
      </c>
      <c r="AE64">
        <f t="array" aca="1" ref="AE64" ca="1">IFERROR(INDEX(64:64, SMALL(IF($D64:$U64&lt;&gt;"", COLUMN($D$1:$U64)), COLUMN(C64))), "")</f>
        <v>174</v>
      </c>
      <c r="AF64" t="str">
        <f t="array" aca="1" ref="AF64" ca="1">IFERROR(INDEX(64:64, SMALL(IF($D64:$U64&lt;&gt;"", COLUMN($D$1:$U64)), COLUMN(D64))), "")</f>
        <v>配膳スマ</v>
      </c>
      <c r="AG64" t="str">
        <f t="array" aca="1" ref="AG64" ca="1">IFERROR(INDEX(64:64, SMALL(IF($D64:$U64&lt;&gt;"", COLUMN($D$1:$U64)), COLUMN(E64))), "")</f>
        <v>配膳給食　先生</v>
      </c>
      <c r="AH64">
        <f t="array" aca="1" ref="AH64" ca="1">IFERROR(INDEX(64:64, SMALL(IF($D64:$U64&lt;&gt;"", COLUMN($D$1:$U64)), COLUMN(F64))), "")</f>
        <v>20</v>
      </c>
      <c r="AI64" t="str">
        <f t="array" aca="1" ref="AI64" ca="1">IFERROR(INDEX(64:64, SMALL(IF($D64:$U64&lt;&gt;"", COLUMN($D$1:$U64)), COLUMN(G64))), "")</f>
        <v/>
      </c>
      <c r="AJ64" t="str">
        <f t="array" aca="1" ref="AJ64" ca="1">IFERROR(INDEX(64:64, SMALL(IF($D64:$U64&lt;&gt;"", COLUMN($D$1:$U64)), COLUMN(H64))), "")</f>
        <v/>
      </c>
      <c r="AK64" t="str">
        <f t="array" aca="1" ref="AK64" ca="1">IFERROR(INDEX(64:64, SMALL(IF($D64:$U64&lt;&gt;"", COLUMN($D$1:$U64)), COLUMN(I64))), "")</f>
        <v/>
      </c>
      <c r="AL64" t="str">
        <f t="array" aca="1" ref="AL64" ca="1">IFERROR(INDEX(64:64, SMALL(IF($D64:$U64&lt;&gt;"", COLUMN($D$1:$U64)), COLUMN(J64))), "")</f>
        <v/>
      </c>
      <c r="AM64" t="str">
        <f t="array" aca="1" ref="AM64" ca="1">IFERROR(INDEX(64:64, SMALL(IF($D64:$U64&lt;&gt;"", COLUMN($D$1:$U64)), COLUMN(K64))), "")</f>
        <v/>
      </c>
      <c r="AN64" t="str">
        <f t="array" aca="1" ref="AN64" ca="1">IFERROR(INDEX(64:64, SMALL(IF($D64:$U64&lt;&gt;"", COLUMN($D$1:$U64)), COLUMN(L64))), "")</f>
        <v/>
      </c>
      <c r="AO64" t="str">
        <f t="array" aca="1" ref="AO64" ca="1">IFERROR(INDEX(64:64, SMALL(IF($D64:$U64&lt;&gt;"", COLUMN($D$1:$U64)), COLUMN(M64))), "")</f>
        <v/>
      </c>
      <c r="AP64" t="str">
        <f t="array" aca="1" ref="AP64" ca="1">IFERROR(INDEX(64:64, SMALL(IF($D64:$U64&lt;&gt;"", COLUMN($D$1:$U64)), COLUMN(N64))), "")</f>
        <v/>
      </c>
      <c r="AQ64" t="str">
        <f t="array" aca="1" ref="AQ64" ca="1">IFERROR(INDEX(64:64, SMALL(IF($D64:$U64&lt;&gt;"", COLUMN($D$1:$U64)), COLUMN(O64))), "")</f>
        <v/>
      </c>
      <c r="AR64" s="52" t="s">
        <v>4005</v>
      </c>
      <c r="AS64" t="str">
        <f t="shared" ca="1" si="13"/>
        <v/>
      </c>
      <c r="AT64" t="str">
        <f t="shared" ca="1" si="14"/>
        <v/>
      </c>
      <c r="AU64" t="str">
        <f t="shared" ca="1" si="16"/>
        <v/>
      </c>
      <c r="AV64" t="str">
        <f t="shared" ca="1" si="17"/>
        <v/>
      </c>
      <c r="AW64" t="str">
        <f t="shared" ca="1" si="18"/>
        <v/>
      </c>
      <c r="AX64" t="str">
        <f t="shared" ca="1" si="19"/>
        <v/>
      </c>
      <c r="AZ64" t="str">
        <f t="array" aca="1" ref="AZ64" ca="1">IFERROR(INDEX(64:64, SMALL(IF($AC64:$AX64&lt;&gt;"", COLUMN($AC$1:$AX64)), COLUMN(A64))), "")</f>
        <v>配膳スマ</v>
      </c>
      <c r="BA64" t="str">
        <f t="array" aca="1" ref="BA64" ca="1">IFERROR(INDEX(64:64, SMALL(IF($AC64:$AX64&lt;&gt;"", COLUMN($AC$1:$AX64)), COLUMN(B64))), "")</f>
        <v>配膳給食　園児</v>
      </c>
      <c r="BB64">
        <f t="array" aca="1" ref="BB64" ca="1">IFERROR(INDEX(64:64, SMALL(IF($AC64:$AX64&lt;&gt;"", COLUMN($AC$1:$AX64)), COLUMN(C64))), "")</f>
        <v>174</v>
      </c>
      <c r="BC64" t="str">
        <f t="array" aca="1" ref="BC64" ca="1">IFERROR(INDEX(64:64, SMALL(IF($AC64:$AX64&lt;&gt;"", COLUMN($AC$1:$AX64)), COLUMN(D64))), "")</f>
        <v>配膳スマ</v>
      </c>
      <c r="BD64" t="str">
        <f t="array" aca="1" ref="BD64" ca="1">IFERROR(INDEX(64:64, SMALL(IF($AC64:$AX64&lt;&gt;"", COLUMN($AC$1:$AX64)), COLUMN(E64))), "")</f>
        <v>配膳給食　先生</v>
      </c>
      <c r="BE64">
        <f t="array" aca="1" ref="BE64" ca="1">IFERROR(INDEX(64:64, SMALL(IF($AC64:$AX64&lt;&gt;"", COLUMN($AC$1:$AX64)), COLUMN(F64))), "")</f>
        <v>20</v>
      </c>
      <c r="BF64" t="str">
        <f t="array" aca="1" ref="BF64" ca="1">IFERROR(IF(AND(COUNTIF($B64,"*泉ヶ丘*"),COUNTIF($B65,"*泉ヶ丘*")),
IFERROR(INDEX(65:65, SMALL(IF($AC65:$AX65&lt;&gt;"", COLUMN($AC$1:$AX65)), COLUMN(A65))), ""),
INDEX(64:64, SMALL(IF($AC64:$AX64&lt;&gt;"", COLUMN($AC$1:$AX64)), COLUMN(G64)))), "")</f>
        <v>●</v>
      </c>
      <c r="BG64" t="str">
        <f t="array" aca="1" ref="BG64" ca="1">IFERROR(IF(AND(COUNTIF($B64,"*泉ヶ丘*"),COUNTIF($B65,"*泉ヶ丘*")),
IFERROR(INDEX(65:65, SMALL(IF($AC65:$AX65&lt;&gt;"", COLUMN($AC$1:$AX65)), COLUMN(B65))), ""),
INDEX(64:64, SMALL(IF($AC64:$AX64&lt;&gt;"", COLUMN($AC$1:$AX64)), COLUMN(H64)))), "")</f>
        <v/>
      </c>
      <c r="BH64" t="str">
        <f t="array" aca="1" ref="BH64" ca="1">IFERROR(IF(AND(COUNTIF($B64,"*泉ヶ丘*"),COUNTIF($B65,"*泉ヶ丘*")),
IFERROR(INDEX(65:65, SMALL(IF($AC65:$AX65&lt;&gt;"", COLUMN($AC$1:$AX65)), COLUMN(C65))), ""),
INDEX(64:64, SMALL(IF($AC64:$AX64&lt;&gt;"", COLUMN($AC$1:$AX64)), COLUMN(I64)))), "")</f>
        <v/>
      </c>
      <c r="BI64" t="str">
        <f t="array" aca="1" ref="BI64" ca="1">IFERROR(IF(AND(COUNTIF($B64,"*泉ヶ丘*"),COUNTIF($B65,"*泉ヶ丘*")),
IFERROR(INDEX(65:65, SMALL(IF($AC65:$AX65&lt;&gt;"", COLUMN($AC$1:$AX65)), COLUMN(D65))), ""),
INDEX(64:64, SMALL(IF($AC64:$AX64&lt;&gt;"", COLUMN($AC$1:$AX64)), COLUMN(J64)))), "")</f>
        <v/>
      </c>
      <c r="BJ64" t="str">
        <f t="array" aca="1" ref="BJ64" ca="1">IFERROR(IF(AND(COUNTIF($B64,"*泉ヶ丘*"),COUNTIF($B65,"*泉ヶ丘*")),
IFERROR(INDEX(65:65, SMALL(IF($AC65:$AX65&lt;&gt;"", COLUMN($AC$1:$AX65)), COLUMN(E65))), ""),
INDEX(64:64, SMALL(IF($AC64:$AX64&lt;&gt;"", COLUMN($AC$1:$AX64)), COLUMN(K64)))), "")</f>
        <v/>
      </c>
      <c r="BK64" t="str">
        <f t="array" aca="1" ref="BK64" ca="1">IFERROR(IF(AND(COUNTIF($B64,"*泉ヶ丘*"),COUNTIF($B65,"*泉ヶ丘*")),
IFERROR(INDEX(65:65, SMALL(IF($AC65:$AX65&lt;&gt;"", COLUMN($AC$1:$AX65)), COLUMN(F65))), ""),
INDEX(64:64, SMALL(IF($AC64:$AX64&lt;&gt;"", COLUMN($AC$1:$AX64)), COLUMN(L64)))), "")</f>
        <v/>
      </c>
      <c r="BL64" t="str">
        <f t="array" aca="1" ref="BL64" ca="1">IFERROR(IF(AND(COUNTIF($B64,"*泉ヶ丘*"),COUNTIF($B65,"*泉ヶ丘*")),
IFERROR(INDEX(65:65, SMALL(IF($AC65:$AX65&lt;&gt;"", COLUMN($AC$1:$AX65)), COLUMN(G65))), ""),
INDEX(64:64, SMALL(IF($AC64:$AX64&lt;&gt;"", COLUMN($AC$1:$AX64)), COLUMN(M64)))), "")</f>
        <v/>
      </c>
      <c r="BM64" t="str">
        <f t="array" aca="1" ref="BM64" ca="1">IFERROR(IF(AND(COUNTIF($B64,"*泉ヶ丘*"),COUNTIF($B65,"*泉ヶ丘*")),
IFERROR(INDEX(65:65, SMALL(IF($AC65:$AX65&lt;&gt;"", COLUMN($AC$1:$AX65)), COLUMN(H65))), ""),
INDEX(64:64, SMALL(IF($AC64:$AX64&lt;&gt;"", COLUMN($AC$1:$AX64)), COLUMN(N64)))), "")</f>
        <v/>
      </c>
      <c r="BN64" t="str">
        <f t="array" aca="1" ref="BN64" ca="1">IFERROR(IF(AND(COUNTIF($B64,"*泉ヶ丘*"),COUNTIF($B65,"*泉ヶ丘*")),
IFERROR(INDEX(65:65, SMALL(IF($AC65:$AX65&lt;&gt;"", COLUMN($AC$1:$AX65)), COLUMN(I65))), ""),
INDEX(64:64, SMALL(IF($AC64:$AX64&lt;&gt;"", COLUMN($AC$1:$AX64)), COLUMN(O64)))), "")</f>
        <v/>
      </c>
      <c r="BO64" t="str">
        <f t="array" aca="1" ref="BO64" ca="1">IFERROR(IF(AND(COUNTIF($B64,"*泉ヶ丘*"),COUNTIF($B65,"*泉ヶ丘*")),
IFERROR(INDEX(65:65, SMALL(IF($AC65:$AX65&lt;&gt;"", COLUMN($AC$1:$AX65)), COLUMN(J65))), ""),
INDEX(64:64, SMALL(IF($AC64:$AX64&lt;&gt;"", COLUMN($AC$1:$AX64)), COLUMN(P64)))), "")</f>
        <v/>
      </c>
      <c r="BP64" t="str">
        <f t="array" aca="1" ref="BP64" ca="1">IFERROR(IF(AND(COUNTIF($B64,"*泉ヶ丘*"),COUNTIF($B65,"*泉ヶ丘*")),
IFERROR(INDEX(65:65, SMALL(IF($AC65:$AX65&lt;&gt;"", COLUMN($AC$1:$AX65)), COLUMN(K65))), ""),
INDEX(64:64, SMALL(IF($AC64:$AX64&lt;&gt;"", COLUMN($AC$1:$AX64)), COLUMN(Q64)))), "")</f>
        <v/>
      </c>
      <c r="BQ64" t="str">
        <f t="array" aca="1" ref="BQ64" ca="1">IFERROR(IF(AND(COUNTIF($B64,"*泉ヶ丘*"),COUNTIF($B65,"*泉ヶ丘*")),
IFERROR(INDEX(65:65, SMALL(IF($AC65:$AX65&lt;&gt;"", COLUMN($AC$1:$AX65)), COLUMN(L65))), ""),
INDEX(64:64, SMALL(IF($AC64:$AX64&lt;&gt;"", COLUMN($AC$1:$AX64)), COLUMN(R64)))), "")</f>
        <v/>
      </c>
    </row>
    <row r="65" spans="1:69" x14ac:dyDescent="0.45">
      <c r="A65" t="str">
        <f t="array" ref="A65">IF(INDEX(貼り付け用!A:A,MATCH(A64,貼り付け用!A:A,0)+2)="4700",
IF(INDEX(貼り付け用!A:A,MATCH(A64,貼り付け用!A:A,0)+4)="4800",
INDEX(貼り付け用!A:A,MATCH(A64,貼り付け用!A:A,0)+6),
INDEX(貼り付け用!A:A,MATCH(A64,貼り付け用!A:A,0)+4)),INDEX(貼り付け用!A:A,MATCH(A64,貼り付け用!A:A,0)+2))</f>
        <v>40700</v>
      </c>
      <c r="B65" t="str">
        <f>IF(A65&lt;&gt;"",
VLOOKUP(A65,得意先マスタ!A:D,2,FALSE),"")</f>
        <v>オハナ保育園　長住</v>
      </c>
      <c r="C65" t="str">
        <f t="array" ref="C65">IF(A65="10000","",INDEX(貼り付け用!A:A,MATCH(A65,貼り付け用!A:A,0)+1))</f>
        <v>オハナ保育園 長住</v>
      </c>
      <c r="D65" t="str">
        <f ca="1">VLOOKUP(C65,クライアント抽出!$A:$O,10,FALSE)</f>
        <v>配膳スマ</v>
      </c>
      <c r="E65" t="str">
        <f ca="1">IF(D65&lt;&gt;"",
IF(COUNTIF(C65,"*ぺんぎん*"),
VLOOKUP(
"*"&amp;IF(COUNTIF(D65,"*キャラ弁*"),"キャラ",
IF(COUNTIF(D65,"*赤*"),"赤",SUBSTITUTE(SUBSTITUTE(D65," ",""),"　","")))&amp;"*",
注文弁当の抽出!$F:$I,4,FALSE)&amp;
IF(COUNTIF(D65,"*おにぎり*"),"　おにぎり","")&amp;"　（ぺんぎん組）",
VLOOKUP(
"*"&amp;IF(COUNTIF(D65,"*キャラ弁*"),"キャラ",
IF(COUNTIF(D65,"*赤*"),"赤",SUBSTITUTE(SUBSTITUTE(D65," ",""),"　","")))&amp;"*",
注文弁当の抽出!$F:$I,4,FALSE)&amp;
IF(COUNTIF(D65,"*おにぎり*"),"　おにぎり","")),"")</f>
        <v>配膳給食　園児</v>
      </c>
      <c r="F65">
        <f ca="1">IFERROR(IF(E65&lt;&gt;"",
VLOOKUP(C65,クライアント抽出!$A:$G,2,FALSE)+
IF(COUNTIF(Y65,"*-*"),Y65,0),"")
-IFERROR(MID(V65, SEARCH("予備", V65) + LEN("予備"), SEARCH("込み", V65) - (SEARCH("予備", V65) + LEN("予備"))),0),"")</f>
        <v>22</v>
      </c>
      <c r="G65" t="str">
        <f ca="1">VLOOKUP(C65,クライアント抽出!$A:$O,11,FALSE)</f>
        <v/>
      </c>
      <c r="H65" t="str">
        <f ca="1">IF(G65&lt;&gt;"",
VLOOKUP(
"*"&amp;IF(COUNTIF(G65,"*キャラ弁*"),"キャラ",
IF(COUNTIF(G65,"*赤*"),"赤",SUBSTITUTE(SUBSTITUTE(G65," ",""),"　","")))&amp;"*",
注文弁当の抽出!$F:$I,4,FALSE)&amp;
IF(COUNTIF(G65,"*おにぎり*"),"　おにぎり",""),"")</f>
        <v/>
      </c>
      <c r="I65" t="str">
        <f ca="1">IF(H65&lt;&gt;"",
VLOOKUP(C65,クライアント抽出!$A:$G,3,FALSE)+
IF(COUNTIF(C65,"*博多*"),Y65,Z65),"")</f>
        <v/>
      </c>
      <c r="J65" t="str">
        <f ca="1">VLOOKUP(C65,クライアント抽出!$A:$O,12,FALSE)</f>
        <v/>
      </c>
      <c r="K65" t="str">
        <f ca="1">IF(J65&lt;&gt;"",
VLOOKUP(
"*"&amp;IF(COUNTIF(J65,"*キャラ弁*"),"キャラ",
IF(COUNTIF(J65,"*赤*"),"赤",SUBSTITUTE(SUBSTITUTE(J65," ",""),"　","")))&amp;"*",
注文弁当の抽出!$F:$I,4,FALSE)&amp;
IF(COUNTIF(J65,"*おにぎり*"),"　おにぎり",""),"")</f>
        <v/>
      </c>
      <c r="L65" t="str">
        <f ca="1">IF(K65&lt;&gt;"",
VLOOKUP(C65,クライアント抽出!$A:$G,4,FALSE)+AA65,"")</f>
        <v/>
      </c>
      <c r="M65" t="str">
        <f ca="1">VLOOKUP(C65,クライアント抽出!$A:$O,13,FALSE)</f>
        <v>配膳スマ</v>
      </c>
      <c r="N65" t="str">
        <f ca="1">SUBSTITUTE(
IF(M65&lt;&gt;"",
VLOOKUP(
"*"&amp;IF(COUNTIF(M65,"*キャラ弁*"),"キャラ",
IF(COUNTIF(M65,"*赤*"),"赤",SUBSTITUTE(SUBSTITUTE(D65," ",""),"　","")))&amp;"*",
注文弁当の抽出!$F:$I,4,FALSE),""),"園児","先生")&amp;
IF(COUNTIF(M65,"*おにぎり*"),"　おにぎり","")</f>
        <v>配膳給食　先生</v>
      </c>
      <c r="O65">
        <f ca="1">IF(N65&lt;&gt;"",VLOOKUP(C65,クライアント抽出!$A:$G,5,FALSE),"")</f>
        <v>3</v>
      </c>
      <c r="P65" t="str">
        <f ca="1">VLOOKUP(C65,クライアント抽出!$A:$O,14,FALSE)</f>
        <v/>
      </c>
      <c r="Q65" t="str">
        <f ca="1">SUBSTITUTE(
IF(P65&lt;&gt;"",
VLOOKUP(
"*"&amp;IF(COUNTIF(P65,"*キャラ弁*"),"キャラ",
IF(COUNTIF(P65,"*赤*"),"赤",SUBSTITUTE(SUBSTITUTE(G65," ",""),"　","")))&amp;"*",
注文弁当の抽出!$F:$I,4,FALSE),""),"園児","先生")&amp;
IF(COUNTIF(P65,"*おにぎり*"),"　おにぎり","")</f>
        <v/>
      </c>
      <c r="R65" t="str">
        <f ca="1">IF(Q65&lt;&gt;"",
VLOOKUP(C65,クライアント抽出!$A:$G,6,FALSE),"")</f>
        <v/>
      </c>
      <c r="S65" t="str">
        <f ca="1">VLOOKUP(C65,クライアント抽出!$A:$O,15,FALSE)</f>
        <v/>
      </c>
      <c r="T65" t="str">
        <f ca="1">SUBSTITUTE(
IF(S65&lt;&gt;"",
VLOOKUP(
"*"&amp;IF(COUNTIF(S65,"*キャラ弁*"),"キャラ",
IF(COUNTIF(S65,"*赤*"),"赤",SUBSTITUTE(SUBSTITUTE(J65," ",""),"　","")))&amp;"*",
注文弁当の抽出!$F:$I,4,FALSE),""),"園児","先生")&amp;
IF(COUNTIF(S65,"*おにぎり*"),"　おにぎり","")</f>
        <v/>
      </c>
      <c r="U65" t="str">
        <f ca="1">IF(T65&lt;&gt;"",
VLOOKUP(C65,クライアント抽出!$A:$G,7,FALSE),"")</f>
        <v/>
      </c>
      <c r="V65" t="str">
        <f ca="1">IF(A65&lt;&gt;"",
IF(COUNTIF(V64,"*牛乳*"),
IF(AND(COUNTIF(B64,"*奈良屋*"),COUNTIF(B65,"*奈良屋*")),
V64&amp;"✔",""),VLOOKUP(""&amp;A65&amp;"",数出表_Excel!$A:$Z,22,FALSE)&amp;VLOOKUP(""&amp;A65&amp;"",数出表_Excel!$A:$Z,23,FALSE)
&amp;VLOOKUP(""&amp;C65&amp;"",数出表_Excel!$A:$Z,22,FALSE)&amp;VLOOKUP(""&amp;C65&amp;"",数出表_Excel!$A:$Z,23,FALSE)),"")</f>
        <v/>
      </c>
      <c r="W65">
        <f ca="1">IF(AND(COUNTIF(V65,"&lt;&gt;*不要*"),A65&lt;&gt;""),VLOOKUP(A65,得意先マスタ!$A:$AD,24,FALSE),0)</f>
        <v>0</v>
      </c>
      <c r="X65">
        <f ca="1">IF(AND(COUNTIF(V65,"&lt;&gt;*不要*"),A65&lt;&gt;""),VLOOKUP(A65,得意先マスタ!$A:$AD,25,FALSE),0)</f>
        <v>0</v>
      </c>
      <c r="Y65">
        <f t="shared" ref="Y65:Y96" ca="1" si="20">IF(X65&lt;&gt;0,
TEXT(IF(COUNTIF(X65,"*.*"),LEFT(X65, FIND(".", X65) - 1),X65),"@"),0)</f>
        <v>0</v>
      </c>
      <c r="Z65">
        <f t="shared" ref="Z65:Z100" ca="1" si="21">IF(X65&lt;&gt;0,
IF(COUNTIF(X65,"*.*"),
IF(COUNTIF(X65,"*.*")=1,MID(X65, FIND(".", X65) + 1,LEN(X65) - FIND(".", X65)),
MID(X65, FIND(".", X65) + 1, FIND(".", X65, FIND(".", X65) + 1) - FIND(".", X65) - 1)),0),0)</f>
        <v>0</v>
      </c>
      <c r="AA65">
        <f t="shared" ca="1" si="15"/>
        <v>0</v>
      </c>
      <c r="AB65" t="str">
        <f t="shared" ref="AB65:AB100" ca="1" si="22">IF(AND(E65&lt;&gt;"",W65&lt;&gt;0),
SUBSTITUTE(E65,"園児",W65),"")&amp;
IF(AND(H65&lt;&gt;"",W65&lt;&gt;0),
"、"&amp;SUBSTITUTE(H65,"園児",W65),"")&amp;
IF(AND(K65&lt;&gt;"",W65&lt;&gt;0),
"、"&amp;SUBSTITUTE(K65,"園児",W65),"")</f>
        <v/>
      </c>
      <c r="AC65" t="str">
        <f t="array" aca="1" ref="AC65" ca="1">IFERROR(INDEX(65:65, SMALL(IF($D65:$U65&lt;&gt;"", COLUMN($D$1:$U65)), COLUMN(A65))), "")</f>
        <v>配膳スマ</v>
      </c>
      <c r="AD65" t="str">
        <f t="array" aca="1" ref="AD65" ca="1">IFERROR(INDEX(65:65, SMALL(IF($D65:$U65&lt;&gt;"", COLUMN($D$1:$U65)), COLUMN(B65))), "")</f>
        <v>配膳給食　園児</v>
      </c>
      <c r="AE65">
        <f t="array" aca="1" ref="AE65" ca="1">IFERROR(INDEX(65:65, SMALL(IF($D65:$U65&lt;&gt;"", COLUMN($D$1:$U65)), COLUMN(C65))), "")</f>
        <v>22</v>
      </c>
      <c r="AF65" t="str">
        <f t="array" aca="1" ref="AF65" ca="1">IFERROR(INDEX(65:65, SMALL(IF($D65:$U65&lt;&gt;"", COLUMN($D$1:$U65)), COLUMN(D65))), "")</f>
        <v>配膳スマ</v>
      </c>
      <c r="AG65" t="str">
        <f t="array" aca="1" ref="AG65" ca="1">IFERROR(INDEX(65:65, SMALL(IF($D65:$U65&lt;&gt;"", COLUMN($D$1:$U65)), COLUMN(E65))), "")</f>
        <v>配膳給食　先生</v>
      </c>
      <c r="AH65">
        <f t="array" aca="1" ref="AH65" ca="1">IFERROR(INDEX(65:65, SMALL(IF($D65:$U65&lt;&gt;"", COLUMN($D$1:$U65)), COLUMN(F65))), "")</f>
        <v>3</v>
      </c>
      <c r="AI65" t="str">
        <f t="array" aca="1" ref="AI65" ca="1">IFERROR(INDEX(65:65, SMALL(IF($D65:$U65&lt;&gt;"", COLUMN($D$1:$U65)), COLUMN(G65))), "")</f>
        <v/>
      </c>
      <c r="AJ65" t="str">
        <f t="array" aca="1" ref="AJ65" ca="1">IFERROR(INDEX(65:65, SMALL(IF($D65:$U65&lt;&gt;"", COLUMN($D$1:$U65)), COLUMN(H65))), "")</f>
        <v/>
      </c>
      <c r="AK65" t="str">
        <f t="array" aca="1" ref="AK65" ca="1">IFERROR(INDEX(65:65, SMALL(IF($D65:$U65&lt;&gt;"", COLUMN($D$1:$U65)), COLUMN(I65))), "")</f>
        <v/>
      </c>
      <c r="AL65" t="str">
        <f t="array" aca="1" ref="AL65" ca="1">IFERROR(INDEX(65:65, SMALL(IF($D65:$U65&lt;&gt;"", COLUMN($D$1:$U65)), COLUMN(J65))), "")</f>
        <v/>
      </c>
      <c r="AM65" t="str">
        <f t="array" aca="1" ref="AM65" ca="1">IFERROR(INDEX(65:65, SMALL(IF($D65:$U65&lt;&gt;"", COLUMN($D$1:$U65)), COLUMN(K65))), "")</f>
        <v/>
      </c>
      <c r="AN65" t="str">
        <f t="array" aca="1" ref="AN65" ca="1">IFERROR(INDEX(65:65, SMALL(IF($D65:$U65&lt;&gt;"", COLUMN($D$1:$U65)), COLUMN(L65))), "")</f>
        <v/>
      </c>
      <c r="AO65" t="str">
        <f t="array" aca="1" ref="AO65" ca="1">IFERROR(INDEX(65:65, SMALL(IF($D65:$U65&lt;&gt;"", COLUMN($D$1:$U65)), COLUMN(M65))), "")</f>
        <v/>
      </c>
      <c r="AP65" t="str">
        <f t="array" aca="1" ref="AP65" ca="1">IFERROR(INDEX(65:65, SMALL(IF($D65:$U65&lt;&gt;"", COLUMN($D$1:$U65)), COLUMN(N65))), "")</f>
        <v/>
      </c>
      <c r="AQ65" t="str">
        <f t="array" aca="1" ref="AQ65" ca="1">IFERROR(INDEX(65:65, SMALL(IF($D65:$U65&lt;&gt;"", COLUMN($D$1:$U65)), COLUMN(O65))), "")</f>
        <v/>
      </c>
      <c r="AR65" s="52" t="s">
        <v>4005</v>
      </c>
      <c r="AS65" t="str">
        <f t="shared" ref="AS65:AS100" ca="1" si="23">IF(Y65&lt;&gt;0,
TRIM(MID(SUBSTITUTE($AB65,"、",REPT(" ",99)),1,99)),
IF(COUNTIF($V65,"*牛乳*"),
IF(COUNTIF(B65,"*奥田*"),"","牛乳"),""))</f>
        <v/>
      </c>
      <c r="AT65" t="str">
        <f t="shared" ref="AT65:AT96" ca="1" si="24">IF(Y65&lt;&gt;0,
SUBSTITUTE(Y65,"-",""),
IF(AS65&lt;&gt;"",AE65,""))</f>
        <v/>
      </c>
      <c r="AU65" t="str">
        <f t="shared" ca="1" si="16"/>
        <v/>
      </c>
      <c r="AV65" t="str">
        <f t="shared" ca="1" si="17"/>
        <v/>
      </c>
      <c r="AW65" t="str">
        <f t="shared" ca="1" si="18"/>
        <v/>
      </c>
      <c r="AX65" t="str">
        <f t="shared" ca="1" si="19"/>
        <v/>
      </c>
      <c r="AZ65" t="str">
        <f t="array" aca="1" ref="AZ65" ca="1">IFERROR(INDEX(65:65, SMALL(IF($AC65:$AX65&lt;&gt;"", COLUMN($AC$1:$AX65)), COLUMN(A65))), "")</f>
        <v>配膳スマ</v>
      </c>
      <c r="BA65" t="str">
        <f t="array" aca="1" ref="BA65" ca="1">IFERROR(INDEX(65:65, SMALL(IF($AC65:$AX65&lt;&gt;"", COLUMN($AC$1:$AX65)), COLUMN(B65))), "")</f>
        <v>配膳給食　園児</v>
      </c>
      <c r="BB65">
        <f t="array" aca="1" ref="BB65" ca="1">IFERROR(INDEX(65:65, SMALL(IF($AC65:$AX65&lt;&gt;"", COLUMN($AC$1:$AX65)), COLUMN(C65))), "")</f>
        <v>22</v>
      </c>
      <c r="BC65" t="str">
        <f t="array" aca="1" ref="BC65" ca="1">IFERROR(INDEX(65:65, SMALL(IF($AC65:$AX65&lt;&gt;"", COLUMN($AC$1:$AX65)), COLUMN(D65))), "")</f>
        <v>配膳スマ</v>
      </c>
      <c r="BD65" t="str">
        <f t="array" aca="1" ref="BD65" ca="1">IFERROR(INDEX(65:65, SMALL(IF($AC65:$AX65&lt;&gt;"", COLUMN($AC$1:$AX65)), COLUMN(E65))), "")</f>
        <v>配膳給食　先生</v>
      </c>
      <c r="BE65">
        <f t="array" aca="1" ref="BE65" ca="1">IFERROR(INDEX(65:65, SMALL(IF($AC65:$AX65&lt;&gt;"", COLUMN($AC$1:$AX65)), COLUMN(F65))), "")</f>
        <v>3</v>
      </c>
      <c r="BF65" t="str">
        <f t="array" aca="1" ref="BF65" ca="1">IFERROR(IF(AND(COUNTIF($B65,"*泉ヶ丘*"),COUNTIF($B66,"*泉ヶ丘*")),
IFERROR(INDEX(66:66, SMALL(IF($AC66:$AX66&lt;&gt;"", COLUMN($AC$1:$AX66)), COLUMN(A66))), ""),
INDEX(65:65, SMALL(IF($AC65:$AX65&lt;&gt;"", COLUMN($AC$1:$AX65)), COLUMN(G65)))), "")</f>
        <v>●</v>
      </c>
      <c r="BG65" t="str">
        <f t="array" aca="1" ref="BG65" ca="1">IFERROR(IF(AND(COUNTIF($B65,"*泉ヶ丘*"),COUNTIF($B66,"*泉ヶ丘*")),
IFERROR(INDEX(66:66, SMALL(IF($AC66:$AX66&lt;&gt;"", COLUMN($AC$1:$AX66)), COLUMN(B66))), ""),
INDEX(65:65, SMALL(IF($AC65:$AX65&lt;&gt;"", COLUMN($AC$1:$AX65)), COLUMN(H65)))), "")</f>
        <v/>
      </c>
      <c r="BH65" t="str">
        <f t="array" aca="1" ref="BH65" ca="1">IFERROR(IF(AND(COUNTIF($B65,"*泉ヶ丘*"),COUNTIF($B66,"*泉ヶ丘*")),
IFERROR(INDEX(66:66, SMALL(IF($AC66:$AX66&lt;&gt;"", COLUMN($AC$1:$AX66)), COLUMN(C66))), ""),
INDEX(65:65, SMALL(IF($AC65:$AX65&lt;&gt;"", COLUMN($AC$1:$AX65)), COLUMN(I65)))), "")</f>
        <v/>
      </c>
      <c r="BI65" t="str">
        <f t="array" aca="1" ref="BI65" ca="1">IFERROR(IF(AND(COUNTIF($B65,"*泉ヶ丘*"),COUNTIF($B66,"*泉ヶ丘*")),
IFERROR(INDEX(66:66, SMALL(IF($AC66:$AX66&lt;&gt;"", COLUMN($AC$1:$AX66)), COLUMN(D66))), ""),
INDEX(65:65, SMALL(IF($AC65:$AX65&lt;&gt;"", COLUMN($AC$1:$AX65)), COLUMN(J65)))), "")</f>
        <v/>
      </c>
      <c r="BJ65" t="str">
        <f t="array" aca="1" ref="BJ65" ca="1">IFERROR(IF(AND(COUNTIF($B65,"*泉ヶ丘*"),COUNTIF($B66,"*泉ヶ丘*")),
IFERROR(INDEX(66:66, SMALL(IF($AC66:$AX66&lt;&gt;"", COLUMN($AC$1:$AX66)), COLUMN(E66))), ""),
INDEX(65:65, SMALL(IF($AC65:$AX65&lt;&gt;"", COLUMN($AC$1:$AX65)), COLUMN(K65)))), "")</f>
        <v/>
      </c>
      <c r="BK65" t="str">
        <f t="array" aca="1" ref="BK65" ca="1">IFERROR(IF(AND(COUNTIF($B65,"*泉ヶ丘*"),COUNTIF($B66,"*泉ヶ丘*")),
IFERROR(INDEX(66:66, SMALL(IF($AC66:$AX66&lt;&gt;"", COLUMN($AC$1:$AX66)), COLUMN(F66))), ""),
INDEX(65:65, SMALL(IF($AC65:$AX65&lt;&gt;"", COLUMN($AC$1:$AX65)), COLUMN(L65)))), "")</f>
        <v/>
      </c>
      <c r="BL65" t="str">
        <f t="array" aca="1" ref="BL65" ca="1">IFERROR(IF(AND(COUNTIF($B65,"*泉ヶ丘*"),COUNTIF($B66,"*泉ヶ丘*")),
IFERROR(INDEX(66:66, SMALL(IF($AC66:$AX66&lt;&gt;"", COLUMN($AC$1:$AX66)), COLUMN(G66))), ""),
INDEX(65:65, SMALL(IF($AC65:$AX65&lt;&gt;"", COLUMN($AC$1:$AX65)), COLUMN(M65)))), "")</f>
        <v/>
      </c>
      <c r="BM65" t="str">
        <f t="array" aca="1" ref="BM65" ca="1">IFERROR(IF(AND(COUNTIF($B65,"*泉ヶ丘*"),COUNTIF($B66,"*泉ヶ丘*")),
IFERROR(INDEX(66:66, SMALL(IF($AC66:$AX66&lt;&gt;"", COLUMN($AC$1:$AX66)), COLUMN(H66))), ""),
INDEX(65:65, SMALL(IF($AC65:$AX65&lt;&gt;"", COLUMN($AC$1:$AX65)), COLUMN(N65)))), "")</f>
        <v/>
      </c>
      <c r="BN65" t="str">
        <f t="array" aca="1" ref="BN65" ca="1">IFERROR(IF(AND(COUNTIF($B65,"*泉ヶ丘*"),COUNTIF($B66,"*泉ヶ丘*")),
IFERROR(INDEX(66:66, SMALL(IF($AC66:$AX66&lt;&gt;"", COLUMN($AC$1:$AX66)), COLUMN(I66))), ""),
INDEX(65:65, SMALL(IF($AC65:$AX65&lt;&gt;"", COLUMN($AC$1:$AX65)), COLUMN(O65)))), "")</f>
        <v/>
      </c>
      <c r="BO65" t="str">
        <f t="array" aca="1" ref="BO65" ca="1">IFERROR(IF(AND(COUNTIF($B65,"*泉ヶ丘*"),COUNTIF($B66,"*泉ヶ丘*")),
IFERROR(INDEX(66:66, SMALL(IF($AC66:$AX66&lt;&gt;"", COLUMN($AC$1:$AX66)), COLUMN(J66))), ""),
INDEX(65:65, SMALL(IF($AC65:$AX65&lt;&gt;"", COLUMN($AC$1:$AX65)), COLUMN(P65)))), "")</f>
        <v/>
      </c>
      <c r="BP65" t="str">
        <f t="array" aca="1" ref="BP65" ca="1">IFERROR(IF(AND(COUNTIF($B65,"*泉ヶ丘*"),COUNTIF($B66,"*泉ヶ丘*")),
IFERROR(INDEX(66:66, SMALL(IF($AC66:$AX66&lt;&gt;"", COLUMN($AC$1:$AX66)), COLUMN(K66))), ""),
INDEX(65:65, SMALL(IF($AC65:$AX65&lt;&gt;"", COLUMN($AC$1:$AX65)), COLUMN(Q65)))), "")</f>
        <v/>
      </c>
      <c r="BQ65" t="str">
        <f t="array" aca="1" ref="BQ65" ca="1">IFERROR(IF(AND(COUNTIF($B65,"*泉ヶ丘*"),COUNTIF($B66,"*泉ヶ丘*")),
IFERROR(INDEX(66:66, SMALL(IF($AC66:$AX66&lt;&gt;"", COLUMN($AC$1:$AX66)), COLUMN(L66))), ""),
INDEX(65:65, SMALL(IF($AC65:$AX65&lt;&gt;"", COLUMN($AC$1:$AX65)), COLUMN(R65)))), "")</f>
        <v/>
      </c>
    </row>
    <row r="66" spans="1:69" x14ac:dyDescent="0.45">
      <c r="A66" t="str">
        <f t="array" ref="A66">IF(INDEX(貼り付け用!A:A,MATCH(A65,貼り付け用!A:A,0)+2)="4700",
IF(INDEX(貼り付け用!A:A,MATCH(A65,貼り付け用!A:A,0)+4)="4800",
INDEX(貼り付け用!A:A,MATCH(A65,貼り付け用!A:A,0)+6),
INDEX(貼り付け用!A:A,MATCH(A65,貼り付け用!A:A,0)+4)),INDEX(貼り付け用!A:A,MATCH(A65,貼り付け用!A:A,0)+2))</f>
        <v>40750</v>
      </c>
      <c r="B66" t="str">
        <f>IF(A66&lt;&gt;"",
VLOOKUP(A66,得意先マスタ!A:D,2,FALSE),"")</f>
        <v>オハナ保育園　春日</v>
      </c>
      <c r="C66" t="str">
        <f t="array" ref="C66">IF(A66="10000","",INDEX(貼り付け用!A:A,MATCH(A66,貼り付け用!A:A,0)+1))</f>
        <v>オハナ保育園 春日</v>
      </c>
      <c r="D66" t="str">
        <f ca="1">VLOOKUP(C66,クライアント抽出!$A:$O,10,FALSE)</f>
        <v>配膳スマ</v>
      </c>
      <c r="E66" t="str">
        <f ca="1">IF(D66&lt;&gt;"",
IF(COUNTIF(C66,"*ぺんぎん*"),
VLOOKUP(
"*"&amp;IF(COUNTIF(D66,"*キャラ弁*"),"キャラ",
IF(COUNTIF(D66,"*赤*"),"赤",SUBSTITUTE(SUBSTITUTE(D66," ",""),"　","")))&amp;"*",
注文弁当の抽出!$F:$I,4,FALSE)&amp;
IF(COUNTIF(D66,"*おにぎり*"),"　おにぎり","")&amp;"　（ぺんぎん組）",
VLOOKUP(
"*"&amp;IF(COUNTIF(D66,"*キャラ弁*"),"キャラ",
IF(COUNTIF(D66,"*赤*"),"赤",SUBSTITUTE(SUBSTITUTE(D66," ",""),"　","")))&amp;"*",
注文弁当の抽出!$F:$I,4,FALSE)&amp;
IF(COUNTIF(D66,"*おにぎり*"),"　おにぎり","")),"")</f>
        <v>配膳給食　園児</v>
      </c>
      <c r="F66">
        <f ca="1">IFERROR(IF(E66&lt;&gt;"",
VLOOKUP(C66,クライアント抽出!$A:$G,2,FALSE)+
IF(COUNTIF(Y66,"*-*"),Y66,0),"")
-IFERROR(MID(V66, SEARCH("予備", V66) + LEN("予備"), SEARCH("込み", V66) - (SEARCH("予備", V66) + LEN("予備"))),0),"")</f>
        <v>12</v>
      </c>
      <c r="G66" t="str">
        <f ca="1">VLOOKUP(C66,クライアント抽出!$A:$O,11,FALSE)</f>
        <v/>
      </c>
      <c r="H66" t="str">
        <f ca="1">IF(G66&lt;&gt;"",
VLOOKUP(
"*"&amp;IF(COUNTIF(G66,"*キャラ弁*"),"キャラ",
IF(COUNTIF(G66,"*赤*"),"赤",SUBSTITUTE(SUBSTITUTE(G66," ",""),"　","")))&amp;"*",
注文弁当の抽出!$F:$I,4,FALSE)&amp;
IF(COUNTIF(G66,"*おにぎり*"),"　おにぎり",""),"")</f>
        <v/>
      </c>
      <c r="I66" t="str">
        <f ca="1">IF(H66&lt;&gt;"",
VLOOKUP(C66,クライアント抽出!$A:$G,3,FALSE)+
IF(COUNTIF(C66,"*博多*"),Y66,Z66),"")</f>
        <v/>
      </c>
      <c r="J66" t="str">
        <f ca="1">VLOOKUP(C66,クライアント抽出!$A:$O,12,FALSE)</f>
        <v/>
      </c>
      <c r="K66" t="str">
        <f ca="1">IF(J66&lt;&gt;"",
VLOOKUP(
"*"&amp;IF(COUNTIF(J66,"*キャラ弁*"),"キャラ",
IF(COUNTIF(J66,"*赤*"),"赤",SUBSTITUTE(SUBSTITUTE(J66," ",""),"　","")))&amp;"*",
注文弁当の抽出!$F:$I,4,FALSE)&amp;
IF(COUNTIF(J66,"*おにぎり*"),"　おにぎり",""),"")</f>
        <v/>
      </c>
      <c r="L66" t="str">
        <f ca="1">IF(K66&lt;&gt;"",
VLOOKUP(C66,クライアント抽出!$A:$G,4,FALSE)+AA66,"")</f>
        <v/>
      </c>
      <c r="M66" t="str">
        <f ca="1">VLOOKUP(C66,クライアント抽出!$A:$O,13,FALSE)</f>
        <v>配膳スマ</v>
      </c>
      <c r="N66" t="str">
        <f ca="1">SUBSTITUTE(
IF(M66&lt;&gt;"",
VLOOKUP(
"*"&amp;IF(COUNTIF(M66,"*キャラ弁*"),"キャラ",
IF(COUNTIF(M66,"*赤*"),"赤",SUBSTITUTE(SUBSTITUTE(D66," ",""),"　","")))&amp;"*",
注文弁当の抽出!$F:$I,4,FALSE),""),"園児","先生")&amp;
IF(COUNTIF(M66,"*おにぎり*"),"　おにぎり","")</f>
        <v>配膳給食　先生</v>
      </c>
      <c r="O66">
        <f ca="1">IF(N66&lt;&gt;"",VLOOKUP(C66,クライアント抽出!$A:$G,5,FALSE),"")</f>
        <v>3</v>
      </c>
      <c r="P66" t="str">
        <f ca="1">VLOOKUP(C66,クライアント抽出!$A:$O,14,FALSE)</f>
        <v/>
      </c>
      <c r="Q66" t="str">
        <f ca="1">SUBSTITUTE(
IF(P66&lt;&gt;"",
VLOOKUP(
"*"&amp;IF(COUNTIF(P66,"*キャラ弁*"),"キャラ",
IF(COUNTIF(P66,"*赤*"),"赤",SUBSTITUTE(SUBSTITUTE(G66," ",""),"　","")))&amp;"*",
注文弁当の抽出!$F:$I,4,FALSE),""),"園児","先生")&amp;
IF(COUNTIF(P66,"*おにぎり*"),"　おにぎり","")</f>
        <v/>
      </c>
      <c r="R66" t="str">
        <f ca="1">IF(Q66&lt;&gt;"",
VLOOKUP(C66,クライアント抽出!$A:$G,6,FALSE),"")</f>
        <v/>
      </c>
      <c r="S66" t="str">
        <f ca="1">VLOOKUP(C66,クライアント抽出!$A:$O,15,FALSE)</f>
        <v/>
      </c>
      <c r="T66" t="str">
        <f ca="1">SUBSTITUTE(
IF(S66&lt;&gt;"",
VLOOKUP(
"*"&amp;IF(COUNTIF(S66,"*キャラ弁*"),"キャラ",
IF(COUNTIF(S66,"*赤*"),"赤",SUBSTITUTE(SUBSTITUTE(J66," ",""),"　","")))&amp;"*",
注文弁当の抽出!$F:$I,4,FALSE),""),"園児","先生")&amp;
IF(COUNTIF(S66,"*おにぎり*"),"　おにぎり","")</f>
        <v/>
      </c>
      <c r="U66" t="str">
        <f ca="1">IF(T66&lt;&gt;"",
VLOOKUP(C66,クライアント抽出!$A:$G,7,FALSE),"")</f>
        <v/>
      </c>
      <c r="V66" t="str">
        <f ca="1">IF(A66&lt;&gt;"",
IF(COUNTIF(V65,"*牛乳*"),
IF(AND(COUNTIF(B65,"*奈良屋*"),COUNTIF(B66,"*奈良屋*")),
V65&amp;"✔",""),VLOOKUP(""&amp;A66&amp;"",数出表_Excel!$A:$Z,22,FALSE)&amp;VLOOKUP(""&amp;A66&amp;"",数出表_Excel!$A:$Z,23,FALSE)
&amp;VLOOKUP(""&amp;C66&amp;"",数出表_Excel!$A:$Z,22,FALSE)&amp;VLOOKUP(""&amp;C66&amp;"",数出表_Excel!$A:$Z,23,FALSE)),"")</f>
        <v/>
      </c>
      <c r="W66">
        <f ca="1">IF(AND(COUNTIF(V66,"&lt;&gt;*不要*"),A66&lt;&gt;""),VLOOKUP(A66,得意先マスタ!$A:$AD,24,FALSE),0)</f>
        <v>0</v>
      </c>
      <c r="X66">
        <f ca="1">IF(AND(COUNTIF(V66,"&lt;&gt;*不要*"),A66&lt;&gt;""),VLOOKUP(A66,得意先マスタ!$A:$AD,25,FALSE),0)</f>
        <v>0</v>
      </c>
      <c r="Y66">
        <f t="shared" ca="1" si="20"/>
        <v>0</v>
      </c>
      <c r="Z66">
        <f t="shared" ca="1" si="21"/>
        <v>0</v>
      </c>
      <c r="AA66">
        <f t="shared" ref="AA66:AA100" ca="1" si="25">IF(X66&lt;&gt;0,
IF(COUNTIF(X66,"*.*"),
IF(COUNTIF(X66,"*.*")=1,0,RIGHT(X66, LEN(X66) - FIND(".", X66, FIND(".", X66) + 1))),0),0)</f>
        <v>0</v>
      </c>
      <c r="AB66" t="str">
        <f t="shared" ca="1" si="22"/>
        <v/>
      </c>
      <c r="AC66" t="str">
        <f t="array" aca="1" ref="AC66" ca="1">IFERROR(INDEX(66:66, SMALL(IF($D66:$U66&lt;&gt;"", COLUMN($D$1:$U66)), COLUMN(A66))), "")</f>
        <v>配膳スマ</v>
      </c>
      <c r="AD66" t="str">
        <f t="array" aca="1" ref="AD66" ca="1">IFERROR(INDEX(66:66, SMALL(IF($D66:$U66&lt;&gt;"", COLUMN($D$1:$U66)), COLUMN(B66))), "")</f>
        <v>配膳給食　園児</v>
      </c>
      <c r="AE66">
        <f t="array" aca="1" ref="AE66" ca="1">IFERROR(INDEX(66:66, SMALL(IF($D66:$U66&lt;&gt;"", COLUMN($D$1:$U66)), COLUMN(C66))), "")</f>
        <v>12</v>
      </c>
      <c r="AF66" t="str">
        <f t="array" aca="1" ref="AF66" ca="1">IFERROR(INDEX(66:66, SMALL(IF($D66:$U66&lt;&gt;"", COLUMN($D$1:$U66)), COLUMN(D66))), "")</f>
        <v>配膳スマ</v>
      </c>
      <c r="AG66" t="str">
        <f t="array" aca="1" ref="AG66" ca="1">IFERROR(INDEX(66:66, SMALL(IF($D66:$U66&lt;&gt;"", COLUMN($D$1:$U66)), COLUMN(E66))), "")</f>
        <v>配膳給食　先生</v>
      </c>
      <c r="AH66">
        <f t="array" aca="1" ref="AH66" ca="1">IFERROR(INDEX(66:66, SMALL(IF($D66:$U66&lt;&gt;"", COLUMN($D$1:$U66)), COLUMN(F66))), "")</f>
        <v>3</v>
      </c>
      <c r="AI66" t="str">
        <f t="array" aca="1" ref="AI66" ca="1">IFERROR(INDEX(66:66, SMALL(IF($D66:$U66&lt;&gt;"", COLUMN($D$1:$U66)), COLUMN(G66))), "")</f>
        <v/>
      </c>
      <c r="AJ66" t="str">
        <f t="array" aca="1" ref="AJ66" ca="1">IFERROR(INDEX(66:66, SMALL(IF($D66:$U66&lt;&gt;"", COLUMN($D$1:$U66)), COLUMN(H66))), "")</f>
        <v/>
      </c>
      <c r="AK66" t="str">
        <f t="array" aca="1" ref="AK66" ca="1">IFERROR(INDEX(66:66, SMALL(IF($D66:$U66&lt;&gt;"", COLUMN($D$1:$U66)), COLUMN(I66))), "")</f>
        <v/>
      </c>
      <c r="AL66" t="str">
        <f t="array" aca="1" ref="AL66" ca="1">IFERROR(INDEX(66:66, SMALL(IF($D66:$U66&lt;&gt;"", COLUMN($D$1:$U66)), COLUMN(J66))), "")</f>
        <v/>
      </c>
      <c r="AM66" t="str">
        <f t="array" aca="1" ref="AM66" ca="1">IFERROR(INDEX(66:66, SMALL(IF($D66:$U66&lt;&gt;"", COLUMN($D$1:$U66)), COLUMN(K66))), "")</f>
        <v/>
      </c>
      <c r="AN66" t="str">
        <f t="array" aca="1" ref="AN66" ca="1">IFERROR(INDEX(66:66, SMALL(IF($D66:$U66&lt;&gt;"", COLUMN($D$1:$U66)), COLUMN(L66))), "")</f>
        <v/>
      </c>
      <c r="AO66" t="str">
        <f t="array" aca="1" ref="AO66" ca="1">IFERROR(INDEX(66:66, SMALL(IF($D66:$U66&lt;&gt;"", COLUMN($D$1:$U66)), COLUMN(M66))), "")</f>
        <v/>
      </c>
      <c r="AP66" t="str">
        <f t="array" aca="1" ref="AP66" ca="1">IFERROR(INDEX(66:66, SMALL(IF($D66:$U66&lt;&gt;"", COLUMN($D$1:$U66)), COLUMN(N66))), "")</f>
        <v/>
      </c>
      <c r="AQ66" t="str">
        <f t="array" aca="1" ref="AQ66" ca="1">IFERROR(INDEX(66:66, SMALL(IF($D66:$U66&lt;&gt;"", COLUMN($D$1:$U66)), COLUMN(O66))), "")</f>
        <v/>
      </c>
      <c r="AR66" s="52" t="s">
        <v>4005</v>
      </c>
      <c r="AS66" t="str">
        <f t="shared" ca="1" si="23"/>
        <v/>
      </c>
      <c r="AT66" t="str">
        <f t="shared" ca="1" si="24"/>
        <v/>
      </c>
      <c r="AU66" t="str">
        <f t="shared" ref="AU66:AU100" ca="1" si="26">IF(Z66&lt;&gt;0,
IF(Z66&lt;&gt;"0",
TRIM(MID(SUBSTITUTE($AB66,"、",REPT(" ",99)),100,99)),""),
IF(COUNTIF(B66,"*博多*"),TRIM(MID(SUBSTITUTE($AB66,"、",REPT(" ",99)),100,99)),
IF(AND(COUNTIF(AS66,"*牛乳*")&lt;&gt;1,COUNTIF($V66,"*牛乳*")),
IF(COUNTIF(B66,"*奥田*"),"",TRIM(LEFT(SUBSTITUTE($V66,"×",REPT(" ",100)),100))),"")))</f>
        <v/>
      </c>
      <c r="AV66" t="str">
        <f t="shared" ref="AV66:AV97" ca="1" si="27">IF(Z66&lt;&gt;0,
IF(Z66&lt;&gt;"0",
SUBSTITUTE(Z66,"-",""),""),
IF(AND(COUNTIF(B66,"*博多*"),AU66&lt;&gt;""),AT66,
IF(AND(AU66&lt;&gt;"",COUNTIF(AS66,"*牛乳*")&lt;&gt;1,COUNTIF(V66,"*牛乳*")),VALUE(TRIM(MID(ASC(V66),SEARCH("×",ASC(V66))+1,SEARCH("本",ASC(V66))-SEARCH("×",ASC(V66))-1))),"")))</f>
        <v/>
      </c>
      <c r="AW66" t="str">
        <f t="shared" ref="AW66:AW100" ca="1" si="28">IF(AA66&lt;&gt;0,
TRIM(MID(SUBSTITUTE($AB66,"、",REPT(" ",99)),199,99)),
IF(AND(COUNTIF($V66,"*牛乳*"),COUNTIF(AS66,"*牛乳*")&lt;&gt;1,COUNTIF(AU66,"*牛乳*")&lt;&gt;1),
IF(COUNTIF(B66,"*奥田*"),"",TRIM(LEFT(SUBSTITUTE($V66,"×",REPT(" ",100)),100))),""))</f>
        <v/>
      </c>
      <c r="AX66" t="str">
        <f t="shared" ref="AX66:AX97" ca="1" si="29">IF(AA66&lt;&gt;0,
SUBSTITUTE(AA66,"-",""),
IF(AND(AW66&lt;&gt;"",COUNTIF(AS66,"*牛乳*")&lt;&gt;1,COUNTIF(AU66,"*牛乳*")&lt;&gt;1,COUNTIF(V66,"*牛乳*")),VALUE(TRIM(MID(ASC(V66),SEARCH("×",ASC(V66))+1,SEARCH("本",ASC(V66))-SEARCH("×",ASC(V66))-1))),""))</f>
        <v/>
      </c>
      <c r="AZ66" t="str">
        <f t="array" aca="1" ref="AZ66" ca="1">IFERROR(INDEX(66:66, SMALL(IF($AC66:$AX66&lt;&gt;"", COLUMN($AC$1:$AX66)), COLUMN(A66))), "")</f>
        <v>配膳スマ</v>
      </c>
      <c r="BA66" t="str">
        <f t="array" aca="1" ref="BA66" ca="1">IFERROR(INDEX(66:66, SMALL(IF($AC66:$AX66&lt;&gt;"", COLUMN($AC$1:$AX66)), COLUMN(B66))), "")</f>
        <v>配膳給食　園児</v>
      </c>
      <c r="BB66">
        <f t="array" aca="1" ref="BB66" ca="1">IFERROR(INDEX(66:66, SMALL(IF($AC66:$AX66&lt;&gt;"", COLUMN($AC$1:$AX66)), COLUMN(C66))), "")</f>
        <v>12</v>
      </c>
      <c r="BC66" t="str">
        <f t="array" aca="1" ref="BC66" ca="1">IFERROR(INDEX(66:66, SMALL(IF($AC66:$AX66&lt;&gt;"", COLUMN($AC$1:$AX66)), COLUMN(D66))), "")</f>
        <v>配膳スマ</v>
      </c>
      <c r="BD66" t="str">
        <f t="array" aca="1" ref="BD66" ca="1">IFERROR(INDEX(66:66, SMALL(IF($AC66:$AX66&lt;&gt;"", COLUMN($AC$1:$AX66)), COLUMN(E66))), "")</f>
        <v>配膳給食　先生</v>
      </c>
      <c r="BE66">
        <f t="array" aca="1" ref="BE66" ca="1">IFERROR(INDEX(66:66, SMALL(IF($AC66:$AX66&lt;&gt;"", COLUMN($AC$1:$AX66)), COLUMN(F66))), "")</f>
        <v>3</v>
      </c>
      <c r="BF66" t="str">
        <f t="array" aca="1" ref="BF66" ca="1">IFERROR(IF(AND(COUNTIF($B66,"*泉ヶ丘*"),COUNTIF($B67,"*泉ヶ丘*")),
IFERROR(INDEX(67:67, SMALL(IF($AC67:$AX67&lt;&gt;"", COLUMN($AC$1:$AX67)), COLUMN(A67))), ""),
INDEX(66:66, SMALL(IF($AC66:$AX66&lt;&gt;"", COLUMN($AC$1:$AX66)), COLUMN(G66)))), "")</f>
        <v>●</v>
      </c>
      <c r="BG66" t="str">
        <f t="array" aca="1" ref="BG66" ca="1">IFERROR(IF(AND(COUNTIF($B66,"*泉ヶ丘*"),COUNTIF($B67,"*泉ヶ丘*")),
IFERROR(INDEX(67:67, SMALL(IF($AC67:$AX67&lt;&gt;"", COLUMN($AC$1:$AX67)), COLUMN(B67))), ""),
INDEX(66:66, SMALL(IF($AC66:$AX66&lt;&gt;"", COLUMN($AC$1:$AX66)), COLUMN(H66)))), "")</f>
        <v/>
      </c>
      <c r="BH66" t="str">
        <f t="array" aca="1" ref="BH66" ca="1">IFERROR(IF(AND(COUNTIF($B66,"*泉ヶ丘*"),COUNTIF($B67,"*泉ヶ丘*")),
IFERROR(INDEX(67:67, SMALL(IF($AC67:$AX67&lt;&gt;"", COLUMN($AC$1:$AX67)), COLUMN(C67))), ""),
INDEX(66:66, SMALL(IF($AC66:$AX66&lt;&gt;"", COLUMN($AC$1:$AX66)), COLUMN(I66)))), "")</f>
        <v/>
      </c>
      <c r="BI66" t="str">
        <f t="array" aca="1" ref="BI66" ca="1">IFERROR(IF(AND(COUNTIF($B66,"*泉ヶ丘*"),COUNTIF($B67,"*泉ヶ丘*")),
IFERROR(INDEX(67:67, SMALL(IF($AC67:$AX67&lt;&gt;"", COLUMN($AC$1:$AX67)), COLUMN(D67))), ""),
INDEX(66:66, SMALL(IF($AC66:$AX66&lt;&gt;"", COLUMN($AC$1:$AX66)), COLUMN(J66)))), "")</f>
        <v/>
      </c>
      <c r="BJ66" t="str">
        <f t="array" aca="1" ref="BJ66" ca="1">IFERROR(IF(AND(COUNTIF($B66,"*泉ヶ丘*"),COUNTIF($B67,"*泉ヶ丘*")),
IFERROR(INDEX(67:67, SMALL(IF($AC67:$AX67&lt;&gt;"", COLUMN($AC$1:$AX67)), COLUMN(E67))), ""),
INDEX(66:66, SMALL(IF($AC66:$AX66&lt;&gt;"", COLUMN($AC$1:$AX66)), COLUMN(K66)))), "")</f>
        <v/>
      </c>
      <c r="BK66" t="str">
        <f t="array" aca="1" ref="BK66" ca="1">IFERROR(IF(AND(COUNTIF($B66,"*泉ヶ丘*"),COUNTIF($B67,"*泉ヶ丘*")),
IFERROR(INDEX(67:67, SMALL(IF($AC67:$AX67&lt;&gt;"", COLUMN($AC$1:$AX67)), COLUMN(F67))), ""),
INDEX(66:66, SMALL(IF($AC66:$AX66&lt;&gt;"", COLUMN($AC$1:$AX66)), COLUMN(L66)))), "")</f>
        <v/>
      </c>
      <c r="BL66" t="str">
        <f t="array" aca="1" ref="BL66" ca="1">IFERROR(IF(AND(COUNTIF($B66,"*泉ヶ丘*"),COUNTIF($B67,"*泉ヶ丘*")),
IFERROR(INDEX(67:67, SMALL(IF($AC67:$AX67&lt;&gt;"", COLUMN($AC$1:$AX67)), COLUMN(G67))), ""),
INDEX(66:66, SMALL(IF($AC66:$AX66&lt;&gt;"", COLUMN($AC$1:$AX66)), COLUMN(M66)))), "")</f>
        <v/>
      </c>
      <c r="BM66" t="str">
        <f t="array" aca="1" ref="BM66" ca="1">IFERROR(IF(AND(COUNTIF($B66,"*泉ヶ丘*"),COUNTIF($B67,"*泉ヶ丘*")),
IFERROR(INDEX(67:67, SMALL(IF($AC67:$AX67&lt;&gt;"", COLUMN($AC$1:$AX67)), COLUMN(H67))), ""),
INDEX(66:66, SMALL(IF($AC66:$AX66&lt;&gt;"", COLUMN($AC$1:$AX66)), COLUMN(N66)))), "")</f>
        <v/>
      </c>
      <c r="BN66" t="str">
        <f t="array" aca="1" ref="BN66" ca="1">IFERROR(IF(AND(COUNTIF($B66,"*泉ヶ丘*"),COUNTIF($B67,"*泉ヶ丘*")),
IFERROR(INDEX(67:67, SMALL(IF($AC67:$AX67&lt;&gt;"", COLUMN($AC$1:$AX67)), COLUMN(I67))), ""),
INDEX(66:66, SMALL(IF($AC66:$AX66&lt;&gt;"", COLUMN($AC$1:$AX66)), COLUMN(O66)))), "")</f>
        <v/>
      </c>
      <c r="BO66" t="str">
        <f t="array" aca="1" ref="BO66" ca="1">IFERROR(IF(AND(COUNTIF($B66,"*泉ヶ丘*"),COUNTIF($B67,"*泉ヶ丘*")),
IFERROR(INDEX(67:67, SMALL(IF($AC67:$AX67&lt;&gt;"", COLUMN($AC$1:$AX67)), COLUMN(J67))), ""),
INDEX(66:66, SMALL(IF($AC66:$AX66&lt;&gt;"", COLUMN($AC$1:$AX66)), COLUMN(P66)))), "")</f>
        <v/>
      </c>
      <c r="BP66" t="str">
        <f t="array" aca="1" ref="BP66" ca="1">IFERROR(IF(AND(COUNTIF($B66,"*泉ヶ丘*"),COUNTIF($B67,"*泉ヶ丘*")),
IFERROR(INDEX(67:67, SMALL(IF($AC67:$AX67&lt;&gt;"", COLUMN($AC$1:$AX67)), COLUMN(K67))), ""),
INDEX(66:66, SMALL(IF($AC66:$AX66&lt;&gt;"", COLUMN($AC$1:$AX66)), COLUMN(Q66)))), "")</f>
        <v/>
      </c>
      <c r="BQ66" t="str">
        <f t="array" aca="1" ref="BQ66" ca="1">IFERROR(IF(AND(COUNTIF($B66,"*泉ヶ丘*"),COUNTIF($B67,"*泉ヶ丘*")),
IFERROR(INDEX(67:67, SMALL(IF($AC67:$AX67&lt;&gt;"", COLUMN($AC$1:$AX67)), COLUMN(L67))), ""),
INDEX(66:66, SMALL(IF($AC66:$AX66&lt;&gt;"", COLUMN($AC$1:$AX66)), COLUMN(R66)))), "")</f>
        <v/>
      </c>
    </row>
    <row r="67" spans="1:69" x14ac:dyDescent="0.45">
      <c r="A67" t="str">
        <f t="array" ref="A67">IF(INDEX(貼り付け用!A:A,MATCH(A66,貼り付け用!A:A,0)+2)="4700",
IF(INDEX(貼り付け用!A:A,MATCH(A66,貼り付け用!A:A,0)+4)="4800",
INDEX(貼り付け用!A:A,MATCH(A66,貼り付け用!A:A,0)+6),
INDEX(貼り付け用!A:A,MATCH(A66,貼り付け用!A:A,0)+4)),INDEX(貼り付け用!A:A,MATCH(A66,貼り付け用!A:A,0)+2))</f>
        <v>40800</v>
      </c>
      <c r="B67" t="str">
        <f>IF(A67&lt;&gt;"",
VLOOKUP(A67,得意先マスタ!A:D,2,FALSE),"")</f>
        <v>オハナ保育園　一の谷</v>
      </c>
      <c r="C67" t="str">
        <f t="array" ref="C67">IF(A67="10000","",INDEX(貼り付け用!A:A,MATCH(A67,貼り付け用!A:A,0)+1))</f>
        <v>オハナ保育園 一の谷</v>
      </c>
      <c r="D67" t="str">
        <f ca="1">VLOOKUP(C67,クライアント抽出!$A:$O,10,FALSE)</f>
        <v>配膳スマ</v>
      </c>
      <c r="E67" t="str">
        <f ca="1">IF(D67&lt;&gt;"",
IF(COUNTIF(C67,"*ぺんぎん*"),
VLOOKUP(
"*"&amp;IF(COUNTIF(D67,"*キャラ弁*"),"キャラ",
IF(COUNTIF(D67,"*赤*"),"赤",SUBSTITUTE(SUBSTITUTE(D67," ",""),"　","")))&amp;"*",
注文弁当の抽出!$F:$I,4,FALSE)&amp;
IF(COUNTIF(D67,"*おにぎり*"),"　おにぎり","")&amp;"　（ぺんぎん組）",
VLOOKUP(
"*"&amp;IF(COUNTIF(D67,"*キャラ弁*"),"キャラ",
IF(COUNTIF(D67,"*赤*"),"赤",SUBSTITUTE(SUBSTITUTE(D67," ",""),"　","")))&amp;"*",
注文弁当の抽出!$F:$I,4,FALSE)&amp;
IF(COUNTIF(D67,"*おにぎり*"),"　おにぎり","")),"")</f>
        <v>配膳給食　園児</v>
      </c>
      <c r="F67">
        <f ca="1">IFERROR(IF(E67&lt;&gt;"",
VLOOKUP(C67,クライアント抽出!$A:$G,2,FALSE)+
IF(COUNTIF(Y67,"*-*"),Y67,0),"")
-IFERROR(MID(V67, SEARCH("予備", V67) + LEN("予備"), SEARCH("込み", V67) - (SEARCH("予備", V67) + LEN("予備"))),0),"")</f>
        <v>47</v>
      </c>
      <c r="G67" t="str">
        <f ca="1">VLOOKUP(C67,クライアント抽出!$A:$O,11,FALSE)</f>
        <v/>
      </c>
      <c r="H67" t="str">
        <f ca="1">IF(G67&lt;&gt;"",
VLOOKUP(
"*"&amp;IF(COUNTIF(G67,"*キャラ弁*"),"キャラ",
IF(COUNTIF(G67,"*赤*"),"赤",SUBSTITUTE(SUBSTITUTE(G67," ",""),"　","")))&amp;"*",
注文弁当の抽出!$F:$I,4,FALSE)&amp;
IF(COUNTIF(G67,"*おにぎり*"),"　おにぎり",""),"")</f>
        <v/>
      </c>
      <c r="I67" t="str">
        <f ca="1">IF(H67&lt;&gt;"",
VLOOKUP(C67,クライアント抽出!$A:$G,3,FALSE)+
IF(COUNTIF(C67,"*博多*"),Y67,Z67),"")</f>
        <v/>
      </c>
      <c r="J67" t="str">
        <f ca="1">VLOOKUP(C67,クライアント抽出!$A:$O,12,FALSE)</f>
        <v/>
      </c>
      <c r="K67" t="str">
        <f ca="1">IF(J67&lt;&gt;"",
VLOOKUP(
"*"&amp;IF(COUNTIF(J67,"*キャラ弁*"),"キャラ",
IF(COUNTIF(J67,"*赤*"),"赤",SUBSTITUTE(SUBSTITUTE(J67," ",""),"　","")))&amp;"*",
注文弁当の抽出!$F:$I,4,FALSE)&amp;
IF(COUNTIF(J67,"*おにぎり*"),"　おにぎり",""),"")</f>
        <v/>
      </c>
      <c r="L67" t="str">
        <f ca="1">IF(K67&lt;&gt;"",
VLOOKUP(C67,クライアント抽出!$A:$G,4,FALSE)+AA67,"")</f>
        <v/>
      </c>
      <c r="M67" t="str">
        <f ca="1">VLOOKUP(C67,クライアント抽出!$A:$O,13,FALSE)</f>
        <v>配膳スマ</v>
      </c>
      <c r="N67" t="str">
        <f ca="1">SUBSTITUTE(
IF(M67&lt;&gt;"",
VLOOKUP(
"*"&amp;IF(COUNTIF(M67,"*キャラ弁*"),"キャラ",
IF(COUNTIF(M67,"*赤*"),"赤",SUBSTITUTE(SUBSTITUTE(D67," ",""),"　","")))&amp;"*",
注文弁当の抽出!$F:$I,4,FALSE),""),"園児","先生")&amp;
IF(COUNTIF(M67,"*おにぎり*"),"　おにぎり","")</f>
        <v>配膳給食　先生</v>
      </c>
      <c r="O67">
        <f ca="1">IF(N67&lt;&gt;"",VLOOKUP(C67,クライアント抽出!$A:$G,5,FALSE),"")</f>
        <v>3</v>
      </c>
      <c r="P67" t="str">
        <f ca="1">VLOOKUP(C67,クライアント抽出!$A:$O,14,FALSE)</f>
        <v/>
      </c>
      <c r="Q67" t="str">
        <f ca="1">SUBSTITUTE(
IF(P67&lt;&gt;"",
VLOOKUP(
"*"&amp;IF(COUNTIF(P67,"*キャラ弁*"),"キャラ",
IF(COUNTIF(P67,"*赤*"),"赤",SUBSTITUTE(SUBSTITUTE(G67," ",""),"　","")))&amp;"*",
注文弁当の抽出!$F:$I,4,FALSE),""),"園児","先生")&amp;
IF(COUNTIF(P67,"*おにぎり*"),"　おにぎり","")</f>
        <v/>
      </c>
      <c r="R67" t="str">
        <f ca="1">IF(Q67&lt;&gt;"",
VLOOKUP(C67,クライアント抽出!$A:$G,6,FALSE),"")</f>
        <v/>
      </c>
      <c r="S67" t="str">
        <f ca="1">VLOOKUP(C67,クライアント抽出!$A:$O,15,FALSE)</f>
        <v/>
      </c>
      <c r="T67" t="str">
        <f ca="1">SUBSTITUTE(
IF(S67&lt;&gt;"",
VLOOKUP(
"*"&amp;IF(COUNTIF(S67,"*キャラ弁*"),"キャラ",
IF(COUNTIF(S67,"*赤*"),"赤",SUBSTITUTE(SUBSTITUTE(J67," ",""),"　","")))&amp;"*",
注文弁当の抽出!$F:$I,4,FALSE),""),"園児","先生")&amp;
IF(COUNTIF(S67,"*おにぎり*"),"　おにぎり","")</f>
        <v/>
      </c>
      <c r="U67" t="str">
        <f ca="1">IF(T67&lt;&gt;"",
VLOOKUP(C67,クライアント抽出!$A:$G,7,FALSE),"")</f>
        <v/>
      </c>
      <c r="V67" t="str">
        <f ca="1">IF(A67&lt;&gt;"",
IF(COUNTIF(V66,"*牛乳*"),
IF(AND(COUNTIF(B66,"*奈良屋*"),COUNTIF(B67,"*奈良屋*")),
V66&amp;"✔",""),VLOOKUP(""&amp;A67&amp;"",数出表_Excel!$A:$Z,22,FALSE)&amp;VLOOKUP(""&amp;A67&amp;"",数出表_Excel!$A:$Z,23,FALSE)
&amp;VLOOKUP(""&amp;C67&amp;"",数出表_Excel!$A:$Z,22,FALSE)&amp;VLOOKUP(""&amp;C67&amp;"",数出表_Excel!$A:$Z,23,FALSE)),"")</f>
        <v>3歳児春日納品/4.5歳児長住納品</v>
      </c>
      <c r="W67">
        <f ca="1">IF(AND(COUNTIF(V67,"&lt;&gt;*不要*"),A67&lt;&gt;""),VLOOKUP(A67,得意先マスタ!$A:$AD,24,FALSE),0)</f>
        <v>0</v>
      </c>
      <c r="X67">
        <f ca="1">IF(AND(COUNTIF(V67,"&lt;&gt;*不要*"),A67&lt;&gt;""),VLOOKUP(A67,得意先マスタ!$A:$AD,25,FALSE),0)</f>
        <v>0</v>
      </c>
      <c r="Y67">
        <f t="shared" ca="1" si="20"/>
        <v>0</v>
      </c>
      <c r="Z67">
        <f t="shared" ca="1" si="21"/>
        <v>0</v>
      </c>
      <c r="AA67">
        <f t="shared" ca="1" si="25"/>
        <v>0</v>
      </c>
      <c r="AB67" t="str">
        <f t="shared" ca="1" si="22"/>
        <v/>
      </c>
      <c r="AC67" t="str">
        <f t="array" aca="1" ref="AC67" ca="1">IFERROR(INDEX(67:67, SMALL(IF($D67:$U67&lt;&gt;"", COLUMN($D$1:$U67)), COLUMN(A67))), "")</f>
        <v>配膳スマ</v>
      </c>
      <c r="AD67" t="str">
        <f t="array" aca="1" ref="AD67" ca="1">IFERROR(INDEX(67:67, SMALL(IF($D67:$U67&lt;&gt;"", COLUMN($D$1:$U67)), COLUMN(B67))), "")</f>
        <v>配膳給食　園児</v>
      </c>
      <c r="AE67">
        <f t="array" aca="1" ref="AE67" ca="1">IFERROR(INDEX(67:67, SMALL(IF($D67:$U67&lt;&gt;"", COLUMN($D$1:$U67)), COLUMN(C67))), "")</f>
        <v>47</v>
      </c>
      <c r="AF67" t="str">
        <f t="array" aca="1" ref="AF67" ca="1">IFERROR(INDEX(67:67, SMALL(IF($D67:$U67&lt;&gt;"", COLUMN($D$1:$U67)), COLUMN(D67))), "")</f>
        <v>配膳スマ</v>
      </c>
      <c r="AG67" t="str">
        <f t="array" aca="1" ref="AG67" ca="1">IFERROR(INDEX(67:67, SMALL(IF($D67:$U67&lt;&gt;"", COLUMN($D$1:$U67)), COLUMN(E67))), "")</f>
        <v>配膳給食　先生</v>
      </c>
      <c r="AH67">
        <f t="array" aca="1" ref="AH67" ca="1">IFERROR(INDEX(67:67, SMALL(IF($D67:$U67&lt;&gt;"", COLUMN($D$1:$U67)), COLUMN(F67))), "")</f>
        <v>3</v>
      </c>
      <c r="AI67" t="str">
        <f t="array" aca="1" ref="AI67" ca="1">IFERROR(INDEX(67:67, SMALL(IF($D67:$U67&lt;&gt;"", COLUMN($D$1:$U67)), COLUMN(G67))), "")</f>
        <v/>
      </c>
      <c r="AJ67" t="str">
        <f t="array" aca="1" ref="AJ67" ca="1">IFERROR(INDEX(67:67, SMALL(IF($D67:$U67&lt;&gt;"", COLUMN($D$1:$U67)), COLUMN(H67))), "")</f>
        <v/>
      </c>
      <c r="AK67" t="str">
        <f t="array" aca="1" ref="AK67" ca="1">IFERROR(INDEX(67:67, SMALL(IF($D67:$U67&lt;&gt;"", COLUMN($D$1:$U67)), COLUMN(I67))), "")</f>
        <v/>
      </c>
      <c r="AL67" t="str">
        <f t="array" aca="1" ref="AL67" ca="1">IFERROR(INDEX(67:67, SMALL(IF($D67:$U67&lt;&gt;"", COLUMN($D$1:$U67)), COLUMN(J67))), "")</f>
        <v/>
      </c>
      <c r="AM67" t="str">
        <f t="array" aca="1" ref="AM67" ca="1">IFERROR(INDEX(67:67, SMALL(IF($D67:$U67&lt;&gt;"", COLUMN($D$1:$U67)), COLUMN(K67))), "")</f>
        <v/>
      </c>
      <c r="AN67" t="str">
        <f t="array" aca="1" ref="AN67" ca="1">IFERROR(INDEX(67:67, SMALL(IF($D67:$U67&lt;&gt;"", COLUMN($D$1:$U67)), COLUMN(L67))), "")</f>
        <v/>
      </c>
      <c r="AO67" t="str">
        <f t="array" aca="1" ref="AO67" ca="1">IFERROR(INDEX(67:67, SMALL(IF($D67:$U67&lt;&gt;"", COLUMN($D$1:$U67)), COLUMN(M67))), "")</f>
        <v/>
      </c>
      <c r="AP67" t="str">
        <f t="array" aca="1" ref="AP67" ca="1">IFERROR(INDEX(67:67, SMALL(IF($D67:$U67&lt;&gt;"", COLUMN($D$1:$U67)), COLUMN(N67))), "")</f>
        <v/>
      </c>
      <c r="AQ67" t="str">
        <f t="array" aca="1" ref="AQ67" ca="1">IFERROR(INDEX(67:67, SMALL(IF($D67:$U67&lt;&gt;"", COLUMN($D$1:$U67)), COLUMN(O67))), "")</f>
        <v/>
      </c>
      <c r="AR67" s="52" t="s">
        <v>4005</v>
      </c>
      <c r="AS67" t="str">
        <f t="shared" ca="1" si="23"/>
        <v/>
      </c>
      <c r="AT67" t="str">
        <f t="shared" ca="1" si="24"/>
        <v/>
      </c>
      <c r="AU67" t="str">
        <f t="shared" ca="1" si="26"/>
        <v/>
      </c>
      <c r="AV67" t="str">
        <f t="shared" ca="1" si="27"/>
        <v/>
      </c>
      <c r="AW67" t="str">
        <f t="shared" ca="1" si="28"/>
        <v/>
      </c>
      <c r="AX67" t="str">
        <f t="shared" ca="1" si="29"/>
        <v/>
      </c>
      <c r="AZ67" t="str">
        <f t="array" aca="1" ref="AZ67" ca="1">IFERROR(INDEX(67:67, SMALL(IF($AC67:$AX67&lt;&gt;"", COLUMN($AC$1:$AX67)), COLUMN(A67))), "")</f>
        <v>配膳スマ</v>
      </c>
      <c r="BA67" t="str">
        <f t="array" aca="1" ref="BA67" ca="1">IFERROR(INDEX(67:67, SMALL(IF($AC67:$AX67&lt;&gt;"", COLUMN($AC$1:$AX67)), COLUMN(B67))), "")</f>
        <v>配膳給食　園児</v>
      </c>
      <c r="BB67">
        <f t="array" aca="1" ref="BB67" ca="1">IFERROR(INDEX(67:67, SMALL(IF($AC67:$AX67&lt;&gt;"", COLUMN($AC$1:$AX67)), COLUMN(C67))), "")</f>
        <v>47</v>
      </c>
      <c r="BC67" t="str">
        <f t="array" aca="1" ref="BC67" ca="1">IFERROR(INDEX(67:67, SMALL(IF($AC67:$AX67&lt;&gt;"", COLUMN($AC$1:$AX67)), COLUMN(D67))), "")</f>
        <v>配膳スマ</v>
      </c>
      <c r="BD67" t="str">
        <f t="array" aca="1" ref="BD67" ca="1">IFERROR(INDEX(67:67, SMALL(IF($AC67:$AX67&lt;&gt;"", COLUMN($AC$1:$AX67)), COLUMN(E67))), "")</f>
        <v>配膳給食　先生</v>
      </c>
      <c r="BE67">
        <f t="array" aca="1" ref="BE67" ca="1">IFERROR(INDEX(67:67, SMALL(IF($AC67:$AX67&lt;&gt;"", COLUMN($AC$1:$AX67)), COLUMN(F67))), "")</f>
        <v>3</v>
      </c>
      <c r="BF67" t="str">
        <f t="array" aca="1" ref="BF67" ca="1">IFERROR(IF(AND(COUNTIF($B67,"*泉ヶ丘*"),COUNTIF($B68,"*泉ヶ丘*")),
IFERROR(INDEX(68:68, SMALL(IF($AC68:$AX68&lt;&gt;"", COLUMN($AC$1:$AX68)), COLUMN(A68))), ""),
INDEX(67:67, SMALL(IF($AC67:$AX67&lt;&gt;"", COLUMN($AC$1:$AX67)), COLUMN(G67)))), "")</f>
        <v>●</v>
      </c>
      <c r="BG67" t="str">
        <f t="array" aca="1" ref="BG67" ca="1">IFERROR(IF(AND(COUNTIF($B67,"*泉ヶ丘*"),COUNTIF($B68,"*泉ヶ丘*")),
IFERROR(INDEX(68:68, SMALL(IF($AC68:$AX68&lt;&gt;"", COLUMN($AC$1:$AX68)), COLUMN(B68))), ""),
INDEX(67:67, SMALL(IF($AC67:$AX67&lt;&gt;"", COLUMN($AC$1:$AX67)), COLUMN(H67)))), "")</f>
        <v/>
      </c>
      <c r="BH67" t="str">
        <f t="array" aca="1" ref="BH67" ca="1">IFERROR(IF(AND(COUNTIF($B67,"*泉ヶ丘*"),COUNTIF($B68,"*泉ヶ丘*")),
IFERROR(INDEX(68:68, SMALL(IF($AC68:$AX68&lt;&gt;"", COLUMN($AC$1:$AX68)), COLUMN(C68))), ""),
INDEX(67:67, SMALL(IF($AC67:$AX67&lt;&gt;"", COLUMN($AC$1:$AX67)), COLUMN(I67)))), "")</f>
        <v/>
      </c>
      <c r="BI67" t="str">
        <f t="array" aca="1" ref="BI67" ca="1">IFERROR(IF(AND(COUNTIF($B67,"*泉ヶ丘*"),COUNTIF($B68,"*泉ヶ丘*")),
IFERROR(INDEX(68:68, SMALL(IF($AC68:$AX68&lt;&gt;"", COLUMN($AC$1:$AX68)), COLUMN(D68))), ""),
INDEX(67:67, SMALL(IF($AC67:$AX67&lt;&gt;"", COLUMN($AC$1:$AX67)), COLUMN(J67)))), "")</f>
        <v/>
      </c>
      <c r="BJ67" t="str">
        <f t="array" aca="1" ref="BJ67" ca="1">IFERROR(IF(AND(COUNTIF($B67,"*泉ヶ丘*"),COUNTIF($B68,"*泉ヶ丘*")),
IFERROR(INDEX(68:68, SMALL(IF($AC68:$AX68&lt;&gt;"", COLUMN($AC$1:$AX68)), COLUMN(E68))), ""),
INDEX(67:67, SMALL(IF($AC67:$AX67&lt;&gt;"", COLUMN($AC$1:$AX67)), COLUMN(K67)))), "")</f>
        <v/>
      </c>
      <c r="BK67" t="str">
        <f t="array" aca="1" ref="BK67" ca="1">IFERROR(IF(AND(COUNTIF($B67,"*泉ヶ丘*"),COUNTIF($B68,"*泉ヶ丘*")),
IFERROR(INDEX(68:68, SMALL(IF($AC68:$AX68&lt;&gt;"", COLUMN($AC$1:$AX68)), COLUMN(F68))), ""),
INDEX(67:67, SMALL(IF($AC67:$AX67&lt;&gt;"", COLUMN($AC$1:$AX67)), COLUMN(L67)))), "")</f>
        <v/>
      </c>
      <c r="BL67" t="str">
        <f t="array" aca="1" ref="BL67" ca="1">IFERROR(IF(AND(COUNTIF($B67,"*泉ヶ丘*"),COUNTIF($B68,"*泉ヶ丘*")),
IFERROR(INDEX(68:68, SMALL(IF($AC68:$AX68&lt;&gt;"", COLUMN($AC$1:$AX68)), COLUMN(G68))), ""),
INDEX(67:67, SMALL(IF($AC67:$AX67&lt;&gt;"", COLUMN($AC$1:$AX67)), COLUMN(M67)))), "")</f>
        <v/>
      </c>
      <c r="BM67" t="str">
        <f t="array" aca="1" ref="BM67" ca="1">IFERROR(IF(AND(COUNTIF($B67,"*泉ヶ丘*"),COUNTIF($B68,"*泉ヶ丘*")),
IFERROR(INDEX(68:68, SMALL(IF($AC68:$AX68&lt;&gt;"", COLUMN($AC$1:$AX68)), COLUMN(H68))), ""),
INDEX(67:67, SMALL(IF($AC67:$AX67&lt;&gt;"", COLUMN($AC$1:$AX67)), COLUMN(N67)))), "")</f>
        <v/>
      </c>
      <c r="BN67" t="str">
        <f t="array" aca="1" ref="BN67" ca="1">IFERROR(IF(AND(COUNTIF($B67,"*泉ヶ丘*"),COUNTIF($B68,"*泉ヶ丘*")),
IFERROR(INDEX(68:68, SMALL(IF($AC68:$AX68&lt;&gt;"", COLUMN($AC$1:$AX68)), COLUMN(I68))), ""),
INDEX(67:67, SMALL(IF($AC67:$AX67&lt;&gt;"", COLUMN($AC$1:$AX67)), COLUMN(O67)))), "")</f>
        <v/>
      </c>
      <c r="BO67" t="str">
        <f t="array" aca="1" ref="BO67" ca="1">IFERROR(IF(AND(COUNTIF($B67,"*泉ヶ丘*"),COUNTIF($B68,"*泉ヶ丘*")),
IFERROR(INDEX(68:68, SMALL(IF($AC68:$AX68&lt;&gt;"", COLUMN($AC$1:$AX68)), COLUMN(J68))), ""),
INDEX(67:67, SMALL(IF($AC67:$AX67&lt;&gt;"", COLUMN($AC$1:$AX67)), COLUMN(P67)))), "")</f>
        <v/>
      </c>
      <c r="BP67" t="str">
        <f t="array" aca="1" ref="BP67" ca="1">IFERROR(IF(AND(COUNTIF($B67,"*泉ヶ丘*"),COUNTIF($B68,"*泉ヶ丘*")),
IFERROR(INDEX(68:68, SMALL(IF($AC68:$AX68&lt;&gt;"", COLUMN($AC$1:$AX68)), COLUMN(K68))), ""),
INDEX(67:67, SMALL(IF($AC67:$AX67&lt;&gt;"", COLUMN($AC$1:$AX67)), COLUMN(Q67)))), "")</f>
        <v/>
      </c>
      <c r="BQ67" t="str">
        <f t="array" aca="1" ref="BQ67" ca="1">IFERROR(IF(AND(COUNTIF($B67,"*泉ヶ丘*"),COUNTIF($B68,"*泉ヶ丘*")),
IFERROR(INDEX(68:68, SMALL(IF($AC68:$AX68&lt;&gt;"", COLUMN($AC$1:$AX68)), COLUMN(L68))), ""),
INDEX(67:67, SMALL(IF($AC67:$AX67&lt;&gt;"", COLUMN($AC$1:$AX67)), COLUMN(R67)))), "")</f>
        <v/>
      </c>
    </row>
    <row r="68" spans="1:69" x14ac:dyDescent="0.45">
      <c r="A68" t="str">
        <f t="array" ref="A68">IF(INDEX(貼り付け用!A:A,MATCH(A67,貼り付け用!A:A,0)+2)="4700",
IF(INDEX(貼り付け用!A:A,MATCH(A67,貼り付け用!A:A,0)+4)="4800",
INDEX(貼り付け用!A:A,MATCH(A67,貼り付け用!A:A,0)+6),
INDEX(貼り付け用!A:A,MATCH(A67,貼り付け用!A:A,0)+4)),INDEX(貼り付け用!A:A,MATCH(A67,貼り付け用!A:A,0)+2))</f>
        <v>10002</v>
      </c>
      <c r="B68" t="str">
        <f>IF(A68&lt;&gt;"",
VLOOKUP(A68,得意先マスタ!A:D,2,FALSE),"")</f>
        <v>　　　　　　</v>
      </c>
      <c r="C68">
        <f t="array" ref="C68">IF(A68="10000","",INDEX(貼り付け用!A:A,MATCH(A68,貼り付け用!A:A,0)+1))</f>
        <v>0</v>
      </c>
      <c r="D68" t="e">
        <f>VLOOKUP(C68,クライアント抽出!$A:$O,10,FALSE)</f>
        <v>#N/A</v>
      </c>
      <c r="E68" t="e">
        <f>IF(D68&lt;&gt;"",
IF(COUNTIF(C68,"*ぺんぎん*"),
VLOOKUP(
"*"&amp;IF(COUNTIF(D68,"*キャラ弁*"),"キャラ",
IF(COUNTIF(D68,"*赤*"),"赤",SUBSTITUTE(SUBSTITUTE(D68," ",""),"　","")))&amp;"*",
注文弁当の抽出!$F:$I,4,FALSE)&amp;
IF(COUNTIF(D68,"*おにぎり*"),"　おにぎり","")&amp;"　（ぺんぎん組）",
VLOOKUP(
"*"&amp;IF(COUNTIF(D68,"*キャラ弁*"),"キャラ",
IF(COUNTIF(D68,"*赤*"),"赤",SUBSTITUTE(SUBSTITUTE(D68," ",""),"　","")))&amp;"*",
注文弁当の抽出!$F:$I,4,FALSE)&amp;
IF(COUNTIF(D68,"*おにぎり*"),"　おにぎり","")),"")</f>
        <v>#N/A</v>
      </c>
      <c r="F68" t="str">
        <f ca="1">IFERROR(IF(E68&lt;&gt;"",
VLOOKUP(C68,クライアント抽出!$A:$G,2,FALSE)+
IF(COUNTIF(Y68,"*-*"),Y68,0),"")
-IFERROR(MID(V68, SEARCH("予備", V68) + LEN("予備"), SEARCH("込み", V68) - (SEARCH("予備", V68) + LEN("予備"))),0),"")</f>
        <v/>
      </c>
      <c r="G68" t="e">
        <f>VLOOKUP(C68,クライアント抽出!$A:$O,11,FALSE)</f>
        <v>#N/A</v>
      </c>
      <c r="H68" t="e">
        <f>IF(G68&lt;&gt;"",
VLOOKUP(
"*"&amp;IF(COUNTIF(G68,"*キャラ弁*"),"キャラ",
IF(COUNTIF(G68,"*赤*"),"赤",SUBSTITUTE(SUBSTITUTE(G68," ",""),"　","")))&amp;"*",
注文弁当の抽出!$F:$I,4,FALSE)&amp;
IF(COUNTIF(G68,"*おにぎり*"),"　おにぎり",""),"")</f>
        <v>#N/A</v>
      </c>
      <c r="I68" t="e">
        <f>IF(H68&lt;&gt;"",
VLOOKUP(C68,クライアント抽出!$A:$G,3,FALSE)+
IF(COUNTIF(C68,"*博多*"),Y68,Z68),"")</f>
        <v>#N/A</v>
      </c>
      <c r="J68" t="e">
        <f>VLOOKUP(C68,クライアント抽出!$A:$O,12,FALSE)</f>
        <v>#N/A</v>
      </c>
      <c r="K68" t="e">
        <f>IF(J68&lt;&gt;"",
VLOOKUP(
"*"&amp;IF(COUNTIF(J68,"*キャラ弁*"),"キャラ",
IF(COUNTIF(J68,"*赤*"),"赤",SUBSTITUTE(SUBSTITUTE(J68," ",""),"　","")))&amp;"*",
注文弁当の抽出!$F:$I,4,FALSE)&amp;
IF(COUNTIF(J68,"*おにぎり*"),"　おにぎり",""),"")</f>
        <v>#N/A</v>
      </c>
      <c r="L68" t="e">
        <f>IF(K68&lt;&gt;"",
VLOOKUP(C68,クライアント抽出!$A:$G,4,FALSE)+AA68,"")</f>
        <v>#N/A</v>
      </c>
      <c r="M68" t="e">
        <f>VLOOKUP(C68,クライアント抽出!$A:$O,13,FALSE)</f>
        <v>#N/A</v>
      </c>
      <c r="N68" t="e">
        <f>SUBSTITUTE(
IF(M68&lt;&gt;"",
VLOOKUP(
"*"&amp;IF(COUNTIF(M68,"*キャラ弁*"),"キャラ",
IF(COUNTIF(M68,"*赤*"),"赤",SUBSTITUTE(SUBSTITUTE(D68," ",""),"　","")))&amp;"*",
注文弁当の抽出!$F:$I,4,FALSE),""),"園児","先生")&amp;
IF(COUNTIF(M68,"*おにぎり*"),"　おにぎり","")</f>
        <v>#N/A</v>
      </c>
      <c r="O68" t="e">
        <f>IF(N68&lt;&gt;"",VLOOKUP(C68,クライアント抽出!$A:$G,5,FALSE),"")</f>
        <v>#N/A</v>
      </c>
      <c r="P68" t="e">
        <f>VLOOKUP(C68,クライアント抽出!$A:$O,14,FALSE)</f>
        <v>#N/A</v>
      </c>
      <c r="Q68" t="e">
        <f>SUBSTITUTE(
IF(P68&lt;&gt;"",
VLOOKUP(
"*"&amp;IF(COUNTIF(P68,"*キャラ弁*"),"キャラ",
IF(COUNTIF(P68,"*赤*"),"赤",SUBSTITUTE(SUBSTITUTE(G68," ",""),"　","")))&amp;"*",
注文弁当の抽出!$F:$I,4,FALSE),""),"園児","先生")&amp;
IF(COUNTIF(P68,"*おにぎり*"),"　おにぎり","")</f>
        <v>#N/A</v>
      </c>
      <c r="R68" t="e">
        <f>IF(Q68&lt;&gt;"",
VLOOKUP(C68,クライアント抽出!$A:$G,6,FALSE),"")</f>
        <v>#N/A</v>
      </c>
      <c r="S68" t="e">
        <f>VLOOKUP(C68,クライアント抽出!$A:$O,15,FALSE)</f>
        <v>#N/A</v>
      </c>
      <c r="T68" t="e">
        <f>SUBSTITUTE(
IF(S68&lt;&gt;"",
VLOOKUP(
"*"&amp;IF(COUNTIF(S68,"*キャラ弁*"),"キャラ",
IF(COUNTIF(S68,"*赤*"),"赤",SUBSTITUTE(SUBSTITUTE(J68," ",""),"　","")))&amp;"*",
注文弁当の抽出!$F:$I,4,FALSE),""),"園児","先生")&amp;
IF(COUNTIF(S68,"*おにぎり*"),"　おにぎり","")</f>
        <v>#N/A</v>
      </c>
      <c r="U68" t="e">
        <f>IF(T68&lt;&gt;"",
VLOOKUP(C68,クライアント抽出!$A:$G,7,FALSE),"")</f>
        <v>#N/A</v>
      </c>
      <c r="V68" t="e">
        <f ca="1">IF(A68&lt;&gt;"",
IF(COUNTIF(V67,"*牛乳*"),
IF(AND(COUNTIF(B67,"*奈良屋*"),COUNTIF(B68,"*奈良屋*")),
V67&amp;"✔",""),VLOOKUP(""&amp;A68&amp;"",数出表_Excel!$A:$Z,22,FALSE)&amp;VLOOKUP(""&amp;A68&amp;"",数出表_Excel!$A:$Z,23,FALSE)
&amp;VLOOKUP(""&amp;C68&amp;"",数出表_Excel!$A:$Z,22,FALSE)&amp;VLOOKUP(""&amp;C68&amp;"",数出表_Excel!$A:$Z,23,FALSE)),"")</f>
        <v>#N/A</v>
      </c>
      <c r="W68">
        <f ca="1">IF(AND(COUNTIF(V68,"&lt;&gt;*不要*"),A68&lt;&gt;""),VLOOKUP(A68,得意先マスタ!$A:$AD,24,FALSE),0)</f>
        <v>0</v>
      </c>
      <c r="X68">
        <f ca="1">IF(AND(COUNTIF(V68,"&lt;&gt;*不要*"),A68&lt;&gt;""),VLOOKUP(A68,得意先マスタ!$A:$AD,25,FALSE),0)</f>
        <v>0</v>
      </c>
      <c r="Y68">
        <f t="shared" ca="1" si="20"/>
        <v>0</v>
      </c>
      <c r="Z68">
        <f t="shared" ca="1" si="21"/>
        <v>0</v>
      </c>
      <c r="AA68">
        <f t="shared" ca="1" si="25"/>
        <v>0</v>
      </c>
      <c r="AB68" t="e">
        <f t="shared" ca="1" si="22"/>
        <v>#N/A</v>
      </c>
      <c r="AC68" t="str">
        <f t="array" ref="AC68">IFERROR(INDEX(68:68, SMALL(IF($D68:$U68&lt;&gt;"", COLUMN($D$1:$U68)), COLUMN(A68))), "")</f>
        <v/>
      </c>
      <c r="AD68" t="str">
        <f t="array" ref="AD68">IFERROR(INDEX(68:68, SMALL(IF($D68:$U68&lt;&gt;"", COLUMN($D$1:$U68)), COLUMN(B68))), "")</f>
        <v/>
      </c>
      <c r="AE68" t="str">
        <f t="array" ref="AE68">IFERROR(INDEX(68:68, SMALL(IF($D68:$U68&lt;&gt;"", COLUMN($D$1:$U68)), COLUMN(C68))), "")</f>
        <v/>
      </c>
      <c r="AF68" t="str">
        <f t="array" ref="AF68">IFERROR(INDEX(68:68, SMALL(IF($D68:$U68&lt;&gt;"", COLUMN($D$1:$U68)), COLUMN(D68))), "")</f>
        <v/>
      </c>
      <c r="AG68" t="str">
        <f t="array" ref="AG68">IFERROR(INDEX(68:68, SMALL(IF($D68:$U68&lt;&gt;"", COLUMN($D$1:$U68)), COLUMN(E68))), "")</f>
        <v/>
      </c>
      <c r="AH68" t="str">
        <f t="array" ref="AH68">IFERROR(INDEX(68:68, SMALL(IF($D68:$U68&lt;&gt;"", COLUMN($D$1:$U68)), COLUMN(F68))), "")</f>
        <v/>
      </c>
      <c r="AI68" t="str">
        <f t="array" ref="AI68">IFERROR(INDEX(68:68, SMALL(IF($D68:$U68&lt;&gt;"", COLUMN($D$1:$U68)), COLUMN(G68))), "")</f>
        <v/>
      </c>
      <c r="AJ68" t="str">
        <f t="array" ref="AJ68">IFERROR(INDEX(68:68, SMALL(IF($D68:$U68&lt;&gt;"", COLUMN($D$1:$U68)), COLUMN(H68))), "")</f>
        <v/>
      </c>
      <c r="AK68" t="str">
        <f t="array" ref="AK68">IFERROR(INDEX(68:68, SMALL(IF($D68:$U68&lt;&gt;"", COLUMN($D$1:$U68)), COLUMN(I68))), "")</f>
        <v/>
      </c>
      <c r="AL68" t="str">
        <f t="array" ref="AL68">IFERROR(INDEX(68:68, SMALL(IF($D68:$U68&lt;&gt;"", COLUMN($D$1:$U68)), COLUMN(J68))), "")</f>
        <v/>
      </c>
      <c r="AM68" t="str">
        <f t="array" ref="AM68">IFERROR(INDEX(68:68, SMALL(IF($D68:$U68&lt;&gt;"", COLUMN($D$1:$U68)), COLUMN(K68))), "")</f>
        <v/>
      </c>
      <c r="AN68" t="str">
        <f t="array" ref="AN68">IFERROR(INDEX(68:68, SMALL(IF($D68:$U68&lt;&gt;"", COLUMN($D$1:$U68)), COLUMN(L68))), "")</f>
        <v/>
      </c>
      <c r="AO68" t="str">
        <f t="array" ref="AO68">IFERROR(INDEX(68:68, SMALL(IF($D68:$U68&lt;&gt;"", COLUMN($D$1:$U68)), COLUMN(M68))), "")</f>
        <v/>
      </c>
      <c r="AP68" t="str">
        <f t="array" ref="AP68">IFERROR(INDEX(68:68, SMALL(IF($D68:$U68&lt;&gt;"", COLUMN($D$1:$U68)), COLUMN(N68))), "")</f>
        <v/>
      </c>
      <c r="AQ68" t="str">
        <f t="array" ref="AQ68">IFERROR(INDEX(68:68, SMALL(IF($D68:$U68&lt;&gt;"", COLUMN($D$1:$U68)), COLUMN(O68))), "")</f>
        <v/>
      </c>
      <c r="AR68" s="52" t="s">
        <v>4005</v>
      </c>
      <c r="AS68" t="str">
        <f t="shared" ca="1" si="23"/>
        <v/>
      </c>
      <c r="AT68" t="str">
        <f t="shared" ca="1" si="24"/>
        <v/>
      </c>
      <c r="AU68" t="str">
        <f t="shared" ca="1" si="26"/>
        <v/>
      </c>
      <c r="AV68" t="str">
        <f t="shared" ca="1" si="27"/>
        <v/>
      </c>
      <c r="AW68" t="str">
        <f t="shared" ca="1" si="28"/>
        <v/>
      </c>
      <c r="AX68" t="str">
        <f t="shared" ca="1" si="29"/>
        <v/>
      </c>
      <c r="AZ68" t="str">
        <f t="array" aca="1" ref="AZ68" ca="1">IFERROR(INDEX(68:68, SMALL(IF($AC68:$AX68&lt;&gt;"", COLUMN($AC$1:$AX68)), COLUMN(A68))), "")</f>
        <v>●</v>
      </c>
      <c r="BA68" t="str">
        <f t="array" aca="1" ref="BA68" ca="1">IFERROR(INDEX(68:68, SMALL(IF($AC68:$AX68&lt;&gt;"", COLUMN($AC$1:$AX68)), COLUMN(B68))), "")</f>
        <v/>
      </c>
      <c r="BB68" t="str">
        <f t="array" aca="1" ref="BB68" ca="1">IFERROR(INDEX(68:68, SMALL(IF($AC68:$AX68&lt;&gt;"", COLUMN($AC$1:$AX68)), COLUMN(C68))), "")</f>
        <v/>
      </c>
      <c r="BC68" t="str">
        <f t="array" aca="1" ref="BC68" ca="1">IFERROR(INDEX(68:68, SMALL(IF($AC68:$AX68&lt;&gt;"", COLUMN($AC$1:$AX68)), COLUMN(D68))), "")</f>
        <v/>
      </c>
      <c r="BD68" t="str">
        <f t="array" aca="1" ref="BD68" ca="1">IFERROR(INDEX(68:68, SMALL(IF($AC68:$AX68&lt;&gt;"", COLUMN($AC$1:$AX68)), COLUMN(E68))), "")</f>
        <v/>
      </c>
      <c r="BE68" t="str">
        <f t="array" aca="1" ref="BE68" ca="1">IFERROR(INDEX(68:68, SMALL(IF($AC68:$AX68&lt;&gt;"", COLUMN($AC$1:$AX68)), COLUMN(F68))), "")</f>
        <v/>
      </c>
      <c r="BF68" t="str">
        <f t="array" aca="1" ref="BF68" ca="1">IFERROR(IF(AND(COUNTIF($B68,"*泉ヶ丘*"),COUNTIF($B69,"*泉ヶ丘*")),
IFERROR(INDEX(69:69, SMALL(IF($AC69:$AX69&lt;&gt;"", COLUMN($AC$1:$AX69)), COLUMN(A69))), ""),
INDEX(68:68, SMALL(IF($AC68:$AX68&lt;&gt;"", COLUMN($AC$1:$AX68)), COLUMN(G68)))), "")</f>
        <v/>
      </c>
      <c r="BG68" t="str">
        <f t="array" aca="1" ref="BG68" ca="1">IFERROR(IF(AND(COUNTIF($B68,"*泉ヶ丘*"),COUNTIF($B69,"*泉ヶ丘*")),
IFERROR(INDEX(69:69, SMALL(IF($AC69:$AX69&lt;&gt;"", COLUMN($AC$1:$AX69)), COLUMN(B69))), ""),
INDEX(68:68, SMALL(IF($AC68:$AX68&lt;&gt;"", COLUMN($AC$1:$AX68)), COLUMN(H68)))), "")</f>
        <v/>
      </c>
      <c r="BH68" t="str">
        <f t="array" aca="1" ref="BH68" ca="1">IFERROR(IF(AND(COUNTIF($B68,"*泉ヶ丘*"),COUNTIF($B69,"*泉ヶ丘*")),
IFERROR(INDEX(69:69, SMALL(IF($AC69:$AX69&lt;&gt;"", COLUMN($AC$1:$AX69)), COLUMN(C69))), ""),
INDEX(68:68, SMALL(IF($AC68:$AX68&lt;&gt;"", COLUMN($AC$1:$AX68)), COLUMN(I68)))), "")</f>
        <v/>
      </c>
      <c r="BI68" t="str">
        <f t="array" aca="1" ref="BI68" ca="1">IFERROR(IF(AND(COUNTIF($B68,"*泉ヶ丘*"),COUNTIF($B69,"*泉ヶ丘*")),
IFERROR(INDEX(69:69, SMALL(IF($AC69:$AX69&lt;&gt;"", COLUMN($AC$1:$AX69)), COLUMN(D69))), ""),
INDEX(68:68, SMALL(IF($AC68:$AX68&lt;&gt;"", COLUMN($AC$1:$AX68)), COLUMN(J68)))), "")</f>
        <v/>
      </c>
      <c r="BJ68" t="str">
        <f t="array" aca="1" ref="BJ68" ca="1">IFERROR(IF(AND(COUNTIF($B68,"*泉ヶ丘*"),COUNTIF($B69,"*泉ヶ丘*")),
IFERROR(INDEX(69:69, SMALL(IF($AC69:$AX69&lt;&gt;"", COLUMN($AC$1:$AX69)), COLUMN(E69))), ""),
INDEX(68:68, SMALL(IF($AC68:$AX68&lt;&gt;"", COLUMN($AC$1:$AX68)), COLUMN(K68)))), "")</f>
        <v/>
      </c>
      <c r="BK68" t="str">
        <f t="array" aca="1" ref="BK68" ca="1">IFERROR(IF(AND(COUNTIF($B68,"*泉ヶ丘*"),COUNTIF($B69,"*泉ヶ丘*")),
IFERROR(INDEX(69:69, SMALL(IF($AC69:$AX69&lt;&gt;"", COLUMN($AC$1:$AX69)), COLUMN(F69))), ""),
INDEX(68:68, SMALL(IF($AC68:$AX68&lt;&gt;"", COLUMN($AC$1:$AX68)), COLUMN(L68)))), "")</f>
        <v/>
      </c>
      <c r="BL68" t="str">
        <f t="array" aca="1" ref="BL68" ca="1">IFERROR(IF(AND(COUNTIF($B68,"*泉ヶ丘*"),COUNTIF($B69,"*泉ヶ丘*")),
IFERROR(INDEX(69:69, SMALL(IF($AC69:$AX69&lt;&gt;"", COLUMN($AC$1:$AX69)), COLUMN(G69))), ""),
INDEX(68:68, SMALL(IF($AC68:$AX68&lt;&gt;"", COLUMN($AC$1:$AX68)), COLUMN(M68)))), "")</f>
        <v/>
      </c>
      <c r="BM68" t="str">
        <f t="array" aca="1" ref="BM68" ca="1">IFERROR(IF(AND(COUNTIF($B68,"*泉ヶ丘*"),COUNTIF($B69,"*泉ヶ丘*")),
IFERROR(INDEX(69:69, SMALL(IF($AC69:$AX69&lt;&gt;"", COLUMN($AC$1:$AX69)), COLUMN(H69))), ""),
INDEX(68:68, SMALL(IF($AC68:$AX68&lt;&gt;"", COLUMN($AC$1:$AX68)), COLUMN(N68)))), "")</f>
        <v/>
      </c>
      <c r="BN68" t="str">
        <f t="array" aca="1" ref="BN68" ca="1">IFERROR(IF(AND(COUNTIF($B68,"*泉ヶ丘*"),COUNTIF($B69,"*泉ヶ丘*")),
IFERROR(INDEX(69:69, SMALL(IF($AC69:$AX69&lt;&gt;"", COLUMN($AC$1:$AX69)), COLUMN(I69))), ""),
INDEX(68:68, SMALL(IF($AC68:$AX68&lt;&gt;"", COLUMN($AC$1:$AX68)), COLUMN(O68)))), "")</f>
        <v/>
      </c>
      <c r="BO68" t="str">
        <f t="array" aca="1" ref="BO68" ca="1">IFERROR(IF(AND(COUNTIF($B68,"*泉ヶ丘*"),COUNTIF($B69,"*泉ヶ丘*")),
IFERROR(INDEX(69:69, SMALL(IF($AC69:$AX69&lt;&gt;"", COLUMN($AC$1:$AX69)), COLUMN(J69))), ""),
INDEX(68:68, SMALL(IF($AC68:$AX68&lt;&gt;"", COLUMN($AC$1:$AX68)), COLUMN(P68)))), "")</f>
        <v/>
      </c>
      <c r="BP68" t="str">
        <f t="array" aca="1" ref="BP68" ca="1">IFERROR(IF(AND(COUNTIF($B68,"*泉ヶ丘*"),COUNTIF($B69,"*泉ヶ丘*")),
IFERROR(INDEX(69:69, SMALL(IF($AC69:$AX69&lt;&gt;"", COLUMN($AC$1:$AX69)), COLUMN(K69))), ""),
INDEX(68:68, SMALL(IF($AC68:$AX68&lt;&gt;"", COLUMN($AC$1:$AX68)), COLUMN(Q68)))), "")</f>
        <v/>
      </c>
      <c r="BQ68" t="str">
        <f t="array" aca="1" ref="BQ68" ca="1">IFERROR(IF(AND(COUNTIF($B68,"*泉ヶ丘*"),COUNTIF($B69,"*泉ヶ丘*")),
IFERROR(INDEX(69:69, SMALL(IF($AC69:$AX69&lt;&gt;"", COLUMN($AC$1:$AX69)), COLUMN(L69))), ""),
INDEX(68:68, SMALL(IF($AC68:$AX68&lt;&gt;"", COLUMN($AC$1:$AX68)), COLUMN(R68)))), "")</f>
        <v/>
      </c>
    </row>
    <row r="69" spans="1:69" x14ac:dyDescent="0.45">
      <c r="A69" t="str">
        <f t="array" ref="A69">IF(INDEX(貼り付け用!A:A,MATCH(A68,貼り付け用!A:A,0)+2)="4700",
IF(INDEX(貼り付け用!A:A,MATCH(A68,貼り付け用!A:A,0)+4)="4800",
INDEX(貼り付け用!A:A,MATCH(A68,貼り付け用!A:A,0)+6),
INDEX(貼り付け用!A:A,MATCH(A68,貼り付け用!A:A,0)+4)),INDEX(貼り付け用!A:A,MATCH(A68,貼り付け用!A:A,0)+2))</f>
        <v>【合計】 5,069</v>
      </c>
      <c r="B69" t="e">
        <f>IF(A69&lt;&gt;"",
VLOOKUP(A69,得意先マスタ!A:D,2,FALSE),"")</f>
        <v>#N/A</v>
      </c>
      <c r="C69">
        <f t="array" ref="C69">IF(A69="10000","",INDEX(貼り付け用!A:A,MATCH(A69,貼り付け用!A:A,0)+1))</f>
        <v>0</v>
      </c>
      <c r="D69" t="e">
        <f>VLOOKUP(C69,クライアント抽出!$A:$O,10,FALSE)</f>
        <v>#N/A</v>
      </c>
      <c r="E69" t="e">
        <f>IF(D69&lt;&gt;"",
IF(COUNTIF(C69,"*ぺんぎん*"),
VLOOKUP(
"*"&amp;IF(COUNTIF(D69,"*キャラ弁*"),"キャラ",
IF(COUNTIF(D69,"*赤*"),"赤",SUBSTITUTE(SUBSTITUTE(D69," ",""),"　","")))&amp;"*",
注文弁当の抽出!$F:$I,4,FALSE)&amp;
IF(COUNTIF(D69,"*おにぎり*"),"　おにぎり","")&amp;"　（ぺんぎん組）",
VLOOKUP(
"*"&amp;IF(COUNTIF(D69,"*キャラ弁*"),"キャラ",
IF(COUNTIF(D69,"*赤*"),"赤",SUBSTITUTE(SUBSTITUTE(D69," ",""),"　","")))&amp;"*",
注文弁当の抽出!$F:$I,4,FALSE)&amp;
IF(COUNTIF(D69,"*おにぎり*"),"　おにぎり","")),"")</f>
        <v>#N/A</v>
      </c>
      <c r="F69" t="str">
        <f ca="1">IFERROR(IF(E69&lt;&gt;"",
VLOOKUP(C69,クライアント抽出!$A:$G,2,FALSE)+
IF(COUNTIF(Y69,"*-*"),Y69,0),"")
-IFERROR(MID(V69, SEARCH("予備", V69) + LEN("予備"), SEARCH("込み", V69) - (SEARCH("予備", V69) + LEN("予備"))),0),"")</f>
        <v/>
      </c>
      <c r="G69" t="e">
        <f>VLOOKUP(C69,クライアント抽出!$A:$O,11,FALSE)</f>
        <v>#N/A</v>
      </c>
      <c r="H69" t="e">
        <f>IF(G69&lt;&gt;"",
VLOOKUP(
"*"&amp;IF(COUNTIF(G69,"*キャラ弁*"),"キャラ",
IF(COUNTIF(G69,"*赤*"),"赤",SUBSTITUTE(SUBSTITUTE(G69," ",""),"　","")))&amp;"*",
注文弁当の抽出!$F:$I,4,FALSE)&amp;
IF(COUNTIF(G69,"*おにぎり*"),"　おにぎり",""),"")</f>
        <v>#N/A</v>
      </c>
      <c r="I69" t="e">
        <f>IF(H69&lt;&gt;"",
VLOOKUP(C69,クライアント抽出!$A:$G,3,FALSE)+
IF(COUNTIF(C69,"*博多*"),Y69,Z69),"")</f>
        <v>#N/A</v>
      </c>
      <c r="J69" t="e">
        <f>VLOOKUP(C69,クライアント抽出!$A:$O,12,FALSE)</f>
        <v>#N/A</v>
      </c>
      <c r="K69" t="e">
        <f>IF(J69&lt;&gt;"",
VLOOKUP(
"*"&amp;IF(COUNTIF(J69,"*キャラ弁*"),"キャラ",
IF(COUNTIF(J69,"*赤*"),"赤",SUBSTITUTE(SUBSTITUTE(J69," ",""),"　","")))&amp;"*",
注文弁当の抽出!$F:$I,4,FALSE)&amp;
IF(COUNTIF(J69,"*おにぎり*"),"　おにぎり",""),"")</f>
        <v>#N/A</v>
      </c>
      <c r="L69" t="e">
        <f>IF(K69&lt;&gt;"",
VLOOKUP(C69,クライアント抽出!$A:$G,4,FALSE)+AA69,"")</f>
        <v>#N/A</v>
      </c>
      <c r="M69" t="e">
        <f>VLOOKUP(C69,クライアント抽出!$A:$O,13,FALSE)</f>
        <v>#N/A</v>
      </c>
      <c r="N69" t="e">
        <f>SUBSTITUTE(
IF(M69&lt;&gt;"",
VLOOKUP(
"*"&amp;IF(COUNTIF(M69,"*キャラ弁*"),"キャラ",
IF(COUNTIF(M69,"*赤*"),"赤",SUBSTITUTE(SUBSTITUTE(D69," ",""),"　","")))&amp;"*",
注文弁当の抽出!$F:$I,4,FALSE),""),"園児","先生")&amp;
IF(COUNTIF(M69,"*おにぎり*"),"　おにぎり","")</f>
        <v>#N/A</v>
      </c>
      <c r="O69" t="e">
        <f>IF(N69&lt;&gt;"",VLOOKUP(C69,クライアント抽出!$A:$G,5,FALSE),"")</f>
        <v>#N/A</v>
      </c>
      <c r="P69" t="e">
        <f>VLOOKUP(C69,クライアント抽出!$A:$O,14,FALSE)</f>
        <v>#N/A</v>
      </c>
      <c r="Q69" t="e">
        <f>SUBSTITUTE(
IF(P69&lt;&gt;"",
VLOOKUP(
"*"&amp;IF(COUNTIF(P69,"*キャラ弁*"),"キャラ",
IF(COUNTIF(P69,"*赤*"),"赤",SUBSTITUTE(SUBSTITUTE(G69," ",""),"　","")))&amp;"*",
注文弁当の抽出!$F:$I,4,FALSE),""),"園児","先生")&amp;
IF(COUNTIF(P69,"*おにぎり*"),"　おにぎり","")</f>
        <v>#N/A</v>
      </c>
      <c r="R69" t="e">
        <f>IF(Q69&lt;&gt;"",
VLOOKUP(C69,クライアント抽出!$A:$G,6,FALSE),"")</f>
        <v>#N/A</v>
      </c>
      <c r="S69" t="e">
        <f>VLOOKUP(C69,クライアント抽出!$A:$O,15,FALSE)</f>
        <v>#N/A</v>
      </c>
      <c r="T69" t="e">
        <f>SUBSTITUTE(
IF(S69&lt;&gt;"",
VLOOKUP(
"*"&amp;IF(COUNTIF(S69,"*キャラ弁*"),"キャラ",
IF(COUNTIF(S69,"*赤*"),"赤",SUBSTITUTE(SUBSTITUTE(J69," ",""),"　","")))&amp;"*",
注文弁当の抽出!$F:$I,4,FALSE),""),"園児","先生")&amp;
IF(COUNTIF(S69,"*おにぎり*"),"　おにぎり","")</f>
        <v>#N/A</v>
      </c>
      <c r="U69" t="e">
        <f>IF(T69&lt;&gt;"",
VLOOKUP(C69,クライアント抽出!$A:$G,7,FALSE),"")</f>
        <v>#N/A</v>
      </c>
      <c r="V69" t="e">
        <f ca="1">IF(A69&lt;&gt;"",
IF(COUNTIF(V68,"*牛乳*"),
IF(AND(COUNTIF(B68,"*奈良屋*"),COUNTIF(B69,"*奈良屋*")),
V68&amp;"✔",""),VLOOKUP(""&amp;A69&amp;"",数出表_Excel!$A:$Z,22,FALSE)&amp;VLOOKUP(""&amp;A69&amp;"",数出表_Excel!$A:$Z,23,FALSE)
&amp;VLOOKUP(""&amp;C69&amp;"",数出表_Excel!$A:$Z,22,FALSE)&amp;VLOOKUP(""&amp;C69&amp;"",数出表_Excel!$A:$Z,23,FALSE)),"")</f>
        <v>#N/A</v>
      </c>
      <c r="W69" t="e">
        <f ca="1">IF(AND(COUNTIF(V69,"&lt;&gt;*不要*"),A69&lt;&gt;""),VLOOKUP(A69,得意先マスタ!$A:$AD,24,FALSE),0)</f>
        <v>#N/A</v>
      </c>
      <c r="X69" t="e">
        <f ca="1">IF(AND(COUNTIF(V69,"&lt;&gt;*不要*"),A69&lt;&gt;""),VLOOKUP(A69,得意先マスタ!$A:$AD,25,FALSE),0)</f>
        <v>#N/A</v>
      </c>
      <c r="Y69" t="e">
        <f t="shared" ca="1" si="20"/>
        <v>#N/A</v>
      </c>
      <c r="Z69" t="e">
        <f t="shared" ca="1" si="21"/>
        <v>#N/A</v>
      </c>
      <c r="AA69" t="e">
        <f t="shared" ca="1" si="25"/>
        <v>#N/A</v>
      </c>
      <c r="AB69" t="e">
        <f t="shared" ca="1" si="22"/>
        <v>#N/A</v>
      </c>
      <c r="AC69" t="str">
        <f t="array" ref="AC69">IFERROR(INDEX(69:69, SMALL(IF($D69:$U69&lt;&gt;"", COLUMN($D$1:$U69)), COLUMN(A69))), "")</f>
        <v/>
      </c>
      <c r="AD69" t="str">
        <f t="array" ref="AD69">IFERROR(INDEX(69:69, SMALL(IF($D69:$U69&lt;&gt;"", COLUMN($D$1:$U69)), COLUMN(B69))), "")</f>
        <v/>
      </c>
      <c r="AE69" t="str">
        <f t="array" ref="AE69">IFERROR(INDEX(69:69, SMALL(IF($D69:$U69&lt;&gt;"", COLUMN($D$1:$U69)), COLUMN(C69))), "")</f>
        <v/>
      </c>
      <c r="AF69" t="str">
        <f t="array" ref="AF69">IFERROR(INDEX(69:69, SMALL(IF($D69:$U69&lt;&gt;"", COLUMN($D$1:$U69)), COLUMN(D69))), "")</f>
        <v/>
      </c>
      <c r="AG69" t="str">
        <f t="array" ref="AG69">IFERROR(INDEX(69:69, SMALL(IF($D69:$U69&lt;&gt;"", COLUMN($D$1:$U69)), COLUMN(E69))), "")</f>
        <v/>
      </c>
      <c r="AH69" t="str">
        <f t="array" ref="AH69">IFERROR(INDEX(69:69, SMALL(IF($D69:$U69&lt;&gt;"", COLUMN($D$1:$U69)), COLUMN(F69))), "")</f>
        <v/>
      </c>
      <c r="AI69" t="str">
        <f t="array" ref="AI69">IFERROR(INDEX(69:69, SMALL(IF($D69:$U69&lt;&gt;"", COLUMN($D$1:$U69)), COLUMN(G69))), "")</f>
        <v/>
      </c>
      <c r="AJ69" t="str">
        <f t="array" ref="AJ69">IFERROR(INDEX(69:69, SMALL(IF($D69:$U69&lt;&gt;"", COLUMN($D$1:$U69)), COLUMN(H69))), "")</f>
        <v/>
      </c>
      <c r="AK69" t="str">
        <f t="array" ref="AK69">IFERROR(INDEX(69:69, SMALL(IF($D69:$U69&lt;&gt;"", COLUMN($D$1:$U69)), COLUMN(I69))), "")</f>
        <v/>
      </c>
      <c r="AL69" t="str">
        <f t="array" ref="AL69">IFERROR(INDEX(69:69, SMALL(IF($D69:$U69&lt;&gt;"", COLUMN($D$1:$U69)), COLUMN(J69))), "")</f>
        <v/>
      </c>
      <c r="AM69" t="str">
        <f t="array" ref="AM69">IFERROR(INDEX(69:69, SMALL(IF($D69:$U69&lt;&gt;"", COLUMN($D$1:$U69)), COLUMN(K69))), "")</f>
        <v/>
      </c>
      <c r="AN69" t="str">
        <f t="array" ref="AN69">IFERROR(INDEX(69:69, SMALL(IF($D69:$U69&lt;&gt;"", COLUMN($D$1:$U69)), COLUMN(L69))), "")</f>
        <v/>
      </c>
      <c r="AO69" t="str">
        <f t="array" ref="AO69">IFERROR(INDEX(69:69, SMALL(IF($D69:$U69&lt;&gt;"", COLUMN($D$1:$U69)), COLUMN(M69))), "")</f>
        <v/>
      </c>
      <c r="AP69" t="str">
        <f t="array" ref="AP69">IFERROR(INDEX(69:69, SMALL(IF($D69:$U69&lt;&gt;"", COLUMN($D$1:$U69)), COLUMN(N69))), "")</f>
        <v/>
      </c>
      <c r="AQ69" t="str">
        <f t="array" ref="AQ69">IFERROR(INDEX(69:69, SMALL(IF($D69:$U69&lt;&gt;"", COLUMN($D$1:$U69)), COLUMN(O69))), "")</f>
        <v/>
      </c>
      <c r="AR69" s="52" t="s">
        <v>4005</v>
      </c>
      <c r="AS69" t="e">
        <f t="shared" ca="1" si="23"/>
        <v>#N/A</v>
      </c>
      <c r="AT69" t="e">
        <f t="shared" ca="1" si="24"/>
        <v>#N/A</v>
      </c>
      <c r="AU69" t="e">
        <f t="shared" ca="1" si="26"/>
        <v>#N/A</v>
      </c>
      <c r="AV69" t="e">
        <f t="shared" ca="1" si="27"/>
        <v>#N/A</v>
      </c>
      <c r="AW69" t="e">
        <f t="shared" ca="1" si="28"/>
        <v>#N/A</v>
      </c>
      <c r="AX69" t="e">
        <f t="shared" ca="1" si="29"/>
        <v>#N/A</v>
      </c>
      <c r="AZ69" t="str">
        <f t="array" aca="1" ref="AZ69" ca="1">IFERROR(INDEX(69:69, SMALL(IF($AC69:$AX69&lt;&gt;"", COLUMN($AC$1:$AX69)), COLUMN(A69))), "")</f>
        <v/>
      </c>
      <c r="BA69" t="str">
        <f t="array" aca="1" ref="BA69" ca="1">IFERROR(INDEX(69:69, SMALL(IF($AC69:$AX69&lt;&gt;"", COLUMN($AC$1:$AX69)), COLUMN(B69))), "")</f>
        <v/>
      </c>
      <c r="BB69" t="str">
        <f t="array" aca="1" ref="BB69" ca="1">IFERROR(INDEX(69:69, SMALL(IF($AC69:$AX69&lt;&gt;"", COLUMN($AC$1:$AX69)), COLUMN(C69))), "")</f>
        <v/>
      </c>
      <c r="BC69" t="str">
        <f t="array" aca="1" ref="BC69" ca="1">IFERROR(INDEX(69:69, SMALL(IF($AC69:$AX69&lt;&gt;"", COLUMN($AC$1:$AX69)), COLUMN(D69))), "")</f>
        <v/>
      </c>
      <c r="BD69" t="str">
        <f t="array" aca="1" ref="BD69" ca="1">IFERROR(INDEX(69:69, SMALL(IF($AC69:$AX69&lt;&gt;"", COLUMN($AC$1:$AX69)), COLUMN(E69))), "")</f>
        <v/>
      </c>
      <c r="BE69" t="str">
        <f t="array" aca="1" ref="BE69" ca="1">IFERROR(INDEX(69:69, SMALL(IF($AC69:$AX69&lt;&gt;"", COLUMN($AC$1:$AX69)), COLUMN(F69))), "")</f>
        <v/>
      </c>
      <c r="BF69" t="str">
        <f t="array" aca="1" ref="BF69" ca="1">IFERROR(IF(AND(COUNTIF($B69,"*泉ヶ丘*"),COUNTIF($B70,"*泉ヶ丘*")),
IFERROR(INDEX(70:70, SMALL(IF($AC70:$AX70&lt;&gt;"", COLUMN($AC$1:$AX70)), COLUMN(A70))), ""),
INDEX(69:69, SMALL(IF($AC69:$AX69&lt;&gt;"", COLUMN($AC$1:$AX69)), COLUMN(G69)))), "")</f>
        <v/>
      </c>
      <c r="BG69" t="str">
        <f t="array" aca="1" ref="BG69" ca="1">IFERROR(IF(AND(COUNTIF($B69,"*泉ヶ丘*"),COUNTIF($B70,"*泉ヶ丘*")),
IFERROR(INDEX(70:70, SMALL(IF($AC70:$AX70&lt;&gt;"", COLUMN($AC$1:$AX70)), COLUMN(B70))), ""),
INDEX(69:69, SMALL(IF($AC69:$AX69&lt;&gt;"", COLUMN($AC$1:$AX69)), COLUMN(H69)))), "")</f>
        <v/>
      </c>
      <c r="BH69" t="str">
        <f t="array" aca="1" ref="BH69" ca="1">IFERROR(IF(AND(COUNTIF($B69,"*泉ヶ丘*"),COUNTIF($B70,"*泉ヶ丘*")),
IFERROR(INDEX(70:70, SMALL(IF($AC70:$AX70&lt;&gt;"", COLUMN($AC$1:$AX70)), COLUMN(C70))), ""),
INDEX(69:69, SMALL(IF($AC69:$AX69&lt;&gt;"", COLUMN($AC$1:$AX69)), COLUMN(I69)))), "")</f>
        <v/>
      </c>
      <c r="BI69" t="str">
        <f t="array" aca="1" ref="BI69" ca="1">IFERROR(IF(AND(COUNTIF($B69,"*泉ヶ丘*"),COUNTIF($B70,"*泉ヶ丘*")),
IFERROR(INDEX(70:70, SMALL(IF($AC70:$AX70&lt;&gt;"", COLUMN($AC$1:$AX70)), COLUMN(D70))), ""),
INDEX(69:69, SMALL(IF($AC69:$AX69&lt;&gt;"", COLUMN($AC$1:$AX69)), COLUMN(J69)))), "")</f>
        <v/>
      </c>
      <c r="BJ69" t="str">
        <f t="array" aca="1" ref="BJ69" ca="1">IFERROR(IF(AND(COUNTIF($B69,"*泉ヶ丘*"),COUNTIF($B70,"*泉ヶ丘*")),
IFERROR(INDEX(70:70, SMALL(IF($AC70:$AX70&lt;&gt;"", COLUMN($AC$1:$AX70)), COLUMN(E70))), ""),
INDEX(69:69, SMALL(IF($AC69:$AX69&lt;&gt;"", COLUMN($AC$1:$AX69)), COLUMN(K69)))), "")</f>
        <v/>
      </c>
      <c r="BK69" t="str">
        <f t="array" aca="1" ref="BK69" ca="1">IFERROR(IF(AND(COUNTIF($B69,"*泉ヶ丘*"),COUNTIF($B70,"*泉ヶ丘*")),
IFERROR(INDEX(70:70, SMALL(IF($AC70:$AX70&lt;&gt;"", COLUMN($AC$1:$AX70)), COLUMN(F70))), ""),
INDEX(69:69, SMALL(IF($AC69:$AX69&lt;&gt;"", COLUMN($AC$1:$AX69)), COLUMN(L69)))), "")</f>
        <v/>
      </c>
      <c r="BL69" t="str">
        <f t="array" aca="1" ref="BL69" ca="1">IFERROR(IF(AND(COUNTIF($B69,"*泉ヶ丘*"),COUNTIF($B70,"*泉ヶ丘*")),
IFERROR(INDEX(70:70, SMALL(IF($AC70:$AX70&lt;&gt;"", COLUMN($AC$1:$AX70)), COLUMN(G70))), ""),
INDEX(69:69, SMALL(IF($AC69:$AX69&lt;&gt;"", COLUMN($AC$1:$AX69)), COLUMN(M69)))), "")</f>
        <v/>
      </c>
      <c r="BM69" t="str">
        <f t="array" aca="1" ref="BM69" ca="1">IFERROR(IF(AND(COUNTIF($B69,"*泉ヶ丘*"),COUNTIF($B70,"*泉ヶ丘*")),
IFERROR(INDEX(70:70, SMALL(IF($AC70:$AX70&lt;&gt;"", COLUMN($AC$1:$AX70)), COLUMN(H70))), ""),
INDEX(69:69, SMALL(IF($AC69:$AX69&lt;&gt;"", COLUMN($AC$1:$AX69)), COLUMN(N69)))), "")</f>
        <v/>
      </c>
      <c r="BN69" t="str">
        <f t="array" aca="1" ref="BN69" ca="1">IFERROR(IF(AND(COUNTIF($B69,"*泉ヶ丘*"),COUNTIF($B70,"*泉ヶ丘*")),
IFERROR(INDEX(70:70, SMALL(IF($AC70:$AX70&lt;&gt;"", COLUMN($AC$1:$AX70)), COLUMN(I70))), ""),
INDEX(69:69, SMALL(IF($AC69:$AX69&lt;&gt;"", COLUMN($AC$1:$AX69)), COLUMN(O69)))), "")</f>
        <v/>
      </c>
      <c r="BO69" t="str">
        <f t="array" aca="1" ref="BO69" ca="1">IFERROR(IF(AND(COUNTIF($B69,"*泉ヶ丘*"),COUNTIF($B70,"*泉ヶ丘*")),
IFERROR(INDEX(70:70, SMALL(IF($AC70:$AX70&lt;&gt;"", COLUMN($AC$1:$AX70)), COLUMN(J70))), ""),
INDEX(69:69, SMALL(IF($AC69:$AX69&lt;&gt;"", COLUMN($AC$1:$AX69)), COLUMN(P69)))), "")</f>
        <v/>
      </c>
      <c r="BP69" t="str">
        <f t="array" aca="1" ref="BP69" ca="1">IFERROR(IF(AND(COUNTIF($B69,"*泉ヶ丘*"),COUNTIF($B70,"*泉ヶ丘*")),
IFERROR(INDEX(70:70, SMALL(IF($AC70:$AX70&lt;&gt;"", COLUMN($AC$1:$AX70)), COLUMN(K70))), ""),
INDEX(69:69, SMALL(IF($AC69:$AX69&lt;&gt;"", COLUMN($AC$1:$AX69)), COLUMN(Q69)))), "")</f>
        <v/>
      </c>
      <c r="BQ69" t="str">
        <f t="array" aca="1" ref="BQ69" ca="1">IFERROR(IF(AND(COUNTIF($B69,"*泉ヶ丘*"),COUNTIF($B70,"*泉ヶ丘*")),
IFERROR(INDEX(70:70, SMALL(IF($AC70:$AX70&lt;&gt;"", COLUMN($AC$1:$AX70)), COLUMN(L70))), ""),
INDEX(69:69, SMALL(IF($AC69:$AX69&lt;&gt;"", COLUMN($AC$1:$AX69)), COLUMN(R69)))), "")</f>
        <v/>
      </c>
    </row>
    <row r="70" spans="1:69" x14ac:dyDescent="0.45">
      <c r="A70">
        <f t="array" ref="A70">IF(INDEX(貼り付け用!A:A,MATCH(A69,貼り付け用!A:A,0)+2)="4700",
IF(INDEX(貼り付け用!A:A,MATCH(A69,貼り付け用!A:A,0)+4)="4800",
INDEX(貼り付け用!A:A,MATCH(A69,貼り付け用!A:A,0)+6),
INDEX(貼り付け用!A:A,MATCH(A69,貼り付け用!A:A,0)+4)),INDEX(貼り付け用!A:A,MATCH(A69,貼り付け用!A:A,0)+2))</f>
        <v>0</v>
      </c>
      <c r="B70" t="e">
        <f>IF(A70&lt;&gt;"",
VLOOKUP(A70,得意先マスタ!A:D,2,FALSE),"")</f>
        <v>#N/A</v>
      </c>
      <c r="C70" t="e">
        <f t="array" ref="C70">IF(A70="10000","",INDEX(貼り付け用!A:A,MATCH(A70,貼り付け用!A:A,0)+1))</f>
        <v>#N/A</v>
      </c>
      <c r="D70" t="e">
        <f>VLOOKUP(C70,クライアント抽出!$A:$O,10,FALSE)</f>
        <v>#N/A</v>
      </c>
      <c r="E70" t="e">
        <f>IF(D70&lt;&gt;"",
IF(COUNTIF(C70,"*ぺんぎん*"),
VLOOKUP(
"*"&amp;IF(COUNTIF(D70,"*キャラ弁*"),"キャラ",
IF(COUNTIF(D70,"*赤*"),"赤",SUBSTITUTE(SUBSTITUTE(D70," ",""),"　","")))&amp;"*",
注文弁当の抽出!$F:$I,4,FALSE)&amp;
IF(COUNTIF(D70,"*おにぎり*"),"　おにぎり","")&amp;"　（ぺんぎん組）",
VLOOKUP(
"*"&amp;IF(COUNTIF(D70,"*キャラ弁*"),"キャラ",
IF(COUNTIF(D70,"*赤*"),"赤",SUBSTITUTE(SUBSTITUTE(D70," ",""),"　","")))&amp;"*",
注文弁当の抽出!$F:$I,4,FALSE)&amp;
IF(COUNTIF(D70,"*おにぎり*"),"　おにぎり","")),"")</f>
        <v>#N/A</v>
      </c>
      <c r="F70" t="str">
        <f ca="1">IFERROR(IF(E70&lt;&gt;"",
VLOOKUP(C70,クライアント抽出!$A:$G,2,FALSE)+
IF(COUNTIF(Y70,"*-*"),Y70,0),"")
-IFERROR(MID(V70, SEARCH("予備", V70) + LEN("予備"), SEARCH("込み", V70) - (SEARCH("予備", V70) + LEN("予備"))),0),"")</f>
        <v/>
      </c>
      <c r="G70" t="e">
        <f>VLOOKUP(C70,クライアント抽出!$A:$O,11,FALSE)</f>
        <v>#N/A</v>
      </c>
      <c r="H70" t="e">
        <f>IF(G70&lt;&gt;"",
VLOOKUP(
"*"&amp;IF(COUNTIF(G70,"*キャラ弁*"),"キャラ",
IF(COUNTIF(G70,"*赤*"),"赤",SUBSTITUTE(SUBSTITUTE(G70," ",""),"　","")))&amp;"*",
注文弁当の抽出!$F:$I,4,FALSE)&amp;
IF(COUNTIF(G70,"*おにぎり*"),"　おにぎり",""),"")</f>
        <v>#N/A</v>
      </c>
      <c r="I70" t="e">
        <f>IF(H70&lt;&gt;"",
VLOOKUP(C70,クライアント抽出!$A:$G,3,FALSE)+
IF(COUNTIF(C70,"*博多*"),Y70,Z70),"")</f>
        <v>#N/A</v>
      </c>
      <c r="J70" t="e">
        <f>VLOOKUP(C70,クライアント抽出!$A:$O,12,FALSE)</f>
        <v>#N/A</v>
      </c>
      <c r="K70" t="e">
        <f>IF(J70&lt;&gt;"",
VLOOKUP(
"*"&amp;IF(COUNTIF(J70,"*キャラ弁*"),"キャラ",
IF(COUNTIF(J70,"*赤*"),"赤",SUBSTITUTE(SUBSTITUTE(J70," ",""),"　","")))&amp;"*",
注文弁当の抽出!$F:$I,4,FALSE)&amp;
IF(COUNTIF(J70,"*おにぎり*"),"　おにぎり",""),"")</f>
        <v>#N/A</v>
      </c>
      <c r="L70" t="e">
        <f>IF(K70&lt;&gt;"",
VLOOKUP(C70,クライアント抽出!$A:$G,4,FALSE)+AA70,"")</f>
        <v>#N/A</v>
      </c>
      <c r="M70" t="e">
        <f>VLOOKUP(C70,クライアント抽出!$A:$O,13,FALSE)</f>
        <v>#N/A</v>
      </c>
      <c r="N70" t="e">
        <f>SUBSTITUTE(
IF(M70&lt;&gt;"",
VLOOKUP(
"*"&amp;IF(COUNTIF(M70,"*キャラ弁*"),"キャラ",
IF(COUNTIF(M70,"*赤*"),"赤",SUBSTITUTE(SUBSTITUTE(D70," ",""),"　","")))&amp;"*",
注文弁当の抽出!$F:$I,4,FALSE),""),"園児","先生")&amp;
IF(COUNTIF(M70,"*おにぎり*"),"　おにぎり","")</f>
        <v>#N/A</v>
      </c>
      <c r="O70" t="e">
        <f>IF(N70&lt;&gt;"",VLOOKUP(C70,クライアント抽出!$A:$G,5,FALSE),"")</f>
        <v>#N/A</v>
      </c>
      <c r="P70" t="e">
        <f>VLOOKUP(C70,クライアント抽出!$A:$O,14,FALSE)</f>
        <v>#N/A</v>
      </c>
      <c r="Q70" t="e">
        <f>SUBSTITUTE(
IF(P70&lt;&gt;"",
VLOOKUP(
"*"&amp;IF(COUNTIF(P70,"*キャラ弁*"),"キャラ",
IF(COUNTIF(P70,"*赤*"),"赤",SUBSTITUTE(SUBSTITUTE(G70," ",""),"　","")))&amp;"*",
注文弁当の抽出!$F:$I,4,FALSE),""),"園児","先生")&amp;
IF(COUNTIF(P70,"*おにぎり*"),"　おにぎり","")</f>
        <v>#N/A</v>
      </c>
      <c r="R70" t="e">
        <f>IF(Q70&lt;&gt;"",
VLOOKUP(C70,クライアント抽出!$A:$G,6,FALSE),"")</f>
        <v>#N/A</v>
      </c>
      <c r="S70" t="e">
        <f>VLOOKUP(C70,クライアント抽出!$A:$O,15,FALSE)</f>
        <v>#N/A</v>
      </c>
      <c r="T70" t="e">
        <f>SUBSTITUTE(
IF(S70&lt;&gt;"",
VLOOKUP(
"*"&amp;IF(COUNTIF(S70,"*キャラ弁*"),"キャラ",
IF(COUNTIF(S70,"*赤*"),"赤",SUBSTITUTE(SUBSTITUTE(J70," ",""),"　","")))&amp;"*",
注文弁当の抽出!$F:$I,4,FALSE),""),"園児","先生")&amp;
IF(COUNTIF(S70,"*おにぎり*"),"　おにぎり","")</f>
        <v>#N/A</v>
      </c>
      <c r="U70" t="e">
        <f>IF(T70&lt;&gt;"",
VLOOKUP(C70,クライアント抽出!$A:$G,7,FALSE),"")</f>
        <v>#N/A</v>
      </c>
      <c r="V70" t="e">
        <f ca="1">IF(A70&lt;&gt;"",
IF(COUNTIF(V69,"*牛乳*"),
IF(AND(COUNTIF(B69,"*奈良屋*"),COUNTIF(B70,"*奈良屋*")),
V69&amp;"✔",""),VLOOKUP(""&amp;A70&amp;"",数出表_Excel!$A:$Z,22,FALSE)&amp;VLOOKUP(""&amp;A70&amp;"",数出表_Excel!$A:$Z,23,FALSE)
&amp;VLOOKUP(""&amp;C70&amp;"",数出表_Excel!$A:$Z,22,FALSE)&amp;VLOOKUP(""&amp;C70&amp;"",数出表_Excel!$A:$Z,23,FALSE)),"")</f>
        <v>#N/A</v>
      </c>
      <c r="W70" t="e">
        <f ca="1">IF(AND(COUNTIF(V70,"&lt;&gt;*不要*"),A70&lt;&gt;""),VLOOKUP(A70,得意先マスタ!$A:$AD,24,FALSE),0)</f>
        <v>#N/A</v>
      </c>
      <c r="X70" t="e">
        <f ca="1">IF(AND(COUNTIF(V70,"&lt;&gt;*不要*"),A70&lt;&gt;""),VLOOKUP(A70,得意先マスタ!$A:$AD,25,FALSE),0)</f>
        <v>#N/A</v>
      </c>
      <c r="Y70" t="e">
        <f t="shared" ca="1" si="20"/>
        <v>#N/A</v>
      </c>
      <c r="Z70" t="e">
        <f t="shared" ca="1" si="21"/>
        <v>#N/A</v>
      </c>
      <c r="AA70" t="e">
        <f t="shared" ca="1" si="25"/>
        <v>#N/A</v>
      </c>
      <c r="AB70" t="e">
        <f t="shared" ca="1" si="22"/>
        <v>#N/A</v>
      </c>
      <c r="AC70" t="str">
        <f t="array" ref="AC70">IFERROR(INDEX(70:70, SMALL(IF($D70:$U70&lt;&gt;"", COLUMN($D$1:$U70)), COLUMN(A70))), "")</f>
        <v/>
      </c>
      <c r="AD70" t="str">
        <f t="array" ref="AD70">IFERROR(INDEX(70:70, SMALL(IF($D70:$U70&lt;&gt;"", COLUMN($D$1:$U70)), COLUMN(B70))), "")</f>
        <v/>
      </c>
      <c r="AE70" t="str">
        <f t="array" ref="AE70">IFERROR(INDEX(70:70, SMALL(IF($D70:$U70&lt;&gt;"", COLUMN($D$1:$U70)), COLUMN(C70))), "")</f>
        <v/>
      </c>
      <c r="AF70" t="str">
        <f t="array" ref="AF70">IFERROR(INDEX(70:70, SMALL(IF($D70:$U70&lt;&gt;"", COLUMN($D$1:$U70)), COLUMN(D70))), "")</f>
        <v/>
      </c>
      <c r="AG70" t="str">
        <f t="array" ref="AG70">IFERROR(INDEX(70:70, SMALL(IF($D70:$U70&lt;&gt;"", COLUMN($D$1:$U70)), COLUMN(E70))), "")</f>
        <v/>
      </c>
      <c r="AH70" t="str">
        <f t="array" ref="AH70">IFERROR(INDEX(70:70, SMALL(IF($D70:$U70&lt;&gt;"", COLUMN($D$1:$U70)), COLUMN(F70))), "")</f>
        <v/>
      </c>
      <c r="AI70" t="str">
        <f t="array" ref="AI70">IFERROR(INDEX(70:70, SMALL(IF($D70:$U70&lt;&gt;"", COLUMN($D$1:$U70)), COLUMN(G70))), "")</f>
        <v/>
      </c>
      <c r="AJ70" t="str">
        <f t="array" ref="AJ70">IFERROR(INDEX(70:70, SMALL(IF($D70:$U70&lt;&gt;"", COLUMN($D$1:$U70)), COLUMN(H70))), "")</f>
        <v/>
      </c>
      <c r="AK70" t="str">
        <f t="array" ref="AK70">IFERROR(INDEX(70:70, SMALL(IF($D70:$U70&lt;&gt;"", COLUMN($D$1:$U70)), COLUMN(I70))), "")</f>
        <v/>
      </c>
      <c r="AL70" t="str">
        <f t="array" ref="AL70">IFERROR(INDEX(70:70, SMALL(IF($D70:$U70&lt;&gt;"", COLUMN($D$1:$U70)), COLUMN(J70))), "")</f>
        <v/>
      </c>
      <c r="AM70" t="str">
        <f t="array" ref="AM70">IFERROR(INDEX(70:70, SMALL(IF($D70:$U70&lt;&gt;"", COLUMN($D$1:$U70)), COLUMN(K70))), "")</f>
        <v/>
      </c>
      <c r="AN70" t="str">
        <f t="array" ref="AN70">IFERROR(INDEX(70:70, SMALL(IF($D70:$U70&lt;&gt;"", COLUMN($D$1:$U70)), COLUMN(L70))), "")</f>
        <v/>
      </c>
      <c r="AO70" t="str">
        <f t="array" ref="AO70">IFERROR(INDEX(70:70, SMALL(IF($D70:$U70&lt;&gt;"", COLUMN($D$1:$U70)), COLUMN(M70))), "")</f>
        <v/>
      </c>
      <c r="AP70" t="str">
        <f t="array" ref="AP70">IFERROR(INDEX(70:70, SMALL(IF($D70:$U70&lt;&gt;"", COLUMN($D$1:$U70)), COLUMN(N70))), "")</f>
        <v/>
      </c>
      <c r="AQ70" t="str">
        <f t="array" ref="AQ70">IFERROR(INDEX(70:70, SMALL(IF($D70:$U70&lt;&gt;"", COLUMN($D$1:$U70)), COLUMN(O70))), "")</f>
        <v/>
      </c>
      <c r="AR70" s="52" t="s">
        <v>4005</v>
      </c>
      <c r="AS70" t="e">
        <f t="shared" ca="1" si="23"/>
        <v>#N/A</v>
      </c>
      <c r="AT70" t="e">
        <f t="shared" ca="1" si="24"/>
        <v>#N/A</v>
      </c>
      <c r="AU70" t="e">
        <f t="shared" ca="1" si="26"/>
        <v>#N/A</v>
      </c>
      <c r="AV70" t="e">
        <f t="shared" ca="1" si="27"/>
        <v>#N/A</v>
      </c>
      <c r="AW70" t="e">
        <f t="shared" ca="1" si="28"/>
        <v>#N/A</v>
      </c>
      <c r="AX70" t="e">
        <f t="shared" ca="1" si="29"/>
        <v>#N/A</v>
      </c>
      <c r="AZ70" t="str">
        <f t="array" aca="1" ref="AZ70" ca="1">IFERROR(INDEX(70:70, SMALL(IF($AC70:$AX70&lt;&gt;"", COLUMN($AC$1:$AX70)), COLUMN(A70))), "")</f>
        <v/>
      </c>
      <c r="BA70" t="str">
        <f t="array" aca="1" ref="BA70" ca="1">IFERROR(INDEX(70:70, SMALL(IF($AC70:$AX70&lt;&gt;"", COLUMN($AC$1:$AX70)), COLUMN(B70))), "")</f>
        <v/>
      </c>
      <c r="BB70" t="str">
        <f t="array" aca="1" ref="BB70" ca="1">IFERROR(INDEX(70:70, SMALL(IF($AC70:$AX70&lt;&gt;"", COLUMN($AC$1:$AX70)), COLUMN(C70))), "")</f>
        <v/>
      </c>
      <c r="BC70" t="str">
        <f t="array" aca="1" ref="BC70" ca="1">IFERROR(INDEX(70:70, SMALL(IF($AC70:$AX70&lt;&gt;"", COLUMN($AC$1:$AX70)), COLUMN(D70))), "")</f>
        <v/>
      </c>
      <c r="BD70" t="str">
        <f t="array" aca="1" ref="BD70" ca="1">IFERROR(INDEX(70:70, SMALL(IF($AC70:$AX70&lt;&gt;"", COLUMN($AC$1:$AX70)), COLUMN(E70))), "")</f>
        <v/>
      </c>
      <c r="BE70" t="str">
        <f t="array" aca="1" ref="BE70" ca="1">IFERROR(INDEX(70:70, SMALL(IF($AC70:$AX70&lt;&gt;"", COLUMN($AC$1:$AX70)), COLUMN(F70))), "")</f>
        <v/>
      </c>
      <c r="BF70" t="str">
        <f t="array" aca="1" ref="BF70" ca="1">IFERROR(IF(AND(COUNTIF($B70,"*泉ヶ丘*"),COUNTIF($B71,"*泉ヶ丘*")),
IFERROR(INDEX(71:71, SMALL(IF($AC71:$AX71&lt;&gt;"", COLUMN($AC$1:$AX71)), COLUMN(A71))), ""),
INDEX(70:70, SMALL(IF($AC70:$AX70&lt;&gt;"", COLUMN($AC$1:$AX70)), COLUMN(G70)))), "")</f>
        <v/>
      </c>
      <c r="BG70" t="str">
        <f t="array" aca="1" ref="BG70" ca="1">IFERROR(IF(AND(COUNTIF($B70,"*泉ヶ丘*"),COUNTIF($B71,"*泉ヶ丘*")),
IFERROR(INDEX(71:71, SMALL(IF($AC71:$AX71&lt;&gt;"", COLUMN($AC$1:$AX71)), COLUMN(B71))), ""),
INDEX(70:70, SMALL(IF($AC70:$AX70&lt;&gt;"", COLUMN($AC$1:$AX70)), COLUMN(H70)))), "")</f>
        <v/>
      </c>
      <c r="BH70" t="str">
        <f t="array" aca="1" ref="BH70" ca="1">IFERROR(IF(AND(COUNTIF($B70,"*泉ヶ丘*"),COUNTIF($B71,"*泉ヶ丘*")),
IFERROR(INDEX(71:71, SMALL(IF($AC71:$AX71&lt;&gt;"", COLUMN($AC$1:$AX71)), COLUMN(C71))), ""),
INDEX(70:70, SMALL(IF($AC70:$AX70&lt;&gt;"", COLUMN($AC$1:$AX70)), COLUMN(I70)))), "")</f>
        <v/>
      </c>
      <c r="BI70" t="str">
        <f t="array" aca="1" ref="BI70" ca="1">IFERROR(IF(AND(COUNTIF($B70,"*泉ヶ丘*"),COUNTIF($B71,"*泉ヶ丘*")),
IFERROR(INDEX(71:71, SMALL(IF($AC71:$AX71&lt;&gt;"", COLUMN($AC$1:$AX71)), COLUMN(D71))), ""),
INDEX(70:70, SMALL(IF($AC70:$AX70&lt;&gt;"", COLUMN($AC$1:$AX70)), COLUMN(J70)))), "")</f>
        <v/>
      </c>
      <c r="BJ70" t="str">
        <f t="array" aca="1" ref="BJ70" ca="1">IFERROR(IF(AND(COUNTIF($B70,"*泉ヶ丘*"),COUNTIF($B71,"*泉ヶ丘*")),
IFERROR(INDEX(71:71, SMALL(IF($AC71:$AX71&lt;&gt;"", COLUMN($AC$1:$AX71)), COLUMN(E71))), ""),
INDEX(70:70, SMALL(IF($AC70:$AX70&lt;&gt;"", COLUMN($AC$1:$AX70)), COLUMN(K70)))), "")</f>
        <v/>
      </c>
      <c r="BK70" t="str">
        <f t="array" aca="1" ref="BK70" ca="1">IFERROR(IF(AND(COUNTIF($B70,"*泉ヶ丘*"),COUNTIF($B71,"*泉ヶ丘*")),
IFERROR(INDEX(71:71, SMALL(IF($AC71:$AX71&lt;&gt;"", COLUMN($AC$1:$AX71)), COLUMN(F71))), ""),
INDEX(70:70, SMALL(IF($AC70:$AX70&lt;&gt;"", COLUMN($AC$1:$AX70)), COLUMN(L70)))), "")</f>
        <v/>
      </c>
      <c r="BL70" t="str">
        <f t="array" aca="1" ref="BL70" ca="1">IFERROR(IF(AND(COUNTIF($B70,"*泉ヶ丘*"),COUNTIF($B71,"*泉ヶ丘*")),
IFERROR(INDEX(71:71, SMALL(IF($AC71:$AX71&lt;&gt;"", COLUMN($AC$1:$AX71)), COLUMN(G71))), ""),
INDEX(70:70, SMALL(IF($AC70:$AX70&lt;&gt;"", COLUMN($AC$1:$AX70)), COLUMN(M70)))), "")</f>
        <v/>
      </c>
      <c r="BM70" t="str">
        <f t="array" aca="1" ref="BM70" ca="1">IFERROR(IF(AND(COUNTIF($B70,"*泉ヶ丘*"),COUNTIF($B71,"*泉ヶ丘*")),
IFERROR(INDEX(71:71, SMALL(IF($AC71:$AX71&lt;&gt;"", COLUMN($AC$1:$AX71)), COLUMN(H71))), ""),
INDEX(70:70, SMALL(IF($AC70:$AX70&lt;&gt;"", COLUMN($AC$1:$AX70)), COLUMN(N70)))), "")</f>
        <v/>
      </c>
      <c r="BN70" t="str">
        <f t="array" aca="1" ref="BN70" ca="1">IFERROR(IF(AND(COUNTIF($B70,"*泉ヶ丘*"),COUNTIF($B71,"*泉ヶ丘*")),
IFERROR(INDEX(71:71, SMALL(IF($AC71:$AX71&lt;&gt;"", COLUMN($AC$1:$AX71)), COLUMN(I71))), ""),
INDEX(70:70, SMALL(IF($AC70:$AX70&lt;&gt;"", COLUMN($AC$1:$AX70)), COLUMN(O70)))), "")</f>
        <v/>
      </c>
      <c r="BO70" t="str">
        <f t="array" aca="1" ref="BO70" ca="1">IFERROR(IF(AND(COUNTIF($B70,"*泉ヶ丘*"),COUNTIF($B71,"*泉ヶ丘*")),
IFERROR(INDEX(71:71, SMALL(IF($AC71:$AX71&lt;&gt;"", COLUMN($AC$1:$AX71)), COLUMN(J71))), ""),
INDEX(70:70, SMALL(IF($AC70:$AX70&lt;&gt;"", COLUMN($AC$1:$AX70)), COLUMN(P70)))), "")</f>
        <v/>
      </c>
      <c r="BP70" t="str">
        <f t="array" aca="1" ref="BP70" ca="1">IFERROR(IF(AND(COUNTIF($B70,"*泉ヶ丘*"),COUNTIF($B71,"*泉ヶ丘*")),
IFERROR(INDEX(71:71, SMALL(IF($AC71:$AX71&lt;&gt;"", COLUMN($AC$1:$AX71)), COLUMN(K71))), ""),
INDEX(70:70, SMALL(IF($AC70:$AX70&lt;&gt;"", COLUMN($AC$1:$AX70)), COLUMN(Q70)))), "")</f>
        <v/>
      </c>
      <c r="BQ70" t="str">
        <f t="array" aca="1" ref="BQ70" ca="1">IFERROR(IF(AND(COUNTIF($B70,"*泉ヶ丘*"),COUNTIF($B71,"*泉ヶ丘*")),
IFERROR(INDEX(71:71, SMALL(IF($AC71:$AX71&lt;&gt;"", COLUMN($AC$1:$AX71)), COLUMN(L71))), ""),
INDEX(70:70, SMALL(IF($AC70:$AX70&lt;&gt;"", COLUMN($AC$1:$AX70)), COLUMN(R70)))), "")</f>
        <v/>
      </c>
    </row>
    <row r="71" spans="1:69" x14ac:dyDescent="0.45">
      <c r="A71" t="e">
        <f t="array" ref="A71">IF(INDEX(貼り付け用!A:A,MATCH(A70,貼り付け用!A:A,0)+2)="4700",
IF(INDEX(貼り付け用!A:A,MATCH(A70,貼り付け用!A:A,0)+4)="4800",
INDEX(貼り付け用!A:A,MATCH(A70,貼り付け用!A:A,0)+6),
INDEX(貼り付け用!A:A,MATCH(A70,貼り付け用!A:A,0)+4)),INDEX(貼り付け用!A:A,MATCH(A70,貼り付け用!A:A,0)+2))</f>
        <v>#N/A</v>
      </c>
      <c r="B71" t="e">
        <f>IF(A71&lt;&gt;"",
VLOOKUP(A71,得意先マスタ!A:D,2,FALSE),"")</f>
        <v>#N/A</v>
      </c>
      <c r="C71" t="e">
        <f t="array" ref="C71">IF(A71="10000","",INDEX(貼り付け用!A:A,MATCH(A71,貼り付け用!A:A,0)+1))</f>
        <v>#N/A</v>
      </c>
      <c r="D71" t="e">
        <f>VLOOKUP(C71,クライアント抽出!$A:$O,10,FALSE)</f>
        <v>#N/A</v>
      </c>
      <c r="E71" t="e">
        <f>IF(D71&lt;&gt;"",
IF(COUNTIF(C71,"*ぺんぎん*"),
VLOOKUP(
"*"&amp;IF(COUNTIF(D71,"*キャラ弁*"),"キャラ",
IF(COUNTIF(D71,"*赤*"),"赤",SUBSTITUTE(SUBSTITUTE(D71," ",""),"　","")))&amp;"*",
注文弁当の抽出!$F:$I,4,FALSE)&amp;
IF(COUNTIF(D71,"*おにぎり*"),"　おにぎり","")&amp;"　（ぺんぎん組）",
VLOOKUP(
"*"&amp;IF(COUNTIF(D71,"*キャラ弁*"),"キャラ",
IF(COUNTIF(D71,"*赤*"),"赤",SUBSTITUTE(SUBSTITUTE(D71," ",""),"　","")))&amp;"*",
注文弁当の抽出!$F:$I,4,FALSE)&amp;
IF(COUNTIF(D71,"*おにぎり*"),"　おにぎり","")),"")</f>
        <v>#N/A</v>
      </c>
      <c r="F71" t="str">
        <f>IFERROR(IF(E71&lt;&gt;"",
VLOOKUP(C71,クライアント抽出!$A:$G,2,FALSE)+
IF(COUNTIF(Y71,"*-*"),Y71,0),"")
-IFERROR(MID(V71, SEARCH("予備", V71) + LEN("予備"), SEARCH("込み", V71) - (SEARCH("予備", V71) + LEN("予備"))),0),"")</f>
        <v/>
      </c>
      <c r="G71" t="e">
        <f>VLOOKUP(C71,クライアント抽出!$A:$O,11,FALSE)</f>
        <v>#N/A</v>
      </c>
      <c r="H71" t="e">
        <f>IF(G71&lt;&gt;"",
VLOOKUP(
"*"&amp;IF(COUNTIF(G71,"*キャラ弁*"),"キャラ",
IF(COUNTIF(G71,"*赤*"),"赤",SUBSTITUTE(SUBSTITUTE(G71," ",""),"　","")))&amp;"*",
注文弁当の抽出!$F:$I,4,FALSE)&amp;
IF(COUNTIF(G71,"*おにぎり*"),"　おにぎり",""),"")</f>
        <v>#N/A</v>
      </c>
      <c r="I71" t="e">
        <f>IF(H71&lt;&gt;"",
VLOOKUP(C71,クライアント抽出!$A:$G,3,FALSE)+
IF(COUNTIF(C71,"*博多*"),Y71,Z71),"")</f>
        <v>#N/A</v>
      </c>
      <c r="J71" t="e">
        <f>VLOOKUP(C71,クライアント抽出!$A:$O,12,FALSE)</f>
        <v>#N/A</v>
      </c>
      <c r="K71" t="e">
        <f>IF(J71&lt;&gt;"",
VLOOKUP(
"*"&amp;IF(COUNTIF(J71,"*キャラ弁*"),"キャラ",
IF(COUNTIF(J71,"*赤*"),"赤",SUBSTITUTE(SUBSTITUTE(J71," ",""),"　","")))&amp;"*",
注文弁当の抽出!$F:$I,4,FALSE)&amp;
IF(COUNTIF(J71,"*おにぎり*"),"　おにぎり",""),"")</f>
        <v>#N/A</v>
      </c>
      <c r="L71" t="e">
        <f>IF(K71&lt;&gt;"",
VLOOKUP(C71,クライアント抽出!$A:$G,4,FALSE)+AA71,"")</f>
        <v>#N/A</v>
      </c>
      <c r="M71" t="e">
        <f>VLOOKUP(C71,クライアント抽出!$A:$O,13,FALSE)</f>
        <v>#N/A</v>
      </c>
      <c r="N71" t="e">
        <f>SUBSTITUTE(
IF(M71&lt;&gt;"",
VLOOKUP(
"*"&amp;IF(COUNTIF(M71,"*キャラ弁*"),"キャラ",
IF(COUNTIF(M71,"*赤*"),"赤",SUBSTITUTE(SUBSTITUTE(D71," ",""),"　","")))&amp;"*",
注文弁当の抽出!$F:$I,4,FALSE),""),"園児","先生")&amp;
IF(COUNTIF(M71,"*おにぎり*"),"　おにぎり","")</f>
        <v>#N/A</v>
      </c>
      <c r="O71" t="e">
        <f>IF(N71&lt;&gt;"",VLOOKUP(C71,クライアント抽出!$A:$G,5,FALSE),"")</f>
        <v>#N/A</v>
      </c>
      <c r="P71" t="e">
        <f>VLOOKUP(C71,クライアント抽出!$A:$O,14,FALSE)</f>
        <v>#N/A</v>
      </c>
      <c r="Q71" t="e">
        <f>SUBSTITUTE(
IF(P71&lt;&gt;"",
VLOOKUP(
"*"&amp;IF(COUNTIF(P71,"*キャラ弁*"),"キャラ",
IF(COUNTIF(P71,"*赤*"),"赤",SUBSTITUTE(SUBSTITUTE(G71," ",""),"　","")))&amp;"*",
注文弁当の抽出!$F:$I,4,FALSE),""),"園児","先生")&amp;
IF(COUNTIF(P71,"*おにぎり*"),"　おにぎり","")</f>
        <v>#N/A</v>
      </c>
      <c r="R71" t="e">
        <f>IF(Q71&lt;&gt;"",
VLOOKUP(C71,クライアント抽出!$A:$G,6,FALSE),"")</f>
        <v>#N/A</v>
      </c>
      <c r="S71" t="e">
        <f>VLOOKUP(C71,クライアント抽出!$A:$O,15,FALSE)</f>
        <v>#N/A</v>
      </c>
      <c r="T71" t="e">
        <f>SUBSTITUTE(
IF(S71&lt;&gt;"",
VLOOKUP(
"*"&amp;IF(COUNTIF(S71,"*キャラ弁*"),"キャラ",
IF(COUNTIF(S71,"*赤*"),"赤",SUBSTITUTE(SUBSTITUTE(J71," ",""),"　","")))&amp;"*",
注文弁当の抽出!$F:$I,4,FALSE),""),"園児","先生")&amp;
IF(COUNTIF(S71,"*おにぎり*"),"　おにぎり","")</f>
        <v>#N/A</v>
      </c>
      <c r="U71" t="e">
        <f>IF(T71&lt;&gt;"",
VLOOKUP(C71,クライアント抽出!$A:$G,7,FALSE),"")</f>
        <v>#N/A</v>
      </c>
      <c r="V71" t="e">
        <f>IF(A71&lt;&gt;"",
IF(COUNTIF(V70,"*牛乳*"),
IF(AND(COUNTIF(B70,"*奈良屋*"),COUNTIF(B71,"*奈良屋*")),
V70&amp;"✔",""),VLOOKUP(""&amp;A71&amp;"",数出表_Excel!$A:$Z,22,FALSE)&amp;VLOOKUP(""&amp;A71&amp;"",数出表_Excel!$A:$Z,23,FALSE)
&amp;VLOOKUP(""&amp;C71&amp;"",数出表_Excel!$A:$Z,22,FALSE)&amp;VLOOKUP(""&amp;C71&amp;"",数出表_Excel!$A:$Z,23,FALSE)),"")</f>
        <v>#N/A</v>
      </c>
      <c r="W71" t="e">
        <f>IF(AND(COUNTIF(V71,"&lt;&gt;*不要*"),A71&lt;&gt;""),VLOOKUP(A71,得意先マスタ!$A:$AD,24,FALSE),0)</f>
        <v>#N/A</v>
      </c>
      <c r="X71" t="e">
        <f>IF(AND(COUNTIF(V71,"&lt;&gt;*不要*"),A71&lt;&gt;""),VLOOKUP(A71,得意先マスタ!$A:$AD,25,FALSE),0)</f>
        <v>#N/A</v>
      </c>
      <c r="Y71" t="e">
        <f t="shared" si="20"/>
        <v>#N/A</v>
      </c>
      <c r="Z71" t="e">
        <f t="shared" si="21"/>
        <v>#N/A</v>
      </c>
      <c r="AA71" t="e">
        <f t="shared" si="25"/>
        <v>#N/A</v>
      </c>
      <c r="AB71" t="e">
        <f t="shared" si="22"/>
        <v>#N/A</v>
      </c>
      <c r="AC71" t="str">
        <f t="array" ref="AC71">IFERROR(INDEX(71:71, SMALL(IF($D71:$U71&lt;&gt;"", COLUMN($D$1:$U71)), COLUMN(A71))), "")</f>
        <v/>
      </c>
      <c r="AD71" t="str">
        <f t="array" ref="AD71">IFERROR(INDEX(71:71, SMALL(IF($D71:$U71&lt;&gt;"", COLUMN($D$1:$U71)), COLUMN(B71))), "")</f>
        <v/>
      </c>
      <c r="AE71" t="str">
        <f t="array" ref="AE71">IFERROR(INDEX(71:71, SMALL(IF($D71:$U71&lt;&gt;"", COLUMN($D$1:$U71)), COLUMN(C71))), "")</f>
        <v/>
      </c>
      <c r="AF71" t="str">
        <f t="array" ref="AF71">IFERROR(INDEX(71:71, SMALL(IF($D71:$U71&lt;&gt;"", COLUMN($D$1:$U71)), COLUMN(D71))), "")</f>
        <v/>
      </c>
      <c r="AG71" t="str">
        <f t="array" ref="AG71">IFERROR(INDEX(71:71, SMALL(IF($D71:$U71&lt;&gt;"", COLUMN($D$1:$U71)), COLUMN(E71))), "")</f>
        <v/>
      </c>
      <c r="AH71" t="str">
        <f t="array" ref="AH71">IFERROR(INDEX(71:71, SMALL(IF($D71:$U71&lt;&gt;"", COLUMN($D$1:$U71)), COLUMN(F71))), "")</f>
        <v/>
      </c>
      <c r="AI71" t="str">
        <f t="array" ref="AI71">IFERROR(INDEX(71:71, SMALL(IF($D71:$U71&lt;&gt;"", COLUMN($D$1:$U71)), COLUMN(G71))), "")</f>
        <v/>
      </c>
      <c r="AJ71" t="str">
        <f t="array" ref="AJ71">IFERROR(INDEX(71:71, SMALL(IF($D71:$U71&lt;&gt;"", COLUMN($D$1:$U71)), COLUMN(H71))), "")</f>
        <v/>
      </c>
      <c r="AK71" t="str">
        <f t="array" ref="AK71">IFERROR(INDEX(71:71, SMALL(IF($D71:$U71&lt;&gt;"", COLUMN($D$1:$U71)), COLUMN(I71))), "")</f>
        <v/>
      </c>
      <c r="AL71" t="str">
        <f t="array" ref="AL71">IFERROR(INDEX(71:71, SMALL(IF($D71:$U71&lt;&gt;"", COLUMN($D$1:$U71)), COLUMN(J71))), "")</f>
        <v/>
      </c>
      <c r="AM71" t="str">
        <f t="array" ref="AM71">IFERROR(INDEX(71:71, SMALL(IF($D71:$U71&lt;&gt;"", COLUMN($D$1:$U71)), COLUMN(K71))), "")</f>
        <v/>
      </c>
      <c r="AN71" t="str">
        <f t="array" ref="AN71">IFERROR(INDEX(71:71, SMALL(IF($D71:$U71&lt;&gt;"", COLUMN($D$1:$U71)), COLUMN(L71))), "")</f>
        <v/>
      </c>
      <c r="AO71" t="str">
        <f t="array" ref="AO71">IFERROR(INDEX(71:71, SMALL(IF($D71:$U71&lt;&gt;"", COLUMN($D$1:$U71)), COLUMN(M71))), "")</f>
        <v/>
      </c>
      <c r="AP71" t="str">
        <f t="array" ref="AP71">IFERROR(INDEX(71:71, SMALL(IF($D71:$U71&lt;&gt;"", COLUMN($D$1:$U71)), COLUMN(N71))), "")</f>
        <v/>
      </c>
      <c r="AQ71" t="str">
        <f t="array" ref="AQ71">IFERROR(INDEX(71:71, SMALL(IF($D71:$U71&lt;&gt;"", COLUMN($D$1:$U71)), COLUMN(O71))), "")</f>
        <v/>
      </c>
      <c r="AR71" s="52" t="s">
        <v>4005</v>
      </c>
      <c r="AS71" t="e">
        <f t="shared" si="23"/>
        <v>#N/A</v>
      </c>
      <c r="AT71" t="e">
        <f t="shared" si="24"/>
        <v>#N/A</v>
      </c>
      <c r="AU71" t="e">
        <f t="shared" si="26"/>
        <v>#N/A</v>
      </c>
      <c r="AV71" t="e">
        <f t="shared" si="27"/>
        <v>#N/A</v>
      </c>
      <c r="AW71" t="e">
        <f t="shared" si="28"/>
        <v>#N/A</v>
      </c>
      <c r="AX71" t="e">
        <f t="shared" si="29"/>
        <v>#N/A</v>
      </c>
      <c r="AZ71" t="str">
        <f t="array" ref="AZ71">IFERROR(INDEX(71:71, SMALL(IF($AC71:$AX71&lt;&gt;"", COLUMN($AC$1:$AX71)), COLUMN(A71))), "")</f>
        <v/>
      </c>
      <c r="BA71" t="str">
        <f t="array" ref="BA71">IFERROR(INDEX(71:71, SMALL(IF($AC71:$AX71&lt;&gt;"", COLUMN($AC$1:$AX71)), COLUMN(B71))), "")</f>
        <v/>
      </c>
      <c r="BB71" t="str">
        <f t="array" ref="BB71">IFERROR(INDEX(71:71, SMALL(IF($AC71:$AX71&lt;&gt;"", COLUMN($AC$1:$AX71)), COLUMN(C71))), "")</f>
        <v/>
      </c>
      <c r="BC71" t="str">
        <f t="array" ref="BC71">IFERROR(INDEX(71:71, SMALL(IF($AC71:$AX71&lt;&gt;"", COLUMN($AC$1:$AX71)), COLUMN(D71))), "")</f>
        <v/>
      </c>
      <c r="BD71" t="str">
        <f t="array" ref="BD71">IFERROR(INDEX(71:71, SMALL(IF($AC71:$AX71&lt;&gt;"", COLUMN($AC$1:$AX71)), COLUMN(E71))), "")</f>
        <v/>
      </c>
      <c r="BE71" t="str">
        <f t="array" ref="BE71">IFERROR(INDEX(71:71, SMALL(IF($AC71:$AX71&lt;&gt;"", COLUMN($AC$1:$AX71)), COLUMN(F71))), "")</f>
        <v/>
      </c>
      <c r="BF71" t="str">
        <f t="array" ref="BF71">IFERROR(IF(AND(COUNTIF($B71,"*泉ヶ丘*"),COUNTIF($B72,"*泉ヶ丘*")),
IFERROR(INDEX(72:72, SMALL(IF($AC72:$AX72&lt;&gt;"", COLUMN($AC$1:$AX72)), COLUMN(A72))), ""),
INDEX(71:71, SMALL(IF($AC71:$AX71&lt;&gt;"", COLUMN($AC$1:$AX71)), COLUMN(G71)))), "")</f>
        <v/>
      </c>
      <c r="BG71" t="str">
        <f t="array" ref="BG71">IFERROR(IF(AND(COUNTIF($B71,"*泉ヶ丘*"),COUNTIF($B72,"*泉ヶ丘*")),
IFERROR(INDEX(72:72, SMALL(IF($AC72:$AX72&lt;&gt;"", COLUMN($AC$1:$AX72)), COLUMN(B72))), ""),
INDEX(71:71, SMALL(IF($AC71:$AX71&lt;&gt;"", COLUMN($AC$1:$AX71)), COLUMN(H71)))), "")</f>
        <v/>
      </c>
      <c r="BH71" t="str">
        <f t="array" ref="BH71">IFERROR(IF(AND(COUNTIF($B71,"*泉ヶ丘*"),COUNTIF($B72,"*泉ヶ丘*")),
IFERROR(INDEX(72:72, SMALL(IF($AC72:$AX72&lt;&gt;"", COLUMN($AC$1:$AX72)), COLUMN(C72))), ""),
INDEX(71:71, SMALL(IF($AC71:$AX71&lt;&gt;"", COLUMN($AC$1:$AX71)), COLUMN(I71)))), "")</f>
        <v/>
      </c>
      <c r="BI71" t="str">
        <f t="array" ref="BI71">IFERROR(IF(AND(COUNTIF($B71,"*泉ヶ丘*"),COUNTIF($B72,"*泉ヶ丘*")),
IFERROR(INDEX(72:72, SMALL(IF($AC72:$AX72&lt;&gt;"", COLUMN($AC$1:$AX72)), COLUMN(D72))), ""),
INDEX(71:71, SMALL(IF($AC71:$AX71&lt;&gt;"", COLUMN($AC$1:$AX71)), COLUMN(J71)))), "")</f>
        <v/>
      </c>
      <c r="BJ71" t="str">
        <f t="array" ref="BJ71">IFERROR(IF(AND(COUNTIF($B71,"*泉ヶ丘*"),COUNTIF($B72,"*泉ヶ丘*")),
IFERROR(INDEX(72:72, SMALL(IF($AC72:$AX72&lt;&gt;"", COLUMN($AC$1:$AX72)), COLUMN(E72))), ""),
INDEX(71:71, SMALL(IF($AC71:$AX71&lt;&gt;"", COLUMN($AC$1:$AX71)), COLUMN(K71)))), "")</f>
        <v/>
      </c>
      <c r="BK71" t="str">
        <f t="array" ref="BK71">IFERROR(IF(AND(COUNTIF($B71,"*泉ヶ丘*"),COUNTIF($B72,"*泉ヶ丘*")),
IFERROR(INDEX(72:72, SMALL(IF($AC72:$AX72&lt;&gt;"", COLUMN($AC$1:$AX72)), COLUMN(F72))), ""),
INDEX(71:71, SMALL(IF($AC71:$AX71&lt;&gt;"", COLUMN($AC$1:$AX71)), COLUMN(L71)))), "")</f>
        <v/>
      </c>
      <c r="BL71" t="str">
        <f t="array" ref="BL71">IFERROR(IF(AND(COUNTIF($B71,"*泉ヶ丘*"),COUNTIF($B72,"*泉ヶ丘*")),
IFERROR(INDEX(72:72, SMALL(IF($AC72:$AX72&lt;&gt;"", COLUMN($AC$1:$AX72)), COLUMN(G72))), ""),
INDEX(71:71, SMALL(IF($AC71:$AX71&lt;&gt;"", COLUMN($AC$1:$AX71)), COLUMN(M71)))), "")</f>
        <v/>
      </c>
      <c r="BM71" t="str">
        <f t="array" ref="BM71">IFERROR(IF(AND(COUNTIF($B71,"*泉ヶ丘*"),COUNTIF($B72,"*泉ヶ丘*")),
IFERROR(INDEX(72:72, SMALL(IF($AC72:$AX72&lt;&gt;"", COLUMN($AC$1:$AX72)), COLUMN(H72))), ""),
INDEX(71:71, SMALL(IF($AC71:$AX71&lt;&gt;"", COLUMN($AC$1:$AX71)), COLUMN(N71)))), "")</f>
        <v/>
      </c>
      <c r="BN71" t="str">
        <f t="array" ref="BN71">IFERROR(IF(AND(COUNTIF($B71,"*泉ヶ丘*"),COUNTIF($B72,"*泉ヶ丘*")),
IFERROR(INDEX(72:72, SMALL(IF($AC72:$AX72&lt;&gt;"", COLUMN($AC$1:$AX72)), COLUMN(I72))), ""),
INDEX(71:71, SMALL(IF($AC71:$AX71&lt;&gt;"", COLUMN($AC$1:$AX71)), COLUMN(O71)))), "")</f>
        <v/>
      </c>
      <c r="BO71" t="str">
        <f t="array" ref="BO71">IFERROR(IF(AND(COUNTIF($B71,"*泉ヶ丘*"),COUNTIF($B72,"*泉ヶ丘*")),
IFERROR(INDEX(72:72, SMALL(IF($AC72:$AX72&lt;&gt;"", COLUMN($AC$1:$AX72)), COLUMN(J72))), ""),
INDEX(71:71, SMALL(IF($AC71:$AX71&lt;&gt;"", COLUMN($AC$1:$AX71)), COLUMN(P71)))), "")</f>
        <v/>
      </c>
      <c r="BP71" t="str">
        <f t="array" ref="BP71">IFERROR(IF(AND(COUNTIF($B71,"*泉ヶ丘*"),COUNTIF($B72,"*泉ヶ丘*")),
IFERROR(INDEX(72:72, SMALL(IF($AC72:$AX72&lt;&gt;"", COLUMN($AC$1:$AX72)), COLUMN(K72))), ""),
INDEX(71:71, SMALL(IF($AC71:$AX71&lt;&gt;"", COLUMN($AC$1:$AX71)), COLUMN(Q71)))), "")</f>
        <v/>
      </c>
      <c r="BQ71" t="str">
        <f t="array" ref="BQ71">IFERROR(IF(AND(COUNTIF($B71,"*泉ヶ丘*"),COUNTIF($B72,"*泉ヶ丘*")),
IFERROR(INDEX(72:72, SMALL(IF($AC72:$AX72&lt;&gt;"", COLUMN($AC$1:$AX72)), COLUMN(L72))), ""),
INDEX(71:71, SMALL(IF($AC71:$AX71&lt;&gt;"", COLUMN($AC$1:$AX71)), COLUMN(R71)))), "")</f>
        <v/>
      </c>
    </row>
    <row r="72" spans="1:69" x14ac:dyDescent="0.45">
      <c r="A72" t="e">
        <f t="array" ref="A72">IF(INDEX(貼り付け用!A:A,MATCH(A71,貼り付け用!A:A,0)+2)="4700",
IF(INDEX(貼り付け用!A:A,MATCH(A71,貼り付け用!A:A,0)+4)="4800",
INDEX(貼り付け用!A:A,MATCH(A71,貼り付け用!A:A,0)+6),
INDEX(貼り付け用!A:A,MATCH(A71,貼り付け用!A:A,0)+4)),INDEX(貼り付け用!A:A,MATCH(A71,貼り付け用!A:A,0)+2))</f>
        <v>#N/A</v>
      </c>
      <c r="B72" t="e">
        <f>IF(A72&lt;&gt;"",
VLOOKUP(A72,得意先マスタ!A:D,2,FALSE),"")</f>
        <v>#N/A</v>
      </c>
      <c r="C72" t="e">
        <f t="array" ref="C72">IF(A72="10000","",INDEX(貼り付け用!A:A,MATCH(A72,貼り付け用!A:A,0)+1))</f>
        <v>#N/A</v>
      </c>
      <c r="D72" t="e">
        <f>VLOOKUP(C72,クライアント抽出!$A:$O,10,FALSE)</f>
        <v>#N/A</v>
      </c>
      <c r="E72" t="e">
        <f>IF(D72&lt;&gt;"",
IF(COUNTIF(C72,"*ぺんぎん*"),
VLOOKUP(
"*"&amp;IF(COUNTIF(D72,"*キャラ弁*"),"キャラ",
IF(COUNTIF(D72,"*赤*"),"赤",SUBSTITUTE(SUBSTITUTE(D72," ",""),"　","")))&amp;"*",
注文弁当の抽出!$F:$I,4,FALSE)&amp;
IF(COUNTIF(D72,"*おにぎり*"),"　おにぎり","")&amp;"　（ぺんぎん組）",
VLOOKUP(
"*"&amp;IF(COUNTIF(D72,"*キャラ弁*"),"キャラ",
IF(COUNTIF(D72,"*赤*"),"赤",SUBSTITUTE(SUBSTITUTE(D72," ",""),"　","")))&amp;"*",
注文弁当の抽出!$F:$I,4,FALSE)&amp;
IF(COUNTIF(D72,"*おにぎり*"),"　おにぎり","")),"")</f>
        <v>#N/A</v>
      </c>
      <c r="F72" t="str">
        <f>IFERROR(IF(E72&lt;&gt;"",
VLOOKUP(C72,クライアント抽出!$A:$G,2,FALSE)+
IF(COUNTIF(Y72,"*-*"),Y72,0),"")
-IFERROR(MID(V72, SEARCH("予備", V72) + LEN("予備"), SEARCH("込み", V72) - (SEARCH("予備", V72) + LEN("予備"))),0),"")</f>
        <v/>
      </c>
      <c r="G72" t="e">
        <f>VLOOKUP(C72,クライアント抽出!$A:$O,11,FALSE)</f>
        <v>#N/A</v>
      </c>
      <c r="H72" t="e">
        <f>IF(G72&lt;&gt;"",
VLOOKUP(
"*"&amp;IF(COUNTIF(G72,"*キャラ弁*"),"キャラ",
IF(COUNTIF(G72,"*赤*"),"赤",SUBSTITUTE(SUBSTITUTE(G72," ",""),"　","")))&amp;"*",
注文弁当の抽出!$F:$I,4,FALSE)&amp;
IF(COUNTIF(G72,"*おにぎり*"),"　おにぎり",""),"")</f>
        <v>#N/A</v>
      </c>
      <c r="I72" t="e">
        <f>IF(H72&lt;&gt;"",
VLOOKUP(C72,クライアント抽出!$A:$G,3,FALSE)+
IF(COUNTIF(C72,"*博多*"),Y72,Z72),"")</f>
        <v>#N/A</v>
      </c>
      <c r="J72" t="e">
        <f>VLOOKUP(C72,クライアント抽出!$A:$O,12,FALSE)</f>
        <v>#N/A</v>
      </c>
      <c r="K72" t="e">
        <f>IF(J72&lt;&gt;"",
VLOOKUP(
"*"&amp;IF(COUNTIF(J72,"*キャラ弁*"),"キャラ",
IF(COUNTIF(J72,"*赤*"),"赤",SUBSTITUTE(SUBSTITUTE(J72," ",""),"　","")))&amp;"*",
注文弁当の抽出!$F:$I,4,FALSE)&amp;
IF(COUNTIF(J72,"*おにぎり*"),"　おにぎり",""),"")</f>
        <v>#N/A</v>
      </c>
      <c r="L72" t="e">
        <f>IF(K72&lt;&gt;"",
VLOOKUP(C72,クライアント抽出!$A:$G,4,FALSE)+AA72,"")</f>
        <v>#N/A</v>
      </c>
      <c r="M72" t="e">
        <f>VLOOKUP(C72,クライアント抽出!$A:$O,13,FALSE)</f>
        <v>#N/A</v>
      </c>
      <c r="N72" t="e">
        <f>SUBSTITUTE(
IF(M72&lt;&gt;"",
VLOOKUP(
"*"&amp;IF(COUNTIF(M72,"*キャラ弁*"),"キャラ",
IF(COUNTIF(M72,"*赤*"),"赤",SUBSTITUTE(SUBSTITUTE(D72," ",""),"　","")))&amp;"*",
注文弁当の抽出!$F:$I,4,FALSE),""),"園児","先生")&amp;
IF(COUNTIF(M72,"*おにぎり*"),"　おにぎり","")</f>
        <v>#N/A</v>
      </c>
      <c r="O72" t="e">
        <f>IF(N72&lt;&gt;"",VLOOKUP(C72,クライアント抽出!$A:$G,5,FALSE),"")</f>
        <v>#N/A</v>
      </c>
      <c r="P72" t="e">
        <f>VLOOKUP(C72,クライアント抽出!$A:$O,14,FALSE)</f>
        <v>#N/A</v>
      </c>
      <c r="Q72" t="e">
        <f>SUBSTITUTE(
IF(P72&lt;&gt;"",
VLOOKUP(
"*"&amp;IF(COUNTIF(P72,"*キャラ弁*"),"キャラ",
IF(COUNTIF(P72,"*赤*"),"赤",SUBSTITUTE(SUBSTITUTE(G72," ",""),"　","")))&amp;"*",
注文弁当の抽出!$F:$I,4,FALSE),""),"園児","先生")&amp;
IF(COUNTIF(P72,"*おにぎり*"),"　おにぎり","")</f>
        <v>#N/A</v>
      </c>
      <c r="R72" t="e">
        <f>IF(Q72&lt;&gt;"",
VLOOKUP(C72,クライアント抽出!$A:$G,6,FALSE),"")</f>
        <v>#N/A</v>
      </c>
      <c r="S72" t="e">
        <f>VLOOKUP(C72,クライアント抽出!$A:$O,15,FALSE)</f>
        <v>#N/A</v>
      </c>
      <c r="T72" t="e">
        <f>SUBSTITUTE(
IF(S72&lt;&gt;"",
VLOOKUP(
"*"&amp;IF(COUNTIF(S72,"*キャラ弁*"),"キャラ",
IF(COUNTIF(S72,"*赤*"),"赤",SUBSTITUTE(SUBSTITUTE(J72," ",""),"　","")))&amp;"*",
注文弁当の抽出!$F:$I,4,FALSE),""),"園児","先生")&amp;
IF(COUNTIF(S72,"*おにぎり*"),"　おにぎり","")</f>
        <v>#N/A</v>
      </c>
      <c r="U72" t="e">
        <f>IF(T72&lt;&gt;"",
VLOOKUP(C72,クライアント抽出!$A:$G,7,FALSE),"")</f>
        <v>#N/A</v>
      </c>
      <c r="V72" t="e">
        <f>IF(A72&lt;&gt;"",
IF(COUNTIF(V71,"*牛乳*"),
IF(AND(COUNTIF(B71,"*奈良屋*"),COUNTIF(B72,"*奈良屋*")),
V71&amp;"✔",""),VLOOKUP(""&amp;A72&amp;"",数出表_Excel!$A:$Z,22,FALSE)&amp;VLOOKUP(""&amp;A72&amp;"",数出表_Excel!$A:$Z,23,FALSE)
&amp;VLOOKUP(""&amp;C72&amp;"",数出表_Excel!$A:$Z,22,FALSE)&amp;VLOOKUP(""&amp;C72&amp;"",数出表_Excel!$A:$Z,23,FALSE)),"")</f>
        <v>#N/A</v>
      </c>
      <c r="W72" t="e">
        <f>IF(AND(COUNTIF(V72,"&lt;&gt;*不要*"),A72&lt;&gt;""),VLOOKUP(A72,得意先マスタ!$A:$AD,24,FALSE),0)</f>
        <v>#N/A</v>
      </c>
      <c r="X72" t="e">
        <f>IF(AND(COUNTIF(V72,"&lt;&gt;*不要*"),A72&lt;&gt;""),VLOOKUP(A72,得意先マスタ!$A:$AD,25,FALSE),0)</f>
        <v>#N/A</v>
      </c>
      <c r="Y72" t="e">
        <f t="shared" si="20"/>
        <v>#N/A</v>
      </c>
      <c r="Z72" t="e">
        <f t="shared" si="21"/>
        <v>#N/A</v>
      </c>
      <c r="AA72" t="e">
        <f t="shared" si="25"/>
        <v>#N/A</v>
      </c>
      <c r="AB72" t="e">
        <f t="shared" si="22"/>
        <v>#N/A</v>
      </c>
      <c r="AC72" t="str">
        <f t="array" ref="AC72">IFERROR(INDEX(72:72, SMALL(IF($D72:$U72&lt;&gt;"", COLUMN($D$1:$U72)), COLUMN(A72))), "")</f>
        <v/>
      </c>
      <c r="AD72" t="str">
        <f t="array" ref="AD72">IFERROR(INDEX(72:72, SMALL(IF($D72:$U72&lt;&gt;"", COLUMN($D$1:$U72)), COLUMN(B72))), "")</f>
        <v/>
      </c>
      <c r="AE72" t="str">
        <f t="array" ref="AE72">IFERROR(INDEX(72:72, SMALL(IF($D72:$U72&lt;&gt;"", COLUMN($D$1:$U72)), COLUMN(C72))), "")</f>
        <v/>
      </c>
      <c r="AF72" t="str">
        <f t="array" ref="AF72">IFERROR(INDEX(72:72, SMALL(IF($D72:$U72&lt;&gt;"", COLUMN($D$1:$U72)), COLUMN(D72))), "")</f>
        <v/>
      </c>
      <c r="AG72" t="str">
        <f t="array" ref="AG72">IFERROR(INDEX(72:72, SMALL(IF($D72:$U72&lt;&gt;"", COLUMN($D$1:$U72)), COLUMN(E72))), "")</f>
        <v/>
      </c>
      <c r="AH72" t="str">
        <f t="array" ref="AH72">IFERROR(INDEX(72:72, SMALL(IF($D72:$U72&lt;&gt;"", COLUMN($D$1:$U72)), COLUMN(F72))), "")</f>
        <v/>
      </c>
      <c r="AI72" t="str">
        <f t="array" ref="AI72">IFERROR(INDEX(72:72, SMALL(IF($D72:$U72&lt;&gt;"", COLUMN($D$1:$U72)), COLUMN(G72))), "")</f>
        <v/>
      </c>
      <c r="AJ72" t="str">
        <f t="array" ref="AJ72">IFERROR(INDEX(72:72, SMALL(IF($D72:$U72&lt;&gt;"", COLUMN($D$1:$U72)), COLUMN(H72))), "")</f>
        <v/>
      </c>
      <c r="AK72" t="str">
        <f t="array" ref="AK72">IFERROR(INDEX(72:72, SMALL(IF($D72:$U72&lt;&gt;"", COLUMN($D$1:$U72)), COLUMN(I72))), "")</f>
        <v/>
      </c>
      <c r="AL72" t="str">
        <f t="array" ref="AL72">IFERROR(INDEX(72:72, SMALL(IF($D72:$U72&lt;&gt;"", COLUMN($D$1:$U72)), COLUMN(J72))), "")</f>
        <v/>
      </c>
      <c r="AM72" t="str">
        <f t="array" ref="AM72">IFERROR(INDEX(72:72, SMALL(IF($D72:$U72&lt;&gt;"", COLUMN($D$1:$U72)), COLUMN(K72))), "")</f>
        <v/>
      </c>
      <c r="AN72" t="str">
        <f t="array" ref="AN72">IFERROR(INDEX(72:72, SMALL(IF($D72:$U72&lt;&gt;"", COLUMN($D$1:$U72)), COLUMN(L72))), "")</f>
        <v/>
      </c>
      <c r="AO72" t="str">
        <f t="array" ref="AO72">IFERROR(INDEX(72:72, SMALL(IF($D72:$U72&lt;&gt;"", COLUMN($D$1:$U72)), COLUMN(M72))), "")</f>
        <v/>
      </c>
      <c r="AP72" t="str">
        <f t="array" ref="AP72">IFERROR(INDEX(72:72, SMALL(IF($D72:$U72&lt;&gt;"", COLUMN($D$1:$U72)), COLUMN(N72))), "")</f>
        <v/>
      </c>
      <c r="AQ72" t="str">
        <f t="array" ref="AQ72">IFERROR(INDEX(72:72, SMALL(IF($D72:$U72&lt;&gt;"", COLUMN($D$1:$U72)), COLUMN(O72))), "")</f>
        <v/>
      </c>
      <c r="AR72" s="52" t="s">
        <v>4005</v>
      </c>
      <c r="AS72" t="e">
        <f t="shared" si="23"/>
        <v>#N/A</v>
      </c>
      <c r="AT72" t="e">
        <f t="shared" si="24"/>
        <v>#N/A</v>
      </c>
      <c r="AU72" t="e">
        <f t="shared" si="26"/>
        <v>#N/A</v>
      </c>
      <c r="AV72" t="e">
        <f t="shared" si="27"/>
        <v>#N/A</v>
      </c>
      <c r="AW72" t="e">
        <f t="shared" si="28"/>
        <v>#N/A</v>
      </c>
      <c r="AX72" t="e">
        <f t="shared" si="29"/>
        <v>#N/A</v>
      </c>
      <c r="AZ72" t="str">
        <f t="array" ref="AZ72">IFERROR(INDEX(72:72, SMALL(IF($AC72:$AX72&lt;&gt;"", COLUMN($AC$1:$AX72)), COLUMN(A72))), "")</f>
        <v/>
      </c>
      <c r="BA72" t="str">
        <f t="array" ref="BA72">IFERROR(INDEX(72:72, SMALL(IF($AC72:$AX72&lt;&gt;"", COLUMN($AC$1:$AX72)), COLUMN(B72))), "")</f>
        <v/>
      </c>
      <c r="BB72" t="str">
        <f t="array" ref="BB72">IFERROR(INDEX(72:72, SMALL(IF($AC72:$AX72&lt;&gt;"", COLUMN($AC$1:$AX72)), COLUMN(C72))), "")</f>
        <v/>
      </c>
      <c r="BC72" t="str">
        <f t="array" ref="BC72">IFERROR(INDEX(72:72, SMALL(IF($AC72:$AX72&lt;&gt;"", COLUMN($AC$1:$AX72)), COLUMN(D72))), "")</f>
        <v/>
      </c>
      <c r="BD72" t="str">
        <f t="array" ref="BD72">IFERROR(INDEX(72:72, SMALL(IF($AC72:$AX72&lt;&gt;"", COLUMN($AC$1:$AX72)), COLUMN(E72))), "")</f>
        <v/>
      </c>
      <c r="BE72" t="str">
        <f t="array" ref="BE72">IFERROR(INDEX(72:72, SMALL(IF($AC72:$AX72&lt;&gt;"", COLUMN($AC$1:$AX72)), COLUMN(F72))), "")</f>
        <v/>
      </c>
      <c r="BF72" t="str">
        <f t="array" ref="BF72">IFERROR(IF(AND(COUNTIF($B72,"*泉ヶ丘*"),COUNTIF($B73,"*泉ヶ丘*")),
IFERROR(INDEX(73:73, SMALL(IF($AC73:$AX73&lt;&gt;"", COLUMN($AC$1:$AX73)), COLUMN(A73))), ""),
INDEX(72:72, SMALL(IF($AC72:$AX72&lt;&gt;"", COLUMN($AC$1:$AX72)), COLUMN(G72)))), "")</f>
        <v/>
      </c>
      <c r="BG72" t="str">
        <f t="array" ref="BG72">IFERROR(IF(AND(COUNTIF($B72,"*泉ヶ丘*"),COUNTIF($B73,"*泉ヶ丘*")),
IFERROR(INDEX(73:73, SMALL(IF($AC73:$AX73&lt;&gt;"", COLUMN($AC$1:$AX73)), COLUMN(B73))), ""),
INDEX(72:72, SMALL(IF($AC72:$AX72&lt;&gt;"", COLUMN($AC$1:$AX72)), COLUMN(H72)))), "")</f>
        <v/>
      </c>
      <c r="BH72" t="str">
        <f t="array" ref="BH72">IFERROR(IF(AND(COUNTIF($B72,"*泉ヶ丘*"),COUNTIF($B73,"*泉ヶ丘*")),
IFERROR(INDEX(73:73, SMALL(IF($AC73:$AX73&lt;&gt;"", COLUMN($AC$1:$AX73)), COLUMN(C73))), ""),
INDEX(72:72, SMALL(IF($AC72:$AX72&lt;&gt;"", COLUMN($AC$1:$AX72)), COLUMN(I72)))), "")</f>
        <v/>
      </c>
      <c r="BI72" t="str">
        <f t="array" ref="BI72">IFERROR(IF(AND(COUNTIF($B72,"*泉ヶ丘*"),COUNTIF($B73,"*泉ヶ丘*")),
IFERROR(INDEX(73:73, SMALL(IF($AC73:$AX73&lt;&gt;"", COLUMN($AC$1:$AX73)), COLUMN(D73))), ""),
INDEX(72:72, SMALL(IF($AC72:$AX72&lt;&gt;"", COLUMN($AC$1:$AX72)), COLUMN(J72)))), "")</f>
        <v/>
      </c>
      <c r="BJ72" t="str">
        <f t="array" ref="BJ72">IFERROR(IF(AND(COUNTIF($B72,"*泉ヶ丘*"),COUNTIF($B73,"*泉ヶ丘*")),
IFERROR(INDEX(73:73, SMALL(IF($AC73:$AX73&lt;&gt;"", COLUMN($AC$1:$AX73)), COLUMN(E73))), ""),
INDEX(72:72, SMALL(IF($AC72:$AX72&lt;&gt;"", COLUMN($AC$1:$AX72)), COLUMN(K72)))), "")</f>
        <v/>
      </c>
      <c r="BK72" t="str">
        <f t="array" ref="BK72">IFERROR(IF(AND(COUNTIF($B72,"*泉ヶ丘*"),COUNTIF($B73,"*泉ヶ丘*")),
IFERROR(INDEX(73:73, SMALL(IF($AC73:$AX73&lt;&gt;"", COLUMN($AC$1:$AX73)), COLUMN(F73))), ""),
INDEX(72:72, SMALL(IF($AC72:$AX72&lt;&gt;"", COLUMN($AC$1:$AX72)), COLUMN(L72)))), "")</f>
        <v/>
      </c>
      <c r="BL72" t="str">
        <f t="array" ref="BL72">IFERROR(IF(AND(COUNTIF($B72,"*泉ヶ丘*"),COUNTIF($B73,"*泉ヶ丘*")),
IFERROR(INDEX(73:73, SMALL(IF($AC73:$AX73&lt;&gt;"", COLUMN($AC$1:$AX73)), COLUMN(G73))), ""),
INDEX(72:72, SMALL(IF($AC72:$AX72&lt;&gt;"", COLUMN($AC$1:$AX72)), COLUMN(M72)))), "")</f>
        <v/>
      </c>
      <c r="BM72" t="str">
        <f t="array" ref="BM72">IFERROR(IF(AND(COUNTIF($B72,"*泉ヶ丘*"),COUNTIF($B73,"*泉ヶ丘*")),
IFERROR(INDEX(73:73, SMALL(IF($AC73:$AX73&lt;&gt;"", COLUMN($AC$1:$AX73)), COLUMN(H73))), ""),
INDEX(72:72, SMALL(IF($AC72:$AX72&lt;&gt;"", COLUMN($AC$1:$AX72)), COLUMN(N72)))), "")</f>
        <v/>
      </c>
      <c r="BN72" t="str">
        <f t="array" ref="BN72">IFERROR(IF(AND(COUNTIF($B72,"*泉ヶ丘*"),COUNTIF($B73,"*泉ヶ丘*")),
IFERROR(INDEX(73:73, SMALL(IF($AC73:$AX73&lt;&gt;"", COLUMN($AC$1:$AX73)), COLUMN(I73))), ""),
INDEX(72:72, SMALL(IF($AC72:$AX72&lt;&gt;"", COLUMN($AC$1:$AX72)), COLUMN(O72)))), "")</f>
        <v/>
      </c>
      <c r="BO72" t="str">
        <f t="array" ref="BO72">IFERROR(IF(AND(COUNTIF($B72,"*泉ヶ丘*"),COUNTIF($B73,"*泉ヶ丘*")),
IFERROR(INDEX(73:73, SMALL(IF($AC73:$AX73&lt;&gt;"", COLUMN($AC$1:$AX73)), COLUMN(J73))), ""),
INDEX(72:72, SMALL(IF($AC72:$AX72&lt;&gt;"", COLUMN($AC$1:$AX72)), COLUMN(P72)))), "")</f>
        <v/>
      </c>
      <c r="BP72" t="str">
        <f t="array" ref="BP72">IFERROR(IF(AND(COUNTIF($B72,"*泉ヶ丘*"),COUNTIF($B73,"*泉ヶ丘*")),
IFERROR(INDEX(73:73, SMALL(IF($AC73:$AX73&lt;&gt;"", COLUMN($AC$1:$AX73)), COLUMN(K73))), ""),
INDEX(72:72, SMALL(IF($AC72:$AX72&lt;&gt;"", COLUMN($AC$1:$AX72)), COLUMN(Q72)))), "")</f>
        <v/>
      </c>
      <c r="BQ72" t="str">
        <f t="array" ref="BQ72">IFERROR(IF(AND(COUNTIF($B72,"*泉ヶ丘*"),COUNTIF($B73,"*泉ヶ丘*")),
IFERROR(INDEX(73:73, SMALL(IF($AC73:$AX73&lt;&gt;"", COLUMN($AC$1:$AX73)), COLUMN(L73))), ""),
INDEX(72:72, SMALL(IF($AC72:$AX72&lt;&gt;"", COLUMN($AC$1:$AX72)), COLUMN(R72)))), "")</f>
        <v/>
      </c>
    </row>
    <row r="73" spans="1:69" x14ac:dyDescent="0.45">
      <c r="A73" t="e">
        <f t="array" ref="A73">IF(INDEX(貼り付け用!A:A,MATCH(A72,貼り付け用!A:A,0)+2)="4700",
IF(INDEX(貼り付け用!A:A,MATCH(A72,貼り付け用!A:A,0)+4)="4800",
INDEX(貼り付け用!A:A,MATCH(A72,貼り付け用!A:A,0)+6),
INDEX(貼り付け用!A:A,MATCH(A72,貼り付け用!A:A,0)+4)),INDEX(貼り付け用!A:A,MATCH(A72,貼り付け用!A:A,0)+2))</f>
        <v>#N/A</v>
      </c>
      <c r="B73" t="e">
        <f>IF(A73&lt;&gt;"",
VLOOKUP(A73,得意先マスタ!A:D,2,FALSE),"")</f>
        <v>#N/A</v>
      </c>
      <c r="C73" t="e">
        <f t="array" ref="C73">IF(A73="10000","",INDEX(貼り付け用!A:A,MATCH(A73,貼り付け用!A:A,0)+1))</f>
        <v>#N/A</v>
      </c>
      <c r="D73" t="e">
        <f>VLOOKUP(C73,クライアント抽出!$A:$O,10,FALSE)</f>
        <v>#N/A</v>
      </c>
      <c r="E73" t="e">
        <f>IF(D73&lt;&gt;"",
IF(COUNTIF(C73,"*ぺんぎん*"),
VLOOKUP(
"*"&amp;IF(COUNTIF(D73,"*キャラ弁*"),"キャラ",
IF(COUNTIF(D73,"*赤*"),"赤",SUBSTITUTE(SUBSTITUTE(D73," ",""),"　","")))&amp;"*",
注文弁当の抽出!$F:$I,4,FALSE)&amp;
IF(COUNTIF(D73,"*おにぎり*"),"　おにぎり","")&amp;"　（ぺんぎん組）",
VLOOKUP(
"*"&amp;IF(COUNTIF(D73,"*キャラ弁*"),"キャラ",
IF(COUNTIF(D73,"*赤*"),"赤",SUBSTITUTE(SUBSTITUTE(D73," ",""),"　","")))&amp;"*",
注文弁当の抽出!$F:$I,4,FALSE)&amp;
IF(COUNTIF(D73,"*おにぎり*"),"　おにぎり","")),"")</f>
        <v>#N/A</v>
      </c>
      <c r="F73" t="str">
        <f>IFERROR(IF(E73&lt;&gt;"",
VLOOKUP(C73,クライアント抽出!$A:$G,2,FALSE)+
IF(COUNTIF(Y73,"*-*"),Y73,0),"")
-IFERROR(MID(V73, SEARCH("予備", V73) + LEN("予備"), SEARCH("込み", V73) - (SEARCH("予備", V73) + LEN("予備"))),0),"")</f>
        <v/>
      </c>
      <c r="G73" t="e">
        <f>VLOOKUP(C73,クライアント抽出!$A:$O,11,FALSE)</f>
        <v>#N/A</v>
      </c>
      <c r="H73" t="e">
        <f>IF(G73&lt;&gt;"",
VLOOKUP(
"*"&amp;IF(COUNTIF(G73,"*キャラ弁*"),"キャラ",
IF(COUNTIF(G73,"*赤*"),"赤",SUBSTITUTE(SUBSTITUTE(G73," ",""),"　","")))&amp;"*",
注文弁当の抽出!$F:$I,4,FALSE)&amp;
IF(COUNTIF(G73,"*おにぎり*"),"　おにぎり",""),"")</f>
        <v>#N/A</v>
      </c>
      <c r="I73" t="e">
        <f>IF(H73&lt;&gt;"",
VLOOKUP(C73,クライアント抽出!$A:$G,3,FALSE)+
IF(COUNTIF(C73,"*博多*"),Y73,Z73),"")</f>
        <v>#N/A</v>
      </c>
      <c r="J73" t="e">
        <f>VLOOKUP(C73,クライアント抽出!$A:$O,12,FALSE)</f>
        <v>#N/A</v>
      </c>
      <c r="K73" t="e">
        <f>IF(J73&lt;&gt;"",
VLOOKUP(
"*"&amp;IF(COUNTIF(J73,"*キャラ弁*"),"キャラ",
IF(COUNTIF(J73,"*赤*"),"赤",SUBSTITUTE(SUBSTITUTE(J73," ",""),"　","")))&amp;"*",
注文弁当の抽出!$F:$I,4,FALSE)&amp;
IF(COUNTIF(J73,"*おにぎり*"),"　おにぎり",""),"")</f>
        <v>#N/A</v>
      </c>
      <c r="L73" t="e">
        <f>IF(K73&lt;&gt;"",
VLOOKUP(C73,クライアント抽出!$A:$G,4,FALSE)+AA73,"")</f>
        <v>#N/A</v>
      </c>
      <c r="M73" t="e">
        <f>VLOOKUP(C73,クライアント抽出!$A:$O,13,FALSE)</f>
        <v>#N/A</v>
      </c>
      <c r="N73" t="e">
        <f>SUBSTITUTE(
IF(M73&lt;&gt;"",
VLOOKUP(
"*"&amp;IF(COUNTIF(M73,"*キャラ弁*"),"キャラ",
IF(COUNTIF(M73,"*赤*"),"赤",SUBSTITUTE(SUBSTITUTE(D73," ",""),"　","")))&amp;"*",
注文弁当の抽出!$F:$I,4,FALSE),""),"園児","先生")&amp;
IF(COUNTIF(M73,"*おにぎり*"),"　おにぎり","")</f>
        <v>#N/A</v>
      </c>
      <c r="O73" t="e">
        <f>IF(N73&lt;&gt;"",VLOOKUP(C73,クライアント抽出!$A:$G,5,FALSE),"")</f>
        <v>#N/A</v>
      </c>
      <c r="P73" t="e">
        <f>VLOOKUP(C73,クライアント抽出!$A:$O,14,FALSE)</f>
        <v>#N/A</v>
      </c>
      <c r="Q73" t="e">
        <f>SUBSTITUTE(
IF(P73&lt;&gt;"",
VLOOKUP(
"*"&amp;IF(COUNTIF(P73,"*キャラ弁*"),"キャラ",
IF(COUNTIF(P73,"*赤*"),"赤",SUBSTITUTE(SUBSTITUTE(G73," ",""),"　","")))&amp;"*",
注文弁当の抽出!$F:$I,4,FALSE),""),"園児","先生")&amp;
IF(COUNTIF(P73,"*おにぎり*"),"　おにぎり","")</f>
        <v>#N/A</v>
      </c>
      <c r="R73" t="e">
        <f>IF(Q73&lt;&gt;"",
VLOOKUP(C73,クライアント抽出!$A:$G,6,FALSE),"")</f>
        <v>#N/A</v>
      </c>
      <c r="S73" t="e">
        <f>VLOOKUP(C73,クライアント抽出!$A:$O,15,FALSE)</f>
        <v>#N/A</v>
      </c>
      <c r="T73" t="e">
        <f>SUBSTITUTE(
IF(S73&lt;&gt;"",
VLOOKUP(
"*"&amp;IF(COUNTIF(S73,"*キャラ弁*"),"キャラ",
IF(COUNTIF(S73,"*赤*"),"赤",SUBSTITUTE(SUBSTITUTE(J73," ",""),"　","")))&amp;"*",
注文弁当の抽出!$F:$I,4,FALSE),""),"園児","先生")&amp;
IF(COUNTIF(S73,"*おにぎり*"),"　おにぎり","")</f>
        <v>#N/A</v>
      </c>
      <c r="U73" t="e">
        <f>IF(T73&lt;&gt;"",
VLOOKUP(C73,クライアント抽出!$A:$G,7,FALSE),"")</f>
        <v>#N/A</v>
      </c>
      <c r="V73" t="e">
        <f>IF(A73&lt;&gt;"",
IF(COUNTIF(V72,"*牛乳*"),
IF(AND(COUNTIF(B72,"*奈良屋*"),COUNTIF(B73,"*奈良屋*")),
V72&amp;"✔",""),VLOOKUP(""&amp;A73&amp;"",数出表_Excel!$A:$Z,22,FALSE)&amp;VLOOKUP(""&amp;A73&amp;"",数出表_Excel!$A:$Z,23,FALSE)
&amp;VLOOKUP(""&amp;C73&amp;"",数出表_Excel!$A:$Z,22,FALSE)&amp;VLOOKUP(""&amp;C73&amp;"",数出表_Excel!$A:$Z,23,FALSE)),"")</f>
        <v>#N/A</v>
      </c>
      <c r="W73" t="e">
        <f>IF(AND(COUNTIF(V73,"&lt;&gt;*不要*"),A73&lt;&gt;""),VLOOKUP(A73,得意先マスタ!$A:$AD,24,FALSE),0)</f>
        <v>#N/A</v>
      </c>
      <c r="X73" t="e">
        <f>IF(AND(COUNTIF(V73,"&lt;&gt;*不要*"),A73&lt;&gt;""),VLOOKUP(A73,得意先マスタ!$A:$AD,25,FALSE),0)</f>
        <v>#N/A</v>
      </c>
      <c r="Y73" t="e">
        <f t="shared" si="20"/>
        <v>#N/A</v>
      </c>
      <c r="Z73" t="e">
        <f t="shared" si="21"/>
        <v>#N/A</v>
      </c>
      <c r="AA73" t="e">
        <f t="shared" si="25"/>
        <v>#N/A</v>
      </c>
      <c r="AB73" t="e">
        <f t="shared" si="22"/>
        <v>#N/A</v>
      </c>
      <c r="AC73" t="str">
        <f t="array" ref="AC73">IFERROR(INDEX(73:73, SMALL(IF($D73:$U73&lt;&gt;"", COLUMN($D$1:$U73)), COLUMN(A73))), "")</f>
        <v/>
      </c>
      <c r="AD73" t="str">
        <f t="array" ref="AD73">IFERROR(INDEX(73:73, SMALL(IF($D73:$U73&lt;&gt;"", COLUMN($D$1:$U73)), COLUMN(B73))), "")</f>
        <v/>
      </c>
      <c r="AE73" t="str">
        <f t="array" ref="AE73">IFERROR(INDEX(73:73, SMALL(IF($D73:$U73&lt;&gt;"", COLUMN($D$1:$U73)), COLUMN(C73))), "")</f>
        <v/>
      </c>
      <c r="AF73" t="str">
        <f t="array" ref="AF73">IFERROR(INDEX(73:73, SMALL(IF($D73:$U73&lt;&gt;"", COLUMN($D$1:$U73)), COLUMN(D73))), "")</f>
        <v/>
      </c>
      <c r="AG73" t="str">
        <f t="array" ref="AG73">IFERROR(INDEX(73:73, SMALL(IF($D73:$U73&lt;&gt;"", COLUMN($D$1:$U73)), COLUMN(E73))), "")</f>
        <v/>
      </c>
      <c r="AH73" t="str">
        <f t="array" ref="AH73">IFERROR(INDEX(73:73, SMALL(IF($D73:$U73&lt;&gt;"", COLUMN($D$1:$U73)), COLUMN(F73))), "")</f>
        <v/>
      </c>
      <c r="AI73" t="str">
        <f t="array" ref="AI73">IFERROR(INDEX(73:73, SMALL(IF($D73:$U73&lt;&gt;"", COLUMN($D$1:$U73)), COLUMN(G73))), "")</f>
        <v/>
      </c>
      <c r="AJ73" t="str">
        <f t="array" ref="AJ73">IFERROR(INDEX(73:73, SMALL(IF($D73:$U73&lt;&gt;"", COLUMN($D$1:$U73)), COLUMN(H73))), "")</f>
        <v/>
      </c>
      <c r="AK73" t="str">
        <f t="array" ref="AK73">IFERROR(INDEX(73:73, SMALL(IF($D73:$U73&lt;&gt;"", COLUMN($D$1:$U73)), COLUMN(I73))), "")</f>
        <v/>
      </c>
      <c r="AL73" t="str">
        <f t="array" ref="AL73">IFERROR(INDEX(73:73, SMALL(IF($D73:$U73&lt;&gt;"", COLUMN($D$1:$U73)), COLUMN(J73))), "")</f>
        <v/>
      </c>
      <c r="AM73" t="str">
        <f t="array" ref="AM73">IFERROR(INDEX(73:73, SMALL(IF($D73:$U73&lt;&gt;"", COLUMN($D$1:$U73)), COLUMN(K73))), "")</f>
        <v/>
      </c>
      <c r="AN73" t="str">
        <f t="array" ref="AN73">IFERROR(INDEX(73:73, SMALL(IF($D73:$U73&lt;&gt;"", COLUMN($D$1:$U73)), COLUMN(L73))), "")</f>
        <v/>
      </c>
      <c r="AO73" t="str">
        <f t="array" ref="AO73">IFERROR(INDEX(73:73, SMALL(IF($D73:$U73&lt;&gt;"", COLUMN($D$1:$U73)), COLUMN(M73))), "")</f>
        <v/>
      </c>
      <c r="AP73" t="str">
        <f t="array" ref="AP73">IFERROR(INDEX(73:73, SMALL(IF($D73:$U73&lt;&gt;"", COLUMN($D$1:$U73)), COLUMN(N73))), "")</f>
        <v/>
      </c>
      <c r="AQ73" t="str">
        <f t="array" ref="AQ73">IFERROR(INDEX(73:73, SMALL(IF($D73:$U73&lt;&gt;"", COLUMN($D$1:$U73)), COLUMN(O73))), "")</f>
        <v/>
      </c>
      <c r="AR73" s="52" t="s">
        <v>4005</v>
      </c>
      <c r="AS73" t="e">
        <f t="shared" si="23"/>
        <v>#N/A</v>
      </c>
      <c r="AT73" t="e">
        <f t="shared" si="24"/>
        <v>#N/A</v>
      </c>
      <c r="AU73" t="e">
        <f t="shared" si="26"/>
        <v>#N/A</v>
      </c>
      <c r="AV73" t="e">
        <f t="shared" si="27"/>
        <v>#N/A</v>
      </c>
      <c r="AW73" t="e">
        <f t="shared" si="28"/>
        <v>#N/A</v>
      </c>
      <c r="AX73" t="e">
        <f t="shared" si="29"/>
        <v>#N/A</v>
      </c>
      <c r="AZ73" t="str">
        <f t="array" ref="AZ73">IFERROR(INDEX(73:73, SMALL(IF($AC73:$AX73&lt;&gt;"", COLUMN($AC$1:$AX73)), COLUMN(A73))), "")</f>
        <v/>
      </c>
      <c r="BA73" t="str">
        <f t="array" ref="BA73">IFERROR(INDEX(73:73, SMALL(IF($AC73:$AX73&lt;&gt;"", COLUMN($AC$1:$AX73)), COLUMN(B73))), "")</f>
        <v/>
      </c>
      <c r="BB73" t="str">
        <f t="array" ref="BB73">IFERROR(INDEX(73:73, SMALL(IF($AC73:$AX73&lt;&gt;"", COLUMN($AC$1:$AX73)), COLUMN(C73))), "")</f>
        <v/>
      </c>
      <c r="BC73" t="str">
        <f t="array" ref="BC73">IFERROR(INDEX(73:73, SMALL(IF($AC73:$AX73&lt;&gt;"", COLUMN($AC$1:$AX73)), COLUMN(D73))), "")</f>
        <v/>
      </c>
      <c r="BD73" t="str">
        <f t="array" ref="BD73">IFERROR(INDEX(73:73, SMALL(IF($AC73:$AX73&lt;&gt;"", COLUMN($AC$1:$AX73)), COLUMN(E73))), "")</f>
        <v/>
      </c>
      <c r="BE73" t="str">
        <f t="array" ref="BE73">IFERROR(INDEX(73:73, SMALL(IF($AC73:$AX73&lt;&gt;"", COLUMN($AC$1:$AX73)), COLUMN(F73))), "")</f>
        <v/>
      </c>
      <c r="BF73" t="str">
        <f t="array" ref="BF73">IFERROR(IF(AND(COUNTIF($B73,"*泉ヶ丘*"),COUNTIF($B74,"*泉ヶ丘*")),
IFERROR(INDEX(74:74, SMALL(IF($AC74:$AX74&lt;&gt;"", COLUMN($AC$1:$AX74)), COLUMN(A74))), ""),
INDEX(73:73, SMALL(IF($AC73:$AX73&lt;&gt;"", COLUMN($AC$1:$AX73)), COLUMN(G73)))), "")</f>
        <v/>
      </c>
      <c r="BG73" t="str">
        <f t="array" ref="BG73">IFERROR(IF(AND(COUNTIF($B73,"*泉ヶ丘*"),COUNTIF($B74,"*泉ヶ丘*")),
IFERROR(INDEX(74:74, SMALL(IF($AC74:$AX74&lt;&gt;"", COLUMN($AC$1:$AX74)), COLUMN(B74))), ""),
INDEX(73:73, SMALL(IF($AC73:$AX73&lt;&gt;"", COLUMN($AC$1:$AX73)), COLUMN(H73)))), "")</f>
        <v/>
      </c>
      <c r="BH73" t="str">
        <f t="array" ref="BH73">IFERROR(IF(AND(COUNTIF($B73,"*泉ヶ丘*"),COUNTIF($B74,"*泉ヶ丘*")),
IFERROR(INDEX(74:74, SMALL(IF($AC74:$AX74&lt;&gt;"", COLUMN($AC$1:$AX74)), COLUMN(C74))), ""),
INDEX(73:73, SMALL(IF($AC73:$AX73&lt;&gt;"", COLUMN($AC$1:$AX73)), COLUMN(I73)))), "")</f>
        <v/>
      </c>
      <c r="BI73" t="str">
        <f t="array" ref="BI73">IFERROR(IF(AND(COUNTIF($B73,"*泉ヶ丘*"),COUNTIF($B74,"*泉ヶ丘*")),
IFERROR(INDEX(74:74, SMALL(IF($AC74:$AX74&lt;&gt;"", COLUMN($AC$1:$AX74)), COLUMN(D74))), ""),
INDEX(73:73, SMALL(IF($AC73:$AX73&lt;&gt;"", COLUMN($AC$1:$AX73)), COLUMN(J73)))), "")</f>
        <v/>
      </c>
      <c r="BJ73" t="str">
        <f t="array" ref="BJ73">IFERROR(IF(AND(COUNTIF($B73,"*泉ヶ丘*"),COUNTIF($B74,"*泉ヶ丘*")),
IFERROR(INDEX(74:74, SMALL(IF($AC74:$AX74&lt;&gt;"", COLUMN($AC$1:$AX74)), COLUMN(E74))), ""),
INDEX(73:73, SMALL(IF($AC73:$AX73&lt;&gt;"", COLUMN($AC$1:$AX73)), COLUMN(K73)))), "")</f>
        <v/>
      </c>
      <c r="BK73" t="str">
        <f t="array" ref="BK73">IFERROR(IF(AND(COUNTIF($B73,"*泉ヶ丘*"),COUNTIF($B74,"*泉ヶ丘*")),
IFERROR(INDEX(74:74, SMALL(IF($AC74:$AX74&lt;&gt;"", COLUMN($AC$1:$AX74)), COLUMN(F74))), ""),
INDEX(73:73, SMALL(IF($AC73:$AX73&lt;&gt;"", COLUMN($AC$1:$AX73)), COLUMN(L73)))), "")</f>
        <v/>
      </c>
      <c r="BL73" t="str">
        <f t="array" ref="BL73">IFERROR(IF(AND(COUNTIF($B73,"*泉ヶ丘*"),COUNTIF($B74,"*泉ヶ丘*")),
IFERROR(INDEX(74:74, SMALL(IF($AC74:$AX74&lt;&gt;"", COLUMN($AC$1:$AX74)), COLUMN(G74))), ""),
INDEX(73:73, SMALL(IF($AC73:$AX73&lt;&gt;"", COLUMN($AC$1:$AX73)), COLUMN(M73)))), "")</f>
        <v/>
      </c>
      <c r="BM73" t="str">
        <f t="array" ref="BM73">IFERROR(IF(AND(COUNTIF($B73,"*泉ヶ丘*"),COUNTIF($B74,"*泉ヶ丘*")),
IFERROR(INDEX(74:74, SMALL(IF($AC74:$AX74&lt;&gt;"", COLUMN($AC$1:$AX74)), COLUMN(H74))), ""),
INDEX(73:73, SMALL(IF($AC73:$AX73&lt;&gt;"", COLUMN($AC$1:$AX73)), COLUMN(N73)))), "")</f>
        <v/>
      </c>
      <c r="BN73" t="str">
        <f t="array" ref="BN73">IFERROR(IF(AND(COUNTIF($B73,"*泉ヶ丘*"),COUNTIF($B74,"*泉ヶ丘*")),
IFERROR(INDEX(74:74, SMALL(IF($AC74:$AX74&lt;&gt;"", COLUMN($AC$1:$AX74)), COLUMN(I74))), ""),
INDEX(73:73, SMALL(IF($AC73:$AX73&lt;&gt;"", COLUMN($AC$1:$AX73)), COLUMN(O73)))), "")</f>
        <v/>
      </c>
      <c r="BO73" t="str">
        <f t="array" ref="BO73">IFERROR(IF(AND(COUNTIF($B73,"*泉ヶ丘*"),COUNTIF($B74,"*泉ヶ丘*")),
IFERROR(INDEX(74:74, SMALL(IF($AC74:$AX74&lt;&gt;"", COLUMN($AC$1:$AX74)), COLUMN(J74))), ""),
INDEX(73:73, SMALL(IF($AC73:$AX73&lt;&gt;"", COLUMN($AC$1:$AX73)), COLUMN(P73)))), "")</f>
        <v/>
      </c>
      <c r="BP73" t="str">
        <f t="array" ref="BP73">IFERROR(IF(AND(COUNTIF($B73,"*泉ヶ丘*"),COUNTIF($B74,"*泉ヶ丘*")),
IFERROR(INDEX(74:74, SMALL(IF($AC74:$AX74&lt;&gt;"", COLUMN($AC$1:$AX74)), COLUMN(K74))), ""),
INDEX(73:73, SMALL(IF($AC73:$AX73&lt;&gt;"", COLUMN($AC$1:$AX73)), COLUMN(Q73)))), "")</f>
        <v/>
      </c>
      <c r="BQ73" t="str">
        <f t="array" ref="BQ73">IFERROR(IF(AND(COUNTIF($B73,"*泉ヶ丘*"),COUNTIF($B74,"*泉ヶ丘*")),
IFERROR(INDEX(74:74, SMALL(IF($AC74:$AX74&lt;&gt;"", COLUMN($AC$1:$AX74)), COLUMN(L74))), ""),
INDEX(73:73, SMALL(IF($AC73:$AX73&lt;&gt;"", COLUMN($AC$1:$AX73)), COLUMN(R73)))), "")</f>
        <v/>
      </c>
    </row>
    <row r="74" spans="1:69" x14ac:dyDescent="0.45">
      <c r="A74" t="e">
        <f t="array" ref="A74">IF(INDEX(貼り付け用!A:A,MATCH(A73,貼り付け用!A:A,0)+2)="4700",
IF(INDEX(貼り付け用!A:A,MATCH(A73,貼り付け用!A:A,0)+4)="4800",
INDEX(貼り付け用!A:A,MATCH(A73,貼り付け用!A:A,0)+6),
INDEX(貼り付け用!A:A,MATCH(A73,貼り付け用!A:A,0)+4)),INDEX(貼り付け用!A:A,MATCH(A73,貼り付け用!A:A,0)+2))</f>
        <v>#N/A</v>
      </c>
      <c r="B74" t="e">
        <f>IF(A74&lt;&gt;"",
VLOOKUP(A74,得意先マスタ!A:D,2,FALSE),"")</f>
        <v>#N/A</v>
      </c>
      <c r="C74" t="e">
        <f t="array" ref="C74">IF(A74="10000","",INDEX(貼り付け用!A:A,MATCH(A74,貼り付け用!A:A,0)+1))</f>
        <v>#N/A</v>
      </c>
      <c r="D74" t="e">
        <f>VLOOKUP(C74,クライアント抽出!$A:$O,10,FALSE)</f>
        <v>#N/A</v>
      </c>
      <c r="E74" t="e">
        <f>IF(D74&lt;&gt;"",
IF(COUNTIF(C74,"*ぺんぎん*"),
VLOOKUP(
"*"&amp;IF(COUNTIF(D74,"*キャラ弁*"),"キャラ",
IF(COUNTIF(D74,"*赤*"),"赤",SUBSTITUTE(SUBSTITUTE(D74," ",""),"　","")))&amp;"*",
注文弁当の抽出!$F:$I,4,FALSE)&amp;
IF(COUNTIF(D74,"*おにぎり*"),"　おにぎり","")&amp;"　（ぺんぎん組）",
VLOOKUP(
"*"&amp;IF(COUNTIF(D74,"*キャラ弁*"),"キャラ",
IF(COUNTIF(D74,"*赤*"),"赤",SUBSTITUTE(SUBSTITUTE(D74," ",""),"　","")))&amp;"*",
注文弁当の抽出!$F:$I,4,FALSE)&amp;
IF(COUNTIF(D74,"*おにぎり*"),"　おにぎり","")),"")</f>
        <v>#N/A</v>
      </c>
      <c r="F74" t="str">
        <f>IFERROR(IF(E74&lt;&gt;"",
VLOOKUP(C74,クライアント抽出!$A:$G,2,FALSE)+
IF(COUNTIF(Y74,"*-*"),Y74,0),"")
-IFERROR(MID(V74, SEARCH("予備", V74) + LEN("予備"), SEARCH("込み", V74) - (SEARCH("予備", V74) + LEN("予備"))),0),"")</f>
        <v/>
      </c>
      <c r="G74" t="e">
        <f>VLOOKUP(C74,クライアント抽出!$A:$O,11,FALSE)</f>
        <v>#N/A</v>
      </c>
      <c r="H74" t="e">
        <f>IF(G74&lt;&gt;"",
VLOOKUP(
"*"&amp;IF(COUNTIF(G74,"*キャラ弁*"),"キャラ",
IF(COUNTIF(G74,"*赤*"),"赤",SUBSTITUTE(SUBSTITUTE(G74," ",""),"　","")))&amp;"*",
注文弁当の抽出!$F:$I,4,FALSE)&amp;
IF(COUNTIF(G74,"*おにぎり*"),"　おにぎり",""),"")</f>
        <v>#N/A</v>
      </c>
      <c r="I74" t="e">
        <f>IF(H74&lt;&gt;"",
VLOOKUP(C74,クライアント抽出!$A:$G,3,FALSE)+
IF(COUNTIF(C74,"*博多*"),Y74,Z74),"")</f>
        <v>#N/A</v>
      </c>
      <c r="J74" t="e">
        <f>VLOOKUP(C74,クライアント抽出!$A:$O,12,FALSE)</f>
        <v>#N/A</v>
      </c>
      <c r="K74" t="e">
        <f>IF(J74&lt;&gt;"",
VLOOKUP(
"*"&amp;IF(COUNTIF(J74,"*キャラ弁*"),"キャラ",
IF(COUNTIF(J74,"*赤*"),"赤",SUBSTITUTE(SUBSTITUTE(J74," ",""),"　","")))&amp;"*",
注文弁当の抽出!$F:$I,4,FALSE)&amp;
IF(COUNTIF(J74,"*おにぎり*"),"　おにぎり",""),"")</f>
        <v>#N/A</v>
      </c>
      <c r="L74" t="e">
        <f>IF(K74&lt;&gt;"",
VLOOKUP(C74,クライアント抽出!$A:$G,4,FALSE)+AA74,"")</f>
        <v>#N/A</v>
      </c>
      <c r="M74" t="e">
        <f>VLOOKUP(C74,クライアント抽出!$A:$O,13,FALSE)</f>
        <v>#N/A</v>
      </c>
      <c r="N74" t="e">
        <f>SUBSTITUTE(
IF(M74&lt;&gt;"",
VLOOKUP(
"*"&amp;IF(COUNTIF(M74,"*キャラ弁*"),"キャラ",
IF(COUNTIF(M74,"*赤*"),"赤",SUBSTITUTE(SUBSTITUTE(D74," ",""),"　","")))&amp;"*",
注文弁当の抽出!$F:$I,4,FALSE),""),"園児","先生")&amp;
IF(COUNTIF(M74,"*おにぎり*"),"　おにぎり","")</f>
        <v>#N/A</v>
      </c>
      <c r="O74" t="e">
        <f>IF(N74&lt;&gt;"",VLOOKUP(C74,クライアント抽出!$A:$G,5,FALSE),"")</f>
        <v>#N/A</v>
      </c>
      <c r="P74" t="e">
        <f>VLOOKUP(C74,クライアント抽出!$A:$O,14,FALSE)</f>
        <v>#N/A</v>
      </c>
      <c r="Q74" t="e">
        <f>SUBSTITUTE(
IF(P74&lt;&gt;"",
VLOOKUP(
"*"&amp;IF(COUNTIF(P74,"*キャラ弁*"),"キャラ",
IF(COUNTIF(P74,"*赤*"),"赤",SUBSTITUTE(SUBSTITUTE(G74," ",""),"　","")))&amp;"*",
注文弁当の抽出!$F:$I,4,FALSE),""),"園児","先生")&amp;
IF(COUNTIF(P74,"*おにぎり*"),"　おにぎり","")</f>
        <v>#N/A</v>
      </c>
      <c r="R74" t="e">
        <f>IF(Q74&lt;&gt;"",
VLOOKUP(C74,クライアント抽出!$A:$G,6,FALSE),"")</f>
        <v>#N/A</v>
      </c>
      <c r="S74" t="e">
        <f>VLOOKUP(C74,クライアント抽出!$A:$O,15,FALSE)</f>
        <v>#N/A</v>
      </c>
      <c r="T74" t="e">
        <f>SUBSTITUTE(
IF(S74&lt;&gt;"",
VLOOKUP(
"*"&amp;IF(COUNTIF(S74,"*キャラ弁*"),"キャラ",
IF(COUNTIF(S74,"*赤*"),"赤",SUBSTITUTE(SUBSTITUTE(J74," ",""),"　","")))&amp;"*",
注文弁当の抽出!$F:$I,4,FALSE),""),"園児","先生")&amp;
IF(COUNTIF(S74,"*おにぎり*"),"　おにぎり","")</f>
        <v>#N/A</v>
      </c>
      <c r="U74" t="e">
        <f>IF(T74&lt;&gt;"",
VLOOKUP(C74,クライアント抽出!$A:$G,7,FALSE),"")</f>
        <v>#N/A</v>
      </c>
      <c r="V74" t="e">
        <f>IF(A74&lt;&gt;"",
IF(COUNTIF(V73,"*牛乳*"),
IF(AND(COUNTIF(B73,"*奈良屋*"),COUNTIF(B74,"*奈良屋*")),
V73&amp;"✔",""),VLOOKUP(""&amp;A74&amp;"",数出表_Excel!$A:$Z,22,FALSE)&amp;VLOOKUP(""&amp;A74&amp;"",数出表_Excel!$A:$Z,23,FALSE)
&amp;VLOOKUP(""&amp;C74&amp;"",数出表_Excel!$A:$Z,22,FALSE)&amp;VLOOKUP(""&amp;C74&amp;"",数出表_Excel!$A:$Z,23,FALSE)),"")</f>
        <v>#N/A</v>
      </c>
      <c r="W74" t="e">
        <f>IF(AND(COUNTIF(V74,"&lt;&gt;*不要*"),A74&lt;&gt;""),VLOOKUP(A74,得意先マスタ!$A:$AD,24,FALSE),0)</f>
        <v>#N/A</v>
      </c>
      <c r="X74" t="e">
        <f>IF(AND(COUNTIF(V74,"&lt;&gt;*不要*"),A74&lt;&gt;""),VLOOKUP(A74,得意先マスタ!$A:$AD,25,FALSE),0)</f>
        <v>#N/A</v>
      </c>
      <c r="Y74" t="e">
        <f t="shared" si="20"/>
        <v>#N/A</v>
      </c>
      <c r="Z74" t="e">
        <f t="shared" si="21"/>
        <v>#N/A</v>
      </c>
      <c r="AA74" t="e">
        <f t="shared" si="25"/>
        <v>#N/A</v>
      </c>
      <c r="AB74" t="e">
        <f t="shared" si="22"/>
        <v>#N/A</v>
      </c>
      <c r="AC74" t="str">
        <f t="array" ref="AC74">IFERROR(INDEX(74:74, SMALL(IF($D74:$U74&lt;&gt;"", COLUMN($D$1:$U74)), COLUMN(A74))), "")</f>
        <v/>
      </c>
      <c r="AD74" t="str">
        <f t="array" ref="AD74">IFERROR(INDEX(74:74, SMALL(IF($D74:$U74&lt;&gt;"", COLUMN($D$1:$U74)), COLUMN(B74))), "")</f>
        <v/>
      </c>
      <c r="AE74" t="str">
        <f t="array" ref="AE74">IFERROR(INDEX(74:74, SMALL(IF($D74:$U74&lt;&gt;"", COLUMN($D$1:$U74)), COLUMN(C74))), "")</f>
        <v/>
      </c>
      <c r="AF74" t="str">
        <f t="array" ref="AF74">IFERROR(INDEX(74:74, SMALL(IF($D74:$U74&lt;&gt;"", COLUMN($D$1:$U74)), COLUMN(D74))), "")</f>
        <v/>
      </c>
      <c r="AG74" t="str">
        <f t="array" ref="AG74">IFERROR(INDEX(74:74, SMALL(IF($D74:$U74&lt;&gt;"", COLUMN($D$1:$U74)), COLUMN(E74))), "")</f>
        <v/>
      </c>
      <c r="AH74" t="str">
        <f t="array" ref="AH74">IFERROR(INDEX(74:74, SMALL(IF($D74:$U74&lt;&gt;"", COLUMN($D$1:$U74)), COLUMN(F74))), "")</f>
        <v/>
      </c>
      <c r="AI74" t="str">
        <f t="array" ref="AI74">IFERROR(INDEX(74:74, SMALL(IF($D74:$U74&lt;&gt;"", COLUMN($D$1:$U74)), COLUMN(G74))), "")</f>
        <v/>
      </c>
      <c r="AJ74" t="str">
        <f t="array" ref="AJ74">IFERROR(INDEX(74:74, SMALL(IF($D74:$U74&lt;&gt;"", COLUMN($D$1:$U74)), COLUMN(H74))), "")</f>
        <v/>
      </c>
      <c r="AK74" t="str">
        <f t="array" ref="AK74">IFERROR(INDEX(74:74, SMALL(IF($D74:$U74&lt;&gt;"", COLUMN($D$1:$U74)), COLUMN(I74))), "")</f>
        <v/>
      </c>
      <c r="AL74" t="str">
        <f t="array" ref="AL74">IFERROR(INDEX(74:74, SMALL(IF($D74:$U74&lt;&gt;"", COLUMN($D$1:$U74)), COLUMN(J74))), "")</f>
        <v/>
      </c>
      <c r="AM74" t="str">
        <f t="array" ref="AM74">IFERROR(INDEX(74:74, SMALL(IF($D74:$U74&lt;&gt;"", COLUMN($D$1:$U74)), COLUMN(K74))), "")</f>
        <v/>
      </c>
      <c r="AN74" t="str">
        <f t="array" ref="AN74">IFERROR(INDEX(74:74, SMALL(IF($D74:$U74&lt;&gt;"", COLUMN($D$1:$U74)), COLUMN(L74))), "")</f>
        <v/>
      </c>
      <c r="AO74" t="str">
        <f t="array" ref="AO74">IFERROR(INDEX(74:74, SMALL(IF($D74:$U74&lt;&gt;"", COLUMN($D$1:$U74)), COLUMN(M74))), "")</f>
        <v/>
      </c>
      <c r="AP74" t="str">
        <f t="array" ref="AP74">IFERROR(INDEX(74:74, SMALL(IF($D74:$U74&lt;&gt;"", COLUMN($D$1:$U74)), COLUMN(N74))), "")</f>
        <v/>
      </c>
      <c r="AQ74" t="str">
        <f t="array" ref="AQ74">IFERROR(INDEX(74:74, SMALL(IF($D74:$U74&lt;&gt;"", COLUMN($D$1:$U74)), COLUMN(O74))), "")</f>
        <v/>
      </c>
      <c r="AR74" s="52" t="s">
        <v>4005</v>
      </c>
      <c r="AS74" t="e">
        <f t="shared" si="23"/>
        <v>#N/A</v>
      </c>
      <c r="AT74" t="e">
        <f t="shared" si="24"/>
        <v>#N/A</v>
      </c>
      <c r="AU74" t="e">
        <f t="shared" si="26"/>
        <v>#N/A</v>
      </c>
      <c r="AV74" t="e">
        <f t="shared" si="27"/>
        <v>#N/A</v>
      </c>
      <c r="AW74" t="e">
        <f t="shared" si="28"/>
        <v>#N/A</v>
      </c>
      <c r="AX74" t="e">
        <f t="shared" si="29"/>
        <v>#N/A</v>
      </c>
      <c r="AZ74" t="str">
        <f t="array" ref="AZ74">IFERROR(INDEX(74:74, SMALL(IF($AC74:$AX74&lt;&gt;"", COLUMN($AC$1:$AX74)), COLUMN(A74))), "")</f>
        <v/>
      </c>
      <c r="BA74" t="str">
        <f t="array" ref="BA74">IFERROR(INDEX(74:74, SMALL(IF($AC74:$AX74&lt;&gt;"", COLUMN($AC$1:$AX74)), COLUMN(B74))), "")</f>
        <v/>
      </c>
      <c r="BB74" t="str">
        <f t="array" ref="BB74">IFERROR(INDEX(74:74, SMALL(IF($AC74:$AX74&lt;&gt;"", COLUMN($AC$1:$AX74)), COLUMN(C74))), "")</f>
        <v/>
      </c>
      <c r="BC74" t="str">
        <f t="array" ref="BC74">IFERROR(INDEX(74:74, SMALL(IF($AC74:$AX74&lt;&gt;"", COLUMN($AC$1:$AX74)), COLUMN(D74))), "")</f>
        <v/>
      </c>
      <c r="BD74" t="str">
        <f t="array" ref="BD74">IFERROR(INDEX(74:74, SMALL(IF($AC74:$AX74&lt;&gt;"", COLUMN($AC$1:$AX74)), COLUMN(E74))), "")</f>
        <v/>
      </c>
      <c r="BE74" t="str">
        <f t="array" ref="BE74">IFERROR(INDEX(74:74, SMALL(IF($AC74:$AX74&lt;&gt;"", COLUMN($AC$1:$AX74)), COLUMN(F74))), "")</f>
        <v/>
      </c>
      <c r="BF74" t="str">
        <f t="array" ref="BF74">IFERROR(IF(AND(COUNTIF($B74,"*泉ヶ丘*"),COUNTIF($B75,"*泉ヶ丘*")),
IFERROR(INDEX(75:75, SMALL(IF($AC75:$AX75&lt;&gt;"", COLUMN($AC$1:$AX75)), COLUMN(A75))), ""),
INDEX(74:74, SMALL(IF($AC74:$AX74&lt;&gt;"", COLUMN($AC$1:$AX74)), COLUMN(G74)))), "")</f>
        <v/>
      </c>
      <c r="BG74" t="str">
        <f t="array" ref="BG74">IFERROR(IF(AND(COUNTIF($B74,"*泉ヶ丘*"),COUNTIF($B75,"*泉ヶ丘*")),
IFERROR(INDEX(75:75, SMALL(IF($AC75:$AX75&lt;&gt;"", COLUMN($AC$1:$AX75)), COLUMN(B75))), ""),
INDEX(74:74, SMALL(IF($AC74:$AX74&lt;&gt;"", COLUMN($AC$1:$AX74)), COLUMN(H74)))), "")</f>
        <v/>
      </c>
      <c r="BH74" t="str">
        <f t="array" ref="BH74">IFERROR(IF(AND(COUNTIF($B74,"*泉ヶ丘*"),COUNTIF($B75,"*泉ヶ丘*")),
IFERROR(INDEX(75:75, SMALL(IF($AC75:$AX75&lt;&gt;"", COLUMN($AC$1:$AX75)), COLUMN(C75))), ""),
INDEX(74:74, SMALL(IF($AC74:$AX74&lt;&gt;"", COLUMN($AC$1:$AX74)), COLUMN(I74)))), "")</f>
        <v/>
      </c>
      <c r="BI74" t="str">
        <f t="array" ref="BI74">IFERROR(IF(AND(COUNTIF($B74,"*泉ヶ丘*"),COUNTIF($B75,"*泉ヶ丘*")),
IFERROR(INDEX(75:75, SMALL(IF($AC75:$AX75&lt;&gt;"", COLUMN($AC$1:$AX75)), COLUMN(D75))), ""),
INDEX(74:74, SMALL(IF($AC74:$AX74&lt;&gt;"", COLUMN($AC$1:$AX74)), COLUMN(J74)))), "")</f>
        <v/>
      </c>
      <c r="BJ74" t="str">
        <f t="array" ref="BJ74">IFERROR(IF(AND(COUNTIF($B74,"*泉ヶ丘*"),COUNTIF($B75,"*泉ヶ丘*")),
IFERROR(INDEX(75:75, SMALL(IF($AC75:$AX75&lt;&gt;"", COLUMN($AC$1:$AX75)), COLUMN(E75))), ""),
INDEX(74:74, SMALL(IF($AC74:$AX74&lt;&gt;"", COLUMN($AC$1:$AX74)), COLUMN(K74)))), "")</f>
        <v/>
      </c>
      <c r="BK74" t="str">
        <f t="array" ref="BK74">IFERROR(IF(AND(COUNTIF($B74,"*泉ヶ丘*"),COUNTIF($B75,"*泉ヶ丘*")),
IFERROR(INDEX(75:75, SMALL(IF($AC75:$AX75&lt;&gt;"", COLUMN($AC$1:$AX75)), COLUMN(F75))), ""),
INDEX(74:74, SMALL(IF($AC74:$AX74&lt;&gt;"", COLUMN($AC$1:$AX74)), COLUMN(L74)))), "")</f>
        <v/>
      </c>
      <c r="BL74" t="str">
        <f t="array" ref="BL74">IFERROR(IF(AND(COUNTIF($B74,"*泉ヶ丘*"),COUNTIF($B75,"*泉ヶ丘*")),
IFERROR(INDEX(75:75, SMALL(IF($AC75:$AX75&lt;&gt;"", COLUMN($AC$1:$AX75)), COLUMN(G75))), ""),
INDEX(74:74, SMALL(IF($AC74:$AX74&lt;&gt;"", COLUMN($AC$1:$AX74)), COLUMN(M74)))), "")</f>
        <v/>
      </c>
      <c r="BM74" t="str">
        <f t="array" ref="BM74">IFERROR(IF(AND(COUNTIF($B74,"*泉ヶ丘*"),COUNTIF($B75,"*泉ヶ丘*")),
IFERROR(INDEX(75:75, SMALL(IF($AC75:$AX75&lt;&gt;"", COLUMN($AC$1:$AX75)), COLUMN(H75))), ""),
INDEX(74:74, SMALL(IF($AC74:$AX74&lt;&gt;"", COLUMN($AC$1:$AX74)), COLUMN(N74)))), "")</f>
        <v/>
      </c>
      <c r="BN74" t="str">
        <f t="array" ref="BN74">IFERROR(IF(AND(COUNTIF($B74,"*泉ヶ丘*"),COUNTIF($B75,"*泉ヶ丘*")),
IFERROR(INDEX(75:75, SMALL(IF($AC75:$AX75&lt;&gt;"", COLUMN($AC$1:$AX75)), COLUMN(I75))), ""),
INDEX(74:74, SMALL(IF($AC74:$AX74&lt;&gt;"", COLUMN($AC$1:$AX74)), COLUMN(O74)))), "")</f>
        <v/>
      </c>
      <c r="BO74" t="str">
        <f t="array" ref="BO74">IFERROR(IF(AND(COUNTIF($B74,"*泉ヶ丘*"),COUNTIF($B75,"*泉ヶ丘*")),
IFERROR(INDEX(75:75, SMALL(IF($AC75:$AX75&lt;&gt;"", COLUMN($AC$1:$AX75)), COLUMN(J75))), ""),
INDEX(74:74, SMALL(IF($AC74:$AX74&lt;&gt;"", COLUMN($AC$1:$AX74)), COLUMN(P74)))), "")</f>
        <v/>
      </c>
      <c r="BP74" t="str">
        <f t="array" ref="BP74">IFERROR(IF(AND(COUNTIF($B74,"*泉ヶ丘*"),COUNTIF($B75,"*泉ヶ丘*")),
IFERROR(INDEX(75:75, SMALL(IF($AC75:$AX75&lt;&gt;"", COLUMN($AC$1:$AX75)), COLUMN(K75))), ""),
INDEX(74:74, SMALL(IF($AC74:$AX74&lt;&gt;"", COLUMN($AC$1:$AX74)), COLUMN(Q74)))), "")</f>
        <v/>
      </c>
      <c r="BQ74" t="str">
        <f t="array" ref="BQ74">IFERROR(IF(AND(COUNTIF($B74,"*泉ヶ丘*"),COUNTIF($B75,"*泉ヶ丘*")),
IFERROR(INDEX(75:75, SMALL(IF($AC75:$AX75&lt;&gt;"", COLUMN($AC$1:$AX75)), COLUMN(L75))), ""),
INDEX(74:74, SMALL(IF($AC74:$AX74&lt;&gt;"", COLUMN($AC$1:$AX74)), COLUMN(R74)))), "")</f>
        <v/>
      </c>
    </row>
    <row r="75" spans="1:69" x14ac:dyDescent="0.45">
      <c r="A75" t="e">
        <f t="array" ref="A75">IF(INDEX(貼り付け用!A:A,MATCH(A74,貼り付け用!A:A,0)+2)="4700",
IF(INDEX(貼り付け用!A:A,MATCH(A74,貼り付け用!A:A,0)+4)="4800",
INDEX(貼り付け用!A:A,MATCH(A74,貼り付け用!A:A,0)+6),
INDEX(貼り付け用!A:A,MATCH(A74,貼り付け用!A:A,0)+4)),INDEX(貼り付け用!A:A,MATCH(A74,貼り付け用!A:A,0)+2))</f>
        <v>#N/A</v>
      </c>
      <c r="B75" t="e">
        <f>IF(A75&lt;&gt;"",
VLOOKUP(A75,得意先マスタ!A:D,2,FALSE),"")</f>
        <v>#N/A</v>
      </c>
      <c r="C75" t="e">
        <f t="array" ref="C75">IF(A75="10000","",INDEX(貼り付け用!A:A,MATCH(A75,貼り付け用!A:A,0)+1))</f>
        <v>#N/A</v>
      </c>
      <c r="D75" t="e">
        <f>VLOOKUP(C75,クライアント抽出!$A:$O,10,FALSE)</f>
        <v>#N/A</v>
      </c>
      <c r="E75" t="e">
        <f>IF(D75&lt;&gt;"",
IF(COUNTIF(C75,"*ぺんぎん*"),
VLOOKUP(
"*"&amp;IF(COUNTIF(D75,"*キャラ弁*"),"キャラ",
IF(COUNTIF(D75,"*赤*"),"赤",SUBSTITUTE(SUBSTITUTE(D75," ",""),"　","")))&amp;"*",
注文弁当の抽出!$F:$I,4,FALSE)&amp;
IF(COUNTIF(D75,"*おにぎり*"),"　おにぎり","")&amp;"　（ぺんぎん組）",
VLOOKUP(
"*"&amp;IF(COUNTIF(D75,"*キャラ弁*"),"キャラ",
IF(COUNTIF(D75,"*赤*"),"赤",SUBSTITUTE(SUBSTITUTE(D75," ",""),"　","")))&amp;"*",
注文弁当の抽出!$F:$I,4,FALSE)&amp;
IF(COUNTIF(D75,"*おにぎり*"),"　おにぎり","")),"")</f>
        <v>#N/A</v>
      </c>
      <c r="F75" t="str">
        <f>IFERROR(IF(E75&lt;&gt;"",
VLOOKUP(C75,クライアント抽出!$A:$G,2,FALSE)+
IF(COUNTIF(Y75,"*-*"),Y75,0),"")
-IFERROR(MID(V75, SEARCH("予備", V75) + LEN("予備"), SEARCH("込み", V75) - (SEARCH("予備", V75) + LEN("予備"))),0),"")</f>
        <v/>
      </c>
      <c r="G75" t="e">
        <f>VLOOKUP(C75,クライアント抽出!$A:$O,11,FALSE)</f>
        <v>#N/A</v>
      </c>
      <c r="H75" t="e">
        <f>IF(G75&lt;&gt;"",
VLOOKUP(
"*"&amp;IF(COUNTIF(G75,"*キャラ弁*"),"キャラ",
IF(COUNTIF(G75,"*赤*"),"赤",SUBSTITUTE(SUBSTITUTE(G75," ",""),"　","")))&amp;"*",
注文弁当の抽出!$F:$I,4,FALSE)&amp;
IF(COUNTIF(G75,"*おにぎり*"),"　おにぎり",""),"")</f>
        <v>#N/A</v>
      </c>
      <c r="I75" t="e">
        <f>IF(H75&lt;&gt;"",
VLOOKUP(C75,クライアント抽出!$A:$G,3,FALSE)+
IF(COUNTIF(C75,"*博多*"),Y75,Z75),"")</f>
        <v>#N/A</v>
      </c>
      <c r="J75" t="e">
        <f>VLOOKUP(C75,クライアント抽出!$A:$O,12,FALSE)</f>
        <v>#N/A</v>
      </c>
      <c r="K75" t="e">
        <f>IF(J75&lt;&gt;"",
VLOOKUP(
"*"&amp;IF(COUNTIF(J75,"*キャラ弁*"),"キャラ",
IF(COUNTIF(J75,"*赤*"),"赤",SUBSTITUTE(SUBSTITUTE(J75," ",""),"　","")))&amp;"*",
注文弁当の抽出!$F:$I,4,FALSE)&amp;
IF(COUNTIF(J75,"*おにぎり*"),"　おにぎり",""),"")</f>
        <v>#N/A</v>
      </c>
      <c r="L75" t="e">
        <f>IF(K75&lt;&gt;"",
VLOOKUP(C75,クライアント抽出!$A:$G,4,FALSE)+AA75,"")</f>
        <v>#N/A</v>
      </c>
      <c r="M75" t="e">
        <f>VLOOKUP(C75,クライアント抽出!$A:$O,13,FALSE)</f>
        <v>#N/A</v>
      </c>
      <c r="N75" t="e">
        <f>SUBSTITUTE(
IF(M75&lt;&gt;"",
VLOOKUP(
"*"&amp;IF(COUNTIF(M75,"*キャラ弁*"),"キャラ",
IF(COUNTIF(M75,"*赤*"),"赤",SUBSTITUTE(SUBSTITUTE(D75," ",""),"　","")))&amp;"*",
注文弁当の抽出!$F:$I,4,FALSE),""),"園児","先生")&amp;
IF(COUNTIF(M75,"*おにぎり*"),"　おにぎり","")</f>
        <v>#N/A</v>
      </c>
      <c r="O75" t="e">
        <f>IF(N75&lt;&gt;"",VLOOKUP(C75,クライアント抽出!$A:$G,5,FALSE),"")</f>
        <v>#N/A</v>
      </c>
      <c r="P75" t="e">
        <f>VLOOKUP(C75,クライアント抽出!$A:$O,14,FALSE)</f>
        <v>#N/A</v>
      </c>
      <c r="Q75" t="e">
        <f>SUBSTITUTE(
IF(P75&lt;&gt;"",
VLOOKUP(
"*"&amp;IF(COUNTIF(P75,"*キャラ弁*"),"キャラ",
IF(COUNTIF(P75,"*赤*"),"赤",SUBSTITUTE(SUBSTITUTE(G75," ",""),"　","")))&amp;"*",
注文弁当の抽出!$F:$I,4,FALSE),""),"園児","先生")&amp;
IF(COUNTIF(P75,"*おにぎり*"),"　おにぎり","")</f>
        <v>#N/A</v>
      </c>
      <c r="R75" t="e">
        <f>IF(Q75&lt;&gt;"",
VLOOKUP(C75,クライアント抽出!$A:$G,6,FALSE),"")</f>
        <v>#N/A</v>
      </c>
      <c r="S75" t="e">
        <f>VLOOKUP(C75,クライアント抽出!$A:$O,15,FALSE)</f>
        <v>#N/A</v>
      </c>
      <c r="T75" t="e">
        <f>SUBSTITUTE(
IF(S75&lt;&gt;"",
VLOOKUP(
"*"&amp;IF(COUNTIF(S75,"*キャラ弁*"),"キャラ",
IF(COUNTIF(S75,"*赤*"),"赤",SUBSTITUTE(SUBSTITUTE(J75," ",""),"　","")))&amp;"*",
注文弁当の抽出!$F:$I,4,FALSE),""),"園児","先生")&amp;
IF(COUNTIF(S75,"*おにぎり*"),"　おにぎり","")</f>
        <v>#N/A</v>
      </c>
      <c r="U75" t="e">
        <f>IF(T75&lt;&gt;"",
VLOOKUP(C75,クライアント抽出!$A:$G,7,FALSE),"")</f>
        <v>#N/A</v>
      </c>
      <c r="V75" t="e">
        <f>IF(A75&lt;&gt;"",
IF(COUNTIF(V74,"*牛乳*"),
IF(AND(COUNTIF(B74,"*奈良屋*"),COUNTIF(B75,"*奈良屋*")),
V74&amp;"✔",""),VLOOKUP(""&amp;A75&amp;"",数出表_Excel!$A:$Z,22,FALSE)&amp;VLOOKUP(""&amp;A75&amp;"",数出表_Excel!$A:$Z,23,FALSE)
&amp;VLOOKUP(""&amp;C75&amp;"",数出表_Excel!$A:$Z,22,FALSE)&amp;VLOOKUP(""&amp;C75&amp;"",数出表_Excel!$A:$Z,23,FALSE)),"")</f>
        <v>#N/A</v>
      </c>
      <c r="W75" t="e">
        <f>IF(AND(COUNTIF(V75,"&lt;&gt;*不要*"),A75&lt;&gt;""),VLOOKUP(A75,得意先マスタ!$A:$AD,24,FALSE),0)</f>
        <v>#N/A</v>
      </c>
      <c r="X75" t="e">
        <f>IF(AND(COUNTIF(V75,"&lt;&gt;*不要*"),A75&lt;&gt;""),VLOOKUP(A75,得意先マスタ!$A:$AD,25,FALSE),0)</f>
        <v>#N/A</v>
      </c>
      <c r="Y75" t="e">
        <f t="shared" si="20"/>
        <v>#N/A</v>
      </c>
      <c r="Z75" t="e">
        <f t="shared" si="21"/>
        <v>#N/A</v>
      </c>
      <c r="AA75" t="e">
        <f t="shared" si="25"/>
        <v>#N/A</v>
      </c>
      <c r="AB75" t="e">
        <f t="shared" si="22"/>
        <v>#N/A</v>
      </c>
      <c r="AC75" t="str">
        <f t="array" ref="AC75">IFERROR(INDEX(75:75, SMALL(IF($D75:$U75&lt;&gt;"", COLUMN($D$1:$U75)), COLUMN(A75))), "")</f>
        <v/>
      </c>
      <c r="AD75" t="str">
        <f t="array" ref="AD75">IFERROR(INDEX(75:75, SMALL(IF($D75:$U75&lt;&gt;"", COLUMN($D$1:$U75)), COLUMN(B75))), "")</f>
        <v/>
      </c>
      <c r="AE75" t="str">
        <f t="array" ref="AE75">IFERROR(INDEX(75:75, SMALL(IF($D75:$U75&lt;&gt;"", COLUMN($D$1:$U75)), COLUMN(C75))), "")</f>
        <v/>
      </c>
      <c r="AF75" t="str">
        <f t="array" ref="AF75">IFERROR(INDEX(75:75, SMALL(IF($D75:$U75&lt;&gt;"", COLUMN($D$1:$U75)), COLUMN(D75))), "")</f>
        <v/>
      </c>
      <c r="AG75" t="str">
        <f t="array" ref="AG75">IFERROR(INDEX(75:75, SMALL(IF($D75:$U75&lt;&gt;"", COLUMN($D$1:$U75)), COLUMN(E75))), "")</f>
        <v/>
      </c>
      <c r="AH75" t="str">
        <f t="array" ref="AH75">IFERROR(INDEX(75:75, SMALL(IF($D75:$U75&lt;&gt;"", COLUMN($D$1:$U75)), COLUMN(F75))), "")</f>
        <v/>
      </c>
      <c r="AI75" t="str">
        <f t="array" ref="AI75">IFERROR(INDEX(75:75, SMALL(IF($D75:$U75&lt;&gt;"", COLUMN($D$1:$U75)), COLUMN(G75))), "")</f>
        <v/>
      </c>
      <c r="AJ75" t="str">
        <f t="array" ref="AJ75">IFERROR(INDEX(75:75, SMALL(IF($D75:$U75&lt;&gt;"", COLUMN($D$1:$U75)), COLUMN(H75))), "")</f>
        <v/>
      </c>
      <c r="AK75" t="str">
        <f t="array" ref="AK75">IFERROR(INDEX(75:75, SMALL(IF($D75:$U75&lt;&gt;"", COLUMN($D$1:$U75)), COLUMN(I75))), "")</f>
        <v/>
      </c>
      <c r="AL75" t="str">
        <f t="array" ref="AL75">IFERROR(INDEX(75:75, SMALL(IF($D75:$U75&lt;&gt;"", COLUMN($D$1:$U75)), COLUMN(J75))), "")</f>
        <v/>
      </c>
      <c r="AM75" t="str">
        <f t="array" ref="AM75">IFERROR(INDEX(75:75, SMALL(IF($D75:$U75&lt;&gt;"", COLUMN($D$1:$U75)), COLUMN(K75))), "")</f>
        <v/>
      </c>
      <c r="AN75" t="str">
        <f t="array" ref="AN75">IFERROR(INDEX(75:75, SMALL(IF($D75:$U75&lt;&gt;"", COLUMN($D$1:$U75)), COLUMN(L75))), "")</f>
        <v/>
      </c>
      <c r="AO75" t="str">
        <f t="array" ref="AO75">IFERROR(INDEX(75:75, SMALL(IF($D75:$U75&lt;&gt;"", COLUMN($D$1:$U75)), COLUMN(M75))), "")</f>
        <v/>
      </c>
      <c r="AP75" t="str">
        <f t="array" ref="AP75">IFERROR(INDEX(75:75, SMALL(IF($D75:$U75&lt;&gt;"", COLUMN($D$1:$U75)), COLUMN(N75))), "")</f>
        <v/>
      </c>
      <c r="AQ75" t="str">
        <f t="array" ref="AQ75">IFERROR(INDEX(75:75, SMALL(IF($D75:$U75&lt;&gt;"", COLUMN($D$1:$U75)), COLUMN(O75))), "")</f>
        <v/>
      </c>
      <c r="AR75" s="52" t="s">
        <v>4005</v>
      </c>
      <c r="AS75" t="e">
        <f t="shared" si="23"/>
        <v>#N/A</v>
      </c>
      <c r="AT75" t="e">
        <f t="shared" si="24"/>
        <v>#N/A</v>
      </c>
      <c r="AU75" t="e">
        <f t="shared" si="26"/>
        <v>#N/A</v>
      </c>
      <c r="AV75" t="e">
        <f t="shared" si="27"/>
        <v>#N/A</v>
      </c>
      <c r="AW75" t="e">
        <f t="shared" si="28"/>
        <v>#N/A</v>
      </c>
      <c r="AX75" t="e">
        <f t="shared" si="29"/>
        <v>#N/A</v>
      </c>
      <c r="AZ75" t="str">
        <f t="array" ref="AZ75">IFERROR(INDEX(75:75, SMALL(IF($AC75:$AX75&lt;&gt;"", COLUMN($AC$1:$AX75)), COLUMN(A75))), "")</f>
        <v/>
      </c>
      <c r="BA75" t="str">
        <f t="array" ref="BA75">IFERROR(INDEX(75:75, SMALL(IF($AC75:$AX75&lt;&gt;"", COLUMN($AC$1:$AX75)), COLUMN(B75))), "")</f>
        <v/>
      </c>
      <c r="BB75" t="str">
        <f t="array" ref="BB75">IFERROR(INDEX(75:75, SMALL(IF($AC75:$AX75&lt;&gt;"", COLUMN($AC$1:$AX75)), COLUMN(C75))), "")</f>
        <v/>
      </c>
      <c r="BC75" t="str">
        <f t="array" ref="BC75">IFERROR(INDEX(75:75, SMALL(IF($AC75:$AX75&lt;&gt;"", COLUMN($AC$1:$AX75)), COLUMN(D75))), "")</f>
        <v/>
      </c>
      <c r="BD75" t="str">
        <f t="array" ref="BD75">IFERROR(INDEX(75:75, SMALL(IF($AC75:$AX75&lt;&gt;"", COLUMN($AC$1:$AX75)), COLUMN(E75))), "")</f>
        <v/>
      </c>
      <c r="BE75" t="str">
        <f t="array" ref="BE75">IFERROR(INDEX(75:75, SMALL(IF($AC75:$AX75&lt;&gt;"", COLUMN($AC$1:$AX75)), COLUMN(F75))), "")</f>
        <v/>
      </c>
      <c r="BF75" t="str">
        <f t="array" ref="BF75">IFERROR(IF(AND(COUNTIF($B75,"*泉ヶ丘*"),COUNTIF($B76,"*泉ヶ丘*")),
IFERROR(INDEX(76:76, SMALL(IF($AC76:$AX76&lt;&gt;"", COLUMN($AC$1:$AX76)), COLUMN(A76))), ""),
INDEX(75:75, SMALL(IF($AC75:$AX75&lt;&gt;"", COLUMN($AC$1:$AX75)), COLUMN(G75)))), "")</f>
        <v/>
      </c>
      <c r="BG75" t="str">
        <f t="array" ref="BG75">IFERROR(IF(AND(COUNTIF($B75,"*泉ヶ丘*"),COUNTIF($B76,"*泉ヶ丘*")),
IFERROR(INDEX(76:76, SMALL(IF($AC76:$AX76&lt;&gt;"", COLUMN($AC$1:$AX76)), COLUMN(B76))), ""),
INDEX(75:75, SMALL(IF($AC75:$AX75&lt;&gt;"", COLUMN($AC$1:$AX75)), COLUMN(H75)))), "")</f>
        <v/>
      </c>
      <c r="BH75" t="str">
        <f t="array" ref="BH75">IFERROR(IF(AND(COUNTIF($B75,"*泉ヶ丘*"),COUNTIF($B76,"*泉ヶ丘*")),
IFERROR(INDEX(76:76, SMALL(IF($AC76:$AX76&lt;&gt;"", COLUMN($AC$1:$AX76)), COLUMN(C76))), ""),
INDEX(75:75, SMALL(IF($AC75:$AX75&lt;&gt;"", COLUMN($AC$1:$AX75)), COLUMN(I75)))), "")</f>
        <v/>
      </c>
      <c r="BI75" t="str">
        <f t="array" ref="BI75">IFERROR(IF(AND(COUNTIF($B75,"*泉ヶ丘*"),COUNTIF($B76,"*泉ヶ丘*")),
IFERROR(INDEX(76:76, SMALL(IF($AC76:$AX76&lt;&gt;"", COLUMN($AC$1:$AX76)), COLUMN(D76))), ""),
INDEX(75:75, SMALL(IF($AC75:$AX75&lt;&gt;"", COLUMN($AC$1:$AX75)), COLUMN(J75)))), "")</f>
        <v/>
      </c>
      <c r="BJ75" t="str">
        <f t="array" ref="BJ75">IFERROR(IF(AND(COUNTIF($B75,"*泉ヶ丘*"),COUNTIF($B76,"*泉ヶ丘*")),
IFERROR(INDEX(76:76, SMALL(IF($AC76:$AX76&lt;&gt;"", COLUMN($AC$1:$AX76)), COLUMN(E76))), ""),
INDEX(75:75, SMALL(IF($AC75:$AX75&lt;&gt;"", COLUMN($AC$1:$AX75)), COLUMN(K75)))), "")</f>
        <v/>
      </c>
      <c r="BK75" t="str">
        <f t="array" ref="BK75">IFERROR(IF(AND(COUNTIF($B75,"*泉ヶ丘*"),COUNTIF($B76,"*泉ヶ丘*")),
IFERROR(INDEX(76:76, SMALL(IF($AC76:$AX76&lt;&gt;"", COLUMN($AC$1:$AX76)), COLUMN(F76))), ""),
INDEX(75:75, SMALL(IF($AC75:$AX75&lt;&gt;"", COLUMN($AC$1:$AX75)), COLUMN(L75)))), "")</f>
        <v/>
      </c>
      <c r="BL75" t="str">
        <f t="array" ref="BL75">IFERROR(IF(AND(COUNTIF($B75,"*泉ヶ丘*"),COUNTIF($B76,"*泉ヶ丘*")),
IFERROR(INDEX(76:76, SMALL(IF($AC76:$AX76&lt;&gt;"", COLUMN($AC$1:$AX76)), COLUMN(G76))), ""),
INDEX(75:75, SMALL(IF($AC75:$AX75&lt;&gt;"", COLUMN($AC$1:$AX75)), COLUMN(M75)))), "")</f>
        <v/>
      </c>
      <c r="BM75" t="str">
        <f t="array" ref="BM75">IFERROR(IF(AND(COUNTIF($B75,"*泉ヶ丘*"),COUNTIF($B76,"*泉ヶ丘*")),
IFERROR(INDEX(76:76, SMALL(IF($AC76:$AX76&lt;&gt;"", COLUMN($AC$1:$AX76)), COLUMN(H76))), ""),
INDEX(75:75, SMALL(IF($AC75:$AX75&lt;&gt;"", COLUMN($AC$1:$AX75)), COLUMN(N75)))), "")</f>
        <v/>
      </c>
      <c r="BN75" t="str">
        <f t="array" ref="BN75">IFERROR(IF(AND(COUNTIF($B75,"*泉ヶ丘*"),COUNTIF($B76,"*泉ヶ丘*")),
IFERROR(INDEX(76:76, SMALL(IF($AC76:$AX76&lt;&gt;"", COLUMN($AC$1:$AX76)), COLUMN(I76))), ""),
INDEX(75:75, SMALL(IF($AC75:$AX75&lt;&gt;"", COLUMN($AC$1:$AX75)), COLUMN(O75)))), "")</f>
        <v/>
      </c>
      <c r="BO75" t="str">
        <f t="array" ref="BO75">IFERROR(IF(AND(COUNTIF($B75,"*泉ヶ丘*"),COUNTIF($B76,"*泉ヶ丘*")),
IFERROR(INDEX(76:76, SMALL(IF($AC76:$AX76&lt;&gt;"", COLUMN($AC$1:$AX76)), COLUMN(J76))), ""),
INDEX(75:75, SMALL(IF($AC75:$AX75&lt;&gt;"", COLUMN($AC$1:$AX75)), COLUMN(P75)))), "")</f>
        <v/>
      </c>
      <c r="BP75" t="str">
        <f t="array" ref="BP75">IFERROR(IF(AND(COUNTIF($B75,"*泉ヶ丘*"),COUNTIF($B76,"*泉ヶ丘*")),
IFERROR(INDEX(76:76, SMALL(IF($AC76:$AX76&lt;&gt;"", COLUMN($AC$1:$AX76)), COLUMN(K76))), ""),
INDEX(75:75, SMALL(IF($AC75:$AX75&lt;&gt;"", COLUMN($AC$1:$AX75)), COLUMN(Q75)))), "")</f>
        <v/>
      </c>
      <c r="BQ75" t="str">
        <f t="array" ref="BQ75">IFERROR(IF(AND(COUNTIF($B75,"*泉ヶ丘*"),COUNTIF($B76,"*泉ヶ丘*")),
IFERROR(INDEX(76:76, SMALL(IF($AC76:$AX76&lt;&gt;"", COLUMN($AC$1:$AX76)), COLUMN(L76))), ""),
INDEX(75:75, SMALL(IF($AC75:$AX75&lt;&gt;"", COLUMN($AC$1:$AX75)), COLUMN(R75)))), "")</f>
        <v/>
      </c>
    </row>
    <row r="76" spans="1:69" x14ac:dyDescent="0.45">
      <c r="A76" t="e">
        <f t="array" ref="A76">IF(INDEX(貼り付け用!A:A,MATCH(A75,貼り付け用!A:A,0)+2)="4700",
IF(INDEX(貼り付け用!A:A,MATCH(A75,貼り付け用!A:A,0)+4)="4800",
INDEX(貼り付け用!A:A,MATCH(A75,貼り付け用!A:A,0)+6),
INDEX(貼り付け用!A:A,MATCH(A75,貼り付け用!A:A,0)+4)),INDEX(貼り付け用!A:A,MATCH(A75,貼り付け用!A:A,0)+2))</f>
        <v>#N/A</v>
      </c>
      <c r="B76" t="e">
        <f>IF(A76&lt;&gt;"",
VLOOKUP(A76,得意先マスタ!A:D,2,FALSE),"")</f>
        <v>#N/A</v>
      </c>
      <c r="C76" t="e">
        <f t="array" ref="C76">IF(A76="10000","",INDEX(貼り付け用!A:A,MATCH(A76,貼り付け用!A:A,0)+1))</f>
        <v>#N/A</v>
      </c>
      <c r="D76" t="e">
        <f>VLOOKUP(C76,クライアント抽出!$A:$O,10,FALSE)</f>
        <v>#N/A</v>
      </c>
      <c r="E76" t="e">
        <f>IF(D76&lt;&gt;"",
IF(COUNTIF(C76,"*ぺんぎん*"),
VLOOKUP(
"*"&amp;IF(COUNTIF(D76,"*キャラ弁*"),"キャラ",
IF(COUNTIF(D76,"*赤*"),"赤",SUBSTITUTE(SUBSTITUTE(D76," ",""),"　","")))&amp;"*",
注文弁当の抽出!$F:$I,4,FALSE)&amp;
IF(COUNTIF(D76,"*おにぎり*"),"　おにぎり","")&amp;"　（ぺんぎん組）",
VLOOKUP(
"*"&amp;IF(COUNTIF(D76,"*キャラ弁*"),"キャラ",
IF(COUNTIF(D76,"*赤*"),"赤",SUBSTITUTE(SUBSTITUTE(D76," ",""),"　","")))&amp;"*",
注文弁当の抽出!$F:$I,4,FALSE)&amp;
IF(COUNTIF(D76,"*おにぎり*"),"　おにぎり","")),"")</f>
        <v>#N/A</v>
      </c>
      <c r="F76" t="str">
        <f>IFERROR(IF(E76&lt;&gt;"",
VLOOKUP(C76,クライアント抽出!$A:$G,2,FALSE)+
IF(COUNTIF(Y76,"*-*"),Y76,0),"")
-IFERROR(MID(V76, SEARCH("予備", V76) + LEN("予備"), SEARCH("込み", V76) - (SEARCH("予備", V76) + LEN("予備"))),0),"")</f>
        <v/>
      </c>
      <c r="G76" t="e">
        <f>VLOOKUP(C76,クライアント抽出!$A:$O,11,FALSE)</f>
        <v>#N/A</v>
      </c>
      <c r="H76" t="e">
        <f>IF(G76&lt;&gt;"",
VLOOKUP(
"*"&amp;IF(COUNTIF(G76,"*キャラ弁*"),"キャラ",
IF(COUNTIF(G76,"*赤*"),"赤",SUBSTITUTE(SUBSTITUTE(G76," ",""),"　","")))&amp;"*",
注文弁当の抽出!$F:$I,4,FALSE)&amp;
IF(COUNTIF(G76,"*おにぎり*"),"　おにぎり",""),"")</f>
        <v>#N/A</v>
      </c>
      <c r="I76" t="e">
        <f>IF(H76&lt;&gt;"",
VLOOKUP(C76,クライアント抽出!$A:$G,3,FALSE)+
IF(COUNTIF(C76,"*博多*"),Y76,Z76),"")</f>
        <v>#N/A</v>
      </c>
      <c r="J76" t="e">
        <f>VLOOKUP(C76,クライアント抽出!$A:$O,12,FALSE)</f>
        <v>#N/A</v>
      </c>
      <c r="K76" t="e">
        <f>IF(J76&lt;&gt;"",
VLOOKUP(
"*"&amp;IF(COUNTIF(J76,"*キャラ弁*"),"キャラ",
IF(COUNTIF(J76,"*赤*"),"赤",SUBSTITUTE(SUBSTITUTE(J76," ",""),"　","")))&amp;"*",
注文弁当の抽出!$F:$I,4,FALSE)&amp;
IF(COUNTIF(J76,"*おにぎり*"),"　おにぎり",""),"")</f>
        <v>#N/A</v>
      </c>
      <c r="L76" t="e">
        <f>IF(K76&lt;&gt;"",
VLOOKUP(C76,クライアント抽出!$A:$G,4,FALSE)+AA76,"")</f>
        <v>#N/A</v>
      </c>
      <c r="M76" t="e">
        <f>VLOOKUP(C76,クライアント抽出!$A:$O,13,FALSE)</f>
        <v>#N/A</v>
      </c>
      <c r="N76" t="e">
        <f>SUBSTITUTE(
IF(M76&lt;&gt;"",
VLOOKUP(
"*"&amp;IF(COUNTIF(M76,"*キャラ弁*"),"キャラ",
IF(COUNTIF(M76,"*赤*"),"赤",SUBSTITUTE(SUBSTITUTE(D76," ",""),"　","")))&amp;"*",
注文弁当の抽出!$F:$I,4,FALSE),""),"園児","先生")&amp;
IF(COUNTIF(M76,"*おにぎり*"),"　おにぎり","")</f>
        <v>#N/A</v>
      </c>
      <c r="O76" t="e">
        <f>IF(N76&lt;&gt;"",VLOOKUP(C76,クライアント抽出!$A:$G,5,FALSE),"")</f>
        <v>#N/A</v>
      </c>
      <c r="P76" t="e">
        <f>VLOOKUP(C76,クライアント抽出!$A:$O,14,FALSE)</f>
        <v>#N/A</v>
      </c>
      <c r="Q76" t="e">
        <f>SUBSTITUTE(
IF(P76&lt;&gt;"",
VLOOKUP(
"*"&amp;IF(COUNTIF(P76,"*キャラ弁*"),"キャラ",
IF(COUNTIF(P76,"*赤*"),"赤",SUBSTITUTE(SUBSTITUTE(G76," ",""),"　","")))&amp;"*",
注文弁当の抽出!$F:$I,4,FALSE),""),"園児","先生")&amp;
IF(COUNTIF(P76,"*おにぎり*"),"　おにぎり","")</f>
        <v>#N/A</v>
      </c>
      <c r="R76" t="e">
        <f>IF(Q76&lt;&gt;"",
VLOOKUP(C76,クライアント抽出!$A:$G,6,FALSE),"")</f>
        <v>#N/A</v>
      </c>
      <c r="S76" t="e">
        <f>VLOOKUP(C76,クライアント抽出!$A:$O,15,FALSE)</f>
        <v>#N/A</v>
      </c>
      <c r="T76" t="e">
        <f>SUBSTITUTE(
IF(S76&lt;&gt;"",
VLOOKUP(
"*"&amp;IF(COUNTIF(S76,"*キャラ弁*"),"キャラ",
IF(COUNTIF(S76,"*赤*"),"赤",SUBSTITUTE(SUBSTITUTE(J76," ",""),"　","")))&amp;"*",
注文弁当の抽出!$F:$I,4,FALSE),""),"園児","先生")&amp;
IF(COUNTIF(S76,"*おにぎり*"),"　おにぎり","")</f>
        <v>#N/A</v>
      </c>
      <c r="U76" t="e">
        <f>IF(T76&lt;&gt;"",
VLOOKUP(C76,クライアント抽出!$A:$G,7,FALSE),"")</f>
        <v>#N/A</v>
      </c>
      <c r="V76" t="e">
        <f>IF(A76&lt;&gt;"",
IF(COUNTIF(V75,"*牛乳*"),
IF(AND(COUNTIF(B75,"*奈良屋*"),COUNTIF(B76,"*奈良屋*")),
V75&amp;"✔",""),VLOOKUP(""&amp;A76&amp;"",数出表_Excel!$A:$Z,22,FALSE)&amp;VLOOKUP(""&amp;A76&amp;"",数出表_Excel!$A:$Z,23,FALSE)
&amp;VLOOKUP(""&amp;C76&amp;"",数出表_Excel!$A:$Z,22,FALSE)&amp;VLOOKUP(""&amp;C76&amp;"",数出表_Excel!$A:$Z,23,FALSE)),"")</f>
        <v>#N/A</v>
      </c>
      <c r="W76" t="e">
        <f>IF(AND(COUNTIF(V76,"&lt;&gt;*不要*"),A76&lt;&gt;""),VLOOKUP(A76,得意先マスタ!$A:$AD,24,FALSE),0)</f>
        <v>#N/A</v>
      </c>
      <c r="X76" t="e">
        <f>IF(AND(COUNTIF(V76,"&lt;&gt;*不要*"),A76&lt;&gt;""),VLOOKUP(A76,得意先マスタ!$A:$AD,25,FALSE),0)</f>
        <v>#N/A</v>
      </c>
      <c r="Y76" t="e">
        <f t="shared" si="20"/>
        <v>#N/A</v>
      </c>
      <c r="Z76" t="e">
        <f t="shared" si="21"/>
        <v>#N/A</v>
      </c>
      <c r="AA76" t="e">
        <f t="shared" si="25"/>
        <v>#N/A</v>
      </c>
      <c r="AB76" t="e">
        <f t="shared" si="22"/>
        <v>#N/A</v>
      </c>
      <c r="AC76" t="str">
        <f t="array" ref="AC76">IFERROR(INDEX(76:76, SMALL(IF($D76:$U76&lt;&gt;"", COLUMN($D$1:$U76)), COLUMN(A76))), "")</f>
        <v/>
      </c>
      <c r="AD76" t="str">
        <f t="array" ref="AD76">IFERROR(INDEX(76:76, SMALL(IF($D76:$U76&lt;&gt;"", COLUMN($D$1:$U76)), COLUMN(B76))), "")</f>
        <v/>
      </c>
      <c r="AE76" t="str">
        <f t="array" ref="AE76">IFERROR(INDEX(76:76, SMALL(IF($D76:$U76&lt;&gt;"", COLUMN($D$1:$U76)), COLUMN(C76))), "")</f>
        <v/>
      </c>
      <c r="AF76" t="str">
        <f t="array" ref="AF76">IFERROR(INDEX(76:76, SMALL(IF($D76:$U76&lt;&gt;"", COLUMN($D$1:$U76)), COLUMN(D76))), "")</f>
        <v/>
      </c>
      <c r="AG76" t="str">
        <f t="array" ref="AG76">IFERROR(INDEX(76:76, SMALL(IF($D76:$U76&lt;&gt;"", COLUMN($D$1:$U76)), COLUMN(E76))), "")</f>
        <v/>
      </c>
      <c r="AH76" t="str">
        <f t="array" ref="AH76">IFERROR(INDEX(76:76, SMALL(IF($D76:$U76&lt;&gt;"", COLUMN($D$1:$U76)), COLUMN(F76))), "")</f>
        <v/>
      </c>
      <c r="AI76" t="str">
        <f t="array" ref="AI76">IFERROR(INDEX(76:76, SMALL(IF($D76:$U76&lt;&gt;"", COLUMN($D$1:$U76)), COLUMN(G76))), "")</f>
        <v/>
      </c>
      <c r="AJ76" t="str">
        <f t="array" ref="AJ76">IFERROR(INDEX(76:76, SMALL(IF($D76:$U76&lt;&gt;"", COLUMN($D$1:$U76)), COLUMN(H76))), "")</f>
        <v/>
      </c>
      <c r="AK76" t="str">
        <f t="array" ref="AK76">IFERROR(INDEX(76:76, SMALL(IF($D76:$U76&lt;&gt;"", COLUMN($D$1:$U76)), COLUMN(I76))), "")</f>
        <v/>
      </c>
      <c r="AL76" t="str">
        <f t="array" ref="AL76">IFERROR(INDEX(76:76, SMALL(IF($D76:$U76&lt;&gt;"", COLUMN($D$1:$U76)), COLUMN(J76))), "")</f>
        <v/>
      </c>
      <c r="AM76" t="str">
        <f t="array" ref="AM76">IFERROR(INDEX(76:76, SMALL(IF($D76:$U76&lt;&gt;"", COLUMN($D$1:$U76)), COLUMN(K76))), "")</f>
        <v/>
      </c>
      <c r="AN76" t="str">
        <f t="array" ref="AN76">IFERROR(INDEX(76:76, SMALL(IF($D76:$U76&lt;&gt;"", COLUMN($D$1:$U76)), COLUMN(L76))), "")</f>
        <v/>
      </c>
      <c r="AO76" t="str">
        <f t="array" ref="AO76">IFERROR(INDEX(76:76, SMALL(IF($D76:$U76&lt;&gt;"", COLUMN($D$1:$U76)), COLUMN(M76))), "")</f>
        <v/>
      </c>
      <c r="AP76" t="str">
        <f t="array" ref="AP76">IFERROR(INDEX(76:76, SMALL(IF($D76:$U76&lt;&gt;"", COLUMN($D$1:$U76)), COLUMN(N76))), "")</f>
        <v/>
      </c>
      <c r="AQ76" t="str">
        <f t="array" ref="AQ76">IFERROR(INDEX(76:76, SMALL(IF($D76:$U76&lt;&gt;"", COLUMN($D$1:$U76)), COLUMN(O76))), "")</f>
        <v/>
      </c>
      <c r="AR76" s="52" t="s">
        <v>4005</v>
      </c>
      <c r="AS76" t="e">
        <f t="shared" si="23"/>
        <v>#N/A</v>
      </c>
      <c r="AT76" t="e">
        <f t="shared" si="24"/>
        <v>#N/A</v>
      </c>
      <c r="AU76" t="e">
        <f t="shared" si="26"/>
        <v>#N/A</v>
      </c>
      <c r="AV76" t="e">
        <f t="shared" si="27"/>
        <v>#N/A</v>
      </c>
      <c r="AW76" t="e">
        <f t="shared" si="28"/>
        <v>#N/A</v>
      </c>
      <c r="AX76" t="e">
        <f t="shared" si="29"/>
        <v>#N/A</v>
      </c>
      <c r="AZ76" t="str">
        <f t="array" ref="AZ76">IFERROR(INDEX(76:76, SMALL(IF($AC76:$AX76&lt;&gt;"", COLUMN($AC$1:$AX76)), COLUMN(A76))), "")</f>
        <v/>
      </c>
      <c r="BA76" t="str">
        <f t="array" ref="BA76">IFERROR(INDEX(76:76, SMALL(IF($AC76:$AX76&lt;&gt;"", COLUMN($AC$1:$AX76)), COLUMN(B76))), "")</f>
        <v/>
      </c>
      <c r="BB76" t="str">
        <f t="array" ref="BB76">IFERROR(INDEX(76:76, SMALL(IF($AC76:$AX76&lt;&gt;"", COLUMN($AC$1:$AX76)), COLUMN(C76))), "")</f>
        <v/>
      </c>
      <c r="BC76" t="str">
        <f t="array" ref="BC76">IFERROR(INDEX(76:76, SMALL(IF($AC76:$AX76&lt;&gt;"", COLUMN($AC$1:$AX76)), COLUMN(D76))), "")</f>
        <v/>
      </c>
      <c r="BD76" t="str">
        <f t="array" ref="BD76">IFERROR(INDEX(76:76, SMALL(IF($AC76:$AX76&lt;&gt;"", COLUMN($AC$1:$AX76)), COLUMN(E76))), "")</f>
        <v/>
      </c>
      <c r="BE76" t="str">
        <f t="array" ref="BE76">IFERROR(INDEX(76:76, SMALL(IF($AC76:$AX76&lt;&gt;"", COLUMN($AC$1:$AX76)), COLUMN(F76))), "")</f>
        <v/>
      </c>
      <c r="BF76" t="str">
        <f t="array" ref="BF76">IFERROR(IF(AND(COUNTIF($B76,"*泉ヶ丘*"),COUNTIF($B77,"*泉ヶ丘*")),
IFERROR(INDEX(77:77, SMALL(IF($AC77:$AX77&lt;&gt;"", COLUMN($AC$1:$AX77)), COLUMN(A77))), ""),
INDEX(76:76, SMALL(IF($AC76:$AX76&lt;&gt;"", COLUMN($AC$1:$AX76)), COLUMN(G76)))), "")</f>
        <v/>
      </c>
      <c r="BG76" t="str">
        <f t="array" ref="BG76">IFERROR(IF(AND(COUNTIF($B76,"*泉ヶ丘*"),COUNTIF($B77,"*泉ヶ丘*")),
IFERROR(INDEX(77:77, SMALL(IF($AC77:$AX77&lt;&gt;"", COLUMN($AC$1:$AX77)), COLUMN(B77))), ""),
INDEX(76:76, SMALL(IF($AC76:$AX76&lt;&gt;"", COLUMN($AC$1:$AX76)), COLUMN(H76)))), "")</f>
        <v/>
      </c>
      <c r="BH76" t="str">
        <f t="array" ref="BH76">IFERROR(IF(AND(COUNTIF($B76,"*泉ヶ丘*"),COUNTIF($B77,"*泉ヶ丘*")),
IFERROR(INDEX(77:77, SMALL(IF($AC77:$AX77&lt;&gt;"", COLUMN($AC$1:$AX77)), COLUMN(C77))), ""),
INDEX(76:76, SMALL(IF($AC76:$AX76&lt;&gt;"", COLUMN($AC$1:$AX76)), COLUMN(I76)))), "")</f>
        <v/>
      </c>
      <c r="BI76" t="str">
        <f t="array" ref="BI76">IFERROR(IF(AND(COUNTIF($B76,"*泉ヶ丘*"),COUNTIF($B77,"*泉ヶ丘*")),
IFERROR(INDEX(77:77, SMALL(IF($AC77:$AX77&lt;&gt;"", COLUMN($AC$1:$AX77)), COLUMN(D77))), ""),
INDEX(76:76, SMALL(IF($AC76:$AX76&lt;&gt;"", COLUMN($AC$1:$AX76)), COLUMN(J76)))), "")</f>
        <v/>
      </c>
      <c r="BJ76" t="str">
        <f t="array" ref="BJ76">IFERROR(IF(AND(COUNTIF($B76,"*泉ヶ丘*"),COUNTIF($B77,"*泉ヶ丘*")),
IFERROR(INDEX(77:77, SMALL(IF($AC77:$AX77&lt;&gt;"", COLUMN($AC$1:$AX77)), COLUMN(E77))), ""),
INDEX(76:76, SMALL(IF($AC76:$AX76&lt;&gt;"", COLUMN($AC$1:$AX76)), COLUMN(K76)))), "")</f>
        <v/>
      </c>
      <c r="BK76" t="str">
        <f t="array" ref="BK76">IFERROR(IF(AND(COUNTIF($B76,"*泉ヶ丘*"),COUNTIF($B77,"*泉ヶ丘*")),
IFERROR(INDEX(77:77, SMALL(IF($AC77:$AX77&lt;&gt;"", COLUMN($AC$1:$AX77)), COLUMN(F77))), ""),
INDEX(76:76, SMALL(IF($AC76:$AX76&lt;&gt;"", COLUMN($AC$1:$AX76)), COLUMN(L76)))), "")</f>
        <v/>
      </c>
      <c r="BL76" t="str">
        <f t="array" ref="BL76">IFERROR(IF(AND(COUNTIF($B76,"*泉ヶ丘*"),COUNTIF($B77,"*泉ヶ丘*")),
IFERROR(INDEX(77:77, SMALL(IF($AC77:$AX77&lt;&gt;"", COLUMN($AC$1:$AX77)), COLUMN(G77))), ""),
INDEX(76:76, SMALL(IF($AC76:$AX76&lt;&gt;"", COLUMN($AC$1:$AX76)), COLUMN(M76)))), "")</f>
        <v/>
      </c>
      <c r="BM76" t="str">
        <f t="array" ref="BM76">IFERROR(IF(AND(COUNTIF($B76,"*泉ヶ丘*"),COUNTIF($B77,"*泉ヶ丘*")),
IFERROR(INDEX(77:77, SMALL(IF($AC77:$AX77&lt;&gt;"", COLUMN($AC$1:$AX77)), COLUMN(H77))), ""),
INDEX(76:76, SMALL(IF($AC76:$AX76&lt;&gt;"", COLUMN($AC$1:$AX76)), COLUMN(N76)))), "")</f>
        <v/>
      </c>
      <c r="BN76" t="str">
        <f t="array" ref="BN76">IFERROR(IF(AND(COUNTIF($B76,"*泉ヶ丘*"),COUNTIF($B77,"*泉ヶ丘*")),
IFERROR(INDEX(77:77, SMALL(IF($AC77:$AX77&lt;&gt;"", COLUMN($AC$1:$AX77)), COLUMN(I77))), ""),
INDEX(76:76, SMALL(IF($AC76:$AX76&lt;&gt;"", COLUMN($AC$1:$AX76)), COLUMN(O76)))), "")</f>
        <v/>
      </c>
      <c r="BO76" t="str">
        <f t="array" ref="BO76">IFERROR(IF(AND(COUNTIF($B76,"*泉ヶ丘*"),COUNTIF($B77,"*泉ヶ丘*")),
IFERROR(INDEX(77:77, SMALL(IF($AC77:$AX77&lt;&gt;"", COLUMN($AC$1:$AX77)), COLUMN(J77))), ""),
INDEX(76:76, SMALL(IF($AC76:$AX76&lt;&gt;"", COLUMN($AC$1:$AX76)), COLUMN(P76)))), "")</f>
        <v/>
      </c>
      <c r="BP76" t="str">
        <f t="array" ref="BP76">IFERROR(IF(AND(COUNTIF($B76,"*泉ヶ丘*"),COUNTIF($B77,"*泉ヶ丘*")),
IFERROR(INDEX(77:77, SMALL(IF($AC77:$AX77&lt;&gt;"", COLUMN($AC$1:$AX77)), COLUMN(K77))), ""),
INDEX(76:76, SMALL(IF($AC76:$AX76&lt;&gt;"", COLUMN($AC$1:$AX76)), COLUMN(Q76)))), "")</f>
        <v/>
      </c>
      <c r="BQ76" t="str">
        <f t="array" ref="BQ76">IFERROR(IF(AND(COUNTIF($B76,"*泉ヶ丘*"),COUNTIF($B77,"*泉ヶ丘*")),
IFERROR(INDEX(77:77, SMALL(IF($AC77:$AX77&lt;&gt;"", COLUMN($AC$1:$AX77)), COLUMN(L77))), ""),
INDEX(76:76, SMALL(IF($AC76:$AX76&lt;&gt;"", COLUMN($AC$1:$AX76)), COLUMN(R76)))), "")</f>
        <v/>
      </c>
    </row>
    <row r="77" spans="1:69" x14ac:dyDescent="0.45">
      <c r="A77" t="e">
        <f t="array" ref="A77">IF(INDEX(貼り付け用!A:A,MATCH(A76,貼り付け用!A:A,0)+2)="4700",
IF(INDEX(貼り付け用!A:A,MATCH(A76,貼り付け用!A:A,0)+4)="4800",
INDEX(貼り付け用!A:A,MATCH(A76,貼り付け用!A:A,0)+6),
INDEX(貼り付け用!A:A,MATCH(A76,貼り付け用!A:A,0)+4)),INDEX(貼り付け用!A:A,MATCH(A76,貼り付け用!A:A,0)+2))</f>
        <v>#N/A</v>
      </c>
      <c r="B77" t="e">
        <f>IF(A77&lt;&gt;"",
VLOOKUP(A77,得意先マスタ!A:D,2,FALSE),"")</f>
        <v>#N/A</v>
      </c>
      <c r="C77" t="e">
        <f t="array" ref="C77">IF(A77="10000","",INDEX(貼り付け用!A:A,MATCH(A77,貼り付け用!A:A,0)+1))</f>
        <v>#N/A</v>
      </c>
      <c r="D77" t="e">
        <f>VLOOKUP(C77,クライアント抽出!$A:$O,10,FALSE)</f>
        <v>#N/A</v>
      </c>
      <c r="E77" t="e">
        <f>IF(D77&lt;&gt;"",
IF(COUNTIF(C77,"*ぺんぎん*"),
VLOOKUP(
"*"&amp;IF(COUNTIF(D77,"*キャラ弁*"),"キャラ",
IF(COUNTIF(D77,"*赤*"),"赤",SUBSTITUTE(SUBSTITUTE(D77," ",""),"　","")))&amp;"*",
注文弁当の抽出!$F:$I,4,FALSE)&amp;
IF(COUNTIF(D77,"*おにぎり*"),"　おにぎり","")&amp;"　（ぺんぎん組）",
VLOOKUP(
"*"&amp;IF(COUNTIF(D77,"*キャラ弁*"),"キャラ",
IF(COUNTIF(D77,"*赤*"),"赤",SUBSTITUTE(SUBSTITUTE(D77," ",""),"　","")))&amp;"*",
注文弁当の抽出!$F:$I,4,FALSE)&amp;
IF(COUNTIF(D77,"*おにぎり*"),"　おにぎり","")),"")</f>
        <v>#N/A</v>
      </c>
      <c r="F77" t="str">
        <f>IFERROR(IF(E77&lt;&gt;"",
VLOOKUP(C77,クライアント抽出!$A:$G,2,FALSE)+
IF(COUNTIF(Y77,"*-*"),Y77,0),"")
-IFERROR(MID(V77, SEARCH("予備", V77) + LEN("予備"), SEARCH("込み", V77) - (SEARCH("予備", V77) + LEN("予備"))),0),"")</f>
        <v/>
      </c>
      <c r="G77" t="e">
        <f>VLOOKUP(C77,クライアント抽出!$A:$O,11,FALSE)</f>
        <v>#N/A</v>
      </c>
      <c r="H77" t="e">
        <f>IF(G77&lt;&gt;"",
VLOOKUP(
"*"&amp;IF(COUNTIF(G77,"*キャラ弁*"),"キャラ",
IF(COUNTIF(G77,"*赤*"),"赤",SUBSTITUTE(SUBSTITUTE(G77," ",""),"　","")))&amp;"*",
注文弁当の抽出!$F:$I,4,FALSE)&amp;
IF(COUNTIF(G77,"*おにぎり*"),"　おにぎり",""),"")</f>
        <v>#N/A</v>
      </c>
      <c r="I77" t="e">
        <f>IF(H77&lt;&gt;"",
VLOOKUP(C77,クライアント抽出!$A:$G,3,FALSE)+
IF(COUNTIF(C77,"*博多*"),Y77,Z77),"")</f>
        <v>#N/A</v>
      </c>
      <c r="J77" t="e">
        <f>VLOOKUP(C77,クライアント抽出!$A:$O,12,FALSE)</f>
        <v>#N/A</v>
      </c>
      <c r="K77" t="e">
        <f>IF(J77&lt;&gt;"",
VLOOKUP(
"*"&amp;IF(COUNTIF(J77,"*キャラ弁*"),"キャラ",
IF(COUNTIF(J77,"*赤*"),"赤",SUBSTITUTE(SUBSTITUTE(J77," ",""),"　","")))&amp;"*",
注文弁当の抽出!$F:$I,4,FALSE)&amp;
IF(COUNTIF(J77,"*おにぎり*"),"　おにぎり",""),"")</f>
        <v>#N/A</v>
      </c>
      <c r="L77" t="e">
        <f>IF(K77&lt;&gt;"",
VLOOKUP(C77,クライアント抽出!$A:$G,4,FALSE)+AA77,"")</f>
        <v>#N/A</v>
      </c>
      <c r="M77" t="e">
        <f>VLOOKUP(C77,クライアント抽出!$A:$O,13,FALSE)</f>
        <v>#N/A</v>
      </c>
      <c r="N77" t="e">
        <f>SUBSTITUTE(
IF(M77&lt;&gt;"",
VLOOKUP(
"*"&amp;IF(COUNTIF(M77,"*キャラ弁*"),"キャラ",
IF(COUNTIF(M77,"*赤*"),"赤",SUBSTITUTE(SUBSTITUTE(D77," ",""),"　","")))&amp;"*",
注文弁当の抽出!$F:$I,4,FALSE),""),"園児","先生")&amp;
IF(COUNTIF(M77,"*おにぎり*"),"　おにぎり","")</f>
        <v>#N/A</v>
      </c>
      <c r="O77" t="e">
        <f>IF(N77&lt;&gt;"",VLOOKUP(C77,クライアント抽出!$A:$G,5,FALSE),"")</f>
        <v>#N/A</v>
      </c>
      <c r="P77" t="e">
        <f>VLOOKUP(C77,クライアント抽出!$A:$O,14,FALSE)</f>
        <v>#N/A</v>
      </c>
      <c r="Q77" t="e">
        <f>SUBSTITUTE(
IF(P77&lt;&gt;"",
VLOOKUP(
"*"&amp;IF(COUNTIF(P77,"*キャラ弁*"),"キャラ",
IF(COUNTIF(P77,"*赤*"),"赤",SUBSTITUTE(SUBSTITUTE(G77," ",""),"　","")))&amp;"*",
注文弁当の抽出!$F:$I,4,FALSE),""),"園児","先生")&amp;
IF(COUNTIF(P77,"*おにぎり*"),"　おにぎり","")</f>
        <v>#N/A</v>
      </c>
      <c r="R77" t="e">
        <f>IF(Q77&lt;&gt;"",
VLOOKUP(C77,クライアント抽出!$A:$G,6,FALSE),"")</f>
        <v>#N/A</v>
      </c>
      <c r="S77" t="e">
        <f>VLOOKUP(C77,クライアント抽出!$A:$O,15,FALSE)</f>
        <v>#N/A</v>
      </c>
      <c r="T77" t="e">
        <f>SUBSTITUTE(
IF(S77&lt;&gt;"",
VLOOKUP(
"*"&amp;IF(COUNTIF(S77,"*キャラ弁*"),"キャラ",
IF(COUNTIF(S77,"*赤*"),"赤",SUBSTITUTE(SUBSTITUTE(J77," ",""),"　","")))&amp;"*",
注文弁当の抽出!$F:$I,4,FALSE),""),"園児","先生")&amp;
IF(COUNTIF(S77,"*おにぎり*"),"　おにぎり","")</f>
        <v>#N/A</v>
      </c>
      <c r="U77" t="e">
        <f>IF(T77&lt;&gt;"",
VLOOKUP(C77,クライアント抽出!$A:$G,7,FALSE),"")</f>
        <v>#N/A</v>
      </c>
      <c r="V77" t="e">
        <f>IF(A77&lt;&gt;"",
IF(COUNTIF(V76,"*牛乳*"),
IF(AND(COUNTIF(B76,"*奈良屋*"),COUNTIF(B77,"*奈良屋*")),
V76&amp;"✔",""),VLOOKUP(""&amp;A77&amp;"",数出表_Excel!$A:$Z,22,FALSE)&amp;VLOOKUP(""&amp;A77&amp;"",数出表_Excel!$A:$Z,23,FALSE)
&amp;VLOOKUP(""&amp;C77&amp;"",数出表_Excel!$A:$Z,22,FALSE)&amp;VLOOKUP(""&amp;C77&amp;"",数出表_Excel!$A:$Z,23,FALSE)),"")</f>
        <v>#N/A</v>
      </c>
      <c r="W77" t="e">
        <f>IF(AND(COUNTIF(V77,"&lt;&gt;*不要*"),A77&lt;&gt;""),VLOOKUP(A77,得意先マスタ!$A:$AD,24,FALSE),0)</f>
        <v>#N/A</v>
      </c>
      <c r="X77" t="e">
        <f>IF(AND(COUNTIF(V77,"&lt;&gt;*不要*"),A77&lt;&gt;""),VLOOKUP(A77,得意先マスタ!$A:$AD,25,FALSE),0)</f>
        <v>#N/A</v>
      </c>
      <c r="Y77" t="e">
        <f t="shared" si="20"/>
        <v>#N/A</v>
      </c>
      <c r="Z77" t="e">
        <f t="shared" si="21"/>
        <v>#N/A</v>
      </c>
      <c r="AA77" t="e">
        <f t="shared" si="25"/>
        <v>#N/A</v>
      </c>
      <c r="AB77" t="e">
        <f t="shared" si="22"/>
        <v>#N/A</v>
      </c>
      <c r="AC77" t="str">
        <f t="array" ref="AC77">IFERROR(INDEX(77:77, SMALL(IF($D77:$U77&lt;&gt;"", COLUMN($D$1:$U77)), COLUMN(A77))), "")</f>
        <v/>
      </c>
      <c r="AD77" t="str">
        <f t="array" ref="AD77">IFERROR(INDEX(77:77, SMALL(IF($D77:$U77&lt;&gt;"", COLUMN($D$1:$U77)), COLUMN(B77))), "")</f>
        <v/>
      </c>
      <c r="AE77" t="str">
        <f t="array" ref="AE77">IFERROR(INDEX(77:77, SMALL(IF($D77:$U77&lt;&gt;"", COLUMN($D$1:$U77)), COLUMN(C77))), "")</f>
        <v/>
      </c>
      <c r="AF77" t="str">
        <f t="array" ref="AF77">IFERROR(INDEX(77:77, SMALL(IF($D77:$U77&lt;&gt;"", COLUMN($D$1:$U77)), COLUMN(D77))), "")</f>
        <v/>
      </c>
      <c r="AG77" t="str">
        <f t="array" ref="AG77">IFERROR(INDEX(77:77, SMALL(IF($D77:$U77&lt;&gt;"", COLUMN($D$1:$U77)), COLUMN(E77))), "")</f>
        <v/>
      </c>
      <c r="AH77" t="str">
        <f t="array" ref="AH77">IFERROR(INDEX(77:77, SMALL(IF($D77:$U77&lt;&gt;"", COLUMN($D$1:$U77)), COLUMN(F77))), "")</f>
        <v/>
      </c>
      <c r="AI77" t="str">
        <f t="array" ref="AI77">IFERROR(INDEX(77:77, SMALL(IF($D77:$U77&lt;&gt;"", COLUMN($D$1:$U77)), COLUMN(G77))), "")</f>
        <v/>
      </c>
      <c r="AJ77" t="str">
        <f t="array" ref="AJ77">IFERROR(INDEX(77:77, SMALL(IF($D77:$U77&lt;&gt;"", COLUMN($D$1:$U77)), COLUMN(H77))), "")</f>
        <v/>
      </c>
      <c r="AK77" t="str">
        <f t="array" ref="AK77">IFERROR(INDEX(77:77, SMALL(IF($D77:$U77&lt;&gt;"", COLUMN($D$1:$U77)), COLUMN(I77))), "")</f>
        <v/>
      </c>
      <c r="AL77" t="str">
        <f t="array" ref="AL77">IFERROR(INDEX(77:77, SMALL(IF($D77:$U77&lt;&gt;"", COLUMN($D$1:$U77)), COLUMN(J77))), "")</f>
        <v/>
      </c>
      <c r="AM77" t="str">
        <f t="array" ref="AM77">IFERROR(INDEX(77:77, SMALL(IF($D77:$U77&lt;&gt;"", COLUMN($D$1:$U77)), COLUMN(K77))), "")</f>
        <v/>
      </c>
      <c r="AN77" t="str">
        <f t="array" ref="AN77">IFERROR(INDEX(77:77, SMALL(IF($D77:$U77&lt;&gt;"", COLUMN($D$1:$U77)), COLUMN(L77))), "")</f>
        <v/>
      </c>
      <c r="AO77" t="str">
        <f t="array" ref="AO77">IFERROR(INDEX(77:77, SMALL(IF($D77:$U77&lt;&gt;"", COLUMN($D$1:$U77)), COLUMN(M77))), "")</f>
        <v/>
      </c>
      <c r="AP77" t="str">
        <f t="array" ref="AP77">IFERROR(INDEX(77:77, SMALL(IF($D77:$U77&lt;&gt;"", COLUMN($D$1:$U77)), COLUMN(N77))), "")</f>
        <v/>
      </c>
      <c r="AQ77" t="str">
        <f t="array" ref="AQ77">IFERROR(INDEX(77:77, SMALL(IF($D77:$U77&lt;&gt;"", COLUMN($D$1:$U77)), COLUMN(O77))), "")</f>
        <v/>
      </c>
      <c r="AR77" s="52" t="s">
        <v>4005</v>
      </c>
      <c r="AS77" t="e">
        <f t="shared" si="23"/>
        <v>#N/A</v>
      </c>
      <c r="AT77" t="e">
        <f t="shared" si="24"/>
        <v>#N/A</v>
      </c>
      <c r="AU77" t="e">
        <f t="shared" si="26"/>
        <v>#N/A</v>
      </c>
      <c r="AV77" t="e">
        <f t="shared" si="27"/>
        <v>#N/A</v>
      </c>
      <c r="AW77" t="e">
        <f t="shared" si="28"/>
        <v>#N/A</v>
      </c>
      <c r="AX77" t="e">
        <f t="shared" si="29"/>
        <v>#N/A</v>
      </c>
      <c r="AZ77" t="str">
        <f t="array" ref="AZ77">IFERROR(INDEX(77:77, SMALL(IF($AC77:$AX77&lt;&gt;"", COLUMN($AC$1:$AX77)), COLUMN(A77))), "")</f>
        <v/>
      </c>
      <c r="BA77" t="str">
        <f t="array" ref="BA77">IFERROR(INDEX(77:77, SMALL(IF($AC77:$AX77&lt;&gt;"", COLUMN($AC$1:$AX77)), COLUMN(B77))), "")</f>
        <v/>
      </c>
      <c r="BB77" t="str">
        <f t="array" ref="BB77">IFERROR(INDEX(77:77, SMALL(IF($AC77:$AX77&lt;&gt;"", COLUMN($AC$1:$AX77)), COLUMN(C77))), "")</f>
        <v/>
      </c>
      <c r="BC77" t="str">
        <f t="array" ref="BC77">IFERROR(INDEX(77:77, SMALL(IF($AC77:$AX77&lt;&gt;"", COLUMN($AC$1:$AX77)), COLUMN(D77))), "")</f>
        <v/>
      </c>
      <c r="BD77" t="str">
        <f t="array" ref="BD77">IFERROR(INDEX(77:77, SMALL(IF($AC77:$AX77&lt;&gt;"", COLUMN($AC$1:$AX77)), COLUMN(E77))), "")</f>
        <v/>
      </c>
      <c r="BE77" t="str">
        <f t="array" ref="BE77">IFERROR(INDEX(77:77, SMALL(IF($AC77:$AX77&lt;&gt;"", COLUMN($AC$1:$AX77)), COLUMN(F77))), "")</f>
        <v/>
      </c>
      <c r="BF77" t="str">
        <f t="array" ref="BF77">IFERROR(IF(AND(COUNTIF($B77,"*泉ヶ丘*"),COUNTIF($B78,"*泉ヶ丘*")),
IFERROR(INDEX(78:78, SMALL(IF($AC78:$AX78&lt;&gt;"", COLUMN($AC$1:$AX78)), COLUMN(A78))), ""),
INDEX(77:77, SMALL(IF($AC77:$AX77&lt;&gt;"", COLUMN($AC$1:$AX77)), COLUMN(G77)))), "")</f>
        <v/>
      </c>
      <c r="BG77" t="str">
        <f t="array" ref="BG77">IFERROR(IF(AND(COUNTIF($B77,"*泉ヶ丘*"),COUNTIF($B78,"*泉ヶ丘*")),
IFERROR(INDEX(78:78, SMALL(IF($AC78:$AX78&lt;&gt;"", COLUMN($AC$1:$AX78)), COLUMN(B78))), ""),
INDEX(77:77, SMALL(IF($AC77:$AX77&lt;&gt;"", COLUMN($AC$1:$AX77)), COLUMN(H77)))), "")</f>
        <v/>
      </c>
      <c r="BH77" t="str">
        <f t="array" ref="BH77">IFERROR(IF(AND(COUNTIF($B77,"*泉ヶ丘*"),COUNTIF($B78,"*泉ヶ丘*")),
IFERROR(INDEX(78:78, SMALL(IF($AC78:$AX78&lt;&gt;"", COLUMN($AC$1:$AX78)), COLUMN(C78))), ""),
INDEX(77:77, SMALL(IF($AC77:$AX77&lt;&gt;"", COLUMN($AC$1:$AX77)), COLUMN(I77)))), "")</f>
        <v/>
      </c>
      <c r="BI77" t="str">
        <f t="array" ref="BI77">IFERROR(IF(AND(COUNTIF($B77,"*泉ヶ丘*"),COUNTIF($B78,"*泉ヶ丘*")),
IFERROR(INDEX(78:78, SMALL(IF($AC78:$AX78&lt;&gt;"", COLUMN($AC$1:$AX78)), COLUMN(D78))), ""),
INDEX(77:77, SMALL(IF($AC77:$AX77&lt;&gt;"", COLUMN($AC$1:$AX77)), COLUMN(J77)))), "")</f>
        <v/>
      </c>
      <c r="BJ77" t="str">
        <f t="array" ref="BJ77">IFERROR(IF(AND(COUNTIF($B77,"*泉ヶ丘*"),COUNTIF($B78,"*泉ヶ丘*")),
IFERROR(INDEX(78:78, SMALL(IF($AC78:$AX78&lt;&gt;"", COLUMN($AC$1:$AX78)), COLUMN(E78))), ""),
INDEX(77:77, SMALL(IF($AC77:$AX77&lt;&gt;"", COLUMN($AC$1:$AX77)), COLUMN(K77)))), "")</f>
        <v/>
      </c>
      <c r="BK77" t="str">
        <f t="array" ref="BK77">IFERROR(IF(AND(COUNTIF($B77,"*泉ヶ丘*"),COUNTIF($B78,"*泉ヶ丘*")),
IFERROR(INDEX(78:78, SMALL(IF($AC78:$AX78&lt;&gt;"", COLUMN($AC$1:$AX78)), COLUMN(F78))), ""),
INDEX(77:77, SMALL(IF($AC77:$AX77&lt;&gt;"", COLUMN($AC$1:$AX77)), COLUMN(L77)))), "")</f>
        <v/>
      </c>
      <c r="BL77" t="str">
        <f t="array" ref="BL77">IFERROR(IF(AND(COUNTIF($B77,"*泉ヶ丘*"),COUNTIF($B78,"*泉ヶ丘*")),
IFERROR(INDEX(78:78, SMALL(IF($AC78:$AX78&lt;&gt;"", COLUMN($AC$1:$AX78)), COLUMN(G78))), ""),
INDEX(77:77, SMALL(IF($AC77:$AX77&lt;&gt;"", COLUMN($AC$1:$AX77)), COLUMN(M77)))), "")</f>
        <v/>
      </c>
      <c r="BM77" t="str">
        <f t="array" ref="BM77">IFERROR(IF(AND(COUNTIF($B77,"*泉ヶ丘*"),COUNTIF($B78,"*泉ヶ丘*")),
IFERROR(INDEX(78:78, SMALL(IF($AC78:$AX78&lt;&gt;"", COLUMN($AC$1:$AX78)), COLUMN(H78))), ""),
INDEX(77:77, SMALL(IF($AC77:$AX77&lt;&gt;"", COLUMN($AC$1:$AX77)), COLUMN(N77)))), "")</f>
        <v/>
      </c>
      <c r="BN77" t="str">
        <f t="array" ref="BN77">IFERROR(IF(AND(COUNTIF($B77,"*泉ヶ丘*"),COUNTIF($B78,"*泉ヶ丘*")),
IFERROR(INDEX(78:78, SMALL(IF($AC78:$AX78&lt;&gt;"", COLUMN($AC$1:$AX78)), COLUMN(I78))), ""),
INDEX(77:77, SMALL(IF($AC77:$AX77&lt;&gt;"", COLUMN($AC$1:$AX77)), COLUMN(O77)))), "")</f>
        <v/>
      </c>
      <c r="BO77" t="str">
        <f t="array" ref="BO77">IFERROR(IF(AND(COUNTIF($B77,"*泉ヶ丘*"),COUNTIF($B78,"*泉ヶ丘*")),
IFERROR(INDEX(78:78, SMALL(IF($AC78:$AX78&lt;&gt;"", COLUMN($AC$1:$AX78)), COLUMN(J78))), ""),
INDEX(77:77, SMALL(IF($AC77:$AX77&lt;&gt;"", COLUMN($AC$1:$AX77)), COLUMN(P77)))), "")</f>
        <v/>
      </c>
      <c r="BP77" t="str">
        <f t="array" ref="BP77">IFERROR(IF(AND(COUNTIF($B77,"*泉ヶ丘*"),COUNTIF($B78,"*泉ヶ丘*")),
IFERROR(INDEX(78:78, SMALL(IF($AC78:$AX78&lt;&gt;"", COLUMN($AC$1:$AX78)), COLUMN(K78))), ""),
INDEX(77:77, SMALL(IF($AC77:$AX77&lt;&gt;"", COLUMN($AC$1:$AX77)), COLUMN(Q77)))), "")</f>
        <v/>
      </c>
      <c r="BQ77" t="str">
        <f t="array" ref="BQ77">IFERROR(IF(AND(COUNTIF($B77,"*泉ヶ丘*"),COUNTIF($B78,"*泉ヶ丘*")),
IFERROR(INDEX(78:78, SMALL(IF($AC78:$AX78&lt;&gt;"", COLUMN($AC$1:$AX78)), COLUMN(L78))), ""),
INDEX(77:77, SMALL(IF($AC77:$AX77&lt;&gt;"", COLUMN($AC$1:$AX77)), COLUMN(R77)))), "")</f>
        <v/>
      </c>
    </row>
    <row r="78" spans="1:69" x14ac:dyDescent="0.45">
      <c r="A78" t="e">
        <f t="array" ref="A78">IF(INDEX(貼り付け用!A:A,MATCH(A77,貼り付け用!A:A,0)+2)="4700",
IF(INDEX(貼り付け用!A:A,MATCH(A77,貼り付け用!A:A,0)+4)="4800",
INDEX(貼り付け用!A:A,MATCH(A77,貼り付け用!A:A,0)+6),
INDEX(貼り付け用!A:A,MATCH(A77,貼り付け用!A:A,0)+4)),INDEX(貼り付け用!A:A,MATCH(A77,貼り付け用!A:A,0)+2))</f>
        <v>#N/A</v>
      </c>
      <c r="B78" t="e">
        <f>IF(A78&lt;&gt;"",
VLOOKUP(A78,得意先マスタ!A:D,2,FALSE),"")</f>
        <v>#N/A</v>
      </c>
      <c r="C78" t="e">
        <f t="array" ref="C78">IF(A78="10000","",INDEX(貼り付け用!A:A,MATCH(A78,貼り付け用!A:A,0)+1))</f>
        <v>#N/A</v>
      </c>
      <c r="D78" t="e">
        <f>VLOOKUP(C78,クライアント抽出!$A:$O,10,FALSE)</f>
        <v>#N/A</v>
      </c>
      <c r="E78" t="e">
        <f>IF(D78&lt;&gt;"",
IF(COUNTIF(C78,"*ぺんぎん*"),
VLOOKUP(
"*"&amp;IF(COUNTIF(D78,"*キャラ弁*"),"キャラ",
IF(COUNTIF(D78,"*赤*"),"赤",SUBSTITUTE(SUBSTITUTE(D78," ",""),"　","")))&amp;"*",
注文弁当の抽出!$F:$I,4,FALSE)&amp;
IF(COUNTIF(D78,"*おにぎり*"),"　おにぎり","")&amp;"　（ぺんぎん組）",
VLOOKUP(
"*"&amp;IF(COUNTIF(D78,"*キャラ弁*"),"キャラ",
IF(COUNTIF(D78,"*赤*"),"赤",SUBSTITUTE(SUBSTITUTE(D78," ",""),"　","")))&amp;"*",
注文弁当の抽出!$F:$I,4,FALSE)&amp;
IF(COUNTIF(D78,"*おにぎり*"),"　おにぎり","")),"")</f>
        <v>#N/A</v>
      </c>
      <c r="F78" t="str">
        <f>IFERROR(IF(E78&lt;&gt;"",
VLOOKUP(C78,クライアント抽出!$A:$G,2,FALSE)+
IF(COUNTIF(Y78,"*-*"),Y78,0),"")
-IFERROR(MID(V78, SEARCH("予備", V78) + LEN("予備"), SEARCH("込み", V78) - (SEARCH("予備", V78) + LEN("予備"))),0),"")</f>
        <v/>
      </c>
      <c r="G78" t="e">
        <f>VLOOKUP(C78,クライアント抽出!$A:$O,11,FALSE)</f>
        <v>#N/A</v>
      </c>
      <c r="H78" t="e">
        <f>IF(G78&lt;&gt;"",
VLOOKUP(
"*"&amp;IF(COUNTIF(G78,"*キャラ弁*"),"キャラ",
IF(COUNTIF(G78,"*赤*"),"赤",SUBSTITUTE(SUBSTITUTE(G78," ",""),"　","")))&amp;"*",
注文弁当の抽出!$F:$I,4,FALSE)&amp;
IF(COUNTIF(G78,"*おにぎり*"),"　おにぎり",""),"")</f>
        <v>#N/A</v>
      </c>
      <c r="I78" t="e">
        <f>IF(H78&lt;&gt;"",
VLOOKUP(C78,クライアント抽出!$A:$G,3,FALSE)+
IF(COUNTIF(C78,"*博多*"),Y78,Z78),"")</f>
        <v>#N/A</v>
      </c>
      <c r="J78" t="e">
        <f>VLOOKUP(C78,クライアント抽出!$A:$O,12,FALSE)</f>
        <v>#N/A</v>
      </c>
      <c r="K78" t="e">
        <f>IF(J78&lt;&gt;"",
VLOOKUP(
"*"&amp;IF(COUNTIF(J78,"*キャラ弁*"),"キャラ",
IF(COUNTIF(J78,"*赤*"),"赤",SUBSTITUTE(SUBSTITUTE(J78," ",""),"　","")))&amp;"*",
注文弁当の抽出!$F:$I,4,FALSE)&amp;
IF(COUNTIF(J78,"*おにぎり*"),"　おにぎり",""),"")</f>
        <v>#N/A</v>
      </c>
      <c r="L78" t="e">
        <f>IF(K78&lt;&gt;"",
VLOOKUP(C78,クライアント抽出!$A:$G,4,FALSE)+AA78,"")</f>
        <v>#N/A</v>
      </c>
      <c r="M78" t="e">
        <f>VLOOKUP(C78,クライアント抽出!$A:$O,13,FALSE)</f>
        <v>#N/A</v>
      </c>
      <c r="N78" t="e">
        <f>SUBSTITUTE(
IF(M78&lt;&gt;"",
VLOOKUP(
"*"&amp;IF(COUNTIF(M78,"*キャラ弁*"),"キャラ",
IF(COUNTIF(M78,"*赤*"),"赤",SUBSTITUTE(SUBSTITUTE(D78," ",""),"　","")))&amp;"*",
注文弁当の抽出!$F:$I,4,FALSE),""),"園児","先生")&amp;
IF(COUNTIF(M78,"*おにぎり*"),"　おにぎり","")</f>
        <v>#N/A</v>
      </c>
      <c r="O78" t="e">
        <f>IF(N78&lt;&gt;"",VLOOKUP(C78,クライアント抽出!$A:$G,5,FALSE),"")</f>
        <v>#N/A</v>
      </c>
      <c r="P78" t="e">
        <f>VLOOKUP(C78,クライアント抽出!$A:$O,14,FALSE)</f>
        <v>#N/A</v>
      </c>
      <c r="Q78" t="e">
        <f>SUBSTITUTE(
IF(P78&lt;&gt;"",
VLOOKUP(
"*"&amp;IF(COUNTIF(P78,"*キャラ弁*"),"キャラ",
IF(COUNTIF(P78,"*赤*"),"赤",SUBSTITUTE(SUBSTITUTE(G78," ",""),"　","")))&amp;"*",
注文弁当の抽出!$F:$I,4,FALSE),""),"園児","先生")&amp;
IF(COUNTIF(P78,"*おにぎり*"),"　おにぎり","")</f>
        <v>#N/A</v>
      </c>
      <c r="R78" t="e">
        <f>IF(Q78&lt;&gt;"",
VLOOKUP(C78,クライアント抽出!$A:$G,6,FALSE),"")</f>
        <v>#N/A</v>
      </c>
      <c r="S78" t="e">
        <f>VLOOKUP(C78,クライアント抽出!$A:$O,15,FALSE)</f>
        <v>#N/A</v>
      </c>
      <c r="T78" t="e">
        <f>SUBSTITUTE(
IF(S78&lt;&gt;"",
VLOOKUP(
"*"&amp;IF(COUNTIF(S78,"*キャラ弁*"),"キャラ",
IF(COUNTIF(S78,"*赤*"),"赤",SUBSTITUTE(SUBSTITUTE(J78," ",""),"　","")))&amp;"*",
注文弁当の抽出!$F:$I,4,FALSE),""),"園児","先生")&amp;
IF(COUNTIF(S78,"*おにぎり*"),"　おにぎり","")</f>
        <v>#N/A</v>
      </c>
      <c r="U78" t="e">
        <f>IF(T78&lt;&gt;"",
VLOOKUP(C78,クライアント抽出!$A:$G,7,FALSE),"")</f>
        <v>#N/A</v>
      </c>
      <c r="V78" t="e">
        <f>IF(A78&lt;&gt;"",
IF(COUNTIF(V77,"*牛乳*"),
IF(AND(COUNTIF(B77,"*奈良屋*"),COUNTIF(B78,"*奈良屋*")),
V77&amp;"✔",""),VLOOKUP(""&amp;A78&amp;"",数出表_Excel!$A:$Z,22,FALSE)&amp;VLOOKUP(""&amp;A78&amp;"",数出表_Excel!$A:$Z,23,FALSE)
&amp;VLOOKUP(""&amp;C78&amp;"",数出表_Excel!$A:$Z,22,FALSE)&amp;VLOOKUP(""&amp;C78&amp;"",数出表_Excel!$A:$Z,23,FALSE)),"")</f>
        <v>#N/A</v>
      </c>
      <c r="W78" t="e">
        <f>IF(AND(COUNTIF(V78,"&lt;&gt;*不要*"),A78&lt;&gt;""),VLOOKUP(A78,得意先マスタ!$A:$AD,24,FALSE),0)</f>
        <v>#N/A</v>
      </c>
      <c r="X78" t="e">
        <f>IF(AND(COUNTIF(V78,"&lt;&gt;*不要*"),A78&lt;&gt;""),VLOOKUP(A78,得意先マスタ!$A:$AD,25,FALSE),0)</f>
        <v>#N/A</v>
      </c>
      <c r="Y78" t="e">
        <f t="shared" si="20"/>
        <v>#N/A</v>
      </c>
      <c r="Z78" t="e">
        <f t="shared" si="21"/>
        <v>#N/A</v>
      </c>
      <c r="AA78" t="e">
        <f t="shared" si="25"/>
        <v>#N/A</v>
      </c>
      <c r="AB78" t="e">
        <f t="shared" si="22"/>
        <v>#N/A</v>
      </c>
      <c r="AC78" t="str">
        <f t="array" ref="AC78">IFERROR(INDEX(78:78, SMALL(IF($D78:$U78&lt;&gt;"", COLUMN($D$1:$U78)), COLUMN(A78))), "")</f>
        <v/>
      </c>
      <c r="AD78" t="str">
        <f t="array" ref="AD78">IFERROR(INDEX(78:78, SMALL(IF($D78:$U78&lt;&gt;"", COLUMN($D$1:$U78)), COLUMN(B78))), "")</f>
        <v/>
      </c>
      <c r="AE78" t="str">
        <f t="array" ref="AE78">IFERROR(INDEX(78:78, SMALL(IF($D78:$U78&lt;&gt;"", COLUMN($D$1:$U78)), COLUMN(C78))), "")</f>
        <v/>
      </c>
      <c r="AF78" t="str">
        <f t="array" ref="AF78">IFERROR(INDEX(78:78, SMALL(IF($D78:$U78&lt;&gt;"", COLUMN($D$1:$U78)), COLUMN(D78))), "")</f>
        <v/>
      </c>
      <c r="AG78" t="str">
        <f t="array" ref="AG78">IFERROR(INDEX(78:78, SMALL(IF($D78:$U78&lt;&gt;"", COLUMN($D$1:$U78)), COLUMN(E78))), "")</f>
        <v/>
      </c>
      <c r="AH78" t="str">
        <f t="array" ref="AH78">IFERROR(INDEX(78:78, SMALL(IF($D78:$U78&lt;&gt;"", COLUMN($D$1:$U78)), COLUMN(F78))), "")</f>
        <v/>
      </c>
      <c r="AI78" t="str">
        <f t="array" ref="AI78">IFERROR(INDEX(78:78, SMALL(IF($D78:$U78&lt;&gt;"", COLUMN($D$1:$U78)), COLUMN(G78))), "")</f>
        <v/>
      </c>
      <c r="AJ78" t="str">
        <f t="array" ref="AJ78">IFERROR(INDEX(78:78, SMALL(IF($D78:$U78&lt;&gt;"", COLUMN($D$1:$U78)), COLUMN(H78))), "")</f>
        <v/>
      </c>
      <c r="AK78" t="str">
        <f t="array" ref="AK78">IFERROR(INDEX(78:78, SMALL(IF($D78:$U78&lt;&gt;"", COLUMN($D$1:$U78)), COLUMN(I78))), "")</f>
        <v/>
      </c>
      <c r="AL78" t="str">
        <f t="array" ref="AL78">IFERROR(INDEX(78:78, SMALL(IF($D78:$U78&lt;&gt;"", COLUMN($D$1:$U78)), COLUMN(J78))), "")</f>
        <v/>
      </c>
      <c r="AM78" t="str">
        <f t="array" ref="AM78">IFERROR(INDEX(78:78, SMALL(IF($D78:$U78&lt;&gt;"", COLUMN($D$1:$U78)), COLUMN(K78))), "")</f>
        <v/>
      </c>
      <c r="AN78" t="str">
        <f t="array" ref="AN78">IFERROR(INDEX(78:78, SMALL(IF($D78:$U78&lt;&gt;"", COLUMN($D$1:$U78)), COLUMN(L78))), "")</f>
        <v/>
      </c>
      <c r="AO78" t="str">
        <f t="array" ref="AO78">IFERROR(INDEX(78:78, SMALL(IF($D78:$U78&lt;&gt;"", COLUMN($D$1:$U78)), COLUMN(M78))), "")</f>
        <v/>
      </c>
      <c r="AP78" t="str">
        <f t="array" ref="AP78">IFERROR(INDEX(78:78, SMALL(IF($D78:$U78&lt;&gt;"", COLUMN($D$1:$U78)), COLUMN(N78))), "")</f>
        <v/>
      </c>
      <c r="AQ78" t="str">
        <f t="array" ref="AQ78">IFERROR(INDEX(78:78, SMALL(IF($D78:$U78&lt;&gt;"", COLUMN($D$1:$U78)), COLUMN(O78))), "")</f>
        <v/>
      </c>
      <c r="AR78" s="52" t="s">
        <v>4005</v>
      </c>
      <c r="AS78" t="e">
        <f t="shared" si="23"/>
        <v>#N/A</v>
      </c>
      <c r="AT78" t="e">
        <f t="shared" si="24"/>
        <v>#N/A</v>
      </c>
      <c r="AU78" t="e">
        <f t="shared" si="26"/>
        <v>#N/A</v>
      </c>
      <c r="AV78" t="e">
        <f t="shared" si="27"/>
        <v>#N/A</v>
      </c>
      <c r="AW78" t="e">
        <f t="shared" si="28"/>
        <v>#N/A</v>
      </c>
      <c r="AX78" t="e">
        <f t="shared" si="29"/>
        <v>#N/A</v>
      </c>
      <c r="AZ78" t="str">
        <f t="array" ref="AZ78">IFERROR(INDEX(78:78, SMALL(IF($AC78:$AX78&lt;&gt;"", COLUMN($AC$1:$AX78)), COLUMN(A78))), "")</f>
        <v/>
      </c>
      <c r="BA78" t="str">
        <f t="array" ref="BA78">IFERROR(INDEX(78:78, SMALL(IF($AC78:$AX78&lt;&gt;"", COLUMN($AC$1:$AX78)), COLUMN(B78))), "")</f>
        <v/>
      </c>
      <c r="BB78" t="str">
        <f t="array" ref="BB78">IFERROR(INDEX(78:78, SMALL(IF($AC78:$AX78&lt;&gt;"", COLUMN($AC$1:$AX78)), COLUMN(C78))), "")</f>
        <v/>
      </c>
      <c r="BC78" t="str">
        <f t="array" ref="BC78">IFERROR(INDEX(78:78, SMALL(IF($AC78:$AX78&lt;&gt;"", COLUMN($AC$1:$AX78)), COLUMN(D78))), "")</f>
        <v/>
      </c>
      <c r="BD78" t="str">
        <f t="array" ref="BD78">IFERROR(INDEX(78:78, SMALL(IF($AC78:$AX78&lt;&gt;"", COLUMN($AC$1:$AX78)), COLUMN(E78))), "")</f>
        <v/>
      </c>
      <c r="BE78" t="str">
        <f t="array" ref="BE78">IFERROR(INDEX(78:78, SMALL(IF($AC78:$AX78&lt;&gt;"", COLUMN($AC$1:$AX78)), COLUMN(F78))), "")</f>
        <v/>
      </c>
      <c r="BF78" t="str">
        <f t="array" ref="BF78">IFERROR(IF(AND(COUNTIF($B78,"*泉ヶ丘*"),COUNTIF($B79,"*泉ヶ丘*")),
IFERROR(INDEX(79:79, SMALL(IF($AC79:$AX79&lt;&gt;"", COLUMN($AC$1:$AX79)), COLUMN(A79))), ""),
INDEX(78:78, SMALL(IF($AC78:$AX78&lt;&gt;"", COLUMN($AC$1:$AX78)), COLUMN(G78)))), "")</f>
        <v/>
      </c>
      <c r="BG78" t="str">
        <f t="array" ref="BG78">IFERROR(IF(AND(COUNTIF($B78,"*泉ヶ丘*"),COUNTIF($B79,"*泉ヶ丘*")),
IFERROR(INDEX(79:79, SMALL(IF($AC79:$AX79&lt;&gt;"", COLUMN($AC$1:$AX79)), COLUMN(B79))), ""),
INDEX(78:78, SMALL(IF($AC78:$AX78&lt;&gt;"", COLUMN($AC$1:$AX78)), COLUMN(H78)))), "")</f>
        <v/>
      </c>
      <c r="BH78" t="str">
        <f t="array" ref="BH78">IFERROR(IF(AND(COUNTIF($B78,"*泉ヶ丘*"),COUNTIF($B79,"*泉ヶ丘*")),
IFERROR(INDEX(79:79, SMALL(IF($AC79:$AX79&lt;&gt;"", COLUMN($AC$1:$AX79)), COLUMN(C79))), ""),
INDEX(78:78, SMALL(IF($AC78:$AX78&lt;&gt;"", COLUMN($AC$1:$AX78)), COLUMN(I78)))), "")</f>
        <v/>
      </c>
      <c r="BI78" t="str">
        <f t="array" ref="BI78">IFERROR(IF(AND(COUNTIF($B78,"*泉ヶ丘*"),COUNTIF($B79,"*泉ヶ丘*")),
IFERROR(INDEX(79:79, SMALL(IF($AC79:$AX79&lt;&gt;"", COLUMN($AC$1:$AX79)), COLUMN(D79))), ""),
INDEX(78:78, SMALL(IF($AC78:$AX78&lt;&gt;"", COLUMN($AC$1:$AX78)), COLUMN(J78)))), "")</f>
        <v/>
      </c>
      <c r="BJ78" t="str">
        <f t="array" ref="BJ78">IFERROR(IF(AND(COUNTIF($B78,"*泉ヶ丘*"),COUNTIF($B79,"*泉ヶ丘*")),
IFERROR(INDEX(79:79, SMALL(IF($AC79:$AX79&lt;&gt;"", COLUMN($AC$1:$AX79)), COLUMN(E79))), ""),
INDEX(78:78, SMALL(IF($AC78:$AX78&lt;&gt;"", COLUMN($AC$1:$AX78)), COLUMN(K78)))), "")</f>
        <v/>
      </c>
      <c r="BK78" t="str">
        <f t="array" ref="BK78">IFERROR(IF(AND(COUNTIF($B78,"*泉ヶ丘*"),COUNTIF($B79,"*泉ヶ丘*")),
IFERROR(INDEX(79:79, SMALL(IF($AC79:$AX79&lt;&gt;"", COLUMN($AC$1:$AX79)), COLUMN(F79))), ""),
INDEX(78:78, SMALL(IF($AC78:$AX78&lt;&gt;"", COLUMN($AC$1:$AX78)), COLUMN(L78)))), "")</f>
        <v/>
      </c>
      <c r="BL78" t="str">
        <f t="array" ref="BL78">IFERROR(IF(AND(COUNTIF($B78,"*泉ヶ丘*"),COUNTIF($B79,"*泉ヶ丘*")),
IFERROR(INDEX(79:79, SMALL(IF($AC79:$AX79&lt;&gt;"", COLUMN($AC$1:$AX79)), COLUMN(G79))), ""),
INDEX(78:78, SMALL(IF($AC78:$AX78&lt;&gt;"", COLUMN($AC$1:$AX78)), COLUMN(M78)))), "")</f>
        <v/>
      </c>
      <c r="BM78" t="str">
        <f t="array" ref="BM78">IFERROR(IF(AND(COUNTIF($B78,"*泉ヶ丘*"),COUNTIF($B79,"*泉ヶ丘*")),
IFERROR(INDEX(79:79, SMALL(IF($AC79:$AX79&lt;&gt;"", COLUMN($AC$1:$AX79)), COLUMN(H79))), ""),
INDEX(78:78, SMALL(IF($AC78:$AX78&lt;&gt;"", COLUMN($AC$1:$AX78)), COLUMN(N78)))), "")</f>
        <v/>
      </c>
      <c r="BN78" t="str">
        <f t="array" ref="BN78">IFERROR(IF(AND(COUNTIF($B78,"*泉ヶ丘*"),COUNTIF($B79,"*泉ヶ丘*")),
IFERROR(INDEX(79:79, SMALL(IF($AC79:$AX79&lt;&gt;"", COLUMN($AC$1:$AX79)), COLUMN(I79))), ""),
INDEX(78:78, SMALL(IF($AC78:$AX78&lt;&gt;"", COLUMN($AC$1:$AX78)), COLUMN(O78)))), "")</f>
        <v/>
      </c>
      <c r="BO78" t="str">
        <f t="array" ref="BO78">IFERROR(IF(AND(COUNTIF($B78,"*泉ヶ丘*"),COUNTIF($B79,"*泉ヶ丘*")),
IFERROR(INDEX(79:79, SMALL(IF($AC79:$AX79&lt;&gt;"", COLUMN($AC$1:$AX79)), COLUMN(J79))), ""),
INDEX(78:78, SMALL(IF($AC78:$AX78&lt;&gt;"", COLUMN($AC$1:$AX78)), COLUMN(P78)))), "")</f>
        <v/>
      </c>
      <c r="BP78" t="str">
        <f t="array" ref="BP78">IFERROR(IF(AND(COUNTIF($B78,"*泉ヶ丘*"),COUNTIF($B79,"*泉ヶ丘*")),
IFERROR(INDEX(79:79, SMALL(IF($AC79:$AX79&lt;&gt;"", COLUMN($AC$1:$AX79)), COLUMN(K79))), ""),
INDEX(78:78, SMALL(IF($AC78:$AX78&lt;&gt;"", COLUMN($AC$1:$AX78)), COLUMN(Q78)))), "")</f>
        <v/>
      </c>
      <c r="BQ78" t="str">
        <f t="array" ref="BQ78">IFERROR(IF(AND(COUNTIF($B78,"*泉ヶ丘*"),COUNTIF($B79,"*泉ヶ丘*")),
IFERROR(INDEX(79:79, SMALL(IF($AC79:$AX79&lt;&gt;"", COLUMN($AC$1:$AX79)), COLUMN(L79))), ""),
INDEX(78:78, SMALL(IF($AC78:$AX78&lt;&gt;"", COLUMN($AC$1:$AX78)), COLUMN(R78)))), "")</f>
        <v/>
      </c>
    </row>
    <row r="79" spans="1:69" x14ac:dyDescent="0.45">
      <c r="A79" t="e">
        <f t="array" ref="A79">IF(INDEX(貼り付け用!A:A,MATCH(A78,貼り付け用!A:A,0)+2)="4700",
IF(INDEX(貼り付け用!A:A,MATCH(A78,貼り付け用!A:A,0)+4)="4800",
INDEX(貼り付け用!A:A,MATCH(A78,貼り付け用!A:A,0)+6),
INDEX(貼り付け用!A:A,MATCH(A78,貼り付け用!A:A,0)+4)),INDEX(貼り付け用!A:A,MATCH(A78,貼り付け用!A:A,0)+2))</f>
        <v>#N/A</v>
      </c>
      <c r="B79" t="e">
        <f>IF(A79&lt;&gt;"",
VLOOKUP(A79,得意先マスタ!A:D,2,FALSE),"")</f>
        <v>#N/A</v>
      </c>
      <c r="C79" t="e">
        <f t="array" ref="C79">IF(A79="10000","",INDEX(貼り付け用!A:A,MATCH(A79,貼り付け用!A:A,0)+1))</f>
        <v>#N/A</v>
      </c>
      <c r="D79" t="e">
        <f>VLOOKUP(C79,クライアント抽出!$A:$O,10,FALSE)</f>
        <v>#N/A</v>
      </c>
      <c r="E79" t="e">
        <f>IF(D79&lt;&gt;"",
IF(COUNTIF(C79,"*ぺんぎん*"),
VLOOKUP(
"*"&amp;IF(COUNTIF(D79,"*キャラ弁*"),"キャラ",
IF(COUNTIF(D79,"*赤*"),"赤",SUBSTITUTE(SUBSTITUTE(D79," ",""),"　","")))&amp;"*",
注文弁当の抽出!$F:$I,4,FALSE)&amp;
IF(COUNTIF(D79,"*おにぎり*"),"　おにぎり","")&amp;"　（ぺんぎん組）",
VLOOKUP(
"*"&amp;IF(COUNTIF(D79,"*キャラ弁*"),"キャラ",
IF(COUNTIF(D79,"*赤*"),"赤",SUBSTITUTE(SUBSTITUTE(D79," ",""),"　","")))&amp;"*",
注文弁当の抽出!$F:$I,4,FALSE)&amp;
IF(COUNTIF(D79,"*おにぎり*"),"　おにぎり","")),"")</f>
        <v>#N/A</v>
      </c>
      <c r="F79" t="str">
        <f>IFERROR(IF(E79&lt;&gt;"",
VLOOKUP(C79,クライアント抽出!$A:$G,2,FALSE)+
IF(COUNTIF(Y79,"*-*"),Y79,0),"")
-IFERROR(MID(V79, SEARCH("予備", V79) + LEN("予備"), SEARCH("込み", V79) - (SEARCH("予備", V79) + LEN("予備"))),0),"")</f>
        <v/>
      </c>
      <c r="G79" t="e">
        <f>VLOOKUP(C79,クライアント抽出!$A:$O,11,FALSE)</f>
        <v>#N/A</v>
      </c>
      <c r="H79" t="e">
        <f>IF(G79&lt;&gt;"",
VLOOKUP(
"*"&amp;IF(COUNTIF(G79,"*キャラ弁*"),"キャラ",
IF(COUNTIF(G79,"*赤*"),"赤",SUBSTITUTE(SUBSTITUTE(G79," ",""),"　","")))&amp;"*",
注文弁当の抽出!$F:$I,4,FALSE)&amp;
IF(COUNTIF(G79,"*おにぎり*"),"　おにぎり",""),"")</f>
        <v>#N/A</v>
      </c>
      <c r="I79" t="e">
        <f>IF(H79&lt;&gt;"",
VLOOKUP(C79,クライアント抽出!$A:$G,3,FALSE)+
IF(COUNTIF(C79,"*博多*"),Y79,Z79),"")</f>
        <v>#N/A</v>
      </c>
      <c r="J79" t="e">
        <f>VLOOKUP(C79,クライアント抽出!$A:$O,12,FALSE)</f>
        <v>#N/A</v>
      </c>
      <c r="K79" t="e">
        <f>IF(J79&lt;&gt;"",
VLOOKUP(
"*"&amp;IF(COUNTIF(J79,"*キャラ弁*"),"キャラ",
IF(COUNTIF(J79,"*赤*"),"赤",SUBSTITUTE(SUBSTITUTE(J79," ",""),"　","")))&amp;"*",
注文弁当の抽出!$F:$I,4,FALSE)&amp;
IF(COUNTIF(J79,"*おにぎり*"),"　おにぎり",""),"")</f>
        <v>#N/A</v>
      </c>
      <c r="L79" t="e">
        <f>IF(K79&lt;&gt;"",
VLOOKUP(C79,クライアント抽出!$A:$G,4,FALSE)+AA79,"")</f>
        <v>#N/A</v>
      </c>
      <c r="M79" t="e">
        <f>VLOOKUP(C79,クライアント抽出!$A:$O,13,FALSE)</f>
        <v>#N/A</v>
      </c>
      <c r="N79" t="e">
        <f>SUBSTITUTE(
IF(M79&lt;&gt;"",
VLOOKUP(
"*"&amp;IF(COUNTIF(M79,"*キャラ弁*"),"キャラ",
IF(COUNTIF(M79,"*赤*"),"赤",SUBSTITUTE(SUBSTITUTE(D79," ",""),"　","")))&amp;"*",
注文弁当の抽出!$F:$I,4,FALSE),""),"園児","先生")&amp;
IF(COUNTIF(M79,"*おにぎり*"),"　おにぎり","")</f>
        <v>#N/A</v>
      </c>
      <c r="O79" t="e">
        <f>IF(N79&lt;&gt;"",VLOOKUP(C79,クライアント抽出!$A:$G,5,FALSE),"")</f>
        <v>#N/A</v>
      </c>
      <c r="P79" t="e">
        <f>VLOOKUP(C79,クライアント抽出!$A:$O,14,FALSE)</f>
        <v>#N/A</v>
      </c>
      <c r="Q79" t="e">
        <f>SUBSTITUTE(
IF(P79&lt;&gt;"",
VLOOKUP(
"*"&amp;IF(COUNTIF(P79,"*キャラ弁*"),"キャラ",
IF(COUNTIF(P79,"*赤*"),"赤",SUBSTITUTE(SUBSTITUTE(G79," ",""),"　","")))&amp;"*",
注文弁当の抽出!$F:$I,4,FALSE),""),"園児","先生")&amp;
IF(COUNTIF(P79,"*おにぎり*"),"　おにぎり","")</f>
        <v>#N/A</v>
      </c>
      <c r="R79" t="e">
        <f>IF(Q79&lt;&gt;"",
VLOOKUP(C79,クライアント抽出!$A:$G,6,FALSE),"")</f>
        <v>#N/A</v>
      </c>
      <c r="S79" t="e">
        <f>VLOOKUP(C79,クライアント抽出!$A:$O,15,FALSE)</f>
        <v>#N/A</v>
      </c>
      <c r="T79" t="e">
        <f>SUBSTITUTE(
IF(S79&lt;&gt;"",
VLOOKUP(
"*"&amp;IF(COUNTIF(S79,"*キャラ弁*"),"キャラ",
IF(COUNTIF(S79,"*赤*"),"赤",SUBSTITUTE(SUBSTITUTE(J79," ",""),"　","")))&amp;"*",
注文弁当の抽出!$F:$I,4,FALSE),""),"園児","先生")&amp;
IF(COUNTIF(S79,"*おにぎり*"),"　おにぎり","")</f>
        <v>#N/A</v>
      </c>
      <c r="U79" t="e">
        <f>IF(T79&lt;&gt;"",
VLOOKUP(C79,クライアント抽出!$A:$G,7,FALSE),"")</f>
        <v>#N/A</v>
      </c>
      <c r="V79" t="e">
        <f>IF(A79&lt;&gt;"",
IF(COUNTIF(V78,"*牛乳*"),
IF(AND(COUNTIF(B78,"*奈良屋*"),COUNTIF(B79,"*奈良屋*")),
V78&amp;"✔",""),VLOOKUP(""&amp;A79&amp;"",数出表_Excel!$A:$Z,22,FALSE)&amp;VLOOKUP(""&amp;A79&amp;"",数出表_Excel!$A:$Z,23,FALSE)
&amp;VLOOKUP(""&amp;C79&amp;"",数出表_Excel!$A:$Z,22,FALSE)&amp;VLOOKUP(""&amp;C79&amp;"",数出表_Excel!$A:$Z,23,FALSE)),"")</f>
        <v>#N/A</v>
      </c>
      <c r="W79" t="e">
        <f>IF(AND(COUNTIF(V79,"&lt;&gt;*不要*"),A79&lt;&gt;""),VLOOKUP(A79,得意先マスタ!$A:$AD,24,FALSE),0)</f>
        <v>#N/A</v>
      </c>
      <c r="X79" t="e">
        <f>IF(AND(COUNTIF(V79,"&lt;&gt;*不要*"),A79&lt;&gt;""),VLOOKUP(A79,得意先マスタ!$A:$AD,25,FALSE),0)</f>
        <v>#N/A</v>
      </c>
      <c r="Y79" t="e">
        <f t="shared" si="20"/>
        <v>#N/A</v>
      </c>
      <c r="Z79" t="e">
        <f t="shared" si="21"/>
        <v>#N/A</v>
      </c>
      <c r="AA79" t="e">
        <f t="shared" si="25"/>
        <v>#N/A</v>
      </c>
      <c r="AB79" t="e">
        <f t="shared" si="22"/>
        <v>#N/A</v>
      </c>
      <c r="AC79" t="str">
        <f t="array" ref="AC79">IFERROR(INDEX(79:79, SMALL(IF($D79:$U79&lt;&gt;"", COLUMN($D$1:$U79)), COLUMN(A79))), "")</f>
        <v/>
      </c>
      <c r="AD79" t="str">
        <f t="array" ref="AD79">IFERROR(INDEX(79:79, SMALL(IF($D79:$U79&lt;&gt;"", COLUMN($D$1:$U79)), COLUMN(B79))), "")</f>
        <v/>
      </c>
      <c r="AE79" t="str">
        <f t="array" ref="AE79">IFERROR(INDEX(79:79, SMALL(IF($D79:$U79&lt;&gt;"", COLUMN($D$1:$U79)), COLUMN(C79))), "")</f>
        <v/>
      </c>
      <c r="AF79" t="str">
        <f t="array" ref="AF79">IFERROR(INDEX(79:79, SMALL(IF($D79:$U79&lt;&gt;"", COLUMN($D$1:$U79)), COLUMN(D79))), "")</f>
        <v/>
      </c>
      <c r="AG79" t="str">
        <f t="array" ref="AG79">IFERROR(INDEX(79:79, SMALL(IF($D79:$U79&lt;&gt;"", COLUMN($D$1:$U79)), COLUMN(E79))), "")</f>
        <v/>
      </c>
      <c r="AH79" t="str">
        <f t="array" ref="AH79">IFERROR(INDEX(79:79, SMALL(IF($D79:$U79&lt;&gt;"", COLUMN($D$1:$U79)), COLUMN(F79))), "")</f>
        <v/>
      </c>
      <c r="AI79" t="str">
        <f t="array" ref="AI79">IFERROR(INDEX(79:79, SMALL(IF($D79:$U79&lt;&gt;"", COLUMN($D$1:$U79)), COLUMN(G79))), "")</f>
        <v/>
      </c>
      <c r="AJ79" t="str">
        <f t="array" ref="AJ79">IFERROR(INDEX(79:79, SMALL(IF($D79:$U79&lt;&gt;"", COLUMN($D$1:$U79)), COLUMN(H79))), "")</f>
        <v/>
      </c>
      <c r="AK79" t="str">
        <f t="array" ref="AK79">IFERROR(INDEX(79:79, SMALL(IF($D79:$U79&lt;&gt;"", COLUMN($D$1:$U79)), COLUMN(I79))), "")</f>
        <v/>
      </c>
      <c r="AL79" t="str">
        <f t="array" ref="AL79">IFERROR(INDEX(79:79, SMALL(IF($D79:$U79&lt;&gt;"", COLUMN($D$1:$U79)), COLUMN(J79))), "")</f>
        <v/>
      </c>
      <c r="AM79" t="str">
        <f t="array" ref="AM79">IFERROR(INDEX(79:79, SMALL(IF($D79:$U79&lt;&gt;"", COLUMN($D$1:$U79)), COLUMN(K79))), "")</f>
        <v/>
      </c>
      <c r="AN79" t="str">
        <f t="array" ref="AN79">IFERROR(INDEX(79:79, SMALL(IF($D79:$U79&lt;&gt;"", COLUMN($D$1:$U79)), COLUMN(L79))), "")</f>
        <v/>
      </c>
      <c r="AO79" t="str">
        <f t="array" ref="AO79">IFERROR(INDEX(79:79, SMALL(IF($D79:$U79&lt;&gt;"", COLUMN($D$1:$U79)), COLUMN(M79))), "")</f>
        <v/>
      </c>
      <c r="AP79" t="str">
        <f t="array" ref="AP79">IFERROR(INDEX(79:79, SMALL(IF($D79:$U79&lt;&gt;"", COLUMN($D$1:$U79)), COLUMN(N79))), "")</f>
        <v/>
      </c>
      <c r="AQ79" t="str">
        <f t="array" ref="AQ79">IFERROR(INDEX(79:79, SMALL(IF($D79:$U79&lt;&gt;"", COLUMN($D$1:$U79)), COLUMN(O79))), "")</f>
        <v/>
      </c>
      <c r="AR79" s="52" t="s">
        <v>4005</v>
      </c>
      <c r="AS79" t="e">
        <f t="shared" si="23"/>
        <v>#N/A</v>
      </c>
      <c r="AT79" t="e">
        <f t="shared" si="24"/>
        <v>#N/A</v>
      </c>
      <c r="AU79" t="e">
        <f t="shared" si="26"/>
        <v>#N/A</v>
      </c>
      <c r="AV79" t="e">
        <f t="shared" si="27"/>
        <v>#N/A</v>
      </c>
      <c r="AW79" t="e">
        <f t="shared" si="28"/>
        <v>#N/A</v>
      </c>
      <c r="AX79" t="e">
        <f t="shared" si="29"/>
        <v>#N/A</v>
      </c>
      <c r="AZ79" t="str">
        <f t="array" ref="AZ79">IFERROR(INDEX(79:79, SMALL(IF($AC79:$AX79&lt;&gt;"", COLUMN($AC$1:$AX79)), COLUMN(A79))), "")</f>
        <v/>
      </c>
      <c r="BA79" t="str">
        <f t="array" ref="BA79">IFERROR(INDEX(79:79, SMALL(IF($AC79:$AX79&lt;&gt;"", COLUMN($AC$1:$AX79)), COLUMN(B79))), "")</f>
        <v/>
      </c>
      <c r="BB79" t="str">
        <f t="array" ref="BB79">IFERROR(INDEX(79:79, SMALL(IF($AC79:$AX79&lt;&gt;"", COLUMN($AC$1:$AX79)), COLUMN(C79))), "")</f>
        <v/>
      </c>
      <c r="BC79" t="str">
        <f t="array" ref="BC79">IFERROR(INDEX(79:79, SMALL(IF($AC79:$AX79&lt;&gt;"", COLUMN($AC$1:$AX79)), COLUMN(D79))), "")</f>
        <v/>
      </c>
      <c r="BD79" t="str">
        <f t="array" ref="BD79">IFERROR(INDEX(79:79, SMALL(IF($AC79:$AX79&lt;&gt;"", COLUMN($AC$1:$AX79)), COLUMN(E79))), "")</f>
        <v/>
      </c>
      <c r="BE79" t="str">
        <f t="array" ref="BE79">IFERROR(INDEX(79:79, SMALL(IF($AC79:$AX79&lt;&gt;"", COLUMN($AC$1:$AX79)), COLUMN(F79))), "")</f>
        <v/>
      </c>
      <c r="BF79" t="str">
        <f t="array" ref="BF79">IFERROR(IF(AND(COUNTIF($B79,"*泉ヶ丘*"),COUNTIF($B80,"*泉ヶ丘*")),
IFERROR(INDEX(80:80, SMALL(IF($AC80:$AX80&lt;&gt;"", COLUMN($AC$1:$AX80)), COLUMN(A80))), ""),
INDEX(79:79, SMALL(IF($AC79:$AX79&lt;&gt;"", COLUMN($AC$1:$AX79)), COLUMN(G79)))), "")</f>
        <v/>
      </c>
      <c r="BG79" t="str">
        <f t="array" ref="BG79">IFERROR(IF(AND(COUNTIF($B79,"*泉ヶ丘*"),COUNTIF($B80,"*泉ヶ丘*")),
IFERROR(INDEX(80:80, SMALL(IF($AC80:$AX80&lt;&gt;"", COLUMN($AC$1:$AX80)), COLUMN(B80))), ""),
INDEX(79:79, SMALL(IF($AC79:$AX79&lt;&gt;"", COLUMN($AC$1:$AX79)), COLUMN(H79)))), "")</f>
        <v/>
      </c>
      <c r="BH79" t="str">
        <f t="array" ref="BH79">IFERROR(IF(AND(COUNTIF($B79,"*泉ヶ丘*"),COUNTIF($B80,"*泉ヶ丘*")),
IFERROR(INDEX(80:80, SMALL(IF($AC80:$AX80&lt;&gt;"", COLUMN($AC$1:$AX80)), COLUMN(C80))), ""),
INDEX(79:79, SMALL(IF($AC79:$AX79&lt;&gt;"", COLUMN($AC$1:$AX79)), COLUMN(I79)))), "")</f>
        <v/>
      </c>
      <c r="BI79" t="str">
        <f t="array" ref="BI79">IFERROR(IF(AND(COUNTIF($B79,"*泉ヶ丘*"),COUNTIF($B80,"*泉ヶ丘*")),
IFERROR(INDEX(80:80, SMALL(IF($AC80:$AX80&lt;&gt;"", COLUMN($AC$1:$AX80)), COLUMN(D80))), ""),
INDEX(79:79, SMALL(IF($AC79:$AX79&lt;&gt;"", COLUMN($AC$1:$AX79)), COLUMN(J79)))), "")</f>
        <v/>
      </c>
      <c r="BJ79" t="str">
        <f t="array" ref="BJ79">IFERROR(IF(AND(COUNTIF($B79,"*泉ヶ丘*"),COUNTIF($B80,"*泉ヶ丘*")),
IFERROR(INDEX(80:80, SMALL(IF($AC80:$AX80&lt;&gt;"", COLUMN($AC$1:$AX80)), COLUMN(E80))), ""),
INDEX(79:79, SMALL(IF($AC79:$AX79&lt;&gt;"", COLUMN($AC$1:$AX79)), COLUMN(K79)))), "")</f>
        <v/>
      </c>
      <c r="BK79" t="str">
        <f t="array" ref="BK79">IFERROR(IF(AND(COUNTIF($B79,"*泉ヶ丘*"),COUNTIF($B80,"*泉ヶ丘*")),
IFERROR(INDEX(80:80, SMALL(IF($AC80:$AX80&lt;&gt;"", COLUMN($AC$1:$AX80)), COLUMN(F80))), ""),
INDEX(79:79, SMALL(IF($AC79:$AX79&lt;&gt;"", COLUMN($AC$1:$AX79)), COLUMN(L79)))), "")</f>
        <v/>
      </c>
      <c r="BL79" t="str">
        <f t="array" ref="BL79">IFERROR(IF(AND(COUNTIF($B79,"*泉ヶ丘*"),COUNTIF($B80,"*泉ヶ丘*")),
IFERROR(INDEX(80:80, SMALL(IF($AC80:$AX80&lt;&gt;"", COLUMN($AC$1:$AX80)), COLUMN(G80))), ""),
INDEX(79:79, SMALL(IF($AC79:$AX79&lt;&gt;"", COLUMN($AC$1:$AX79)), COLUMN(M79)))), "")</f>
        <v/>
      </c>
      <c r="BM79" t="str">
        <f t="array" ref="BM79">IFERROR(IF(AND(COUNTIF($B79,"*泉ヶ丘*"),COUNTIF($B80,"*泉ヶ丘*")),
IFERROR(INDEX(80:80, SMALL(IF($AC80:$AX80&lt;&gt;"", COLUMN($AC$1:$AX80)), COLUMN(H80))), ""),
INDEX(79:79, SMALL(IF($AC79:$AX79&lt;&gt;"", COLUMN($AC$1:$AX79)), COLUMN(N79)))), "")</f>
        <v/>
      </c>
      <c r="BN79" t="str">
        <f t="array" ref="BN79">IFERROR(IF(AND(COUNTIF($B79,"*泉ヶ丘*"),COUNTIF($B80,"*泉ヶ丘*")),
IFERROR(INDEX(80:80, SMALL(IF($AC80:$AX80&lt;&gt;"", COLUMN($AC$1:$AX80)), COLUMN(I80))), ""),
INDEX(79:79, SMALL(IF($AC79:$AX79&lt;&gt;"", COLUMN($AC$1:$AX79)), COLUMN(O79)))), "")</f>
        <v/>
      </c>
      <c r="BO79" t="str">
        <f t="array" ref="BO79">IFERROR(IF(AND(COUNTIF($B79,"*泉ヶ丘*"),COUNTIF($B80,"*泉ヶ丘*")),
IFERROR(INDEX(80:80, SMALL(IF($AC80:$AX80&lt;&gt;"", COLUMN($AC$1:$AX80)), COLUMN(J80))), ""),
INDEX(79:79, SMALL(IF($AC79:$AX79&lt;&gt;"", COLUMN($AC$1:$AX79)), COLUMN(P79)))), "")</f>
        <v/>
      </c>
      <c r="BP79" t="str">
        <f t="array" ref="BP79">IFERROR(IF(AND(COUNTIF($B79,"*泉ヶ丘*"),COUNTIF($B80,"*泉ヶ丘*")),
IFERROR(INDEX(80:80, SMALL(IF($AC80:$AX80&lt;&gt;"", COLUMN($AC$1:$AX80)), COLUMN(K80))), ""),
INDEX(79:79, SMALL(IF($AC79:$AX79&lt;&gt;"", COLUMN($AC$1:$AX79)), COLUMN(Q79)))), "")</f>
        <v/>
      </c>
      <c r="BQ79" t="str">
        <f t="array" ref="BQ79">IFERROR(IF(AND(COUNTIF($B79,"*泉ヶ丘*"),COUNTIF($B80,"*泉ヶ丘*")),
IFERROR(INDEX(80:80, SMALL(IF($AC80:$AX80&lt;&gt;"", COLUMN($AC$1:$AX80)), COLUMN(L80))), ""),
INDEX(79:79, SMALL(IF($AC79:$AX79&lt;&gt;"", COLUMN($AC$1:$AX79)), COLUMN(R79)))), "")</f>
        <v/>
      </c>
    </row>
    <row r="80" spans="1:69" x14ac:dyDescent="0.45">
      <c r="A80" t="e">
        <f t="array" ref="A80">IF(INDEX(貼り付け用!A:A,MATCH(A79,貼り付け用!A:A,0)+2)="4700",
IF(INDEX(貼り付け用!A:A,MATCH(A79,貼り付け用!A:A,0)+4)="4800",
INDEX(貼り付け用!A:A,MATCH(A79,貼り付け用!A:A,0)+6),
INDEX(貼り付け用!A:A,MATCH(A79,貼り付け用!A:A,0)+4)),INDEX(貼り付け用!A:A,MATCH(A79,貼り付け用!A:A,0)+2))</f>
        <v>#N/A</v>
      </c>
      <c r="B80" t="e">
        <f>IF(A80&lt;&gt;"",
VLOOKUP(A80,得意先マスタ!A:D,2,FALSE),"")</f>
        <v>#N/A</v>
      </c>
      <c r="C80" t="e">
        <f t="array" ref="C80">IF(A80="10000","",INDEX(貼り付け用!A:A,MATCH(A80,貼り付け用!A:A,0)+1))</f>
        <v>#N/A</v>
      </c>
      <c r="D80" t="e">
        <f>VLOOKUP(C80,クライアント抽出!$A:$O,10,FALSE)</f>
        <v>#N/A</v>
      </c>
      <c r="E80" t="e">
        <f>IF(D80&lt;&gt;"",
IF(COUNTIF(C80,"*ぺんぎん*"),
VLOOKUP(
"*"&amp;IF(COUNTIF(D80,"*キャラ弁*"),"キャラ",
IF(COUNTIF(D80,"*赤*"),"赤",SUBSTITUTE(SUBSTITUTE(D80," ",""),"　","")))&amp;"*",
注文弁当の抽出!$F:$I,4,FALSE)&amp;
IF(COUNTIF(D80,"*おにぎり*"),"　おにぎり","")&amp;"　（ぺんぎん組）",
VLOOKUP(
"*"&amp;IF(COUNTIF(D80,"*キャラ弁*"),"キャラ",
IF(COUNTIF(D80,"*赤*"),"赤",SUBSTITUTE(SUBSTITUTE(D80," ",""),"　","")))&amp;"*",
注文弁当の抽出!$F:$I,4,FALSE)&amp;
IF(COUNTIF(D80,"*おにぎり*"),"　おにぎり","")),"")</f>
        <v>#N/A</v>
      </c>
      <c r="F80" t="str">
        <f>IFERROR(IF(E80&lt;&gt;"",
VLOOKUP(C80,クライアント抽出!$A:$G,2,FALSE)+
IF(COUNTIF(Y80,"*-*"),Y80,0),"")
-IFERROR(MID(V80, SEARCH("予備", V80) + LEN("予備"), SEARCH("込み", V80) - (SEARCH("予備", V80) + LEN("予備"))),0),"")</f>
        <v/>
      </c>
      <c r="G80" t="e">
        <f>VLOOKUP(C80,クライアント抽出!$A:$O,11,FALSE)</f>
        <v>#N/A</v>
      </c>
      <c r="H80" t="e">
        <f>IF(G80&lt;&gt;"",
VLOOKUP(
"*"&amp;IF(COUNTIF(G80,"*キャラ弁*"),"キャラ",
IF(COUNTIF(G80,"*赤*"),"赤",SUBSTITUTE(SUBSTITUTE(G80," ",""),"　","")))&amp;"*",
注文弁当の抽出!$F:$I,4,FALSE)&amp;
IF(COUNTIF(G80,"*おにぎり*"),"　おにぎり",""),"")</f>
        <v>#N/A</v>
      </c>
      <c r="I80" t="e">
        <f>IF(H80&lt;&gt;"",
VLOOKUP(C80,クライアント抽出!$A:$G,3,FALSE)+
IF(COUNTIF(C80,"*博多*"),Y80,Z80),"")</f>
        <v>#N/A</v>
      </c>
      <c r="J80" t="e">
        <f>VLOOKUP(C80,クライアント抽出!$A:$O,12,FALSE)</f>
        <v>#N/A</v>
      </c>
      <c r="K80" t="e">
        <f>IF(J80&lt;&gt;"",
VLOOKUP(
"*"&amp;IF(COUNTIF(J80,"*キャラ弁*"),"キャラ",
IF(COUNTIF(J80,"*赤*"),"赤",SUBSTITUTE(SUBSTITUTE(J80," ",""),"　","")))&amp;"*",
注文弁当の抽出!$F:$I,4,FALSE)&amp;
IF(COUNTIF(J80,"*おにぎり*"),"　おにぎり",""),"")</f>
        <v>#N/A</v>
      </c>
      <c r="L80" t="e">
        <f>IF(K80&lt;&gt;"",
VLOOKUP(C80,クライアント抽出!$A:$G,4,FALSE)+AA80,"")</f>
        <v>#N/A</v>
      </c>
      <c r="M80" t="e">
        <f>VLOOKUP(C80,クライアント抽出!$A:$O,13,FALSE)</f>
        <v>#N/A</v>
      </c>
      <c r="N80" t="e">
        <f>SUBSTITUTE(
IF(M80&lt;&gt;"",
VLOOKUP(
"*"&amp;IF(COUNTIF(M80,"*キャラ弁*"),"キャラ",
IF(COUNTIF(M80,"*赤*"),"赤",SUBSTITUTE(SUBSTITUTE(D80," ",""),"　","")))&amp;"*",
注文弁当の抽出!$F:$I,4,FALSE),""),"園児","先生")&amp;
IF(COUNTIF(M80,"*おにぎり*"),"　おにぎり","")</f>
        <v>#N/A</v>
      </c>
      <c r="O80" t="e">
        <f>IF(N80&lt;&gt;"",VLOOKUP(C80,クライアント抽出!$A:$G,5,FALSE),"")</f>
        <v>#N/A</v>
      </c>
      <c r="P80" t="e">
        <f>VLOOKUP(C80,クライアント抽出!$A:$O,14,FALSE)</f>
        <v>#N/A</v>
      </c>
      <c r="Q80" t="e">
        <f>SUBSTITUTE(
IF(P80&lt;&gt;"",
VLOOKUP(
"*"&amp;IF(COUNTIF(P80,"*キャラ弁*"),"キャラ",
IF(COUNTIF(P80,"*赤*"),"赤",SUBSTITUTE(SUBSTITUTE(G80," ",""),"　","")))&amp;"*",
注文弁当の抽出!$F:$I,4,FALSE),""),"園児","先生")&amp;
IF(COUNTIF(P80,"*おにぎり*"),"　おにぎり","")</f>
        <v>#N/A</v>
      </c>
      <c r="R80" t="e">
        <f>IF(Q80&lt;&gt;"",
VLOOKUP(C80,クライアント抽出!$A:$G,6,FALSE),"")</f>
        <v>#N/A</v>
      </c>
      <c r="S80" t="e">
        <f>VLOOKUP(C80,クライアント抽出!$A:$O,15,FALSE)</f>
        <v>#N/A</v>
      </c>
      <c r="T80" t="e">
        <f>SUBSTITUTE(
IF(S80&lt;&gt;"",
VLOOKUP(
"*"&amp;IF(COUNTIF(S80,"*キャラ弁*"),"キャラ",
IF(COUNTIF(S80,"*赤*"),"赤",SUBSTITUTE(SUBSTITUTE(J80," ",""),"　","")))&amp;"*",
注文弁当の抽出!$F:$I,4,FALSE),""),"園児","先生")&amp;
IF(COUNTIF(S80,"*おにぎり*"),"　おにぎり","")</f>
        <v>#N/A</v>
      </c>
      <c r="U80" t="e">
        <f>IF(T80&lt;&gt;"",
VLOOKUP(C80,クライアント抽出!$A:$G,7,FALSE),"")</f>
        <v>#N/A</v>
      </c>
      <c r="V80" t="e">
        <f>IF(A80&lt;&gt;"",
IF(COUNTIF(V79,"*牛乳*"),
IF(AND(COUNTIF(B79,"*奈良屋*"),COUNTIF(B80,"*奈良屋*")),
V79&amp;"✔",""),VLOOKUP(""&amp;A80&amp;"",数出表_Excel!$A:$Z,22,FALSE)&amp;VLOOKUP(""&amp;A80&amp;"",数出表_Excel!$A:$Z,23,FALSE)
&amp;VLOOKUP(""&amp;C80&amp;"",数出表_Excel!$A:$Z,22,FALSE)&amp;VLOOKUP(""&amp;C80&amp;"",数出表_Excel!$A:$Z,23,FALSE)),"")</f>
        <v>#N/A</v>
      </c>
      <c r="W80" t="e">
        <f>IF(AND(COUNTIF(V80,"&lt;&gt;*不要*"),A80&lt;&gt;""),VLOOKUP(A80,得意先マスタ!$A:$AD,24,FALSE),0)</f>
        <v>#N/A</v>
      </c>
      <c r="X80" t="e">
        <f>IF(AND(COUNTIF(V80,"&lt;&gt;*不要*"),A80&lt;&gt;""),VLOOKUP(A80,得意先マスタ!$A:$AD,25,FALSE),0)</f>
        <v>#N/A</v>
      </c>
      <c r="Y80" t="e">
        <f t="shared" si="20"/>
        <v>#N/A</v>
      </c>
      <c r="Z80" t="e">
        <f t="shared" si="21"/>
        <v>#N/A</v>
      </c>
      <c r="AA80" t="e">
        <f t="shared" si="25"/>
        <v>#N/A</v>
      </c>
      <c r="AB80" t="e">
        <f t="shared" si="22"/>
        <v>#N/A</v>
      </c>
      <c r="AC80" t="str">
        <f t="array" ref="AC80">IFERROR(INDEX(80:80, SMALL(IF($D80:$U80&lt;&gt;"", COLUMN($D$1:$U80)), COLUMN(A80))), "")</f>
        <v/>
      </c>
      <c r="AD80" t="str">
        <f t="array" ref="AD80">IFERROR(INDEX(80:80, SMALL(IF($D80:$U80&lt;&gt;"", COLUMN($D$1:$U80)), COLUMN(B80))), "")</f>
        <v/>
      </c>
      <c r="AE80" t="str">
        <f t="array" ref="AE80">IFERROR(INDEX(80:80, SMALL(IF($D80:$U80&lt;&gt;"", COLUMN($D$1:$U80)), COLUMN(C80))), "")</f>
        <v/>
      </c>
      <c r="AF80" t="str">
        <f t="array" ref="AF80">IFERROR(INDEX(80:80, SMALL(IF($D80:$U80&lt;&gt;"", COLUMN($D$1:$U80)), COLUMN(D80))), "")</f>
        <v/>
      </c>
      <c r="AG80" t="str">
        <f t="array" ref="AG80">IFERROR(INDEX(80:80, SMALL(IF($D80:$U80&lt;&gt;"", COLUMN($D$1:$U80)), COLUMN(E80))), "")</f>
        <v/>
      </c>
      <c r="AH80" t="str">
        <f t="array" ref="AH80">IFERROR(INDEX(80:80, SMALL(IF($D80:$U80&lt;&gt;"", COLUMN($D$1:$U80)), COLUMN(F80))), "")</f>
        <v/>
      </c>
      <c r="AI80" t="str">
        <f t="array" ref="AI80">IFERROR(INDEX(80:80, SMALL(IF($D80:$U80&lt;&gt;"", COLUMN($D$1:$U80)), COLUMN(G80))), "")</f>
        <v/>
      </c>
      <c r="AJ80" t="str">
        <f t="array" ref="AJ80">IFERROR(INDEX(80:80, SMALL(IF($D80:$U80&lt;&gt;"", COLUMN($D$1:$U80)), COLUMN(H80))), "")</f>
        <v/>
      </c>
      <c r="AK80" t="str">
        <f t="array" ref="AK80">IFERROR(INDEX(80:80, SMALL(IF($D80:$U80&lt;&gt;"", COLUMN($D$1:$U80)), COLUMN(I80))), "")</f>
        <v/>
      </c>
      <c r="AL80" t="str">
        <f t="array" ref="AL80">IFERROR(INDEX(80:80, SMALL(IF($D80:$U80&lt;&gt;"", COLUMN($D$1:$U80)), COLUMN(J80))), "")</f>
        <v/>
      </c>
      <c r="AM80" t="str">
        <f t="array" ref="AM80">IFERROR(INDEX(80:80, SMALL(IF($D80:$U80&lt;&gt;"", COLUMN($D$1:$U80)), COLUMN(K80))), "")</f>
        <v/>
      </c>
      <c r="AN80" t="str">
        <f t="array" ref="AN80">IFERROR(INDEX(80:80, SMALL(IF($D80:$U80&lt;&gt;"", COLUMN($D$1:$U80)), COLUMN(L80))), "")</f>
        <v/>
      </c>
      <c r="AO80" t="str">
        <f t="array" ref="AO80">IFERROR(INDEX(80:80, SMALL(IF($D80:$U80&lt;&gt;"", COLUMN($D$1:$U80)), COLUMN(M80))), "")</f>
        <v/>
      </c>
      <c r="AP80" t="str">
        <f t="array" ref="AP80">IFERROR(INDEX(80:80, SMALL(IF($D80:$U80&lt;&gt;"", COLUMN($D$1:$U80)), COLUMN(N80))), "")</f>
        <v/>
      </c>
      <c r="AQ80" t="str">
        <f t="array" ref="AQ80">IFERROR(INDEX(80:80, SMALL(IF($D80:$U80&lt;&gt;"", COLUMN($D$1:$U80)), COLUMN(O80))), "")</f>
        <v/>
      </c>
      <c r="AR80" s="52" t="s">
        <v>4005</v>
      </c>
      <c r="AS80" t="e">
        <f t="shared" si="23"/>
        <v>#N/A</v>
      </c>
      <c r="AT80" t="e">
        <f t="shared" si="24"/>
        <v>#N/A</v>
      </c>
      <c r="AU80" t="e">
        <f t="shared" si="26"/>
        <v>#N/A</v>
      </c>
      <c r="AV80" t="e">
        <f t="shared" si="27"/>
        <v>#N/A</v>
      </c>
      <c r="AW80" t="e">
        <f t="shared" si="28"/>
        <v>#N/A</v>
      </c>
      <c r="AX80" t="e">
        <f t="shared" si="29"/>
        <v>#N/A</v>
      </c>
      <c r="AZ80" t="str">
        <f t="array" ref="AZ80">IFERROR(INDEX(80:80, SMALL(IF($AC80:$AX80&lt;&gt;"", COLUMN($AC$1:$AX80)), COLUMN(A80))), "")</f>
        <v/>
      </c>
      <c r="BA80" t="str">
        <f t="array" ref="BA80">IFERROR(INDEX(80:80, SMALL(IF($AC80:$AX80&lt;&gt;"", COLUMN($AC$1:$AX80)), COLUMN(B80))), "")</f>
        <v/>
      </c>
      <c r="BB80" t="str">
        <f t="array" ref="BB80">IFERROR(INDEX(80:80, SMALL(IF($AC80:$AX80&lt;&gt;"", COLUMN($AC$1:$AX80)), COLUMN(C80))), "")</f>
        <v/>
      </c>
      <c r="BC80" t="str">
        <f t="array" ref="BC80">IFERROR(INDEX(80:80, SMALL(IF($AC80:$AX80&lt;&gt;"", COLUMN($AC$1:$AX80)), COLUMN(D80))), "")</f>
        <v/>
      </c>
      <c r="BD80" t="str">
        <f t="array" ref="BD80">IFERROR(INDEX(80:80, SMALL(IF($AC80:$AX80&lt;&gt;"", COLUMN($AC$1:$AX80)), COLUMN(E80))), "")</f>
        <v/>
      </c>
      <c r="BE80" t="str">
        <f t="array" ref="BE80">IFERROR(INDEX(80:80, SMALL(IF($AC80:$AX80&lt;&gt;"", COLUMN($AC$1:$AX80)), COLUMN(F80))), "")</f>
        <v/>
      </c>
      <c r="BF80" t="str">
        <f t="array" ref="BF80">IFERROR(IF(AND(COUNTIF($B80,"*泉ヶ丘*"),COUNTIF($B81,"*泉ヶ丘*")),
IFERROR(INDEX(81:81, SMALL(IF($AC81:$AX81&lt;&gt;"", COLUMN($AC$1:$AX81)), COLUMN(A81))), ""),
INDEX(80:80, SMALL(IF($AC80:$AX80&lt;&gt;"", COLUMN($AC$1:$AX80)), COLUMN(G80)))), "")</f>
        <v/>
      </c>
      <c r="BG80" t="str">
        <f t="array" ref="BG80">IFERROR(IF(AND(COUNTIF($B80,"*泉ヶ丘*"),COUNTIF($B81,"*泉ヶ丘*")),
IFERROR(INDEX(81:81, SMALL(IF($AC81:$AX81&lt;&gt;"", COLUMN($AC$1:$AX81)), COLUMN(B81))), ""),
INDEX(80:80, SMALL(IF($AC80:$AX80&lt;&gt;"", COLUMN($AC$1:$AX80)), COLUMN(H80)))), "")</f>
        <v/>
      </c>
      <c r="BH80" t="str">
        <f t="array" ref="BH80">IFERROR(IF(AND(COUNTIF($B80,"*泉ヶ丘*"),COUNTIF($B81,"*泉ヶ丘*")),
IFERROR(INDEX(81:81, SMALL(IF($AC81:$AX81&lt;&gt;"", COLUMN($AC$1:$AX81)), COLUMN(C81))), ""),
INDEX(80:80, SMALL(IF($AC80:$AX80&lt;&gt;"", COLUMN($AC$1:$AX80)), COLUMN(I80)))), "")</f>
        <v/>
      </c>
      <c r="BI80" t="str">
        <f t="array" ref="BI80">IFERROR(IF(AND(COUNTIF($B80,"*泉ヶ丘*"),COUNTIF($B81,"*泉ヶ丘*")),
IFERROR(INDEX(81:81, SMALL(IF($AC81:$AX81&lt;&gt;"", COLUMN($AC$1:$AX81)), COLUMN(D81))), ""),
INDEX(80:80, SMALL(IF($AC80:$AX80&lt;&gt;"", COLUMN($AC$1:$AX80)), COLUMN(J80)))), "")</f>
        <v/>
      </c>
      <c r="BJ80" t="str">
        <f t="array" ref="BJ80">IFERROR(IF(AND(COUNTIF($B80,"*泉ヶ丘*"),COUNTIF($B81,"*泉ヶ丘*")),
IFERROR(INDEX(81:81, SMALL(IF($AC81:$AX81&lt;&gt;"", COLUMN($AC$1:$AX81)), COLUMN(E81))), ""),
INDEX(80:80, SMALL(IF($AC80:$AX80&lt;&gt;"", COLUMN($AC$1:$AX80)), COLUMN(K80)))), "")</f>
        <v/>
      </c>
      <c r="BK80" t="str">
        <f t="array" ref="BK80">IFERROR(IF(AND(COUNTIF($B80,"*泉ヶ丘*"),COUNTIF($B81,"*泉ヶ丘*")),
IFERROR(INDEX(81:81, SMALL(IF($AC81:$AX81&lt;&gt;"", COLUMN($AC$1:$AX81)), COLUMN(F81))), ""),
INDEX(80:80, SMALL(IF($AC80:$AX80&lt;&gt;"", COLUMN($AC$1:$AX80)), COLUMN(L80)))), "")</f>
        <v/>
      </c>
      <c r="BL80" t="str">
        <f t="array" ref="BL80">IFERROR(IF(AND(COUNTIF($B80,"*泉ヶ丘*"),COUNTIF($B81,"*泉ヶ丘*")),
IFERROR(INDEX(81:81, SMALL(IF($AC81:$AX81&lt;&gt;"", COLUMN($AC$1:$AX81)), COLUMN(G81))), ""),
INDEX(80:80, SMALL(IF($AC80:$AX80&lt;&gt;"", COLUMN($AC$1:$AX80)), COLUMN(M80)))), "")</f>
        <v/>
      </c>
      <c r="BM80" t="str">
        <f t="array" ref="BM80">IFERROR(IF(AND(COUNTIF($B80,"*泉ヶ丘*"),COUNTIF($B81,"*泉ヶ丘*")),
IFERROR(INDEX(81:81, SMALL(IF($AC81:$AX81&lt;&gt;"", COLUMN($AC$1:$AX81)), COLUMN(H81))), ""),
INDEX(80:80, SMALL(IF($AC80:$AX80&lt;&gt;"", COLUMN($AC$1:$AX80)), COLUMN(N80)))), "")</f>
        <v/>
      </c>
      <c r="BN80" t="str">
        <f t="array" ref="BN80">IFERROR(IF(AND(COUNTIF($B80,"*泉ヶ丘*"),COUNTIF($B81,"*泉ヶ丘*")),
IFERROR(INDEX(81:81, SMALL(IF($AC81:$AX81&lt;&gt;"", COLUMN($AC$1:$AX81)), COLUMN(I81))), ""),
INDEX(80:80, SMALL(IF($AC80:$AX80&lt;&gt;"", COLUMN($AC$1:$AX80)), COLUMN(O80)))), "")</f>
        <v/>
      </c>
      <c r="BO80" t="str">
        <f t="array" ref="BO80">IFERROR(IF(AND(COUNTIF($B80,"*泉ヶ丘*"),COUNTIF($B81,"*泉ヶ丘*")),
IFERROR(INDEX(81:81, SMALL(IF($AC81:$AX81&lt;&gt;"", COLUMN($AC$1:$AX81)), COLUMN(J81))), ""),
INDEX(80:80, SMALL(IF($AC80:$AX80&lt;&gt;"", COLUMN($AC$1:$AX80)), COLUMN(P80)))), "")</f>
        <v/>
      </c>
      <c r="BP80" t="str">
        <f t="array" ref="BP80">IFERROR(IF(AND(COUNTIF($B80,"*泉ヶ丘*"),COUNTIF($B81,"*泉ヶ丘*")),
IFERROR(INDEX(81:81, SMALL(IF($AC81:$AX81&lt;&gt;"", COLUMN($AC$1:$AX81)), COLUMN(K81))), ""),
INDEX(80:80, SMALL(IF($AC80:$AX80&lt;&gt;"", COLUMN($AC$1:$AX80)), COLUMN(Q80)))), "")</f>
        <v/>
      </c>
      <c r="BQ80" t="str">
        <f t="array" ref="BQ80">IFERROR(IF(AND(COUNTIF($B80,"*泉ヶ丘*"),COUNTIF($B81,"*泉ヶ丘*")),
IFERROR(INDEX(81:81, SMALL(IF($AC81:$AX81&lt;&gt;"", COLUMN($AC$1:$AX81)), COLUMN(L81))), ""),
INDEX(80:80, SMALL(IF($AC80:$AX80&lt;&gt;"", COLUMN($AC$1:$AX80)), COLUMN(R80)))), "")</f>
        <v/>
      </c>
    </row>
    <row r="81" spans="1:69" x14ac:dyDescent="0.45">
      <c r="A81" t="e">
        <f t="array" ref="A81">IF(INDEX(貼り付け用!A:A,MATCH(A80,貼り付け用!A:A,0)+2)="4700",
IF(INDEX(貼り付け用!A:A,MATCH(A80,貼り付け用!A:A,0)+4)="4800",
INDEX(貼り付け用!A:A,MATCH(A80,貼り付け用!A:A,0)+6),
INDEX(貼り付け用!A:A,MATCH(A80,貼り付け用!A:A,0)+4)),INDEX(貼り付け用!A:A,MATCH(A80,貼り付け用!A:A,0)+2))</f>
        <v>#N/A</v>
      </c>
      <c r="B81" t="e">
        <f>IF(A81&lt;&gt;"",
VLOOKUP(A81,得意先マスタ!A:D,2,FALSE),"")</f>
        <v>#N/A</v>
      </c>
      <c r="C81" t="e">
        <f t="array" ref="C81">IF(A81="10000","",INDEX(貼り付け用!A:A,MATCH(A81,貼り付け用!A:A,0)+1))</f>
        <v>#N/A</v>
      </c>
      <c r="D81" t="e">
        <f>VLOOKUP(C81,クライアント抽出!$A:$O,10,FALSE)</f>
        <v>#N/A</v>
      </c>
      <c r="E81" t="e">
        <f>IF(D81&lt;&gt;"",
IF(COUNTIF(C81,"*ぺんぎん*"),
VLOOKUP(
"*"&amp;IF(COUNTIF(D81,"*キャラ弁*"),"キャラ",
IF(COUNTIF(D81,"*赤*"),"赤",SUBSTITUTE(SUBSTITUTE(D81," ",""),"　","")))&amp;"*",
注文弁当の抽出!$F:$I,4,FALSE)&amp;
IF(COUNTIF(D81,"*おにぎり*"),"　おにぎり","")&amp;"　（ぺんぎん組）",
VLOOKUP(
"*"&amp;IF(COUNTIF(D81,"*キャラ弁*"),"キャラ",
IF(COUNTIF(D81,"*赤*"),"赤",SUBSTITUTE(SUBSTITUTE(D81," ",""),"　","")))&amp;"*",
注文弁当の抽出!$F:$I,4,FALSE)&amp;
IF(COUNTIF(D81,"*おにぎり*"),"　おにぎり","")),"")</f>
        <v>#N/A</v>
      </c>
      <c r="F81" t="str">
        <f>IFERROR(IF(E81&lt;&gt;"",
VLOOKUP(C81,クライアント抽出!$A:$G,2,FALSE)+
IF(COUNTIF(Y81,"*-*"),Y81,0),"")
-IFERROR(MID(V81, SEARCH("予備", V81) + LEN("予備"), SEARCH("込み", V81) - (SEARCH("予備", V81) + LEN("予備"))),0),"")</f>
        <v/>
      </c>
      <c r="G81" t="e">
        <f>VLOOKUP(C81,クライアント抽出!$A:$O,11,FALSE)</f>
        <v>#N/A</v>
      </c>
      <c r="H81" t="e">
        <f>IF(G81&lt;&gt;"",
VLOOKUP(
"*"&amp;IF(COUNTIF(G81,"*キャラ弁*"),"キャラ",
IF(COUNTIF(G81,"*赤*"),"赤",SUBSTITUTE(SUBSTITUTE(G81," ",""),"　","")))&amp;"*",
注文弁当の抽出!$F:$I,4,FALSE)&amp;
IF(COUNTIF(G81,"*おにぎり*"),"　おにぎり",""),"")</f>
        <v>#N/A</v>
      </c>
      <c r="I81" t="e">
        <f>IF(H81&lt;&gt;"",
VLOOKUP(C81,クライアント抽出!$A:$G,3,FALSE)+
IF(COUNTIF(C81,"*博多*"),Y81,Z81),"")</f>
        <v>#N/A</v>
      </c>
      <c r="J81" t="e">
        <f>VLOOKUP(C81,クライアント抽出!$A:$O,12,FALSE)</f>
        <v>#N/A</v>
      </c>
      <c r="K81" t="e">
        <f>IF(J81&lt;&gt;"",
VLOOKUP(
"*"&amp;IF(COUNTIF(J81,"*キャラ弁*"),"キャラ",
IF(COUNTIF(J81,"*赤*"),"赤",SUBSTITUTE(SUBSTITUTE(J81," ",""),"　","")))&amp;"*",
注文弁当の抽出!$F:$I,4,FALSE)&amp;
IF(COUNTIF(J81,"*おにぎり*"),"　おにぎり",""),"")</f>
        <v>#N/A</v>
      </c>
      <c r="L81" t="e">
        <f>IF(K81&lt;&gt;"",
VLOOKUP(C81,クライアント抽出!$A:$G,4,FALSE)+AA81,"")</f>
        <v>#N/A</v>
      </c>
      <c r="M81" t="e">
        <f>VLOOKUP(C81,クライアント抽出!$A:$O,13,FALSE)</f>
        <v>#N/A</v>
      </c>
      <c r="N81" t="e">
        <f>SUBSTITUTE(
IF(M81&lt;&gt;"",
VLOOKUP(
"*"&amp;IF(COUNTIF(M81,"*キャラ弁*"),"キャラ",
IF(COUNTIF(M81,"*赤*"),"赤",SUBSTITUTE(SUBSTITUTE(D81," ",""),"　","")))&amp;"*",
注文弁当の抽出!$F:$I,4,FALSE),""),"園児","先生")&amp;
IF(COUNTIF(M81,"*おにぎり*"),"　おにぎり","")</f>
        <v>#N/A</v>
      </c>
      <c r="O81" t="e">
        <f>IF(N81&lt;&gt;"",VLOOKUP(C81,クライアント抽出!$A:$G,5,FALSE),"")</f>
        <v>#N/A</v>
      </c>
      <c r="P81" t="e">
        <f>VLOOKUP(C81,クライアント抽出!$A:$O,14,FALSE)</f>
        <v>#N/A</v>
      </c>
      <c r="Q81" t="e">
        <f>SUBSTITUTE(
IF(P81&lt;&gt;"",
VLOOKUP(
"*"&amp;IF(COUNTIF(P81,"*キャラ弁*"),"キャラ",
IF(COUNTIF(P81,"*赤*"),"赤",SUBSTITUTE(SUBSTITUTE(G81," ",""),"　","")))&amp;"*",
注文弁当の抽出!$F:$I,4,FALSE),""),"園児","先生")&amp;
IF(COUNTIF(P81,"*おにぎり*"),"　おにぎり","")</f>
        <v>#N/A</v>
      </c>
      <c r="R81" t="e">
        <f>IF(Q81&lt;&gt;"",
VLOOKUP(C81,クライアント抽出!$A:$G,6,FALSE),"")</f>
        <v>#N/A</v>
      </c>
      <c r="S81" t="e">
        <f>VLOOKUP(C81,クライアント抽出!$A:$O,15,FALSE)</f>
        <v>#N/A</v>
      </c>
      <c r="T81" t="e">
        <f>SUBSTITUTE(
IF(S81&lt;&gt;"",
VLOOKUP(
"*"&amp;IF(COUNTIF(S81,"*キャラ弁*"),"キャラ",
IF(COUNTIF(S81,"*赤*"),"赤",SUBSTITUTE(SUBSTITUTE(J81," ",""),"　","")))&amp;"*",
注文弁当の抽出!$F:$I,4,FALSE),""),"園児","先生")&amp;
IF(COUNTIF(S81,"*おにぎり*"),"　おにぎり","")</f>
        <v>#N/A</v>
      </c>
      <c r="U81" t="e">
        <f>IF(T81&lt;&gt;"",
VLOOKUP(C81,クライアント抽出!$A:$G,7,FALSE),"")</f>
        <v>#N/A</v>
      </c>
      <c r="V81" t="e">
        <f>IF(A81&lt;&gt;"",
IF(COUNTIF(V80,"*牛乳*"),
IF(AND(COUNTIF(B80,"*奈良屋*"),COUNTIF(B81,"*奈良屋*")),
V80&amp;"✔",""),VLOOKUP(""&amp;A81&amp;"",数出表_Excel!$A:$Z,22,FALSE)&amp;VLOOKUP(""&amp;A81&amp;"",数出表_Excel!$A:$Z,23,FALSE)
&amp;VLOOKUP(""&amp;C81&amp;"",数出表_Excel!$A:$Z,22,FALSE)&amp;VLOOKUP(""&amp;C81&amp;"",数出表_Excel!$A:$Z,23,FALSE)),"")</f>
        <v>#N/A</v>
      </c>
      <c r="W81" t="e">
        <f>IF(AND(COUNTIF(V81,"&lt;&gt;*不要*"),A81&lt;&gt;""),VLOOKUP(A81,得意先マスタ!$A:$AD,24,FALSE),0)</f>
        <v>#N/A</v>
      </c>
      <c r="X81" t="e">
        <f>IF(AND(COUNTIF(V81,"&lt;&gt;*不要*"),A81&lt;&gt;""),VLOOKUP(A81,得意先マスタ!$A:$AD,25,FALSE),0)</f>
        <v>#N/A</v>
      </c>
      <c r="Y81" t="e">
        <f t="shared" si="20"/>
        <v>#N/A</v>
      </c>
      <c r="Z81" t="e">
        <f t="shared" si="21"/>
        <v>#N/A</v>
      </c>
      <c r="AA81" t="e">
        <f t="shared" si="25"/>
        <v>#N/A</v>
      </c>
      <c r="AB81" t="e">
        <f t="shared" si="22"/>
        <v>#N/A</v>
      </c>
      <c r="AC81" t="str">
        <f t="array" ref="AC81">IFERROR(INDEX(81:81, SMALL(IF($D81:$U81&lt;&gt;"", COLUMN($D$1:$U81)), COLUMN(A81))), "")</f>
        <v/>
      </c>
      <c r="AD81" t="str">
        <f t="array" ref="AD81">IFERROR(INDEX(81:81, SMALL(IF($D81:$U81&lt;&gt;"", COLUMN($D$1:$U81)), COLUMN(B81))), "")</f>
        <v/>
      </c>
      <c r="AE81" t="str">
        <f t="array" ref="AE81">IFERROR(INDEX(81:81, SMALL(IF($D81:$U81&lt;&gt;"", COLUMN($D$1:$U81)), COLUMN(C81))), "")</f>
        <v/>
      </c>
      <c r="AF81" t="str">
        <f t="array" ref="AF81">IFERROR(INDEX(81:81, SMALL(IF($D81:$U81&lt;&gt;"", COLUMN($D$1:$U81)), COLUMN(D81))), "")</f>
        <v/>
      </c>
      <c r="AG81" t="str">
        <f t="array" ref="AG81">IFERROR(INDEX(81:81, SMALL(IF($D81:$U81&lt;&gt;"", COLUMN($D$1:$U81)), COLUMN(E81))), "")</f>
        <v/>
      </c>
      <c r="AH81" t="str">
        <f t="array" ref="AH81">IFERROR(INDEX(81:81, SMALL(IF($D81:$U81&lt;&gt;"", COLUMN($D$1:$U81)), COLUMN(F81))), "")</f>
        <v/>
      </c>
      <c r="AI81" t="str">
        <f t="array" ref="AI81">IFERROR(INDEX(81:81, SMALL(IF($D81:$U81&lt;&gt;"", COLUMN($D$1:$U81)), COLUMN(G81))), "")</f>
        <v/>
      </c>
      <c r="AJ81" t="str">
        <f t="array" ref="AJ81">IFERROR(INDEX(81:81, SMALL(IF($D81:$U81&lt;&gt;"", COLUMN($D$1:$U81)), COLUMN(H81))), "")</f>
        <v/>
      </c>
      <c r="AK81" t="str">
        <f t="array" ref="AK81">IFERROR(INDEX(81:81, SMALL(IF($D81:$U81&lt;&gt;"", COLUMN($D$1:$U81)), COLUMN(I81))), "")</f>
        <v/>
      </c>
      <c r="AL81" t="str">
        <f t="array" ref="AL81">IFERROR(INDEX(81:81, SMALL(IF($D81:$U81&lt;&gt;"", COLUMN($D$1:$U81)), COLUMN(J81))), "")</f>
        <v/>
      </c>
      <c r="AM81" t="str">
        <f t="array" ref="AM81">IFERROR(INDEX(81:81, SMALL(IF($D81:$U81&lt;&gt;"", COLUMN($D$1:$U81)), COLUMN(K81))), "")</f>
        <v/>
      </c>
      <c r="AN81" t="str">
        <f t="array" ref="AN81">IFERROR(INDEX(81:81, SMALL(IF($D81:$U81&lt;&gt;"", COLUMN($D$1:$U81)), COLUMN(L81))), "")</f>
        <v/>
      </c>
      <c r="AO81" t="str">
        <f t="array" ref="AO81">IFERROR(INDEX(81:81, SMALL(IF($D81:$U81&lt;&gt;"", COLUMN($D$1:$U81)), COLUMN(M81))), "")</f>
        <v/>
      </c>
      <c r="AP81" t="str">
        <f t="array" ref="AP81">IFERROR(INDEX(81:81, SMALL(IF($D81:$U81&lt;&gt;"", COLUMN($D$1:$U81)), COLUMN(N81))), "")</f>
        <v/>
      </c>
      <c r="AQ81" t="str">
        <f t="array" ref="AQ81">IFERROR(INDEX(81:81, SMALL(IF($D81:$U81&lt;&gt;"", COLUMN($D$1:$U81)), COLUMN(O81))), "")</f>
        <v/>
      </c>
      <c r="AR81" s="52" t="s">
        <v>4005</v>
      </c>
      <c r="AS81" t="e">
        <f t="shared" si="23"/>
        <v>#N/A</v>
      </c>
      <c r="AT81" t="e">
        <f t="shared" si="24"/>
        <v>#N/A</v>
      </c>
      <c r="AU81" t="e">
        <f t="shared" si="26"/>
        <v>#N/A</v>
      </c>
      <c r="AV81" t="e">
        <f t="shared" si="27"/>
        <v>#N/A</v>
      </c>
      <c r="AW81" t="e">
        <f t="shared" si="28"/>
        <v>#N/A</v>
      </c>
      <c r="AX81" t="e">
        <f t="shared" si="29"/>
        <v>#N/A</v>
      </c>
      <c r="AZ81" t="str">
        <f t="array" ref="AZ81">IFERROR(INDEX(81:81, SMALL(IF($AC81:$AX81&lt;&gt;"", COLUMN($AC$1:$AX81)), COLUMN(A81))), "")</f>
        <v/>
      </c>
      <c r="BA81" t="str">
        <f t="array" ref="BA81">IFERROR(INDEX(81:81, SMALL(IF($AC81:$AX81&lt;&gt;"", COLUMN($AC$1:$AX81)), COLUMN(B81))), "")</f>
        <v/>
      </c>
      <c r="BB81" t="str">
        <f t="array" ref="BB81">IFERROR(INDEX(81:81, SMALL(IF($AC81:$AX81&lt;&gt;"", COLUMN($AC$1:$AX81)), COLUMN(C81))), "")</f>
        <v/>
      </c>
      <c r="BC81" t="str">
        <f t="array" ref="BC81">IFERROR(INDEX(81:81, SMALL(IF($AC81:$AX81&lt;&gt;"", COLUMN($AC$1:$AX81)), COLUMN(D81))), "")</f>
        <v/>
      </c>
      <c r="BD81" t="str">
        <f t="array" ref="BD81">IFERROR(INDEX(81:81, SMALL(IF($AC81:$AX81&lt;&gt;"", COLUMN($AC$1:$AX81)), COLUMN(E81))), "")</f>
        <v/>
      </c>
      <c r="BE81" t="str">
        <f t="array" ref="BE81">IFERROR(INDEX(81:81, SMALL(IF($AC81:$AX81&lt;&gt;"", COLUMN($AC$1:$AX81)), COLUMN(F81))), "")</f>
        <v/>
      </c>
      <c r="BF81" t="str">
        <f t="array" ref="BF81">IFERROR(IF(AND(COUNTIF($B81,"*泉ヶ丘*"),COUNTIF($B82,"*泉ヶ丘*")),
IFERROR(INDEX(82:82, SMALL(IF($AC82:$AX82&lt;&gt;"", COLUMN($AC$1:$AX82)), COLUMN(A82))), ""),
INDEX(81:81, SMALL(IF($AC81:$AX81&lt;&gt;"", COLUMN($AC$1:$AX81)), COLUMN(G81)))), "")</f>
        <v/>
      </c>
      <c r="BG81" t="str">
        <f t="array" ref="BG81">IFERROR(IF(AND(COUNTIF($B81,"*泉ヶ丘*"),COUNTIF($B82,"*泉ヶ丘*")),
IFERROR(INDEX(82:82, SMALL(IF($AC82:$AX82&lt;&gt;"", COLUMN($AC$1:$AX82)), COLUMN(B82))), ""),
INDEX(81:81, SMALL(IF($AC81:$AX81&lt;&gt;"", COLUMN($AC$1:$AX81)), COLUMN(H81)))), "")</f>
        <v/>
      </c>
      <c r="BH81" t="str">
        <f t="array" ref="BH81">IFERROR(IF(AND(COUNTIF($B81,"*泉ヶ丘*"),COUNTIF($B82,"*泉ヶ丘*")),
IFERROR(INDEX(82:82, SMALL(IF($AC82:$AX82&lt;&gt;"", COLUMN($AC$1:$AX82)), COLUMN(C82))), ""),
INDEX(81:81, SMALL(IF($AC81:$AX81&lt;&gt;"", COLUMN($AC$1:$AX81)), COLUMN(I81)))), "")</f>
        <v/>
      </c>
      <c r="BI81" t="str">
        <f t="array" ref="BI81">IFERROR(IF(AND(COUNTIF($B81,"*泉ヶ丘*"),COUNTIF($B82,"*泉ヶ丘*")),
IFERROR(INDEX(82:82, SMALL(IF($AC82:$AX82&lt;&gt;"", COLUMN($AC$1:$AX82)), COLUMN(D82))), ""),
INDEX(81:81, SMALL(IF($AC81:$AX81&lt;&gt;"", COLUMN($AC$1:$AX81)), COLUMN(J81)))), "")</f>
        <v/>
      </c>
      <c r="BJ81" t="str">
        <f t="array" ref="BJ81">IFERROR(IF(AND(COUNTIF($B81,"*泉ヶ丘*"),COUNTIF($B82,"*泉ヶ丘*")),
IFERROR(INDEX(82:82, SMALL(IF($AC82:$AX82&lt;&gt;"", COLUMN($AC$1:$AX82)), COLUMN(E82))), ""),
INDEX(81:81, SMALL(IF($AC81:$AX81&lt;&gt;"", COLUMN($AC$1:$AX81)), COLUMN(K81)))), "")</f>
        <v/>
      </c>
      <c r="BK81" t="str">
        <f t="array" ref="BK81">IFERROR(IF(AND(COUNTIF($B81,"*泉ヶ丘*"),COUNTIF($B82,"*泉ヶ丘*")),
IFERROR(INDEX(82:82, SMALL(IF($AC82:$AX82&lt;&gt;"", COLUMN($AC$1:$AX82)), COLUMN(F82))), ""),
INDEX(81:81, SMALL(IF($AC81:$AX81&lt;&gt;"", COLUMN($AC$1:$AX81)), COLUMN(L81)))), "")</f>
        <v/>
      </c>
      <c r="BL81" t="str">
        <f t="array" ref="BL81">IFERROR(IF(AND(COUNTIF($B81,"*泉ヶ丘*"),COUNTIF($B82,"*泉ヶ丘*")),
IFERROR(INDEX(82:82, SMALL(IF($AC82:$AX82&lt;&gt;"", COLUMN($AC$1:$AX82)), COLUMN(G82))), ""),
INDEX(81:81, SMALL(IF($AC81:$AX81&lt;&gt;"", COLUMN($AC$1:$AX81)), COLUMN(M81)))), "")</f>
        <v/>
      </c>
      <c r="BM81" t="str">
        <f t="array" ref="BM81">IFERROR(IF(AND(COUNTIF($B81,"*泉ヶ丘*"),COUNTIF($B82,"*泉ヶ丘*")),
IFERROR(INDEX(82:82, SMALL(IF($AC82:$AX82&lt;&gt;"", COLUMN($AC$1:$AX82)), COLUMN(H82))), ""),
INDEX(81:81, SMALL(IF($AC81:$AX81&lt;&gt;"", COLUMN($AC$1:$AX81)), COLUMN(N81)))), "")</f>
        <v/>
      </c>
      <c r="BN81" t="str">
        <f t="array" ref="BN81">IFERROR(IF(AND(COUNTIF($B81,"*泉ヶ丘*"),COUNTIF($B82,"*泉ヶ丘*")),
IFERROR(INDEX(82:82, SMALL(IF($AC82:$AX82&lt;&gt;"", COLUMN($AC$1:$AX82)), COLUMN(I82))), ""),
INDEX(81:81, SMALL(IF($AC81:$AX81&lt;&gt;"", COLUMN($AC$1:$AX81)), COLUMN(O81)))), "")</f>
        <v/>
      </c>
      <c r="BO81" t="str">
        <f t="array" ref="BO81">IFERROR(IF(AND(COUNTIF($B81,"*泉ヶ丘*"),COUNTIF($B82,"*泉ヶ丘*")),
IFERROR(INDEX(82:82, SMALL(IF($AC82:$AX82&lt;&gt;"", COLUMN($AC$1:$AX82)), COLUMN(J82))), ""),
INDEX(81:81, SMALL(IF($AC81:$AX81&lt;&gt;"", COLUMN($AC$1:$AX81)), COLUMN(P81)))), "")</f>
        <v/>
      </c>
      <c r="BP81" t="str">
        <f t="array" ref="BP81">IFERROR(IF(AND(COUNTIF($B81,"*泉ヶ丘*"),COUNTIF($B82,"*泉ヶ丘*")),
IFERROR(INDEX(82:82, SMALL(IF($AC82:$AX82&lt;&gt;"", COLUMN($AC$1:$AX82)), COLUMN(K82))), ""),
INDEX(81:81, SMALL(IF($AC81:$AX81&lt;&gt;"", COLUMN($AC$1:$AX81)), COLUMN(Q81)))), "")</f>
        <v/>
      </c>
      <c r="BQ81" t="str">
        <f t="array" ref="BQ81">IFERROR(IF(AND(COUNTIF($B81,"*泉ヶ丘*"),COUNTIF($B82,"*泉ヶ丘*")),
IFERROR(INDEX(82:82, SMALL(IF($AC82:$AX82&lt;&gt;"", COLUMN($AC$1:$AX82)), COLUMN(L82))), ""),
INDEX(81:81, SMALL(IF($AC81:$AX81&lt;&gt;"", COLUMN($AC$1:$AX81)), COLUMN(R81)))), "")</f>
        <v/>
      </c>
    </row>
    <row r="82" spans="1:69" x14ac:dyDescent="0.45">
      <c r="A82" t="e">
        <f t="array" ref="A82">IF(INDEX(貼り付け用!A:A,MATCH(A81,貼り付け用!A:A,0)+2)="4700",
IF(INDEX(貼り付け用!A:A,MATCH(A81,貼り付け用!A:A,0)+4)="4800",
INDEX(貼り付け用!A:A,MATCH(A81,貼り付け用!A:A,0)+6),
INDEX(貼り付け用!A:A,MATCH(A81,貼り付け用!A:A,0)+4)),INDEX(貼り付け用!A:A,MATCH(A81,貼り付け用!A:A,0)+2))</f>
        <v>#N/A</v>
      </c>
      <c r="B82" t="e">
        <f>IF(A82&lt;&gt;"",
VLOOKUP(A82,得意先マスタ!A:D,2,FALSE),"")</f>
        <v>#N/A</v>
      </c>
      <c r="C82" t="e">
        <f t="array" ref="C82">IF(A82="10000","",INDEX(貼り付け用!A:A,MATCH(A82,貼り付け用!A:A,0)+1))</f>
        <v>#N/A</v>
      </c>
      <c r="D82" t="e">
        <f>VLOOKUP(C82,クライアント抽出!$A:$O,10,FALSE)</f>
        <v>#N/A</v>
      </c>
      <c r="E82" t="e">
        <f>IF(D82&lt;&gt;"",
IF(COUNTIF(C82,"*ぺんぎん*"),
VLOOKUP(
"*"&amp;IF(COUNTIF(D82,"*キャラ弁*"),"キャラ",
IF(COUNTIF(D82,"*赤*"),"赤",SUBSTITUTE(SUBSTITUTE(D82," ",""),"　","")))&amp;"*",
注文弁当の抽出!$F:$I,4,FALSE)&amp;
IF(COUNTIF(D82,"*おにぎり*"),"　おにぎり","")&amp;"　（ぺんぎん組）",
VLOOKUP(
"*"&amp;IF(COUNTIF(D82,"*キャラ弁*"),"キャラ",
IF(COUNTIF(D82,"*赤*"),"赤",SUBSTITUTE(SUBSTITUTE(D82," ",""),"　","")))&amp;"*",
注文弁当の抽出!$F:$I,4,FALSE)&amp;
IF(COUNTIF(D82,"*おにぎり*"),"　おにぎり","")),"")</f>
        <v>#N/A</v>
      </c>
      <c r="F82" t="str">
        <f>IFERROR(IF(E82&lt;&gt;"",
VLOOKUP(C82,クライアント抽出!$A:$G,2,FALSE)+
IF(COUNTIF(Y82,"*-*"),Y82,0),"")
-IFERROR(MID(V82, SEARCH("予備", V82) + LEN("予備"), SEARCH("込み", V82) - (SEARCH("予備", V82) + LEN("予備"))),0),"")</f>
        <v/>
      </c>
      <c r="G82" t="e">
        <f>VLOOKUP(C82,クライアント抽出!$A:$O,11,FALSE)</f>
        <v>#N/A</v>
      </c>
      <c r="H82" t="e">
        <f>IF(G82&lt;&gt;"",
VLOOKUP(
"*"&amp;IF(COUNTIF(G82,"*キャラ弁*"),"キャラ",
IF(COUNTIF(G82,"*赤*"),"赤",SUBSTITUTE(SUBSTITUTE(G82," ",""),"　","")))&amp;"*",
注文弁当の抽出!$F:$I,4,FALSE)&amp;
IF(COUNTIF(G82,"*おにぎり*"),"　おにぎり",""),"")</f>
        <v>#N/A</v>
      </c>
      <c r="I82" t="e">
        <f>IF(H82&lt;&gt;"",
VLOOKUP(C82,クライアント抽出!$A:$G,3,FALSE)+
IF(COUNTIF(C82,"*博多*"),Y82,Z82),"")</f>
        <v>#N/A</v>
      </c>
      <c r="J82" t="e">
        <f>VLOOKUP(C82,クライアント抽出!$A:$O,12,FALSE)</f>
        <v>#N/A</v>
      </c>
      <c r="K82" t="e">
        <f>IF(J82&lt;&gt;"",
VLOOKUP(
"*"&amp;IF(COUNTIF(J82,"*キャラ弁*"),"キャラ",
IF(COUNTIF(J82,"*赤*"),"赤",SUBSTITUTE(SUBSTITUTE(J82," ",""),"　","")))&amp;"*",
注文弁当の抽出!$F:$I,4,FALSE)&amp;
IF(COUNTIF(J82,"*おにぎり*"),"　おにぎり",""),"")</f>
        <v>#N/A</v>
      </c>
      <c r="L82" t="e">
        <f>IF(K82&lt;&gt;"",
VLOOKUP(C82,クライアント抽出!$A:$G,4,FALSE)+AA82,"")</f>
        <v>#N/A</v>
      </c>
      <c r="M82" t="e">
        <f>VLOOKUP(C82,クライアント抽出!$A:$O,13,FALSE)</f>
        <v>#N/A</v>
      </c>
      <c r="N82" t="e">
        <f>SUBSTITUTE(
IF(M82&lt;&gt;"",
VLOOKUP(
"*"&amp;IF(COUNTIF(M82,"*キャラ弁*"),"キャラ",
IF(COUNTIF(M82,"*赤*"),"赤",SUBSTITUTE(SUBSTITUTE(D82," ",""),"　","")))&amp;"*",
注文弁当の抽出!$F:$I,4,FALSE),""),"園児","先生")&amp;
IF(COUNTIF(M82,"*おにぎり*"),"　おにぎり","")</f>
        <v>#N/A</v>
      </c>
      <c r="O82" t="e">
        <f>IF(N82&lt;&gt;"",VLOOKUP(C82,クライアント抽出!$A:$G,5,FALSE),"")</f>
        <v>#N/A</v>
      </c>
      <c r="P82" t="e">
        <f>VLOOKUP(C82,クライアント抽出!$A:$O,14,FALSE)</f>
        <v>#N/A</v>
      </c>
      <c r="Q82" t="e">
        <f>SUBSTITUTE(
IF(P82&lt;&gt;"",
VLOOKUP(
"*"&amp;IF(COUNTIF(P82,"*キャラ弁*"),"キャラ",
IF(COUNTIF(P82,"*赤*"),"赤",SUBSTITUTE(SUBSTITUTE(G82," ",""),"　","")))&amp;"*",
注文弁当の抽出!$F:$I,4,FALSE),""),"園児","先生")&amp;
IF(COUNTIF(P82,"*おにぎり*"),"　おにぎり","")</f>
        <v>#N/A</v>
      </c>
      <c r="R82" t="e">
        <f>IF(Q82&lt;&gt;"",
VLOOKUP(C82,クライアント抽出!$A:$G,6,FALSE),"")</f>
        <v>#N/A</v>
      </c>
      <c r="S82" t="e">
        <f>VLOOKUP(C82,クライアント抽出!$A:$O,15,FALSE)</f>
        <v>#N/A</v>
      </c>
      <c r="T82" t="e">
        <f>SUBSTITUTE(
IF(S82&lt;&gt;"",
VLOOKUP(
"*"&amp;IF(COUNTIF(S82,"*キャラ弁*"),"キャラ",
IF(COUNTIF(S82,"*赤*"),"赤",SUBSTITUTE(SUBSTITUTE(J82," ",""),"　","")))&amp;"*",
注文弁当の抽出!$F:$I,4,FALSE),""),"園児","先生")&amp;
IF(COUNTIF(S82,"*おにぎり*"),"　おにぎり","")</f>
        <v>#N/A</v>
      </c>
      <c r="U82" t="e">
        <f>IF(T82&lt;&gt;"",
VLOOKUP(C82,クライアント抽出!$A:$G,7,FALSE),"")</f>
        <v>#N/A</v>
      </c>
      <c r="V82" t="e">
        <f>IF(A82&lt;&gt;"",
IF(COUNTIF(V81,"*牛乳*"),
IF(AND(COUNTIF(B81,"*奈良屋*"),COUNTIF(B82,"*奈良屋*")),
V81&amp;"✔",""),VLOOKUP(""&amp;A82&amp;"",数出表_Excel!$A:$Z,22,FALSE)&amp;VLOOKUP(""&amp;A82&amp;"",数出表_Excel!$A:$Z,23,FALSE)
&amp;VLOOKUP(""&amp;C82&amp;"",数出表_Excel!$A:$Z,22,FALSE)&amp;VLOOKUP(""&amp;C82&amp;"",数出表_Excel!$A:$Z,23,FALSE)),"")</f>
        <v>#N/A</v>
      </c>
      <c r="W82" t="e">
        <f>IF(AND(COUNTIF(V82,"&lt;&gt;*不要*"),A82&lt;&gt;""),VLOOKUP(A82,得意先マスタ!$A:$AD,24,FALSE),0)</f>
        <v>#N/A</v>
      </c>
      <c r="X82" t="e">
        <f>IF(AND(COUNTIF(V82,"&lt;&gt;*不要*"),A82&lt;&gt;""),VLOOKUP(A82,得意先マスタ!$A:$AD,25,FALSE),0)</f>
        <v>#N/A</v>
      </c>
      <c r="Y82" t="e">
        <f t="shared" si="20"/>
        <v>#N/A</v>
      </c>
      <c r="Z82" t="e">
        <f t="shared" si="21"/>
        <v>#N/A</v>
      </c>
      <c r="AA82" t="e">
        <f t="shared" si="25"/>
        <v>#N/A</v>
      </c>
      <c r="AB82" t="e">
        <f t="shared" si="22"/>
        <v>#N/A</v>
      </c>
      <c r="AC82" t="str">
        <f t="array" ref="AC82">IFERROR(INDEX(82:82, SMALL(IF($D82:$U82&lt;&gt;"", COLUMN($D$1:$U82)), COLUMN(A82))), "")</f>
        <v/>
      </c>
      <c r="AD82" t="str">
        <f t="array" ref="AD82">IFERROR(INDEX(82:82, SMALL(IF($D82:$U82&lt;&gt;"", COLUMN($D$1:$U82)), COLUMN(B82))), "")</f>
        <v/>
      </c>
      <c r="AE82" t="str">
        <f t="array" ref="AE82">IFERROR(INDEX(82:82, SMALL(IF($D82:$U82&lt;&gt;"", COLUMN($D$1:$U82)), COLUMN(C82))), "")</f>
        <v/>
      </c>
      <c r="AF82" t="str">
        <f t="array" ref="AF82">IFERROR(INDEX(82:82, SMALL(IF($D82:$U82&lt;&gt;"", COLUMN($D$1:$U82)), COLUMN(D82))), "")</f>
        <v/>
      </c>
      <c r="AG82" t="str">
        <f t="array" ref="AG82">IFERROR(INDEX(82:82, SMALL(IF($D82:$U82&lt;&gt;"", COLUMN($D$1:$U82)), COLUMN(E82))), "")</f>
        <v/>
      </c>
      <c r="AH82" t="str">
        <f t="array" ref="AH82">IFERROR(INDEX(82:82, SMALL(IF($D82:$U82&lt;&gt;"", COLUMN($D$1:$U82)), COLUMN(F82))), "")</f>
        <v/>
      </c>
      <c r="AI82" t="str">
        <f t="array" ref="AI82">IFERROR(INDEX(82:82, SMALL(IF($D82:$U82&lt;&gt;"", COLUMN($D$1:$U82)), COLUMN(G82))), "")</f>
        <v/>
      </c>
      <c r="AJ82" t="str">
        <f t="array" ref="AJ82">IFERROR(INDEX(82:82, SMALL(IF($D82:$U82&lt;&gt;"", COLUMN($D$1:$U82)), COLUMN(H82))), "")</f>
        <v/>
      </c>
      <c r="AK82" t="str">
        <f t="array" ref="AK82">IFERROR(INDEX(82:82, SMALL(IF($D82:$U82&lt;&gt;"", COLUMN($D$1:$U82)), COLUMN(I82))), "")</f>
        <v/>
      </c>
      <c r="AL82" t="str">
        <f t="array" ref="AL82">IFERROR(INDEX(82:82, SMALL(IF($D82:$U82&lt;&gt;"", COLUMN($D$1:$U82)), COLUMN(J82))), "")</f>
        <v/>
      </c>
      <c r="AM82" t="str">
        <f t="array" ref="AM82">IFERROR(INDEX(82:82, SMALL(IF($D82:$U82&lt;&gt;"", COLUMN($D$1:$U82)), COLUMN(K82))), "")</f>
        <v/>
      </c>
      <c r="AN82" t="str">
        <f t="array" ref="AN82">IFERROR(INDEX(82:82, SMALL(IF($D82:$U82&lt;&gt;"", COLUMN($D$1:$U82)), COLUMN(L82))), "")</f>
        <v/>
      </c>
      <c r="AO82" t="str">
        <f t="array" ref="AO82">IFERROR(INDEX(82:82, SMALL(IF($D82:$U82&lt;&gt;"", COLUMN($D$1:$U82)), COLUMN(M82))), "")</f>
        <v/>
      </c>
      <c r="AP82" t="str">
        <f t="array" ref="AP82">IFERROR(INDEX(82:82, SMALL(IF($D82:$U82&lt;&gt;"", COLUMN($D$1:$U82)), COLUMN(N82))), "")</f>
        <v/>
      </c>
      <c r="AQ82" t="str">
        <f t="array" ref="AQ82">IFERROR(INDEX(82:82, SMALL(IF($D82:$U82&lt;&gt;"", COLUMN($D$1:$U82)), COLUMN(O82))), "")</f>
        <v/>
      </c>
      <c r="AR82" s="52" t="s">
        <v>4005</v>
      </c>
      <c r="AS82" t="e">
        <f t="shared" si="23"/>
        <v>#N/A</v>
      </c>
      <c r="AT82" t="e">
        <f t="shared" si="24"/>
        <v>#N/A</v>
      </c>
      <c r="AU82" t="e">
        <f t="shared" si="26"/>
        <v>#N/A</v>
      </c>
      <c r="AV82" t="e">
        <f t="shared" si="27"/>
        <v>#N/A</v>
      </c>
      <c r="AW82" t="e">
        <f t="shared" si="28"/>
        <v>#N/A</v>
      </c>
      <c r="AX82" t="e">
        <f t="shared" si="29"/>
        <v>#N/A</v>
      </c>
      <c r="AZ82" t="str">
        <f t="array" ref="AZ82">IFERROR(INDEX(82:82, SMALL(IF($AC82:$AX82&lt;&gt;"", COLUMN($AC$1:$AX82)), COLUMN(A82))), "")</f>
        <v/>
      </c>
      <c r="BA82" t="str">
        <f t="array" ref="BA82">IFERROR(INDEX(82:82, SMALL(IF($AC82:$AX82&lt;&gt;"", COLUMN($AC$1:$AX82)), COLUMN(B82))), "")</f>
        <v/>
      </c>
      <c r="BB82" t="str">
        <f t="array" ref="BB82">IFERROR(INDEX(82:82, SMALL(IF($AC82:$AX82&lt;&gt;"", COLUMN($AC$1:$AX82)), COLUMN(C82))), "")</f>
        <v/>
      </c>
      <c r="BC82" t="str">
        <f t="array" ref="BC82">IFERROR(INDEX(82:82, SMALL(IF($AC82:$AX82&lt;&gt;"", COLUMN($AC$1:$AX82)), COLUMN(D82))), "")</f>
        <v/>
      </c>
      <c r="BD82" t="str">
        <f t="array" ref="BD82">IFERROR(INDEX(82:82, SMALL(IF($AC82:$AX82&lt;&gt;"", COLUMN($AC$1:$AX82)), COLUMN(E82))), "")</f>
        <v/>
      </c>
      <c r="BE82" t="str">
        <f t="array" ref="BE82">IFERROR(INDEX(82:82, SMALL(IF($AC82:$AX82&lt;&gt;"", COLUMN($AC$1:$AX82)), COLUMN(F82))), "")</f>
        <v/>
      </c>
      <c r="BF82" t="str">
        <f t="array" ref="BF82">IFERROR(IF(AND(COUNTIF($B82,"*泉ヶ丘*"),COUNTIF($B83,"*泉ヶ丘*")),
IFERROR(INDEX(83:83, SMALL(IF($AC83:$AX83&lt;&gt;"", COLUMN($AC$1:$AX83)), COLUMN(A83))), ""),
INDEX(82:82, SMALL(IF($AC82:$AX82&lt;&gt;"", COLUMN($AC$1:$AX82)), COLUMN(G82)))), "")</f>
        <v/>
      </c>
      <c r="BG82" t="str">
        <f t="array" ref="BG82">IFERROR(IF(AND(COUNTIF($B82,"*泉ヶ丘*"),COUNTIF($B83,"*泉ヶ丘*")),
IFERROR(INDEX(83:83, SMALL(IF($AC83:$AX83&lt;&gt;"", COLUMN($AC$1:$AX83)), COLUMN(B83))), ""),
INDEX(82:82, SMALL(IF($AC82:$AX82&lt;&gt;"", COLUMN($AC$1:$AX82)), COLUMN(H82)))), "")</f>
        <v/>
      </c>
      <c r="BH82" t="str">
        <f t="array" ref="BH82">IFERROR(IF(AND(COUNTIF($B82,"*泉ヶ丘*"),COUNTIF($B83,"*泉ヶ丘*")),
IFERROR(INDEX(83:83, SMALL(IF($AC83:$AX83&lt;&gt;"", COLUMN($AC$1:$AX83)), COLUMN(C83))), ""),
INDEX(82:82, SMALL(IF($AC82:$AX82&lt;&gt;"", COLUMN($AC$1:$AX82)), COLUMN(I82)))), "")</f>
        <v/>
      </c>
      <c r="BI82" t="str">
        <f t="array" ref="BI82">IFERROR(IF(AND(COUNTIF($B82,"*泉ヶ丘*"),COUNTIF($B83,"*泉ヶ丘*")),
IFERROR(INDEX(83:83, SMALL(IF($AC83:$AX83&lt;&gt;"", COLUMN($AC$1:$AX83)), COLUMN(D83))), ""),
INDEX(82:82, SMALL(IF($AC82:$AX82&lt;&gt;"", COLUMN($AC$1:$AX82)), COLUMN(J82)))), "")</f>
        <v/>
      </c>
      <c r="BJ82" t="str">
        <f t="array" ref="BJ82">IFERROR(IF(AND(COUNTIF($B82,"*泉ヶ丘*"),COUNTIF($B83,"*泉ヶ丘*")),
IFERROR(INDEX(83:83, SMALL(IF($AC83:$AX83&lt;&gt;"", COLUMN($AC$1:$AX83)), COLUMN(E83))), ""),
INDEX(82:82, SMALL(IF($AC82:$AX82&lt;&gt;"", COLUMN($AC$1:$AX82)), COLUMN(K82)))), "")</f>
        <v/>
      </c>
      <c r="BK82" t="str">
        <f t="array" ref="BK82">IFERROR(IF(AND(COUNTIF($B82,"*泉ヶ丘*"),COUNTIF($B83,"*泉ヶ丘*")),
IFERROR(INDEX(83:83, SMALL(IF($AC83:$AX83&lt;&gt;"", COLUMN($AC$1:$AX83)), COLUMN(F83))), ""),
INDEX(82:82, SMALL(IF($AC82:$AX82&lt;&gt;"", COLUMN($AC$1:$AX82)), COLUMN(L82)))), "")</f>
        <v/>
      </c>
      <c r="BL82" t="str">
        <f t="array" ref="BL82">IFERROR(IF(AND(COUNTIF($B82,"*泉ヶ丘*"),COUNTIF($B83,"*泉ヶ丘*")),
IFERROR(INDEX(83:83, SMALL(IF($AC83:$AX83&lt;&gt;"", COLUMN($AC$1:$AX83)), COLUMN(G83))), ""),
INDEX(82:82, SMALL(IF($AC82:$AX82&lt;&gt;"", COLUMN($AC$1:$AX82)), COLUMN(M82)))), "")</f>
        <v/>
      </c>
      <c r="BM82" t="str">
        <f t="array" ref="BM82">IFERROR(IF(AND(COUNTIF($B82,"*泉ヶ丘*"),COUNTIF($B83,"*泉ヶ丘*")),
IFERROR(INDEX(83:83, SMALL(IF($AC83:$AX83&lt;&gt;"", COLUMN($AC$1:$AX83)), COLUMN(H83))), ""),
INDEX(82:82, SMALL(IF($AC82:$AX82&lt;&gt;"", COLUMN($AC$1:$AX82)), COLUMN(N82)))), "")</f>
        <v/>
      </c>
      <c r="BN82" t="str">
        <f t="array" ref="BN82">IFERROR(IF(AND(COUNTIF($B82,"*泉ヶ丘*"),COUNTIF($B83,"*泉ヶ丘*")),
IFERROR(INDEX(83:83, SMALL(IF($AC83:$AX83&lt;&gt;"", COLUMN($AC$1:$AX83)), COLUMN(I83))), ""),
INDEX(82:82, SMALL(IF($AC82:$AX82&lt;&gt;"", COLUMN($AC$1:$AX82)), COLUMN(O82)))), "")</f>
        <v/>
      </c>
      <c r="BO82" t="str">
        <f t="array" ref="BO82">IFERROR(IF(AND(COUNTIF($B82,"*泉ヶ丘*"),COUNTIF($B83,"*泉ヶ丘*")),
IFERROR(INDEX(83:83, SMALL(IF($AC83:$AX83&lt;&gt;"", COLUMN($AC$1:$AX83)), COLUMN(J83))), ""),
INDEX(82:82, SMALL(IF($AC82:$AX82&lt;&gt;"", COLUMN($AC$1:$AX82)), COLUMN(P82)))), "")</f>
        <v/>
      </c>
      <c r="BP82" t="str">
        <f t="array" ref="BP82">IFERROR(IF(AND(COUNTIF($B82,"*泉ヶ丘*"),COUNTIF($B83,"*泉ヶ丘*")),
IFERROR(INDEX(83:83, SMALL(IF($AC83:$AX83&lt;&gt;"", COLUMN($AC$1:$AX83)), COLUMN(K83))), ""),
INDEX(82:82, SMALL(IF($AC82:$AX82&lt;&gt;"", COLUMN($AC$1:$AX82)), COLUMN(Q82)))), "")</f>
        <v/>
      </c>
      <c r="BQ82" t="str">
        <f t="array" ref="BQ82">IFERROR(IF(AND(COUNTIF($B82,"*泉ヶ丘*"),COUNTIF($B83,"*泉ヶ丘*")),
IFERROR(INDEX(83:83, SMALL(IF($AC83:$AX83&lt;&gt;"", COLUMN($AC$1:$AX83)), COLUMN(L83))), ""),
INDEX(82:82, SMALL(IF($AC82:$AX82&lt;&gt;"", COLUMN($AC$1:$AX82)), COLUMN(R82)))), "")</f>
        <v/>
      </c>
    </row>
    <row r="83" spans="1:69" x14ac:dyDescent="0.45">
      <c r="A83" t="e">
        <f t="array" ref="A83">IF(INDEX(貼り付け用!A:A,MATCH(A82,貼り付け用!A:A,0)+2)="4700",
IF(INDEX(貼り付け用!A:A,MATCH(A82,貼り付け用!A:A,0)+4)="4800",
INDEX(貼り付け用!A:A,MATCH(A82,貼り付け用!A:A,0)+6),
INDEX(貼り付け用!A:A,MATCH(A82,貼り付け用!A:A,0)+4)),INDEX(貼り付け用!A:A,MATCH(A82,貼り付け用!A:A,0)+2))</f>
        <v>#N/A</v>
      </c>
      <c r="B83" t="e">
        <f>IF(A83&lt;&gt;"",
VLOOKUP(A83,得意先マスタ!A:D,2,FALSE),"")</f>
        <v>#N/A</v>
      </c>
      <c r="C83" t="e">
        <f t="array" ref="C83">IF(A83="10000","",INDEX(貼り付け用!A:A,MATCH(A83,貼り付け用!A:A,0)+1))</f>
        <v>#N/A</v>
      </c>
      <c r="D83" t="e">
        <f>VLOOKUP(C83,クライアント抽出!$A:$O,10,FALSE)</f>
        <v>#N/A</v>
      </c>
      <c r="E83" t="e">
        <f>IF(D83&lt;&gt;"",
IF(COUNTIF(C83,"*ぺんぎん*"),
VLOOKUP(
"*"&amp;IF(COUNTIF(D83,"*キャラ弁*"),"キャラ",
IF(COUNTIF(D83,"*赤*"),"赤",SUBSTITUTE(SUBSTITUTE(D83," ",""),"　","")))&amp;"*",
注文弁当の抽出!$F:$I,4,FALSE)&amp;
IF(COUNTIF(D83,"*おにぎり*"),"　おにぎり","")&amp;"　（ぺんぎん組）",
VLOOKUP(
"*"&amp;IF(COUNTIF(D83,"*キャラ弁*"),"キャラ",
IF(COUNTIF(D83,"*赤*"),"赤",SUBSTITUTE(SUBSTITUTE(D83," ",""),"　","")))&amp;"*",
注文弁当の抽出!$F:$I,4,FALSE)&amp;
IF(COUNTIF(D83,"*おにぎり*"),"　おにぎり","")),"")</f>
        <v>#N/A</v>
      </c>
      <c r="F83" t="str">
        <f>IFERROR(IF(E83&lt;&gt;"",
VLOOKUP(C83,クライアント抽出!$A:$G,2,FALSE)+
IF(COUNTIF(Y83,"*-*"),Y83,0),"")
-IFERROR(MID(V83, SEARCH("予備", V83) + LEN("予備"), SEARCH("込み", V83) - (SEARCH("予備", V83) + LEN("予備"))),0),"")</f>
        <v/>
      </c>
      <c r="G83" t="e">
        <f>VLOOKUP(C83,クライアント抽出!$A:$O,11,FALSE)</f>
        <v>#N/A</v>
      </c>
      <c r="H83" t="e">
        <f>IF(G83&lt;&gt;"",
VLOOKUP(
"*"&amp;IF(COUNTIF(G83,"*キャラ弁*"),"キャラ",
IF(COUNTIF(G83,"*赤*"),"赤",SUBSTITUTE(SUBSTITUTE(G83," ",""),"　","")))&amp;"*",
注文弁当の抽出!$F:$I,4,FALSE)&amp;
IF(COUNTIF(G83,"*おにぎり*"),"　おにぎり",""),"")</f>
        <v>#N/A</v>
      </c>
      <c r="I83" t="e">
        <f>IF(H83&lt;&gt;"",
VLOOKUP(C83,クライアント抽出!$A:$G,3,FALSE)+
IF(COUNTIF(C83,"*博多*"),Y83,Z83),"")</f>
        <v>#N/A</v>
      </c>
      <c r="J83" t="e">
        <f>VLOOKUP(C83,クライアント抽出!$A:$O,12,FALSE)</f>
        <v>#N/A</v>
      </c>
      <c r="K83" t="e">
        <f>IF(J83&lt;&gt;"",
VLOOKUP(
"*"&amp;IF(COUNTIF(J83,"*キャラ弁*"),"キャラ",
IF(COUNTIF(J83,"*赤*"),"赤",SUBSTITUTE(SUBSTITUTE(J83," ",""),"　","")))&amp;"*",
注文弁当の抽出!$F:$I,4,FALSE)&amp;
IF(COUNTIF(J83,"*おにぎり*"),"　おにぎり",""),"")</f>
        <v>#N/A</v>
      </c>
      <c r="L83" t="e">
        <f>IF(K83&lt;&gt;"",
VLOOKUP(C83,クライアント抽出!$A:$G,4,FALSE)+AA83,"")</f>
        <v>#N/A</v>
      </c>
      <c r="M83" t="e">
        <f>VLOOKUP(C83,クライアント抽出!$A:$O,13,FALSE)</f>
        <v>#N/A</v>
      </c>
      <c r="N83" t="e">
        <f>SUBSTITUTE(
IF(M83&lt;&gt;"",
VLOOKUP(
"*"&amp;IF(COUNTIF(M83,"*キャラ弁*"),"キャラ",
IF(COUNTIF(M83,"*赤*"),"赤",SUBSTITUTE(SUBSTITUTE(D83," ",""),"　","")))&amp;"*",
注文弁当の抽出!$F:$I,4,FALSE),""),"園児","先生")&amp;
IF(COUNTIF(M83,"*おにぎり*"),"　おにぎり","")</f>
        <v>#N/A</v>
      </c>
      <c r="O83" t="e">
        <f>IF(N83&lt;&gt;"",VLOOKUP(C83,クライアント抽出!$A:$G,5,FALSE),"")</f>
        <v>#N/A</v>
      </c>
      <c r="P83" t="e">
        <f>VLOOKUP(C83,クライアント抽出!$A:$O,14,FALSE)</f>
        <v>#N/A</v>
      </c>
      <c r="Q83" t="e">
        <f>SUBSTITUTE(
IF(P83&lt;&gt;"",
VLOOKUP(
"*"&amp;IF(COUNTIF(P83,"*キャラ弁*"),"キャラ",
IF(COUNTIF(P83,"*赤*"),"赤",SUBSTITUTE(SUBSTITUTE(G83," ",""),"　","")))&amp;"*",
注文弁当の抽出!$F:$I,4,FALSE),""),"園児","先生")&amp;
IF(COUNTIF(P83,"*おにぎり*"),"　おにぎり","")</f>
        <v>#N/A</v>
      </c>
      <c r="R83" t="e">
        <f>IF(Q83&lt;&gt;"",
VLOOKUP(C83,クライアント抽出!$A:$G,6,FALSE),"")</f>
        <v>#N/A</v>
      </c>
      <c r="S83" t="e">
        <f>VLOOKUP(C83,クライアント抽出!$A:$O,15,FALSE)</f>
        <v>#N/A</v>
      </c>
      <c r="T83" t="e">
        <f>SUBSTITUTE(
IF(S83&lt;&gt;"",
VLOOKUP(
"*"&amp;IF(COUNTIF(S83,"*キャラ弁*"),"キャラ",
IF(COUNTIF(S83,"*赤*"),"赤",SUBSTITUTE(SUBSTITUTE(J83," ",""),"　","")))&amp;"*",
注文弁当の抽出!$F:$I,4,FALSE),""),"園児","先生")&amp;
IF(COUNTIF(S83,"*おにぎり*"),"　おにぎり","")</f>
        <v>#N/A</v>
      </c>
      <c r="U83" t="e">
        <f>IF(T83&lt;&gt;"",
VLOOKUP(C83,クライアント抽出!$A:$G,7,FALSE),"")</f>
        <v>#N/A</v>
      </c>
      <c r="V83" t="e">
        <f>IF(A83&lt;&gt;"",
IF(COUNTIF(V82,"*牛乳*"),
IF(AND(COUNTIF(B82,"*奈良屋*"),COUNTIF(B83,"*奈良屋*")),
V82&amp;"✔",""),VLOOKUP(""&amp;A83&amp;"",数出表_Excel!$A:$Z,22,FALSE)&amp;VLOOKUP(""&amp;A83&amp;"",数出表_Excel!$A:$Z,23,FALSE)
&amp;VLOOKUP(""&amp;C83&amp;"",数出表_Excel!$A:$Z,22,FALSE)&amp;VLOOKUP(""&amp;C83&amp;"",数出表_Excel!$A:$Z,23,FALSE)),"")</f>
        <v>#N/A</v>
      </c>
      <c r="W83" t="e">
        <f>IF(AND(COUNTIF(V83,"&lt;&gt;*不要*"),A83&lt;&gt;""),VLOOKUP(A83,得意先マスタ!$A:$AD,24,FALSE),0)</f>
        <v>#N/A</v>
      </c>
      <c r="X83" t="e">
        <f>IF(AND(COUNTIF(V83,"&lt;&gt;*不要*"),A83&lt;&gt;""),VLOOKUP(A83,得意先マスタ!$A:$AD,25,FALSE),0)</f>
        <v>#N/A</v>
      </c>
      <c r="Y83" t="e">
        <f t="shared" si="20"/>
        <v>#N/A</v>
      </c>
      <c r="Z83" t="e">
        <f t="shared" si="21"/>
        <v>#N/A</v>
      </c>
      <c r="AA83" t="e">
        <f t="shared" si="25"/>
        <v>#N/A</v>
      </c>
      <c r="AB83" t="e">
        <f t="shared" si="22"/>
        <v>#N/A</v>
      </c>
      <c r="AC83" t="str">
        <f t="array" ref="AC83">IFERROR(INDEX(83:83, SMALL(IF($D83:$U83&lt;&gt;"", COLUMN($D$1:$U83)), COLUMN(A83))), "")</f>
        <v/>
      </c>
      <c r="AD83" t="str">
        <f t="array" ref="AD83">IFERROR(INDEX(83:83, SMALL(IF($D83:$U83&lt;&gt;"", COLUMN($D$1:$U83)), COLUMN(B83))), "")</f>
        <v/>
      </c>
      <c r="AE83" t="str">
        <f t="array" ref="AE83">IFERROR(INDEX(83:83, SMALL(IF($D83:$U83&lt;&gt;"", COLUMN($D$1:$U83)), COLUMN(C83))), "")</f>
        <v/>
      </c>
      <c r="AF83" t="str">
        <f t="array" ref="AF83">IFERROR(INDEX(83:83, SMALL(IF($D83:$U83&lt;&gt;"", COLUMN($D$1:$U83)), COLUMN(D83))), "")</f>
        <v/>
      </c>
      <c r="AG83" t="str">
        <f t="array" ref="AG83">IFERROR(INDEX(83:83, SMALL(IF($D83:$U83&lt;&gt;"", COLUMN($D$1:$U83)), COLUMN(E83))), "")</f>
        <v/>
      </c>
      <c r="AH83" t="str">
        <f t="array" ref="AH83">IFERROR(INDEX(83:83, SMALL(IF($D83:$U83&lt;&gt;"", COLUMN($D$1:$U83)), COLUMN(F83))), "")</f>
        <v/>
      </c>
      <c r="AI83" t="str">
        <f t="array" ref="AI83">IFERROR(INDEX(83:83, SMALL(IF($D83:$U83&lt;&gt;"", COLUMN($D$1:$U83)), COLUMN(G83))), "")</f>
        <v/>
      </c>
      <c r="AJ83" t="str">
        <f t="array" ref="AJ83">IFERROR(INDEX(83:83, SMALL(IF($D83:$U83&lt;&gt;"", COLUMN($D$1:$U83)), COLUMN(H83))), "")</f>
        <v/>
      </c>
      <c r="AK83" t="str">
        <f t="array" ref="AK83">IFERROR(INDEX(83:83, SMALL(IF($D83:$U83&lt;&gt;"", COLUMN($D$1:$U83)), COLUMN(I83))), "")</f>
        <v/>
      </c>
      <c r="AL83" t="str">
        <f t="array" ref="AL83">IFERROR(INDEX(83:83, SMALL(IF($D83:$U83&lt;&gt;"", COLUMN($D$1:$U83)), COLUMN(J83))), "")</f>
        <v/>
      </c>
      <c r="AM83" t="str">
        <f t="array" ref="AM83">IFERROR(INDEX(83:83, SMALL(IF($D83:$U83&lt;&gt;"", COLUMN($D$1:$U83)), COLUMN(K83))), "")</f>
        <v/>
      </c>
      <c r="AN83" t="str">
        <f t="array" ref="AN83">IFERROR(INDEX(83:83, SMALL(IF($D83:$U83&lt;&gt;"", COLUMN($D$1:$U83)), COLUMN(L83))), "")</f>
        <v/>
      </c>
      <c r="AO83" t="str">
        <f t="array" ref="AO83">IFERROR(INDEX(83:83, SMALL(IF($D83:$U83&lt;&gt;"", COLUMN($D$1:$U83)), COLUMN(M83))), "")</f>
        <v/>
      </c>
      <c r="AP83" t="str">
        <f t="array" ref="AP83">IFERROR(INDEX(83:83, SMALL(IF($D83:$U83&lt;&gt;"", COLUMN($D$1:$U83)), COLUMN(N83))), "")</f>
        <v/>
      </c>
      <c r="AQ83" t="str">
        <f t="array" ref="AQ83">IFERROR(INDEX(83:83, SMALL(IF($D83:$U83&lt;&gt;"", COLUMN($D$1:$U83)), COLUMN(O83))), "")</f>
        <v/>
      </c>
      <c r="AR83" s="52" t="s">
        <v>4005</v>
      </c>
      <c r="AS83" t="e">
        <f t="shared" si="23"/>
        <v>#N/A</v>
      </c>
      <c r="AT83" t="e">
        <f t="shared" si="24"/>
        <v>#N/A</v>
      </c>
      <c r="AU83" t="e">
        <f t="shared" si="26"/>
        <v>#N/A</v>
      </c>
      <c r="AV83" t="e">
        <f t="shared" si="27"/>
        <v>#N/A</v>
      </c>
      <c r="AW83" t="e">
        <f t="shared" si="28"/>
        <v>#N/A</v>
      </c>
      <c r="AX83" t="e">
        <f t="shared" si="29"/>
        <v>#N/A</v>
      </c>
      <c r="AZ83" t="str">
        <f t="array" ref="AZ83">IFERROR(INDEX(83:83, SMALL(IF($AC83:$AX83&lt;&gt;"", COLUMN($AC$1:$AX83)), COLUMN(A83))), "")</f>
        <v/>
      </c>
      <c r="BA83" t="str">
        <f t="array" ref="BA83">IFERROR(INDEX(83:83, SMALL(IF($AC83:$AX83&lt;&gt;"", COLUMN($AC$1:$AX83)), COLUMN(B83))), "")</f>
        <v/>
      </c>
      <c r="BB83" t="str">
        <f t="array" ref="BB83">IFERROR(INDEX(83:83, SMALL(IF($AC83:$AX83&lt;&gt;"", COLUMN($AC$1:$AX83)), COLUMN(C83))), "")</f>
        <v/>
      </c>
      <c r="BC83" t="str">
        <f t="array" ref="BC83">IFERROR(INDEX(83:83, SMALL(IF($AC83:$AX83&lt;&gt;"", COLUMN($AC$1:$AX83)), COLUMN(D83))), "")</f>
        <v/>
      </c>
      <c r="BD83" t="str">
        <f t="array" ref="BD83">IFERROR(INDEX(83:83, SMALL(IF($AC83:$AX83&lt;&gt;"", COLUMN($AC$1:$AX83)), COLUMN(E83))), "")</f>
        <v/>
      </c>
      <c r="BE83" t="str">
        <f t="array" ref="BE83">IFERROR(INDEX(83:83, SMALL(IF($AC83:$AX83&lt;&gt;"", COLUMN($AC$1:$AX83)), COLUMN(F83))), "")</f>
        <v/>
      </c>
      <c r="BF83" t="str">
        <f t="array" ref="BF83">IFERROR(IF(AND(COUNTIF($B83,"*泉ヶ丘*"),COUNTIF($B84,"*泉ヶ丘*")),
IFERROR(INDEX(84:84, SMALL(IF($AC84:$AX84&lt;&gt;"", COLUMN($AC$1:$AX84)), COLUMN(A84))), ""),
INDEX(83:83, SMALL(IF($AC83:$AX83&lt;&gt;"", COLUMN($AC$1:$AX83)), COLUMN(G83)))), "")</f>
        <v/>
      </c>
      <c r="BG83" t="str">
        <f t="array" ref="BG83">IFERROR(IF(AND(COUNTIF($B83,"*泉ヶ丘*"),COUNTIF($B84,"*泉ヶ丘*")),
IFERROR(INDEX(84:84, SMALL(IF($AC84:$AX84&lt;&gt;"", COLUMN($AC$1:$AX84)), COLUMN(B84))), ""),
INDEX(83:83, SMALL(IF($AC83:$AX83&lt;&gt;"", COLUMN($AC$1:$AX83)), COLUMN(H83)))), "")</f>
        <v/>
      </c>
      <c r="BH83" t="str">
        <f t="array" ref="BH83">IFERROR(IF(AND(COUNTIF($B83,"*泉ヶ丘*"),COUNTIF($B84,"*泉ヶ丘*")),
IFERROR(INDEX(84:84, SMALL(IF($AC84:$AX84&lt;&gt;"", COLUMN($AC$1:$AX84)), COLUMN(C84))), ""),
INDEX(83:83, SMALL(IF($AC83:$AX83&lt;&gt;"", COLUMN($AC$1:$AX83)), COLUMN(I83)))), "")</f>
        <v/>
      </c>
      <c r="BI83" t="str">
        <f t="array" ref="BI83">IFERROR(IF(AND(COUNTIF($B83,"*泉ヶ丘*"),COUNTIF($B84,"*泉ヶ丘*")),
IFERROR(INDEX(84:84, SMALL(IF($AC84:$AX84&lt;&gt;"", COLUMN($AC$1:$AX84)), COLUMN(D84))), ""),
INDEX(83:83, SMALL(IF($AC83:$AX83&lt;&gt;"", COLUMN($AC$1:$AX83)), COLUMN(J83)))), "")</f>
        <v/>
      </c>
      <c r="BJ83" t="str">
        <f t="array" ref="BJ83">IFERROR(IF(AND(COUNTIF($B83,"*泉ヶ丘*"),COUNTIF($B84,"*泉ヶ丘*")),
IFERROR(INDEX(84:84, SMALL(IF($AC84:$AX84&lt;&gt;"", COLUMN($AC$1:$AX84)), COLUMN(E84))), ""),
INDEX(83:83, SMALL(IF($AC83:$AX83&lt;&gt;"", COLUMN($AC$1:$AX83)), COLUMN(K83)))), "")</f>
        <v/>
      </c>
      <c r="BK83" t="str">
        <f t="array" ref="BK83">IFERROR(IF(AND(COUNTIF($B83,"*泉ヶ丘*"),COUNTIF($B84,"*泉ヶ丘*")),
IFERROR(INDEX(84:84, SMALL(IF($AC84:$AX84&lt;&gt;"", COLUMN($AC$1:$AX84)), COLUMN(F84))), ""),
INDEX(83:83, SMALL(IF($AC83:$AX83&lt;&gt;"", COLUMN($AC$1:$AX83)), COLUMN(L83)))), "")</f>
        <v/>
      </c>
      <c r="BL83" t="str">
        <f t="array" ref="BL83">IFERROR(IF(AND(COUNTIF($B83,"*泉ヶ丘*"),COUNTIF($B84,"*泉ヶ丘*")),
IFERROR(INDEX(84:84, SMALL(IF($AC84:$AX84&lt;&gt;"", COLUMN($AC$1:$AX84)), COLUMN(G84))), ""),
INDEX(83:83, SMALL(IF($AC83:$AX83&lt;&gt;"", COLUMN($AC$1:$AX83)), COLUMN(M83)))), "")</f>
        <v/>
      </c>
      <c r="BM83" t="str">
        <f t="array" ref="BM83">IFERROR(IF(AND(COUNTIF($B83,"*泉ヶ丘*"),COUNTIF($B84,"*泉ヶ丘*")),
IFERROR(INDEX(84:84, SMALL(IF($AC84:$AX84&lt;&gt;"", COLUMN($AC$1:$AX84)), COLUMN(H84))), ""),
INDEX(83:83, SMALL(IF($AC83:$AX83&lt;&gt;"", COLUMN($AC$1:$AX83)), COLUMN(N83)))), "")</f>
        <v/>
      </c>
      <c r="BN83" t="str">
        <f t="array" ref="BN83">IFERROR(IF(AND(COUNTIF($B83,"*泉ヶ丘*"),COUNTIF($B84,"*泉ヶ丘*")),
IFERROR(INDEX(84:84, SMALL(IF($AC84:$AX84&lt;&gt;"", COLUMN($AC$1:$AX84)), COLUMN(I84))), ""),
INDEX(83:83, SMALL(IF($AC83:$AX83&lt;&gt;"", COLUMN($AC$1:$AX83)), COLUMN(O83)))), "")</f>
        <v/>
      </c>
      <c r="BO83" t="str">
        <f t="array" ref="BO83">IFERROR(IF(AND(COUNTIF($B83,"*泉ヶ丘*"),COUNTIF($B84,"*泉ヶ丘*")),
IFERROR(INDEX(84:84, SMALL(IF($AC84:$AX84&lt;&gt;"", COLUMN($AC$1:$AX84)), COLUMN(J84))), ""),
INDEX(83:83, SMALL(IF($AC83:$AX83&lt;&gt;"", COLUMN($AC$1:$AX83)), COLUMN(P83)))), "")</f>
        <v/>
      </c>
      <c r="BP83" t="str">
        <f t="array" ref="BP83">IFERROR(IF(AND(COUNTIF($B83,"*泉ヶ丘*"),COUNTIF($B84,"*泉ヶ丘*")),
IFERROR(INDEX(84:84, SMALL(IF($AC84:$AX84&lt;&gt;"", COLUMN($AC$1:$AX84)), COLUMN(K84))), ""),
INDEX(83:83, SMALL(IF($AC83:$AX83&lt;&gt;"", COLUMN($AC$1:$AX83)), COLUMN(Q83)))), "")</f>
        <v/>
      </c>
      <c r="BQ83" t="str">
        <f t="array" ref="BQ83">IFERROR(IF(AND(COUNTIF($B83,"*泉ヶ丘*"),COUNTIF($B84,"*泉ヶ丘*")),
IFERROR(INDEX(84:84, SMALL(IF($AC84:$AX84&lt;&gt;"", COLUMN($AC$1:$AX84)), COLUMN(L84))), ""),
INDEX(83:83, SMALL(IF($AC83:$AX83&lt;&gt;"", COLUMN($AC$1:$AX83)), COLUMN(R83)))), "")</f>
        <v/>
      </c>
    </row>
    <row r="84" spans="1:69" x14ac:dyDescent="0.45">
      <c r="A84" t="e">
        <f t="array" ref="A84">IF(INDEX(貼り付け用!A:A,MATCH(A83,貼り付け用!A:A,0)+2)="4700",
IF(INDEX(貼り付け用!A:A,MATCH(A83,貼り付け用!A:A,0)+4)="4800",
INDEX(貼り付け用!A:A,MATCH(A83,貼り付け用!A:A,0)+6),
INDEX(貼り付け用!A:A,MATCH(A83,貼り付け用!A:A,0)+4)),INDEX(貼り付け用!A:A,MATCH(A83,貼り付け用!A:A,0)+2))</f>
        <v>#N/A</v>
      </c>
      <c r="B84" t="e">
        <f>IF(A84&lt;&gt;"",
VLOOKUP(A84,得意先マスタ!A:D,2,FALSE),"")</f>
        <v>#N/A</v>
      </c>
      <c r="C84" t="e">
        <f t="array" ref="C84">IF(A84="10000","",INDEX(貼り付け用!A:A,MATCH(A84,貼り付け用!A:A,0)+1))</f>
        <v>#N/A</v>
      </c>
      <c r="D84" t="e">
        <f>VLOOKUP(C84,クライアント抽出!$A:$O,10,FALSE)</f>
        <v>#N/A</v>
      </c>
      <c r="E84" t="e">
        <f>IF(D84&lt;&gt;"",
IF(COUNTIF(C84,"*ぺんぎん*"),
VLOOKUP(
"*"&amp;IF(COUNTIF(D84,"*キャラ弁*"),"キャラ",
IF(COUNTIF(D84,"*赤*"),"赤",SUBSTITUTE(SUBSTITUTE(D84," ",""),"　","")))&amp;"*",
注文弁当の抽出!$F:$I,4,FALSE)&amp;
IF(COUNTIF(D84,"*おにぎり*"),"　おにぎり","")&amp;"　（ぺんぎん組）",
VLOOKUP(
"*"&amp;IF(COUNTIF(D84,"*キャラ弁*"),"キャラ",
IF(COUNTIF(D84,"*赤*"),"赤",SUBSTITUTE(SUBSTITUTE(D84," ",""),"　","")))&amp;"*",
注文弁当の抽出!$F:$I,4,FALSE)&amp;
IF(COUNTIF(D84,"*おにぎり*"),"　おにぎり","")),"")</f>
        <v>#N/A</v>
      </c>
      <c r="F84" t="str">
        <f>IFERROR(IF(E84&lt;&gt;"",
VLOOKUP(C84,クライアント抽出!$A:$G,2,FALSE)+
IF(COUNTIF(Y84,"*-*"),Y84,0),"")
-IFERROR(MID(V84, SEARCH("予備", V84) + LEN("予備"), SEARCH("込み", V84) - (SEARCH("予備", V84) + LEN("予備"))),0),"")</f>
        <v/>
      </c>
      <c r="G84" t="e">
        <f>VLOOKUP(C84,クライアント抽出!$A:$O,11,FALSE)</f>
        <v>#N/A</v>
      </c>
      <c r="H84" t="e">
        <f>IF(G84&lt;&gt;"",
VLOOKUP(
"*"&amp;IF(COUNTIF(G84,"*キャラ弁*"),"キャラ",
IF(COUNTIF(G84,"*赤*"),"赤",SUBSTITUTE(SUBSTITUTE(G84," ",""),"　","")))&amp;"*",
注文弁当の抽出!$F:$I,4,FALSE)&amp;
IF(COUNTIF(G84,"*おにぎり*"),"　おにぎり",""),"")</f>
        <v>#N/A</v>
      </c>
      <c r="I84" t="e">
        <f>IF(H84&lt;&gt;"",
VLOOKUP(C84,クライアント抽出!$A:$G,3,FALSE)+
IF(COUNTIF(C84,"*博多*"),Y84,Z84),"")</f>
        <v>#N/A</v>
      </c>
      <c r="J84" t="e">
        <f>VLOOKUP(C84,クライアント抽出!$A:$O,12,FALSE)</f>
        <v>#N/A</v>
      </c>
      <c r="K84" t="e">
        <f>IF(J84&lt;&gt;"",
VLOOKUP(
"*"&amp;IF(COUNTIF(J84,"*キャラ弁*"),"キャラ",
IF(COUNTIF(J84,"*赤*"),"赤",SUBSTITUTE(SUBSTITUTE(J84," ",""),"　","")))&amp;"*",
注文弁当の抽出!$F:$I,4,FALSE)&amp;
IF(COUNTIF(J84,"*おにぎり*"),"　おにぎり",""),"")</f>
        <v>#N/A</v>
      </c>
      <c r="L84" t="e">
        <f>IF(K84&lt;&gt;"",
VLOOKUP(C84,クライアント抽出!$A:$G,4,FALSE)+AA84,"")</f>
        <v>#N/A</v>
      </c>
      <c r="M84" t="e">
        <f>VLOOKUP(C84,クライアント抽出!$A:$O,13,FALSE)</f>
        <v>#N/A</v>
      </c>
      <c r="N84" t="e">
        <f>SUBSTITUTE(
IF(M84&lt;&gt;"",
VLOOKUP(
"*"&amp;IF(COUNTIF(M84,"*キャラ弁*"),"キャラ",
IF(COUNTIF(M84,"*赤*"),"赤",SUBSTITUTE(SUBSTITUTE(D84," ",""),"　","")))&amp;"*",
注文弁当の抽出!$F:$I,4,FALSE),""),"園児","先生")&amp;
IF(COUNTIF(M84,"*おにぎり*"),"　おにぎり","")</f>
        <v>#N/A</v>
      </c>
      <c r="O84" t="e">
        <f>IF(N84&lt;&gt;"",VLOOKUP(C84,クライアント抽出!$A:$G,5,FALSE),"")</f>
        <v>#N/A</v>
      </c>
      <c r="P84" t="e">
        <f>VLOOKUP(C84,クライアント抽出!$A:$O,14,FALSE)</f>
        <v>#N/A</v>
      </c>
      <c r="Q84" t="e">
        <f>SUBSTITUTE(
IF(P84&lt;&gt;"",
VLOOKUP(
"*"&amp;IF(COUNTIF(P84,"*キャラ弁*"),"キャラ",
IF(COUNTIF(P84,"*赤*"),"赤",SUBSTITUTE(SUBSTITUTE(G84," ",""),"　","")))&amp;"*",
注文弁当の抽出!$F:$I,4,FALSE),""),"園児","先生")&amp;
IF(COUNTIF(P84,"*おにぎり*"),"　おにぎり","")</f>
        <v>#N/A</v>
      </c>
      <c r="R84" t="e">
        <f>IF(Q84&lt;&gt;"",
VLOOKUP(C84,クライアント抽出!$A:$G,6,FALSE),"")</f>
        <v>#N/A</v>
      </c>
      <c r="S84" t="e">
        <f>VLOOKUP(C84,クライアント抽出!$A:$O,15,FALSE)</f>
        <v>#N/A</v>
      </c>
      <c r="T84" t="e">
        <f>SUBSTITUTE(
IF(S84&lt;&gt;"",
VLOOKUP(
"*"&amp;IF(COUNTIF(S84,"*キャラ弁*"),"キャラ",
IF(COUNTIF(S84,"*赤*"),"赤",SUBSTITUTE(SUBSTITUTE(J84," ",""),"　","")))&amp;"*",
注文弁当の抽出!$F:$I,4,FALSE),""),"園児","先生")&amp;
IF(COUNTIF(S84,"*おにぎり*"),"　おにぎり","")</f>
        <v>#N/A</v>
      </c>
      <c r="U84" t="e">
        <f>IF(T84&lt;&gt;"",
VLOOKUP(C84,クライアント抽出!$A:$G,7,FALSE),"")</f>
        <v>#N/A</v>
      </c>
      <c r="V84" t="e">
        <f>IF(A84&lt;&gt;"",
IF(COUNTIF(V83,"*牛乳*"),
IF(AND(COUNTIF(B83,"*奈良屋*"),COUNTIF(B84,"*奈良屋*")),
V83&amp;"✔",""),VLOOKUP(""&amp;A84&amp;"",数出表_Excel!$A:$Z,22,FALSE)&amp;VLOOKUP(""&amp;A84&amp;"",数出表_Excel!$A:$Z,23,FALSE)
&amp;VLOOKUP(""&amp;C84&amp;"",数出表_Excel!$A:$Z,22,FALSE)&amp;VLOOKUP(""&amp;C84&amp;"",数出表_Excel!$A:$Z,23,FALSE)),"")</f>
        <v>#N/A</v>
      </c>
      <c r="W84" t="e">
        <f>IF(AND(COUNTIF(V84,"&lt;&gt;*不要*"),A84&lt;&gt;""),VLOOKUP(A84,得意先マスタ!$A:$AD,24,FALSE),0)</f>
        <v>#N/A</v>
      </c>
      <c r="X84" t="e">
        <f>IF(AND(COUNTIF(V84,"&lt;&gt;*不要*"),A84&lt;&gt;""),VLOOKUP(A84,得意先マスタ!$A:$AD,25,FALSE),0)</f>
        <v>#N/A</v>
      </c>
      <c r="Y84" t="e">
        <f t="shared" si="20"/>
        <v>#N/A</v>
      </c>
      <c r="Z84" t="e">
        <f t="shared" si="21"/>
        <v>#N/A</v>
      </c>
      <c r="AA84" t="e">
        <f t="shared" si="25"/>
        <v>#N/A</v>
      </c>
      <c r="AB84" t="e">
        <f t="shared" si="22"/>
        <v>#N/A</v>
      </c>
      <c r="AC84" t="str">
        <f t="array" ref="AC84">IFERROR(INDEX(84:84, SMALL(IF($D84:$U84&lt;&gt;"", COLUMN($D$1:$U84)), COLUMN(A84))), "")</f>
        <v/>
      </c>
      <c r="AD84" t="str">
        <f t="array" ref="AD84">IFERROR(INDEX(84:84, SMALL(IF($D84:$U84&lt;&gt;"", COLUMN($D$1:$U84)), COLUMN(B84))), "")</f>
        <v/>
      </c>
      <c r="AE84" t="str">
        <f t="array" ref="AE84">IFERROR(INDEX(84:84, SMALL(IF($D84:$U84&lt;&gt;"", COLUMN($D$1:$U84)), COLUMN(C84))), "")</f>
        <v/>
      </c>
      <c r="AF84" t="str">
        <f t="array" ref="AF84">IFERROR(INDEX(84:84, SMALL(IF($D84:$U84&lt;&gt;"", COLUMN($D$1:$U84)), COLUMN(D84))), "")</f>
        <v/>
      </c>
      <c r="AG84" t="str">
        <f t="array" ref="AG84">IFERROR(INDEX(84:84, SMALL(IF($D84:$U84&lt;&gt;"", COLUMN($D$1:$U84)), COLUMN(E84))), "")</f>
        <v/>
      </c>
      <c r="AH84" t="str">
        <f t="array" ref="AH84">IFERROR(INDEX(84:84, SMALL(IF($D84:$U84&lt;&gt;"", COLUMN($D$1:$U84)), COLUMN(F84))), "")</f>
        <v/>
      </c>
      <c r="AI84" t="str">
        <f t="array" ref="AI84">IFERROR(INDEX(84:84, SMALL(IF($D84:$U84&lt;&gt;"", COLUMN($D$1:$U84)), COLUMN(G84))), "")</f>
        <v/>
      </c>
      <c r="AJ84" t="str">
        <f t="array" ref="AJ84">IFERROR(INDEX(84:84, SMALL(IF($D84:$U84&lt;&gt;"", COLUMN($D$1:$U84)), COLUMN(H84))), "")</f>
        <v/>
      </c>
      <c r="AK84" t="str">
        <f t="array" ref="AK84">IFERROR(INDEX(84:84, SMALL(IF($D84:$U84&lt;&gt;"", COLUMN($D$1:$U84)), COLUMN(I84))), "")</f>
        <v/>
      </c>
      <c r="AL84" t="str">
        <f t="array" ref="AL84">IFERROR(INDEX(84:84, SMALL(IF($D84:$U84&lt;&gt;"", COLUMN($D$1:$U84)), COLUMN(J84))), "")</f>
        <v/>
      </c>
      <c r="AM84" t="str">
        <f t="array" ref="AM84">IFERROR(INDEX(84:84, SMALL(IF($D84:$U84&lt;&gt;"", COLUMN($D$1:$U84)), COLUMN(K84))), "")</f>
        <v/>
      </c>
      <c r="AN84" t="str">
        <f t="array" ref="AN84">IFERROR(INDEX(84:84, SMALL(IF($D84:$U84&lt;&gt;"", COLUMN($D$1:$U84)), COLUMN(L84))), "")</f>
        <v/>
      </c>
      <c r="AO84" t="str">
        <f t="array" ref="AO84">IFERROR(INDEX(84:84, SMALL(IF($D84:$U84&lt;&gt;"", COLUMN($D$1:$U84)), COLUMN(M84))), "")</f>
        <v/>
      </c>
      <c r="AP84" t="str">
        <f t="array" ref="AP84">IFERROR(INDEX(84:84, SMALL(IF($D84:$U84&lt;&gt;"", COLUMN($D$1:$U84)), COLUMN(N84))), "")</f>
        <v/>
      </c>
      <c r="AQ84" t="str">
        <f t="array" ref="AQ84">IFERROR(INDEX(84:84, SMALL(IF($D84:$U84&lt;&gt;"", COLUMN($D$1:$U84)), COLUMN(O84))), "")</f>
        <v/>
      </c>
      <c r="AR84" s="52" t="s">
        <v>4005</v>
      </c>
      <c r="AS84" t="e">
        <f t="shared" si="23"/>
        <v>#N/A</v>
      </c>
      <c r="AT84" t="e">
        <f t="shared" si="24"/>
        <v>#N/A</v>
      </c>
      <c r="AU84" t="e">
        <f t="shared" si="26"/>
        <v>#N/A</v>
      </c>
      <c r="AV84" t="e">
        <f t="shared" si="27"/>
        <v>#N/A</v>
      </c>
      <c r="AW84" t="e">
        <f t="shared" si="28"/>
        <v>#N/A</v>
      </c>
      <c r="AX84" t="e">
        <f t="shared" si="29"/>
        <v>#N/A</v>
      </c>
      <c r="AZ84" t="str">
        <f t="array" ref="AZ84">IFERROR(INDEX(84:84, SMALL(IF($AC84:$AX84&lt;&gt;"", COLUMN($AC$1:$AX84)), COLUMN(A84))), "")</f>
        <v/>
      </c>
      <c r="BA84" t="str">
        <f t="array" ref="BA84">IFERROR(INDEX(84:84, SMALL(IF($AC84:$AX84&lt;&gt;"", COLUMN($AC$1:$AX84)), COLUMN(B84))), "")</f>
        <v/>
      </c>
      <c r="BB84" t="str">
        <f t="array" ref="BB84">IFERROR(INDEX(84:84, SMALL(IF($AC84:$AX84&lt;&gt;"", COLUMN($AC$1:$AX84)), COLUMN(C84))), "")</f>
        <v/>
      </c>
      <c r="BC84" t="str">
        <f t="array" ref="BC84">IFERROR(INDEX(84:84, SMALL(IF($AC84:$AX84&lt;&gt;"", COLUMN($AC$1:$AX84)), COLUMN(D84))), "")</f>
        <v/>
      </c>
      <c r="BD84" t="str">
        <f t="array" ref="BD84">IFERROR(INDEX(84:84, SMALL(IF($AC84:$AX84&lt;&gt;"", COLUMN($AC$1:$AX84)), COLUMN(E84))), "")</f>
        <v/>
      </c>
      <c r="BE84" t="str">
        <f t="array" ref="BE84">IFERROR(INDEX(84:84, SMALL(IF($AC84:$AX84&lt;&gt;"", COLUMN($AC$1:$AX84)), COLUMN(F84))), "")</f>
        <v/>
      </c>
      <c r="BF84" t="str">
        <f t="array" ref="BF84">IFERROR(IF(AND(COUNTIF($B84,"*泉ヶ丘*"),COUNTIF($B85,"*泉ヶ丘*")),
IFERROR(INDEX(85:85, SMALL(IF($AC85:$AX85&lt;&gt;"", COLUMN($AC$1:$AX85)), COLUMN(A85))), ""),
INDEX(84:84, SMALL(IF($AC84:$AX84&lt;&gt;"", COLUMN($AC$1:$AX84)), COLUMN(G84)))), "")</f>
        <v/>
      </c>
      <c r="BG84" t="str">
        <f t="array" ref="BG84">IFERROR(IF(AND(COUNTIF($B84,"*泉ヶ丘*"),COUNTIF($B85,"*泉ヶ丘*")),
IFERROR(INDEX(85:85, SMALL(IF($AC85:$AX85&lt;&gt;"", COLUMN($AC$1:$AX85)), COLUMN(B85))), ""),
INDEX(84:84, SMALL(IF($AC84:$AX84&lt;&gt;"", COLUMN($AC$1:$AX84)), COLUMN(H84)))), "")</f>
        <v/>
      </c>
      <c r="BH84" t="str">
        <f t="array" ref="BH84">IFERROR(IF(AND(COUNTIF($B84,"*泉ヶ丘*"),COUNTIF($B85,"*泉ヶ丘*")),
IFERROR(INDEX(85:85, SMALL(IF($AC85:$AX85&lt;&gt;"", COLUMN($AC$1:$AX85)), COLUMN(C85))), ""),
INDEX(84:84, SMALL(IF($AC84:$AX84&lt;&gt;"", COLUMN($AC$1:$AX84)), COLUMN(I84)))), "")</f>
        <v/>
      </c>
      <c r="BI84" t="str">
        <f t="array" ref="BI84">IFERROR(IF(AND(COUNTIF($B84,"*泉ヶ丘*"),COUNTIF($B85,"*泉ヶ丘*")),
IFERROR(INDEX(85:85, SMALL(IF($AC85:$AX85&lt;&gt;"", COLUMN($AC$1:$AX85)), COLUMN(D85))), ""),
INDEX(84:84, SMALL(IF($AC84:$AX84&lt;&gt;"", COLUMN($AC$1:$AX84)), COLUMN(J84)))), "")</f>
        <v/>
      </c>
      <c r="BJ84" t="str">
        <f t="array" ref="BJ84">IFERROR(IF(AND(COUNTIF($B84,"*泉ヶ丘*"),COUNTIF($B85,"*泉ヶ丘*")),
IFERROR(INDEX(85:85, SMALL(IF($AC85:$AX85&lt;&gt;"", COLUMN($AC$1:$AX85)), COLUMN(E85))), ""),
INDEX(84:84, SMALL(IF($AC84:$AX84&lt;&gt;"", COLUMN($AC$1:$AX84)), COLUMN(K84)))), "")</f>
        <v/>
      </c>
      <c r="BK84" t="str">
        <f t="array" ref="BK84">IFERROR(IF(AND(COUNTIF($B84,"*泉ヶ丘*"),COUNTIF($B85,"*泉ヶ丘*")),
IFERROR(INDEX(85:85, SMALL(IF($AC85:$AX85&lt;&gt;"", COLUMN($AC$1:$AX85)), COLUMN(F85))), ""),
INDEX(84:84, SMALL(IF($AC84:$AX84&lt;&gt;"", COLUMN($AC$1:$AX84)), COLUMN(L84)))), "")</f>
        <v/>
      </c>
      <c r="BL84" t="str">
        <f t="array" ref="BL84">IFERROR(IF(AND(COUNTIF($B84,"*泉ヶ丘*"),COUNTIF($B85,"*泉ヶ丘*")),
IFERROR(INDEX(85:85, SMALL(IF($AC85:$AX85&lt;&gt;"", COLUMN($AC$1:$AX85)), COLUMN(G85))), ""),
INDEX(84:84, SMALL(IF($AC84:$AX84&lt;&gt;"", COLUMN($AC$1:$AX84)), COLUMN(M84)))), "")</f>
        <v/>
      </c>
      <c r="BM84" t="str">
        <f t="array" ref="BM84">IFERROR(IF(AND(COUNTIF($B84,"*泉ヶ丘*"),COUNTIF($B85,"*泉ヶ丘*")),
IFERROR(INDEX(85:85, SMALL(IF($AC85:$AX85&lt;&gt;"", COLUMN($AC$1:$AX85)), COLUMN(H85))), ""),
INDEX(84:84, SMALL(IF($AC84:$AX84&lt;&gt;"", COLUMN($AC$1:$AX84)), COLUMN(N84)))), "")</f>
        <v/>
      </c>
      <c r="BN84" t="str">
        <f t="array" ref="BN84">IFERROR(IF(AND(COUNTIF($B84,"*泉ヶ丘*"),COUNTIF($B85,"*泉ヶ丘*")),
IFERROR(INDEX(85:85, SMALL(IF($AC85:$AX85&lt;&gt;"", COLUMN($AC$1:$AX85)), COLUMN(I85))), ""),
INDEX(84:84, SMALL(IF($AC84:$AX84&lt;&gt;"", COLUMN($AC$1:$AX84)), COLUMN(O84)))), "")</f>
        <v/>
      </c>
      <c r="BO84" t="str">
        <f t="array" ref="BO84">IFERROR(IF(AND(COUNTIF($B84,"*泉ヶ丘*"),COUNTIF($B85,"*泉ヶ丘*")),
IFERROR(INDEX(85:85, SMALL(IF($AC85:$AX85&lt;&gt;"", COLUMN($AC$1:$AX85)), COLUMN(J85))), ""),
INDEX(84:84, SMALL(IF($AC84:$AX84&lt;&gt;"", COLUMN($AC$1:$AX84)), COLUMN(P84)))), "")</f>
        <v/>
      </c>
      <c r="BP84" t="str">
        <f t="array" ref="BP84">IFERROR(IF(AND(COUNTIF($B84,"*泉ヶ丘*"),COUNTIF($B85,"*泉ヶ丘*")),
IFERROR(INDEX(85:85, SMALL(IF($AC85:$AX85&lt;&gt;"", COLUMN($AC$1:$AX85)), COLUMN(K85))), ""),
INDEX(84:84, SMALL(IF($AC84:$AX84&lt;&gt;"", COLUMN($AC$1:$AX84)), COLUMN(Q84)))), "")</f>
        <v/>
      </c>
      <c r="BQ84" t="str">
        <f t="array" ref="BQ84">IFERROR(IF(AND(COUNTIF($B84,"*泉ヶ丘*"),COUNTIF($B85,"*泉ヶ丘*")),
IFERROR(INDEX(85:85, SMALL(IF($AC85:$AX85&lt;&gt;"", COLUMN($AC$1:$AX85)), COLUMN(L85))), ""),
INDEX(84:84, SMALL(IF($AC84:$AX84&lt;&gt;"", COLUMN($AC$1:$AX84)), COLUMN(R84)))), "")</f>
        <v/>
      </c>
    </row>
    <row r="85" spans="1:69" x14ac:dyDescent="0.45">
      <c r="A85" t="e">
        <f t="array" ref="A85">IF(INDEX(貼り付け用!A:A,MATCH(A84,貼り付け用!A:A,0)+2)="4700",
IF(INDEX(貼り付け用!A:A,MATCH(A84,貼り付け用!A:A,0)+4)="4800",
INDEX(貼り付け用!A:A,MATCH(A84,貼り付け用!A:A,0)+6),
INDEX(貼り付け用!A:A,MATCH(A84,貼り付け用!A:A,0)+4)),INDEX(貼り付け用!A:A,MATCH(A84,貼り付け用!A:A,0)+2))</f>
        <v>#N/A</v>
      </c>
      <c r="B85" t="e">
        <f>IF(A85&lt;&gt;"",
VLOOKUP(A85,得意先マスタ!A:D,2,FALSE),"")</f>
        <v>#N/A</v>
      </c>
      <c r="C85" t="e">
        <f t="array" ref="C85">IF(A85="10000","",INDEX(貼り付け用!A:A,MATCH(A85,貼り付け用!A:A,0)+1))</f>
        <v>#N/A</v>
      </c>
      <c r="D85" t="e">
        <f>VLOOKUP(C85,クライアント抽出!$A:$O,10,FALSE)</f>
        <v>#N/A</v>
      </c>
      <c r="E85" t="e">
        <f>IF(D85&lt;&gt;"",
IF(COUNTIF(C85,"*ぺんぎん*"),
VLOOKUP(
"*"&amp;IF(COUNTIF(D85,"*キャラ弁*"),"キャラ",
IF(COUNTIF(D85,"*赤*"),"赤",SUBSTITUTE(SUBSTITUTE(D85," ",""),"　","")))&amp;"*",
注文弁当の抽出!$F:$I,4,FALSE)&amp;
IF(COUNTIF(D85,"*おにぎり*"),"　おにぎり","")&amp;"　（ぺんぎん組）",
VLOOKUP(
"*"&amp;IF(COUNTIF(D85,"*キャラ弁*"),"キャラ",
IF(COUNTIF(D85,"*赤*"),"赤",SUBSTITUTE(SUBSTITUTE(D85," ",""),"　","")))&amp;"*",
注文弁当の抽出!$F:$I,4,FALSE)&amp;
IF(COUNTIF(D85,"*おにぎり*"),"　おにぎり","")),"")</f>
        <v>#N/A</v>
      </c>
      <c r="F85" t="str">
        <f>IFERROR(IF(E85&lt;&gt;"",
VLOOKUP(C85,クライアント抽出!$A:$G,2,FALSE)+
IF(COUNTIF(Y85,"*-*"),Y85,0),"")
-IFERROR(MID(V85, SEARCH("予備", V85) + LEN("予備"), SEARCH("込み", V85) - (SEARCH("予備", V85) + LEN("予備"))),0),"")</f>
        <v/>
      </c>
      <c r="G85" t="e">
        <f>VLOOKUP(C85,クライアント抽出!$A:$O,11,FALSE)</f>
        <v>#N/A</v>
      </c>
      <c r="H85" t="e">
        <f>IF(G85&lt;&gt;"",
VLOOKUP(
"*"&amp;IF(COUNTIF(G85,"*キャラ弁*"),"キャラ",
IF(COUNTIF(G85,"*赤*"),"赤",SUBSTITUTE(SUBSTITUTE(G85," ",""),"　","")))&amp;"*",
注文弁当の抽出!$F:$I,4,FALSE)&amp;
IF(COUNTIF(G85,"*おにぎり*"),"　おにぎり",""),"")</f>
        <v>#N/A</v>
      </c>
      <c r="I85" t="e">
        <f>IF(H85&lt;&gt;"",
VLOOKUP(C85,クライアント抽出!$A:$G,3,FALSE)+
IF(COUNTIF(C85,"*博多*"),Y85,Z85),"")</f>
        <v>#N/A</v>
      </c>
      <c r="J85" t="e">
        <f>VLOOKUP(C85,クライアント抽出!$A:$O,12,FALSE)</f>
        <v>#N/A</v>
      </c>
      <c r="K85" t="e">
        <f>IF(J85&lt;&gt;"",
VLOOKUP(
"*"&amp;IF(COUNTIF(J85,"*キャラ弁*"),"キャラ",
IF(COUNTIF(J85,"*赤*"),"赤",SUBSTITUTE(SUBSTITUTE(J85," ",""),"　","")))&amp;"*",
注文弁当の抽出!$F:$I,4,FALSE)&amp;
IF(COUNTIF(J85,"*おにぎり*"),"　おにぎり",""),"")</f>
        <v>#N/A</v>
      </c>
      <c r="L85" t="e">
        <f>IF(K85&lt;&gt;"",
VLOOKUP(C85,クライアント抽出!$A:$G,4,FALSE)+AA85,"")</f>
        <v>#N/A</v>
      </c>
      <c r="M85" t="e">
        <f>VLOOKUP(C85,クライアント抽出!$A:$O,13,FALSE)</f>
        <v>#N/A</v>
      </c>
      <c r="N85" t="e">
        <f>SUBSTITUTE(
IF(M85&lt;&gt;"",
VLOOKUP(
"*"&amp;IF(COUNTIF(M85,"*キャラ弁*"),"キャラ",
IF(COUNTIF(M85,"*赤*"),"赤",SUBSTITUTE(SUBSTITUTE(D85," ",""),"　","")))&amp;"*",
注文弁当の抽出!$F:$I,4,FALSE),""),"園児","先生")&amp;
IF(COUNTIF(M85,"*おにぎり*"),"　おにぎり","")</f>
        <v>#N/A</v>
      </c>
      <c r="O85" t="e">
        <f>IF(N85&lt;&gt;"",VLOOKUP(C85,クライアント抽出!$A:$G,5,FALSE),"")</f>
        <v>#N/A</v>
      </c>
      <c r="P85" t="e">
        <f>VLOOKUP(C85,クライアント抽出!$A:$O,14,FALSE)</f>
        <v>#N/A</v>
      </c>
      <c r="Q85" t="e">
        <f>SUBSTITUTE(
IF(P85&lt;&gt;"",
VLOOKUP(
"*"&amp;IF(COUNTIF(P85,"*キャラ弁*"),"キャラ",
IF(COUNTIF(P85,"*赤*"),"赤",SUBSTITUTE(SUBSTITUTE(G85," ",""),"　","")))&amp;"*",
注文弁当の抽出!$F:$I,4,FALSE),""),"園児","先生")&amp;
IF(COUNTIF(P85,"*おにぎり*"),"　おにぎり","")</f>
        <v>#N/A</v>
      </c>
      <c r="R85" t="e">
        <f>IF(Q85&lt;&gt;"",
VLOOKUP(C85,クライアント抽出!$A:$G,6,FALSE),"")</f>
        <v>#N/A</v>
      </c>
      <c r="S85" t="e">
        <f>VLOOKUP(C85,クライアント抽出!$A:$O,15,FALSE)</f>
        <v>#N/A</v>
      </c>
      <c r="T85" t="e">
        <f>SUBSTITUTE(
IF(S85&lt;&gt;"",
VLOOKUP(
"*"&amp;IF(COUNTIF(S85,"*キャラ弁*"),"キャラ",
IF(COUNTIF(S85,"*赤*"),"赤",SUBSTITUTE(SUBSTITUTE(J85," ",""),"　","")))&amp;"*",
注文弁当の抽出!$F:$I,4,FALSE),""),"園児","先生")&amp;
IF(COUNTIF(S85,"*おにぎり*"),"　おにぎり","")</f>
        <v>#N/A</v>
      </c>
      <c r="U85" t="e">
        <f>IF(T85&lt;&gt;"",
VLOOKUP(C85,クライアント抽出!$A:$G,7,FALSE),"")</f>
        <v>#N/A</v>
      </c>
      <c r="V85" t="e">
        <f>IF(A85&lt;&gt;"",
IF(COUNTIF(V84,"*牛乳*"),
IF(AND(COUNTIF(B84,"*奈良屋*"),COUNTIF(B85,"*奈良屋*")),
V84&amp;"✔",""),VLOOKUP(""&amp;A85&amp;"",数出表_Excel!$A:$Z,22,FALSE)&amp;VLOOKUP(""&amp;A85&amp;"",数出表_Excel!$A:$Z,23,FALSE)
&amp;VLOOKUP(""&amp;C85&amp;"",数出表_Excel!$A:$Z,22,FALSE)&amp;VLOOKUP(""&amp;C85&amp;"",数出表_Excel!$A:$Z,23,FALSE)),"")</f>
        <v>#N/A</v>
      </c>
      <c r="W85" t="e">
        <f>IF(AND(COUNTIF(V85,"&lt;&gt;*不要*"),A85&lt;&gt;""),VLOOKUP(A85,得意先マスタ!$A:$AD,24,FALSE),0)</f>
        <v>#N/A</v>
      </c>
      <c r="X85" t="e">
        <f>IF(AND(COUNTIF(V85,"&lt;&gt;*不要*"),A85&lt;&gt;""),VLOOKUP(A85,得意先マスタ!$A:$AD,25,FALSE),0)</f>
        <v>#N/A</v>
      </c>
      <c r="Y85" t="e">
        <f t="shared" si="20"/>
        <v>#N/A</v>
      </c>
      <c r="Z85" t="e">
        <f t="shared" si="21"/>
        <v>#N/A</v>
      </c>
      <c r="AA85" t="e">
        <f t="shared" si="25"/>
        <v>#N/A</v>
      </c>
      <c r="AB85" t="e">
        <f t="shared" si="22"/>
        <v>#N/A</v>
      </c>
      <c r="AC85" t="str">
        <f t="array" ref="AC85">IFERROR(INDEX(85:85, SMALL(IF($D85:$U85&lt;&gt;"", COLUMN($D$1:$U85)), COLUMN(A85))), "")</f>
        <v/>
      </c>
      <c r="AD85" t="str">
        <f t="array" ref="AD85">IFERROR(INDEX(85:85, SMALL(IF($D85:$U85&lt;&gt;"", COLUMN($D$1:$U85)), COLUMN(B85))), "")</f>
        <v/>
      </c>
      <c r="AE85" t="str">
        <f t="array" ref="AE85">IFERROR(INDEX(85:85, SMALL(IF($D85:$U85&lt;&gt;"", COLUMN($D$1:$U85)), COLUMN(C85))), "")</f>
        <v/>
      </c>
      <c r="AF85" t="str">
        <f t="array" ref="AF85">IFERROR(INDEX(85:85, SMALL(IF($D85:$U85&lt;&gt;"", COLUMN($D$1:$U85)), COLUMN(D85))), "")</f>
        <v/>
      </c>
      <c r="AG85" t="str">
        <f t="array" ref="AG85">IFERROR(INDEX(85:85, SMALL(IF($D85:$U85&lt;&gt;"", COLUMN($D$1:$U85)), COLUMN(E85))), "")</f>
        <v/>
      </c>
      <c r="AH85" t="str">
        <f t="array" ref="AH85">IFERROR(INDEX(85:85, SMALL(IF($D85:$U85&lt;&gt;"", COLUMN($D$1:$U85)), COLUMN(F85))), "")</f>
        <v/>
      </c>
      <c r="AI85" t="str">
        <f t="array" ref="AI85">IFERROR(INDEX(85:85, SMALL(IF($D85:$U85&lt;&gt;"", COLUMN($D$1:$U85)), COLUMN(G85))), "")</f>
        <v/>
      </c>
      <c r="AJ85" t="str">
        <f t="array" ref="AJ85">IFERROR(INDEX(85:85, SMALL(IF($D85:$U85&lt;&gt;"", COLUMN($D$1:$U85)), COLUMN(H85))), "")</f>
        <v/>
      </c>
      <c r="AK85" t="str">
        <f t="array" ref="AK85">IFERROR(INDEX(85:85, SMALL(IF($D85:$U85&lt;&gt;"", COLUMN($D$1:$U85)), COLUMN(I85))), "")</f>
        <v/>
      </c>
      <c r="AL85" t="str">
        <f t="array" ref="AL85">IFERROR(INDEX(85:85, SMALL(IF($D85:$U85&lt;&gt;"", COLUMN($D$1:$U85)), COLUMN(J85))), "")</f>
        <v/>
      </c>
      <c r="AM85" t="str">
        <f t="array" ref="AM85">IFERROR(INDEX(85:85, SMALL(IF($D85:$U85&lt;&gt;"", COLUMN($D$1:$U85)), COLUMN(K85))), "")</f>
        <v/>
      </c>
      <c r="AN85" t="str">
        <f t="array" ref="AN85">IFERROR(INDEX(85:85, SMALL(IF($D85:$U85&lt;&gt;"", COLUMN($D$1:$U85)), COLUMN(L85))), "")</f>
        <v/>
      </c>
      <c r="AO85" t="str">
        <f t="array" ref="AO85">IFERROR(INDEX(85:85, SMALL(IF($D85:$U85&lt;&gt;"", COLUMN($D$1:$U85)), COLUMN(M85))), "")</f>
        <v/>
      </c>
      <c r="AP85" t="str">
        <f t="array" ref="AP85">IFERROR(INDEX(85:85, SMALL(IF($D85:$U85&lt;&gt;"", COLUMN($D$1:$U85)), COLUMN(N85))), "")</f>
        <v/>
      </c>
      <c r="AQ85" t="str">
        <f t="array" ref="AQ85">IFERROR(INDEX(85:85, SMALL(IF($D85:$U85&lt;&gt;"", COLUMN($D$1:$U85)), COLUMN(O85))), "")</f>
        <v/>
      </c>
      <c r="AR85" s="52" t="s">
        <v>4005</v>
      </c>
      <c r="AS85" t="e">
        <f t="shared" si="23"/>
        <v>#N/A</v>
      </c>
      <c r="AT85" t="e">
        <f t="shared" si="24"/>
        <v>#N/A</v>
      </c>
      <c r="AU85" t="e">
        <f t="shared" si="26"/>
        <v>#N/A</v>
      </c>
      <c r="AV85" t="e">
        <f t="shared" si="27"/>
        <v>#N/A</v>
      </c>
      <c r="AW85" t="e">
        <f t="shared" si="28"/>
        <v>#N/A</v>
      </c>
      <c r="AX85" t="e">
        <f t="shared" si="29"/>
        <v>#N/A</v>
      </c>
      <c r="AZ85" t="str">
        <f t="array" ref="AZ85">IFERROR(INDEX(85:85, SMALL(IF($AC85:$AX85&lt;&gt;"", COLUMN($AC$1:$AX85)), COLUMN(A85))), "")</f>
        <v/>
      </c>
      <c r="BA85" t="str">
        <f t="array" ref="BA85">IFERROR(INDEX(85:85, SMALL(IF($AC85:$AX85&lt;&gt;"", COLUMN($AC$1:$AX85)), COLUMN(B85))), "")</f>
        <v/>
      </c>
      <c r="BB85" t="str">
        <f t="array" ref="BB85">IFERROR(INDEX(85:85, SMALL(IF($AC85:$AX85&lt;&gt;"", COLUMN($AC$1:$AX85)), COLUMN(C85))), "")</f>
        <v/>
      </c>
      <c r="BC85" t="str">
        <f t="array" ref="BC85">IFERROR(INDEX(85:85, SMALL(IF($AC85:$AX85&lt;&gt;"", COLUMN($AC$1:$AX85)), COLUMN(D85))), "")</f>
        <v/>
      </c>
      <c r="BD85" t="str">
        <f t="array" ref="BD85">IFERROR(INDEX(85:85, SMALL(IF($AC85:$AX85&lt;&gt;"", COLUMN($AC$1:$AX85)), COLUMN(E85))), "")</f>
        <v/>
      </c>
      <c r="BE85" t="str">
        <f t="array" ref="BE85">IFERROR(INDEX(85:85, SMALL(IF($AC85:$AX85&lt;&gt;"", COLUMN($AC$1:$AX85)), COLUMN(F85))), "")</f>
        <v/>
      </c>
      <c r="BF85" t="str">
        <f t="array" ref="BF85">IFERROR(IF(AND(COUNTIF($B85,"*泉ヶ丘*"),COUNTIF($B86,"*泉ヶ丘*")),
IFERROR(INDEX(86:86, SMALL(IF($AC86:$AX86&lt;&gt;"", COLUMN($AC$1:$AX86)), COLUMN(A86))), ""),
INDEX(85:85, SMALL(IF($AC85:$AX85&lt;&gt;"", COLUMN($AC$1:$AX85)), COLUMN(G85)))), "")</f>
        <v/>
      </c>
      <c r="BG85" t="str">
        <f t="array" ref="BG85">IFERROR(IF(AND(COUNTIF($B85,"*泉ヶ丘*"),COUNTIF($B86,"*泉ヶ丘*")),
IFERROR(INDEX(86:86, SMALL(IF($AC86:$AX86&lt;&gt;"", COLUMN($AC$1:$AX86)), COLUMN(B86))), ""),
INDEX(85:85, SMALL(IF($AC85:$AX85&lt;&gt;"", COLUMN($AC$1:$AX85)), COLUMN(H85)))), "")</f>
        <v/>
      </c>
      <c r="BH85" t="str">
        <f t="array" ref="BH85">IFERROR(IF(AND(COUNTIF($B85,"*泉ヶ丘*"),COUNTIF($B86,"*泉ヶ丘*")),
IFERROR(INDEX(86:86, SMALL(IF($AC86:$AX86&lt;&gt;"", COLUMN($AC$1:$AX86)), COLUMN(C86))), ""),
INDEX(85:85, SMALL(IF($AC85:$AX85&lt;&gt;"", COLUMN($AC$1:$AX85)), COLUMN(I85)))), "")</f>
        <v/>
      </c>
      <c r="BI85" t="str">
        <f t="array" ref="BI85">IFERROR(IF(AND(COUNTIF($B85,"*泉ヶ丘*"),COUNTIF($B86,"*泉ヶ丘*")),
IFERROR(INDEX(86:86, SMALL(IF($AC86:$AX86&lt;&gt;"", COLUMN($AC$1:$AX86)), COLUMN(D86))), ""),
INDEX(85:85, SMALL(IF($AC85:$AX85&lt;&gt;"", COLUMN($AC$1:$AX85)), COLUMN(J85)))), "")</f>
        <v/>
      </c>
      <c r="BJ85" t="str">
        <f t="array" ref="BJ85">IFERROR(IF(AND(COUNTIF($B85,"*泉ヶ丘*"),COUNTIF($B86,"*泉ヶ丘*")),
IFERROR(INDEX(86:86, SMALL(IF($AC86:$AX86&lt;&gt;"", COLUMN($AC$1:$AX86)), COLUMN(E86))), ""),
INDEX(85:85, SMALL(IF($AC85:$AX85&lt;&gt;"", COLUMN($AC$1:$AX85)), COLUMN(K85)))), "")</f>
        <v/>
      </c>
      <c r="BK85" t="str">
        <f t="array" ref="BK85">IFERROR(IF(AND(COUNTIF($B85,"*泉ヶ丘*"),COUNTIF($B86,"*泉ヶ丘*")),
IFERROR(INDEX(86:86, SMALL(IF($AC86:$AX86&lt;&gt;"", COLUMN($AC$1:$AX86)), COLUMN(F86))), ""),
INDEX(85:85, SMALL(IF($AC85:$AX85&lt;&gt;"", COLUMN($AC$1:$AX85)), COLUMN(L85)))), "")</f>
        <v/>
      </c>
      <c r="BL85" t="str">
        <f t="array" ref="BL85">IFERROR(IF(AND(COUNTIF($B85,"*泉ヶ丘*"),COUNTIF($B86,"*泉ヶ丘*")),
IFERROR(INDEX(86:86, SMALL(IF($AC86:$AX86&lt;&gt;"", COLUMN($AC$1:$AX86)), COLUMN(G86))), ""),
INDEX(85:85, SMALL(IF($AC85:$AX85&lt;&gt;"", COLUMN($AC$1:$AX85)), COLUMN(M85)))), "")</f>
        <v/>
      </c>
      <c r="BM85" t="str">
        <f t="array" ref="BM85">IFERROR(IF(AND(COUNTIF($B85,"*泉ヶ丘*"),COUNTIF($B86,"*泉ヶ丘*")),
IFERROR(INDEX(86:86, SMALL(IF($AC86:$AX86&lt;&gt;"", COLUMN($AC$1:$AX86)), COLUMN(H86))), ""),
INDEX(85:85, SMALL(IF($AC85:$AX85&lt;&gt;"", COLUMN($AC$1:$AX85)), COLUMN(N85)))), "")</f>
        <v/>
      </c>
      <c r="BN85" t="str">
        <f t="array" ref="BN85">IFERROR(IF(AND(COUNTIF($B85,"*泉ヶ丘*"),COUNTIF($B86,"*泉ヶ丘*")),
IFERROR(INDEX(86:86, SMALL(IF($AC86:$AX86&lt;&gt;"", COLUMN($AC$1:$AX86)), COLUMN(I86))), ""),
INDEX(85:85, SMALL(IF($AC85:$AX85&lt;&gt;"", COLUMN($AC$1:$AX85)), COLUMN(O85)))), "")</f>
        <v/>
      </c>
      <c r="BO85" t="str">
        <f t="array" ref="BO85">IFERROR(IF(AND(COUNTIF($B85,"*泉ヶ丘*"),COUNTIF($B86,"*泉ヶ丘*")),
IFERROR(INDEX(86:86, SMALL(IF($AC86:$AX86&lt;&gt;"", COLUMN($AC$1:$AX86)), COLUMN(J86))), ""),
INDEX(85:85, SMALL(IF($AC85:$AX85&lt;&gt;"", COLUMN($AC$1:$AX85)), COLUMN(P85)))), "")</f>
        <v/>
      </c>
      <c r="BP85" t="str">
        <f t="array" ref="BP85">IFERROR(IF(AND(COUNTIF($B85,"*泉ヶ丘*"),COUNTIF($B86,"*泉ヶ丘*")),
IFERROR(INDEX(86:86, SMALL(IF($AC86:$AX86&lt;&gt;"", COLUMN($AC$1:$AX86)), COLUMN(K86))), ""),
INDEX(85:85, SMALL(IF($AC85:$AX85&lt;&gt;"", COLUMN($AC$1:$AX85)), COLUMN(Q85)))), "")</f>
        <v/>
      </c>
      <c r="BQ85" t="str">
        <f t="array" ref="BQ85">IFERROR(IF(AND(COUNTIF($B85,"*泉ヶ丘*"),COUNTIF($B86,"*泉ヶ丘*")),
IFERROR(INDEX(86:86, SMALL(IF($AC86:$AX86&lt;&gt;"", COLUMN($AC$1:$AX86)), COLUMN(L86))), ""),
INDEX(85:85, SMALL(IF($AC85:$AX85&lt;&gt;"", COLUMN($AC$1:$AX85)), COLUMN(R85)))), "")</f>
        <v/>
      </c>
    </row>
    <row r="86" spans="1:69" x14ac:dyDescent="0.45">
      <c r="A86" t="e">
        <f t="array" ref="A86">IF(INDEX(貼り付け用!A:A,MATCH(A85,貼り付け用!A:A,0)+2)="4700",
IF(INDEX(貼り付け用!A:A,MATCH(A85,貼り付け用!A:A,0)+4)="4800",
INDEX(貼り付け用!A:A,MATCH(A85,貼り付け用!A:A,0)+6),
INDEX(貼り付け用!A:A,MATCH(A85,貼り付け用!A:A,0)+4)),INDEX(貼り付け用!A:A,MATCH(A85,貼り付け用!A:A,0)+2))</f>
        <v>#N/A</v>
      </c>
      <c r="B86" t="e">
        <f>IF(A86&lt;&gt;"",
VLOOKUP(A86,得意先マスタ!A:D,2,FALSE),"")</f>
        <v>#N/A</v>
      </c>
      <c r="C86" t="e">
        <f t="array" ref="C86">IF(A86="10000","",INDEX(貼り付け用!A:A,MATCH(A86,貼り付け用!A:A,0)+1))</f>
        <v>#N/A</v>
      </c>
      <c r="D86" t="e">
        <f>VLOOKUP(C86,クライアント抽出!$A:$O,10,FALSE)</f>
        <v>#N/A</v>
      </c>
      <c r="E86" t="e">
        <f>IF(D86&lt;&gt;"",
IF(COUNTIF(C86,"*ぺんぎん*"),
VLOOKUP(
"*"&amp;IF(COUNTIF(D86,"*キャラ弁*"),"キャラ",
IF(COUNTIF(D86,"*赤*"),"赤",SUBSTITUTE(SUBSTITUTE(D86," ",""),"　","")))&amp;"*",
注文弁当の抽出!$F:$I,4,FALSE)&amp;
IF(COUNTIF(D86,"*おにぎり*"),"　おにぎり","")&amp;"　（ぺんぎん組）",
VLOOKUP(
"*"&amp;IF(COUNTIF(D86,"*キャラ弁*"),"キャラ",
IF(COUNTIF(D86,"*赤*"),"赤",SUBSTITUTE(SUBSTITUTE(D86," ",""),"　","")))&amp;"*",
注文弁当の抽出!$F:$I,4,FALSE)&amp;
IF(COUNTIF(D86,"*おにぎり*"),"　おにぎり","")),"")</f>
        <v>#N/A</v>
      </c>
      <c r="F86" t="str">
        <f>IFERROR(IF(E86&lt;&gt;"",
VLOOKUP(C86,クライアント抽出!$A:$G,2,FALSE)+
IF(COUNTIF(Y86,"*-*"),Y86,0),"")
-IFERROR(MID(V86, SEARCH("予備", V86) + LEN("予備"), SEARCH("込み", V86) - (SEARCH("予備", V86) + LEN("予備"))),0),"")</f>
        <v/>
      </c>
      <c r="G86" t="e">
        <f>VLOOKUP(C86,クライアント抽出!$A:$O,11,FALSE)</f>
        <v>#N/A</v>
      </c>
      <c r="H86" t="e">
        <f>IF(G86&lt;&gt;"",
VLOOKUP(
"*"&amp;IF(COUNTIF(G86,"*キャラ弁*"),"キャラ",
IF(COUNTIF(G86,"*赤*"),"赤",SUBSTITUTE(SUBSTITUTE(G86," ",""),"　","")))&amp;"*",
注文弁当の抽出!$F:$I,4,FALSE)&amp;
IF(COUNTIF(G86,"*おにぎり*"),"　おにぎり",""),"")</f>
        <v>#N/A</v>
      </c>
      <c r="I86" t="e">
        <f>IF(H86&lt;&gt;"",
VLOOKUP(C86,クライアント抽出!$A:$G,3,FALSE)+
IF(COUNTIF(C86,"*博多*"),Y86,Z86),"")</f>
        <v>#N/A</v>
      </c>
      <c r="J86" t="e">
        <f>VLOOKUP(C86,クライアント抽出!$A:$O,12,FALSE)</f>
        <v>#N/A</v>
      </c>
      <c r="K86" t="e">
        <f>IF(J86&lt;&gt;"",
VLOOKUP(
"*"&amp;IF(COUNTIF(J86,"*キャラ弁*"),"キャラ",
IF(COUNTIF(J86,"*赤*"),"赤",SUBSTITUTE(SUBSTITUTE(J86," ",""),"　","")))&amp;"*",
注文弁当の抽出!$F:$I,4,FALSE)&amp;
IF(COUNTIF(J86,"*おにぎり*"),"　おにぎり",""),"")</f>
        <v>#N/A</v>
      </c>
      <c r="L86" t="e">
        <f>IF(K86&lt;&gt;"",
VLOOKUP(C86,クライアント抽出!$A:$G,4,FALSE)+AA86,"")</f>
        <v>#N/A</v>
      </c>
      <c r="M86" t="e">
        <f>VLOOKUP(C86,クライアント抽出!$A:$O,13,FALSE)</f>
        <v>#N/A</v>
      </c>
      <c r="N86" t="e">
        <f>SUBSTITUTE(
IF(M86&lt;&gt;"",
VLOOKUP(
"*"&amp;IF(COUNTIF(M86,"*キャラ弁*"),"キャラ",
IF(COUNTIF(M86,"*赤*"),"赤",SUBSTITUTE(SUBSTITUTE(D86," ",""),"　","")))&amp;"*",
注文弁当の抽出!$F:$I,4,FALSE),""),"園児","先生")&amp;
IF(COUNTIF(M86,"*おにぎり*"),"　おにぎり","")</f>
        <v>#N/A</v>
      </c>
      <c r="O86" t="e">
        <f>IF(N86&lt;&gt;"",VLOOKUP(C86,クライアント抽出!$A:$G,5,FALSE),"")</f>
        <v>#N/A</v>
      </c>
      <c r="P86" t="e">
        <f>VLOOKUP(C86,クライアント抽出!$A:$O,14,FALSE)</f>
        <v>#N/A</v>
      </c>
      <c r="Q86" t="e">
        <f>SUBSTITUTE(
IF(P86&lt;&gt;"",
VLOOKUP(
"*"&amp;IF(COUNTIF(P86,"*キャラ弁*"),"キャラ",
IF(COUNTIF(P86,"*赤*"),"赤",SUBSTITUTE(SUBSTITUTE(G86," ",""),"　","")))&amp;"*",
注文弁当の抽出!$F:$I,4,FALSE),""),"園児","先生")&amp;
IF(COUNTIF(P86,"*おにぎり*"),"　おにぎり","")</f>
        <v>#N/A</v>
      </c>
      <c r="R86" t="e">
        <f>IF(Q86&lt;&gt;"",
VLOOKUP(C86,クライアント抽出!$A:$G,6,FALSE),"")</f>
        <v>#N/A</v>
      </c>
      <c r="S86" t="e">
        <f>VLOOKUP(C86,クライアント抽出!$A:$O,15,FALSE)</f>
        <v>#N/A</v>
      </c>
      <c r="T86" t="e">
        <f>SUBSTITUTE(
IF(S86&lt;&gt;"",
VLOOKUP(
"*"&amp;IF(COUNTIF(S86,"*キャラ弁*"),"キャラ",
IF(COUNTIF(S86,"*赤*"),"赤",SUBSTITUTE(SUBSTITUTE(J86," ",""),"　","")))&amp;"*",
注文弁当の抽出!$F:$I,4,FALSE),""),"園児","先生")&amp;
IF(COUNTIF(S86,"*おにぎり*"),"　おにぎり","")</f>
        <v>#N/A</v>
      </c>
      <c r="U86" t="e">
        <f>IF(T86&lt;&gt;"",
VLOOKUP(C86,クライアント抽出!$A:$G,7,FALSE),"")</f>
        <v>#N/A</v>
      </c>
      <c r="V86" t="e">
        <f>IF(A86&lt;&gt;"",
IF(COUNTIF(V85,"*牛乳*"),
IF(AND(COUNTIF(B85,"*奈良屋*"),COUNTIF(B86,"*奈良屋*")),
V85&amp;"✔",""),VLOOKUP(""&amp;A86&amp;"",数出表_Excel!$A:$Z,22,FALSE)&amp;VLOOKUP(""&amp;A86&amp;"",数出表_Excel!$A:$Z,23,FALSE)
&amp;VLOOKUP(""&amp;C86&amp;"",数出表_Excel!$A:$Z,22,FALSE)&amp;VLOOKUP(""&amp;C86&amp;"",数出表_Excel!$A:$Z,23,FALSE)),"")</f>
        <v>#N/A</v>
      </c>
      <c r="W86" t="e">
        <f>IF(AND(COUNTIF(V86,"&lt;&gt;*不要*"),A86&lt;&gt;""),VLOOKUP(A86,得意先マスタ!$A:$AD,24,FALSE),0)</f>
        <v>#N/A</v>
      </c>
      <c r="X86" t="e">
        <f>IF(AND(COUNTIF(V86,"&lt;&gt;*不要*"),A86&lt;&gt;""),VLOOKUP(A86,得意先マスタ!$A:$AD,25,FALSE),0)</f>
        <v>#N/A</v>
      </c>
      <c r="Y86" t="e">
        <f t="shared" si="20"/>
        <v>#N/A</v>
      </c>
      <c r="Z86" t="e">
        <f t="shared" si="21"/>
        <v>#N/A</v>
      </c>
      <c r="AA86" t="e">
        <f t="shared" si="25"/>
        <v>#N/A</v>
      </c>
      <c r="AB86" t="e">
        <f t="shared" si="22"/>
        <v>#N/A</v>
      </c>
      <c r="AC86" t="str">
        <f t="array" ref="AC86">IFERROR(INDEX(86:86, SMALL(IF($D86:$U86&lt;&gt;"", COLUMN($D$1:$U86)), COLUMN(A86))), "")</f>
        <v/>
      </c>
      <c r="AD86" t="str">
        <f t="array" ref="AD86">IFERROR(INDEX(86:86, SMALL(IF($D86:$U86&lt;&gt;"", COLUMN($D$1:$U86)), COLUMN(B86))), "")</f>
        <v/>
      </c>
      <c r="AE86" t="str">
        <f t="array" ref="AE86">IFERROR(INDEX(86:86, SMALL(IF($D86:$U86&lt;&gt;"", COLUMN($D$1:$U86)), COLUMN(C86))), "")</f>
        <v/>
      </c>
      <c r="AF86" t="str">
        <f t="array" ref="AF86">IFERROR(INDEX(86:86, SMALL(IF($D86:$U86&lt;&gt;"", COLUMN($D$1:$U86)), COLUMN(D86))), "")</f>
        <v/>
      </c>
      <c r="AG86" t="str">
        <f t="array" ref="AG86">IFERROR(INDEX(86:86, SMALL(IF($D86:$U86&lt;&gt;"", COLUMN($D$1:$U86)), COLUMN(E86))), "")</f>
        <v/>
      </c>
      <c r="AH86" t="str">
        <f t="array" ref="AH86">IFERROR(INDEX(86:86, SMALL(IF($D86:$U86&lt;&gt;"", COLUMN($D$1:$U86)), COLUMN(F86))), "")</f>
        <v/>
      </c>
      <c r="AI86" t="str">
        <f t="array" ref="AI86">IFERROR(INDEX(86:86, SMALL(IF($D86:$U86&lt;&gt;"", COLUMN($D$1:$U86)), COLUMN(G86))), "")</f>
        <v/>
      </c>
      <c r="AJ86" t="str">
        <f t="array" ref="AJ86">IFERROR(INDEX(86:86, SMALL(IF($D86:$U86&lt;&gt;"", COLUMN($D$1:$U86)), COLUMN(H86))), "")</f>
        <v/>
      </c>
      <c r="AK86" t="str">
        <f t="array" ref="AK86">IFERROR(INDEX(86:86, SMALL(IF($D86:$U86&lt;&gt;"", COLUMN($D$1:$U86)), COLUMN(I86))), "")</f>
        <v/>
      </c>
      <c r="AL86" t="str">
        <f t="array" ref="AL86">IFERROR(INDEX(86:86, SMALL(IF($D86:$U86&lt;&gt;"", COLUMN($D$1:$U86)), COLUMN(J86))), "")</f>
        <v/>
      </c>
      <c r="AM86" t="str">
        <f t="array" ref="AM86">IFERROR(INDEX(86:86, SMALL(IF($D86:$U86&lt;&gt;"", COLUMN($D$1:$U86)), COLUMN(K86))), "")</f>
        <v/>
      </c>
      <c r="AN86" t="str">
        <f t="array" ref="AN86">IFERROR(INDEX(86:86, SMALL(IF($D86:$U86&lt;&gt;"", COLUMN($D$1:$U86)), COLUMN(L86))), "")</f>
        <v/>
      </c>
      <c r="AO86" t="str">
        <f t="array" ref="AO86">IFERROR(INDEX(86:86, SMALL(IF($D86:$U86&lt;&gt;"", COLUMN($D$1:$U86)), COLUMN(M86))), "")</f>
        <v/>
      </c>
      <c r="AP86" t="str">
        <f t="array" ref="AP86">IFERROR(INDEX(86:86, SMALL(IF($D86:$U86&lt;&gt;"", COLUMN($D$1:$U86)), COLUMN(N86))), "")</f>
        <v/>
      </c>
      <c r="AQ86" t="str">
        <f t="array" ref="AQ86">IFERROR(INDEX(86:86, SMALL(IF($D86:$U86&lt;&gt;"", COLUMN($D$1:$U86)), COLUMN(O86))), "")</f>
        <v/>
      </c>
      <c r="AR86" s="52" t="s">
        <v>4005</v>
      </c>
      <c r="AS86" t="e">
        <f t="shared" si="23"/>
        <v>#N/A</v>
      </c>
      <c r="AT86" t="e">
        <f t="shared" si="24"/>
        <v>#N/A</v>
      </c>
      <c r="AU86" t="e">
        <f t="shared" si="26"/>
        <v>#N/A</v>
      </c>
      <c r="AV86" t="e">
        <f t="shared" si="27"/>
        <v>#N/A</v>
      </c>
      <c r="AW86" t="e">
        <f t="shared" si="28"/>
        <v>#N/A</v>
      </c>
      <c r="AX86" t="e">
        <f t="shared" si="29"/>
        <v>#N/A</v>
      </c>
      <c r="AZ86" t="str">
        <f t="array" ref="AZ86">IFERROR(INDEX(86:86, SMALL(IF($AC86:$AX86&lt;&gt;"", COLUMN($AC$1:$AX86)), COLUMN(A86))), "")</f>
        <v/>
      </c>
      <c r="BA86" t="str">
        <f t="array" ref="BA86">IFERROR(INDEX(86:86, SMALL(IF($AC86:$AX86&lt;&gt;"", COLUMN($AC$1:$AX86)), COLUMN(B86))), "")</f>
        <v/>
      </c>
      <c r="BB86" t="str">
        <f t="array" ref="BB86">IFERROR(INDEX(86:86, SMALL(IF($AC86:$AX86&lt;&gt;"", COLUMN($AC$1:$AX86)), COLUMN(C86))), "")</f>
        <v/>
      </c>
      <c r="BC86" t="str">
        <f t="array" ref="BC86">IFERROR(INDEX(86:86, SMALL(IF($AC86:$AX86&lt;&gt;"", COLUMN($AC$1:$AX86)), COLUMN(D86))), "")</f>
        <v/>
      </c>
      <c r="BD86" t="str">
        <f t="array" ref="BD86">IFERROR(INDEX(86:86, SMALL(IF($AC86:$AX86&lt;&gt;"", COLUMN($AC$1:$AX86)), COLUMN(E86))), "")</f>
        <v/>
      </c>
      <c r="BE86" t="str">
        <f t="array" ref="BE86">IFERROR(INDEX(86:86, SMALL(IF($AC86:$AX86&lt;&gt;"", COLUMN($AC$1:$AX86)), COLUMN(F86))), "")</f>
        <v/>
      </c>
      <c r="BF86" t="str">
        <f t="array" ref="BF86">IFERROR(IF(AND(COUNTIF($B86,"*泉ヶ丘*"),COUNTIF($B87,"*泉ヶ丘*")),
IFERROR(INDEX(87:87, SMALL(IF($AC87:$AX87&lt;&gt;"", COLUMN($AC$1:$AX87)), COLUMN(A87))), ""),
INDEX(86:86, SMALL(IF($AC86:$AX86&lt;&gt;"", COLUMN($AC$1:$AX86)), COLUMN(G86)))), "")</f>
        <v/>
      </c>
      <c r="BG86" t="str">
        <f t="array" ref="BG86">IFERROR(IF(AND(COUNTIF($B86,"*泉ヶ丘*"),COUNTIF($B87,"*泉ヶ丘*")),
IFERROR(INDEX(87:87, SMALL(IF($AC87:$AX87&lt;&gt;"", COLUMN($AC$1:$AX87)), COLUMN(B87))), ""),
INDEX(86:86, SMALL(IF($AC86:$AX86&lt;&gt;"", COLUMN($AC$1:$AX86)), COLUMN(H86)))), "")</f>
        <v/>
      </c>
      <c r="BH86" t="str">
        <f t="array" ref="BH86">IFERROR(IF(AND(COUNTIF($B86,"*泉ヶ丘*"),COUNTIF($B87,"*泉ヶ丘*")),
IFERROR(INDEX(87:87, SMALL(IF($AC87:$AX87&lt;&gt;"", COLUMN($AC$1:$AX87)), COLUMN(C87))), ""),
INDEX(86:86, SMALL(IF($AC86:$AX86&lt;&gt;"", COLUMN($AC$1:$AX86)), COLUMN(I86)))), "")</f>
        <v/>
      </c>
      <c r="BI86" t="str">
        <f t="array" ref="BI86">IFERROR(IF(AND(COUNTIF($B86,"*泉ヶ丘*"),COUNTIF($B87,"*泉ヶ丘*")),
IFERROR(INDEX(87:87, SMALL(IF($AC87:$AX87&lt;&gt;"", COLUMN($AC$1:$AX87)), COLUMN(D87))), ""),
INDEX(86:86, SMALL(IF($AC86:$AX86&lt;&gt;"", COLUMN($AC$1:$AX86)), COLUMN(J86)))), "")</f>
        <v/>
      </c>
      <c r="BJ86" t="str">
        <f t="array" ref="BJ86">IFERROR(IF(AND(COUNTIF($B86,"*泉ヶ丘*"),COUNTIF($B87,"*泉ヶ丘*")),
IFERROR(INDEX(87:87, SMALL(IF($AC87:$AX87&lt;&gt;"", COLUMN($AC$1:$AX87)), COLUMN(E87))), ""),
INDEX(86:86, SMALL(IF($AC86:$AX86&lt;&gt;"", COLUMN($AC$1:$AX86)), COLUMN(K86)))), "")</f>
        <v/>
      </c>
      <c r="BK86" t="str">
        <f t="array" ref="BK86">IFERROR(IF(AND(COUNTIF($B86,"*泉ヶ丘*"),COUNTIF($B87,"*泉ヶ丘*")),
IFERROR(INDEX(87:87, SMALL(IF($AC87:$AX87&lt;&gt;"", COLUMN($AC$1:$AX87)), COLUMN(F87))), ""),
INDEX(86:86, SMALL(IF($AC86:$AX86&lt;&gt;"", COLUMN($AC$1:$AX86)), COLUMN(L86)))), "")</f>
        <v/>
      </c>
      <c r="BL86" t="str">
        <f t="array" ref="BL86">IFERROR(IF(AND(COUNTIF($B86,"*泉ヶ丘*"),COUNTIF($B87,"*泉ヶ丘*")),
IFERROR(INDEX(87:87, SMALL(IF($AC87:$AX87&lt;&gt;"", COLUMN($AC$1:$AX87)), COLUMN(G87))), ""),
INDEX(86:86, SMALL(IF($AC86:$AX86&lt;&gt;"", COLUMN($AC$1:$AX86)), COLUMN(M86)))), "")</f>
        <v/>
      </c>
      <c r="BM86" t="str">
        <f t="array" ref="BM86">IFERROR(IF(AND(COUNTIF($B86,"*泉ヶ丘*"),COUNTIF($B87,"*泉ヶ丘*")),
IFERROR(INDEX(87:87, SMALL(IF($AC87:$AX87&lt;&gt;"", COLUMN($AC$1:$AX87)), COLUMN(H87))), ""),
INDEX(86:86, SMALL(IF($AC86:$AX86&lt;&gt;"", COLUMN($AC$1:$AX86)), COLUMN(N86)))), "")</f>
        <v/>
      </c>
      <c r="BN86" t="str">
        <f t="array" ref="BN86">IFERROR(IF(AND(COUNTIF($B86,"*泉ヶ丘*"),COUNTIF($B87,"*泉ヶ丘*")),
IFERROR(INDEX(87:87, SMALL(IF($AC87:$AX87&lt;&gt;"", COLUMN($AC$1:$AX87)), COLUMN(I87))), ""),
INDEX(86:86, SMALL(IF($AC86:$AX86&lt;&gt;"", COLUMN($AC$1:$AX86)), COLUMN(O86)))), "")</f>
        <v/>
      </c>
      <c r="BO86" t="str">
        <f t="array" ref="BO86">IFERROR(IF(AND(COUNTIF($B86,"*泉ヶ丘*"),COUNTIF($B87,"*泉ヶ丘*")),
IFERROR(INDEX(87:87, SMALL(IF($AC87:$AX87&lt;&gt;"", COLUMN($AC$1:$AX87)), COLUMN(J87))), ""),
INDEX(86:86, SMALL(IF($AC86:$AX86&lt;&gt;"", COLUMN($AC$1:$AX86)), COLUMN(P86)))), "")</f>
        <v/>
      </c>
      <c r="BP86" t="str">
        <f t="array" ref="BP86">IFERROR(IF(AND(COUNTIF($B86,"*泉ヶ丘*"),COUNTIF($B87,"*泉ヶ丘*")),
IFERROR(INDEX(87:87, SMALL(IF($AC87:$AX87&lt;&gt;"", COLUMN($AC$1:$AX87)), COLUMN(K87))), ""),
INDEX(86:86, SMALL(IF($AC86:$AX86&lt;&gt;"", COLUMN($AC$1:$AX86)), COLUMN(Q86)))), "")</f>
        <v/>
      </c>
      <c r="BQ86" t="str">
        <f t="array" ref="BQ86">IFERROR(IF(AND(COUNTIF($B86,"*泉ヶ丘*"),COUNTIF($B87,"*泉ヶ丘*")),
IFERROR(INDEX(87:87, SMALL(IF($AC87:$AX87&lt;&gt;"", COLUMN($AC$1:$AX87)), COLUMN(L87))), ""),
INDEX(86:86, SMALL(IF($AC86:$AX86&lt;&gt;"", COLUMN($AC$1:$AX86)), COLUMN(R86)))), "")</f>
        <v/>
      </c>
    </row>
    <row r="87" spans="1:69" x14ac:dyDescent="0.45">
      <c r="A87" t="e">
        <f t="array" ref="A87">IF(INDEX(貼り付け用!A:A,MATCH(A86,貼り付け用!A:A,0)+2)="4700",
IF(INDEX(貼り付け用!A:A,MATCH(A86,貼り付け用!A:A,0)+4)="4800",
INDEX(貼り付け用!A:A,MATCH(A86,貼り付け用!A:A,0)+6),
INDEX(貼り付け用!A:A,MATCH(A86,貼り付け用!A:A,0)+4)),INDEX(貼り付け用!A:A,MATCH(A86,貼り付け用!A:A,0)+2))</f>
        <v>#N/A</v>
      </c>
      <c r="B87" t="e">
        <f>IF(A87&lt;&gt;"",
VLOOKUP(A87,得意先マスタ!A:D,2,FALSE),"")</f>
        <v>#N/A</v>
      </c>
      <c r="C87" t="e">
        <f t="array" ref="C87">IF(A87="10000","",INDEX(貼り付け用!A:A,MATCH(A87,貼り付け用!A:A,0)+1))</f>
        <v>#N/A</v>
      </c>
      <c r="D87" t="e">
        <f>VLOOKUP(C87,クライアント抽出!$A:$O,10,FALSE)</f>
        <v>#N/A</v>
      </c>
      <c r="E87" t="e">
        <f>IF(D87&lt;&gt;"",
IF(COUNTIF(C87,"*ぺんぎん*"),
VLOOKUP(
"*"&amp;IF(COUNTIF(D87,"*キャラ弁*"),"キャラ",
IF(COUNTIF(D87,"*赤*"),"赤",SUBSTITUTE(SUBSTITUTE(D87," ",""),"　","")))&amp;"*",
注文弁当の抽出!$F:$I,4,FALSE)&amp;
IF(COUNTIF(D87,"*おにぎり*"),"　おにぎり","")&amp;"　（ぺんぎん組）",
VLOOKUP(
"*"&amp;IF(COUNTIF(D87,"*キャラ弁*"),"キャラ",
IF(COUNTIF(D87,"*赤*"),"赤",SUBSTITUTE(SUBSTITUTE(D87," ",""),"　","")))&amp;"*",
注文弁当の抽出!$F:$I,4,FALSE)&amp;
IF(COUNTIF(D87,"*おにぎり*"),"　おにぎり","")),"")</f>
        <v>#N/A</v>
      </c>
      <c r="F87" t="str">
        <f>IFERROR(IF(E87&lt;&gt;"",
VLOOKUP(C87,クライアント抽出!$A:$G,2,FALSE)+
IF(COUNTIF(Y87,"*-*"),Y87,0),"")
-IFERROR(MID(V87, SEARCH("予備", V87) + LEN("予備"), SEARCH("込み", V87) - (SEARCH("予備", V87) + LEN("予備"))),0),"")</f>
        <v/>
      </c>
      <c r="G87" t="e">
        <f>VLOOKUP(C87,クライアント抽出!$A:$O,11,FALSE)</f>
        <v>#N/A</v>
      </c>
      <c r="H87" t="e">
        <f>IF(G87&lt;&gt;"",
VLOOKUP(
"*"&amp;IF(COUNTIF(G87,"*キャラ弁*"),"キャラ",
IF(COUNTIF(G87,"*赤*"),"赤",SUBSTITUTE(SUBSTITUTE(G87," ",""),"　","")))&amp;"*",
注文弁当の抽出!$F:$I,4,FALSE)&amp;
IF(COUNTIF(G87,"*おにぎり*"),"　おにぎり",""),"")</f>
        <v>#N/A</v>
      </c>
      <c r="I87" t="e">
        <f>IF(H87&lt;&gt;"",
VLOOKUP(C87,クライアント抽出!$A:$G,3,FALSE)+
IF(COUNTIF(C87,"*博多*"),Y87,Z87),"")</f>
        <v>#N/A</v>
      </c>
      <c r="J87" t="e">
        <f>VLOOKUP(C87,クライアント抽出!$A:$O,12,FALSE)</f>
        <v>#N/A</v>
      </c>
      <c r="K87" t="e">
        <f>IF(J87&lt;&gt;"",
VLOOKUP(
"*"&amp;IF(COUNTIF(J87,"*キャラ弁*"),"キャラ",
IF(COUNTIF(J87,"*赤*"),"赤",SUBSTITUTE(SUBSTITUTE(J87," ",""),"　","")))&amp;"*",
注文弁当の抽出!$F:$I,4,FALSE)&amp;
IF(COUNTIF(J87,"*おにぎり*"),"　おにぎり",""),"")</f>
        <v>#N/A</v>
      </c>
      <c r="L87" t="e">
        <f>IF(K87&lt;&gt;"",
VLOOKUP(C87,クライアント抽出!$A:$G,4,FALSE)+AA87,"")</f>
        <v>#N/A</v>
      </c>
      <c r="M87" t="e">
        <f>VLOOKUP(C87,クライアント抽出!$A:$O,13,FALSE)</f>
        <v>#N/A</v>
      </c>
      <c r="N87" t="e">
        <f>SUBSTITUTE(
IF(M87&lt;&gt;"",
VLOOKUP(
"*"&amp;IF(COUNTIF(M87,"*キャラ弁*"),"キャラ",
IF(COUNTIF(M87,"*赤*"),"赤",SUBSTITUTE(SUBSTITUTE(D87," ",""),"　","")))&amp;"*",
注文弁当の抽出!$F:$I,4,FALSE),""),"園児","先生")&amp;
IF(COUNTIF(M87,"*おにぎり*"),"　おにぎり","")</f>
        <v>#N/A</v>
      </c>
      <c r="O87" t="e">
        <f>IF(N87&lt;&gt;"",VLOOKUP(C87,クライアント抽出!$A:$G,5,FALSE),"")</f>
        <v>#N/A</v>
      </c>
      <c r="P87" t="e">
        <f>VLOOKUP(C87,クライアント抽出!$A:$O,14,FALSE)</f>
        <v>#N/A</v>
      </c>
      <c r="Q87" t="e">
        <f>SUBSTITUTE(
IF(P87&lt;&gt;"",
VLOOKUP(
"*"&amp;IF(COUNTIF(P87,"*キャラ弁*"),"キャラ",
IF(COUNTIF(P87,"*赤*"),"赤",SUBSTITUTE(SUBSTITUTE(G87," ",""),"　","")))&amp;"*",
注文弁当の抽出!$F:$I,4,FALSE),""),"園児","先生")&amp;
IF(COUNTIF(P87,"*おにぎり*"),"　おにぎり","")</f>
        <v>#N/A</v>
      </c>
      <c r="R87" t="e">
        <f>IF(Q87&lt;&gt;"",
VLOOKUP(C87,クライアント抽出!$A:$G,6,FALSE),"")</f>
        <v>#N/A</v>
      </c>
      <c r="S87" t="e">
        <f>VLOOKUP(C87,クライアント抽出!$A:$O,15,FALSE)</f>
        <v>#N/A</v>
      </c>
      <c r="T87" t="e">
        <f>SUBSTITUTE(
IF(S87&lt;&gt;"",
VLOOKUP(
"*"&amp;IF(COUNTIF(S87,"*キャラ弁*"),"キャラ",
IF(COUNTIF(S87,"*赤*"),"赤",SUBSTITUTE(SUBSTITUTE(J87," ",""),"　","")))&amp;"*",
注文弁当の抽出!$F:$I,4,FALSE),""),"園児","先生")&amp;
IF(COUNTIF(S87,"*おにぎり*"),"　おにぎり","")</f>
        <v>#N/A</v>
      </c>
      <c r="U87" t="e">
        <f>IF(T87&lt;&gt;"",
VLOOKUP(C87,クライアント抽出!$A:$G,7,FALSE),"")</f>
        <v>#N/A</v>
      </c>
      <c r="V87" t="e">
        <f>IF(A87&lt;&gt;"",
IF(COUNTIF(V86,"*牛乳*"),
IF(AND(COUNTIF(B86,"*奈良屋*"),COUNTIF(B87,"*奈良屋*")),
V86&amp;"✔",""),VLOOKUP(""&amp;A87&amp;"",数出表_Excel!$A:$Z,22,FALSE)&amp;VLOOKUP(""&amp;A87&amp;"",数出表_Excel!$A:$Z,23,FALSE)
&amp;VLOOKUP(""&amp;C87&amp;"",数出表_Excel!$A:$Z,22,FALSE)&amp;VLOOKUP(""&amp;C87&amp;"",数出表_Excel!$A:$Z,23,FALSE)),"")</f>
        <v>#N/A</v>
      </c>
      <c r="W87" t="e">
        <f>IF(AND(COUNTIF(V87,"&lt;&gt;*不要*"),A87&lt;&gt;""),VLOOKUP(A87,得意先マスタ!$A:$AD,24,FALSE),0)</f>
        <v>#N/A</v>
      </c>
      <c r="X87" t="e">
        <f>IF(AND(COUNTIF(V87,"&lt;&gt;*不要*"),A87&lt;&gt;""),VLOOKUP(A87,得意先マスタ!$A:$AD,25,FALSE),0)</f>
        <v>#N/A</v>
      </c>
      <c r="Y87" t="e">
        <f t="shared" si="20"/>
        <v>#N/A</v>
      </c>
      <c r="Z87" t="e">
        <f t="shared" si="21"/>
        <v>#N/A</v>
      </c>
      <c r="AA87" t="e">
        <f t="shared" si="25"/>
        <v>#N/A</v>
      </c>
      <c r="AB87" t="e">
        <f t="shared" si="22"/>
        <v>#N/A</v>
      </c>
      <c r="AC87" t="str">
        <f t="array" ref="AC87">IFERROR(INDEX(87:87, SMALL(IF($D87:$U87&lt;&gt;"", COLUMN($D$1:$U87)), COLUMN(A87))), "")</f>
        <v/>
      </c>
      <c r="AD87" t="str">
        <f t="array" ref="AD87">IFERROR(INDEX(87:87, SMALL(IF($D87:$U87&lt;&gt;"", COLUMN($D$1:$U87)), COLUMN(B87))), "")</f>
        <v/>
      </c>
      <c r="AE87" t="str">
        <f t="array" ref="AE87">IFERROR(INDEX(87:87, SMALL(IF($D87:$U87&lt;&gt;"", COLUMN($D$1:$U87)), COLUMN(C87))), "")</f>
        <v/>
      </c>
      <c r="AF87" t="str">
        <f t="array" ref="AF87">IFERROR(INDEX(87:87, SMALL(IF($D87:$U87&lt;&gt;"", COLUMN($D$1:$U87)), COLUMN(D87))), "")</f>
        <v/>
      </c>
      <c r="AG87" t="str">
        <f t="array" ref="AG87">IFERROR(INDEX(87:87, SMALL(IF($D87:$U87&lt;&gt;"", COLUMN($D$1:$U87)), COLUMN(E87))), "")</f>
        <v/>
      </c>
      <c r="AH87" t="str">
        <f t="array" ref="AH87">IFERROR(INDEX(87:87, SMALL(IF($D87:$U87&lt;&gt;"", COLUMN($D$1:$U87)), COLUMN(F87))), "")</f>
        <v/>
      </c>
      <c r="AI87" t="str">
        <f t="array" ref="AI87">IFERROR(INDEX(87:87, SMALL(IF($D87:$U87&lt;&gt;"", COLUMN($D$1:$U87)), COLUMN(G87))), "")</f>
        <v/>
      </c>
      <c r="AJ87" t="str">
        <f t="array" ref="AJ87">IFERROR(INDEX(87:87, SMALL(IF($D87:$U87&lt;&gt;"", COLUMN($D$1:$U87)), COLUMN(H87))), "")</f>
        <v/>
      </c>
      <c r="AK87" t="str">
        <f t="array" ref="AK87">IFERROR(INDEX(87:87, SMALL(IF($D87:$U87&lt;&gt;"", COLUMN($D$1:$U87)), COLUMN(I87))), "")</f>
        <v/>
      </c>
      <c r="AL87" t="str">
        <f t="array" ref="AL87">IFERROR(INDEX(87:87, SMALL(IF($D87:$U87&lt;&gt;"", COLUMN($D$1:$U87)), COLUMN(J87))), "")</f>
        <v/>
      </c>
      <c r="AM87" t="str">
        <f t="array" ref="AM87">IFERROR(INDEX(87:87, SMALL(IF($D87:$U87&lt;&gt;"", COLUMN($D$1:$U87)), COLUMN(K87))), "")</f>
        <v/>
      </c>
      <c r="AN87" t="str">
        <f t="array" ref="AN87">IFERROR(INDEX(87:87, SMALL(IF($D87:$U87&lt;&gt;"", COLUMN($D$1:$U87)), COLUMN(L87))), "")</f>
        <v/>
      </c>
      <c r="AO87" t="str">
        <f t="array" ref="AO87">IFERROR(INDEX(87:87, SMALL(IF($D87:$U87&lt;&gt;"", COLUMN($D$1:$U87)), COLUMN(M87))), "")</f>
        <v/>
      </c>
      <c r="AP87" t="str">
        <f t="array" ref="AP87">IFERROR(INDEX(87:87, SMALL(IF($D87:$U87&lt;&gt;"", COLUMN($D$1:$U87)), COLUMN(N87))), "")</f>
        <v/>
      </c>
      <c r="AQ87" t="str">
        <f t="array" ref="AQ87">IFERROR(INDEX(87:87, SMALL(IF($D87:$U87&lt;&gt;"", COLUMN($D$1:$U87)), COLUMN(O87))), "")</f>
        <v/>
      </c>
      <c r="AR87" s="52" t="s">
        <v>4005</v>
      </c>
      <c r="AS87" t="e">
        <f t="shared" si="23"/>
        <v>#N/A</v>
      </c>
      <c r="AT87" t="e">
        <f t="shared" si="24"/>
        <v>#N/A</v>
      </c>
      <c r="AU87" t="e">
        <f t="shared" si="26"/>
        <v>#N/A</v>
      </c>
      <c r="AV87" t="e">
        <f t="shared" si="27"/>
        <v>#N/A</v>
      </c>
      <c r="AW87" t="e">
        <f t="shared" si="28"/>
        <v>#N/A</v>
      </c>
      <c r="AX87" t="e">
        <f t="shared" si="29"/>
        <v>#N/A</v>
      </c>
      <c r="AZ87" t="str">
        <f t="array" ref="AZ87">IFERROR(INDEX(87:87, SMALL(IF($AC87:$AX87&lt;&gt;"", COLUMN($AC$1:$AX87)), COLUMN(A87))), "")</f>
        <v/>
      </c>
      <c r="BA87" t="str">
        <f t="array" ref="BA87">IFERROR(INDEX(87:87, SMALL(IF($AC87:$AX87&lt;&gt;"", COLUMN($AC$1:$AX87)), COLUMN(B87))), "")</f>
        <v/>
      </c>
      <c r="BB87" t="str">
        <f t="array" ref="BB87">IFERROR(INDEX(87:87, SMALL(IF($AC87:$AX87&lt;&gt;"", COLUMN($AC$1:$AX87)), COLUMN(C87))), "")</f>
        <v/>
      </c>
      <c r="BC87" t="str">
        <f t="array" ref="BC87">IFERROR(INDEX(87:87, SMALL(IF($AC87:$AX87&lt;&gt;"", COLUMN($AC$1:$AX87)), COLUMN(D87))), "")</f>
        <v/>
      </c>
      <c r="BD87" t="str">
        <f t="array" ref="BD87">IFERROR(INDEX(87:87, SMALL(IF($AC87:$AX87&lt;&gt;"", COLUMN($AC$1:$AX87)), COLUMN(E87))), "")</f>
        <v/>
      </c>
      <c r="BE87" t="str">
        <f t="array" ref="BE87">IFERROR(INDEX(87:87, SMALL(IF($AC87:$AX87&lt;&gt;"", COLUMN($AC$1:$AX87)), COLUMN(F87))), "")</f>
        <v/>
      </c>
      <c r="BF87" t="str">
        <f t="array" ref="BF87">IFERROR(IF(AND(COUNTIF($B87,"*泉ヶ丘*"),COUNTIF($B88,"*泉ヶ丘*")),
IFERROR(INDEX(88:88, SMALL(IF($AC88:$AX88&lt;&gt;"", COLUMN($AC$1:$AX88)), COLUMN(A88))), ""),
INDEX(87:87, SMALL(IF($AC87:$AX87&lt;&gt;"", COLUMN($AC$1:$AX87)), COLUMN(G87)))), "")</f>
        <v/>
      </c>
      <c r="BG87" t="str">
        <f t="array" ref="BG87">IFERROR(IF(AND(COUNTIF($B87,"*泉ヶ丘*"),COUNTIF($B88,"*泉ヶ丘*")),
IFERROR(INDEX(88:88, SMALL(IF($AC88:$AX88&lt;&gt;"", COLUMN($AC$1:$AX88)), COLUMN(B88))), ""),
INDEX(87:87, SMALL(IF($AC87:$AX87&lt;&gt;"", COLUMN($AC$1:$AX87)), COLUMN(H87)))), "")</f>
        <v/>
      </c>
      <c r="BH87" t="str">
        <f t="array" ref="BH87">IFERROR(IF(AND(COUNTIF($B87,"*泉ヶ丘*"),COUNTIF($B88,"*泉ヶ丘*")),
IFERROR(INDEX(88:88, SMALL(IF($AC88:$AX88&lt;&gt;"", COLUMN($AC$1:$AX88)), COLUMN(C88))), ""),
INDEX(87:87, SMALL(IF($AC87:$AX87&lt;&gt;"", COLUMN($AC$1:$AX87)), COLUMN(I87)))), "")</f>
        <v/>
      </c>
      <c r="BI87" t="str">
        <f t="array" ref="BI87">IFERROR(IF(AND(COUNTIF($B87,"*泉ヶ丘*"),COUNTIF($B88,"*泉ヶ丘*")),
IFERROR(INDEX(88:88, SMALL(IF($AC88:$AX88&lt;&gt;"", COLUMN($AC$1:$AX88)), COLUMN(D88))), ""),
INDEX(87:87, SMALL(IF($AC87:$AX87&lt;&gt;"", COLUMN($AC$1:$AX87)), COLUMN(J87)))), "")</f>
        <v/>
      </c>
      <c r="BJ87" t="str">
        <f t="array" ref="BJ87">IFERROR(IF(AND(COUNTIF($B87,"*泉ヶ丘*"),COUNTIF($B88,"*泉ヶ丘*")),
IFERROR(INDEX(88:88, SMALL(IF($AC88:$AX88&lt;&gt;"", COLUMN($AC$1:$AX88)), COLUMN(E88))), ""),
INDEX(87:87, SMALL(IF($AC87:$AX87&lt;&gt;"", COLUMN($AC$1:$AX87)), COLUMN(K87)))), "")</f>
        <v/>
      </c>
      <c r="BK87" t="str">
        <f t="array" ref="BK87">IFERROR(IF(AND(COUNTIF($B87,"*泉ヶ丘*"),COUNTIF($B88,"*泉ヶ丘*")),
IFERROR(INDEX(88:88, SMALL(IF($AC88:$AX88&lt;&gt;"", COLUMN($AC$1:$AX88)), COLUMN(F88))), ""),
INDEX(87:87, SMALL(IF($AC87:$AX87&lt;&gt;"", COLUMN($AC$1:$AX87)), COLUMN(L87)))), "")</f>
        <v/>
      </c>
      <c r="BL87" t="str">
        <f t="array" ref="BL87">IFERROR(IF(AND(COUNTIF($B87,"*泉ヶ丘*"),COUNTIF($B88,"*泉ヶ丘*")),
IFERROR(INDEX(88:88, SMALL(IF($AC88:$AX88&lt;&gt;"", COLUMN($AC$1:$AX88)), COLUMN(G88))), ""),
INDEX(87:87, SMALL(IF($AC87:$AX87&lt;&gt;"", COLUMN($AC$1:$AX87)), COLUMN(M87)))), "")</f>
        <v/>
      </c>
      <c r="BM87" t="str">
        <f t="array" ref="BM87">IFERROR(IF(AND(COUNTIF($B87,"*泉ヶ丘*"),COUNTIF($B88,"*泉ヶ丘*")),
IFERROR(INDEX(88:88, SMALL(IF($AC88:$AX88&lt;&gt;"", COLUMN($AC$1:$AX88)), COLUMN(H88))), ""),
INDEX(87:87, SMALL(IF($AC87:$AX87&lt;&gt;"", COLUMN($AC$1:$AX87)), COLUMN(N87)))), "")</f>
        <v/>
      </c>
      <c r="BN87" t="str">
        <f t="array" ref="BN87">IFERROR(IF(AND(COUNTIF($B87,"*泉ヶ丘*"),COUNTIF($B88,"*泉ヶ丘*")),
IFERROR(INDEX(88:88, SMALL(IF($AC88:$AX88&lt;&gt;"", COLUMN($AC$1:$AX88)), COLUMN(I88))), ""),
INDEX(87:87, SMALL(IF($AC87:$AX87&lt;&gt;"", COLUMN($AC$1:$AX87)), COLUMN(O87)))), "")</f>
        <v/>
      </c>
      <c r="BO87" t="str">
        <f t="array" ref="BO87">IFERROR(IF(AND(COUNTIF($B87,"*泉ヶ丘*"),COUNTIF($B88,"*泉ヶ丘*")),
IFERROR(INDEX(88:88, SMALL(IF($AC88:$AX88&lt;&gt;"", COLUMN($AC$1:$AX88)), COLUMN(J88))), ""),
INDEX(87:87, SMALL(IF($AC87:$AX87&lt;&gt;"", COLUMN($AC$1:$AX87)), COLUMN(P87)))), "")</f>
        <v/>
      </c>
      <c r="BP87" t="str">
        <f t="array" ref="BP87">IFERROR(IF(AND(COUNTIF($B87,"*泉ヶ丘*"),COUNTIF($B88,"*泉ヶ丘*")),
IFERROR(INDEX(88:88, SMALL(IF($AC88:$AX88&lt;&gt;"", COLUMN($AC$1:$AX88)), COLUMN(K88))), ""),
INDEX(87:87, SMALL(IF($AC87:$AX87&lt;&gt;"", COLUMN($AC$1:$AX87)), COLUMN(Q87)))), "")</f>
        <v/>
      </c>
      <c r="BQ87" t="str">
        <f t="array" ref="BQ87">IFERROR(IF(AND(COUNTIF($B87,"*泉ヶ丘*"),COUNTIF($B88,"*泉ヶ丘*")),
IFERROR(INDEX(88:88, SMALL(IF($AC88:$AX88&lt;&gt;"", COLUMN($AC$1:$AX88)), COLUMN(L88))), ""),
INDEX(87:87, SMALL(IF($AC87:$AX87&lt;&gt;"", COLUMN($AC$1:$AX87)), COLUMN(R87)))), "")</f>
        <v/>
      </c>
    </row>
    <row r="88" spans="1:69" x14ac:dyDescent="0.45">
      <c r="A88" t="e">
        <f t="array" ref="A88">IF(INDEX(貼り付け用!A:A,MATCH(A87,貼り付け用!A:A,0)+2)="4700",
IF(INDEX(貼り付け用!A:A,MATCH(A87,貼り付け用!A:A,0)+4)="4800",
INDEX(貼り付け用!A:A,MATCH(A87,貼り付け用!A:A,0)+6),
INDEX(貼り付け用!A:A,MATCH(A87,貼り付け用!A:A,0)+4)),INDEX(貼り付け用!A:A,MATCH(A87,貼り付け用!A:A,0)+2))</f>
        <v>#N/A</v>
      </c>
      <c r="B88" t="e">
        <f>IF(A88&lt;&gt;"",
VLOOKUP(A88,得意先マスタ!A:D,2,FALSE),"")</f>
        <v>#N/A</v>
      </c>
      <c r="C88" t="e">
        <f t="array" ref="C88">IF(A88="10000","",INDEX(貼り付け用!A:A,MATCH(A88,貼り付け用!A:A,0)+1))</f>
        <v>#N/A</v>
      </c>
      <c r="D88" t="e">
        <f>VLOOKUP(C88,クライアント抽出!$A:$O,10,FALSE)</f>
        <v>#N/A</v>
      </c>
      <c r="E88" t="e">
        <f>IF(D88&lt;&gt;"",
IF(COUNTIF(C88,"*ぺんぎん*"),
VLOOKUP(
"*"&amp;IF(COUNTIF(D88,"*キャラ弁*"),"キャラ",
IF(COUNTIF(D88,"*赤*"),"赤",SUBSTITUTE(SUBSTITUTE(D88," ",""),"　","")))&amp;"*",
注文弁当の抽出!$F:$I,4,FALSE)&amp;
IF(COUNTIF(D88,"*おにぎり*"),"　おにぎり","")&amp;"　（ぺんぎん組）",
VLOOKUP(
"*"&amp;IF(COUNTIF(D88,"*キャラ弁*"),"キャラ",
IF(COUNTIF(D88,"*赤*"),"赤",SUBSTITUTE(SUBSTITUTE(D88," ",""),"　","")))&amp;"*",
注文弁当の抽出!$F:$I,4,FALSE)&amp;
IF(COUNTIF(D88,"*おにぎり*"),"　おにぎり","")),"")</f>
        <v>#N/A</v>
      </c>
      <c r="F88" t="str">
        <f>IFERROR(IF(E88&lt;&gt;"",
VLOOKUP(C88,クライアント抽出!$A:$G,2,FALSE)+
IF(COUNTIF(Y88,"*-*"),Y88,0),"")
-IFERROR(MID(V88, SEARCH("予備", V88) + LEN("予備"), SEARCH("込み", V88) - (SEARCH("予備", V88) + LEN("予備"))),0),"")</f>
        <v/>
      </c>
      <c r="G88" t="e">
        <f>VLOOKUP(C88,クライアント抽出!$A:$O,11,FALSE)</f>
        <v>#N/A</v>
      </c>
      <c r="H88" t="e">
        <f>IF(G88&lt;&gt;"",
VLOOKUP(
"*"&amp;IF(COUNTIF(G88,"*キャラ弁*"),"キャラ",
IF(COUNTIF(G88,"*赤*"),"赤",SUBSTITUTE(SUBSTITUTE(G88," ",""),"　","")))&amp;"*",
注文弁当の抽出!$F:$I,4,FALSE)&amp;
IF(COUNTIF(G88,"*おにぎり*"),"　おにぎり",""),"")</f>
        <v>#N/A</v>
      </c>
      <c r="I88" t="e">
        <f>IF(H88&lt;&gt;"",
VLOOKUP(C88,クライアント抽出!$A:$G,3,FALSE)+
IF(COUNTIF(C88,"*博多*"),Y88,Z88),"")</f>
        <v>#N/A</v>
      </c>
      <c r="J88" t="e">
        <f>VLOOKUP(C88,クライアント抽出!$A:$O,12,FALSE)</f>
        <v>#N/A</v>
      </c>
      <c r="K88" t="e">
        <f>IF(J88&lt;&gt;"",
VLOOKUP(
"*"&amp;IF(COUNTIF(J88,"*キャラ弁*"),"キャラ",
IF(COUNTIF(J88,"*赤*"),"赤",SUBSTITUTE(SUBSTITUTE(J88," ",""),"　","")))&amp;"*",
注文弁当の抽出!$F:$I,4,FALSE)&amp;
IF(COUNTIF(J88,"*おにぎり*"),"　おにぎり",""),"")</f>
        <v>#N/A</v>
      </c>
      <c r="L88" t="e">
        <f>IF(K88&lt;&gt;"",
VLOOKUP(C88,クライアント抽出!$A:$G,4,FALSE)+AA88,"")</f>
        <v>#N/A</v>
      </c>
      <c r="M88" t="e">
        <f>VLOOKUP(C88,クライアント抽出!$A:$O,13,FALSE)</f>
        <v>#N/A</v>
      </c>
      <c r="N88" t="e">
        <f>SUBSTITUTE(
IF(M88&lt;&gt;"",
VLOOKUP(
"*"&amp;IF(COUNTIF(M88,"*キャラ弁*"),"キャラ",
IF(COUNTIF(M88,"*赤*"),"赤",SUBSTITUTE(SUBSTITUTE(D88," ",""),"　","")))&amp;"*",
注文弁当の抽出!$F:$I,4,FALSE),""),"園児","先生")&amp;
IF(COUNTIF(M88,"*おにぎり*"),"　おにぎり","")</f>
        <v>#N/A</v>
      </c>
      <c r="O88" t="e">
        <f>IF(N88&lt;&gt;"",VLOOKUP(C88,クライアント抽出!$A:$G,5,FALSE),"")</f>
        <v>#N/A</v>
      </c>
      <c r="P88" t="e">
        <f>VLOOKUP(C88,クライアント抽出!$A:$O,14,FALSE)</f>
        <v>#N/A</v>
      </c>
      <c r="Q88" t="e">
        <f>SUBSTITUTE(
IF(P88&lt;&gt;"",
VLOOKUP(
"*"&amp;IF(COUNTIF(P88,"*キャラ弁*"),"キャラ",
IF(COUNTIF(P88,"*赤*"),"赤",SUBSTITUTE(SUBSTITUTE(G88," ",""),"　","")))&amp;"*",
注文弁当の抽出!$F:$I,4,FALSE),""),"園児","先生")&amp;
IF(COUNTIF(P88,"*おにぎり*"),"　おにぎり","")</f>
        <v>#N/A</v>
      </c>
      <c r="R88" t="e">
        <f>IF(Q88&lt;&gt;"",
VLOOKUP(C88,クライアント抽出!$A:$G,6,FALSE),"")</f>
        <v>#N/A</v>
      </c>
      <c r="S88" t="e">
        <f>VLOOKUP(C88,クライアント抽出!$A:$O,15,FALSE)</f>
        <v>#N/A</v>
      </c>
      <c r="T88" t="e">
        <f>SUBSTITUTE(
IF(S88&lt;&gt;"",
VLOOKUP(
"*"&amp;IF(COUNTIF(S88,"*キャラ弁*"),"キャラ",
IF(COUNTIF(S88,"*赤*"),"赤",SUBSTITUTE(SUBSTITUTE(J88," ",""),"　","")))&amp;"*",
注文弁当の抽出!$F:$I,4,FALSE),""),"園児","先生")&amp;
IF(COUNTIF(S88,"*おにぎり*"),"　おにぎり","")</f>
        <v>#N/A</v>
      </c>
      <c r="U88" t="e">
        <f>IF(T88&lt;&gt;"",
VLOOKUP(C88,クライアント抽出!$A:$G,7,FALSE),"")</f>
        <v>#N/A</v>
      </c>
      <c r="V88" t="e">
        <f>IF(A88&lt;&gt;"",
IF(COUNTIF(V87,"*牛乳*"),
IF(AND(COUNTIF(B87,"*奈良屋*"),COUNTIF(B88,"*奈良屋*")),
V87&amp;"✔",""),VLOOKUP(""&amp;A88&amp;"",数出表_Excel!$A:$Z,22,FALSE)&amp;VLOOKUP(""&amp;A88&amp;"",数出表_Excel!$A:$Z,23,FALSE)
&amp;VLOOKUP(""&amp;C88&amp;"",数出表_Excel!$A:$Z,22,FALSE)&amp;VLOOKUP(""&amp;C88&amp;"",数出表_Excel!$A:$Z,23,FALSE)),"")</f>
        <v>#N/A</v>
      </c>
      <c r="W88" t="e">
        <f>IF(AND(COUNTIF(V88,"&lt;&gt;*不要*"),A88&lt;&gt;""),VLOOKUP(A88,得意先マスタ!$A:$AD,24,FALSE),0)</f>
        <v>#N/A</v>
      </c>
      <c r="X88" t="e">
        <f>IF(AND(COUNTIF(V88,"&lt;&gt;*不要*"),A88&lt;&gt;""),VLOOKUP(A88,得意先マスタ!$A:$AD,25,FALSE),0)</f>
        <v>#N/A</v>
      </c>
      <c r="Y88" t="e">
        <f t="shared" si="20"/>
        <v>#N/A</v>
      </c>
      <c r="Z88" t="e">
        <f t="shared" si="21"/>
        <v>#N/A</v>
      </c>
      <c r="AA88" t="e">
        <f t="shared" si="25"/>
        <v>#N/A</v>
      </c>
      <c r="AB88" t="e">
        <f t="shared" si="22"/>
        <v>#N/A</v>
      </c>
      <c r="AC88" t="str">
        <f t="array" ref="AC88">IFERROR(INDEX(88:88, SMALL(IF($D88:$U88&lt;&gt;"", COLUMN($D$1:$U88)), COLUMN(A88))), "")</f>
        <v/>
      </c>
      <c r="AD88" t="str">
        <f t="array" ref="AD88">IFERROR(INDEX(88:88, SMALL(IF($D88:$U88&lt;&gt;"", COLUMN($D$1:$U88)), COLUMN(B88))), "")</f>
        <v/>
      </c>
      <c r="AE88" t="str">
        <f t="array" ref="AE88">IFERROR(INDEX(88:88, SMALL(IF($D88:$U88&lt;&gt;"", COLUMN($D$1:$U88)), COLUMN(C88))), "")</f>
        <v/>
      </c>
      <c r="AF88" t="str">
        <f t="array" ref="AF88">IFERROR(INDEX(88:88, SMALL(IF($D88:$U88&lt;&gt;"", COLUMN($D$1:$U88)), COLUMN(D88))), "")</f>
        <v/>
      </c>
      <c r="AG88" t="str">
        <f t="array" ref="AG88">IFERROR(INDEX(88:88, SMALL(IF($D88:$U88&lt;&gt;"", COLUMN($D$1:$U88)), COLUMN(E88))), "")</f>
        <v/>
      </c>
      <c r="AH88" t="str">
        <f t="array" ref="AH88">IFERROR(INDEX(88:88, SMALL(IF($D88:$U88&lt;&gt;"", COLUMN($D$1:$U88)), COLUMN(F88))), "")</f>
        <v/>
      </c>
      <c r="AI88" t="str">
        <f t="array" ref="AI88">IFERROR(INDEX(88:88, SMALL(IF($D88:$U88&lt;&gt;"", COLUMN($D$1:$U88)), COLUMN(G88))), "")</f>
        <v/>
      </c>
      <c r="AJ88" t="str">
        <f t="array" ref="AJ88">IFERROR(INDEX(88:88, SMALL(IF($D88:$U88&lt;&gt;"", COLUMN($D$1:$U88)), COLUMN(H88))), "")</f>
        <v/>
      </c>
      <c r="AK88" t="str">
        <f t="array" ref="AK88">IFERROR(INDEX(88:88, SMALL(IF($D88:$U88&lt;&gt;"", COLUMN($D$1:$U88)), COLUMN(I88))), "")</f>
        <v/>
      </c>
      <c r="AL88" t="str">
        <f t="array" ref="AL88">IFERROR(INDEX(88:88, SMALL(IF($D88:$U88&lt;&gt;"", COLUMN($D$1:$U88)), COLUMN(J88))), "")</f>
        <v/>
      </c>
      <c r="AM88" t="str">
        <f t="array" ref="AM88">IFERROR(INDEX(88:88, SMALL(IF($D88:$U88&lt;&gt;"", COLUMN($D$1:$U88)), COLUMN(K88))), "")</f>
        <v/>
      </c>
      <c r="AN88" t="str">
        <f t="array" ref="AN88">IFERROR(INDEX(88:88, SMALL(IF($D88:$U88&lt;&gt;"", COLUMN($D$1:$U88)), COLUMN(L88))), "")</f>
        <v/>
      </c>
      <c r="AO88" t="str">
        <f t="array" ref="AO88">IFERROR(INDEX(88:88, SMALL(IF($D88:$U88&lt;&gt;"", COLUMN($D$1:$U88)), COLUMN(M88))), "")</f>
        <v/>
      </c>
      <c r="AP88" t="str">
        <f t="array" ref="AP88">IFERROR(INDEX(88:88, SMALL(IF($D88:$U88&lt;&gt;"", COLUMN($D$1:$U88)), COLUMN(N88))), "")</f>
        <v/>
      </c>
      <c r="AQ88" t="str">
        <f t="array" ref="AQ88">IFERROR(INDEX(88:88, SMALL(IF($D88:$U88&lt;&gt;"", COLUMN($D$1:$U88)), COLUMN(O88))), "")</f>
        <v/>
      </c>
      <c r="AR88" s="52" t="s">
        <v>4005</v>
      </c>
      <c r="AS88" t="e">
        <f t="shared" si="23"/>
        <v>#N/A</v>
      </c>
      <c r="AT88" t="e">
        <f t="shared" si="24"/>
        <v>#N/A</v>
      </c>
      <c r="AU88" t="e">
        <f t="shared" si="26"/>
        <v>#N/A</v>
      </c>
      <c r="AV88" t="e">
        <f t="shared" si="27"/>
        <v>#N/A</v>
      </c>
      <c r="AW88" t="e">
        <f t="shared" si="28"/>
        <v>#N/A</v>
      </c>
      <c r="AX88" t="e">
        <f t="shared" si="29"/>
        <v>#N/A</v>
      </c>
      <c r="AZ88" t="str">
        <f t="array" ref="AZ88">IFERROR(INDEX(88:88, SMALL(IF($AC88:$AX88&lt;&gt;"", COLUMN($AC$1:$AX88)), COLUMN(A88))), "")</f>
        <v/>
      </c>
      <c r="BA88" t="str">
        <f t="array" ref="BA88">IFERROR(INDEX(88:88, SMALL(IF($AC88:$AX88&lt;&gt;"", COLUMN($AC$1:$AX88)), COLUMN(B88))), "")</f>
        <v/>
      </c>
      <c r="BB88" t="str">
        <f t="array" ref="BB88">IFERROR(INDEX(88:88, SMALL(IF($AC88:$AX88&lt;&gt;"", COLUMN($AC$1:$AX88)), COLUMN(C88))), "")</f>
        <v/>
      </c>
      <c r="BC88" t="str">
        <f t="array" ref="BC88">IFERROR(INDEX(88:88, SMALL(IF($AC88:$AX88&lt;&gt;"", COLUMN($AC$1:$AX88)), COLUMN(D88))), "")</f>
        <v/>
      </c>
      <c r="BD88" t="str">
        <f t="array" ref="BD88">IFERROR(INDEX(88:88, SMALL(IF($AC88:$AX88&lt;&gt;"", COLUMN($AC$1:$AX88)), COLUMN(E88))), "")</f>
        <v/>
      </c>
      <c r="BE88" t="str">
        <f t="array" ref="BE88">IFERROR(INDEX(88:88, SMALL(IF($AC88:$AX88&lt;&gt;"", COLUMN($AC$1:$AX88)), COLUMN(F88))), "")</f>
        <v/>
      </c>
      <c r="BF88" t="str">
        <f t="array" ref="BF88">IFERROR(IF(AND(COUNTIF($B88,"*泉ヶ丘*"),COUNTIF($B89,"*泉ヶ丘*")),
IFERROR(INDEX(89:89, SMALL(IF($AC89:$AX89&lt;&gt;"", COLUMN($AC$1:$AX89)), COLUMN(A89))), ""),
INDEX(88:88, SMALL(IF($AC88:$AX88&lt;&gt;"", COLUMN($AC$1:$AX88)), COLUMN(G88)))), "")</f>
        <v/>
      </c>
      <c r="BG88" t="str">
        <f t="array" ref="BG88">IFERROR(IF(AND(COUNTIF($B88,"*泉ヶ丘*"),COUNTIF($B89,"*泉ヶ丘*")),
IFERROR(INDEX(89:89, SMALL(IF($AC89:$AX89&lt;&gt;"", COLUMN($AC$1:$AX89)), COLUMN(B89))), ""),
INDEX(88:88, SMALL(IF($AC88:$AX88&lt;&gt;"", COLUMN($AC$1:$AX88)), COLUMN(H88)))), "")</f>
        <v/>
      </c>
      <c r="BH88" t="str">
        <f t="array" ref="BH88">IFERROR(IF(AND(COUNTIF($B88,"*泉ヶ丘*"),COUNTIF($B89,"*泉ヶ丘*")),
IFERROR(INDEX(89:89, SMALL(IF($AC89:$AX89&lt;&gt;"", COLUMN($AC$1:$AX89)), COLUMN(C89))), ""),
INDEX(88:88, SMALL(IF($AC88:$AX88&lt;&gt;"", COLUMN($AC$1:$AX88)), COLUMN(I88)))), "")</f>
        <v/>
      </c>
      <c r="BI88" t="str">
        <f t="array" ref="BI88">IFERROR(IF(AND(COUNTIF($B88,"*泉ヶ丘*"),COUNTIF($B89,"*泉ヶ丘*")),
IFERROR(INDEX(89:89, SMALL(IF($AC89:$AX89&lt;&gt;"", COLUMN($AC$1:$AX89)), COLUMN(D89))), ""),
INDEX(88:88, SMALL(IF($AC88:$AX88&lt;&gt;"", COLUMN($AC$1:$AX88)), COLUMN(J88)))), "")</f>
        <v/>
      </c>
      <c r="BJ88" t="str">
        <f t="array" ref="BJ88">IFERROR(IF(AND(COUNTIF($B88,"*泉ヶ丘*"),COUNTIF($B89,"*泉ヶ丘*")),
IFERROR(INDEX(89:89, SMALL(IF($AC89:$AX89&lt;&gt;"", COLUMN($AC$1:$AX89)), COLUMN(E89))), ""),
INDEX(88:88, SMALL(IF($AC88:$AX88&lt;&gt;"", COLUMN($AC$1:$AX88)), COLUMN(K88)))), "")</f>
        <v/>
      </c>
      <c r="BK88" t="str">
        <f t="array" ref="BK88">IFERROR(IF(AND(COUNTIF($B88,"*泉ヶ丘*"),COUNTIF($B89,"*泉ヶ丘*")),
IFERROR(INDEX(89:89, SMALL(IF($AC89:$AX89&lt;&gt;"", COLUMN($AC$1:$AX89)), COLUMN(F89))), ""),
INDEX(88:88, SMALL(IF($AC88:$AX88&lt;&gt;"", COLUMN($AC$1:$AX88)), COLUMN(L88)))), "")</f>
        <v/>
      </c>
      <c r="BL88" t="str">
        <f t="array" ref="BL88">IFERROR(IF(AND(COUNTIF($B88,"*泉ヶ丘*"),COUNTIF($B89,"*泉ヶ丘*")),
IFERROR(INDEX(89:89, SMALL(IF($AC89:$AX89&lt;&gt;"", COLUMN($AC$1:$AX89)), COLUMN(G89))), ""),
INDEX(88:88, SMALL(IF($AC88:$AX88&lt;&gt;"", COLUMN($AC$1:$AX88)), COLUMN(M88)))), "")</f>
        <v/>
      </c>
      <c r="BM88" t="str">
        <f t="array" ref="BM88">IFERROR(IF(AND(COUNTIF($B88,"*泉ヶ丘*"),COUNTIF($B89,"*泉ヶ丘*")),
IFERROR(INDEX(89:89, SMALL(IF($AC89:$AX89&lt;&gt;"", COLUMN($AC$1:$AX89)), COLUMN(H89))), ""),
INDEX(88:88, SMALL(IF($AC88:$AX88&lt;&gt;"", COLUMN($AC$1:$AX88)), COLUMN(N88)))), "")</f>
        <v/>
      </c>
      <c r="BN88" t="str">
        <f t="array" ref="BN88">IFERROR(IF(AND(COUNTIF($B88,"*泉ヶ丘*"),COUNTIF($B89,"*泉ヶ丘*")),
IFERROR(INDEX(89:89, SMALL(IF($AC89:$AX89&lt;&gt;"", COLUMN($AC$1:$AX89)), COLUMN(I89))), ""),
INDEX(88:88, SMALL(IF($AC88:$AX88&lt;&gt;"", COLUMN($AC$1:$AX88)), COLUMN(O88)))), "")</f>
        <v/>
      </c>
      <c r="BO88" t="str">
        <f t="array" ref="BO88">IFERROR(IF(AND(COUNTIF($B88,"*泉ヶ丘*"),COUNTIF($B89,"*泉ヶ丘*")),
IFERROR(INDEX(89:89, SMALL(IF($AC89:$AX89&lt;&gt;"", COLUMN($AC$1:$AX89)), COLUMN(J89))), ""),
INDEX(88:88, SMALL(IF($AC88:$AX88&lt;&gt;"", COLUMN($AC$1:$AX88)), COLUMN(P88)))), "")</f>
        <v/>
      </c>
      <c r="BP88" t="str">
        <f t="array" ref="BP88">IFERROR(IF(AND(COUNTIF($B88,"*泉ヶ丘*"),COUNTIF($B89,"*泉ヶ丘*")),
IFERROR(INDEX(89:89, SMALL(IF($AC89:$AX89&lt;&gt;"", COLUMN($AC$1:$AX89)), COLUMN(K89))), ""),
INDEX(88:88, SMALL(IF($AC88:$AX88&lt;&gt;"", COLUMN($AC$1:$AX88)), COLUMN(Q88)))), "")</f>
        <v/>
      </c>
      <c r="BQ88" t="str">
        <f t="array" ref="BQ88">IFERROR(IF(AND(COUNTIF($B88,"*泉ヶ丘*"),COUNTIF($B89,"*泉ヶ丘*")),
IFERROR(INDEX(89:89, SMALL(IF($AC89:$AX89&lt;&gt;"", COLUMN($AC$1:$AX89)), COLUMN(L89))), ""),
INDEX(88:88, SMALL(IF($AC88:$AX88&lt;&gt;"", COLUMN($AC$1:$AX88)), COLUMN(R88)))), "")</f>
        <v/>
      </c>
    </row>
    <row r="89" spans="1:69" x14ac:dyDescent="0.45">
      <c r="A89" t="e">
        <f t="array" ref="A89">IF(INDEX(貼り付け用!A:A,MATCH(A88,貼り付け用!A:A,0)+2)="4700",
IF(INDEX(貼り付け用!A:A,MATCH(A88,貼り付け用!A:A,0)+4)="4800",
INDEX(貼り付け用!A:A,MATCH(A88,貼り付け用!A:A,0)+6),
INDEX(貼り付け用!A:A,MATCH(A88,貼り付け用!A:A,0)+4)),INDEX(貼り付け用!A:A,MATCH(A88,貼り付け用!A:A,0)+2))</f>
        <v>#N/A</v>
      </c>
      <c r="B89" t="e">
        <f>IF(A89&lt;&gt;"",
VLOOKUP(A89,得意先マスタ!A:D,2,FALSE),"")</f>
        <v>#N/A</v>
      </c>
      <c r="C89" t="e">
        <f t="array" ref="C89">IF(A89="10000","",INDEX(貼り付け用!A:A,MATCH(A89,貼り付け用!A:A,0)+1))</f>
        <v>#N/A</v>
      </c>
      <c r="D89" t="e">
        <f>VLOOKUP(C89,クライアント抽出!$A:$O,10,FALSE)</f>
        <v>#N/A</v>
      </c>
      <c r="E89" t="e">
        <f>IF(D89&lt;&gt;"",
IF(COUNTIF(C89,"*ぺんぎん*"),
VLOOKUP(
"*"&amp;IF(COUNTIF(D89,"*キャラ弁*"),"キャラ",
IF(COUNTIF(D89,"*赤*"),"赤",SUBSTITUTE(SUBSTITUTE(D89," ",""),"　","")))&amp;"*",
注文弁当の抽出!$F:$I,4,FALSE)&amp;
IF(COUNTIF(D89,"*おにぎり*"),"　おにぎり","")&amp;"　（ぺんぎん組）",
VLOOKUP(
"*"&amp;IF(COUNTIF(D89,"*キャラ弁*"),"キャラ",
IF(COUNTIF(D89,"*赤*"),"赤",SUBSTITUTE(SUBSTITUTE(D89," ",""),"　","")))&amp;"*",
注文弁当の抽出!$F:$I,4,FALSE)&amp;
IF(COUNTIF(D89,"*おにぎり*"),"　おにぎり","")),"")</f>
        <v>#N/A</v>
      </c>
      <c r="F89" t="str">
        <f>IFERROR(IF(E89&lt;&gt;"",
VLOOKUP(C89,クライアント抽出!$A:$G,2,FALSE)+
IF(COUNTIF(Y89,"*-*"),Y89,0),"")
-IFERROR(MID(V89, SEARCH("予備", V89) + LEN("予備"), SEARCH("込み", V89) - (SEARCH("予備", V89) + LEN("予備"))),0),"")</f>
        <v/>
      </c>
      <c r="G89" t="e">
        <f>VLOOKUP(C89,クライアント抽出!$A:$O,11,FALSE)</f>
        <v>#N/A</v>
      </c>
      <c r="H89" t="e">
        <f>IF(G89&lt;&gt;"",
VLOOKUP(
"*"&amp;IF(COUNTIF(G89,"*キャラ弁*"),"キャラ",
IF(COUNTIF(G89,"*赤*"),"赤",SUBSTITUTE(SUBSTITUTE(G89," ",""),"　","")))&amp;"*",
注文弁当の抽出!$F:$I,4,FALSE)&amp;
IF(COUNTIF(G89,"*おにぎり*"),"　おにぎり",""),"")</f>
        <v>#N/A</v>
      </c>
      <c r="I89" t="e">
        <f>IF(H89&lt;&gt;"",
VLOOKUP(C89,クライアント抽出!$A:$G,3,FALSE)+
IF(COUNTIF(C89,"*博多*"),Y89,Z89),"")</f>
        <v>#N/A</v>
      </c>
      <c r="J89" t="e">
        <f>VLOOKUP(C89,クライアント抽出!$A:$O,12,FALSE)</f>
        <v>#N/A</v>
      </c>
      <c r="K89" t="e">
        <f>IF(J89&lt;&gt;"",
VLOOKUP(
"*"&amp;IF(COUNTIF(J89,"*キャラ弁*"),"キャラ",
IF(COUNTIF(J89,"*赤*"),"赤",SUBSTITUTE(SUBSTITUTE(J89," ",""),"　","")))&amp;"*",
注文弁当の抽出!$F:$I,4,FALSE)&amp;
IF(COUNTIF(J89,"*おにぎり*"),"　おにぎり",""),"")</f>
        <v>#N/A</v>
      </c>
      <c r="L89" t="e">
        <f>IF(K89&lt;&gt;"",
VLOOKUP(C89,クライアント抽出!$A:$G,4,FALSE)+AA89,"")</f>
        <v>#N/A</v>
      </c>
      <c r="M89" t="e">
        <f>VLOOKUP(C89,クライアント抽出!$A:$O,13,FALSE)</f>
        <v>#N/A</v>
      </c>
      <c r="N89" t="e">
        <f>SUBSTITUTE(
IF(M89&lt;&gt;"",
VLOOKUP(
"*"&amp;IF(COUNTIF(M89,"*キャラ弁*"),"キャラ",
IF(COUNTIF(M89,"*赤*"),"赤",SUBSTITUTE(SUBSTITUTE(D89," ",""),"　","")))&amp;"*",
注文弁当の抽出!$F:$I,4,FALSE),""),"園児","先生")&amp;
IF(COUNTIF(M89,"*おにぎり*"),"　おにぎり","")</f>
        <v>#N/A</v>
      </c>
      <c r="O89" t="e">
        <f>IF(N89&lt;&gt;"",VLOOKUP(C89,クライアント抽出!$A:$G,5,FALSE),"")</f>
        <v>#N/A</v>
      </c>
      <c r="P89" t="e">
        <f>VLOOKUP(C89,クライアント抽出!$A:$O,14,FALSE)</f>
        <v>#N/A</v>
      </c>
      <c r="Q89" t="e">
        <f>SUBSTITUTE(
IF(P89&lt;&gt;"",
VLOOKUP(
"*"&amp;IF(COUNTIF(P89,"*キャラ弁*"),"キャラ",
IF(COUNTIF(P89,"*赤*"),"赤",SUBSTITUTE(SUBSTITUTE(G89," ",""),"　","")))&amp;"*",
注文弁当の抽出!$F:$I,4,FALSE),""),"園児","先生")&amp;
IF(COUNTIF(P89,"*おにぎり*"),"　おにぎり","")</f>
        <v>#N/A</v>
      </c>
      <c r="R89" t="e">
        <f>IF(Q89&lt;&gt;"",
VLOOKUP(C89,クライアント抽出!$A:$G,6,FALSE),"")</f>
        <v>#N/A</v>
      </c>
      <c r="S89" t="e">
        <f>VLOOKUP(C89,クライアント抽出!$A:$O,15,FALSE)</f>
        <v>#N/A</v>
      </c>
      <c r="T89" t="e">
        <f>SUBSTITUTE(
IF(S89&lt;&gt;"",
VLOOKUP(
"*"&amp;IF(COUNTIF(S89,"*キャラ弁*"),"キャラ",
IF(COUNTIF(S89,"*赤*"),"赤",SUBSTITUTE(SUBSTITUTE(J89," ",""),"　","")))&amp;"*",
注文弁当の抽出!$F:$I,4,FALSE),""),"園児","先生")&amp;
IF(COUNTIF(S89,"*おにぎり*"),"　おにぎり","")</f>
        <v>#N/A</v>
      </c>
      <c r="U89" t="e">
        <f>IF(T89&lt;&gt;"",
VLOOKUP(C89,クライアント抽出!$A:$G,7,FALSE),"")</f>
        <v>#N/A</v>
      </c>
      <c r="V89" t="e">
        <f>IF(A89&lt;&gt;"",
IF(COUNTIF(V88,"*牛乳*"),
IF(AND(COUNTIF(B88,"*奈良屋*"),COUNTIF(B89,"*奈良屋*")),
V88&amp;"✔",""),VLOOKUP(""&amp;A89&amp;"",数出表_Excel!$A:$Z,22,FALSE)&amp;VLOOKUP(""&amp;A89&amp;"",数出表_Excel!$A:$Z,23,FALSE)
&amp;VLOOKUP(""&amp;C89&amp;"",数出表_Excel!$A:$Z,22,FALSE)&amp;VLOOKUP(""&amp;C89&amp;"",数出表_Excel!$A:$Z,23,FALSE)),"")</f>
        <v>#N/A</v>
      </c>
      <c r="W89" t="e">
        <f>IF(AND(COUNTIF(V89,"&lt;&gt;*不要*"),A89&lt;&gt;""),VLOOKUP(A89,得意先マスタ!$A:$AD,24,FALSE),0)</f>
        <v>#N/A</v>
      </c>
      <c r="X89" t="e">
        <f>IF(AND(COUNTIF(V89,"&lt;&gt;*不要*"),A89&lt;&gt;""),VLOOKUP(A89,得意先マスタ!$A:$AD,25,FALSE),0)</f>
        <v>#N/A</v>
      </c>
      <c r="Y89" t="e">
        <f t="shared" si="20"/>
        <v>#N/A</v>
      </c>
      <c r="Z89" t="e">
        <f t="shared" si="21"/>
        <v>#N/A</v>
      </c>
      <c r="AA89" t="e">
        <f t="shared" si="25"/>
        <v>#N/A</v>
      </c>
      <c r="AB89" t="e">
        <f t="shared" si="22"/>
        <v>#N/A</v>
      </c>
      <c r="AC89" t="str">
        <f t="array" ref="AC89">IFERROR(INDEX(89:89, SMALL(IF($D89:$U89&lt;&gt;"", COLUMN($D$1:$U89)), COLUMN(A89))), "")</f>
        <v/>
      </c>
      <c r="AD89" t="str">
        <f t="array" ref="AD89">IFERROR(INDEX(89:89, SMALL(IF($D89:$U89&lt;&gt;"", COLUMN($D$1:$U89)), COLUMN(B89))), "")</f>
        <v/>
      </c>
      <c r="AE89" t="str">
        <f t="array" ref="AE89">IFERROR(INDEX(89:89, SMALL(IF($D89:$U89&lt;&gt;"", COLUMN($D$1:$U89)), COLUMN(C89))), "")</f>
        <v/>
      </c>
      <c r="AF89" t="str">
        <f t="array" ref="AF89">IFERROR(INDEX(89:89, SMALL(IF($D89:$U89&lt;&gt;"", COLUMN($D$1:$U89)), COLUMN(D89))), "")</f>
        <v/>
      </c>
      <c r="AG89" t="str">
        <f t="array" ref="AG89">IFERROR(INDEX(89:89, SMALL(IF($D89:$U89&lt;&gt;"", COLUMN($D$1:$U89)), COLUMN(E89))), "")</f>
        <v/>
      </c>
      <c r="AH89" t="str">
        <f t="array" ref="AH89">IFERROR(INDEX(89:89, SMALL(IF($D89:$U89&lt;&gt;"", COLUMN($D$1:$U89)), COLUMN(F89))), "")</f>
        <v/>
      </c>
      <c r="AI89" t="str">
        <f t="array" ref="AI89">IFERROR(INDEX(89:89, SMALL(IF($D89:$U89&lt;&gt;"", COLUMN($D$1:$U89)), COLUMN(G89))), "")</f>
        <v/>
      </c>
      <c r="AJ89" t="str">
        <f t="array" ref="AJ89">IFERROR(INDEX(89:89, SMALL(IF($D89:$U89&lt;&gt;"", COLUMN($D$1:$U89)), COLUMN(H89))), "")</f>
        <v/>
      </c>
      <c r="AK89" t="str">
        <f t="array" ref="AK89">IFERROR(INDEX(89:89, SMALL(IF($D89:$U89&lt;&gt;"", COLUMN($D$1:$U89)), COLUMN(I89))), "")</f>
        <v/>
      </c>
      <c r="AL89" t="str">
        <f t="array" ref="AL89">IFERROR(INDEX(89:89, SMALL(IF($D89:$U89&lt;&gt;"", COLUMN($D$1:$U89)), COLUMN(J89))), "")</f>
        <v/>
      </c>
      <c r="AM89" t="str">
        <f t="array" ref="AM89">IFERROR(INDEX(89:89, SMALL(IF($D89:$U89&lt;&gt;"", COLUMN($D$1:$U89)), COLUMN(K89))), "")</f>
        <v/>
      </c>
      <c r="AN89" t="str">
        <f t="array" ref="AN89">IFERROR(INDEX(89:89, SMALL(IF($D89:$U89&lt;&gt;"", COLUMN($D$1:$U89)), COLUMN(L89))), "")</f>
        <v/>
      </c>
      <c r="AO89" t="str">
        <f t="array" ref="AO89">IFERROR(INDEX(89:89, SMALL(IF($D89:$U89&lt;&gt;"", COLUMN($D$1:$U89)), COLUMN(M89))), "")</f>
        <v/>
      </c>
      <c r="AP89" t="str">
        <f t="array" ref="AP89">IFERROR(INDEX(89:89, SMALL(IF($D89:$U89&lt;&gt;"", COLUMN($D$1:$U89)), COLUMN(N89))), "")</f>
        <v/>
      </c>
      <c r="AQ89" t="str">
        <f t="array" ref="AQ89">IFERROR(INDEX(89:89, SMALL(IF($D89:$U89&lt;&gt;"", COLUMN($D$1:$U89)), COLUMN(O89))), "")</f>
        <v/>
      </c>
      <c r="AR89" s="52" t="s">
        <v>4005</v>
      </c>
      <c r="AS89" t="e">
        <f t="shared" si="23"/>
        <v>#N/A</v>
      </c>
      <c r="AT89" t="e">
        <f t="shared" si="24"/>
        <v>#N/A</v>
      </c>
      <c r="AU89" t="e">
        <f t="shared" si="26"/>
        <v>#N/A</v>
      </c>
      <c r="AV89" t="e">
        <f t="shared" si="27"/>
        <v>#N/A</v>
      </c>
      <c r="AW89" t="e">
        <f t="shared" si="28"/>
        <v>#N/A</v>
      </c>
      <c r="AX89" t="e">
        <f t="shared" si="29"/>
        <v>#N/A</v>
      </c>
      <c r="AZ89" t="str">
        <f t="array" ref="AZ89">IFERROR(INDEX(89:89, SMALL(IF($AC89:$AX89&lt;&gt;"", COLUMN($AC$1:$AX89)), COLUMN(A89))), "")</f>
        <v/>
      </c>
      <c r="BA89" t="str">
        <f t="array" ref="BA89">IFERROR(INDEX(89:89, SMALL(IF($AC89:$AX89&lt;&gt;"", COLUMN($AC$1:$AX89)), COLUMN(B89))), "")</f>
        <v/>
      </c>
      <c r="BB89" t="str">
        <f t="array" ref="BB89">IFERROR(INDEX(89:89, SMALL(IF($AC89:$AX89&lt;&gt;"", COLUMN($AC$1:$AX89)), COLUMN(C89))), "")</f>
        <v/>
      </c>
      <c r="BC89" t="str">
        <f t="array" ref="BC89">IFERROR(INDEX(89:89, SMALL(IF($AC89:$AX89&lt;&gt;"", COLUMN($AC$1:$AX89)), COLUMN(D89))), "")</f>
        <v/>
      </c>
      <c r="BD89" t="str">
        <f t="array" ref="BD89">IFERROR(INDEX(89:89, SMALL(IF($AC89:$AX89&lt;&gt;"", COLUMN($AC$1:$AX89)), COLUMN(E89))), "")</f>
        <v/>
      </c>
      <c r="BE89" t="str">
        <f t="array" ref="BE89">IFERROR(INDEX(89:89, SMALL(IF($AC89:$AX89&lt;&gt;"", COLUMN($AC$1:$AX89)), COLUMN(F89))), "")</f>
        <v/>
      </c>
      <c r="BF89" t="str">
        <f t="array" ref="BF89">IFERROR(IF(AND(COUNTIF($B89,"*泉ヶ丘*"),COUNTIF($B90,"*泉ヶ丘*")),
IFERROR(INDEX(90:90, SMALL(IF($AC90:$AX90&lt;&gt;"", COLUMN($AC$1:$AX90)), COLUMN(A90))), ""),
INDEX(89:89, SMALL(IF($AC89:$AX89&lt;&gt;"", COLUMN($AC$1:$AX89)), COLUMN(G89)))), "")</f>
        <v/>
      </c>
      <c r="BG89" t="str">
        <f t="array" ref="BG89">IFERROR(IF(AND(COUNTIF($B89,"*泉ヶ丘*"),COUNTIF($B90,"*泉ヶ丘*")),
IFERROR(INDEX(90:90, SMALL(IF($AC90:$AX90&lt;&gt;"", COLUMN($AC$1:$AX90)), COLUMN(B90))), ""),
INDEX(89:89, SMALL(IF($AC89:$AX89&lt;&gt;"", COLUMN($AC$1:$AX89)), COLUMN(H89)))), "")</f>
        <v/>
      </c>
      <c r="BH89" t="str">
        <f t="array" ref="BH89">IFERROR(IF(AND(COUNTIF($B89,"*泉ヶ丘*"),COUNTIF($B90,"*泉ヶ丘*")),
IFERROR(INDEX(90:90, SMALL(IF($AC90:$AX90&lt;&gt;"", COLUMN($AC$1:$AX90)), COLUMN(C90))), ""),
INDEX(89:89, SMALL(IF($AC89:$AX89&lt;&gt;"", COLUMN($AC$1:$AX89)), COLUMN(I89)))), "")</f>
        <v/>
      </c>
      <c r="BI89" t="str">
        <f t="array" ref="BI89">IFERROR(IF(AND(COUNTIF($B89,"*泉ヶ丘*"),COUNTIF($B90,"*泉ヶ丘*")),
IFERROR(INDEX(90:90, SMALL(IF($AC90:$AX90&lt;&gt;"", COLUMN($AC$1:$AX90)), COLUMN(D90))), ""),
INDEX(89:89, SMALL(IF($AC89:$AX89&lt;&gt;"", COLUMN($AC$1:$AX89)), COLUMN(J89)))), "")</f>
        <v/>
      </c>
      <c r="BJ89" t="str">
        <f t="array" ref="BJ89">IFERROR(IF(AND(COUNTIF($B89,"*泉ヶ丘*"),COUNTIF($B90,"*泉ヶ丘*")),
IFERROR(INDEX(90:90, SMALL(IF($AC90:$AX90&lt;&gt;"", COLUMN($AC$1:$AX90)), COLUMN(E90))), ""),
INDEX(89:89, SMALL(IF($AC89:$AX89&lt;&gt;"", COLUMN($AC$1:$AX89)), COLUMN(K89)))), "")</f>
        <v/>
      </c>
      <c r="BK89" t="str">
        <f t="array" ref="BK89">IFERROR(IF(AND(COUNTIF($B89,"*泉ヶ丘*"),COUNTIF($B90,"*泉ヶ丘*")),
IFERROR(INDEX(90:90, SMALL(IF($AC90:$AX90&lt;&gt;"", COLUMN($AC$1:$AX90)), COLUMN(F90))), ""),
INDEX(89:89, SMALL(IF($AC89:$AX89&lt;&gt;"", COLUMN($AC$1:$AX89)), COLUMN(L89)))), "")</f>
        <v/>
      </c>
      <c r="BL89" t="str">
        <f t="array" ref="BL89">IFERROR(IF(AND(COUNTIF($B89,"*泉ヶ丘*"),COUNTIF($B90,"*泉ヶ丘*")),
IFERROR(INDEX(90:90, SMALL(IF($AC90:$AX90&lt;&gt;"", COLUMN($AC$1:$AX90)), COLUMN(G90))), ""),
INDEX(89:89, SMALL(IF($AC89:$AX89&lt;&gt;"", COLUMN($AC$1:$AX89)), COLUMN(M89)))), "")</f>
        <v/>
      </c>
      <c r="BM89" t="str">
        <f t="array" ref="BM89">IFERROR(IF(AND(COUNTIF($B89,"*泉ヶ丘*"),COUNTIF($B90,"*泉ヶ丘*")),
IFERROR(INDEX(90:90, SMALL(IF($AC90:$AX90&lt;&gt;"", COLUMN($AC$1:$AX90)), COLUMN(H90))), ""),
INDEX(89:89, SMALL(IF($AC89:$AX89&lt;&gt;"", COLUMN($AC$1:$AX89)), COLUMN(N89)))), "")</f>
        <v/>
      </c>
      <c r="BN89" t="str">
        <f t="array" ref="BN89">IFERROR(IF(AND(COUNTIF($B89,"*泉ヶ丘*"),COUNTIF($B90,"*泉ヶ丘*")),
IFERROR(INDEX(90:90, SMALL(IF($AC90:$AX90&lt;&gt;"", COLUMN($AC$1:$AX90)), COLUMN(I90))), ""),
INDEX(89:89, SMALL(IF($AC89:$AX89&lt;&gt;"", COLUMN($AC$1:$AX89)), COLUMN(O89)))), "")</f>
        <v/>
      </c>
      <c r="BO89" t="str">
        <f t="array" ref="BO89">IFERROR(IF(AND(COUNTIF($B89,"*泉ヶ丘*"),COUNTIF($B90,"*泉ヶ丘*")),
IFERROR(INDEX(90:90, SMALL(IF($AC90:$AX90&lt;&gt;"", COLUMN($AC$1:$AX90)), COLUMN(J90))), ""),
INDEX(89:89, SMALL(IF($AC89:$AX89&lt;&gt;"", COLUMN($AC$1:$AX89)), COLUMN(P89)))), "")</f>
        <v/>
      </c>
      <c r="BP89" t="str">
        <f t="array" ref="BP89">IFERROR(IF(AND(COUNTIF($B89,"*泉ヶ丘*"),COUNTIF($B90,"*泉ヶ丘*")),
IFERROR(INDEX(90:90, SMALL(IF($AC90:$AX90&lt;&gt;"", COLUMN($AC$1:$AX90)), COLUMN(K90))), ""),
INDEX(89:89, SMALL(IF($AC89:$AX89&lt;&gt;"", COLUMN($AC$1:$AX89)), COLUMN(Q89)))), "")</f>
        <v/>
      </c>
      <c r="BQ89" t="str">
        <f t="array" ref="BQ89">IFERROR(IF(AND(COUNTIF($B89,"*泉ヶ丘*"),COUNTIF($B90,"*泉ヶ丘*")),
IFERROR(INDEX(90:90, SMALL(IF($AC90:$AX90&lt;&gt;"", COLUMN($AC$1:$AX90)), COLUMN(L90))), ""),
INDEX(89:89, SMALL(IF($AC89:$AX89&lt;&gt;"", COLUMN($AC$1:$AX89)), COLUMN(R89)))), "")</f>
        <v/>
      </c>
    </row>
    <row r="90" spans="1:69" x14ac:dyDescent="0.45">
      <c r="A90" t="e">
        <f t="array" ref="A90">IF(INDEX(貼り付け用!A:A,MATCH(A89,貼り付け用!A:A,0)+2)="4700",
IF(INDEX(貼り付け用!A:A,MATCH(A89,貼り付け用!A:A,0)+4)="4800",
INDEX(貼り付け用!A:A,MATCH(A89,貼り付け用!A:A,0)+6),
INDEX(貼り付け用!A:A,MATCH(A89,貼り付け用!A:A,0)+4)),INDEX(貼り付け用!A:A,MATCH(A89,貼り付け用!A:A,0)+2))</f>
        <v>#N/A</v>
      </c>
      <c r="B90" t="e">
        <f>IF(A90&lt;&gt;"",
VLOOKUP(A90,得意先マスタ!A:D,2,FALSE),"")</f>
        <v>#N/A</v>
      </c>
      <c r="C90" t="e">
        <f t="array" ref="C90">IF(A90="10000","",INDEX(貼り付け用!A:A,MATCH(A90,貼り付け用!A:A,0)+1))</f>
        <v>#N/A</v>
      </c>
      <c r="D90" t="e">
        <f>VLOOKUP(C90,クライアント抽出!$A:$O,10,FALSE)</f>
        <v>#N/A</v>
      </c>
      <c r="E90" t="e">
        <f>IF(D90&lt;&gt;"",
IF(COUNTIF(C90,"*ぺんぎん*"),
VLOOKUP(
"*"&amp;IF(COUNTIF(D90,"*キャラ弁*"),"キャラ",
IF(COUNTIF(D90,"*赤*"),"赤",SUBSTITUTE(SUBSTITUTE(D90," ",""),"　","")))&amp;"*",
注文弁当の抽出!$F:$I,4,FALSE)&amp;
IF(COUNTIF(D90,"*おにぎり*"),"　おにぎり","")&amp;"　（ぺんぎん組）",
VLOOKUP(
"*"&amp;IF(COUNTIF(D90,"*キャラ弁*"),"キャラ",
IF(COUNTIF(D90,"*赤*"),"赤",SUBSTITUTE(SUBSTITUTE(D90," ",""),"　","")))&amp;"*",
注文弁当の抽出!$F:$I,4,FALSE)&amp;
IF(COUNTIF(D90,"*おにぎり*"),"　おにぎり","")),"")</f>
        <v>#N/A</v>
      </c>
      <c r="F90" t="str">
        <f>IFERROR(IF(E90&lt;&gt;"",
VLOOKUP(C90,クライアント抽出!$A:$G,2,FALSE)+
IF(COUNTIF(Y90,"*-*"),Y90,0),"")
-IFERROR(MID(V90, SEARCH("予備", V90) + LEN("予備"), SEARCH("込み", V90) - (SEARCH("予備", V90) + LEN("予備"))),0),"")</f>
        <v/>
      </c>
      <c r="G90" t="e">
        <f>VLOOKUP(C90,クライアント抽出!$A:$O,11,FALSE)</f>
        <v>#N/A</v>
      </c>
      <c r="H90" t="e">
        <f>IF(G90&lt;&gt;"",
VLOOKUP(
"*"&amp;IF(COUNTIF(G90,"*キャラ弁*"),"キャラ",
IF(COUNTIF(G90,"*赤*"),"赤",SUBSTITUTE(SUBSTITUTE(G90," ",""),"　","")))&amp;"*",
注文弁当の抽出!$F:$I,4,FALSE)&amp;
IF(COUNTIF(G90,"*おにぎり*"),"　おにぎり",""),"")</f>
        <v>#N/A</v>
      </c>
      <c r="I90" t="e">
        <f>IF(H90&lt;&gt;"",
VLOOKUP(C90,クライアント抽出!$A:$G,3,FALSE)+
IF(COUNTIF(C90,"*博多*"),Y90,Z90),"")</f>
        <v>#N/A</v>
      </c>
      <c r="J90" t="e">
        <f>VLOOKUP(C90,クライアント抽出!$A:$O,12,FALSE)</f>
        <v>#N/A</v>
      </c>
      <c r="K90" t="e">
        <f>IF(J90&lt;&gt;"",
VLOOKUP(
"*"&amp;IF(COUNTIF(J90,"*キャラ弁*"),"キャラ",
IF(COUNTIF(J90,"*赤*"),"赤",SUBSTITUTE(SUBSTITUTE(J90," ",""),"　","")))&amp;"*",
注文弁当の抽出!$F:$I,4,FALSE)&amp;
IF(COUNTIF(J90,"*おにぎり*"),"　おにぎり",""),"")</f>
        <v>#N/A</v>
      </c>
      <c r="L90" t="e">
        <f>IF(K90&lt;&gt;"",
VLOOKUP(C90,クライアント抽出!$A:$G,4,FALSE)+AA90,"")</f>
        <v>#N/A</v>
      </c>
      <c r="M90" t="e">
        <f>VLOOKUP(C90,クライアント抽出!$A:$O,13,FALSE)</f>
        <v>#N/A</v>
      </c>
      <c r="N90" t="e">
        <f>SUBSTITUTE(
IF(M90&lt;&gt;"",
VLOOKUP(
"*"&amp;IF(COUNTIF(M90,"*キャラ弁*"),"キャラ",
IF(COUNTIF(M90,"*赤*"),"赤",SUBSTITUTE(SUBSTITUTE(D90," ",""),"　","")))&amp;"*",
注文弁当の抽出!$F:$I,4,FALSE),""),"園児","先生")&amp;
IF(COUNTIF(M90,"*おにぎり*"),"　おにぎり","")</f>
        <v>#N/A</v>
      </c>
      <c r="O90" t="e">
        <f>IF(N90&lt;&gt;"",VLOOKUP(C90,クライアント抽出!$A:$G,5,FALSE),"")</f>
        <v>#N/A</v>
      </c>
      <c r="P90" t="e">
        <f>VLOOKUP(C90,クライアント抽出!$A:$O,14,FALSE)</f>
        <v>#N/A</v>
      </c>
      <c r="Q90" t="e">
        <f>SUBSTITUTE(
IF(P90&lt;&gt;"",
VLOOKUP(
"*"&amp;IF(COUNTIF(P90,"*キャラ弁*"),"キャラ",
IF(COUNTIF(P90,"*赤*"),"赤",SUBSTITUTE(SUBSTITUTE(G90," ",""),"　","")))&amp;"*",
注文弁当の抽出!$F:$I,4,FALSE),""),"園児","先生")&amp;
IF(COUNTIF(P90,"*おにぎり*"),"　おにぎり","")</f>
        <v>#N/A</v>
      </c>
      <c r="R90" t="e">
        <f>IF(Q90&lt;&gt;"",
VLOOKUP(C90,クライアント抽出!$A:$G,6,FALSE),"")</f>
        <v>#N/A</v>
      </c>
      <c r="S90" t="e">
        <f>VLOOKUP(C90,クライアント抽出!$A:$O,15,FALSE)</f>
        <v>#N/A</v>
      </c>
      <c r="T90" t="e">
        <f>SUBSTITUTE(
IF(S90&lt;&gt;"",
VLOOKUP(
"*"&amp;IF(COUNTIF(S90,"*キャラ弁*"),"キャラ",
IF(COUNTIF(S90,"*赤*"),"赤",SUBSTITUTE(SUBSTITUTE(J90," ",""),"　","")))&amp;"*",
注文弁当の抽出!$F:$I,4,FALSE),""),"園児","先生")&amp;
IF(COUNTIF(S90,"*おにぎり*"),"　おにぎり","")</f>
        <v>#N/A</v>
      </c>
      <c r="U90" t="e">
        <f>IF(T90&lt;&gt;"",
VLOOKUP(C90,クライアント抽出!$A:$G,7,FALSE),"")</f>
        <v>#N/A</v>
      </c>
      <c r="V90" t="e">
        <f>IF(A90&lt;&gt;"",
IF(COUNTIF(V89,"*牛乳*"),
IF(AND(COUNTIF(B89,"*奈良屋*"),COUNTIF(B90,"*奈良屋*")),
V89&amp;"✔",""),VLOOKUP(""&amp;A90&amp;"",数出表_Excel!$A:$Z,22,FALSE)&amp;VLOOKUP(""&amp;A90&amp;"",数出表_Excel!$A:$Z,23,FALSE)
&amp;VLOOKUP(""&amp;C90&amp;"",数出表_Excel!$A:$Z,22,FALSE)&amp;VLOOKUP(""&amp;C90&amp;"",数出表_Excel!$A:$Z,23,FALSE)),"")</f>
        <v>#N/A</v>
      </c>
      <c r="W90" t="e">
        <f>IF(AND(COUNTIF(V90,"&lt;&gt;*不要*"),A90&lt;&gt;""),VLOOKUP(A90,得意先マスタ!$A:$AD,24,FALSE),0)</f>
        <v>#N/A</v>
      </c>
      <c r="X90" t="e">
        <f>IF(AND(COUNTIF(V90,"&lt;&gt;*不要*"),A90&lt;&gt;""),VLOOKUP(A90,得意先マスタ!$A:$AD,25,FALSE),0)</f>
        <v>#N/A</v>
      </c>
      <c r="Y90" t="e">
        <f t="shared" si="20"/>
        <v>#N/A</v>
      </c>
      <c r="Z90" t="e">
        <f t="shared" si="21"/>
        <v>#N/A</v>
      </c>
      <c r="AA90" t="e">
        <f t="shared" si="25"/>
        <v>#N/A</v>
      </c>
      <c r="AB90" t="e">
        <f t="shared" si="22"/>
        <v>#N/A</v>
      </c>
      <c r="AC90" t="str">
        <f t="array" ref="AC90">IFERROR(INDEX(90:90, SMALL(IF($D90:$U90&lt;&gt;"", COLUMN($D$1:$U90)), COLUMN(A90))), "")</f>
        <v/>
      </c>
      <c r="AD90" t="str">
        <f t="array" ref="AD90">IFERROR(INDEX(90:90, SMALL(IF($D90:$U90&lt;&gt;"", COLUMN($D$1:$U90)), COLUMN(B90))), "")</f>
        <v/>
      </c>
      <c r="AE90" t="str">
        <f t="array" ref="AE90">IFERROR(INDEX(90:90, SMALL(IF($D90:$U90&lt;&gt;"", COLUMN($D$1:$U90)), COLUMN(C90))), "")</f>
        <v/>
      </c>
      <c r="AF90" t="str">
        <f t="array" ref="AF90">IFERROR(INDEX(90:90, SMALL(IF($D90:$U90&lt;&gt;"", COLUMN($D$1:$U90)), COLUMN(D90))), "")</f>
        <v/>
      </c>
      <c r="AG90" t="str">
        <f t="array" ref="AG90">IFERROR(INDEX(90:90, SMALL(IF($D90:$U90&lt;&gt;"", COLUMN($D$1:$U90)), COLUMN(E90))), "")</f>
        <v/>
      </c>
      <c r="AH90" t="str">
        <f t="array" ref="AH90">IFERROR(INDEX(90:90, SMALL(IF($D90:$U90&lt;&gt;"", COLUMN($D$1:$U90)), COLUMN(F90))), "")</f>
        <v/>
      </c>
      <c r="AI90" t="str">
        <f t="array" ref="AI90">IFERROR(INDEX(90:90, SMALL(IF($D90:$U90&lt;&gt;"", COLUMN($D$1:$U90)), COLUMN(G90))), "")</f>
        <v/>
      </c>
      <c r="AJ90" t="str">
        <f t="array" ref="AJ90">IFERROR(INDEX(90:90, SMALL(IF($D90:$U90&lt;&gt;"", COLUMN($D$1:$U90)), COLUMN(H90))), "")</f>
        <v/>
      </c>
      <c r="AK90" t="str">
        <f t="array" ref="AK90">IFERROR(INDEX(90:90, SMALL(IF($D90:$U90&lt;&gt;"", COLUMN($D$1:$U90)), COLUMN(I90))), "")</f>
        <v/>
      </c>
      <c r="AL90" t="str">
        <f t="array" ref="AL90">IFERROR(INDEX(90:90, SMALL(IF($D90:$U90&lt;&gt;"", COLUMN($D$1:$U90)), COLUMN(J90))), "")</f>
        <v/>
      </c>
      <c r="AM90" t="str">
        <f t="array" ref="AM90">IFERROR(INDEX(90:90, SMALL(IF($D90:$U90&lt;&gt;"", COLUMN($D$1:$U90)), COLUMN(K90))), "")</f>
        <v/>
      </c>
      <c r="AN90" t="str">
        <f t="array" ref="AN90">IFERROR(INDEX(90:90, SMALL(IF($D90:$U90&lt;&gt;"", COLUMN($D$1:$U90)), COLUMN(L90))), "")</f>
        <v/>
      </c>
      <c r="AO90" t="str">
        <f t="array" ref="AO90">IFERROR(INDEX(90:90, SMALL(IF($D90:$U90&lt;&gt;"", COLUMN($D$1:$U90)), COLUMN(M90))), "")</f>
        <v/>
      </c>
      <c r="AP90" t="str">
        <f t="array" ref="AP90">IFERROR(INDEX(90:90, SMALL(IF($D90:$U90&lt;&gt;"", COLUMN($D$1:$U90)), COLUMN(N90))), "")</f>
        <v/>
      </c>
      <c r="AQ90" t="str">
        <f t="array" ref="AQ90">IFERROR(INDEX(90:90, SMALL(IF($D90:$U90&lt;&gt;"", COLUMN($D$1:$U90)), COLUMN(O90))), "")</f>
        <v/>
      </c>
      <c r="AR90" s="52" t="s">
        <v>4005</v>
      </c>
      <c r="AS90" t="e">
        <f t="shared" si="23"/>
        <v>#N/A</v>
      </c>
      <c r="AT90" t="e">
        <f t="shared" si="24"/>
        <v>#N/A</v>
      </c>
      <c r="AU90" t="e">
        <f t="shared" si="26"/>
        <v>#N/A</v>
      </c>
      <c r="AV90" t="e">
        <f t="shared" si="27"/>
        <v>#N/A</v>
      </c>
      <c r="AW90" t="e">
        <f t="shared" si="28"/>
        <v>#N/A</v>
      </c>
      <c r="AX90" t="e">
        <f t="shared" si="29"/>
        <v>#N/A</v>
      </c>
      <c r="AZ90" t="str">
        <f t="array" ref="AZ90">IFERROR(INDEX(90:90, SMALL(IF($AC90:$AX90&lt;&gt;"", COLUMN($AC$1:$AX90)), COLUMN(A90))), "")</f>
        <v/>
      </c>
      <c r="BA90" t="str">
        <f t="array" ref="BA90">IFERROR(INDEX(90:90, SMALL(IF($AC90:$AX90&lt;&gt;"", COLUMN($AC$1:$AX90)), COLUMN(B90))), "")</f>
        <v/>
      </c>
      <c r="BB90" t="str">
        <f t="array" ref="BB90">IFERROR(INDEX(90:90, SMALL(IF($AC90:$AX90&lt;&gt;"", COLUMN($AC$1:$AX90)), COLUMN(C90))), "")</f>
        <v/>
      </c>
      <c r="BC90" t="str">
        <f t="array" ref="BC90">IFERROR(INDEX(90:90, SMALL(IF($AC90:$AX90&lt;&gt;"", COLUMN($AC$1:$AX90)), COLUMN(D90))), "")</f>
        <v/>
      </c>
      <c r="BD90" t="str">
        <f t="array" ref="BD90">IFERROR(INDEX(90:90, SMALL(IF($AC90:$AX90&lt;&gt;"", COLUMN($AC$1:$AX90)), COLUMN(E90))), "")</f>
        <v/>
      </c>
      <c r="BE90" t="str">
        <f t="array" ref="BE90">IFERROR(INDEX(90:90, SMALL(IF($AC90:$AX90&lt;&gt;"", COLUMN($AC$1:$AX90)), COLUMN(F90))), "")</f>
        <v/>
      </c>
      <c r="BF90" t="str">
        <f t="array" ref="BF90">IFERROR(IF(AND(COUNTIF($B90,"*泉ヶ丘*"),COUNTIF($B91,"*泉ヶ丘*")),
IFERROR(INDEX(91:91, SMALL(IF($AC91:$AX91&lt;&gt;"", COLUMN($AC$1:$AX91)), COLUMN(A91))), ""),
INDEX(90:90, SMALL(IF($AC90:$AX90&lt;&gt;"", COLUMN($AC$1:$AX90)), COLUMN(G90)))), "")</f>
        <v/>
      </c>
      <c r="BG90" t="str">
        <f t="array" ref="BG90">IFERROR(IF(AND(COUNTIF($B90,"*泉ヶ丘*"),COUNTIF($B91,"*泉ヶ丘*")),
IFERROR(INDEX(91:91, SMALL(IF($AC91:$AX91&lt;&gt;"", COLUMN($AC$1:$AX91)), COLUMN(B91))), ""),
INDEX(90:90, SMALL(IF($AC90:$AX90&lt;&gt;"", COLUMN($AC$1:$AX90)), COLUMN(H90)))), "")</f>
        <v/>
      </c>
      <c r="BH90" t="str">
        <f t="array" ref="BH90">IFERROR(IF(AND(COUNTIF($B90,"*泉ヶ丘*"),COUNTIF($B91,"*泉ヶ丘*")),
IFERROR(INDEX(91:91, SMALL(IF($AC91:$AX91&lt;&gt;"", COLUMN($AC$1:$AX91)), COLUMN(C91))), ""),
INDEX(90:90, SMALL(IF($AC90:$AX90&lt;&gt;"", COLUMN($AC$1:$AX90)), COLUMN(I90)))), "")</f>
        <v/>
      </c>
      <c r="BI90" t="str">
        <f t="array" ref="BI90">IFERROR(IF(AND(COUNTIF($B90,"*泉ヶ丘*"),COUNTIF($B91,"*泉ヶ丘*")),
IFERROR(INDEX(91:91, SMALL(IF($AC91:$AX91&lt;&gt;"", COLUMN($AC$1:$AX91)), COLUMN(D91))), ""),
INDEX(90:90, SMALL(IF($AC90:$AX90&lt;&gt;"", COLUMN($AC$1:$AX90)), COLUMN(J90)))), "")</f>
        <v/>
      </c>
      <c r="BJ90" t="str">
        <f t="array" ref="BJ90">IFERROR(IF(AND(COUNTIF($B90,"*泉ヶ丘*"),COUNTIF($B91,"*泉ヶ丘*")),
IFERROR(INDEX(91:91, SMALL(IF($AC91:$AX91&lt;&gt;"", COLUMN($AC$1:$AX91)), COLUMN(E91))), ""),
INDEX(90:90, SMALL(IF($AC90:$AX90&lt;&gt;"", COLUMN($AC$1:$AX90)), COLUMN(K90)))), "")</f>
        <v/>
      </c>
      <c r="BK90" t="str">
        <f t="array" ref="BK90">IFERROR(IF(AND(COUNTIF($B90,"*泉ヶ丘*"),COUNTIF($B91,"*泉ヶ丘*")),
IFERROR(INDEX(91:91, SMALL(IF($AC91:$AX91&lt;&gt;"", COLUMN($AC$1:$AX91)), COLUMN(F91))), ""),
INDEX(90:90, SMALL(IF($AC90:$AX90&lt;&gt;"", COLUMN($AC$1:$AX90)), COLUMN(L90)))), "")</f>
        <v/>
      </c>
      <c r="BL90" t="str">
        <f t="array" ref="BL90">IFERROR(IF(AND(COUNTIF($B90,"*泉ヶ丘*"),COUNTIF($B91,"*泉ヶ丘*")),
IFERROR(INDEX(91:91, SMALL(IF($AC91:$AX91&lt;&gt;"", COLUMN($AC$1:$AX91)), COLUMN(G91))), ""),
INDEX(90:90, SMALL(IF($AC90:$AX90&lt;&gt;"", COLUMN($AC$1:$AX90)), COLUMN(M90)))), "")</f>
        <v/>
      </c>
      <c r="BM90" t="str">
        <f t="array" ref="BM90">IFERROR(IF(AND(COUNTIF($B90,"*泉ヶ丘*"),COUNTIF($B91,"*泉ヶ丘*")),
IFERROR(INDEX(91:91, SMALL(IF($AC91:$AX91&lt;&gt;"", COLUMN($AC$1:$AX91)), COLUMN(H91))), ""),
INDEX(90:90, SMALL(IF($AC90:$AX90&lt;&gt;"", COLUMN($AC$1:$AX90)), COLUMN(N90)))), "")</f>
        <v/>
      </c>
      <c r="BN90" t="str">
        <f t="array" ref="BN90">IFERROR(IF(AND(COUNTIF($B90,"*泉ヶ丘*"),COUNTIF($B91,"*泉ヶ丘*")),
IFERROR(INDEX(91:91, SMALL(IF($AC91:$AX91&lt;&gt;"", COLUMN($AC$1:$AX91)), COLUMN(I91))), ""),
INDEX(90:90, SMALL(IF($AC90:$AX90&lt;&gt;"", COLUMN($AC$1:$AX90)), COLUMN(O90)))), "")</f>
        <v/>
      </c>
      <c r="BO90" t="str">
        <f t="array" ref="BO90">IFERROR(IF(AND(COUNTIF($B90,"*泉ヶ丘*"),COUNTIF($B91,"*泉ヶ丘*")),
IFERROR(INDEX(91:91, SMALL(IF($AC91:$AX91&lt;&gt;"", COLUMN($AC$1:$AX91)), COLUMN(J91))), ""),
INDEX(90:90, SMALL(IF($AC90:$AX90&lt;&gt;"", COLUMN($AC$1:$AX90)), COLUMN(P90)))), "")</f>
        <v/>
      </c>
      <c r="BP90" t="str">
        <f t="array" ref="BP90">IFERROR(IF(AND(COUNTIF($B90,"*泉ヶ丘*"),COUNTIF($B91,"*泉ヶ丘*")),
IFERROR(INDEX(91:91, SMALL(IF($AC91:$AX91&lt;&gt;"", COLUMN($AC$1:$AX91)), COLUMN(K91))), ""),
INDEX(90:90, SMALL(IF($AC90:$AX90&lt;&gt;"", COLUMN($AC$1:$AX90)), COLUMN(Q90)))), "")</f>
        <v/>
      </c>
      <c r="BQ90" t="str">
        <f t="array" ref="BQ90">IFERROR(IF(AND(COUNTIF($B90,"*泉ヶ丘*"),COUNTIF($B91,"*泉ヶ丘*")),
IFERROR(INDEX(91:91, SMALL(IF($AC91:$AX91&lt;&gt;"", COLUMN($AC$1:$AX91)), COLUMN(L91))), ""),
INDEX(90:90, SMALL(IF($AC90:$AX90&lt;&gt;"", COLUMN($AC$1:$AX90)), COLUMN(R90)))), "")</f>
        <v/>
      </c>
    </row>
    <row r="91" spans="1:69" x14ac:dyDescent="0.45">
      <c r="A91" t="e">
        <f t="array" ref="A91">IF(INDEX(貼り付け用!A:A,MATCH(A90,貼り付け用!A:A,0)+2)="4700",
IF(INDEX(貼り付け用!A:A,MATCH(A90,貼り付け用!A:A,0)+4)="4800",
INDEX(貼り付け用!A:A,MATCH(A90,貼り付け用!A:A,0)+6),
INDEX(貼り付け用!A:A,MATCH(A90,貼り付け用!A:A,0)+4)),INDEX(貼り付け用!A:A,MATCH(A90,貼り付け用!A:A,0)+2))</f>
        <v>#N/A</v>
      </c>
      <c r="B91" t="e">
        <f>IF(A91&lt;&gt;"",
VLOOKUP(A91,得意先マスタ!A:D,2,FALSE),"")</f>
        <v>#N/A</v>
      </c>
      <c r="C91" t="e">
        <f t="array" ref="C91">IF(A91="10000","",INDEX(貼り付け用!A:A,MATCH(A91,貼り付け用!A:A,0)+1))</f>
        <v>#N/A</v>
      </c>
      <c r="D91" t="e">
        <f>VLOOKUP(C91,クライアント抽出!$A:$O,10,FALSE)</f>
        <v>#N/A</v>
      </c>
      <c r="E91" t="e">
        <f>IF(D91&lt;&gt;"",
IF(COUNTIF(C91,"*ぺんぎん*"),
VLOOKUP(
"*"&amp;IF(COUNTIF(D91,"*キャラ弁*"),"キャラ",
IF(COUNTIF(D91,"*赤*"),"赤",SUBSTITUTE(SUBSTITUTE(D91," ",""),"　","")))&amp;"*",
注文弁当の抽出!$F:$I,4,FALSE)&amp;
IF(COUNTIF(D91,"*おにぎり*"),"　おにぎり","")&amp;"　（ぺんぎん組）",
VLOOKUP(
"*"&amp;IF(COUNTIF(D91,"*キャラ弁*"),"キャラ",
IF(COUNTIF(D91,"*赤*"),"赤",SUBSTITUTE(SUBSTITUTE(D91," ",""),"　","")))&amp;"*",
注文弁当の抽出!$F:$I,4,FALSE)&amp;
IF(COUNTIF(D91,"*おにぎり*"),"　おにぎり","")),"")</f>
        <v>#N/A</v>
      </c>
      <c r="F91" t="str">
        <f>IFERROR(IF(E91&lt;&gt;"",
VLOOKUP(C91,クライアント抽出!$A:$G,2,FALSE)+
IF(COUNTIF(Y91,"*-*"),Y91,0),"")
-IFERROR(MID(V91, SEARCH("予備", V91) + LEN("予備"), SEARCH("込み", V91) - (SEARCH("予備", V91) + LEN("予備"))),0),"")</f>
        <v/>
      </c>
      <c r="G91" t="e">
        <f>VLOOKUP(C91,クライアント抽出!$A:$O,11,FALSE)</f>
        <v>#N/A</v>
      </c>
      <c r="H91" t="e">
        <f>IF(G91&lt;&gt;"",
VLOOKUP(
"*"&amp;IF(COUNTIF(G91,"*キャラ弁*"),"キャラ",
IF(COUNTIF(G91,"*赤*"),"赤",SUBSTITUTE(SUBSTITUTE(G91," ",""),"　","")))&amp;"*",
注文弁当の抽出!$F:$I,4,FALSE)&amp;
IF(COUNTIF(G91,"*おにぎり*"),"　おにぎり",""),"")</f>
        <v>#N/A</v>
      </c>
      <c r="I91" t="e">
        <f>IF(H91&lt;&gt;"",
VLOOKUP(C91,クライアント抽出!$A:$G,3,FALSE)+
IF(COUNTIF(C91,"*博多*"),Y91,Z91),"")</f>
        <v>#N/A</v>
      </c>
      <c r="J91" t="e">
        <f>VLOOKUP(C91,クライアント抽出!$A:$O,12,FALSE)</f>
        <v>#N/A</v>
      </c>
      <c r="K91" t="e">
        <f>IF(J91&lt;&gt;"",
VLOOKUP(
"*"&amp;IF(COUNTIF(J91,"*キャラ弁*"),"キャラ",
IF(COUNTIF(J91,"*赤*"),"赤",SUBSTITUTE(SUBSTITUTE(J91," ",""),"　","")))&amp;"*",
注文弁当の抽出!$F:$I,4,FALSE)&amp;
IF(COUNTIF(J91,"*おにぎり*"),"　おにぎり",""),"")</f>
        <v>#N/A</v>
      </c>
      <c r="L91" t="e">
        <f>IF(K91&lt;&gt;"",
VLOOKUP(C91,クライアント抽出!$A:$G,4,FALSE)+AA91,"")</f>
        <v>#N/A</v>
      </c>
      <c r="M91" t="e">
        <f>VLOOKUP(C91,クライアント抽出!$A:$O,13,FALSE)</f>
        <v>#N/A</v>
      </c>
      <c r="N91" t="e">
        <f>SUBSTITUTE(
IF(M91&lt;&gt;"",
VLOOKUP(
"*"&amp;IF(COUNTIF(M91,"*キャラ弁*"),"キャラ",
IF(COUNTIF(M91,"*赤*"),"赤",SUBSTITUTE(SUBSTITUTE(D91," ",""),"　","")))&amp;"*",
注文弁当の抽出!$F:$I,4,FALSE),""),"園児","先生")&amp;
IF(COUNTIF(M91,"*おにぎり*"),"　おにぎり","")</f>
        <v>#N/A</v>
      </c>
      <c r="O91" t="e">
        <f>IF(N91&lt;&gt;"",VLOOKUP(C91,クライアント抽出!$A:$G,5,FALSE),"")</f>
        <v>#N/A</v>
      </c>
      <c r="P91" t="e">
        <f>VLOOKUP(C91,クライアント抽出!$A:$O,14,FALSE)</f>
        <v>#N/A</v>
      </c>
      <c r="Q91" t="e">
        <f>SUBSTITUTE(
IF(P91&lt;&gt;"",
VLOOKUP(
"*"&amp;IF(COUNTIF(P91,"*キャラ弁*"),"キャラ",
IF(COUNTIF(P91,"*赤*"),"赤",SUBSTITUTE(SUBSTITUTE(G91," ",""),"　","")))&amp;"*",
注文弁当の抽出!$F:$I,4,FALSE),""),"園児","先生")&amp;
IF(COUNTIF(P91,"*おにぎり*"),"　おにぎり","")</f>
        <v>#N/A</v>
      </c>
      <c r="R91" t="e">
        <f>IF(Q91&lt;&gt;"",
VLOOKUP(C91,クライアント抽出!$A:$G,6,FALSE),"")</f>
        <v>#N/A</v>
      </c>
      <c r="S91" t="e">
        <f>VLOOKUP(C91,クライアント抽出!$A:$O,15,FALSE)</f>
        <v>#N/A</v>
      </c>
      <c r="T91" t="e">
        <f>SUBSTITUTE(
IF(S91&lt;&gt;"",
VLOOKUP(
"*"&amp;IF(COUNTIF(S91,"*キャラ弁*"),"キャラ",
IF(COUNTIF(S91,"*赤*"),"赤",SUBSTITUTE(SUBSTITUTE(J91," ",""),"　","")))&amp;"*",
注文弁当の抽出!$F:$I,4,FALSE),""),"園児","先生")&amp;
IF(COUNTIF(S91,"*おにぎり*"),"　おにぎり","")</f>
        <v>#N/A</v>
      </c>
      <c r="U91" t="e">
        <f>IF(T91&lt;&gt;"",
VLOOKUP(C91,クライアント抽出!$A:$G,7,FALSE),"")</f>
        <v>#N/A</v>
      </c>
      <c r="V91" t="e">
        <f>IF(A91&lt;&gt;"",
IF(COUNTIF(V90,"*牛乳*"),
IF(AND(COUNTIF(B90,"*奈良屋*"),COUNTIF(B91,"*奈良屋*")),
V90&amp;"✔",""),VLOOKUP(""&amp;A91&amp;"",数出表_Excel!$A:$Z,22,FALSE)&amp;VLOOKUP(""&amp;A91&amp;"",数出表_Excel!$A:$Z,23,FALSE)
&amp;VLOOKUP(""&amp;C91&amp;"",数出表_Excel!$A:$Z,22,FALSE)&amp;VLOOKUP(""&amp;C91&amp;"",数出表_Excel!$A:$Z,23,FALSE)),"")</f>
        <v>#N/A</v>
      </c>
      <c r="W91" t="e">
        <f>IF(AND(COUNTIF(V91,"&lt;&gt;*不要*"),A91&lt;&gt;""),VLOOKUP(A91,得意先マスタ!$A:$AD,24,FALSE),0)</f>
        <v>#N/A</v>
      </c>
      <c r="X91" t="e">
        <f>IF(AND(COUNTIF(V91,"&lt;&gt;*不要*"),A91&lt;&gt;""),VLOOKUP(A91,得意先マスタ!$A:$AD,25,FALSE),0)</f>
        <v>#N/A</v>
      </c>
      <c r="Y91" t="e">
        <f t="shared" si="20"/>
        <v>#N/A</v>
      </c>
      <c r="Z91" t="e">
        <f t="shared" si="21"/>
        <v>#N/A</v>
      </c>
      <c r="AA91" t="e">
        <f t="shared" si="25"/>
        <v>#N/A</v>
      </c>
      <c r="AB91" t="e">
        <f t="shared" si="22"/>
        <v>#N/A</v>
      </c>
      <c r="AC91" t="str">
        <f t="array" ref="AC91">IFERROR(INDEX(91:91, SMALL(IF($D91:$U91&lt;&gt;"", COLUMN($D$1:$U91)), COLUMN(A91))), "")</f>
        <v/>
      </c>
      <c r="AD91" t="str">
        <f t="array" ref="AD91">IFERROR(INDEX(91:91, SMALL(IF($D91:$U91&lt;&gt;"", COLUMN($D$1:$U91)), COLUMN(B91))), "")</f>
        <v/>
      </c>
      <c r="AE91" t="str">
        <f t="array" ref="AE91">IFERROR(INDEX(91:91, SMALL(IF($D91:$U91&lt;&gt;"", COLUMN($D$1:$U91)), COLUMN(C91))), "")</f>
        <v/>
      </c>
      <c r="AF91" t="str">
        <f t="array" ref="AF91">IFERROR(INDEX(91:91, SMALL(IF($D91:$U91&lt;&gt;"", COLUMN($D$1:$U91)), COLUMN(D91))), "")</f>
        <v/>
      </c>
      <c r="AG91" t="str">
        <f t="array" ref="AG91">IFERROR(INDEX(91:91, SMALL(IF($D91:$U91&lt;&gt;"", COLUMN($D$1:$U91)), COLUMN(E91))), "")</f>
        <v/>
      </c>
      <c r="AH91" t="str">
        <f t="array" ref="AH91">IFERROR(INDEX(91:91, SMALL(IF($D91:$U91&lt;&gt;"", COLUMN($D$1:$U91)), COLUMN(F91))), "")</f>
        <v/>
      </c>
      <c r="AI91" t="str">
        <f t="array" ref="AI91">IFERROR(INDEX(91:91, SMALL(IF($D91:$U91&lt;&gt;"", COLUMN($D$1:$U91)), COLUMN(G91))), "")</f>
        <v/>
      </c>
      <c r="AJ91" t="str">
        <f t="array" ref="AJ91">IFERROR(INDEX(91:91, SMALL(IF($D91:$U91&lt;&gt;"", COLUMN($D$1:$U91)), COLUMN(H91))), "")</f>
        <v/>
      </c>
      <c r="AK91" t="str">
        <f t="array" ref="AK91">IFERROR(INDEX(91:91, SMALL(IF($D91:$U91&lt;&gt;"", COLUMN($D$1:$U91)), COLUMN(I91))), "")</f>
        <v/>
      </c>
      <c r="AL91" t="str">
        <f t="array" ref="AL91">IFERROR(INDEX(91:91, SMALL(IF($D91:$U91&lt;&gt;"", COLUMN($D$1:$U91)), COLUMN(J91))), "")</f>
        <v/>
      </c>
      <c r="AM91" t="str">
        <f t="array" ref="AM91">IFERROR(INDEX(91:91, SMALL(IF($D91:$U91&lt;&gt;"", COLUMN($D$1:$U91)), COLUMN(K91))), "")</f>
        <v/>
      </c>
      <c r="AN91" t="str">
        <f t="array" ref="AN91">IFERROR(INDEX(91:91, SMALL(IF($D91:$U91&lt;&gt;"", COLUMN($D$1:$U91)), COLUMN(L91))), "")</f>
        <v/>
      </c>
      <c r="AO91" t="str">
        <f t="array" ref="AO91">IFERROR(INDEX(91:91, SMALL(IF($D91:$U91&lt;&gt;"", COLUMN($D$1:$U91)), COLUMN(M91))), "")</f>
        <v/>
      </c>
      <c r="AP91" t="str">
        <f t="array" ref="AP91">IFERROR(INDEX(91:91, SMALL(IF($D91:$U91&lt;&gt;"", COLUMN($D$1:$U91)), COLUMN(N91))), "")</f>
        <v/>
      </c>
      <c r="AQ91" t="str">
        <f t="array" ref="AQ91">IFERROR(INDEX(91:91, SMALL(IF($D91:$U91&lt;&gt;"", COLUMN($D$1:$U91)), COLUMN(O91))), "")</f>
        <v/>
      </c>
      <c r="AR91" s="52" t="s">
        <v>4005</v>
      </c>
      <c r="AS91" t="e">
        <f t="shared" si="23"/>
        <v>#N/A</v>
      </c>
      <c r="AT91" t="e">
        <f t="shared" si="24"/>
        <v>#N/A</v>
      </c>
      <c r="AU91" t="e">
        <f t="shared" si="26"/>
        <v>#N/A</v>
      </c>
      <c r="AV91" t="e">
        <f t="shared" si="27"/>
        <v>#N/A</v>
      </c>
      <c r="AW91" t="e">
        <f t="shared" si="28"/>
        <v>#N/A</v>
      </c>
      <c r="AX91" t="e">
        <f t="shared" si="29"/>
        <v>#N/A</v>
      </c>
      <c r="AZ91" t="str">
        <f t="array" ref="AZ91">IFERROR(INDEX(91:91, SMALL(IF($AC91:$AX91&lt;&gt;"", COLUMN($AC$1:$AX91)), COLUMN(A91))), "")</f>
        <v/>
      </c>
      <c r="BA91" t="str">
        <f t="array" ref="BA91">IFERROR(INDEX(91:91, SMALL(IF($AC91:$AX91&lt;&gt;"", COLUMN($AC$1:$AX91)), COLUMN(B91))), "")</f>
        <v/>
      </c>
      <c r="BB91" t="str">
        <f t="array" ref="BB91">IFERROR(INDEX(91:91, SMALL(IF($AC91:$AX91&lt;&gt;"", COLUMN($AC$1:$AX91)), COLUMN(C91))), "")</f>
        <v/>
      </c>
      <c r="BC91" t="str">
        <f t="array" ref="BC91">IFERROR(INDEX(91:91, SMALL(IF($AC91:$AX91&lt;&gt;"", COLUMN($AC$1:$AX91)), COLUMN(D91))), "")</f>
        <v/>
      </c>
      <c r="BD91" t="str">
        <f t="array" ref="BD91">IFERROR(INDEX(91:91, SMALL(IF($AC91:$AX91&lt;&gt;"", COLUMN($AC$1:$AX91)), COLUMN(E91))), "")</f>
        <v/>
      </c>
      <c r="BE91" t="str">
        <f t="array" ref="BE91">IFERROR(INDEX(91:91, SMALL(IF($AC91:$AX91&lt;&gt;"", COLUMN($AC$1:$AX91)), COLUMN(F91))), "")</f>
        <v/>
      </c>
      <c r="BF91" t="str">
        <f t="array" ref="BF91">IFERROR(IF(AND(COUNTIF($B91,"*泉ヶ丘*"),COUNTIF($B92,"*泉ヶ丘*")),
IFERROR(INDEX(92:92, SMALL(IF($AC92:$AX92&lt;&gt;"", COLUMN($AC$1:$AX92)), COLUMN(A92))), ""),
INDEX(91:91, SMALL(IF($AC91:$AX91&lt;&gt;"", COLUMN($AC$1:$AX91)), COLUMN(G91)))), "")</f>
        <v/>
      </c>
      <c r="BG91" t="str">
        <f t="array" ref="BG91">IFERROR(IF(AND(COUNTIF($B91,"*泉ヶ丘*"),COUNTIF($B92,"*泉ヶ丘*")),
IFERROR(INDEX(92:92, SMALL(IF($AC92:$AX92&lt;&gt;"", COLUMN($AC$1:$AX92)), COLUMN(B92))), ""),
INDEX(91:91, SMALL(IF($AC91:$AX91&lt;&gt;"", COLUMN($AC$1:$AX91)), COLUMN(H91)))), "")</f>
        <v/>
      </c>
      <c r="BH91" t="str">
        <f t="array" ref="BH91">IFERROR(IF(AND(COUNTIF($B91,"*泉ヶ丘*"),COUNTIF($B92,"*泉ヶ丘*")),
IFERROR(INDEX(92:92, SMALL(IF($AC92:$AX92&lt;&gt;"", COLUMN($AC$1:$AX92)), COLUMN(C92))), ""),
INDEX(91:91, SMALL(IF($AC91:$AX91&lt;&gt;"", COLUMN($AC$1:$AX91)), COLUMN(I91)))), "")</f>
        <v/>
      </c>
      <c r="BI91" t="str">
        <f t="array" ref="BI91">IFERROR(IF(AND(COUNTIF($B91,"*泉ヶ丘*"),COUNTIF($B92,"*泉ヶ丘*")),
IFERROR(INDEX(92:92, SMALL(IF($AC92:$AX92&lt;&gt;"", COLUMN($AC$1:$AX92)), COLUMN(D92))), ""),
INDEX(91:91, SMALL(IF($AC91:$AX91&lt;&gt;"", COLUMN($AC$1:$AX91)), COLUMN(J91)))), "")</f>
        <v/>
      </c>
      <c r="BJ91" t="str">
        <f t="array" ref="BJ91">IFERROR(IF(AND(COUNTIF($B91,"*泉ヶ丘*"),COUNTIF($B92,"*泉ヶ丘*")),
IFERROR(INDEX(92:92, SMALL(IF($AC92:$AX92&lt;&gt;"", COLUMN($AC$1:$AX92)), COLUMN(E92))), ""),
INDEX(91:91, SMALL(IF($AC91:$AX91&lt;&gt;"", COLUMN($AC$1:$AX91)), COLUMN(K91)))), "")</f>
        <v/>
      </c>
      <c r="BK91" t="str">
        <f t="array" ref="BK91">IFERROR(IF(AND(COUNTIF($B91,"*泉ヶ丘*"),COUNTIF($B92,"*泉ヶ丘*")),
IFERROR(INDEX(92:92, SMALL(IF($AC92:$AX92&lt;&gt;"", COLUMN($AC$1:$AX92)), COLUMN(F92))), ""),
INDEX(91:91, SMALL(IF($AC91:$AX91&lt;&gt;"", COLUMN($AC$1:$AX91)), COLUMN(L91)))), "")</f>
        <v/>
      </c>
      <c r="BL91" t="str">
        <f t="array" ref="BL91">IFERROR(IF(AND(COUNTIF($B91,"*泉ヶ丘*"),COUNTIF($B92,"*泉ヶ丘*")),
IFERROR(INDEX(92:92, SMALL(IF($AC92:$AX92&lt;&gt;"", COLUMN($AC$1:$AX92)), COLUMN(G92))), ""),
INDEX(91:91, SMALL(IF($AC91:$AX91&lt;&gt;"", COLUMN($AC$1:$AX91)), COLUMN(M91)))), "")</f>
        <v/>
      </c>
      <c r="BM91" t="str">
        <f t="array" ref="BM91">IFERROR(IF(AND(COUNTIF($B91,"*泉ヶ丘*"),COUNTIF($B92,"*泉ヶ丘*")),
IFERROR(INDEX(92:92, SMALL(IF($AC92:$AX92&lt;&gt;"", COLUMN($AC$1:$AX92)), COLUMN(H92))), ""),
INDEX(91:91, SMALL(IF($AC91:$AX91&lt;&gt;"", COLUMN($AC$1:$AX91)), COLUMN(N91)))), "")</f>
        <v/>
      </c>
      <c r="BN91" t="str">
        <f t="array" ref="BN91">IFERROR(IF(AND(COUNTIF($B91,"*泉ヶ丘*"),COUNTIF($B92,"*泉ヶ丘*")),
IFERROR(INDEX(92:92, SMALL(IF($AC92:$AX92&lt;&gt;"", COLUMN($AC$1:$AX92)), COLUMN(I92))), ""),
INDEX(91:91, SMALL(IF($AC91:$AX91&lt;&gt;"", COLUMN($AC$1:$AX91)), COLUMN(O91)))), "")</f>
        <v/>
      </c>
      <c r="BO91" t="str">
        <f t="array" ref="BO91">IFERROR(IF(AND(COUNTIF($B91,"*泉ヶ丘*"),COUNTIF($B92,"*泉ヶ丘*")),
IFERROR(INDEX(92:92, SMALL(IF($AC92:$AX92&lt;&gt;"", COLUMN($AC$1:$AX92)), COLUMN(J92))), ""),
INDEX(91:91, SMALL(IF($AC91:$AX91&lt;&gt;"", COLUMN($AC$1:$AX91)), COLUMN(P91)))), "")</f>
        <v/>
      </c>
      <c r="BP91" t="str">
        <f t="array" ref="BP91">IFERROR(IF(AND(COUNTIF($B91,"*泉ヶ丘*"),COUNTIF($B92,"*泉ヶ丘*")),
IFERROR(INDEX(92:92, SMALL(IF($AC92:$AX92&lt;&gt;"", COLUMN($AC$1:$AX92)), COLUMN(K92))), ""),
INDEX(91:91, SMALL(IF($AC91:$AX91&lt;&gt;"", COLUMN($AC$1:$AX91)), COLUMN(Q91)))), "")</f>
        <v/>
      </c>
      <c r="BQ91" t="str">
        <f t="array" ref="BQ91">IFERROR(IF(AND(COUNTIF($B91,"*泉ヶ丘*"),COUNTIF($B92,"*泉ヶ丘*")),
IFERROR(INDEX(92:92, SMALL(IF($AC92:$AX92&lt;&gt;"", COLUMN($AC$1:$AX92)), COLUMN(L92))), ""),
INDEX(91:91, SMALL(IF($AC91:$AX91&lt;&gt;"", COLUMN($AC$1:$AX91)), COLUMN(R91)))), "")</f>
        <v/>
      </c>
    </row>
    <row r="92" spans="1:69" x14ac:dyDescent="0.45">
      <c r="A92" t="e">
        <f t="array" ref="A92">IF(INDEX(貼り付け用!A:A,MATCH(A91,貼り付け用!A:A,0)+2)="4700",
IF(INDEX(貼り付け用!A:A,MATCH(A91,貼り付け用!A:A,0)+4)="4800",
INDEX(貼り付け用!A:A,MATCH(A91,貼り付け用!A:A,0)+6),
INDEX(貼り付け用!A:A,MATCH(A91,貼り付け用!A:A,0)+4)),INDEX(貼り付け用!A:A,MATCH(A91,貼り付け用!A:A,0)+2))</f>
        <v>#N/A</v>
      </c>
      <c r="B92" t="e">
        <f>IF(A92&lt;&gt;"",
VLOOKUP(A92,得意先マスタ!A:D,2,FALSE),"")</f>
        <v>#N/A</v>
      </c>
      <c r="C92" t="e">
        <f t="array" ref="C92">IF(A92="10000","",INDEX(貼り付け用!A:A,MATCH(A92,貼り付け用!A:A,0)+1))</f>
        <v>#N/A</v>
      </c>
      <c r="D92" t="e">
        <f>VLOOKUP(C92,クライアント抽出!$A:$O,10,FALSE)</f>
        <v>#N/A</v>
      </c>
      <c r="E92" t="e">
        <f>IF(D92&lt;&gt;"",
IF(COUNTIF(C92,"*ぺんぎん*"),
VLOOKUP(
"*"&amp;IF(COUNTIF(D92,"*キャラ弁*"),"キャラ",
IF(COUNTIF(D92,"*赤*"),"赤",SUBSTITUTE(SUBSTITUTE(D92," ",""),"　","")))&amp;"*",
注文弁当の抽出!$F:$I,4,FALSE)&amp;
IF(COUNTIF(D92,"*おにぎり*"),"　おにぎり","")&amp;"　（ぺんぎん組）",
VLOOKUP(
"*"&amp;IF(COUNTIF(D92,"*キャラ弁*"),"キャラ",
IF(COUNTIF(D92,"*赤*"),"赤",SUBSTITUTE(SUBSTITUTE(D92," ",""),"　","")))&amp;"*",
注文弁当の抽出!$F:$I,4,FALSE)&amp;
IF(COUNTIF(D92,"*おにぎり*"),"　おにぎり","")),"")</f>
        <v>#N/A</v>
      </c>
      <c r="F92" t="str">
        <f>IFERROR(IF(E92&lt;&gt;"",
VLOOKUP(C92,クライアント抽出!$A:$G,2,FALSE)+
IF(COUNTIF(Y92,"*-*"),Y92,0),"")
-IFERROR(MID(V92, SEARCH("予備", V92) + LEN("予備"), SEARCH("込み", V92) - (SEARCH("予備", V92) + LEN("予備"))),0),"")</f>
        <v/>
      </c>
      <c r="G92" t="e">
        <f>VLOOKUP(C92,クライアント抽出!$A:$O,11,FALSE)</f>
        <v>#N/A</v>
      </c>
      <c r="H92" t="e">
        <f>IF(G92&lt;&gt;"",
VLOOKUP(
"*"&amp;IF(COUNTIF(G92,"*キャラ弁*"),"キャラ",
IF(COUNTIF(G92,"*赤*"),"赤",SUBSTITUTE(SUBSTITUTE(G92," ",""),"　","")))&amp;"*",
注文弁当の抽出!$F:$I,4,FALSE)&amp;
IF(COUNTIF(G92,"*おにぎり*"),"　おにぎり",""),"")</f>
        <v>#N/A</v>
      </c>
      <c r="I92" t="e">
        <f>IF(H92&lt;&gt;"",
VLOOKUP(C92,クライアント抽出!$A:$G,3,FALSE)+
IF(COUNTIF(C92,"*博多*"),Y92,Z92),"")</f>
        <v>#N/A</v>
      </c>
      <c r="J92" t="e">
        <f>VLOOKUP(C92,クライアント抽出!$A:$O,12,FALSE)</f>
        <v>#N/A</v>
      </c>
      <c r="K92" t="e">
        <f>IF(J92&lt;&gt;"",
VLOOKUP(
"*"&amp;IF(COUNTIF(J92,"*キャラ弁*"),"キャラ",
IF(COUNTIF(J92,"*赤*"),"赤",SUBSTITUTE(SUBSTITUTE(J92," ",""),"　","")))&amp;"*",
注文弁当の抽出!$F:$I,4,FALSE)&amp;
IF(COUNTIF(J92,"*おにぎり*"),"　おにぎり",""),"")</f>
        <v>#N/A</v>
      </c>
      <c r="L92" t="e">
        <f>IF(K92&lt;&gt;"",
VLOOKUP(C92,クライアント抽出!$A:$G,4,FALSE)+AA92,"")</f>
        <v>#N/A</v>
      </c>
      <c r="M92" t="e">
        <f>VLOOKUP(C92,クライアント抽出!$A:$O,13,FALSE)</f>
        <v>#N/A</v>
      </c>
      <c r="N92" t="e">
        <f>SUBSTITUTE(
IF(M92&lt;&gt;"",
VLOOKUP(
"*"&amp;IF(COUNTIF(M92,"*キャラ弁*"),"キャラ",
IF(COUNTIF(M92,"*赤*"),"赤",SUBSTITUTE(SUBSTITUTE(D92," ",""),"　","")))&amp;"*",
注文弁当の抽出!$F:$I,4,FALSE),""),"園児","先生")&amp;
IF(COUNTIF(M92,"*おにぎり*"),"　おにぎり","")</f>
        <v>#N/A</v>
      </c>
      <c r="O92" t="e">
        <f>IF(N92&lt;&gt;"",VLOOKUP(C92,クライアント抽出!$A:$G,5,FALSE),"")</f>
        <v>#N/A</v>
      </c>
      <c r="P92" t="e">
        <f>VLOOKUP(C92,クライアント抽出!$A:$O,14,FALSE)</f>
        <v>#N/A</v>
      </c>
      <c r="Q92" t="e">
        <f>SUBSTITUTE(
IF(P92&lt;&gt;"",
VLOOKUP(
"*"&amp;IF(COUNTIF(P92,"*キャラ弁*"),"キャラ",
IF(COUNTIF(P92,"*赤*"),"赤",SUBSTITUTE(SUBSTITUTE(G92," ",""),"　","")))&amp;"*",
注文弁当の抽出!$F:$I,4,FALSE),""),"園児","先生")&amp;
IF(COUNTIF(P92,"*おにぎり*"),"　おにぎり","")</f>
        <v>#N/A</v>
      </c>
      <c r="R92" t="e">
        <f>IF(Q92&lt;&gt;"",
VLOOKUP(C92,クライアント抽出!$A:$G,6,FALSE),"")</f>
        <v>#N/A</v>
      </c>
      <c r="S92" t="e">
        <f>VLOOKUP(C92,クライアント抽出!$A:$O,15,FALSE)</f>
        <v>#N/A</v>
      </c>
      <c r="T92" t="e">
        <f>SUBSTITUTE(
IF(S92&lt;&gt;"",
VLOOKUP(
"*"&amp;IF(COUNTIF(S92,"*キャラ弁*"),"キャラ",
IF(COUNTIF(S92,"*赤*"),"赤",SUBSTITUTE(SUBSTITUTE(J92," ",""),"　","")))&amp;"*",
注文弁当の抽出!$F:$I,4,FALSE),""),"園児","先生")&amp;
IF(COUNTIF(S92,"*おにぎり*"),"　おにぎり","")</f>
        <v>#N/A</v>
      </c>
      <c r="U92" t="e">
        <f>IF(T92&lt;&gt;"",
VLOOKUP(C92,クライアント抽出!$A:$G,7,FALSE),"")</f>
        <v>#N/A</v>
      </c>
      <c r="V92" t="e">
        <f>IF(A92&lt;&gt;"",
IF(COUNTIF(V91,"*牛乳*"),
IF(AND(COUNTIF(B91,"*奈良屋*"),COUNTIF(B92,"*奈良屋*")),
V91&amp;"✔",""),VLOOKUP(""&amp;A92&amp;"",数出表_Excel!$A:$Z,22,FALSE)&amp;VLOOKUP(""&amp;A92&amp;"",数出表_Excel!$A:$Z,23,FALSE)
&amp;VLOOKUP(""&amp;C92&amp;"",数出表_Excel!$A:$Z,22,FALSE)&amp;VLOOKUP(""&amp;C92&amp;"",数出表_Excel!$A:$Z,23,FALSE)),"")</f>
        <v>#N/A</v>
      </c>
      <c r="W92" t="e">
        <f>IF(AND(COUNTIF(V92,"&lt;&gt;*不要*"),A92&lt;&gt;""),VLOOKUP(A92,得意先マスタ!$A:$AD,24,FALSE),0)</f>
        <v>#N/A</v>
      </c>
      <c r="X92" t="e">
        <f>IF(AND(COUNTIF(V92,"&lt;&gt;*不要*"),A92&lt;&gt;""),VLOOKUP(A92,得意先マスタ!$A:$AD,25,FALSE),0)</f>
        <v>#N/A</v>
      </c>
      <c r="Y92" t="e">
        <f t="shared" si="20"/>
        <v>#N/A</v>
      </c>
      <c r="Z92" t="e">
        <f t="shared" si="21"/>
        <v>#N/A</v>
      </c>
      <c r="AA92" t="e">
        <f t="shared" si="25"/>
        <v>#N/A</v>
      </c>
      <c r="AB92" t="e">
        <f t="shared" si="22"/>
        <v>#N/A</v>
      </c>
      <c r="AC92" t="str">
        <f t="array" ref="AC92">IFERROR(INDEX(92:92, SMALL(IF($D92:$U92&lt;&gt;"", COLUMN($D$1:$U92)), COLUMN(A92))), "")</f>
        <v/>
      </c>
      <c r="AD92" t="str">
        <f t="array" ref="AD92">IFERROR(INDEX(92:92, SMALL(IF($D92:$U92&lt;&gt;"", COLUMN($D$1:$U92)), COLUMN(B92))), "")</f>
        <v/>
      </c>
      <c r="AE92" t="str">
        <f t="array" ref="AE92">IFERROR(INDEX(92:92, SMALL(IF($D92:$U92&lt;&gt;"", COLUMN($D$1:$U92)), COLUMN(C92))), "")</f>
        <v/>
      </c>
      <c r="AF92" t="str">
        <f t="array" ref="AF92">IFERROR(INDEX(92:92, SMALL(IF($D92:$U92&lt;&gt;"", COLUMN($D$1:$U92)), COLUMN(D92))), "")</f>
        <v/>
      </c>
      <c r="AG92" t="str">
        <f t="array" ref="AG92">IFERROR(INDEX(92:92, SMALL(IF($D92:$U92&lt;&gt;"", COLUMN($D$1:$U92)), COLUMN(E92))), "")</f>
        <v/>
      </c>
      <c r="AH92" t="str">
        <f t="array" ref="AH92">IFERROR(INDEX(92:92, SMALL(IF($D92:$U92&lt;&gt;"", COLUMN($D$1:$U92)), COLUMN(F92))), "")</f>
        <v/>
      </c>
      <c r="AI92" t="str">
        <f t="array" ref="AI92">IFERROR(INDEX(92:92, SMALL(IF($D92:$U92&lt;&gt;"", COLUMN($D$1:$U92)), COLUMN(G92))), "")</f>
        <v/>
      </c>
      <c r="AJ92" t="str">
        <f t="array" ref="AJ92">IFERROR(INDEX(92:92, SMALL(IF($D92:$U92&lt;&gt;"", COLUMN($D$1:$U92)), COLUMN(H92))), "")</f>
        <v/>
      </c>
      <c r="AK92" t="str">
        <f t="array" ref="AK92">IFERROR(INDEX(92:92, SMALL(IF($D92:$U92&lt;&gt;"", COLUMN($D$1:$U92)), COLUMN(I92))), "")</f>
        <v/>
      </c>
      <c r="AL92" t="str">
        <f t="array" ref="AL92">IFERROR(INDEX(92:92, SMALL(IF($D92:$U92&lt;&gt;"", COLUMN($D$1:$U92)), COLUMN(J92))), "")</f>
        <v/>
      </c>
      <c r="AM92" t="str">
        <f t="array" ref="AM92">IFERROR(INDEX(92:92, SMALL(IF($D92:$U92&lt;&gt;"", COLUMN($D$1:$U92)), COLUMN(K92))), "")</f>
        <v/>
      </c>
      <c r="AN92" t="str">
        <f t="array" ref="AN92">IFERROR(INDEX(92:92, SMALL(IF($D92:$U92&lt;&gt;"", COLUMN($D$1:$U92)), COLUMN(L92))), "")</f>
        <v/>
      </c>
      <c r="AO92" t="str">
        <f t="array" ref="AO92">IFERROR(INDEX(92:92, SMALL(IF($D92:$U92&lt;&gt;"", COLUMN($D$1:$U92)), COLUMN(M92))), "")</f>
        <v/>
      </c>
      <c r="AP92" t="str">
        <f t="array" ref="AP92">IFERROR(INDEX(92:92, SMALL(IF($D92:$U92&lt;&gt;"", COLUMN($D$1:$U92)), COLUMN(N92))), "")</f>
        <v/>
      </c>
      <c r="AQ92" t="str">
        <f t="array" ref="AQ92">IFERROR(INDEX(92:92, SMALL(IF($D92:$U92&lt;&gt;"", COLUMN($D$1:$U92)), COLUMN(O92))), "")</f>
        <v/>
      </c>
      <c r="AR92" s="52" t="s">
        <v>4005</v>
      </c>
      <c r="AS92" t="e">
        <f t="shared" si="23"/>
        <v>#N/A</v>
      </c>
      <c r="AT92" t="e">
        <f t="shared" si="24"/>
        <v>#N/A</v>
      </c>
      <c r="AU92" t="e">
        <f t="shared" si="26"/>
        <v>#N/A</v>
      </c>
      <c r="AV92" t="e">
        <f t="shared" si="27"/>
        <v>#N/A</v>
      </c>
      <c r="AW92" t="e">
        <f t="shared" si="28"/>
        <v>#N/A</v>
      </c>
      <c r="AX92" t="e">
        <f t="shared" si="29"/>
        <v>#N/A</v>
      </c>
      <c r="AZ92" t="str">
        <f t="array" ref="AZ92">IFERROR(INDEX(92:92, SMALL(IF($AC92:$AX92&lt;&gt;"", COLUMN($AC$1:$AX92)), COLUMN(A92))), "")</f>
        <v/>
      </c>
      <c r="BA92" t="str">
        <f t="array" ref="BA92">IFERROR(INDEX(92:92, SMALL(IF($AC92:$AX92&lt;&gt;"", COLUMN($AC$1:$AX92)), COLUMN(B92))), "")</f>
        <v/>
      </c>
      <c r="BB92" t="str">
        <f t="array" ref="BB92">IFERROR(INDEX(92:92, SMALL(IF($AC92:$AX92&lt;&gt;"", COLUMN($AC$1:$AX92)), COLUMN(C92))), "")</f>
        <v/>
      </c>
      <c r="BC92" t="str">
        <f t="array" ref="BC92">IFERROR(INDEX(92:92, SMALL(IF($AC92:$AX92&lt;&gt;"", COLUMN($AC$1:$AX92)), COLUMN(D92))), "")</f>
        <v/>
      </c>
      <c r="BD92" t="str">
        <f t="array" ref="BD92">IFERROR(INDEX(92:92, SMALL(IF($AC92:$AX92&lt;&gt;"", COLUMN($AC$1:$AX92)), COLUMN(E92))), "")</f>
        <v/>
      </c>
      <c r="BE92" t="str">
        <f t="array" ref="BE92">IFERROR(INDEX(92:92, SMALL(IF($AC92:$AX92&lt;&gt;"", COLUMN($AC$1:$AX92)), COLUMN(F92))), "")</f>
        <v/>
      </c>
      <c r="BF92" t="str">
        <f t="array" ref="BF92">IFERROR(IF(AND(COUNTIF($B92,"*泉ヶ丘*"),COUNTIF($B93,"*泉ヶ丘*")),
IFERROR(INDEX(93:93, SMALL(IF($AC93:$AX93&lt;&gt;"", COLUMN($AC$1:$AX93)), COLUMN(A93))), ""),
INDEX(92:92, SMALL(IF($AC92:$AX92&lt;&gt;"", COLUMN($AC$1:$AX92)), COLUMN(G92)))), "")</f>
        <v/>
      </c>
      <c r="BG92" t="str">
        <f t="array" ref="BG92">IFERROR(IF(AND(COUNTIF($B92,"*泉ヶ丘*"),COUNTIF($B93,"*泉ヶ丘*")),
IFERROR(INDEX(93:93, SMALL(IF($AC93:$AX93&lt;&gt;"", COLUMN($AC$1:$AX93)), COLUMN(B93))), ""),
INDEX(92:92, SMALL(IF($AC92:$AX92&lt;&gt;"", COLUMN($AC$1:$AX92)), COLUMN(H92)))), "")</f>
        <v/>
      </c>
      <c r="BH92" t="str">
        <f t="array" ref="BH92">IFERROR(IF(AND(COUNTIF($B92,"*泉ヶ丘*"),COUNTIF($B93,"*泉ヶ丘*")),
IFERROR(INDEX(93:93, SMALL(IF($AC93:$AX93&lt;&gt;"", COLUMN($AC$1:$AX93)), COLUMN(C93))), ""),
INDEX(92:92, SMALL(IF($AC92:$AX92&lt;&gt;"", COLUMN($AC$1:$AX92)), COLUMN(I92)))), "")</f>
        <v/>
      </c>
      <c r="BI92" t="str">
        <f t="array" ref="BI92">IFERROR(IF(AND(COUNTIF($B92,"*泉ヶ丘*"),COUNTIF($B93,"*泉ヶ丘*")),
IFERROR(INDEX(93:93, SMALL(IF($AC93:$AX93&lt;&gt;"", COLUMN($AC$1:$AX93)), COLUMN(D93))), ""),
INDEX(92:92, SMALL(IF($AC92:$AX92&lt;&gt;"", COLUMN($AC$1:$AX92)), COLUMN(J92)))), "")</f>
        <v/>
      </c>
      <c r="BJ92" t="str">
        <f t="array" ref="BJ92">IFERROR(IF(AND(COUNTIF($B92,"*泉ヶ丘*"),COUNTIF($B93,"*泉ヶ丘*")),
IFERROR(INDEX(93:93, SMALL(IF($AC93:$AX93&lt;&gt;"", COLUMN($AC$1:$AX93)), COLUMN(E93))), ""),
INDEX(92:92, SMALL(IF($AC92:$AX92&lt;&gt;"", COLUMN($AC$1:$AX92)), COLUMN(K92)))), "")</f>
        <v/>
      </c>
      <c r="BK92" t="str">
        <f t="array" ref="BK92">IFERROR(IF(AND(COUNTIF($B92,"*泉ヶ丘*"),COUNTIF($B93,"*泉ヶ丘*")),
IFERROR(INDEX(93:93, SMALL(IF($AC93:$AX93&lt;&gt;"", COLUMN($AC$1:$AX93)), COLUMN(F93))), ""),
INDEX(92:92, SMALL(IF($AC92:$AX92&lt;&gt;"", COLUMN($AC$1:$AX92)), COLUMN(L92)))), "")</f>
        <v/>
      </c>
      <c r="BL92" t="str">
        <f t="array" ref="BL92">IFERROR(IF(AND(COUNTIF($B92,"*泉ヶ丘*"),COUNTIF($B93,"*泉ヶ丘*")),
IFERROR(INDEX(93:93, SMALL(IF($AC93:$AX93&lt;&gt;"", COLUMN($AC$1:$AX93)), COLUMN(G93))), ""),
INDEX(92:92, SMALL(IF($AC92:$AX92&lt;&gt;"", COLUMN($AC$1:$AX92)), COLUMN(M92)))), "")</f>
        <v/>
      </c>
      <c r="BM92" t="str">
        <f t="array" ref="BM92">IFERROR(IF(AND(COUNTIF($B92,"*泉ヶ丘*"),COUNTIF($B93,"*泉ヶ丘*")),
IFERROR(INDEX(93:93, SMALL(IF($AC93:$AX93&lt;&gt;"", COLUMN($AC$1:$AX93)), COLUMN(H93))), ""),
INDEX(92:92, SMALL(IF($AC92:$AX92&lt;&gt;"", COLUMN($AC$1:$AX92)), COLUMN(N92)))), "")</f>
        <v/>
      </c>
      <c r="BN92" t="str">
        <f t="array" ref="BN92">IFERROR(IF(AND(COUNTIF($B92,"*泉ヶ丘*"),COUNTIF($B93,"*泉ヶ丘*")),
IFERROR(INDEX(93:93, SMALL(IF($AC93:$AX93&lt;&gt;"", COLUMN($AC$1:$AX93)), COLUMN(I93))), ""),
INDEX(92:92, SMALL(IF($AC92:$AX92&lt;&gt;"", COLUMN($AC$1:$AX92)), COLUMN(O92)))), "")</f>
        <v/>
      </c>
      <c r="BO92" t="str">
        <f t="array" ref="BO92">IFERROR(IF(AND(COUNTIF($B92,"*泉ヶ丘*"),COUNTIF($B93,"*泉ヶ丘*")),
IFERROR(INDEX(93:93, SMALL(IF($AC93:$AX93&lt;&gt;"", COLUMN($AC$1:$AX93)), COLUMN(J93))), ""),
INDEX(92:92, SMALL(IF($AC92:$AX92&lt;&gt;"", COLUMN($AC$1:$AX92)), COLUMN(P92)))), "")</f>
        <v/>
      </c>
      <c r="BP92" t="str">
        <f t="array" ref="BP92">IFERROR(IF(AND(COUNTIF($B92,"*泉ヶ丘*"),COUNTIF($B93,"*泉ヶ丘*")),
IFERROR(INDEX(93:93, SMALL(IF($AC93:$AX93&lt;&gt;"", COLUMN($AC$1:$AX93)), COLUMN(K93))), ""),
INDEX(92:92, SMALL(IF($AC92:$AX92&lt;&gt;"", COLUMN($AC$1:$AX92)), COLUMN(Q92)))), "")</f>
        <v/>
      </c>
      <c r="BQ92" t="str">
        <f t="array" ref="BQ92">IFERROR(IF(AND(COUNTIF($B92,"*泉ヶ丘*"),COUNTIF($B93,"*泉ヶ丘*")),
IFERROR(INDEX(93:93, SMALL(IF($AC93:$AX93&lt;&gt;"", COLUMN($AC$1:$AX93)), COLUMN(L93))), ""),
INDEX(92:92, SMALL(IF($AC92:$AX92&lt;&gt;"", COLUMN($AC$1:$AX92)), COLUMN(R92)))), "")</f>
        <v/>
      </c>
    </row>
    <row r="93" spans="1:69" x14ac:dyDescent="0.45">
      <c r="A93" t="e">
        <f t="array" ref="A93">IF(INDEX(貼り付け用!A:A,MATCH(A92,貼り付け用!A:A,0)+2)="4700",
IF(INDEX(貼り付け用!A:A,MATCH(A92,貼り付け用!A:A,0)+4)="4800",
INDEX(貼り付け用!A:A,MATCH(A92,貼り付け用!A:A,0)+6),
INDEX(貼り付け用!A:A,MATCH(A92,貼り付け用!A:A,0)+4)),INDEX(貼り付け用!A:A,MATCH(A92,貼り付け用!A:A,0)+2))</f>
        <v>#N/A</v>
      </c>
      <c r="B93" t="e">
        <f>IF(A93&lt;&gt;"",
VLOOKUP(A93,得意先マスタ!A:D,2,FALSE),"")</f>
        <v>#N/A</v>
      </c>
      <c r="C93" t="e">
        <f t="array" ref="C93">IF(A93="10000","",INDEX(貼り付け用!A:A,MATCH(A93,貼り付け用!A:A,0)+1))</f>
        <v>#N/A</v>
      </c>
      <c r="D93" t="e">
        <f>VLOOKUP(C93,クライアント抽出!$A:$O,10,FALSE)</f>
        <v>#N/A</v>
      </c>
      <c r="E93" t="e">
        <f>IF(D93&lt;&gt;"",
IF(COUNTIF(C93,"*ぺんぎん*"),
VLOOKUP(
"*"&amp;IF(COUNTIF(D93,"*キャラ弁*"),"キャラ",
IF(COUNTIF(D93,"*赤*"),"赤",SUBSTITUTE(SUBSTITUTE(D93," ",""),"　","")))&amp;"*",
注文弁当の抽出!$F:$I,4,FALSE)&amp;
IF(COUNTIF(D93,"*おにぎり*"),"　おにぎり","")&amp;"　（ぺんぎん組）",
VLOOKUP(
"*"&amp;IF(COUNTIF(D93,"*キャラ弁*"),"キャラ",
IF(COUNTIF(D93,"*赤*"),"赤",SUBSTITUTE(SUBSTITUTE(D93," ",""),"　","")))&amp;"*",
注文弁当の抽出!$F:$I,4,FALSE)&amp;
IF(COUNTIF(D93,"*おにぎり*"),"　おにぎり","")),"")</f>
        <v>#N/A</v>
      </c>
      <c r="F93" t="str">
        <f>IFERROR(IF(E93&lt;&gt;"",
VLOOKUP(C93,クライアント抽出!$A:$G,2,FALSE)+
IF(COUNTIF(Y93,"*-*"),Y93,0),"")
-IFERROR(MID(V93, SEARCH("予備", V93) + LEN("予備"), SEARCH("込み", V93) - (SEARCH("予備", V93) + LEN("予備"))),0),"")</f>
        <v/>
      </c>
      <c r="G93" t="e">
        <f>VLOOKUP(C93,クライアント抽出!$A:$O,11,FALSE)</f>
        <v>#N/A</v>
      </c>
      <c r="H93" t="e">
        <f>IF(G93&lt;&gt;"",
VLOOKUP(
"*"&amp;IF(COUNTIF(G93,"*キャラ弁*"),"キャラ",
IF(COUNTIF(G93,"*赤*"),"赤",SUBSTITUTE(SUBSTITUTE(G93," ",""),"　","")))&amp;"*",
注文弁当の抽出!$F:$I,4,FALSE)&amp;
IF(COUNTIF(G93,"*おにぎり*"),"　おにぎり",""),"")</f>
        <v>#N/A</v>
      </c>
      <c r="I93" t="e">
        <f>IF(H93&lt;&gt;"",
VLOOKUP(C93,クライアント抽出!$A:$G,3,FALSE)+
IF(COUNTIF(C93,"*博多*"),Y93,Z93),"")</f>
        <v>#N/A</v>
      </c>
      <c r="J93" t="e">
        <f>VLOOKUP(C93,クライアント抽出!$A:$O,12,FALSE)</f>
        <v>#N/A</v>
      </c>
      <c r="K93" t="e">
        <f>IF(J93&lt;&gt;"",
VLOOKUP(
"*"&amp;IF(COUNTIF(J93,"*キャラ弁*"),"キャラ",
IF(COUNTIF(J93,"*赤*"),"赤",SUBSTITUTE(SUBSTITUTE(J93," ",""),"　","")))&amp;"*",
注文弁当の抽出!$F:$I,4,FALSE)&amp;
IF(COUNTIF(J93,"*おにぎり*"),"　おにぎり",""),"")</f>
        <v>#N/A</v>
      </c>
      <c r="L93" t="e">
        <f>IF(K93&lt;&gt;"",
VLOOKUP(C93,クライアント抽出!$A:$G,4,FALSE)+AA93,"")</f>
        <v>#N/A</v>
      </c>
      <c r="M93" t="e">
        <f>VLOOKUP(C93,クライアント抽出!$A:$O,13,FALSE)</f>
        <v>#N/A</v>
      </c>
      <c r="N93" t="e">
        <f>SUBSTITUTE(
IF(M93&lt;&gt;"",
VLOOKUP(
"*"&amp;IF(COUNTIF(M93,"*キャラ弁*"),"キャラ",
IF(COUNTIF(M93,"*赤*"),"赤",SUBSTITUTE(SUBSTITUTE(D93," ",""),"　","")))&amp;"*",
注文弁当の抽出!$F:$I,4,FALSE),""),"園児","先生")&amp;
IF(COUNTIF(M93,"*おにぎり*"),"　おにぎり","")</f>
        <v>#N/A</v>
      </c>
      <c r="O93" t="e">
        <f>IF(N93&lt;&gt;"",VLOOKUP(C93,クライアント抽出!$A:$G,5,FALSE),"")</f>
        <v>#N/A</v>
      </c>
      <c r="P93" t="e">
        <f>VLOOKUP(C93,クライアント抽出!$A:$O,14,FALSE)</f>
        <v>#N/A</v>
      </c>
      <c r="Q93" t="e">
        <f>SUBSTITUTE(
IF(P93&lt;&gt;"",
VLOOKUP(
"*"&amp;IF(COUNTIF(P93,"*キャラ弁*"),"キャラ",
IF(COUNTIF(P93,"*赤*"),"赤",SUBSTITUTE(SUBSTITUTE(G93," ",""),"　","")))&amp;"*",
注文弁当の抽出!$F:$I,4,FALSE),""),"園児","先生")&amp;
IF(COUNTIF(P93,"*おにぎり*"),"　おにぎり","")</f>
        <v>#N/A</v>
      </c>
      <c r="R93" t="e">
        <f>IF(Q93&lt;&gt;"",
VLOOKUP(C93,クライアント抽出!$A:$G,6,FALSE),"")</f>
        <v>#N/A</v>
      </c>
      <c r="S93" t="e">
        <f>VLOOKUP(C93,クライアント抽出!$A:$O,15,FALSE)</f>
        <v>#N/A</v>
      </c>
      <c r="T93" t="e">
        <f>SUBSTITUTE(
IF(S93&lt;&gt;"",
VLOOKUP(
"*"&amp;IF(COUNTIF(S93,"*キャラ弁*"),"キャラ",
IF(COUNTIF(S93,"*赤*"),"赤",SUBSTITUTE(SUBSTITUTE(J93," ",""),"　","")))&amp;"*",
注文弁当の抽出!$F:$I,4,FALSE),""),"園児","先生")&amp;
IF(COUNTIF(S93,"*おにぎり*"),"　おにぎり","")</f>
        <v>#N/A</v>
      </c>
      <c r="U93" t="e">
        <f>IF(T93&lt;&gt;"",
VLOOKUP(C93,クライアント抽出!$A:$G,7,FALSE),"")</f>
        <v>#N/A</v>
      </c>
      <c r="V93" t="e">
        <f>IF(A93&lt;&gt;"",
IF(COUNTIF(V92,"*牛乳*"),
IF(AND(COUNTIF(B92,"*奈良屋*"),COUNTIF(B93,"*奈良屋*")),
V92&amp;"✔",""),VLOOKUP(""&amp;A93&amp;"",数出表_Excel!$A:$Z,22,FALSE)&amp;VLOOKUP(""&amp;A93&amp;"",数出表_Excel!$A:$Z,23,FALSE)
&amp;VLOOKUP(""&amp;C93&amp;"",数出表_Excel!$A:$Z,22,FALSE)&amp;VLOOKUP(""&amp;C93&amp;"",数出表_Excel!$A:$Z,23,FALSE)),"")</f>
        <v>#N/A</v>
      </c>
      <c r="W93" t="e">
        <f>IF(AND(COUNTIF(V93,"&lt;&gt;*不要*"),A93&lt;&gt;""),VLOOKUP(A93,得意先マスタ!$A:$AD,24,FALSE),0)</f>
        <v>#N/A</v>
      </c>
      <c r="X93" t="e">
        <f>IF(AND(COUNTIF(V93,"&lt;&gt;*不要*"),A93&lt;&gt;""),VLOOKUP(A93,得意先マスタ!$A:$AD,25,FALSE),0)</f>
        <v>#N/A</v>
      </c>
      <c r="Y93" t="e">
        <f t="shared" si="20"/>
        <v>#N/A</v>
      </c>
      <c r="Z93" t="e">
        <f t="shared" si="21"/>
        <v>#N/A</v>
      </c>
      <c r="AA93" t="e">
        <f t="shared" si="25"/>
        <v>#N/A</v>
      </c>
      <c r="AB93" t="e">
        <f t="shared" si="22"/>
        <v>#N/A</v>
      </c>
      <c r="AC93" t="str">
        <f t="array" ref="AC93">IFERROR(INDEX(93:93, SMALL(IF($D93:$U93&lt;&gt;"", COLUMN($D$1:$U93)), COLUMN(A93))), "")</f>
        <v/>
      </c>
      <c r="AD93" t="str">
        <f t="array" ref="AD93">IFERROR(INDEX(93:93, SMALL(IF($D93:$U93&lt;&gt;"", COLUMN($D$1:$U93)), COLUMN(B93))), "")</f>
        <v/>
      </c>
      <c r="AE93" t="str">
        <f t="array" ref="AE93">IFERROR(INDEX(93:93, SMALL(IF($D93:$U93&lt;&gt;"", COLUMN($D$1:$U93)), COLUMN(C93))), "")</f>
        <v/>
      </c>
      <c r="AF93" t="str">
        <f t="array" ref="AF93">IFERROR(INDEX(93:93, SMALL(IF($D93:$U93&lt;&gt;"", COLUMN($D$1:$U93)), COLUMN(D93))), "")</f>
        <v/>
      </c>
      <c r="AG93" t="str">
        <f t="array" ref="AG93">IFERROR(INDEX(93:93, SMALL(IF($D93:$U93&lt;&gt;"", COLUMN($D$1:$U93)), COLUMN(E93))), "")</f>
        <v/>
      </c>
      <c r="AH93" t="str">
        <f t="array" ref="AH93">IFERROR(INDEX(93:93, SMALL(IF($D93:$U93&lt;&gt;"", COLUMN($D$1:$U93)), COLUMN(F93))), "")</f>
        <v/>
      </c>
      <c r="AI93" t="str">
        <f t="array" ref="AI93">IFERROR(INDEX(93:93, SMALL(IF($D93:$U93&lt;&gt;"", COLUMN($D$1:$U93)), COLUMN(G93))), "")</f>
        <v/>
      </c>
      <c r="AJ93" t="str">
        <f t="array" ref="AJ93">IFERROR(INDEX(93:93, SMALL(IF($D93:$U93&lt;&gt;"", COLUMN($D$1:$U93)), COLUMN(H93))), "")</f>
        <v/>
      </c>
      <c r="AK93" t="str">
        <f t="array" ref="AK93">IFERROR(INDEX(93:93, SMALL(IF($D93:$U93&lt;&gt;"", COLUMN($D$1:$U93)), COLUMN(I93))), "")</f>
        <v/>
      </c>
      <c r="AL93" t="str">
        <f t="array" ref="AL93">IFERROR(INDEX(93:93, SMALL(IF($D93:$U93&lt;&gt;"", COLUMN($D$1:$U93)), COLUMN(J93))), "")</f>
        <v/>
      </c>
      <c r="AM93" t="str">
        <f t="array" ref="AM93">IFERROR(INDEX(93:93, SMALL(IF($D93:$U93&lt;&gt;"", COLUMN($D$1:$U93)), COLUMN(K93))), "")</f>
        <v/>
      </c>
      <c r="AN93" t="str">
        <f t="array" ref="AN93">IFERROR(INDEX(93:93, SMALL(IF($D93:$U93&lt;&gt;"", COLUMN($D$1:$U93)), COLUMN(L93))), "")</f>
        <v/>
      </c>
      <c r="AO93" t="str">
        <f t="array" ref="AO93">IFERROR(INDEX(93:93, SMALL(IF($D93:$U93&lt;&gt;"", COLUMN($D$1:$U93)), COLUMN(M93))), "")</f>
        <v/>
      </c>
      <c r="AP93" t="str">
        <f t="array" ref="AP93">IFERROR(INDEX(93:93, SMALL(IF($D93:$U93&lt;&gt;"", COLUMN($D$1:$U93)), COLUMN(N93))), "")</f>
        <v/>
      </c>
      <c r="AQ93" t="str">
        <f t="array" ref="AQ93">IFERROR(INDEX(93:93, SMALL(IF($D93:$U93&lt;&gt;"", COLUMN($D$1:$U93)), COLUMN(O93))), "")</f>
        <v/>
      </c>
      <c r="AR93" s="52" t="s">
        <v>4005</v>
      </c>
      <c r="AS93" t="e">
        <f t="shared" si="23"/>
        <v>#N/A</v>
      </c>
      <c r="AT93" t="e">
        <f t="shared" si="24"/>
        <v>#N/A</v>
      </c>
      <c r="AU93" t="e">
        <f t="shared" si="26"/>
        <v>#N/A</v>
      </c>
      <c r="AV93" t="e">
        <f t="shared" si="27"/>
        <v>#N/A</v>
      </c>
      <c r="AW93" t="e">
        <f t="shared" si="28"/>
        <v>#N/A</v>
      </c>
      <c r="AX93" t="e">
        <f t="shared" si="29"/>
        <v>#N/A</v>
      </c>
      <c r="AZ93" t="str">
        <f t="array" ref="AZ93">IFERROR(INDEX(93:93, SMALL(IF($AC93:$AX93&lt;&gt;"", COLUMN($AC$1:$AX93)), COLUMN(A93))), "")</f>
        <v/>
      </c>
      <c r="BA93" t="str">
        <f t="array" ref="BA93">IFERROR(INDEX(93:93, SMALL(IF($AC93:$AX93&lt;&gt;"", COLUMN($AC$1:$AX93)), COLUMN(B93))), "")</f>
        <v/>
      </c>
      <c r="BB93" t="str">
        <f t="array" ref="BB93">IFERROR(INDEX(93:93, SMALL(IF($AC93:$AX93&lt;&gt;"", COLUMN($AC$1:$AX93)), COLUMN(C93))), "")</f>
        <v/>
      </c>
      <c r="BC93" t="str">
        <f t="array" ref="BC93">IFERROR(INDEX(93:93, SMALL(IF($AC93:$AX93&lt;&gt;"", COLUMN($AC$1:$AX93)), COLUMN(D93))), "")</f>
        <v/>
      </c>
      <c r="BD93" t="str">
        <f t="array" ref="BD93">IFERROR(INDEX(93:93, SMALL(IF($AC93:$AX93&lt;&gt;"", COLUMN($AC$1:$AX93)), COLUMN(E93))), "")</f>
        <v/>
      </c>
      <c r="BE93" t="str">
        <f t="array" ref="BE93">IFERROR(INDEX(93:93, SMALL(IF($AC93:$AX93&lt;&gt;"", COLUMN($AC$1:$AX93)), COLUMN(F93))), "")</f>
        <v/>
      </c>
      <c r="BF93" t="str">
        <f t="array" ref="BF93">IFERROR(IF(AND(COUNTIF($B93,"*泉ヶ丘*"),COUNTIF($B94,"*泉ヶ丘*")),
IFERROR(INDEX(94:94, SMALL(IF($AC94:$AX94&lt;&gt;"", COLUMN($AC$1:$AX94)), COLUMN(A94))), ""),
INDEX(93:93, SMALL(IF($AC93:$AX93&lt;&gt;"", COLUMN($AC$1:$AX93)), COLUMN(G93)))), "")</f>
        <v/>
      </c>
      <c r="BG93" t="str">
        <f t="array" ref="BG93">IFERROR(IF(AND(COUNTIF($B93,"*泉ヶ丘*"),COUNTIF($B94,"*泉ヶ丘*")),
IFERROR(INDEX(94:94, SMALL(IF($AC94:$AX94&lt;&gt;"", COLUMN($AC$1:$AX94)), COLUMN(B94))), ""),
INDEX(93:93, SMALL(IF($AC93:$AX93&lt;&gt;"", COLUMN($AC$1:$AX93)), COLUMN(H93)))), "")</f>
        <v/>
      </c>
      <c r="BH93" t="str">
        <f t="array" ref="BH93">IFERROR(IF(AND(COUNTIF($B93,"*泉ヶ丘*"),COUNTIF($B94,"*泉ヶ丘*")),
IFERROR(INDEX(94:94, SMALL(IF($AC94:$AX94&lt;&gt;"", COLUMN($AC$1:$AX94)), COLUMN(C94))), ""),
INDEX(93:93, SMALL(IF($AC93:$AX93&lt;&gt;"", COLUMN($AC$1:$AX93)), COLUMN(I93)))), "")</f>
        <v/>
      </c>
      <c r="BI93" t="str">
        <f t="array" ref="BI93">IFERROR(IF(AND(COUNTIF($B93,"*泉ヶ丘*"),COUNTIF($B94,"*泉ヶ丘*")),
IFERROR(INDEX(94:94, SMALL(IF($AC94:$AX94&lt;&gt;"", COLUMN($AC$1:$AX94)), COLUMN(D94))), ""),
INDEX(93:93, SMALL(IF($AC93:$AX93&lt;&gt;"", COLUMN($AC$1:$AX93)), COLUMN(J93)))), "")</f>
        <v/>
      </c>
      <c r="BJ93" t="str">
        <f t="array" ref="BJ93">IFERROR(IF(AND(COUNTIF($B93,"*泉ヶ丘*"),COUNTIF($B94,"*泉ヶ丘*")),
IFERROR(INDEX(94:94, SMALL(IF($AC94:$AX94&lt;&gt;"", COLUMN($AC$1:$AX94)), COLUMN(E94))), ""),
INDEX(93:93, SMALL(IF($AC93:$AX93&lt;&gt;"", COLUMN($AC$1:$AX93)), COLUMN(K93)))), "")</f>
        <v/>
      </c>
      <c r="BK93" t="str">
        <f t="array" ref="BK93">IFERROR(IF(AND(COUNTIF($B93,"*泉ヶ丘*"),COUNTIF($B94,"*泉ヶ丘*")),
IFERROR(INDEX(94:94, SMALL(IF($AC94:$AX94&lt;&gt;"", COLUMN($AC$1:$AX94)), COLUMN(F94))), ""),
INDEX(93:93, SMALL(IF($AC93:$AX93&lt;&gt;"", COLUMN($AC$1:$AX93)), COLUMN(L93)))), "")</f>
        <v/>
      </c>
      <c r="BL93" t="str">
        <f t="array" ref="BL93">IFERROR(IF(AND(COUNTIF($B93,"*泉ヶ丘*"),COUNTIF($B94,"*泉ヶ丘*")),
IFERROR(INDEX(94:94, SMALL(IF($AC94:$AX94&lt;&gt;"", COLUMN($AC$1:$AX94)), COLUMN(G94))), ""),
INDEX(93:93, SMALL(IF($AC93:$AX93&lt;&gt;"", COLUMN($AC$1:$AX93)), COLUMN(M93)))), "")</f>
        <v/>
      </c>
      <c r="BM93" t="str">
        <f t="array" ref="BM93">IFERROR(IF(AND(COUNTIF($B93,"*泉ヶ丘*"),COUNTIF($B94,"*泉ヶ丘*")),
IFERROR(INDEX(94:94, SMALL(IF($AC94:$AX94&lt;&gt;"", COLUMN($AC$1:$AX94)), COLUMN(H94))), ""),
INDEX(93:93, SMALL(IF($AC93:$AX93&lt;&gt;"", COLUMN($AC$1:$AX93)), COLUMN(N93)))), "")</f>
        <v/>
      </c>
      <c r="BN93" t="str">
        <f t="array" ref="BN93">IFERROR(IF(AND(COUNTIF($B93,"*泉ヶ丘*"),COUNTIF($B94,"*泉ヶ丘*")),
IFERROR(INDEX(94:94, SMALL(IF($AC94:$AX94&lt;&gt;"", COLUMN($AC$1:$AX94)), COLUMN(I94))), ""),
INDEX(93:93, SMALL(IF($AC93:$AX93&lt;&gt;"", COLUMN($AC$1:$AX93)), COLUMN(O93)))), "")</f>
        <v/>
      </c>
      <c r="BO93" t="str">
        <f t="array" ref="BO93">IFERROR(IF(AND(COUNTIF($B93,"*泉ヶ丘*"),COUNTIF($B94,"*泉ヶ丘*")),
IFERROR(INDEX(94:94, SMALL(IF($AC94:$AX94&lt;&gt;"", COLUMN($AC$1:$AX94)), COLUMN(J94))), ""),
INDEX(93:93, SMALL(IF($AC93:$AX93&lt;&gt;"", COLUMN($AC$1:$AX93)), COLUMN(P93)))), "")</f>
        <v/>
      </c>
      <c r="BP93" t="str">
        <f t="array" ref="BP93">IFERROR(IF(AND(COUNTIF($B93,"*泉ヶ丘*"),COUNTIF($B94,"*泉ヶ丘*")),
IFERROR(INDEX(94:94, SMALL(IF($AC94:$AX94&lt;&gt;"", COLUMN($AC$1:$AX94)), COLUMN(K94))), ""),
INDEX(93:93, SMALL(IF($AC93:$AX93&lt;&gt;"", COLUMN($AC$1:$AX93)), COLUMN(Q93)))), "")</f>
        <v/>
      </c>
      <c r="BQ93" t="str">
        <f t="array" ref="BQ93">IFERROR(IF(AND(COUNTIF($B93,"*泉ヶ丘*"),COUNTIF($B94,"*泉ヶ丘*")),
IFERROR(INDEX(94:94, SMALL(IF($AC94:$AX94&lt;&gt;"", COLUMN($AC$1:$AX94)), COLUMN(L94))), ""),
INDEX(93:93, SMALL(IF($AC93:$AX93&lt;&gt;"", COLUMN($AC$1:$AX93)), COLUMN(R93)))), "")</f>
        <v/>
      </c>
    </row>
    <row r="94" spans="1:69" x14ac:dyDescent="0.45">
      <c r="A94" t="e">
        <f t="array" ref="A94">IF(INDEX(貼り付け用!A:A,MATCH(A93,貼り付け用!A:A,0)+2)="4700",
IF(INDEX(貼り付け用!A:A,MATCH(A93,貼り付け用!A:A,0)+4)="4800",
INDEX(貼り付け用!A:A,MATCH(A93,貼り付け用!A:A,0)+6),
INDEX(貼り付け用!A:A,MATCH(A93,貼り付け用!A:A,0)+4)),INDEX(貼り付け用!A:A,MATCH(A93,貼り付け用!A:A,0)+2))</f>
        <v>#N/A</v>
      </c>
      <c r="B94" t="e">
        <f>IF(A94&lt;&gt;"",
VLOOKUP(A94,得意先マスタ!A:D,2,FALSE),"")</f>
        <v>#N/A</v>
      </c>
      <c r="C94" t="e">
        <f t="array" ref="C94">IF(A94="10000","",INDEX(貼り付け用!A:A,MATCH(A94,貼り付け用!A:A,0)+1))</f>
        <v>#N/A</v>
      </c>
      <c r="D94" t="e">
        <f>VLOOKUP(C94,クライアント抽出!$A:$O,10,FALSE)</f>
        <v>#N/A</v>
      </c>
      <c r="E94" t="e">
        <f>IF(D94&lt;&gt;"",
IF(COUNTIF(C94,"*ぺんぎん*"),
VLOOKUP(
"*"&amp;IF(COUNTIF(D94,"*キャラ弁*"),"キャラ",
IF(COUNTIF(D94,"*赤*"),"赤",SUBSTITUTE(SUBSTITUTE(D94," ",""),"　","")))&amp;"*",
注文弁当の抽出!$F:$I,4,FALSE)&amp;
IF(COUNTIF(D94,"*おにぎり*"),"　おにぎり","")&amp;"　（ぺんぎん組）",
VLOOKUP(
"*"&amp;IF(COUNTIF(D94,"*キャラ弁*"),"キャラ",
IF(COUNTIF(D94,"*赤*"),"赤",SUBSTITUTE(SUBSTITUTE(D94," ",""),"　","")))&amp;"*",
注文弁当の抽出!$F:$I,4,FALSE)&amp;
IF(COUNTIF(D94,"*おにぎり*"),"　おにぎり","")),"")</f>
        <v>#N/A</v>
      </c>
      <c r="F94" t="str">
        <f>IFERROR(IF(E94&lt;&gt;"",
VLOOKUP(C94,クライアント抽出!$A:$G,2,FALSE)+
IF(COUNTIF(Y94,"*-*"),Y94,0),"")
-IFERROR(MID(V94, SEARCH("予備", V94) + LEN("予備"), SEARCH("込み", V94) - (SEARCH("予備", V94) + LEN("予備"))),0),"")</f>
        <v/>
      </c>
      <c r="G94" t="e">
        <f>VLOOKUP(C94,クライアント抽出!$A:$O,11,FALSE)</f>
        <v>#N/A</v>
      </c>
      <c r="H94" t="e">
        <f>IF(G94&lt;&gt;"",
VLOOKUP(
"*"&amp;IF(COUNTIF(G94,"*キャラ弁*"),"キャラ",
IF(COUNTIF(G94,"*赤*"),"赤",SUBSTITUTE(SUBSTITUTE(G94," ",""),"　","")))&amp;"*",
注文弁当の抽出!$F:$I,4,FALSE)&amp;
IF(COUNTIF(G94,"*おにぎり*"),"　おにぎり",""),"")</f>
        <v>#N/A</v>
      </c>
      <c r="I94" t="e">
        <f>IF(H94&lt;&gt;"",
VLOOKUP(C94,クライアント抽出!$A:$G,3,FALSE)+
IF(COUNTIF(C94,"*博多*"),Y94,Z94),"")</f>
        <v>#N/A</v>
      </c>
      <c r="J94" t="e">
        <f>VLOOKUP(C94,クライアント抽出!$A:$O,12,FALSE)</f>
        <v>#N/A</v>
      </c>
      <c r="K94" t="e">
        <f>IF(J94&lt;&gt;"",
VLOOKUP(
"*"&amp;IF(COUNTIF(J94,"*キャラ弁*"),"キャラ",
IF(COUNTIF(J94,"*赤*"),"赤",SUBSTITUTE(SUBSTITUTE(J94," ",""),"　","")))&amp;"*",
注文弁当の抽出!$F:$I,4,FALSE)&amp;
IF(COUNTIF(J94,"*おにぎり*"),"　おにぎり",""),"")</f>
        <v>#N/A</v>
      </c>
      <c r="L94" t="e">
        <f>IF(K94&lt;&gt;"",
VLOOKUP(C94,クライアント抽出!$A:$G,4,FALSE)+AA94,"")</f>
        <v>#N/A</v>
      </c>
      <c r="M94" t="e">
        <f>VLOOKUP(C94,クライアント抽出!$A:$O,13,FALSE)</f>
        <v>#N/A</v>
      </c>
      <c r="N94" t="e">
        <f>SUBSTITUTE(
IF(M94&lt;&gt;"",
VLOOKUP(
"*"&amp;IF(COUNTIF(M94,"*キャラ弁*"),"キャラ",
IF(COUNTIF(M94,"*赤*"),"赤",SUBSTITUTE(SUBSTITUTE(D94," ",""),"　","")))&amp;"*",
注文弁当の抽出!$F:$I,4,FALSE),""),"園児","先生")&amp;
IF(COUNTIF(M94,"*おにぎり*"),"　おにぎり","")</f>
        <v>#N/A</v>
      </c>
      <c r="O94" t="e">
        <f>IF(N94&lt;&gt;"",VLOOKUP(C94,クライアント抽出!$A:$G,5,FALSE),"")</f>
        <v>#N/A</v>
      </c>
      <c r="P94" t="e">
        <f>VLOOKUP(C94,クライアント抽出!$A:$O,14,FALSE)</f>
        <v>#N/A</v>
      </c>
      <c r="Q94" t="e">
        <f>SUBSTITUTE(
IF(P94&lt;&gt;"",
VLOOKUP(
"*"&amp;IF(COUNTIF(P94,"*キャラ弁*"),"キャラ",
IF(COUNTIF(P94,"*赤*"),"赤",SUBSTITUTE(SUBSTITUTE(G94," ",""),"　","")))&amp;"*",
注文弁当の抽出!$F:$I,4,FALSE),""),"園児","先生")&amp;
IF(COUNTIF(P94,"*おにぎり*"),"　おにぎり","")</f>
        <v>#N/A</v>
      </c>
      <c r="R94" t="e">
        <f>IF(Q94&lt;&gt;"",
VLOOKUP(C94,クライアント抽出!$A:$G,6,FALSE),"")</f>
        <v>#N/A</v>
      </c>
      <c r="S94" t="e">
        <f>VLOOKUP(C94,クライアント抽出!$A:$O,15,FALSE)</f>
        <v>#N/A</v>
      </c>
      <c r="T94" t="e">
        <f>SUBSTITUTE(
IF(S94&lt;&gt;"",
VLOOKUP(
"*"&amp;IF(COUNTIF(S94,"*キャラ弁*"),"キャラ",
IF(COUNTIF(S94,"*赤*"),"赤",SUBSTITUTE(SUBSTITUTE(J94," ",""),"　","")))&amp;"*",
注文弁当の抽出!$F:$I,4,FALSE),""),"園児","先生")&amp;
IF(COUNTIF(S94,"*おにぎり*"),"　おにぎり","")</f>
        <v>#N/A</v>
      </c>
      <c r="U94" t="e">
        <f>IF(T94&lt;&gt;"",
VLOOKUP(C94,クライアント抽出!$A:$G,7,FALSE),"")</f>
        <v>#N/A</v>
      </c>
      <c r="V94" t="e">
        <f>IF(A94&lt;&gt;"",
IF(COUNTIF(V93,"*牛乳*"),
IF(AND(COUNTIF(B93,"*奈良屋*"),COUNTIF(B94,"*奈良屋*")),
V93&amp;"✔",""),VLOOKUP(""&amp;A94&amp;"",数出表_Excel!$A:$Z,22,FALSE)&amp;VLOOKUP(""&amp;A94&amp;"",数出表_Excel!$A:$Z,23,FALSE)
&amp;VLOOKUP(""&amp;C94&amp;"",数出表_Excel!$A:$Z,22,FALSE)&amp;VLOOKUP(""&amp;C94&amp;"",数出表_Excel!$A:$Z,23,FALSE)),"")</f>
        <v>#N/A</v>
      </c>
      <c r="W94" t="e">
        <f>IF(AND(COUNTIF(V94,"&lt;&gt;*不要*"),A94&lt;&gt;""),VLOOKUP(A94,得意先マスタ!$A:$AD,24,FALSE),0)</f>
        <v>#N/A</v>
      </c>
      <c r="X94" t="e">
        <f>IF(AND(COUNTIF(V94,"&lt;&gt;*不要*"),A94&lt;&gt;""),VLOOKUP(A94,得意先マスタ!$A:$AD,25,FALSE),0)</f>
        <v>#N/A</v>
      </c>
      <c r="Y94" t="e">
        <f t="shared" si="20"/>
        <v>#N/A</v>
      </c>
      <c r="Z94" t="e">
        <f t="shared" si="21"/>
        <v>#N/A</v>
      </c>
      <c r="AA94" t="e">
        <f t="shared" si="25"/>
        <v>#N/A</v>
      </c>
      <c r="AB94" t="e">
        <f t="shared" si="22"/>
        <v>#N/A</v>
      </c>
      <c r="AC94" t="str">
        <f t="array" ref="AC94">IFERROR(INDEX(94:94, SMALL(IF($D94:$U94&lt;&gt;"", COLUMN($D$1:$U94)), COLUMN(A94))), "")</f>
        <v/>
      </c>
      <c r="AD94" t="str">
        <f t="array" ref="AD94">IFERROR(INDEX(94:94, SMALL(IF($D94:$U94&lt;&gt;"", COLUMN($D$1:$U94)), COLUMN(B94))), "")</f>
        <v/>
      </c>
      <c r="AE94" t="str">
        <f t="array" ref="AE94">IFERROR(INDEX(94:94, SMALL(IF($D94:$U94&lt;&gt;"", COLUMN($D$1:$U94)), COLUMN(C94))), "")</f>
        <v/>
      </c>
      <c r="AF94" t="str">
        <f t="array" ref="AF94">IFERROR(INDEX(94:94, SMALL(IF($D94:$U94&lt;&gt;"", COLUMN($D$1:$U94)), COLUMN(D94))), "")</f>
        <v/>
      </c>
      <c r="AG94" t="str">
        <f t="array" ref="AG94">IFERROR(INDEX(94:94, SMALL(IF($D94:$U94&lt;&gt;"", COLUMN($D$1:$U94)), COLUMN(E94))), "")</f>
        <v/>
      </c>
      <c r="AH94" t="str">
        <f t="array" ref="AH94">IFERROR(INDEX(94:94, SMALL(IF($D94:$U94&lt;&gt;"", COLUMN($D$1:$U94)), COLUMN(F94))), "")</f>
        <v/>
      </c>
      <c r="AI94" t="str">
        <f t="array" ref="AI94">IFERROR(INDEX(94:94, SMALL(IF($D94:$U94&lt;&gt;"", COLUMN($D$1:$U94)), COLUMN(G94))), "")</f>
        <v/>
      </c>
      <c r="AJ94" t="str">
        <f t="array" ref="AJ94">IFERROR(INDEX(94:94, SMALL(IF($D94:$U94&lt;&gt;"", COLUMN($D$1:$U94)), COLUMN(H94))), "")</f>
        <v/>
      </c>
      <c r="AK94" t="str">
        <f t="array" ref="AK94">IFERROR(INDEX(94:94, SMALL(IF($D94:$U94&lt;&gt;"", COLUMN($D$1:$U94)), COLUMN(I94))), "")</f>
        <v/>
      </c>
      <c r="AL94" t="str">
        <f t="array" ref="AL94">IFERROR(INDEX(94:94, SMALL(IF($D94:$U94&lt;&gt;"", COLUMN($D$1:$U94)), COLUMN(J94))), "")</f>
        <v/>
      </c>
      <c r="AM94" t="str">
        <f t="array" ref="AM94">IFERROR(INDEX(94:94, SMALL(IF($D94:$U94&lt;&gt;"", COLUMN($D$1:$U94)), COLUMN(K94))), "")</f>
        <v/>
      </c>
      <c r="AN94" t="str">
        <f t="array" ref="AN94">IFERROR(INDEX(94:94, SMALL(IF($D94:$U94&lt;&gt;"", COLUMN($D$1:$U94)), COLUMN(L94))), "")</f>
        <v/>
      </c>
      <c r="AO94" t="str">
        <f t="array" ref="AO94">IFERROR(INDEX(94:94, SMALL(IF($D94:$U94&lt;&gt;"", COLUMN($D$1:$U94)), COLUMN(M94))), "")</f>
        <v/>
      </c>
      <c r="AP94" t="str">
        <f t="array" ref="AP94">IFERROR(INDEX(94:94, SMALL(IF($D94:$U94&lt;&gt;"", COLUMN($D$1:$U94)), COLUMN(N94))), "")</f>
        <v/>
      </c>
      <c r="AQ94" t="str">
        <f t="array" ref="AQ94">IFERROR(INDEX(94:94, SMALL(IF($D94:$U94&lt;&gt;"", COLUMN($D$1:$U94)), COLUMN(O94))), "")</f>
        <v/>
      </c>
      <c r="AR94" s="52" t="s">
        <v>4005</v>
      </c>
      <c r="AS94" t="e">
        <f t="shared" si="23"/>
        <v>#N/A</v>
      </c>
      <c r="AT94" t="e">
        <f t="shared" si="24"/>
        <v>#N/A</v>
      </c>
      <c r="AU94" t="e">
        <f t="shared" si="26"/>
        <v>#N/A</v>
      </c>
      <c r="AV94" t="e">
        <f t="shared" si="27"/>
        <v>#N/A</v>
      </c>
      <c r="AW94" t="e">
        <f t="shared" si="28"/>
        <v>#N/A</v>
      </c>
      <c r="AX94" t="e">
        <f t="shared" si="29"/>
        <v>#N/A</v>
      </c>
      <c r="AZ94" t="str">
        <f t="array" ref="AZ94">IFERROR(INDEX(94:94, SMALL(IF($AC94:$AX94&lt;&gt;"", COLUMN($AC$1:$AX94)), COLUMN(A94))), "")</f>
        <v/>
      </c>
      <c r="BA94" t="str">
        <f t="array" ref="BA94">IFERROR(INDEX(94:94, SMALL(IF($AC94:$AX94&lt;&gt;"", COLUMN($AC$1:$AX94)), COLUMN(B94))), "")</f>
        <v/>
      </c>
      <c r="BB94" t="str">
        <f t="array" ref="BB94">IFERROR(INDEX(94:94, SMALL(IF($AC94:$AX94&lt;&gt;"", COLUMN($AC$1:$AX94)), COLUMN(C94))), "")</f>
        <v/>
      </c>
      <c r="BC94" t="str">
        <f t="array" ref="BC94">IFERROR(INDEX(94:94, SMALL(IF($AC94:$AX94&lt;&gt;"", COLUMN($AC$1:$AX94)), COLUMN(D94))), "")</f>
        <v/>
      </c>
      <c r="BD94" t="str">
        <f t="array" ref="BD94">IFERROR(INDEX(94:94, SMALL(IF($AC94:$AX94&lt;&gt;"", COLUMN($AC$1:$AX94)), COLUMN(E94))), "")</f>
        <v/>
      </c>
      <c r="BE94" t="str">
        <f t="array" ref="BE94">IFERROR(INDEX(94:94, SMALL(IF($AC94:$AX94&lt;&gt;"", COLUMN($AC$1:$AX94)), COLUMN(F94))), "")</f>
        <v/>
      </c>
      <c r="BF94" t="str">
        <f t="array" ref="BF94">IFERROR(IF(AND(COUNTIF($B94,"*泉ヶ丘*"),COUNTIF($B95,"*泉ヶ丘*")),
IFERROR(INDEX(95:95, SMALL(IF($AC95:$AX95&lt;&gt;"", COLUMN($AC$1:$AX95)), COLUMN(A95))), ""),
INDEX(94:94, SMALL(IF($AC94:$AX94&lt;&gt;"", COLUMN($AC$1:$AX94)), COLUMN(G94)))), "")</f>
        <v/>
      </c>
      <c r="BG94" t="str">
        <f t="array" ref="BG94">IFERROR(IF(AND(COUNTIF($B94,"*泉ヶ丘*"),COUNTIF($B95,"*泉ヶ丘*")),
IFERROR(INDEX(95:95, SMALL(IF($AC95:$AX95&lt;&gt;"", COLUMN($AC$1:$AX95)), COLUMN(B95))), ""),
INDEX(94:94, SMALL(IF($AC94:$AX94&lt;&gt;"", COLUMN($AC$1:$AX94)), COLUMN(H94)))), "")</f>
        <v/>
      </c>
      <c r="BH94" t="str">
        <f t="array" ref="BH94">IFERROR(IF(AND(COUNTIF($B94,"*泉ヶ丘*"),COUNTIF($B95,"*泉ヶ丘*")),
IFERROR(INDEX(95:95, SMALL(IF($AC95:$AX95&lt;&gt;"", COLUMN($AC$1:$AX95)), COLUMN(C95))), ""),
INDEX(94:94, SMALL(IF($AC94:$AX94&lt;&gt;"", COLUMN($AC$1:$AX94)), COLUMN(I94)))), "")</f>
        <v/>
      </c>
      <c r="BI94" t="str">
        <f t="array" ref="BI94">IFERROR(IF(AND(COUNTIF($B94,"*泉ヶ丘*"),COUNTIF($B95,"*泉ヶ丘*")),
IFERROR(INDEX(95:95, SMALL(IF($AC95:$AX95&lt;&gt;"", COLUMN($AC$1:$AX95)), COLUMN(D95))), ""),
INDEX(94:94, SMALL(IF($AC94:$AX94&lt;&gt;"", COLUMN($AC$1:$AX94)), COLUMN(J94)))), "")</f>
        <v/>
      </c>
      <c r="BJ94" t="str">
        <f t="array" ref="BJ94">IFERROR(IF(AND(COUNTIF($B94,"*泉ヶ丘*"),COUNTIF($B95,"*泉ヶ丘*")),
IFERROR(INDEX(95:95, SMALL(IF($AC95:$AX95&lt;&gt;"", COLUMN($AC$1:$AX95)), COLUMN(E95))), ""),
INDEX(94:94, SMALL(IF($AC94:$AX94&lt;&gt;"", COLUMN($AC$1:$AX94)), COLUMN(K94)))), "")</f>
        <v/>
      </c>
      <c r="BK94" t="str">
        <f t="array" ref="BK94">IFERROR(IF(AND(COUNTIF($B94,"*泉ヶ丘*"),COUNTIF($B95,"*泉ヶ丘*")),
IFERROR(INDEX(95:95, SMALL(IF($AC95:$AX95&lt;&gt;"", COLUMN($AC$1:$AX95)), COLUMN(F95))), ""),
INDEX(94:94, SMALL(IF($AC94:$AX94&lt;&gt;"", COLUMN($AC$1:$AX94)), COLUMN(L94)))), "")</f>
        <v/>
      </c>
      <c r="BL94" t="str">
        <f t="array" ref="BL94">IFERROR(IF(AND(COUNTIF($B94,"*泉ヶ丘*"),COUNTIF($B95,"*泉ヶ丘*")),
IFERROR(INDEX(95:95, SMALL(IF($AC95:$AX95&lt;&gt;"", COLUMN($AC$1:$AX95)), COLUMN(G95))), ""),
INDEX(94:94, SMALL(IF($AC94:$AX94&lt;&gt;"", COLUMN($AC$1:$AX94)), COLUMN(M94)))), "")</f>
        <v/>
      </c>
      <c r="BM94" t="str">
        <f t="array" ref="BM94">IFERROR(IF(AND(COUNTIF($B94,"*泉ヶ丘*"),COUNTIF($B95,"*泉ヶ丘*")),
IFERROR(INDEX(95:95, SMALL(IF($AC95:$AX95&lt;&gt;"", COLUMN($AC$1:$AX95)), COLUMN(H95))), ""),
INDEX(94:94, SMALL(IF($AC94:$AX94&lt;&gt;"", COLUMN($AC$1:$AX94)), COLUMN(N94)))), "")</f>
        <v/>
      </c>
      <c r="BN94" t="str">
        <f t="array" ref="BN94">IFERROR(IF(AND(COUNTIF($B94,"*泉ヶ丘*"),COUNTIF($B95,"*泉ヶ丘*")),
IFERROR(INDEX(95:95, SMALL(IF($AC95:$AX95&lt;&gt;"", COLUMN($AC$1:$AX95)), COLUMN(I95))), ""),
INDEX(94:94, SMALL(IF($AC94:$AX94&lt;&gt;"", COLUMN($AC$1:$AX94)), COLUMN(O94)))), "")</f>
        <v/>
      </c>
      <c r="BO94" t="str">
        <f t="array" ref="BO94">IFERROR(IF(AND(COUNTIF($B94,"*泉ヶ丘*"),COUNTIF($B95,"*泉ヶ丘*")),
IFERROR(INDEX(95:95, SMALL(IF($AC95:$AX95&lt;&gt;"", COLUMN($AC$1:$AX95)), COLUMN(J95))), ""),
INDEX(94:94, SMALL(IF($AC94:$AX94&lt;&gt;"", COLUMN($AC$1:$AX94)), COLUMN(P94)))), "")</f>
        <v/>
      </c>
      <c r="BP94" t="str">
        <f t="array" ref="BP94">IFERROR(IF(AND(COUNTIF($B94,"*泉ヶ丘*"),COUNTIF($B95,"*泉ヶ丘*")),
IFERROR(INDEX(95:95, SMALL(IF($AC95:$AX95&lt;&gt;"", COLUMN($AC$1:$AX95)), COLUMN(K95))), ""),
INDEX(94:94, SMALL(IF($AC94:$AX94&lt;&gt;"", COLUMN($AC$1:$AX94)), COLUMN(Q94)))), "")</f>
        <v/>
      </c>
      <c r="BQ94" t="str">
        <f t="array" ref="BQ94">IFERROR(IF(AND(COUNTIF($B94,"*泉ヶ丘*"),COUNTIF($B95,"*泉ヶ丘*")),
IFERROR(INDEX(95:95, SMALL(IF($AC95:$AX95&lt;&gt;"", COLUMN($AC$1:$AX95)), COLUMN(L95))), ""),
INDEX(94:94, SMALL(IF($AC94:$AX94&lt;&gt;"", COLUMN($AC$1:$AX94)), COLUMN(R94)))), "")</f>
        <v/>
      </c>
    </row>
    <row r="95" spans="1:69" x14ac:dyDescent="0.45">
      <c r="A95" t="e">
        <f t="array" ref="A95">IF(INDEX(貼り付け用!A:A,MATCH(A94,貼り付け用!A:A,0)+2)="4700",
IF(INDEX(貼り付け用!A:A,MATCH(A94,貼り付け用!A:A,0)+4)="4800",
INDEX(貼り付け用!A:A,MATCH(A94,貼り付け用!A:A,0)+6),
INDEX(貼り付け用!A:A,MATCH(A94,貼り付け用!A:A,0)+4)),INDEX(貼り付け用!A:A,MATCH(A94,貼り付け用!A:A,0)+2))</f>
        <v>#N/A</v>
      </c>
      <c r="B95" t="e">
        <f>IF(A95&lt;&gt;"",
VLOOKUP(A95,得意先マスタ!A:D,2,FALSE),"")</f>
        <v>#N/A</v>
      </c>
      <c r="C95" t="e">
        <f t="array" ref="C95">IF(A95="10000","",INDEX(貼り付け用!A:A,MATCH(A95,貼り付け用!A:A,0)+1))</f>
        <v>#N/A</v>
      </c>
      <c r="D95" t="e">
        <f>VLOOKUP(C95,クライアント抽出!$A:$O,10,FALSE)</f>
        <v>#N/A</v>
      </c>
      <c r="E95" t="e">
        <f>IF(D95&lt;&gt;"",
IF(COUNTIF(C95,"*ぺんぎん*"),
VLOOKUP(
"*"&amp;IF(COUNTIF(D95,"*キャラ弁*"),"キャラ",
IF(COUNTIF(D95,"*赤*"),"赤",SUBSTITUTE(SUBSTITUTE(D95," ",""),"　","")))&amp;"*",
注文弁当の抽出!$F:$I,4,FALSE)&amp;
IF(COUNTIF(D95,"*おにぎり*"),"　おにぎり","")&amp;"　（ぺんぎん組）",
VLOOKUP(
"*"&amp;IF(COUNTIF(D95,"*キャラ弁*"),"キャラ",
IF(COUNTIF(D95,"*赤*"),"赤",SUBSTITUTE(SUBSTITUTE(D95," ",""),"　","")))&amp;"*",
注文弁当の抽出!$F:$I,4,FALSE)&amp;
IF(COUNTIF(D95,"*おにぎり*"),"　おにぎり","")),"")</f>
        <v>#N/A</v>
      </c>
      <c r="F95" t="str">
        <f>IFERROR(IF(E95&lt;&gt;"",
VLOOKUP(C95,クライアント抽出!$A:$G,2,FALSE)+
IF(COUNTIF(Y95,"*-*"),Y95,0),"")
-IFERROR(MID(V95, SEARCH("予備", V95) + LEN("予備"), SEARCH("込み", V95) - (SEARCH("予備", V95) + LEN("予備"))),0),"")</f>
        <v/>
      </c>
      <c r="G95" t="e">
        <f>VLOOKUP(C95,クライアント抽出!$A:$O,11,FALSE)</f>
        <v>#N/A</v>
      </c>
      <c r="H95" t="e">
        <f>IF(G95&lt;&gt;"",
VLOOKUP(
"*"&amp;IF(COUNTIF(G95,"*キャラ弁*"),"キャラ",
IF(COUNTIF(G95,"*赤*"),"赤",SUBSTITUTE(SUBSTITUTE(G95," ",""),"　","")))&amp;"*",
注文弁当の抽出!$F:$I,4,FALSE)&amp;
IF(COUNTIF(G95,"*おにぎり*"),"　おにぎり",""),"")</f>
        <v>#N/A</v>
      </c>
      <c r="I95" t="e">
        <f>IF(H95&lt;&gt;"",
VLOOKUP(C95,クライアント抽出!$A:$G,3,FALSE)+
IF(COUNTIF(C95,"*博多*"),Y95,Z95),"")</f>
        <v>#N/A</v>
      </c>
      <c r="J95" t="e">
        <f>VLOOKUP(C95,クライアント抽出!$A:$O,12,FALSE)</f>
        <v>#N/A</v>
      </c>
      <c r="K95" t="e">
        <f>IF(J95&lt;&gt;"",
VLOOKUP(
"*"&amp;IF(COUNTIF(J95,"*キャラ弁*"),"キャラ",
IF(COUNTIF(J95,"*赤*"),"赤",SUBSTITUTE(SUBSTITUTE(J95," ",""),"　","")))&amp;"*",
注文弁当の抽出!$F:$I,4,FALSE)&amp;
IF(COUNTIF(J95,"*おにぎり*"),"　おにぎり",""),"")</f>
        <v>#N/A</v>
      </c>
      <c r="L95" t="e">
        <f>IF(K95&lt;&gt;"",
VLOOKUP(C95,クライアント抽出!$A:$G,4,FALSE)+AA95,"")</f>
        <v>#N/A</v>
      </c>
      <c r="M95" t="e">
        <f>VLOOKUP(C95,クライアント抽出!$A:$O,13,FALSE)</f>
        <v>#N/A</v>
      </c>
      <c r="N95" t="e">
        <f>SUBSTITUTE(
IF(M95&lt;&gt;"",
VLOOKUP(
"*"&amp;IF(COUNTIF(M95,"*キャラ弁*"),"キャラ",
IF(COUNTIF(M95,"*赤*"),"赤",SUBSTITUTE(SUBSTITUTE(D95," ",""),"　","")))&amp;"*",
注文弁当の抽出!$F:$I,4,FALSE),""),"園児","先生")&amp;
IF(COUNTIF(M95,"*おにぎり*"),"　おにぎり","")</f>
        <v>#N/A</v>
      </c>
      <c r="O95" t="e">
        <f>IF(N95&lt;&gt;"",VLOOKUP(C95,クライアント抽出!$A:$G,5,FALSE),"")</f>
        <v>#N/A</v>
      </c>
      <c r="P95" t="e">
        <f>VLOOKUP(C95,クライアント抽出!$A:$O,14,FALSE)</f>
        <v>#N/A</v>
      </c>
      <c r="Q95" t="e">
        <f>SUBSTITUTE(
IF(P95&lt;&gt;"",
VLOOKUP(
"*"&amp;IF(COUNTIF(P95,"*キャラ弁*"),"キャラ",
IF(COUNTIF(P95,"*赤*"),"赤",SUBSTITUTE(SUBSTITUTE(G95," ",""),"　","")))&amp;"*",
注文弁当の抽出!$F:$I,4,FALSE),""),"園児","先生")&amp;
IF(COUNTIF(P95,"*おにぎり*"),"　おにぎり","")</f>
        <v>#N/A</v>
      </c>
      <c r="R95" t="e">
        <f>IF(Q95&lt;&gt;"",
VLOOKUP(C95,クライアント抽出!$A:$G,6,FALSE),"")</f>
        <v>#N/A</v>
      </c>
      <c r="S95" t="e">
        <f>VLOOKUP(C95,クライアント抽出!$A:$O,15,FALSE)</f>
        <v>#N/A</v>
      </c>
      <c r="T95" t="e">
        <f>SUBSTITUTE(
IF(S95&lt;&gt;"",
VLOOKUP(
"*"&amp;IF(COUNTIF(S95,"*キャラ弁*"),"キャラ",
IF(COUNTIF(S95,"*赤*"),"赤",SUBSTITUTE(SUBSTITUTE(J95," ",""),"　","")))&amp;"*",
注文弁当の抽出!$F:$I,4,FALSE),""),"園児","先生")&amp;
IF(COUNTIF(S95,"*おにぎり*"),"　おにぎり","")</f>
        <v>#N/A</v>
      </c>
      <c r="U95" t="e">
        <f>IF(T95&lt;&gt;"",
VLOOKUP(C95,クライアント抽出!$A:$G,7,FALSE),"")</f>
        <v>#N/A</v>
      </c>
      <c r="V95" t="e">
        <f>IF(A95&lt;&gt;"",
IF(COUNTIF(V94,"*牛乳*"),
IF(AND(COUNTIF(B94,"*奈良屋*"),COUNTIF(B95,"*奈良屋*")),
V94&amp;"✔",""),VLOOKUP(""&amp;A95&amp;"",数出表_Excel!$A:$Z,22,FALSE)&amp;VLOOKUP(""&amp;A95&amp;"",数出表_Excel!$A:$Z,23,FALSE)
&amp;VLOOKUP(""&amp;C95&amp;"",数出表_Excel!$A:$Z,22,FALSE)&amp;VLOOKUP(""&amp;C95&amp;"",数出表_Excel!$A:$Z,23,FALSE)),"")</f>
        <v>#N/A</v>
      </c>
      <c r="W95" t="e">
        <f>IF(AND(COUNTIF(V95,"&lt;&gt;*不要*"),A95&lt;&gt;""),VLOOKUP(A95,得意先マスタ!$A:$AD,24,FALSE),0)</f>
        <v>#N/A</v>
      </c>
      <c r="X95" t="e">
        <f>IF(AND(COUNTIF(V95,"&lt;&gt;*不要*"),A95&lt;&gt;""),VLOOKUP(A95,得意先マスタ!$A:$AD,25,FALSE),0)</f>
        <v>#N/A</v>
      </c>
      <c r="Y95" t="e">
        <f t="shared" si="20"/>
        <v>#N/A</v>
      </c>
      <c r="Z95" t="e">
        <f t="shared" si="21"/>
        <v>#N/A</v>
      </c>
      <c r="AA95" t="e">
        <f t="shared" si="25"/>
        <v>#N/A</v>
      </c>
      <c r="AB95" t="e">
        <f t="shared" si="22"/>
        <v>#N/A</v>
      </c>
      <c r="AC95" t="str">
        <f t="array" ref="AC95">IFERROR(INDEX(95:95, SMALL(IF($D95:$U95&lt;&gt;"", COLUMN($D$1:$U95)), COLUMN(A95))), "")</f>
        <v/>
      </c>
      <c r="AD95" t="str">
        <f t="array" ref="AD95">IFERROR(INDEX(95:95, SMALL(IF($D95:$U95&lt;&gt;"", COLUMN($D$1:$U95)), COLUMN(B95))), "")</f>
        <v/>
      </c>
      <c r="AE95" t="str">
        <f t="array" ref="AE95">IFERROR(INDEX(95:95, SMALL(IF($D95:$U95&lt;&gt;"", COLUMN($D$1:$U95)), COLUMN(C95))), "")</f>
        <v/>
      </c>
      <c r="AF95" t="str">
        <f t="array" ref="AF95">IFERROR(INDEX(95:95, SMALL(IF($D95:$U95&lt;&gt;"", COLUMN($D$1:$U95)), COLUMN(D95))), "")</f>
        <v/>
      </c>
      <c r="AG95" t="str">
        <f t="array" ref="AG95">IFERROR(INDEX(95:95, SMALL(IF($D95:$U95&lt;&gt;"", COLUMN($D$1:$U95)), COLUMN(E95))), "")</f>
        <v/>
      </c>
      <c r="AH95" t="str">
        <f t="array" ref="AH95">IFERROR(INDEX(95:95, SMALL(IF($D95:$U95&lt;&gt;"", COLUMN($D$1:$U95)), COLUMN(F95))), "")</f>
        <v/>
      </c>
      <c r="AI95" t="str">
        <f t="array" ref="AI95">IFERROR(INDEX(95:95, SMALL(IF($D95:$U95&lt;&gt;"", COLUMN($D$1:$U95)), COLUMN(G95))), "")</f>
        <v/>
      </c>
      <c r="AJ95" t="str">
        <f t="array" ref="AJ95">IFERROR(INDEX(95:95, SMALL(IF($D95:$U95&lt;&gt;"", COLUMN($D$1:$U95)), COLUMN(H95))), "")</f>
        <v/>
      </c>
      <c r="AK95" t="str">
        <f t="array" ref="AK95">IFERROR(INDEX(95:95, SMALL(IF($D95:$U95&lt;&gt;"", COLUMN($D$1:$U95)), COLUMN(I95))), "")</f>
        <v/>
      </c>
      <c r="AL95" t="str">
        <f t="array" ref="AL95">IFERROR(INDEX(95:95, SMALL(IF($D95:$U95&lt;&gt;"", COLUMN($D$1:$U95)), COLUMN(J95))), "")</f>
        <v/>
      </c>
      <c r="AM95" t="str">
        <f t="array" ref="AM95">IFERROR(INDEX(95:95, SMALL(IF($D95:$U95&lt;&gt;"", COLUMN($D$1:$U95)), COLUMN(K95))), "")</f>
        <v/>
      </c>
      <c r="AN95" t="str">
        <f t="array" ref="AN95">IFERROR(INDEX(95:95, SMALL(IF($D95:$U95&lt;&gt;"", COLUMN($D$1:$U95)), COLUMN(L95))), "")</f>
        <v/>
      </c>
      <c r="AO95" t="str">
        <f t="array" ref="AO95">IFERROR(INDEX(95:95, SMALL(IF($D95:$U95&lt;&gt;"", COLUMN($D$1:$U95)), COLUMN(M95))), "")</f>
        <v/>
      </c>
      <c r="AP95" t="str">
        <f t="array" ref="AP95">IFERROR(INDEX(95:95, SMALL(IF($D95:$U95&lt;&gt;"", COLUMN($D$1:$U95)), COLUMN(N95))), "")</f>
        <v/>
      </c>
      <c r="AQ95" t="str">
        <f t="array" ref="AQ95">IFERROR(INDEX(95:95, SMALL(IF($D95:$U95&lt;&gt;"", COLUMN($D$1:$U95)), COLUMN(O95))), "")</f>
        <v/>
      </c>
      <c r="AR95" s="52" t="s">
        <v>4005</v>
      </c>
      <c r="AS95" t="e">
        <f t="shared" si="23"/>
        <v>#N/A</v>
      </c>
      <c r="AT95" t="e">
        <f t="shared" si="24"/>
        <v>#N/A</v>
      </c>
      <c r="AU95" t="e">
        <f t="shared" si="26"/>
        <v>#N/A</v>
      </c>
      <c r="AV95" t="e">
        <f t="shared" si="27"/>
        <v>#N/A</v>
      </c>
      <c r="AW95" t="e">
        <f t="shared" si="28"/>
        <v>#N/A</v>
      </c>
      <c r="AX95" t="e">
        <f t="shared" si="29"/>
        <v>#N/A</v>
      </c>
      <c r="AZ95" t="str">
        <f t="array" ref="AZ95">IFERROR(INDEX(95:95, SMALL(IF($AC95:$AX95&lt;&gt;"", COLUMN($AC$1:$AX95)), COLUMN(A95))), "")</f>
        <v/>
      </c>
      <c r="BA95" t="str">
        <f t="array" ref="BA95">IFERROR(INDEX(95:95, SMALL(IF($AC95:$AX95&lt;&gt;"", COLUMN($AC$1:$AX95)), COLUMN(B95))), "")</f>
        <v/>
      </c>
      <c r="BB95" t="str">
        <f t="array" ref="BB95">IFERROR(INDEX(95:95, SMALL(IF($AC95:$AX95&lt;&gt;"", COLUMN($AC$1:$AX95)), COLUMN(C95))), "")</f>
        <v/>
      </c>
      <c r="BC95" t="str">
        <f t="array" ref="BC95">IFERROR(INDEX(95:95, SMALL(IF($AC95:$AX95&lt;&gt;"", COLUMN($AC$1:$AX95)), COLUMN(D95))), "")</f>
        <v/>
      </c>
      <c r="BD95" t="str">
        <f t="array" ref="BD95">IFERROR(INDEX(95:95, SMALL(IF($AC95:$AX95&lt;&gt;"", COLUMN($AC$1:$AX95)), COLUMN(E95))), "")</f>
        <v/>
      </c>
      <c r="BE95" t="str">
        <f t="array" ref="BE95">IFERROR(INDEX(95:95, SMALL(IF($AC95:$AX95&lt;&gt;"", COLUMN($AC$1:$AX95)), COLUMN(F95))), "")</f>
        <v/>
      </c>
      <c r="BF95" t="str">
        <f t="array" ref="BF95">IFERROR(IF(AND(COUNTIF($B95,"*泉ヶ丘*"),COUNTIF($B96,"*泉ヶ丘*")),
IFERROR(INDEX(96:96, SMALL(IF($AC96:$AX96&lt;&gt;"", COLUMN($AC$1:$AX96)), COLUMN(A96))), ""),
INDEX(95:95, SMALL(IF($AC95:$AX95&lt;&gt;"", COLUMN($AC$1:$AX95)), COLUMN(G95)))), "")</f>
        <v/>
      </c>
      <c r="BG95" t="str">
        <f t="array" ref="BG95">IFERROR(IF(AND(COUNTIF($B95,"*泉ヶ丘*"),COUNTIF($B96,"*泉ヶ丘*")),
IFERROR(INDEX(96:96, SMALL(IF($AC96:$AX96&lt;&gt;"", COLUMN($AC$1:$AX96)), COLUMN(B96))), ""),
INDEX(95:95, SMALL(IF($AC95:$AX95&lt;&gt;"", COLUMN($AC$1:$AX95)), COLUMN(H95)))), "")</f>
        <v/>
      </c>
      <c r="BH95" t="str">
        <f t="array" ref="BH95">IFERROR(IF(AND(COUNTIF($B95,"*泉ヶ丘*"),COUNTIF($B96,"*泉ヶ丘*")),
IFERROR(INDEX(96:96, SMALL(IF($AC96:$AX96&lt;&gt;"", COLUMN($AC$1:$AX96)), COLUMN(C96))), ""),
INDEX(95:95, SMALL(IF($AC95:$AX95&lt;&gt;"", COLUMN($AC$1:$AX95)), COLUMN(I95)))), "")</f>
        <v/>
      </c>
      <c r="BI95" t="str">
        <f t="array" ref="BI95">IFERROR(IF(AND(COUNTIF($B95,"*泉ヶ丘*"),COUNTIF($B96,"*泉ヶ丘*")),
IFERROR(INDEX(96:96, SMALL(IF($AC96:$AX96&lt;&gt;"", COLUMN($AC$1:$AX96)), COLUMN(D96))), ""),
INDEX(95:95, SMALL(IF($AC95:$AX95&lt;&gt;"", COLUMN($AC$1:$AX95)), COLUMN(J95)))), "")</f>
        <v/>
      </c>
      <c r="BJ95" t="str">
        <f t="array" ref="BJ95">IFERROR(IF(AND(COUNTIF($B95,"*泉ヶ丘*"),COUNTIF($B96,"*泉ヶ丘*")),
IFERROR(INDEX(96:96, SMALL(IF($AC96:$AX96&lt;&gt;"", COLUMN($AC$1:$AX96)), COLUMN(E96))), ""),
INDEX(95:95, SMALL(IF($AC95:$AX95&lt;&gt;"", COLUMN($AC$1:$AX95)), COLUMN(K95)))), "")</f>
        <v/>
      </c>
      <c r="BK95" t="str">
        <f t="array" ref="BK95">IFERROR(IF(AND(COUNTIF($B95,"*泉ヶ丘*"),COUNTIF($B96,"*泉ヶ丘*")),
IFERROR(INDEX(96:96, SMALL(IF($AC96:$AX96&lt;&gt;"", COLUMN($AC$1:$AX96)), COLUMN(F96))), ""),
INDEX(95:95, SMALL(IF($AC95:$AX95&lt;&gt;"", COLUMN($AC$1:$AX95)), COLUMN(L95)))), "")</f>
        <v/>
      </c>
      <c r="BL95" t="str">
        <f t="array" ref="BL95">IFERROR(IF(AND(COUNTIF($B95,"*泉ヶ丘*"),COUNTIF($B96,"*泉ヶ丘*")),
IFERROR(INDEX(96:96, SMALL(IF($AC96:$AX96&lt;&gt;"", COLUMN($AC$1:$AX96)), COLUMN(G96))), ""),
INDEX(95:95, SMALL(IF($AC95:$AX95&lt;&gt;"", COLUMN($AC$1:$AX95)), COLUMN(M95)))), "")</f>
        <v/>
      </c>
      <c r="BM95" t="str">
        <f t="array" ref="BM95">IFERROR(IF(AND(COUNTIF($B95,"*泉ヶ丘*"),COUNTIF($B96,"*泉ヶ丘*")),
IFERROR(INDEX(96:96, SMALL(IF($AC96:$AX96&lt;&gt;"", COLUMN($AC$1:$AX96)), COLUMN(H96))), ""),
INDEX(95:95, SMALL(IF($AC95:$AX95&lt;&gt;"", COLUMN($AC$1:$AX95)), COLUMN(N95)))), "")</f>
        <v/>
      </c>
      <c r="BN95" t="str">
        <f t="array" ref="BN95">IFERROR(IF(AND(COUNTIF($B95,"*泉ヶ丘*"),COUNTIF($B96,"*泉ヶ丘*")),
IFERROR(INDEX(96:96, SMALL(IF($AC96:$AX96&lt;&gt;"", COLUMN($AC$1:$AX96)), COLUMN(I96))), ""),
INDEX(95:95, SMALL(IF($AC95:$AX95&lt;&gt;"", COLUMN($AC$1:$AX95)), COLUMN(O95)))), "")</f>
        <v/>
      </c>
      <c r="BO95" t="str">
        <f t="array" ref="BO95">IFERROR(IF(AND(COUNTIF($B95,"*泉ヶ丘*"),COUNTIF($B96,"*泉ヶ丘*")),
IFERROR(INDEX(96:96, SMALL(IF($AC96:$AX96&lt;&gt;"", COLUMN($AC$1:$AX96)), COLUMN(J96))), ""),
INDEX(95:95, SMALL(IF($AC95:$AX95&lt;&gt;"", COLUMN($AC$1:$AX95)), COLUMN(P95)))), "")</f>
        <v/>
      </c>
      <c r="BP95" t="str">
        <f t="array" ref="BP95">IFERROR(IF(AND(COUNTIF($B95,"*泉ヶ丘*"),COUNTIF($B96,"*泉ヶ丘*")),
IFERROR(INDEX(96:96, SMALL(IF($AC96:$AX96&lt;&gt;"", COLUMN($AC$1:$AX96)), COLUMN(K96))), ""),
INDEX(95:95, SMALL(IF($AC95:$AX95&lt;&gt;"", COLUMN($AC$1:$AX95)), COLUMN(Q95)))), "")</f>
        <v/>
      </c>
      <c r="BQ95" t="str">
        <f t="array" ref="BQ95">IFERROR(IF(AND(COUNTIF($B95,"*泉ヶ丘*"),COUNTIF($B96,"*泉ヶ丘*")),
IFERROR(INDEX(96:96, SMALL(IF($AC96:$AX96&lt;&gt;"", COLUMN($AC$1:$AX96)), COLUMN(L96))), ""),
INDEX(95:95, SMALL(IF($AC95:$AX95&lt;&gt;"", COLUMN($AC$1:$AX95)), COLUMN(R95)))), "")</f>
        <v/>
      </c>
    </row>
    <row r="96" spans="1:69" x14ac:dyDescent="0.45">
      <c r="A96" t="e">
        <f t="array" ref="A96">IF(INDEX(貼り付け用!A:A,MATCH(A95,貼り付け用!A:A,0)+2)="4700",
IF(INDEX(貼り付け用!A:A,MATCH(A95,貼り付け用!A:A,0)+4)="4800",
INDEX(貼り付け用!A:A,MATCH(A95,貼り付け用!A:A,0)+6),
INDEX(貼り付け用!A:A,MATCH(A95,貼り付け用!A:A,0)+4)),INDEX(貼り付け用!A:A,MATCH(A95,貼り付け用!A:A,0)+2))</f>
        <v>#N/A</v>
      </c>
      <c r="B96" t="e">
        <f>IF(A96&lt;&gt;"",
VLOOKUP(A96,得意先マスタ!A:D,2,FALSE),"")</f>
        <v>#N/A</v>
      </c>
      <c r="C96" t="e">
        <f t="array" ref="C96">IF(A96="10000","",INDEX(貼り付け用!A:A,MATCH(A96,貼り付け用!A:A,0)+1))</f>
        <v>#N/A</v>
      </c>
      <c r="D96" t="e">
        <f>VLOOKUP(C96,クライアント抽出!$A:$O,10,FALSE)</f>
        <v>#N/A</v>
      </c>
      <c r="E96" t="e">
        <f>IF(D96&lt;&gt;"",
IF(COUNTIF(C96,"*ぺんぎん*"),
VLOOKUP(
"*"&amp;IF(COUNTIF(D96,"*キャラ弁*"),"キャラ",
IF(COUNTIF(D96,"*赤*"),"赤",SUBSTITUTE(SUBSTITUTE(D96," ",""),"　","")))&amp;"*",
注文弁当の抽出!$F:$I,4,FALSE)&amp;
IF(COUNTIF(D96,"*おにぎり*"),"　おにぎり","")&amp;"　（ぺんぎん組）",
VLOOKUP(
"*"&amp;IF(COUNTIF(D96,"*キャラ弁*"),"キャラ",
IF(COUNTIF(D96,"*赤*"),"赤",SUBSTITUTE(SUBSTITUTE(D96," ",""),"　","")))&amp;"*",
注文弁当の抽出!$F:$I,4,FALSE)&amp;
IF(COUNTIF(D96,"*おにぎり*"),"　おにぎり","")),"")</f>
        <v>#N/A</v>
      </c>
      <c r="F96" t="str">
        <f>IFERROR(IF(E96&lt;&gt;"",
VLOOKUP(C96,クライアント抽出!$A:$G,2,FALSE)+
IF(COUNTIF(Y96,"*-*"),Y96,0),"")
-IFERROR(MID(V96, SEARCH("予備", V96) + LEN("予備"), SEARCH("込み", V96) - (SEARCH("予備", V96) + LEN("予備"))),0),"")</f>
        <v/>
      </c>
      <c r="G96" t="e">
        <f>VLOOKUP(C96,クライアント抽出!$A:$O,11,FALSE)</f>
        <v>#N/A</v>
      </c>
      <c r="H96" t="e">
        <f>IF(G96&lt;&gt;"",
VLOOKUP(
"*"&amp;IF(COUNTIF(G96,"*キャラ弁*"),"キャラ",
IF(COUNTIF(G96,"*赤*"),"赤",SUBSTITUTE(SUBSTITUTE(G96," ",""),"　","")))&amp;"*",
注文弁当の抽出!$F:$I,4,FALSE)&amp;
IF(COUNTIF(G96,"*おにぎり*"),"　おにぎり",""),"")</f>
        <v>#N/A</v>
      </c>
      <c r="I96" t="e">
        <f>IF(H96&lt;&gt;"",
VLOOKUP(C96,クライアント抽出!$A:$G,3,FALSE)+
IF(COUNTIF(C96,"*博多*"),Y96,Z96),"")</f>
        <v>#N/A</v>
      </c>
      <c r="J96" t="e">
        <f>VLOOKUP(C96,クライアント抽出!$A:$O,12,FALSE)</f>
        <v>#N/A</v>
      </c>
      <c r="K96" t="e">
        <f>IF(J96&lt;&gt;"",
VLOOKUP(
"*"&amp;IF(COUNTIF(J96,"*キャラ弁*"),"キャラ",
IF(COUNTIF(J96,"*赤*"),"赤",SUBSTITUTE(SUBSTITUTE(J96," ",""),"　","")))&amp;"*",
注文弁当の抽出!$F:$I,4,FALSE)&amp;
IF(COUNTIF(J96,"*おにぎり*"),"　おにぎり",""),"")</f>
        <v>#N/A</v>
      </c>
      <c r="L96" t="e">
        <f>IF(K96&lt;&gt;"",
VLOOKUP(C96,クライアント抽出!$A:$G,4,FALSE)+AA96,"")</f>
        <v>#N/A</v>
      </c>
      <c r="M96" t="e">
        <f>VLOOKUP(C96,クライアント抽出!$A:$O,13,FALSE)</f>
        <v>#N/A</v>
      </c>
      <c r="N96" t="e">
        <f>SUBSTITUTE(
IF(M96&lt;&gt;"",
VLOOKUP(
"*"&amp;IF(COUNTIF(M96,"*キャラ弁*"),"キャラ",
IF(COUNTIF(M96,"*赤*"),"赤",SUBSTITUTE(SUBSTITUTE(D96," ",""),"　","")))&amp;"*",
注文弁当の抽出!$F:$I,4,FALSE),""),"園児","先生")&amp;
IF(COUNTIF(M96,"*おにぎり*"),"　おにぎり","")</f>
        <v>#N/A</v>
      </c>
      <c r="O96" t="e">
        <f>IF(N96&lt;&gt;"",VLOOKUP(C96,クライアント抽出!$A:$G,5,FALSE),"")</f>
        <v>#N/A</v>
      </c>
      <c r="P96" t="e">
        <f>VLOOKUP(C96,クライアント抽出!$A:$O,14,FALSE)</f>
        <v>#N/A</v>
      </c>
      <c r="Q96" t="e">
        <f>SUBSTITUTE(
IF(P96&lt;&gt;"",
VLOOKUP(
"*"&amp;IF(COUNTIF(P96,"*キャラ弁*"),"キャラ",
IF(COUNTIF(P96,"*赤*"),"赤",SUBSTITUTE(SUBSTITUTE(G96," ",""),"　","")))&amp;"*",
注文弁当の抽出!$F:$I,4,FALSE),""),"園児","先生")&amp;
IF(COUNTIF(P96,"*おにぎり*"),"　おにぎり","")</f>
        <v>#N/A</v>
      </c>
      <c r="R96" t="e">
        <f>IF(Q96&lt;&gt;"",
VLOOKUP(C96,クライアント抽出!$A:$G,6,FALSE),"")</f>
        <v>#N/A</v>
      </c>
      <c r="S96" t="e">
        <f>VLOOKUP(C96,クライアント抽出!$A:$O,15,FALSE)</f>
        <v>#N/A</v>
      </c>
      <c r="T96" t="e">
        <f>SUBSTITUTE(
IF(S96&lt;&gt;"",
VLOOKUP(
"*"&amp;IF(COUNTIF(S96,"*キャラ弁*"),"キャラ",
IF(COUNTIF(S96,"*赤*"),"赤",SUBSTITUTE(SUBSTITUTE(J96," ",""),"　","")))&amp;"*",
注文弁当の抽出!$F:$I,4,FALSE),""),"園児","先生")&amp;
IF(COUNTIF(S96,"*おにぎり*"),"　おにぎり","")</f>
        <v>#N/A</v>
      </c>
      <c r="U96" t="e">
        <f>IF(T96&lt;&gt;"",
VLOOKUP(C96,クライアント抽出!$A:$G,7,FALSE),"")</f>
        <v>#N/A</v>
      </c>
      <c r="V96" t="e">
        <f>IF(A96&lt;&gt;"",
IF(COUNTIF(V95,"*牛乳*"),
IF(AND(COUNTIF(B95,"*奈良屋*"),COUNTIF(B96,"*奈良屋*")),
V95&amp;"✔",""),VLOOKUP(""&amp;A96&amp;"",数出表_Excel!$A:$Z,22,FALSE)&amp;VLOOKUP(""&amp;A96&amp;"",数出表_Excel!$A:$Z,23,FALSE)
&amp;VLOOKUP(""&amp;C96&amp;"",数出表_Excel!$A:$Z,22,FALSE)&amp;VLOOKUP(""&amp;C96&amp;"",数出表_Excel!$A:$Z,23,FALSE)),"")</f>
        <v>#N/A</v>
      </c>
      <c r="W96" t="e">
        <f>IF(AND(COUNTIF(V96,"&lt;&gt;*不要*"),A96&lt;&gt;""),VLOOKUP(A96,得意先マスタ!$A:$AD,24,FALSE),0)</f>
        <v>#N/A</v>
      </c>
      <c r="X96" t="e">
        <f>IF(AND(COUNTIF(V96,"&lt;&gt;*不要*"),A96&lt;&gt;""),VLOOKUP(A96,得意先マスタ!$A:$AD,25,FALSE),0)</f>
        <v>#N/A</v>
      </c>
      <c r="Y96" t="e">
        <f t="shared" si="20"/>
        <v>#N/A</v>
      </c>
      <c r="Z96" t="e">
        <f t="shared" si="21"/>
        <v>#N/A</v>
      </c>
      <c r="AA96" t="e">
        <f t="shared" si="25"/>
        <v>#N/A</v>
      </c>
      <c r="AB96" t="e">
        <f t="shared" si="22"/>
        <v>#N/A</v>
      </c>
      <c r="AC96" t="str">
        <f t="array" ref="AC96">IFERROR(INDEX(96:96, SMALL(IF($D96:$U96&lt;&gt;"", COLUMN($D$1:$U96)), COLUMN(A96))), "")</f>
        <v/>
      </c>
      <c r="AD96" t="str">
        <f t="array" ref="AD96">IFERROR(INDEX(96:96, SMALL(IF($D96:$U96&lt;&gt;"", COLUMN($D$1:$U96)), COLUMN(B96))), "")</f>
        <v/>
      </c>
      <c r="AE96" t="str">
        <f t="array" ref="AE96">IFERROR(INDEX(96:96, SMALL(IF($D96:$U96&lt;&gt;"", COLUMN($D$1:$U96)), COLUMN(C96))), "")</f>
        <v/>
      </c>
      <c r="AF96" t="str">
        <f t="array" ref="AF96">IFERROR(INDEX(96:96, SMALL(IF($D96:$U96&lt;&gt;"", COLUMN($D$1:$U96)), COLUMN(D96))), "")</f>
        <v/>
      </c>
      <c r="AG96" t="str">
        <f t="array" ref="AG96">IFERROR(INDEX(96:96, SMALL(IF($D96:$U96&lt;&gt;"", COLUMN($D$1:$U96)), COLUMN(E96))), "")</f>
        <v/>
      </c>
      <c r="AH96" t="str">
        <f t="array" ref="AH96">IFERROR(INDEX(96:96, SMALL(IF($D96:$U96&lt;&gt;"", COLUMN($D$1:$U96)), COLUMN(F96))), "")</f>
        <v/>
      </c>
      <c r="AI96" t="str">
        <f t="array" ref="AI96">IFERROR(INDEX(96:96, SMALL(IF($D96:$U96&lt;&gt;"", COLUMN($D$1:$U96)), COLUMN(G96))), "")</f>
        <v/>
      </c>
      <c r="AJ96" t="str">
        <f t="array" ref="AJ96">IFERROR(INDEX(96:96, SMALL(IF($D96:$U96&lt;&gt;"", COLUMN($D$1:$U96)), COLUMN(H96))), "")</f>
        <v/>
      </c>
      <c r="AK96" t="str">
        <f t="array" ref="AK96">IFERROR(INDEX(96:96, SMALL(IF($D96:$U96&lt;&gt;"", COLUMN($D$1:$U96)), COLUMN(I96))), "")</f>
        <v/>
      </c>
      <c r="AL96" t="str">
        <f t="array" ref="AL96">IFERROR(INDEX(96:96, SMALL(IF($D96:$U96&lt;&gt;"", COLUMN($D$1:$U96)), COLUMN(J96))), "")</f>
        <v/>
      </c>
      <c r="AM96" t="str">
        <f t="array" ref="AM96">IFERROR(INDEX(96:96, SMALL(IF($D96:$U96&lt;&gt;"", COLUMN($D$1:$U96)), COLUMN(K96))), "")</f>
        <v/>
      </c>
      <c r="AN96" t="str">
        <f t="array" ref="AN96">IFERROR(INDEX(96:96, SMALL(IF($D96:$U96&lt;&gt;"", COLUMN($D$1:$U96)), COLUMN(L96))), "")</f>
        <v/>
      </c>
      <c r="AO96" t="str">
        <f t="array" ref="AO96">IFERROR(INDEX(96:96, SMALL(IF($D96:$U96&lt;&gt;"", COLUMN($D$1:$U96)), COLUMN(M96))), "")</f>
        <v/>
      </c>
      <c r="AP96" t="str">
        <f t="array" ref="AP96">IFERROR(INDEX(96:96, SMALL(IF($D96:$U96&lt;&gt;"", COLUMN($D$1:$U96)), COLUMN(N96))), "")</f>
        <v/>
      </c>
      <c r="AQ96" t="str">
        <f t="array" ref="AQ96">IFERROR(INDEX(96:96, SMALL(IF($D96:$U96&lt;&gt;"", COLUMN($D$1:$U96)), COLUMN(O96))), "")</f>
        <v/>
      </c>
      <c r="AR96" s="52" t="s">
        <v>4005</v>
      </c>
      <c r="AS96" t="e">
        <f t="shared" si="23"/>
        <v>#N/A</v>
      </c>
      <c r="AT96" t="e">
        <f t="shared" si="24"/>
        <v>#N/A</v>
      </c>
      <c r="AU96" t="e">
        <f t="shared" si="26"/>
        <v>#N/A</v>
      </c>
      <c r="AV96" t="e">
        <f t="shared" si="27"/>
        <v>#N/A</v>
      </c>
      <c r="AW96" t="e">
        <f t="shared" si="28"/>
        <v>#N/A</v>
      </c>
      <c r="AX96" t="e">
        <f t="shared" si="29"/>
        <v>#N/A</v>
      </c>
      <c r="AZ96" t="str">
        <f t="array" ref="AZ96">IFERROR(INDEX(96:96, SMALL(IF($AC96:$AX96&lt;&gt;"", COLUMN($AC$1:$AX96)), COLUMN(A96))), "")</f>
        <v/>
      </c>
      <c r="BA96" t="str">
        <f t="array" ref="BA96">IFERROR(INDEX(96:96, SMALL(IF($AC96:$AX96&lt;&gt;"", COLUMN($AC$1:$AX96)), COLUMN(B96))), "")</f>
        <v/>
      </c>
      <c r="BB96" t="str">
        <f t="array" ref="BB96">IFERROR(INDEX(96:96, SMALL(IF($AC96:$AX96&lt;&gt;"", COLUMN($AC$1:$AX96)), COLUMN(C96))), "")</f>
        <v/>
      </c>
      <c r="BC96" t="str">
        <f t="array" ref="BC96">IFERROR(INDEX(96:96, SMALL(IF($AC96:$AX96&lt;&gt;"", COLUMN($AC$1:$AX96)), COLUMN(D96))), "")</f>
        <v/>
      </c>
      <c r="BD96" t="str">
        <f t="array" ref="BD96">IFERROR(INDEX(96:96, SMALL(IF($AC96:$AX96&lt;&gt;"", COLUMN($AC$1:$AX96)), COLUMN(E96))), "")</f>
        <v/>
      </c>
      <c r="BE96" t="str">
        <f t="array" ref="BE96">IFERROR(INDEX(96:96, SMALL(IF($AC96:$AX96&lt;&gt;"", COLUMN($AC$1:$AX96)), COLUMN(F96))), "")</f>
        <v/>
      </c>
      <c r="BF96" t="str">
        <f t="array" ref="BF96">IFERROR(IF(AND(COUNTIF($B96,"*泉ヶ丘*"),COUNTIF($B97,"*泉ヶ丘*")),
IFERROR(INDEX(97:97, SMALL(IF($AC97:$AX97&lt;&gt;"", COLUMN($AC$1:$AX97)), COLUMN(A97))), ""),
INDEX(96:96, SMALL(IF($AC96:$AX96&lt;&gt;"", COLUMN($AC$1:$AX96)), COLUMN(G96)))), "")</f>
        <v/>
      </c>
      <c r="BG96" t="str">
        <f t="array" ref="BG96">IFERROR(IF(AND(COUNTIF($B96,"*泉ヶ丘*"),COUNTIF($B97,"*泉ヶ丘*")),
IFERROR(INDEX(97:97, SMALL(IF($AC97:$AX97&lt;&gt;"", COLUMN($AC$1:$AX97)), COLUMN(B97))), ""),
INDEX(96:96, SMALL(IF($AC96:$AX96&lt;&gt;"", COLUMN($AC$1:$AX96)), COLUMN(H96)))), "")</f>
        <v/>
      </c>
      <c r="BH96" t="str">
        <f t="array" ref="BH96">IFERROR(IF(AND(COUNTIF($B96,"*泉ヶ丘*"),COUNTIF($B97,"*泉ヶ丘*")),
IFERROR(INDEX(97:97, SMALL(IF($AC97:$AX97&lt;&gt;"", COLUMN($AC$1:$AX97)), COLUMN(C97))), ""),
INDEX(96:96, SMALL(IF($AC96:$AX96&lt;&gt;"", COLUMN($AC$1:$AX96)), COLUMN(I96)))), "")</f>
        <v/>
      </c>
      <c r="BI96" t="str">
        <f t="array" ref="BI96">IFERROR(IF(AND(COUNTIF($B96,"*泉ヶ丘*"),COUNTIF($B97,"*泉ヶ丘*")),
IFERROR(INDEX(97:97, SMALL(IF($AC97:$AX97&lt;&gt;"", COLUMN($AC$1:$AX97)), COLUMN(D97))), ""),
INDEX(96:96, SMALL(IF($AC96:$AX96&lt;&gt;"", COLUMN($AC$1:$AX96)), COLUMN(J96)))), "")</f>
        <v/>
      </c>
      <c r="BJ96" t="str">
        <f t="array" ref="BJ96">IFERROR(IF(AND(COUNTIF($B96,"*泉ヶ丘*"),COUNTIF($B97,"*泉ヶ丘*")),
IFERROR(INDEX(97:97, SMALL(IF($AC97:$AX97&lt;&gt;"", COLUMN($AC$1:$AX97)), COLUMN(E97))), ""),
INDEX(96:96, SMALL(IF($AC96:$AX96&lt;&gt;"", COLUMN($AC$1:$AX96)), COLUMN(K96)))), "")</f>
        <v/>
      </c>
      <c r="BK96" t="str">
        <f t="array" ref="BK96">IFERROR(IF(AND(COUNTIF($B96,"*泉ヶ丘*"),COUNTIF($B97,"*泉ヶ丘*")),
IFERROR(INDEX(97:97, SMALL(IF($AC97:$AX97&lt;&gt;"", COLUMN($AC$1:$AX97)), COLUMN(F97))), ""),
INDEX(96:96, SMALL(IF($AC96:$AX96&lt;&gt;"", COLUMN($AC$1:$AX96)), COLUMN(L96)))), "")</f>
        <v/>
      </c>
      <c r="BL96" t="str">
        <f t="array" ref="BL96">IFERROR(IF(AND(COUNTIF($B96,"*泉ヶ丘*"),COUNTIF($B97,"*泉ヶ丘*")),
IFERROR(INDEX(97:97, SMALL(IF($AC97:$AX97&lt;&gt;"", COLUMN($AC$1:$AX97)), COLUMN(G97))), ""),
INDEX(96:96, SMALL(IF($AC96:$AX96&lt;&gt;"", COLUMN($AC$1:$AX96)), COLUMN(M96)))), "")</f>
        <v/>
      </c>
      <c r="BM96" t="str">
        <f t="array" ref="BM96">IFERROR(IF(AND(COUNTIF($B96,"*泉ヶ丘*"),COUNTIF($B97,"*泉ヶ丘*")),
IFERROR(INDEX(97:97, SMALL(IF($AC97:$AX97&lt;&gt;"", COLUMN($AC$1:$AX97)), COLUMN(H97))), ""),
INDEX(96:96, SMALL(IF($AC96:$AX96&lt;&gt;"", COLUMN($AC$1:$AX96)), COLUMN(N96)))), "")</f>
        <v/>
      </c>
      <c r="BN96" t="str">
        <f t="array" ref="BN96">IFERROR(IF(AND(COUNTIF($B96,"*泉ヶ丘*"),COUNTIF($B97,"*泉ヶ丘*")),
IFERROR(INDEX(97:97, SMALL(IF($AC97:$AX97&lt;&gt;"", COLUMN($AC$1:$AX97)), COLUMN(I97))), ""),
INDEX(96:96, SMALL(IF($AC96:$AX96&lt;&gt;"", COLUMN($AC$1:$AX96)), COLUMN(O96)))), "")</f>
        <v/>
      </c>
      <c r="BO96" t="str">
        <f t="array" ref="BO96">IFERROR(IF(AND(COUNTIF($B96,"*泉ヶ丘*"),COUNTIF($B97,"*泉ヶ丘*")),
IFERROR(INDEX(97:97, SMALL(IF($AC97:$AX97&lt;&gt;"", COLUMN($AC$1:$AX97)), COLUMN(J97))), ""),
INDEX(96:96, SMALL(IF($AC96:$AX96&lt;&gt;"", COLUMN($AC$1:$AX96)), COLUMN(P96)))), "")</f>
        <v/>
      </c>
      <c r="BP96" t="str">
        <f t="array" ref="BP96">IFERROR(IF(AND(COUNTIF($B96,"*泉ヶ丘*"),COUNTIF($B97,"*泉ヶ丘*")),
IFERROR(INDEX(97:97, SMALL(IF($AC97:$AX97&lt;&gt;"", COLUMN($AC$1:$AX97)), COLUMN(K97))), ""),
INDEX(96:96, SMALL(IF($AC96:$AX96&lt;&gt;"", COLUMN($AC$1:$AX96)), COLUMN(Q96)))), "")</f>
        <v/>
      </c>
      <c r="BQ96" t="str">
        <f t="array" ref="BQ96">IFERROR(IF(AND(COUNTIF($B96,"*泉ヶ丘*"),COUNTIF($B97,"*泉ヶ丘*")),
IFERROR(INDEX(97:97, SMALL(IF($AC97:$AX97&lt;&gt;"", COLUMN($AC$1:$AX97)), COLUMN(L97))), ""),
INDEX(96:96, SMALL(IF($AC96:$AX96&lt;&gt;"", COLUMN($AC$1:$AX96)), COLUMN(R96)))), "")</f>
        <v/>
      </c>
    </row>
    <row r="97" spans="1:69" x14ac:dyDescent="0.45">
      <c r="A97" t="e">
        <f t="array" ref="A97">IF(INDEX(貼り付け用!A:A,MATCH(A96,貼り付け用!A:A,0)+2)="4700",
IF(INDEX(貼り付け用!A:A,MATCH(A96,貼り付け用!A:A,0)+4)="4800",
INDEX(貼り付け用!A:A,MATCH(A96,貼り付け用!A:A,0)+6),
INDEX(貼り付け用!A:A,MATCH(A96,貼り付け用!A:A,0)+4)),INDEX(貼り付け用!A:A,MATCH(A96,貼り付け用!A:A,0)+2))</f>
        <v>#N/A</v>
      </c>
      <c r="B97" t="e">
        <f>IF(A97&lt;&gt;"",
VLOOKUP(A97,得意先マスタ!A:D,2,FALSE),"")</f>
        <v>#N/A</v>
      </c>
      <c r="C97" t="e">
        <f t="array" ref="C97">IF(A97="10000","",INDEX(貼り付け用!A:A,MATCH(A97,貼り付け用!A:A,0)+1))</f>
        <v>#N/A</v>
      </c>
      <c r="D97" t="e">
        <f>VLOOKUP(C97,クライアント抽出!$A:$O,10,FALSE)</f>
        <v>#N/A</v>
      </c>
      <c r="E97" t="e">
        <f>IF(D97&lt;&gt;"",
IF(COUNTIF(C97,"*ぺんぎん*"),
VLOOKUP(
"*"&amp;IF(COUNTIF(D97,"*キャラ弁*"),"キャラ",
IF(COUNTIF(D97,"*赤*"),"赤",SUBSTITUTE(SUBSTITUTE(D97," ",""),"　","")))&amp;"*",
注文弁当の抽出!$F:$I,4,FALSE)&amp;
IF(COUNTIF(D97,"*おにぎり*"),"　おにぎり","")&amp;"　（ぺんぎん組）",
VLOOKUP(
"*"&amp;IF(COUNTIF(D97,"*キャラ弁*"),"キャラ",
IF(COUNTIF(D97,"*赤*"),"赤",SUBSTITUTE(SUBSTITUTE(D97," ",""),"　","")))&amp;"*",
注文弁当の抽出!$F:$I,4,FALSE)&amp;
IF(COUNTIF(D97,"*おにぎり*"),"　おにぎり","")),"")</f>
        <v>#N/A</v>
      </c>
      <c r="F97" t="str">
        <f>IFERROR(IF(E97&lt;&gt;"",
VLOOKUP(C97,クライアント抽出!$A:$G,2,FALSE)+
IF(COUNTIF(Y97,"*-*"),Y97,0),"")
-IFERROR(MID(V97, SEARCH("予備", V97) + LEN("予備"), SEARCH("込み", V97) - (SEARCH("予備", V97) + LEN("予備"))),0),"")</f>
        <v/>
      </c>
      <c r="G97" t="e">
        <f>VLOOKUP(C97,クライアント抽出!$A:$O,11,FALSE)</f>
        <v>#N/A</v>
      </c>
      <c r="H97" t="e">
        <f>IF(G97&lt;&gt;"",
VLOOKUP(
"*"&amp;IF(COUNTIF(G97,"*キャラ弁*"),"キャラ",
IF(COUNTIF(G97,"*赤*"),"赤",SUBSTITUTE(SUBSTITUTE(G97," ",""),"　","")))&amp;"*",
注文弁当の抽出!$F:$I,4,FALSE)&amp;
IF(COUNTIF(G97,"*おにぎり*"),"　おにぎり",""),"")</f>
        <v>#N/A</v>
      </c>
      <c r="I97" t="e">
        <f>IF(H97&lt;&gt;"",
VLOOKUP(C97,クライアント抽出!$A:$G,3,FALSE)+
IF(COUNTIF(C97,"*博多*"),Y97,Z97),"")</f>
        <v>#N/A</v>
      </c>
      <c r="J97" t="e">
        <f>VLOOKUP(C97,クライアント抽出!$A:$O,12,FALSE)</f>
        <v>#N/A</v>
      </c>
      <c r="K97" t="e">
        <f>IF(J97&lt;&gt;"",
VLOOKUP(
"*"&amp;IF(COUNTIF(J97,"*キャラ弁*"),"キャラ",
IF(COUNTIF(J97,"*赤*"),"赤",SUBSTITUTE(SUBSTITUTE(J97," ",""),"　","")))&amp;"*",
注文弁当の抽出!$F:$I,4,FALSE)&amp;
IF(COUNTIF(J97,"*おにぎり*"),"　おにぎり",""),"")</f>
        <v>#N/A</v>
      </c>
      <c r="L97" t="e">
        <f>IF(K97&lt;&gt;"",
VLOOKUP(C97,クライアント抽出!$A:$G,4,FALSE)+AA97,"")</f>
        <v>#N/A</v>
      </c>
      <c r="M97" t="e">
        <f>VLOOKUP(C97,クライアント抽出!$A:$O,13,FALSE)</f>
        <v>#N/A</v>
      </c>
      <c r="N97" t="e">
        <f>SUBSTITUTE(
IF(M97&lt;&gt;"",
VLOOKUP(
"*"&amp;IF(COUNTIF(M97,"*キャラ弁*"),"キャラ",
IF(COUNTIF(M97,"*赤*"),"赤",SUBSTITUTE(SUBSTITUTE(D97," ",""),"　","")))&amp;"*",
注文弁当の抽出!$F:$I,4,FALSE),""),"園児","先生")&amp;
IF(COUNTIF(M97,"*おにぎり*"),"　おにぎり","")</f>
        <v>#N/A</v>
      </c>
      <c r="O97" t="e">
        <f>IF(N97&lt;&gt;"",VLOOKUP(C97,クライアント抽出!$A:$G,5,FALSE),"")</f>
        <v>#N/A</v>
      </c>
      <c r="P97" t="e">
        <f>VLOOKUP(C97,クライアント抽出!$A:$O,14,FALSE)</f>
        <v>#N/A</v>
      </c>
      <c r="Q97" t="e">
        <f>SUBSTITUTE(
IF(P97&lt;&gt;"",
VLOOKUP(
"*"&amp;IF(COUNTIF(P97,"*キャラ弁*"),"キャラ",
IF(COUNTIF(P97,"*赤*"),"赤",SUBSTITUTE(SUBSTITUTE(G97," ",""),"　","")))&amp;"*",
注文弁当の抽出!$F:$I,4,FALSE),""),"園児","先生")&amp;
IF(COUNTIF(P97,"*おにぎり*"),"　おにぎり","")</f>
        <v>#N/A</v>
      </c>
      <c r="R97" t="e">
        <f>IF(Q97&lt;&gt;"",
VLOOKUP(C97,クライアント抽出!$A:$G,6,FALSE),"")</f>
        <v>#N/A</v>
      </c>
      <c r="S97" t="e">
        <f>VLOOKUP(C97,クライアント抽出!$A:$O,15,FALSE)</f>
        <v>#N/A</v>
      </c>
      <c r="T97" t="e">
        <f>SUBSTITUTE(
IF(S97&lt;&gt;"",
VLOOKUP(
"*"&amp;IF(COUNTIF(S97,"*キャラ弁*"),"キャラ",
IF(COUNTIF(S97,"*赤*"),"赤",SUBSTITUTE(SUBSTITUTE(J97," ",""),"　","")))&amp;"*",
注文弁当の抽出!$F:$I,4,FALSE),""),"園児","先生")&amp;
IF(COUNTIF(S97,"*おにぎり*"),"　おにぎり","")</f>
        <v>#N/A</v>
      </c>
      <c r="U97" t="e">
        <f>IF(T97&lt;&gt;"",
VLOOKUP(C97,クライアント抽出!$A:$G,7,FALSE),"")</f>
        <v>#N/A</v>
      </c>
      <c r="V97" t="e">
        <f>IF(A97&lt;&gt;"",
IF(COUNTIF(V96,"*牛乳*"),
IF(AND(COUNTIF(B96,"*奈良屋*"),COUNTIF(B97,"*奈良屋*")),
V96&amp;"✔",""),VLOOKUP(""&amp;A97&amp;"",数出表_Excel!$A:$Z,22,FALSE)&amp;VLOOKUP(""&amp;A97&amp;"",数出表_Excel!$A:$Z,23,FALSE)
&amp;VLOOKUP(""&amp;C97&amp;"",数出表_Excel!$A:$Z,22,FALSE)&amp;VLOOKUP(""&amp;C97&amp;"",数出表_Excel!$A:$Z,23,FALSE)),"")</f>
        <v>#N/A</v>
      </c>
      <c r="W97" t="e">
        <f>IF(AND(COUNTIF(V97,"&lt;&gt;*不要*"),A97&lt;&gt;""),VLOOKUP(A97,得意先マスタ!$A:$AD,24,FALSE),0)</f>
        <v>#N/A</v>
      </c>
      <c r="X97" t="e">
        <f>IF(AND(COUNTIF(V97,"&lt;&gt;*不要*"),A97&lt;&gt;""),VLOOKUP(A97,得意先マスタ!$A:$AD,25,FALSE),0)</f>
        <v>#N/A</v>
      </c>
      <c r="Y97" t="e">
        <f t="shared" ref="Y97:Y128" si="30">IF(X97&lt;&gt;0,
TEXT(IF(COUNTIF(X97,"*.*"),LEFT(X97, FIND(".", X97) - 1),X97),"@"),0)</f>
        <v>#N/A</v>
      </c>
      <c r="Z97" t="e">
        <f t="shared" si="21"/>
        <v>#N/A</v>
      </c>
      <c r="AA97" t="e">
        <f t="shared" si="25"/>
        <v>#N/A</v>
      </c>
      <c r="AB97" t="e">
        <f t="shared" si="22"/>
        <v>#N/A</v>
      </c>
      <c r="AC97" t="str">
        <f t="array" ref="AC97">IFERROR(INDEX(97:97, SMALL(IF($D97:$U97&lt;&gt;"", COLUMN($D$1:$U97)), COLUMN(A97))), "")</f>
        <v/>
      </c>
      <c r="AD97" t="str">
        <f t="array" ref="AD97">IFERROR(INDEX(97:97, SMALL(IF($D97:$U97&lt;&gt;"", COLUMN($D$1:$U97)), COLUMN(B97))), "")</f>
        <v/>
      </c>
      <c r="AE97" t="str">
        <f t="array" ref="AE97">IFERROR(INDEX(97:97, SMALL(IF($D97:$U97&lt;&gt;"", COLUMN($D$1:$U97)), COLUMN(C97))), "")</f>
        <v/>
      </c>
      <c r="AF97" t="str">
        <f t="array" ref="AF97">IFERROR(INDEX(97:97, SMALL(IF($D97:$U97&lt;&gt;"", COLUMN($D$1:$U97)), COLUMN(D97))), "")</f>
        <v/>
      </c>
      <c r="AG97" t="str">
        <f t="array" ref="AG97">IFERROR(INDEX(97:97, SMALL(IF($D97:$U97&lt;&gt;"", COLUMN($D$1:$U97)), COLUMN(E97))), "")</f>
        <v/>
      </c>
      <c r="AH97" t="str">
        <f t="array" ref="AH97">IFERROR(INDEX(97:97, SMALL(IF($D97:$U97&lt;&gt;"", COLUMN($D$1:$U97)), COLUMN(F97))), "")</f>
        <v/>
      </c>
      <c r="AI97" t="str">
        <f t="array" ref="AI97">IFERROR(INDEX(97:97, SMALL(IF($D97:$U97&lt;&gt;"", COLUMN($D$1:$U97)), COLUMN(G97))), "")</f>
        <v/>
      </c>
      <c r="AJ97" t="str">
        <f t="array" ref="AJ97">IFERROR(INDEX(97:97, SMALL(IF($D97:$U97&lt;&gt;"", COLUMN($D$1:$U97)), COLUMN(H97))), "")</f>
        <v/>
      </c>
      <c r="AK97" t="str">
        <f t="array" ref="AK97">IFERROR(INDEX(97:97, SMALL(IF($D97:$U97&lt;&gt;"", COLUMN($D$1:$U97)), COLUMN(I97))), "")</f>
        <v/>
      </c>
      <c r="AL97" t="str">
        <f t="array" ref="AL97">IFERROR(INDEX(97:97, SMALL(IF($D97:$U97&lt;&gt;"", COLUMN($D$1:$U97)), COLUMN(J97))), "")</f>
        <v/>
      </c>
      <c r="AM97" t="str">
        <f t="array" ref="AM97">IFERROR(INDEX(97:97, SMALL(IF($D97:$U97&lt;&gt;"", COLUMN($D$1:$U97)), COLUMN(K97))), "")</f>
        <v/>
      </c>
      <c r="AN97" t="str">
        <f t="array" ref="AN97">IFERROR(INDEX(97:97, SMALL(IF($D97:$U97&lt;&gt;"", COLUMN($D$1:$U97)), COLUMN(L97))), "")</f>
        <v/>
      </c>
      <c r="AO97" t="str">
        <f t="array" ref="AO97">IFERROR(INDEX(97:97, SMALL(IF($D97:$U97&lt;&gt;"", COLUMN($D$1:$U97)), COLUMN(M97))), "")</f>
        <v/>
      </c>
      <c r="AP97" t="str">
        <f t="array" ref="AP97">IFERROR(INDEX(97:97, SMALL(IF($D97:$U97&lt;&gt;"", COLUMN($D$1:$U97)), COLUMN(N97))), "")</f>
        <v/>
      </c>
      <c r="AQ97" t="str">
        <f t="array" ref="AQ97">IFERROR(INDEX(97:97, SMALL(IF($D97:$U97&lt;&gt;"", COLUMN($D$1:$U97)), COLUMN(O97))), "")</f>
        <v/>
      </c>
      <c r="AR97" s="52" t="s">
        <v>4005</v>
      </c>
      <c r="AS97" t="e">
        <f t="shared" si="23"/>
        <v>#N/A</v>
      </c>
      <c r="AT97" t="e">
        <f t="shared" ref="AT97:AT128" si="31">IF(Y97&lt;&gt;0,
SUBSTITUTE(Y97,"-",""),
IF(AS97&lt;&gt;"",AE97,""))</f>
        <v>#N/A</v>
      </c>
      <c r="AU97" t="e">
        <f t="shared" si="26"/>
        <v>#N/A</v>
      </c>
      <c r="AV97" t="e">
        <f t="shared" si="27"/>
        <v>#N/A</v>
      </c>
      <c r="AW97" t="e">
        <f t="shared" si="28"/>
        <v>#N/A</v>
      </c>
      <c r="AX97" t="e">
        <f t="shared" si="29"/>
        <v>#N/A</v>
      </c>
      <c r="AZ97" t="str">
        <f t="array" ref="AZ97">IFERROR(INDEX(97:97, SMALL(IF($AC97:$AX97&lt;&gt;"", COLUMN($AC$1:$AX97)), COLUMN(A97))), "")</f>
        <v/>
      </c>
      <c r="BA97" t="str">
        <f t="array" ref="BA97">IFERROR(INDEX(97:97, SMALL(IF($AC97:$AX97&lt;&gt;"", COLUMN($AC$1:$AX97)), COLUMN(B97))), "")</f>
        <v/>
      </c>
      <c r="BB97" t="str">
        <f t="array" ref="BB97">IFERROR(INDEX(97:97, SMALL(IF($AC97:$AX97&lt;&gt;"", COLUMN($AC$1:$AX97)), COLUMN(C97))), "")</f>
        <v/>
      </c>
      <c r="BC97" t="str">
        <f t="array" ref="BC97">IFERROR(INDEX(97:97, SMALL(IF($AC97:$AX97&lt;&gt;"", COLUMN($AC$1:$AX97)), COLUMN(D97))), "")</f>
        <v/>
      </c>
      <c r="BD97" t="str">
        <f t="array" ref="BD97">IFERROR(INDEX(97:97, SMALL(IF($AC97:$AX97&lt;&gt;"", COLUMN($AC$1:$AX97)), COLUMN(E97))), "")</f>
        <v/>
      </c>
      <c r="BE97" t="str">
        <f t="array" ref="BE97">IFERROR(INDEX(97:97, SMALL(IF($AC97:$AX97&lt;&gt;"", COLUMN($AC$1:$AX97)), COLUMN(F97))), "")</f>
        <v/>
      </c>
      <c r="BF97" t="str">
        <f t="array" ref="BF97">IFERROR(IF(AND(COUNTIF($B97,"*泉ヶ丘*"),COUNTIF($B98,"*泉ヶ丘*")),
IFERROR(INDEX(98:98, SMALL(IF($AC98:$AX98&lt;&gt;"", COLUMN($AC$1:$AX98)), COLUMN(A98))), ""),
INDEX(97:97, SMALL(IF($AC97:$AX97&lt;&gt;"", COLUMN($AC$1:$AX97)), COLUMN(G97)))), "")</f>
        <v/>
      </c>
      <c r="BG97" t="str">
        <f t="array" ref="BG97">IFERROR(IF(AND(COUNTIF($B97,"*泉ヶ丘*"),COUNTIF($B98,"*泉ヶ丘*")),
IFERROR(INDEX(98:98, SMALL(IF($AC98:$AX98&lt;&gt;"", COLUMN($AC$1:$AX98)), COLUMN(B98))), ""),
INDEX(97:97, SMALL(IF($AC97:$AX97&lt;&gt;"", COLUMN($AC$1:$AX97)), COLUMN(H97)))), "")</f>
        <v/>
      </c>
      <c r="BH97" t="str">
        <f t="array" ref="BH97">IFERROR(IF(AND(COUNTIF($B97,"*泉ヶ丘*"),COUNTIF($B98,"*泉ヶ丘*")),
IFERROR(INDEX(98:98, SMALL(IF($AC98:$AX98&lt;&gt;"", COLUMN($AC$1:$AX98)), COLUMN(C98))), ""),
INDEX(97:97, SMALL(IF($AC97:$AX97&lt;&gt;"", COLUMN($AC$1:$AX97)), COLUMN(I97)))), "")</f>
        <v/>
      </c>
      <c r="BI97" t="str">
        <f t="array" ref="BI97">IFERROR(IF(AND(COUNTIF($B97,"*泉ヶ丘*"),COUNTIF($B98,"*泉ヶ丘*")),
IFERROR(INDEX(98:98, SMALL(IF($AC98:$AX98&lt;&gt;"", COLUMN($AC$1:$AX98)), COLUMN(D98))), ""),
INDEX(97:97, SMALL(IF($AC97:$AX97&lt;&gt;"", COLUMN($AC$1:$AX97)), COLUMN(J97)))), "")</f>
        <v/>
      </c>
      <c r="BJ97" t="str">
        <f t="array" ref="BJ97">IFERROR(IF(AND(COUNTIF($B97,"*泉ヶ丘*"),COUNTIF($B98,"*泉ヶ丘*")),
IFERROR(INDEX(98:98, SMALL(IF($AC98:$AX98&lt;&gt;"", COLUMN($AC$1:$AX98)), COLUMN(E98))), ""),
INDEX(97:97, SMALL(IF($AC97:$AX97&lt;&gt;"", COLUMN($AC$1:$AX97)), COLUMN(K97)))), "")</f>
        <v/>
      </c>
      <c r="BK97" t="str">
        <f t="array" ref="BK97">IFERROR(IF(AND(COUNTIF($B97,"*泉ヶ丘*"),COUNTIF($B98,"*泉ヶ丘*")),
IFERROR(INDEX(98:98, SMALL(IF($AC98:$AX98&lt;&gt;"", COLUMN($AC$1:$AX98)), COLUMN(F98))), ""),
INDEX(97:97, SMALL(IF($AC97:$AX97&lt;&gt;"", COLUMN($AC$1:$AX97)), COLUMN(L97)))), "")</f>
        <v/>
      </c>
      <c r="BL97" t="str">
        <f t="array" ref="BL97">IFERROR(IF(AND(COUNTIF($B97,"*泉ヶ丘*"),COUNTIF($B98,"*泉ヶ丘*")),
IFERROR(INDEX(98:98, SMALL(IF($AC98:$AX98&lt;&gt;"", COLUMN($AC$1:$AX98)), COLUMN(G98))), ""),
INDEX(97:97, SMALL(IF($AC97:$AX97&lt;&gt;"", COLUMN($AC$1:$AX97)), COLUMN(M97)))), "")</f>
        <v/>
      </c>
      <c r="BM97" t="str">
        <f t="array" ref="BM97">IFERROR(IF(AND(COUNTIF($B97,"*泉ヶ丘*"),COUNTIF($B98,"*泉ヶ丘*")),
IFERROR(INDEX(98:98, SMALL(IF($AC98:$AX98&lt;&gt;"", COLUMN($AC$1:$AX98)), COLUMN(H98))), ""),
INDEX(97:97, SMALL(IF($AC97:$AX97&lt;&gt;"", COLUMN($AC$1:$AX97)), COLUMN(N97)))), "")</f>
        <v/>
      </c>
      <c r="BN97" t="str">
        <f t="array" ref="BN97">IFERROR(IF(AND(COUNTIF($B97,"*泉ヶ丘*"),COUNTIF($B98,"*泉ヶ丘*")),
IFERROR(INDEX(98:98, SMALL(IF($AC98:$AX98&lt;&gt;"", COLUMN($AC$1:$AX98)), COLUMN(I98))), ""),
INDEX(97:97, SMALL(IF($AC97:$AX97&lt;&gt;"", COLUMN($AC$1:$AX97)), COLUMN(O97)))), "")</f>
        <v/>
      </c>
      <c r="BO97" t="str">
        <f t="array" ref="BO97">IFERROR(IF(AND(COUNTIF($B97,"*泉ヶ丘*"),COUNTIF($B98,"*泉ヶ丘*")),
IFERROR(INDEX(98:98, SMALL(IF($AC98:$AX98&lt;&gt;"", COLUMN($AC$1:$AX98)), COLUMN(J98))), ""),
INDEX(97:97, SMALL(IF($AC97:$AX97&lt;&gt;"", COLUMN($AC$1:$AX97)), COLUMN(P97)))), "")</f>
        <v/>
      </c>
      <c r="BP97" t="str">
        <f t="array" ref="BP97">IFERROR(IF(AND(COUNTIF($B97,"*泉ヶ丘*"),COUNTIF($B98,"*泉ヶ丘*")),
IFERROR(INDEX(98:98, SMALL(IF($AC98:$AX98&lt;&gt;"", COLUMN($AC$1:$AX98)), COLUMN(K98))), ""),
INDEX(97:97, SMALL(IF($AC97:$AX97&lt;&gt;"", COLUMN($AC$1:$AX97)), COLUMN(Q97)))), "")</f>
        <v/>
      </c>
      <c r="BQ97" t="str">
        <f t="array" ref="BQ97">IFERROR(IF(AND(COUNTIF($B97,"*泉ヶ丘*"),COUNTIF($B98,"*泉ヶ丘*")),
IFERROR(INDEX(98:98, SMALL(IF($AC98:$AX98&lt;&gt;"", COLUMN($AC$1:$AX98)), COLUMN(L98))), ""),
INDEX(97:97, SMALL(IF($AC97:$AX97&lt;&gt;"", COLUMN($AC$1:$AX97)), COLUMN(R97)))), "")</f>
        <v/>
      </c>
    </row>
    <row r="98" spans="1:69" x14ac:dyDescent="0.45">
      <c r="A98" t="e">
        <f t="array" ref="A98">IF(INDEX(貼り付け用!A:A,MATCH(A97,貼り付け用!A:A,0)+2)="4700",
IF(INDEX(貼り付け用!A:A,MATCH(A97,貼り付け用!A:A,0)+4)="4800",
INDEX(貼り付け用!A:A,MATCH(A97,貼り付け用!A:A,0)+6),
INDEX(貼り付け用!A:A,MATCH(A97,貼り付け用!A:A,0)+4)),INDEX(貼り付け用!A:A,MATCH(A97,貼り付け用!A:A,0)+2))</f>
        <v>#N/A</v>
      </c>
      <c r="B98" t="e">
        <f>IF(A98&lt;&gt;"",
VLOOKUP(A98,得意先マスタ!A:D,2,FALSE),"")</f>
        <v>#N/A</v>
      </c>
      <c r="C98" t="e">
        <f t="array" ref="C98">IF(A98="10000","",INDEX(貼り付け用!A:A,MATCH(A98,貼り付け用!A:A,0)+1))</f>
        <v>#N/A</v>
      </c>
      <c r="D98" t="e">
        <f>VLOOKUP(C98,クライアント抽出!$A:$O,10,FALSE)</f>
        <v>#N/A</v>
      </c>
      <c r="E98" t="e">
        <f>IF(D98&lt;&gt;"",
IF(COUNTIF(C98,"*ぺんぎん*"),
VLOOKUP(
"*"&amp;IF(COUNTIF(D98,"*キャラ弁*"),"キャラ",
IF(COUNTIF(D98,"*赤*"),"赤",SUBSTITUTE(SUBSTITUTE(D98," ",""),"　","")))&amp;"*",
注文弁当の抽出!$F:$I,4,FALSE)&amp;
IF(COUNTIF(D98,"*おにぎり*"),"　おにぎり","")&amp;"　（ぺんぎん組）",
VLOOKUP(
"*"&amp;IF(COUNTIF(D98,"*キャラ弁*"),"キャラ",
IF(COUNTIF(D98,"*赤*"),"赤",SUBSTITUTE(SUBSTITUTE(D98," ",""),"　","")))&amp;"*",
注文弁当の抽出!$F:$I,4,FALSE)&amp;
IF(COUNTIF(D98,"*おにぎり*"),"　おにぎり","")),"")</f>
        <v>#N/A</v>
      </c>
      <c r="F98" t="str">
        <f>IFERROR(IF(E98&lt;&gt;"",
VLOOKUP(C98,クライアント抽出!$A:$G,2,FALSE)+
IF(COUNTIF(Y98,"*-*"),Y98,0),"")
-IFERROR(MID(V98, SEARCH("予備", V98) + LEN("予備"), SEARCH("込み", V98) - (SEARCH("予備", V98) + LEN("予備"))),0),"")</f>
        <v/>
      </c>
      <c r="G98" t="e">
        <f>VLOOKUP(C98,クライアント抽出!$A:$O,11,FALSE)</f>
        <v>#N/A</v>
      </c>
      <c r="H98" t="e">
        <f>IF(G98&lt;&gt;"",
VLOOKUP(
"*"&amp;IF(COUNTIF(G98,"*キャラ弁*"),"キャラ",
IF(COUNTIF(G98,"*赤*"),"赤",SUBSTITUTE(SUBSTITUTE(G98," ",""),"　","")))&amp;"*",
注文弁当の抽出!$F:$I,4,FALSE)&amp;
IF(COUNTIF(G98,"*おにぎり*"),"　おにぎり",""),"")</f>
        <v>#N/A</v>
      </c>
      <c r="I98" t="e">
        <f>IF(H98&lt;&gt;"",
VLOOKUP(C98,クライアント抽出!$A:$G,3,FALSE)+
IF(COUNTIF(C98,"*博多*"),Y98,Z98),"")</f>
        <v>#N/A</v>
      </c>
      <c r="J98" t="e">
        <f>VLOOKUP(C98,クライアント抽出!$A:$O,12,FALSE)</f>
        <v>#N/A</v>
      </c>
      <c r="K98" t="e">
        <f>IF(J98&lt;&gt;"",
VLOOKUP(
"*"&amp;IF(COUNTIF(J98,"*キャラ弁*"),"キャラ",
IF(COUNTIF(J98,"*赤*"),"赤",SUBSTITUTE(SUBSTITUTE(J98," ",""),"　","")))&amp;"*",
注文弁当の抽出!$F:$I,4,FALSE)&amp;
IF(COUNTIF(J98,"*おにぎり*"),"　おにぎり",""),"")</f>
        <v>#N/A</v>
      </c>
      <c r="L98" t="e">
        <f>IF(K98&lt;&gt;"",
VLOOKUP(C98,クライアント抽出!$A:$G,4,FALSE)+AA98,"")</f>
        <v>#N/A</v>
      </c>
      <c r="M98" t="e">
        <f>VLOOKUP(C98,クライアント抽出!$A:$O,13,FALSE)</f>
        <v>#N/A</v>
      </c>
      <c r="N98" t="e">
        <f>SUBSTITUTE(
IF(M98&lt;&gt;"",
VLOOKUP(
"*"&amp;IF(COUNTIF(M98,"*キャラ弁*"),"キャラ",
IF(COUNTIF(M98,"*赤*"),"赤",SUBSTITUTE(SUBSTITUTE(D98," ",""),"　","")))&amp;"*",
注文弁当の抽出!$F:$I,4,FALSE),""),"園児","先生")&amp;
IF(COUNTIF(M98,"*おにぎり*"),"　おにぎり","")</f>
        <v>#N/A</v>
      </c>
      <c r="O98" t="e">
        <f>IF(N98&lt;&gt;"",VLOOKUP(C98,クライアント抽出!$A:$G,5,FALSE),"")</f>
        <v>#N/A</v>
      </c>
      <c r="P98" t="e">
        <f>VLOOKUP(C98,クライアント抽出!$A:$O,14,FALSE)</f>
        <v>#N/A</v>
      </c>
      <c r="Q98" t="e">
        <f>SUBSTITUTE(
IF(P98&lt;&gt;"",
VLOOKUP(
"*"&amp;IF(COUNTIF(P98,"*キャラ弁*"),"キャラ",
IF(COUNTIF(P98,"*赤*"),"赤",SUBSTITUTE(SUBSTITUTE(G98," ",""),"　","")))&amp;"*",
注文弁当の抽出!$F:$I,4,FALSE),""),"園児","先生")&amp;
IF(COUNTIF(P98,"*おにぎり*"),"　おにぎり","")</f>
        <v>#N/A</v>
      </c>
      <c r="R98" t="e">
        <f>IF(Q98&lt;&gt;"",
VLOOKUP(C98,クライアント抽出!$A:$G,6,FALSE),"")</f>
        <v>#N/A</v>
      </c>
      <c r="S98" t="e">
        <f>VLOOKUP(C98,クライアント抽出!$A:$O,15,FALSE)</f>
        <v>#N/A</v>
      </c>
      <c r="T98" t="e">
        <f>SUBSTITUTE(
IF(S98&lt;&gt;"",
VLOOKUP(
"*"&amp;IF(COUNTIF(S98,"*キャラ弁*"),"キャラ",
IF(COUNTIF(S98,"*赤*"),"赤",SUBSTITUTE(SUBSTITUTE(J98," ",""),"　","")))&amp;"*",
注文弁当の抽出!$F:$I,4,FALSE),""),"園児","先生")&amp;
IF(COUNTIF(S98,"*おにぎり*"),"　おにぎり","")</f>
        <v>#N/A</v>
      </c>
      <c r="U98" t="e">
        <f>IF(T98&lt;&gt;"",
VLOOKUP(C98,クライアント抽出!$A:$G,7,FALSE),"")</f>
        <v>#N/A</v>
      </c>
      <c r="V98" t="e">
        <f>IF(A98&lt;&gt;"",
IF(COUNTIF(V97,"*牛乳*"),
IF(AND(COUNTIF(B97,"*奈良屋*"),COUNTIF(B98,"*奈良屋*")),
V97&amp;"✔",""),VLOOKUP(""&amp;A98&amp;"",数出表_Excel!$A:$Z,22,FALSE)&amp;VLOOKUP(""&amp;A98&amp;"",数出表_Excel!$A:$Z,23,FALSE)
&amp;VLOOKUP(""&amp;C98&amp;"",数出表_Excel!$A:$Z,22,FALSE)&amp;VLOOKUP(""&amp;C98&amp;"",数出表_Excel!$A:$Z,23,FALSE)),"")</f>
        <v>#N/A</v>
      </c>
      <c r="W98" t="e">
        <f>IF(AND(COUNTIF(V98,"&lt;&gt;*不要*"),A98&lt;&gt;""),VLOOKUP(A98,得意先マスタ!$A:$AD,24,FALSE),0)</f>
        <v>#N/A</v>
      </c>
      <c r="X98" t="e">
        <f>IF(AND(COUNTIF(V98,"&lt;&gt;*不要*"),A98&lt;&gt;""),VLOOKUP(A98,得意先マスタ!$A:$AD,25,FALSE),0)</f>
        <v>#N/A</v>
      </c>
      <c r="Y98" t="e">
        <f t="shared" si="30"/>
        <v>#N/A</v>
      </c>
      <c r="Z98" t="e">
        <f t="shared" si="21"/>
        <v>#N/A</v>
      </c>
      <c r="AA98" t="e">
        <f t="shared" si="25"/>
        <v>#N/A</v>
      </c>
      <c r="AB98" t="e">
        <f t="shared" si="22"/>
        <v>#N/A</v>
      </c>
      <c r="AC98" t="str">
        <f t="array" ref="AC98">IFERROR(INDEX(98:98, SMALL(IF($D98:$U98&lt;&gt;"", COLUMN($D$1:$U98)), COLUMN(A98))), "")</f>
        <v/>
      </c>
      <c r="AD98" t="str">
        <f t="array" ref="AD98">IFERROR(INDEX(98:98, SMALL(IF($D98:$U98&lt;&gt;"", COLUMN($D$1:$U98)), COLUMN(B98))), "")</f>
        <v/>
      </c>
      <c r="AE98" t="str">
        <f t="array" ref="AE98">IFERROR(INDEX(98:98, SMALL(IF($D98:$U98&lt;&gt;"", COLUMN($D$1:$U98)), COLUMN(C98))), "")</f>
        <v/>
      </c>
      <c r="AF98" t="str">
        <f t="array" ref="AF98">IFERROR(INDEX(98:98, SMALL(IF($D98:$U98&lt;&gt;"", COLUMN($D$1:$U98)), COLUMN(D98))), "")</f>
        <v/>
      </c>
      <c r="AG98" t="str">
        <f t="array" ref="AG98">IFERROR(INDEX(98:98, SMALL(IF($D98:$U98&lt;&gt;"", COLUMN($D$1:$U98)), COLUMN(E98))), "")</f>
        <v/>
      </c>
      <c r="AH98" t="str">
        <f t="array" ref="AH98">IFERROR(INDEX(98:98, SMALL(IF($D98:$U98&lt;&gt;"", COLUMN($D$1:$U98)), COLUMN(F98))), "")</f>
        <v/>
      </c>
      <c r="AI98" t="str">
        <f t="array" ref="AI98">IFERROR(INDEX(98:98, SMALL(IF($D98:$U98&lt;&gt;"", COLUMN($D$1:$U98)), COLUMN(G98))), "")</f>
        <v/>
      </c>
      <c r="AJ98" t="str">
        <f t="array" ref="AJ98">IFERROR(INDEX(98:98, SMALL(IF($D98:$U98&lt;&gt;"", COLUMN($D$1:$U98)), COLUMN(H98))), "")</f>
        <v/>
      </c>
      <c r="AK98" t="str">
        <f t="array" ref="AK98">IFERROR(INDEX(98:98, SMALL(IF($D98:$U98&lt;&gt;"", COLUMN($D$1:$U98)), COLUMN(I98))), "")</f>
        <v/>
      </c>
      <c r="AL98" t="str">
        <f t="array" ref="AL98">IFERROR(INDEX(98:98, SMALL(IF($D98:$U98&lt;&gt;"", COLUMN($D$1:$U98)), COLUMN(J98))), "")</f>
        <v/>
      </c>
      <c r="AM98" t="str">
        <f t="array" ref="AM98">IFERROR(INDEX(98:98, SMALL(IF($D98:$U98&lt;&gt;"", COLUMN($D$1:$U98)), COLUMN(K98))), "")</f>
        <v/>
      </c>
      <c r="AN98" t="str">
        <f t="array" ref="AN98">IFERROR(INDEX(98:98, SMALL(IF($D98:$U98&lt;&gt;"", COLUMN($D$1:$U98)), COLUMN(L98))), "")</f>
        <v/>
      </c>
      <c r="AO98" t="str">
        <f t="array" ref="AO98">IFERROR(INDEX(98:98, SMALL(IF($D98:$U98&lt;&gt;"", COLUMN($D$1:$U98)), COLUMN(M98))), "")</f>
        <v/>
      </c>
      <c r="AP98" t="str">
        <f t="array" ref="AP98">IFERROR(INDEX(98:98, SMALL(IF($D98:$U98&lt;&gt;"", COLUMN($D$1:$U98)), COLUMN(N98))), "")</f>
        <v/>
      </c>
      <c r="AQ98" t="str">
        <f t="array" ref="AQ98">IFERROR(INDEX(98:98, SMALL(IF($D98:$U98&lt;&gt;"", COLUMN($D$1:$U98)), COLUMN(O98))), "")</f>
        <v/>
      </c>
      <c r="AR98" s="52" t="s">
        <v>4005</v>
      </c>
      <c r="AS98" t="e">
        <f t="shared" si="23"/>
        <v>#N/A</v>
      </c>
      <c r="AT98" t="e">
        <f t="shared" si="31"/>
        <v>#N/A</v>
      </c>
      <c r="AU98" t="e">
        <f t="shared" si="26"/>
        <v>#N/A</v>
      </c>
      <c r="AV98" t="e">
        <f t="shared" ref="AV98:AV129" si="32">IF(Z98&lt;&gt;0,
IF(Z98&lt;&gt;"0",
SUBSTITUTE(Z98,"-",""),""),
IF(AND(COUNTIF(B98,"*博多*"),AU98&lt;&gt;""),AT98,
IF(AND(AU98&lt;&gt;"",COUNTIF(AS98,"*牛乳*")&lt;&gt;1,COUNTIF(V98,"*牛乳*")),VALUE(TRIM(MID(ASC(V98),SEARCH("×",ASC(V98))+1,SEARCH("本",ASC(V98))-SEARCH("×",ASC(V98))-1))),"")))</f>
        <v>#N/A</v>
      </c>
      <c r="AW98" t="e">
        <f t="shared" si="28"/>
        <v>#N/A</v>
      </c>
      <c r="AX98" t="e">
        <f t="shared" ref="AX98:AX129" si="33">IF(AA98&lt;&gt;0,
SUBSTITUTE(AA98,"-",""),
IF(AND(AW98&lt;&gt;"",COUNTIF(AS98,"*牛乳*")&lt;&gt;1,COUNTIF(AU98,"*牛乳*")&lt;&gt;1,COUNTIF(V98,"*牛乳*")),VALUE(TRIM(MID(ASC(V98),SEARCH("×",ASC(V98))+1,SEARCH("本",ASC(V98))-SEARCH("×",ASC(V98))-1))),""))</f>
        <v>#N/A</v>
      </c>
      <c r="AZ98" t="str">
        <f t="array" ref="AZ98">IFERROR(INDEX(98:98, SMALL(IF($AC98:$AX98&lt;&gt;"", COLUMN($AC$1:$AX98)), COLUMN(A98))), "")</f>
        <v/>
      </c>
      <c r="BA98" t="str">
        <f t="array" ref="BA98">IFERROR(INDEX(98:98, SMALL(IF($AC98:$AX98&lt;&gt;"", COLUMN($AC$1:$AX98)), COLUMN(B98))), "")</f>
        <v/>
      </c>
      <c r="BB98" t="str">
        <f t="array" ref="BB98">IFERROR(INDEX(98:98, SMALL(IF($AC98:$AX98&lt;&gt;"", COLUMN($AC$1:$AX98)), COLUMN(C98))), "")</f>
        <v/>
      </c>
      <c r="BC98" t="str">
        <f t="array" ref="BC98">IFERROR(INDEX(98:98, SMALL(IF($AC98:$AX98&lt;&gt;"", COLUMN($AC$1:$AX98)), COLUMN(D98))), "")</f>
        <v/>
      </c>
      <c r="BD98" t="str">
        <f t="array" ref="BD98">IFERROR(INDEX(98:98, SMALL(IF($AC98:$AX98&lt;&gt;"", COLUMN($AC$1:$AX98)), COLUMN(E98))), "")</f>
        <v/>
      </c>
      <c r="BE98" t="str">
        <f t="array" ref="BE98">IFERROR(INDEX(98:98, SMALL(IF($AC98:$AX98&lt;&gt;"", COLUMN($AC$1:$AX98)), COLUMN(F98))), "")</f>
        <v/>
      </c>
      <c r="BF98" t="str">
        <f t="array" ref="BF98">IFERROR(IF(AND(COUNTIF($B98,"*泉ヶ丘*"),COUNTIF($B99,"*泉ヶ丘*")),
IFERROR(INDEX(99:99, SMALL(IF($AC99:$AX99&lt;&gt;"", COLUMN($AC$1:$AX99)), COLUMN(A99))), ""),
INDEX(98:98, SMALL(IF($AC98:$AX98&lt;&gt;"", COLUMN($AC$1:$AX98)), COLUMN(G98)))), "")</f>
        <v/>
      </c>
      <c r="BG98" t="str">
        <f t="array" ref="BG98">IFERROR(IF(AND(COUNTIF($B98,"*泉ヶ丘*"),COUNTIF($B99,"*泉ヶ丘*")),
IFERROR(INDEX(99:99, SMALL(IF($AC99:$AX99&lt;&gt;"", COLUMN($AC$1:$AX99)), COLUMN(B99))), ""),
INDEX(98:98, SMALL(IF($AC98:$AX98&lt;&gt;"", COLUMN($AC$1:$AX98)), COLUMN(H98)))), "")</f>
        <v/>
      </c>
      <c r="BH98" t="str">
        <f t="array" ref="BH98">IFERROR(IF(AND(COUNTIF($B98,"*泉ヶ丘*"),COUNTIF($B99,"*泉ヶ丘*")),
IFERROR(INDEX(99:99, SMALL(IF($AC99:$AX99&lt;&gt;"", COLUMN($AC$1:$AX99)), COLUMN(C99))), ""),
INDEX(98:98, SMALL(IF($AC98:$AX98&lt;&gt;"", COLUMN($AC$1:$AX98)), COLUMN(I98)))), "")</f>
        <v/>
      </c>
      <c r="BI98" t="str">
        <f t="array" ref="BI98">IFERROR(IF(AND(COUNTIF($B98,"*泉ヶ丘*"),COUNTIF($B99,"*泉ヶ丘*")),
IFERROR(INDEX(99:99, SMALL(IF($AC99:$AX99&lt;&gt;"", COLUMN($AC$1:$AX99)), COLUMN(D99))), ""),
INDEX(98:98, SMALL(IF($AC98:$AX98&lt;&gt;"", COLUMN($AC$1:$AX98)), COLUMN(J98)))), "")</f>
        <v/>
      </c>
      <c r="BJ98" t="str">
        <f t="array" ref="BJ98">IFERROR(IF(AND(COUNTIF($B98,"*泉ヶ丘*"),COUNTIF($B99,"*泉ヶ丘*")),
IFERROR(INDEX(99:99, SMALL(IF($AC99:$AX99&lt;&gt;"", COLUMN($AC$1:$AX99)), COLUMN(E99))), ""),
INDEX(98:98, SMALL(IF($AC98:$AX98&lt;&gt;"", COLUMN($AC$1:$AX98)), COLUMN(K98)))), "")</f>
        <v/>
      </c>
      <c r="BK98" t="str">
        <f t="array" ref="BK98">IFERROR(IF(AND(COUNTIF($B98,"*泉ヶ丘*"),COUNTIF($B99,"*泉ヶ丘*")),
IFERROR(INDEX(99:99, SMALL(IF($AC99:$AX99&lt;&gt;"", COLUMN($AC$1:$AX99)), COLUMN(F99))), ""),
INDEX(98:98, SMALL(IF($AC98:$AX98&lt;&gt;"", COLUMN($AC$1:$AX98)), COLUMN(L98)))), "")</f>
        <v/>
      </c>
      <c r="BL98" t="str">
        <f t="array" ref="BL98">IFERROR(IF(AND(COUNTIF($B98,"*泉ヶ丘*"),COUNTIF($B99,"*泉ヶ丘*")),
IFERROR(INDEX(99:99, SMALL(IF($AC99:$AX99&lt;&gt;"", COLUMN($AC$1:$AX99)), COLUMN(G99))), ""),
INDEX(98:98, SMALL(IF($AC98:$AX98&lt;&gt;"", COLUMN($AC$1:$AX98)), COLUMN(M98)))), "")</f>
        <v/>
      </c>
      <c r="BM98" t="str">
        <f t="array" ref="BM98">IFERROR(IF(AND(COUNTIF($B98,"*泉ヶ丘*"),COUNTIF($B99,"*泉ヶ丘*")),
IFERROR(INDEX(99:99, SMALL(IF($AC99:$AX99&lt;&gt;"", COLUMN($AC$1:$AX99)), COLUMN(H99))), ""),
INDEX(98:98, SMALL(IF($AC98:$AX98&lt;&gt;"", COLUMN($AC$1:$AX98)), COLUMN(N98)))), "")</f>
        <v/>
      </c>
      <c r="BN98" t="str">
        <f t="array" ref="BN98">IFERROR(IF(AND(COUNTIF($B98,"*泉ヶ丘*"),COUNTIF($B99,"*泉ヶ丘*")),
IFERROR(INDEX(99:99, SMALL(IF($AC99:$AX99&lt;&gt;"", COLUMN($AC$1:$AX99)), COLUMN(I99))), ""),
INDEX(98:98, SMALL(IF($AC98:$AX98&lt;&gt;"", COLUMN($AC$1:$AX98)), COLUMN(O98)))), "")</f>
        <v/>
      </c>
      <c r="BO98" t="str">
        <f t="array" ref="BO98">IFERROR(IF(AND(COUNTIF($B98,"*泉ヶ丘*"),COUNTIF($B99,"*泉ヶ丘*")),
IFERROR(INDEX(99:99, SMALL(IF($AC99:$AX99&lt;&gt;"", COLUMN($AC$1:$AX99)), COLUMN(J99))), ""),
INDEX(98:98, SMALL(IF($AC98:$AX98&lt;&gt;"", COLUMN($AC$1:$AX98)), COLUMN(P98)))), "")</f>
        <v/>
      </c>
      <c r="BP98" t="str">
        <f t="array" ref="BP98">IFERROR(IF(AND(COUNTIF($B98,"*泉ヶ丘*"),COUNTIF($B99,"*泉ヶ丘*")),
IFERROR(INDEX(99:99, SMALL(IF($AC99:$AX99&lt;&gt;"", COLUMN($AC$1:$AX99)), COLUMN(K99))), ""),
INDEX(98:98, SMALL(IF($AC98:$AX98&lt;&gt;"", COLUMN($AC$1:$AX98)), COLUMN(Q98)))), "")</f>
        <v/>
      </c>
      <c r="BQ98" t="str">
        <f t="array" ref="BQ98">IFERROR(IF(AND(COUNTIF($B98,"*泉ヶ丘*"),COUNTIF($B99,"*泉ヶ丘*")),
IFERROR(INDEX(99:99, SMALL(IF($AC99:$AX99&lt;&gt;"", COLUMN($AC$1:$AX99)), COLUMN(L99))), ""),
INDEX(98:98, SMALL(IF($AC98:$AX98&lt;&gt;"", COLUMN($AC$1:$AX98)), COLUMN(R98)))), "")</f>
        <v/>
      </c>
    </row>
    <row r="99" spans="1:69" x14ac:dyDescent="0.45">
      <c r="A99" t="e">
        <f t="array" ref="A99">IF(INDEX(貼り付け用!A:A,MATCH(A98,貼り付け用!A:A,0)+2)="4700",
IF(INDEX(貼り付け用!A:A,MATCH(A98,貼り付け用!A:A,0)+4)="4800",
INDEX(貼り付け用!A:A,MATCH(A98,貼り付け用!A:A,0)+6),
INDEX(貼り付け用!A:A,MATCH(A98,貼り付け用!A:A,0)+4)),INDEX(貼り付け用!A:A,MATCH(A98,貼り付け用!A:A,0)+2))</f>
        <v>#N/A</v>
      </c>
      <c r="B99" t="e">
        <f>IF(A99&lt;&gt;"",
VLOOKUP(A99,得意先マスタ!A:D,2,FALSE),"")</f>
        <v>#N/A</v>
      </c>
      <c r="C99" t="e">
        <f t="array" ref="C99">IF(A99="10000","",INDEX(貼り付け用!A:A,MATCH(A99,貼り付け用!A:A,0)+1))</f>
        <v>#N/A</v>
      </c>
      <c r="D99" t="e">
        <f>VLOOKUP(C99,クライアント抽出!$A:$O,10,FALSE)</f>
        <v>#N/A</v>
      </c>
      <c r="E99" t="e">
        <f>IF(D99&lt;&gt;"",
IF(COUNTIF(C99,"*ぺんぎん*"),
VLOOKUP(
"*"&amp;IF(COUNTIF(D99,"*キャラ弁*"),"キャラ",
IF(COUNTIF(D99,"*赤*"),"赤",SUBSTITUTE(SUBSTITUTE(D99," ",""),"　","")))&amp;"*",
注文弁当の抽出!$F:$I,4,FALSE)&amp;
IF(COUNTIF(D99,"*おにぎり*"),"　おにぎり","")&amp;"　（ぺんぎん組）",
VLOOKUP(
"*"&amp;IF(COUNTIF(D99,"*キャラ弁*"),"キャラ",
IF(COUNTIF(D99,"*赤*"),"赤",SUBSTITUTE(SUBSTITUTE(D99," ",""),"　","")))&amp;"*",
注文弁当の抽出!$F:$I,4,FALSE)&amp;
IF(COUNTIF(D99,"*おにぎり*"),"　おにぎり","")),"")</f>
        <v>#N/A</v>
      </c>
      <c r="F99" t="str">
        <f>IFERROR(IF(E99&lt;&gt;"",
VLOOKUP(C99,クライアント抽出!$A:$G,2,FALSE)+
IF(COUNTIF(Y99,"*-*"),Y99,0),"")
-IFERROR(MID(V99, SEARCH("予備", V99) + LEN("予備"), SEARCH("込み", V99) - (SEARCH("予備", V99) + LEN("予備"))),0),"")</f>
        <v/>
      </c>
      <c r="G99" t="e">
        <f>VLOOKUP(C99,クライアント抽出!$A:$O,11,FALSE)</f>
        <v>#N/A</v>
      </c>
      <c r="H99" t="e">
        <f>IF(G99&lt;&gt;"",
VLOOKUP(
"*"&amp;IF(COUNTIF(G99,"*キャラ弁*"),"キャラ",
IF(COUNTIF(G99,"*赤*"),"赤",SUBSTITUTE(SUBSTITUTE(G99," ",""),"　","")))&amp;"*",
注文弁当の抽出!$F:$I,4,FALSE)&amp;
IF(COUNTIF(G99,"*おにぎり*"),"　おにぎり",""),"")</f>
        <v>#N/A</v>
      </c>
      <c r="I99" t="e">
        <f>IF(H99&lt;&gt;"",
VLOOKUP(C99,クライアント抽出!$A:$G,3,FALSE)+
IF(COUNTIF(C99,"*博多*"),Y99,Z99),"")</f>
        <v>#N/A</v>
      </c>
      <c r="J99" t="e">
        <f>VLOOKUP(C99,クライアント抽出!$A:$O,12,FALSE)</f>
        <v>#N/A</v>
      </c>
      <c r="K99" t="e">
        <f>IF(J99&lt;&gt;"",
VLOOKUP(
"*"&amp;IF(COUNTIF(J99,"*キャラ弁*"),"キャラ",
IF(COUNTIF(J99,"*赤*"),"赤",SUBSTITUTE(SUBSTITUTE(J99," ",""),"　","")))&amp;"*",
注文弁当の抽出!$F:$I,4,FALSE)&amp;
IF(COUNTIF(J99,"*おにぎり*"),"　おにぎり",""),"")</f>
        <v>#N/A</v>
      </c>
      <c r="L99" t="e">
        <f>IF(K99&lt;&gt;"",
VLOOKUP(C99,クライアント抽出!$A:$G,4,FALSE)+AA99,"")</f>
        <v>#N/A</v>
      </c>
      <c r="M99" t="e">
        <f>VLOOKUP(C99,クライアント抽出!$A:$O,13,FALSE)</f>
        <v>#N/A</v>
      </c>
      <c r="N99" t="e">
        <f>SUBSTITUTE(
IF(M99&lt;&gt;"",
VLOOKUP(
"*"&amp;IF(COUNTIF(M99,"*キャラ弁*"),"キャラ",
IF(COUNTIF(M99,"*赤*"),"赤",SUBSTITUTE(SUBSTITUTE(D99," ",""),"　","")))&amp;"*",
注文弁当の抽出!$F:$I,4,FALSE),""),"園児","先生")&amp;
IF(COUNTIF(M99,"*おにぎり*"),"　おにぎり","")</f>
        <v>#N/A</v>
      </c>
      <c r="O99" t="e">
        <f>IF(N99&lt;&gt;"",VLOOKUP(C99,クライアント抽出!$A:$G,5,FALSE),"")</f>
        <v>#N/A</v>
      </c>
      <c r="P99" t="e">
        <f>VLOOKUP(C99,クライアント抽出!$A:$O,14,FALSE)</f>
        <v>#N/A</v>
      </c>
      <c r="Q99" t="e">
        <f>SUBSTITUTE(
IF(P99&lt;&gt;"",
VLOOKUP(
"*"&amp;IF(COUNTIF(P99,"*キャラ弁*"),"キャラ",
IF(COUNTIF(P99,"*赤*"),"赤",SUBSTITUTE(SUBSTITUTE(G99," ",""),"　","")))&amp;"*",
注文弁当の抽出!$F:$I,4,FALSE),""),"園児","先生")&amp;
IF(COUNTIF(P99,"*おにぎり*"),"　おにぎり","")</f>
        <v>#N/A</v>
      </c>
      <c r="R99" t="e">
        <f>IF(Q99&lt;&gt;"",
VLOOKUP(C99,クライアント抽出!$A:$G,6,FALSE),"")</f>
        <v>#N/A</v>
      </c>
      <c r="S99" t="e">
        <f>VLOOKUP(C99,クライアント抽出!$A:$O,15,FALSE)</f>
        <v>#N/A</v>
      </c>
      <c r="T99" t="e">
        <f>SUBSTITUTE(
IF(S99&lt;&gt;"",
VLOOKUP(
"*"&amp;IF(COUNTIF(S99,"*キャラ弁*"),"キャラ",
IF(COUNTIF(S99,"*赤*"),"赤",SUBSTITUTE(SUBSTITUTE(J99," ",""),"　","")))&amp;"*",
注文弁当の抽出!$F:$I,4,FALSE),""),"園児","先生")&amp;
IF(COUNTIF(S99,"*おにぎり*"),"　おにぎり","")</f>
        <v>#N/A</v>
      </c>
      <c r="U99" t="e">
        <f>IF(T99&lt;&gt;"",
VLOOKUP(C99,クライアント抽出!$A:$G,7,FALSE),"")</f>
        <v>#N/A</v>
      </c>
      <c r="V99" t="e">
        <f>IF(A99&lt;&gt;"",
IF(COUNTIF(V98,"*牛乳*"),
IF(AND(COUNTIF(B98,"*奈良屋*"),COUNTIF(B99,"*奈良屋*")),
V98&amp;"✔",""),VLOOKUP(""&amp;A99&amp;"",数出表_Excel!$A:$Z,22,FALSE)&amp;VLOOKUP(""&amp;A99&amp;"",数出表_Excel!$A:$Z,23,FALSE)
&amp;VLOOKUP(""&amp;C99&amp;"",数出表_Excel!$A:$Z,22,FALSE)&amp;VLOOKUP(""&amp;C99&amp;"",数出表_Excel!$A:$Z,23,FALSE)),"")</f>
        <v>#N/A</v>
      </c>
      <c r="W99" t="e">
        <f>IF(AND(COUNTIF(V99,"&lt;&gt;*不要*"),A99&lt;&gt;""),VLOOKUP(A99,得意先マスタ!$A:$AD,24,FALSE),0)</f>
        <v>#N/A</v>
      </c>
      <c r="X99" t="e">
        <f>IF(AND(COUNTIF(V99,"&lt;&gt;*不要*"),A99&lt;&gt;""),VLOOKUP(A99,得意先マスタ!$A:$AD,25,FALSE),0)</f>
        <v>#N/A</v>
      </c>
      <c r="Y99" t="e">
        <f t="shared" si="30"/>
        <v>#N/A</v>
      </c>
      <c r="Z99" t="e">
        <f t="shared" si="21"/>
        <v>#N/A</v>
      </c>
      <c r="AA99" t="e">
        <f t="shared" si="25"/>
        <v>#N/A</v>
      </c>
      <c r="AB99" t="e">
        <f t="shared" si="22"/>
        <v>#N/A</v>
      </c>
      <c r="AC99" t="str">
        <f t="array" ref="AC99">IFERROR(INDEX(99:99, SMALL(IF($D99:$U99&lt;&gt;"", COLUMN($D$1:$U99)), COLUMN(A99))), "")</f>
        <v/>
      </c>
      <c r="AD99" t="str">
        <f t="array" ref="AD99">IFERROR(INDEX(99:99, SMALL(IF($D99:$U99&lt;&gt;"", COLUMN($D$1:$U99)), COLUMN(B99))), "")</f>
        <v/>
      </c>
      <c r="AE99" t="str">
        <f t="array" ref="AE99">IFERROR(INDEX(99:99, SMALL(IF($D99:$U99&lt;&gt;"", COLUMN($D$1:$U99)), COLUMN(C99))), "")</f>
        <v/>
      </c>
      <c r="AF99" t="str">
        <f t="array" ref="AF99">IFERROR(INDEX(99:99, SMALL(IF($D99:$U99&lt;&gt;"", COLUMN($D$1:$U99)), COLUMN(D99))), "")</f>
        <v/>
      </c>
      <c r="AG99" t="str">
        <f t="array" ref="AG99">IFERROR(INDEX(99:99, SMALL(IF($D99:$U99&lt;&gt;"", COLUMN($D$1:$U99)), COLUMN(E99))), "")</f>
        <v/>
      </c>
      <c r="AH99" t="str">
        <f t="array" ref="AH99">IFERROR(INDEX(99:99, SMALL(IF($D99:$U99&lt;&gt;"", COLUMN($D$1:$U99)), COLUMN(F99))), "")</f>
        <v/>
      </c>
      <c r="AI99" t="str">
        <f t="array" ref="AI99">IFERROR(INDEX(99:99, SMALL(IF($D99:$U99&lt;&gt;"", COLUMN($D$1:$U99)), COLUMN(G99))), "")</f>
        <v/>
      </c>
      <c r="AJ99" t="str">
        <f t="array" ref="AJ99">IFERROR(INDEX(99:99, SMALL(IF($D99:$U99&lt;&gt;"", COLUMN($D$1:$U99)), COLUMN(H99))), "")</f>
        <v/>
      </c>
      <c r="AK99" t="str">
        <f t="array" ref="AK99">IFERROR(INDEX(99:99, SMALL(IF($D99:$U99&lt;&gt;"", COLUMN($D$1:$U99)), COLUMN(I99))), "")</f>
        <v/>
      </c>
      <c r="AL99" t="str">
        <f t="array" ref="AL99">IFERROR(INDEX(99:99, SMALL(IF($D99:$U99&lt;&gt;"", COLUMN($D$1:$U99)), COLUMN(J99))), "")</f>
        <v/>
      </c>
      <c r="AM99" t="str">
        <f t="array" ref="AM99">IFERROR(INDEX(99:99, SMALL(IF($D99:$U99&lt;&gt;"", COLUMN($D$1:$U99)), COLUMN(K99))), "")</f>
        <v/>
      </c>
      <c r="AN99" t="str">
        <f t="array" ref="AN99">IFERROR(INDEX(99:99, SMALL(IF($D99:$U99&lt;&gt;"", COLUMN($D$1:$U99)), COLUMN(L99))), "")</f>
        <v/>
      </c>
      <c r="AO99" t="str">
        <f t="array" ref="AO99">IFERROR(INDEX(99:99, SMALL(IF($D99:$U99&lt;&gt;"", COLUMN($D$1:$U99)), COLUMN(M99))), "")</f>
        <v/>
      </c>
      <c r="AP99" t="str">
        <f t="array" ref="AP99">IFERROR(INDEX(99:99, SMALL(IF($D99:$U99&lt;&gt;"", COLUMN($D$1:$U99)), COLUMN(N99))), "")</f>
        <v/>
      </c>
      <c r="AQ99" t="str">
        <f t="array" ref="AQ99">IFERROR(INDEX(99:99, SMALL(IF($D99:$U99&lt;&gt;"", COLUMN($D$1:$U99)), COLUMN(O99))), "")</f>
        <v/>
      </c>
      <c r="AR99" s="52" t="s">
        <v>4005</v>
      </c>
      <c r="AS99" t="e">
        <f t="shared" si="23"/>
        <v>#N/A</v>
      </c>
      <c r="AT99" t="e">
        <f t="shared" si="31"/>
        <v>#N/A</v>
      </c>
      <c r="AU99" t="e">
        <f t="shared" si="26"/>
        <v>#N/A</v>
      </c>
      <c r="AV99" t="e">
        <f t="shared" si="32"/>
        <v>#N/A</v>
      </c>
      <c r="AW99" t="e">
        <f t="shared" si="28"/>
        <v>#N/A</v>
      </c>
      <c r="AX99" t="e">
        <f t="shared" si="33"/>
        <v>#N/A</v>
      </c>
      <c r="AZ99" t="str">
        <f t="array" ref="AZ99">IFERROR(INDEX(99:99, SMALL(IF($AC99:$AX99&lt;&gt;"", COLUMN($AC$1:$AX99)), COLUMN(A99))), "")</f>
        <v/>
      </c>
      <c r="BA99" t="str">
        <f t="array" ref="BA99">IFERROR(INDEX(99:99, SMALL(IF($AC99:$AX99&lt;&gt;"", COLUMN($AC$1:$AX99)), COLUMN(B99))), "")</f>
        <v/>
      </c>
      <c r="BB99" t="str">
        <f t="array" ref="BB99">IFERROR(INDEX(99:99, SMALL(IF($AC99:$AX99&lt;&gt;"", COLUMN($AC$1:$AX99)), COLUMN(C99))), "")</f>
        <v/>
      </c>
      <c r="BC99" t="str">
        <f t="array" ref="BC99">IFERROR(INDEX(99:99, SMALL(IF($AC99:$AX99&lt;&gt;"", COLUMN($AC$1:$AX99)), COLUMN(D99))), "")</f>
        <v/>
      </c>
      <c r="BD99" t="str">
        <f t="array" ref="BD99">IFERROR(INDEX(99:99, SMALL(IF($AC99:$AX99&lt;&gt;"", COLUMN($AC$1:$AX99)), COLUMN(E99))), "")</f>
        <v/>
      </c>
      <c r="BE99" t="str">
        <f t="array" ref="BE99">IFERROR(INDEX(99:99, SMALL(IF($AC99:$AX99&lt;&gt;"", COLUMN($AC$1:$AX99)), COLUMN(F99))), "")</f>
        <v/>
      </c>
      <c r="BF99" t="str">
        <f t="array" ref="BF99">IFERROR(IF(AND(COUNTIF($B99,"*泉ヶ丘*"),COUNTIF($B100,"*泉ヶ丘*")),
IFERROR(INDEX(100:100, SMALL(IF($AC100:$AX100&lt;&gt;"", COLUMN($AC$1:$AX100)), COLUMN(A100))), ""),
INDEX(99:99, SMALL(IF($AC99:$AX99&lt;&gt;"", COLUMN($AC$1:$AX99)), COLUMN(G99)))), "")</f>
        <v/>
      </c>
      <c r="BG99" t="str">
        <f t="array" ref="BG99">IFERROR(IF(AND(COUNTIF($B99,"*泉ヶ丘*"),COUNTIF($B100,"*泉ヶ丘*")),
IFERROR(INDEX(100:100, SMALL(IF($AC100:$AX100&lt;&gt;"", COLUMN($AC$1:$AX100)), COLUMN(B100))), ""),
INDEX(99:99, SMALL(IF($AC99:$AX99&lt;&gt;"", COLUMN($AC$1:$AX99)), COLUMN(H99)))), "")</f>
        <v/>
      </c>
      <c r="BH99" t="str">
        <f t="array" ref="BH99">IFERROR(IF(AND(COUNTIF($B99,"*泉ヶ丘*"),COUNTIF($B100,"*泉ヶ丘*")),
IFERROR(INDEX(100:100, SMALL(IF($AC100:$AX100&lt;&gt;"", COLUMN($AC$1:$AX100)), COLUMN(C100))), ""),
INDEX(99:99, SMALL(IF($AC99:$AX99&lt;&gt;"", COLUMN($AC$1:$AX99)), COLUMN(I99)))), "")</f>
        <v/>
      </c>
      <c r="BI99" t="str">
        <f t="array" ref="BI99">IFERROR(IF(AND(COUNTIF($B99,"*泉ヶ丘*"),COUNTIF($B100,"*泉ヶ丘*")),
IFERROR(INDEX(100:100, SMALL(IF($AC100:$AX100&lt;&gt;"", COLUMN($AC$1:$AX100)), COLUMN(D100))), ""),
INDEX(99:99, SMALL(IF($AC99:$AX99&lt;&gt;"", COLUMN($AC$1:$AX99)), COLUMN(J99)))), "")</f>
        <v/>
      </c>
      <c r="BJ99" t="str">
        <f t="array" ref="BJ99">IFERROR(IF(AND(COUNTIF($B99,"*泉ヶ丘*"),COUNTIF($B100,"*泉ヶ丘*")),
IFERROR(INDEX(100:100, SMALL(IF($AC100:$AX100&lt;&gt;"", COLUMN($AC$1:$AX100)), COLUMN(E100))), ""),
INDEX(99:99, SMALL(IF($AC99:$AX99&lt;&gt;"", COLUMN($AC$1:$AX99)), COLUMN(K99)))), "")</f>
        <v/>
      </c>
      <c r="BK99" t="str">
        <f t="array" ref="BK99">IFERROR(IF(AND(COUNTIF($B99,"*泉ヶ丘*"),COUNTIF($B100,"*泉ヶ丘*")),
IFERROR(INDEX(100:100, SMALL(IF($AC100:$AX100&lt;&gt;"", COLUMN($AC$1:$AX100)), COLUMN(F100))), ""),
INDEX(99:99, SMALL(IF($AC99:$AX99&lt;&gt;"", COLUMN($AC$1:$AX99)), COLUMN(L99)))), "")</f>
        <v/>
      </c>
      <c r="BL99" t="str">
        <f t="array" ref="BL99">IFERROR(IF(AND(COUNTIF($B99,"*泉ヶ丘*"),COUNTIF($B100,"*泉ヶ丘*")),
IFERROR(INDEX(100:100, SMALL(IF($AC100:$AX100&lt;&gt;"", COLUMN($AC$1:$AX100)), COLUMN(G100))), ""),
INDEX(99:99, SMALL(IF($AC99:$AX99&lt;&gt;"", COLUMN($AC$1:$AX99)), COLUMN(M99)))), "")</f>
        <v/>
      </c>
      <c r="BM99" t="str">
        <f t="array" ref="BM99">IFERROR(IF(AND(COUNTIF($B99,"*泉ヶ丘*"),COUNTIF($B100,"*泉ヶ丘*")),
IFERROR(INDEX(100:100, SMALL(IF($AC100:$AX100&lt;&gt;"", COLUMN($AC$1:$AX100)), COLUMN(H100))), ""),
INDEX(99:99, SMALL(IF($AC99:$AX99&lt;&gt;"", COLUMN($AC$1:$AX99)), COLUMN(N99)))), "")</f>
        <v/>
      </c>
      <c r="BN99" t="str">
        <f t="array" ref="BN99">IFERROR(IF(AND(COUNTIF($B99,"*泉ヶ丘*"),COUNTIF($B100,"*泉ヶ丘*")),
IFERROR(INDEX(100:100, SMALL(IF($AC100:$AX100&lt;&gt;"", COLUMN($AC$1:$AX100)), COLUMN(I100))), ""),
INDEX(99:99, SMALL(IF($AC99:$AX99&lt;&gt;"", COLUMN($AC$1:$AX99)), COLUMN(O99)))), "")</f>
        <v/>
      </c>
      <c r="BO99" t="str">
        <f t="array" ref="BO99">IFERROR(IF(AND(COUNTIF($B99,"*泉ヶ丘*"),COUNTIF($B100,"*泉ヶ丘*")),
IFERROR(INDEX(100:100, SMALL(IF($AC100:$AX100&lt;&gt;"", COLUMN($AC$1:$AX100)), COLUMN(J100))), ""),
INDEX(99:99, SMALL(IF($AC99:$AX99&lt;&gt;"", COLUMN($AC$1:$AX99)), COLUMN(P99)))), "")</f>
        <v/>
      </c>
      <c r="BP99" t="str">
        <f t="array" ref="BP99">IFERROR(IF(AND(COUNTIF($B99,"*泉ヶ丘*"),COUNTIF($B100,"*泉ヶ丘*")),
IFERROR(INDEX(100:100, SMALL(IF($AC100:$AX100&lt;&gt;"", COLUMN($AC$1:$AX100)), COLUMN(K100))), ""),
INDEX(99:99, SMALL(IF($AC99:$AX99&lt;&gt;"", COLUMN($AC$1:$AX99)), COLUMN(Q99)))), "")</f>
        <v/>
      </c>
      <c r="BQ99" t="str">
        <f t="array" ref="BQ99">IFERROR(IF(AND(COUNTIF($B99,"*泉ヶ丘*"),COUNTIF($B100,"*泉ヶ丘*")),
IFERROR(INDEX(100:100, SMALL(IF($AC100:$AX100&lt;&gt;"", COLUMN($AC$1:$AX100)), COLUMN(L100))), ""),
INDEX(99:99, SMALL(IF($AC99:$AX99&lt;&gt;"", COLUMN($AC$1:$AX99)), COLUMN(R99)))), "")</f>
        <v/>
      </c>
    </row>
    <row r="100" spans="1:69" x14ac:dyDescent="0.45">
      <c r="A100" t="e">
        <f t="array" ref="A100">IF(INDEX(貼り付け用!A:A,MATCH(A99,貼り付け用!A:A,0)+2)="4700",
IF(INDEX(貼り付け用!A:A,MATCH(A99,貼り付け用!A:A,0)+4)="4800",
INDEX(貼り付け用!A:A,MATCH(A99,貼り付け用!A:A,0)+6),
INDEX(貼り付け用!A:A,MATCH(A99,貼り付け用!A:A,0)+4)),INDEX(貼り付け用!A:A,MATCH(A99,貼り付け用!A:A,0)+2))</f>
        <v>#N/A</v>
      </c>
      <c r="B100" t="e">
        <f>IF(A100&lt;&gt;"",
VLOOKUP(A100,得意先マスタ!A:D,2,FALSE),"")</f>
        <v>#N/A</v>
      </c>
      <c r="C100" t="e">
        <f t="array" ref="C100">IF(A100="10000","",INDEX(貼り付け用!A:A,MATCH(A100,貼り付け用!A:A,0)+1))</f>
        <v>#N/A</v>
      </c>
      <c r="D100" t="e">
        <f>VLOOKUP(C100,クライアント抽出!$A:$O,10,FALSE)</f>
        <v>#N/A</v>
      </c>
      <c r="E100" t="e">
        <f>IF(D100&lt;&gt;"",
IF(COUNTIF(C100,"*ぺんぎん*"),
VLOOKUP(
"*"&amp;IF(COUNTIF(D100,"*キャラ弁*"),"キャラ",
IF(COUNTIF(D100,"*赤*"),"赤",SUBSTITUTE(SUBSTITUTE(D100," ",""),"　","")))&amp;"*",
注文弁当の抽出!$F:$I,4,FALSE)&amp;
IF(COUNTIF(D100,"*おにぎり*"),"　おにぎり","")&amp;"　（ぺんぎん組）",
VLOOKUP(
"*"&amp;IF(COUNTIF(D100,"*キャラ弁*"),"キャラ",
IF(COUNTIF(D100,"*赤*"),"赤",SUBSTITUTE(SUBSTITUTE(D100," ",""),"　","")))&amp;"*",
注文弁当の抽出!$F:$I,4,FALSE)&amp;
IF(COUNTIF(D100,"*おにぎり*"),"　おにぎり","")),"")</f>
        <v>#N/A</v>
      </c>
      <c r="F100" t="str">
        <f>IFERROR(IF(E100&lt;&gt;"",
VLOOKUP(C100,クライアント抽出!$A:$G,2,FALSE)+
IF(COUNTIF(Y100,"*-*"),Y100,0),"")
-IFERROR(MID(V100, SEARCH("予備", V100) + LEN("予備"), SEARCH("込み", V100) - (SEARCH("予備", V100) + LEN("予備"))),0),"")</f>
        <v/>
      </c>
      <c r="G100" t="e">
        <f>VLOOKUP(C100,クライアント抽出!$A:$O,11,FALSE)</f>
        <v>#N/A</v>
      </c>
      <c r="H100" t="e">
        <f>IF(G100&lt;&gt;"",
VLOOKUP(
"*"&amp;IF(COUNTIF(G100,"*キャラ弁*"),"キャラ",
IF(COUNTIF(G100,"*赤*"),"赤",SUBSTITUTE(SUBSTITUTE(G100," ",""),"　","")))&amp;"*",
注文弁当の抽出!$F:$I,4,FALSE)&amp;
IF(COUNTIF(G100,"*おにぎり*"),"　おにぎり",""),"")</f>
        <v>#N/A</v>
      </c>
      <c r="I100" t="e">
        <f>IF(H100&lt;&gt;"",
VLOOKUP(C100,クライアント抽出!$A:$G,3,FALSE)+
IF(COUNTIF(C100,"*博多*"),Y100,Z100),"")</f>
        <v>#N/A</v>
      </c>
      <c r="J100" t="e">
        <f>VLOOKUP(C100,クライアント抽出!$A:$O,12,FALSE)</f>
        <v>#N/A</v>
      </c>
      <c r="K100" t="e">
        <f>IF(J100&lt;&gt;"",
VLOOKUP(
"*"&amp;IF(COUNTIF(J100,"*キャラ弁*"),"キャラ",
IF(COUNTIF(J100,"*赤*"),"赤",SUBSTITUTE(SUBSTITUTE(J100," ",""),"　","")))&amp;"*",
注文弁当の抽出!$F:$I,4,FALSE)&amp;
IF(COUNTIF(J100,"*おにぎり*"),"　おにぎり",""),"")</f>
        <v>#N/A</v>
      </c>
      <c r="L100" t="e">
        <f>IF(K100&lt;&gt;"",
VLOOKUP(C100,クライアント抽出!$A:$G,4,FALSE)+AA100,"")</f>
        <v>#N/A</v>
      </c>
      <c r="M100" t="e">
        <f>VLOOKUP(C100,クライアント抽出!$A:$O,13,FALSE)</f>
        <v>#N/A</v>
      </c>
      <c r="N100" t="e">
        <f>SUBSTITUTE(
IF(M100&lt;&gt;"",
VLOOKUP(
"*"&amp;IF(COUNTIF(M100,"*キャラ弁*"),"キャラ",
IF(COUNTIF(M100,"*赤*"),"赤",SUBSTITUTE(SUBSTITUTE(D100," ",""),"　","")))&amp;"*",
注文弁当の抽出!$F:$I,4,FALSE),""),"園児","先生")&amp;
IF(COUNTIF(M100,"*おにぎり*"),"　おにぎり","")</f>
        <v>#N/A</v>
      </c>
      <c r="O100" t="e">
        <f>IF(N100&lt;&gt;"",VLOOKUP(C100,クライアント抽出!$A:$G,5,FALSE),"")</f>
        <v>#N/A</v>
      </c>
      <c r="P100" t="e">
        <f>VLOOKUP(C100,クライアント抽出!$A:$O,14,FALSE)</f>
        <v>#N/A</v>
      </c>
      <c r="Q100" t="e">
        <f>SUBSTITUTE(
IF(P100&lt;&gt;"",
VLOOKUP(
"*"&amp;IF(COUNTIF(P100,"*キャラ弁*"),"キャラ",
IF(COUNTIF(P100,"*赤*"),"赤",SUBSTITUTE(SUBSTITUTE(G100," ",""),"　","")))&amp;"*",
注文弁当の抽出!$F:$I,4,FALSE),""),"園児","先生")&amp;
IF(COUNTIF(P100,"*おにぎり*"),"　おにぎり","")</f>
        <v>#N/A</v>
      </c>
      <c r="R100" t="e">
        <f>IF(Q100&lt;&gt;"",
VLOOKUP(C100,クライアント抽出!$A:$G,6,FALSE),"")</f>
        <v>#N/A</v>
      </c>
      <c r="S100" t="e">
        <f>VLOOKUP(C100,クライアント抽出!$A:$O,15,FALSE)</f>
        <v>#N/A</v>
      </c>
      <c r="T100" t="e">
        <f>SUBSTITUTE(
IF(S100&lt;&gt;"",
VLOOKUP(
"*"&amp;IF(COUNTIF(S100,"*キャラ弁*"),"キャラ",
IF(COUNTIF(S100,"*赤*"),"赤",SUBSTITUTE(SUBSTITUTE(J100," ",""),"　","")))&amp;"*",
注文弁当の抽出!$F:$I,4,FALSE),""),"園児","先生")&amp;
IF(COUNTIF(S100,"*おにぎり*"),"　おにぎり","")</f>
        <v>#N/A</v>
      </c>
      <c r="U100" t="e">
        <f>IF(T100&lt;&gt;"",
VLOOKUP(C100,クライアント抽出!$A:$G,7,FALSE),"")</f>
        <v>#N/A</v>
      </c>
      <c r="V100" t="e">
        <f>IF(A100&lt;&gt;"",
IF(COUNTIF(V99,"*牛乳*"),
IF(AND(COUNTIF(B99,"*奈良屋*"),COUNTIF(B100,"*奈良屋*")),
V99&amp;"✔",""),VLOOKUP(""&amp;A100&amp;"",数出表_Excel!$A:$Z,22,FALSE)&amp;VLOOKUP(""&amp;A100&amp;"",数出表_Excel!$A:$Z,23,FALSE)
&amp;VLOOKUP(""&amp;C100&amp;"",数出表_Excel!$A:$Z,22,FALSE)&amp;VLOOKUP(""&amp;C100&amp;"",数出表_Excel!$A:$Z,23,FALSE)),"")</f>
        <v>#N/A</v>
      </c>
      <c r="W100" t="e">
        <f>IF(AND(COUNTIF(V100,"&lt;&gt;*不要*"),A100&lt;&gt;""),VLOOKUP(A100,得意先マスタ!$A:$AD,24,FALSE),0)</f>
        <v>#N/A</v>
      </c>
      <c r="X100" t="e">
        <f>IF(AND(COUNTIF(V100,"&lt;&gt;*不要*"),A100&lt;&gt;""),VLOOKUP(A100,得意先マスタ!$A:$AD,25,FALSE),0)</f>
        <v>#N/A</v>
      </c>
      <c r="Y100" t="e">
        <f t="shared" si="30"/>
        <v>#N/A</v>
      </c>
      <c r="Z100" t="e">
        <f t="shared" si="21"/>
        <v>#N/A</v>
      </c>
      <c r="AA100" t="e">
        <f t="shared" si="25"/>
        <v>#N/A</v>
      </c>
      <c r="AB100" t="e">
        <f t="shared" si="22"/>
        <v>#N/A</v>
      </c>
      <c r="AC100" t="str">
        <f t="array" ref="AC100">IFERROR(INDEX(100:100, SMALL(IF($D100:$U100&lt;&gt;"", COLUMN($D$1:$U100)), COLUMN(A100))), "")</f>
        <v/>
      </c>
      <c r="AD100" t="str">
        <f t="array" ref="AD100">IFERROR(INDEX(100:100, SMALL(IF($D100:$U100&lt;&gt;"", COLUMN($D$1:$U100)), COLUMN(B100))), "")</f>
        <v/>
      </c>
      <c r="AE100" t="str">
        <f t="array" ref="AE100">IFERROR(INDEX(100:100, SMALL(IF($D100:$U100&lt;&gt;"", COLUMN($D$1:$U100)), COLUMN(C100))), "")</f>
        <v/>
      </c>
      <c r="AF100" t="str">
        <f t="array" ref="AF100">IFERROR(INDEX(100:100, SMALL(IF($D100:$U100&lt;&gt;"", COLUMN($D$1:$U100)), COLUMN(D100))), "")</f>
        <v/>
      </c>
      <c r="AG100" t="str">
        <f t="array" ref="AG100">IFERROR(INDEX(100:100, SMALL(IF($D100:$U100&lt;&gt;"", COLUMN($D$1:$U100)), COLUMN(E100))), "")</f>
        <v/>
      </c>
      <c r="AH100" t="str">
        <f t="array" ref="AH100">IFERROR(INDEX(100:100, SMALL(IF($D100:$U100&lt;&gt;"", COLUMN($D$1:$U100)), COLUMN(F100))), "")</f>
        <v/>
      </c>
      <c r="AI100" t="str">
        <f t="array" ref="AI100">IFERROR(INDEX(100:100, SMALL(IF($D100:$U100&lt;&gt;"", COLUMN($D$1:$U100)), COLUMN(G100))), "")</f>
        <v/>
      </c>
      <c r="AJ100" t="str">
        <f t="array" ref="AJ100">IFERROR(INDEX(100:100, SMALL(IF($D100:$U100&lt;&gt;"", COLUMN($D$1:$U100)), COLUMN(H100))), "")</f>
        <v/>
      </c>
      <c r="AK100" t="str">
        <f t="array" ref="AK100">IFERROR(INDEX(100:100, SMALL(IF($D100:$U100&lt;&gt;"", COLUMN($D$1:$U100)), COLUMN(I100))), "")</f>
        <v/>
      </c>
      <c r="AL100" t="str">
        <f t="array" ref="AL100">IFERROR(INDEX(100:100, SMALL(IF($D100:$U100&lt;&gt;"", COLUMN($D$1:$U100)), COLUMN(J100))), "")</f>
        <v/>
      </c>
      <c r="AM100" t="str">
        <f t="array" ref="AM100">IFERROR(INDEX(100:100, SMALL(IF($D100:$U100&lt;&gt;"", COLUMN($D$1:$U100)), COLUMN(K100))), "")</f>
        <v/>
      </c>
      <c r="AN100" t="str">
        <f t="array" ref="AN100">IFERROR(INDEX(100:100, SMALL(IF($D100:$U100&lt;&gt;"", COLUMN($D$1:$U100)), COLUMN(L100))), "")</f>
        <v/>
      </c>
      <c r="AO100" t="str">
        <f t="array" ref="AO100">IFERROR(INDEX(100:100, SMALL(IF($D100:$U100&lt;&gt;"", COLUMN($D$1:$U100)), COLUMN(M100))), "")</f>
        <v/>
      </c>
      <c r="AP100" t="str">
        <f t="array" ref="AP100">IFERROR(INDEX(100:100, SMALL(IF($D100:$U100&lt;&gt;"", COLUMN($D$1:$U100)), COLUMN(N100))), "")</f>
        <v/>
      </c>
      <c r="AQ100" t="str">
        <f t="array" ref="AQ100">IFERROR(INDEX(100:100, SMALL(IF($D100:$U100&lt;&gt;"", COLUMN($D$1:$U100)), COLUMN(O100))), "")</f>
        <v/>
      </c>
      <c r="AR100" s="52" t="s">
        <v>4005</v>
      </c>
      <c r="AS100" t="e">
        <f t="shared" si="23"/>
        <v>#N/A</v>
      </c>
      <c r="AT100" t="e">
        <f t="shared" si="31"/>
        <v>#N/A</v>
      </c>
      <c r="AU100" t="e">
        <f t="shared" si="26"/>
        <v>#N/A</v>
      </c>
      <c r="AV100" t="e">
        <f t="shared" si="32"/>
        <v>#N/A</v>
      </c>
      <c r="AW100" t="e">
        <f t="shared" si="28"/>
        <v>#N/A</v>
      </c>
      <c r="AX100" t="e">
        <f t="shared" si="33"/>
        <v>#N/A</v>
      </c>
      <c r="AZ100" t="str">
        <f t="array" ref="AZ100">IFERROR(INDEX(100:100, SMALL(IF($AC100:$AX100&lt;&gt;"", COLUMN($AC$1:$AX100)), COLUMN(A100))), "")</f>
        <v/>
      </c>
      <c r="BA100" t="str">
        <f t="array" ref="BA100">IFERROR(INDEX(100:100, SMALL(IF($AC100:$AX100&lt;&gt;"", COLUMN($AC$1:$AX100)), COLUMN(B100))), "")</f>
        <v/>
      </c>
      <c r="BB100" t="str">
        <f t="array" ref="BB100">IFERROR(INDEX(100:100, SMALL(IF($AC100:$AX100&lt;&gt;"", COLUMN($AC$1:$AX100)), COLUMN(C100))), "")</f>
        <v/>
      </c>
      <c r="BC100" t="str">
        <f t="array" ref="BC100">IFERROR(INDEX(100:100, SMALL(IF($AC100:$AX100&lt;&gt;"", COLUMN($AC$1:$AX100)), COLUMN(D100))), "")</f>
        <v/>
      </c>
      <c r="BD100" t="str">
        <f t="array" ref="BD100">IFERROR(INDEX(100:100, SMALL(IF($AC100:$AX100&lt;&gt;"", COLUMN($AC$1:$AX100)), COLUMN(E100))), "")</f>
        <v/>
      </c>
      <c r="BE100" t="str">
        <f t="array" ref="BE100">IFERROR(INDEX(100:100, SMALL(IF($AC100:$AX100&lt;&gt;"", COLUMN($AC$1:$AX100)), COLUMN(F100))), "")</f>
        <v/>
      </c>
      <c r="BF100" t="str">
        <f t="array" ref="BF100">IFERROR(IF(AND(COUNTIF($B100,"*泉ヶ丘*"),COUNTIF($B101,"*泉ヶ丘*")),
IFERROR(INDEX(101:101, SMALL(IF($AC101:$AX101&lt;&gt;"", COLUMN($AC$1:$AX101)), COLUMN(A101))), ""),
INDEX(100:100, SMALL(IF($AC100:$AX100&lt;&gt;"", COLUMN($AC$1:$AX100)), COLUMN(G100)))), "")</f>
        <v/>
      </c>
      <c r="BG100" t="str">
        <f t="array" ref="BG100">IFERROR(IF(AND(COUNTIF($B100,"*泉ヶ丘*"),COUNTIF($B101,"*泉ヶ丘*")),
IFERROR(INDEX(101:101, SMALL(IF($AC101:$AX101&lt;&gt;"", COLUMN($AC$1:$AX101)), COLUMN(B101))), ""),
INDEX(100:100, SMALL(IF($AC100:$AX100&lt;&gt;"", COLUMN($AC$1:$AX100)), COLUMN(H100)))), "")</f>
        <v/>
      </c>
      <c r="BH100" t="str">
        <f t="array" ref="BH100">IFERROR(IF(AND(COUNTIF($B100,"*泉ヶ丘*"),COUNTIF($B101,"*泉ヶ丘*")),
IFERROR(INDEX(101:101, SMALL(IF($AC101:$AX101&lt;&gt;"", COLUMN($AC$1:$AX101)), COLUMN(C101))), ""),
INDEX(100:100, SMALL(IF($AC100:$AX100&lt;&gt;"", COLUMN($AC$1:$AX100)), COLUMN(I100)))), "")</f>
        <v/>
      </c>
      <c r="BI100" t="str">
        <f t="array" ref="BI100">IFERROR(IF(AND(COUNTIF($B100,"*泉ヶ丘*"),COUNTIF($B101,"*泉ヶ丘*")),
IFERROR(INDEX(101:101, SMALL(IF($AC101:$AX101&lt;&gt;"", COLUMN($AC$1:$AX101)), COLUMN(D101))), ""),
INDEX(100:100, SMALL(IF($AC100:$AX100&lt;&gt;"", COLUMN($AC$1:$AX100)), COLUMN(J100)))), "")</f>
        <v/>
      </c>
      <c r="BJ100" t="str">
        <f t="array" ref="BJ100">IFERROR(IF(AND(COUNTIF($B100,"*泉ヶ丘*"),COUNTIF($B101,"*泉ヶ丘*")),
IFERROR(INDEX(101:101, SMALL(IF($AC101:$AX101&lt;&gt;"", COLUMN($AC$1:$AX101)), COLUMN(E101))), ""),
INDEX(100:100, SMALL(IF($AC100:$AX100&lt;&gt;"", COLUMN($AC$1:$AX100)), COLUMN(K100)))), "")</f>
        <v/>
      </c>
      <c r="BK100" t="str">
        <f t="array" ref="BK100">IFERROR(IF(AND(COUNTIF($B100,"*泉ヶ丘*"),COUNTIF($B101,"*泉ヶ丘*")),
IFERROR(INDEX(101:101, SMALL(IF($AC101:$AX101&lt;&gt;"", COLUMN($AC$1:$AX101)), COLUMN(F101))), ""),
INDEX(100:100, SMALL(IF($AC100:$AX100&lt;&gt;"", COLUMN($AC$1:$AX100)), COLUMN(L100)))), "")</f>
        <v/>
      </c>
      <c r="BL100" t="str">
        <f t="array" ref="BL100">IFERROR(IF(AND(COUNTIF($B100,"*泉ヶ丘*"),COUNTIF($B101,"*泉ヶ丘*")),
IFERROR(INDEX(101:101, SMALL(IF($AC101:$AX101&lt;&gt;"", COLUMN($AC$1:$AX101)), COLUMN(G101))), ""),
INDEX(100:100, SMALL(IF($AC100:$AX100&lt;&gt;"", COLUMN($AC$1:$AX100)), COLUMN(M100)))), "")</f>
        <v/>
      </c>
      <c r="BM100" t="str">
        <f t="array" ref="BM100">IFERROR(IF(AND(COUNTIF($B100,"*泉ヶ丘*"),COUNTIF($B101,"*泉ヶ丘*")),
IFERROR(INDEX(101:101, SMALL(IF($AC101:$AX101&lt;&gt;"", COLUMN($AC$1:$AX101)), COLUMN(H101))), ""),
INDEX(100:100, SMALL(IF($AC100:$AX100&lt;&gt;"", COLUMN($AC$1:$AX100)), COLUMN(N100)))), "")</f>
        <v/>
      </c>
      <c r="BN100" t="str">
        <f t="array" ref="BN100">IFERROR(IF(AND(COUNTIF($B100,"*泉ヶ丘*"),COUNTIF($B101,"*泉ヶ丘*")),
IFERROR(INDEX(101:101, SMALL(IF($AC101:$AX101&lt;&gt;"", COLUMN($AC$1:$AX101)), COLUMN(I101))), ""),
INDEX(100:100, SMALL(IF($AC100:$AX100&lt;&gt;"", COLUMN($AC$1:$AX100)), COLUMN(O100)))), "")</f>
        <v/>
      </c>
      <c r="BO100" t="str">
        <f t="array" ref="BO100">IFERROR(IF(AND(COUNTIF($B100,"*泉ヶ丘*"),COUNTIF($B101,"*泉ヶ丘*")),
IFERROR(INDEX(101:101, SMALL(IF($AC101:$AX101&lt;&gt;"", COLUMN($AC$1:$AX101)), COLUMN(J101))), ""),
INDEX(100:100, SMALL(IF($AC100:$AX100&lt;&gt;"", COLUMN($AC$1:$AX100)), COLUMN(P100)))), "")</f>
        <v/>
      </c>
      <c r="BP100" t="str">
        <f t="array" ref="BP100">IFERROR(IF(AND(COUNTIF($B100,"*泉ヶ丘*"),COUNTIF($B101,"*泉ヶ丘*")),
IFERROR(INDEX(101:101, SMALL(IF($AC101:$AX101&lt;&gt;"", COLUMN($AC$1:$AX101)), COLUMN(K101))), ""),
INDEX(100:100, SMALL(IF($AC100:$AX100&lt;&gt;"", COLUMN($AC$1:$AX100)), COLUMN(Q100)))), "")</f>
        <v/>
      </c>
      <c r="BQ100" t="str">
        <f t="array" ref="BQ100">IFERROR(IF(AND(COUNTIF($B100,"*泉ヶ丘*"),COUNTIF($B101,"*泉ヶ丘*")),
IFERROR(INDEX(101:101, SMALL(IF($AC101:$AX101&lt;&gt;"", COLUMN($AC$1:$AX101)), COLUMN(L101))), ""),
INDEX(100:100, SMALL(IF($AC100:$AX100&lt;&gt;"", COLUMN($AC$1:$AX100)), COLUMN(R100)))), "")</f>
        <v/>
      </c>
    </row>
    <row r="101" spans="1:69" x14ac:dyDescent="0.45">
      <c r="D101"/>
      <c r="E101"/>
      <c r="G101"/>
      <c r="H101"/>
      <c r="K101"/>
      <c r="M101"/>
      <c r="N101"/>
      <c r="Q101"/>
      <c r="T101"/>
      <c r="AC101"/>
      <c r="AS101"/>
    </row>
    <row r="102" spans="1:69" x14ac:dyDescent="0.45">
      <c r="D102"/>
      <c r="E102"/>
      <c r="G102"/>
      <c r="H102"/>
      <c r="K102"/>
      <c r="M102"/>
      <c r="N102"/>
      <c r="Q102"/>
      <c r="T102"/>
      <c r="AC102"/>
    </row>
    <row r="103" spans="1:69" x14ac:dyDescent="0.45">
      <c r="D103"/>
      <c r="E103"/>
      <c r="G103"/>
      <c r="H103"/>
      <c r="K103"/>
      <c r="M103"/>
      <c r="N103"/>
      <c r="Q103"/>
      <c r="T103"/>
    </row>
    <row r="104" spans="1:69" x14ac:dyDescent="0.45">
      <c r="D104"/>
      <c r="E104"/>
      <c r="G104"/>
      <c r="H104"/>
      <c r="K104"/>
      <c r="M104"/>
      <c r="N104"/>
      <c r="Q104"/>
      <c r="T104"/>
    </row>
    <row r="105" spans="1:69" x14ac:dyDescent="0.45">
      <c r="D105"/>
      <c r="E105"/>
      <c r="G105"/>
      <c r="H105"/>
      <c r="K105"/>
      <c r="M105"/>
      <c r="N105"/>
      <c r="Q105"/>
      <c r="T105"/>
    </row>
    <row r="106" spans="1:69" x14ac:dyDescent="0.45">
      <c r="D106"/>
      <c r="E106"/>
      <c r="G106"/>
      <c r="H106"/>
      <c r="K106"/>
      <c r="M106"/>
      <c r="N106"/>
      <c r="Q106"/>
      <c r="T106"/>
    </row>
    <row r="107" spans="1:69" x14ac:dyDescent="0.45">
      <c r="D107"/>
      <c r="E107"/>
      <c r="G107"/>
      <c r="H107"/>
      <c r="K107"/>
      <c r="M107"/>
      <c r="N107"/>
      <c r="Q107"/>
      <c r="T107"/>
    </row>
    <row r="108" spans="1:69" x14ac:dyDescent="0.45">
      <c r="D108"/>
      <c r="E108"/>
      <c r="G108"/>
      <c r="H108"/>
      <c r="K108"/>
      <c r="M108"/>
      <c r="N108"/>
      <c r="Q108"/>
      <c r="T108"/>
    </row>
    <row r="109" spans="1:69" x14ac:dyDescent="0.45">
      <c r="D109"/>
      <c r="E109"/>
      <c r="G109"/>
      <c r="H109"/>
      <c r="K109"/>
      <c r="M109"/>
      <c r="N109"/>
      <c r="Q109"/>
      <c r="T109"/>
    </row>
    <row r="110" spans="1:69" x14ac:dyDescent="0.45">
      <c r="D110"/>
      <c r="E110"/>
      <c r="G110"/>
      <c r="H110"/>
      <c r="K110"/>
      <c r="M110"/>
      <c r="N110"/>
      <c r="Q110"/>
      <c r="T110"/>
    </row>
    <row r="111" spans="1:69" x14ac:dyDescent="0.45">
      <c r="D111"/>
      <c r="E111"/>
      <c r="G111"/>
      <c r="H111"/>
      <c r="K111"/>
      <c r="M111"/>
      <c r="N111"/>
      <c r="Q111"/>
      <c r="T111"/>
    </row>
    <row r="112" spans="1:69" x14ac:dyDescent="0.45">
      <c r="D112"/>
      <c r="E112"/>
      <c r="G112"/>
      <c r="H112"/>
      <c r="K112"/>
      <c r="M112"/>
      <c r="N112"/>
      <c r="Q112"/>
      <c r="T112"/>
    </row>
    <row r="113" spans="4:20" x14ac:dyDescent="0.45">
      <c r="D113"/>
      <c r="E113"/>
      <c r="G113"/>
      <c r="H113"/>
      <c r="K113"/>
      <c r="M113"/>
      <c r="N113"/>
      <c r="Q113"/>
      <c r="T113"/>
    </row>
    <row r="114" spans="4:20" x14ac:dyDescent="0.45">
      <c r="D114"/>
      <c r="E114"/>
      <c r="G114"/>
      <c r="H114"/>
      <c r="K114"/>
      <c r="M114"/>
      <c r="N114"/>
      <c r="Q114"/>
      <c r="T114"/>
    </row>
    <row r="115" spans="4:20" x14ac:dyDescent="0.45">
      <c r="D115"/>
      <c r="E115"/>
      <c r="G115"/>
      <c r="H115"/>
      <c r="K115"/>
      <c r="M115"/>
      <c r="N115"/>
      <c r="Q115"/>
      <c r="T115"/>
    </row>
    <row r="116" spans="4:20" x14ac:dyDescent="0.45">
      <c r="D116"/>
      <c r="E116"/>
      <c r="G116"/>
      <c r="H116"/>
      <c r="K116"/>
      <c r="M116"/>
      <c r="N116"/>
      <c r="Q116"/>
      <c r="T116"/>
    </row>
    <row r="117" spans="4:20" x14ac:dyDescent="0.45">
      <c r="D117"/>
      <c r="E117"/>
      <c r="G117"/>
      <c r="H117"/>
      <c r="K117"/>
      <c r="M117"/>
      <c r="N117"/>
      <c r="Q117"/>
      <c r="T117"/>
    </row>
    <row r="118" spans="4:20" x14ac:dyDescent="0.45">
      <c r="D118"/>
      <c r="E118"/>
      <c r="G118"/>
      <c r="H118"/>
      <c r="K118"/>
      <c r="M118"/>
      <c r="N118"/>
      <c r="Q118"/>
      <c r="T118"/>
    </row>
    <row r="119" spans="4:20" x14ac:dyDescent="0.45">
      <c r="D119"/>
      <c r="E119"/>
      <c r="G119"/>
      <c r="H119"/>
      <c r="K119"/>
      <c r="M119"/>
      <c r="N119"/>
      <c r="Q119"/>
      <c r="T119"/>
    </row>
    <row r="120" spans="4:20" x14ac:dyDescent="0.45">
      <c r="D120"/>
      <c r="E120"/>
      <c r="G120"/>
      <c r="H120"/>
      <c r="K120"/>
      <c r="M120"/>
      <c r="N120"/>
      <c r="Q120"/>
      <c r="T120"/>
    </row>
  </sheetData>
  <phoneticPr fontId="2"/>
  <pageMargins left="0.7" right="0.7" top="0.75" bottom="0.75" header="0.3" footer="0.3"/>
  <pageSetup paperSize="9"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M49"/>
  <sheetViews>
    <sheetView tabSelected="1" topLeftCell="GG1" zoomScale="90" zoomScaleNormal="90" workbookViewId="0">
      <selection activeCell="GK13" sqref="GK13"/>
    </sheetView>
  </sheetViews>
  <sheetFormatPr defaultRowHeight="18" x14ac:dyDescent="0.45"/>
  <cols>
    <col min="1" max="1" width="14" style="1" customWidth="1"/>
    <col min="3" max="3" width="5.09765625" style="1" customWidth="1"/>
    <col min="5" max="6" width="11" style="1" customWidth="1"/>
    <col min="8" max="9" width="8.69921875" style="68" customWidth="1"/>
    <col min="10" max="11" width="0.796875" style="1" customWidth="1"/>
    <col min="12" max="12" width="14" style="1" customWidth="1"/>
    <col min="14" max="14" width="5.09765625" style="1" customWidth="1"/>
    <col min="16" max="17" width="11" style="1" customWidth="1"/>
    <col min="19" max="20" width="8.69921875" style="1" customWidth="1"/>
    <col min="21" max="22" width="0.796875" style="1" customWidth="1"/>
    <col min="23" max="23" width="14" style="1" customWidth="1"/>
    <col min="25" max="25" width="5.09765625" style="1" customWidth="1"/>
    <col min="27" max="28" width="11" style="1" customWidth="1"/>
    <col min="30" max="31" width="8.69921875" style="1" customWidth="1"/>
    <col min="32" max="33" width="0.796875" style="1" customWidth="1"/>
    <col min="34" max="34" width="14" style="1" customWidth="1"/>
    <col min="36" max="36" width="5.09765625" style="1" customWidth="1"/>
    <col min="38" max="39" width="11" style="1" customWidth="1"/>
    <col min="41" max="42" width="8.69921875" style="1" customWidth="1"/>
    <col min="43" max="44" width="0.796875" style="1" customWidth="1"/>
    <col min="45" max="45" width="14" style="1" customWidth="1"/>
    <col min="47" max="47" width="5.09765625" style="1" customWidth="1"/>
    <col min="49" max="50" width="11" style="1" customWidth="1"/>
    <col min="52" max="53" width="8.69921875" style="1" customWidth="1"/>
    <col min="54" max="55" width="0.796875" style="1" customWidth="1"/>
    <col min="56" max="56" width="14" style="1" customWidth="1"/>
    <col min="58" max="58" width="5.09765625" style="1" customWidth="1"/>
    <col min="60" max="61" width="11" style="1" customWidth="1"/>
    <col min="63" max="64" width="8.69921875" style="1" customWidth="1"/>
    <col min="65" max="66" width="0.796875" style="1" customWidth="1"/>
    <col min="67" max="67" width="14" style="1" customWidth="1"/>
    <col min="69" max="69" width="5.09765625" style="1" customWidth="1"/>
    <col min="71" max="72" width="11" style="1" customWidth="1"/>
    <col min="74" max="75" width="8.69921875" style="1" customWidth="1"/>
    <col min="76" max="77" width="0.796875" style="1" customWidth="1"/>
    <col min="78" max="78" width="14" style="1" customWidth="1"/>
    <col min="80" max="80" width="5.09765625" style="1" customWidth="1"/>
    <col min="82" max="83" width="11" style="1" customWidth="1"/>
    <col min="85" max="86" width="8.69921875" style="1" customWidth="1"/>
    <col min="87" max="88" width="0.796875" style="1" customWidth="1"/>
    <col min="89" max="89" width="14" style="1" customWidth="1"/>
    <col min="91" max="91" width="5.09765625" style="1" customWidth="1"/>
    <col min="93" max="94" width="11" style="1" customWidth="1"/>
    <col min="96" max="97" width="8.69921875" style="1" customWidth="1"/>
    <col min="98" max="99" width="0.796875" style="1" customWidth="1"/>
    <col min="100" max="100" width="14" style="1" customWidth="1"/>
    <col min="102" max="102" width="5.09765625" style="1" customWidth="1"/>
    <col min="104" max="105" width="11" style="1" customWidth="1"/>
    <col min="107" max="108" width="8.69921875" style="1" customWidth="1"/>
    <col min="109" max="110" width="0.796875" style="1" customWidth="1"/>
    <col min="111" max="111" width="14" style="1" customWidth="1"/>
    <col min="113" max="113" width="5.09765625" style="1" customWidth="1"/>
    <col min="115" max="116" width="11" style="1" customWidth="1"/>
    <col min="118" max="119" width="8.69921875" style="1" customWidth="1"/>
    <col min="120" max="121" width="0.796875" style="1" customWidth="1"/>
    <col min="122" max="122" width="14" style="1" customWidth="1"/>
    <col min="124" max="124" width="5.09765625" style="1" customWidth="1"/>
    <col min="126" max="127" width="11" style="1" customWidth="1"/>
    <col min="129" max="130" width="8.69921875" style="1" customWidth="1"/>
    <col min="131" max="132" width="0.796875" style="1" customWidth="1"/>
    <col min="133" max="133" width="14" style="1" customWidth="1"/>
    <col min="135" max="135" width="5.09765625" style="1" customWidth="1"/>
    <col min="137" max="138" width="11" style="1" customWidth="1"/>
    <col min="140" max="141" width="8.69921875" style="1" customWidth="1"/>
    <col min="142" max="143" width="0.796875" style="1" customWidth="1"/>
    <col min="144" max="144" width="14" style="1" customWidth="1"/>
    <col min="146" max="146" width="5.09765625" style="1" customWidth="1"/>
    <col min="148" max="149" width="11" style="1" customWidth="1"/>
    <col min="151" max="152" width="8.69921875" style="1" customWidth="1"/>
    <col min="153" max="154" width="0.796875" style="1" customWidth="1"/>
    <col min="155" max="155" width="14" style="1" customWidth="1"/>
    <col min="157" max="157" width="5.09765625" style="1" customWidth="1"/>
    <col min="159" max="160" width="11" style="1" customWidth="1"/>
    <col min="162" max="163" width="8.69921875" style="1" customWidth="1"/>
    <col min="164" max="165" width="0.796875" style="1" customWidth="1"/>
    <col min="166" max="166" width="14" style="1" customWidth="1"/>
    <col min="168" max="168" width="5.09765625" style="1" customWidth="1"/>
    <col min="170" max="171" width="11" style="1" customWidth="1"/>
    <col min="173" max="174" width="8.69921875" style="1" customWidth="1"/>
    <col min="175" max="176" width="0.796875" style="1" customWidth="1"/>
    <col min="177" max="177" width="14" style="1" customWidth="1"/>
    <col min="179" max="179" width="5.09765625" style="1" customWidth="1"/>
    <col min="181" max="182" width="11" style="1" customWidth="1"/>
    <col min="184" max="185" width="8.69921875" style="1" customWidth="1"/>
    <col min="186" max="187" width="0.796875" style="1" customWidth="1"/>
    <col min="188" max="188" width="14" style="1" customWidth="1"/>
    <col min="190" max="190" width="5.09765625" style="1" customWidth="1"/>
    <col min="192" max="193" width="11" style="1" customWidth="1"/>
    <col min="195" max="196" width="8.69921875" style="1" customWidth="1"/>
    <col min="197" max="198" width="0.796875" style="1" customWidth="1"/>
    <col min="199" max="199" width="14" style="1" customWidth="1"/>
    <col min="201" max="201" width="5.09765625" style="1" customWidth="1"/>
    <col min="203" max="204" width="11" style="1" customWidth="1"/>
    <col min="206" max="207" width="8.69921875" style="1" customWidth="1"/>
    <col min="208" max="209" width="0.796875" style="1" customWidth="1"/>
    <col min="210" max="210" width="14" style="1" customWidth="1"/>
    <col min="212" max="212" width="5.09765625" style="1" customWidth="1"/>
    <col min="214" max="215" width="11" style="1" customWidth="1"/>
    <col min="217" max="218" width="8.69921875" style="1" customWidth="1"/>
    <col min="219" max="220" width="0.796875" style="1" customWidth="1"/>
    <col min="221" max="221" width="14" style="1" customWidth="1"/>
    <col min="223" max="223" width="5.09765625" style="1" customWidth="1"/>
    <col min="225" max="226" width="11" style="1" customWidth="1"/>
    <col min="228" max="229" width="8.69921875" style="1" customWidth="1"/>
    <col min="230" max="231" width="0.796875" style="1" customWidth="1"/>
    <col min="232" max="232" width="14" style="1" customWidth="1"/>
    <col min="234" max="234" width="5.09765625" style="1" customWidth="1"/>
    <col min="236" max="237" width="11" style="1" customWidth="1"/>
    <col min="239" max="240" width="8.69921875" style="1" customWidth="1"/>
    <col min="241" max="242" width="0.796875" style="1" customWidth="1"/>
    <col min="243" max="243" width="14" style="1" customWidth="1"/>
    <col min="245" max="245" width="5.09765625" style="1" customWidth="1"/>
    <col min="247" max="248" width="11" style="1" customWidth="1"/>
    <col min="250" max="251" width="8.69921875" style="1" customWidth="1"/>
    <col min="252" max="253" width="0.796875" style="1" customWidth="1"/>
    <col min="254" max="254" width="14" style="1" customWidth="1"/>
    <col min="256" max="256" width="5.09765625" style="1" customWidth="1"/>
    <col min="258" max="259" width="11" style="1" customWidth="1"/>
    <col min="261" max="262" width="8.69921875" style="1" customWidth="1"/>
    <col min="263" max="264" width="0.796875" style="1" customWidth="1"/>
    <col min="265" max="265" width="14" style="1" customWidth="1"/>
    <col min="267" max="267" width="5.09765625" style="1" customWidth="1"/>
    <col min="269" max="270" width="11" style="1" customWidth="1"/>
    <col min="272" max="273" width="8.69921875" style="1" customWidth="1"/>
    <col min="274" max="275" width="0.796875" style="1" customWidth="1"/>
    <col min="276" max="276" width="14" style="1" customWidth="1"/>
    <col min="278" max="278" width="5.09765625" style="1" customWidth="1"/>
    <col min="280" max="281" width="11" style="1" customWidth="1"/>
    <col min="283" max="284" width="8.69921875" style="1" customWidth="1"/>
    <col min="285" max="286" width="0.796875" style="1" customWidth="1"/>
    <col min="287" max="287" width="14" style="1" customWidth="1"/>
    <col min="289" max="289" width="5.09765625" style="1" customWidth="1"/>
    <col min="291" max="292" width="11" style="1" customWidth="1"/>
    <col min="294" max="295" width="8.69921875" style="1" customWidth="1"/>
    <col min="296" max="297" width="0.796875" style="1" customWidth="1"/>
    <col min="298" max="298" width="14" style="1" customWidth="1"/>
    <col min="300" max="300" width="5.09765625" style="1" customWidth="1"/>
    <col min="302" max="303" width="11" style="1" customWidth="1"/>
    <col min="305" max="306" width="8.69921875" style="1" customWidth="1"/>
    <col min="307" max="308" width="0.796875" style="1" customWidth="1"/>
    <col min="309" max="309" width="14" style="1" customWidth="1"/>
    <col min="311" max="311" width="5.09765625" style="1" customWidth="1"/>
    <col min="313" max="314" width="11" style="1" customWidth="1"/>
    <col min="316" max="317" width="8.69921875" style="1" customWidth="1"/>
    <col min="318" max="319" width="0.796875" style="1" customWidth="1"/>
    <col min="320" max="320" width="14" style="1" customWidth="1"/>
    <col min="322" max="322" width="5.09765625" style="1" customWidth="1"/>
    <col min="324" max="325" width="11" style="1" customWidth="1"/>
    <col min="327" max="328" width="8.69921875" style="1" customWidth="1"/>
    <col min="329" max="330" width="0.796875" style="1" customWidth="1"/>
    <col min="331" max="331" width="14" style="1" customWidth="1"/>
    <col min="333" max="333" width="5.09765625" style="1" customWidth="1"/>
    <col min="335" max="336" width="11" style="1" customWidth="1"/>
    <col min="338" max="339" width="8.69921875" style="1" customWidth="1"/>
    <col min="340" max="341" width="0.796875" style="1" customWidth="1"/>
    <col min="342" max="342" width="14" style="1" customWidth="1"/>
    <col min="344" max="344" width="5.09765625" style="1" customWidth="1"/>
    <col min="346" max="347" width="11" style="1" customWidth="1"/>
    <col min="349" max="350" width="8.69921875" style="1" customWidth="1"/>
    <col min="351" max="352" width="0.796875" style="1" customWidth="1"/>
    <col min="353" max="353" width="14" style="1" customWidth="1"/>
    <col min="355" max="355" width="5.09765625" style="1" customWidth="1"/>
    <col min="357" max="358" width="11" style="1" customWidth="1"/>
    <col min="360" max="361" width="8.69921875" style="1" customWidth="1"/>
    <col min="362" max="363" width="0.796875" style="1" customWidth="1"/>
    <col min="364" max="364" width="14" style="1" customWidth="1"/>
    <col min="366" max="366" width="5.09765625" style="1" customWidth="1"/>
    <col min="368" max="369" width="11" style="1" customWidth="1"/>
    <col min="371" max="372" width="8.69921875" style="1" customWidth="1"/>
    <col min="373" max="374" width="0.796875" style="1" customWidth="1"/>
    <col min="375" max="375" width="14" style="1" customWidth="1"/>
    <col min="377" max="377" width="5.09765625" style="1" customWidth="1"/>
    <col min="379" max="380" width="11" style="1" customWidth="1"/>
    <col min="382" max="383" width="8.69921875" style="1" customWidth="1"/>
    <col min="384" max="385" width="0.796875" style="1" customWidth="1"/>
    <col min="386" max="386" width="14" style="1" customWidth="1"/>
    <col min="388" max="388" width="5.09765625" style="1" customWidth="1"/>
    <col min="390" max="391" width="11" style="1" customWidth="1"/>
    <col min="393" max="394" width="8.69921875" style="1" customWidth="1"/>
    <col min="395" max="396" width="0.796875" style="1" customWidth="1"/>
    <col min="397" max="397" width="14" style="1" customWidth="1"/>
    <col min="399" max="399" width="5.09765625" style="1" customWidth="1"/>
    <col min="401" max="402" width="11" style="1" customWidth="1"/>
    <col min="404" max="405" width="8.69921875" style="1" customWidth="1"/>
    <col min="406" max="407" width="0.796875" style="1" customWidth="1"/>
    <col min="408" max="408" width="14" style="1" customWidth="1"/>
    <col min="410" max="410" width="5.09765625" style="1" customWidth="1"/>
    <col min="412" max="413" width="11" style="1" customWidth="1"/>
    <col min="415" max="416" width="8.69921875" style="1" customWidth="1"/>
    <col min="417" max="418" width="0.796875" style="1" customWidth="1"/>
    <col min="419" max="419" width="14" style="1" customWidth="1"/>
    <col min="421" max="421" width="5.09765625" style="1" customWidth="1"/>
    <col min="423" max="424" width="11" style="1" customWidth="1"/>
    <col min="426" max="427" width="8.69921875" style="1" customWidth="1"/>
    <col min="428" max="429" width="0.796875" style="1" customWidth="1"/>
    <col min="430" max="430" width="14" style="1" customWidth="1"/>
    <col min="432" max="432" width="5.09765625" style="1" customWidth="1"/>
    <col min="434" max="435" width="11" style="1" customWidth="1"/>
    <col min="437" max="438" width="8.69921875" style="1" customWidth="1"/>
    <col min="439" max="440" width="0.796875" style="1" customWidth="1"/>
    <col min="441" max="441" width="14" style="1" customWidth="1"/>
    <col min="443" max="443" width="5.09765625" style="1" customWidth="1"/>
    <col min="445" max="446" width="11" style="1" customWidth="1"/>
    <col min="448" max="449" width="8.69921875" style="1" customWidth="1"/>
    <col min="450" max="451" width="0.796875" style="1" customWidth="1"/>
    <col min="452" max="452" width="14" style="1" customWidth="1"/>
    <col min="454" max="454" width="5.09765625" style="1" customWidth="1"/>
    <col min="456" max="457" width="11" style="1" customWidth="1"/>
    <col min="459" max="460" width="8.69921875" style="1" customWidth="1"/>
    <col min="461" max="462" width="0.796875" style="1" customWidth="1"/>
    <col min="463" max="463" width="14" style="1" customWidth="1"/>
    <col min="465" max="465" width="5.09765625" style="1" customWidth="1"/>
    <col min="467" max="468" width="11" style="1" customWidth="1"/>
    <col min="470" max="471" width="8.69921875" style="1" customWidth="1"/>
    <col min="472" max="473" width="0.796875" style="1" customWidth="1"/>
    <col min="474" max="474" width="14" style="1" customWidth="1"/>
    <col min="476" max="476" width="5.09765625" style="1" customWidth="1"/>
    <col min="478" max="479" width="11" style="1" customWidth="1"/>
    <col min="481" max="482" width="8.69921875" style="1" customWidth="1"/>
    <col min="483" max="484" width="0.796875" style="1" customWidth="1"/>
    <col min="485" max="485" width="14" style="1" customWidth="1"/>
    <col min="487" max="487" width="5.09765625" style="1" customWidth="1"/>
    <col min="489" max="490" width="11" style="1" customWidth="1"/>
    <col min="492" max="493" width="8.69921875" style="1" customWidth="1"/>
    <col min="494" max="495" width="0.796875" style="1" customWidth="1"/>
    <col min="496" max="496" width="14" style="1" customWidth="1"/>
    <col min="498" max="498" width="5.09765625" style="1" customWidth="1"/>
    <col min="500" max="501" width="11" style="1" customWidth="1"/>
    <col min="503" max="504" width="8.69921875" style="1" customWidth="1"/>
    <col min="505" max="506" width="0.796875" style="1" customWidth="1"/>
    <col min="507" max="507" width="14" style="1" customWidth="1"/>
    <col min="509" max="509" width="5.09765625" style="1" customWidth="1"/>
    <col min="511" max="512" width="11" style="1" customWidth="1"/>
    <col min="514" max="515" width="8.69921875" style="1" customWidth="1"/>
    <col min="516" max="517" width="0.796875" style="1" customWidth="1"/>
    <col min="518" max="518" width="14" style="1" customWidth="1"/>
    <col min="520" max="520" width="5.09765625" style="1" customWidth="1"/>
    <col min="522" max="523" width="11" style="1" customWidth="1"/>
    <col min="525" max="526" width="8.69921875" style="1" customWidth="1"/>
    <col min="527" max="528" width="0.796875" style="1" customWidth="1"/>
    <col min="529" max="529" width="14" style="1" customWidth="1"/>
    <col min="531" max="531" width="5.09765625" style="1" customWidth="1"/>
    <col min="533" max="534" width="11" style="1" customWidth="1"/>
    <col min="536" max="537" width="8.69921875" style="1" customWidth="1"/>
    <col min="538" max="539" width="0.796875" style="1" customWidth="1"/>
    <col min="540" max="540" width="14" style="1" customWidth="1"/>
    <col min="542" max="542" width="5.09765625" style="1" customWidth="1"/>
    <col min="544" max="545" width="11" style="1" customWidth="1"/>
    <col min="547" max="548" width="8.69921875" style="1" customWidth="1"/>
    <col min="549" max="550" width="0.796875" style="1" customWidth="1"/>
    <col min="551" max="551" width="14" style="1" customWidth="1"/>
    <col min="553" max="553" width="5.09765625" style="1" customWidth="1"/>
    <col min="555" max="556" width="11" style="1" customWidth="1"/>
    <col min="558" max="559" width="8.69921875" style="1" customWidth="1"/>
    <col min="560" max="561" width="0.796875" style="1" customWidth="1"/>
    <col min="562" max="562" width="14" style="1" customWidth="1"/>
    <col min="564" max="564" width="5.09765625" style="1" customWidth="1"/>
    <col min="566" max="567" width="11" style="1" customWidth="1"/>
    <col min="569" max="570" width="8.69921875" style="1" customWidth="1"/>
    <col min="571" max="572" width="0.796875" style="1" customWidth="1"/>
    <col min="573" max="573" width="14" style="1" customWidth="1"/>
    <col min="575" max="575" width="5.09765625" style="1" customWidth="1"/>
    <col min="577" max="578" width="11" style="1" customWidth="1"/>
    <col min="580" max="581" width="8.69921875" style="1" customWidth="1"/>
    <col min="582" max="583" width="0.796875" style="1" customWidth="1"/>
    <col min="584" max="584" width="14" style="1" customWidth="1"/>
    <col min="586" max="586" width="5.09765625" style="1" customWidth="1"/>
    <col min="588" max="589" width="11" style="1" customWidth="1"/>
    <col min="591" max="592" width="8.69921875" style="1" customWidth="1"/>
    <col min="593" max="594" width="0.796875" style="1" customWidth="1"/>
    <col min="595" max="595" width="14" style="1" customWidth="1"/>
    <col min="597" max="597" width="5.09765625" style="1" customWidth="1"/>
    <col min="599" max="600" width="11" style="1" customWidth="1"/>
    <col min="602" max="603" width="8.69921875" style="1" customWidth="1"/>
    <col min="604" max="605" width="0.796875" style="1" customWidth="1"/>
    <col min="606" max="606" width="14" style="1" customWidth="1"/>
    <col min="608" max="608" width="5.09765625" style="1" customWidth="1"/>
    <col min="610" max="611" width="11" style="1" customWidth="1"/>
    <col min="613" max="614" width="8.69921875" style="1" customWidth="1"/>
    <col min="615" max="616" width="0.796875" style="1" customWidth="1"/>
    <col min="617" max="617" width="14" style="1" customWidth="1"/>
    <col min="619" max="619" width="5.09765625" style="1" customWidth="1"/>
    <col min="621" max="622" width="11" style="1" customWidth="1"/>
    <col min="624" max="625" width="8.69921875" style="1" customWidth="1"/>
    <col min="626" max="627" width="0.796875" style="1" customWidth="1"/>
    <col min="628" max="628" width="14" style="1" customWidth="1"/>
    <col min="630" max="630" width="5.09765625" style="1" customWidth="1"/>
    <col min="632" max="633" width="11" style="1" customWidth="1"/>
    <col min="635" max="636" width="8.69921875" style="1" customWidth="1"/>
    <col min="637" max="638" width="0.796875" style="1" customWidth="1"/>
    <col min="639" max="639" width="14" style="1" customWidth="1"/>
    <col min="641" max="641" width="5.09765625" style="1" customWidth="1"/>
    <col min="643" max="644" width="11" style="1" customWidth="1"/>
    <col min="646" max="647" width="8.69921875" style="1" customWidth="1"/>
    <col min="648" max="649" width="0.796875" style="1" customWidth="1"/>
    <col min="650" max="650" width="14" style="1" customWidth="1"/>
    <col min="652" max="652" width="5.09765625" style="1" customWidth="1"/>
    <col min="654" max="655" width="11" style="1" customWidth="1"/>
    <col min="657" max="658" width="8.69921875" style="1" customWidth="1"/>
    <col min="659" max="660" width="0.796875" style="1" customWidth="1"/>
    <col min="661" max="661" width="14" style="1" customWidth="1"/>
    <col min="663" max="663" width="5.09765625" style="1" customWidth="1"/>
    <col min="665" max="666" width="11" style="1" customWidth="1"/>
    <col min="668" max="669" width="8.69921875" style="1" customWidth="1"/>
    <col min="670" max="671" width="0.796875" style="1" customWidth="1"/>
    <col min="672" max="672" width="14" style="1" customWidth="1"/>
    <col min="674" max="674" width="5.09765625" style="1" customWidth="1"/>
    <col min="676" max="677" width="11" style="1" customWidth="1"/>
    <col min="679" max="680" width="8.69921875" style="1" customWidth="1"/>
    <col min="681" max="682" width="0.796875" style="1" customWidth="1"/>
    <col min="683" max="683" width="14" style="1" customWidth="1"/>
    <col min="685" max="685" width="5.09765625" style="1" customWidth="1"/>
    <col min="687" max="688" width="11" style="1" customWidth="1"/>
    <col min="690" max="691" width="8.69921875" style="1" customWidth="1"/>
    <col min="692" max="693" width="0.796875" style="1" customWidth="1"/>
    <col min="694" max="694" width="14" style="1" customWidth="1"/>
    <col min="696" max="696" width="5.09765625" style="1" customWidth="1"/>
    <col min="698" max="699" width="11" style="1" customWidth="1"/>
    <col min="701" max="702" width="8.69921875" style="1" customWidth="1"/>
    <col min="703" max="704" width="0.796875" style="1" customWidth="1"/>
    <col min="705" max="705" width="14" style="1" customWidth="1"/>
    <col min="707" max="707" width="5.09765625" style="1" customWidth="1"/>
    <col min="709" max="710" width="11" style="1" customWidth="1"/>
    <col min="712" max="713" width="8.69921875" style="1" customWidth="1"/>
    <col min="714" max="715" width="0.796875" style="1" customWidth="1"/>
    <col min="716" max="716" width="14" style="1" customWidth="1"/>
    <col min="718" max="718" width="5.09765625" style="1" customWidth="1"/>
    <col min="720" max="721" width="11" style="1" customWidth="1"/>
    <col min="723" max="724" width="8.69921875" style="1" customWidth="1"/>
    <col min="725" max="726" width="0.796875" style="1" customWidth="1"/>
    <col min="727" max="727" width="14" style="1" customWidth="1"/>
    <col min="729" max="729" width="5.09765625" style="1" customWidth="1"/>
    <col min="731" max="732" width="11" style="1" customWidth="1"/>
    <col min="734" max="735" width="8.69921875" style="1" customWidth="1"/>
    <col min="736" max="737" width="0.796875" style="1" customWidth="1"/>
    <col min="738" max="738" width="14" style="1" customWidth="1"/>
    <col min="740" max="740" width="5.09765625" style="1" customWidth="1"/>
    <col min="742" max="743" width="11" style="1" customWidth="1"/>
    <col min="745" max="746" width="8.69921875" style="1" customWidth="1"/>
    <col min="747" max="748" width="0.796875" style="1" customWidth="1"/>
    <col min="749" max="749" width="14" style="1" customWidth="1"/>
    <col min="751" max="751" width="5.09765625" style="1" customWidth="1"/>
    <col min="753" max="754" width="11" style="1" customWidth="1"/>
    <col min="756" max="757" width="8.69921875" style="1" customWidth="1"/>
    <col min="758" max="759" width="0.796875" style="1" customWidth="1"/>
    <col min="760" max="760" width="14" style="1" customWidth="1"/>
    <col min="762" max="762" width="5.09765625" style="1" customWidth="1"/>
    <col min="764" max="765" width="11" style="1" customWidth="1"/>
    <col min="767" max="768" width="8.69921875" style="1" customWidth="1"/>
    <col min="769" max="770" width="0.796875" style="1" customWidth="1"/>
    <col min="771" max="771" width="14" style="1" customWidth="1"/>
    <col min="773" max="773" width="5.09765625" style="1" customWidth="1"/>
    <col min="775" max="776" width="11" style="1" customWidth="1"/>
    <col min="778" max="779" width="8.69921875" style="1" customWidth="1"/>
    <col min="780" max="781" width="0.796875" style="1" customWidth="1"/>
    <col min="782" max="782" width="14" style="1" customWidth="1"/>
    <col min="784" max="784" width="5.09765625" style="1" customWidth="1"/>
    <col min="786" max="787" width="11" style="1" customWidth="1"/>
    <col min="789" max="790" width="8.69921875" style="1" customWidth="1"/>
  </cols>
  <sheetData>
    <row r="1" spans="1:790" x14ac:dyDescent="0.45">
      <c r="A1" t="s">
        <v>4006</v>
      </c>
      <c r="B1" t="str">
        <f ca="1">OFFSET(納品書まとめ!$A$1,H2-1,0)</f>
        <v>5102</v>
      </c>
      <c r="D1" s="91" t="s">
        <v>4007</v>
      </c>
      <c r="E1" s="86"/>
      <c r="F1" s="86"/>
      <c r="G1" s="88"/>
      <c r="H1" s="55"/>
      <c r="I1" s="55"/>
      <c r="J1" s="41"/>
      <c r="L1" t="s">
        <v>4006</v>
      </c>
      <c r="M1" t="str">
        <f ca="1">OFFSET(納品書まとめ!$A$1,T2-1,0)</f>
        <v>18600</v>
      </c>
      <c r="O1" s="87" t="s">
        <v>4007</v>
      </c>
      <c r="P1" s="86"/>
      <c r="Q1" s="86"/>
      <c r="R1" s="88"/>
      <c r="S1" s="55">
        <f ca="1">IFERROR(
IF(OR(COUNTIF(OFFSET(納品書まとめ!$A$1,S3-1,1),"*博多*"),COUNTIF(OFFSET(納品書まとめ!$A$1,S3-1,1),"*奈良屋*")),S3,
IF(IFERROR(MID(OFFSET(納品書まとめ!$A$1,I2-1,1), SEARCH("幼稚園", OFFSET(納品書まとめ!$A$1,I2-1,1)) - 2, 2),1)=IFERROR(MID(OFFSET(納品書まとめ!$A$1,S3-1,1), SEARCH("幼稚園", OFFSET(納品書まとめ!$A$1,S3-1,1)) - 2, 2),0),
IF(IFERROR(MID(OFFSET(納品書まとめ!$A$1,I2,1), SEARCH("幼稚園", OFFSET(納品書まとめ!$A$1,I2,1)) - 2, 2),1)=IFERROR(MID(OFFSET(納品書まとめ!$A$1,S3,1), SEARCH("幼稚園", OFFSET(納品書まとめ!$A$1,S3,1)) - 2, 2),0),
IF(IFERROR(MID(OFFSET(納品書まとめ!$A$1,I2+1,1), SEARCH("幼稚園", OFFSET(納品書まとめ!$A$1,I2+1,1)) - 2, 2),1)=IFERROR(MID(OFFSET(納品書まとめ!$A$1,S3+1,1), SEARCH("幼稚園", OFFSET(納品書まとめ!$A$1,S3+1,1)) - 2, 2),0),
IF(IFERROR(MID(OFFSET(納品書まとめ!$A$1,I2+2,1), SEARCH("幼稚園", OFFSET(納品書まとめ!$A$1,I2+2,1)) - 2, 2),1)=IFERROR(MID(OFFSET(納品書まとめ!$A$1,S3+2,1), SEARCH("幼稚園", OFFSET(納品書まとめ!$A$1,S3+2,1)) - 2, 2),0),
IF(IFERROR(MID(OFFSET(納品書まとめ!$A$1,I2+3,1), SEARCH("幼稚園", OFFSET(納品書まとめ!$A$1,I2+3,1)) - 2, 2),1)=IFERROR(MID(OFFSET(納品書まとめ!$A$1,S3+3,1), SEARCH("幼稚園", OFFSET(納品書まとめ!$A$1,S3+3,1)) - 2, 2),0),
IF(IFERROR(MID(OFFSET(納品書まとめ!$A$1,I2+4,1), SEARCH("幼稚園", OFFSET(納品書まとめ!$A$1,I2+4,1)) - 2, 2),1)=IFERROR(MID(OFFSET(納品書まとめ!$A$1,S3+4,1), SEARCH("幼稚園", OFFSET(納品書まとめ!$A$1,S3+4,1)) - 2, 2),0),
IF(IFERROR(MID(OFFSET(納品書まとめ!$A$1,I2+5,1), SEARCH("幼稚園", OFFSET(納品書まとめ!$A$1,I2+5,1)) - 2, 2),1)=IFERROR(MID(OFFSET(納品書まとめ!$A$1,S3+5,1), SEARCH("幼稚園", OFFSET(納品書まとめ!$A$1,S3+5,1)) - 2, 2),0),S3+7,S3+6),S3+5),S3+4),S3+3),S3+2),S3+1),S3)),"")</f>
        <v>3</v>
      </c>
      <c r="T1" s="55"/>
      <c r="U1" s="41"/>
      <c r="W1" t="s">
        <v>4006</v>
      </c>
      <c r="X1" t="str">
        <f ca="1">OFFSET(納品書まとめ!$A$1,AE2-1,0)</f>
        <v>19700</v>
      </c>
      <c r="Z1" s="87" t="s">
        <v>4007</v>
      </c>
      <c r="AA1" s="86"/>
      <c r="AB1" s="86"/>
      <c r="AC1" s="88"/>
      <c r="AD1" s="55">
        <f ca="1">IFERROR(
IF(OR(COUNTIF(OFFSET(納品書まとめ!$A$1,T2,1),"*博多*"),COUNTIF(OFFSET(納品書まとめ!$A$1,T2,1),"*奈良屋*")),T2+1,
IF(IFERROR(MID(OFFSET(納品書まとめ!$A$1,T2-1,1), SEARCH("幼稚園", OFFSET(納品書まとめ!$A$1,T2-1,1)) - 2, 2),1)=IFERROR(MID(OFFSET(納品書まとめ!$A$1,T2,1), SEARCH("幼稚園", OFFSET(納品書まとめ!$A$1,T2,1)) - 2, 2),0),
IF(IFERROR(MID(OFFSET(納品書まとめ!$A$1,T2,1), SEARCH("幼稚園", OFFSET(納品書まとめ!$A$1,T2,1)) - 2, 2),1)=IFERROR(MID(OFFSET(納品書まとめ!$A$1,T2+1,1), SEARCH("幼稚園", OFFSET(納品書まとめ!$A$1,T2+1,1)) - 2, 2),0),
IF(IFERROR(MID(OFFSET(納品書まとめ!$A$1,T2+1,1), SEARCH("幼稚園", OFFSET(納品書まとめ!$A$1,T2+1,1)) - 2, 2),1)=IFERROR(MID(OFFSET(納品書まとめ!$A$1,T2+2,1), SEARCH("幼稚園", OFFSET(納品書まとめ!$A$1,T2+2,1)) - 2, 2),0),
IF(IFERROR(MID(OFFSET(納品書まとめ!$A$1,T2+2,1), SEARCH("幼稚園", OFFSET(納品書まとめ!$A$1,T2+2,1)) - 2, 2),1)=IFERROR(MID(OFFSET(納品書まとめ!$A$1,T2+3,1), SEARCH("幼稚園", OFFSET(納品書まとめ!$A$1,T2+3,T2+3,1)) - 2, 2),0),
IF(IFERROR(MID(OFFSET(納品書まとめ!$A$1,T2+3,1), SEARCH("幼稚園", OFFSET(納品書まとめ!$A$1,T2+3,1)) - 2, 2),1)=IFERROR(MID(OFFSET(納品書まとめ!$A$1,T2+4,1), SEARCH("幼稚園", OFFSET(納品書まとめ!$A$1,T2+4,1)) - 2, 2),0),
IF(IFERROR(MID(OFFSET(納品書まとめ!$A$1,T2+4,1), SEARCH("幼稚園", OFFSET(納品書まとめ!$A$1,T2+4,1)) - 2, 2),1)=IFERROR(MID(OFFSET(納品書まとめ!$A$1,T2+5,1), SEARCH("幼稚園", OFFSET(納品書まとめ!$A$1,T2+5,1)) - 2, 2),0),
IF(IFERROR(MID(OFFSET(納品書まとめ!$A$1,T2+5,1), SEARCH("幼稚園", OFFSET(納品書まとめ!$A$1,T2+5,1)) - 2, 2),1)=IFERROR(MID(OFFSET(納品書まとめ!$A$1,T2+6,1), SEARCH("幼稚園", OFFSET(納品書まとめ!$A$1,T2+6,1)) - 2, 2),0),T2+8,T2+7),T2+6),T2+5),T2+4),T2+3),T2+2),T2+1)),"")</f>
        <v>4</v>
      </c>
      <c r="AE1" s="55"/>
      <c r="AF1" s="41"/>
      <c r="AH1" t="s">
        <v>4006</v>
      </c>
      <c r="AI1" t="str">
        <f ca="1">OFFSET(納品書まとめ!$A$1,AP2-1,0)</f>
        <v>200</v>
      </c>
      <c r="AK1" s="87" t="s">
        <v>4007</v>
      </c>
      <c r="AL1" s="86"/>
      <c r="AM1" s="86"/>
      <c r="AN1" s="88"/>
      <c r="AO1" s="55">
        <f ca="1">IFERROR(
IF(OR(COUNTIF(OFFSET(納品書まとめ!$A$1,AE2,1),"*博多*"),COUNTIF(OFFSET(納品書まとめ!$A$1,AE2,1),"*奈良屋*")),AE2+1,
IF(IFERROR(MID(OFFSET(納品書まとめ!$A$1,AE2-1,1), SEARCH("幼稚園", OFFSET(納品書まとめ!$A$1,AE2-1,1)) - 2, 2),1)=IFERROR(MID(OFFSET(納品書まとめ!$A$1,AE2,1), SEARCH("幼稚園", OFFSET(納品書まとめ!$A$1,AE2,1)) - 2, 2),0),
IF(IFERROR(MID(OFFSET(納品書まとめ!$A$1,AE2,1), SEARCH("幼稚園", OFFSET(納品書まとめ!$A$1,AE2,1)) - 2, 2),1)=IFERROR(MID(OFFSET(納品書まとめ!$A$1,AE2+1,1), SEARCH("幼稚園", OFFSET(納品書まとめ!$A$1,AE2+1,1)) - 2, 2),0),
IF(IFERROR(MID(OFFSET(納品書まとめ!$A$1,AE2+1,1), SEARCH("幼稚園", OFFSET(納品書まとめ!$A$1,AE2+1,1)) - 2, 2),1)=IFERROR(MID(OFFSET(納品書まとめ!$A$1,AE2+2,1), SEARCH("幼稚園", OFFSET(納品書まとめ!$A$1,AE2+2,1)) - 2, 2),0),
IF(IFERROR(MID(OFFSET(納品書まとめ!$A$1,AE2+2,1), SEARCH("幼稚園", OFFSET(納品書まとめ!$A$1,AE2+2,1)) - 2, 2),1)=IFERROR(MID(OFFSET(納品書まとめ!$A$1,AE2+3,1), SEARCH("幼稚園", OFFSET(納品書まとめ!$A$1,AE2+3,AE2+3,1)) - 2, 2),0),
IF(IFERROR(MID(OFFSET(納品書まとめ!$A$1,AE2+3,1), SEARCH("幼稚園", OFFSET(納品書まとめ!$A$1,AE2+3,1)) - 2, 2),1)=IFERROR(MID(OFFSET(納品書まとめ!$A$1,AE2+4,1), SEARCH("幼稚園", OFFSET(納品書まとめ!$A$1,AE2+4,1)) - 2, 2),0),
IF(IFERROR(MID(OFFSET(納品書まとめ!$A$1,AE2+4,1), SEARCH("幼稚園", OFFSET(納品書まとめ!$A$1,AE2+4,1)) - 2, 2),1)=IFERROR(MID(OFFSET(納品書まとめ!$A$1,AE2+5,1), SEARCH("幼稚園", OFFSET(納品書まとめ!$A$1,AE2+5,1)) - 2, 2),0),
IF(IFERROR(MID(OFFSET(納品書まとめ!$A$1,AE2+5,1), SEARCH("幼稚園", OFFSET(納品書まとめ!$A$1,AE2+5,1)) - 2, 2),1)=IFERROR(MID(OFFSET(納品書まとめ!$A$1,AE2+6,1), SEARCH("幼稚園", OFFSET(納品書まとめ!$A$1,AE2+6,1)) - 2, 2),0),AE2+8,AE2+7),AE2+6),AE2+5),AE2+4),AE2+3),AE2+2),AE2+1)),"")</f>
        <v>5</v>
      </c>
      <c r="AP1" s="55"/>
      <c r="AQ1" s="41"/>
      <c r="AS1" t="s">
        <v>4006</v>
      </c>
      <c r="AT1" t="str">
        <f ca="1">OFFSET(納品書まとめ!$A$1,BA2-1,0)</f>
        <v>206</v>
      </c>
      <c r="AV1" s="87" t="s">
        <v>4007</v>
      </c>
      <c r="AW1" s="86"/>
      <c r="AX1" s="86"/>
      <c r="AY1" s="88"/>
      <c r="AZ1" s="55">
        <f ca="1">IFERROR(
IF(OR(COUNTIF(OFFSET(納品書まとめ!$A$1,AP2,1),"*博多*"),COUNTIF(OFFSET(納品書まとめ!$A$1,AP2,1),"*奈良屋*")),AP2+1,
IF(IFERROR(MID(OFFSET(納品書まとめ!$A$1,AP2-1,1), SEARCH("幼稚園", OFFSET(納品書まとめ!$A$1,AP2-1,1)) - 2, 2),1)=IFERROR(MID(OFFSET(納品書まとめ!$A$1,AP2,1), SEARCH("幼稚園", OFFSET(納品書まとめ!$A$1,AP2,1)) - 2, 2),0),
IF(IFERROR(MID(OFFSET(納品書まとめ!$A$1,AP2,1), SEARCH("幼稚園", OFFSET(納品書まとめ!$A$1,AP2,1)) - 2, 2),1)=IFERROR(MID(OFFSET(納品書まとめ!$A$1,AP2+1,1), SEARCH("幼稚園", OFFSET(納品書まとめ!$A$1,AP2+1,1)) - 2, 2),0),
IF(IFERROR(MID(OFFSET(納品書まとめ!$A$1,AP2+1,1), SEARCH("幼稚園", OFFSET(納品書まとめ!$A$1,AP2+1,1)) - 2, 2),1)=IFERROR(MID(OFFSET(納品書まとめ!$A$1,AP2+2,1), SEARCH("幼稚園", OFFSET(納品書まとめ!$A$1,AP2+2,1)) - 2, 2),0),
IF(IFERROR(MID(OFFSET(納品書まとめ!$A$1,AP2+2,1), SEARCH("幼稚園", OFFSET(納品書まとめ!$A$1,AP2+2,1)) - 2, 2),1)=IFERROR(MID(OFFSET(納品書まとめ!$A$1,AP2+3,1), SEARCH("幼稚園", OFFSET(納品書まとめ!$A$1,AP2+3,AP2+3,1)) - 2, 2),0),
IF(IFERROR(MID(OFFSET(納品書まとめ!$A$1,AP2+3,1), SEARCH("幼稚園", OFFSET(納品書まとめ!$A$1,AP2+3,1)) - 2, 2),1)=IFERROR(MID(OFFSET(納品書まとめ!$A$1,AP2+4,1), SEARCH("幼稚園", OFFSET(納品書まとめ!$A$1,AP2+4,1)) - 2, 2),0),
IF(IFERROR(MID(OFFSET(納品書まとめ!$A$1,AP2+4,1), SEARCH("幼稚園", OFFSET(納品書まとめ!$A$1,AP2+4,1)) - 2, 2),1)=IFERROR(MID(OFFSET(納品書まとめ!$A$1,AP2+5,1), SEARCH("幼稚園", OFFSET(納品書まとめ!$A$1,AP2+5,1)) - 2, 2),0),
IF(IFERROR(MID(OFFSET(納品書まとめ!$A$1,AP2+5,1), SEARCH("幼稚園", OFFSET(納品書まとめ!$A$1,AP2+5,1)) - 2, 2),1)=IFERROR(MID(OFFSET(納品書まとめ!$A$1,AP2+6,1), SEARCH("幼稚園", OFFSET(納品書まとめ!$A$1,AP2+6,1)) - 2, 2),0),AP2+8,AP2+7),AP2+6),AP2+5),AP2+4),AP2+3),AP2+2),AP2+1)),"")</f>
        <v>6</v>
      </c>
      <c r="BA1" s="55"/>
      <c r="BB1" s="41"/>
      <c r="BD1" t="s">
        <v>4006</v>
      </c>
      <c r="BE1" t="str">
        <f ca="1">OFFSET(納品書まとめ!$A$1,BL2-1,0)</f>
        <v>400</v>
      </c>
      <c r="BG1" s="87" t="s">
        <v>4007</v>
      </c>
      <c r="BH1" s="86"/>
      <c r="BI1" s="86"/>
      <c r="BJ1" s="88"/>
      <c r="BK1" s="55">
        <f ca="1">IFERROR(
IF(OR(COUNTIF(OFFSET(納品書まとめ!$A$1,BA2,1),"*博多*"),COUNTIF(OFFSET(納品書まとめ!$A$1,BA2,1),"*奈良屋*")),BA2+1,
IF(IFERROR(MID(OFFSET(納品書まとめ!$A$1,BA2-1,1), SEARCH("幼稚園", OFFSET(納品書まとめ!$A$1,BA2-1,1)) - 2, 2),1)=IFERROR(MID(OFFSET(納品書まとめ!$A$1,BA2,1), SEARCH("幼稚園", OFFSET(納品書まとめ!$A$1,BA2,1)) - 2, 2),0),
IF(IFERROR(MID(OFFSET(納品書まとめ!$A$1,BA2,1), SEARCH("幼稚園", OFFSET(納品書まとめ!$A$1,BA2,1)) - 2, 2),1)=IFERROR(MID(OFFSET(納品書まとめ!$A$1,BA2+1,1), SEARCH("幼稚園", OFFSET(納品書まとめ!$A$1,BA2+1,1)) - 2, 2),0),
IF(IFERROR(MID(OFFSET(納品書まとめ!$A$1,BA2+1,1), SEARCH("幼稚園", OFFSET(納品書まとめ!$A$1,BA2+1,1)) - 2, 2),1)=IFERROR(MID(OFFSET(納品書まとめ!$A$1,BA2+2,1), SEARCH("幼稚園", OFFSET(納品書まとめ!$A$1,BA2+2,1)) - 2, 2),0),
IF(IFERROR(MID(OFFSET(納品書まとめ!$A$1,BA2+2,1), SEARCH("幼稚園", OFFSET(納品書まとめ!$A$1,BA2+2,1)) - 2, 2),1)=IFERROR(MID(OFFSET(納品書まとめ!$A$1,BA2+3,1), SEARCH("幼稚園", OFFSET(納品書まとめ!$A$1,BA2+3,BA2+3,1)) - 2, 2),0),
IF(IFERROR(MID(OFFSET(納品書まとめ!$A$1,BA2+3,1), SEARCH("幼稚園", OFFSET(納品書まとめ!$A$1,BA2+3,1)) - 2, 2),1)=IFERROR(MID(OFFSET(納品書まとめ!$A$1,BA2+4,1), SEARCH("幼稚園", OFFSET(納品書まとめ!$A$1,BA2+4,1)) - 2, 2),0),
IF(IFERROR(MID(OFFSET(納品書まとめ!$A$1,BA2+4,1), SEARCH("幼稚園", OFFSET(納品書まとめ!$A$1,BA2+4,1)) - 2, 2),1)=IFERROR(MID(OFFSET(納品書まとめ!$A$1,BA2+5,1), SEARCH("幼稚園", OFFSET(納品書まとめ!$A$1,BA2+5,1)) - 2, 2),0),
IF(IFERROR(MID(OFFSET(納品書まとめ!$A$1,BA2+5,1), SEARCH("幼稚園", OFFSET(納品書まとめ!$A$1,BA2+5,1)) - 2, 2),1)=IFERROR(MID(OFFSET(納品書まとめ!$A$1,BA2+6,1), SEARCH("幼稚園", OFFSET(納品書まとめ!$A$1,BA2+6,1)) - 2, 2),0),BA2+8,BA2+7),BA2+6),BA2+5),BA2+4),BA2+3),BA2+2),BA2+1)),"")</f>
        <v>7</v>
      </c>
      <c r="BL1" s="55"/>
      <c r="BM1" s="41"/>
      <c r="BO1" t="s">
        <v>4006</v>
      </c>
      <c r="BP1" t="str">
        <f ca="1">OFFSET(納品書まとめ!$A$1,BW2-1,0)</f>
        <v>406</v>
      </c>
      <c r="BR1" s="87" t="s">
        <v>4007</v>
      </c>
      <c r="BS1" s="86"/>
      <c r="BT1" s="86"/>
      <c r="BU1" s="88"/>
      <c r="BV1" s="55">
        <f ca="1">IFERROR(
IF(OR(COUNTIF(OFFSET(納品書まとめ!$A$1,BL2,1),"*博多*"),COUNTIF(OFFSET(納品書まとめ!$A$1,BL2,1),"*奈良屋*")),BL2+1,
IF(IFERROR(MID(OFFSET(納品書まとめ!$A$1,BL2-1,1), SEARCH("幼稚園", OFFSET(納品書まとめ!$A$1,BL2-1,1)) - 2, 2),1)=IFERROR(MID(OFFSET(納品書まとめ!$A$1,BL2,1), SEARCH("幼稚園", OFFSET(納品書まとめ!$A$1,BL2,1)) - 2, 2),0),
IF(IFERROR(MID(OFFSET(納品書まとめ!$A$1,BL2,1), SEARCH("幼稚園", OFFSET(納品書まとめ!$A$1,BL2,1)) - 2, 2),1)=IFERROR(MID(OFFSET(納品書まとめ!$A$1,BL2+1,1), SEARCH("幼稚園", OFFSET(納品書まとめ!$A$1,BL2+1,1)) - 2, 2),0),
IF(IFERROR(MID(OFFSET(納品書まとめ!$A$1,BL2+1,1), SEARCH("幼稚園", OFFSET(納品書まとめ!$A$1,BL2+1,1)) - 2, 2),1)=IFERROR(MID(OFFSET(納品書まとめ!$A$1,BL2+2,1), SEARCH("幼稚園", OFFSET(納品書まとめ!$A$1,BL2+2,1)) - 2, 2),0),
IF(IFERROR(MID(OFFSET(納品書まとめ!$A$1,BL2+2,1), SEARCH("幼稚園", OFFSET(納品書まとめ!$A$1,BL2+2,1)) - 2, 2),1)=IFERROR(MID(OFFSET(納品書まとめ!$A$1,BL2+3,1), SEARCH("幼稚園", OFFSET(納品書まとめ!$A$1,BL2+3,BL2+3,1)) - 2, 2),0),
IF(IFERROR(MID(OFFSET(納品書まとめ!$A$1,BL2+3,1), SEARCH("幼稚園", OFFSET(納品書まとめ!$A$1,BL2+3,1)) - 2, 2),1)=IFERROR(MID(OFFSET(納品書まとめ!$A$1,BL2+4,1), SEARCH("幼稚園", OFFSET(納品書まとめ!$A$1,BL2+4,1)) - 2, 2),0),
IF(IFERROR(MID(OFFSET(納品書まとめ!$A$1,BL2+4,1), SEARCH("幼稚園", OFFSET(納品書まとめ!$A$1,BL2+4,1)) - 2, 2),1)=IFERROR(MID(OFFSET(納品書まとめ!$A$1,BL2+5,1), SEARCH("幼稚園", OFFSET(納品書まとめ!$A$1,BL2+5,1)) - 2, 2),0),
IF(IFERROR(MID(OFFSET(納品書まとめ!$A$1,BL2+5,1), SEARCH("幼稚園", OFFSET(納品書まとめ!$A$1,BL2+5,1)) - 2, 2),1)=IFERROR(MID(OFFSET(納品書まとめ!$A$1,BL2+6,1), SEARCH("幼稚園", OFFSET(納品書まとめ!$A$1,BL2+6,1)) - 2, 2),0),BL2+8,BL2+7),BL2+6),BL2+5),BL2+4),BL2+3),BL2+2),BL2+1)),"")</f>
        <v>9</v>
      </c>
      <c r="BW1" s="55"/>
      <c r="BX1" s="41"/>
      <c r="BZ1" t="s">
        <v>4006</v>
      </c>
      <c r="CA1" t="str">
        <f ca="1">OFFSET(納品書まとめ!$A$1,CH2-1,0)</f>
        <v>500</v>
      </c>
      <c r="CC1" s="87" t="s">
        <v>4007</v>
      </c>
      <c r="CD1" s="86"/>
      <c r="CE1" s="86"/>
      <c r="CF1" s="88"/>
      <c r="CG1" s="55">
        <f ca="1">IFERROR(
IF(OR(COUNTIF(OFFSET(納品書まとめ!$A$1,BW2,1),"*博多*"),COUNTIF(OFFSET(納品書まとめ!$A$1,BW2,1),"*奈良屋*")),BW2+1,
IF(IFERROR(MID(OFFSET(納品書まとめ!$A$1,BW2-1,1), SEARCH("幼稚園", OFFSET(納品書まとめ!$A$1,BW2-1,1)) - 2, 2),1)=IFERROR(MID(OFFSET(納品書まとめ!$A$1,BW2,1), SEARCH("幼稚園", OFFSET(納品書まとめ!$A$1,BW2,1)) - 2, 2),0),
IF(IFERROR(MID(OFFSET(納品書まとめ!$A$1,BW2,1), SEARCH("幼稚園", OFFSET(納品書まとめ!$A$1,BW2,1)) - 2, 2),1)=IFERROR(MID(OFFSET(納品書まとめ!$A$1,BW2+1,1), SEARCH("幼稚園", OFFSET(納品書まとめ!$A$1,BW2+1,1)) - 2, 2),0),
IF(IFERROR(MID(OFFSET(納品書まとめ!$A$1,BW2+1,1), SEARCH("幼稚園", OFFSET(納品書まとめ!$A$1,BW2+1,1)) - 2, 2),1)=IFERROR(MID(OFFSET(納品書まとめ!$A$1,BW2+2,1), SEARCH("幼稚園", OFFSET(納品書まとめ!$A$1,BW2+2,1)) - 2, 2),0),
IF(IFERROR(MID(OFFSET(納品書まとめ!$A$1,BW2+2,1), SEARCH("幼稚園", OFFSET(納品書まとめ!$A$1,BW2+2,1)) - 2, 2),1)=IFERROR(MID(OFFSET(納品書まとめ!$A$1,BW2+3,1), SEARCH("幼稚園", OFFSET(納品書まとめ!$A$1,BW2+3,BW2+3,1)) - 2, 2),0),
IF(IFERROR(MID(OFFSET(納品書まとめ!$A$1,BW2+3,1), SEARCH("幼稚園", OFFSET(納品書まとめ!$A$1,BW2+3,1)) - 2, 2),1)=IFERROR(MID(OFFSET(納品書まとめ!$A$1,BW2+4,1), SEARCH("幼稚園", OFFSET(納品書まとめ!$A$1,BW2+4,1)) - 2, 2),0),
IF(IFERROR(MID(OFFSET(納品書まとめ!$A$1,BW2+4,1), SEARCH("幼稚園", OFFSET(納品書まとめ!$A$1,BW2+4,1)) - 2, 2),1)=IFERROR(MID(OFFSET(納品書まとめ!$A$1,BW2+5,1), SEARCH("幼稚園", OFFSET(納品書まとめ!$A$1,BW2+5,1)) - 2, 2),0),
IF(IFERROR(MID(OFFSET(納品書まとめ!$A$1,BW2+5,1), SEARCH("幼稚園", OFFSET(納品書まとめ!$A$1,BW2+5,1)) - 2, 2),1)=IFERROR(MID(OFFSET(納品書まとめ!$A$1,BW2+6,1), SEARCH("幼稚園", OFFSET(納品書まとめ!$A$1,BW2+6,1)) - 2, 2),0),BW2+8,BW2+7),BW2+6),BW2+5),BW2+4),BW2+3),BW2+2),BW2+1)),"")</f>
        <v>10</v>
      </c>
      <c r="CH1" s="55"/>
      <c r="CI1" s="41"/>
      <c r="CK1" t="s">
        <v>4006</v>
      </c>
      <c r="CL1" t="str">
        <f ca="1">OFFSET(納品書まとめ!$A$1,CS2-1,0)</f>
        <v>506</v>
      </c>
      <c r="CN1" s="87" t="s">
        <v>4007</v>
      </c>
      <c r="CO1" s="86"/>
      <c r="CP1" s="86"/>
      <c r="CQ1" s="88"/>
      <c r="CR1" s="55">
        <f ca="1">IFERROR(
IF(OR(COUNTIF(OFFSET(納品書まとめ!$A$1,CH2,1),"*博多*"),COUNTIF(OFFSET(納品書まとめ!$A$1,CH2,1),"*奈良屋*")),CH2+1,
IF(IFERROR(MID(OFFSET(納品書まとめ!$A$1,CH2-1,1), SEARCH("幼稚園", OFFSET(納品書まとめ!$A$1,CH2-1,1)) - 2, 2),1)=IFERROR(MID(OFFSET(納品書まとめ!$A$1,CH2,1), SEARCH("幼稚園", OFFSET(納品書まとめ!$A$1,CH2,1)) - 2, 2),0),
IF(IFERROR(MID(OFFSET(納品書まとめ!$A$1,CH2,1), SEARCH("幼稚園", OFFSET(納品書まとめ!$A$1,CH2,1)) - 2, 2),1)=IFERROR(MID(OFFSET(納品書まとめ!$A$1,CH2+1,1), SEARCH("幼稚園", OFFSET(納品書まとめ!$A$1,CH2+1,1)) - 2, 2),0),
IF(IFERROR(MID(OFFSET(納品書まとめ!$A$1,CH2+1,1), SEARCH("幼稚園", OFFSET(納品書まとめ!$A$1,CH2+1,1)) - 2, 2),1)=IFERROR(MID(OFFSET(納品書まとめ!$A$1,CH2+2,1), SEARCH("幼稚園", OFFSET(納品書まとめ!$A$1,CH2+2,1)) - 2, 2),0),
IF(IFERROR(MID(OFFSET(納品書まとめ!$A$1,CH2+2,1), SEARCH("幼稚園", OFFSET(納品書まとめ!$A$1,CH2+2,1)) - 2, 2),1)=IFERROR(MID(OFFSET(納品書まとめ!$A$1,CH2+3,1), SEARCH("幼稚園", OFFSET(納品書まとめ!$A$1,CH2+3,CH2+3,1)) - 2, 2),0),
IF(IFERROR(MID(OFFSET(納品書まとめ!$A$1,CH2+3,1), SEARCH("幼稚園", OFFSET(納品書まとめ!$A$1,CH2+3,1)) - 2, 2),1)=IFERROR(MID(OFFSET(納品書まとめ!$A$1,CH2+4,1), SEARCH("幼稚園", OFFSET(納品書まとめ!$A$1,CH2+4,1)) - 2, 2),0),
IF(IFERROR(MID(OFFSET(納品書まとめ!$A$1,CH2+4,1), SEARCH("幼稚園", OFFSET(納品書まとめ!$A$1,CH2+4,1)) - 2, 2),1)=IFERROR(MID(OFFSET(納品書まとめ!$A$1,CH2+5,1), SEARCH("幼稚園", OFFSET(納品書まとめ!$A$1,CH2+5,1)) - 2, 2),0),
IF(IFERROR(MID(OFFSET(納品書まとめ!$A$1,CH2+5,1), SEARCH("幼稚園", OFFSET(納品書まとめ!$A$1,CH2+5,1)) - 2, 2),1)=IFERROR(MID(OFFSET(納品書まとめ!$A$1,CH2+6,1), SEARCH("幼稚園", OFFSET(納品書まとめ!$A$1,CH2+6,1)) - 2, 2),0),CH2+8,CH2+7),CH2+6),CH2+5),CH2+4),CH2+3),CH2+2),CH2+1)),"")</f>
        <v>12</v>
      </c>
      <c r="CS1" s="55"/>
      <c r="CT1" s="41"/>
      <c r="CV1" t="s">
        <v>4006</v>
      </c>
      <c r="CW1" t="str">
        <f ca="1">OFFSET(納品書まとめ!$A$1,DD2-1,0)</f>
        <v>13000</v>
      </c>
      <c r="CY1" s="87" t="s">
        <v>4007</v>
      </c>
      <c r="CZ1" s="86"/>
      <c r="DA1" s="86"/>
      <c r="DB1" s="88"/>
      <c r="DC1" s="55">
        <f ca="1">IFERROR(
IF(OR(COUNTIF(OFFSET(納品書まとめ!$A$1,CS2,1),"*博多*"),COUNTIF(OFFSET(納品書まとめ!$A$1,CS2,1),"*奈良屋*")),CS2+1,
IF(IFERROR(MID(OFFSET(納品書まとめ!$A$1,CS2-1,1), SEARCH("幼稚園", OFFSET(納品書まとめ!$A$1,CS2-1,1)) - 2, 2),1)=IFERROR(MID(OFFSET(納品書まとめ!$A$1,CS2,1), SEARCH("幼稚園", OFFSET(納品書まとめ!$A$1,CS2,1)) - 2, 2),0),
IF(IFERROR(MID(OFFSET(納品書まとめ!$A$1,CS2,1), SEARCH("幼稚園", OFFSET(納品書まとめ!$A$1,CS2,1)) - 2, 2),1)=IFERROR(MID(OFFSET(納品書まとめ!$A$1,CS2+1,1), SEARCH("幼稚園", OFFSET(納品書まとめ!$A$1,CS2+1,1)) - 2, 2),0),
IF(IFERROR(MID(OFFSET(納品書まとめ!$A$1,CS2+1,1), SEARCH("幼稚園", OFFSET(納品書まとめ!$A$1,CS2+1,1)) - 2, 2),1)=IFERROR(MID(OFFSET(納品書まとめ!$A$1,CS2+2,1), SEARCH("幼稚園", OFFSET(納品書まとめ!$A$1,CS2+2,1)) - 2, 2),0),
IF(IFERROR(MID(OFFSET(納品書まとめ!$A$1,CS2+2,1), SEARCH("幼稚園", OFFSET(納品書まとめ!$A$1,CS2+2,1)) - 2, 2),1)=IFERROR(MID(OFFSET(納品書まとめ!$A$1,CS2+3,1), SEARCH("幼稚園", OFFSET(納品書まとめ!$A$1,CS2+3,CS2+3,1)) - 2, 2),0),
IF(IFERROR(MID(OFFSET(納品書まとめ!$A$1,CS2+3,1), SEARCH("幼稚園", OFFSET(納品書まとめ!$A$1,CS2+3,1)) - 2, 2),1)=IFERROR(MID(OFFSET(納品書まとめ!$A$1,CS2+4,1), SEARCH("幼稚園", OFFSET(納品書まとめ!$A$1,CS2+4,1)) - 2, 2),0),
IF(IFERROR(MID(OFFSET(納品書まとめ!$A$1,CS2+4,1), SEARCH("幼稚園", OFFSET(納品書まとめ!$A$1,CS2+4,1)) - 2, 2),1)=IFERROR(MID(OFFSET(納品書まとめ!$A$1,CS2+5,1), SEARCH("幼稚園", OFFSET(納品書まとめ!$A$1,CS2+5,1)) - 2, 2),0),
IF(IFERROR(MID(OFFSET(納品書まとめ!$A$1,CS2+5,1), SEARCH("幼稚園", OFFSET(納品書まとめ!$A$1,CS2+5,1)) - 2, 2),1)=IFERROR(MID(OFFSET(納品書まとめ!$A$1,CS2+6,1), SEARCH("幼稚園", OFFSET(納品書まとめ!$A$1,CS2+6,1)) - 2, 2),0),CS2+8,CS2+7),CS2+6),CS2+5),CS2+4),CS2+3),CS2+2),CS2+1)),"")</f>
        <v>13</v>
      </c>
      <c r="DD1" s="55"/>
      <c r="DE1" s="41"/>
      <c r="DG1" t="s">
        <v>4006</v>
      </c>
      <c r="DH1" t="str">
        <f ca="1">OFFSET(納品書まとめ!$A$1,DO2-1,0)</f>
        <v>13002</v>
      </c>
      <c r="DJ1" s="87" t="s">
        <v>4007</v>
      </c>
      <c r="DK1" s="86"/>
      <c r="DL1" s="86"/>
      <c r="DM1" s="88"/>
      <c r="DN1" s="55">
        <f ca="1">IFERROR(
IF(OR(COUNTIF(OFFSET(納品書まとめ!$A$1,DD2,1),"*博多*"),COUNTIF(OFFSET(納品書まとめ!$A$1,DD2,1),"*奈良屋*")),DD2+1,
IF(IFERROR(MID(OFFSET(納品書まとめ!$A$1,DD2-1,1), SEARCH("幼稚園", OFFSET(納品書まとめ!$A$1,DD2-1,1)) - 2, 2),1)=IFERROR(MID(OFFSET(納品書まとめ!$A$1,DD2,1), SEARCH("幼稚園", OFFSET(納品書まとめ!$A$1,DD2,1)) - 2, 2),0),
IF(IFERROR(MID(OFFSET(納品書まとめ!$A$1,DD2,1), SEARCH("幼稚園", OFFSET(納品書まとめ!$A$1,DD2,1)) - 2, 2),1)=IFERROR(MID(OFFSET(納品書まとめ!$A$1,DD2+1,1), SEARCH("幼稚園", OFFSET(納品書まとめ!$A$1,DD2+1,1)) - 2, 2),0),
IF(IFERROR(MID(OFFSET(納品書まとめ!$A$1,DD2+1,1), SEARCH("幼稚園", OFFSET(納品書まとめ!$A$1,DD2+1,1)) - 2, 2),1)=IFERROR(MID(OFFSET(納品書まとめ!$A$1,DD2+2,1), SEARCH("幼稚園", OFFSET(納品書まとめ!$A$1,DD2+2,1)) - 2, 2),0),
IF(IFERROR(MID(OFFSET(納品書まとめ!$A$1,DD2+2,1), SEARCH("幼稚園", OFFSET(納品書まとめ!$A$1,DD2+2,1)) - 2, 2),1)=IFERROR(MID(OFFSET(納品書まとめ!$A$1,DD2+3,1), SEARCH("幼稚園", OFFSET(納品書まとめ!$A$1,DD2+3,DD2+3,1)) - 2, 2),0),
IF(IFERROR(MID(OFFSET(納品書まとめ!$A$1,DD2+3,1), SEARCH("幼稚園", OFFSET(納品書まとめ!$A$1,DD2+3,1)) - 2, 2),1)=IFERROR(MID(OFFSET(納品書まとめ!$A$1,DD2+4,1), SEARCH("幼稚園", OFFSET(納品書まとめ!$A$1,DD2+4,1)) - 2, 2),0),
IF(IFERROR(MID(OFFSET(納品書まとめ!$A$1,DD2+4,1), SEARCH("幼稚園", OFFSET(納品書まとめ!$A$1,DD2+4,1)) - 2, 2),1)=IFERROR(MID(OFFSET(納品書まとめ!$A$1,DD2+5,1), SEARCH("幼稚園", OFFSET(納品書まとめ!$A$1,DD2+5,1)) - 2, 2),0),
IF(IFERROR(MID(OFFSET(納品書まとめ!$A$1,DD2+5,1), SEARCH("幼稚園", OFFSET(納品書まとめ!$A$1,DD2+5,1)) - 2, 2),1)=IFERROR(MID(OFFSET(納品書まとめ!$A$1,DD2+6,1), SEARCH("幼稚園", OFFSET(納品書まとめ!$A$1,DD2+6,1)) - 2, 2),0),DD2+8,DD2+7),DD2+6),DD2+5),DD2+4),DD2+3),DD2+2),DD2+1)),"")</f>
        <v>15</v>
      </c>
      <c r="DO1" s="55"/>
      <c r="DP1" s="41"/>
      <c r="DR1" t="s">
        <v>4006</v>
      </c>
      <c r="DS1" t="str">
        <f ca="1">OFFSET(納品書まとめ!$A$1,DZ2-1,0)</f>
        <v>13004</v>
      </c>
      <c r="DU1" s="87" t="s">
        <v>4007</v>
      </c>
      <c r="DV1" s="86"/>
      <c r="DW1" s="86"/>
      <c r="DX1" s="88"/>
      <c r="DY1" s="55">
        <f ca="1">IFERROR(
IF(OR(COUNTIF(OFFSET(納品書まとめ!$A$1,DO2,1),"*博多*"),COUNTIF(OFFSET(納品書まとめ!$A$1,DO2,1),"*奈良屋*")),DO2+1,
IF(IFERROR(MID(OFFSET(納品書まとめ!$A$1,DO2-1,1), SEARCH("幼稚園", OFFSET(納品書まとめ!$A$1,DO2-1,1)) - 2, 2),1)=IFERROR(MID(OFFSET(納品書まとめ!$A$1,DO2,1), SEARCH("幼稚園", OFFSET(納品書まとめ!$A$1,DO2,1)) - 2, 2),0),
IF(IFERROR(MID(OFFSET(納品書まとめ!$A$1,DO2,1), SEARCH("幼稚園", OFFSET(納品書まとめ!$A$1,DO2,1)) - 2, 2),1)=IFERROR(MID(OFFSET(納品書まとめ!$A$1,DO2+1,1), SEARCH("幼稚園", OFFSET(納品書まとめ!$A$1,DO2+1,1)) - 2, 2),0),
IF(IFERROR(MID(OFFSET(納品書まとめ!$A$1,DO2+1,1), SEARCH("幼稚園", OFFSET(納品書まとめ!$A$1,DO2+1,1)) - 2, 2),1)=IFERROR(MID(OFFSET(納品書まとめ!$A$1,DO2+2,1), SEARCH("幼稚園", OFFSET(納品書まとめ!$A$1,DO2+2,1)) - 2, 2),0),
IF(IFERROR(MID(OFFSET(納品書まとめ!$A$1,DO2+2,1), SEARCH("幼稚園", OFFSET(納品書まとめ!$A$1,DO2+2,1)) - 2, 2),1)=IFERROR(MID(OFFSET(納品書まとめ!$A$1,DO2+3,1), SEARCH("幼稚園", OFFSET(納品書まとめ!$A$1,DO2+3,DO2+3,1)) - 2, 2),0),
IF(IFERROR(MID(OFFSET(納品書まとめ!$A$1,DO2+3,1), SEARCH("幼稚園", OFFSET(納品書まとめ!$A$1,DO2+3,1)) - 2, 2),1)=IFERROR(MID(OFFSET(納品書まとめ!$A$1,DO2+4,1), SEARCH("幼稚園", OFFSET(納品書まとめ!$A$1,DO2+4,1)) - 2, 2),0),
IF(IFERROR(MID(OFFSET(納品書まとめ!$A$1,DO2+4,1), SEARCH("幼稚園", OFFSET(納品書まとめ!$A$1,DO2+4,1)) - 2, 2),1)=IFERROR(MID(OFFSET(納品書まとめ!$A$1,DO2+5,1), SEARCH("幼稚園", OFFSET(納品書まとめ!$A$1,DO2+5,1)) - 2, 2),0),
IF(IFERROR(MID(OFFSET(納品書まとめ!$A$1,DO2+5,1), SEARCH("幼稚園", OFFSET(納品書まとめ!$A$1,DO2+5,1)) - 2, 2),1)=IFERROR(MID(OFFSET(納品書まとめ!$A$1,DO2+6,1), SEARCH("幼稚園", OFFSET(納品書まとめ!$A$1,DO2+6,1)) - 2, 2),0),DO2+8,DO2+7),DO2+6),DO2+5),DO2+4),DO2+3),DO2+2),DO2+1)),"")</f>
        <v>16</v>
      </c>
      <c r="DZ1" s="55"/>
      <c r="EA1" s="41"/>
      <c r="EC1" t="s">
        <v>4006</v>
      </c>
      <c r="ED1" t="str">
        <f ca="1">OFFSET(納品書まとめ!$A$1,EK2-1,0)</f>
        <v>16300</v>
      </c>
      <c r="EF1" s="87" t="s">
        <v>4007</v>
      </c>
      <c r="EG1" s="86"/>
      <c r="EH1" s="86"/>
      <c r="EI1" s="88"/>
      <c r="EJ1" s="55">
        <f ca="1">IFERROR(
IF(OR(COUNTIF(OFFSET(納品書まとめ!$A$1,DZ2,1),"*博多*"),COUNTIF(OFFSET(納品書まとめ!$A$1,DZ2,1),"*奈良屋*")),DZ2+1,
IF(IFERROR(MID(OFFSET(納品書まとめ!$A$1,DZ2-1,1), SEARCH("幼稚園", OFFSET(納品書まとめ!$A$1,DZ2-1,1)) - 2, 2),1)=IFERROR(MID(OFFSET(納品書まとめ!$A$1,DZ2,1), SEARCH("幼稚園", OFFSET(納品書まとめ!$A$1,DZ2,1)) - 2, 2),0),
IF(IFERROR(MID(OFFSET(納品書まとめ!$A$1,DZ2,1), SEARCH("幼稚園", OFFSET(納品書まとめ!$A$1,DZ2,1)) - 2, 2),1)=IFERROR(MID(OFFSET(納品書まとめ!$A$1,DZ2+1,1), SEARCH("幼稚園", OFFSET(納品書まとめ!$A$1,DZ2+1,1)) - 2, 2),0),
IF(IFERROR(MID(OFFSET(納品書まとめ!$A$1,DZ2+1,1), SEARCH("幼稚園", OFFSET(納品書まとめ!$A$1,DZ2+1,1)) - 2, 2),1)=IFERROR(MID(OFFSET(納品書まとめ!$A$1,DZ2+2,1), SEARCH("幼稚園", OFFSET(納品書まとめ!$A$1,DZ2+2,1)) - 2, 2),0),
IF(IFERROR(MID(OFFSET(納品書まとめ!$A$1,DZ2+2,1), SEARCH("幼稚園", OFFSET(納品書まとめ!$A$1,DZ2+2,1)) - 2, 2),1)=IFERROR(MID(OFFSET(納品書まとめ!$A$1,DZ2+3,1), SEARCH("幼稚園", OFFSET(納品書まとめ!$A$1,DZ2+3,DZ2+3,1)) - 2, 2),0),
IF(IFERROR(MID(OFFSET(納品書まとめ!$A$1,DZ2+3,1), SEARCH("幼稚園", OFFSET(納品書まとめ!$A$1,DZ2+3,1)) - 2, 2),1)=IFERROR(MID(OFFSET(納品書まとめ!$A$1,DZ2+4,1), SEARCH("幼稚園", OFFSET(納品書まとめ!$A$1,DZ2+4,1)) - 2, 2),0),
IF(IFERROR(MID(OFFSET(納品書まとめ!$A$1,DZ2+4,1), SEARCH("幼稚園", OFFSET(納品書まとめ!$A$1,DZ2+4,1)) - 2, 2),1)=IFERROR(MID(OFFSET(納品書まとめ!$A$1,DZ2+5,1), SEARCH("幼稚園", OFFSET(納品書まとめ!$A$1,DZ2+5,1)) - 2, 2),0),
IF(IFERROR(MID(OFFSET(納品書まとめ!$A$1,DZ2+5,1), SEARCH("幼稚園", OFFSET(納品書まとめ!$A$1,DZ2+5,1)) - 2, 2),1)=IFERROR(MID(OFFSET(納品書まとめ!$A$1,DZ2+6,1), SEARCH("幼稚園", OFFSET(納品書まとめ!$A$1,DZ2+6,1)) - 2, 2),0),DZ2+8,DZ2+7),DZ2+6),DZ2+5),DZ2+4),DZ2+3),DZ2+2),DZ2+1)),"")</f>
        <v>17</v>
      </c>
      <c r="EK1" s="55"/>
      <c r="EL1" s="41"/>
      <c r="EN1" t="s">
        <v>4006</v>
      </c>
      <c r="EO1" t="str">
        <f ca="1">OFFSET(納品書まとめ!$A$1,EV2-1,0)</f>
        <v>600</v>
      </c>
      <c r="EQ1" s="87" t="s">
        <v>4007</v>
      </c>
      <c r="ER1" s="86"/>
      <c r="ES1" s="86"/>
      <c r="ET1" s="88"/>
      <c r="EU1" s="55">
        <f ca="1">IFERROR(
IF(OR(COUNTIF(OFFSET(納品書まとめ!$A$1,EK2,1),"*博多*"),COUNTIF(OFFSET(納品書まとめ!$A$1,EK2,1),"*奈良屋*")),EK2+1,
IF(IFERROR(MID(OFFSET(納品書まとめ!$A$1,EK2-1,1), SEARCH("幼稚園", OFFSET(納品書まとめ!$A$1,EK2-1,1)) - 2, 2),1)=IFERROR(MID(OFFSET(納品書まとめ!$A$1,EK2,1), SEARCH("幼稚園", OFFSET(納品書まとめ!$A$1,EK2,1)) - 2, 2),0),
IF(IFERROR(MID(OFFSET(納品書まとめ!$A$1,EK2,1), SEARCH("幼稚園", OFFSET(納品書まとめ!$A$1,EK2,1)) - 2, 2),1)=IFERROR(MID(OFFSET(納品書まとめ!$A$1,EK2+1,1), SEARCH("幼稚園", OFFSET(納品書まとめ!$A$1,EK2+1,1)) - 2, 2),0),
IF(IFERROR(MID(OFFSET(納品書まとめ!$A$1,EK2+1,1), SEARCH("幼稚園", OFFSET(納品書まとめ!$A$1,EK2+1,1)) - 2, 2),1)=IFERROR(MID(OFFSET(納品書まとめ!$A$1,EK2+2,1), SEARCH("幼稚園", OFFSET(納品書まとめ!$A$1,EK2+2,1)) - 2, 2),0),
IF(IFERROR(MID(OFFSET(納品書まとめ!$A$1,EK2+2,1), SEARCH("幼稚園", OFFSET(納品書まとめ!$A$1,EK2+2,1)) - 2, 2),1)=IFERROR(MID(OFFSET(納品書まとめ!$A$1,EK2+3,1), SEARCH("幼稚園", OFFSET(納品書まとめ!$A$1,EK2+3,EK2+3,1)) - 2, 2),0),
IF(IFERROR(MID(OFFSET(納品書まとめ!$A$1,EK2+3,1), SEARCH("幼稚園", OFFSET(納品書まとめ!$A$1,EK2+3,1)) - 2, 2),1)=IFERROR(MID(OFFSET(納品書まとめ!$A$1,EK2+4,1), SEARCH("幼稚園", OFFSET(納品書まとめ!$A$1,EK2+4,1)) - 2, 2),0),
IF(IFERROR(MID(OFFSET(納品書まとめ!$A$1,EK2+4,1), SEARCH("幼稚園", OFFSET(納品書まとめ!$A$1,EK2+4,1)) - 2, 2),1)=IFERROR(MID(OFFSET(納品書まとめ!$A$1,EK2+5,1), SEARCH("幼稚園", OFFSET(納品書まとめ!$A$1,EK2+5,1)) - 2, 2),0),
IF(IFERROR(MID(OFFSET(納品書まとめ!$A$1,EK2+5,1), SEARCH("幼稚園", OFFSET(納品書まとめ!$A$1,EK2+5,1)) - 2, 2),1)=IFERROR(MID(OFFSET(納品書まとめ!$A$1,EK2+6,1), SEARCH("幼稚園", OFFSET(納品書まとめ!$A$1,EK2+6,1)) - 2, 2),0),EK2+8,EK2+7),EK2+6),EK2+5),EK2+4),EK2+3),EK2+2),EK2+1)),"")</f>
        <v>18</v>
      </c>
      <c r="EV1" s="55"/>
      <c r="EW1" s="41"/>
      <c r="EY1" t="s">
        <v>4006</v>
      </c>
      <c r="EZ1" t="str">
        <f ca="1">OFFSET(納品書まとめ!$A$1,FG2-1,0)</f>
        <v>606</v>
      </c>
      <c r="FB1" s="87" t="s">
        <v>4007</v>
      </c>
      <c r="FC1" s="86"/>
      <c r="FD1" s="86"/>
      <c r="FE1" s="88"/>
      <c r="FF1" s="55">
        <f ca="1">IFERROR(
IF(OR(COUNTIF(OFFSET(納品書まとめ!$A$1,EV2,1),"*博多*"),COUNTIF(OFFSET(納品書まとめ!$A$1,EV2,1),"*奈良屋*")),EV2+1,
IF(IFERROR(MID(OFFSET(納品書まとめ!$A$1,EV2-1,1), SEARCH("幼稚園", OFFSET(納品書まとめ!$A$1,EV2-1,1)) - 2, 2),1)=IFERROR(MID(OFFSET(納品書まとめ!$A$1,EV2,1), SEARCH("幼稚園", OFFSET(納品書まとめ!$A$1,EV2,1)) - 2, 2),0),
IF(IFERROR(MID(OFFSET(納品書まとめ!$A$1,EV2,1), SEARCH("幼稚園", OFFSET(納品書まとめ!$A$1,EV2,1)) - 2, 2),1)=IFERROR(MID(OFFSET(納品書まとめ!$A$1,EV2+1,1), SEARCH("幼稚園", OFFSET(納品書まとめ!$A$1,EV2+1,1)) - 2, 2),0),
IF(IFERROR(MID(OFFSET(納品書まとめ!$A$1,EV2+1,1), SEARCH("幼稚園", OFFSET(納品書まとめ!$A$1,EV2+1,1)) - 2, 2),1)=IFERROR(MID(OFFSET(納品書まとめ!$A$1,EV2+2,1), SEARCH("幼稚園", OFFSET(納品書まとめ!$A$1,EV2+2,1)) - 2, 2),0),
IF(IFERROR(MID(OFFSET(納品書まとめ!$A$1,EV2+2,1), SEARCH("幼稚園", OFFSET(納品書まとめ!$A$1,EV2+2,1)) - 2, 2),1)=IFERROR(MID(OFFSET(納品書まとめ!$A$1,EV2+3,1), SEARCH("幼稚園", OFFSET(納品書まとめ!$A$1,EV2+3,EV2+3,1)) - 2, 2),0),
IF(IFERROR(MID(OFFSET(納品書まとめ!$A$1,EV2+3,1), SEARCH("幼稚園", OFFSET(納品書まとめ!$A$1,EV2+3,1)) - 2, 2),1)=IFERROR(MID(OFFSET(納品書まとめ!$A$1,EV2+4,1), SEARCH("幼稚園", OFFSET(納品書まとめ!$A$1,EV2+4,1)) - 2, 2),0),
IF(IFERROR(MID(OFFSET(納品書まとめ!$A$1,EV2+4,1), SEARCH("幼稚園", OFFSET(納品書まとめ!$A$1,EV2+4,1)) - 2, 2),1)=IFERROR(MID(OFFSET(納品書まとめ!$A$1,EV2+5,1), SEARCH("幼稚園", OFFSET(納品書まとめ!$A$1,EV2+5,1)) - 2, 2),0),
IF(IFERROR(MID(OFFSET(納品書まとめ!$A$1,EV2+5,1), SEARCH("幼稚園", OFFSET(納品書まとめ!$A$1,EV2+5,1)) - 2, 2),1)=IFERROR(MID(OFFSET(納品書まとめ!$A$1,EV2+6,1), SEARCH("幼稚園", OFFSET(納品書まとめ!$A$1,EV2+6,1)) - 2, 2),0),EV2+8,EV2+7),EV2+6),EV2+5),EV2+4),EV2+3),EV2+2),EV2+1)),"")</f>
        <v>19</v>
      </c>
      <c r="FG1" s="55"/>
      <c r="FH1" s="41"/>
      <c r="FJ1" t="s">
        <v>4006</v>
      </c>
      <c r="FK1" t="str">
        <f ca="1">OFFSET(納品書まとめ!$A$1,FR2-1,0)</f>
        <v>700</v>
      </c>
      <c r="FM1" s="87" t="s">
        <v>4007</v>
      </c>
      <c r="FN1" s="86"/>
      <c r="FO1" s="86"/>
      <c r="FP1" s="88"/>
      <c r="FQ1" s="55">
        <f ca="1">IFERROR(
IF(OR(COUNTIF(OFFSET(納品書まとめ!$A$1,FG2,1),"*博多*"),COUNTIF(OFFSET(納品書まとめ!$A$1,FG2,1),"*奈良屋*")),FG2+1,
IF(IFERROR(MID(OFFSET(納品書まとめ!$A$1,FG2-1,1), SEARCH("幼稚園", OFFSET(納品書まとめ!$A$1,FG2-1,1)) - 2, 2),1)=IFERROR(MID(OFFSET(納品書まとめ!$A$1,FG2,1), SEARCH("幼稚園", OFFSET(納品書まとめ!$A$1,FG2,1)) - 2, 2),0),
IF(IFERROR(MID(OFFSET(納品書まとめ!$A$1,FG2,1), SEARCH("幼稚園", OFFSET(納品書まとめ!$A$1,FG2,1)) - 2, 2),1)=IFERROR(MID(OFFSET(納品書まとめ!$A$1,FG2+1,1), SEARCH("幼稚園", OFFSET(納品書まとめ!$A$1,FG2+1,1)) - 2, 2),0),
IF(IFERROR(MID(OFFSET(納品書まとめ!$A$1,FG2+1,1), SEARCH("幼稚園", OFFSET(納品書まとめ!$A$1,FG2+1,1)) - 2, 2),1)=IFERROR(MID(OFFSET(納品書まとめ!$A$1,FG2+2,1), SEARCH("幼稚園", OFFSET(納品書まとめ!$A$1,FG2+2,1)) - 2, 2),0),
IF(IFERROR(MID(OFFSET(納品書まとめ!$A$1,FG2+2,1), SEARCH("幼稚園", OFFSET(納品書まとめ!$A$1,FG2+2,1)) - 2, 2),1)=IFERROR(MID(OFFSET(納品書まとめ!$A$1,FG2+3,1), SEARCH("幼稚園", OFFSET(納品書まとめ!$A$1,FG2+3,FG2+3,1)) - 2, 2),0),
IF(IFERROR(MID(OFFSET(納品書まとめ!$A$1,FG2+3,1), SEARCH("幼稚園", OFFSET(納品書まとめ!$A$1,FG2+3,1)) - 2, 2),1)=IFERROR(MID(OFFSET(納品書まとめ!$A$1,FG2+4,1), SEARCH("幼稚園", OFFSET(納品書まとめ!$A$1,FG2+4,1)) - 2, 2),0),
IF(IFERROR(MID(OFFSET(納品書まとめ!$A$1,FG2+4,1), SEARCH("幼稚園", OFFSET(納品書まとめ!$A$1,FG2+4,1)) - 2, 2),1)=IFERROR(MID(OFFSET(納品書まとめ!$A$1,FG2+5,1), SEARCH("幼稚園", OFFSET(納品書まとめ!$A$1,FG2+5,1)) - 2, 2),0),
IF(IFERROR(MID(OFFSET(納品書まとめ!$A$1,FG2+5,1), SEARCH("幼稚園", OFFSET(納品書まとめ!$A$1,FG2+5,1)) - 2, 2),1)=IFERROR(MID(OFFSET(納品書まとめ!$A$1,FG2+6,1), SEARCH("幼稚園", OFFSET(納品書まとめ!$A$1,FG2+6,1)) - 2, 2),0),FG2+8,FG2+7),FG2+6),FG2+5),FG2+4),FG2+3),FG2+2),FG2+1)),"")</f>
        <v>20</v>
      </c>
      <c r="FR1" s="55"/>
      <c r="FS1" s="41"/>
      <c r="FU1" t="s">
        <v>4006</v>
      </c>
      <c r="FV1" t="str">
        <f ca="1">OFFSET(納品書まとめ!$A$1,GC2-1,0)</f>
        <v>706</v>
      </c>
      <c r="FX1" s="87" t="s">
        <v>4007</v>
      </c>
      <c r="FY1" s="86"/>
      <c r="FZ1" s="86"/>
      <c r="GA1" s="88"/>
      <c r="GB1" s="55">
        <f ca="1">IFERROR(
IF(OR(COUNTIF(OFFSET(納品書まとめ!$A$1,FR2,1),"*博多*"),COUNTIF(OFFSET(納品書まとめ!$A$1,FR2,1),"*奈良屋*")),FR2+1,
IF(IFERROR(MID(OFFSET(納品書まとめ!$A$1,FR2-1,1), SEARCH("幼稚園", OFFSET(納品書まとめ!$A$1,FR2-1,1)) - 2, 2),1)=IFERROR(MID(OFFSET(納品書まとめ!$A$1,FR2,1), SEARCH("幼稚園", OFFSET(納品書まとめ!$A$1,FR2,1)) - 2, 2),0),
IF(IFERROR(MID(OFFSET(納品書まとめ!$A$1,FR2,1), SEARCH("幼稚園", OFFSET(納品書まとめ!$A$1,FR2,1)) - 2, 2),1)=IFERROR(MID(OFFSET(納品書まとめ!$A$1,FR2+1,1), SEARCH("幼稚園", OFFSET(納品書まとめ!$A$1,FR2+1,1)) - 2, 2),0),
IF(IFERROR(MID(OFFSET(納品書まとめ!$A$1,FR2+1,1), SEARCH("幼稚園", OFFSET(納品書まとめ!$A$1,FR2+1,1)) - 2, 2),1)=IFERROR(MID(OFFSET(納品書まとめ!$A$1,FR2+2,1), SEARCH("幼稚園", OFFSET(納品書まとめ!$A$1,FR2+2,1)) - 2, 2),0),
IF(IFERROR(MID(OFFSET(納品書まとめ!$A$1,FR2+2,1), SEARCH("幼稚園", OFFSET(納品書まとめ!$A$1,FR2+2,1)) - 2, 2),1)=IFERROR(MID(OFFSET(納品書まとめ!$A$1,FR2+3,1), SEARCH("幼稚園", OFFSET(納品書まとめ!$A$1,FR2+3,FR2+3,1)) - 2, 2),0),
IF(IFERROR(MID(OFFSET(納品書まとめ!$A$1,FR2+3,1), SEARCH("幼稚園", OFFSET(納品書まとめ!$A$1,FR2+3,1)) - 2, 2),1)=IFERROR(MID(OFFSET(納品書まとめ!$A$1,FR2+4,1), SEARCH("幼稚園", OFFSET(納品書まとめ!$A$1,FR2+4,1)) - 2, 2),0),
IF(IFERROR(MID(OFFSET(納品書まとめ!$A$1,FR2+4,1), SEARCH("幼稚園", OFFSET(納品書まとめ!$A$1,FR2+4,1)) - 2, 2),1)=IFERROR(MID(OFFSET(納品書まとめ!$A$1,FR2+5,1), SEARCH("幼稚園", OFFSET(納品書まとめ!$A$1,FR2+5,1)) - 2, 2),0),
IF(IFERROR(MID(OFFSET(納品書まとめ!$A$1,FR2+5,1), SEARCH("幼稚園", OFFSET(納品書まとめ!$A$1,FR2+5,1)) - 2, 2),1)=IFERROR(MID(OFFSET(納品書まとめ!$A$1,FR2+6,1), SEARCH("幼稚園", OFFSET(納品書まとめ!$A$1,FR2+6,1)) - 2, 2),0),FR2+8,FR2+7),FR2+6),FR2+5),FR2+4),FR2+3),FR2+2),FR2+1)),"")</f>
        <v>22</v>
      </c>
      <c r="GC1" s="55"/>
      <c r="GD1" s="41"/>
      <c r="GF1" t="s">
        <v>4006</v>
      </c>
      <c r="GG1" t="str">
        <f ca="1">OFFSET(納品書まとめ!$A$1,GN2-1,0)</f>
        <v>2100</v>
      </c>
      <c r="GI1" s="87" t="s">
        <v>4007</v>
      </c>
      <c r="GJ1" s="86"/>
      <c r="GK1" s="86"/>
      <c r="GL1" s="88"/>
      <c r="GM1" s="55">
        <f ca="1">IFERROR(
IF(OR(COUNTIF(OFFSET(納品書まとめ!$A$1,GC2,1),"*博多*"),COUNTIF(OFFSET(納品書まとめ!$A$1,GC2,1),"*奈良屋*")),GC2+1,
IF(IFERROR(MID(OFFSET(納品書まとめ!$A$1,GC2-1,1), SEARCH("幼稚園", OFFSET(納品書まとめ!$A$1,GC2-1,1)) - 2, 2),1)=IFERROR(MID(OFFSET(納品書まとめ!$A$1,GC2,1), SEARCH("幼稚園", OFFSET(納品書まとめ!$A$1,GC2,1)) - 2, 2),0),
IF(IFERROR(MID(OFFSET(納品書まとめ!$A$1,GC2,1), SEARCH("幼稚園", OFFSET(納品書まとめ!$A$1,GC2,1)) - 2, 2),1)=IFERROR(MID(OFFSET(納品書まとめ!$A$1,GC2+1,1), SEARCH("幼稚園", OFFSET(納品書まとめ!$A$1,GC2+1,1)) - 2, 2),0),
IF(IFERROR(MID(OFFSET(納品書まとめ!$A$1,GC2+1,1), SEARCH("幼稚園", OFFSET(納品書まとめ!$A$1,GC2+1,1)) - 2, 2),1)=IFERROR(MID(OFFSET(納品書まとめ!$A$1,GC2+2,1), SEARCH("幼稚園", OFFSET(納品書まとめ!$A$1,GC2+2,1)) - 2, 2),0),
IF(IFERROR(MID(OFFSET(納品書まとめ!$A$1,GC2+2,1), SEARCH("幼稚園", OFFSET(納品書まとめ!$A$1,GC2+2,1)) - 2, 2),1)=IFERROR(MID(OFFSET(納品書まとめ!$A$1,GC2+3,1), SEARCH("幼稚園", OFFSET(納品書まとめ!$A$1,GC2+3,GC2+3,1)) - 2, 2),0),
IF(IFERROR(MID(OFFSET(納品書まとめ!$A$1,GC2+3,1), SEARCH("幼稚園", OFFSET(納品書まとめ!$A$1,GC2+3,1)) - 2, 2),1)=IFERROR(MID(OFFSET(納品書まとめ!$A$1,GC2+4,1), SEARCH("幼稚園", OFFSET(納品書まとめ!$A$1,GC2+4,1)) - 2, 2),0),
IF(IFERROR(MID(OFFSET(納品書まとめ!$A$1,GC2+4,1), SEARCH("幼稚園", OFFSET(納品書まとめ!$A$1,GC2+4,1)) - 2, 2),1)=IFERROR(MID(OFFSET(納品書まとめ!$A$1,GC2+5,1), SEARCH("幼稚園", OFFSET(納品書まとめ!$A$1,GC2+5,1)) - 2, 2),0),
IF(IFERROR(MID(OFFSET(納品書まとめ!$A$1,GC2+5,1), SEARCH("幼稚園", OFFSET(納品書まとめ!$A$1,GC2+5,1)) - 2, 2),1)=IFERROR(MID(OFFSET(納品書まとめ!$A$1,GC2+6,1), SEARCH("幼稚園", OFFSET(納品書まとめ!$A$1,GC2+6,1)) - 2, 2),0),GC2+8,GC2+7),GC2+6),GC2+5),GC2+4),GC2+3),GC2+2),GC2+1)),"")</f>
        <v>23</v>
      </c>
      <c r="GN1" s="55"/>
      <c r="GO1" s="41"/>
      <c r="GQ1" t="s">
        <v>4006</v>
      </c>
      <c r="GR1" t="str">
        <f ca="1">OFFSET(納品書まとめ!$A$1,GY2-1,0)</f>
        <v>2200</v>
      </c>
      <c r="GT1" s="87" t="s">
        <v>4007</v>
      </c>
      <c r="GU1" s="86"/>
      <c r="GV1" s="86"/>
      <c r="GW1" s="88"/>
      <c r="GX1" s="55">
        <f ca="1">IFERROR(
IF(OR(COUNTIF(OFFSET(納品書まとめ!$A$1,GN2,1),"*博多*"),COUNTIF(OFFSET(納品書まとめ!$A$1,GN2,1),"*奈良屋*")),GN2+1,
IF(IFERROR(MID(OFFSET(納品書まとめ!$A$1,GN2-1,1), SEARCH("幼稚園", OFFSET(納品書まとめ!$A$1,GN2-1,1)) - 2, 2),1)=IFERROR(MID(OFFSET(納品書まとめ!$A$1,GN2,1), SEARCH("幼稚園", OFFSET(納品書まとめ!$A$1,GN2,1)) - 2, 2),0),
IF(IFERROR(MID(OFFSET(納品書まとめ!$A$1,GN2,1), SEARCH("幼稚園", OFFSET(納品書まとめ!$A$1,GN2,1)) - 2, 2),1)=IFERROR(MID(OFFSET(納品書まとめ!$A$1,GN2+1,1), SEARCH("幼稚園", OFFSET(納品書まとめ!$A$1,GN2+1,1)) - 2, 2),0),
IF(IFERROR(MID(OFFSET(納品書まとめ!$A$1,GN2+1,1), SEARCH("幼稚園", OFFSET(納品書まとめ!$A$1,GN2+1,1)) - 2, 2),1)=IFERROR(MID(OFFSET(納品書まとめ!$A$1,GN2+2,1), SEARCH("幼稚園", OFFSET(納品書まとめ!$A$1,GN2+2,1)) - 2, 2),0),
IF(IFERROR(MID(OFFSET(納品書まとめ!$A$1,GN2+2,1), SEARCH("幼稚園", OFFSET(納品書まとめ!$A$1,GN2+2,1)) - 2, 2),1)=IFERROR(MID(OFFSET(納品書まとめ!$A$1,GN2+3,1), SEARCH("幼稚園", OFFSET(納品書まとめ!$A$1,GN2+3,GN2+3,1)) - 2, 2),0),
IF(IFERROR(MID(OFFSET(納品書まとめ!$A$1,GN2+3,1), SEARCH("幼稚園", OFFSET(納品書まとめ!$A$1,GN2+3,1)) - 2, 2),1)=IFERROR(MID(OFFSET(納品書まとめ!$A$1,GN2+4,1), SEARCH("幼稚園", OFFSET(納品書まとめ!$A$1,GN2+4,1)) - 2, 2),0),
IF(IFERROR(MID(OFFSET(納品書まとめ!$A$1,GN2+4,1), SEARCH("幼稚園", OFFSET(納品書まとめ!$A$1,GN2+4,1)) - 2, 2),1)=IFERROR(MID(OFFSET(納品書まとめ!$A$1,GN2+5,1), SEARCH("幼稚園", OFFSET(納品書まとめ!$A$1,GN2+5,1)) - 2, 2),0),
IF(IFERROR(MID(OFFSET(納品書まとめ!$A$1,GN2+5,1), SEARCH("幼稚園", OFFSET(納品書まとめ!$A$1,GN2+5,1)) - 2, 2),1)=IFERROR(MID(OFFSET(納品書まとめ!$A$1,GN2+6,1), SEARCH("幼稚園", OFFSET(納品書まとめ!$A$1,GN2+6,1)) - 2, 2),0),GN2+8,GN2+7),GN2+6),GN2+5),GN2+4),GN2+3),GN2+2),GN2+1)),"")</f>
        <v>25</v>
      </c>
      <c r="GY1" s="55"/>
      <c r="GZ1" s="41"/>
      <c r="HB1" t="s">
        <v>4006</v>
      </c>
      <c r="HC1" t="str">
        <f ca="1">OFFSET(納品書まとめ!$A$1,HJ2-1,0)</f>
        <v>17600</v>
      </c>
      <c r="HE1" s="87" t="s">
        <v>4007</v>
      </c>
      <c r="HF1" s="86"/>
      <c r="HG1" s="86"/>
      <c r="HH1" s="88"/>
      <c r="HI1" s="55">
        <f ca="1">IFERROR(
IF(OR(COUNTIF(OFFSET(納品書まとめ!$A$1,GY2,1),"*博多*"),COUNTIF(OFFSET(納品書まとめ!$A$1,GY2,1),"*奈良屋*")),GY2+1,
IF(IFERROR(MID(OFFSET(納品書まとめ!$A$1,GY2-1,1), SEARCH("幼稚園", OFFSET(納品書まとめ!$A$1,GY2-1,1)) - 2, 2),1)=IFERROR(MID(OFFSET(納品書まとめ!$A$1,GY2,1), SEARCH("幼稚園", OFFSET(納品書まとめ!$A$1,GY2,1)) - 2, 2),0),
IF(IFERROR(MID(OFFSET(納品書まとめ!$A$1,GY2,1), SEARCH("幼稚園", OFFSET(納品書まとめ!$A$1,GY2,1)) - 2, 2),1)=IFERROR(MID(OFFSET(納品書まとめ!$A$1,GY2+1,1), SEARCH("幼稚園", OFFSET(納品書まとめ!$A$1,GY2+1,1)) - 2, 2),0),
IF(IFERROR(MID(OFFSET(納品書まとめ!$A$1,GY2+1,1), SEARCH("幼稚園", OFFSET(納品書まとめ!$A$1,GY2+1,1)) - 2, 2),1)=IFERROR(MID(OFFSET(納品書まとめ!$A$1,GY2+2,1), SEARCH("幼稚園", OFFSET(納品書まとめ!$A$1,GY2+2,1)) - 2, 2),0),
IF(IFERROR(MID(OFFSET(納品書まとめ!$A$1,GY2+2,1), SEARCH("幼稚園", OFFSET(納品書まとめ!$A$1,GY2+2,1)) - 2, 2),1)=IFERROR(MID(OFFSET(納品書まとめ!$A$1,GY2+3,1), SEARCH("幼稚園", OFFSET(納品書まとめ!$A$1,GY2+3,GY2+3,1)) - 2, 2),0),
IF(IFERROR(MID(OFFSET(納品書まとめ!$A$1,GY2+3,1), SEARCH("幼稚園", OFFSET(納品書まとめ!$A$1,GY2+3,1)) - 2, 2),1)=IFERROR(MID(OFFSET(納品書まとめ!$A$1,GY2+4,1), SEARCH("幼稚園", OFFSET(納品書まとめ!$A$1,GY2+4,1)) - 2, 2),0),
IF(IFERROR(MID(OFFSET(納品書まとめ!$A$1,GY2+4,1), SEARCH("幼稚園", OFFSET(納品書まとめ!$A$1,GY2+4,1)) - 2, 2),1)=IFERROR(MID(OFFSET(納品書まとめ!$A$1,GY2+5,1), SEARCH("幼稚園", OFFSET(納品書まとめ!$A$1,GY2+5,1)) - 2, 2),0),
IF(IFERROR(MID(OFFSET(納品書まとめ!$A$1,GY2+5,1), SEARCH("幼稚園", OFFSET(納品書まとめ!$A$1,GY2+5,1)) - 2, 2),1)=IFERROR(MID(OFFSET(納品書まとめ!$A$1,GY2+6,1), SEARCH("幼稚園", OFFSET(納品書まとめ!$A$1,GY2+6,1)) - 2, 2),0),GY2+8,GY2+7),GY2+6),GY2+5),GY2+4),GY2+3),GY2+2),GY2+1)),"")</f>
        <v>26</v>
      </c>
      <c r="HJ1" s="55"/>
      <c r="HK1" s="41"/>
      <c r="HM1" t="s">
        <v>4006</v>
      </c>
      <c r="HN1" t="str">
        <f ca="1">OFFSET(納品書まとめ!$A$1,HU2-1,0)</f>
        <v>18500</v>
      </c>
      <c r="HP1" s="87" t="s">
        <v>4007</v>
      </c>
      <c r="HQ1" s="86"/>
      <c r="HR1" s="86"/>
      <c r="HS1" s="88"/>
      <c r="HT1" s="55">
        <f ca="1">IFERROR(
IF(OR(COUNTIF(OFFSET(納品書まとめ!$A$1,HJ2,1),"*博多*"),COUNTIF(OFFSET(納品書まとめ!$A$1,HJ2,1),"*奈良屋*")),HJ2+1,
IF(IFERROR(MID(OFFSET(納品書まとめ!$A$1,HJ2-1,1), SEARCH("幼稚園", OFFSET(納品書まとめ!$A$1,HJ2-1,1)) - 2, 2),1)=IFERROR(MID(OFFSET(納品書まとめ!$A$1,HJ2,1), SEARCH("幼稚園", OFFSET(納品書まとめ!$A$1,HJ2,1)) - 2, 2),0),
IF(IFERROR(MID(OFFSET(納品書まとめ!$A$1,HJ2,1), SEARCH("幼稚園", OFFSET(納品書まとめ!$A$1,HJ2,1)) - 2, 2),1)=IFERROR(MID(OFFSET(納品書まとめ!$A$1,HJ2+1,1), SEARCH("幼稚園", OFFSET(納品書まとめ!$A$1,HJ2+1,1)) - 2, 2),0),
IF(IFERROR(MID(OFFSET(納品書まとめ!$A$1,HJ2+1,1), SEARCH("幼稚園", OFFSET(納品書まとめ!$A$1,HJ2+1,1)) - 2, 2),1)=IFERROR(MID(OFFSET(納品書まとめ!$A$1,HJ2+2,1), SEARCH("幼稚園", OFFSET(納品書まとめ!$A$1,HJ2+2,1)) - 2, 2),0),
IF(IFERROR(MID(OFFSET(納品書まとめ!$A$1,HJ2+2,1), SEARCH("幼稚園", OFFSET(納品書まとめ!$A$1,HJ2+2,1)) - 2, 2),1)=IFERROR(MID(OFFSET(納品書まとめ!$A$1,HJ2+3,1), SEARCH("幼稚園", OFFSET(納品書まとめ!$A$1,HJ2+3,HJ2+3,1)) - 2, 2),0),
IF(IFERROR(MID(OFFSET(納品書まとめ!$A$1,HJ2+3,1), SEARCH("幼稚園", OFFSET(納品書まとめ!$A$1,HJ2+3,1)) - 2, 2),1)=IFERROR(MID(OFFSET(納品書まとめ!$A$1,HJ2+4,1), SEARCH("幼稚園", OFFSET(納品書まとめ!$A$1,HJ2+4,1)) - 2, 2),0),
IF(IFERROR(MID(OFFSET(納品書まとめ!$A$1,HJ2+4,1), SEARCH("幼稚園", OFFSET(納品書まとめ!$A$1,HJ2+4,1)) - 2, 2),1)=IFERROR(MID(OFFSET(納品書まとめ!$A$1,HJ2+5,1), SEARCH("幼稚園", OFFSET(納品書まとめ!$A$1,HJ2+5,1)) - 2, 2),0),
IF(IFERROR(MID(OFFSET(納品書まとめ!$A$1,HJ2+5,1), SEARCH("幼稚園", OFFSET(納品書まとめ!$A$1,HJ2+5,1)) - 2, 2),1)=IFERROR(MID(OFFSET(納品書まとめ!$A$1,HJ2+6,1), SEARCH("幼稚園", OFFSET(納品書まとめ!$A$1,HJ2+6,1)) - 2, 2),0),HJ2+8,HJ2+7),HJ2+6),HJ2+5),HJ2+4),HJ2+3),HJ2+2),HJ2+1)),"")</f>
        <v>27</v>
      </c>
      <c r="HU1" s="55"/>
      <c r="HV1" s="41"/>
      <c r="HX1" t="s">
        <v>4006</v>
      </c>
      <c r="HY1" t="str">
        <f ca="1">OFFSET(納品書まとめ!$A$1,IF2-1,0)</f>
        <v>8000</v>
      </c>
      <c r="IA1" s="87" t="s">
        <v>4007</v>
      </c>
      <c r="IB1" s="86"/>
      <c r="IC1" s="86"/>
      <c r="ID1" s="88"/>
      <c r="IE1" s="55">
        <f ca="1">IFERROR(
IF(OR(COUNTIF(OFFSET(納品書まとめ!$A$1,HU2,1),"*博多*"),COUNTIF(OFFSET(納品書まとめ!$A$1,HU2,1),"*奈良屋*")),HU2+1,
IF(IFERROR(MID(OFFSET(納品書まとめ!$A$1,HU2-1,1), SEARCH("幼稚園", OFFSET(納品書まとめ!$A$1,HU2-1,1)) - 2, 2),1)=IFERROR(MID(OFFSET(納品書まとめ!$A$1,HU2,1), SEARCH("幼稚園", OFFSET(納品書まとめ!$A$1,HU2,1)) - 2, 2),0),
IF(IFERROR(MID(OFFSET(納品書まとめ!$A$1,HU2,1), SEARCH("幼稚園", OFFSET(納品書まとめ!$A$1,HU2,1)) - 2, 2),1)=IFERROR(MID(OFFSET(納品書まとめ!$A$1,HU2+1,1), SEARCH("幼稚園", OFFSET(納品書まとめ!$A$1,HU2+1,1)) - 2, 2),0),
IF(IFERROR(MID(OFFSET(納品書まとめ!$A$1,HU2+1,1), SEARCH("幼稚園", OFFSET(納品書まとめ!$A$1,HU2+1,1)) - 2, 2),1)=IFERROR(MID(OFFSET(納品書まとめ!$A$1,HU2+2,1), SEARCH("幼稚園", OFFSET(納品書まとめ!$A$1,HU2+2,1)) - 2, 2),0),
IF(IFERROR(MID(OFFSET(納品書まとめ!$A$1,HU2+2,1), SEARCH("幼稚園", OFFSET(納品書まとめ!$A$1,HU2+2,1)) - 2, 2),1)=IFERROR(MID(OFFSET(納品書まとめ!$A$1,HU2+3,1), SEARCH("幼稚園", OFFSET(納品書まとめ!$A$1,HU2+3,HU2+3,1)) - 2, 2),0),
IF(IFERROR(MID(OFFSET(納品書まとめ!$A$1,HU2+3,1), SEARCH("幼稚園", OFFSET(納品書まとめ!$A$1,HU2+3,1)) - 2, 2),1)=IFERROR(MID(OFFSET(納品書まとめ!$A$1,HU2+4,1), SEARCH("幼稚園", OFFSET(納品書まとめ!$A$1,HU2+4,1)) - 2, 2),0),
IF(IFERROR(MID(OFFSET(納品書まとめ!$A$1,HU2+4,1), SEARCH("幼稚園", OFFSET(納品書まとめ!$A$1,HU2+4,1)) - 2, 2),1)=IFERROR(MID(OFFSET(納品書まとめ!$A$1,HU2+5,1), SEARCH("幼稚園", OFFSET(納品書まとめ!$A$1,HU2+5,1)) - 2, 2),0),
IF(IFERROR(MID(OFFSET(納品書まとめ!$A$1,HU2+5,1), SEARCH("幼稚園", OFFSET(納品書まとめ!$A$1,HU2+5,1)) - 2, 2),1)=IFERROR(MID(OFFSET(納品書まとめ!$A$1,HU2+6,1), SEARCH("幼稚園", OFFSET(納品書まとめ!$A$1,HU2+6,1)) - 2, 2),0),HU2+8,HU2+7),HU2+6),HU2+5),HU2+4),HU2+3),HU2+2),HU2+1)),"")</f>
        <v>28</v>
      </c>
      <c r="IF1" s="55"/>
      <c r="IG1" s="41"/>
      <c r="II1" t="s">
        <v>4006</v>
      </c>
      <c r="IJ1" t="str">
        <f ca="1">OFFSET(納品書まとめ!$A$1,IQ2-1,0)</f>
        <v>20200</v>
      </c>
      <c r="IL1" s="87" t="s">
        <v>4007</v>
      </c>
      <c r="IM1" s="86"/>
      <c r="IN1" s="86"/>
      <c r="IO1" s="88"/>
      <c r="IP1" s="55">
        <f ca="1">IFERROR(
IF(OR(COUNTIF(OFFSET(納品書まとめ!$A$1,IF2,1),"*博多*"),COUNTIF(OFFSET(納品書まとめ!$A$1,IF2,1),"*奈良屋*")),IF2+1,
IF(IFERROR(MID(OFFSET(納品書まとめ!$A$1,IF2-1,1), SEARCH("幼稚園", OFFSET(納品書まとめ!$A$1,IF2-1,1)) - 2, 2),1)=IFERROR(MID(OFFSET(納品書まとめ!$A$1,IF2,1), SEARCH("幼稚園", OFFSET(納品書まとめ!$A$1,IF2,1)) - 2, 2),0),
IF(IFERROR(MID(OFFSET(納品書まとめ!$A$1,IF2,1), SEARCH("幼稚園", OFFSET(納品書まとめ!$A$1,IF2,1)) - 2, 2),1)=IFERROR(MID(OFFSET(納品書まとめ!$A$1,IF2+1,1), SEARCH("幼稚園", OFFSET(納品書まとめ!$A$1,IF2+1,1)) - 2, 2),0),
IF(IFERROR(MID(OFFSET(納品書まとめ!$A$1,IF2+1,1), SEARCH("幼稚園", OFFSET(納品書まとめ!$A$1,IF2+1,1)) - 2, 2),1)=IFERROR(MID(OFFSET(納品書まとめ!$A$1,IF2+2,1), SEARCH("幼稚園", OFFSET(納品書まとめ!$A$1,IF2+2,1)) - 2, 2),0),
IF(IFERROR(MID(OFFSET(納品書まとめ!$A$1,IF2+2,1), SEARCH("幼稚園", OFFSET(納品書まとめ!$A$1,IF2+2,1)) - 2, 2),1)=IFERROR(MID(OFFSET(納品書まとめ!$A$1,IF2+3,1), SEARCH("幼稚園", OFFSET(納品書まとめ!$A$1,IF2+3,IF2+3,1)) - 2, 2),0),
IF(IFERROR(MID(OFFSET(納品書まとめ!$A$1,IF2+3,1), SEARCH("幼稚園", OFFSET(納品書まとめ!$A$1,IF2+3,1)) - 2, 2),1)=IFERROR(MID(OFFSET(納品書まとめ!$A$1,IF2+4,1), SEARCH("幼稚園", OFFSET(納品書まとめ!$A$1,IF2+4,1)) - 2, 2),0),
IF(IFERROR(MID(OFFSET(納品書まとめ!$A$1,IF2+4,1), SEARCH("幼稚園", OFFSET(納品書まとめ!$A$1,IF2+4,1)) - 2, 2),1)=IFERROR(MID(OFFSET(納品書まとめ!$A$1,IF2+5,1), SEARCH("幼稚園", OFFSET(納品書まとめ!$A$1,IF2+5,1)) - 2, 2),0),
IF(IFERROR(MID(OFFSET(納品書まとめ!$A$1,IF2+5,1), SEARCH("幼稚園", OFFSET(納品書まとめ!$A$1,IF2+5,1)) - 2, 2),1)=IFERROR(MID(OFFSET(納品書まとめ!$A$1,IF2+6,1), SEARCH("幼稚園", OFFSET(納品書まとめ!$A$1,IF2+6,1)) - 2, 2),0),IF2+8,IF2+7),IF2+6),IF2+5),IF2+4),IF2+3),IF2+2),IF2+1)),"")</f>
        <v>29</v>
      </c>
      <c r="IQ1" s="55"/>
      <c r="IR1" s="41"/>
      <c r="IT1" t="s">
        <v>4006</v>
      </c>
      <c r="IU1" t="str">
        <f ca="1">OFFSET(納品書まとめ!$A$1,JB2-1,0)</f>
        <v>7200</v>
      </c>
      <c r="IW1" s="87" t="s">
        <v>4007</v>
      </c>
      <c r="IX1" s="86"/>
      <c r="IY1" s="86"/>
      <c r="IZ1" s="88"/>
      <c r="JA1" s="55">
        <f ca="1">IFERROR(
IF(OR(COUNTIF(OFFSET(納品書まとめ!$A$1,IQ2,1),"*博多*"),COUNTIF(OFFSET(納品書まとめ!$A$1,IQ2,1),"*奈良屋*")),IQ2+1,
IF(IFERROR(MID(OFFSET(納品書まとめ!$A$1,IQ2-1,1), SEARCH("幼稚園", OFFSET(納品書まとめ!$A$1,IQ2-1,1)) - 2, 2),1)=IFERROR(MID(OFFSET(納品書まとめ!$A$1,IQ2,1), SEARCH("幼稚園", OFFSET(納品書まとめ!$A$1,IQ2,1)) - 2, 2),0),
IF(IFERROR(MID(OFFSET(納品書まとめ!$A$1,IQ2,1), SEARCH("幼稚園", OFFSET(納品書まとめ!$A$1,IQ2,1)) - 2, 2),1)=IFERROR(MID(OFFSET(納品書まとめ!$A$1,IQ2+1,1), SEARCH("幼稚園", OFFSET(納品書まとめ!$A$1,IQ2+1,1)) - 2, 2),0),
IF(IFERROR(MID(OFFSET(納品書まとめ!$A$1,IQ2+1,1), SEARCH("幼稚園", OFFSET(納品書まとめ!$A$1,IQ2+1,1)) - 2, 2),1)=IFERROR(MID(OFFSET(納品書まとめ!$A$1,IQ2+2,1), SEARCH("幼稚園", OFFSET(納品書まとめ!$A$1,IQ2+2,1)) - 2, 2),0),
IF(IFERROR(MID(OFFSET(納品書まとめ!$A$1,IQ2+2,1), SEARCH("幼稚園", OFFSET(納品書まとめ!$A$1,IQ2+2,1)) - 2, 2),1)=IFERROR(MID(OFFSET(納品書まとめ!$A$1,IQ2+3,1), SEARCH("幼稚園", OFFSET(納品書まとめ!$A$1,IQ2+3,IQ2+3,1)) - 2, 2),0),
IF(IFERROR(MID(OFFSET(納品書まとめ!$A$1,IQ2+3,1), SEARCH("幼稚園", OFFSET(納品書まとめ!$A$1,IQ2+3,1)) - 2, 2),1)=IFERROR(MID(OFFSET(納品書まとめ!$A$1,IQ2+4,1), SEARCH("幼稚園", OFFSET(納品書まとめ!$A$1,IQ2+4,1)) - 2, 2),0),
IF(IFERROR(MID(OFFSET(納品書まとめ!$A$1,IQ2+4,1), SEARCH("幼稚園", OFFSET(納品書まとめ!$A$1,IQ2+4,1)) - 2, 2),1)=IFERROR(MID(OFFSET(納品書まとめ!$A$1,IQ2+5,1), SEARCH("幼稚園", OFFSET(納品書まとめ!$A$1,IQ2+5,1)) - 2, 2),0),
IF(IFERROR(MID(OFFSET(納品書まとめ!$A$1,IQ2+5,1), SEARCH("幼稚園", OFFSET(納品書まとめ!$A$1,IQ2+5,1)) - 2, 2),1)=IFERROR(MID(OFFSET(納品書まとめ!$A$1,IQ2+6,1), SEARCH("幼稚園", OFFSET(納品書まとめ!$A$1,IQ2+6,1)) - 2, 2),0),IQ2+8,IQ2+7),IQ2+6),IQ2+5),IQ2+4),IQ2+3),IQ2+2),IQ2+1)),"")</f>
        <v>30</v>
      </c>
      <c r="JB1" s="55"/>
      <c r="JC1" s="41"/>
      <c r="JE1" t="s">
        <v>4006</v>
      </c>
      <c r="JF1" t="str">
        <f ca="1">OFFSET(納品書まとめ!$A$1,JM2-1,0)</f>
        <v>5900</v>
      </c>
      <c r="JH1" s="87" t="s">
        <v>4007</v>
      </c>
      <c r="JI1" s="86"/>
      <c r="JJ1" s="86"/>
      <c r="JK1" s="88"/>
      <c r="JL1" s="55">
        <f ca="1">IFERROR(
IF(OR(COUNTIF(OFFSET(納品書まとめ!$A$1,JB2,1),"*博多*"),COUNTIF(OFFSET(納品書まとめ!$A$1,JB2,1),"*奈良屋*")),JB2+1,
IF(IFERROR(MID(OFFSET(納品書まとめ!$A$1,JB2-1,1), SEARCH("幼稚園", OFFSET(納品書まとめ!$A$1,JB2-1,1)) - 2, 2),1)=IFERROR(MID(OFFSET(納品書まとめ!$A$1,JB2,1), SEARCH("幼稚園", OFFSET(納品書まとめ!$A$1,JB2,1)) - 2, 2),0),
IF(IFERROR(MID(OFFSET(納品書まとめ!$A$1,JB2,1), SEARCH("幼稚園", OFFSET(納品書まとめ!$A$1,JB2,1)) - 2, 2),1)=IFERROR(MID(OFFSET(納品書まとめ!$A$1,JB2+1,1), SEARCH("幼稚園", OFFSET(納品書まとめ!$A$1,JB2+1,1)) - 2, 2),0),
IF(IFERROR(MID(OFFSET(納品書まとめ!$A$1,JB2+1,1), SEARCH("幼稚園", OFFSET(納品書まとめ!$A$1,JB2+1,1)) - 2, 2),1)=IFERROR(MID(OFFSET(納品書まとめ!$A$1,JB2+2,1), SEARCH("幼稚園", OFFSET(納品書まとめ!$A$1,JB2+2,1)) - 2, 2),0),
IF(IFERROR(MID(OFFSET(納品書まとめ!$A$1,JB2+2,1), SEARCH("幼稚園", OFFSET(納品書まとめ!$A$1,JB2+2,1)) - 2, 2),1)=IFERROR(MID(OFFSET(納品書まとめ!$A$1,JB2+3,1), SEARCH("幼稚園", OFFSET(納品書まとめ!$A$1,JB2+3,JB2+3,1)) - 2, 2),0),
IF(IFERROR(MID(OFFSET(納品書まとめ!$A$1,JB2+3,1), SEARCH("幼稚園", OFFSET(納品書まとめ!$A$1,JB2+3,1)) - 2, 2),1)=IFERROR(MID(OFFSET(納品書まとめ!$A$1,JB2+4,1), SEARCH("幼稚園", OFFSET(納品書まとめ!$A$1,JB2+4,1)) - 2, 2),0),
IF(IFERROR(MID(OFFSET(納品書まとめ!$A$1,JB2+4,1), SEARCH("幼稚園", OFFSET(納品書まとめ!$A$1,JB2+4,1)) - 2, 2),1)=IFERROR(MID(OFFSET(納品書まとめ!$A$1,JB2+5,1), SEARCH("幼稚園", OFFSET(納品書まとめ!$A$1,JB2+5,1)) - 2, 2),0),
IF(IFERROR(MID(OFFSET(納品書まとめ!$A$1,JB2+5,1), SEARCH("幼稚園", OFFSET(納品書まとめ!$A$1,JB2+5,1)) - 2, 2),1)=IFERROR(MID(OFFSET(納品書まとめ!$A$1,JB2+6,1), SEARCH("幼稚園", OFFSET(納品書まとめ!$A$1,JB2+6,1)) - 2, 2),0),JB2+8,JB2+7),JB2+6),JB2+5),JB2+4),JB2+3),JB2+2),JB2+1)),"")</f>
        <v>31</v>
      </c>
      <c r="JM1" s="55"/>
      <c r="JN1" s="41"/>
      <c r="JP1" t="s">
        <v>4006</v>
      </c>
      <c r="JQ1" t="str">
        <f ca="1">OFFSET(納品書まとめ!$A$1,JX2-1,0)</f>
        <v>7103</v>
      </c>
      <c r="JS1" s="87" t="s">
        <v>4007</v>
      </c>
      <c r="JT1" s="86"/>
      <c r="JU1" s="86"/>
      <c r="JV1" s="88"/>
      <c r="JW1" s="55">
        <f ca="1">IFERROR(
IF(OR(COUNTIF(OFFSET(納品書まとめ!$A$1,JM2,1),"*博多*"),COUNTIF(OFFSET(納品書まとめ!$A$1,JM2,1),"*奈良屋*")),JM2+1,
IF(IFERROR(MID(OFFSET(納品書まとめ!$A$1,JM2-1,1), SEARCH("幼稚園", OFFSET(納品書まとめ!$A$1,JM2-1,1)) - 2, 2),1)=IFERROR(MID(OFFSET(納品書まとめ!$A$1,JM2,1), SEARCH("幼稚園", OFFSET(納品書まとめ!$A$1,JM2,1)) - 2, 2),0),
IF(IFERROR(MID(OFFSET(納品書まとめ!$A$1,JM2,1), SEARCH("幼稚園", OFFSET(納品書まとめ!$A$1,JM2,1)) - 2, 2),1)=IFERROR(MID(OFFSET(納品書まとめ!$A$1,JM2+1,1), SEARCH("幼稚園", OFFSET(納品書まとめ!$A$1,JM2+1,1)) - 2, 2),0),
IF(IFERROR(MID(OFFSET(納品書まとめ!$A$1,JM2+1,1), SEARCH("幼稚園", OFFSET(納品書まとめ!$A$1,JM2+1,1)) - 2, 2),1)=IFERROR(MID(OFFSET(納品書まとめ!$A$1,JM2+2,1), SEARCH("幼稚園", OFFSET(納品書まとめ!$A$1,JM2+2,1)) - 2, 2),0),
IF(IFERROR(MID(OFFSET(納品書まとめ!$A$1,JM2+2,1), SEARCH("幼稚園", OFFSET(納品書まとめ!$A$1,JM2+2,1)) - 2, 2),1)=IFERROR(MID(OFFSET(納品書まとめ!$A$1,JM2+3,1), SEARCH("幼稚園", OFFSET(納品書まとめ!$A$1,JM2+3,JM2+3,1)) - 2, 2),0),
IF(IFERROR(MID(OFFSET(納品書まとめ!$A$1,JM2+3,1), SEARCH("幼稚園", OFFSET(納品書まとめ!$A$1,JM2+3,1)) - 2, 2),1)=IFERROR(MID(OFFSET(納品書まとめ!$A$1,JM2+4,1), SEARCH("幼稚園", OFFSET(納品書まとめ!$A$1,JM2+4,1)) - 2, 2),0),
IF(IFERROR(MID(OFFSET(納品書まとめ!$A$1,JM2+4,1), SEARCH("幼稚園", OFFSET(納品書まとめ!$A$1,JM2+4,1)) - 2, 2),1)=IFERROR(MID(OFFSET(納品書まとめ!$A$1,JM2+5,1), SEARCH("幼稚園", OFFSET(納品書まとめ!$A$1,JM2+5,1)) - 2, 2),0),
IF(IFERROR(MID(OFFSET(納品書まとめ!$A$1,JM2+5,1), SEARCH("幼稚園", OFFSET(納品書まとめ!$A$1,JM2+5,1)) - 2, 2),1)=IFERROR(MID(OFFSET(納品書まとめ!$A$1,JM2+6,1), SEARCH("幼稚園", OFFSET(納品書まとめ!$A$1,JM2+6,1)) - 2, 2),0),JM2+8,JM2+7),JM2+6),JM2+5),JM2+4),JM2+3),JM2+2),JM2+1)),"")</f>
        <v>32</v>
      </c>
      <c r="JX1" s="55"/>
      <c r="JY1" s="41"/>
      <c r="KA1" t="s">
        <v>4006</v>
      </c>
      <c r="KB1" t="str">
        <f ca="1">OFFSET(納品書まとめ!$A$1,KI2-1,0)</f>
        <v>20700</v>
      </c>
      <c r="KD1" s="87" t="s">
        <v>4007</v>
      </c>
      <c r="KE1" s="86"/>
      <c r="KF1" s="86"/>
      <c r="KG1" s="88"/>
      <c r="KH1" s="55">
        <f ca="1">IFERROR(
IF(OR(COUNTIF(OFFSET(納品書まとめ!$A$1,JX2,1),"*博多*"),COUNTIF(OFFSET(納品書まとめ!$A$1,JX2,1),"*奈良屋*")),JX2+1,
IF(IFERROR(MID(OFFSET(納品書まとめ!$A$1,JX2-1,1), SEARCH("幼稚園", OFFSET(納品書まとめ!$A$1,JX2-1,1)) - 2, 2),1)=IFERROR(MID(OFFSET(納品書まとめ!$A$1,JX2,1), SEARCH("幼稚園", OFFSET(納品書まとめ!$A$1,JX2,1)) - 2, 2),0),
IF(IFERROR(MID(OFFSET(納品書まとめ!$A$1,JX2,1), SEARCH("幼稚園", OFFSET(納品書まとめ!$A$1,JX2,1)) - 2, 2),1)=IFERROR(MID(OFFSET(納品書まとめ!$A$1,JX2+1,1), SEARCH("幼稚園", OFFSET(納品書まとめ!$A$1,JX2+1,1)) - 2, 2),0),
IF(IFERROR(MID(OFFSET(納品書まとめ!$A$1,JX2+1,1), SEARCH("幼稚園", OFFSET(納品書まとめ!$A$1,JX2+1,1)) - 2, 2),1)=IFERROR(MID(OFFSET(納品書まとめ!$A$1,JX2+2,1), SEARCH("幼稚園", OFFSET(納品書まとめ!$A$1,JX2+2,1)) - 2, 2),0),
IF(IFERROR(MID(OFFSET(納品書まとめ!$A$1,JX2+2,1), SEARCH("幼稚園", OFFSET(納品書まとめ!$A$1,JX2+2,1)) - 2, 2),1)=IFERROR(MID(OFFSET(納品書まとめ!$A$1,JX2+3,1), SEARCH("幼稚園", OFFSET(納品書まとめ!$A$1,JX2+3,JX2+3,1)) - 2, 2),0),
IF(IFERROR(MID(OFFSET(納品書まとめ!$A$1,JX2+3,1), SEARCH("幼稚園", OFFSET(納品書まとめ!$A$1,JX2+3,1)) - 2, 2),1)=IFERROR(MID(OFFSET(納品書まとめ!$A$1,JX2+4,1), SEARCH("幼稚園", OFFSET(納品書まとめ!$A$1,JX2+4,1)) - 2, 2),0),
IF(IFERROR(MID(OFFSET(納品書まとめ!$A$1,JX2+4,1), SEARCH("幼稚園", OFFSET(納品書まとめ!$A$1,JX2+4,1)) - 2, 2),1)=IFERROR(MID(OFFSET(納品書まとめ!$A$1,JX2+5,1), SEARCH("幼稚園", OFFSET(納品書まとめ!$A$1,JX2+5,1)) - 2, 2),0),
IF(IFERROR(MID(OFFSET(納品書まとめ!$A$1,JX2+5,1), SEARCH("幼稚園", OFFSET(納品書まとめ!$A$1,JX2+5,1)) - 2, 2),1)=IFERROR(MID(OFFSET(納品書まとめ!$A$1,JX2+6,1), SEARCH("幼稚園", OFFSET(納品書まとめ!$A$1,JX2+6,1)) - 2, 2),0),JX2+8,JX2+7),JX2+6),JX2+5),JX2+4),JX2+3),JX2+2),JX2+1)),"")</f>
        <v>34</v>
      </c>
      <c r="KI1" s="55"/>
      <c r="KJ1" s="41"/>
      <c r="KL1" t="s">
        <v>4006</v>
      </c>
      <c r="KM1" t="str">
        <f ca="1">OFFSET(納品書まとめ!$A$1,KT2-1,0)</f>
        <v>16800</v>
      </c>
      <c r="KO1" s="87" t="s">
        <v>4007</v>
      </c>
      <c r="KP1" s="86"/>
      <c r="KQ1" s="86"/>
      <c r="KR1" s="88"/>
      <c r="KS1" s="55">
        <f ca="1">IFERROR(
IF(OR(COUNTIF(OFFSET(納品書まとめ!$A$1,KI2,1),"*博多*"),COUNTIF(OFFSET(納品書まとめ!$A$1,KI2,1),"*奈良屋*")),KI2+1,
IF(IFERROR(MID(OFFSET(納品書まとめ!$A$1,KI2-1,1), SEARCH("幼稚園", OFFSET(納品書まとめ!$A$1,KI2-1,1)) - 2, 2),1)=IFERROR(MID(OFFSET(納品書まとめ!$A$1,KI2,1), SEARCH("幼稚園", OFFSET(納品書まとめ!$A$1,KI2,1)) - 2, 2),0),
IF(IFERROR(MID(OFFSET(納品書まとめ!$A$1,KI2,1), SEARCH("幼稚園", OFFSET(納品書まとめ!$A$1,KI2,1)) - 2, 2),1)=IFERROR(MID(OFFSET(納品書まとめ!$A$1,KI2+1,1), SEARCH("幼稚園", OFFSET(納品書まとめ!$A$1,KI2+1,1)) - 2, 2),0),
IF(IFERROR(MID(OFFSET(納品書まとめ!$A$1,KI2+1,1), SEARCH("幼稚園", OFFSET(納品書まとめ!$A$1,KI2+1,1)) - 2, 2),1)=IFERROR(MID(OFFSET(納品書まとめ!$A$1,KI2+2,1), SEARCH("幼稚園", OFFSET(納品書まとめ!$A$1,KI2+2,1)) - 2, 2),0),
IF(IFERROR(MID(OFFSET(納品書まとめ!$A$1,KI2+2,1), SEARCH("幼稚園", OFFSET(納品書まとめ!$A$1,KI2+2,1)) - 2, 2),1)=IFERROR(MID(OFFSET(納品書まとめ!$A$1,KI2+3,1), SEARCH("幼稚園", OFFSET(納品書まとめ!$A$1,KI2+3,KI2+3,1)) - 2, 2),0),
IF(IFERROR(MID(OFFSET(納品書まとめ!$A$1,KI2+3,1), SEARCH("幼稚園", OFFSET(納品書まとめ!$A$1,KI2+3,1)) - 2, 2),1)=IFERROR(MID(OFFSET(納品書まとめ!$A$1,KI2+4,1), SEARCH("幼稚園", OFFSET(納品書まとめ!$A$1,KI2+4,1)) - 2, 2),0),
IF(IFERROR(MID(OFFSET(納品書まとめ!$A$1,KI2+4,1), SEARCH("幼稚園", OFFSET(納品書まとめ!$A$1,KI2+4,1)) - 2, 2),1)=IFERROR(MID(OFFSET(納品書まとめ!$A$1,KI2+5,1), SEARCH("幼稚園", OFFSET(納品書まとめ!$A$1,KI2+5,1)) - 2, 2),0),
IF(IFERROR(MID(OFFSET(納品書まとめ!$A$1,KI2+5,1), SEARCH("幼稚園", OFFSET(納品書まとめ!$A$1,KI2+5,1)) - 2, 2),1)=IFERROR(MID(OFFSET(納品書まとめ!$A$1,KI2+6,1), SEARCH("幼稚園", OFFSET(納品書まとめ!$A$1,KI2+6,1)) - 2, 2),0),KI2+8,KI2+7),KI2+6),KI2+5),KI2+4),KI2+3),KI2+2),KI2+1)),"")</f>
        <v>35</v>
      </c>
      <c r="KT1" s="55"/>
      <c r="KU1" s="41"/>
      <c r="KW1" t="s">
        <v>4006</v>
      </c>
      <c r="KX1" t="str">
        <f ca="1">OFFSET(納品書まとめ!$A$1,LE2-1,0)</f>
        <v>11600</v>
      </c>
      <c r="KZ1" s="87" t="s">
        <v>4007</v>
      </c>
      <c r="LA1" s="86"/>
      <c r="LB1" s="86"/>
      <c r="LC1" s="88"/>
      <c r="LD1" s="55">
        <f ca="1">IFERROR(
IF(OR(COUNTIF(OFFSET(納品書まとめ!$A$1,KT2,1),"*博多*"),COUNTIF(OFFSET(納品書まとめ!$A$1,KT2,1),"*奈良屋*")),KT2+1,
IF(IFERROR(MID(OFFSET(納品書まとめ!$A$1,KT2-1,1), SEARCH("幼稚園", OFFSET(納品書まとめ!$A$1,KT2-1,1)) - 2, 2),1)=IFERROR(MID(OFFSET(納品書まとめ!$A$1,KT2,1), SEARCH("幼稚園", OFFSET(納品書まとめ!$A$1,KT2,1)) - 2, 2),0),
IF(IFERROR(MID(OFFSET(納品書まとめ!$A$1,KT2,1), SEARCH("幼稚園", OFFSET(納品書まとめ!$A$1,KT2,1)) - 2, 2),1)=IFERROR(MID(OFFSET(納品書まとめ!$A$1,KT2+1,1), SEARCH("幼稚園", OFFSET(納品書まとめ!$A$1,KT2+1,1)) - 2, 2),0),
IF(IFERROR(MID(OFFSET(納品書まとめ!$A$1,KT2+1,1), SEARCH("幼稚園", OFFSET(納品書まとめ!$A$1,KT2+1,1)) - 2, 2),1)=IFERROR(MID(OFFSET(納品書まとめ!$A$1,KT2+2,1), SEARCH("幼稚園", OFFSET(納品書まとめ!$A$1,KT2+2,1)) - 2, 2),0),
IF(IFERROR(MID(OFFSET(納品書まとめ!$A$1,KT2+2,1), SEARCH("幼稚園", OFFSET(納品書まとめ!$A$1,KT2+2,1)) - 2, 2),1)=IFERROR(MID(OFFSET(納品書まとめ!$A$1,KT2+3,1), SEARCH("幼稚園", OFFSET(納品書まとめ!$A$1,KT2+3,KT2+3,1)) - 2, 2),0),
IF(IFERROR(MID(OFFSET(納品書まとめ!$A$1,KT2+3,1), SEARCH("幼稚園", OFFSET(納品書まとめ!$A$1,KT2+3,1)) - 2, 2),1)=IFERROR(MID(OFFSET(納品書まとめ!$A$1,KT2+4,1), SEARCH("幼稚園", OFFSET(納品書まとめ!$A$1,KT2+4,1)) - 2, 2),0),
IF(IFERROR(MID(OFFSET(納品書まとめ!$A$1,KT2+4,1), SEARCH("幼稚園", OFFSET(納品書まとめ!$A$1,KT2+4,1)) - 2, 2),1)=IFERROR(MID(OFFSET(納品書まとめ!$A$1,KT2+5,1), SEARCH("幼稚園", OFFSET(納品書まとめ!$A$1,KT2+5,1)) - 2, 2),0),
IF(IFERROR(MID(OFFSET(納品書まとめ!$A$1,KT2+5,1), SEARCH("幼稚園", OFFSET(納品書まとめ!$A$1,KT2+5,1)) - 2, 2),1)=IFERROR(MID(OFFSET(納品書まとめ!$A$1,KT2+6,1), SEARCH("幼稚園", OFFSET(納品書まとめ!$A$1,KT2+6,1)) - 2, 2),0),KT2+8,KT2+7),KT2+6),KT2+5),KT2+4),KT2+3),KT2+2),KT2+1)),"")</f>
        <v>36</v>
      </c>
      <c r="LE1" s="55"/>
      <c r="LF1" s="41"/>
      <c r="LH1" t="s">
        <v>4006</v>
      </c>
      <c r="LI1" t="str">
        <f ca="1">OFFSET(納品書まとめ!$A$1,LP2-1,0)</f>
        <v>1600</v>
      </c>
      <c r="LK1" s="87" t="s">
        <v>4007</v>
      </c>
      <c r="LL1" s="86"/>
      <c r="LM1" s="86"/>
      <c r="LN1" s="88"/>
      <c r="LO1" s="55">
        <f ca="1">IFERROR(
IF(OR(COUNTIF(OFFSET(納品書まとめ!$A$1,LE2,1),"*博多*"),COUNTIF(OFFSET(納品書まとめ!$A$1,LE2,1),"*奈良屋*")),LE2+1,
IF(IFERROR(MID(OFFSET(納品書まとめ!$A$1,LE2-1,1), SEARCH("幼稚園", OFFSET(納品書まとめ!$A$1,LE2-1,1)) - 2, 2),1)=IFERROR(MID(OFFSET(納品書まとめ!$A$1,LE2,1), SEARCH("幼稚園", OFFSET(納品書まとめ!$A$1,LE2,1)) - 2, 2),0),
IF(IFERROR(MID(OFFSET(納品書まとめ!$A$1,LE2,1), SEARCH("幼稚園", OFFSET(納品書まとめ!$A$1,LE2,1)) - 2, 2),1)=IFERROR(MID(OFFSET(納品書まとめ!$A$1,LE2+1,1), SEARCH("幼稚園", OFFSET(納品書まとめ!$A$1,LE2+1,1)) - 2, 2),0),
IF(IFERROR(MID(OFFSET(納品書まとめ!$A$1,LE2+1,1), SEARCH("幼稚園", OFFSET(納品書まとめ!$A$1,LE2+1,1)) - 2, 2),1)=IFERROR(MID(OFFSET(納品書まとめ!$A$1,LE2+2,1), SEARCH("幼稚園", OFFSET(納品書まとめ!$A$1,LE2+2,1)) - 2, 2),0),
IF(IFERROR(MID(OFFSET(納品書まとめ!$A$1,LE2+2,1), SEARCH("幼稚園", OFFSET(納品書まとめ!$A$1,LE2+2,1)) - 2, 2),1)=IFERROR(MID(OFFSET(納品書まとめ!$A$1,LE2+3,1), SEARCH("幼稚園", OFFSET(納品書まとめ!$A$1,LE2+3,LE2+3,1)) - 2, 2),0),
IF(IFERROR(MID(OFFSET(納品書まとめ!$A$1,LE2+3,1), SEARCH("幼稚園", OFFSET(納品書まとめ!$A$1,LE2+3,1)) - 2, 2),1)=IFERROR(MID(OFFSET(納品書まとめ!$A$1,LE2+4,1), SEARCH("幼稚園", OFFSET(納品書まとめ!$A$1,LE2+4,1)) - 2, 2),0),
IF(IFERROR(MID(OFFSET(納品書まとめ!$A$1,LE2+4,1), SEARCH("幼稚園", OFFSET(納品書まとめ!$A$1,LE2+4,1)) - 2, 2),1)=IFERROR(MID(OFFSET(納品書まとめ!$A$1,LE2+5,1), SEARCH("幼稚園", OFFSET(納品書まとめ!$A$1,LE2+5,1)) - 2, 2),0),
IF(IFERROR(MID(OFFSET(納品書まとめ!$A$1,LE2+5,1), SEARCH("幼稚園", OFFSET(納品書まとめ!$A$1,LE2+5,1)) - 2, 2),1)=IFERROR(MID(OFFSET(納品書まとめ!$A$1,LE2+6,1), SEARCH("幼稚園", OFFSET(納品書まとめ!$A$1,LE2+6,1)) - 2, 2),0),LE2+8,LE2+7),LE2+6),LE2+5),LE2+4),LE2+3),LE2+2),LE2+1)),"")</f>
        <v>37</v>
      </c>
      <c r="LP1" s="55"/>
      <c r="LQ1" s="41"/>
      <c r="LS1" t="s">
        <v>4006</v>
      </c>
      <c r="LT1" t="str">
        <f ca="1">OFFSET(納品書まとめ!$A$1,MA2-1,0)</f>
        <v>1700</v>
      </c>
      <c r="LV1" s="87" t="s">
        <v>4007</v>
      </c>
      <c r="LW1" s="86"/>
      <c r="LX1" s="86"/>
      <c r="LY1" s="88"/>
      <c r="LZ1" s="55">
        <f ca="1">IFERROR(
IF(OR(COUNTIF(OFFSET(納品書まとめ!$A$1,LP2,1),"*博多*"),COUNTIF(OFFSET(納品書まとめ!$A$1,LP2,1),"*奈良屋*")),LP2+1,
IF(IFERROR(MID(OFFSET(納品書まとめ!$A$1,LP2-1,1), SEARCH("幼稚園", OFFSET(納品書まとめ!$A$1,LP2-1,1)) - 2, 2),1)=IFERROR(MID(OFFSET(納品書まとめ!$A$1,LP2,1), SEARCH("幼稚園", OFFSET(納品書まとめ!$A$1,LP2,1)) - 2, 2),0),
IF(IFERROR(MID(OFFSET(納品書まとめ!$A$1,LP2,1), SEARCH("幼稚園", OFFSET(納品書まとめ!$A$1,LP2,1)) - 2, 2),1)=IFERROR(MID(OFFSET(納品書まとめ!$A$1,LP2+1,1), SEARCH("幼稚園", OFFSET(納品書まとめ!$A$1,LP2+1,1)) - 2, 2),0),
IF(IFERROR(MID(OFFSET(納品書まとめ!$A$1,LP2+1,1), SEARCH("幼稚園", OFFSET(納品書まとめ!$A$1,LP2+1,1)) - 2, 2),1)=IFERROR(MID(OFFSET(納品書まとめ!$A$1,LP2+2,1), SEARCH("幼稚園", OFFSET(納品書まとめ!$A$1,LP2+2,1)) - 2, 2),0),
IF(IFERROR(MID(OFFSET(納品書まとめ!$A$1,LP2+2,1), SEARCH("幼稚園", OFFSET(納品書まとめ!$A$1,LP2+2,1)) - 2, 2),1)=IFERROR(MID(OFFSET(納品書まとめ!$A$1,LP2+3,1), SEARCH("幼稚園", OFFSET(納品書まとめ!$A$1,LP2+3,LP2+3,1)) - 2, 2),0),
IF(IFERROR(MID(OFFSET(納品書まとめ!$A$1,LP2+3,1), SEARCH("幼稚園", OFFSET(納品書まとめ!$A$1,LP2+3,1)) - 2, 2),1)=IFERROR(MID(OFFSET(納品書まとめ!$A$1,LP2+4,1), SEARCH("幼稚園", OFFSET(納品書まとめ!$A$1,LP2+4,1)) - 2, 2),0),
IF(IFERROR(MID(OFFSET(納品書まとめ!$A$1,LP2+4,1), SEARCH("幼稚園", OFFSET(納品書まとめ!$A$1,LP2+4,1)) - 2, 2),1)=IFERROR(MID(OFFSET(納品書まとめ!$A$1,LP2+5,1), SEARCH("幼稚園", OFFSET(納品書まとめ!$A$1,LP2+5,1)) - 2, 2),0),
IF(IFERROR(MID(OFFSET(納品書まとめ!$A$1,LP2+5,1), SEARCH("幼稚園", OFFSET(納品書まとめ!$A$1,LP2+5,1)) - 2, 2),1)=IFERROR(MID(OFFSET(納品書まとめ!$A$1,LP2+6,1), SEARCH("幼稚園", OFFSET(納品書まとめ!$A$1,LP2+6,1)) - 2, 2),0),LP2+8,LP2+7),LP2+6),LP2+5),LP2+4),LP2+3),LP2+2),LP2+1)),"")</f>
        <v>38</v>
      </c>
      <c r="MA1" s="55"/>
      <c r="MB1" s="41"/>
      <c r="MD1" t="s">
        <v>4006</v>
      </c>
      <c r="ME1" t="str">
        <f ca="1">OFFSET(納品書まとめ!$A$1,ML2-1,0)</f>
        <v>1800</v>
      </c>
      <c r="MG1" s="87" t="s">
        <v>4007</v>
      </c>
      <c r="MH1" s="86"/>
      <c r="MI1" s="86"/>
      <c r="MJ1" s="88"/>
      <c r="MK1" s="55">
        <f ca="1">IFERROR(
IF(OR(COUNTIF(OFFSET(納品書まとめ!$A$1,MA2,1),"*博多*"),COUNTIF(OFFSET(納品書まとめ!$A$1,MA2,1),"*奈良屋*")),MA2+1,
IF(IFERROR(MID(OFFSET(納品書まとめ!$A$1,MA2-1,1), SEARCH("幼稚園", OFFSET(納品書まとめ!$A$1,MA2-1,1)) - 2, 2),1)=IFERROR(MID(OFFSET(納品書まとめ!$A$1,MA2,1), SEARCH("幼稚園", OFFSET(納品書まとめ!$A$1,MA2,1)) - 2, 2),0),
IF(IFERROR(MID(OFFSET(納品書まとめ!$A$1,MA2,1), SEARCH("幼稚園", OFFSET(納品書まとめ!$A$1,MA2,1)) - 2, 2),1)=IFERROR(MID(OFFSET(納品書まとめ!$A$1,MA2+1,1), SEARCH("幼稚園", OFFSET(納品書まとめ!$A$1,MA2+1,1)) - 2, 2),0),
IF(IFERROR(MID(OFFSET(納品書まとめ!$A$1,MA2+1,1), SEARCH("幼稚園", OFFSET(納品書まとめ!$A$1,MA2+1,1)) - 2, 2),1)=IFERROR(MID(OFFSET(納品書まとめ!$A$1,MA2+2,1), SEARCH("幼稚園", OFFSET(納品書まとめ!$A$1,MA2+2,1)) - 2, 2),0),
IF(IFERROR(MID(OFFSET(納品書まとめ!$A$1,MA2+2,1), SEARCH("幼稚園", OFFSET(納品書まとめ!$A$1,MA2+2,1)) - 2, 2),1)=IFERROR(MID(OFFSET(納品書まとめ!$A$1,MA2+3,1), SEARCH("幼稚園", OFFSET(納品書まとめ!$A$1,MA2+3,MA2+3,1)) - 2, 2),0),
IF(IFERROR(MID(OFFSET(納品書まとめ!$A$1,MA2+3,1), SEARCH("幼稚園", OFFSET(納品書まとめ!$A$1,MA2+3,1)) - 2, 2),1)=IFERROR(MID(OFFSET(納品書まとめ!$A$1,MA2+4,1), SEARCH("幼稚園", OFFSET(納品書まとめ!$A$1,MA2+4,1)) - 2, 2),0),
IF(IFERROR(MID(OFFSET(納品書まとめ!$A$1,MA2+4,1), SEARCH("幼稚園", OFFSET(納品書まとめ!$A$1,MA2+4,1)) - 2, 2),1)=IFERROR(MID(OFFSET(納品書まとめ!$A$1,MA2+5,1), SEARCH("幼稚園", OFFSET(納品書まとめ!$A$1,MA2+5,1)) - 2, 2),0),
IF(IFERROR(MID(OFFSET(納品書まとめ!$A$1,MA2+5,1), SEARCH("幼稚園", OFFSET(納品書まとめ!$A$1,MA2+5,1)) - 2, 2),1)=IFERROR(MID(OFFSET(納品書まとめ!$A$1,MA2+6,1), SEARCH("幼稚園", OFFSET(納品書まとめ!$A$1,MA2+6,1)) - 2, 2),0),MA2+8,MA2+7),MA2+6),MA2+5),MA2+4),MA2+3),MA2+2),MA2+1)),"")</f>
        <v>39</v>
      </c>
      <c r="ML1" s="55"/>
      <c r="MM1" s="41"/>
      <c r="MO1" t="s">
        <v>4006</v>
      </c>
      <c r="MP1" t="str">
        <f ca="1">OFFSET(納品書まとめ!$A$1,MW2-1,0)</f>
        <v>7800</v>
      </c>
      <c r="MR1" s="87" t="s">
        <v>4007</v>
      </c>
      <c r="MS1" s="86"/>
      <c r="MT1" s="86"/>
      <c r="MU1" s="88"/>
      <c r="MV1" s="55">
        <f ca="1">IFERROR(
IF(OR(COUNTIF(OFFSET(納品書まとめ!$A$1,ML2,1),"*博多*"),COUNTIF(OFFSET(納品書まとめ!$A$1,ML2,1),"*奈良屋*")),ML2+1,
IF(IFERROR(MID(OFFSET(納品書まとめ!$A$1,ML2-1,1), SEARCH("幼稚園", OFFSET(納品書まとめ!$A$1,ML2-1,1)) - 2, 2),1)=IFERROR(MID(OFFSET(納品書まとめ!$A$1,ML2,1), SEARCH("幼稚園", OFFSET(納品書まとめ!$A$1,ML2,1)) - 2, 2),0),
IF(IFERROR(MID(OFFSET(納品書まとめ!$A$1,ML2,1), SEARCH("幼稚園", OFFSET(納品書まとめ!$A$1,ML2,1)) - 2, 2),1)=IFERROR(MID(OFFSET(納品書まとめ!$A$1,ML2+1,1), SEARCH("幼稚園", OFFSET(納品書まとめ!$A$1,ML2+1,1)) - 2, 2),0),
IF(IFERROR(MID(OFFSET(納品書まとめ!$A$1,ML2+1,1), SEARCH("幼稚園", OFFSET(納品書まとめ!$A$1,ML2+1,1)) - 2, 2),1)=IFERROR(MID(OFFSET(納品書まとめ!$A$1,ML2+2,1), SEARCH("幼稚園", OFFSET(納品書まとめ!$A$1,ML2+2,1)) - 2, 2),0),
IF(IFERROR(MID(OFFSET(納品書まとめ!$A$1,ML2+2,1), SEARCH("幼稚園", OFFSET(納品書まとめ!$A$1,ML2+2,1)) - 2, 2),1)=IFERROR(MID(OFFSET(納品書まとめ!$A$1,ML2+3,1), SEARCH("幼稚園", OFFSET(納品書まとめ!$A$1,ML2+3,ML2+3,1)) - 2, 2),0),
IF(IFERROR(MID(OFFSET(納品書まとめ!$A$1,ML2+3,1), SEARCH("幼稚園", OFFSET(納品書まとめ!$A$1,ML2+3,1)) - 2, 2),1)=IFERROR(MID(OFFSET(納品書まとめ!$A$1,ML2+4,1), SEARCH("幼稚園", OFFSET(納品書まとめ!$A$1,ML2+4,1)) - 2, 2),0),
IF(IFERROR(MID(OFFSET(納品書まとめ!$A$1,ML2+4,1), SEARCH("幼稚園", OFFSET(納品書まとめ!$A$1,ML2+4,1)) - 2, 2),1)=IFERROR(MID(OFFSET(納品書まとめ!$A$1,ML2+5,1), SEARCH("幼稚園", OFFSET(納品書まとめ!$A$1,ML2+5,1)) - 2, 2),0),
IF(IFERROR(MID(OFFSET(納品書まとめ!$A$1,ML2+5,1), SEARCH("幼稚園", OFFSET(納品書まとめ!$A$1,ML2+5,1)) - 2, 2),1)=IFERROR(MID(OFFSET(納品書まとめ!$A$1,ML2+6,1), SEARCH("幼稚園", OFFSET(納品書まとめ!$A$1,ML2+6,1)) - 2, 2),0),ML2+8,ML2+7),ML2+6),ML2+5),ML2+4),ML2+3),ML2+2),ML2+1)),"")</f>
        <v>40</v>
      </c>
      <c r="MW1" s="55"/>
      <c r="MX1" s="41"/>
      <c r="MZ1" t="s">
        <v>4006</v>
      </c>
      <c r="NA1" t="str">
        <f ca="1">OFFSET(納品書まとめ!$A$1,NH2-1,0)</f>
        <v>12900</v>
      </c>
      <c r="NC1" s="87" t="s">
        <v>4007</v>
      </c>
      <c r="ND1" s="86"/>
      <c r="NE1" s="86"/>
      <c r="NF1" s="88"/>
      <c r="NG1" s="55">
        <f ca="1">IFERROR(
IF(OR(COUNTIF(OFFSET(納品書まとめ!$A$1,MW2,1),"*博多*"),COUNTIF(OFFSET(納品書まとめ!$A$1,MW2,1),"*奈良屋*")),MW2+1,
IF(IFERROR(MID(OFFSET(納品書まとめ!$A$1,MW2-1,1), SEARCH("幼稚園", OFFSET(納品書まとめ!$A$1,MW2-1,1)) - 2, 2),1)=IFERROR(MID(OFFSET(納品書まとめ!$A$1,MW2,1), SEARCH("幼稚園", OFFSET(納品書まとめ!$A$1,MW2,1)) - 2, 2),0),
IF(IFERROR(MID(OFFSET(納品書まとめ!$A$1,MW2,1), SEARCH("幼稚園", OFFSET(納品書まとめ!$A$1,MW2,1)) - 2, 2),1)=IFERROR(MID(OFFSET(納品書まとめ!$A$1,MW2+1,1), SEARCH("幼稚園", OFFSET(納品書まとめ!$A$1,MW2+1,1)) - 2, 2),0),
IF(IFERROR(MID(OFFSET(納品書まとめ!$A$1,MW2+1,1), SEARCH("幼稚園", OFFSET(納品書まとめ!$A$1,MW2+1,1)) - 2, 2),1)=IFERROR(MID(OFFSET(納品書まとめ!$A$1,MW2+2,1), SEARCH("幼稚園", OFFSET(納品書まとめ!$A$1,MW2+2,1)) - 2, 2),0),
IF(IFERROR(MID(OFFSET(納品書まとめ!$A$1,MW2+2,1), SEARCH("幼稚園", OFFSET(納品書まとめ!$A$1,MW2+2,1)) - 2, 2),1)=IFERROR(MID(OFFSET(納品書まとめ!$A$1,MW2+3,1), SEARCH("幼稚園", OFFSET(納品書まとめ!$A$1,MW2+3,MW2+3,1)) - 2, 2),0),
IF(IFERROR(MID(OFFSET(納品書まとめ!$A$1,MW2+3,1), SEARCH("幼稚園", OFFSET(納品書まとめ!$A$1,MW2+3,1)) - 2, 2),1)=IFERROR(MID(OFFSET(納品書まとめ!$A$1,MW2+4,1), SEARCH("幼稚園", OFFSET(納品書まとめ!$A$1,MW2+4,1)) - 2, 2),0),
IF(IFERROR(MID(OFFSET(納品書まとめ!$A$1,MW2+4,1), SEARCH("幼稚園", OFFSET(納品書まとめ!$A$1,MW2+4,1)) - 2, 2),1)=IFERROR(MID(OFFSET(納品書まとめ!$A$1,MW2+5,1), SEARCH("幼稚園", OFFSET(納品書まとめ!$A$1,MW2+5,1)) - 2, 2),0),
IF(IFERROR(MID(OFFSET(納品書まとめ!$A$1,MW2+5,1), SEARCH("幼稚園", OFFSET(納品書まとめ!$A$1,MW2+5,1)) - 2, 2),1)=IFERROR(MID(OFFSET(納品書まとめ!$A$1,MW2+6,1), SEARCH("幼稚園", OFFSET(納品書まとめ!$A$1,MW2+6,1)) - 2, 2),0),MW2+8,MW2+7),MW2+6),MW2+5),MW2+4),MW2+3),MW2+2),MW2+1)),"")</f>
        <v>41</v>
      </c>
      <c r="NH1" s="55"/>
      <c r="NI1" s="41"/>
      <c r="NK1" t="s">
        <v>4006</v>
      </c>
      <c r="NL1" t="str">
        <f ca="1">OFFSET(納品書まとめ!$A$1,NS2-1,0)</f>
        <v>12910</v>
      </c>
      <c r="NN1" s="82" t="s">
        <v>4007</v>
      </c>
      <c r="NO1" s="83"/>
      <c r="NP1" s="83"/>
      <c r="NQ1" s="84"/>
      <c r="NR1" s="55">
        <f ca="1">IFERROR(
IF(OR(COUNTIF(OFFSET(納品書まとめ!$A$1,NH2,1),"*博多*"),COUNTIF(OFFSET(納品書まとめ!$A$1,NH2,1),"*奈良屋*")),NH2+1,
IF(IFERROR(MID(OFFSET(納品書まとめ!$A$1,NH2-1,1), SEARCH("幼稚園", OFFSET(納品書まとめ!$A$1,NH2-1,1)) - 2, 2),1)=IFERROR(MID(OFFSET(納品書まとめ!$A$1,NH2,1), SEARCH("幼稚園", OFFSET(納品書まとめ!$A$1,NH2,1)) - 2, 2),0),
IF(IFERROR(MID(OFFSET(納品書まとめ!$A$1,NH2,1), SEARCH("幼稚園", OFFSET(納品書まとめ!$A$1,NH2,1)) - 2, 2),1)=IFERROR(MID(OFFSET(納品書まとめ!$A$1,NH2+1,1), SEARCH("幼稚園", OFFSET(納品書まとめ!$A$1,NH2+1,1)) - 2, 2),0),
IF(IFERROR(MID(OFFSET(納品書まとめ!$A$1,NH2+1,1), SEARCH("幼稚園", OFFSET(納品書まとめ!$A$1,NH2+1,1)) - 2, 2),1)=IFERROR(MID(OFFSET(納品書まとめ!$A$1,NH2+2,1), SEARCH("幼稚園", OFFSET(納品書まとめ!$A$1,NH2+2,1)) - 2, 2),0),
IF(IFERROR(MID(OFFSET(納品書まとめ!$A$1,NH2+2,1), SEARCH("幼稚園", OFFSET(納品書まとめ!$A$1,NH2+2,1)) - 2, 2),1)=IFERROR(MID(OFFSET(納品書まとめ!$A$1,NH2+3,1), SEARCH("幼稚園", OFFSET(納品書まとめ!$A$1,NH2+3,NH2+3,1)) - 2, 2),0),
IF(IFERROR(MID(OFFSET(納品書まとめ!$A$1,NH2+3,1), SEARCH("幼稚園", OFFSET(納品書まとめ!$A$1,NH2+3,1)) - 2, 2),1)=IFERROR(MID(OFFSET(納品書まとめ!$A$1,NH2+4,1), SEARCH("幼稚園", OFFSET(納品書まとめ!$A$1,NH2+4,1)) - 2, 2),0),
IF(IFERROR(MID(OFFSET(納品書まとめ!$A$1,NH2+4,1), SEARCH("幼稚園", OFFSET(納品書まとめ!$A$1,NH2+4,1)) - 2, 2),1)=IFERROR(MID(OFFSET(納品書まとめ!$A$1,NH2+5,1), SEARCH("幼稚園", OFFSET(納品書まとめ!$A$1,NH2+5,1)) - 2, 2),0),
IF(IFERROR(MID(OFFSET(納品書まとめ!$A$1,NH2+5,1), SEARCH("幼稚園", OFFSET(納品書まとめ!$A$1,NH2+5,1)) - 2, 2),1)=IFERROR(MID(OFFSET(納品書まとめ!$A$1,NH2+6,1), SEARCH("幼稚園", OFFSET(納品書まとめ!$A$1,NH2+6,1)) - 2, 2),0),NH2+8,NH2+7),NH2+6),NH2+5),NH2+4),NH2+3),NH2+2),NH2+1)),"")</f>
        <v>42</v>
      </c>
      <c r="NS1" s="55"/>
      <c r="NT1" s="41"/>
      <c r="NV1" t="s">
        <v>4006</v>
      </c>
      <c r="NW1" t="str">
        <f ca="1">OFFSET(納品書まとめ!$A$1,OD2-1,0)</f>
        <v>19900</v>
      </c>
      <c r="NY1" s="87" t="s">
        <v>4007</v>
      </c>
      <c r="NZ1" s="86"/>
      <c r="OA1" s="86"/>
      <c r="OB1" s="88"/>
      <c r="OC1" s="55">
        <f ca="1">IFERROR(
IF(OR(COUNTIF(OFFSET(納品書まとめ!$A$1,NS2,1),"*博多*"),COUNTIF(OFFSET(納品書まとめ!$A$1,NS2,1),"*奈良屋*")),NS2+1,
IF(IFERROR(MID(OFFSET(納品書まとめ!$A$1,NS2-1,1), SEARCH("幼稚園", OFFSET(納品書まとめ!$A$1,NS2-1,1)) - 2, 2),1)=IFERROR(MID(OFFSET(納品書まとめ!$A$1,NS2,1), SEARCH("幼稚園", OFFSET(納品書まとめ!$A$1,NS2,1)) - 2, 2),0),
IF(IFERROR(MID(OFFSET(納品書まとめ!$A$1,NS2,1), SEARCH("幼稚園", OFFSET(納品書まとめ!$A$1,NS2,1)) - 2, 2),1)=IFERROR(MID(OFFSET(納品書まとめ!$A$1,NS2+1,1), SEARCH("幼稚園", OFFSET(納品書まとめ!$A$1,NS2+1,1)) - 2, 2),0),
IF(IFERROR(MID(OFFSET(納品書まとめ!$A$1,NS2+1,1), SEARCH("幼稚園", OFFSET(納品書まとめ!$A$1,NS2+1,1)) - 2, 2),1)=IFERROR(MID(OFFSET(納品書まとめ!$A$1,NS2+2,1), SEARCH("幼稚園", OFFSET(納品書まとめ!$A$1,NS2+2,1)) - 2, 2),0),
IF(IFERROR(MID(OFFSET(納品書まとめ!$A$1,NS2+2,1), SEARCH("幼稚園", OFFSET(納品書まとめ!$A$1,NS2+2,1)) - 2, 2),1)=IFERROR(MID(OFFSET(納品書まとめ!$A$1,NS2+3,1), SEARCH("幼稚園", OFFSET(納品書まとめ!$A$1,NS2+3,NS2+3,1)) - 2, 2),0),
IF(IFERROR(MID(OFFSET(納品書まとめ!$A$1,NS2+3,1), SEARCH("幼稚園", OFFSET(納品書まとめ!$A$1,NS2+3,1)) - 2, 2),1)=IFERROR(MID(OFFSET(納品書まとめ!$A$1,NS2+4,1), SEARCH("幼稚園", OFFSET(納品書まとめ!$A$1,NS2+4,1)) - 2, 2),0),
IF(IFERROR(MID(OFFSET(納品書まとめ!$A$1,NS2+4,1), SEARCH("幼稚園", OFFSET(納品書まとめ!$A$1,NS2+4,1)) - 2, 2),1)=IFERROR(MID(OFFSET(納品書まとめ!$A$1,NS2+5,1), SEARCH("幼稚園", OFFSET(納品書まとめ!$A$1,NS2+5,1)) - 2, 2),0),
IF(IFERROR(MID(OFFSET(納品書まとめ!$A$1,NS2+5,1), SEARCH("幼稚園", OFFSET(納品書まとめ!$A$1,NS2+5,1)) - 2, 2),1)=IFERROR(MID(OFFSET(納品書まとめ!$A$1,NS2+6,1), SEARCH("幼稚園", OFFSET(納品書まとめ!$A$1,NS2+6,1)) - 2, 2),0),NS2+8,NS2+7),NS2+6),NS2+5),NS2+4),NS2+3),NS2+2),NS2+1)),"")</f>
        <v>43</v>
      </c>
      <c r="OD1" s="55"/>
      <c r="OE1" s="41"/>
      <c r="OG1" t="s">
        <v>4006</v>
      </c>
      <c r="OH1" t="str">
        <f ca="1">OFFSET(納品書まとめ!$A$1,OO2-1,0)</f>
        <v>8100</v>
      </c>
      <c r="OJ1" s="87" t="s">
        <v>4007</v>
      </c>
      <c r="OK1" s="86"/>
      <c r="OL1" s="86"/>
      <c r="OM1" s="88"/>
      <c r="ON1" s="55">
        <f ca="1">IFERROR(
IF(OR(COUNTIF(OFFSET(納品書まとめ!$A$1,OD2,1),"*博多*"),COUNTIF(OFFSET(納品書まとめ!$A$1,OD2,1),"*奈良屋*")),OD2+1,
IF(IFERROR(MID(OFFSET(納品書まとめ!$A$1,OD2-1,1), SEARCH("幼稚園", OFFSET(納品書まとめ!$A$1,OD2-1,1)) - 2, 2),1)=IFERROR(MID(OFFSET(納品書まとめ!$A$1,OD2,1), SEARCH("幼稚園", OFFSET(納品書まとめ!$A$1,OD2,1)) - 2, 2),0),
IF(IFERROR(MID(OFFSET(納品書まとめ!$A$1,OD2,1), SEARCH("幼稚園", OFFSET(納品書まとめ!$A$1,OD2,1)) - 2, 2),1)=IFERROR(MID(OFFSET(納品書まとめ!$A$1,OD2+1,1), SEARCH("幼稚園", OFFSET(納品書まとめ!$A$1,OD2+1,1)) - 2, 2),0),
IF(IFERROR(MID(OFFSET(納品書まとめ!$A$1,OD2+1,1), SEARCH("幼稚園", OFFSET(納品書まとめ!$A$1,OD2+1,1)) - 2, 2),1)=IFERROR(MID(OFFSET(納品書まとめ!$A$1,OD2+2,1), SEARCH("幼稚園", OFFSET(納品書まとめ!$A$1,OD2+2,1)) - 2, 2),0),
IF(IFERROR(MID(OFFSET(納品書まとめ!$A$1,OD2+2,1), SEARCH("幼稚園", OFFSET(納品書まとめ!$A$1,OD2+2,1)) - 2, 2),1)=IFERROR(MID(OFFSET(納品書まとめ!$A$1,OD2+3,1), SEARCH("幼稚園", OFFSET(納品書まとめ!$A$1,OD2+3,OD2+3,1)) - 2, 2),0),
IF(IFERROR(MID(OFFSET(納品書まとめ!$A$1,OD2+3,1), SEARCH("幼稚園", OFFSET(納品書まとめ!$A$1,OD2+3,1)) - 2, 2),1)=IFERROR(MID(OFFSET(納品書まとめ!$A$1,OD2+4,1), SEARCH("幼稚園", OFFSET(納品書まとめ!$A$1,OD2+4,1)) - 2, 2),0),
IF(IFERROR(MID(OFFSET(納品書まとめ!$A$1,OD2+4,1), SEARCH("幼稚園", OFFSET(納品書まとめ!$A$1,OD2+4,1)) - 2, 2),1)=IFERROR(MID(OFFSET(納品書まとめ!$A$1,OD2+5,1), SEARCH("幼稚園", OFFSET(納品書まとめ!$A$1,OD2+5,1)) - 2, 2),0),
IF(IFERROR(MID(OFFSET(納品書まとめ!$A$1,OD2+5,1), SEARCH("幼稚園", OFFSET(納品書まとめ!$A$1,OD2+5,1)) - 2, 2),1)=IFERROR(MID(OFFSET(納品書まとめ!$A$1,OD2+6,1), SEARCH("幼稚園", OFFSET(納品書まとめ!$A$1,OD2+6,1)) - 2, 2),0),OD2+8,OD2+7),OD2+6),OD2+5),OD2+4),OD2+3),OD2+2),OD2+1)),"")</f>
        <v>44</v>
      </c>
      <c r="OO1" s="55"/>
      <c r="OP1" s="41"/>
      <c r="OR1" t="s">
        <v>4006</v>
      </c>
      <c r="OS1" t="str">
        <f ca="1">OFFSET(納品書まとめ!$A$1,OZ2-1,0)</f>
        <v>18900</v>
      </c>
      <c r="OU1" s="87" t="s">
        <v>4007</v>
      </c>
      <c r="OV1" s="86"/>
      <c r="OW1" s="86"/>
      <c r="OX1" s="88"/>
      <c r="OY1" s="55">
        <f ca="1">IFERROR(
IF(OR(COUNTIF(OFFSET(納品書まとめ!$A$1,OO2,1),"*博多*"),COUNTIF(OFFSET(納品書まとめ!$A$1,OO2,1),"*奈良屋*")),OO2+1,
IF(IFERROR(MID(OFFSET(納品書まとめ!$A$1,OO2-1,1), SEARCH("幼稚園", OFFSET(納品書まとめ!$A$1,OO2-1,1)) - 2, 2),1)=IFERROR(MID(OFFSET(納品書まとめ!$A$1,OO2,1), SEARCH("幼稚園", OFFSET(納品書まとめ!$A$1,OO2,1)) - 2, 2),0),
IF(IFERROR(MID(OFFSET(納品書まとめ!$A$1,OO2,1), SEARCH("幼稚園", OFFSET(納品書まとめ!$A$1,OO2,1)) - 2, 2),1)=IFERROR(MID(OFFSET(納品書まとめ!$A$1,OO2+1,1), SEARCH("幼稚園", OFFSET(納品書まとめ!$A$1,OO2+1,1)) - 2, 2),0),
IF(IFERROR(MID(OFFSET(納品書まとめ!$A$1,OO2+1,1), SEARCH("幼稚園", OFFSET(納品書まとめ!$A$1,OO2+1,1)) - 2, 2),1)=IFERROR(MID(OFFSET(納品書まとめ!$A$1,OO2+2,1), SEARCH("幼稚園", OFFSET(納品書まとめ!$A$1,OO2+2,1)) - 2, 2),0),
IF(IFERROR(MID(OFFSET(納品書まとめ!$A$1,OO2+2,1), SEARCH("幼稚園", OFFSET(納品書まとめ!$A$1,OO2+2,1)) - 2, 2),1)=IFERROR(MID(OFFSET(納品書まとめ!$A$1,OO2+3,1), SEARCH("幼稚園", OFFSET(納品書まとめ!$A$1,OO2+3,OO2+3,1)) - 2, 2),0),
IF(IFERROR(MID(OFFSET(納品書まとめ!$A$1,OO2+3,1), SEARCH("幼稚園", OFFSET(納品書まとめ!$A$1,OO2+3,1)) - 2, 2),1)=IFERROR(MID(OFFSET(納品書まとめ!$A$1,OO2+4,1), SEARCH("幼稚園", OFFSET(納品書まとめ!$A$1,OO2+4,1)) - 2, 2),0),
IF(IFERROR(MID(OFFSET(納品書まとめ!$A$1,OO2+4,1), SEARCH("幼稚園", OFFSET(納品書まとめ!$A$1,OO2+4,1)) - 2, 2),1)=IFERROR(MID(OFFSET(納品書まとめ!$A$1,OO2+5,1), SEARCH("幼稚園", OFFSET(納品書まとめ!$A$1,OO2+5,1)) - 2, 2),0),
IF(IFERROR(MID(OFFSET(納品書まとめ!$A$1,OO2+5,1), SEARCH("幼稚園", OFFSET(納品書まとめ!$A$1,OO2+5,1)) - 2, 2),1)=IFERROR(MID(OFFSET(納品書まとめ!$A$1,OO2+6,1), SEARCH("幼稚園", OFFSET(納品書まとめ!$A$1,OO2+6,1)) - 2, 2),0),OO2+8,OO2+7),OO2+6),OO2+5),OO2+4),OO2+3),OO2+2),OO2+1)),"")</f>
        <v>46</v>
      </c>
      <c r="OZ1" s="55"/>
      <c r="PA1" s="41"/>
      <c r="PC1" t="s">
        <v>4006</v>
      </c>
      <c r="PD1" t="str">
        <f ca="1">OFFSET(納品書まとめ!$A$1,PK2-1,0)</f>
        <v>14700</v>
      </c>
      <c r="PF1" s="87" t="s">
        <v>4007</v>
      </c>
      <c r="PG1" s="86"/>
      <c r="PH1" s="86"/>
      <c r="PI1" s="88"/>
      <c r="PJ1" s="55">
        <f ca="1">IFERROR(
IF(OR(COUNTIF(OFFSET(納品書まとめ!$A$1,OZ2,1),"*博多*"),COUNTIF(OFFSET(納品書まとめ!$A$1,OZ2,1),"*奈良屋*")),OZ2+1,
IF(IFERROR(MID(OFFSET(納品書まとめ!$A$1,OZ2-1,1), SEARCH("幼稚園", OFFSET(納品書まとめ!$A$1,OZ2-1,1)) - 2, 2),1)=IFERROR(MID(OFFSET(納品書まとめ!$A$1,OZ2,1), SEARCH("幼稚園", OFFSET(納品書まとめ!$A$1,OZ2,1)) - 2, 2),0),
IF(IFERROR(MID(OFFSET(納品書まとめ!$A$1,OZ2,1), SEARCH("幼稚園", OFFSET(納品書まとめ!$A$1,OZ2,1)) - 2, 2),1)=IFERROR(MID(OFFSET(納品書まとめ!$A$1,OZ2+1,1), SEARCH("幼稚園", OFFSET(納品書まとめ!$A$1,OZ2+1,1)) - 2, 2),0),
IF(IFERROR(MID(OFFSET(納品書まとめ!$A$1,OZ2+1,1), SEARCH("幼稚園", OFFSET(納品書まとめ!$A$1,OZ2+1,1)) - 2, 2),1)=IFERROR(MID(OFFSET(納品書まとめ!$A$1,OZ2+2,1), SEARCH("幼稚園", OFFSET(納品書まとめ!$A$1,OZ2+2,1)) - 2, 2),0),
IF(IFERROR(MID(OFFSET(納品書まとめ!$A$1,OZ2+2,1), SEARCH("幼稚園", OFFSET(納品書まとめ!$A$1,OZ2+2,1)) - 2, 2),1)=IFERROR(MID(OFFSET(納品書まとめ!$A$1,OZ2+3,1), SEARCH("幼稚園", OFFSET(納品書まとめ!$A$1,OZ2+3,OZ2+3,1)) - 2, 2),0),
IF(IFERROR(MID(OFFSET(納品書まとめ!$A$1,OZ2+3,1), SEARCH("幼稚園", OFFSET(納品書まとめ!$A$1,OZ2+3,1)) - 2, 2),1)=IFERROR(MID(OFFSET(納品書まとめ!$A$1,OZ2+4,1), SEARCH("幼稚園", OFFSET(納品書まとめ!$A$1,OZ2+4,1)) - 2, 2),0),
IF(IFERROR(MID(OFFSET(納品書まとめ!$A$1,OZ2+4,1), SEARCH("幼稚園", OFFSET(納品書まとめ!$A$1,OZ2+4,1)) - 2, 2),1)=IFERROR(MID(OFFSET(納品書まとめ!$A$1,OZ2+5,1), SEARCH("幼稚園", OFFSET(納品書まとめ!$A$1,OZ2+5,1)) - 2, 2),0),
IF(IFERROR(MID(OFFSET(納品書まとめ!$A$1,OZ2+5,1), SEARCH("幼稚園", OFFSET(納品書まとめ!$A$1,OZ2+5,1)) - 2, 2),1)=IFERROR(MID(OFFSET(納品書まとめ!$A$1,OZ2+6,1), SEARCH("幼稚園", OFFSET(納品書まとめ!$A$1,OZ2+6,1)) - 2, 2),0),OZ2+8,OZ2+7),OZ2+6),OZ2+5),OZ2+4),OZ2+3),OZ2+2),OZ2+1)),"")</f>
        <v>48</v>
      </c>
      <c r="PK1" s="55"/>
      <c r="PL1" s="41"/>
      <c r="PN1" t="s">
        <v>4006</v>
      </c>
      <c r="PO1" t="str">
        <f ca="1">OFFSET(納品書まとめ!$A$1,PV2-1,0)</f>
        <v>19100</v>
      </c>
      <c r="PQ1" s="87" t="s">
        <v>4007</v>
      </c>
      <c r="PR1" s="86"/>
      <c r="PS1" s="86"/>
      <c r="PT1" s="88"/>
      <c r="PU1" s="55">
        <f ca="1">IFERROR(
IF(OR(COUNTIF(OFFSET(納品書まとめ!$A$1,PK2,1),"*博多*"),COUNTIF(OFFSET(納品書まとめ!$A$1,PK2,1),"*奈良屋*")),PK2+1,
IF(IFERROR(MID(OFFSET(納品書まとめ!$A$1,PK2-1,1), SEARCH("幼稚園", OFFSET(納品書まとめ!$A$1,PK2-1,1)) - 2, 2),1)=IFERROR(MID(OFFSET(納品書まとめ!$A$1,PK2,1), SEARCH("幼稚園", OFFSET(納品書まとめ!$A$1,PK2,1)) - 2, 2),0),
IF(IFERROR(MID(OFFSET(納品書まとめ!$A$1,PK2,1), SEARCH("幼稚園", OFFSET(納品書まとめ!$A$1,PK2,1)) - 2, 2),1)=IFERROR(MID(OFFSET(納品書まとめ!$A$1,PK2+1,1), SEARCH("幼稚園", OFFSET(納品書まとめ!$A$1,PK2+1,1)) - 2, 2),0),
IF(IFERROR(MID(OFFSET(納品書まとめ!$A$1,PK2+1,1), SEARCH("幼稚園", OFFSET(納品書まとめ!$A$1,PK2+1,1)) - 2, 2),1)=IFERROR(MID(OFFSET(納品書まとめ!$A$1,PK2+2,1), SEARCH("幼稚園", OFFSET(納品書まとめ!$A$1,PK2+2,1)) - 2, 2),0),
IF(IFERROR(MID(OFFSET(納品書まとめ!$A$1,PK2+2,1), SEARCH("幼稚園", OFFSET(納品書まとめ!$A$1,PK2+2,1)) - 2, 2),1)=IFERROR(MID(OFFSET(納品書まとめ!$A$1,PK2+3,1), SEARCH("幼稚園", OFFSET(納品書まとめ!$A$1,PK2+3,PK2+3,1)) - 2, 2),0),
IF(IFERROR(MID(OFFSET(納品書まとめ!$A$1,PK2+3,1), SEARCH("幼稚園", OFFSET(納品書まとめ!$A$1,PK2+3,1)) - 2, 2),1)=IFERROR(MID(OFFSET(納品書まとめ!$A$1,PK2+4,1), SEARCH("幼稚園", OFFSET(納品書まとめ!$A$1,PK2+4,1)) - 2, 2),0),
IF(IFERROR(MID(OFFSET(納品書まとめ!$A$1,PK2+4,1), SEARCH("幼稚園", OFFSET(納品書まとめ!$A$1,PK2+4,1)) - 2, 2),1)=IFERROR(MID(OFFSET(納品書まとめ!$A$1,PK2+5,1), SEARCH("幼稚園", OFFSET(納品書まとめ!$A$1,PK2+5,1)) - 2, 2),0),
IF(IFERROR(MID(OFFSET(納品書まとめ!$A$1,PK2+5,1), SEARCH("幼稚園", OFFSET(納品書まとめ!$A$1,PK2+5,1)) - 2, 2),1)=IFERROR(MID(OFFSET(納品書まとめ!$A$1,PK2+6,1), SEARCH("幼稚園", OFFSET(納品書まとめ!$A$1,PK2+6,1)) - 2, 2),0),PK2+8,PK2+7),PK2+6),PK2+5),PK2+4),PK2+3),PK2+2),PK2+1)),"")</f>
        <v>49</v>
      </c>
      <c r="PV1" s="55"/>
      <c r="PW1" s="41"/>
      <c r="PY1" t="s">
        <v>4006</v>
      </c>
      <c r="PZ1" t="str">
        <f ca="1">OFFSET(納品書まとめ!$A$1,QG2-1,0)</f>
        <v>7003</v>
      </c>
      <c r="QB1" s="87" t="s">
        <v>4007</v>
      </c>
      <c r="QC1" s="86"/>
      <c r="QD1" s="86"/>
      <c r="QE1" s="88"/>
      <c r="QF1" s="55">
        <f ca="1">IFERROR(
IF(OR(COUNTIF(OFFSET(納品書まとめ!$A$1,PV2,1),"*博多*"),COUNTIF(OFFSET(納品書まとめ!$A$1,PV2,1),"*奈良屋*")),PV2+1,
IF(IFERROR(MID(OFFSET(納品書まとめ!$A$1,PV2-1,1), SEARCH("幼稚園", OFFSET(納品書まとめ!$A$1,PV2-1,1)) - 2, 2),1)=IFERROR(MID(OFFSET(納品書まとめ!$A$1,PV2,1), SEARCH("幼稚園", OFFSET(納品書まとめ!$A$1,PV2,1)) - 2, 2),0),
IF(IFERROR(MID(OFFSET(納品書まとめ!$A$1,PV2,1), SEARCH("幼稚園", OFFSET(納品書まとめ!$A$1,PV2,1)) - 2, 2),1)=IFERROR(MID(OFFSET(納品書まとめ!$A$1,PV2+1,1), SEARCH("幼稚園", OFFSET(納品書まとめ!$A$1,PV2+1,1)) - 2, 2),0),
IF(IFERROR(MID(OFFSET(納品書まとめ!$A$1,PV2+1,1), SEARCH("幼稚園", OFFSET(納品書まとめ!$A$1,PV2+1,1)) - 2, 2),1)=IFERROR(MID(OFFSET(納品書まとめ!$A$1,PV2+2,1), SEARCH("幼稚園", OFFSET(納品書まとめ!$A$1,PV2+2,1)) - 2, 2),0),
IF(IFERROR(MID(OFFSET(納品書まとめ!$A$1,PV2+2,1), SEARCH("幼稚園", OFFSET(納品書まとめ!$A$1,PV2+2,1)) - 2, 2),1)=IFERROR(MID(OFFSET(納品書まとめ!$A$1,PV2+3,1), SEARCH("幼稚園", OFFSET(納品書まとめ!$A$1,PV2+3,PV2+3,1)) - 2, 2),0),
IF(IFERROR(MID(OFFSET(納品書まとめ!$A$1,PV2+3,1), SEARCH("幼稚園", OFFSET(納品書まとめ!$A$1,PV2+3,1)) - 2, 2),1)=IFERROR(MID(OFFSET(納品書まとめ!$A$1,PV2+4,1), SEARCH("幼稚園", OFFSET(納品書まとめ!$A$1,PV2+4,1)) - 2, 2),0),
IF(IFERROR(MID(OFFSET(納品書まとめ!$A$1,PV2+4,1), SEARCH("幼稚園", OFFSET(納品書まとめ!$A$1,PV2+4,1)) - 2, 2),1)=IFERROR(MID(OFFSET(納品書まとめ!$A$1,PV2+5,1), SEARCH("幼稚園", OFFSET(納品書まとめ!$A$1,PV2+5,1)) - 2, 2),0),
IF(IFERROR(MID(OFFSET(納品書まとめ!$A$1,PV2+5,1), SEARCH("幼稚園", OFFSET(納品書まとめ!$A$1,PV2+5,1)) - 2, 2),1)=IFERROR(MID(OFFSET(納品書まとめ!$A$1,PV2+6,1), SEARCH("幼稚園", OFFSET(納品書まとめ!$A$1,PV2+6,1)) - 2, 2),0),PV2+8,PV2+7),PV2+6),PV2+5),PV2+4),PV2+3),PV2+2),PV2+1)),"")</f>
        <v>50</v>
      </c>
      <c r="QG1" s="55"/>
      <c r="QH1" s="41"/>
      <c r="QJ1" t="s">
        <v>4006</v>
      </c>
      <c r="QK1" t="str">
        <f ca="1">OFFSET(納品書まとめ!$A$1,QR2-1,0)</f>
        <v>20400</v>
      </c>
      <c r="QM1" s="87" t="s">
        <v>4007</v>
      </c>
      <c r="QN1" s="86"/>
      <c r="QO1" s="86"/>
      <c r="QP1" s="88"/>
      <c r="QQ1" s="55">
        <f ca="1">IFERROR(
IF(OR(COUNTIF(OFFSET(納品書まとめ!$A$1,QG2,1),"*博多*"),COUNTIF(OFFSET(納品書まとめ!$A$1,QG2,1),"*奈良屋*")),QG2+1,
IF(IFERROR(MID(OFFSET(納品書まとめ!$A$1,QG2-1,1), SEARCH("幼稚園", OFFSET(納品書まとめ!$A$1,QG2-1,1)) - 2, 2),1)=IFERROR(MID(OFFSET(納品書まとめ!$A$1,QG2,1), SEARCH("幼稚園", OFFSET(納品書まとめ!$A$1,QG2,1)) - 2, 2),0),
IF(IFERROR(MID(OFFSET(納品書まとめ!$A$1,QG2,1), SEARCH("幼稚園", OFFSET(納品書まとめ!$A$1,QG2,1)) - 2, 2),1)=IFERROR(MID(OFFSET(納品書まとめ!$A$1,QG2+1,1), SEARCH("幼稚園", OFFSET(納品書まとめ!$A$1,QG2+1,1)) - 2, 2),0),
IF(IFERROR(MID(OFFSET(納品書まとめ!$A$1,QG2+1,1), SEARCH("幼稚園", OFFSET(納品書まとめ!$A$1,QG2+1,1)) - 2, 2),1)=IFERROR(MID(OFFSET(納品書まとめ!$A$1,QG2+2,1), SEARCH("幼稚園", OFFSET(納品書まとめ!$A$1,QG2+2,1)) - 2, 2),0),
IF(IFERROR(MID(OFFSET(納品書まとめ!$A$1,QG2+2,1), SEARCH("幼稚園", OFFSET(納品書まとめ!$A$1,QG2+2,1)) - 2, 2),1)=IFERROR(MID(OFFSET(納品書まとめ!$A$1,QG2+3,1), SEARCH("幼稚園", OFFSET(納品書まとめ!$A$1,QG2+3,QG2+3,1)) - 2, 2),0),
IF(IFERROR(MID(OFFSET(納品書まとめ!$A$1,QG2+3,1), SEARCH("幼稚園", OFFSET(納品書まとめ!$A$1,QG2+3,1)) - 2, 2),1)=IFERROR(MID(OFFSET(納品書まとめ!$A$1,QG2+4,1), SEARCH("幼稚園", OFFSET(納品書まとめ!$A$1,QG2+4,1)) - 2, 2),0),
IF(IFERROR(MID(OFFSET(納品書まとめ!$A$1,QG2+4,1), SEARCH("幼稚園", OFFSET(納品書まとめ!$A$1,QG2+4,1)) - 2, 2),1)=IFERROR(MID(OFFSET(納品書まとめ!$A$1,QG2+5,1), SEARCH("幼稚園", OFFSET(納品書まとめ!$A$1,QG2+5,1)) - 2, 2),0),
IF(IFERROR(MID(OFFSET(納品書まとめ!$A$1,QG2+5,1), SEARCH("幼稚園", OFFSET(納品書まとめ!$A$1,QG2+5,1)) - 2, 2),1)=IFERROR(MID(OFFSET(納品書まとめ!$A$1,QG2+6,1), SEARCH("幼稚園", OFFSET(納品書まとめ!$A$1,QG2+6,1)) - 2, 2),0),QG2+8,QG2+7),QG2+6),QG2+5),QG2+4),QG2+3),QG2+2),QG2+1)),"")</f>
        <v>52</v>
      </c>
      <c r="QR1" s="55"/>
      <c r="QS1" s="41"/>
      <c r="QU1" t="s">
        <v>4006</v>
      </c>
      <c r="QV1" t="str">
        <f ca="1">OFFSET(納品書まとめ!$A$1,RC2-1,0)</f>
        <v>802</v>
      </c>
      <c r="QX1" s="87" t="s">
        <v>4007</v>
      </c>
      <c r="QY1" s="86"/>
      <c r="QZ1" s="86"/>
      <c r="RA1" s="88"/>
      <c r="RB1" s="55">
        <f ca="1">IFERROR(
IF(OR(COUNTIF(OFFSET(納品書まとめ!$A$1,QR2,1),"*博多*"),COUNTIF(OFFSET(納品書まとめ!$A$1,QR2,1),"*奈良屋*")),QR2+1,
IF(IFERROR(MID(OFFSET(納品書まとめ!$A$1,QR2-1,1), SEARCH("幼稚園", OFFSET(納品書まとめ!$A$1,QR2-1,1)) - 2, 2),1)=IFERROR(MID(OFFSET(納品書まとめ!$A$1,QR2,1), SEARCH("幼稚園", OFFSET(納品書まとめ!$A$1,QR2,1)) - 2, 2),0),
IF(IFERROR(MID(OFFSET(納品書まとめ!$A$1,QR2,1), SEARCH("幼稚園", OFFSET(納品書まとめ!$A$1,QR2,1)) - 2, 2),1)=IFERROR(MID(OFFSET(納品書まとめ!$A$1,QR2+1,1), SEARCH("幼稚園", OFFSET(納品書まとめ!$A$1,QR2+1,1)) - 2, 2),0),
IF(IFERROR(MID(OFFSET(納品書まとめ!$A$1,QR2+1,1), SEARCH("幼稚園", OFFSET(納品書まとめ!$A$1,QR2+1,1)) - 2, 2),1)=IFERROR(MID(OFFSET(納品書まとめ!$A$1,QR2+2,1), SEARCH("幼稚園", OFFSET(納品書まとめ!$A$1,QR2+2,1)) - 2, 2),0),
IF(IFERROR(MID(OFFSET(納品書まとめ!$A$1,QR2+2,1), SEARCH("幼稚園", OFFSET(納品書まとめ!$A$1,QR2+2,1)) - 2, 2),1)=IFERROR(MID(OFFSET(納品書まとめ!$A$1,QR2+3,1), SEARCH("幼稚園", OFFSET(納品書まとめ!$A$1,QR2+3,QR2+3,1)) - 2, 2),0),
IF(IFERROR(MID(OFFSET(納品書まとめ!$A$1,QR2+3,1), SEARCH("幼稚園", OFFSET(納品書まとめ!$A$1,QR2+3,1)) - 2, 2),1)=IFERROR(MID(OFFSET(納品書まとめ!$A$1,QR2+4,1), SEARCH("幼稚園", OFFSET(納品書まとめ!$A$1,QR2+4,1)) - 2, 2),0),
IF(IFERROR(MID(OFFSET(納品書まとめ!$A$1,QR2+4,1), SEARCH("幼稚園", OFFSET(納品書まとめ!$A$1,QR2+4,1)) - 2, 2),1)=IFERROR(MID(OFFSET(納品書まとめ!$A$1,QR2+5,1), SEARCH("幼稚園", OFFSET(納品書まとめ!$A$1,QR2+5,1)) - 2, 2),0),
IF(IFERROR(MID(OFFSET(納品書まとめ!$A$1,QR2+5,1), SEARCH("幼稚園", OFFSET(納品書まとめ!$A$1,QR2+5,1)) - 2, 2),1)=IFERROR(MID(OFFSET(納品書まとめ!$A$1,QR2+6,1), SEARCH("幼稚園", OFFSET(納品書まとめ!$A$1,QR2+6,1)) - 2, 2),0),QR2+8,QR2+7),QR2+6),QR2+5),QR2+4),QR2+3),QR2+2),QR2+1)),"")</f>
        <v>54</v>
      </c>
      <c r="RC1" s="55"/>
      <c r="RD1" s="41"/>
      <c r="RF1" t="s">
        <v>4006</v>
      </c>
      <c r="RG1" t="str">
        <f ca="1">OFFSET(納品書まとめ!$A$1,RN2-1,0)</f>
        <v>40100</v>
      </c>
      <c r="RI1" s="87" t="s">
        <v>4007</v>
      </c>
      <c r="RJ1" s="86"/>
      <c r="RK1" s="86"/>
      <c r="RL1" s="88"/>
      <c r="RM1" s="55">
        <f ca="1">IFERROR(
IF(OR(COUNTIF(OFFSET(納品書まとめ!$A$1,RC2,1),"*博多*"),COUNTIF(OFFSET(納品書まとめ!$A$1,RC2,1),"*奈良屋*")),RC2+1,
IF(IFERROR(MID(OFFSET(納品書まとめ!$A$1,RC2-1,1), SEARCH("幼稚園", OFFSET(納品書まとめ!$A$1,RC2-1,1)) - 2, 2),1)=IFERROR(MID(OFFSET(納品書まとめ!$A$1,RC2,1), SEARCH("幼稚園", OFFSET(納品書まとめ!$A$1,RC2,1)) - 2, 2),0),
IF(IFERROR(MID(OFFSET(納品書まとめ!$A$1,RC2,1), SEARCH("幼稚園", OFFSET(納品書まとめ!$A$1,RC2,1)) - 2, 2),1)=IFERROR(MID(OFFSET(納品書まとめ!$A$1,RC2+1,1), SEARCH("幼稚園", OFFSET(納品書まとめ!$A$1,RC2+1,1)) - 2, 2),0),
IF(IFERROR(MID(OFFSET(納品書まとめ!$A$1,RC2+1,1), SEARCH("幼稚園", OFFSET(納品書まとめ!$A$1,RC2+1,1)) - 2, 2),1)=IFERROR(MID(OFFSET(納品書まとめ!$A$1,RC2+2,1), SEARCH("幼稚園", OFFSET(納品書まとめ!$A$1,RC2+2,1)) - 2, 2),0),
IF(IFERROR(MID(OFFSET(納品書まとめ!$A$1,RC2+2,1), SEARCH("幼稚園", OFFSET(納品書まとめ!$A$1,RC2+2,1)) - 2, 2),1)=IFERROR(MID(OFFSET(納品書まとめ!$A$1,RC2+3,1), SEARCH("幼稚園", OFFSET(納品書まとめ!$A$1,RC2+3,RC2+3,1)) - 2, 2),0),
IF(IFERROR(MID(OFFSET(納品書まとめ!$A$1,RC2+3,1), SEARCH("幼稚園", OFFSET(納品書まとめ!$A$1,RC2+3,1)) - 2, 2),1)=IFERROR(MID(OFFSET(納品書まとめ!$A$1,RC2+4,1), SEARCH("幼稚園", OFFSET(納品書まとめ!$A$1,RC2+4,1)) - 2, 2),0),
IF(IFERROR(MID(OFFSET(納品書まとめ!$A$1,RC2+4,1), SEARCH("幼稚園", OFFSET(納品書まとめ!$A$1,RC2+4,1)) - 2, 2),1)=IFERROR(MID(OFFSET(納品書まとめ!$A$1,RC2+5,1), SEARCH("幼稚園", OFFSET(納品書まとめ!$A$1,RC2+5,1)) - 2, 2),0),
IF(IFERROR(MID(OFFSET(納品書まとめ!$A$1,RC2+5,1), SEARCH("幼稚園", OFFSET(納品書まとめ!$A$1,RC2+5,1)) - 2, 2),1)=IFERROR(MID(OFFSET(納品書まとめ!$A$1,RC2+6,1), SEARCH("幼稚園", OFFSET(納品書まとめ!$A$1,RC2+6,1)) - 2, 2),0),RC2+8,RC2+7),RC2+6),RC2+5),RC2+4),RC2+3),RC2+2),RC2+1)),"")</f>
        <v>59</v>
      </c>
      <c r="RN1" s="55"/>
      <c r="RO1" s="41"/>
      <c r="RQ1" t="s">
        <v>4006</v>
      </c>
      <c r="RR1" t="str">
        <f ca="1">OFFSET(納品書まとめ!$A$1,RY2-1,0)</f>
        <v>40200</v>
      </c>
      <c r="RT1" s="87" t="s">
        <v>4007</v>
      </c>
      <c r="RU1" s="86"/>
      <c r="RV1" s="86"/>
      <c r="RW1" s="88"/>
      <c r="RX1" s="55">
        <f ca="1">IFERROR(
IF(OR(COUNTIF(OFFSET(納品書まとめ!$A$1,RN2,1),"*博多*"),COUNTIF(OFFSET(納品書まとめ!$A$1,RN2,1),"*奈良屋*")),RN2+1,
IF(IFERROR(MID(OFFSET(納品書まとめ!$A$1,RN2-1,1), SEARCH("幼稚園", OFFSET(納品書まとめ!$A$1,RN2-1,1)) - 2, 2),1)=IFERROR(MID(OFFSET(納品書まとめ!$A$1,RN2,1), SEARCH("幼稚園", OFFSET(納品書まとめ!$A$1,RN2,1)) - 2, 2),0),
IF(IFERROR(MID(OFFSET(納品書まとめ!$A$1,RN2,1), SEARCH("幼稚園", OFFSET(納品書まとめ!$A$1,RN2,1)) - 2, 2),1)=IFERROR(MID(OFFSET(納品書まとめ!$A$1,RN2+1,1), SEARCH("幼稚園", OFFSET(納品書まとめ!$A$1,RN2+1,1)) - 2, 2),0),
IF(IFERROR(MID(OFFSET(納品書まとめ!$A$1,RN2+1,1), SEARCH("幼稚園", OFFSET(納品書まとめ!$A$1,RN2+1,1)) - 2, 2),1)=IFERROR(MID(OFFSET(納品書まとめ!$A$1,RN2+2,1), SEARCH("幼稚園", OFFSET(納品書まとめ!$A$1,RN2+2,1)) - 2, 2),0),
IF(IFERROR(MID(OFFSET(納品書まとめ!$A$1,RN2+2,1), SEARCH("幼稚園", OFFSET(納品書まとめ!$A$1,RN2+2,1)) - 2, 2),1)=IFERROR(MID(OFFSET(納品書まとめ!$A$1,RN2+3,1), SEARCH("幼稚園", OFFSET(納品書まとめ!$A$1,RN2+3,RN2+3,1)) - 2, 2),0),
IF(IFERROR(MID(OFFSET(納品書まとめ!$A$1,RN2+3,1), SEARCH("幼稚園", OFFSET(納品書まとめ!$A$1,RN2+3,1)) - 2, 2),1)=IFERROR(MID(OFFSET(納品書まとめ!$A$1,RN2+4,1), SEARCH("幼稚園", OFFSET(納品書まとめ!$A$1,RN2+4,1)) - 2, 2),0),
IF(IFERROR(MID(OFFSET(納品書まとめ!$A$1,RN2+4,1), SEARCH("幼稚園", OFFSET(納品書まとめ!$A$1,RN2+4,1)) - 2, 2),1)=IFERROR(MID(OFFSET(納品書まとめ!$A$1,RN2+5,1), SEARCH("幼稚園", OFFSET(納品書まとめ!$A$1,RN2+5,1)) - 2, 2),0),
IF(IFERROR(MID(OFFSET(納品書まとめ!$A$1,RN2+5,1), SEARCH("幼稚園", OFFSET(納品書まとめ!$A$1,RN2+5,1)) - 2, 2),1)=IFERROR(MID(OFFSET(納品書まとめ!$A$1,RN2+6,1), SEARCH("幼稚園", OFFSET(納品書まとめ!$A$1,RN2+6,1)) - 2, 2),0),RN2+8,RN2+7),RN2+6),RN2+5),RN2+4),RN2+3),RN2+2),RN2+1)),"")</f>
        <v>61</v>
      </c>
      <c r="RY1" s="55"/>
      <c r="RZ1" s="41"/>
      <c r="SB1" t="s">
        <v>4006</v>
      </c>
      <c r="SC1" t="str">
        <f ca="1">OFFSET(納品書まとめ!$A$1,SJ2-1,0)</f>
        <v>40250</v>
      </c>
      <c r="SE1" s="87" t="s">
        <v>4007</v>
      </c>
      <c r="SF1" s="86"/>
      <c r="SG1" s="86"/>
      <c r="SH1" s="88"/>
      <c r="SI1" s="55">
        <f ca="1">IFERROR(
IF(OR(COUNTIF(OFFSET(納品書まとめ!$A$1,RY2,1),"*博多*"),COUNTIF(OFFSET(納品書まとめ!$A$1,RY2,1),"*奈良屋*")),RY2+1,
IF(IFERROR(MID(OFFSET(納品書まとめ!$A$1,RY2-1,1), SEARCH("幼稚園", OFFSET(納品書まとめ!$A$1,RY2-1,1)) - 2, 2),1)=IFERROR(MID(OFFSET(納品書まとめ!$A$1,RY2,1), SEARCH("幼稚園", OFFSET(納品書まとめ!$A$1,RY2,1)) - 2, 2),0),
IF(IFERROR(MID(OFFSET(納品書まとめ!$A$1,RY2,1), SEARCH("幼稚園", OFFSET(納品書まとめ!$A$1,RY2,1)) - 2, 2),1)=IFERROR(MID(OFFSET(納品書まとめ!$A$1,RY2+1,1), SEARCH("幼稚園", OFFSET(納品書まとめ!$A$1,RY2+1,1)) - 2, 2),0),
IF(IFERROR(MID(OFFSET(納品書まとめ!$A$1,RY2+1,1), SEARCH("幼稚園", OFFSET(納品書まとめ!$A$1,RY2+1,1)) - 2, 2),1)=IFERROR(MID(OFFSET(納品書まとめ!$A$1,RY2+2,1), SEARCH("幼稚園", OFFSET(納品書まとめ!$A$1,RY2+2,1)) - 2, 2),0),
IF(IFERROR(MID(OFFSET(納品書まとめ!$A$1,RY2+2,1), SEARCH("幼稚園", OFFSET(納品書まとめ!$A$1,RY2+2,1)) - 2, 2),1)=IFERROR(MID(OFFSET(納品書まとめ!$A$1,RY2+3,1), SEARCH("幼稚園", OFFSET(納品書まとめ!$A$1,RY2+3,RY2+3,1)) - 2, 2),0),
IF(IFERROR(MID(OFFSET(納品書まとめ!$A$1,RY2+3,1), SEARCH("幼稚園", OFFSET(納品書まとめ!$A$1,RY2+3,1)) - 2, 2),1)=IFERROR(MID(OFFSET(納品書まとめ!$A$1,RY2+4,1), SEARCH("幼稚園", OFFSET(納品書まとめ!$A$1,RY2+4,1)) - 2, 2),0),
IF(IFERROR(MID(OFFSET(納品書まとめ!$A$1,RY2+4,1), SEARCH("幼稚園", OFFSET(納品書まとめ!$A$1,RY2+4,1)) - 2, 2),1)=IFERROR(MID(OFFSET(納品書まとめ!$A$1,RY2+5,1), SEARCH("幼稚園", OFFSET(納品書まとめ!$A$1,RY2+5,1)) - 2, 2),0),
IF(IFERROR(MID(OFFSET(納品書まとめ!$A$1,RY2+5,1), SEARCH("幼稚園", OFFSET(納品書まとめ!$A$1,RY2+5,1)) - 2, 2),1)=IFERROR(MID(OFFSET(納品書まとめ!$A$1,RY2+6,1), SEARCH("幼稚園", OFFSET(納品書まとめ!$A$1,RY2+6,1)) - 2, 2),0),RY2+8,RY2+7),RY2+6),RY2+5),RY2+4),RY2+3),RY2+2),RY2+1)),"")</f>
        <v>62</v>
      </c>
      <c r="SJ1" s="55"/>
      <c r="SK1" s="41"/>
      <c r="SM1" t="s">
        <v>4006</v>
      </c>
      <c r="SN1" t="str">
        <f ca="1">OFFSET(納品書まとめ!$A$1,SU2-1,0)</f>
        <v>40350</v>
      </c>
      <c r="SP1" s="87" t="s">
        <v>4007</v>
      </c>
      <c r="SQ1" s="86"/>
      <c r="SR1" s="86"/>
      <c r="SS1" s="88"/>
      <c r="ST1" s="55">
        <f ca="1">IFERROR(
IF(OR(COUNTIF(OFFSET(納品書まとめ!$A$1,SJ2,1),"*博多*"),COUNTIF(OFFSET(納品書まとめ!$A$1,SJ2,1),"*奈良屋*")),SJ2+1,
IF(IFERROR(MID(OFFSET(納品書まとめ!$A$1,SJ2-1,1), SEARCH("幼稚園", OFFSET(納品書まとめ!$A$1,SJ2-1,1)) - 2, 2),1)=IFERROR(MID(OFFSET(納品書まとめ!$A$1,SJ2,1), SEARCH("幼稚園", OFFSET(納品書まとめ!$A$1,SJ2,1)) - 2, 2),0),
IF(IFERROR(MID(OFFSET(納品書まとめ!$A$1,SJ2,1), SEARCH("幼稚園", OFFSET(納品書まとめ!$A$1,SJ2,1)) - 2, 2),1)=IFERROR(MID(OFFSET(納品書まとめ!$A$1,SJ2+1,1), SEARCH("幼稚園", OFFSET(納品書まとめ!$A$1,SJ2+1,1)) - 2, 2),0),
IF(IFERROR(MID(OFFSET(納品書まとめ!$A$1,SJ2+1,1), SEARCH("幼稚園", OFFSET(納品書まとめ!$A$1,SJ2+1,1)) - 2, 2),1)=IFERROR(MID(OFFSET(納品書まとめ!$A$1,SJ2+2,1), SEARCH("幼稚園", OFFSET(納品書まとめ!$A$1,SJ2+2,1)) - 2, 2),0),
IF(IFERROR(MID(OFFSET(納品書まとめ!$A$1,SJ2+2,1), SEARCH("幼稚園", OFFSET(納品書まとめ!$A$1,SJ2+2,1)) - 2, 2),1)=IFERROR(MID(OFFSET(納品書まとめ!$A$1,SJ2+3,1), SEARCH("幼稚園", OFFSET(納品書まとめ!$A$1,SJ2+3,SJ2+3,1)) - 2, 2),0),
IF(IFERROR(MID(OFFSET(納品書まとめ!$A$1,SJ2+3,1), SEARCH("幼稚園", OFFSET(納品書まとめ!$A$1,SJ2+3,1)) - 2, 2),1)=IFERROR(MID(OFFSET(納品書まとめ!$A$1,SJ2+4,1), SEARCH("幼稚園", OFFSET(納品書まとめ!$A$1,SJ2+4,1)) - 2, 2),0),
IF(IFERROR(MID(OFFSET(納品書まとめ!$A$1,SJ2+4,1), SEARCH("幼稚園", OFFSET(納品書まとめ!$A$1,SJ2+4,1)) - 2, 2),1)=IFERROR(MID(OFFSET(納品書まとめ!$A$1,SJ2+5,1), SEARCH("幼稚園", OFFSET(納品書まとめ!$A$1,SJ2+5,1)) - 2, 2),0),
IF(IFERROR(MID(OFFSET(納品書まとめ!$A$1,SJ2+5,1), SEARCH("幼稚園", OFFSET(納品書まとめ!$A$1,SJ2+5,1)) - 2, 2),1)=IFERROR(MID(OFFSET(納品書まとめ!$A$1,SJ2+6,1), SEARCH("幼稚園", OFFSET(納品書まとめ!$A$1,SJ2+6,1)) - 2, 2),0),SJ2+8,SJ2+7),SJ2+6),SJ2+5),SJ2+4),SJ2+3),SJ2+2),SJ2+1)),"")</f>
        <v>63</v>
      </c>
      <c r="SU1" s="55"/>
      <c r="SV1" s="41"/>
      <c r="SX1" t="s">
        <v>4006</v>
      </c>
      <c r="SY1" t="str">
        <f ca="1">OFFSET(納品書まとめ!$A$1,TF2-1,0)</f>
        <v>40400</v>
      </c>
      <c r="TA1" s="87" t="s">
        <v>4007</v>
      </c>
      <c r="TB1" s="86"/>
      <c r="TC1" s="86"/>
      <c r="TD1" s="88"/>
      <c r="TE1" s="55">
        <f ca="1">IFERROR(
IF(OR(COUNTIF(OFFSET(納品書まとめ!$A$1,SU2,1),"*博多*"),COUNTIF(OFFSET(納品書まとめ!$A$1,SU2,1),"*奈良屋*")),SU2+1,
IF(IFERROR(MID(OFFSET(納品書まとめ!$A$1,SU2-1,1), SEARCH("幼稚園", OFFSET(納品書まとめ!$A$1,SU2-1,1)) - 2, 2),1)=IFERROR(MID(OFFSET(納品書まとめ!$A$1,SU2,1), SEARCH("幼稚園", OFFSET(納品書まとめ!$A$1,SU2,1)) - 2, 2),0),
IF(IFERROR(MID(OFFSET(納品書まとめ!$A$1,SU2,1), SEARCH("幼稚園", OFFSET(納品書まとめ!$A$1,SU2,1)) - 2, 2),1)=IFERROR(MID(OFFSET(納品書まとめ!$A$1,SU2+1,1), SEARCH("幼稚園", OFFSET(納品書まとめ!$A$1,SU2+1,1)) - 2, 2),0),
IF(IFERROR(MID(OFFSET(納品書まとめ!$A$1,SU2+1,1), SEARCH("幼稚園", OFFSET(納品書まとめ!$A$1,SU2+1,1)) - 2, 2),1)=IFERROR(MID(OFFSET(納品書まとめ!$A$1,SU2+2,1), SEARCH("幼稚園", OFFSET(納品書まとめ!$A$1,SU2+2,1)) - 2, 2),0),
IF(IFERROR(MID(OFFSET(納品書まとめ!$A$1,SU2+2,1), SEARCH("幼稚園", OFFSET(納品書まとめ!$A$1,SU2+2,1)) - 2, 2),1)=IFERROR(MID(OFFSET(納品書まとめ!$A$1,SU2+3,1), SEARCH("幼稚園", OFFSET(納品書まとめ!$A$1,SU2+3,SU2+3,1)) - 2, 2),0),
IF(IFERROR(MID(OFFSET(納品書まとめ!$A$1,SU2+3,1), SEARCH("幼稚園", OFFSET(納品書まとめ!$A$1,SU2+3,1)) - 2, 2),1)=IFERROR(MID(OFFSET(納品書まとめ!$A$1,SU2+4,1), SEARCH("幼稚園", OFFSET(納品書まとめ!$A$1,SU2+4,1)) - 2, 2),0),
IF(IFERROR(MID(OFFSET(納品書まとめ!$A$1,SU2+4,1), SEARCH("幼稚園", OFFSET(納品書まとめ!$A$1,SU2+4,1)) - 2, 2),1)=IFERROR(MID(OFFSET(納品書まとめ!$A$1,SU2+5,1), SEARCH("幼稚園", OFFSET(納品書まとめ!$A$1,SU2+5,1)) - 2, 2),0),
IF(IFERROR(MID(OFFSET(納品書まとめ!$A$1,SU2+5,1), SEARCH("幼稚園", OFFSET(納品書まとめ!$A$1,SU2+5,1)) - 2, 2),1)=IFERROR(MID(OFFSET(納品書まとめ!$A$1,SU2+6,1), SEARCH("幼稚園", OFFSET(納品書まとめ!$A$1,SU2+6,1)) - 2, 2),0),SU2+8,SU2+7),SU2+6),SU2+5),SU2+4),SU2+3),SU2+2),SU2+1)),"")</f>
        <v>64</v>
      </c>
      <c r="TF1" s="55"/>
      <c r="TG1" s="41"/>
      <c r="TI1" t="s">
        <v>4006</v>
      </c>
      <c r="TJ1" t="str">
        <f ca="1">OFFSET(納品書まとめ!$A$1,TQ2-1,0)</f>
        <v>40700</v>
      </c>
      <c r="TL1" s="87" t="s">
        <v>4007</v>
      </c>
      <c r="TM1" s="86"/>
      <c r="TN1" s="86"/>
      <c r="TO1" s="88"/>
      <c r="TP1" s="55">
        <f ca="1">IFERROR(
IF(OR(COUNTIF(OFFSET(納品書まとめ!$A$1,TF2,1),"*博多*"),COUNTIF(OFFSET(納品書まとめ!$A$1,TF2,1),"*奈良屋*")),TF2+1,
IF(IFERROR(MID(OFFSET(納品書まとめ!$A$1,TF2-1,1), SEARCH("幼稚園", OFFSET(納品書まとめ!$A$1,TF2-1,1)) - 2, 2),1)=IFERROR(MID(OFFSET(納品書まとめ!$A$1,TF2,1), SEARCH("幼稚園", OFFSET(納品書まとめ!$A$1,TF2,1)) - 2, 2),0),
IF(IFERROR(MID(OFFSET(納品書まとめ!$A$1,TF2,1), SEARCH("幼稚園", OFFSET(納品書まとめ!$A$1,TF2,1)) - 2, 2),1)=IFERROR(MID(OFFSET(納品書まとめ!$A$1,TF2+1,1), SEARCH("幼稚園", OFFSET(納品書まとめ!$A$1,TF2+1,1)) - 2, 2),0),
IF(IFERROR(MID(OFFSET(納品書まとめ!$A$1,TF2+1,1), SEARCH("幼稚園", OFFSET(納品書まとめ!$A$1,TF2+1,1)) - 2, 2),1)=IFERROR(MID(OFFSET(納品書まとめ!$A$1,TF2+2,1), SEARCH("幼稚園", OFFSET(納品書まとめ!$A$1,TF2+2,1)) - 2, 2),0),
IF(IFERROR(MID(OFFSET(納品書まとめ!$A$1,TF2+2,1), SEARCH("幼稚園", OFFSET(納品書まとめ!$A$1,TF2+2,1)) - 2, 2),1)=IFERROR(MID(OFFSET(納品書まとめ!$A$1,TF2+3,1), SEARCH("幼稚園", OFFSET(納品書まとめ!$A$1,TF2+3,TF2+3,1)) - 2, 2),0),
IF(IFERROR(MID(OFFSET(納品書まとめ!$A$1,TF2+3,1), SEARCH("幼稚園", OFFSET(納品書まとめ!$A$1,TF2+3,1)) - 2, 2),1)=IFERROR(MID(OFFSET(納品書まとめ!$A$1,TF2+4,1), SEARCH("幼稚園", OFFSET(納品書まとめ!$A$1,TF2+4,1)) - 2, 2),0),
IF(IFERROR(MID(OFFSET(納品書まとめ!$A$1,TF2+4,1), SEARCH("幼稚園", OFFSET(納品書まとめ!$A$1,TF2+4,1)) - 2, 2),1)=IFERROR(MID(OFFSET(納品書まとめ!$A$1,TF2+5,1), SEARCH("幼稚園", OFFSET(納品書まとめ!$A$1,TF2+5,1)) - 2, 2),0),
IF(IFERROR(MID(OFFSET(納品書まとめ!$A$1,TF2+5,1), SEARCH("幼稚園", OFFSET(納品書まとめ!$A$1,TF2+5,1)) - 2, 2),1)=IFERROR(MID(OFFSET(納品書まとめ!$A$1,TF2+6,1), SEARCH("幼稚園", OFFSET(納品書まとめ!$A$1,TF2+6,1)) - 2, 2),0),TF2+8,TF2+7),TF2+6),TF2+5),TF2+4),TF2+3),TF2+2),TF2+1)),"")</f>
        <v>65</v>
      </c>
      <c r="TQ1" s="55"/>
      <c r="TR1" s="41"/>
      <c r="TT1" t="s">
        <v>4006</v>
      </c>
      <c r="TU1" t="str">
        <f ca="1">OFFSET(納品書まとめ!$A$1,UB2-1,0)</f>
        <v>40750</v>
      </c>
      <c r="TW1" s="87" t="s">
        <v>4007</v>
      </c>
      <c r="TX1" s="86"/>
      <c r="TY1" s="86"/>
      <c r="TZ1" s="88"/>
      <c r="UA1" s="55">
        <f ca="1">IFERROR(
IF(OR(COUNTIF(OFFSET(納品書まとめ!$A$1,TQ2,1),"*博多*"),COUNTIF(OFFSET(納品書まとめ!$A$1,TQ2,1),"*奈良屋*")),TQ2+1,
IF(IFERROR(MID(OFFSET(納品書まとめ!$A$1,TQ2-1,1), SEARCH("幼稚園", OFFSET(納品書まとめ!$A$1,TQ2-1,1)) - 2, 2),1)=IFERROR(MID(OFFSET(納品書まとめ!$A$1,TQ2,1), SEARCH("幼稚園", OFFSET(納品書まとめ!$A$1,TQ2,1)) - 2, 2),0),
IF(IFERROR(MID(OFFSET(納品書まとめ!$A$1,TQ2,1), SEARCH("幼稚園", OFFSET(納品書まとめ!$A$1,TQ2,1)) - 2, 2),1)=IFERROR(MID(OFFSET(納品書まとめ!$A$1,TQ2+1,1), SEARCH("幼稚園", OFFSET(納品書まとめ!$A$1,TQ2+1,1)) - 2, 2),0),
IF(IFERROR(MID(OFFSET(納品書まとめ!$A$1,TQ2+1,1), SEARCH("幼稚園", OFFSET(納品書まとめ!$A$1,TQ2+1,1)) - 2, 2),1)=IFERROR(MID(OFFSET(納品書まとめ!$A$1,TQ2+2,1), SEARCH("幼稚園", OFFSET(納品書まとめ!$A$1,TQ2+2,1)) - 2, 2),0),
IF(IFERROR(MID(OFFSET(納品書まとめ!$A$1,TQ2+2,1), SEARCH("幼稚園", OFFSET(納品書まとめ!$A$1,TQ2+2,1)) - 2, 2),1)=IFERROR(MID(OFFSET(納品書まとめ!$A$1,TQ2+3,1), SEARCH("幼稚園", OFFSET(納品書まとめ!$A$1,TQ2+3,TQ2+3,1)) - 2, 2),0),
IF(IFERROR(MID(OFFSET(納品書まとめ!$A$1,TQ2+3,1), SEARCH("幼稚園", OFFSET(納品書まとめ!$A$1,TQ2+3,1)) - 2, 2),1)=IFERROR(MID(OFFSET(納品書まとめ!$A$1,TQ2+4,1), SEARCH("幼稚園", OFFSET(納品書まとめ!$A$1,TQ2+4,1)) - 2, 2),0),
IF(IFERROR(MID(OFFSET(納品書まとめ!$A$1,TQ2+4,1), SEARCH("幼稚園", OFFSET(納品書まとめ!$A$1,TQ2+4,1)) - 2, 2),1)=IFERROR(MID(OFFSET(納品書まとめ!$A$1,TQ2+5,1), SEARCH("幼稚園", OFFSET(納品書まとめ!$A$1,TQ2+5,1)) - 2, 2),0),
IF(IFERROR(MID(OFFSET(納品書まとめ!$A$1,TQ2+5,1), SEARCH("幼稚園", OFFSET(納品書まとめ!$A$1,TQ2+5,1)) - 2, 2),1)=IFERROR(MID(OFFSET(納品書まとめ!$A$1,TQ2+6,1), SEARCH("幼稚園", OFFSET(納品書まとめ!$A$1,TQ2+6,1)) - 2, 2),0),TQ2+8,TQ2+7),TQ2+6),TQ2+5),TQ2+4),TQ2+3),TQ2+2),TQ2+1)),"")</f>
        <v>66</v>
      </c>
      <c r="UB1" s="55"/>
      <c r="UC1" s="41"/>
      <c r="UE1" t="s">
        <v>4006</v>
      </c>
      <c r="UF1" t="str">
        <f ca="1">OFFSET(納品書まとめ!$A$1,UM2-1,0)</f>
        <v>40800</v>
      </c>
      <c r="UH1" s="87" t="s">
        <v>4007</v>
      </c>
      <c r="UI1" s="86"/>
      <c r="UJ1" s="86"/>
      <c r="UK1" s="88"/>
      <c r="UL1" s="55">
        <f ca="1">IFERROR(
IF(OR(COUNTIF(OFFSET(納品書まとめ!$A$1,UB2,1),"*博多*"),COUNTIF(OFFSET(納品書まとめ!$A$1,UB2,1),"*奈良屋*")),UB2+1,
IF(IFERROR(MID(OFFSET(納品書まとめ!$A$1,UB2-1,1), SEARCH("幼稚園", OFFSET(納品書まとめ!$A$1,UB2-1,1)) - 2, 2),1)=IFERROR(MID(OFFSET(納品書まとめ!$A$1,UB2,1), SEARCH("幼稚園", OFFSET(納品書まとめ!$A$1,UB2,1)) - 2, 2),0),
IF(IFERROR(MID(OFFSET(納品書まとめ!$A$1,UB2,1), SEARCH("幼稚園", OFFSET(納品書まとめ!$A$1,UB2,1)) - 2, 2),1)=IFERROR(MID(OFFSET(納品書まとめ!$A$1,UB2+1,1), SEARCH("幼稚園", OFFSET(納品書まとめ!$A$1,UB2+1,1)) - 2, 2),0),
IF(IFERROR(MID(OFFSET(納品書まとめ!$A$1,UB2+1,1), SEARCH("幼稚園", OFFSET(納品書まとめ!$A$1,UB2+1,1)) - 2, 2),1)=IFERROR(MID(OFFSET(納品書まとめ!$A$1,UB2+2,1), SEARCH("幼稚園", OFFSET(納品書まとめ!$A$1,UB2+2,1)) - 2, 2),0),
IF(IFERROR(MID(OFFSET(納品書まとめ!$A$1,UB2+2,1), SEARCH("幼稚園", OFFSET(納品書まとめ!$A$1,UB2+2,1)) - 2, 2),1)=IFERROR(MID(OFFSET(納品書まとめ!$A$1,UB2+3,1), SEARCH("幼稚園", OFFSET(納品書まとめ!$A$1,UB2+3,UB2+3,1)) - 2, 2),0),
IF(IFERROR(MID(OFFSET(納品書まとめ!$A$1,UB2+3,1), SEARCH("幼稚園", OFFSET(納品書まとめ!$A$1,UB2+3,1)) - 2, 2),1)=IFERROR(MID(OFFSET(納品書まとめ!$A$1,UB2+4,1), SEARCH("幼稚園", OFFSET(納品書まとめ!$A$1,UB2+4,1)) - 2, 2),0),
IF(IFERROR(MID(OFFSET(納品書まとめ!$A$1,UB2+4,1), SEARCH("幼稚園", OFFSET(納品書まとめ!$A$1,UB2+4,1)) - 2, 2),1)=IFERROR(MID(OFFSET(納品書まとめ!$A$1,UB2+5,1), SEARCH("幼稚園", OFFSET(納品書まとめ!$A$1,UB2+5,1)) - 2, 2),0),
IF(IFERROR(MID(OFFSET(納品書まとめ!$A$1,UB2+5,1), SEARCH("幼稚園", OFFSET(納品書まとめ!$A$1,UB2+5,1)) - 2, 2),1)=IFERROR(MID(OFFSET(納品書まとめ!$A$1,UB2+6,1), SEARCH("幼稚園", OFFSET(納品書まとめ!$A$1,UB2+6,1)) - 2, 2),0),UB2+8,UB2+7),UB2+6),UB2+5),UB2+4),UB2+3),UB2+2),UB2+1)),"")</f>
        <v>67</v>
      </c>
      <c r="UM1" s="55"/>
      <c r="UN1" s="41"/>
      <c r="UP1" t="s">
        <v>4006</v>
      </c>
      <c r="UQ1" t="str">
        <f ca="1">OFFSET(納品書まとめ!$A$1,UX2-1,0)</f>
        <v>10002</v>
      </c>
      <c r="US1" s="87" t="s">
        <v>4007</v>
      </c>
      <c r="UT1" s="86"/>
      <c r="UU1" s="86"/>
      <c r="UV1" s="88"/>
      <c r="UW1" s="55">
        <f ca="1">IFERROR(
IF(OR(COUNTIF(OFFSET(納品書まとめ!$A$1,UM2,1),"*博多*"),COUNTIF(OFFSET(納品書まとめ!$A$1,UM2,1),"*奈良屋*")),UM2+1,
IF(IFERROR(MID(OFFSET(納品書まとめ!$A$1,UM2-1,1), SEARCH("幼稚園", OFFSET(納品書まとめ!$A$1,UM2-1,1)) - 2, 2),1)=IFERROR(MID(OFFSET(納品書まとめ!$A$1,UM2,1), SEARCH("幼稚園", OFFSET(納品書まとめ!$A$1,UM2,1)) - 2, 2),0),
IF(IFERROR(MID(OFFSET(納品書まとめ!$A$1,UM2,1), SEARCH("幼稚園", OFFSET(納品書まとめ!$A$1,UM2,1)) - 2, 2),1)=IFERROR(MID(OFFSET(納品書まとめ!$A$1,UM2+1,1), SEARCH("幼稚園", OFFSET(納品書まとめ!$A$1,UM2+1,1)) - 2, 2),0),
IF(IFERROR(MID(OFFSET(納品書まとめ!$A$1,UM2+1,1), SEARCH("幼稚園", OFFSET(納品書まとめ!$A$1,UM2+1,1)) - 2, 2),1)=IFERROR(MID(OFFSET(納品書まとめ!$A$1,UM2+2,1), SEARCH("幼稚園", OFFSET(納品書まとめ!$A$1,UM2+2,1)) - 2, 2),0),
IF(IFERROR(MID(OFFSET(納品書まとめ!$A$1,UM2+2,1), SEARCH("幼稚園", OFFSET(納品書まとめ!$A$1,UM2+2,1)) - 2, 2),1)=IFERROR(MID(OFFSET(納品書まとめ!$A$1,UM2+3,1), SEARCH("幼稚園", OFFSET(納品書まとめ!$A$1,UM2+3,UM2+3,1)) - 2, 2),0),
IF(IFERROR(MID(OFFSET(納品書まとめ!$A$1,UM2+3,1), SEARCH("幼稚園", OFFSET(納品書まとめ!$A$1,UM2+3,1)) - 2, 2),1)=IFERROR(MID(OFFSET(納品書まとめ!$A$1,UM2+4,1), SEARCH("幼稚園", OFFSET(納品書まとめ!$A$1,UM2+4,1)) - 2, 2),0),
IF(IFERROR(MID(OFFSET(納品書まとめ!$A$1,UM2+4,1), SEARCH("幼稚園", OFFSET(納品書まとめ!$A$1,UM2+4,1)) - 2, 2),1)=IFERROR(MID(OFFSET(納品書まとめ!$A$1,UM2+5,1), SEARCH("幼稚園", OFFSET(納品書まとめ!$A$1,UM2+5,1)) - 2, 2),0),
IF(IFERROR(MID(OFFSET(納品書まとめ!$A$1,UM2+5,1), SEARCH("幼稚園", OFFSET(納品書まとめ!$A$1,UM2+5,1)) - 2, 2),1)=IFERROR(MID(OFFSET(納品書まとめ!$A$1,UM2+6,1), SEARCH("幼稚園", OFFSET(納品書まとめ!$A$1,UM2+6,1)) - 2, 2),0),UM2+8,UM2+7),UM2+6),UM2+5),UM2+4),UM2+3),UM2+2),UM2+1)),"")</f>
        <v>68</v>
      </c>
      <c r="UX1" s="55"/>
      <c r="UY1" s="41"/>
      <c r="VA1" t="s">
        <v>4006</v>
      </c>
      <c r="VB1" t="e">
        <f ca="1">OFFSET(納品書まとめ!$A$1,VI2-1,0)</f>
        <v>#VALUE!</v>
      </c>
      <c r="VD1" s="87" t="s">
        <v>4007</v>
      </c>
      <c r="VE1" s="86"/>
      <c r="VF1" s="86"/>
      <c r="VG1" s="88"/>
      <c r="VH1" s="55">
        <f ca="1">IFERROR(
IF(OR(COUNTIF(OFFSET(納品書まとめ!$A$1,UX2,1),"*博多*"),COUNTIF(OFFSET(納品書まとめ!$A$1,UX2,1),"*奈良屋*")),UX2+1,
IF(IFERROR(MID(OFFSET(納品書まとめ!$A$1,UX2-1,1), SEARCH("幼稚園", OFFSET(納品書まとめ!$A$1,UX2-1,1)) - 2, 2),1)=IFERROR(MID(OFFSET(納品書まとめ!$A$1,UX2,1), SEARCH("幼稚園", OFFSET(納品書まとめ!$A$1,UX2,1)) - 2, 2),0),
IF(IFERROR(MID(OFFSET(納品書まとめ!$A$1,UX2,1), SEARCH("幼稚園", OFFSET(納品書まとめ!$A$1,UX2,1)) - 2, 2),1)=IFERROR(MID(OFFSET(納品書まとめ!$A$1,UX2+1,1), SEARCH("幼稚園", OFFSET(納品書まとめ!$A$1,UX2+1,1)) - 2, 2),0),
IF(IFERROR(MID(OFFSET(納品書まとめ!$A$1,UX2+1,1), SEARCH("幼稚園", OFFSET(納品書まとめ!$A$1,UX2+1,1)) - 2, 2),1)=IFERROR(MID(OFFSET(納品書まとめ!$A$1,UX2+2,1), SEARCH("幼稚園", OFFSET(納品書まとめ!$A$1,UX2+2,1)) - 2, 2),0),
IF(IFERROR(MID(OFFSET(納品書まとめ!$A$1,UX2+2,1), SEARCH("幼稚園", OFFSET(納品書まとめ!$A$1,UX2+2,1)) - 2, 2),1)=IFERROR(MID(OFFSET(納品書まとめ!$A$1,UX2+3,1), SEARCH("幼稚園", OFFSET(納品書まとめ!$A$1,UX2+3,UX2+3,1)) - 2, 2),0),
IF(IFERROR(MID(OFFSET(納品書まとめ!$A$1,UX2+3,1), SEARCH("幼稚園", OFFSET(納品書まとめ!$A$1,UX2+3,1)) - 2, 2),1)=IFERROR(MID(OFFSET(納品書まとめ!$A$1,UX2+4,1), SEARCH("幼稚園", OFFSET(納品書まとめ!$A$1,UX2+4,1)) - 2, 2),0),
IF(IFERROR(MID(OFFSET(納品書まとめ!$A$1,UX2+4,1), SEARCH("幼稚園", OFFSET(納品書まとめ!$A$1,UX2+4,1)) - 2, 2),1)=IFERROR(MID(OFFSET(納品書まとめ!$A$1,UX2+5,1), SEARCH("幼稚園", OFFSET(納品書まとめ!$A$1,UX2+5,1)) - 2, 2),0),
IF(IFERROR(MID(OFFSET(納品書まとめ!$A$1,UX2+5,1), SEARCH("幼稚園", OFFSET(納品書まとめ!$A$1,UX2+5,1)) - 2, 2),1)=IFERROR(MID(OFFSET(納品書まとめ!$A$1,UX2+6,1), SEARCH("幼稚園", OFFSET(納品書まとめ!$A$1,UX2+6,1)) - 2, 2),0),UX2+8,UX2+7),UX2+6),UX2+5),UX2+4),UX2+3),UX2+2),UX2+1)),"")</f>
        <v>69</v>
      </c>
      <c r="VI1" s="55"/>
      <c r="VJ1" s="41"/>
      <c r="VL1" t="s">
        <v>4006</v>
      </c>
      <c r="VM1" t="e">
        <f ca="1">OFFSET(納品書まとめ!$A$1,VT2-1,0)</f>
        <v>#VALUE!</v>
      </c>
      <c r="VO1" s="87" t="s">
        <v>4007</v>
      </c>
      <c r="VP1" s="86"/>
      <c r="VQ1" s="86"/>
      <c r="VR1" s="88"/>
      <c r="VS1" s="55" t="str">
        <f ca="1">IFERROR(
IF(OR(COUNTIF(OFFSET(納品書まとめ!$A$1,VI2,1),"*博多*"),COUNTIF(OFFSET(納品書まとめ!$A$1,VI2,1),"*奈良屋*")),VI2+1,
IF(IFERROR(MID(OFFSET(納品書まとめ!$A$1,VI2-1,1), SEARCH("幼稚園", OFFSET(納品書まとめ!$A$1,VI2-1,1)) - 2, 2),1)=IFERROR(MID(OFFSET(納品書まとめ!$A$1,VI2,1), SEARCH("幼稚園", OFFSET(納品書まとめ!$A$1,VI2,1)) - 2, 2),0),
IF(IFERROR(MID(OFFSET(納品書まとめ!$A$1,VI2,1), SEARCH("幼稚園", OFFSET(納品書まとめ!$A$1,VI2,1)) - 2, 2),1)=IFERROR(MID(OFFSET(納品書まとめ!$A$1,VI2+1,1), SEARCH("幼稚園", OFFSET(納品書まとめ!$A$1,VI2+1,1)) - 2, 2),0),
IF(IFERROR(MID(OFFSET(納品書まとめ!$A$1,VI2+1,1), SEARCH("幼稚園", OFFSET(納品書まとめ!$A$1,VI2+1,1)) - 2, 2),1)=IFERROR(MID(OFFSET(納品書まとめ!$A$1,VI2+2,1), SEARCH("幼稚園", OFFSET(納品書まとめ!$A$1,VI2+2,1)) - 2, 2),0),
IF(IFERROR(MID(OFFSET(納品書まとめ!$A$1,VI2+2,1), SEARCH("幼稚園", OFFSET(納品書まとめ!$A$1,VI2+2,1)) - 2, 2),1)=IFERROR(MID(OFFSET(納品書まとめ!$A$1,VI2+3,1), SEARCH("幼稚園", OFFSET(納品書まとめ!$A$1,VI2+3,VI2+3,1)) - 2, 2),0),
IF(IFERROR(MID(OFFSET(納品書まとめ!$A$1,VI2+3,1), SEARCH("幼稚園", OFFSET(納品書まとめ!$A$1,VI2+3,1)) - 2, 2),1)=IFERROR(MID(OFFSET(納品書まとめ!$A$1,VI2+4,1), SEARCH("幼稚園", OFFSET(納品書まとめ!$A$1,VI2+4,1)) - 2, 2),0),
IF(IFERROR(MID(OFFSET(納品書まとめ!$A$1,VI2+4,1), SEARCH("幼稚園", OFFSET(納品書まとめ!$A$1,VI2+4,1)) - 2, 2),1)=IFERROR(MID(OFFSET(納品書まとめ!$A$1,VI2+5,1), SEARCH("幼稚園", OFFSET(納品書まとめ!$A$1,VI2+5,1)) - 2, 2),0),
IF(IFERROR(MID(OFFSET(納品書まとめ!$A$1,VI2+5,1), SEARCH("幼稚園", OFFSET(納品書まとめ!$A$1,VI2+5,1)) - 2, 2),1)=IFERROR(MID(OFFSET(納品書まとめ!$A$1,VI2+6,1), SEARCH("幼稚園", OFFSET(納品書まとめ!$A$1,VI2+6,1)) - 2, 2),0),VI2+8,VI2+7),VI2+6),VI2+5),VI2+4),VI2+3),VI2+2),VI2+1)),"")</f>
        <v/>
      </c>
      <c r="VT1" s="55"/>
      <c r="VU1" s="41"/>
      <c r="VW1" t="s">
        <v>4006</v>
      </c>
      <c r="VX1" t="e">
        <f ca="1">OFFSET(納品書まとめ!$A$1,WE2-1,0)</f>
        <v>#VALUE!</v>
      </c>
      <c r="VZ1" s="87" t="s">
        <v>4007</v>
      </c>
      <c r="WA1" s="86"/>
      <c r="WB1" s="86"/>
      <c r="WC1" s="88"/>
      <c r="WD1" s="55" t="str">
        <f ca="1">IFERROR(
IF(OR(COUNTIF(OFFSET(納品書まとめ!$A$1,VT2,1),"*博多*"),COUNTIF(OFFSET(納品書まとめ!$A$1,VT2,1),"*奈良屋*")),VT2+1,
IF(IFERROR(MID(OFFSET(納品書まとめ!$A$1,VT2-1,1), SEARCH("幼稚園", OFFSET(納品書まとめ!$A$1,VT2-1,1)) - 2, 2),1)=IFERROR(MID(OFFSET(納品書まとめ!$A$1,VT2,1), SEARCH("幼稚園", OFFSET(納品書まとめ!$A$1,VT2,1)) - 2, 2),0),
IF(IFERROR(MID(OFFSET(納品書まとめ!$A$1,VT2,1), SEARCH("幼稚園", OFFSET(納品書まとめ!$A$1,VT2,1)) - 2, 2),1)=IFERROR(MID(OFFSET(納品書まとめ!$A$1,VT2+1,1), SEARCH("幼稚園", OFFSET(納品書まとめ!$A$1,VT2+1,1)) - 2, 2),0),
IF(IFERROR(MID(OFFSET(納品書まとめ!$A$1,VT2+1,1), SEARCH("幼稚園", OFFSET(納品書まとめ!$A$1,VT2+1,1)) - 2, 2),1)=IFERROR(MID(OFFSET(納品書まとめ!$A$1,VT2+2,1), SEARCH("幼稚園", OFFSET(納品書まとめ!$A$1,VT2+2,1)) - 2, 2),0),
IF(IFERROR(MID(OFFSET(納品書まとめ!$A$1,VT2+2,1), SEARCH("幼稚園", OFFSET(納品書まとめ!$A$1,VT2+2,1)) - 2, 2),1)=IFERROR(MID(OFFSET(納品書まとめ!$A$1,VT2+3,1), SEARCH("幼稚園", OFFSET(納品書まとめ!$A$1,VT2+3,VT2+3,1)) - 2, 2),0),
IF(IFERROR(MID(OFFSET(納品書まとめ!$A$1,VT2+3,1), SEARCH("幼稚園", OFFSET(納品書まとめ!$A$1,VT2+3,1)) - 2, 2),1)=IFERROR(MID(OFFSET(納品書まとめ!$A$1,VT2+4,1), SEARCH("幼稚園", OFFSET(納品書まとめ!$A$1,VT2+4,1)) - 2, 2),0),
IF(IFERROR(MID(OFFSET(納品書まとめ!$A$1,VT2+4,1), SEARCH("幼稚園", OFFSET(納品書まとめ!$A$1,VT2+4,1)) - 2, 2),1)=IFERROR(MID(OFFSET(納品書まとめ!$A$1,VT2+5,1), SEARCH("幼稚園", OFFSET(納品書まとめ!$A$1,VT2+5,1)) - 2, 2),0),
IF(IFERROR(MID(OFFSET(納品書まとめ!$A$1,VT2+5,1), SEARCH("幼稚園", OFFSET(納品書まとめ!$A$1,VT2+5,1)) - 2, 2),1)=IFERROR(MID(OFFSET(納品書まとめ!$A$1,VT2+6,1), SEARCH("幼稚園", OFFSET(納品書まとめ!$A$1,VT2+6,1)) - 2, 2),0),VT2+8,VT2+7),VT2+6),VT2+5),VT2+4),VT2+3),VT2+2),VT2+1)),"")</f>
        <v/>
      </c>
      <c r="WE1" s="55"/>
      <c r="WF1" s="41"/>
      <c r="WH1" t="s">
        <v>4006</v>
      </c>
      <c r="WI1" t="e">
        <f ca="1">OFFSET(納品書まとめ!$A$1,WP2-1,0)</f>
        <v>#VALUE!</v>
      </c>
      <c r="WK1" s="87" t="s">
        <v>4007</v>
      </c>
      <c r="WL1" s="86"/>
      <c r="WM1" s="86"/>
      <c r="WN1" s="88"/>
      <c r="WO1" s="55" t="str">
        <f ca="1">IFERROR(
IF(OR(COUNTIF(OFFSET(納品書まとめ!$A$1,WE2,1),"*博多*"),COUNTIF(OFFSET(納品書まとめ!$A$1,WE2,1),"*奈良屋*")),WE2+1,
IF(IFERROR(MID(OFFSET(納品書まとめ!$A$1,WE2-1,1), SEARCH("幼稚園", OFFSET(納品書まとめ!$A$1,WE2-1,1)) - 2, 2),1)=IFERROR(MID(OFFSET(納品書まとめ!$A$1,WE2,1), SEARCH("幼稚園", OFFSET(納品書まとめ!$A$1,WE2,1)) - 2, 2),0),
IF(IFERROR(MID(OFFSET(納品書まとめ!$A$1,WE2,1), SEARCH("幼稚園", OFFSET(納品書まとめ!$A$1,WE2,1)) - 2, 2),1)=IFERROR(MID(OFFSET(納品書まとめ!$A$1,WE2+1,1), SEARCH("幼稚園", OFFSET(納品書まとめ!$A$1,WE2+1,1)) - 2, 2),0),
IF(IFERROR(MID(OFFSET(納品書まとめ!$A$1,WE2+1,1), SEARCH("幼稚園", OFFSET(納品書まとめ!$A$1,WE2+1,1)) - 2, 2),1)=IFERROR(MID(OFFSET(納品書まとめ!$A$1,WE2+2,1), SEARCH("幼稚園", OFFSET(納品書まとめ!$A$1,WE2+2,1)) - 2, 2),0),
IF(IFERROR(MID(OFFSET(納品書まとめ!$A$1,WE2+2,1), SEARCH("幼稚園", OFFSET(納品書まとめ!$A$1,WE2+2,1)) - 2, 2),1)=IFERROR(MID(OFFSET(納品書まとめ!$A$1,WE2+3,1), SEARCH("幼稚園", OFFSET(納品書まとめ!$A$1,WE2+3,WE2+3,1)) - 2, 2),0),
IF(IFERROR(MID(OFFSET(納品書まとめ!$A$1,WE2+3,1), SEARCH("幼稚園", OFFSET(納品書まとめ!$A$1,WE2+3,1)) - 2, 2),1)=IFERROR(MID(OFFSET(納品書まとめ!$A$1,WE2+4,1), SEARCH("幼稚園", OFFSET(納品書まとめ!$A$1,WE2+4,1)) - 2, 2),0),
IF(IFERROR(MID(OFFSET(納品書まとめ!$A$1,WE2+4,1), SEARCH("幼稚園", OFFSET(納品書まとめ!$A$1,WE2+4,1)) - 2, 2),1)=IFERROR(MID(OFFSET(納品書まとめ!$A$1,WE2+5,1), SEARCH("幼稚園", OFFSET(納品書まとめ!$A$1,WE2+5,1)) - 2, 2),0),
IF(IFERROR(MID(OFFSET(納品書まとめ!$A$1,WE2+5,1), SEARCH("幼稚園", OFFSET(納品書まとめ!$A$1,WE2+5,1)) - 2, 2),1)=IFERROR(MID(OFFSET(納品書まとめ!$A$1,WE2+6,1), SEARCH("幼稚園", OFFSET(納品書まとめ!$A$1,WE2+6,1)) - 2, 2),0),WE2+8,WE2+7),WE2+6),WE2+5),WE2+4),WE2+3),WE2+2),WE2+1)),"")</f>
        <v/>
      </c>
      <c r="WP1" s="55"/>
      <c r="WQ1" s="41"/>
      <c r="WS1" t="s">
        <v>4006</v>
      </c>
      <c r="WT1" t="e">
        <f ca="1">OFFSET(納品書まとめ!$A$1,XA2-1,0)</f>
        <v>#VALUE!</v>
      </c>
      <c r="WV1" s="87" t="s">
        <v>4007</v>
      </c>
      <c r="WW1" s="86"/>
      <c r="WX1" s="86"/>
      <c r="WY1" s="88"/>
      <c r="WZ1" s="55" t="str">
        <f ca="1">IFERROR(
IF(OR(COUNTIF(OFFSET(納品書まとめ!$A$1,WP2,1),"*博多*"),COUNTIF(OFFSET(納品書まとめ!$A$1,WP2,1),"*奈良屋*")),WP2+1,
IF(IFERROR(MID(OFFSET(納品書まとめ!$A$1,WP2-1,1), SEARCH("幼稚園", OFFSET(納品書まとめ!$A$1,WP2-1,1)) - 2, 2),1)=IFERROR(MID(OFFSET(納品書まとめ!$A$1,WP2,1), SEARCH("幼稚園", OFFSET(納品書まとめ!$A$1,WP2,1)) - 2, 2),0),
IF(IFERROR(MID(OFFSET(納品書まとめ!$A$1,WP2,1), SEARCH("幼稚園", OFFSET(納品書まとめ!$A$1,WP2,1)) - 2, 2),1)=IFERROR(MID(OFFSET(納品書まとめ!$A$1,WP2+1,1), SEARCH("幼稚園", OFFSET(納品書まとめ!$A$1,WP2+1,1)) - 2, 2),0),
IF(IFERROR(MID(OFFSET(納品書まとめ!$A$1,WP2+1,1), SEARCH("幼稚園", OFFSET(納品書まとめ!$A$1,WP2+1,1)) - 2, 2),1)=IFERROR(MID(OFFSET(納品書まとめ!$A$1,WP2+2,1), SEARCH("幼稚園", OFFSET(納品書まとめ!$A$1,WP2+2,1)) - 2, 2),0),
IF(IFERROR(MID(OFFSET(納品書まとめ!$A$1,WP2+2,1), SEARCH("幼稚園", OFFSET(納品書まとめ!$A$1,WP2+2,1)) - 2, 2),1)=IFERROR(MID(OFFSET(納品書まとめ!$A$1,WP2+3,1), SEARCH("幼稚園", OFFSET(納品書まとめ!$A$1,WP2+3,WP2+3,1)) - 2, 2),0),
IF(IFERROR(MID(OFFSET(納品書まとめ!$A$1,WP2+3,1), SEARCH("幼稚園", OFFSET(納品書まとめ!$A$1,WP2+3,1)) - 2, 2),1)=IFERROR(MID(OFFSET(納品書まとめ!$A$1,WP2+4,1), SEARCH("幼稚園", OFFSET(納品書まとめ!$A$1,WP2+4,1)) - 2, 2),0),
IF(IFERROR(MID(OFFSET(納品書まとめ!$A$1,WP2+4,1), SEARCH("幼稚園", OFFSET(納品書まとめ!$A$1,WP2+4,1)) - 2, 2),1)=IFERROR(MID(OFFSET(納品書まとめ!$A$1,WP2+5,1), SEARCH("幼稚園", OFFSET(納品書まとめ!$A$1,WP2+5,1)) - 2, 2),0),
IF(IFERROR(MID(OFFSET(納品書まとめ!$A$1,WP2+5,1), SEARCH("幼稚園", OFFSET(納品書まとめ!$A$1,WP2+5,1)) - 2, 2),1)=IFERROR(MID(OFFSET(納品書まとめ!$A$1,WP2+6,1), SEARCH("幼稚園", OFFSET(納品書まとめ!$A$1,WP2+6,1)) - 2, 2),0),WP2+8,WP2+7),WP2+6),WP2+5),WP2+4),WP2+3),WP2+2),WP2+1)),"")</f>
        <v/>
      </c>
      <c r="XA1" s="55"/>
      <c r="XB1" s="41"/>
      <c r="XD1" t="s">
        <v>4006</v>
      </c>
      <c r="XE1" t="e">
        <f ca="1">OFFSET(納品書まとめ!$A$1,XL2-1,0)</f>
        <v>#VALUE!</v>
      </c>
      <c r="XG1" s="87" t="s">
        <v>4007</v>
      </c>
      <c r="XH1" s="86"/>
      <c r="XI1" s="86"/>
      <c r="XJ1" s="88"/>
      <c r="XK1" s="55" t="str">
        <f ca="1">IFERROR(
IF(OR(COUNTIF(OFFSET(納品書まとめ!$A$1,XA2,1),"*博多*"),COUNTIF(OFFSET(納品書まとめ!$A$1,XA2,1),"*奈良屋*")),XA2+1,
IF(IFERROR(MID(OFFSET(納品書まとめ!$A$1,XA2-1,1), SEARCH("幼稚園", OFFSET(納品書まとめ!$A$1,XA2-1,1)) - 2, 2),1)=IFERROR(MID(OFFSET(納品書まとめ!$A$1,XA2,1), SEARCH("幼稚園", OFFSET(納品書まとめ!$A$1,XA2,1)) - 2, 2),0),
IF(IFERROR(MID(OFFSET(納品書まとめ!$A$1,XA2,1), SEARCH("幼稚園", OFFSET(納品書まとめ!$A$1,XA2,1)) - 2, 2),1)=IFERROR(MID(OFFSET(納品書まとめ!$A$1,XA2+1,1), SEARCH("幼稚園", OFFSET(納品書まとめ!$A$1,XA2+1,1)) - 2, 2),0),
IF(IFERROR(MID(OFFSET(納品書まとめ!$A$1,XA2+1,1), SEARCH("幼稚園", OFFSET(納品書まとめ!$A$1,XA2+1,1)) - 2, 2),1)=IFERROR(MID(OFFSET(納品書まとめ!$A$1,XA2+2,1), SEARCH("幼稚園", OFFSET(納品書まとめ!$A$1,XA2+2,1)) - 2, 2),0),
IF(IFERROR(MID(OFFSET(納品書まとめ!$A$1,XA2+2,1), SEARCH("幼稚園", OFFSET(納品書まとめ!$A$1,XA2+2,1)) - 2, 2),1)=IFERROR(MID(OFFSET(納品書まとめ!$A$1,XA2+3,1), SEARCH("幼稚園", OFFSET(納品書まとめ!$A$1,XA2+3,XA2+3,1)) - 2, 2),0),
IF(IFERROR(MID(OFFSET(納品書まとめ!$A$1,XA2+3,1), SEARCH("幼稚園", OFFSET(納品書まとめ!$A$1,XA2+3,1)) - 2, 2),1)=IFERROR(MID(OFFSET(納品書まとめ!$A$1,XA2+4,1), SEARCH("幼稚園", OFFSET(納品書まとめ!$A$1,XA2+4,1)) - 2, 2),0),
IF(IFERROR(MID(OFFSET(納品書まとめ!$A$1,XA2+4,1), SEARCH("幼稚園", OFFSET(納品書まとめ!$A$1,XA2+4,1)) - 2, 2),1)=IFERROR(MID(OFFSET(納品書まとめ!$A$1,XA2+5,1), SEARCH("幼稚園", OFFSET(納品書まとめ!$A$1,XA2+5,1)) - 2, 2),0),
IF(IFERROR(MID(OFFSET(納品書まとめ!$A$1,XA2+5,1), SEARCH("幼稚園", OFFSET(納品書まとめ!$A$1,XA2+5,1)) - 2, 2),1)=IFERROR(MID(OFFSET(納品書まとめ!$A$1,XA2+6,1), SEARCH("幼稚園", OFFSET(納品書まとめ!$A$1,XA2+6,1)) - 2, 2),0),XA2+8,XA2+7),XA2+6),XA2+5),XA2+4),XA2+3),XA2+2),XA2+1)),"")</f>
        <v/>
      </c>
      <c r="XL1" s="55"/>
      <c r="XM1" s="41"/>
      <c r="XO1" t="s">
        <v>4006</v>
      </c>
      <c r="XP1" t="e">
        <f ca="1">OFFSET(納品書まとめ!$A$1,XW2-1,0)</f>
        <v>#VALUE!</v>
      </c>
      <c r="XR1" s="87" t="s">
        <v>4007</v>
      </c>
      <c r="XS1" s="86"/>
      <c r="XT1" s="86"/>
      <c r="XU1" s="88"/>
      <c r="XV1" s="55" t="str">
        <f ca="1">IFERROR(
IF(OR(COUNTIF(OFFSET(納品書まとめ!$A$1,XL2,1),"*博多*"),COUNTIF(OFFSET(納品書まとめ!$A$1,XL2,1),"*奈良屋*")),XL2+1,
IF(IFERROR(MID(OFFSET(納品書まとめ!$A$1,XL2-1,1), SEARCH("幼稚園", OFFSET(納品書まとめ!$A$1,XL2-1,1)) - 2, 2),1)=IFERROR(MID(OFFSET(納品書まとめ!$A$1,XL2,1), SEARCH("幼稚園", OFFSET(納品書まとめ!$A$1,XL2,1)) - 2, 2),0),
IF(IFERROR(MID(OFFSET(納品書まとめ!$A$1,XL2,1), SEARCH("幼稚園", OFFSET(納品書まとめ!$A$1,XL2,1)) - 2, 2),1)=IFERROR(MID(OFFSET(納品書まとめ!$A$1,XL2+1,1), SEARCH("幼稚園", OFFSET(納品書まとめ!$A$1,XL2+1,1)) - 2, 2),0),
IF(IFERROR(MID(OFFSET(納品書まとめ!$A$1,XL2+1,1), SEARCH("幼稚園", OFFSET(納品書まとめ!$A$1,XL2+1,1)) - 2, 2),1)=IFERROR(MID(OFFSET(納品書まとめ!$A$1,XL2+2,1), SEARCH("幼稚園", OFFSET(納品書まとめ!$A$1,XL2+2,1)) - 2, 2),0),
IF(IFERROR(MID(OFFSET(納品書まとめ!$A$1,XL2+2,1), SEARCH("幼稚園", OFFSET(納品書まとめ!$A$1,XL2+2,1)) - 2, 2),1)=IFERROR(MID(OFFSET(納品書まとめ!$A$1,XL2+3,1), SEARCH("幼稚園", OFFSET(納品書まとめ!$A$1,XL2+3,XL2+3,1)) - 2, 2),0),
IF(IFERROR(MID(OFFSET(納品書まとめ!$A$1,XL2+3,1), SEARCH("幼稚園", OFFSET(納品書まとめ!$A$1,XL2+3,1)) - 2, 2),1)=IFERROR(MID(OFFSET(納品書まとめ!$A$1,XL2+4,1), SEARCH("幼稚園", OFFSET(納品書まとめ!$A$1,XL2+4,1)) - 2, 2),0),
IF(IFERROR(MID(OFFSET(納品書まとめ!$A$1,XL2+4,1), SEARCH("幼稚園", OFFSET(納品書まとめ!$A$1,XL2+4,1)) - 2, 2),1)=IFERROR(MID(OFFSET(納品書まとめ!$A$1,XL2+5,1), SEARCH("幼稚園", OFFSET(納品書まとめ!$A$1,XL2+5,1)) - 2, 2),0),
IF(IFERROR(MID(OFFSET(納品書まとめ!$A$1,XL2+5,1), SEARCH("幼稚園", OFFSET(納品書まとめ!$A$1,XL2+5,1)) - 2, 2),1)=IFERROR(MID(OFFSET(納品書まとめ!$A$1,XL2+6,1), SEARCH("幼稚園", OFFSET(納品書まとめ!$A$1,XL2+6,1)) - 2, 2),0),XL2+8,XL2+7),XL2+6),XL2+5),XL2+4),XL2+3),XL2+2),XL2+1)),"")</f>
        <v/>
      </c>
      <c r="XW1" s="55"/>
      <c r="XX1" s="41"/>
      <c r="XZ1" t="s">
        <v>4006</v>
      </c>
      <c r="YA1" t="e">
        <f ca="1">OFFSET(納品書まとめ!$A$1,YH2-1,0)</f>
        <v>#VALUE!</v>
      </c>
      <c r="YC1" s="87" t="s">
        <v>4007</v>
      </c>
      <c r="YD1" s="86"/>
      <c r="YE1" s="86"/>
      <c r="YF1" s="88"/>
      <c r="YG1" s="55" t="str">
        <f ca="1">IFERROR(
IF(OR(COUNTIF(OFFSET(納品書まとめ!$A$1,XW2,1),"*博多*"),COUNTIF(OFFSET(納品書まとめ!$A$1,XW2,1),"*奈良屋*")),XW2+1,
IF(IFERROR(MID(OFFSET(納品書まとめ!$A$1,XW2-1,1), SEARCH("幼稚園", OFFSET(納品書まとめ!$A$1,XW2-1,1)) - 2, 2),1)=IFERROR(MID(OFFSET(納品書まとめ!$A$1,XW2,1), SEARCH("幼稚園", OFFSET(納品書まとめ!$A$1,XW2,1)) - 2, 2),0),
IF(IFERROR(MID(OFFSET(納品書まとめ!$A$1,XW2,1), SEARCH("幼稚園", OFFSET(納品書まとめ!$A$1,XW2,1)) - 2, 2),1)=IFERROR(MID(OFFSET(納品書まとめ!$A$1,XW2+1,1), SEARCH("幼稚園", OFFSET(納品書まとめ!$A$1,XW2+1,1)) - 2, 2),0),
IF(IFERROR(MID(OFFSET(納品書まとめ!$A$1,XW2+1,1), SEARCH("幼稚園", OFFSET(納品書まとめ!$A$1,XW2+1,1)) - 2, 2),1)=IFERROR(MID(OFFSET(納品書まとめ!$A$1,XW2+2,1), SEARCH("幼稚園", OFFSET(納品書まとめ!$A$1,XW2+2,1)) - 2, 2),0),
IF(IFERROR(MID(OFFSET(納品書まとめ!$A$1,XW2+2,1), SEARCH("幼稚園", OFFSET(納品書まとめ!$A$1,XW2+2,1)) - 2, 2),1)=IFERROR(MID(OFFSET(納品書まとめ!$A$1,XW2+3,1), SEARCH("幼稚園", OFFSET(納品書まとめ!$A$1,XW2+3,XW2+3,1)) - 2, 2),0),
IF(IFERROR(MID(OFFSET(納品書まとめ!$A$1,XW2+3,1), SEARCH("幼稚園", OFFSET(納品書まとめ!$A$1,XW2+3,1)) - 2, 2),1)=IFERROR(MID(OFFSET(納品書まとめ!$A$1,XW2+4,1), SEARCH("幼稚園", OFFSET(納品書まとめ!$A$1,XW2+4,1)) - 2, 2),0),
IF(IFERROR(MID(OFFSET(納品書まとめ!$A$1,XW2+4,1), SEARCH("幼稚園", OFFSET(納品書まとめ!$A$1,XW2+4,1)) - 2, 2),1)=IFERROR(MID(OFFSET(納品書まとめ!$A$1,XW2+5,1), SEARCH("幼稚園", OFFSET(納品書まとめ!$A$1,XW2+5,1)) - 2, 2),0),
IF(IFERROR(MID(OFFSET(納品書まとめ!$A$1,XW2+5,1), SEARCH("幼稚園", OFFSET(納品書まとめ!$A$1,XW2+5,1)) - 2, 2),1)=IFERROR(MID(OFFSET(納品書まとめ!$A$1,XW2+6,1), SEARCH("幼稚園", OFFSET(納品書まとめ!$A$1,XW2+6,1)) - 2, 2),0),XW2+8,XW2+7),XW2+6),XW2+5),XW2+4),XW2+3),XW2+2),XW2+1)),"")</f>
        <v/>
      </c>
      <c r="YH1" s="55"/>
      <c r="YI1" s="41"/>
      <c r="YK1" t="s">
        <v>4006</v>
      </c>
      <c r="YL1" t="e">
        <f ca="1">OFFSET(納品書まとめ!$A$1,YS2-1,0)</f>
        <v>#VALUE!</v>
      </c>
      <c r="YN1" s="87" t="s">
        <v>4007</v>
      </c>
      <c r="YO1" s="86"/>
      <c r="YP1" s="86"/>
      <c r="YQ1" s="88"/>
      <c r="YR1" s="55" t="str">
        <f ca="1">IFERROR(
IF(OR(COUNTIF(OFFSET(納品書まとめ!$A$1,YH2,1),"*博多*"),COUNTIF(OFFSET(納品書まとめ!$A$1,YH2,1),"*奈良屋*")),YH2+1,
IF(IFERROR(MID(OFFSET(納品書まとめ!$A$1,YH2-1,1), SEARCH("幼稚園", OFFSET(納品書まとめ!$A$1,YH2-1,1)) - 2, 2),1)=IFERROR(MID(OFFSET(納品書まとめ!$A$1,YH2,1), SEARCH("幼稚園", OFFSET(納品書まとめ!$A$1,YH2,1)) - 2, 2),0),
IF(IFERROR(MID(OFFSET(納品書まとめ!$A$1,YH2,1), SEARCH("幼稚園", OFFSET(納品書まとめ!$A$1,YH2,1)) - 2, 2),1)=IFERROR(MID(OFFSET(納品書まとめ!$A$1,YH2+1,1), SEARCH("幼稚園", OFFSET(納品書まとめ!$A$1,YH2+1,1)) - 2, 2),0),
IF(IFERROR(MID(OFFSET(納品書まとめ!$A$1,YH2+1,1), SEARCH("幼稚園", OFFSET(納品書まとめ!$A$1,YH2+1,1)) - 2, 2),1)=IFERROR(MID(OFFSET(納品書まとめ!$A$1,YH2+2,1), SEARCH("幼稚園", OFFSET(納品書まとめ!$A$1,YH2+2,1)) - 2, 2),0),
IF(IFERROR(MID(OFFSET(納品書まとめ!$A$1,YH2+2,1), SEARCH("幼稚園", OFFSET(納品書まとめ!$A$1,YH2+2,1)) - 2, 2),1)=IFERROR(MID(OFFSET(納品書まとめ!$A$1,YH2+3,1), SEARCH("幼稚園", OFFSET(納品書まとめ!$A$1,YH2+3,YH2+3,1)) - 2, 2),0),
IF(IFERROR(MID(OFFSET(納品書まとめ!$A$1,YH2+3,1), SEARCH("幼稚園", OFFSET(納品書まとめ!$A$1,YH2+3,1)) - 2, 2),1)=IFERROR(MID(OFFSET(納品書まとめ!$A$1,YH2+4,1), SEARCH("幼稚園", OFFSET(納品書まとめ!$A$1,YH2+4,1)) - 2, 2),0),
IF(IFERROR(MID(OFFSET(納品書まとめ!$A$1,YH2+4,1), SEARCH("幼稚園", OFFSET(納品書まとめ!$A$1,YH2+4,1)) - 2, 2),1)=IFERROR(MID(OFFSET(納品書まとめ!$A$1,YH2+5,1), SEARCH("幼稚園", OFFSET(納品書まとめ!$A$1,YH2+5,1)) - 2, 2),0),
IF(IFERROR(MID(OFFSET(納品書まとめ!$A$1,YH2+5,1), SEARCH("幼稚園", OFFSET(納品書まとめ!$A$1,YH2+5,1)) - 2, 2),1)=IFERROR(MID(OFFSET(納品書まとめ!$A$1,YH2+6,1), SEARCH("幼稚園", OFFSET(納品書まとめ!$A$1,YH2+6,1)) - 2, 2),0),YH2+8,YH2+7),YH2+6),YH2+5),YH2+4),YH2+3),YH2+2),YH2+1)),"")</f>
        <v/>
      </c>
      <c r="YS1" s="55"/>
      <c r="YT1" s="41"/>
      <c r="YV1" t="s">
        <v>4006</v>
      </c>
      <c r="YW1" t="e">
        <f ca="1">OFFSET(納品書まとめ!$A$1,ZD2-1,0)</f>
        <v>#VALUE!</v>
      </c>
      <c r="YY1" s="87" t="s">
        <v>4007</v>
      </c>
      <c r="YZ1" s="86"/>
      <c r="ZA1" s="86"/>
      <c r="ZB1" s="88"/>
      <c r="ZC1" s="55" t="str">
        <f ca="1">IFERROR(
IF(OR(COUNTIF(OFFSET(納品書まとめ!$A$1,YS2,1),"*博多*"),COUNTIF(OFFSET(納品書まとめ!$A$1,YS2,1),"*奈良屋*")),YS2+1,
IF(IFERROR(MID(OFFSET(納品書まとめ!$A$1,YS2-1,1), SEARCH("幼稚園", OFFSET(納品書まとめ!$A$1,YS2-1,1)) - 2, 2),1)=IFERROR(MID(OFFSET(納品書まとめ!$A$1,YS2,1), SEARCH("幼稚園", OFFSET(納品書まとめ!$A$1,YS2,1)) - 2, 2),0),
IF(IFERROR(MID(OFFSET(納品書まとめ!$A$1,YS2,1), SEARCH("幼稚園", OFFSET(納品書まとめ!$A$1,YS2,1)) - 2, 2),1)=IFERROR(MID(OFFSET(納品書まとめ!$A$1,YS2+1,1), SEARCH("幼稚園", OFFSET(納品書まとめ!$A$1,YS2+1,1)) - 2, 2),0),
IF(IFERROR(MID(OFFSET(納品書まとめ!$A$1,YS2+1,1), SEARCH("幼稚園", OFFSET(納品書まとめ!$A$1,YS2+1,1)) - 2, 2),1)=IFERROR(MID(OFFSET(納品書まとめ!$A$1,YS2+2,1), SEARCH("幼稚園", OFFSET(納品書まとめ!$A$1,YS2+2,1)) - 2, 2),0),
IF(IFERROR(MID(OFFSET(納品書まとめ!$A$1,YS2+2,1), SEARCH("幼稚園", OFFSET(納品書まとめ!$A$1,YS2+2,1)) - 2, 2),1)=IFERROR(MID(OFFSET(納品書まとめ!$A$1,YS2+3,1), SEARCH("幼稚園", OFFSET(納品書まとめ!$A$1,YS2+3,YS2+3,1)) - 2, 2),0),
IF(IFERROR(MID(OFFSET(納品書まとめ!$A$1,YS2+3,1), SEARCH("幼稚園", OFFSET(納品書まとめ!$A$1,YS2+3,1)) - 2, 2),1)=IFERROR(MID(OFFSET(納品書まとめ!$A$1,YS2+4,1), SEARCH("幼稚園", OFFSET(納品書まとめ!$A$1,YS2+4,1)) - 2, 2),0),
IF(IFERROR(MID(OFFSET(納品書まとめ!$A$1,YS2+4,1), SEARCH("幼稚園", OFFSET(納品書まとめ!$A$1,YS2+4,1)) - 2, 2),1)=IFERROR(MID(OFFSET(納品書まとめ!$A$1,YS2+5,1), SEARCH("幼稚園", OFFSET(納品書まとめ!$A$1,YS2+5,1)) - 2, 2),0),
IF(IFERROR(MID(OFFSET(納品書まとめ!$A$1,YS2+5,1), SEARCH("幼稚園", OFFSET(納品書まとめ!$A$1,YS2+5,1)) - 2, 2),1)=IFERROR(MID(OFFSET(納品書まとめ!$A$1,YS2+6,1), SEARCH("幼稚園", OFFSET(納品書まとめ!$A$1,YS2+6,1)) - 2, 2),0),YS2+8,YS2+7),YS2+6),YS2+5),YS2+4),YS2+3),YS2+2),YS2+1)),"")</f>
        <v/>
      </c>
      <c r="ZD1" s="55"/>
      <c r="ZE1" s="41"/>
      <c r="ZG1" t="s">
        <v>4006</v>
      </c>
      <c r="ZH1" t="e">
        <f ca="1">OFFSET(納品書まとめ!$A$1,ZO2-1,0)</f>
        <v>#VALUE!</v>
      </c>
      <c r="ZJ1" s="87" t="s">
        <v>4007</v>
      </c>
      <c r="ZK1" s="86"/>
      <c r="ZL1" s="86"/>
      <c r="ZM1" s="88"/>
      <c r="ZN1" s="55" t="str">
        <f ca="1">IFERROR(
IF(OR(COUNTIF(OFFSET(納品書まとめ!$A$1,ZD2,1),"*博多*"),COUNTIF(OFFSET(納品書まとめ!$A$1,ZD2,1),"*奈良屋*")),ZD2+1,
IF(IFERROR(MID(OFFSET(納品書まとめ!$A$1,ZD2-1,1), SEARCH("幼稚園", OFFSET(納品書まとめ!$A$1,ZD2-1,1)) - 2, 2),1)=IFERROR(MID(OFFSET(納品書まとめ!$A$1,ZD2,1), SEARCH("幼稚園", OFFSET(納品書まとめ!$A$1,ZD2,1)) - 2, 2),0),
IF(IFERROR(MID(OFFSET(納品書まとめ!$A$1,ZD2,1), SEARCH("幼稚園", OFFSET(納品書まとめ!$A$1,ZD2,1)) - 2, 2),1)=IFERROR(MID(OFFSET(納品書まとめ!$A$1,ZD2+1,1), SEARCH("幼稚園", OFFSET(納品書まとめ!$A$1,ZD2+1,1)) - 2, 2),0),
IF(IFERROR(MID(OFFSET(納品書まとめ!$A$1,ZD2+1,1), SEARCH("幼稚園", OFFSET(納品書まとめ!$A$1,ZD2+1,1)) - 2, 2),1)=IFERROR(MID(OFFSET(納品書まとめ!$A$1,ZD2+2,1), SEARCH("幼稚園", OFFSET(納品書まとめ!$A$1,ZD2+2,1)) - 2, 2),0),
IF(IFERROR(MID(OFFSET(納品書まとめ!$A$1,ZD2+2,1), SEARCH("幼稚園", OFFSET(納品書まとめ!$A$1,ZD2+2,1)) - 2, 2),1)=IFERROR(MID(OFFSET(納品書まとめ!$A$1,ZD2+3,1), SEARCH("幼稚園", OFFSET(納品書まとめ!$A$1,ZD2+3,ZD2+3,1)) - 2, 2),0),
IF(IFERROR(MID(OFFSET(納品書まとめ!$A$1,ZD2+3,1), SEARCH("幼稚園", OFFSET(納品書まとめ!$A$1,ZD2+3,1)) - 2, 2),1)=IFERROR(MID(OFFSET(納品書まとめ!$A$1,ZD2+4,1), SEARCH("幼稚園", OFFSET(納品書まとめ!$A$1,ZD2+4,1)) - 2, 2),0),
IF(IFERROR(MID(OFFSET(納品書まとめ!$A$1,ZD2+4,1), SEARCH("幼稚園", OFFSET(納品書まとめ!$A$1,ZD2+4,1)) - 2, 2),1)=IFERROR(MID(OFFSET(納品書まとめ!$A$1,ZD2+5,1), SEARCH("幼稚園", OFFSET(納品書まとめ!$A$1,ZD2+5,1)) - 2, 2),0),
IF(IFERROR(MID(OFFSET(納品書まとめ!$A$1,ZD2+5,1), SEARCH("幼稚園", OFFSET(納品書まとめ!$A$1,ZD2+5,1)) - 2, 2),1)=IFERROR(MID(OFFSET(納品書まとめ!$A$1,ZD2+6,1), SEARCH("幼稚園", OFFSET(納品書まとめ!$A$1,ZD2+6,1)) - 2, 2),0),ZD2+8,ZD2+7),ZD2+6),ZD2+5),ZD2+4),ZD2+3),ZD2+2),ZD2+1)),"")</f>
        <v/>
      </c>
      <c r="ZO1" s="55"/>
      <c r="ZP1" s="41"/>
      <c r="ZR1" t="s">
        <v>4006</v>
      </c>
      <c r="ZS1" t="e">
        <f ca="1">OFFSET(納品書まとめ!$A$1,ZZ2-1,0)</f>
        <v>#VALUE!</v>
      </c>
      <c r="ZU1" s="87" t="s">
        <v>4007</v>
      </c>
      <c r="ZV1" s="86"/>
      <c r="ZW1" s="86"/>
      <c r="ZX1" s="88"/>
      <c r="ZY1" s="55" t="str">
        <f ca="1">IFERROR(
IF(OR(COUNTIF(OFFSET(納品書まとめ!$A$1,ZO2,1),"*博多*"),COUNTIF(OFFSET(納品書まとめ!$A$1,ZO2,1),"*奈良屋*")),ZO2+1,
IF(IFERROR(MID(OFFSET(納品書まとめ!$A$1,ZO2-1,1), SEARCH("幼稚園", OFFSET(納品書まとめ!$A$1,ZO2-1,1)) - 2, 2),1)=IFERROR(MID(OFFSET(納品書まとめ!$A$1,ZO2,1), SEARCH("幼稚園", OFFSET(納品書まとめ!$A$1,ZO2,1)) - 2, 2),0),
IF(IFERROR(MID(OFFSET(納品書まとめ!$A$1,ZO2,1), SEARCH("幼稚園", OFFSET(納品書まとめ!$A$1,ZO2,1)) - 2, 2),1)=IFERROR(MID(OFFSET(納品書まとめ!$A$1,ZO2+1,1), SEARCH("幼稚園", OFFSET(納品書まとめ!$A$1,ZO2+1,1)) - 2, 2),0),
IF(IFERROR(MID(OFFSET(納品書まとめ!$A$1,ZO2+1,1), SEARCH("幼稚園", OFFSET(納品書まとめ!$A$1,ZO2+1,1)) - 2, 2),1)=IFERROR(MID(OFFSET(納品書まとめ!$A$1,ZO2+2,1), SEARCH("幼稚園", OFFSET(納品書まとめ!$A$1,ZO2+2,1)) - 2, 2),0),
IF(IFERROR(MID(OFFSET(納品書まとめ!$A$1,ZO2+2,1), SEARCH("幼稚園", OFFSET(納品書まとめ!$A$1,ZO2+2,1)) - 2, 2),1)=IFERROR(MID(OFFSET(納品書まとめ!$A$1,ZO2+3,1), SEARCH("幼稚園", OFFSET(納品書まとめ!$A$1,ZO2+3,ZO2+3,1)) - 2, 2),0),
IF(IFERROR(MID(OFFSET(納品書まとめ!$A$1,ZO2+3,1), SEARCH("幼稚園", OFFSET(納品書まとめ!$A$1,ZO2+3,1)) - 2, 2),1)=IFERROR(MID(OFFSET(納品書まとめ!$A$1,ZO2+4,1), SEARCH("幼稚園", OFFSET(納品書まとめ!$A$1,ZO2+4,1)) - 2, 2),0),
IF(IFERROR(MID(OFFSET(納品書まとめ!$A$1,ZO2+4,1), SEARCH("幼稚園", OFFSET(納品書まとめ!$A$1,ZO2+4,1)) - 2, 2),1)=IFERROR(MID(OFFSET(納品書まとめ!$A$1,ZO2+5,1), SEARCH("幼稚園", OFFSET(納品書まとめ!$A$1,ZO2+5,1)) - 2, 2),0),
IF(IFERROR(MID(OFFSET(納品書まとめ!$A$1,ZO2+5,1), SEARCH("幼稚園", OFFSET(納品書まとめ!$A$1,ZO2+5,1)) - 2, 2),1)=IFERROR(MID(OFFSET(納品書まとめ!$A$1,ZO2+6,1), SEARCH("幼稚園", OFFSET(納品書まとめ!$A$1,ZO2+6,1)) - 2, 2),0),ZO2+8,ZO2+7),ZO2+6),ZO2+5),ZO2+4),ZO2+3),ZO2+2),ZO2+1)),"")</f>
        <v/>
      </c>
      <c r="ZZ1" s="55"/>
      <c r="AAA1" s="41"/>
      <c r="AAC1" t="s">
        <v>4006</v>
      </c>
      <c r="AAD1" t="e">
        <f ca="1">OFFSET(納品書まとめ!$A$1,AAK2-1,0)</f>
        <v>#VALUE!</v>
      </c>
      <c r="AAF1" s="87" t="s">
        <v>4007</v>
      </c>
      <c r="AAG1" s="86"/>
      <c r="AAH1" s="86"/>
      <c r="AAI1" s="88"/>
      <c r="AAJ1" s="55" t="str">
        <f ca="1">IFERROR(
IF(OR(COUNTIF(OFFSET(納品書まとめ!$A$1,ZZ2,1),"*博多*"),COUNTIF(OFFSET(納品書まとめ!$A$1,ZZ2,1),"*奈良屋*")),ZZ2+1,
IF(IFERROR(MID(OFFSET(納品書まとめ!$A$1,ZZ2-1,1), SEARCH("幼稚園", OFFSET(納品書まとめ!$A$1,ZZ2-1,1)) - 2, 2),1)=IFERROR(MID(OFFSET(納品書まとめ!$A$1,ZZ2,1), SEARCH("幼稚園", OFFSET(納品書まとめ!$A$1,ZZ2,1)) - 2, 2),0),
IF(IFERROR(MID(OFFSET(納品書まとめ!$A$1,ZZ2,1), SEARCH("幼稚園", OFFSET(納品書まとめ!$A$1,ZZ2,1)) - 2, 2),1)=IFERROR(MID(OFFSET(納品書まとめ!$A$1,ZZ2+1,1), SEARCH("幼稚園", OFFSET(納品書まとめ!$A$1,ZZ2+1,1)) - 2, 2),0),
IF(IFERROR(MID(OFFSET(納品書まとめ!$A$1,ZZ2+1,1), SEARCH("幼稚園", OFFSET(納品書まとめ!$A$1,ZZ2+1,1)) - 2, 2),1)=IFERROR(MID(OFFSET(納品書まとめ!$A$1,ZZ2+2,1), SEARCH("幼稚園", OFFSET(納品書まとめ!$A$1,ZZ2+2,1)) - 2, 2),0),
IF(IFERROR(MID(OFFSET(納品書まとめ!$A$1,ZZ2+2,1), SEARCH("幼稚園", OFFSET(納品書まとめ!$A$1,ZZ2+2,1)) - 2, 2),1)=IFERROR(MID(OFFSET(納品書まとめ!$A$1,ZZ2+3,1), SEARCH("幼稚園", OFFSET(納品書まとめ!$A$1,ZZ2+3,ZZ2+3,1)) - 2, 2),0),
IF(IFERROR(MID(OFFSET(納品書まとめ!$A$1,ZZ2+3,1), SEARCH("幼稚園", OFFSET(納品書まとめ!$A$1,ZZ2+3,1)) - 2, 2),1)=IFERROR(MID(OFFSET(納品書まとめ!$A$1,ZZ2+4,1), SEARCH("幼稚園", OFFSET(納品書まとめ!$A$1,ZZ2+4,1)) - 2, 2),0),
IF(IFERROR(MID(OFFSET(納品書まとめ!$A$1,ZZ2+4,1), SEARCH("幼稚園", OFFSET(納品書まとめ!$A$1,ZZ2+4,1)) - 2, 2),1)=IFERROR(MID(OFFSET(納品書まとめ!$A$1,ZZ2+5,1), SEARCH("幼稚園", OFFSET(納品書まとめ!$A$1,ZZ2+5,1)) - 2, 2),0),
IF(IFERROR(MID(OFFSET(納品書まとめ!$A$1,ZZ2+5,1), SEARCH("幼稚園", OFFSET(納品書まとめ!$A$1,ZZ2+5,1)) - 2, 2),1)=IFERROR(MID(OFFSET(納品書まとめ!$A$1,ZZ2+6,1), SEARCH("幼稚園", OFFSET(納品書まとめ!$A$1,ZZ2+6,1)) - 2, 2),0),ZZ2+8,ZZ2+7),ZZ2+6),ZZ2+5),ZZ2+4),ZZ2+3),ZZ2+2),ZZ2+1)),"")</f>
        <v/>
      </c>
      <c r="AAK1" s="55"/>
      <c r="AAL1" s="41"/>
      <c r="AAN1" t="s">
        <v>4006</v>
      </c>
      <c r="AAO1" t="e">
        <f ca="1">OFFSET(納品書まとめ!$A$1,AAV2-1,0)</f>
        <v>#VALUE!</v>
      </c>
      <c r="AAQ1" s="87" t="s">
        <v>4007</v>
      </c>
      <c r="AAR1" s="86"/>
      <c r="AAS1" s="86"/>
      <c r="AAT1" s="88"/>
      <c r="AAU1" s="55" t="str">
        <f ca="1">IFERROR(
IF(OR(COUNTIF(OFFSET(納品書まとめ!$A$1,AAK2,1),"*博多*"),COUNTIF(OFFSET(納品書まとめ!$A$1,AAK2,1),"*奈良屋*")),AAK2+1,
IF(IFERROR(MID(OFFSET(納品書まとめ!$A$1,AAK2-1,1), SEARCH("幼稚園", OFFSET(納品書まとめ!$A$1,AAK2-1,1)) - 2, 2),1)=IFERROR(MID(OFFSET(納品書まとめ!$A$1,AAK2,1), SEARCH("幼稚園", OFFSET(納品書まとめ!$A$1,AAK2,1)) - 2, 2),0),
IF(IFERROR(MID(OFFSET(納品書まとめ!$A$1,AAK2,1), SEARCH("幼稚園", OFFSET(納品書まとめ!$A$1,AAK2,1)) - 2, 2),1)=IFERROR(MID(OFFSET(納品書まとめ!$A$1,AAK2+1,1), SEARCH("幼稚園", OFFSET(納品書まとめ!$A$1,AAK2+1,1)) - 2, 2),0),
IF(IFERROR(MID(OFFSET(納品書まとめ!$A$1,AAK2+1,1), SEARCH("幼稚園", OFFSET(納品書まとめ!$A$1,AAK2+1,1)) - 2, 2),1)=IFERROR(MID(OFFSET(納品書まとめ!$A$1,AAK2+2,1), SEARCH("幼稚園", OFFSET(納品書まとめ!$A$1,AAK2+2,1)) - 2, 2),0),
IF(IFERROR(MID(OFFSET(納品書まとめ!$A$1,AAK2+2,1), SEARCH("幼稚園", OFFSET(納品書まとめ!$A$1,AAK2+2,1)) - 2, 2),1)=IFERROR(MID(OFFSET(納品書まとめ!$A$1,AAK2+3,1), SEARCH("幼稚園", OFFSET(納品書まとめ!$A$1,AAK2+3,AAK2+3,1)) - 2, 2),0),
IF(IFERROR(MID(OFFSET(納品書まとめ!$A$1,AAK2+3,1), SEARCH("幼稚園", OFFSET(納品書まとめ!$A$1,AAK2+3,1)) - 2, 2),1)=IFERROR(MID(OFFSET(納品書まとめ!$A$1,AAK2+4,1), SEARCH("幼稚園", OFFSET(納品書まとめ!$A$1,AAK2+4,1)) - 2, 2),0),
IF(IFERROR(MID(OFFSET(納品書まとめ!$A$1,AAK2+4,1), SEARCH("幼稚園", OFFSET(納品書まとめ!$A$1,AAK2+4,1)) - 2, 2),1)=IFERROR(MID(OFFSET(納品書まとめ!$A$1,AAK2+5,1), SEARCH("幼稚園", OFFSET(納品書まとめ!$A$1,AAK2+5,1)) - 2, 2),0),
IF(IFERROR(MID(OFFSET(納品書まとめ!$A$1,AAK2+5,1), SEARCH("幼稚園", OFFSET(納品書まとめ!$A$1,AAK2+5,1)) - 2, 2),1)=IFERROR(MID(OFFSET(納品書まとめ!$A$1,AAK2+6,1), SEARCH("幼稚園", OFFSET(納品書まとめ!$A$1,AAK2+6,1)) - 2, 2),0),AAK2+8,AAK2+7),AAK2+6),AAK2+5),AAK2+4),AAK2+3),AAK2+2),AAK2+1)),"")</f>
        <v/>
      </c>
      <c r="AAV1" s="55"/>
      <c r="AAW1" s="41"/>
      <c r="AAY1" t="s">
        <v>4006</v>
      </c>
      <c r="AAZ1" t="e">
        <f ca="1">OFFSET(納品書まとめ!$A$1,ABG2-1,0)</f>
        <v>#VALUE!</v>
      </c>
      <c r="ABB1" s="87" t="s">
        <v>4007</v>
      </c>
      <c r="ABC1" s="86"/>
      <c r="ABD1" s="86"/>
      <c r="ABE1" s="88"/>
      <c r="ABF1" s="55" t="str">
        <f ca="1">IFERROR(
IF(OR(COUNTIF(OFFSET(納品書まとめ!$A$1,AAV2,1),"*博多*"),COUNTIF(OFFSET(納品書まとめ!$A$1,AAV2,1),"*奈良屋*")),AAV2+1,
IF(IFERROR(MID(OFFSET(納品書まとめ!$A$1,AAV2-1,1), SEARCH("幼稚園", OFFSET(納品書まとめ!$A$1,AAV2-1,1)) - 2, 2),1)=IFERROR(MID(OFFSET(納品書まとめ!$A$1,AAV2,1), SEARCH("幼稚園", OFFSET(納品書まとめ!$A$1,AAV2,1)) - 2, 2),0),
IF(IFERROR(MID(OFFSET(納品書まとめ!$A$1,AAV2,1), SEARCH("幼稚園", OFFSET(納品書まとめ!$A$1,AAV2,1)) - 2, 2),1)=IFERROR(MID(OFFSET(納品書まとめ!$A$1,AAV2+1,1), SEARCH("幼稚園", OFFSET(納品書まとめ!$A$1,AAV2+1,1)) - 2, 2),0),
IF(IFERROR(MID(OFFSET(納品書まとめ!$A$1,AAV2+1,1), SEARCH("幼稚園", OFFSET(納品書まとめ!$A$1,AAV2+1,1)) - 2, 2),1)=IFERROR(MID(OFFSET(納品書まとめ!$A$1,AAV2+2,1), SEARCH("幼稚園", OFFSET(納品書まとめ!$A$1,AAV2+2,1)) - 2, 2),0),
IF(IFERROR(MID(OFFSET(納品書まとめ!$A$1,AAV2+2,1), SEARCH("幼稚園", OFFSET(納品書まとめ!$A$1,AAV2+2,1)) - 2, 2),1)=IFERROR(MID(OFFSET(納品書まとめ!$A$1,AAV2+3,1), SEARCH("幼稚園", OFFSET(納品書まとめ!$A$1,AAV2+3,AAV2+3,1)) - 2, 2),0),
IF(IFERROR(MID(OFFSET(納品書まとめ!$A$1,AAV2+3,1), SEARCH("幼稚園", OFFSET(納品書まとめ!$A$1,AAV2+3,1)) - 2, 2),1)=IFERROR(MID(OFFSET(納品書まとめ!$A$1,AAV2+4,1), SEARCH("幼稚園", OFFSET(納品書まとめ!$A$1,AAV2+4,1)) - 2, 2),0),
IF(IFERROR(MID(OFFSET(納品書まとめ!$A$1,AAV2+4,1), SEARCH("幼稚園", OFFSET(納品書まとめ!$A$1,AAV2+4,1)) - 2, 2),1)=IFERROR(MID(OFFSET(納品書まとめ!$A$1,AAV2+5,1), SEARCH("幼稚園", OFFSET(納品書まとめ!$A$1,AAV2+5,1)) - 2, 2),0),
IF(IFERROR(MID(OFFSET(納品書まとめ!$A$1,AAV2+5,1), SEARCH("幼稚園", OFFSET(納品書まとめ!$A$1,AAV2+5,1)) - 2, 2),1)=IFERROR(MID(OFFSET(納品書まとめ!$A$1,AAV2+6,1), SEARCH("幼稚園", OFFSET(納品書まとめ!$A$1,AAV2+6,1)) - 2, 2),0),AAV2+8,AAV2+7),AAV2+6),AAV2+5),AAV2+4),AAV2+3),AAV2+2),AAV2+1)),"")</f>
        <v/>
      </c>
      <c r="ABG1" s="55"/>
      <c r="ABH1" s="41"/>
      <c r="ABJ1" t="s">
        <v>4006</v>
      </c>
      <c r="ABK1" t="e">
        <f ca="1">OFFSET(納品書まとめ!$A$1,ABR2-1,0)</f>
        <v>#VALUE!</v>
      </c>
      <c r="ABM1" s="87" t="s">
        <v>4007</v>
      </c>
      <c r="ABN1" s="86"/>
      <c r="ABO1" s="86"/>
      <c r="ABP1" s="88"/>
      <c r="ABQ1" s="55" t="str">
        <f ca="1">IFERROR(
IF(OR(COUNTIF(OFFSET(納品書まとめ!$A$1,ABG2,1),"*博多*"),COUNTIF(OFFSET(納品書まとめ!$A$1,ABG2,1),"*奈良屋*")),ABG2+1,
IF(IFERROR(MID(OFFSET(納品書まとめ!$A$1,ABG2-1,1), SEARCH("幼稚園", OFFSET(納品書まとめ!$A$1,ABG2-1,1)) - 2, 2),1)=IFERROR(MID(OFFSET(納品書まとめ!$A$1,ABG2,1), SEARCH("幼稚園", OFFSET(納品書まとめ!$A$1,ABG2,1)) - 2, 2),0),
IF(IFERROR(MID(OFFSET(納品書まとめ!$A$1,ABG2,1), SEARCH("幼稚園", OFFSET(納品書まとめ!$A$1,ABG2,1)) - 2, 2),1)=IFERROR(MID(OFFSET(納品書まとめ!$A$1,ABG2+1,1), SEARCH("幼稚園", OFFSET(納品書まとめ!$A$1,ABG2+1,1)) - 2, 2),0),
IF(IFERROR(MID(OFFSET(納品書まとめ!$A$1,ABG2+1,1), SEARCH("幼稚園", OFFSET(納品書まとめ!$A$1,ABG2+1,1)) - 2, 2),1)=IFERROR(MID(OFFSET(納品書まとめ!$A$1,ABG2+2,1), SEARCH("幼稚園", OFFSET(納品書まとめ!$A$1,ABG2+2,1)) - 2, 2),0),
IF(IFERROR(MID(OFFSET(納品書まとめ!$A$1,ABG2+2,1), SEARCH("幼稚園", OFFSET(納品書まとめ!$A$1,ABG2+2,1)) - 2, 2),1)=IFERROR(MID(OFFSET(納品書まとめ!$A$1,ABG2+3,1), SEARCH("幼稚園", OFFSET(納品書まとめ!$A$1,ABG2+3,ABG2+3,1)) - 2, 2),0),
IF(IFERROR(MID(OFFSET(納品書まとめ!$A$1,ABG2+3,1), SEARCH("幼稚園", OFFSET(納品書まとめ!$A$1,ABG2+3,1)) - 2, 2),1)=IFERROR(MID(OFFSET(納品書まとめ!$A$1,ABG2+4,1), SEARCH("幼稚園", OFFSET(納品書まとめ!$A$1,ABG2+4,1)) - 2, 2),0),
IF(IFERROR(MID(OFFSET(納品書まとめ!$A$1,ABG2+4,1), SEARCH("幼稚園", OFFSET(納品書まとめ!$A$1,ABG2+4,1)) - 2, 2),1)=IFERROR(MID(OFFSET(納品書まとめ!$A$1,ABG2+5,1), SEARCH("幼稚園", OFFSET(納品書まとめ!$A$1,ABG2+5,1)) - 2, 2),0),
IF(IFERROR(MID(OFFSET(納品書まとめ!$A$1,ABG2+5,1), SEARCH("幼稚園", OFFSET(納品書まとめ!$A$1,ABG2+5,1)) - 2, 2),1)=IFERROR(MID(OFFSET(納品書まとめ!$A$1,ABG2+6,1), SEARCH("幼稚園", OFFSET(納品書まとめ!$A$1,ABG2+6,1)) - 2, 2),0),ABG2+8,ABG2+7),ABG2+6),ABG2+5),ABG2+4),ABG2+3),ABG2+2),ABG2+1)),"")</f>
        <v/>
      </c>
      <c r="ABR1" s="55"/>
      <c r="ABS1" s="41"/>
      <c r="ABU1" t="s">
        <v>4006</v>
      </c>
      <c r="ABV1" t="e">
        <f ca="1">OFFSET(納品書まとめ!$A$1,ACC2-1,0)</f>
        <v>#VALUE!</v>
      </c>
      <c r="ABX1" s="82" t="s">
        <v>4007</v>
      </c>
      <c r="ABY1" s="83"/>
      <c r="ABZ1" s="83"/>
      <c r="ACA1" s="84"/>
      <c r="ACB1" s="55" t="str">
        <f ca="1">IFERROR(
IF(OR(COUNTIF(OFFSET(納品書まとめ!$A$1,ABR2,1),"*博多*"),COUNTIF(OFFSET(納品書まとめ!$A$1,ABR2,1),"*奈良屋*")),ABR2+1,
IF(IFERROR(MID(OFFSET(納品書まとめ!$A$1,ABR2-1,1), SEARCH("幼稚園", OFFSET(納品書まとめ!$A$1,ABR2-1,1)) - 2, 2),1)=IFERROR(MID(OFFSET(納品書まとめ!$A$1,ABR2,1), SEARCH("幼稚園", OFFSET(納品書まとめ!$A$1,ABR2,1)) - 2, 2),0),
IF(IFERROR(MID(OFFSET(納品書まとめ!$A$1,ABR2,1), SEARCH("幼稚園", OFFSET(納品書まとめ!$A$1,ABR2,1)) - 2, 2),1)=IFERROR(MID(OFFSET(納品書まとめ!$A$1,ABR2+1,1), SEARCH("幼稚園", OFFSET(納品書まとめ!$A$1,ABR2+1,1)) - 2, 2),0),
IF(IFERROR(MID(OFFSET(納品書まとめ!$A$1,ABR2+1,1), SEARCH("幼稚園", OFFSET(納品書まとめ!$A$1,ABR2+1,1)) - 2, 2),1)=IFERROR(MID(OFFSET(納品書まとめ!$A$1,ABR2+2,1), SEARCH("幼稚園", OFFSET(納品書まとめ!$A$1,ABR2+2,1)) - 2, 2),0),
IF(IFERROR(MID(OFFSET(納品書まとめ!$A$1,ABR2+2,1), SEARCH("幼稚園", OFFSET(納品書まとめ!$A$1,ABR2+2,1)) - 2, 2),1)=IFERROR(MID(OFFSET(納品書まとめ!$A$1,ABR2+3,1), SEARCH("幼稚園", OFFSET(納品書まとめ!$A$1,ABR2+3,ABR2+3,1)) - 2, 2),0),
IF(IFERROR(MID(OFFSET(納品書まとめ!$A$1,ABR2+3,1), SEARCH("幼稚園", OFFSET(納品書まとめ!$A$1,ABR2+3,1)) - 2, 2),1)=IFERROR(MID(OFFSET(納品書まとめ!$A$1,ABR2+4,1), SEARCH("幼稚園", OFFSET(納品書まとめ!$A$1,ABR2+4,1)) - 2, 2),0),
IF(IFERROR(MID(OFFSET(納品書まとめ!$A$1,ABR2+4,1), SEARCH("幼稚園", OFFSET(納品書まとめ!$A$1,ABR2+4,1)) - 2, 2),1)=IFERROR(MID(OFFSET(納品書まとめ!$A$1,ABR2+5,1), SEARCH("幼稚園", OFFSET(納品書まとめ!$A$1,ABR2+5,1)) - 2, 2),0),
IF(IFERROR(MID(OFFSET(納品書まとめ!$A$1,ABR2+5,1), SEARCH("幼稚園", OFFSET(納品書まとめ!$A$1,ABR2+5,1)) - 2, 2),1)=IFERROR(MID(OFFSET(納品書まとめ!$A$1,ABR2+6,1), SEARCH("幼稚園", OFFSET(納品書まとめ!$A$1,ABR2+6,1)) - 2, 2),0),ABR2+8,ABR2+7),ABR2+6),ABR2+5),ABR2+4),ABR2+3),ABR2+2),ABR2+1)),"")</f>
        <v/>
      </c>
      <c r="ACC1" s="55"/>
      <c r="ACD1" s="41"/>
      <c r="ACF1" t="s">
        <v>4006</v>
      </c>
      <c r="ACG1" t="e">
        <f ca="1">OFFSET(納品書まとめ!$A$1,ACN2-1,0)</f>
        <v>#VALUE!</v>
      </c>
      <c r="ACI1" s="87" t="s">
        <v>4007</v>
      </c>
      <c r="ACJ1" s="86"/>
      <c r="ACK1" s="86"/>
      <c r="ACL1" s="88"/>
      <c r="ACM1" s="55" t="str">
        <f ca="1">IFERROR(
IF(OR(COUNTIF(OFFSET(納品書まとめ!$A$1,ACC2,1),"*博多*"),COUNTIF(OFFSET(納品書まとめ!$A$1,ACC2,1),"*奈良屋*")),ACC2+1,
IF(IFERROR(MID(OFFSET(納品書まとめ!$A$1,ACC2-1,1), SEARCH("幼稚園", OFFSET(納品書まとめ!$A$1,ACC2-1,1)) - 2, 2),1)=IFERROR(MID(OFFSET(納品書まとめ!$A$1,ACC2,1), SEARCH("幼稚園", OFFSET(納品書まとめ!$A$1,ACC2,1)) - 2, 2),0),
IF(IFERROR(MID(OFFSET(納品書まとめ!$A$1,ACC2,1), SEARCH("幼稚園", OFFSET(納品書まとめ!$A$1,ACC2,1)) - 2, 2),1)=IFERROR(MID(OFFSET(納品書まとめ!$A$1,ACC2+1,1), SEARCH("幼稚園", OFFSET(納品書まとめ!$A$1,ACC2+1,1)) - 2, 2),0),
IF(IFERROR(MID(OFFSET(納品書まとめ!$A$1,ACC2+1,1), SEARCH("幼稚園", OFFSET(納品書まとめ!$A$1,ACC2+1,1)) - 2, 2),1)=IFERROR(MID(OFFSET(納品書まとめ!$A$1,ACC2+2,1), SEARCH("幼稚園", OFFSET(納品書まとめ!$A$1,ACC2+2,1)) - 2, 2),0),
IF(IFERROR(MID(OFFSET(納品書まとめ!$A$1,ACC2+2,1), SEARCH("幼稚園", OFFSET(納品書まとめ!$A$1,ACC2+2,1)) - 2, 2),1)=IFERROR(MID(OFFSET(納品書まとめ!$A$1,ACC2+3,1), SEARCH("幼稚園", OFFSET(納品書まとめ!$A$1,ACC2+3,ACC2+3,1)) - 2, 2),0),
IF(IFERROR(MID(OFFSET(納品書まとめ!$A$1,ACC2+3,1), SEARCH("幼稚園", OFFSET(納品書まとめ!$A$1,ACC2+3,1)) - 2, 2),1)=IFERROR(MID(OFFSET(納品書まとめ!$A$1,ACC2+4,1), SEARCH("幼稚園", OFFSET(納品書まとめ!$A$1,ACC2+4,1)) - 2, 2),0),
IF(IFERROR(MID(OFFSET(納品書まとめ!$A$1,ACC2+4,1), SEARCH("幼稚園", OFFSET(納品書まとめ!$A$1,ACC2+4,1)) - 2, 2),1)=IFERROR(MID(OFFSET(納品書まとめ!$A$1,ACC2+5,1), SEARCH("幼稚園", OFFSET(納品書まとめ!$A$1,ACC2+5,1)) - 2, 2),0),
IF(IFERROR(MID(OFFSET(納品書まとめ!$A$1,ACC2+5,1), SEARCH("幼稚園", OFFSET(納品書まとめ!$A$1,ACC2+5,1)) - 2, 2),1)=IFERROR(MID(OFFSET(納品書まとめ!$A$1,ACC2+6,1), SEARCH("幼稚園", OFFSET(納品書まとめ!$A$1,ACC2+6,1)) - 2, 2),0),ACC2+8,ACC2+7),ACC2+6),ACC2+5),ACC2+4),ACC2+3),ACC2+2),ACC2+1)),"")</f>
        <v/>
      </c>
      <c r="ACN1" s="55"/>
      <c r="ACO1" s="41"/>
      <c r="ACQ1" t="s">
        <v>4006</v>
      </c>
      <c r="ACR1" t="e">
        <f ca="1">OFFSET(納品書まとめ!$A$1,ACY2-1,0)</f>
        <v>#VALUE!</v>
      </c>
      <c r="ACT1" s="87" t="s">
        <v>4007</v>
      </c>
      <c r="ACU1" s="86"/>
      <c r="ACV1" s="86"/>
      <c r="ACW1" s="88"/>
      <c r="ACX1" s="55" t="str">
        <f ca="1">IFERROR(
IF(OR(COUNTIF(OFFSET(納品書まとめ!$A$1,ACN2,1),"*博多*"),COUNTIF(OFFSET(納品書まとめ!$A$1,ACN2,1),"*奈良屋*")),ACN2+1,
IF(IFERROR(MID(OFFSET(納品書まとめ!$A$1,ACN2-1,1), SEARCH("幼稚園", OFFSET(納品書まとめ!$A$1,ACN2-1,1)) - 2, 2),1)=IFERROR(MID(OFFSET(納品書まとめ!$A$1,ACN2,1), SEARCH("幼稚園", OFFSET(納品書まとめ!$A$1,ACN2,1)) - 2, 2),0),
IF(IFERROR(MID(OFFSET(納品書まとめ!$A$1,ACN2,1), SEARCH("幼稚園", OFFSET(納品書まとめ!$A$1,ACN2,1)) - 2, 2),1)=IFERROR(MID(OFFSET(納品書まとめ!$A$1,ACN2+1,1), SEARCH("幼稚園", OFFSET(納品書まとめ!$A$1,ACN2+1,1)) - 2, 2),0),
IF(IFERROR(MID(OFFSET(納品書まとめ!$A$1,ACN2+1,1), SEARCH("幼稚園", OFFSET(納品書まとめ!$A$1,ACN2+1,1)) - 2, 2),1)=IFERROR(MID(OFFSET(納品書まとめ!$A$1,ACN2+2,1), SEARCH("幼稚園", OFFSET(納品書まとめ!$A$1,ACN2+2,1)) - 2, 2),0),
IF(IFERROR(MID(OFFSET(納品書まとめ!$A$1,ACN2+2,1), SEARCH("幼稚園", OFFSET(納品書まとめ!$A$1,ACN2+2,1)) - 2, 2),1)=IFERROR(MID(OFFSET(納品書まとめ!$A$1,ACN2+3,1), SEARCH("幼稚園", OFFSET(納品書まとめ!$A$1,ACN2+3,ACN2+3,1)) - 2, 2),0),
IF(IFERROR(MID(OFFSET(納品書まとめ!$A$1,ACN2+3,1), SEARCH("幼稚園", OFFSET(納品書まとめ!$A$1,ACN2+3,1)) - 2, 2),1)=IFERROR(MID(OFFSET(納品書まとめ!$A$1,ACN2+4,1), SEARCH("幼稚園", OFFSET(納品書まとめ!$A$1,ACN2+4,1)) - 2, 2),0),
IF(IFERROR(MID(OFFSET(納品書まとめ!$A$1,ACN2+4,1), SEARCH("幼稚園", OFFSET(納品書まとめ!$A$1,ACN2+4,1)) - 2, 2),1)=IFERROR(MID(OFFSET(納品書まとめ!$A$1,ACN2+5,1), SEARCH("幼稚園", OFFSET(納品書まとめ!$A$1,ACN2+5,1)) - 2, 2),0),
IF(IFERROR(MID(OFFSET(納品書まとめ!$A$1,ACN2+5,1), SEARCH("幼稚園", OFFSET(納品書まとめ!$A$1,ACN2+5,1)) - 2, 2),1)=IFERROR(MID(OFFSET(納品書まとめ!$A$1,ACN2+6,1), SEARCH("幼稚園", OFFSET(納品書まとめ!$A$1,ACN2+6,1)) - 2, 2),0),ACN2+8,ACN2+7),ACN2+6),ACN2+5),ACN2+4),ACN2+3),ACN2+2),ACN2+1)),"")</f>
        <v/>
      </c>
      <c r="ACY1" s="55"/>
      <c r="ACZ1" s="41"/>
      <c r="ADB1" t="s">
        <v>4006</v>
      </c>
      <c r="ADC1" t="e">
        <f ca="1">OFFSET(納品書まとめ!$A$1,ADJ2-1,0)</f>
        <v>#VALUE!</v>
      </c>
      <c r="ADE1" s="87" t="s">
        <v>4007</v>
      </c>
      <c r="ADF1" s="86"/>
      <c r="ADG1" s="86"/>
      <c r="ADH1" s="88"/>
      <c r="ADI1" s="55" t="str">
        <f ca="1">IFERROR(
IF(OR(COUNTIF(OFFSET(納品書まとめ!$A$1,ACY2,1),"*博多*"),COUNTIF(OFFSET(納品書まとめ!$A$1,ACY2,1),"*奈良屋*")),ACY2+1,
IF(IFERROR(MID(OFFSET(納品書まとめ!$A$1,ACY2-1,1), SEARCH("幼稚園", OFFSET(納品書まとめ!$A$1,ACY2-1,1)) - 2, 2),1)=IFERROR(MID(OFFSET(納品書まとめ!$A$1,ACY2,1), SEARCH("幼稚園", OFFSET(納品書まとめ!$A$1,ACY2,1)) - 2, 2),0),
IF(IFERROR(MID(OFFSET(納品書まとめ!$A$1,ACY2,1), SEARCH("幼稚園", OFFSET(納品書まとめ!$A$1,ACY2,1)) - 2, 2),1)=IFERROR(MID(OFFSET(納品書まとめ!$A$1,ACY2+1,1), SEARCH("幼稚園", OFFSET(納品書まとめ!$A$1,ACY2+1,1)) - 2, 2),0),
IF(IFERROR(MID(OFFSET(納品書まとめ!$A$1,ACY2+1,1), SEARCH("幼稚園", OFFSET(納品書まとめ!$A$1,ACY2+1,1)) - 2, 2),1)=IFERROR(MID(OFFSET(納品書まとめ!$A$1,ACY2+2,1), SEARCH("幼稚園", OFFSET(納品書まとめ!$A$1,ACY2+2,1)) - 2, 2),0),
IF(IFERROR(MID(OFFSET(納品書まとめ!$A$1,ACY2+2,1), SEARCH("幼稚園", OFFSET(納品書まとめ!$A$1,ACY2+2,1)) - 2, 2),1)=IFERROR(MID(OFFSET(納品書まとめ!$A$1,ACY2+3,1), SEARCH("幼稚園", OFFSET(納品書まとめ!$A$1,ACY2+3,ACY2+3,1)) - 2, 2),0),
IF(IFERROR(MID(OFFSET(納品書まとめ!$A$1,ACY2+3,1), SEARCH("幼稚園", OFFSET(納品書まとめ!$A$1,ACY2+3,1)) - 2, 2),1)=IFERROR(MID(OFFSET(納品書まとめ!$A$1,ACY2+4,1), SEARCH("幼稚園", OFFSET(納品書まとめ!$A$1,ACY2+4,1)) - 2, 2),0),
IF(IFERROR(MID(OFFSET(納品書まとめ!$A$1,ACY2+4,1), SEARCH("幼稚園", OFFSET(納品書まとめ!$A$1,ACY2+4,1)) - 2, 2),1)=IFERROR(MID(OFFSET(納品書まとめ!$A$1,ACY2+5,1), SEARCH("幼稚園", OFFSET(納品書まとめ!$A$1,ACY2+5,1)) - 2, 2),0),
IF(IFERROR(MID(OFFSET(納品書まとめ!$A$1,ACY2+5,1), SEARCH("幼稚園", OFFSET(納品書まとめ!$A$1,ACY2+5,1)) - 2, 2),1)=IFERROR(MID(OFFSET(納品書まとめ!$A$1,ACY2+6,1), SEARCH("幼稚園", OFFSET(納品書まとめ!$A$1,ACY2+6,1)) - 2, 2),0),ACY2+8,ACY2+7),ACY2+6),ACY2+5),ACY2+4),ACY2+3),ACY2+2),ACY2+1)),"")</f>
        <v/>
      </c>
      <c r="ADJ1" s="55"/>
    </row>
    <row r="2" spans="1:790" x14ac:dyDescent="0.45">
      <c r="A2" s="41"/>
      <c r="E2" s="96" t="str">
        <f>VALUE(MID(貼り付け用!A2,6,2))+2018&amp;" 年 "&amp;VALUE(MID(貼り付け用!A2,FIND("年",貼り付け用!A2)+1,FIND("月",貼り付け用!A2)-FIND("年",貼り付け用!A2)-1))&amp;" 月 "&amp;VALUE(MID(貼り付け用!A2,FIND("月",貼り付け用!A2)+1,FIND("日",SUBSTITUTE(貼り付け用!A2,"日付",""))+2-FIND("月",貼り付け用!A2)-1))&amp;" 日 "</f>
        <v xml:space="preserve">2025 年 11 月 19 日 </v>
      </c>
      <c r="F2" s="86"/>
      <c r="G2" s="86"/>
      <c r="H2" s="55">
        <f ca="1">IFERROR(IF(COUNTIF(OFFSET(納品書まとめ!$A$1,I2-1,2),"*web*"),
IF(COUNTIF(OFFSET(納品書まとめ!$A$1,I2+1-1,2),"*web*"),
IF(COUNTIF(OFFSET(納品書まとめ!$A$1,I2+2-1,2),"*web*"),
IF(COUNTIF(OFFSET(納品書まとめ!$A$1,I2+3-1,2),"*web*"),
IF(COUNTIF(OFFSET(納品書まとめ!$A$1,I2+4-1,2),"*web*"),
IF(COUNTIF(OFFSET(納品書まとめ!$A$1,I2+5-1,2),"*web*"),I2+6,I2+5),I2+4),I2+3),I2+2),I2+1),1),"")</f>
        <v>2</v>
      </c>
      <c r="I2" s="55">
        <v>1</v>
      </c>
      <c r="L2" s="41"/>
      <c r="M2" s="54"/>
      <c r="P2" s="85" t="str">
        <f>E2</f>
        <v xml:space="preserve">2025 年 11 月 19 日 </v>
      </c>
      <c r="Q2" s="86"/>
      <c r="R2" s="86"/>
      <c r="S2" s="55">
        <f ca="1">IFERROR(
IF(AND(VALUE(OFFSET(納品書まとめ!$A$1,S1-1,0))&gt;29999,VALUE(OFFSET(納品書まとめ!$A$1,S1-1,0))&lt;39999),
IF(AND(VALUE(OFFSET(納品書まとめ!$A$1,S1,0))&gt;29999,VALUE(OFFSET(納品書まとめ!$A$1,S1,0))&lt;39999),
IF(AND(VALUE(OFFSET(納品書まとめ!$A$1,S1+1,0))&gt;29999,VALUE(OFFSET(納品書まとめ!$A$1,S1+1,0))&lt;39999),
IF(AND(VALUE(OFFSET(納品書まとめ!$A$1,S1+2,0))&gt;29999,VALUE(OFFSET(納品書まとめ!$A$1,S1+2,0))&lt;39999),
IF(AND(VALUE(OFFSET(納品書まとめ!$A$1,S1+3,0))&gt;29999,VALUE(OFFSET(納品書まとめ!$A$1,S1+3,0))&lt;39999),
IF(AND(VALUE(OFFSET(納品書まとめ!$A$1,S1+4,0))&gt;29999,VALUE(OFFSET(納品書まとめ!$A$1,S1+4,0))&lt;39999),
IF(AND(VALUE(OFFSET(納品書まとめ!$A$1,S1+5,0))&gt;29999,VALUE(OFFSET(納品書まとめ!$A$1,S1+5,0))&lt;39999),S1+7,S1+6),S1+5),S1+4),S1+3),S1+2),S1+1),S1),"")</f>
        <v>3</v>
      </c>
      <c r="T2" s="55">
        <f ca="1">IFERROR(
S2+IF(OFFSET(納品書まとめ!$A$1,S2-1,2)&lt;&gt;"",0,1),"")</f>
        <v>3</v>
      </c>
      <c r="W2" s="41"/>
      <c r="X2" s="54"/>
      <c r="AA2" s="85" t="str">
        <f>P2</f>
        <v xml:space="preserve">2025 年 11 月 19 日 </v>
      </c>
      <c r="AB2" s="86"/>
      <c r="AC2" s="86"/>
      <c r="AD2" s="55">
        <f ca="1">IFERROR(
IF(AND(VALUE(OFFSET(納品書まとめ!$A$1,AD1-1,0))&gt;29999,VALUE(OFFSET(納品書まとめ!$A$1,AD1-1,0))&lt;39999),
IF(AND(VALUE(OFFSET(納品書まとめ!$A$1,AD1,0))&gt;29999,VALUE(OFFSET(納品書まとめ!$A$1,AD1,0))&lt;39999),
IF(AND(VALUE(OFFSET(納品書まとめ!$A$1,AD1+1,0))&gt;29999,VALUE(OFFSET(納品書まとめ!$A$1,AD1+1,0))&lt;39999),
IF(AND(VALUE(OFFSET(納品書まとめ!$A$1,AD1+2,0))&gt;29999,VALUE(OFFSET(納品書まとめ!$A$1,AD1+2,0))&lt;39999),
IF(AND(VALUE(OFFSET(納品書まとめ!$A$1,AD1+3,0))&gt;29999,VALUE(OFFSET(納品書まとめ!$A$1,AD1+3,0))&lt;39999),
IF(AND(VALUE(OFFSET(納品書まとめ!$A$1,AD1+4,0))&gt;29999,VALUE(OFFSET(納品書まとめ!$A$1,AD1+4,0))&lt;39999),
IF(AND(VALUE(OFFSET(納品書まとめ!$A$1,AD1+5,0))&gt;29999,VALUE(OFFSET(納品書まとめ!$A$1,AD1+5,0))&lt;39999),AD1+7,AD1+6),AD1+5),AD1+4),AD1+3),AD1+2),AD1+1),AD1),"")</f>
        <v>4</v>
      </c>
      <c r="AE2" s="55">
        <f ca="1">IFERROR(
AD2+IF(OFFSET(納品書まとめ!$A$1,AD2-1,2)&lt;&gt;"",0,1)+AD4-1,"")</f>
        <v>4</v>
      </c>
      <c r="AH2" s="41"/>
      <c r="AI2" s="54"/>
      <c r="AL2" s="85" t="str">
        <f>AA2</f>
        <v xml:space="preserve">2025 年 11 月 19 日 </v>
      </c>
      <c r="AM2" s="86"/>
      <c r="AN2" s="86"/>
      <c r="AO2" s="55">
        <f ca="1">IFERROR(
IF(AND(VALUE(OFFSET(納品書まとめ!$A$1,AO1-1,0))&gt;29999,VALUE(OFFSET(納品書まとめ!$A$1,AO1-1,0))&lt;39999),
IF(AND(VALUE(OFFSET(納品書まとめ!$A$1,AO1,0))&gt;29999,VALUE(OFFSET(納品書まとめ!$A$1,AO1,0))&lt;39999),
IF(AND(VALUE(OFFSET(納品書まとめ!$A$1,AO1+1,0))&gt;29999,VALUE(OFFSET(納品書まとめ!$A$1,AO1+1,0))&lt;39999),
IF(AND(VALUE(OFFSET(納品書まとめ!$A$1,AO1+2,0))&gt;29999,VALUE(OFFSET(納品書まとめ!$A$1,AO1+2,0))&lt;39999),
IF(AND(VALUE(OFFSET(納品書まとめ!$A$1,AO1+3,0))&gt;29999,VALUE(OFFSET(納品書まとめ!$A$1,AO1+3,0))&lt;39999),
IF(AND(VALUE(OFFSET(納品書まとめ!$A$1,AO1+4,0))&gt;29999,VALUE(OFFSET(納品書まとめ!$A$1,AO1+4,0))&lt;39999),
IF(AND(VALUE(OFFSET(納品書まとめ!$A$1,AO1+5,0))&gt;29999,VALUE(OFFSET(納品書まとめ!$A$1,AO1+5,0))&lt;39999),AO1+7,AO1+6),AO1+5),AO1+4),AO1+3),AO1+2),AO1+1),AO1),"")</f>
        <v>5</v>
      </c>
      <c r="AP2" s="55">
        <f ca="1">IFERROR(
AO2+IF(OFFSET(納品書まとめ!$A$1,AO2-1,2)&lt;&gt;"",0,1)+AO4-1,"")</f>
        <v>5</v>
      </c>
      <c r="AS2" s="41"/>
      <c r="AT2" s="54"/>
      <c r="AW2" s="85" t="str">
        <f>AL2</f>
        <v xml:space="preserve">2025 年 11 月 19 日 </v>
      </c>
      <c r="AX2" s="86"/>
      <c r="AY2" s="86"/>
      <c r="AZ2" s="55">
        <f ca="1">IFERROR(
IF(AND(VALUE(OFFSET(納品書まとめ!$A$1,AZ1-1,0))&gt;29999,VALUE(OFFSET(納品書まとめ!$A$1,AZ1-1,0))&lt;39999),
IF(AND(VALUE(OFFSET(納品書まとめ!$A$1,AZ1,0))&gt;29999,VALUE(OFFSET(納品書まとめ!$A$1,AZ1,0))&lt;39999),
IF(AND(VALUE(OFFSET(納品書まとめ!$A$1,AZ1+1,0))&gt;29999,VALUE(OFFSET(納品書まとめ!$A$1,AZ1+1,0))&lt;39999),
IF(AND(VALUE(OFFSET(納品書まとめ!$A$1,AZ1+2,0))&gt;29999,VALUE(OFFSET(納品書まとめ!$A$1,AZ1+2,0))&lt;39999),
IF(AND(VALUE(OFFSET(納品書まとめ!$A$1,AZ1+3,0))&gt;29999,VALUE(OFFSET(納品書まとめ!$A$1,AZ1+3,0))&lt;39999),
IF(AND(VALUE(OFFSET(納品書まとめ!$A$1,AZ1+4,0))&gt;29999,VALUE(OFFSET(納品書まとめ!$A$1,AZ1+4,0))&lt;39999),
IF(AND(VALUE(OFFSET(納品書まとめ!$A$1,AZ1+5,0))&gt;29999,VALUE(OFFSET(納品書まとめ!$A$1,AZ1+5,0))&lt;39999),AZ1+7,AZ1+6),AZ1+5),AZ1+4),AZ1+3),AZ1+2),AZ1+1),AZ1),"")</f>
        <v>6</v>
      </c>
      <c r="BA2" s="55">
        <f ca="1">IFERROR(
AZ2+IF(OFFSET(納品書まとめ!$A$1,AZ2-1,2)&lt;&gt;"",0,1)+AZ4-1,"")</f>
        <v>6</v>
      </c>
      <c r="BD2" s="41"/>
      <c r="BE2" s="54"/>
      <c r="BH2" s="85" t="str">
        <f>AW2</f>
        <v xml:space="preserve">2025 年 11 月 19 日 </v>
      </c>
      <c r="BI2" s="86"/>
      <c r="BJ2" s="86"/>
      <c r="BK2" s="55">
        <f ca="1">IFERROR(
IF(AND(VALUE(OFFSET(納品書まとめ!$A$1,BK1-1,0))&gt;29999,VALUE(OFFSET(納品書まとめ!$A$1,BK1-1,0))&lt;39999),
IF(AND(VALUE(OFFSET(納品書まとめ!$A$1,BK1,0))&gt;29999,VALUE(OFFSET(納品書まとめ!$A$1,BK1,0))&lt;39999),
IF(AND(VALUE(OFFSET(納品書まとめ!$A$1,BK1+1,0))&gt;29999,VALUE(OFFSET(納品書まとめ!$A$1,BK1+1,0))&lt;39999),
IF(AND(VALUE(OFFSET(納品書まとめ!$A$1,BK1+2,0))&gt;29999,VALUE(OFFSET(納品書まとめ!$A$1,BK1+2,0))&lt;39999),
IF(AND(VALUE(OFFSET(納品書まとめ!$A$1,BK1+3,0))&gt;29999,VALUE(OFFSET(納品書まとめ!$A$1,BK1+3,0))&lt;39999),
IF(AND(VALUE(OFFSET(納品書まとめ!$A$1,BK1+4,0))&gt;29999,VALUE(OFFSET(納品書まとめ!$A$1,BK1+4,0))&lt;39999),
IF(AND(VALUE(OFFSET(納品書まとめ!$A$1,BK1+5,0))&gt;29999,VALUE(OFFSET(納品書まとめ!$A$1,BK1+5,0))&lt;39999),BK1+7,BK1+6),BK1+5),BK1+4),BK1+3),BK1+2),BK1+1),BK1),"")</f>
        <v>7</v>
      </c>
      <c r="BL2" s="55">
        <f ca="1">IFERROR(
BK2+IF(OFFSET(納品書まとめ!$A$1,BK2-1,2)&lt;&gt;"",0,1)+BK4-1,"")</f>
        <v>8</v>
      </c>
      <c r="BO2" s="41"/>
      <c r="BP2" s="54"/>
      <c r="BS2" s="85" t="str">
        <f>BH2</f>
        <v xml:space="preserve">2025 年 11 月 19 日 </v>
      </c>
      <c r="BT2" s="86"/>
      <c r="BU2" s="86"/>
      <c r="BV2" s="55">
        <f ca="1">IFERROR(
IF(AND(VALUE(OFFSET(納品書まとめ!$A$1,BV1-1,0))&gt;29999,VALUE(OFFSET(納品書まとめ!$A$1,BV1-1,0))&lt;39999),
IF(AND(VALUE(OFFSET(納品書まとめ!$A$1,BV1,0))&gt;29999,VALUE(OFFSET(納品書まとめ!$A$1,BV1,0))&lt;39999),
IF(AND(VALUE(OFFSET(納品書まとめ!$A$1,BV1+1,0))&gt;29999,VALUE(OFFSET(納品書まとめ!$A$1,BV1+1,0))&lt;39999),
IF(AND(VALUE(OFFSET(納品書まとめ!$A$1,BV1+2,0))&gt;29999,VALUE(OFFSET(納品書まとめ!$A$1,BV1+2,0))&lt;39999),
IF(AND(VALUE(OFFSET(納品書まとめ!$A$1,BV1+3,0))&gt;29999,VALUE(OFFSET(納品書まとめ!$A$1,BV1+3,0))&lt;39999),
IF(AND(VALUE(OFFSET(納品書まとめ!$A$1,BV1+4,0))&gt;29999,VALUE(OFFSET(納品書まとめ!$A$1,BV1+4,0))&lt;39999),
IF(AND(VALUE(OFFSET(納品書まとめ!$A$1,BV1+5,0))&gt;29999,VALUE(OFFSET(納品書まとめ!$A$1,BV1+5,0))&lt;39999),BV1+7,BV1+6),BV1+5),BV1+4),BV1+3),BV1+2),BV1+1),BV1),"")</f>
        <v>9</v>
      </c>
      <c r="BW2" s="55">
        <f ca="1">IFERROR(
BV2+IF(OFFSET(納品書まとめ!$A$1,BV2-1,2)&lt;&gt;"",0,1)+BV4-1,"")</f>
        <v>9</v>
      </c>
      <c r="BZ2" s="41"/>
      <c r="CA2" s="54"/>
      <c r="CD2" s="85" t="str">
        <f>BS2</f>
        <v xml:space="preserve">2025 年 11 月 19 日 </v>
      </c>
      <c r="CE2" s="86"/>
      <c r="CF2" s="86"/>
      <c r="CG2" s="55">
        <f ca="1">IFERROR(
IF(AND(VALUE(OFFSET(納品書まとめ!$A$1,CG1-1,0))&gt;29999,VALUE(OFFSET(納品書まとめ!$A$1,CG1-1,0))&lt;39999),
IF(AND(VALUE(OFFSET(納品書まとめ!$A$1,CG1,0))&gt;29999,VALUE(OFFSET(納品書まとめ!$A$1,CG1,0))&lt;39999),
IF(AND(VALUE(OFFSET(納品書まとめ!$A$1,CG1+1,0))&gt;29999,VALUE(OFFSET(納品書まとめ!$A$1,CG1+1,0))&lt;39999),
IF(AND(VALUE(OFFSET(納品書まとめ!$A$1,CG1+2,0))&gt;29999,VALUE(OFFSET(納品書まとめ!$A$1,CG1+2,0))&lt;39999),
IF(AND(VALUE(OFFSET(納品書まとめ!$A$1,CG1+3,0))&gt;29999,VALUE(OFFSET(納品書まとめ!$A$1,CG1+3,0))&lt;39999),
IF(AND(VALUE(OFFSET(納品書まとめ!$A$1,CG1+4,0))&gt;29999,VALUE(OFFSET(納品書まとめ!$A$1,CG1+4,0))&lt;39999),
IF(AND(VALUE(OFFSET(納品書まとめ!$A$1,CG1+5,0))&gt;29999,VALUE(OFFSET(納品書まとめ!$A$1,CG1+5,0))&lt;39999),CG1+7,CG1+6),CG1+5),CG1+4),CG1+3),CG1+2),CG1+1),CG1),"")</f>
        <v>10</v>
      </c>
      <c r="CH2" s="55">
        <f ca="1">IFERROR(
CG2+IF(OFFSET(納品書まとめ!$A$1,CG2-1,2)&lt;&gt;"",0,1)+CG4-1,"")</f>
        <v>11</v>
      </c>
      <c r="CK2" s="41"/>
      <c r="CL2" s="54"/>
      <c r="CO2" s="85" t="str">
        <f>CD2</f>
        <v xml:space="preserve">2025 年 11 月 19 日 </v>
      </c>
      <c r="CP2" s="86"/>
      <c r="CQ2" s="86"/>
      <c r="CR2" s="55">
        <f ca="1">IFERROR(
IF(AND(VALUE(OFFSET(納品書まとめ!$A$1,CR1-1,0))&gt;29999,VALUE(OFFSET(納品書まとめ!$A$1,CR1-1,0))&lt;39999),
IF(AND(VALUE(OFFSET(納品書まとめ!$A$1,CR1,0))&gt;29999,VALUE(OFFSET(納品書まとめ!$A$1,CR1,0))&lt;39999),
IF(AND(VALUE(OFFSET(納品書まとめ!$A$1,CR1+1,0))&gt;29999,VALUE(OFFSET(納品書まとめ!$A$1,CR1+1,0))&lt;39999),
IF(AND(VALUE(OFFSET(納品書まとめ!$A$1,CR1+2,0))&gt;29999,VALUE(OFFSET(納品書まとめ!$A$1,CR1+2,0))&lt;39999),
IF(AND(VALUE(OFFSET(納品書まとめ!$A$1,CR1+3,0))&gt;29999,VALUE(OFFSET(納品書まとめ!$A$1,CR1+3,0))&lt;39999),
IF(AND(VALUE(OFFSET(納品書まとめ!$A$1,CR1+4,0))&gt;29999,VALUE(OFFSET(納品書まとめ!$A$1,CR1+4,0))&lt;39999),
IF(AND(VALUE(OFFSET(納品書まとめ!$A$1,CR1+5,0))&gt;29999,VALUE(OFFSET(納品書まとめ!$A$1,CR1+5,0))&lt;39999),CR1+7,CR1+6),CR1+5),CR1+4),CR1+3),CR1+2),CR1+1),CR1),"")</f>
        <v>12</v>
      </c>
      <c r="CS2" s="55">
        <f ca="1">IFERROR(
CR2+IF(OFFSET(納品書まとめ!$A$1,CR2-1,2)&lt;&gt;"",0,1)+CR4-1,"")</f>
        <v>12</v>
      </c>
      <c r="CV2" s="41"/>
      <c r="CW2" s="54"/>
      <c r="CZ2" s="85" t="str">
        <f>CO2</f>
        <v xml:space="preserve">2025 年 11 月 19 日 </v>
      </c>
      <c r="DA2" s="86"/>
      <c r="DB2" s="86"/>
      <c r="DC2" s="55">
        <f ca="1">IFERROR(
IF(AND(VALUE(OFFSET(納品書まとめ!$A$1,DC1-1,0))&gt;29999,VALUE(OFFSET(納品書まとめ!$A$1,DC1-1,0))&lt;39999),
IF(AND(VALUE(OFFSET(納品書まとめ!$A$1,DC1,0))&gt;29999,VALUE(OFFSET(納品書まとめ!$A$1,DC1,0))&lt;39999),
IF(AND(VALUE(OFFSET(納品書まとめ!$A$1,DC1+1,0))&gt;29999,VALUE(OFFSET(納品書まとめ!$A$1,DC1+1,0))&lt;39999),
IF(AND(VALUE(OFFSET(納品書まとめ!$A$1,DC1+2,0))&gt;29999,VALUE(OFFSET(納品書まとめ!$A$1,DC1+2,0))&lt;39999),
IF(AND(VALUE(OFFSET(納品書まとめ!$A$1,DC1+3,0))&gt;29999,VALUE(OFFSET(納品書まとめ!$A$1,DC1+3,0))&lt;39999),
IF(AND(VALUE(OFFSET(納品書まとめ!$A$1,DC1+4,0))&gt;29999,VALUE(OFFSET(納品書まとめ!$A$1,DC1+4,0))&lt;39999),
IF(AND(VALUE(OFFSET(納品書まとめ!$A$1,DC1+5,0))&gt;29999,VALUE(OFFSET(納品書まとめ!$A$1,DC1+5,0))&lt;39999),DC1+7,DC1+6),DC1+5),DC1+4),DC1+3),DC1+2),DC1+1),DC1),"")</f>
        <v>13</v>
      </c>
      <c r="DD2" s="55">
        <f ca="1">IFERROR(
DC2+IF(OFFSET(納品書まとめ!$A$1,DC2-1,2)&lt;&gt;"",0,1)+DC4-1,"")</f>
        <v>14</v>
      </c>
      <c r="DG2" s="41"/>
      <c r="DH2" s="54"/>
      <c r="DK2" s="85" t="str">
        <f>CZ2</f>
        <v xml:space="preserve">2025 年 11 月 19 日 </v>
      </c>
      <c r="DL2" s="86"/>
      <c r="DM2" s="86"/>
      <c r="DN2" s="55">
        <f ca="1">IFERROR(
IF(AND(VALUE(OFFSET(納品書まとめ!$A$1,DN1-1,0))&gt;29999,VALUE(OFFSET(納品書まとめ!$A$1,DN1-1,0))&lt;39999),
IF(AND(VALUE(OFFSET(納品書まとめ!$A$1,DN1,0))&gt;29999,VALUE(OFFSET(納品書まとめ!$A$1,DN1,0))&lt;39999),
IF(AND(VALUE(OFFSET(納品書まとめ!$A$1,DN1+1,0))&gt;29999,VALUE(OFFSET(納品書まとめ!$A$1,DN1+1,0))&lt;39999),
IF(AND(VALUE(OFFSET(納品書まとめ!$A$1,DN1+2,0))&gt;29999,VALUE(OFFSET(納品書まとめ!$A$1,DN1+2,0))&lt;39999),
IF(AND(VALUE(OFFSET(納品書まとめ!$A$1,DN1+3,0))&gt;29999,VALUE(OFFSET(納品書まとめ!$A$1,DN1+3,0))&lt;39999),
IF(AND(VALUE(OFFSET(納品書まとめ!$A$1,DN1+4,0))&gt;29999,VALUE(OFFSET(納品書まとめ!$A$1,DN1+4,0))&lt;39999),
IF(AND(VALUE(OFFSET(納品書まとめ!$A$1,DN1+5,0))&gt;29999,VALUE(OFFSET(納品書まとめ!$A$1,DN1+5,0))&lt;39999),DN1+7,DN1+6),DN1+5),DN1+4),DN1+3),DN1+2),DN1+1),DN1),"")</f>
        <v>15</v>
      </c>
      <c r="DO2" s="55">
        <f ca="1">IFERROR(
DN2+IF(OFFSET(納品書まとめ!$A$1,DN2-1,2)&lt;&gt;"",0,1)+DN4-1,"")</f>
        <v>15</v>
      </c>
      <c r="DR2" s="41"/>
      <c r="DS2" s="54"/>
      <c r="DV2" s="85" t="str">
        <f>DK2</f>
        <v xml:space="preserve">2025 年 11 月 19 日 </v>
      </c>
      <c r="DW2" s="86"/>
      <c r="DX2" s="86"/>
      <c r="DY2" s="55">
        <f ca="1">IFERROR(
IF(AND(VALUE(OFFSET(納品書まとめ!$A$1,DY1-1,0))&gt;29999,VALUE(OFFSET(納品書まとめ!$A$1,DY1-1,0))&lt;39999),
IF(AND(VALUE(OFFSET(納品書まとめ!$A$1,DY1,0))&gt;29999,VALUE(OFFSET(納品書まとめ!$A$1,DY1,0))&lt;39999),
IF(AND(VALUE(OFFSET(納品書まとめ!$A$1,DY1+1,0))&gt;29999,VALUE(OFFSET(納品書まとめ!$A$1,DY1+1,0))&lt;39999),
IF(AND(VALUE(OFFSET(納品書まとめ!$A$1,DY1+2,0))&gt;29999,VALUE(OFFSET(納品書まとめ!$A$1,DY1+2,0))&lt;39999),
IF(AND(VALUE(OFFSET(納品書まとめ!$A$1,DY1+3,0))&gt;29999,VALUE(OFFSET(納品書まとめ!$A$1,DY1+3,0))&lt;39999),
IF(AND(VALUE(OFFSET(納品書まとめ!$A$1,DY1+4,0))&gt;29999,VALUE(OFFSET(納品書まとめ!$A$1,DY1+4,0))&lt;39999),
IF(AND(VALUE(OFFSET(納品書まとめ!$A$1,DY1+5,0))&gt;29999,VALUE(OFFSET(納品書まとめ!$A$1,DY1+5,0))&lt;39999),DY1+7,DY1+6),DY1+5),DY1+4),DY1+3),DY1+2),DY1+1),DY1),"")</f>
        <v>16</v>
      </c>
      <c r="DZ2" s="55">
        <f ca="1">IFERROR(
DY2+IF(OFFSET(納品書まとめ!$A$1,DY2-1,2)&lt;&gt;"",0,1)+DY4-1,"")</f>
        <v>16</v>
      </c>
      <c r="EC2" s="41"/>
      <c r="ED2" s="54"/>
      <c r="EG2" s="85" t="str">
        <f>DV2</f>
        <v xml:space="preserve">2025 年 11 月 19 日 </v>
      </c>
      <c r="EH2" s="86"/>
      <c r="EI2" s="86"/>
      <c r="EJ2" s="55">
        <f ca="1">IFERROR(
IF(AND(VALUE(OFFSET(納品書まとめ!$A$1,EJ1-1,0))&gt;29999,VALUE(OFFSET(納品書まとめ!$A$1,EJ1-1,0))&lt;39999),
IF(AND(VALUE(OFFSET(納品書まとめ!$A$1,EJ1,0))&gt;29999,VALUE(OFFSET(納品書まとめ!$A$1,EJ1,0))&lt;39999),
IF(AND(VALUE(OFFSET(納品書まとめ!$A$1,EJ1+1,0))&gt;29999,VALUE(OFFSET(納品書まとめ!$A$1,EJ1+1,0))&lt;39999),
IF(AND(VALUE(OFFSET(納品書まとめ!$A$1,EJ1+2,0))&gt;29999,VALUE(OFFSET(納品書まとめ!$A$1,EJ1+2,0))&lt;39999),
IF(AND(VALUE(OFFSET(納品書まとめ!$A$1,EJ1+3,0))&gt;29999,VALUE(OFFSET(納品書まとめ!$A$1,EJ1+3,0))&lt;39999),
IF(AND(VALUE(OFFSET(納品書まとめ!$A$1,EJ1+4,0))&gt;29999,VALUE(OFFSET(納品書まとめ!$A$1,EJ1+4,0))&lt;39999),
IF(AND(VALUE(OFFSET(納品書まとめ!$A$1,EJ1+5,0))&gt;29999,VALUE(OFFSET(納品書まとめ!$A$1,EJ1+5,0))&lt;39999),EJ1+7,EJ1+6),EJ1+5),EJ1+4),EJ1+3),EJ1+2),EJ1+1),EJ1),"")</f>
        <v>17</v>
      </c>
      <c r="EK2" s="55">
        <f ca="1">IFERROR(
EJ2+IF(OFFSET(納品書まとめ!$A$1,EJ2-1,2)&lt;&gt;"",0,1)+EJ4-1,"")</f>
        <v>17</v>
      </c>
      <c r="EN2" s="41"/>
      <c r="EO2" s="54"/>
      <c r="ER2" s="85" t="str">
        <f>EG2</f>
        <v xml:space="preserve">2025 年 11 月 19 日 </v>
      </c>
      <c r="ES2" s="86"/>
      <c r="ET2" s="86"/>
      <c r="EU2" s="55">
        <f ca="1">IFERROR(
IF(AND(VALUE(OFFSET(納品書まとめ!$A$1,EU1-1,0))&gt;29999,VALUE(OFFSET(納品書まとめ!$A$1,EU1-1,0))&lt;39999),
IF(AND(VALUE(OFFSET(納品書まとめ!$A$1,EU1,0))&gt;29999,VALUE(OFFSET(納品書まとめ!$A$1,EU1,0))&lt;39999),
IF(AND(VALUE(OFFSET(納品書まとめ!$A$1,EU1+1,0))&gt;29999,VALUE(OFFSET(納品書まとめ!$A$1,EU1+1,0))&lt;39999),
IF(AND(VALUE(OFFSET(納品書まとめ!$A$1,EU1+2,0))&gt;29999,VALUE(OFFSET(納品書まとめ!$A$1,EU1+2,0))&lt;39999),
IF(AND(VALUE(OFFSET(納品書まとめ!$A$1,EU1+3,0))&gt;29999,VALUE(OFFSET(納品書まとめ!$A$1,EU1+3,0))&lt;39999),
IF(AND(VALUE(OFFSET(納品書まとめ!$A$1,EU1+4,0))&gt;29999,VALUE(OFFSET(納品書まとめ!$A$1,EU1+4,0))&lt;39999),
IF(AND(VALUE(OFFSET(納品書まとめ!$A$1,EU1+5,0))&gt;29999,VALUE(OFFSET(納品書まとめ!$A$1,EU1+5,0))&lt;39999),EU1+7,EU1+6),EU1+5),EU1+4),EU1+3),EU1+2),EU1+1),EU1),"")</f>
        <v>18</v>
      </c>
      <c r="EV2" s="55">
        <f ca="1">IFERROR(
EU2+IF(OFFSET(納品書まとめ!$A$1,EU2-1,2)&lt;&gt;"",0,1)+EU4-1,"")</f>
        <v>18</v>
      </c>
      <c r="EY2" s="41"/>
      <c r="EZ2" s="54"/>
      <c r="FC2" s="85" t="str">
        <f>ER2</f>
        <v xml:space="preserve">2025 年 11 月 19 日 </v>
      </c>
      <c r="FD2" s="86"/>
      <c r="FE2" s="86"/>
      <c r="FF2" s="55">
        <f ca="1">IFERROR(
IF(AND(VALUE(OFFSET(納品書まとめ!$A$1,FF1-1,0))&gt;29999,VALUE(OFFSET(納品書まとめ!$A$1,FF1-1,0))&lt;39999),
IF(AND(VALUE(OFFSET(納品書まとめ!$A$1,FF1,0))&gt;29999,VALUE(OFFSET(納品書まとめ!$A$1,FF1,0))&lt;39999),
IF(AND(VALUE(OFFSET(納品書まとめ!$A$1,FF1+1,0))&gt;29999,VALUE(OFFSET(納品書まとめ!$A$1,FF1+1,0))&lt;39999),
IF(AND(VALUE(OFFSET(納品書まとめ!$A$1,FF1+2,0))&gt;29999,VALUE(OFFSET(納品書まとめ!$A$1,FF1+2,0))&lt;39999),
IF(AND(VALUE(OFFSET(納品書まとめ!$A$1,FF1+3,0))&gt;29999,VALUE(OFFSET(納品書まとめ!$A$1,FF1+3,0))&lt;39999),
IF(AND(VALUE(OFFSET(納品書まとめ!$A$1,FF1+4,0))&gt;29999,VALUE(OFFSET(納品書まとめ!$A$1,FF1+4,0))&lt;39999),
IF(AND(VALUE(OFFSET(納品書まとめ!$A$1,FF1+5,0))&gt;29999,VALUE(OFFSET(納品書まとめ!$A$1,FF1+5,0))&lt;39999),FF1+7,FF1+6),FF1+5),FF1+4),FF1+3),FF1+2),FF1+1),FF1),"")</f>
        <v>19</v>
      </c>
      <c r="FG2" s="55">
        <f ca="1">IFERROR(
FF2+IF(OFFSET(納品書まとめ!$A$1,FF2-1,2)&lt;&gt;"",0,1)+FF4-1,"")</f>
        <v>19</v>
      </c>
      <c r="FJ2" s="41"/>
      <c r="FK2" s="54"/>
      <c r="FN2" s="85" t="str">
        <f>FC2</f>
        <v xml:space="preserve">2025 年 11 月 19 日 </v>
      </c>
      <c r="FO2" s="86"/>
      <c r="FP2" s="86"/>
      <c r="FQ2" s="55">
        <f ca="1">IFERROR(
IF(AND(VALUE(OFFSET(納品書まとめ!$A$1,FQ1-1,0))&gt;29999,VALUE(OFFSET(納品書まとめ!$A$1,FQ1-1,0))&lt;39999),
IF(AND(VALUE(OFFSET(納品書まとめ!$A$1,FQ1,0))&gt;29999,VALUE(OFFSET(納品書まとめ!$A$1,FQ1,0))&lt;39999),
IF(AND(VALUE(OFFSET(納品書まとめ!$A$1,FQ1+1,0))&gt;29999,VALUE(OFFSET(納品書まとめ!$A$1,FQ1+1,0))&lt;39999),
IF(AND(VALUE(OFFSET(納品書まとめ!$A$1,FQ1+2,0))&gt;29999,VALUE(OFFSET(納品書まとめ!$A$1,FQ1+2,0))&lt;39999),
IF(AND(VALUE(OFFSET(納品書まとめ!$A$1,FQ1+3,0))&gt;29999,VALUE(OFFSET(納品書まとめ!$A$1,FQ1+3,0))&lt;39999),
IF(AND(VALUE(OFFSET(納品書まとめ!$A$1,FQ1+4,0))&gt;29999,VALUE(OFFSET(納品書まとめ!$A$1,FQ1+4,0))&lt;39999),
IF(AND(VALUE(OFFSET(納品書まとめ!$A$1,FQ1+5,0))&gt;29999,VALUE(OFFSET(納品書まとめ!$A$1,FQ1+5,0))&lt;39999),FQ1+7,FQ1+6),FQ1+5),FQ1+4),FQ1+3),FQ1+2),FQ1+1),FQ1),"")</f>
        <v>20</v>
      </c>
      <c r="FR2" s="55">
        <f ca="1">IFERROR(
FQ2+IF(OFFSET(納品書まとめ!$A$1,FQ2-1,2)&lt;&gt;"",0,1)+FQ4-1,"")</f>
        <v>21</v>
      </c>
      <c r="FU2" s="41"/>
      <c r="FV2" s="54"/>
      <c r="FY2" s="85" t="str">
        <f>FN2</f>
        <v xml:space="preserve">2025 年 11 月 19 日 </v>
      </c>
      <c r="FZ2" s="86"/>
      <c r="GA2" s="86"/>
      <c r="GB2" s="55">
        <f ca="1">IFERROR(
IF(AND(VALUE(OFFSET(納品書まとめ!$A$1,GB1-1,0))&gt;29999,VALUE(OFFSET(納品書まとめ!$A$1,GB1-1,0))&lt;39999),
IF(AND(VALUE(OFFSET(納品書まとめ!$A$1,GB1,0))&gt;29999,VALUE(OFFSET(納品書まとめ!$A$1,GB1,0))&lt;39999),
IF(AND(VALUE(OFFSET(納品書まとめ!$A$1,GB1+1,0))&gt;29999,VALUE(OFFSET(納品書まとめ!$A$1,GB1+1,0))&lt;39999),
IF(AND(VALUE(OFFSET(納品書まとめ!$A$1,GB1+2,0))&gt;29999,VALUE(OFFSET(納品書まとめ!$A$1,GB1+2,0))&lt;39999),
IF(AND(VALUE(OFFSET(納品書まとめ!$A$1,GB1+3,0))&gt;29999,VALUE(OFFSET(納品書まとめ!$A$1,GB1+3,0))&lt;39999),
IF(AND(VALUE(OFFSET(納品書まとめ!$A$1,GB1+4,0))&gt;29999,VALUE(OFFSET(納品書まとめ!$A$1,GB1+4,0))&lt;39999),
IF(AND(VALUE(OFFSET(納品書まとめ!$A$1,GB1+5,0))&gt;29999,VALUE(OFFSET(納品書まとめ!$A$1,GB1+5,0))&lt;39999),GB1+7,GB1+6),GB1+5),GB1+4),GB1+3),GB1+2),GB1+1),GB1),"")</f>
        <v>22</v>
      </c>
      <c r="GC2" s="55">
        <f ca="1">IFERROR(
GB2+IF(OFFSET(納品書まとめ!$A$1,GB2-1,2)&lt;&gt;"",0,1)+GB4-1,"")</f>
        <v>22</v>
      </c>
      <c r="GF2" s="41"/>
      <c r="GG2" s="54"/>
      <c r="GJ2" s="85" t="str">
        <f>FY2</f>
        <v xml:space="preserve">2025 年 11 月 19 日 </v>
      </c>
      <c r="GK2" s="86"/>
      <c r="GL2" s="86"/>
      <c r="GM2" s="55">
        <f ca="1">IFERROR(
IF(AND(VALUE(OFFSET(納品書まとめ!$A$1,GM1-1,0))&gt;29999,VALUE(OFFSET(納品書まとめ!$A$1,GM1-1,0))&lt;39999),
IF(AND(VALUE(OFFSET(納品書まとめ!$A$1,GM1,0))&gt;29999,VALUE(OFFSET(納品書まとめ!$A$1,GM1,0))&lt;39999),
IF(AND(VALUE(OFFSET(納品書まとめ!$A$1,GM1+1,0))&gt;29999,VALUE(OFFSET(納品書まとめ!$A$1,GM1+1,0))&lt;39999),
IF(AND(VALUE(OFFSET(納品書まとめ!$A$1,GM1+2,0))&gt;29999,VALUE(OFFSET(納品書まとめ!$A$1,GM1+2,0))&lt;39999),
IF(AND(VALUE(OFFSET(納品書まとめ!$A$1,GM1+3,0))&gt;29999,VALUE(OFFSET(納品書まとめ!$A$1,GM1+3,0))&lt;39999),
IF(AND(VALUE(OFFSET(納品書まとめ!$A$1,GM1+4,0))&gt;29999,VALUE(OFFSET(納品書まとめ!$A$1,GM1+4,0))&lt;39999),
IF(AND(VALUE(OFFSET(納品書まとめ!$A$1,GM1+5,0))&gt;29999,VALUE(OFFSET(納品書まとめ!$A$1,GM1+5,0))&lt;39999),GM1+7,GM1+6),GM1+5),GM1+4),GM1+3),GM1+2),GM1+1),GM1),"")</f>
        <v>23</v>
      </c>
      <c r="GN2" s="55">
        <f ca="1">IFERROR(
GM2+IF(OFFSET(納品書まとめ!$A$1,GM2-1,2)&lt;&gt;"",0,1)+GM4-1,"")</f>
        <v>24</v>
      </c>
      <c r="GQ2" s="41"/>
      <c r="GR2" s="54"/>
      <c r="GU2" s="85" t="str">
        <f>GJ2</f>
        <v xml:space="preserve">2025 年 11 月 19 日 </v>
      </c>
      <c r="GV2" s="86"/>
      <c r="GW2" s="86"/>
      <c r="GX2" s="55">
        <f ca="1">IFERROR(
IF(AND(VALUE(OFFSET(納品書まとめ!$A$1,GX1-1,0))&gt;29999,VALUE(OFFSET(納品書まとめ!$A$1,GX1-1,0))&lt;39999),
IF(AND(VALUE(OFFSET(納品書まとめ!$A$1,GX1,0))&gt;29999,VALUE(OFFSET(納品書まとめ!$A$1,GX1,0))&lt;39999),
IF(AND(VALUE(OFFSET(納品書まとめ!$A$1,GX1+1,0))&gt;29999,VALUE(OFFSET(納品書まとめ!$A$1,GX1+1,0))&lt;39999),
IF(AND(VALUE(OFFSET(納品書まとめ!$A$1,GX1+2,0))&gt;29999,VALUE(OFFSET(納品書まとめ!$A$1,GX1+2,0))&lt;39999),
IF(AND(VALUE(OFFSET(納品書まとめ!$A$1,GX1+3,0))&gt;29999,VALUE(OFFSET(納品書まとめ!$A$1,GX1+3,0))&lt;39999),
IF(AND(VALUE(OFFSET(納品書まとめ!$A$1,GX1+4,0))&gt;29999,VALUE(OFFSET(納品書まとめ!$A$1,GX1+4,0))&lt;39999),
IF(AND(VALUE(OFFSET(納品書まとめ!$A$1,GX1+5,0))&gt;29999,VALUE(OFFSET(納品書まとめ!$A$1,GX1+5,0))&lt;39999),GX1+7,GX1+6),GX1+5),GX1+4),GX1+3),GX1+2),GX1+1),GX1),"")</f>
        <v>25</v>
      </c>
      <c r="GY2" s="55">
        <f ca="1">IFERROR(
GX2+IF(OFFSET(納品書まとめ!$A$1,GX2-1,2)&lt;&gt;"",0,1)+GX4-1,"")</f>
        <v>25</v>
      </c>
      <c r="HB2" s="41"/>
      <c r="HC2" s="54"/>
      <c r="HF2" s="85" t="str">
        <f>GU2</f>
        <v xml:space="preserve">2025 年 11 月 19 日 </v>
      </c>
      <c r="HG2" s="86"/>
      <c r="HH2" s="86"/>
      <c r="HI2" s="55">
        <f ca="1">IFERROR(
IF(AND(VALUE(OFFSET(納品書まとめ!$A$1,HI1-1,0))&gt;29999,VALUE(OFFSET(納品書まとめ!$A$1,HI1-1,0))&lt;39999),
IF(AND(VALUE(OFFSET(納品書まとめ!$A$1,HI1,0))&gt;29999,VALUE(OFFSET(納品書まとめ!$A$1,HI1,0))&lt;39999),
IF(AND(VALUE(OFFSET(納品書まとめ!$A$1,HI1+1,0))&gt;29999,VALUE(OFFSET(納品書まとめ!$A$1,HI1+1,0))&lt;39999),
IF(AND(VALUE(OFFSET(納品書まとめ!$A$1,HI1+2,0))&gt;29999,VALUE(OFFSET(納品書まとめ!$A$1,HI1+2,0))&lt;39999),
IF(AND(VALUE(OFFSET(納品書まとめ!$A$1,HI1+3,0))&gt;29999,VALUE(OFFSET(納品書まとめ!$A$1,HI1+3,0))&lt;39999),
IF(AND(VALUE(OFFSET(納品書まとめ!$A$1,HI1+4,0))&gt;29999,VALUE(OFFSET(納品書まとめ!$A$1,HI1+4,0))&lt;39999),
IF(AND(VALUE(OFFSET(納品書まとめ!$A$1,HI1+5,0))&gt;29999,VALUE(OFFSET(納品書まとめ!$A$1,HI1+5,0))&lt;39999),HI1+7,HI1+6),HI1+5),HI1+4),HI1+3),HI1+2),HI1+1),HI1),"")</f>
        <v>26</v>
      </c>
      <c r="HJ2" s="55">
        <f ca="1">IFERROR(
HI2+IF(OFFSET(納品書まとめ!$A$1,HI2-1,2)&lt;&gt;"",0,1)+HI4-1,"")</f>
        <v>26</v>
      </c>
      <c r="HM2" s="41"/>
      <c r="HN2" s="54"/>
      <c r="HQ2" s="85" t="str">
        <f>HF2</f>
        <v xml:space="preserve">2025 年 11 月 19 日 </v>
      </c>
      <c r="HR2" s="86"/>
      <c r="HS2" s="86"/>
      <c r="HT2" s="55">
        <f ca="1">IFERROR(
IF(AND(VALUE(OFFSET(納品書まとめ!$A$1,HT1-1,0))&gt;29999,VALUE(OFFSET(納品書まとめ!$A$1,HT1-1,0))&lt;39999),
IF(AND(VALUE(OFFSET(納品書まとめ!$A$1,HT1,0))&gt;29999,VALUE(OFFSET(納品書まとめ!$A$1,HT1,0))&lt;39999),
IF(AND(VALUE(OFFSET(納品書まとめ!$A$1,HT1+1,0))&gt;29999,VALUE(OFFSET(納品書まとめ!$A$1,HT1+1,0))&lt;39999),
IF(AND(VALUE(OFFSET(納品書まとめ!$A$1,HT1+2,0))&gt;29999,VALUE(OFFSET(納品書まとめ!$A$1,HT1+2,0))&lt;39999),
IF(AND(VALUE(OFFSET(納品書まとめ!$A$1,HT1+3,0))&gt;29999,VALUE(OFFSET(納品書まとめ!$A$1,HT1+3,0))&lt;39999),
IF(AND(VALUE(OFFSET(納品書まとめ!$A$1,HT1+4,0))&gt;29999,VALUE(OFFSET(納品書まとめ!$A$1,HT1+4,0))&lt;39999),
IF(AND(VALUE(OFFSET(納品書まとめ!$A$1,HT1+5,0))&gt;29999,VALUE(OFFSET(納品書まとめ!$A$1,HT1+5,0))&lt;39999),HT1+7,HT1+6),HT1+5),HT1+4),HT1+3),HT1+2),HT1+1),HT1),"")</f>
        <v>27</v>
      </c>
      <c r="HU2" s="55">
        <f ca="1">IFERROR(
HT2+IF(OFFSET(納品書まとめ!$A$1,HT2-1,2)&lt;&gt;"",0,1)+HT4-1,"")</f>
        <v>27</v>
      </c>
      <c r="HX2" s="41"/>
      <c r="HY2" s="54"/>
      <c r="IB2" s="85" t="str">
        <f>HQ2</f>
        <v xml:space="preserve">2025 年 11 月 19 日 </v>
      </c>
      <c r="IC2" s="86"/>
      <c r="ID2" s="86"/>
      <c r="IE2" s="55">
        <f ca="1">IFERROR(
IF(AND(VALUE(OFFSET(納品書まとめ!$A$1,IE1-1,0))&gt;29999,VALUE(OFFSET(納品書まとめ!$A$1,IE1-1,0))&lt;39999),
IF(AND(VALUE(OFFSET(納品書まとめ!$A$1,IE1,0))&gt;29999,VALUE(OFFSET(納品書まとめ!$A$1,IE1,0))&lt;39999),
IF(AND(VALUE(OFFSET(納品書まとめ!$A$1,IE1+1,0))&gt;29999,VALUE(OFFSET(納品書まとめ!$A$1,IE1+1,0))&lt;39999),
IF(AND(VALUE(OFFSET(納品書まとめ!$A$1,IE1+2,0))&gt;29999,VALUE(OFFSET(納品書まとめ!$A$1,IE1+2,0))&lt;39999),
IF(AND(VALUE(OFFSET(納品書まとめ!$A$1,IE1+3,0))&gt;29999,VALUE(OFFSET(納品書まとめ!$A$1,IE1+3,0))&lt;39999),
IF(AND(VALUE(OFFSET(納品書まとめ!$A$1,IE1+4,0))&gt;29999,VALUE(OFFSET(納品書まとめ!$A$1,IE1+4,0))&lt;39999),
IF(AND(VALUE(OFFSET(納品書まとめ!$A$1,IE1+5,0))&gt;29999,VALUE(OFFSET(納品書まとめ!$A$1,IE1+5,0))&lt;39999),IE1+7,IE1+6),IE1+5),IE1+4),IE1+3),IE1+2),IE1+1),IE1),"")</f>
        <v>28</v>
      </c>
      <c r="IF2" s="55">
        <f ca="1">IFERROR(
IE2+IF(OFFSET(納品書まとめ!$A$1,IE2-1,2)&lt;&gt;"",0,1)+IE4-1,"")</f>
        <v>28</v>
      </c>
      <c r="II2" s="41"/>
      <c r="IJ2" s="54"/>
      <c r="IM2" s="85" t="str">
        <f>IB2</f>
        <v xml:space="preserve">2025 年 11 月 19 日 </v>
      </c>
      <c r="IN2" s="86"/>
      <c r="IO2" s="86"/>
      <c r="IP2" s="55">
        <f ca="1">IFERROR(
IF(AND(VALUE(OFFSET(納品書まとめ!$A$1,IP1-1,0))&gt;29999,VALUE(OFFSET(納品書まとめ!$A$1,IP1-1,0))&lt;39999),
IF(AND(VALUE(OFFSET(納品書まとめ!$A$1,IP1,0))&gt;29999,VALUE(OFFSET(納品書まとめ!$A$1,IP1,0))&lt;39999),
IF(AND(VALUE(OFFSET(納品書まとめ!$A$1,IP1+1,0))&gt;29999,VALUE(OFFSET(納品書まとめ!$A$1,IP1+1,0))&lt;39999),
IF(AND(VALUE(OFFSET(納品書まとめ!$A$1,IP1+2,0))&gt;29999,VALUE(OFFSET(納品書まとめ!$A$1,IP1+2,0))&lt;39999),
IF(AND(VALUE(OFFSET(納品書まとめ!$A$1,IP1+3,0))&gt;29999,VALUE(OFFSET(納品書まとめ!$A$1,IP1+3,0))&lt;39999),
IF(AND(VALUE(OFFSET(納品書まとめ!$A$1,IP1+4,0))&gt;29999,VALUE(OFFSET(納品書まとめ!$A$1,IP1+4,0))&lt;39999),
IF(AND(VALUE(OFFSET(納品書まとめ!$A$1,IP1+5,0))&gt;29999,VALUE(OFFSET(納品書まとめ!$A$1,IP1+5,0))&lt;39999),IP1+7,IP1+6),IP1+5),IP1+4),IP1+3),IP1+2),IP1+1),IP1),"")</f>
        <v>29</v>
      </c>
      <c r="IQ2" s="55">
        <f ca="1">IFERROR(
IP2+IF(OFFSET(納品書まとめ!$A$1,IP2-1,2)&lt;&gt;"",0,1)+IP4-1,"")</f>
        <v>29</v>
      </c>
      <c r="IT2" s="41"/>
      <c r="IU2" s="54"/>
      <c r="IX2" s="85" t="str">
        <f>IM2</f>
        <v xml:space="preserve">2025 年 11 月 19 日 </v>
      </c>
      <c r="IY2" s="86"/>
      <c r="IZ2" s="86"/>
      <c r="JA2" s="55">
        <f ca="1">IFERROR(
IF(AND(VALUE(OFFSET(納品書まとめ!$A$1,JA1-1,0))&gt;29999,VALUE(OFFSET(納品書まとめ!$A$1,JA1-1,0))&lt;39999),
IF(AND(VALUE(OFFSET(納品書まとめ!$A$1,JA1,0))&gt;29999,VALUE(OFFSET(納品書まとめ!$A$1,JA1,0))&lt;39999),
IF(AND(VALUE(OFFSET(納品書まとめ!$A$1,JA1+1,0))&gt;29999,VALUE(OFFSET(納品書まとめ!$A$1,JA1+1,0))&lt;39999),
IF(AND(VALUE(OFFSET(納品書まとめ!$A$1,JA1+2,0))&gt;29999,VALUE(OFFSET(納品書まとめ!$A$1,JA1+2,0))&lt;39999),
IF(AND(VALUE(OFFSET(納品書まとめ!$A$1,JA1+3,0))&gt;29999,VALUE(OFFSET(納品書まとめ!$A$1,JA1+3,0))&lt;39999),
IF(AND(VALUE(OFFSET(納品書まとめ!$A$1,JA1+4,0))&gt;29999,VALUE(OFFSET(納品書まとめ!$A$1,JA1+4,0))&lt;39999),
IF(AND(VALUE(OFFSET(納品書まとめ!$A$1,JA1+5,0))&gt;29999,VALUE(OFFSET(納品書まとめ!$A$1,JA1+5,0))&lt;39999),JA1+7,JA1+6),JA1+5),JA1+4),JA1+3),JA1+2),JA1+1),JA1),"")</f>
        <v>30</v>
      </c>
      <c r="JB2" s="55">
        <f ca="1">IFERROR(
JA2+IF(OFFSET(納品書まとめ!$A$1,JA2-1,2)&lt;&gt;"",0,1)+JA4-1,"")</f>
        <v>30</v>
      </c>
      <c r="JE2" s="41"/>
      <c r="JF2" s="54"/>
      <c r="JI2" s="85" t="str">
        <f>IX2</f>
        <v xml:space="preserve">2025 年 11 月 19 日 </v>
      </c>
      <c r="JJ2" s="86"/>
      <c r="JK2" s="86"/>
      <c r="JL2" s="55">
        <f ca="1">IFERROR(
IF(AND(VALUE(OFFSET(納品書まとめ!$A$1,JL1-1,0))&gt;29999,VALUE(OFFSET(納品書まとめ!$A$1,JL1-1,0))&lt;39999),
IF(AND(VALUE(OFFSET(納品書まとめ!$A$1,JL1,0))&gt;29999,VALUE(OFFSET(納品書まとめ!$A$1,JL1,0))&lt;39999),
IF(AND(VALUE(OFFSET(納品書まとめ!$A$1,JL1+1,0))&gt;29999,VALUE(OFFSET(納品書まとめ!$A$1,JL1+1,0))&lt;39999),
IF(AND(VALUE(OFFSET(納品書まとめ!$A$1,JL1+2,0))&gt;29999,VALUE(OFFSET(納品書まとめ!$A$1,JL1+2,0))&lt;39999),
IF(AND(VALUE(OFFSET(納品書まとめ!$A$1,JL1+3,0))&gt;29999,VALUE(OFFSET(納品書まとめ!$A$1,JL1+3,0))&lt;39999),
IF(AND(VALUE(OFFSET(納品書まとめ!$A$1,JL1+4,0))&gt;29999,VALUE(OFFSET(納品書まとめ!$A$1,JL1+4,0))&lt;39999),
IF(AND(VALUE(OFFSET(納品書まとめ!$A$1,JL1+5,0))&gt;29999,VALUE(OFFSET(納品書まとめ!$A$1,JL1+5,0))&lt;39999),JL1+7,JL1+6),JL1+5),JL1+4),JL1+3),JL1+2),JL1+1),JL1),"")</f>
        <v>31</v>
      </c>
      <c r="JM2" s="55">
        <f ca="1">IFERROR(
JL2+IF(OFFSET(納品書まとめ!$A$1,JL2-1,2)&lt;&gt;"",0,1)+JL4-1,"")</f>
        <v>31</v>
      </c>
      <c r="JP2" s="41"/>
      <c r="JQ2" s="54"/>
      <c r="JT2" s="85" t="str">
        <f>JI2</f>
        <v xml:space="preserve">2025 年 11 月 19 日 </v>
      </c>
      <c r="JU2" s="86"/>
      <c r="JV2" s="86"/>
      <c r="JW2" s="55">
        <f ca="1">IFERROR(
IF(AND(VALUE(OFFSET(納品書まとめ!$A$1,JW1-1,0))&gt;29999,VALUE(OFFSET(納品書まとめ!$A$1,JW1-1,0))&lt;39999),
IF(AND(VALUE(OFFSET(納品書まとめ!$A$1,JW1,0))&gt;29999,VALUE(OFFSET(納品書まとめ!$A$1,JW1,0))&lt;39999),
IF(AND(VALUE(OFFSET(納品書まとめ!$A$1,JW1+1,0))&gt;29999,VALUE(OFFSET(納品書まとめ!$A$1,JW1+1,0))&lt;39999),
IF(AND(VALUE(OFFSET(納品書まとめ!$A$1,JW1+2,0))&gt;29999,VALUE(OFFSET(納品書まとめ!$A$1,JW1+2,0))&lt;39999),
IF(AND(VALUE(OFFSET(納品書まとめ!$A$1,JW1+3,0))&gt;29999,VALUE(OFFSET(納品書まとめ!$A$1,JW1+3,0))&lt;39999),
IF(AND(VALUE(OFFSET(納品書まとめ!$A$1,JW1+4,0))&gt;29999,VALUE(OFFSET(納品書まとめ!$A$1,JW1+4,0))&lt;39999),
IF(AND(VALUE(OFFSET(納品書まとめ!$A$1,JW1+5,0))&gt;29999,VALUE(OFFSET(納品書まとめ!$A$1,JW1+5,0))&lt;39999),JW1+7,JW1+6),JW1+5),JW1+4),JW1+3),JW1+2),JW1+1),JW1),"")</f>
        <v>32</v>
      </c>
      <c r="JX2" s="55">
        <f ca="1">IFERROR(
JW2+IF(OFFSET(納品書まとめ!$A$1,JW2-1,2)&lt;&gt;"",0,1)+JW4-1,"")</f>
        <v>33</v>
      </c>
      <c r="KA2" s="41"/>
      <c r="KB2" s="54"/>
      <c r="KE2" s="85" t="str">
        <f>JT2</f>
        <v xml:space="preserve">2025 年 11 月 19 日 </v>
      </c>
      <c r="KF2" s="86"/>
      <c r="KG2" s="86"/>
      <c r="KH2" s="55">
        <f ca="1">IFERROR(
IF(AND(VALUE(OFFSET(納品書まとめ!$A$1,KH1-1,0))&gt;29999,VALUE(OFFSET(納品書まとめ!$A$1,KH1-1,0))&lt;39999),
IF(AND(VALUE(OFFSET(納品書まとめ!$A$1,KH1,0))&gt;29999,VALUE(OFFSET(納品書まとめ!$A$1,KH1,0))&lt;39999),
IF(AND(VALUE(OFFSET(納品書まとめ!$A$1,KH1+1,0))&gt;29999,VALUE(OFFSET(納品書まとめ!$A$1,KH1+1,0))&lt;39999),
IF(AND(VALUE(OFFSET(納品書まとめ!$A$1,KH1+2,0))&gt;29999,VALUE(OFFSET(納品書まとめ!$A$1,KH1+2,0))&lt;39999),
IF(AND(VALUE(OFFSET(納品書まとめ!$A$1,KH1+3,0))&gt;29999,VALUE(OFFSET(納品書まとめ!$A$1,KH1+3,0))&lt;39999),
IF(AND(VALUE(OFFSET(納品書まとめ!$A$1,KH1+4,0))&gt;29999,VALUE(OFFSET(納品書まとめ!$A$1,KH1+4,0))&lt;39999),
IF(AND(VALUE(OFFSET(納品書まとめ!$A$1,KH1+5,0))&gt;29999,VALUE(OFFSET(納品書まとめ!$A$1,KH1+5,0))&lt;39999),KH1+7,KH1+6),KH1+5),KH1+4),KH1+3),KH1+2),KH1+1),KH1),"")</f>
        <v>34</v>
      </c>
      <c r="KI2" s="55">
        <f ca="1">IFERROR(
KH2+IF(OFFSET(納品書まとめ!$A$1,KH2-1,2)&lt;&gt;"",0,1)+KH4-1,"")</f>
        <v>34</v>
      </c>
      <c r="KL2" s="41"/>
      <c r="KM2" s="54"/>
      <c r="KP2" s="85" t="str">
        <f>KE2</f>
        <v xml:space="preserve">2025 年 11 月 19 日 </v>
      </c>
      <c r="KQ2" s="86"/>
      <c r="KR2" s="86"/>
      <c r="KS2" s="55">
        <f ca="1">IFERROR(
IF(AND(VALUE(OFFSET(納品書まとめ!$A$1,KS1-1,0))&gt;29999,VALUE(OFFSET(納品書まとめ!$A$1,KS1-1,0))&lt;39999),
IF(AND(VALUE(OFFSET(納品書まとめ!$A$1,KS1,0))&gt;29999,VALUE(OFFSET(納品書まとめ!$A$1,KS1,0))&lt;39999),
IF(AND(VALUE(OFFSET(納品書まとめ!$A$1,KS1+1,0))&gt;29999,VALUE(OFFSET(納品書まとめ!$A$1,KS1+1,0))&lt;39999),
IF(AND(VALUE(OFFSET(納品書まとめ!$A$1,KS1+2,0))&gt;29999,VALUE(OFFSET(納品書まとめ!$A$1,KS1+2,0))&lt;39999),
IF(AND(VALUE(OFFSET(納品書まとめ!$A$1,KS1+3,0))&gt;29999,VALUE(OFFSET(納品書まとめ!$A$1,KS1+3,0))&lt;39999),
IF(AND(VALUE(OFFSET(納品書まとめ!$A$1,KS1+4,0))&gt;29999,VALUE(OFFSET(納品書まとめ!$A$1,KS1+4,0))&lt;39999),
IF(AND(VALUE(OFFSET(納品書まとめ!$A$1,KS1+5,0))&gt;29999,VALUE(OFFSET(納品書まとめ!$A$1,KS1+5,0))&lt;39999),KS1+7,KS1+6),KS1+5),KS1+4),KS1+3),KS1+2),KS1+1),KS1),"")</f>
        <v>35</v>
      </c>
      <c r="KT2" s="55">
        <f ca="1">IFERROR(
KS2+IF(OFFSET(納品書まとめ!$A$1,KS2-1,2)&lt;&gt;"",0,1)+KS4-1,"")</f>
        <v>35</v>
      </c>
      <c r="KW2" s="41"/>
      <c r="KX2" s="54"/>
      <c r="LA2" s="85" t="str">
        <f>KP2</f>
        <v xml:space="preserve">2025 年 11 月 19 日 </v>
      </c>
      <c r="LB2" s="86"/>
      <c r="LC2" s="86"/>
      <c r="LD2" s="55">
        <f ca="1">IFERROR(
IF(AND(VALUE(OFFSET(納品書まとめ!$A$1,LD1-1,0))&gt;29999,VALUE(OFFSET(納品書まとめ!$A$1,LD1-1,0))&lt;39999),
IF(AND(VALUE(OFFSET(納品書まとめ!$A$1,LD1,0))&gt;29999,VALUE(OFFSET(納品書まとめ!$A$1,LD1,0))&lt;39999),
IF(AND(VALUE(OFFSET(納品書まとめ!$A$1,LD1+1,0))&gt;29999,VALUE(OFFSET(納品書まとめ!$A$1,LD1+1,0))&lt;39999),
IF(AND(VALUE(OFFSET(納品書まとめ!$A$1,LD1+2,0))&gt;29999,VALUE(OFFSET(納品書まとめ!$A$1,LD1+2,0))&lt;39999),
IF(AND(VALUE(OFFSET(納品書まとめ!$A$1,LD1+3,0))&gt;29999,VALUE(OFFSET(納品書まとめ!$A$1,LD1+3,0))&lt;39999),
IF(AND(VALUE(OFFSET(納品書まとめ!$A$1,LD1+4,0))&gt;29999,VALUE(OFFSET(納品書まとめ!$A$1,LD1+4,0))&lt;39999),
IF(AND(VALUE(OFFSET(納品書まとめ!$A$1,LD1+5,0))&gt;29999,VALUE(OFFSET(納品書まとめ!$A$1,LD1+5,0))&lt;39999),LD1+7,LD1+6),LD1+5),LD1+4),LD1+3),LD1+2),LD1+1),LD1),"")</f>
        <v>36</v>
      </c>
      <c r="LE2" s="55">
        <f ca="1">IFERROR(
LD2+IF(OFFSET(納品書まとめ!$A$1,LD2-1,2)&lt;&gt;"",0,1)+LD4-1,"")</f>
        <v>36</v>
      </c>
      <c r="LH2" s="41"/>
      <c r="LI2" s="54"/>
      <c r="LL2" s="85" t="str">
        <f>LA2</f>
        <v xml:space="preserve">2025 年 11 月 19 日 </v>
      </c>
      <c r="LM2" s="86"/>
      <c r="LN2" s="86"/>
      <c r="LO2" s="55">
        <f ca="1">IFERROR(
IF(AND(VALUE(OFFSET(納品書まとめ!$A$1,LO1-1,0))&gt;29999,VALUE(OFFSET(納品書まとめ!$A$1,LO1-1,0))&lt;39999),
IF(AND(VALUE(OFFSET(納品書まとめ!$A$1,LO1,0))&gt;29999,VALUE(OFFSET(納品書まとめ!$A$1,LO1,0))&lt;39999),
IF(AND(VALUE(OFFSET(納品書まとめ!$A$1,LO1+1,0))&gt;29999,VALUE(OFFSET(納品書まとめ!$A$1,LO1+1,0))&lt;39999),
IF(AND(VALUE(OFFSET(納品書まとめ!$A$1,LO1+2,0))&gt;29999,VALUE(OFFSET(納品書まとめ!$A$1,LO1+2,0))&lt;39999),
IF(AND(VALUE(OFFSET(納品書まとめ!$A$1,LO1+3,0))&gt;29999,VALUE(OFFSET(納品書まとめ!$A$1,LO1+3,0))&lt;39999),
IF(AND(VALUE(OFFSET(納品書まとめ!$A$1,LO1+4,0))&gt;29999,VALUE(OFFSET(納品書まとめ!$A$1,LO1+4,0))&lt;39999),
IF(AND(VALUE(OFFSET(納品書まとめ!$A$1,LO1+5,0))&gt;29999,VALUE(OFFSET(納品書まとめ!$A$1,LO1+5,0))&lt;39999),LO1+7,LO1+6),LO1+5),LO1+4),LO1+3),LO1+2),LO1+1),LO1),"")</f>
        <v>37</v>
      </c>
      <c r="LP2" s="55">
        <f ca="1">IFERROR(
LO2+IF(OFFSET(納品書まとめ!$A$1,LO2-1,2)&lt;&gt;"",0,1)+LO4-1,"")</f>
        <v>37</v>
      </c>
      <c r="LS2" s="41"/>
      <c r="LT2" s="54"/>
      <c r="LW2" s="85" t="str">
        <f>LL2</f>
        <v xml:space="preserve">2025 年 11 月 19 日 </v>
      </c>
      <c r="LX2" s="86"/>
      <c r="LY2" s="86"/>
      <c r="LZ2" s="55">
        <f ca="1">IFERROR(
IF(AND(VALUE(OFFSET(納品書まとめ!$A$1,LZ1-1,0))&gt;29999,VALUE(OFFSET(納品書まとめ!$A$1,LZ1-1,0))&lt;39999),
IF(AND(VALUE(OFFSET(納品書まとめ!$A$1,LZ1,0))&gt;29999,VALUE(OFFSET(納品書まとめ!$A$1,LZ1,0))&lt;39999),
IF(AND(VALUE(OFFSET(納品書まとめ!$A$1,LZ1+1,0))&gt;29999,VALUE(OFFSET(納品書まとめ!$A$1,LZ1+1,0))&lt;39999),
IF(AND(VALUE(OFFSET(納品書まとめ!$A$1,LZ1+2,0))&gt;29999,VALUE(OFFSET(納品書まとめ!$A$1,LZ1+2,0))&lt;39999),
IF(AND(VALUE(OFFSET(納品書まとめ!$A$1,LZ1+3,0))&gt;29999,VALUE(OFFSET(納品書まとめ!$A$1,LZ1+3,0))&lt;39999),
IF(AND(VALUE(OFFSET(納品書まとめ!$A$1,LZ1+4,0))&gt;29999,VALUE(OFFSET(納品書まとめ!$A$1,LZ1+4,0))&lt;39999),
IF(AND(VALUE(OFFSET(納品書まとめ!$A$1,LZ1+5,0))&gt;29999,VALUE(OFFSET(納品書まとめ!$A$1,LZ1+5,0))&lt;39999),LZ1+7,LZ1+6),LZ1+5),LZ1+4),LZ1+3),LZ1+2),LZ1+1),LZ1),"")</f>
        <v>38</v>
      </c>
      <c r="MA2" s="55">
        <f ca="1">IFERROR(
LZ2+IF(OFFSET(納品書まとめ!$A$1,LZ2-1,2)&lt;&gt;"",0,1)+LZ4-1,"")</f>
        <v>38</v>
      </c>
      <c r="MD2" s="41"/>
      <c r="ME2" s="54"/>
      <c r="MH2" s="85" t="str">
        <f>LW2</f>
        <v xml:space="preserve">2025 年 11 月 19 日 </v>
      </c>
      <c r="MI2" s="86"/>
      <c r="MJ2" s="86"/>
      <c r="MK2" s="55">
        <f ca="1">IFERROR(
IF(AND(VALUE(OFFSET(納品書まとめ!$A$1,MK1-1,0))&gt;29999,VALUE(OFFSET(納品書まとめ!$A$1,MK1-1,0))&lt;39999),
IF(AND(VALUE(OFFSET(納品書まとめ!$A$1,MK1,0))&gt;29999,VALUE(OFFSET(納品書まとめ!$A$1,MK1,0))&lt;39999),
IF(AND(VALUE(OFFSET(納品書まとめ!$A$1,MK1+1,0))&gt;29999,VALUE(OFFSET(納品書まとめ!$A$1,MK1+1,0))&lt;39999),
IF(AND(VALUE(OFFSET(納品書まとめ!$A$1,MK1+2,0))&gt;29999,VALUE(OFFSET(納品書まとめ!$A$1,MK1+2,0))&lt;39999),
IF(AND(VALUE(OFFSET(納品書まとめ!$A$1,MK1+3,0))&gt;29999,VALUE(OFFSET(納品書まとめ!$A$1,MK1+3,0))&lt;39999),
IF(AND(VALUE(OFFSET(納品書まとめ!$A$1,MK1+4,0))&gt;29999,VALUE(OFFSET(納品書まとめ!$A$1,MK1+4,0))&lt;39999),
IF(AND(VALUE(OFFSET(納品書まとめ!$A$1,MK1+5,0))&gt;29999,VALUE(OFFSET(納品書まとめ!$A$1,MK1+5,0))&lt;39999),MK1+7,MK1+6),MK1+5),MK1+4),MK1+3),MK1+2),MK1+1),MK1),"")</f>
        <v>39</v>
      </c>
      <c r="ML2" s="55">
        <f ca="1">IFERROR(
MK2+IF(OFFSET(納品書まとめ!$A$1,MK2-1,2)&lt;&gt;"",0,1)+MK4-1,"")</f>
        <v>39</v>
      </c>
      <c r="MO2" s="41"/>
      <c r="MP2" s="54"/>
      <c r="MS2" s="85" t="str">
        <f>MH2</f>
        <v xml:space="preserve">2025 年 11 月 19 日 </v>
      </c>
      <c r="MT2" s="86"/>
      <c r="MU2" s="86"/>
      <c r="MV2" s="55">
        <f ca="1">IFERROR(
IF(AND(VALUE(OFFSET(納品書まとめ!$A$1,MV1-1,0))&gt;29999,VALUE(OFFSET(納品書まとめ!$A$1,MV1-1,0))&lt;39999),
IF(AND(VALUE(OFFSET(納品書まとめ!$A$1,MV1,0))&gt;29999,VALUE(OFFSET(納品書まとめ!$A$1,MV1,0))&lt;39999),
IF(AND(VALUE(OFFSET(納品書まとめ!$A$1,MV1+1,0))&gt;29999,VALUE(OFFSET(納品書まとめ!$A$1,MV1+1,0))&lt;39999),
IF(AND(VALUE(OFFSET(納品書まとめ!$A$1,MV1+2,0))&gt;29999,VALUE(OFFSET(納品書まとめ!$A$1,MV1+2,0))&lt;39999),
IF(AND(VALUE(OFFSET(納品書まとめ!$A$1,MV1+3,0))&gt;29999,VALUE(OFFSET(納品書まとめ!$A$1,MV1+3,0))&lt;39999),
IF(AND(VALUE(OFFSET(納品書まとめ!$A$1,MV1+4,0))&gt;29999,VALUE(OFFSET(納品書まとめ!$A$1,MV1+4,0))&lt;39999),
IF(AND(VALUE(OFFSET(納品書まとめ!$A$1,MV1+5,0))&gt;29999,VALUE(OFFSET(納品書まとめ!$A$1,MV1+5,0))&lt;39999),MV1+7,MV1+6),MV1+5),MV1+4),MV1+3),MV1+2),MV1+1),MV1),"")</f>
        <v>40</v>
      </c>
      <c r="MW2" s="55">
        <f ca="1">IFERROR(
MV2+IF(OFFSET(納品書まとめ!$A$1,MV2-1,2)&lt;&gt;"",0,1)+MV4-1,"")</f>
        <v>40</v>
      </c>
      <c r="MZ2" s="41"/>
      <c r="NA2" s="54"/>
      <c r="ND2" s="85" t="str">
        <f>MS2</f>
        <v xml:space="preserve">2025 年 11 月 19 日 </v>
      </c>
      <c r="NE2" s="86"/>
      <c r="NF2" s="86"/>
      <c r="NG2" s="55">
        <f ca="1">IFERROR(
IF(AND(VALUE(OFFSET(納品書まとめ!$A$1,NG1-1,0))&gt;29999,VALUE(OFFSET(納品書まとめ!$A$1,NG1-1,0))&lt;39999),
IF(AND(VALUE(OFFSET(納品書まとめ!$A$1,NG1,0))&gt;29999,VALUE(OFFSET(納品書まとめ!$A$1,NG1,0))&lt;39999),
IF(AND(VALUE(OFFSET(納品書まとめ!$A$1,NG1+1,0))&gt;29999,VALUE(OFFSET(納品書まとめ!$A$1,NG1+1,0))&lt;39999),
IF(AND(VALUE(OFFSET(納品書まとめ!$A$1,NG1+2,0))&gt;29999,VALUE(OFFSET(納品書まとめ!$A$1,NG1+2,0))&lt;39999),
IF(AND(VALUE(OFFSET(納品書まとめ!$A$1,NG1+3,0))&gt;29999,VALUE(OFFSET(納品書まとめ!$A$1,NG1+3,0))&lt;39999),
IF(AND(VALUE(OFFSET(納品書まとめ!$A$1,NG1+4,0))&gt;29999,VALUE(OFFSET(納品書まとめ!$A$1,NG1+4,0))&lt;39999),
IF(AND(VALUE(OFFSET(納品書まとめ!$A$1,NG1+5,0))&gt;29999,VALUE(OFFSET(納品書まとめ!$A$1,NG1+5,0))&lt;39999),NG1+7,NG1+6),NG1+5),NG1+4),NG1+3),NG1+2),NG1+1),NG1),"")</f>
        <v>41</v>
      </c>
      <c r="NH2" s="55">
        <f ca="1">IFERROR(
NG2+IF(OFFSET(納品書まとめ!$A$1,NG2-1,2)&lt;&gt;"",0,1)+NG4-1,"")</f>
        <v>41</v>
      </c>
      <c r="NK2" s="41"/>
      <c r="NL2" s="54"/>
      <c r="NO2" s="81" t="str">
        <f>ND2</f>
        <v xml:space="preserve">2025 年 11 月 19 日 </v>
      </c>
      <c r="NP2" s="81"/>
      <c r="NQ2" s="81"/>
      <c r="NR2" s="55">
        <f ca="1">IFERROR(
IF(AND(VALUE(OFFSET(納品書まとめ!$A$1,NR1-1,0))&gt;29999,VALUE(OFFSET(納品書まとめ!$A$1,NR1-1,0))&lt;39999),
IF(AND(VALUE(OFFSET(納品書まとめ!$A$1,NR1,0))&gt;29999,VALUE(OFFSET(納品書まとめ!$A$1,NR1,0))&lt;39999),
IF(AND(VALUE(OFFSET(納品書まとめ!$A$1,NR1+1,0))&gt;29999,VALUE(OFFSET(納品書まとめ!$A$1,NR1+1,0))&lt;39999),
IF(AND(VALUE(OFFSET(納品書まとめ!$A$1,NR1+2,0))&gt;29999,VALUE(OFFSET(納品書まとめ!$A$1,NR1+2,0))&lt;39999),
IF(AND(VALUE(OFFSET(納品書まとめ!$A$1,NR1+3,0))&gt;29999,VALUE(OFFSET(納品書まとめ!$A$1,NR1+3,0))&lt;39999),
IF(AND(VALUE(OFFSET(納品書まとめ!$A$1,NR1+4,0))&gt;29999,VALUE(OFFSET(納品書まとめ!$A$1,NR1+4,0))&lt;39999),
IF(AND(VALUE(OFFSET(納品書まとめ!$A$1,NR1+5,0))&gt;29999,VALUE(OFFSET(納品書まとめ!$A$1,NR1+5,0))&lt;39999),NR1+7,NR1+6),NR1+5),NR1+4),NR1+3),NR1+2),NR1+1),NR1),"")</f>
        <v>42</v>
      </c>
      <c r="NS2" s="55">
        <f ca="1">IFERROR(
NR2+IF(OFFSET(納品書まとめ!$A$1,NR2-1,2)&lt;&gt;"",0,1)+NR4-1,"")</f>
        <v>42</v>
      </c>
      <c r="NV2" s="41"/>
      <c r="NW2" s="54"/>
      <c r="NZ2" s="85" t="str">
        <f>NO2</f>
        <v xml:space="preserve">2025 年 11 月 19 日 </v>
      </c>
      <c r="OA2" s="86"/>
      <c r="OB2" s="86"/>
      <c r="OC2" s="55">
        <f ca="1">IFERROR(
IF(AND(VALUE(OFFSET(納品書まとめ!$A$1,OC1-1,0))&gt;29999,VALUE(OFFSET(納品書まとめ!$A$1,OC1-1,0))&lt;39999),
IF(AND(VALUE(OFFSET(納品書まとめ!$A$1,OC1,0))&gt;29999,VALUE(OFFSET(納品書まとめ!$A$1,OC1,0))&lt;39999),
IF(AND(VALUE(OFFSET(納品書まとめ!$A$1,OC1+1,0))&gt;29999,VALUE(OFFSET(納品書まとめ!$A$1,OC1+1,0))&lt;39999),
IF(AND(VALUE(OFFSET(納品書まとめ!$A$1,OC1+2,0))&gt;29999,VALUE(OFFSET(納品書まとめ!$A$1,OC1+2,0))&lt;39999),
IF(AND(VALUE(OFFSET(納品書まとめ!$A$1,OC1+3,0))&gt;29999,VALUE(OFFSET(納品書まとめ!$A$1,OC1+3,0))&lt;39999),
IF(AND(VALUE(OFFSET(納品書まとめ!$A$1,OC1+4,0))&gt;29999,VALUE(OFFSET(納品書まとめ!$A$1,OC1+4,0))&lt;39999),
IF(AND(VALUE(OFFSET(納品書まとめ!$A$1,OC1+5,0))&gt;29999,VALUE(OFFSET(納品書まとめ!$A$1,OC1+5,0))&lt;39999),OC1+7,OC1+6),OC1+5),OC1+4),OC1+3),OC1+2),OC1+1),OC1),"")</f>
        <v>43</v>
      </c>
      <c r="OD2" s="55">
        <f ca="1">IFERROR(
OC2+IF(OFFSET(納品書まとめ!$A$1,OC2-1,2)&lt;&gt;"",0,1)+OC4-1,"")</f>
        <v>43</v>
      </c>
      <c r="OG2" s="41"/>
      <c r="OH2" s="54"/>
      <c r="OK2" s="85" t="str">
        <f>NZ2</f>
        <v xml:space="preserve">2025 年 11 月 19 日 </v>
      </c>
      <c r="OL2" s="86"/>
      <c r="OM2" s="86"/>
      <c r="ON2" s="55">
        <f ca="1">IFERROR(
IF(AND(VALUE(OFFSET(納品書まとめ!$A$1,ON1-1,0))&gt;29999,VALUE(OFFSET(納品書まとめ!$A$1,ON1-1,0))&lt;39999),
IF(AND(VALUE(OFFSET(納品書まとめ!$A$1,ON1,0))&gt;29999,VALUE(OFFSET(納品書まとめ!$A$1,ON1,0))&lt;39999),
IF(AND(VALUE(OFFSET(納品書まとめ!$A$1,ON1+1,0))&gt;29999,VALUE(OFFSET(納品書まとめ!$A$1,ON1+1,0))&lt;39999),
IF(AND(VALUE(OFFSET(納品書まとめ!$A$1,ON1+2,0))&gt;29999,VALUE(OFFSET(納品書まとめ!$A$1,ON1+2,0))&lt;39999),
IF(AND(VALUE(OFFSET(納品書まとめ!$A$1,ON1+3,0))&gt;29999,VALUE(OFFSET(納品書まとめ!$A$1,ON1+3,0))&lt;39999),
IF(AND(VALUE(OFFSET(納品書まとめ!$A$1,ON1+4,0))&gt;29999,VALUE(OFFSET(納品書まとめ!$A$1,ON1+4,0))&lt;39999),
IF(AND(VALUE(OFFSET(納品書まとめ!$A$1,ON1+5,0))&gt;29999,VALUE(OFFSET(納品書まとめ!$A$1,ON1+5,0))&lt;39999),ON1+7,ON1+6),ON1+5),ON1+4),ON1+3),ON1+2),ON1+1),ON1),"")</f>
        <v>44</v>
      </c>
      <c r="OO2" s="55">
        <f ca="1">IFERROR(
ON2+IF(OFFSET(納品書まとめ!$A$1,ON2-1,2)&lt;&gt;"",0,1)+ON4-1,"")</f>
        <v>44</v>
      </c>
      <c r="OR2" s="41"/>
      <c r="OS2" s="54"/>
      <c r="OV2" s="85" t="str">
        <f>OK2</f>
        <v xml:space="preserve">2025 年 11 月 19 日 </v>
      </c>
      <c r="OW2" s="86"/>
      <c r="OX2" s="86"/>
      <c r="OY2" s="55">
        <f ca="1">IFERROR(
IF(AND(VALUE(OFFSET(納品書まとめ!$A$1,OY1-1,0))&gt;29999,VALUE(OFFSET(納品書まとめ!$A$1,OY1-1,0))&lt;39999),
IF(AND(VALUE(OFFSET(納品書まとめ!$A$1,OY1,0))&gt;29999,VALUE(OFFSET(納品書まとめ!$A$1,OY1,0))&lt;39999),
IF(AND(VALUE(OFFSET(納品書まとめ!$A$1,OY1+1,0))&gt;29999,VALUE(OFFSET(納品書まとめ!$A$1,OY1+1,0))&lt;39999),
IF(AND(VALUE(OFFSET(納品書まとめ!$A$1,OY1+2,0))&gt;29999,VALUE(OFFSET(納品書まとめ!$A$1,OY1+2,0))&lt;39999),
IF(AND(VALUE(OFFSET(納品書まとめ!$A$1,OY1+3,0))&gt;29999,VALUE(OFFSET(納品書まとめ!$A$1,OY1+3,0))&lt;39999),
IF(AND(VALUE(OFFSET(納品書まとめ!$A$1,OY1+4,0))&gt;29999,VALUE(OFFSET(納品書まとめ!$A$1,OY1+4,0))&lt;39999),
IF(AND(VALUE(OFFSET(納品書まとめ!$A$1,OY1+5,0))&gt;29999,VALUE(OFFSET(納品書まとめ!$A$1,OY1+5,0))&lt;39999),OY1+7,OY1+6),OY1+5),OY1+4),OY1+3),OY1+2),OY1+1),OY1),"")</f>
        <v>46</v>
      </c>
      <c r="OZ2" s="55">
        <f ca="1">IFERROR(
OY2+IF(OFFSET(納品書まとめ!$A$1,OY2-1,2)&lt;&gt;"",0,1)+OY4-1,"")</f>
        <v>47</v>
      </c>
      <c r="PC2" s="41"/>
      <c r="PD2" s="54"/>
      <c r="PG2" s="85" t="str">
        <f>OV2</f>
        <v xml:space="preserve">2025 年 11 月 19 日 </v>
      </c>
      <c r="PH2" s="86"/>
      <c r="PI2" s="86"/>
      <c r="PJ2" s="55">
        <f ca="1">IFERROR(
IF(AND(VALUE(OFFSET(納品書まとめ!$A$1,PJ1-1,0))&gt;29999,VALUE(OFFSET(納品書まとめ!$A$1,PJ1-1,0))&lt;39999),
IF(AND(VALUE(OFFSET(納品書まとめ!$A$1,PJ1,0))&gt;29999,VALUE(OFFSET(納品書まとめ!$A$1,PJ1,0))&lt;39999),
IF(AND(VALUE(OFFSET(納品書まとめ!$A$1,PJ1+1,0))&gt;29999,VALUE(OFFSET(納品書まとめ!$A$1,PJ1+1,0))&lt;39999),
IF(AND(VALUE(OFFSET(納品書まとめ!$A$1,PJ1+2,0))&gt;29999,VALUE(OFFSET(納品書まとめ!$A$1,PJ1+2,0))&lt;39999),
IF(AND(VALUE(OFFSET(納品書まとめ!$A$1,PJ1+3,0))&gt;29999,VALUE(OFFSET(納品書まとめ!$A$1,PJ1+3,0))&lt;39999),
IF(AND(VALUE(OFFSET(納品書まとめ!$A$1,PJ1+4,0))&gt;29999,VALUE(OFFSET(納品書まとめ!$A$1,PJ1+4,0))&lt;39999),
IF(AND(VALUE(OFFSET(納品書まとめ!$A$1,PJ1+5,0))&gt;29999,VALUE(OFFSET(納品書まとめ!$A$1,PJ1+5,0))&lt;39999),PJ1+7,PJ1+6),PJ1+5),PJ1+4),PJ1+3),PJ1+2),PJ1+1),PJ1),"")</f>
        <v>48</v>
      </c>
      <c r="PK2" s="55">
        <f ca="1">IFERROR(
PJ2+IF(OFFSET(納品書まとめ!$A$1,PJ2-1,2)&lt;&gt;"",0,1)+PJ4-1,"")</f>
        <v>48</v>
      </c>
      <c r="PN2" s="41"/>
      <c r="PO2" s="54"/>
      <c r="PR2" s="85" t="str">
        <f>PG2</f>
        <v xml:space="preserve">2025 年 11 月 19 日 </v>
      </c>
      <c r="PS2" s="86"/>
      <c r="PT2" s="86"/>
      <c r="PU2" s="55">
        <f ca="1">IFERROR(
IF(AND(VALUE(OFFSET(納品書まとめ!$A$1,PU1-1,0))&gt;29999,VALUE(OFFSET(納品書まとめ!$A$1,PU1-1,0))&lt;39999),
IF(AND(VALUE(OFFSET(納品書まとめ!$A$1,PU1,0))&gt;29999,VALUE(OFFSET(納品書まとめ!$A$1,PU1,0))&lt;39999),
IF(AND(VALUE(OFFSET(納品書まとめ!$A$1,PU1+1,0))&gt;29999,VALUE(OFFSET(納品書まとめ!$A$1,PU1+1,0))&lt;39999),
IF(AND(VALUE(OFFSET(納品書まとめ!$A$1,PU1+2,0))&gt;29999,VALUE(OFFSET(納品書まとめ!$A$1,PU1+2,0))&lt;39999),
IF(AND(VALUE(OFFSET(納品書まとめ!$A$1,PU1+3,0))&gt;29999,VALUE(OFFSET(納品書まとめ!$A$1,PU1+3,0))&lt;39999),
IF(AND(VALUE(OFFSET(納品書まとめ!$A$1,PU1+4,0))&gt;29999,VALUE(OFFSET(納品書まとめ!$A$1,PU1+4,0))&lt;39999),
IF(AND(VALUE(OFFSET(納品書まとめ!$A$1,PU1+5,0))&gt;29999,VALUE(OFFSET(納品書まとめ!$A$1,PU1+5,0))&lt;39999),PU1+7,PU1+6),PU1+5),PU1+4),PU1+3),PU1+2),PU1+1),PU1),"")</f>
        <v>49</v>
      </c>
      <c r="PV2" s="55">
        <f ca="1">IFERROR(
PU2+IF(OFFSET(納品書まとめ!$A$1,PU2-1,2)&lt;&gt;"",0,1)+PU4-1,"")</f>
        <v>49</v>
      </c>
      <c r="PY2" s="41"/>
      <c r="PZ2" s="54"/>
      <c r="QC2" s="85" t="str">
        <f>PR2</f>
        <v xml:space="preserve">2025 年 11 月 19 日 </v>
      </c>
      <c r="QD2" s="86"/>
      <c r="QE2" s="86"/>
      <c r="QF2" s="55">
        <f ca="1">IFERROR(
IF(AND(VALUE(OFFSET(納品書まとめ!$A$1,QF1-1,0))&gt;29999,VALUE(OFFSET(納品書まとめ!$A$1,QF1-1,0))&lt;39999),
IF(AND(VALUE(OFFSET(納品書まとめ!$A$1,QF1,0))&gt;29999,VALUE(OFFSET(納品書まとめ!$A$1,QF1,0))&lt;39999),
IF(AND(VALUE(OFFSET(納品書まとめ!$A$1,QF1+1,0))&gt;29999,VALUE(OFFSET(納品書まとめ!$A$1,QF1+1,0))&lt;39999),
IF(AND(VALUE(OFFSET(納品書まとめ!$A$1,QF1+2,0))&gt;29999,VALUE(OFFSET(納品書まとめ!$A$1,QF1+2,0))&lt;39999),
IF(AND(VALUE(OFFSET(納品書まとめ!$A$1,QF1+3,0))&gt;29999,VALUE(OFFSET(納品書まとめ!$A$1,QF1+3,0))&lt;39999),
IF(AND(VALUE(OFFSET(納品書まとめ!$A$1,QF1+4,0))&gt;29999,VALUE(OFFSET(納品書まとめ!$A$1,QF1+4,0))&lt;39999),
IF(AND(VALUE(OFFSET(納品書まとめ!$A$1,QF1+5,0))&gt;29999,VALUE(OFFSET(納品書まとめ!$A$1,QF1+5,0))&lt;39999),QF1+7,QF1+6),QF1+5),QF1+4),QF1+3),QF1+2),QF1+1),QF1),"")</f>
        <v>50</v>
      </c>
      <c r="QG2" s="55">
        <f ca="1">IFERROR(
QF2+IF(OFFSET(納品書まとめ!$A$1,QF2-1,2)&lt;&gt;"",0,1)+QF4-1,"")</f>
        <v>51</v>
      </c>
      <c r="QJ2" s="41"/>
      <c r="QK2" s="54"/>
      <c r="QN2" s="85" t="str">
        <f>QC2</f>
        <v xml:space="preserve">2025 年 11 月 19 日 </v>
      </c>
      <c r="QO2" s="86"/>
      <c r="QP2" s="86"/>
      <c r="QQ2" s="55">
        <f ca="1">IFERROR(
IF(AND(VALUE(OFFSET(納品書まとめ!$A$1,QQ1-1,0))&gt;29999,VALUE(OFFSET(納品書まとめ!$A$1,QQ1-1,0))&lt;39999),
IF(AND(VALUE(OFFSET(納品書まとめ!$A$1,QQ1,0))&gt;29999,VALUE(OFFSET(納品書まとめ!$A$1,QQ1,0))&lt;39999),
IF(AND(VALUE(OFFSET(納品書まとめ!$A$1,QQ1+1,0))&gt;29999,VALUE(OFFSET(納品書まとめ!$A$1,QQ1+1,0))&lt;39999),
IF(AND(VALUE(OFFSET(納品書まとめ!$A$1,QQ1+2,0))&gt;29999,VALUE(OFFSET(納品書まとめ!$A$1,QQ1+2,0))&lt;39999),
IF(AND(VALUE(OFFSET(納品書まとめ!$A$1,QQ1+3,0))&gt;29999,VALUE(OFFSET(納品書まとめ!$A$1,QQ1+3,0))&lt;39999),
IF(AND(VALUE(OFFSET(納品書まとめ!$A$1,QQ1+4,0))&gt;29999,VALUE(OFFSET(納品書まとめ!$A$1,QQ1+4,0))&lt;39999),
IF(AND(VALUE(OFFSET(納品書まとめ!$A$1,QQ1+5,0))&gt;29999,VALUE(OFFSET(納品書まとめ!$A$1,QQ1+5,0))&lt;39999),QQ1+7,QQ1+6),QQ1+5),QQ1+4),QQ1+3),QQ1+2),QQ1+1),QQ1),"")</f>
        <v>52</v>
      </c>
      <c r="QR2" s="55">
        <f ca="1">IFERROR(
QQ2+IF(OFFSET(納品書まとめ!$A$1,QQ2-1,2)&lt;&gt;"",0,1)+QQ4-1,"")</f>
        <v>53</v>
      </c>
      <c r="QU2" s="41"/>
      <c r="QV2" s="54"/>
      <c r="QY2" s="85" t="str">
        <f>QN2</f>
        <v xml:space="preserve">2025 年 11 月 19 日 </v>
      </c>
      <c r="QZ2" s="86"/>
      <c r="RA2" s="86"/>
      <c r="RB2" s="55">
        <f ca="1">IFERROR(
IF(AND(VALUE(OFFSET(納品書まとめ!$A$1,RB1-1,0))&gt;29999,VALUE(OFFSET(納品書まとめ!$A$1,RB1-1,0))&lt;39999),
IF(AND(VALUE(OFFSET(納品書まとめ!$A$1,RB1,0))&gt;29999,VALUE(OFFSET(納品書まとめ!$A$1,RB1,0))&lt;39999),
IF(AND(VALUE(OFFSET(納品書まとめ!$A$1,RB1+1,0))&gt;29999,VALUE(OFFSET(納品書まとめ!$A$1,RB1+1,0))&lt;39999),
IF(AND(VALUE(OFFSET(納品書まとめ!$A$1,RB1+2,0))&gt;29999,VALUE(OFFSET(納品書まとめ!$A$1,RB1+2,0))&lt;39999),
IF(AND(VALUE(OFFSET(納品書まとめ!$A$1,RB1+3,0))&gt;29999,VALUE(OFFSET(納品書まとめ!$A$1,RB1+3,0))&lt;39999),
IF(AND(VALUE(OFFSET(納品書まとめ!$A$1,RB1+4,0))&gt;29999,VALUE(OFFSET(納品書まとめ!$A$1,RB1+4,0))&lt;39999),
IF(AND(VALUE(OFFSET(納品書まとめ!$A$1,RB1+5,0))&gt;29999,VALUE(OFFSET(納品書まとめ!$A$1,RB1+5,0))&lt;39999),RB1+7,RB1+6),RB1+5),RB1+4),RB1+3),RB1+2),RB1+1),RB1),"")</f>
        <v>56</v>
      </c>
      <c r="RC2" s="55">
        <f ca="1">IFERROR(
RB2+IF(OFFSET(納品書まとめ!$A$1,RB2-1,2)&lt;&gt;"",0,1)+RB4-1,"")</f>
        <v>57</v>
      </c>
      <c r="RF2" s="41"/>
      <c r="RG2" s="54"/>
      <c r="RJ2" s="85" t="str">
        <f>QY2</f>
        <v xml:space="preserve">2025 年 11 月 19 日 </v>
      </c>
      <c r="RK2" s="86"/>
      <c r="RL2" s="86"/>
      <c r="RM2" s="55">
        <f ca="1">IFERROR(
IF(AND(VALUE(OFFSET(納品書まとめ!$A$1,RM1-1,0))&gt;29999,VALUE(OFFSET(納品書まとめ!$A$1,RM1-1,0))&lt;39999),
IF(AND(VALUE(OFFSET(納品書まとめ!$A$1,RM1,0))&gt;29999,VALUE(OFFSET(納品書まとめ!$A$1,RM1,0))&lt;39999),
IF(AND(VALUE(OFFSET(納品書まとめ!$A$1,RM1+1,0))&gt;29999,VALUE(OFFSET(納品書まとめ!$A$1,RM1+1,0))&lt;39999),
IF(AND(VALUE(OFFSET(納品書まとめ!$A$1,RM1+2,0))&gt;29999,VALUE(OFFSET(納品書まとめ!$A$1,RM1+2,0))&lt;39999),
IF(AND(VALUE(OFFSET(納品書まとめ!$A$1,RM1+3,0))&gt;29999,VALUE(OFFSET(納品書まとめ!$A$1,RM1+3,0))&lt;39999),
IF(AND(VALUE(OFFSET(納品書まとめ!$A$1,RM1+4,0))&gt;29999,VALUE(OFFSET(納品書まとめ!$A$1,RM1+4,0))&lt;39999),
IF(AND(VALUE(OFFSET(納品書まとめ!$A$1,RM1+5,0))&gt;29999,VALUE(OFFSET(納品書まとめ!$A$1,RM1+5,0))&lt;39999),RM1+7,RM1+6),RM1+5),RM1+4),RM1+3),RM1+2),RM1+1),RM1),"")</f>
        <v>59</v>
      </c>
      <c r="RN2" s="55">
        <f ca="1">IFERROR(
RM2+IF(OFFSET(納品書まとめ!$A$1,RM2-1,2)&lt;&gt;"",0,1)+RM4-1,"")</f>
        <v>59</v>
      </c>
      <c r="RQ2" s="41"/>
      <c r="RR2" s="54"/>
      <c r="RU2" s="85" t="str">
        <f>RJ2</f>
        <v xml:space="preserve">2025 年 11 月 19 日 </v>
      </c>
      <c r="RV2" s="86"/>
      <c r="RW2" s="86"/>
      <c r="RX2" s="55">
        <f ca="1">IFERROR(
IF(AND(VALUE(OFFSET(納品書まとめ!$A$1,RX1-1,0))&gt;29999,VALUE(OFFSET(納品書まとめ!$A$1,RX1-1,0))&lt;39999),
IF(AND(VALUE(OFFSET(納品書まとめ!$A$1,RX1,0))&gt;29999,VALUE(OFFSET(納品書まとめ!$A$1,RX1,0))&lt;39999),
IF(AND(VALUE(OFFSET(納品書まとめ!$A$1,RX1+1,0))&gt;29999,VALUE(OFFSET(納品書まとめ!$A$1,RX1+1,0))&lt;39999),
IF(AND(VALUE(OFFSET(納品書まとめ!$A$1,RX1+2,0))&gt;29999,VALUE(OFFSET(納品書まとめ!$A$1,RX1+2,0))&lt;39999),
IF(AND(VALUE(OFFSET(納品書まとめ!$A$1,RX1+3,0))&gt;29999,VALUE(OFFSET(納品書まとめ!$A$1,RX1+3,0))&lt;39999),
IF(AND(VALUE(OFFSET(納品書まとめ!$A$1,RX1+4,0))&gt;29999,VALUE(OFFSET(納品書まとめ!$A$1,RX1+4,0))&lt;39999),
IF(AND(VALUE(OFFSET(納品書まとめ!$A$1,RX1+5,0))&gt;29999,VALUE(OFFSET(納品書まとめ!$A$1,RX1+5,0))&lt;39999),RX1+7,RX1+6),RX1+5),RX1+4),RX1+3),RX1+2),RX1+1),RX1),"")</f>
        <v>61</v>
      </c>
      <c r="RY2" s="55">
        <f ca="1">IFERROR(
RX2+IF(OFFSET(納品書まとめ!$A$1,RX2-1,2)&lt;&gt;"",0,1)+RX4-1,"")</f>
        <v>61</v>
      </c>
      <c r="SB2" s="41"/>
      <c r="SC2" s="54"/>
      <c r="SF2" s="85" t="str">
        <f>RU2</f>
        <v xml:space="preserve">2025 年 11 月 19 日 </v>
      </c>
      <c r="SG2" s="86"/>
      <c r="SH2" s="86"/>
      <c r="SI2" s="55">
        <f ca="1">IFERROR(
IF(AND(VALUE(OFFSET(納品書まとめ!$A$1,SI1-1,0))&gt;29999,VALUE(OFFSET(納品書まとめ!$A$1,SI1-1,0))&lt;39999),
IF(AND(VALUE(OFFSET(納品書まとめ!$A$1,SI1,0))&gt;29999,VALUE(OFFSET(納品書まとめ!$A$1,SI1,0))&lt;39999),
IF(AND(VALUE(OFFSET(納品書まとめ!$A$1,SI1+1,0))&gt;29999,VALUE(OFFSET(納品書まとめ!$A$1,SI1+1,0))&lt;39999),
IF(AND(VALUE(OFFSET(納品書まとめ!$A$1,SI1+2,0))&gt;29999,VALUE(OFFSET(納品書まとめ!$A$1,SI1+2,0))&lt;39999),
IF(AND(VALUE(OFFSET(納品書まとめ!$A$1,SI1+3,0))&gt;29999,VALUE(OFFSET(納品書まとめ!$A$1,SI1+3,0))&lt;39999),
IF(AND(VALUE(OFFSET(納品書まとめ!$A$1,SI1+4,0))&gt;29999,VALUE(OFFSET(納品書まとめ!$A$1,SI1+4,0))&lt;39999),
IF(AND(VALUE(OFFSET(納品書まとめ!$A$1,SI1+5,0))&gt;29999,VALUE(OFFSET(納品書まとめ!$A$1,SI1+5,0))&lt;39999),SI1+7,SI1+6),SI1+5),SI1+4),SI1+3),SI1+2),SI1+1),SI1),"")</f>
        <v>62</v>
      </c>
      <c r="SJ2" s="55">
        <f ca="1">IFERROR(
SI2+IF(OFFSET(納品書まとめ!$A$1,SI2-1,2)&lt;&gt;"",0,1)+SI4-1,"")</f>
        <v>62</v>
      </c>
      <c r="SM2" s="41"/>
      <c r="SN2" s="54"/>
      <c r="SQ2" s="85" t="str">
        <f>SF2</f>
        <v xml:space="preserve">2025 年 11 月 19 日 </v>
      </c>
      <c r="SR2" s="86"/>
      <c r="SS2" s="86"/>
      <c r="ST2" s="55">
        <f ca="1">IFERROR(
IF(AND(VALUE(OFFSET(納品書まとめ!$A$1,ST1-1,0))&gt;29999,VALUE(OFFSET(納品書まとめ!$A$1,ST1-1,0))&lt;39999),
IF(AND(VALUE(OFFSET(納品書まとめ!$A$1,ST1,0))&gt;29999,VALUE(OFFSET(納品書まとめ!$A$1,ST1,0))&lt;39999),
IF(AND(VALUE(OFFSET(納品書まとめ!$A$1,ST1+1,0))&gt;29999,VALUE(OFFSET(納品書まとめ!$A$1,ST1+1,0))&lt;39999),
IF(AND(VALUE(OFFSET(納品書まとめ!$A$1,ST1+2,0))&gt;29999,VALUE(OFFSET(納品書まとめ!$A$1,ST1+2,0))&lt;39999),
IF(AND(VALUE(OFFSET(納品書まとめ!$A$1,ST1+3,0))&gt;29999,VALUE(OFFSET(納品書まとめ!$A$1,ST1+3,0))&lt;39999),
IF(AND(VALUE(OFFSET(納品書まとめ!$A$1,ST1+4,0))&gt;29999,VALUE(OFFSET(納品書まとめ!$A$1,ST1+4,0))&lt;39999),
IF(AND(VALUE(OFFSET(納品書まとめ!$A$1,ST1+5,0))&gt;29999,VALUE(OFFSET(納品書まとめ!$A$1,ST1+5,0))&lt;39999),ST1+7,ST1+6),ST1+5),ST1+4),ST1+3),ST1+2),ST1+1),ST1),"")</f>
        <v>63</v>
      </c>
      <c r="SU2" s="55">
        <f ca="1">IFERROR(
ST2+IF(OFFSET(納品書まとめ!$A$1,ST2-1,2)&lt;&gt;"",0,1)+ST4-1,"")</f>
        <v>63</v>
      </c>
      <c r="SX2" s="41"/>
      <c r="SY2" s="54"/>
      <c r="TB2" s="85" t="str">
        <f>SQ2</f>
        <v xml:space="preserve">2025 年 11 月 19 日 </v>
      </c>
      <c r="TC2" s="86"/>
      <c r="TD2" s="86"/>
      <c r="TE2" s="55">
        <f ca="1">IFERROR(
IF(AND(VALUE(OFFSET(納品書まとめ!$A$1,TE1-1,0))&gt;29999,VALUE(OFFSET(納品書まとめ!$A$1,TE1-1,0))&lt;39999),
IF(AND(VALUE(OFFSET(納品書まとめ!$A$1,TE1,0))&gt;29999,VALUE(OFFSET(納品書まとめ!$A$1,TE1,0))&lt;39999),
IF(AND(VALUE(OFFSET(納品書まとめ!$A$1,TE1+1,0))&gt;29999,VALUE(OFFSET(納品書まとめ!$A$1,TE1+1,0))&lt;39999),
IF(AND(VALUE(OFFSET(納品書まとめ!$A$1,TE1+2,0))&gt;29999,VALUE(OFFSET(納品書まとめ!$A$1,TE1+2,0))&lt;39999),
IF(AND(VALUE(OFFSET(納品書まとめ!$A$1,TE1+3,0))&gt;29999,VALUE(OFFSET(納品書まとめ!$A$1,TE1+3,0))&lt;39999),
IF(AND(VALUE(OFFSET(納品書まとめ!$A$1,TE1+4,0))&gt;29999,VALUE(OFFSET(納品書まとめ!$A$1,TE1+4,0))&lt;39999),
IF(AND(VALUE(OFFSET(納品書まとめ!$A$1,TE1+5,0))&gt;29999,VALUE(OFFSET(納品書まとめ!$A$1,TE1+5,0))&lt;39999),TE1+7,TE1+6),TE1+5),TE1+4),TE1+3),TE1+2),TE1+1),TE1),"")</f>
        <v>64</v>
      </c>
      <c r="TF2" s="55">
        <f ca="1">IFERROR(
TE2+IF(OFFSET(納品書まとめ!$A$1,TE2-1,2)&lt;&gt;"",0,1)+TE4-1,"")</f>
        <v>64</v>
      </c>
      <c r="TI2" s="41"/>
      <c r="TJ2" s="54"/>
      <c r="TM2" s="85" t="str">
        <f>TB2</f>
        <v xml:space="preserve">2025 年 11 月 19 日 </v>
      </c>
      <c r="TN2" s="86"/>
      <c r="TO2" s="86"/>
      <c r="TP2" s="55">
        <f ca="1">IFERROR(
IF(AND(VALUE(OFFSET(納品書まとめ!$A$1,TP1-1,0))&gt;29999,VALUE(OFFSET(納品書まとめ!$A$1,TP1-1,0))&lt;39999),
IF(AND(VALUE(OFFSET(納品書まとめ!$A$1,TP1,0))&gt;29999,VALUE(OFFSET(納品書まとめ!$A$1,TP1,0))&lt;39999),
IF(AND(VALUE(OFFSET(納品書まとめ!$A$1,TP1+1,0))&gt;29999,VALUE(OFFSET(納品書まとめ!$A$1,TP1+1,0))&lt;39999),
IF(AND(VALUE(OFFSET(納品書まとめ!$A$1,TP1+2,0))&gt;29999,VALUE(OFFSET(納品書まとめ!$A$1,TP1+2,0))&lt;39999),
IF(AND(VALUE(OFFSET(納品書まとめ!$A$1,TP1+3,0))&gt;29999,VALUE(OFFSET(納品書まとめ!$A$1,TP1+3,0))&lt;39999),
IF(AND(VALUE(OFFSET(納品書まとめ!$A$1,TP1+4,0))&gt;29999,VALUE(OFFSET(納品書まとめ!$A$1,TP1+4,0))&lt;39999),
IF(AND(VALUE(OFFSET(納品書まとめ!$A$1,TP1+5,0))&gt;29999,VALUE(OFFSET(納品書まとめ!$A$1,TP1+5,0))&lt;39999),TP1+7,TP1+6),TP1+5),TP1+4),TP1+3),TP1+2),TP1+1),TP1),"")</f>
        <v>65</v>
      </c>
      <c r="TQ2" s="55">
        <f ca="1">IFERROR(
TP2+IF(OFFSET(納品書まとめ!$A$1,TP2-1,2)&lt;&gt;"",0,1)+TP4-1,"")</f>
        <v>65</v>
      </c>
      <c r="TT2" s="41"/>
      <c r="TU2" s="54"/>
      <c r="TX2" s="85" t="str">
        <f>TM2</f>
        <v xml:space="preserve">2025 年 11 月 19 日 </v>
      </c>
      <c r="TY2" s="86"/>
      <c r="TZ2" s="86"/>
      <c r="UA2" s="55">
        <f ca="1">IFERROR(
IF(AND(VALUE(OFFSET(納品書まとめ!$A$1,UA1-1,0))&gt;29999,VALUE(OFFSET(納品書まとめ!$A$1,UA1-1,0))&lt;39999),
IF(AND(VALUE(OFFSET(納品書まとめ!$A$1,UA1,0))&gt;29999,VALUE(OFFSET(納品書まとめ!$A$1,UA1,0))&lt;39999),
IF(AND(VALUE(OFFSET(納品書まとめ!$A$1,UA1+1,0))&gt;29999,VALUE(OFFSET(納品書まとめ!$A$1,UA1+1,0))&lt;39999),
IF(AND(VALUE(OFFSET(納品書まとめ!$A$1,UA1+2,0))&gt;29999,VALUE(OFFSET(納品書まとめ!$A$1,UA1+2,0))&lt;39999),
IF(AND(VALUE(OFFSET(納品書まとめ!$A$1,UA1+3,0))&gt;29999,VALUE(OFFSET(納品書まとめ!$A$1,UA1+3,0))&lt;39999),
IF(AND(VALUE(OFFSET(納品書まとめ!$A$1,UA1+4,0))&gt;29999,VALUE(OFFSET(納品書まとめ!$A$1,UA1+4,0))&lt;39999),
IF(AND(VALUE(OFFSET(納品書まとめ!$A$1,UA1+5,0))&gt;29999,VALUE(OFFSET(納品書まとめ!$A$1,UA1+5,0))&lt;39999),UA1+7,UA1+6),UA1+5),UA1+4),UA1+3),UA1+2),UA1+1),UA1),"")</f>
        <v>66</v>
      </c>
      <c r="UB2" s="55">
        <f ca="1">IFERROR(
UA2+IF(OFFSET(納品書まとめ!$A$1,UA2-1,2)&lt;&gt;"",0,1)+UA4-1,"")</f>
        <v>66</v>
      </c>
      <c r="UE2" s="41"/>
      <c r="UF2" s="54"/>
      <c r="UI2" s="85" t="str">
        <f>TX2</f>
        <v xml:space="preserve">2025 年 11 月 19 日 </v>
      </c>
      <c r="UJ2" s="86"/>
      <c r="UK2" s="86"/>
      <c r="UL2" s="55">
        <f ca="1">IFERROR(
IF(AND(VALUE(OFFSET(納品書まとめ!$A$1,UL1-1,0))&gt;29999,VALUE(OFFSET(納品書まとめ!$A$1,UL1-1,0))&lt;39999),
IF(AND(VALUE(OFFSET(納品書まとめ!$A$1,UL1,0))&gt;29999,VALUE(OFFSET(納品書まとめ!$A$1,UL1,0))&lt;39999),
IF(AND(VALUE(OFFSET(納品書まとめ!$A$1,UL1+1,0))&gt;29999,VALUE(OFFSET(納品書まとめ!$A$1,UL1+1,0))&lt;39999),
IF(AND(VALUE(OFFSET(納品書まとめ!$A$1,UL1+2,0))&gt;29999,VALUE(OFFSET(納品書まとめ!$A$1,UL1+2,0))&lt;39999),
IF(AND(VALUE(OFFSET(納品書まとめ!$A$1,UL1+3,0))&gt;29999,VALUE(OFFSET(納品書まとめ!$A$1,UL1+3,0))&lt;39999),
IF(AND(VALUE(OFFSET(納品書まとめ!$A$1,UL1+4,0))&gt;29999,VALUE(OFFSET(納品書まとめ!$A$1,UL1+4,0))&lt;39999),
IF(AND(VALUE(OFFSET(納品書まとめ!$A$1,UL1+5,0))&gt;29999,VALUE(OFFSET(納品書まとめ!$A$1,UL1+5,0))&lt;39999),UL1+7,UL1+6),UL1+5),UL1+4),UL1+3),UL1+2),UL1+1),UL1),"")</f>
        <v>67</v>
      </c>
      <c r="UM2" s="55">
        <f ca="1">IFERROR(
UL2+IF(OFFSET(納品書まとめ!$A$1,UL2-1,2)&lt;&gt;"",0,1)+UL4-1,"")</f>
        <v>67</v>
      </c>
      <c r="UP2" s="41"/>
      <c r="UQ2" s="54"/>
      <c r="UT2" s="85" t="str">
        <f>UI2</f>
        <v xml:space="preserve">2025 年 11 月 19 日 </v>
      </c>
      <c r="UU2" s="86"/>
      <c r="UV2" s="86"/>
      <c r="UW2" s="55">
        <f ca="1">IFERROR(
IF(AND(VALUE(OFFSET(納品書まとめ!$A$1,UW1-1,0))&gt;29999,VALUE(OFFSET(納品書まとめ!$A$1,UW1-1,0))&lt;39999),
IF(AND(VALUE(OFFSET(納品書まとめ!$A$1,UW1,0))&gt;29999,VALUE(OFFSET(納品書まとめ!$A$1,UW1,0))&lt;39999),
IF(AND(VALUE(OFFSET(納品書まとめ!$A$1,UW1+1,0))&gt;29999,VALUE(OFFSET(納品書まとめ!$A$1,UW1+1,0))&lt;39999),
IF(AND(VALUE(OFFSET(納品書まとめ!$A$1,UW1+2,0))&gt;29999,VALUE(OFFSET(納品書まとめ!$A$1,UW1+2,0))&lt;39999),
IF(AND(VALUE(OFFSET(納品書まとめ!$A$1,UW1+3,0))&gt;29999,VALUE(OFFSET(納品書まとめ!$A$1,UW1+3,0))&lt;39999),
IF(AND(VALUE(OFFSET(納品書まとめ!$A$1,UW1+4,0))&gt;29999,VALUE(OFFSET(納品書まとめ!$A$1,UW1+4,0))&lt;39999),
IF(AND(VALUE(OFFSET(納品書まとめ!$A$1,UW1+5,0))&gt;29999,VALUE(OFFSET(納品書まとめ!$A$1,UW1+5,0))&lt;39999),UW1+7,UW1+6),UW1+5),UW1+4),UW1+3),UW1+2),UW1+1),UW1),"")</f>
        <v>68</v>
      </c>
      <c r="UX2" s="55">
        <f ca="1">IFERROR(
UW2+IF(OFFSET(納品書まとめ!$A$1,UW2-1,2)&lt;&gt;"",0,1)+UW4-1,"")</f>
        <v>68</v>
      </c>
      <c r="VA2" s="41"/>
      <c r="VB2" s="54"/>
      <c r="VE2" s="85" t="str">
        <f>UT2</f>
        <v xml:space="preserve">2025 年 11 月 19 日 </v>
      </c>
      <c r="VF2" s="86"/>
      <c r="VG2" s="86"/>
      <c r="VH2" s="55" t="str">
        <f ca="1">IFERROR(
IF(AND(VALUE(OFFSET(納品書まとめ!$A$1,VH1-1,0))&gt;29999,VALUE(OFFSET(納品書まとめ!$A$1,VH1-1,0))&lt;39999),
IF(AND(VALUE(OFFSET(納品書まとめ!$A$1,VH1,0))&gt;29999,VALUE(OFFSET(納品書まとめ!$A$1,VH1,0))&lt;39999),
IF(AND(VALUE(OFFSET(納品書まとめ!$A$1,VH1+1,0))&gt;29999,VALUE(OFFSET(納品書まとめ!$A$1,VH1+1,0))&lt;39999),
IF(AND(VALUE(OFFSET(納品書まとめ!$A$1,VH1+2,0))&gt;29999,VALUE(OFFSET(納品書まとめ!$A$1,VH1+2,0))&lt;39999),
IF(AND(VALUE(OFFSET(納品書まとめ!$A$1,VH1+3,0))&gt;29999,VALUE(OFFSET(納品書まとめ!$A$1,VH1+3,0))&lt;39999),
IF(AND(VALUE(OFFSET(納品書まとめ!$A$1,VH1+4,0))&gt;29999,VALUE(OFFSET(納品書まとめ!$A$1,VH1+4,0))&lt;39999),
IF(AND(VALUE(OFFSET(納品書まとめ!$A$1,VH1+5,0))&gt;29999,VALUE(OFFSET(納品書まとめ!$A$1,VH1+5,0))&lt;39999),VH1+7,VH1+6),VH1+5),VH1+4),VH1+3),VH1+2),VH1+1),VH1),"")</f>
        <v/>
      </c>
      <c r="VI2" s="55" t="str">
        <f ca="1">IFERROR(
VH2+IF(OFFSET(納品書まとめ!$A$1,VH2-1,2)&lt;&gt;"",0,1)+VH4-1,"")</f>
        <v/>
      </c>
      <c r="VL2" s="41"/>
      <c r="VM2" s="54"/>
      <c r="VP2" s="85" t="str">
        <f>VE2</f>
        <v xml:space="preserve">2025 年 11 月 19 日 </v>
      </c>
      <c r="VQ2" s="86"/>
      <c r="VR2" s="86"/>
      <c r="VS2" s="55" t="str">
        <f ca="1">IFERROR(
IF(AND(VALUE(OFFSET(納品書まとめ!$A$1,VS1-1,0))&gt;29999,VALUE(OFFSET(納品書まとめ!$A$1,VS1-1,0))&lt;39999),
IF(AND(VALUE(OFFSET(納品書まとめ!$A$1,VS1,0))&gt;29999,VALUE(OFFSET(納品書まとめ!$A$1,VS1,0))&lt;39999),
IF(AND(VALUE(OFFSET(納品書まとめ!$A$1,VS1+1,0))&gt;29999,VALUE(OFFSET(納品書まとめ!$A$1,VS1+1,0))&lt;39999),
IF(AND(VALUE(OFFSET(納品書まとめ!$A$1,VS1+2,0))&gt;29999,VALUE(OFFSET(納品書まとめ!$A$1,VS1+2,0))&lt;39999),
IF(AND(VALUE(OFFSET(納品書まとめ!$A$1,VS1+3,0))&gt;29999,VALUE(OFFSET(納品書まとめ!$A$1,VS1+3,0))&lt;39999),
IF(AND(VALUE(OFFSET(納品書まとめ!$A$1,VS1+4,0))&gt;29999,VALUE(OFFSET(納品書まとめ!$A$1,VS1+4,0))&lt;39999),
IF(AND(VALUE(OFFSET(納品書まとめ!$A$1,VS1+5,0))&gt;29999,VALUE(OFFSET(納品書まとめ!$A$1,VS1+5,0))&lt;39999),VS1+7,VS1+6),VS1+5),VS1+4),VS1+3),VS1+2),VS1+1),VS1),"")</f>
        <v/>
      </c>
      <c r="VT2" s="55" t="str">
        <f ca="1">IFERROR(
VS2+IF(OFFSET(納品書まとめ!$A$1,VS2-1,2)&lt;&gt;"",0,1)+VS4-1,"")</f>
        <v/>
      </c>
      <c r="VW2" s="41"/>
      <c r="VX2" s="54"/>
      <c r="WA2" s="85" t="str">
        <f>VP2</f>
        <v xml:space="preserve">2025 年 11 月 19 日 </v>
      </c>
      <c r="WB2" s="86"/>
      <c r="WC2" s="86"/>
      <c r="WD2" s="55" t="str">
        <f ca="1">IFERROR(
IF(AND(VALUE(OFFSET(納品書まとめ!$A$1,WD1-1,0))&gt;29999,VALUE(OFFSET(納品書まとめ!$A$1,WD1-1,0))&lt;39999),
IF(AND(VALUE(OFFSET(納品書まとめ!$A$1,WD1,0))&gt;29999,VALUE(OFFSET(納品書まとめ!$A$1,WD1,0))&lt;39999),
IF(AND(VALUE(OFFSET(納品書まとめ!$A$1,WD1+1,0))&gt;29999,VALUE(OFFSET(納品書まとめ!$A$1,WD1+1,0))&lt;39999),
IF(AND(VALUE(OFFSET(納品書まとめ!$A$1,WD1+2,0))&gt;29999,VALUE(OFFSET(納品書まとめ!$A$1,WD1+2,0))&lt;39999),
IF(AND(VALUE(OFFSET(納品書まとめ!$A$1,WD1+3,0))&gt;29999,VALUE(OFFSET(納品書まとめ!$A$1,WD1+3,0))&lt;39999),
IF(AND(VALUE(OFFSET(納品書まとめ!$A$1,WD1+4,0))&gt;29999,VALUE(OFFSET(納品書まとめ!$A$1,WD1+4,0))&lt;39999),
IF(AND(VALUE(OFFSET(納品書まとめ!$A$1,WD1+5,0))&gt;29999,VALUE(OFFSET(納品書まとめ!$A$1,WD1+5,0))&lt;39999),WD1+7,WD1+6),WD1+5),WD1+4),WD1+3),WD1+2),WD1+1),WD1),"")</f>
        <v/>
      </c>
      <c r="WE2" s="55" t="str">
        <f ca="1">IFERROR(
WD2+IF(OFFSET(納品書まとめ!$A$1,WD2-1,2)&lt;&gt;"",0,1)+WD4-1,"")</f>
        <v/>
      </c>
      <c r="WH2" s="41"/>
      <c r="WI2" s="54"/>
      <c r="WL2" s="85" t="str">
        <f>WA2</f>
        <v xml:space="preserve">2025 年 11 月 19 日 </v>
      </c>
      <c r="WM2" s="86"/>
      <c r="WN2" s="86"/>
      <c r="WO2" s="55" t="str">
        <f ca="1">IFERROR(
IF(AND(VALUE(OFFSET(納品書まとめ!$A$1,WO1-1,0))&gt;29999,VALUE(OFFSET(納品書まとめ!$A$1,WO1-1,0))&lt;39999),
IF(AND(VALUE(OFFSET(納品書まとめ!$A$1,WO1,0))&gt;29999,VALUE(OFFSET(納品書まとめ!$A$1,WO1,0))&lt;39999),
IF(AND(VALUE(OFFSET(納品書まとめ!$A$1,WO1+1,0))&gt;29999,VALUE(OFFSET(納品書まとめ!$A$1,WO1+1,0))&lt;39999),
IF(AND(VALUE(OFFSET(納品書まとめ!$A$1,WO1+2,0))&gt;29999,VALUE(OFFSET(納品書まとめ!$A$1,WO1+2,0))&lt;39999),
IF(AND(VALUE(OFFSET(納品書まとめ!$A$1,WO1+3,0))&gt;29999,VALUE(OFFSET(納品書まとめ!$A$1,WO1+3,0))&lt;39999),
IF(AND(VALUE(OFFSET(納品書まとめ!$A$1,WO1+4,0))&gt;29999,VALUE(OFFSET(納品書まとめ!$A$1,WO1+4,0))&lt;39999),
IF(AND(VALUE(OFFSET(納品書まとめ!$A$1,WO1+5,0))&gt;29999,VALUE(OFFSET(納品書まとめ!$A$1,WO1+5,0))&lt;39999),WO1+7,WO1+6),WO1+5),WO1+4),WO1+3),WO1+2),WO1+1),WO1),"")</f>
        <v/>
      </c>
      <c r="WP2" s="55" t="str">
        <f ca="1">IFERROR(
WO2+IF(OFFSET(納品書まとめ!$A$1,WO2-1,2)&lt;&gt;"",0,1)+WO4-1,"")</f>
        <v/>
      </c>
      <c r="WS2" s="41"/>
      <c r="WT2" s="54"/>
      <c r="WW2" s="85" t="str">
        <f>WL2</f>
        <v xml:space="preserve">2025 年 11 月 19 日 </v>
      </c>
      <c r="WX2" s="86"/>
      <c r="WY2" s="86"/>
      <c r="WZ2" s="55" t="str">
        <f ca="1">IFERROR(
IF(AND(VALUE(OFFSET(納品書まとめ!$A$1,WZ1-1,0))&gt;29999,VALUE(OFFSET(納品書まとめ!$A$1,WZ1-1,0))&lt;39999),
IF(AND(VALUE(OFFSET(納品書まとめ!$A$1,WZ1,0))&gt;29999,VALUE(OFFSET(納品書まとめ!$A$1,WZ1,0))&lt;39999),
IF(AND(VALUE(OFFSET(納品書まとめ!$A$1,WZ1+1,0))&gt;29999,VALUE(OFFSET(納品書まとめ!$A$1,WZ1+1,0))&lt;39999),
IF(AND(VALUE(OFFSET(納品書まとめ!$A$1,WZ1+2,0))&gt;29999,VALUE(OFFSET(納品書まとめ!$A$1,WZ1+2,0))&lt;39999),
IF(AND(VALUE(OFFSET(納品書まとめ!$A$1,WZ1+3,0))&gt;29999,VALUE(OFFSET(納品書まとめ!$A$1,WZ1+3,0))&lt;39999),
IF(AND(VALUE(OFFSET(納品書まとめ!$A$1,WZ1+4,0))&gt;29999,VALUE(OFFSET(納品書まとめ!$A$1,WZ1+4,0))&lt;39999),
IF(AND(VALUE(OFFSET(納品書まとめ!$A$1,WZ1+5,0))&gt;29999,VALUE(OFFSET(納品書まとめ!$A$1,WZ1+5,0))&lt;39999),WZ1+7,WZ1+6),WZ1+5),WZ1+4),WZ1+3),WZ1+2),WZ1+1),WZ1),"")</f>
        <v/>
      </c>
      <c r="XA2" s="55" t="str">
        <f ca="1">IFERROR(
WZ2+IF(OFFSET(納品書まとめ!$A$1,WZ2-1,2)&lt;&gt;"",0,1)+WZ4-1,"")</f>
        <v/>
      </c>
      <c r="XD2" s="41"/>
      <c r="XE2" s="54"/>
      <c r="XH2" s="85" t="str">
        <f>WW2</f>
        <v xml:space="preserve">2025 年 11 月 19 日 </v>
      </c>
      <c r="XI2" s="86"/>
      <c r="XJ2" s="86"/>
      <c r="XK2" s="55" t="str">
        <f ca="1">IFERROR(
IF(AND(VALUE(OFFSET(納品書まとめ!$A$1,XK1-1,0))&gt;29999,VALUE(OFFSET(納品書まとめ!$A$1,XK1-1,0))&lt;39999),
IF(AND(VALUE(OFFSET(納品書まとめ!$A$1,XK1,0))&gt;29999,VALUE(OFFSET(納品書まとめ!$A$1,XK1,0))&lt;39999),
IF(AND(VALUE(OFFSET(納品書まとめ!$A$1,XK1+1,0))&gt;29999,VALUE(OFFSET(納品書まとめ!$A$1,XK1+1,0))&lt;39999),
IF(AND(VALUE(OFFSET(納品書まとめ!$A$1,XK1+2,0))&gt;29999,VALUE(OFFSET(納品書まとめ!$A$1,XK1+2,0))&lt;39999),
IF(AND(VALUE(OFFSET(納品書まとめ!$A$1,XK1+3,0))&gt;29999,VALUE(OFFSET(納品書まとめ!$A$1,XK1+3,0))&lt;39999),
IF(AND(VALUE(OFFSET(納品書まとめ!$A$1,XK1+4,0))&gt;29999,VALUE(OFFSET(納品書まとめ!$A$1,XK1+4,0))&lt;39999),
IF(AND(VALUE(OFFSET(納品書まとめ!$A$1,XK1+5,0))&gt;29999,VALUE(OFFSET(納品書まとめ!$A$1,XK1+5,0))&lt;39999),XK1+7,XK1+6),XK1+5),XK1+4),XK1+3),XK1+2),XK1+1),XK1),"")</f>
        <v/>
      </c>
      <c r="XL2" s="55" t="str">
        <f ca="1">IFERROR(
XK2+IF(OFFSET(納品書まとめ!$A$1,XK2-1,2)&lt;&gt;"",0,1)+XK4-1,"")</f>
        <v/>
      </c>
      <c r="XO2" s="41"/>
      <c r="XP2" s="54"/>
      <c r="XS2" s="85" t="str">
        <f>XH2</f>
        <v xml:space="preserve">2025 年 11 月 19 日 </v>
      </c>
      <c r="XT2" s="86"/>
      <c r="XU2" s="86"/>
      <c r="XV2" s="55" t="str">
        <f ca="1">IFERROR(
IF(AND(VALUE(OFFSET(納品書まとめ!$A$1,XV1-1,0))&gt;29999,VALUE(OFFSET(納品書まとめ!$A$1,XV1-1,0))&lt;39999),
IF(AND(VALUE(OFFSET(納品書まとめ!$A$1,XV1,0))&gt;29999,VALUE(OFFSET(納品書まとめ!$A$1,XV1,0))&lt;39999),
IF(AND(VALUE(OFFSET(納品書まとめ!$A$1,XV1+1,0))&gt;29999,VALUE(OFFSET(納品書まとめ!$A$1,XV1+1,0))&lt;39999),
IF(AND(VALUE(OFFSET(納品書まとめ!$A$1,XV1+2,0))&gt;29999,VALUE(OFFSET(納品書まとめ!$A$1,XV1+2,0))&lt;39999),
IF(AND(VALUE(OFFSET(納品書まとめ!$A$1,XV1+3,0))&gt;29999,VALUE(OFFSET(納品書まとめ!$A$1,XV1+3,0))&lt;39999),
IF(AND(VALUE(OFFSET(納品書まとめ!$A$1,XV1+4,0))&gt;29999,VALUE(OFFSET(納品書まとめ!$A$1,XV1+4,0))&lt;39999),
IF(AND(VALUE(OFFSET(納品書まとめ!$A$1,XV1+5,0))&gt;29999,VALUE(OFFSET(納品書まとめ!$A$1,XV1+5,0))&lt;39999),XV1+7,XV1+6),XV1+5),XV1+4),XV1+3),XV1+2),XV1+1),XV1),"")</f>
        <v/>
      </c>
      <c r="XW2" s="55" t="str">
        <f ca="1">IFERROR(
XV2+IF(OFFSET(納品書まとめ!$A$1,XV2-1,2)&lt;&gt;"",0,1)+XV4-1,"")</f>
        <v/>
      </c>
      <c r="XZ2" s="41"/>
      <c r="YA2" s="54"/>
      <c r="YD2" s="85" t="str">
        <f>XS2</f>
        <v xml:space="preserve">2025 年 11 月 19 日 </v>
      </c>
      <c r="YE2" s="86"/>
      <c r="YF2" s="86"/>
      <c r="YG2" s="55" t="str">
        <f ca="1">IFERROR(
IF(AND(VALUE(OFFSET(納品書まとめ!$A$1,YG1-1,0))&gt;29999,VALUE(OFFSET(納品書まとめ!$A$1,YG1-1,0))&lt;39999),
IF(AND(VALUE(OFFSET(納品書まとめ!$A$1,YG1,0))&gt;29999,VALUE(OFFSET(納品書まとめ!$A$1,YG1,0))&lt;39999),
IF(AND(VALUE(OFFSET(納品書まとめ!$A$1,YG1+1,0))&gt;29999,VALUE(OFFSET(納品書まとめ!$A$1,YG1+1,0))&lt;39999),
IF(AND(VALUE(OFFSET(納品書まとめ!$A$1,YG1+2,0))&gt;29999,VALUE(OFFSET(納品書まとめ!$A$1,YG1+2,0))&lt;39999),
IF(AND(VALUE(OFFSET(納品書まとめ!$A$1,YG1+3,0))&gt;29999,VALUE(OFFSET(納品書まとめ!$A$1,YG1+3,0))&lt;39999),
IF(AND(VALUE(OFFSET(納品書まとめ!$A$1,YG1+4,0))&gt;29999,VALUE(OFFSET(納品書まとめ!$A$1,YG1+4,0))&lt;39999),
IF(AND(VALUE(OFFSET(納品書まとめ!$A$1,YG1+5,0))&gt;29999,VALUE(OFFSET(納品書まとめ!$A$1,YG1+5,0))&lt;39999),YG1+7,YG1+6),YG1+5),YG1+4),YG1+3),YG1+2),YG1+1),YG1),"")</f>
        <v/>
      </c>
      <c r="YH2" s="55" t="str">
        <f ca="1">IFERROR(
YG2+IF(OFFSET(納品書まとめ!$A$1,YG2-1,2)&lt;&gt;"",0,1)+YG4-1,"")</f>
        <v/>
      </c>
      <c r="YK2" s="41"/>
      <c r="YL2" s="54"/>
      <c r="YO2" s="85" t="str">
        <f>YD2</f>
        <v xml:space="preserve">2025 年 11 月 19 日 </v>
      </c>
      <c r="YP2" s="86"/>
      <c r="YQ2" s="86"/>
      <c r="YR2" s="55" t="str">
        <f ca="1">IFERROR(
IF(AND(VALUE(OFFSET(納品書まとめ!$A$1,YR1-1,0))&gt;29999,VALUE(OFFSET(納品書まとめ!$A$1,YR1-1,0))&lt;39999),
IF(AND(VALUE(OFFSET(納品書まとめ!$A$1,YR1,0))&gt;29999,VALUE(OFFSET(納品書まとめ!$A$1,YR1,0))&lt;39999),
IF(AND(VALUE(OFFSET(納品書まとめ!$A$1,YR1+1,0))&gt;29999,VALUE(OFFSET(納品書まとめ!$A$1,YR1+1,0))&lt;39999),
IF(AND(VALUE(OFFSET(納品書まとめ!$A$1,YR1+2,0))&gt;29999,VALUE(OFFSET(納品書まとめ!$A$1,YR1+2,0))&lt;39999),
IF(AND(VALUE(OFFSET(納品書まとめ!$A$1,YR1+3,0))&gt;29999,VALUE(OFFSET(納品書まとめ!$A$1,YR1+3,0))&lt;39999),
IF(AND(VALUE(OFFSET(納品書まとめ!$A$1,YR1+4,0))&gt;29999,VALUE(OFFSET(納品書まとめ!$A$1,YR1+4,0))&lt;39999),
IF(AND(VALUE(OFFSET(納品書まとめ!$A$1,YR1+5,0))&gt;29999,VALUE(OFFSET(納品書まとめ!$A$1,YR1+5,0))&lt;39999),YR1+7,YR1+6),YR1+5),YR1+4),YR1+3),YR1+2),YR1+1),YR1),"")</f>
        <v/>
      </c>
      <c r="YS2" s="55" t="str">
        <f ca="1">IFERROR(
YR2+IF(OFFSET(納品書まとめ!$A$1,YR2-1,2)&lt;&gt;"",0,1)+YR4-1,"")</f>
        <v/>
      </c>
      <c r="YV2" s="41"/>
      <c r="YW2" s="54"/>
      <c r="YZ2" s="85" t="str">
        <f>YO2</f>
        <v xml:space="preserve">2025 年 11 月 19 日 </v>
      </c>
      <c r="ZA2" s="86"/>
      <c r="ZB2" s="86"/>
      <c r="ZC2" s="55" t="str">
        <f ca="1">IFERROR(
IF(AND(VALUE(OFFSET(納品書まとめ!$A$1,ZC1-1,0))&gt;29999,VALUE(OFFSET(納品書まとめ!$A$1,ZC1-1,0))&lt;39999),
IF(AND(VALUE(OFFSET(納品書まとめ!$A$1,ZC1,0))&gt;29999,VALUE(OFFSET(納品書まとめ!$A$1,ZC1,0))&lt;39999),
IF(AND(VALUE(OFFSET(納品書まとめ!$A$1,ZC1+1,0))&gt;29999,VALUE(OFFSET(納品書まとめ!$A$1,ZC1+1,0))&lt;39999),
IF(AND(VALUE(OFFSET(納品書まとめ!$A$1,ZC1+2,0))&gt;29999,VALUE(OFFSET(納品書まとめ!$A$1,ZC1+2,0))&lt;39999),
IF(AND(VALUE(OFFSET(納品書まとめ!$A$1,ZC1+3,0))&gt;29999,VALUE(OFFSET(納品書まとめ!$A$1,ZC1+3,0))&lt;39999),
IF(AND(VALUE(OFFSET(納品書まとめ!$A$1,ZC1+4,0))&gt;29999,VALUE(OFFSET(納品書まとめ!$A$1,ZC1+4,0))&lt;39999),
IF(AND(VALUE(OFFSET(納品書まとめ!$A$1,ZC1+5,0))&gt;29999,VALUE(OFFSET(納品書まとめ!$A$1,ZC1+5,0))&lt;39999),ZC1+7,ZC1+6),ZC1+5),ZC1+4),ZC1+3),ZC1+2),ZC1+1),ZC1),"")</f>
        <v/>
      </c>
      <c r="ZD2" s="55" t="str">
        <f ca="1">IFERROR(
ZC2+IF(OFFSET(納品書まとめ!$A$1,ZC2-1,2)&lt;&gt;"",0,1)+ZC4-1,"")</f>
        <v/>
      </c>
      <c r="ZG2" s="41"/>
      <c r="ZH2" s="54"/>
      <c r="ZK2" s="85" t="str">
        <f>YZ2</f>
        <v xml:space="preserve">2025 年 11 月 19 日 </v>
      </c>
      <c r="ZL2" s="86"/>
      <c r="ZM2" s="86"/>
      <c r="ZN2" s="55" t="str">
        <f ca="1">IFERROR(
IF(AND(VALUE(OFFSET(納品書まとめ!$A$1,ZN1-1,0))&gt;29999,VALUE(OFFSET(納品書まとめ!$A$1,ZN1-1,0))&lt;39999),
IF(AND(VALUE(OFFSET(納品書まとめ!$A$1,ZN1,0))&gt;29999,VALUE(OFFSET(納品書まとめ!$A$1,ZN1,0))&lt;39999),
IF(AND(VALUE(OFFSET(納品書まとめ!$A$1,ZN1+1,0))&gt;29999,VALUE(OFFSET(納品書まとめ!$A$1,ZN1+1,0))&lt;39999),
IF(AND(VALUE(OFFSET(納品書まとめ!$A$1,ZN1+2,0))&gt;29999,VALUE(OFFSET(納品書まとめ!$A$1,ZN1+2,0))&lt;39999),
IF(AND(VALUE(OFFSET(納品書まとめ!$A$1,ZN1+3,0))&gt;29999,VALUE(OFFSET(納品書まとめ!$A$1,ZN1+3,0))&lt;39999),
IF(AND(VALUE(OFFSET(納品書まとめ!$A$1,ZN1+4,0))&gt;29999,VALUE(OFFSET(納品書まとめ!$A$1,ZN1+4,0))&lt;39999),
IF(AND(VALUE(OFFSET(納品書まとめ!$A$1,ZN1+5,0))&gt;29999,VALUE(OFFSET(納品書まとめ!$A$1,ZN1+5,0))&lt;39999),ZN1+7,ZN1+6),ZN1+5),ZN1+4),ZN1+3),ZN1+2),ZN1+1),ZN1),"")</f>
        <v/>
      </c>
      <c r="ZO2" s="55" t="str">
        <f ca="1">IFERROR(
ZN2+IF(OFFSET(納品書まとめ!$A$1,ZN2-1,2)&lt;&gt;"",0,1)+ZN4-1,"")</f>
        <v/>
      </c>
      <c r="ZR2" s="41"/>
      <c r="ZS2" s="54"/>
      <c r="ZV2" s="85" t="str">
        <f>ZK2</f>
        <v xml:space="preserve">2025 年 11 月 19 日 </v>
      </c>
      <c r="ZW2" s="86"/>
      <c r="ZX2" s="86"/>
      <c r="ZY2" s="55" t="str">
        <f ca="1">IFERROR(
IF(AND(VALUE(OFFSET(納品書まとめ!$A$1,ZY1-1,0))&gt;29999,VALUE(OFFSET(納品書まとめ!$A$1,ZY1-1,0))&lt;39999),
IF(AND(VALUE(OFFSET(納品書まとめ!$A$1,ZY1,0))&gt;29999,VALUE(OFFSET(納品書まとめ!$A$1,ZY1,0))&lt;39999),
IF(AND(VALUE(OFFSET(納品書まとめ!$A$1,ZY1+1,0))&gt;29999,VALUE(OFFSET(納品書まとめ!$A$1,ZY1+1,0))&lt;39999),
IF(AND(VALUE(OFFSET(納品書まとめ!$A$1,ZY1+2,0))&gt;29999,VALUE(OFFSET(納品書まとめ!$A$1,ZY1+2,0))&lt;39999),
IF(AND(VALUE(OFFSET(納品書まとめ!$A$1,ZY1+3,0))&gt;29999,VALUE(OFFSET(納品書まとめ!$A$1,ZY1+3,0))&lt;39999),
IF(AND(VALUE(OFFSET(納品書まとめ!$A$1,ZY1+4,0))&gt;29999,VALUE(OFFSET(納品書まとめ!$A$1,ZY1+4,0))&lt;39999),
IF(AND(VALUE(OFFSET(納品書まとめ!$A$1,ZY1+5,0))&gt;29999,VALUE(OFFSET(納品書まとめ!$A$1,ZY1+5,0))&lt;39999),ZY1+7,ZY1+6),ZY1+5),ZY1+4),ZY1+3),ZY1+2),ZY1+1),ZY1),"")</f>
        <v/>
      </c>
      <c r="ZZ2" s="55" t="str">
        <f ca="1">IFERROR(
ZY2+IF(OFFSET(納品書まとめ!$A$1,ZY2-1,2)&lt;&gt;"",0,1)+ZY4-1,"")</f>
        <v/>
      </c>
      <c r="AAC2" s="41"/>
      <c r="AAD2" s="54"/>
      <c r="AAG2" s="85" t="str">
        <f>ZV2</f>
        <v xml:space="preserve">2025 年 11 月 19 日 </v>
      </c>
      <c r="AAH2" s="86"/>
      <c r="AAI2" s="86"/>
      <c r="AAJ2" s="55" t="str">
        <f ca="1">IFERROR(
IF(AND(VALUE(OFFSET(納品書まとめ!$A$1,AAJ1-1,0))&gt;29999,VALUE(OFFSET(納品書まとめ!$A$1,AAJ1-1,0))&lt;39999),
IF(AND(VALUE(OFFSET(納品書まとめ!$A$1,AAJ1,0))&gt;29999,VALUE(OFFSET(納品書まとめ!$A$1,AAJ1,0))&lt;39999),
IF(AND(VALUE(OFFSET(納品書まとめ!$A$1,AAJ1+1,0))&gt;29999,VALUE(OFFSET(納品書まとめ!$A$1,AAJ1+1,0))&lt;39999),
IF(AND(VALUE(OFFSET(納品書まとめ!$A$1,AAJ1+2,0))&gt;29999,VALUE(OFFSET(納品書まとめ!$A$1,AAJ1+2,0))&lt;39999),
IF(AND(VALUE(OFFSET(納品書まとめ!$A$1,AAJ1+3,0))&gt;29999,VALUE(OFFSET(納品書まとめ!$A$1,AAJ1+3,0))&lt;39999),
IF(AND(VALUE(OFFSET(納品書まとめ!$A$1,AAJ1+4,0))&gt;29999,VALUE(OFFSET(納品書まとめ!$A$1,AAJ1+4,0))&lt;39999),
IF(AND(VALUE(OFFSET(納品書まとめ!$A$1,AAJ1+5,0))&gt;29999,VALUE(OFFSET(納品書まとめ!$A$1,AAJ1+5,0))&lt;39999),AAJ1+7,AAJ1+6),AAJ1+5),AAJ1+4),AAJ1+3),AAJ1+2),AAJ1+1),AAJ1),"")</f>
        <v/>
      </c>
      <c r="AAK2" s="55" t="str">
        <f ca="1">IFERROR(
AAJ2+IF(OFFSET(納品書まとめ!$A$1,AAJ2-1,2)&lt;&gt;"",0,1)+AAJ4-1,"")</f>
        <v/>
      </c>
      <c r="AAN2" s="41"/>
      <c r="AAO2" s="54"/>
      <c r="AAR2" s="85" t="str">
        <f>AAG2</f>
        <v xml:space="preserve">2025 年 11 月 19 日 </v>
      </c>
      <c r="AAS2" s="86"/>
      <c r="AAT2" s="86"/>
      <c r="AAU2" s="55" t="str">
        <f ca="1">IFERROR(
IF(AND(VALUE(OFFSET(納品書まとめ!$A$1,AAU1-1,0))&gt;29999,VALUE(OFFSET(納品書まとめ!$A$1,AAU1-1,0))&lt;39999),
IF(AND(VALUE(OFFSET(納品書まとめ!$A$1,AAU1,0))&gt;29999,VALUE(OFFSET(納品書まとめ!$A$1,AAU1,0))&lt;39999),
IF(AND(VALUE(OFFSET(納品書まとめ!$A$1,AAU1+1,0))&gt;29999,VALUE(OFFSET(納品書まとめ!$A$1,AAU1+1,0))&lt;39999),
IF(AND(VALUE(OFFSET(納品書まとめ!$A$1,AAU1+2,0))&gt;29999,VALUE(OFFSET(納品書まとめ!$A$1,AAU1+2,0))&lt;39999),
IF(AND(VALUE(OFFSET(納品書まとめ!$A$1,AAU1+3,0))&gt;29999,VALUE(OFFSET(納品書まとめ!$A$1,AAU1+3,0))&lt;39999),
IF(AND(VALUE(OFFSET(納品書まとめ!$A$1,AAU1+4,0))&gt;29999,VALUE(OFFSET(納品書まとめ!$A$1,AAU1+4,0))&lt;39999),
IF(AND(VALUE(OFFSET(納品書まとめ!$A$1,AAU1+5,0))&gt;29999,VALUE(OFFSET(納品書まとめ!$A$1,AAU1+5,0))&lt;39999),AAU1+7,AAU1+6),AAU1+5),AAU1+4),AAU1+3),AAU1+2),AAU1+1),AAU1),"")</f>
        <v/>
      </c>
      <c r="AAV2" s="55" t="str">
        <f ca="1">IFERROR(
AAU2+IF(OFFSET(納品書まとめ!$A$1,AAU2-1,2)&lt;&gt;"",0,1)+AAU4-1,"")</f>
        <v/>
      </c>
      <c r="AAY2" s="41"/>
      <c r="AAZ2" s="54"/>
      <c r="ABC2" s="85" t="str">
        <f>AAR2</f>
        <v xml:space="preserve">2025 年 11 月 19 日 </v>
      </c>
      <c r="ABD2" s="86"/>
      <c r="ABE2" s="86"/>
      <c r="ABF2" s="55" t="str">
        <f ca="1">IFERROR(
IF(AND(VALUE(OFFSET(納品書まとめ!$A$1,ABF1-1,0))&gt;29999,VALUE(OFFSET(納品書まとめ!$A$1,ABF1-1,0))&lt;39999),
IF(AND(VALUE(OFFSET(納品書まとめ!$A$1,ABF1,0))&gt;29999,VALUE(OFFSET(納品書まとめ!$A$1,ABF1,0))&lt;39999),
IF(AND(VALUE(OFFSET(納品書まとめ!$A$1,ABF1+1,0))&gt;29999,VALUE(OFFSET(納品書まとめ!$A$1,ABF1+1,0))&lt;39999),
IF(AND(VALUE(OFFSET(納品書まとめ!$A$1,ABF1+2,0))&gt;29999,VALUE(OFFSET(納品書まとめ!$A$1,ABF1+2,0))&lt;39999),
IF(AND(VALUE(OFFSET(納品書まとめ!$A$1,ABF1+3,0))&gt;29999,VALUE(OFFSET(納品書まとめ!$A$1,ABF1+3,0))&lt;39999),
IF(AND(VALUE(OFFSET(納品書まとめ!$A$1,ABF1+4,0))&gt;29999,VALUE(OFFSET(納品書まとめ!$A$1,ABF1+4,0))&lt;39999),
IF(AND(VALUE(OFFSET(納品書まとめ!$A$1,ABF1+5,0))&gt;29999,VALUE(OFFSET(納品書まとめ!$A$1,ABF1+5,0))&lt;39999),ABF1+7,ABF1+6),ABF1+5),ABF1+4),ABF1+3),ABF1+2),ABF1+1),ABF1),"")</f>
        <v/>
      </c>
      <c r="ABG2" s="55" t="str">
        <f ca="1">IFERROR(
ABF2+IF(OFFSET(納品書まとめ!$A$1,ABF2-1,2)&lt;&gt;"",0,1)+ABF4-1,"")</f>
        <v/>
      </c>
      <c r="ABJ2" s="41"/>
      <c r="ABK2" s="54"/>
      <c r="ABN2" s="85" t="str">
        <f>ABC2</f>
        <v xml:space="preserve">2025 年 11 月 19 日 </v>
      </c>
      <c r="ABO2" s="86"/>
      <c r="ABP2" s="86"/>
      <c r="ABQ2" s="55" t="str">
        <f ca="1">IFERROR(
IF(AND(VALUE(OFFSET(納品書まとめ!$A$1,ABQ1-1,0))&gt;29999,VALUE(OFFSET(納品書まとめ!$A$1,ABQ1-1,0))&lt;39999),
IF(AND(VALUE(OFFSET(納品書まとめ!$A$1,ABQ1,0))&gt;29999,VALUE(OFFSET(納品書まとめ!$A$1,ABQ1,0))&lt;39999),
IF(AND(VALUE(OFFSET(納品書まとめ!$A$1,ABQ1+1,0))&gt;29999,VALUE(OFFSET(納品書まとめ!$A$1,ABQ1+1,0))&lt;39999),
IF(AND(VALUE(OFFSET(納品書まとめ!$A$1,ABQ1+2,0))&gt;29999,VALUE(OFFSET(納品書まとめ!$A$1,ABQ1+2,0))&lt;39999),
IF(AND(VALUE(OFFSET(納品書まとめ!$A$1,ABQ1+3,0))&gt;29999,VALUE(OFFSET(納品書まとめ!$A$1,ABQ1+3,0))&lt;39999),
IF(AND(VALUE(OFFSET(納品書まとめ!$A$1,ABQ1+4,0))&gt;29999,VALUE(OFFSET(納品書まとめ!$A$1,ABQ1+4,0))&lt;39999),
IF(AND(VALUE(OFFSET(納品書まとめ!$A$1,ABQ1+5,0))&gt;29999,VALUE(OFFSET(納品書まとめ!$A$1,ABQ1+5,0))&lt;39999),ABQ1+7,ABQ1+6),ABQ1+5),ABQ1+4),ABQ1+3),ABQ1+2),ABQ1+1),ABQ1),"")</f>
        <v/>
      </c>
      <c r="ABR2" s="55" t="str">
        <f ca="1">IFERROR(
ABQ2+IF(OFFSET(納品書まとめ!$A$1,ABQ2-1,2)&lt;&gt;"",0,1)+ABQ4-1,"")</f>
        <v/>
      </c>
      <c r="ABU2" s="41"/>
      <c r="ABV2" s="54"/>
      <c r="ABY2" s="81" t="str">
        <f>ABN2</f>
        <v xml:space="preserve">2025 年 11 月 19 日 </v>
      </c>
      <c r="ABZ2" s="81"/>
      <c r="ACA2" s="81"/>
      <c r="ACB2" s="55" t="str">
        <f ca="1">IFERROR(
IF(AND(VALUE(OFFSET(納品書まとめ!$A$1,ACB1-1,0))&gt;29999,VALUE(OFFSET(納品書まとめ!$A$1,ACB1-1,0))&lt;39999),
IF(AND(VALUE(OFFSET(納品書まとめ!$A$1,ACB1,0))&gt;29999,VALUE(OFFSET(納品書まとめ!$A$1,ACB1,0))&lt;39999),
IF(AND(VALUE(OFFSET(納品書まとめ!$A$1,ACB1+1,0))&gt;29999,VALUE(OFFSET(納品書まとめ!$A$1,ACB1+1,0))&lt;39999),
IF(AND(VALUE(OFFSET(納品書まとめ!$A$1,ACB1+2,0))&gt;29999,VALUE(OFFSET(納品書まとめ!$A$1,ACB1+2,0))&lt;39999),
IF(AND(VALUE(OFFSET(納品書まとめ!$A$1,ACB1+3,0))&gt;29999,VALUE(OFFSET(納品書まとめ!$A$1,ACB1+3,0))&lt;39999),
IF(AND(VALUE(OFFSET(納品書まとめ!$A$1,ACB1+4,0))&gt;29999,VALUE(OFFSET(納品書まとめ!$A$1,ACB1+4,0))&lt;39999),
IF(AND(VALUE(OFFSET(納品書まとめ!$A$1,ACB1+5,0))&gt;29999,VALUE(OFFSET(納品書まとめ!$A$1,ACB1+5,0))&lt;39999),ACB1+7,ACB1+6),ACB1+5),ACB1+4),ACB1+3),ACB1+2),ACB1+1),ACB1),"")</f>
        <v/>
      </c>
      <c r="ACC2" s="55" t="str">
        <f ca="1">IFERROR(
ACB2+IF(OFFSET(納品書まとめ!$A$1,ACB2-1,2)&lt;&gt;"",0,1)+ACB4-1,"")</f>
        <v/>
      </c>
      <c r="ACF2" s="41"/>
      <c r="ACG2" s="54"/>
      <c r="ACJ2" s="85" t="str">
        <f>ABY2</f>
        <v xml:space="preserve">2025 年 11 月 19 日 </v>
      </c>
      <c r="ACK2" s="86"/>
      <c r="ACL2" s="86"/>
      <c r="ACM2" s="55" t="str">
        <f ca="1">IFERROR(
IF(AND(VALUE(OFFSET(納品書まとめ!$A$1,ACM1-1,0))&gt;29999,VALUE(OFFSET(納品書まとめ!$A$1,ACM1-1,0))&lt;39999),
IF(AND(VALUE(OFFSET(納品書まとめ!$A$1,ACM1,0))&gt;29999,VALUE(OFFSET(納品書まとめ!$A$1,ACM1,0))&lt;39999),
IF(AND(VALUE(OFFSET(納品書まとめ!$A$1,ACM1+1,0))&gt;29999,VALUE(OFFSET(納品書まとめ!$A$1,ACM1+1,0))&lt;39999),
IF(AND(VALUE(OFFSET(納品書まとめ!$A$1,ACM1+2,0))&gt;29999,VALUE(OFFSET(納品書まとめ!$A$1,ACM1+2,0))&lt;39999),
IF(AND(VALUE(OFFSET(納品書まとめ!$A$1,ACM1+3,0))&gt;29999,VALUE(OFFSET(納品書まとめ!$A$1,ACM1+3,0))&lt;39999),
IF(AND(VALUE(OFFSET(納品書まとめ!$A$1,ACM1+4,0))&gt;29999,VALUE(OFFSET(納品書まとめ!$A$1,ACM1+4,0))&lt;39999),
IF(AND(VALUE(OFFSET(納品書まとめ!$A$1,ACM1+5,0))&gt;29999,VALUE(OFFSET(納品書まとめ!$A$1,ACM1+5,0))&lt;39999),ACM1+7,ACM1+6),ACM1+5),ACM1+4),ACM1+3),ACM1+2),ACM1+1),ACM1),"")</f>
        <v/>
      </c>
      <c r="ACN2" s="55" t="str">
        <f ca="1">IFERROR(
ACM2+IF(OFFSET(納品書まとめ!$A$1,ACM2-1,2)&lt;&gt;"",0,1)+ACM4-1,"")</f>
        <v/>
      </c>
      <c r="ACQ2" s="41"/>
      <c r="ACR2" s="54"/>
      <c r="ACU2" s="85" t="str">
        <f>ACJ2</f>
        <v xml:space="preserve">2025 年 11 月 19 日 </v>
      </c>
      <c r="ACV2" s="86"/>
      <c r="ACW2" s="86"/>
      <c r="ACX2" s="55" t="str">
        <f ca="1">IFERROR(
IF(AND(VALUE(OFFSET(納品書まとめ!$A$1,ACX1-1,0))&gt;29999,VALUE(OFFSET(納品書まとめ!$A$1,ACX1-1,0))&lt;39999),
IF(AND(VALUE(OFFSET(納品書まとめ!$A$1,ACX1,0))&gt;29999,VALUE(OFFSET(納品書まとめ!$A$1,ACX1,0))&lt;39999),
IF(AND(VALUE(OFFSET(納品書まとめ!$A$1,ACX1+1,0))&gt;29999,VALUE(OFFSET(納品書まとめ!$A$1,ACX1+1,0))&lt;39999),
IF(AND(VALUE(OFFSET(納品書まとめ!$A$1,ACX1+2,0))&gt;29999,VALUE(OFFSET(納品書まとめ!$A$1,ACX1+2,0))&lt;39999),
IF(AND(VALUE(OFFSET(納品書まとめ!$A$1,ACX1+3,0))&gt;29999,VALUE(OFFSET(納品書まとめ!$A$1,ACX1+3,0))&lt;39999),
IF(AND(VALUE(OFFSET(納品書まとめ!$A$1,ACX1+4,0))&gt;29999,VALUE(OFFSET(納品書まとめ!$A$1,ACX1+4,0))&lt;39999),
IF(AND(VALUE(OFFSET(納品書まとめ!$A$1,ACX1+5,0))&gt;29999,VALUE(OFFSET(納品書まとめ!$A$1,ACX1+5,0))&lt;39999),ACX1+7,ACX1+6),ACX1+5),ACX1+4),ACX1+3),ACX1+2),ACX1+1),ACX1),"")</f>
        <v/>
      </c>
      <c r="ACY2" s="55" t="str">
        <f ca="1">IFERROR(
ACX2+IF(OFFSET(納品書まとめ!$A$1,ACX2-1,2)&lt;&gt;"",0,1)+ACX4-1,"")</f>
        <v/>
      </c>
      <c r="ADB2" s="41"/>
      <c r="ADC2" s="54"/>
      <c r="ADF2" s="85" t="str">
        <f>ACU2</f>
        <v xml:space="preserve">2025 年 11 月 19 日 </v>
      </c>
      <c r="ADG2" s="86"/>
      <c r="ADH2" s="86"/>
      <c r="ADI2" s="55" t="str">
        <f ca="1">IFERROR(
IF(AND(VALUE(OFFSET(納品書まとめ!$A$1,ADI1-1,0))&gt;29999,VALUE(OFFSET(納品書まとめ!$A$1,ADI1-1,0))&lt;39999),
IF(AND(VALUE(OFFSET(納品書まとめ!$A$1,ADI1,0))&gt;29999,VALUE(OFFSET(納品書まとめ!$A$1,ADI1,0))&lt;39999),
IF(AND(VALUE(OFFSET(納品書まとめ!$A$1,ADI1+1,0))&gt;29999,VALUE(OFFSET(納品書まとめ!$A$1,ADI1+1,0))&lt;39999),
IF(AND(VALUE(OFFSET(納品書まとめ!$A$1,ADI1+2,0))&gt;29999,VALUE(OFFSET(納品書まとめ!$A$1,ADI1+2,0))&lt;39999),
IF(AND(VALUE(OFFSET(納品書まとめ!$A$1,ADI1+3,0))&gt;29999,VALUE(OFFSET(納品書まとめ!$A$1,ADI1+3,0))&lt;39999),
IF(AND(VALUE(OFFSET(納品書まとめ!$A$1,ADI1+4,0))&gt;29999,VALUE(OFFSET(納品書まとめ!$A$1,ADI1+4,0))&lt;39999),
IF(AND(VALUE(OFFSET(納品書まとめ!$A$1,ADI1+5,0))&gt;29999,VALUE(OFFSET(納品書まとめ!$A$1,ADI1+5,0))&lt;39999),ADI1+7,ADI1+6),ADI1+5),ADI1+4),ADI1+3),ADI1+2),ADI1+1),ADI1),"")</f>
        <v/>
      </c>
      <c r="ADJ2" s="55" t="str">
        <f ca="1">IFERROR(
ADI2+IF(OFFSET(納品書まとめ!$A$1,ADI2-1,2)&lt;&gt;"",0,1)+ADI4-1,"")</f>
        <v/>
      </c>
    </row>
    <row r="3" spans="1:790" x14ac:dyDescent="0.45">
      <c r="A3" s="46" t="str">
        <f ca="1">OFFSET(納品書まとめ!$A$1,H2-1,1)&amp;" 様"</f>
        <v>雙葉小学校　先生 様</v>
      </c>
      <c r="B3" s="46"/>
      <c r="C3" s="46"/>
      <c r="D3" s="46"/>
      <c r="E3" s="46"/>
      <c r="F3" s="39" t="s">
        <v>4008</v>
      </c>
      <c r="G3" s="39"/>
      <c r="H3" s="56"/>
      <c r="I3" s="55"/>
      <c r="J3" s="39"/>
      <c r="K3" s="39"/>
      <c r="L3" s="46" t="str">
        <f ca="1">OFFSET(納品書まとめ!$A$1,S2-1,1)&amp;" 様"</f>
        <v>シンキングキッズ 様</v>
      </c>
      <c r="M3" s="46"/>
      <c r="N3" s="46"/>
      <c r="O3" s="46"/>
      <c r="P3" s="46"/>
      <c r="Q3" s="39" t="str">
        <f ca="1">IF(AND(VALUE(M1)&gt;39999,VALUE(M1)&lt;49999),
"ママミール スマイルぶろっこりー",
"ママミール")</f>
        <v>ママミール</v>
      </c>
      <c r="R3" s="56"/>
      <c r="S3" s="55">
        <f ca="1">IF(COUNTIF(OFFSET(納品書まとめ!$A$1,H2+1-1,2),"*web*"),
IF(COUNTIF(OFFSET(納品書まとめ!$A$1,H2+1,2),"*web*"),
IF(COUNTIF(OFFSET(納品書まとめ!$A$1,H2+2,2),"*web*"),
IF(COUNTIF(OFFSET(納品書まとめ!$A$1,H2+3,2),"*web*"),
IF(COUNTIF(OFFSET(納品書まとめ!$A$1,H2+4,2),"*web*"),
IF(COUNTIF(OFFSET(納品書まとめ!$A$1,H2+5,2),"*web*"),H2+7,H2+6),H2+5),H2+4),H2+3),H2+2),H2+1)</f>
        <v>3</v>
      </c>
      <c r="T3" s="55"/>
      <c r="U3" s="39"/>
      <c r="V3" s="39"/>
      <c r="W3" s="46" t="str">
        <f ca="1">OFFSET(納品書まとめ!$A$1,AE2-1,1)&amp;" 様"</f>
        <v>なないろキッズ 様</v>
      </c>
      <c r="X3" s="46"/>
      <c r="Y3" s="46"/>
      <c r="Z3" s="46"/>
      <c r="AA3" s="46"/>
      <c r="AB3" s="39" t="str">
        <f ca="1">IF(AND(VALUE(X1)&gt;39999,VALUE(X1)&lt;49999),
"ママミール スマイルぶろっこりー",
IF(COUNTIF(W3,"*吉塚ゆりの樹*"),"ママミール スマイルぶろっこりー","ママミール"))</f>
        <v>ママミール</v>
      </c>
      <c r="AC3" s="56"/>
      <c r="AD3" s="55"/>
      <c r="AE3" s="55"/>
      <c r="AF3" s="39"/>
      <c r="AG3" s="39"/>
      <c r="AH3" s="46" t="str">
        <f ca="1">OFFSET(納品書まとめ!$A$1,AP2-1,1)&amp;" 様"</f>
        <v>博多南幼稚園　週3ｺｰｽ 様</v>
      </c>
      <c r="AI3" s="46"/>
      <c r="AJ3" s="46"/>
      <c r="AK3" s="46"/>
      <c r="AL3" s="46"/>
      <c r="AM3" s="39" t="str">
        <f ca="1">IF(AND(VALUE(AI1)&gt;39999,VALUE(AI1)&lt;49999),
"ママミール スマイルぶろっこりー",
IF(COUNTIF(AH3,"*吉塚ゆりの樹*"),"ママミール スマイルぶろっこりー","ママミール"))</f>
        <v>ママミール</v>
      </c>
      <c r="AN3" s="56"/>
      <c r="AO3" s="55"/>
      <c r="AP3" s="55"/>
      <c r="AQ3" s="39"/>
      <c r="AR3" s="39"/>
      <c r="AS3" s="46" t="str">
        <f ca="1">OFFSET(納品書まとめ!$A$1,BA2-1,1)&amp;" 様"</f>
        <v>博多南幼稚園　週5ｺｰｽ 様</v>
      </c>
      <c r="AT3" s="46"/>
      <c r="AU3" s="46"/>
      <c r="AV3" s="46"/>
      <c r="AW3" s="46"/>
      <c r="AX3" s="39" t="str">
        <f ca="1">IF(AND(VALUE(AT1)&gt;39999,VALUE(AT1)&lt;49999),
"ママミール スマイルぶろっこりー",
IF(COUNTIF(AS3,"*吉塚ゆりの樹*"),"ママミール スマイルぶろっこりー","ママミール"))</f>
        <v>ママミール</v>
      </c>
      <c r="AY3" s="56"/>
      <c r="AZ3" s="55"/>
      <c r="BA3" s="55"/>
      <c r="BB3" s="39"/>
      <c r="BC3" s="39"/>
      <c r="BD3" s="46" t="str">
        <f ca="1">OFFSET(納品書まとめ!$A$1,BL2-1,1)&amp;" 様"</f>
        <v>博多中央幼稚園　週3ｺｰｽ 様</v>
      </c>
      <c r="BE3" s="46"/>
      <c r="BF3" s="46"/>
      <c r="BG3" s="46"/>
      <c r="BH3" s="46"/>
      <c r="BI3" s="39" t="str">
        <f ca="1">IF(AND(VALUE(BE1)&gt;39999,VALUE(BE1)&lt;49999),
"ママミール スマイルぶろっこりー",
IF(COUNTIF(BD3,"*吉塚ゆりの樹*"),"ママミール スマイルぶろっこりー","ママミール"))</f>
        <v>ママミール</v>
      </c>
      <c r="BJ3" s="56"/>
      <c r="BK3" s="55"/>
      <c r="BL3" s="55"/>
      <c r="BM3" s="39"/>
      <c r="BN3" s="39"/>
      <c r="BO3" s="46" t="str">
        <f ca="1">OFFSET(納品書まとめ!$A$1,BW2-1,1)&amp;" 様"</f>
        <v>博多中央幼稚園　週5ｺｰｽ 様</v>
      </c>
      <c r="BP3" s="46"/>
      <c r="BQ3" s="46"/>
      <c r="BR3" s="46"/>
      <c r="BS3" s="46"/>
      <c r="BT3" s="39" t="str">
        <f ca="1">IF(AND(VALUE(BP1)&gt;39999,VALUE(BP1)&lt;49999),
"ママミール スマイルぶろっこりー",
IF(COUNTIF(BO3,"*吉塚ゆりの樹*"),"ママミール スマイルぶろっこりー","ママミール"))</f>
        <v>ママミール</v>
      </c>
      <c r="BU3" s="56"/>
      <c r="BV3" s="55"/>
      <c r="BW3" s="55"/>
      <c r="BX3" s="39"/>
      <c r="BY3" s="39"/>
      <c r="BZ3" s="46" t="str">
        <f ca="1">OFFSET(納品書まとめ!$A$1,CH2-1,1)&amp;" 様"</f>
        <v>博多幼稚園　週3ｺｰｽ 様</v>
      </c>
      <c r="CA3" s="46"/>
      <c r="CB3" s="46"/>
      <c r="CC3" s="46"/>
      <c r="CD3" s="46"/>
      <c r="CE3" s="39" t="str">
        <f ca="1">IF(AND(VALUE(CA1)&gt;39999,VALUE(CA1)&lt;49999),
"ママミール スマイルぶろっこりー",
IF(COUNTIF(BZ3,"*吉塚ゆりの樹*"),"ママミール スマイルぶろっこりー","ママミール"))</f>
        <v>ママミール</v>
      </c>
      <c r="CF3" s="56"/>
      <c r="CG3" s="55"/>
      <c r="CH3" s="55"/>
      <c r="CI3" s="39"/>
      <c r="CJ3" s="39"/>
      <c r="CK3" s="46" t="str">
        <f ca="1">OFFSET(納品書まとめ!$A$1,CS2-1,1)&amp;" 様"</f>
        <v>博多幼稚園　週5ｺｰｽ 様</v>
      </c>
      <c r="CL3" s="46"/>
      <c r="CM3" s="46"/>
      <c r="CN3" s="46"/>
      <c r="CO3" s="46"/>
      <c r="CP3" s="39" t="str">
        <f ca="1">IF(AND(VALUE(CL1)&gt;39999,VALUE(CL1)&lt;49999),
"ママミール スマイルぶろっこりー",
IF(COUNTIF(CK3,"*吉塚ゆりの樹*"),"ママミール スマイルぶろっこりー","ママミール"))</f>
        <v>ママミール</v>
      </c>
      <c r="CQ3" s="56"/>
      <c r="CR3" s="55"/>
      <c r="CS3" s="55"/>
      <c r="CT3" s="39"/>
      <c r="CU3" s="39"/>
      <c r="CV3" s="46" t="str">
        <f ca="1">OFFSET(納品書まとめ!$A$1,DD2-1,1)&amp;" 様"</f>
        <v>学校法人奈良屋学園　奈良屋幼稚園 様</v>
      </c>
      <c r="CW3" s="46"/>
      <c r="CX3" s="46"/>
      <c r="CY3" s="46"/>
      <c r="CZ3" s="46"/>
      <c r="DA3" s="39" t="str">
        <f ca="1">IF(AND(VALUE(CW1)&gt;39999,VALUE(CW1)&lt;49999),
"ママミール スマイルぶろっこりー",
IF(COUNTIF(CV3,"*吉塚ゆりの樹*"),"ママミール スマイルぶろっこりー","ママミール"))</f>
        <v>ママミール</v>
      </c>
      <c r="DB3" s="56"/>
      <c r="DC3" s="55"/>
      <c r="DD3" s="55"/>
      <c r="DE3" s="39"/>
      <c r="DF3" s="39"/>
      <c r="DG3" s="46" t="str">
        <f ca="1">OFFSET(納品書まとめ!$A$1,DO2-1,1)&amp;" 様"</f>
        <v>奈良屋幼稚園　奥田先生 様</v>
      </c>
      <c r="DH3" s="46"/>
      <c r="DI3" s="46"/>
      <c r="DJ3" s="46"/>
      <c r="DK3" s="46"/>
      <c r="DL3" s="39" t="str">
        <f ca="1">IF(AND(VALUE(DH1)&gt;39999,VALUE(DH1)&lt;49999),
"ママミール スマイルぶろっこりー",
IF(COUNTIF(DG3,"*吉塚ゆりの樹*"),"ママミール スマイルぶろっこりー","ママミール"))</f>
        <v>ママミール</v>
      </c>
      <c r="DM3" s="56"/>
      <c r="DN3" s="55"/>
      <c r="DO3" s="55"/>
      <c r="DP3" s="39"/>
      <c r="DQ3" s="39"/>
      <c r="DR3" s="46" t="str">
        <f ca="1">OFFSET(納品書まとめ!$A$1,DZ2-1,1)&amp;" 様"</f>
        <v>奈良屋幼稚園　先生 様</v>
      </c>
      <c r="DS3" s="46"/>
      <c r="DT3" s="46"/>
      <c r="DU3" s="46"/>
      <c r="DV3" s="46"/>
      <c r="DW3" s="39" t="str">
        <f ca="1">IF(AND(VALUE(DS1)&gt;39999,VALUE(DS1)&lt;49999),
"ママミール スマイルぶろっこりー",
IF(COUNTIF(DR3,"*吉塚ゆりの樹*"),"ママミール スマイルぶろっこりー","ママミール"))</f>
        <v>ママミール</v>
      </c>
      <c r="DX3" s="56"/>
      <c r="DY3" s="55"/>
      <c r="DZ3" s="55"/>
      <c r="EA3" s="39"/>
      <c r="EB3" s="39"/>
      <c r="EC3" s="46" t="str">
        <f ca="1">OFFSET(納品書まとめ!$A$1,EK2-1,1)&amp;" 様"</f>
        <v>スマイルキッズ 様</v>
      </c>
      <c r="ED3" s="46"/>
      <c r="EE3" s="46"/>
      <c r="EF3" s="46"/>
      <c r="EG3" s="46"/>
      <c r="EH3" s="39" t="str">
        <f ca="1">IF(AND(VALUE(ED1)&gt;39999,VALUE(ED1)&lt;49999),
"ママミール スマイルぶろっこりー",
IF(COUNTIF(EC3,"*吉塚ゆりの樹*"),"ママミール スマイルぶろっこりー","ママミール"))</f>
        <v>ママミール</v>
      </c>
      <c r="EI3" s="56"/>
      <c r="EJ3" s="55"/>
      <c r="EK3" s="55"/>
      <c r="EL3" s="39"/>
      <c r="EM3" s="39"/>
      <c r="EN3" s="46" t="str">
        <f ca="1">OFFSET(納品書まとめ!$A$1,EV2-1,1)&amp;" 様"</f>
        <v>博多第一幼稚園　週3ｺｰｽ 様</v>
      </c>
      <c r="EO3" s="46"/>
      <c r="EP3" s="46"/>
      <c r="EQ3" s="46"/>
      <c r="ER3" s="46"/>
      <c r="ES3" s="39" t="str">
        <f ca="1">IF(AND(VALUE(EO1)&gt;39999,VALUE(EO1)&lt;49999),
"ママミール スマイルぶろっこりー",
IF(COUNTIF(EN3,"*吉塚ゆりの樹*"),"ママミール スマイルぶろっこりー","ママミール"))</f>
        <v>ママミール</v>
      </c>
      <c r="ET3" s="56"/>
      <c r="EU3" s="55"/>
      <c r="EV3" s="55"/>
      <c r="EW3" s="39"/>
      <c r="EX3" s="39"/>
      <c r="EY3" s="46" t="str">
        <f ca="1">OFFSET(納品書まとめ!$A$1,FG2-1,1)&amp;" 様"</f>
        <v>博多第一幼稚園　週5ｺｰｽ 様</v>
      </c>
      <c r="EZ3" s="46"/>
      <c r="FA3" s="46"/>
      <c r="FB3" s="46"/>
      <c r="FC3" s="46"/>
      <c r="FD3" s="39" t="str">
        <f ca="1">IF(AND(VALUE(EZ1)&gt;39999,VALUE(EZ1)&lt;49999),
"ママミール スマイルぶろっこりー",
IF(COUNTIF(EY3,"*吉塚ゆりの樹*"),"ママミール スマイルぶろっこりー","ママミール"))</f>
        <v>ママミール</v>
      </c>
      <c r="FE3" s="56"/>
      <c r="FF3" s="55"/>
      <c r="FG3" s="55"/>
      <c r="FH3" s="39"/>
      <c r="FI3" s="39"/>
      <c r="FJ3" s="46" t="str">
        <f ca="1">OFFSET(納品書まとめ!$A$1,FR2-1,1)&amp;" 様"</f>
        <v>博多第二幼稚園　週3ｺｰｽ 様</v>
      </c>
      <c r="FK3" s="46"/>
      <c r="FL3" s="46"/>
      <c r="FM3" s="46"/>
      <c r="FN3" s="46"/>
      <c r="FO3" s="39" t="str">
        <f ca="1">IF(AND(VALUE(FK1)&gt;39999,VALUE(FK1)&lt;49999),
"ママミール スマイルぶろっこりー",
IF(COUNTIF(FJ3,"*吉塚ゆりの樹*"),"ママミール スマイルぶろっこりー","ママミール"))</f>
        <v>ママミール</v>
      </c>
      <c r="FP3" s="56"/>
      <c r="FQ3" s="55"/>
      <c r="FR3" s="55"/>
      <c r="FS3" s="39"/>
      <c r="FT3" s="39"/>
      <c r="FU3" s="46" t="str">
        <f ca="1">OFFSET(納品書まとめ!$A$1,GC2-1,1)&amp;" 様"</f>
        <v>博多第二幼稚園　週5ｺｰｽ 様</v>
      </c>
      <c r="FV3" s="46"/>
      <c r="FW3" s="46"/>
      <c r="FX3" s="46"/>
      <c r="FY3" s="46"/>
      <c r="FZ3" s="39" t="str">
        <f ca="1">IF(AND(VALUE(FV1)&gt;39999,VALUE(FV1)&lt;49999),
"ママミール スマイルぶろっこりー",
IF(COUNTIF(FU3,"*吉塚ゆりの樹*"),"ママミール スマイルぶろっこりー","ママミール"))</f>
        <v>ママミール</v>
      </c>
      <c r="GA3" s="56"/>
      <c r="GB3" s="55"/>
      <c r="GC3" s="55"/>
      <c r="GD3" s="39"/>
      <c r="GE3" s="39"/>
      <c r="GF3" s="46" t="str">
        <f ca="1">OFFSET(納品書まとめ!$A$1,GN2-1,1)&amp;" 様"</f>
        <v>志免幼稚園 様</v>
      </c>
      <c r="GG3" s="46"/>
      <c r="GH3" s="46"/>
      <c r="GI3" s="46"/>
      <c r="GJ3" s="46"/>
      <c r="GK3" s="39" t="str">
        <f ca="1">IF(AND(VALUE(GG1)&gt;39999,VALUE(GG1)&lt;49999),
"ママミール スマイルぶろっこりー",
IF(COUNTIF(GF3,"*吉塚ゆりの樹*"),"ママミール スマイルぶろっこりー","ママミール"))</f>
        <v>ママミール</v>
      </c>
      <c r="GL3" s="56"/>
      <c r="GM3" s="55"/>
      <c r="GN3" s="55"/>
      <c r="GO3" s="39"/>
      <c r="GP3" s="39"/>
      <c r="GQ3" s="46" t="str">
        <f ca="1">OFFSET(納品書まとめ!$A$1,GY2-1,1)&amp;" 様"</f>
        <v>志免中央幼稚園　園児 様</v>
      </c>
      <c r="GR3" s="46"/>
      <c r="GS3" s="46"/>
      <c r="GT3" s="46"/>
      <c r="GU3" s="46"/>
      <c r="GV3" s="39" t="str">
        <f ca="1">IF(AND(VALUE(GR1)&gt;39999,VALUE(GR1)&lt;49999),
"ママミール スマイルぶろっこりー",
IF(COUNTIF(GQ3,"*吉塚ゆりの樹*"),"ママミール スマイルぶろっこりー","ママミール"))</f>
        <v>ママミール</v>
      </c>
      <c r="GW3" s="56"/>
      <c r="GX3" s="55"/>
      <c r="GY3" s="55"/>
      <c r="GZ3" s="39"/>
      <c r="HA3" s="39"/>
      <c r="HB3" s="46" t="str">
        <f ca="1">OFFSET(納品書まとめ!$A$1,HJ2-1,1)&amp;" 様"</f>
        <v>シャインスターキッズ 様</v>
      </c>
      <c r="HC3" s="46"/>
      <c r="HD3" s="46"/>
      <c r="HE3" s="46"/>
      <c r="HF3" s="46"/>
      <c r="HG3" s="39" t="str">
        <f ca="1">IF(AND(VALUE(HC1)&gt;39999,VALUE(HC1)&lt;49999),
"ママミール スマイルぶろっこりー",
IF(COUNTIF(HB3,"*吉塚ゆりの樹*"),"ママミール スマイルぶろっこりー","ママミール"))</f>
        <v>ママミール</v>
      </c>
      <c r="HH3" s="56"/>
      <c r="HI3" s="55"/>
      <c r="HJ3" s="55"/>
      <c r="HK3" s="39"/>
      <c r="HL3" s="39"/>
      <c r="HM3" s="46" t="str">
        <f ca="1">OFFSET(納品書まとめ!$A$1,HU2-1,1)&amp;" 様"</f>
        <v>ことばの森プリスクール 様</v>
      </c>
      <c r="HN3" s="46"/>
      <c r="HO3" s="46"/>
      <c r="HP3" s="46"/>
      <c r="HQ3" s="46"/>
      <c r="HR3" s="39" t="str">
        <f ca="1">IF(AND(VALUE(HN1)&gt;39999,VALUE(HN1)&lt;49999),
"ママミール スマイルぶろっこりー",
IF(COUNTIF(HM3,"*吉塚ゆりの樹*"),"ママミール スマイルぶろっこりー","ママミール"))</f>
        <v>ママミール</v>
      </c>
      <c r="HS3" s="56"/>
      <c r="HT3" s="55"/>
      <c r="HU3" s="55"/>
      <c r="HV3" s="39"/>
      <c r="HW3" s="39"/>
      <c r="HX3" s="46" t="str">
        <f ca="1">OFFSET(納品書まとめ!$A$1,IF2-1,1)&amp;" 様"</f>
        <v>かしはら幼稚園 様</v>
      </c>
      <c r="HY3" s="46"/>
      <c r="HZ3" s="46"/>
      <c r="IA3" s="46"/>
      <c r="IB3" s="46"/>
      <c r="IC3" s="39" t="str">
        <f ca="1">IF(AND(VALUE(HY1)&gt;39999,VALUE(HY1)&lt;49999),
"ママミール スマイルぶろっこりー",
IF(COUNTIF(HX3,"*吉塚ゆりの樹*"),"ママミール スマイルぶろっこりー","ママミール"))</f>
        <v>ママミール</v>
      </c>
      <c r="ID3" s="56"/>
      <c r="IE3" s="55"/>
      <c r="IF3" s="55"/>
      <c r="IG3" s="39"/>
      <c r="IH3" s="39"/>
      <c r="II3" s="46" t="str">
        <f ca="1">OFFSET(納品書まとめ!$A$1,IQ2-1,1)&amp;" 様"</f>
        <v>さらやま保育園 様</v>
      </c>
      <c r="IJ3" s="46"/>
      <c r="IK3" s="46"/>
      <c r="IL3" s="46"/>
      <c r="IM3" s="46"/>
      <c r="IN3" s="39" t="str">
        <f ca="1">IF(AND(VALUE(IJ1)&gt;39999,VALUE(IJ1)&lt;49999),
"ママミール スマイルぶろっこりー",
IF(COUNTIF(II3,"*吉塚ゆりの樹*"),"ママミール スマイルぶろっこりー","ママミール"))</f>
        <v>ママミール</v>
      </c>
      <c r="IO3" s="56"/>
      <c r="IP3" s="55"/>
      <c r="IQ3" s="55"/>
      <c r="IR3" s="39"/>
      <c r="IS3" s="39"/>
      <c r="IT3" s="46" t="str">
        <f ca="1">OFFSET(納品書まとめ!$A$1,JB2-1,1)&amp;" 様"</f>
        <v>九州中央病院　ひよこ保育園 様</v>
      </c>
      <c r="IU3" s="46"/>
      <c r="IV3" s="46"/>
      <c r="IW3" s="46"/>
      <c r="IX3" s="46"/>
      <c r="IY3" s="39" t="str">
        <f ca="1">IF(AND(VALUE(IU1)&gt;39999,VALUE(IU1)&lt;49999),
"ママミール スマイルぶろっこりー",
IF(COUNTIF(IT3,"*吉塚ゆりの樹*"),"ママミール スマイルぶろっこりー","ママミール"))</f>
        <v>ママミール</v>
      </c>
      <c r="IZ3" s="56"/>
      <c r="JA3" s="55"/>
      <c r="JB3" s="55"/>
      <c r="JC3" s="39"/>
      <c r="JD3" s="39"/>
      <c r="JE3" s="46" t="str">
        <f ca="1">OFFSET(納品書まとめ!$A$1,JM2-1,1)&amp;" 様"</f>
        <v>リリィ保育園 様</v>
      </c>
      <c r="JF3" s="46"/>
      <c r="JG3" s="46"/>
      <c r="JH3" s="46"/>
      <c r="JI3" s="46"/>
      <c r="JJ3" s="39" t="str">
        <f ca="1">IF(AND(VALUE(JF1)&gt;39999,VALUE(JF1)&lt;49999),
"ママミール スマイルぶろっこりー",
IF(COUNTIF(JE3,"*吉塚ゆりの樹*"),"ママミール スマイルぶろっこりー","ママミール"))</f>
        <v>ママミール</v>
      </c>
      <c r="JK3" s="56"/>
      <c r="JL3" s="55"/>
      <c r="JM3" s="55"/>
      <c r="JN3" s="39"/>
      <c r="JO3" s="39"/>
      <c r="JP3" s="46" t="str">
        <f ca="1">OFFSET(納品書まとめ!$A$1,JX2-1,1)&amp;" 様"</f>
        <v>バディスポーツ幼育園博多南校　2号認定 様</v>
      </c>
      <c r="JQ3" s="46"/>
      <c r="JR3" s="46"/>
      <c r="JS3" s="46"/>
      <c r="JT3" s="46"/>
      <c r="JU3" s="39" t="str">
        <f ca="1">IF(AND(VALUE(JQ1)&gt;39999,VALUE(JQ1)&lt;49999),
"ママミール スマイルぶろっこりー",
IF(COUNTIF(JP3,"*吉塚ゆりの樹*"),"ママミール スマイルぶろっこりー","ママミール"))</f>
        <v>ママミール</v>
      </c>
      <c r="JV3" s="56"/>
      <c r="JW3" s="55"/>
      <c r="JX3" s="55"/>
      <c r="JY3" s="39"/>
      <c r="JZ3" s="39"/>
      <c r="KA3" s="46" t="str">
        <f ca="1">OFFSET(納品書まとめ!$A$1,KI2-1,1)&amp;" 様"</f>
        <v>つるた保育園 様</v>
      </c>
      <c r="KB3" s="46"/>
      <c r="KC3" s="46"/>
      <c r="KD3" s="46"/>
      <c r="KE3" s="46"/>
      <c r="KF3" s="39" t="str">
        <f ca="1">IF(AND(VALUE(KB1)&gt;39999,VALUE(KB1)&lt;49999),
"ママミール スマイルぶろっこりー",
IF(COUNTIF(KA3,"*吉塚ゆりの樹*"),"ママミール スマイルぶろっこりー","ママミール"))</f>
        <v>ママミール</v>
      </c>
      <c r="KG3" s="56"/>
      <c r="KH3" s="55"/>
      <c r="KI3" s="55"/>
      <c r="KJ3" s="39"/>
      <c r="KK3" s="39"/>
      <c r="KL3" s="46" t="str">
        <f ca="1">OFFSET(納品書まとめ!$A$1,KT2-1,1)&amp;" 様"</f>
        <v>学校法人清光学園　宝幼稚園 様</v>
      </c>
      <c r="KM3" s="46"/>
      <c r="KN3" s="46"/>
      <c r="KO3" s="46"/>
      <c r="KP3" s="46"/>
      <c r="KQ3" s="39" t="str">
        <f ca="1">IF(AND(VALUE(KM1)&gt;39999,VALUE(KM1)&lt;49999),
"ママミール スマイルぶろっこりー",
IF(COUNTIF(KL3,"*吉塚ゆりの樹*"),"ママミール スマイルぶろっこりー","ママミール"))</f>
        <v>ママミール</v>
      </c>
      <c r="KR3" s="56"/>
      <c r="KS3" s="55"/>
      <c r="KT3" s="55"/>
      <c r="KU3" s="39"/>
      <c r="KV3" s="39"/>
      <c r="KW3" s="46" t="str">
        <f ca="1">OFFSET(納品書まとめ!$A$1,LE2-1,1)&amp;" 様"</f>
        <v>須玖幼稚園 様</v>
      </c>
      <c r="KX3" s="46"/>
      <c r="KY3" s="46"/>
      <c r="KZ3" s="46"/>
      <c r="LA3" s="46"/>
      <c r="LB3" s="39" t="str">
        <f ca="1">IF(AND(VALUE(KX1)&gt;39999,VALUE(KX1)&lt;49999),
"ママミール スマイルぶろっこりー",
IF(COUNTIF(KW3,"*吉塚ゆりの樹*"),"ママミール スマイルぶろっこりー","ママミール"))</f>
        <v>ママミール</v>
      </c>
      <c r="LC3" s="56"/>
      <c r="LD3" s="55"/>
      <c r="LE3" s="55"/>
      <c r="LF3" s="39"/>
      <c r="LG3" s="39"/>
      <c r="LH3" s="46" t="str">
        <f ca="1">OFFSET(納品書まとめ!$A$1,LP2-1,1)&amp;" 様"</f>
        <v>南ヶ丘幼稚園 様</v>
      </c>
      <c r="LI3" s="46"/>
      <c r="LJ3" s="46"/>
      <c r="LK3" s="46"/>
      <c r="LL3" s="46"/>
      <c r="LM3" s="39" t="str">
        <f ca="1">IF(AND(VALUE(LI1)&gt;39999,VALUE(LI1)&lt;49999),
"ママミール スマイルぶろっこりー",
IF(COUNTIF(LH3,"*吉塚ゆりの樹*"),"ママミール スマイルぶろっこりー","ママミール"))</f>
        <v>ママミール</v>
      </c>
      <c r="LN3" s="56"/>
      <c r="LO3" s="55"/>
      <c r="LP3" s="55"/>
      <c r="LQ3" s="39"/>
      <c r="LR3" s="39"/>
      <c r="LS3" s="46" t="str">
        <f ca="1">OFFSET(納品書まとめ!$A$1,MA2-1,1)&amp;" 様"</f>
        <v>南ヶ丘第二幼稚園 様</v>
      </c>
      <c r="LT3" s="46"/>
      <c r="LU3" s="46"/>
      <c r="LV3" s="46"/>
      <c r="LW3" s="46"/>
      <c r="LX3" s="39" t="str">
        <f ca="1">IF(AND(VALUE(LT1)&gt;39999,VALUE(LT1)&lt;49999),
"ママミール スマイルぶろっこりー",
IF(COUNTIF(LS3,"*吉塚ゆりの樹*"),"ママミール スマイルぶろっこりー","ママミール"))</f>
        <v>ママミール</v>
      </c>
      <c r="LY3" s="56"/>
      <c r="LZ3" s="55"/>
      <c r="MA3" s="55"/>
      <c r="MB3" s="39"/>
      <c r="MC3" s="39"/>
      <c r="MD3" s="46" t="str">
        <f ca="1">OFFSET(納品書まとめ!$A$1,ML2-1,1)&amp;" 様"</f>
        <v>月の浦幼稚園 様</v>
      </c>
      <c r="ME3" s="46"/>
      <c r="MF3" s="46"/>
      <c r="MG3" s="46"/>
      <c r="MH3" s="46"/>
      <c r="MI3" s="39" t="str">
        <f ca="1">IF(AND(VALUE(ME1)&gt;39999,VALUE(ME1)&lt;49999),
"ママミール スマイルぶろっこりー",
IF(COUNTIF(MD3,"*吉塚ゆりの樹*"),"ママミール スマイルぶろっこりー","ママミール"))</f>
        <v>ママミール</v>
      </c>
      <c r="MJ3" s="56"/>
      <c r="MK3" s="55"/>
      <c r="ML3" s="55"/>
      <c r="MM3" s="39"/>
      <c r="MN3" s="39"/>
      <c r="MO3" s="46" t="str">
        <f ca="1">OFFSET(納品書まとめ!$A$1,MW2-1,1)&amp;" 様"</f>
        <v>大野南幼稚園 様</v>
      </c>
      <c r="MP3" s="46"/>
      <c r="MQ3" s="46"/>
      <c r="MR3" s="46"/>
      <c r="MS3" s="46"/>
      <c r="MT3" s="39" t="str">
        <f ca="1">IF(AND(VALUE(MP1)&gt;39999,VALUE(MP1)&lt;49999),
"ママミール スマイルぶろっこりー",
IF(COUNTIF(MO3,"*吉塚ゆりの樹*"),"ママミール スマイルぶろっこりー","ママミール"))</f>
        <v>ママミール</v>
      </c>
      <c r="MU3" s="56"/>
      <c r="MV3" s="55"/>
      <c r="MW3" s="55"/>
      <c r="MX3" s="39"/>
      <c r="MY3" s="39"/>
      <c r="MZ3" s="46" t="str">
        <f ca="1">OFFSET(納品書まとめ!$A$1,NH2-1,1)&amp;" 様"</f>
        <v>児童発達支援　いろは　そうり 様</v>
      </c>
      <c r="NA3" s="46"/>
      <c r="NB3" s="46"/>
      <c r="NC3" s="46"/>
      <c r="ND3" s="46"/>
      <c r="NE3" s="39" t="str">
        <f ca="1">IF(AND(VALUE(NA1)&gt;39999,VALUE(NA1)&lt;49999),
"ママミール スマイルぶろっこりー",
IF(COUNTIF(MZ3,"*吉塚ゆりの樹*"),"ママミール スマイルぶろっこりー","ママミール"))</f>
        <v>ママミール</v>
      </c>
      <c r="NF3" s="56"/>
      <c r="NG3" s="55"/>
      <c r="NH3" s="55"/>
      <c r="NI3" s="39"/>
      <c r="NJ3" s="39"/>
      <c r="NK3" s="46" t="str">
        <f ca="1">OFFSET(納品書まとめ!$A$1,NS2-1,1)&amp;" 様"</f>
        <v>児童発達支援　いろは 様</v>
      </c>
      <c r="NL3" s="46"/>
      <c r="NM3" s="46"/>
      <c r="NN3" s="46"/>
      <c r="NO3" s="46"/>
      <c r="NP3" s="39" t="str">
        <f ca="1">IF(AND(VALUE(NL1)&gt;39999,VALUE(NL1)&lt;49999),
"ママミール スマイルぶろっこりー",
IF(COUNTIF(NK3,"*吉塚ゆりの樹*"),"ママミール スマイルぶろっこりー","ママミール"))</f>
        <v>ママミール</v>
      </c>
      <c r="NQ3" s="56"/>
      <c r="NR3" s="55"/>
      <c r="NS3" s="55"/>
      <c r="NT3" s="39"/>
      <c r="NU3" s="39"/>
      <c r="NV3" s="46" t="str">
        <f ca="1">OFFSET(納品書まとめ!$A$1,OD2-1,1)&amp;" 様"</f>
        <v>イーズィーピーズィーイングリッシュ保育園 様</v>
      </c>
      <c r="NW3" s="46"/>
      <c r="NX3" s="46"/>
      <c r="NY3" s="46"/>
      <c r="NZ3" s="46"/>
      <c r="OA3" s="39" t="str">
        <f ca="1">IF(AND(VALUE(NW1)&gt;39999,VALUE(NW1)&lt;49999),
"ママミール スマイルぶろっこりー",
IF(COUNTIF(NV3,"*吉塚ゆりの樹*"),"ママミール スマイルぶろっこりー","ママミール"))</f>
        <v>ママミール</v>
      </c>
      <c r="OB3" s="56"/>
      <c r="OC3" s="55"/>
      <c r="OD3" s="55"/>
      <c r="OE3" s="39"/>
      <c r="OF3" s="39"/>
      <c r="OG3" s="46" t="str">
        <f ca="1">OFFSET(納品書まとめ!$A$1,OO2-1,1)&amp;" 様"</f>
        <v>香蘭幼稚園 様</v>
      </c>
      <c r="OH3" s="46"/>
      <c r="OI3" s="46"/>
      <c r="OJ3" s="46"/>
      <c r="OK3" s="46"/>
      <c r="OL3" s="39" t="str">
        <f ca="1">IF(AND(VALUE(OH1)&gt;39999,VALUE(OH1)&lt;49999),
"ママミール スマイルぶろっこりー",
IF(COUNTIF(OG3,"*吉塚ゆりの樹*"),"ママミール スマイルぶろっこりー","ママミール"))</f>
        <v>ママミール</v>
      </c>
      <c r="OM3" s="56"/>
      <c r="ON3" s="55"/>
      <c r="OO3" s="55"/>
      <c r="OP3" s="39"/>
      <c r="OQ3" s="39"/>
      <c r="OR3" s="46" t="str">
        <f ca="1">OFFSET(納品書まとめ!$A$1,OZ2-1,1)&amp;" 様"</f>
        <v>サンシャインイングリッシュスクール 様</v>
      </c>
      <c r="OS3" s="46"/>
      <c r="OT3" s="46"/>
      <c r="OU3" s="46"/>
      <c r="OV3" s="46"/>
      <c r="OW3" s="39" t="str">
        <f ca="1">IF(AND(VALUE(OS1)&gt;39999,VALUE(OS1)&lt;49999),
"ママミール スマイルぶろっこりー",
IF(COUNTIF(OR3,"*吉塚ゆりの樹*"),"ママミール スマイルぶろっこりー","ママミール"))</f>
        <v>ママミール</v>
      </c>
      <c r="OX3" s="56"/>
      <c r="OY3" s="55"/>
      <c r="OZ3" s="55"/>
      <c r="PA3" s="39"/>
      <c r="PB3" s="39"/>
      <c r="PC3" s="46" t="str">
        <f ca="1">OFFSET(納品書まとめ!$A$1,PK2-1,1)&amp;" 様"</f>
        <v>アメリカンチャターボックス 様</v>
      </c>
      <c r="PD3" s="46"/>
      <c r="PE3" s="46"/>
      <c r="PF3" s="46"/>
      <c r="PG3" s="46"/>
      <c r="PH3" s="39" t="str">
        <f ca="1">IF(AND(VALUE(PD1)&gt;39999,VALUE(PD1)&lt;49999),
"ママミール スマイルぶろっこりー",
IF(COUNTIF(PC3,"*吉塚ゆりの樹*"),"ママミール スマイルぶろっこりー","ママミール"))</f>
        <v>ママミール</v>
      </c>
      <c r="PI3" s="56"/>
      <c r="PJ3" s="55"/>
      <c r="PK3" s="55"/>
      <c r="PL3" s="39"/>
      <c r="PM3" s="39"/>
      <c r="PN3" s="46" t="str">
        <f ca="1">OFFSET(納品書まとめ!$A$1,PV2-1,1)&amp;" 様"</f>
        <v>コーナーズインターナショナルスクール 様</v>
      </c>
      <c r="PO3" s="46"/>
      <c r="PP3" s="46"/>
      <c r="PQ3" s="46"/>
      <c r="PR3" s="46"/>
      <c r="PS3" s="39" t="str">
        <f ca="1">IF(AND(VALUE(PO1)&gt;39999,VALUE(PO1)&lt;49999),
"ママミール スマイルぶろっこりー",
IF(COUNTIF(PN3,"*吉塚ゆりの樹*"),"ママミール スマイルぶろっこりー","ママミール"))</f>
        <v>ママミール</v>
      </c>
      <c r="PT3" s="56"/>
      <c r="PU3" s="55"/>
      <c r="PV3" s="55"/>
      <c r="PW3" s="39"/>
      <c r="PX3" s="39"/>
      <c r="PY3" s="46" t="str">
        <f ca="1">OFFSET(納品書まとめ!$A$1,QG2-1,1)&amp;" 様"</f>
        <v>バディスポーツ幼育園筑紫野校　2号認定 様</v>
      </c>
      <c r="PZ3" s="46"/>
      <c r="QA3" s="46"/>
      <c r="QB3" s="46"/>
      <c r="QC3" s="46"/>
      <c r="QD3" s="39" t="str">
        <f ca="1">IF(AND(VALUE(PZ1)&gt;39999,VALUE(PZ1)&lt;49999),
"ママミール スマイルぶろっこりー",
IF(COUNTIF(PY3,"*吉塚ゆりの樹*"),"ママミール スマイルぶろっこりー","ママミール"))</f>
        <v>ママミール</v>
      </c>
      <c r="QE3" s="56"/>
      <c r="QF3" s="55"/>
      <c r="QG3" s="55"/>
      <c r="QH3" s="39"/>
      <c r="QI3" s="39"/>
      <c r="QJ3" s="46" t="str">
        <f ca="1">OFFSET(納品書まとめ!$A$1,QR2-1,1)&amp;" 様"</f>
        <v>アンクラス 様</v>
      </c>
      <c r="QK3" s="46"/>
      <c r="QL3" s="46"/>
      <c r="QM3" s="46"/>
      <c r="QN3" s="46"/>
      <c r="QO3" s="39" t="str">
        <f ca="1">IF(AND(VALUE(QK1)&gt;39999,VALUE(QK1)&lt;49999),
"ママミール スマイルぶろっこりー",
IF(COUNTIF(QJ3,"*吉塚ゆりの樹*"),"ママミール スマイルぶろっこりー","ママミール"))</f>
        <v>ママミール</v>
      </c>
      <c r="QP3" s="56"/>
      <c r="QQ3" s="55"/>
      <c r="QR3" s="55"/>
      <c r="QS3" s="39"/>
      <c r="QT3" s="39"/>
      <c r="QU3" s="46" t="str">
        <f ca="1">OFFSET(納品書まとめ!$A$1,RC2-1,1)&amp;" 様"</f>
        <v>吉塚ゆりの樹幼稚園（別） 様</v>
      </c>
      <c r="QV3" s="46"/>
      <c r="QW3" s="46"/>
      <c r="QX3" s="46"/>
      <c r="QY3" s="46"/>
      <c r="QZ3" s="39" t="str">
        <f ca="1">IF(AND(VALUE(QV1)&gt;39999,VALUE(QV1)&lt;49999),
"ママミール スマイルぶろっこりー",
IF(COUNTIF(QU3,"*吉塚ゆりの樹*"),"ママミール スマイルぶろっこりー","ママミール"))</f>
        <v>ママミール スマイルぶろっこりー</v>
      </c>
      <c r="RA3" s="56"/>
      <c r="RB3" s="55"/>
      <c r="RC3" s="55"/>
      <c r="RD3" s="39"/>
      <c r="RE3" s="39"/>
      <c r="RF3" s="46" t="str">
        <f ca="1">OFFSET(納品書まとめ!$A$1,RN2-1,1)&amp;" 様"</f>
        <v>学校法人　清洋学園　泉ヶ丘幼稚園 様</v>
      </c>
      <c r="RG3" s="46"/>
      <c r="RH3" s="46"/>
      <c r="RI3" s="46"/>
      <c r="RJ3" s="46"/>
      <c r="RK3" s="39" t="str">
        <f ca="1">IF(AND(VALUE(RG1)&gt;39999,VALUE(RG1)&lt;49999),
"ママミール スマイルぶろっこりー",
IF(COUNTIF(RF3,"*吉塚ゆりの樹*"),"ママミール スマイルぶろっこりー","ママミール"))</f>
        <v>ママミール スマイルぶろっこりー</v>
      </c>
      <c r="RL3" s="56"/>
      <c r="RM3" s="55"/>
      <c r="RN3" s="55"/>
      <c r="RO3" s="39"/>
      <c r="RP3" s="39"/>
      <c r="RQ3" s="46" t="str">
        <f ca="1">OFFSET(納品書まとめ!$A$1,RY2-1,1)&amp;" 様"</f>
        <v>春日小鳩幼稚園 様</v>
      </c>
      <c r="RR3" s="46"/>
      <c r="RS3" s="46"/>
      <c r="RT3" s="46"/>
      <c r="RU3" s="46"/>
      <c r="RV3" s="39" t="str">
        <f ca="1">IF(AND(VALUE(RR1)&gt;39999,VALUE(RR1)&lt;49999),
"ママミール スマイルぶろっこりー",
IF(COUNTIF(RQ3,"*吉塚ゆりの樹*"),"ママミール スマイルぶろっこりー","ママミール"))</f>
        <v>ママミール スマイルぶろっこりー</v>
      </c>
      <c r="RW3" s="56"/>
      <c r="RX3" s="55"/>
      <c r="RY3" s="55"/>
      <c r="RZ3" s="39"/>
      <c r="SA3" s="39"/>
      <c r="SB3" s="46" t="str">
        <f ca="1">OFFSET(納品書まとめ!$A$1,SJ2-1,1)&amp;" 様"</f>
        <v>かなやま幼稚園 様</v>
      </c>
      <c r="SC3" s="46"/>
      <c r="SD3" s="46"/>
      <c r="SE3" s="46"/>
      <c r="SF3" s="46"/>
      <c r="SG3" s="39" t="str">
        <f ca="1">IF(AND(VALUE(SC1)&gt;39999,VALUE(SC1)&lt;49999),
"ママミール スマイルぶろっこりー",
IF(COUNTIF(SB3,"*吉塚ゆりの樹*"),"ママミール スマイルぶろっこりー","ママミール"))</f>
        <v>ママミール スマイルぶろっこりー</v>
      </c>
      <c r="SH3" s="56"/>
      <c r="SI3" s="55"/>
      <c r="SJ3" s="55"/>
      <c r="SK3" s="39"/>
      <c r="SL3" s="39"/>
      <c r="SM3" s="46" t="str">
        <f ca="1">OFFSET(納品書まとめ!$A$1,SU2-1,1)&amp;" 様"</f>
        <v>学校法人　石田学園　山王幼稚園 様</v>
      </c>
      <c r="SN3" s="46"/>
      <c r="SO3" s="46"/>
      <c r="SP3" s="46"/>
      <c r="SQ3" s="46"/>
      <c r="SR3" s="39" t="str">
        <f ca="1">IF(AND(VALUE(SN1)&gt;39999,VALUE(SN1)&lt;49999),
"ママミール スマイルぶろっこりー",
IF(COUNTIF(SM3,"*吉塚ゆりの樹*"),"ママミール スマイルぶろっこりー","ママミール"))</f>
        <v>ママミール スマイルぶろっこりー</v>
      </c>
      <c r="SS3" s="56"/>
      <c r="ST3" s="55"/>
      <c r="SU3" s="55"/>
      <c r="SV3" s="39"/>
      <c r="SW3" s="39"/>
      <c r="SX3" s="46" t="str">
        <f ca="1">OFFSET(納品書まとめ!$A$1,TF2-1,1)&amp;" 様"</f>
        <v>福岡インターナショナルアイスクール幼稚園 様</v>
      </c>
      <c r="SY3" s="46"/>
      <c r="SZ3" s="46"/>
      <c r="TA3" s="46"/>
      <c r="TB3" s="46"/>
      <c r="TC3" s="39" t="str">
        <f ca="1">IF(AND(VALUE(SY1)&gt;39999,VALUE(SY1)&lt;49999),
"ママミール スマイルぶろっこりー",
IF(COUNTIF(SX3,"*吉塚ゆりの樹*"),"ママミール スマイルぶろっこりー","ママミール"))</f>
        <v>ママミール スマイルぶろっこりー</v>
      </c>
      <c r="TD3" s="56"/>
      <c r="TE3" s="55"/>
      <c r="TF3" s="55"/>
      <c r="TG3" s="39"/>
      <c r="TH3" s="39"/>
      <c r="TI3" s="46" t="str">
        <f ca="1">OFFSET(納品書まとめ!$A$1,TQ2-1,1)&amp;" 様"</f>
        <v>オハナ保育園　長住 様</v>
      </c>
      <c r="TJ3" s="46"/>
      <c r="TK3" s="46"/>
      <c r="TL3" s="46"/>
      <c r="TM3" s="46"/>
      <c r="TN3" s="39" t="str">
        <f ca="1">IF(AND(VALUE(TJ1)&gt;39999,VALUE(TJ1)&lt;49999),
"ママミール スマイルぶろっこりー",
IF(COUNTIF(TI3,"*吉塚ゆりの樹*"),"ママミール スマイルぶろっこりー","ママミール"))</f>
        <v>ママミール スマイルぶろっこりー</v>
      </c>
      <c r="TO3" s="56"/>
      <c r="TP3" s="55"/>
      <c r="TQ3" s="55"/>
      <c r="TR3" s="39"/>
      <c r="TS3" s="39"/>
      <c r="TT3" s="46" t="str">
        <f ca="1">OFFSET(納品書まとめ!$A$1,UB2-1,1)&amp;" 様"</f>
        <v>オハナ保育園　春日 様</v>
      </c>
      <c r="TU3" s="46"/>
      <c r="TV3" s="46"/>
      <c r="TW3" s="46"/>
      <c r="TX3" s="46"/>
      <c r="TY3" s="39" t="str">
        <f ca="1">IF(AND(VALUE(TU1)&gt;39999,VALUE(TU1)&lt;49999),
"ママミール スマイルぶろっこりー",
IF(COUNTIF(TT3,"*吉塚ゆりの樹*"),"ママミール スマイルぶろっこりー","ママミール"))</f>
        <v>ママミール スマイルぶろっこりー</v>
      </c>
      <c r="TZ3" s="56"/>
      <c r="UA3" s="55"/>
      <c r="UB3" s="55"/>
      <c r="UC3" s="39"/>
      <c r="UD3" s="39"/>
      <c r="UE3" s="46" t="str">
        <f ca="1">OFFSET(納品書まとめ!$A$1,UM2-1,1)&amp;" 様"</f>
        <v>オハナ保育園　一の谷 様</v>
      </c>
      <c r="UF3" s="46"/>
      <c r="UG3" s="46"/>
      <c r="UH3" s="46"/>
      <c r="UI3" s="46"/>
      <c r="UJ3" s="39" t="str">
        <f ca="1">IF(AND(VALUE(UF1)&gt;39999,VALUE(UF1)&lt;49999),
"ママミール スマイルぶろっこりー",
IF(COUNTIF(UE3,"*吉塚ゆりの樹*"),"ママミール スマイルぶろっこりー","ママミール"))</f>
        <v>ママミール スマイルぶろっこりー</v>
      </c>
      <c r="UK3" s="56"/>
      <c r="UL3" s="55"/>
      <c r="UM3" s="55"/>
      <c r="UN3" s="39"/>
      <c r="UO3" s="39"/>
      <c r="UP3" s="46" t="str">
        <f ca="1">OFFSET(納品書まとめ!$A$1,UX2-1,1)&amp;" 様"</f>
        <v>　　　　　　 様</v>
      </c>
      <c r="UQ3" s="46"/>
      <c r="UR3" s="46"/>
      <c r="US3" s="46"/>
      <c r="UT3" s="46"/>
      <c r="UU3" s="39" t="str">
        <f ca="1">IF(AND(VALUE(UQ1)&gt;39999,VALUE(UQ1)&lt;49999),
"ママミール スマイルぶろっこりー",
IF(COUNTIF(UP3,"*吉塚ゆりの樹*"),"ママミール スマイルぶろっこりー","ママミール"))</f>
        <v>ママミール</v>
      </c>
      <c r="UV3" s="56"/>
      <c r="UW3" s="55"/>
      <c r="UX3" s="55"/>
      <c r="UY3" s="39"/>
      <c r="UZ3" s="39"/>
      <c r="VA3" s="46" t="e">
        <f ca="1">OFFSET(納品書まとめ!$A$1,VI2-1,1)&amp;" 様"</f>
        <v>#VALUE!</v>
      </c>
      <c r="VB3" s="46"/>
      <c r="VC3" s="46"/>
      <c r="VD3" s="46"/>
      <c r="VE3" s="46"/>
      <c r="VF3" s="39" t="e">
        <f ca="1">IF(AND(VALUE(VB1)&gt;39999,VALUE(VB1)&lt;49999),
"ママミール スマイルぶろっこりー",
IF(COUNTIF(VA3,"*吉塚ゆりの樹*"),"ママミール スマイルぶろっこりー","ママミール"))</f>
        <v>#VALUE!</v>
      </c>
      <c r="VG3" s="56"/>
      <c r="VH3" s="55"/>
      <c r="VI3" s="55"/>
      <c r="VJ3" s="39"/>
      <c r="VK3" s="39"/>
      <c r="VL3" s="46" t="e">
        <f ca="1">OFFSET(納品書まとめ!$A$1,VT2-1,1)&amp;" 様"</f>
        <v>#VALUE!</v>
      </c>
      <c r="VM3" s="46"/>
      <c r="VN3" s="46"/>
      <c r="VO3" s="46"/>
      <c r="VP3" s="46"/>
      <c r="VQ3" s="39" t="e">
        <f ca="1">IF(AND(VALUE(VM1)&gt;39999,VALUE(VM1)&lt;49999),
"ママミール スマイルぶろっこりー",
IF(COUNTIF(VL3,"*吉塚ゆりの樹*"),"ママミール スマイルぶろっこりー","ママミール"))</f>
        <v>#VALUE!</v>
      </c>
      <c r="VR3" s="56"/>
      <c r="VS3" s="55"/>
      <c r="VT3" s="55"/>
      <c r="VU3" s="39"/>
      <c r="VV3" s="39"/>
      <c r="VW3" s="46" t="e">
        <f ca="1">OFFSET(納品書まとめ!$A$1,WE2-1,1)&amp;" 様"</f>
        <v>#VALUE!</v>
      </c>
      <c r="VX3" s="46"/>
      <c r="VY3" s="46"/>
      <c r="VZ3" s="46"/>
      <c r="WA3" s="46"/>
      <c r="WB3" s="39" t="e">
        <f ca="1">IF(AND(VALUE(VX1)&gt;39999,VALUE(VX1)&lt;49999),
"ママミール スマイルぶろっこりー",
IF(COUNTIF(VW3,"*吉塚ゆりの樹*"),"ママミール スマイルぶろっこりー","ママミール"))</f>
        <v>#VALUE!</v>
      </c>
      <c r="WC3" s="56"/>
      <c r="WD3" s="55"/>
      <c r="WE3" s="55"/>
      <c r="WF3" s="39"/>
      <c r="WG3" s="39"/>
      <c r="WH3" s="46" t="e">
        <f ca="1">OFFSET(納品書まとめ!$A$1,WP2-1,1)&amp;" 様"</f>
        <v>#VALUE!</v>
      </c>
      <c r="WI3" s="46"/>
      <c r="WJ3" s="46"/>
      <c r="WK3" s="46"/>
      <c r="WL3" s="46"/>
      <c r="WM3" s="39" t="e">
        <f ca="1">IF(AND(VALUE(WI1)&gt;39999,VALUE(WI1)&lt;49999),
"ママミール スマイルぶろっこりー",
IF(COUNTIF(WH3,"*吉塚ゆりの樹*"),"ママミール スマイルぶろっこりー","ママミール"))</f>
        <v>#VALUE!</v>
      </c>
      <c r="WN3" s="56"/>
      <c r="WO3" s="55"/>
      <c r="WP3" s="55"/>
      <c r="WQ3" s="39"/>
      <c r="WR3" s="39"/>
      <c r="WS3" s="46" t="e">
        <f ca="1">OFFSET(納品書まとめ!$A$1,XA2-1,1)&amp;" 様"</f>
        <v>#VALUE!</v>
      </c>
      <c r="WT3" s="46"/>
      <c r="WU3" s="46"/>
      <c r="WV3" s="46"/>
      <c r="WW3" s="46"/>
      <c r="WX3" s="39" t="e">
        <f ca="1">IF(AND(VALUE(WT1)&gt;39999,VALUE(WT1)&lt;49999),
"ママミール スマイルぶろっこりー",
IF(COUNTIF(WS3,"*吉塚ゆりの樹*"),"ママミール スマイルぶろっこりー","ママミール"))</f>
        <v>#VALUE!</v>
      </c>
      <c r="WY3" s="56"/>
      <c r="WZ3" s="55"/>
      <c r="XA3" s="55"/>
      <c r="XB3" s="39"/>
      <c r="XC3" s="39"/>
      <c r="XD3" s="46" t="e">
        <f ca="1">OFFSET(納品書まとめ!$A$1,XL2-1,1)&amp;" 様"</f>
        <v>#VALUE!</v>
      </c>
      <c r="XE3" s="46"/>
      <c r="XF3" s="46"/>
      <c r="XG3" s="46"/>
      <c r="XH3" s="46"/>
      <c r="XI3" s="39" t="e">
        <f ca="1">IF(AND(VALUE(XE1)&gt;39999,VALUE(XE1)&lt;49999),
"ママミール スマイルぶろっこりー",
IF(COUNTIF(XD3,"*吉塚ゆりの樹*"),"ママミール スマイルぶろっこりー","ママミール"))</f>
        <v>#VALUE!</v>
      </c>
      <c r="XJ3" s="56"/>
      <c r="XK3" s="55"/>
      <c r="XL3" s="55"/>
      <c r="XM3" s="39"/>
      <c r="XN3" s="39"/>
      <c r="XO3" s="46" t="e">
        <f ca="1">OFFSET(納品書まとめ!$A$1,XW2-1,1)&amp;" 様"</f>
        <v>#VALUE!</v>
      </c>
      <c r="XP3" s="46"/>
      <c r="XQ3" s="46"/>
      <c r="XR3" s="46"/>
      <c r="XS3" s="46"/>
      <c r="XT3" s="39" t="e">
        <f ca="1">IF(AND(VALUE(XP1)&gt;39999,VALUE(XP1)&lt;49999),
"ママミール スマイルぶろっこりー",
IF(COUNTIF(XO3,"*吉塚ゆりの樹*"),"ママミール スマイルぶろっこりー","ママミール"))</f>
        <v>#VALUE!</v>
      </c>
      <c r="XU3" s="56"/>
      <c r="XV3" s="55"/>
      <c r="XW3" s="55"/>
      <c r="XX3" s="39"/>
      <c r="XY3" s="39"/>
      <c r="XZ3" s="46" t="e">
        <f ca="1">OFFSET(納品書まとめ!$A$1,YH2-1,1)&amp;" 様"</f>
        <v>#VALUE!</v>
      </c>
      <c r="YA3" s="46"/>
      <c r="YB3" s="46"/>
      <c r="YC3" s="46"/>
      <c r="YD3" s="46"/>
      <c r="YE3" s="39" t="e">
        <f ca="1">IF(AND(VALUE(YA1)&gt;39999,VALUE(YA1)&lt;49999),
"ママミール スマイルぶろっこりー",
IF(COUNTIF(XZ3,"*吉塚ゆりの樹*"),"ママミール スマイルぶろっこりー","ママミール"))</f>
        <v>#VALUE!</v>
      </c>
      <c r="YF3" s="56"/>
      <c r="YG3" s="55"/>
      <c r="YH3" s="55"/>
      <c r="YI3" s="39"/>
      <c r="YJ3" s="39"/>
      <c r="YK3" s="46" t="e">
        <f ca="1">OFFSET(納品書まとめ!$A$1,YS2-1,1)&amp;" 様"</f>
        <v>#VALUE!</v>
      </c>
      <c r="YL3" s="46"/>
      <c r="YM3" s="46"/>
      <c r="YN3" s="46"/>
      <c r="YO3" s="46"/>
      <c r="YP3" s="39" t="e">
        <f ca="1">IF(AND(VALUE(YL1)&gt;39999,VALUE(YL1)&lt;49999),
"ママミール スマイルぶろっこりー",
IF(COUNTIF(YK3,"*吉塚ゆりの樹*"),"ママミール スマイルぶろっこりー","ママミール"))</f>
        <v>#VALUE!</v>
      </c>
      <c r="YQ3" s="56"/>
      <c r="YR3" s="55"/>
      <c r="YS3" s="55"/>
      <c r="YT3" s="39"/>
      <c r="YU3" s="39"/>
      <c r="YV3" s="46" t="e">
        <f ca="1">OFFSET(納品書まとめ!$A$1,ZD2-1,1)&amp;" 様"</f>
        <v>#VALUE!</v>
      </c>
      <c r="YW3" s="46"/>
      <c r="YX3" s="46"/>
      <c r="YY3" s="46"/>
      <c r="YZ3" s="46"/>
      <c r="ZA3" s="39" t="e">
        <f ca="1">IF(AND(VALUE(YW1)&gt;39999,VALUE(YW1)&lt;49999),
"ママミール スマイルぶろっこりー",
IF(COUNTIF(YV3,"*吉塚ゆりの樹*"),"ママミール スマイルぶろっこりー","ママミール"))</f>
        <v>#VALUE!</v>
      </c>
      <c r="ZB3" s="56"/>
      <c r="ZC3" s="55"/>
      <c r="ZD3" s="55"/>
      <c r="ZE3" s="39"/>
      <c r="ZF3" s="39"/>
      <c r="ZG3" s="46" t="e">
        <f ca="1">OFFSET(納品書まとめ!$A$1,ZO2-1,1)&amp;" 様"</f>
        <v>#VALUE!</v>
      </c>
      <c r="ZH3" s="46"/>
      <c r="ZI3" s="46"/>
      <c r="ZJ3" s="46"/>
      <c r="ZK3" s="46"/>
      <c r="ZL3" s="39" t="e">
        <f ca="1">IF(AND(VALUE(ZH1)&gt;39999,VALUE(ZH1)&lt;49999),
"ママミール スマイルぶろっこりー",
IF(COUNTIF(ZG3,"*吉塚ゆりの樹*"),"ママミール スマイルぶろっこりー","ママミール"))</f>
        <v>#VALUE!</v>
      </c>
      <c r="ZM3" s="56"/>
      <c r="ZN3" s="55"/>
      <c r="ZO3" s="55"/>
      <c r="ZP3" s="39"/>
      <c r="ZQ3" s="39"/>
      <c r="ZR3" s="46" t="e">
        <f ca="1">OFFSET(納品書まとめ!$A$1,ZZ2-1,1)&amp;" 様"</f>
        <v>#VALUE!</v>
      </c>
      <c r="ZS3" s="46"/>
      <c r="ZT3" s="46"/>
      <c r="ZU3" s="46"/>
      <c r="ZV3" s="46"/>
      <c r="ZW3" s="39" t="e">
        <f ca="1">IF(AND(VALUE(ZS1)&gt;39999,VALUE(ZS1)&lt;49999),
"ママミール スマイルぶろっこりー",
IF(COUNTIF(ZR3,"*吉塚ゆりの樹*"),"ママミール スマイルぶろっこりー","ママミール"))</f>
        <v>#VALUE!</v>
      </c>
      <c r="ZX3" s="56"/>
      <c r="ZY3" s="55"/>
      <c r="ZZ3" s="55"/>
      <c r="AAA3" s="39"/>
      <c r="AAB3" s="39"/>
      <c r="AAC3" s="46" t="e">
        <f ca="1">OFFSET(納品書まとめ!$A$1,AAK2-1,1)&amp;" 様"</f>
        <v>#VALUE!</v>
      </c>
      <c r="AAD3" s="46"/>
      <c r="AAE3" s="46"/>
      <c r="AAF3" s="46"/>
      <c r="AAG3" s="46"/>
      <c r="AAH3" s="39" t="e">
        <f ca="1">IF(AND(VALUE(AAD1)&gt;39999,VALUE(AAD1)&lt;49999),
"ママミール スマイルぶろっこりー",
IF(COUNTIF(AAC3,"*吉塚ゆりの樹*"),"ママミール スマイルぶろっこりー","ママミール"))</f>
        <v>#VALUE!</v>
      </c>
      <c r="AAI3" s="56"/>
      <c r="AAJ3" s="55"/>
      <c r="AAK3" s="55"/>
      <c r="AAL3" s="39"/>
      <c r="AAM3" s="39"/>
      <c r="AAN3" s="46" t="e">
        <f ca="1">OFFSET(納品書まとめ!$A$1,AAV2-1,1)&amp;" 様"</f>
        <v>#VALUE!</v>
      </c>
      <c r="AAO3" s="46"/>
      <c r="AAP3" s="46"/>
      <c r="AAQ3" s="46"/>
      <c r="AAR3" s="46"/>
      <c r="AAS3" s="39" t="e">
        <f ca="1">IF(AND(VALUE(AAO1)&gt;39999,VALUE(AAO1)&lt;49999),
"ママミール スマイルぶろっこりー",
IF(COUNTIF(AAN3,"*吉塚ゆりの樹*"),"ママミール スマイルぶろっこりー","ママミール"))</f>
        <v>#VALUE!</v>
      </c>
      <c r="AAT3" s="56"/>
      <c r="AAU3" s="55"/>
      <c r="AAV3" s="55"/>
      <c r="AAW3" s="39"/>
      <c r="AAX3" s="39"/>
      <c r="AAY3" s="46" t="e">
        <f ca="1">OFFSET(納品書まとめ!$A$1,ABG2-1,1)&amp;" 様"</f>
        <v>#VALUE!</v>
      </c>
      <c r="AAZ3" s="46"/>
      <c r="ABA3" s="46"/>
      <c r="ABB3" s="46"/>
      <c r="ABC3" s="46"/>
      <c r="ABD3" s="39" t="e">
        <f ca="1">IF(AND(VALUE(AAZ1)&gt;39999,VALUE(AAZ1)&lt;49999),
"ママミール スマイルぶろっこりー",
IF(COUNTIF(AAY3,"*吉塚ゆりの樹*"),"ママミール スマイルぶろっこりー","ママミール"))</f>
        <v>#VALUE!</v>
      </c>
      <c r="ABE3" s="56"/>
      <c r="ABF3" s="55"/>
      <c r="ABG3" s="55"/>
      <c r="ABH3" s="39"/>
      <c r="ABI3" s="39"/>
      <c r="ABJ3" s="46" t="e">
        <f ca="1">OFFSET(納品書まとめ!$A$1,ABR2-1,1)&amp;" 様"</f>
        <v>#VALUE!</v>
      </c>
      <c r="ABK3" s="46"/>
      <c r="ABL3" s="46"/>
      <c r="ABM3" s="46"/>
      <c r="ABN3" s="46"/>
      <c r="ABO3" s="39" t="e">
        <f ca="1">IF(AND(VALUE(ABK1)&gt;39999,VALUE(ABK1)&lt;49999),
"ママミール スマイルぶろっこりー",
IF(COUNTIF(ABJ3,"*吉塚ゆりの樹*"),"ママミール スマイルぶろっこりー","ママミール"))</f>
        <v>#VALUE!</v>
      </c>
      <c r="ABP3" s="56"/>
      <c r="ABQ3" s="55"/>
      <c r="ABR3" s="55"/>
      <c r="ABS3" s="39"/>
      <c r="ABT3" s="39"/>
      <c r="ABU3" s="46" t="e">
        <f ca="1">OFFSET(納品書まとめ!$A$1,ACC2-1,1)&amp;" 様"</f>
        <v>#VALUE!</v>
      </c>
      <c r="ABV3" s="46"/>
      <c r="ABW3" s="46"/>
      <c r="ABX3" s="46"/>
      <c r="ABY3" s="46"/>
      <c r="ABZ3" s="39" t="e">
        <f ca="1">IF(AND(VALUE(ABV1)&gt;39999,VALUE(ABV1)&lt;49999),
"ママミール スマイルぶろっこりー",
IF(COUNTIF(ABU3,"*吉塚ゆりの樹*"),"ママミール スマイルぶろっこりー","ママミール"))</f>
        <v>#VALUE!</v>
      </c>
      <c r="ACA3" s="56"/>
      <c r="ACB3" s="55"/>
      <c r="ACC3" s="55"/>
      <c r="ACD3" s="39"/>
      <c r="ACE3" s="39"/>
      <c r="ACF3" s="46" t="e">
        <f ca="1">OFFSET(納品書まとめ!$A$1,ACN2-1,1)&amp;" 様"</f>
        <v>#VALUE!</v>
      </c>
      <c r="ACG3" s="46"/>
      <c r="ACH3" s="46"/>
      <c r="ACI3" s="46"/>
      <c r="ACJ3" s="46"/>
      <c r="ACK3" s="39" t="e">
        <f ca="1">IF(AND(VALUE(ACG1)&gt;39999,VALUE(ACG1)&lt;49999),
"ママミール スマイルぶろっこりー",
IF(COUNTIF(ACF3,"*吉塚ゆりの樹*"),"ママミール スマイルぶろっこりー","ママミール"))</f>
        <v>#VALUE!</v>
      </c>
      <c r="ACL3" s="56"/>
      <c r="ACM3" s="55"/>
      <c r="ACN3" s="55"/>
      <c r="ACO3" s="39"/>
      <c r="ACP3" s="39"/>
      <c r="ACQ3" s="46" t="e">
        <f ca="1">OFFSET(納品書まとめ!$A$1,ACY2-1,1)&amp;" 様"</f>
        <v>#VALUE!</v>
      </c>
      <c r="ACR3" s="46"/>
      <c r="ACS3" s="46"/>
      <c r="ACT3" s="46"/>
      <c r="ACU3" s="46"/>
      <c r="ACV3" s="39" t="e">
        <f ca="1">IF(AND(VALUE(ACR1)&gt;39999,VALUE(ACR1)&lt;49999),
"ママミール スマイルぶろっこりー",
IF(COUNTIF(ACQ3,"*吉塚ゆりの樹*"),"ママミール スマイルぶろっこりー","ママミール"))</f>
        <v>#VALUE!</v>
      </c>
      <c r="ACW3" s="56"/>
      <c r="ACX3" s="55"/>
      <c r="ACY3" s="55"/>
      <c r="ACZ3" s="39"/>
      <c r="ADA3" s="39"/>
      <c r="ADB3" s="46" t="e">
        <f ca="1">OFFSET(納品書まとめ!$A$1,ADJ2-1,1)&amp;" 様"</f>
        <v>#VALUE!</v>
      </c>
      <c r="ADC3" s="46"/>
      <c r="ADD3" s="46"/>
      <c r="ADE3" s="46"/>
      <c r="ADF3" s="46"/>
      <c r="ADG3" s="39" t="e">
        <f ca="1">IF(AND(VALUE(ADC1)&gt;39999,VALUE(ADC1)&lt;49999),
"ママミール スマイルぶろっこりー",
IF(COUNTIF(ADB3,"*吉塚ゆりの樹*"),"ママミール スマイルぶろっこりー","ママミール"))</f>
        <v>#VALUE!</v>
      </c>
      <c r="ADH3" s="56"/>
      <c r="ADI3" s="55"/>
      <c r="ADJ3" s="55"/>
    </row>
    <row r="4" spans="1:790" ht="11.4" customHeight="1" x14ac:dyDescent="0.45">
      <c r="F4" s="39" t="s">
        <v>4009</v>
      </c>
      <c r="G4" s="39"/>
      <c r="H4" s="56">
        <f ca="1">IF(COUNTIF(OFFSET(納品書まとめ!$A$1,H2-1,54),"*●*"),7,
IF(COUNTIF(OFFSET(納品書まとめ!$A$1,H2-1,55),"*●*"),8,
IF(COUNTIF(OFFSET(納品書まとめ!$A$1,H2-1,56),"*●*"),9,
IF(COUNTIF(OFFSET(納品書まとめ!$A$1,H2-1,57),"*●*"),10,
IF(COUNTIF(OFFSET(納品書まとめ!$A$1,H2-1,58),"*●*"),11,
IF(COUNTIF(OFFSET(納品書まとめ!$A$1,H2-1,59),"*●*"),12,
IF(COUNTIF(OFFSET(納品書まとめ!$A$1,H2-1,60),"*●*"),13,0)))))))</f>
        <v>7</v>
      </c>
      <c r="I4" s="56"/>
      <c r="J4" s="39"/>
      <c r="K4" s="39"/>
      <c r="Q4" s="39" t="str">
        <f ca="1">IF(AND(VALUE(M1)&gt;39999,VALUE(M1)&lt;49999),
"〒　811-1347",
"〒　811-1311")</f>
        <v>〒　811-1311</v>
      </c>
      <c r="R4" s="39"/>
      <c r="S4" s="56">
        <f ca="1">IF(COUNTIF(OFFSET(納品書まとめ!$A$1,T2-1,54),"*●*"),7,
IF(COUNTIF(OFFSET(納品書まとめ!$A$1,T2-1,55),"*●*"),8,
IF(COUNTIF(OFFSET(納品書まとめ!$A$1,T2-1,56),"*●*"),9,
IF(COUNTIF(OFFSET(納品書まとめ!$A$1,T2-1,57),"*●*"),10,
IF(COUNTIF(OFFSET(納品書まとめ!$A$1,T2-1,58),"*●*"),11,
IF(COUNTIF(OFFSET(納品書まとめ!$A$1,T2-1,59),"*●*"),12,
IF(COUNTIF(OFFSET(納品書まとめ!$A$1,T2-1,60),"*●*"),13,0)))))))</f>
        <v>7</v>
      </c>
      <c r="T4" s="56"/>
      <c r="U4" s="39"/>
      <c r="V4" s="39"/>
      <c r="AB4" s="39" t="str">
        <f ca="1">IF(AND(VALUE(X1)&gt;39999,VALUE(X1)&lt;49999),
"〒　811-1347",
IF(COUNTIF(W3,"*吉塚ゆりの樹*"),"〒　811-1347","〒　811-1311"))</f>
        <v>〒　811-1311</v>
      </c>
      <c r="AC4" s="39"/>
      <c r="AD4" s="55">
        <f ca="1">IF(COUNTIF(OFFSET(納品書まとめ!$A$1,AD2-1,2),"*web*"),
IF(COUNTIF(OFFSET(納品書まとめ!$A$1,AD2,2),"*web*"),
IF(COUNTIF(OFFSET(納品書まとめ!$A$1,AD2+1,2),"*web*"),
IF(COUNTIF(OFFSET(納品書まとめ!$A$1,AD2+2,2),"*web*"),
IF(COUNTIF(OFFSET(納品書まとめ!$A$1,AD2+3,2),"*web*"),
IF(COUNTIF(OFFSET(納品書まとめ!$A$1,AD2+4,2),"*web*"),AD2+7,AD2+6),AD2+5),AD2+4),AD2+3),AD2+2),AD2+1)-AD2</f>
        <v>1</v>
      </c>
      <c r="AE4" s="56">
        <f ca="1">IF(COUNTIF(OFFSET(納品書まとめ!$A$1,AE2-1,54),"*●*"),7,
IF(COUNTIF(OFFSET(納品書まとめ!$A$1,AE2-1,55),"*●*"),8,
IF(COUNTIF(OFFSET(納品書まとめ!$A$1,AE2-1,56),"*●*"),9,
IF(COUNTIF(OFFSET(納品書まとめ!$A$1,AE2-1,57),"*●*"),10,
IF(COUNTIF(OFFSET(納品書まとめ!$A$1,AE2-1,58),"*●*"),11,
IF(COUNTIF(OFFSET(納品書まとめ!$A$1,AE2-1,59),"*●*"),12,
IF(COUNTIF(OFFSET(納品書まとめ!$A$1,AE2-1,60),"*●*"),13,
IF(COUNTIF(OFFSET(納品書まとめ!$A$1,AE2-1,61),"*●*"),14,
IF(COUNTIF(OFFSET(納品書まとめ!$A$1,AE2-1,62),"*●*"),15,
IF(COUNTIF(OFFSET(納品書まとめ!$A$1,AE2-1,63),"*●*"),16,0))))))))))</f>
        <v>7</v>
      </c>
      <c r="AF4" s="39"/>
      <c r="AG4" s="39"/>
      <c r="AM4" s="39" t="str">
        <f ca="1">IF(AND(VALUE(AI1)&gt;39999,VALUE(AI1)&lt;49999),
"〒　811-1347",
IF(COUNTIF(AH3,"*吉塚ゆりの樹*"),"〒　811-1347","〒　811-1311"))</f>
        <v>〒　811-1311</v>
      </c>
      <c r="AN4" s="39"/>
      <c r="AO4" s="55">
        <f ca="1">IF(COUNTIF(OFFSET(納品書まとめ!$A$1,AO2-1,2),"*web*"),
IF(COUNTIF(OFFSET(納品書まとめ!$A$1,AO2,2),"*web*"),
IF(COUNTIF(OFFSET(納品書まとめ!$A$1,AO2+1,2),"*web*"),
IF(COUNTIF(OFFSET(納品書まとめ!$A$1,AO2+2,2),"*web*"),
IF(COUNTIF(OFFSET(納品書まとめ!$A$1,AO2+3,2),"*web*"),
IF(COUNTIF(OFFSET(納品書まとめ!$A$1,AO2+4,2),"*web*"),AO2+7,AO2+6),AO2+5),AO2+4),AO2+3),AO2+2),AO2+1)-AO2</f>
        <v>1</v>
      </c>
      <c r="AP4" s="56">
        <f ca="1">IF(COUNTIF(OFFSET(納品書まとめ!$A$1,AP2-1,54),"*●*"),7,
IF(COUNTIF(OFFSET(納品書まとめ!$A$1,AP2-1,55),"*●*"),8,
IF(COUNTIF(OFFSET(納品書まとめ!$A$1,AP2-1,56),"*●*"),9,
IF(COUNTIF(OFFSET(納品書まとめ!$A$1,AP2-1,57),"*●*"),10,
IF(COUNTIF(OFFSET(納品書まとめ!$A$1,AP2-1,58),"*●*"),11,
IF(COUNTIF(OFFSET(納品書まとめ!$A$1,AP2-1,59),"*●*"),12,
IF(COUNTIF(OFFSET(納品書まとめ!$A$1,AP2-1,60),"*●*"),13,
IF(COUNTIF(OFFSET(納品書まとめ!$A$1,AP2-1,61),"*●*"),14,
IF(COUNTIF(OFFSET(納品書まとめ!$A$1,AP2-1,62),"*●*"),15,
IF(COUNTIF(OFFSET(納品書まとめ!$A$1,AP2-1,63),"*●*"),16,0))))))))))</f>
        <v>16</v>
      </c>
      <c r="AQ4" s="39"/>
      <c r="AR4" s="39"/>
      <c r="AX4" s="39" t="str">
        <f ca="1">IF(AND(VALUE(AT1)&gt;39999,VALUE(AT1)&lt;49999),
"〒　811-1347",
IF(COUNTIF(AS3,"*吉塚ゆりの樹*"),"〒　811-1347","〒　811-1311"))</f>
        <v>〒　811-1311</v>
      </c>
      <c r="AY4" s="39"/>
      <c r="AZ4" s="55">
        <f ca="1">IF(COUNTIF(OFFSET(納品書まとめ!$A$1,AZ2-1,2),"*web*"),
IF(COUNTIF(OFFSET(納品書まとめ!$A$1,AZ2,2),"*web*"),
IF(COUNTIF(OFFSET(納品書まとめ!$A$1,AZ2+1,2),"*web*"),
IF(COUNTIF(OFFSET(納品書まとめ!$A$1,AZ2+2,2),"*web*"),
IF(COUNTIF(OFFSET(納品書まとめ!$A$1,AZ2+3,2),"*web*"),
IF(COUNTIF(OFFSET(納品書まとめ!$A$1,AZ2+4,2),"*web*"),AZ2+7,AZ2+6),AZ2+5),AZ2+4),AZ2+3),AZ2+2),AZ2+1)-AZ2</f>
        <v>1</v>
      </c>
      <c r="BA4" s="56">
        <f ca="1">IF(COUNTIF(OFFSET(納品書まとめ!$A$1,BA2-1,54),"*●*"),7,
IF(COUNTIF(OFFSET(納品書まとめ!$A$1,BA2-1,55),"*●*"),8,
IF(COUNTIF(OFFSET(納品書まとめ!$A$1,BA2-1,56),"*●*"),9,
IF(COUNTIF(OFFSET(納品書まとめ!$A$1,BA2-1,57),"*●*"),10,
IF(COUNTIF(OFFSET(納品書まとめ!$A$1,BA2-1,58),"*●*"),11,
IF(COUNTIF(OFFSET(納品書まとめ!$A$1,BA2-1,59),"*●*"),12,
IF(COUNTIF(OFFSET(納品書まとめ!$A$1,BA2-1,60),"*●*"),13,
IF(COUNTIF(OFFSET(納品書まとめ!$A$1,BA2-1,61),"*●*"),14,
IF(COUNTIF(OFFSET(納品書まとめ!$A$1,BA2-1,62),"*●*"),15,
IF(COUNTIF(OFFSET(納品書まとめ!$A$1,BA2-1,63),"*●*"),16,0))))))))))</f>
        <v>10</v>
      </c>
      <c r="BB4" s="39"/>
      <c r="BC4" s="39"/>
      <c r="BI4" s="39" t="str">
        <f ca="1">IF(AND(VALUE(BE1)&gt;39999,VALUE(BE1)&lt;49999),
"〒　811-1347",
IF(COUNTIF(BD3,"*吉塚ゆりの樹*"),"〒　811-1347","〒　811-1311"))</f>
        <v>〒　811-1311</v>
      </c>
      <c r="BJ4" s="39"/>
      <c r="BK4" s="55">
        <f ca="1">IF(COUNTIF(OFFSET(納品書まとめ!$A$1,BK2-1,2),"*web*"),
IF(COUNTIF(OFFSET(納品書まとめ!$A$1,BK2,2),"*web*"),
IF(COUNTIF(OFFSET(納品書まとめ!$A$1,BK2+1,2),"*web*"),
IF(COUNTIF(OFFSET(納品書まとめ!$A$1,BK2+2,2),"*web*"),
IF(COUNTIF(OFFSET(納品書まとめ!$A$1,BK2+3,2),"*web*"),
IF(COUNTIF(OFFSET(納品書まとめ!$A$1,BK2+4,2),"*web*"),BK2+7,BK2+6),BK2+5),BK2+4),BK2+3),BK2+2),BK2+1)-BK2</f>
        <v>2</v>
      </c>
      <c r="BL4" s="56">
        <f ca="1">IF(COUNTIF(OFFSET(納品書まとめ!$A$1,BL2-1,54),"*●*"),7,
IF(COUNTIF(OFFSET(納品書まとめ!$A$1,BL2-1,55),"*●*"),8,
IF(COUNTIF(OFFSET(納品書まとめ!$A$1,BL2-1,56),"*●*"),9,
IF(COUNTIF(OFFSET(納品書まとめ!$A$1,BL2-1,57),"*●*"),10,
IF(COUNTIF(OFFSET(納品書まとめ!$A$1,BL2-1,58),"*●*"),11,
IF(COUNTIF(OFFSET(納品書まとめ!$A$1,BL2-1,59),"*●*"),12,
IF(COUNTIF(OFFSET(納品書まとめ!$A$1,BL2-1,60),"*●*"),13,
IF(COUNTIF(OFFSET(納品書まとめ!$A$1,BL2-1,61),"*●*"),14,
IF(COUNTIF(OFFSET(納品書まとめ!$A$1,BL2-1,62),"*●*"),15,
IF(COUNTIF(OFFSET(納品書まとめ!$A$1,BL2-1,63),"*●*"),16,0))))))))))</f>
        <v>10</v>
      </c>
      <c r="BM4" s="39"/>
      <c r="BN4" s="39"/>
      <c r="BT4" s="39" t="str">
        <f ca="1">IF(AND(VALUE(BP1)&gt;39999,VALUE(BP1)&lt;49999),
"〒　811-1347",
IF(COUNTIF(BO3,"*吉塚ゆりの樹*"),"〒　811-1347","〒　811-1311"))</f>
        <v>〒　811-1311</v>
      </c>
      <c r="BU4" s="39"/>
      <c r="BV4" s="55">
        <f ca="1">IF(COUNTIF(OFFSET(納品書まとめ!$A$1,BV2-1,2),"*web*"),
IF(COUNTIF(OFFSET(納品書まとめ!$A$1,BV2,2),"*web*"),
IF(COUNTIF(OFFSET(納品書まとめ!$A$1,BV2+1,2),"*web*"),
IF(COUNTIF(OFFSET(納品書まとめ!$A$1,BV2+2,2),"*web*"),
IF(COUNTIF(OFFSET(納品書まとめ!$A$1,BV2+3,2),"*web*"),
IF(COUNTIF(OFFSET(納品書まとめ!$A$1,BV2+4,2),"*web*"),BV2+7,BV2+6),BV2+5),BV2+4),BV2+3),BV2+2),BV2+1)-BV2</f>
        <v>1</v>
      </c>
      <c r="BW4" s="56">
        <f ca="1">IF(COUNTIF(OFFSET(納品書まとめ!$A$1,BW2-1,54),"*●*"),7,
IF(COUNTIF(OFFSET(納品書まとめ!$A$1,BW2-1,55),"*●*"),8,
IF(COUNTIF(OFFSET(納品書まとめ!$A$1,BW2-1,56),"*●*"),9,
IF(COUNTIF(OFFSET(納品書まとめ!$A$1,BW2-1,57),"*●*"),10,
IF(COUNTIF(OFFSET(納品書まとめ!$A$1,BW2-1,58),"*●*"),11,
IF(COUNTIF(OFFSET(納品書まとめ!$A$1,BW2-1,59),"*●*"),12,
IF(COUNTIF(OFFSET(納品書まとめ!$A$1,BW2-1,60),"*●*"),13,
IF(COUNTIF(OFFSET(納品書まとめ!$A$1,BW2-1,61),"*●*"),14,
IF(COUNTIF(OFFSET(納品書まとめ!$A$1,BW2-1,62),"*●*"),15,
IF(COUNTIF(OFFSET(納品書まとめ!$A$1,BW2-1,63),"*●*"),16,0))))))))))</f>
        <v>7</v>
      </c>
      <c r="BX4" s="39"/>
      <c r="BY4" s="39"/>
      <c r="CE4" s="39" t="str">
        <f ca="1">IF(AND(VALUE(CA1)&gt;39999,VALUE(CA1)&lt;49999),
"〒　811-1347",
IF(COUNTIF(BZ3,"*吉塚ゆりの樹*"),"〒　811-1347","〒　811-1311"))</f>
        <v>〒　811-1311</v>
      </c>
      <c r="CF4" s="39"/>
      <c r="CG4" s="55">
        <f ca="1">IF(COUNTIF(OFFSET(納品書まとめ!$A$1,CG2-1,2),"*web*"),
IF(COUNTIF(OFFSET(納品書まとめ!$A$1,CG2,2),"*web*"),
IF(COUNTIF(OFFSET(納品書まとめ!$A$1,CG2+1,2),"*web*"),
IF(COUNTIF(OFFSET(納品書まとめ!$A$1,CG2+2,2),"*web*"),
IF(COUNTIF(OFFSET(納品書まとめ!$A$1,CG2+3,2),"*web*"),
IF(COUNTIF(OFFSET(納品書まとめ!$A$1,CG2+4,2),"*web*"),CG2+7,CG2+6),CG2+5),CG2+4),CG2+3),CG2+2),CG2+1)-CG2</f>
        <v>2</v>
      </c>
      <c r="CH4" s="56">
        <f ca="1">IF(COUNTIF(OFFSET(納品書まとめ!$A$1,CH2-1,54),"*●*"),7,
IF(COUNTIF(OFFSET(納品書まとめ!$A$1,CH2-1,55),"*●*"),8,
IF(COUNTIF(OFFSET(納品書まとめ!$A$1,CH2-1,56),"*●*"),9,
IF(COUNTIF(OFFSET(納品書まとめ!$A$1,CH2-1,57),"*●*"),10,
IF(COUNTIF(OFFSET(納品書まとめ!$A$1,CH2-1,58),"*●*"),11,
IF(COUNTIF(OFFSET(納品書まとめ!$A$1,CH2-1,59),"*●*"),12,
IF(COUNTIF(OFFSET(納品書まとめ!$A$1,CH2-1,60),"*●*"),13,
IF(COUNTIF(OFFSET(納品書まとめ!$A$1,CH2-1,61),"*●*"),14,
IF(COUNTIF(OFFSET(納品書まとめ!$A$1,CH2-1,62),"*●*"),15,
IF(COUNTIF(OFFSET(納品書まとめ!$A$1,CH2-1,63),"*●*"),16,0))))))))))</f>
        <v>10</v>
      </c>
      <c r="CI4" s="39"/>
      <c r="CJ4" s="39"/>
      <c r="CP4" s="39" t="str">
        <f ca="1">IF(AND(VALUE(CL1)&gt;39999,VALUE(CL1)&lt;49999),
"〒　811-1347",
IF(COUNTIF(CK3,"*吉塚ゆりの樹*"),"〒　811-1347","〒　811-1311"))</f>
        <v>〒　811-1311</v>
      </c>
      <c r="CQ4" s="39"/>
      <c r="CR4" s="55">
        <f ca="1">IF(COUNTIF(OFFSET(納品書まとめ!$A$1,CR2-1,2),"*web*"),
IF(COUNTIF(OFFSET(納品書まとめ!$A$1,CR2,2),"*web*"),
IF(COUNTIF(OFFSET(納品書まとめ!$A$1,CR2+1,2),"*web*"),
IF(COUNTIF(OFFSET(納品書まとめ!$A$1,CR2+2,2),"*web*"),
IF(COUNTIF(OFFSET(納品書まとめ!$A$1,CR2+3,2),"*web*"),
IF(COUNTIF(OFFSET(納品書まとめ!$A$1,CR2+4,2),"*web*"),CR2+7,CR2+6),CR2+5),CR2+4),CR2+3),CR2+2),CR2+1)-CR2</f>
        <v>1</v>
      </c>
      <c r="CS4" s="56">
        <f ca="1">IF(COUNTIF(OFFSET(納品書まとめ!$A$1,CS2-1,54),"*●*"),7,
IF(COUNTIF(OFFSET(納品書まとめ!$A$1,CS2-1,55),"*●*"),8,
IF(COUNTIF(OFFSET(納品書まとめ!$A$1,CS2-1,56),"*●*"),9,
IF(COUNTIF(OFFSET(納品書まとめ!$A$1,CS2-1,57),"*●*"),10,
IF(COUNTIF(OFFSET(納品書まとめ!$A$1,CS2-1,58),"*●*"),11,
IF(COUNTIF(OFFSET(納品書まとめ!$A$1,CS2-1,59),"*●*"),12,
IF(COUNTIF(OFFSET(納品書まとめ!$A$1,CS2-1,60),"*●*"),13,
IF(COUNTIF(OFFSET(納品書まとめ!$A$1,CS2-1,61),"*●*"),14,
IF(COUNTIF(OFFSET(納品書まとめ!$A$1,CS2-1,62),"*●*"),15,
IF(COUNTIF(OFFSET(納品書まとめ!$A$1,CS2-1,63),"*●*"),16,0))))))))))</f>
        <v>7</v>
      </c>
      <c r="CT4" s="39"/>
      <c r="CU4" s="39"/>
      <c r="DA4" s="39" t="str">
        <f ca="1">IF(AND(VALUE(CW1)&gt;39999,VALUE(CW1)&lt;49999),
"〒　811-1347",
IF(COUNTIF(CV3,"*吉塚ゆりの樹*"),"〒　811-1347","〒　811-1311"))</f>
        <v>〒　811-1311</v>
      </c>
      <c r="DB4" s="39"/>
      <c r="DC4" s="55">
        <f ca="1">IF(COUNTIF(OFFSET(納品書まとめ!$A$1,DC2-1,2),"*web*"),
IF(COUNTIF(OFFSET(納品書まとめ!$A$1,DC2,2),"*web*"),
IF(COUNTIF(OFFSET(納品書まとめ!$A$1,DC2+1,2),"*web*"),
IF(COUNTIF(OFFSET(納品書まとめ!$A$1,DC2+2,2),"*web*"),
IF(COUNTIF(OFFSET(納品書まとめ!$A$1,DC2+3,2),"*web*"),
IF(COUNTIF(OFFSET(納品書まとめ!$A$1,DC2+4,2),"*web*"),DC2+7,DC2+6),DC2+5),DC2+4),DC2+3),DC2+2),DC2+1)-DC2</f>
        <v>2</v>
      </c>
      <c r="DD4" s="56">
        <f ca="1">IF(COUNTIF(OFFSET(納品書まとめ!$A$1,DD2-1,54),"*●*"),7,
IF(COUNTIF(OFFSET(納品書まとめ!$A$1,DD2-1,55),"*●*"),8,
IF(COUNTIF(OFFSET(納品書まとめ!$A$1,DD2-1,56),"*●*"),9,
IF(COUNTIF(OFFSET(納品書まとめ!$A$1,DD2-1,57),"*●*"),10,
IF(COUNTIF(OFFSET(納品書まとめ!$A$1,DD2-1,58),"*●*"),11,
IF(COUNTIF(OFFSET(納品書まとめ!$A$1,DD2-1,59),"*●*"),12,
IF(COUNTIF(OFFSET(納品書まとめ!$A$1,DD2-1,60),"*●*"),13,
IF(COUNTIF(OFFSET(納品書まとめ!$A$1,DD2-1,61),"*●*"),14,
IF(COUNTIF(OFFSET(納品書まとめ!$A$1,DD2-1,62),"*●*"),15,
IF(COUNTIF(OFFSET(納品書まとめ!$A$1,DD2-1,63),"*●*"),16,0))))))))))</f>
        <v>7</v>
      </c>
      <c r="DE4" s="39"/>
      <c r="DF4" s="39"/>
      <c r="DL4" s="39" t="str">
        <f ca="1">IF(AND(VALUE(DH1)&gt;39999,VALUE(DH1)&lt;49999),
"〒　811-1347",
IF(COUNTIF(DG3,"*吉塚ゆりの樹*"),"〒　811-1347","〒　811-1311"))</f>
        <v>〒　811-1311</v>
      </c>
      <c r="DM4" s="39"/>
      <c r="DN4" s="55">
        <f ca="1">IF(COUNTIF(OFFSET(納品書まとめ!$A$1,DN2-1,2),"*web*"),
IF(COUNTIF(OFFSET(納品書まとめ!$A$1,DN2,2),"*web*"),
IF(COUNTIF(OFFSET(納品書まとめ!$A$1,DN2+1,2),"*web*"),
IF(COUNTIF(OFFSET(納品書まとめ!$A$1,DN2+2,2),"*web*"),
IF(COUNTIF(OFFSET(納品書まとめ!$A$1,DN2+3,2),"*web*"),
IF(COUNTIF(OFFSET(納品書まとめ!$A$1,DN2+4,2),"*web*"),DN2+7,DN2+6),DN2+5),DN2+4),DN2+3),DN2+2),DN2+1)-DN2</f>
        <v>1</v>
      </c>
      <c r="DO4" s="56">
        <f ca="1">IF(COUNTIF(OFFSET(納品書まとめ!$A$1,DO2-1,54),"*●*"),7,
IF(COUNTIF(OFFSET(納品書まとめ!$A$1,DO2-1,55),"*●*"),8,
IF(COUNTIF(OFFSET(納品書まとめ!$A$1,DO2-1,56),"*●*"),9,
IF(COUNTIF(OFFSET(納品書まとめ!$A$1,DO2-1,57),"*●*"),10,
IF(COUNTIF(OFFSET(納品書まとめ!$A$1,DO2-1,58),"*●*"),11,
IF(COUNTIF(OFFSET(納品書まとめ!$A$1,DO2-1,59),"*●*"),12,
IF(COUNTIF(OFFSET(納品書まとめ!$A$1,DO2-1,60),"*●*"),13,
IF(COUNTIF(OFFSET(納品書まとめ!$A$1,DO2-1,61),"*●*"),14,
IF(COUNTIF(OFFSET(納品書まとめ!$A$1,DO2-1,62),"*●*"),15,
IF(COUNTIF(OFFSET(納品書まとめ!$A$1,DO2-1,63),"*●*"),16,0))))))))))</f>
        <v>7</v>
      </c>
      <c r="DP4" s="39"/>
      <c r="DQ4" s="39"/>
      <c r="DW4" s="39" t="str">
        <f ca="1">IF(AND(VALUE(DS1)&gt;39999,VALUE(DS1)&lt;49999),
"〒　811-1347",
IF(COUNTIF(DR3,"*吉塚ゆりの樹*"),"〒　811-1347","〒　811-1311"))</f>
        <v>〒　811-1311</v>
      </c>
      <c r="DX4" s="39"/>
      <c r="DY4" s="55">
        <f ca="1">IF(COUNTIF(OFFSET(納品書まとめ!$A$1,DY2-1,2),"*web*"),
IF(COUNTIF(OFFSET(納品書まとめ!$A$1,DY2,2),"*web*"),
IF(COUNTIF(OFFSET(納品書まとめ!$A$1,DY2+1,2),"*web*"),
IF(COUNTIF(OFFSET(納品書まとめ!$A$1,DY2+2,2),"*web*"),
IF(COUNTIF(OFFSET(納品書まとめ!$A$1,DY2+3,2),"*web*"),
IF(COUNTIF(OFFSET(納品書まとめ!$A$1,DY2+4,2),"*web*"),DY2+7,DY2+6),DY2+5),DY2+4),DY2+3),DY2+2),DY2+1)-DY2</f>
        <v>1</v>
      </c>
      <c r="DZ4" s="56">
        <f ca="1">IF(COUNTIF(OFFSET(納品書まとめ!$A$1,DZ2-1,54),"*●*"),7,
IF(COUNTIF(OFFSET(納品書まとめ!$A$1,DZ2-1,55),"*●*"),8,
IF(COUNTIF(OFFSET(納品書まとめ!$A$1,DZ2-1,56),"*●*"),9,
IF(COUNTIF(OFFSET(納品書まとめ!$A$1,DZ2-1,57),"*●*"),10,
IF(COUNTIF(OFFSET(納品書まとめ!$A$1,DZ2-1,58),"*●*"),11,
IF(COUNTIF(OFFSET(納品書まとめ!$A$1,DZ2-1,59),"*●*"),12,
IF(COUNTIF(OFFSET(納品書まとめ!$A$1,DZ2-1,60),"*●*"),13,
IF(COUNTIF(OFFSET(納品書まとめ!$A$1,DZ2-1,61),"*●*"),14,
IF(COUNTIF(OFFSET(納品書まとめ!$A$1,DZ2-1,62),"*●*"),15,
IF(COUNTIF(OFFSET(納品書まとめ!$A$1,DZ2-1,63),"*●*"),16,0))))))))))</f>
        <v>7</v>
      </c>
      <c r="EA4" s="39"/>
      <c r="EB4" s="39"/>
      <c r="EH4" s="39" t="str">
        <f ca="1">IF(AND(VALUE(ED1)&gt;39999,VALUE(ED1)&lt;49999),
"〒　811-1347",
IF(COUNTIF(EC3,"*吉塚ゆりの樹*"),"〒　811-1347","〒　811-1311"))</f>
        <v>〒　811-1311</v>
      </c>
      <c r="EI4" s="39"/>
      <c r="EJ4" s="55">
        <f ca="1">IF(COUNTIF(OFFSET(納品書まとめ!$A$1,EJ2-1,2),"*web*"),
IF(COUNTIF(OFFSET(納品書まとめ!$A$1,EJ2,2),"*web*"),
IF(COUNTIF(OFFSET(納品書まとめ!$A$1,EJ2+1,2),"*web*"),
IF(COUNTIF(OFFSET(納品書まとめ!$A$1,EJ2+2,2),"*web*"),
IF(COUNTIF(OFFSET(納品書まとめ!$A$1,EJ2+3,2),"*web*"),
IF(COUNTIF(OFFSET(納品書まとめ!$A$1,EJ2+4,2),"*web*"),EJ2+7,EJ2+6),EJ2+5),EJ2+4),EJ2+3),EJ2+2),EJ2+1)-EJ2</f>
        <v>1</v>
      </c>
      <c r="EK4" s="56">
        <f ca="1">IF(COUNTIF(OFFSET(納品書まとめ!$A$1,EK2-1,54),"*●*"),7,
IF(COUNTIF(OFFSET(納品書まとめ!$A$1,EK2-1,55),"*●*"),8,
IF(COUNTIF(OFFSET(納品書まとめ!$A$1,EK2-1,56),"*●*"),9,
IF(COUNTIF(OFFSET(納品書まとめ!$A$1,EK2-1,57),"*●*"),10,
IF(COUNTIF(OFFSET(納品書まとめ!$A$1,EK2-1,58),"*●*"),11,
IF(COUNTIF(OFFSET(納品書まとめ!$A$1,EK2-1,59),"*●*"),12,
IF(COUNTIF(OFFSET(納品書まとめ!$A$1,EK2-1,60),"*●*"),13,
IF(COUNTIF(OFFSET(納品書まとめ!$A$1,EK2-1,61),"*●*"),14,
IF(COUNTIF(OFFSET(納品書まとめ!$A$1,EK2-1,62),"*●*"),15,
IF(COUNTIF(OFFSET(納品書まとめ!$A$1,EK2-1,63),"*●*"),16,0))))))))))</f>
        <v>7</v>
      </c>
      <c r="EL4" s="39"/>
      <c r="EM4" s="39"/>
      <c r="ES4" s="39" t="str">
        <f ca="1">IF(AND(VALUE(EO1)&gt;39999,VALUE(EO1)&lt;49999),
"〒　811-1347",
IF(COUNTIF(EN3,"*吉塚ゆりの樹*"),"〒　811-1347","〒　811-1311"))</f>
        <v>〒　811-1311</v>
      </c>
      <c r="ET4" s="39"/>
      <c r="EU4" s="55">
        <f ca="1">IF(COUNTIF(OFFSET(納品書まとめ!$A$1,EU2-1,2),"*web*"),
IF(COUNTIF(OFFSET(納品書まとめ!$A$1,EU2,2),"*web*"),
IF(COUNTIF(OFFSET(納品書まとめ!$A$1,EU2+1,2),"*web*"),
IF(COUNTIF(OFFSET(納品書まとめ!$A$1,EU2+2,2),"*web*"),
IF(COUNTIF(OFFSET(納品書まとめ!$A$1,EU2+3,2),"*web*"),
IF(COUNTIF(OFFSET(納品書まとめ!$A$1,EU2+4,2),"*web*"),EU2+7,EU2+6),EU2+5),EU2+4),EU2+3),EU2+2),EU2+1)-EU2</f>
        <v>1</v>
      </c>
      <c r="EV4" s="56">
        <f ca="1">IF(COUNTIF(OFFSET(納品書まとめ!$A$1,EV2-1,54),"*●*"),7,
IF(COUNTIF(OFFSET(納品書まとめ!$A$1,EV2-1,55),"*●*"),8,
IF(COUNTIF(OFFSET(納品書まとめ!$A$1,EV2-1,56),"*●*"),9,
IF(COUNTIF(OFFSET(納品書まとめ!$A$1,EV2-1,57),"*●*"),10,
IF(COUNTIF(OFFSET(納品書まとめ!$A$1,EV2-1,58),"*●*"),11,
IF(COUNTIF(OFFSET(納品書まとめ!$A$1,EV2-1,59),"*●*"),12,
IF(COUNTIF(OFFSET(納品書まとめ!$A$1,EV2-1,60),"*●*"),13,
IF(COUNTIF(OFFSET(納品書まとめ!$A$1,EV2-1,61),"*●*"),14,
IF(COUNTIF(OFFSET(納品書まとめ!$A$1,EV2-1,62),"*●*"),15,
IF(COUNTIF(OFFSET(納品書まとめ!$A$1,EV2-1,63),"*●*"),16,0))))))))))</f>
        <v>10</v>
      </c>
      <c r="EW4" s="39"/>
      <c r="EX4" s="39"/>
      <c r="FD4" s="39" t="str">
        <f ca="1">IF(AND(VALUE(EZ1)&gt;39999,VALUE(EZ1)&lt;49999),
"〒　811-1347",
IF(COUNTIF(EY3,"*吉塚ゆりの樹*"),"〒　811-1347","〒　811-1311"))</f>
        <v>〒　811-1311</v>
      </c>
      <c r="FE4" s="39"/>
      <c r="FF4" s="55">
        <f ca="1">IF(COUNTIF(OFFSET(納品書まとめ!$A$1,FF2-1,2),"*web*"),
IF(COUNTIF(OFFSET(納品書まとめ!$A$1,FF2,2),"*web*"),
IF(COUNTIF(OFFSET(納品書まとめ!$A$1,FF2+1,2),"*web*"),
IF(COUNTIF(OFFSET(納品書まとめ!$A$1,FF2+2,2),"*web*"),
IF(COUNTIF(OFFSET(納品書まとめ!$A$1,FF2+3,2),"*web*"),
IF(COUNTIF(OFFSET(納品書まとめ!$A$1,FF2+4,2),"*web*"),FF2+7,FF2+6),FF2+5),FF2+4),FF2+3),FF2+2),FF2+1)-FF2</f>
        <v>1</v>
      </c>
      <c r="FG4" s="56">
        <f ca="1">IF(COUNTIF(OFFSET(納品書まとめ!$A$1,FG2-1,54),"*●*"),7,
IF(COUNTIF(OFFSET(納品書まとめ!$A$1,FG2-1,55),"*●*"),8,
IF(COUNTIF(OFFSET(納品書まとめ!$A$1,FG2-1,56),"*●*"),9,
IF(COUNTIF(OFFSET(納品書まとめ!$A$1,FG2-1,57),"*●*"),10,
IF(COUNTIF(OFFSET(納品書まとめ!$A$1,FG2-1,58),"*●*"),11,
IF(COUNTIF(OFFSET(納品書まとめ!$A$1,FG2-1,59),"*●*"),12,
IF(COUNTIF(OFFSET(納品書まとめ!$A$1,FG2-1,60),"*●*"),13,
IF(COUNTIF(OFFSET(納品書まとめ!$A$1,FG2-1,61),"*●*"),14,
IF(COUNTIF(OFFSET(納品書まとめ!$A$1,FG2-1,62),"*●*"),15,
IF(COUNTIF(OFFSET(納品書まとめ!$A$1,FG2-1,63),"*●*"),16,0))))))))))</f>
        <v>7</v>
      </c>
      <c r="FH4" s="39"/>
      <c r="FI4" s="39"/>
      <c r="FO4" s="39" t="str">
        <f ca="1">IF(AND(VALUE(FK1)&gt;39999,VALUE(FK1)&lt;49999),
"〒　811-1347",
IF(COUNTIF(FJ3,"*吉塚ゆりの樹*"),"〒　811-1347","〒　811-1311"))</f>
        <v>〒　811-1311</v>
      </c>
      <c r="FP4" s="39"/>
      <c r="FQ4" s="55">
        <f ca="1">IF(COUNTIF(OFFSET(納品書まとめ!$A$1,FQ2-1,2),"*web*"),
IF(COUNTIF(OFFSET(納品書まとめ!$A$1,FQ2,2),"*web*"),
IF(COUNTIF(OFFSET(納品書まとめ!$A$1,FQ2+1,2),"*web*"),
IF(COUNTIF(OFFSET(納品書まとめ!$A$1,FQ2+2,2),"*web*"),
IF(COUNTIF(OFFSET(納品書まとめ!$A$1,FQ2+3,2),"*web*"),
IF(COUNTIF(OFFSET(納品書まとめ!$A$1,FQ2+4,2),"*web*"),FQ2+7,FQ2+6),FQ2+5),FQ2+4),FQ2+3),FQ2+2),FQ2+1)-FQ2</f>
        <v>2</v>
      </c>
      <c r="FR4" s="56">
        <f ca="1">IF(COUNTIF(OFFSET(納品書まとめ!$A$1,FR2-1,54),"*●*"),7,
IF(COUNTIF(OFFSET(納品書まとめ!$A$1,FR2-1,55),"*●*"),8,
IF(COUNTIF(OFFSET(納品書まとめ!$A$1,FR2-1,56),"*●*"),9,
IF(COUNTIF(OFFSET(納品書まとめ!$A$1,FR2-1,57),"*●*"),10,
IF(COUNTIF(OFFSET(納品書まとめ!$A$1,FR2-1,58),"*●*"),11,
IF(COUNTIF(OFFSET(納品書まとめ!$A$1,FR2-1,59),"*●*"),12,
IF(COUNTIF(OFFSET(納品書まとめ!$A$1,FR2-1,60),"*●*"),13,
IF(COUNTIF(OFFSET(納品書まとめ!$A$1,FR2-1,61),"*●*"),14,
IF(COUNTIF(OFFSET(納品書まとめ!$A$1,FR2-1,62),"*●*"),15,
IF(COUNTIF(OFFSET(納品書まとめ!$A$1,FR2-1,63),"*●*"),16,0))))))))))</f>
        <v>10</v>
      </c>
      <c r="FS4" s="39"/>
      <c r="FT4" s="39"/>
      <c r="FZ4" s="39" t="str">
        <f ca="1">IF(AND(VALUE(FV1)&gt;39999,VALUE(FV1)&lt;49999),
"〒　811-1347",
IF(COUNTIF(FU3,"*吉塚ゆりの樹*"),"〒　811-1347","〒　811-1311"))</f>
        <v>〒　811-1311</v>
      </c>
      <c r="GA4" s="39"/>
      <c r="GB4" s="55">
        <f ca="1">IF(COUNTIF(OFFSET(納品書まとめ!$A$1,GB2-1,2),"*web*"),
IF(COUNTIF(OFFSET(納品書まとめ!$A$1,GB2,2),"*web*"),
IF(COUNTIF(OFFSET(納品書まとめ!$A$1,GB2+1,2),"*web*"),
IF(COUNTIF(OFFSET(納品書まとめ!$A$1,GB2+2,2),"*web*"),
IF(COUNTIF(OFFSET(納品書まとめ!$A$1,GB2+3,2),"*web*"),
IF(COUNTIF(OFFSET(納品書まとめ!$A$1,GB2+4,2),"*web*"),GB2+7,GB2+6),GB2+5),GB2+4),GB2+3),GB2+2),GB2+1)-GB2</f>
        <v>1</v>
      </c>
      <c r="GC4" s="56">
        <f ca="1">IF(COUNTIF(OFFSET(納品書まとめ!$A$1,GC2-1,54),"*●*"),7,
IF(COUNTIF(OFFSET(納品書まとめ!$A$1,GC2-1,55),"*●*"),8,
IF(COUNTIF(OFFSET(納品書まとめ!$A$1,GC2-1,56),"*●*"),9,
IF(COUNTIF(OFFSET(納品書まとめ!$A$1,GC2-1,57),"*●*"),10,
IF(COUNTIF(OFFSET(納品書まとめ!$A$1,GC2-1,58),"*●*"),11,
IF(COUNTIF(OFFSET(納品書まとめ!$A$1,GC2-1,59),"*●*"),12,
IF(COUNTIF(OFFSET(納品書まとめ!$A$1,GC2-1,60),"*●*"),13,
IF(COUNTIF(OFFSET(納品書まとめ!$A$1,GC2-1,61),"*●*"),14,
IF(COUNTIF(OFFSET(納品書まとめ!$A$1,GC2-1,62),"*●*"),15,
IF(COUNTIF(OFFSET(納品書まとめ!$A$1,GC2-1,63),"*●*"),16,0))))))))))</f>
        <v>7</v>
      </c>
      <c r="GD4" s="39"/>
      <c r="GE4" s="39"/>
      <c r="GK4" s="39" t="str">
        <f ca="1">IF(AND(VALUE(GG1)&gt;39999,VALUE(GG1)&lt;49999),
"〒　811-1347",
IF(COUNTIF(GF3,"*吉塚ゆりの樹*"),"〒　811-1347","〒　811-1311"))</f>
        <v>〒　811-1311</v>
      </c>
      <c r="GL4" s="39"/>
      <c r="GM4" s="55">
        <f ca="1">IF(COUNTIF(OFFSET(納品書まとめ!$A$1,GM2-1,2),"*web*"),
IF(COUNTIF(OFFSET(納品書まとめ!$A$1,GM2,2),"*web*"),
IF(COUNTIF(OFFSET(納品書まとめ!$A$1,GM2+1,2),"*web*"),
IF(COUNTIF(OFFSET(納品書まとめ!$A$1,GM2+2,2),"*web*"),
IF(COUNTIF(OFFSET(納品書まとめ!$A$1,GM2+3,2),"*web*"),
IF(COUNTIF(OFFSET(納品書まとめ!$A$1,GM2+4,2),"*web*"),GM2+7,GM2+6),GM2+5),GM2+4),GM2+3),GM2+2),GM2+1)-GM2</f>
        <v>2</v>
      </c>
      <c r="GN4" s="56">
        <f ca="1">IF(COUNTIF(OFFSET(納品書まとめ!$A$1,GN2-1,54),"*●*"),7,
IF(COUNTIF(OFFSET(納品書まとめ!$A$1,GN2-1,55),"*●*"),8,
IF(COUNTIF(OFFSET(納品書まとめ!$A$1,GN2-1,56),"*●*"),9,
IF(COUNTIF(OFFSET(納品書まとめ!$A$1,GN2-1,57),"*●*"),10,
IF(COUNTIF(OFFSET(納品書まとめ!$A$1,GN2-1,58),"*●*"),11,
IF(COUNTIF(OFFSET(納品書まとめ!$A$1,GN2-1,59),"*●*"),12,
IF(COUNTIF(OFFSET(納品書まとめ!$A$1,GN2-1,60),"*●*"),13,
IF(COUNTIF(OFFSET(納品書まとめ!$A$1,GN2-1,61),"*●*"),14,
IF(COUNTIF(OFFSET(納品書まとめ!$A$1,GN2-1,62),"*●*"),15,
IF(COUNTIF(OFFSET(納品書まとめ!$A$1,GN2-1,63),"*●*"),16,0))))))))))</f>
        <v>10</v>
      </c>
      <c r="GO4" s="39"/>
      <c r="GP4" s="39"/>
      <c r="GV4" s="39" t="str">
        <f ca="1">IF(AND(VALUE(GR1)&gt;39999,VALUE(GR1)&lt;49999),
"〒　811-1347",
IF(COUNTIF(GQ3,"*吉塚ゆりの樹*"),"〒　811-1347","〒　811-1311"))</f>
        <v>〒　811-1311</v>
      </c>
      <c r="GW4" s="39"/>
      <c r="GX4" s="55">
        <f ca="1">IF(COUNTIF(OFFSET(納品書まとめ!$A$1,GX2-1,2),"*web*"),
IF(COUNTIF(OFFSET(納品書まとめ!$A$1,GX2,2),"*web*"),
IF(COUNTIF(OFFSET(納品書まとめ!$A$1,GX2+1,2),"*web*"),
IF(COUNTIF(OFFSET(納品書まとめ!$A$1,GX2+2,2),"*web*"),
IF(COUNTIF(OFFSET(納品書まとめ!$A$1,GX2+3,2),"*web*"),
IF(COUNTIF(OFFSET(納品書まとめ!$A$1,GX2+4,2),"*web*"),GX2+7,GX2+6),GX2+5),GX2+4),GX2+3),GX2+2),GX2+1)-GX2</f>
        <v>1</v>
      </c>
      <c r="GY4" s="56">
        <f ca="1">IF(COUNTIF(OFFSET(納品書まとめ!$A$1,GY2-1,54),"*●*"),7,
IF(COUNTIF(OFFSET(納品書まとめ!$A$1,GY2-1,55),"*●*"),8,
IF(COUNTIF(OFFSET(納品書まとめ!$A$1,GY2-1,56),"*●*"),9,
IF(COUNTIF(OFFSET(納品書まとめ!$A$1,GY2-1,57),"*●*"),10,
IF(COUNTIF(OFFSET(納品書まとめ!$A$1,GY2-1,58),"*●*"),11,
IF(COUNTIF(OFFSET(納品書まとめ!$A$1,GY2-1,59),"*●*"),12,
IF(COUNTIF(OFFSET(納品書まとめ!$A$1,GY2-1,60),"*●*"),13,
IF(COUNTIF(OFFSET(納品書まとめ!$A$1,GY2-1,61),"*●*"),14,
IF(COUNTIF(OFFSET(納品書まとめ!$A$1,GY2-1,62),"*●*"),15,
IF(COUNTIF(OFFSET(納品書まとめ!$A$1,GY2-1,63),"*●*"),16,0))))))))))</f>
        <v>10</v>
      </c>
      <c r="GZ4" s="39"/>
      <c r="HA4" s="39"/>
      <c r="HG4" s="39" t="str">
        <f ca="1">IF(AND(VALUE(HC1)&gt;39999,VALUE(HC1)&lt;49999),
"〒　811-1347",
IF(COUNTIF(HB3,"*吉塚ゆりの樹*"),"〒　811-1347","〒　811-1311"))</f>
        <v>〒　811-1311</v>
      </c>
      <c r="HH4" s="39"/>
      <c r="HI4" s="55">
        <f ca="1">IF(COUNTIF(OFFSET(納品書まとめ!$A$1,HI2-1,2),"*web*"),
IF(COUNTIF(OFFSET(納品書まとめ!$A$1,HI2,2),"*web*"),
IF(COUNTIF(OFFSET(納品書まとめ!$A$1,HI2+1,2),"*web*"),
IF(COUNTIF(OFFSET(納品書まとめ!$A$1,HI2+2,2),"*web*"),
IF(COUNTIF(OFFSET(納品書まとめ!$A$1,HI2+3,2),"*web*"),
IF(COUNTIF(OFFSET(納品書まとめ!$A$1,HI2+4,2),"*web*"),HI2+7,HI2+6),HI2+5),HI2+4),HI2+3),HI2+2),HI2+1)-HI2</f>
        <v>1</v>
      </c>
      <c r="HJ4" s="56">
        <f ca="1">IF(COUNTIF(OFFSET(納品書まとめ!$A$1,HJ2-1,54),"*●*"),7,
IF(COUNTIF(OFFSET(納品書まとめ!$A$1,HJ2-1,55),"*●*"),8,
IF(COUNTIF(OFFSET(納品書まとめ!$A$1,HJ2-1,56),"*●*"),9,
IF(COUNTIF(OFFSET(納品書まとめ!$A$1,HJ2-1,57),"*●*"),10,
IF(COUNTIF(OFFSET(納品書まとめ!$A$1,HJ2-1,58),"*●*"),11,
IF(COUNTIF(OFFSET(納品書まとめ!$A$1,HJ2-1,59),"*●*"),12,
IF(COUNTIF(OFFSET(納品書まとめ!$A$1,HJ2-1,60),"*●*"),13,
IF(COUNTIF(OFFSET(納品書まとめ!$A$1,HJ2-1,61),"*●*"),14,
IF(COUNTIF(OFFSET(納品書まとめ!$A$1,HJ2-1,62),"*●*"),15,
IF(COUNTIF(OFFSET(納品書まとめ!$A$1,HJ2-1,63),"*●*"),16,0))))))))))</f>
        <v>10</v>
      </c>
      <c r="HK4" s="39"/>
      <c r="HL4" s="39"/>
      <c r="HR4" s="39" t="str">
        <f ca="1">IF(AND(VALUE(HN1)&gt;39999,VALUE(HN1)&lt;49999),
"〒　811-1347",
IF(COUNTIF(HM3,"*吉塚ゆりの樹*"),"〒　811-1347","〒　811-1311"))</f>
        <v>〒　811-1311</v>
      </c>
      <c r="HS4" s="39"/>
      <c r="HT4" s="55">
        <f ca="1">IF(COUNTIF(OFFSET(納品書まとめ!$A$1,HT2-1,2),"*web*"),
IF(COUNTIF(OFFSET(納品書まとめ!$A$1,HT2,2),"*web*"),
IF(COUNTIF(OFFSET(納品書まとめ!$A$1,HT2+1,2),"*web*"),
IF(COUNTIF(OFFSET(納品書まとめ!$A$1,HT2+2,2),"*web*"),
IF(COUNTIF(OFFSET(納品書まとめ!$A$1,HT2+3,2),"*web*"),
IF(COUNTIF(OFFSET(納品書まとめ!$A$1,HT2+4,2),"*web*"),HT2+7,HT2+6),HT2+5),HT2+4),HT2+3),HT2+2),HT2+1)-HT2</f>
        <v>1</v>
      </c>
      <c r="HU4" s="56">
        <f ca="1">IF(COUNTIF(OFFSET(納品書まとめ!$A$1,HU2-1,54),"*●*"),7,
IF(COUNTIF(OFFSET(納品書まとめ!$A$1,HU2-1,55),"*●*"),8,
IF(COUNTIF(OFFSET(納品書まとめ!$A$1,HU2-1,56),"*●*"),9,
IF(COUNTIF(OFFSET(納品書まとめ!$A$1,HU2-1,57),"*●*"),10,
IF(COUNTIF(OFFSET(納品書まとめ!$A$1,HU2-1,58),"*●*"),11,
IF(COUNTIF(OFFSET(納品書まとめ!$A$1,HU2-1,59),"*●*"),12,
IF(COUNTIF(OFFSET(納品書まとめ!$A$1,HU2-1,60),"*●*"),13,
IF(COUNTIF(OFFSET(納品書まとめ!$A$1,HU2-1,61),"*●*"),14,
IF(COUNTIF(OFFSET(納品書まとめ!$A$1,HU2-1,62),"*●*"),15,
IF(COUNTIF(OFFSET(納品書まとめ!$A$1,HU2-1,63),"*●*"),16,0))))))))))</f>
        <v>7</v>
      </c>
      <c r="HV4" s="39"/>
      <c r="HW4" s="39"/>
      <c r="IC4" s="39" t="str">
        <f ca="1">IF(AND(VALUE(HY1)&gt;39999,VALUE(HY1)&lt;49999),
"〒　811-1347",
IF(COUNTIF(HX3,"*吉塚ゆりの樹*"),"〒　811-1347","〒　811-1311"))</f>
        <v>〒　811-1311</v>
      </c>
      <c r="ID4" s="39"/>
      <c r="IE4" s="55">
        <f ca="1">IF(COUNTIF(OFFSET(納品書まとめ!$A$1,IE2-1,2),"*web*"),
IF(COUNTIF(OFFSET(納品書まとめ!$A$1,IE2,2),"*web*"),
IF(COUNTIF(OFFSET(納品書まとめ!$A$1,IE2+1,2),"*web*"),
IF(COUNTIF(OFFSET(納品書まとめ!$A$1,IE2+2,2),"*web*"),
IF(COUNTIF(OFFSET(納品書まとめ!$A$1,IE2+3,2),"*web*"),
IF(COUNTIF(OFFSET(納品書まとめ!$A$1,IE2+4,2),"*web*"),IE2+7,IE2+6),IE2+5),IE2+4),IE2+3),IE2+2),IE2+1)-IE2</f>
        <v>1</v>
      </c>
      <c r="IF4" s="56">
        <f ca="1">IF(COUNTIF(OFFSET(納品書まとめ!$A$1,IF2-1,54),"*●*"),7,
IF(COUNTIF(OFFSET(納品書まとめ!$A$1,IF2-1,55),"*●*"),8,
IF(COUNTIF(OFFSET(納品書まとめ!$A$1,IF2-1,56),"*●*"),9,
IF(COUNTIF(OFFSET(納品書まとめ!$A$1,IF2-1,57),"*●*"),10,
IF(COUNTIF(OFFSET(納品書まとめ!$A$1,IF2-1,58),"*●*"),11,
IF(COUNTIF(OFFSET(納品書まとめ!$A$1,IF2-1,59),"*●*"),12,
IF(COUNTIF(OFFSET(納品書まとめ!$A$1,IF2-1,60),"*●*"),13,
IF(COUNTIF(OFFSET(納品書まとめ!$A$1,IF2-1,61),"*●*"),14,
IF(COUNTIF(OFFSET(納品書まとめ!$A$1,IF2-1,62),"*●*"),15,
IF(COUNTIF(OFFSET(納品書まとめ!$A$1,IF2-1,63),"*●*"),16,0))))))))))</f>
        <v>7</v>
      </c>
      <c r="IG4" s="39"/>
      <c r="IH4" s="39"/>
      <c r="IN4" s="39" t="str">
        <f ca="1">IF(AND(VALUE(IJ1)&gt;39999,VALUE(IJ1)&lt;49999),
"〒　811-1347",
IF(COUNTIF(II3,"*吉塚ゆりの樹*"),"〒　811-1347","〒　811-1311"))</f>
        <v>〒　811-1311</v>
      </c>
      <c r="IO4" s="39"/>
      <c r="IP4" s="55">
        <f ca="1">IF(COUNTIF(OFFSET(納品書まとめ!$A$1,IP2-1,2),"*web*"),
IF(COUNTIF(OFFSET(納品書まとめ!$A$1,IP2,2),"*web*"),
IF(COUNTIF(OFFSET(納品書まとめ!$A$1,IP2+1,2),"*web*"),
IF(COUNTIF(OFFSET(納品書まとめ!$A$1,IP2+2,2),"*web*"),
IF(COUNTIF(OFFSET(納品書まとめ!$A$1,IP2+3,2),"*web*"),
IF(COUNTIF(OFFSET(納品書まとめ!$A$1,IP2+4,2),"*web*"),IP2+7,IP2+6),IP2+5),IP2+4),IP2+3),IP2+2),IP2+1)-IP2</f>
        <v>1</v>
      </c>
      <c r="IQ4" s="56">
        <f ca="1">IF(COUNTIF(OFFSET(納品書まとめ!$A$1,IQ2-1,54),"*●*"),7,
IF(COUNTIF(OFFSET(納品書まとめ!$A$1,IQ2-1,55),"*●*"),8,
IF(COUNTIF(OFFSET(納品書まとめ!$A$1,IQ2-1,56),"*●*"),9,
IF(COUNTIF(OFFSET(納品書まとめ!$A$1,IQ2-1,57),"*●*"),10,
IF(COUNTIF(OFFSET(納品書まとめ!$A$1,IQ2-1,58),"*●*"),11,
IF(COUNTIF(OFFSET(納品書まとめ!$A$1,IQ2-1,59),"*●*"),12,
IF(COUNTIF(OFFSET(納品書まとめ!$A$1,IQ2-1,60),"*●*"),13,
IF(COUNTIF(OFFSET(納品書まとめ!$A$1,IQ2-1,61),"*●*"),14,
IF(COUNTIF(OFFSET(納品書まとめ!$A$1,IQ2-1,62),"*●*"),15,
IF(COUNTIF(OFFSET(納品書まとめ!$A$1,IQ2-1,63),"*●*"),16,0))))))))))</f>
        <v>7</v>
      </c>
      <c r="IR4" s="39"/>
      <c r="IS4" s="39"/>
      <c r="IY4" s="39" t="str">
        <f ca="1">IF(AND(VALUE(IU1)&gt;39999,VALUE(IU1)&lt;49999),
"〒　811-1347",
IF(COUNTIF(IT3,"*吉塚ゆりの樹*"),"〒　811-1347","〒　811-1311"))</f>
        <v>〒　811-1311</v>
      </c>
      <c r="IZ4" s="39"/>
      <c r="JA4" s="55">
        <f ca="1">IF(COUNTIF(OFFSET(納品書まとめ!$A$1,JA2-1,2),"*web*"),
IF(COUNTIF(OFFSET(納品書まとめ!$A$1,JA2,2),"*web*"),
IF(COUNTIF(OFFSET(納品書まとめ!$A$1,JA2+1,2),"*web*"),
IF(COUNTIF(OFFSET(納品書まとめ!$A$1,JA2+2,2),"*web*"),
IF(COUNTIF(OFFSET(納品書まとめ!$A$1,JA2+3,2),"*web*"),
IF(COUNTIF(OFFSET(納品書まとめ!$A$1,JA2+4,2),"*web*"),JA2+7,JA2+6),JA2+5),JA2+4),JA2+3),JA2+2),JA2+1)-JA2</f>
        <v>1</v>
      </c>
      <c r="JB4" s="56">
        <f ca="1">IF(COUNTIF(OFFSET(納品書まとめ!$A$1,JB2-1,54),"*●*"),7,
IF(COUNTIF(OFFSET(納品書まとめ!$A$1,JB2-1,55),"*●*"),8,
IF(COUNTIF(OFFSET(納品書まとめ!$A$1,JB2-1,56),"*●*"),9,
IF(COUNTIF(OFFSET(納品書まとめ!$A$1,JB2-1,57),"*●*"),10,
IF(COUNTIF(OFFSET(納品書まとめ!$A$1,JB2-1,58),"*●*"),11,
IF(COUNTIF(OFFSET(納品書まとめ!$A$1,JB2-1,59),"*●*"),12,
IF(COUNTIF(OFFSET(納品書まとめ!$A$1,JB2-1,60),"*●*"),13,
IF(COUNTIF(OFFSET(納品書まとめ!$A$1,JB2-1,61),"*●*"),14,
IF(COUNTIF(OFFSET(納品書まとめ!$A$1,JB2-1,62),"*●*"),15,
IF(COUNTIF(OFFSET(納品書まとめ!$A$1,JB2-1,63),"*●*"),16,0))))))))))</f>
        <v>7</v>
      </c>
      <c r="JC4" s="39"/>
      <c r="JD4" s="39"/>
      <c r="JJ4" s="39" t="str">
        <f ca="1">IF(AND(VALUE(JF1)&gt;39999,VALUE(JF1)&lt;49999),
"〒　811-1347",
IF(COUNTIF(JE3,"*吉塚ゆりの樹*"),"〒　811-1347","〒　811-1311"))</f>
        <v>〒　811-1311</v>
      </c>
      <c r="JK4" s="39"/>
      <c r="JL4" s="55">
        <f ca="1">IF(COUNTIF(OFFSET(納品書まとめ!$A$1,JL2-1,2),"*web*"),
IF(COUNTIF(OFFSET(納品書まとめ!$A$1,JL2,2),"*web*"),
IF(COUNTIF(OFFSET(納品書まとめ!$A$1,JL2+1,2),"*web*"),
IF(COUNTIF(OFFSET(納品書まとめ!$A$1,JL2+2,2),"*web*"),
IF(COUNTIF(OFFSET(納品書まとめ!$A$1,JL2+3,2),"*web*"),
IF(COUNTIF(OFFSET(納品書まとめ!$A$1,JL2+4,2),"*web*"),JL2+7,JL2+6),JL2+5),JL2+4),JL2+3),JL2+2),JL2+1)-JL2</f>
        <v>1</v>
      </c>
      <c r="JM4" s="56">
        <f ca="1">IF(COUNTIF(OFFSET(納品書まとめ!$A$1,JM2-1,54),"*●*"),7,
IF(COUNTIF(OFFSET(納品書まとめ!$A$1,JM2-1,55),"*●*"),8,
IF(COUNTIF(OFFSET(納品書まとめ!$A$1,JM2-1,56),"*●*"),9,
IF(COUNTIF(OFFSET(納品書まとめ!$A$1,JM2-1,57),"*●*"),10,
IF(COUNTIF(OFFSET(納品書まとめ!$A$1,JM2-1,58),"*●*"),11,
IF(COUNTIF(OFFSET(納品書まとめ!$A$1,JM2-1,59),"*●*"),12,
IF(COUNTIF(OFFSET(納品書まとめ!$A$1,JM2-1,60),"*●*"),13,
IF(COUNTIF(OFFSET(納品書まとめ!$A$1,JM2-1,61),"*●*"),14,
IF(COUNTIF(OFFSET(納品書まとめ!$A$1,JM2-1,62),"*●*"),15,
IF(COUNTIF(OFFSET(納品書まとめ!$A$1,JM2-1,63),"*●*"),16,0))))))))))</f>
        <v>7</v>
      </c>
      <c r="JN4" s="39"/>
      <c r="JO4" s="39"/>
      <c r="JU4" s="39" t="str">
        <f ca="1">IF(AND(VALUE(JQ1)&gt;39999,VALUE(JQ1)&lt;49999),
"〒　811-1347",
IF(COUNTIF(JP3,"*吉塚ゆりの樹*"),"〒　811-1347","〒　811-1311"))</f>
        <v>〒　811-1311</v>
      </c>
      <c r="JV4" s="39"/>
      <c r="JW4" s="55">
        <f ca="1">IF(COUNTIF(OFFSET(納品書まとめ!$A$1,JW2-1,2),"*web*"),
IF(COUNTIF(OFFSET(納品書まとめ!$A$1,JW2,2),"*web*"),
IF(COUNTIF(OFFSET(納品書まとめ!$A$1,JW2+1,2),"*web*"),
IF(COUNTIF(OFFSET(納品書まとめ!$A$1,JW2+2,2),"*web*"),
IF(COUNTIF(OFFSET(納品書まとめ!$A$1,JW2+3,2),"*web*"),
IF(COUNTIF(OFFSET(納品書まとめ!$A$1,JW2+4,2),"*web*"),JW2+7,JW2+6),JW2+5),JW2+4),JW2+3),JW2+2),JW2+1)-JW2</f>
        <v>2</v>
      </c>
      <c r="JX4" s="56">
        <f ca="1">IF(COUNTIF(OFFSET(納品書まとめ!$A$1,JX2-1,54),"*●*"),7,
IF(COUNTIF(OFFSET(納品書まとめ!$A$1,JX2-1,55),"*●*"),8,
IF(COUNTIF(OFFSET(納品書まとめ!$A$1,JX2-1,56),"*●*"),9,
IF(COUNTIF(OFFSET(納品書まとめ!$A$1,JX2-1,57),"*●*"),10,
IF(COUNTIF(OFFSET(納品書まとめ!$A$1,JX2-1,58),"*●*"),11,
IF(COUNTIF(OFFSET(納品書まとめ!$A$1,JX2-1,59),"*●*"),12,
IF(COUNTIF(OFFSET(納品書まとめ!$A$1,JX2-1,60),"*●*"),13,
IF(COUNTIF(OFFSET(納品書まとめ!$A$1,JX2-1,61),"*●*"),14,
IF(COUNTIF(OFFSET(納品書まとめ!$A$1,JX2-1,62),"*●*"),15,
IF(COUNTIF(OFFSET(納品書まとめ!$A$1,JX2-1,63),"*●*"),16,0))))))))))</f>
        <v>7</v>
      </c>
      <c r="JY4" s="39"/>
      <c r="JZ4" s="39"/>
      <c r="KF4" s="39" t="str">
        <f ca="1">IF(AND(VALUE(KB1)&gt;39999,VALUE(KB1)&lt;49999),
"〒　811-1347",
IF(COUNTIF(KA3,"*吉塚ゆりの樹*"),"〒　811-1347","〒　811-1311"))</f>
        <v>〒　811-1311</v>
      </c>
      <c r="KG4" s="39"/>
      <c r="KH4" s="55">
        <f ca="1">IF(COUNTIF(OFFSET(納品書まとめ!$A$1,KH2-1,2),"*web*"),
IF(COUNTIF(OFFSET(納品書まとめ!$A$1,KH2,2),"*web*"),
IF(COUNTIF(OFFSET(納品書まとめ!$A$1,KH2+1,2),"*web*"),
IF(COUNTIF(OFFSET(納品書まとめ!$A$1,KH2+2,2),"*web*"),
IF(COUNTIF(OFFSET(納品書まとめ!$A$1,KH2+3,2),"*web*"),
IF(COUNTIF(OFFSET(納品書まとめ!$A$1,KH2+4,2),"*web*"),KH2+7,KH2+6),KH2+5),KH2+4),KH2+3),KH2+2),KH2+1)-KH2</f>
        <v>1</v>
      </c>
      <c r="KI4" s="56">
        <f ca="1">IF(COUNTIF(OFFSET(納品書まとめ!$A$1,KI2-1,54),"*●*"),7,
IF(COUNTIF(OFFSET(納品書まとめ!$A$1,KI2-1,55),"*●*"),8,
IF(COUNTIF(OFFSET(納品書まとめ!$A$1,KI2-1,56),"*●*"),9,
IF(COUNTIF(OFFSET(納品書まとめ!$A$1,KI2-1,57),"*●*"),10,
IF(COUNTIF(OFFSET(納品書まとめ!$A$1,KI2-1,58),"*●*"),11,
IF(COUNTIF(OFFSET(納品書まとめ!$A$1,KI2-1,59),"*●*"),12,
IF(COUNTIF(OFFSET(納品書まとめ!$A$1,KI2-1,60),"*●*"),13,
IF(COUNTIF(OFFSET(納品書まとめ!$A$1,KI2-1,61),"*●*"),14,
IF(COUNTIF(OFFSET(納品書まとめ!$A$1,KI2-1,62),"*●*"),15,
IF(COUNTIF(OFFSET(納品書まとめ!$A$1,KI2-1,63),"*●*"),16,0))))))))))</f>
        <v>7</v>
      </c>
      <c r="KJ4" s="39"/>
      <c r="KK4" s="39"/>
      <c r="KQ4" s="39" t="str">
        <f ca="1">IF(AND(VALUE(KM1)&gt;39999,VALUE(KM1)&lt;49999),
"〒　811-1347",
IF(COUNTIF(KL3,"*吉塚ゆりの樹*"),"〒　811-1347","〒　811-1311"))</f>
        <v>〒　811-1311</v>
      </c>
      <c r="KR4" s="39"/>
      <c r="KS4" s="55">
        <f ca="1">IF(COUNTIF(OFFSET(納品書まとめ!$A$1,KS2-1,2),"*web*"),
IF(COUNTIF(OFFSET(納品書まとめ!$A$1,KS2,2),"*web*"),
IF(COUNTIF(OFFSET(納品書まとめ!$A$1,KS2+1,2),"*web*"),
IF(COUNTIF(OFFSET(納品書まとめ!$A$1,KS2+2,2),"*web*"),
IF(COUNTIF(OFFSET(納品書まとめ!$A$1,KS2+3,2),"*web*"),
IF(COUNTIF(OFFSET(納品書まとめ!$A$1,KS2+4,2),"*web*"),KS2+7,KS2+6),KS2+5),KS2+4),KS2+3),KS2+2),KS2+1)-KS2</f>
        <v>1</v>
      </c>
      <c r="KT4" s="56">
        <f ca="1">IF(COUNTIF(OFFSET(納品書まとめ!$A$1,KT2-1,54),"*●*"),7,
IF(COUNTIF(OFFSET(納品書まとめ!$A$1,KT2-1,55),"*●*"),8,
IF(COUNTIF(OFFSET(納品書まとめ!$A$1,KT2-1,56),"*●*"),9,
IF(COUNTIF(OFFSET(納品書まとめ!$A$1,KT2-1,57),"*●*"),10,
IF(COUNTIF(OFFSET(納品書まとめ!$A$1,KT2-1,58),"*●*"),11,
IF(COUNTIF(OFFSET(納品書まとめ!$A$1,KT2-1,59),"*●*"),12,
IF(COUNTIF(OFFSET(納品書まとめ!$A$1,KT2-1,60),"*●*"),13,
IF(COUNTIF(OFFSET(納品書まとめ!$A$1,KT2-1,61),"*●*"),14,
IF(COUNTIF(OFFSET(納品書まとめ!$A$1,KT2-1,62),"*●*"),15,
IF(COUNTIF(OFFSET(納品書まとめ!$A$1,KT2-1,63),"*●*"),16,0))))))))))</f>
        <v>16</v>
      </c>
      <c r="KU4" s="39"/>
      <c r="KV4" s="39"/>
      <c r="LB4" s="39" t="str">
        <f ca="1">IF(AND(VALUE(KX1)&gt;39999,VALUE(KX1)&lt;49999),
"〒　811-1347",
IF(COUNTIF(KW3,"*吉塚ゆりの樹*"),"〒　811-1347","〒　811-1311"))</f>
        <v>〒　811-1311</v>
      </c>
      <c r="LC4" s="39"/>
      <c r="LD4" s="55">
        <f ca="1">IF(COUNTIF(OFFSET(納品書まとめ!$A$1,LD2-1,2),"*web*"),
IF(COUNTIF(OFFSET(納品書まとめ!$A$1,LD2,2),"*web*"),
IF(COUNTIF(OFFSET(納品書まとめ!$A$1,LD2+1,2),"*web*"),
IF(COUNTIF(OFFSET(納品書まとめ!$A$1,LD2+2,2),"*web*"),
IF(COUNTIF(OFFSET(納品書まとめ!$A$1,LD2+3,2),"*web*"),
IF(COUNTIF(OFFSET(納品書まとめ!$A$1,LD2+4,2),"*web*"),LD2+7,LD2+6),LD2+5),LD2+4),LD2+3),LD2+2),LD2+1)-LD2</f>
        <v>1</v>
      </c>
      <c r="LE4" s="56">
        <f ca="1">IF(COUNTIF(OFFSET(納品書まとめ!$A$1,LE2-1,54),"*●*"),7,
IF(COUNTIF(OFFSET(納品書まとめ!$A$1,LE2-1,55),"*●*"),8,
IF(COUNTIF(OFFSET(納品書まとめ!$A$1,LE2-1,56),"*●*"),9,
IF(COUNTIF(OFFSET(納品書まとめ!$A$1,LE2-1,57),"*●*"),10,
IF(COUNTIF(OFFSET(納品書まとめ!$A$1,LE2-1,58),"*●*"),11,
IF(COUNTIF(OFFSET(納品書まとめ!$A$1,LE2-1,59),"*●*"),12,
IF(COUNTIF(OFFSET(納品書まとめ!$A$1,LE2-1,60),"*●*"),13,
IF(COUNTIF(OFFSET(納品書まとめ!$A$1,LE2-1,61),"*●*"),14,
IF(COUNTIF(OFFSET(納品書まとめ!$A$1,LE2-1,62),"*●*"),15,
IF(COUNTIF(OFFSET(納品書まとめ!$A$1,LE2-1,63),"*●*"),16,0))))))))))</f>
        <v>13</v>
      </c>
      <c r="LF4" s="39"/>
      <c r="LG4" s="39"/>
      <c r="LM4" s="39" t="str">
        <f ca="1">IF(AND(VALUE(LI1)&gt;39999,VALUE(LI1)&lt;49999),
"〒　811-1347",
IF(COUNTIF(LH3,"*吉塚ゆりの樹*"),"〒　811-1347","〒　811-1311"))</f>
        <v>〒　811-1311</v>
      </c>
      <c r="LN4" s="39"/>
      <c r="LO4" s="55">
        <f ca="1">IF(COUNTIF(OFFSET(納品書まとめ!$A$1,LO2-1,2),"*web*"),
IF(COUNTIF(OFFSET(納品書まとめ!$A$1,LO2,2),"*web*"),
IF(COUNTIF(OFFSET(納品書まとめ!$A$1,LO2+1,2),"*web*"),
IF(COUNTIF(OFFSET(納品書まとめ!$A$1,LO2+2,2),"*web*"),
IF(COUNTIF(OFFSET(納品書まとめ!$A$1,LO2+3,2),"*web*"),
IF(COUNTIF(OFFSET(納品書まとめ!$A$1,LO2+4,2),"*web*"),LO2+7,LO2+6),LO2+5),LO2+4),LO2+3),LO2+2),LO2+1)-LO2</f>
        <v>1</v>
      </c>
      <c r="LP4" s="56">
        <f ca="1">IF(COUNTIF(OFFSET(納品書まとめ!$A$1,LP2-1,54),"*●*"),7,
IF(COUNTIF(OFFSET(納品書まとめ!$A$1,LP2-1,55),"*●*"),8,
IF(COUNTIF(OFFSET(納品書まとめ!$A$1,LP2-1,56),"*●*"),9,
IF(COUNTIF(OFFSET(納品書まとめ!$A$1,LP2-1,57),"*●*"),10,
IF(COUNTIF(OFFSET(納品書まとめ!$A$1,LP2-1,58),"*●*"),11,
IF(COUNTIF(OFFSET(納品書まとめ!$A$1,LP2-1,59),"*●*"),12,
IF(COUNTIF(OFFSET(納品書まとめ!$A$1,LP2-1,60),"*●*"),13,
IF(COUNTIF(OFFSET(納品書まとめ!$A$1,LP2-1,61),"*●*"),14,
IF(COUNTIF(OFFSET(納品書まとめ!$A$1,LP2-1,62),"*●*"),15,
IF(COUNTIF(OFFSET(納品書まとめ!$A$1,LP2-1,63),"*●*"),16,0))))))))))</f>
        <v>13</v>
      </c>
      <c r="LQ4" s="39"/>
      <c r="LR4" s="39"/>
      <c r="LX4" s="39" t="str">
        <f ca="1">IF(AND(VALUE(LT1)&gt;39999,VALUE(LT1)&lt;49999),
"〒　811-1347",
IF(COUNTIF(LS3,"*吉塚ゆりの樹*"),"〒　811-1347","〒　811-1311"))</f>
        <v>〒　811-1311</v>
      </c>
      <c r="LY4" s="39"/>
      <c r="LZ4" s="55">
        <f ca="1">IF(COUNTIF(OFFSET(納品書まとめ!$A$1,LZ2-1,2),"*web*"),
IF(COUNTIF(OFFSET(納品書まとめ!$A$1,LZ2,2),"*web*"),
IF(COUNTIF(OFFSET(納品書まとめ!$A$1,LZ2+1,2),"*web*"),
IF(COUNTIF(OFFSET(納品書まとめ!$A$1,LZ2+2,2),"*web*"),
IF(COUNTIF(OFFSET(納品書まとめ!$A$1,LZ2+3,2),"*web*"),
IF(COUNTIF(OFFSET(納品書まとめ!$A$1,LZ2+4,2),"*web*"),LZ2+7,LZ2+6),LZ2+5),LZ2+4),LZ2+3),LZ2+2),LZ2+1)-LZ2</f>
        <v>1</v>
      </c>
      <c r="MA4" s="56">
        <f ca="1">IF(COUNTIF(OFFSET(納品書まとめ!$A$1,MA2-1,54),"*●*"),7,
IF(COUNTIF(OFFSET(納品書まとめ!$A$1,MA2-1,55),"*●*"),8,
IF(COUNTIF(OFFSET(納品書まとめ!$A$1,MA2-1,56),"*●*"),9,
IF(COUNTIF(OFFSET(納品書まとめ!$A$1,MA2-1,57),"*●*"),10,
IF(COUNTIF(OFFSET(納品書まとめ!$A$1,MA2-1,58),"*●*"),11,
IF(COUNTIF(OFFSET(納品書まとめ!$A$1,MA2-1,59),"*●*"),12,
IF(COUNTIF(OFFSET(納品書まとめ!$A$1,MA2-1,60),"*●*"),13,
IF(COUNTIF(OFFSET(納品書まとめ!$A$1,MA2-1,61),"*●*"),14,
IF(COUNTIF(OFFSET(納品書まとめ!$A$1,MA2-1,62),"*●*"),15,
IF(COUNTIF(OFFSET(納品書まとめ!$A$1,MA2-1,63),"*●*"),16,0))))))))))</f>
        <v>10</v>
      </c>
      <c r="MB4" s="39"/>
      <c r="MC4" s="39"/>
      <c r="MI4" s="39" t="str">
        <f ca="1">IF(AND(VALUE(ME1)&gt;39999,VALUE(ME1)&lt;49999),
"〒　811-1347",
IF(COUNTIF(MD3,"*吉塚ゆりの樹*"),"〒　811-1347","〒　811-1311"))</f>
        <v>〒　811-1311</v>
      </c>
      <c r="MJ4" s="39"/>
      <c r="MK4" s="55">
        <f ca="1">IF(COUNTIF(OFFSET(納品書まとめ!$A$1,MK2-1,2),"*web*"),
IF(COUNTIF(OFFSET(納品書まとめ!$A$1,MK2,2),"*web*"),
IF(COUNTIF(OFFSET(納品書まとめ!$A$1,MK2+1,2),"*web*"),
IF(COUNTIF(OFFSET(納品書まとめ!$A$1,MK2+2,2),"*web*"),
IF(COUNTIF(OFFSET(納品書まとめ!$A$1,MK2+3,2),"*web*"),
IF(COUNTIF(OFFSET(納品書まとめ!$A$1,MK2+4,2),"*web*"),MK2+7,MK2+6),MK2+5),MK2+4),MK2+3),MK2+2),MK2+1)-MK2</f>
        <v>1</v>
      </c>
      <c r="ML4" s="56">
        <f ca="1">IF(COUNTIF(OFFSET(納品書まとめ!$A$1,ML2-1,54),"*●*"),7,
IF(COUNTIF(OFFSET(納品書まとめ!$A$1,ML2-1,55),"*●*"),8,
IF(COUNTIF(OFFSET(納品書まとめ!$A$1,ML2-1,56),"*●*"),9,
IF(COUNTIF(OFFSET(納品書まとめ!$A$1,ML2-1,57),"*●*"),10,
IF(COUNTIF(OFFSET(納品書まとめ!$A$1,ML2-1,58),"*●*"),11,
IF(COUNTIF(OFFSET(納品書まとめ!$A$1,ML2-1,59),"*●*"),12,
IF(COUNTIF(OFFSET(納品書まとめ!$A$1,ML2-1,60),"*●*"),13,
IF(COUNTIF(OFFSET(納品書まとめ!$A$1,ML2-1,61),"*●*"),14,
IF(COUNTIF(OFFSET(納品書まとめ!$A$1,ML2-1,62),"*●*"),15,
IF(COUNTIF(OFFSET(納品書まとめ!$A$1,ML2-1,63),"*●*"),16,0))))))))))</f>
        <v>13</v>
      </c>
      <c r="MM4" s="39"/>
      <c r="MN4" s="39"/>
      <c r="MT4" s="39" t="str">
        <f ca="1">IF(AND(VALUE(MP1)&gt;39999,VALUE(MP1)&lt;49999),
"〒　811-1347",
IF(COUNTIF(MO3,"*吉塚ゆりの樹*"),"〒　811-1347","〒　811-1311"))</f>
        <v>〒　811-1311</v>
      </c>
      <c r="MU4" s="39"/>
      <c r="MV4" s="55">
        <f ca="1">IF(COUNTIF(OFFSET(納品書まとめ!$A$1,MV2-1,2),"*web*"),
IF(COUNTIF(OFFSET(納品書まとめ!$A$1,MV2,2),"*web*"),
IF(COUNTIF(OFFSET(納品書まとめ!$A$1,MV2+1,2),"*web*"),
IF(COUNTIF(OFFSET(納品書まとめ!$A$1,MV2+2,2),"*web*"),
IF(COUNTIF(OFFSET(納品書まとめ!$A$1,MV2+3,2),"*web*"),
IF(COUNTIF(OFFSET(納品書まとめ!$A$1,MV2+4,2),"*web*"),MV2+7,MV2+6),MV2+5),MV2+4),MV2+3),MV2+2),MV2+1)-MV2</f>
        <v>1</v>
      </c>
      <c r="MW4" s="56">
        <f ca="1">IF(COUNTIF(OFFSET(納品書まとめ!$A$1,MW2-1,54),"*●*"),7,
IF(COUNTIF(OFFSET(納品書まとめ!$A$1,MW2-1,55),"*●*"),8,
IF(COUNTIF(OFFSET(納品書まとめ!$A$1,MW2-1,56),"*●*"),9,
IF(COUNTIF(OFFSET(納品書まとめ!$A$1,MW2-1,57),"*●*"),10,
IF(COUNTIF(OFFSET(納品書まとめ!$A$1,MW2-1,58),"*●*"),11,
IF(COUNTIF(OFFSET(納品書まとめ!$A$1,MW2-1,59),"*●*"),12,
IF(COUNTIF(OFFSET(納品書まとめ!$A$1,MW2-1,60),"*●*"),13,
IF(COUNTIF(OFFSET(納品書まとめ!$A$1,MW2-1,61),"*●*"),14,
IF(COUNTIF(OFFSET(納品書まとめ!$A$1,MW2-1,62),"*●*"),15,
IF(COUNTIF(OFFSET(納品書まとめ!$A$1,MW2-1,63),"*●*"),16,0))))))))))</f>
        <v>10</v>
      </c>
      <c r="MX4" s="39"/>
      <c r="MY4" s="39"/>
      <c r="NE4" s="39" t="str">
        <f ca="1">IF(AND(VALUE(NA1)&gt;39999,VALUE(NA1)&lt;49999),
"〒　811-1347",
IF(COUNTIF(MZ3,"*吉塚ゆりの樹*"),"〒　811-1347","〒　811-1311"))</f>
        <v>〒　811-1311</v>
      </c>
      <c r="NF4" s="39"/>
      <c r="NG4" s="55">
        <f ca="1">IF(COUNTIF(OFFSET(納品書まとめ!$A$1,NG2-1,2),"*web*"),
IF(COUNTIF(OFFSET(納品書まとめ!$A$1,NG2,2),"*web*"),
IF(COUNTIF(OFFSET(納品書まとめ!$A$1,NG2+1,2),"*web*"),
IF(COUNTIF(OFFSET(納品書まとめ!$A$1,NG2+2,2),"*web*"),
IF(COUNTIF(OFFSET(納品書まとめ!$A$1,NG2+3,2),"*web*"),
IF(COUNTIF(OFFSET(納品書まとめ!$A$1,NG2+4,2),"*web*"),NG2+7,NG2+6),NG2+5),NG2+4),NG2+3),NG2+2),NG2+1)-NG2</f>
        <v>1</v>
      </c>
      <c r="NH4" s="56">
        <f ca="1">IF(COUNTIF(OFFSET(納品書まとめ!$A$1,NH2-1,54),"*●*"),7,
IF(COUNTIF(OFFSET(納品書まとめ!$A$1,NH2-1,55),"*●*"),8,
IF(COUNTIF(OFFSET(納品書まとめ!$A$1,NH2-1,56),"*●*"),9,
IF(COUNTIF(OFFSET(納品書まとめ!$A$1,NH2-1,57),"*●*"),10,
IF(COUNTIF(OFFSET(納品書まとめ!$A$1,NH2-1,58),"*●*"),11,
IF(COUNTIF(OFFSET(納品書まとめ!$A$1,NH2-1,59),"*●*"),12,
IF(COUNTIF(OFFSET(納品書まとめ!$A$1,NH2-1,60),"*●*"),13,
IF(COUNTIF(OFFSET(納品書まとめ!$A$1,NH2-1,61),"*●*"),14,
IF(COUNTIF(OFFSET(納品書まとめ!$A$1,NH2-1,62),"*●*"),15,
IF(COUNTIF(OFFSET(納品書まとめ!$A$1,NH2-1,63),"*●*"),16,0))))))))))</f>
        <v>7</v>
      </c>
      <c r="NI4" s="39"/>
      <c r="NJ4" s="39"/>
      <c r="NP4" s="39" t="str">
        <f ca="1">IF(AND(VALUE(NL1)&gt;39999,VALUE(NL1)&lt;49999),
"〒　811-1347",
IF(COUNTIF(NK3,"*吉塚ゆりの樹*"),"〒　811-1347","〒　811-1311"))</f>
        <v>〒　811-1311</v>
      </c>
      <c r="NQ4" s="39"/>
      <c r="NR4" s="55">
        <f ca="1">IF(COUNTIF(OFFSET(納品書まとめ!$A$1,NR2-1,2),"*web*"),
IF(COUNTIF(OFFSET(納品書まとめ!$A$1,NR2,2),"*web*"),
IF(COUNTIF(OFFSET(納品書まとめ!$A$1,NR2+1,2),"*web*"),
IF(COUNTIF(OFFSET(納品書まとめ!$A$1,NR2+2,2),"*web*"),
IF(COUNTIF(OFFSET(納品書まとめ!$A$1,NR2+3,2),"*web*"),
IF(COUNTIF(OFFSET(納品書まとめ!$A$1,NR2+4,2),"*web*"),NR2+7,NR2+6),NR2+5),NR2+4),NR2+3),NR2+2),NR2+1)-NR2</f>
        <v>1</v>
      </c>
      <c r="NS4" s="56">
        <f ca="1">IF(COUNTIF(OFFSET(納品書まとめ!$A$1,NS2-1,54),"*●*"),7,
IF(COUNTIF(OFFSET(納品書まとめ!$A$1,NS2-1,55),"*●*"),8,
IF(COUNTIF(OFFSET(納品書まとめ!$A$1,NS2-1,56),"*●*"),9,
IF(COUNTIF(OFFSET(納品書まとめ!$A$1,NS2-1,57),"*●*"),10,
IF(COUNTIF(OFFSET(納品書まとめ!$A$1,NS2-1,58),"*●*"),11,
IF(COUNTIF(OFFSET(納品書まとめ!$A$1,NS2-1,59),"*●*"),12,
IF(COUNTIF(OFFSET(納品書まとめ!$A$1,NS2-1,60),"*●*"),13,
IF(COUNTIF(OFFSET(納品書まとめ!$A$1,NS2-1,61),"*●*"),14,
IF(COUNTIF(OFFSET(納品書まとめ!$A$1,NS2-1,62),"*●*"),15,
IF(COUNTIF(OFFSET(納品書まとめ!$A$1,NS2-1,63),"*●*"),16,0))))))))))</f>
        <v>10</v>
      </c>
      <c r="NT4" s="39"/>
      <c r="NU4" s="39"/>
      <c r="OA4" s="39" t="str">
        <f ca="1">IF(AND(VALUE(NW1)&gt;39999,VALUE(NW1)&lt;49999),
"〒　811-1347",
IF(COUNTIF(NV3,"*吉塚ゆりの樹*"),"〒　811-1347","〒　811-1311"))</f>
        <v>〒　811-1311</v>
      </c>
      <c r="OB4" s="39"/>
      <c r="OC4" s="55">
        <f ca="1">IF(COUNTIF(OFFSET(納品書まとめ!$A$1,OC2-1,2),"*web*"),
IF(COUNTIF(OFFSET(納品書まとめ!$A$1,OC2,2),"*web*"),
IF(COUNTIF(OFFSET(納品書まとめ!$A$1,OC2+1,2),"*web*"),
IF(COUNTIF(OFFSET(納品書まとめ!$A$1,OC2+2,2),"*web*"),
IF(COUNTIF(OFFSET(納品書まとめ!$A$1,OC2+3,2),"*web*"),
IF(COUNTIF(OFFSET(納品書まとめ!$A$1,OC2+4,2),"*web*"),OC2+7,OC2+6),OC2+5),OC2+4),OC2+3),OC2+2),OC2+1)-OC2</f>
        <v>1</v>
      </c>
      <c r="OD4" s="56">
        <f ca="1">IF(COUNTIF(OFFSET(納品書まとめ!$A$1,OD2-1,54),"*●*"),7,
IF(COUNTIF(OFFSET(納品書まとめ!$A$1,OD2-1,55),"*●*"),8,
IF(COUNTIF(OFFSET(納品書まとめ!$A$1,OD2-1,56),"*●*"),9,
IF(COUNTIF(OFFSET(納品書まとめ!$A$1,OD2-1,57),"*●*"),10,
IF(COUNTIF(OFFSET(納品書まとめ!$A$1,OD2-1,58),"*●*"),11,
IF(COUNTIF(OFFSET(納品書まとめ!$A$1,OD2-1,59),"*●*"),12,
IF(COUNTIF(OFFSET(納品書まとめ!$A$1,OD2-1,60),"*●*"),13,
IF(COUNTIF(OFFSET(納品書まとめ!$A$1,OD2-1,61),"*●*"),14,
IF(COUNTIF(OFFSET(納品書まとめ!$A$1,OD2-1,62),"*●*"),15,
IF(COUNTIF(OFFSET(納品書まとめ!$A$1,OD2-1,63),"*●*"),16,0))))))))))</f>
        <v>10</v>
      </c>
      <c r="OE4" s="39"/>
      <c r="OF4" s="39"/>
      <c r="OL4" s="39" t="str">
        <f ca="1">IF(AND(VALUE(OH1)&gt;39999,VALUE(OH1)&lt;49999),
"〒　811-1347",
IF(COUNTIF(OG3,"*吉塚ゆりの樹*"),"〒　811-1347","〒　811-1311"))</f>
        <v>〒　811-1311</v>
      </c>
      <c r="OM4" s="39"/>
      <c r="ON4" s="55">
        <f ca="1">IF(COUNTIF(OFFSET(納品書まとめ!$A$1,ON2-1,2),"*web*"),
IF(COUNTIF(OFFSET(納品書まとめ!$A$1,ON2,2),"*web*"),
IF(COUNTIF(OFFSET(納品書まとめ!$A$1,ON2+1,2),"*web*"),
IF(COUNTIF(OFFSET(納品書まとめ!$A$1,ON2+2,2),"*web*"),
IF(COUNTIF(OFFSET(納品書まとめ!$A$1,ON2+3,2),"*web*"),
IF(COUNTIF(OFFSET(納品書まとめ!$A$1,ON2+4,2),"*web*"),ON2+7,ON2+6),ON2+5),ON2+4),ON2+3),ON2+2),ON2+1)-ON2</f>
        <v>1</v>
      </c>
      <c r="OO4" s="56">
        <f ca="1">IF(COUNTIF(OFFSET(納品書まとめ!$A$1,OO2-1,54),"*●*"),7,
IF(COUNTIF(OFFSET(納品書まとめ!$A$1,OO2-1,55),"*●*"),8,
IF(COUNTIF(OFFSET(納品書まとめ!$A$1,OO2-1,56),"*●*"),9,
IF(COUNTIF(OFFSET(納品書まとめ!$A$1,OO2-1,57),"*●*"),10,
IF(COUNTIF(OFFSET(納品書まとめ!$A$1,OO2-1,58),"*●*"),11,
IF(COUNTIF(OFFSET(納品書まとめ!$A$1,OO2-1,59),"*●*"),12,
IF(COUNTIF(OFFSET(納品書まとめ!$A$1,OO2-1,60),"*●*"),13,
IF(COUNTIF(OFFSET(納品書まとめ!$A$1,OO2-1,61),"*●*"),14,
IF(COUNTIF(OFFSET(納品書まとめ!$A$1,OO2-1,62),"*●*"),15,
IF(COUNTIF(OFFSET(納品書まとめ!$A$1,OO2-1,63),"*●*"),16,0))))))))))</f>
        <v>10</v>
      </c>
      <c r="OP4" s="39"/>
      <c r="OQ4" s="39"/>
      <c r="OW4" s="39" t="str">
        <f ca="1">IF(AND(VALUE(OS1)&gt;39999,VALUE(OS1)&lt;49999),
"〒　811-1347",
IF(COUNTIF(OR3,"*吉塚ゆりの樹*"),"〒　811-1347","〒　811-1311"))</f>
        <v>〒　811-1311</v>
      </c>
      <c r="OX4" s="39"/>
      <c r="OY4" s="55">
        <f ca="1">IF(COUNTIF(OFFSET(納品書まとめ!$A$1,OY2-1,2),"*web*"),
IF(COUNTIF(OFFSET(納品書まとめ!$A$1,OY2,2),"*web*"),
IF(COUNTIF(OFFSET(納品書まとめ!$A$1,OY2+1,2),"*web*"),
IF(COUNTIF(OFFSET(納品書まとめ!$A$1,OY2+2,2),"*web*"),
IF(COUNTIF(OFFSET(納品書まとめ!$A$1,OY2+3,2),"*web*"),
IF(COUNTIF(OFFSET(納品書まとめ!$A$1,OY2+4,2),"*web*"),OY2+7,OY2+6),OY2+5),OY2+4),OY2+3),OY2+2),OY2+1)-OY2</f>
        <v>2</v>
      </c>
      <c r="OZ4" s="56">
        <f ca="1">IF(COUNTIF(OFFSET(納品書まとめ!$A$1,OZ2-1,54),"*●*"),7,
IF(COUNTIF(OFFSET(納品書まとめ!$A$1,OZ2-1,55),"*●*"),8,
IF(COUNTIF(OFFSET(納品書まとめ!$A$1,OZ2-1,56),"*●*"),9,
IF(COUNTIF(OFFSET(納品書まとめ!$A$1,OZ2-1,57),"*●*"),10,
IF(COUNTIF(OFFSET(納品書まとめ!$A$1,OZ2-1,58),"*●*"),11,
IF(COUNTIF(OFFSET(納品書まとめ!$A$1,OZ2-1,59),"*●*"),12,
IF(COUNTIF(OFFSET(納品書まとめ!$A$1,OZ2-1,60),"*●*"),13,
IF(COUNTIF(OFFSET(納品書まとめ!$A$1,OZ2-1,61),"*●*"),14,
IF(COUNTIF(OFFSET(納品書まとめ!$A$1,OZ2-1,62),"*●*"),15,
IF(COUNTIF(OFFSET(納品書まとめ!$A$1,OZ2-1,63),"*●*"),16,0))))))))))</f>
        <v>10</v>
      </c>
      <c r="PA4" s="39"/>
      <c r="PB4" s="39"/>
      <c r="PH4" s="39" t="str">
        <f ca="1">IF(AND(VALUE(PD1)&gt;39999,VALUE(PD1)&lt;49999),
"〒　811-1347",
IF(COUNTIF(PC3,"*吉塚ゆりの樹*"),"〒　811-1347","〒　811-1311"))</f>
        <v>〒　811-1311</v>
      </c>
      <c r="PI4" s="39"/>
      <c r="PJ4" s="55">
        <f ca="1">IF(COUNTIF(OFFSET(納品書まとめ!$A$1,PJ2-1,2),"*web*"),
IF(COUNTIF(OFFSET(納品書まとめ!$A$1,PJ2,2),"*web*"),
IF(COUNTIF(OFFSET(納品書まとめ!$A$1,PJ2+1,2),"*web*"),
IF(COUNTIF(OFFSET(納品書まとめ!$A$1,PJ2+2,2),"*web*"),
IF(COUNTIF(OFFSET(納品書まとめ!$A$1,PJ2+3,2),"*web*"),
IF(COUNTIF(OFFSET(納品書まとめ!$A$1,PJ2+4,2),"*web*"),PJ2+7,PJ2+6),PJ2+5),PJ2+4),PJ2+3),PJ2+2),PJ2+1)-PJ2</f>
        <v>1</v>
      </c>
      <c r="PK4" s="56">
        <f ca="1">IF(COUNTIF(OFFSET(納品書まとめ!$A$1,PK2-1,54),"*●*"),7,
IF(COUNTIF(OFFSET(納品書まとめ!$A$1,PK2-1,55),"*●*"),8,
IF(COUNTIF(OFFSET(納品書まとめ!$A$1,PK2-1,56),"*●*"),9,
IF(COUNTIF(OFFSET(納品書まとめ!$A$1,PK2-1,57),"*●*"),10,
IF(COUNTIF(OFFSET(納品書まとめ!$A$1,PK2-1,58),"*●*"),11,
IF(COUNTIF(OFFSET(納品書まとめ!$A$1,PK2-1,59),"*●*"),12,
IF(COUNTIF(OFFSET(納品書まとめ!$A$1,PK2-1,60),"*●*"),13,
IF(COUNTIF(OFFSET(納品書まとめ!$A$1,PK2-1,61),"*●*"),14,
IF(COUNTIF(OFFSET(納品書まとめ!$A$1,PK2-1,62),"*●*"),15,
IF(COUNTIF(OFFSET(納品書まとめ!$A$1,PK2-1,63),"*●*"),16,0))))))))))</f>
        <v>7</v>
      </c>
      <c r="PL4" s="39"/>
      <c r="PM4" s="39"/>
      <c r="PS4" s="39" t="str">
        <f ca="1">IF(AND(VALUE(PO1)&gt;39999,VALUE(PO1)&lt;49999),
"〒　811-1347",
IF(COUNTIF(PN3,"*吉塚ゆりの樹*"),"〒　811-1347","〒　811-1311"))</f>
        <v>〒　811-1311</v>
      </c>
      <c r="PT4" s="39"/>
      <c r="PU4" s="55">
        <f ca="1">IF(COUNTIF(OFFSET(納品書まとめ!$A$1,PU2-1,2),"*web*"),
IF(COUNTIF(OFFSET(納品書まとめ!$A$1,PU2,2),"*web*"),
IF(COUNTIF(OFFSET(納品書まとめ!$A$1,PU2+1,2),"*web*"),
IF(COUNTIF(OFFSET(納品書まとめ!$A$1,PU2+2,2),"*web*"),
IF(COUNTIF(OFFSET(納品書まとめ!$A$1,PU2+3,2),"*web*"),
IF(COUNTIF(OFFSET(納品書まとめ!$A$1,PU2+4,2),"*web*"),PU2+7,PU2+6),PU2+5),PU2+4),PU2+3),PU2+2),PU2+1)-PU2</f>
        <v>1</v>
      </c>
      <c r="PV4" s="56">
        <f ca="1">IF(COUNTIF(OFFSET(納品書まとめ!$A$1,PV2-1,54),"*●*"),7,
IF(COUNTIF(OFFSET(納品書まとめ!$A$1,PV2-1,55),"*●*"),8,
IF(COUNTIF(OFFSET(納品書まとめ!$A$1,PV2-1,56),"*●*"),9,
IF(COUNTIF(OFFSET(納品書まとめ!$A$1,PV2-1,57),"*●*"),10,
IF(COUNTIF(OFFSET(納品書まとめ!$A$1,PV2-1,58),"*●*"),11,
IF(COUNTIF(OFFSET(納品書まとめ!$A$1,PV2-1,59),"*●*"),12,
IF(COUNTIF(OFFSET(納品書まとめ!$A$1,PV2-1,60),"*●*"),13,
IF(COUNTIF(OFFSET(納品書まとめ!$A$1,PV2-1,61),"*●*"),14,
IF(COUNTIF(OFFSET(納品書まとめ!$A$1,PV2-1,62),"*●*"),15,
IF(COUNTIF(OFFSET(納品書まとめ!$A$1,PV2-1,63),"*●*"),16,0))))))))))</f>
        <v>7</v>
      </c>
      <c r="PW4" s="39"/>
      <c r="PX4" s="39"/>
      <c r="QD4" s="39" t="str">
        <f ca="1">IF(AND(VALUE(PZ1)&gt;39999,VALUE(PZ1)&lt;49999),
"〒　811-1347",
IF(COUNTIF(PY3,"*吉塚ゆりの樹*"),"〒　811-1347","〒　811-1311"))</f>
        <v>〒　811-1311</v>
      </c>
      <c r="QE4" s="39"/>
      <c r="QF4" s="55">
        <f ca="1">IF(COUNTIF(OFFSET(納品書まとめ!$A$1,QF2-1,2),"*web*"),
IF(COUNTIF(OFFSET(納品書まとめ!$A$1,QF2,2),"*web*"),
IF(COUNTIF(OFFSET(納品書まとめ!$A$1,QF2+1,2),"*web*"),
IF(COUNTIF(OFFSET(納品書まとめ!$A$1,QF2+2,2),"*web*"),
IF(COUNTIF(OFFSET(納品書まとめ!$A$1,QF2+3,2),"*web*"),
IF(COUNTIF(OFFSET(納品書まとめ!$A$1,QF2+4,2),"*web*"),QF2+7,QF2+6),QF2+5),QF2+4),QF2+3),QF2+2),QF2+1)-QF2</f>
        <v>2</v>
      </c>
      <c r="QG4" s="56">
        <f ca="1">IF(COUNTIF(OFFSET(納品書まとめ!$A$1,QG2-1,54),"*●*"),7,
IF(COUNTIF(OFFSET(納品書まとめ!$A$1,QG2-1,55),"*●*"),8,
IF(COUNTIF(OFFSET(納品書まとめ!$A$1,QG2-1,56),"*●*"),9,
IF(COUNTIF(OFFSET(納品書まとめ!$A$1,QG2-1,57),"*●*"),10,
IF(COUNTIF(OFFSET(納品書まとめ!$A$1,QG2-1,58),"*●*"),11,
IF(COUNTIF(OFFSET(納品書まとめ!$A$1,QG2-1,59),"*●*"),12,
IF(COUNTIF(OFFSET(納品書まとめ!$A$1,QG2-1,60),"*●*"),13,
IF(COUNTIF(OFFSET(納品書まとめ!$A$1,QG2-1,61),"*●*"),14,
IF(COUNTIF(OFFSET(納品書まとめ!$A$1,QG2-1,62),"*●*"),15,
IF(COUNTIF(OFFSET(納品書まとめ!$A$1,QG2-1,63),"*●*"),16,0))))))))))</f>
        <v>7</v>
      </c>
      <c r="QH4" s="39"/>
      <c r="QI4" s="39"/>
      <c r="QO4" s="39" t="str">
        <f ca="1">IF(AND(VALUE(QK1)&gt;39999,VALUE(QK1)&lt;49999),
"〒　811-1347",
IF(COUNTIF(QJ3,"*吉塚ゆりの樹*"),"〒　811-1347","〒　811-1311"))</f>
        <v>〒　811-1311</v>
      </c>
      <c r="QP4" s="39"/>
      <c r="QQ4" s="55">
        <f ca="1">IF(COUNTIF(OFFSET(納品書まとめ!$A$1,QQ2-1,2),"*web*"),
IF(COUNTIF(OFFSET(納品書まとめ!$A$1,QQ2,2),"*web*"),
IF(COUNTIF(OFFSET(納品書まとめ!$A$1,QQ2+1,2),"*web*"),
IF(COUNTIF(OFFSET(納品書まとめ!$A$1,QQ2+2,2),"*web*"),
IF(COUNTIF(OFFSET(納品書まとめ!$A$1,QQ2+3,2),"*web*"),
IF(COUNTIF(OFFSET(納品書まとめ!$A$1,QQ2+4,2),"*web*"),QQ2+7,QQ2+6),QQ2+5),QQ2+4),QQ2+3),QQ2+2),QQ2+1)-QQ2</f>
        <v>2</v>
      </c>
      <c r="QR4" s="56">
        <f ca="1">IF(COUNTIF(OFFSET(納品書まとめ!$A$1,QR2-1,54),"*●*"),7,
IF(COUNTIF(OFFSET(納品書まとめ!$A$1,QR2-1,55),"*●*"),8,
IF(COUNTIF(OFFSET(納品書まとめ!$A$1,QR2-1,56),"*●*"),9,
IF(COUNTIF(OFFSET(納品書まとめ!$A$1,QR2-1,57),"*●*"),10,
IF(COUNTIF(OFFSET(納品書まとめ!$A$1,QR2-1,58),"*●*"),11,
IF(COUNTIF(OFFSET(納品書まとめ!$A$1,QR2-1,59),"*●*"),12,
IF(COUNTIF(OFFSET(納品書まとめ!$A$1,QR2-1,60),"*●*"),13,
IF(COUNTIF(OFFSET(納品書まとめ!$A$1,QR2-1,61),"*●*"),14,
IF(COUNTIF(OFFSET(納品書まとめ!$A$1,QR2-1,62),"*●*"),15,
IF(COUNTIF(OFFSET(納品書まとめ!$A$1,QR2-1,63),"*●*"),16,0))))))))))</f>
        <v>7</v>
      </c>
      <c r="QS4" s="39"/>
      <c r="QT4" s="39"/>
      <c r="QZ4" s="39" t="str">
        <f ca="1">IF(AND(VALUE(QV1)&gt;39999,VALUE(QV1)&lt;49999),
"〒　811-1347",
IF(COUNTIF(QU3,"*吉塚ゆりの樹*"),"〒　811-1347","〒　811-1311"))</f>
        <v>〒　811-1347</v>
      </c>
      <c r="RA4" s="39"/>
      <c r="RB4" s="55">
        <f ca="1">IF(COUNTIF(OFFSET(納品書まとめ!$A$1,RB2-1,2),"*web*"),
IF(COUNTIF(OFFSET(納品書まとめ!$A$1,RB2,2),"*web*"),
IF(COUNTIF(OFFSET(納品書まとめ!$A$1,RB2+1,2),"*web*"),
IF(COUNTIF(OFFSET(納品書まとめ!$A$1,RB2+2,2),"*web*"),
IF(COUNTIF(OFFSET(納品書まとめ!$A$1,RB2+3,2),"*web*"),
IF(COUNTIF(OFFSET(納品書まとめ!$A$1,RB2+4,2),"*web*"),RB2+7,RB2+6),RB2+5),RB2+4),RB2+3),RB2+2),RB2+1)-RB2</f>
        <v>2</v>
      </c>
      <c r="RC4" s="56">
        <f ca="1">IF(COUNTIF(OFFSET(納品書まとめ!$A$1,RC2-1,54),"*●*"),7,
IF(COUNTIF(OFFSET(納品書まとめ!$A$1,RC2-1,55),"*●*"),8,
IF(COUNTIF(OFFSET(納品書まとめ!$A$1,RC2-1,56),"*●*"),9,
IF(COUNTIF(OFFSET(納品書まとめ!$A$1,RC2-1,57),"*●*"),10,
IF(COUNTIF(OFFSET(納品書まとめ!$A$1,RC2-1,58),"*●*"),11,
IF(COUNTIF(OFFSET(納品書まとめ!$A$1,RC2-1,59),"*●*"),12,
IF(COUNTIF(OFFSET(納品書まとめ!$A$1,RC2-1,60),"*●*"),13,
IF(COUNTIF(OFFSET(納品書まとめ!$A$1,RC2-1,61),"*●*"),14,
IF(COUNTIF(OFFSET(納品書まとめ!$A$1,RC2-1,62),"*●*"),15,
IF(COUNTIF(OFFSET(納品書まとめ!$A$1,RC2-1,63),"*●*"),16,0))))))))))</f>
        <v>0</v>
      </c>
      <c r="RD4" s="39"/>
      <c r="RE4" s="39"/>
      <c r="RK4" s="39" t="str">
        <f ca="1">IF(AND(VALUE(RG1)&gt;39999,VALUE(RG1)&lt;49999),
"〒　811-1347",
IF(COUNTIF(RF3,"*吉塚ゆりの樹*"),"〒　811-1347","〒　811-1311"))</f>
        <v>〒　811-1347</v>
      </c>
      <c r="RL4" s="39"/>
      <c r="RM4" s="55">
        <f ca="1">IF(COUNTIF(OFFSET(納品書まとめ!$A$1,RM2-1,2),"*web*"),
IF(COUNTIF(OFFSET(納品書まとめ!$A$1,RM2,2),"*web*"),
IF(COUNTIF(OFFSET(納品書まとめ!$A$1,RM2+1,2),"*web*"),
IF(COUNTIF(OFFSET(納品書まとめ!$A$1,RM2+2,2),"*web*"),
IF(COUNTIF(OFFSET(納品書まとめ!$A$1,RM2+3,2),"*web*"),
IF(COUNTIF(OFFSET(納品書まとめ!$A$1,RM2+4,2),"*web*"),RM2+7,RM2+6),RM2+5),RM2+4),RM2+3),RM2+2),RM2+1)-RM2</f>
        <v>1</v>
      </c>
      <c r="RN4" s="56">
        <f ca="1">IF(COUNTIF(OFFSET(納品書まとめ!$A$1,RN2-1,54),"*●*"),7,
IF(COUNTIF(OFFSET(納品書まとめ!$A$1,RN2-1,55),"*●*"),8,
IF(COUNTIF(OFFSET(納品書まとめ!$A$1,RN2-1,56),"*●*"),9,
IF(COUNTIF(OFFSET(納品書まとめ!$A$1,RN2-1,57),"*●*"),10,
IF(COUNTIF(OFFSET(納品書まとめ!$A$1,RN2-1,58),"*●*"),11,
IF(COUNTIF(OFFSET(納品書まとめ!$A$1,RN2-1,59),"*●*"),12,
IF(COUNTIF(OFFSET(納品書まとめ!$A$1,RN2-1,60),"*●*"),13,
IF(COUNTIF(OFFSET(納品書まとめ!$A$1,RN2-1,61),"*●*"),14,
IF(COUNTIF(OFFSET(納品書まとめ!$A$1,RN2-1,62),"*●*"),15,
IF(COUNTIF(OFFSET(納品書まとめ!$A$1,RN2-1,63),"*●*"),16,0))))))))))</f>
        <v>13</v>
      </c>
      <c r="RO4" s="39"/>
      <c r="RP4" s="39"/>
      <c r="RV4" s="39" t="str">
        <f ca="1">IF(AND(VALUE(RR1)&gt;39999,VALUE(RR1)&lt;49999),
"〒　811-1347",
IF(COUNTIF(RQ3,"*吉塚ゆりの樹*"),"〒　811-1347","〒　811-1311"))</f>
        <v>〒　811-1347</v>
      </c>
      <c r="RW4" s="39"/>
      <c r="RX4" s="55">
        <f ca="1">IF(COUNTIF(OFFSET(納品書まとめ!$A$1,RX2-1,2),"*web*"),
IF(COUNTIF(OFFSET(納品書まとめ!$A$1,RX2,2),"*web*"),
IF(COUNTIF(OFFSET(納品書まとめ!$A$1,RX2+1,2),"*web*"),
IF(COUNTIF(OFFSET(納品書まとめ!$A$1,RX2+2,2),"*web*"),
IF(COUNTIF(OFFSET(納品書まとめ!$A$1,RX2+3,2),"*web*"),
IF(COUNTIF(OFFSET(納品書まとめ!$A$1,RX2+4,2),"*web*"),RX2+7,RX2+6),RX2+5),RX2+4),RX2+3),RX2+2),RX2+1)-RX2</f>
        <v>1</v>
      </c>
      <c r="RY4" s="56">
        <f ca="1">IF(COUNTIF(OFFSET(納品書まとめ!$A$1,RY2-1,54),"*●*"),7,
IF(COUNTIF(OFFSET(納品書まとめ!$A$1,RY2-1,55),"*●*"),8,
IF(COUNTIF(OFFSET(納品書まとめ!$A$1,RY2-1,56),"*●*"),9,
IF(COUNTIF(OFFSET(納品書まとめ!$A$1,RY2-1,57),"*●*"),10,
IF(COUNTIF(OFFSET(納品書まとめ!$A$1,RY2-1,58),"*●*"),11,
IF(COUNTIF(OFFSET(納品書まとめ!$A$1,RY2-1,59),"*●*"),12,
IF(COUNTIF(OFFSET(納品書まとめ!$A$1,RY2-1,60),"*●*"),13,
IF(COUNTIF(OFFSET(納品書まとめ!$A$1,RY2-1,61),"*●*"),14,
IF(COUNTIF(OFFSET(納品書まとめ!$A$1,RY2-1,62),"*●*"),15,
IF(COUNTIF(OFFSET(納品書まとめ!$A$1,RY2-1,63),"*●*"),16,0))))))))))</f>
        <v>10</v>
      </c>
      <c r="RZ4" s="39"/>
      <c r="SA4" s="39"/>
      <c r="SG4" s="39" t="str">
        <f ca="1">IF(AND(VALUE(SC1)&gt;39999,VALUE(SC1)&lt;49999),
"〒　811-1347",
IF(COUNTIF(SB3,"*吉塚ゆりの樹*"),"〒　811-1347","〒　811-1311"))</f>
        <v>〒　811-1347</v>
      </c>
      <c r="SH4" s="39"/>
      <c r="SI4" s="55">
        <f ca="1">IF(COUNTIF(OFFSET(納品書まとめ!$A$1,SI2-1,2),"*web*"),
IF(COUNTIF(OFFSET(納品書まとめ!$A$1,SI2,2),"*web*"),
IF(COUNTIF(OFFSET(納品書まとめ!$A$1,SI2+1,2),"*web*"),
IF(COUNTIF(OFFSET(納品書まとめ!$A$1,SI2+2,2),"*web*"),
IF(COUNTIF(OFFSET(納品書まとめ!$A$1,SI2+3,2),"*web*"),
IF(COUNTIF(OFFSET(納品書まとめ!$A$1,SI2+4,2),"*web*"),SI2+7,SI2+6),SI2+5),SI2+4),SI2+3),SI2+2),SI2+1)-SI2</f>
        <v>1</v>
      </c>
      <c r="SJ4" s="56">
        <f ca="1">IF(COUNTIF(OFFSET(納品書まとめ!$A$1,SJ2-1,54),"*●*"),7,
IF(COUNTIF(OFFSET(納品書まとめ!$A$1,SJ2-1,55),"*●*"),8,
IF(COUNTIF(OFFSET(納品書まとめ!$A$1,SJ2-1,56),"*●*"),9,
IF(COUNTIF(OFFSET(納品書まとめ!$A$1,SJ2-1,57),"*●*"),10,
IF(COUNTIF(OFFSET(納品書まとめ!$A$1,SJ2-1,58),"*●*"),11,
IF(COUNTIF(OFFSET(納品書まとめ!$A$1,SJ2-1,59),"*●*"),12,
IF(COUNTIF(OFFSET(納品書まとめ!$A$1,SJ2-1,60),"*●*"),13,
IF(COUNTIF(OFFSET(納品書まとめ!$A$1,SJ2-1,61),"*●*"),14,
IF(COUNTIF(OFFSET(納品書まとめ!$A$1,SJ2-1,62),"*●*"),15,
IF(COUNTIF(OFFSET(納品書まとめ!$A$1,SJ2-1,63),"*●*"),16,0))))))))))</f>
        <v>10</v>
      </c>
      <c r="SK4" s="39"/>
      <c r="SL4" s="39"/>
      <c r="SR4" s="39" t="str">
        <f ca="1">IF(AND(VALUE(SN1)&gt;39999,VALUE(SN1)&lt;49999),
"〒　811-1347",
IF(COUNTIF(SM3,"*吉塚ゆりの樹*"),"〒　811-1347","〒　811-1311"))</f>
        <v>〒　811-1347</v>
      </c>
      <c r="SS4" s="39"/>
      <c r="ST4" s="55">
        <f ca="1">IF(COUNTIF(OFFSET(納品書まとめ!$A$1,ST2-1,2),"*web*"),
IF(COUNTIF(OFFSET(納品書まとめ!$A$1,ST2,2),"*web*"),
IF(COUNTIF(OFFSET(納品書まとめ!$A$1,ST2+1,2),"*web*"),
IF(COUNTIF(OFFSET(納品書まとめ!$A$1,ST2+2,2),"*web*"),
IF(COUNTIF(OFFSET(納品書まとめ!$A$1,ST2+3,2),"*web*"),
IF(COUNTIF(OFFSET(納品書まとめ!$A$1,ST2+4,2),"*web*"),ST2+7,ST2+6),ST2+5),ST2+4),ST2+3),ST2+2),ST2+1)-ST2</f>
        <v>1</v>
      </c>
      <c r="SU4" s="56">
        <f ca="1">IF(COUNTIF(OFFSET(納品書まとめ!$A$1,SU2-1,54),"*●*"),7,
IF(COUNTIF(OFFSET(納品書まとめ!$A$1,SU2-1,55),"*●*"),8,
IF(COUNTIF(OFFSET(納品書まとめ!$A$1,SU2-1,56),"*●*"),9,
IF(COUNTIF(OFFSET(納品書まとめ!$A$1,SU2-1,57),"*●*"),10,
IF(COUNTIF(OFFSET(納品書まとめ!$A$1,SU2-1,58),"*●*"),11,
IF(COUNTIF(OFFSET(納品書まとめ!$A$1,SU2-1,59),"*●*"),12,
IF(COUNTIF(OFFSET(納品書まとめ!$A$1,SU2-1,60),"*●*"),13,
IF(COUNTIF(OFFSET(納品書まとめ!$A$1,SU2-1,61),"*●*"),14,
IF(COUNTIF(OFFSET(納品書まとめ!$A$1,SU2-1,62),"*●*"),15,
IF(COUNTIF(OFFSET(納品書まとめ!$A$1,SU2-1,63),"*●*"),16,0))))))))))</f>
        <v>10</v>
      </c>
      <c r="SV4" s="39"/>
      <c r="SW4" s="39"/>
      <c r="TC4" s="39" t="str">
        <f ca="1">IF(AND(VALUE(SY1)&gt;39999,VALUE(SY1)&lt;49999),
"〒　811-1347",
IF(COUNTIF(SX3,"*吉塚ゆりの樹*"),"〒　811-1347","〒　811-1311"))</f>
        <v>〒　811-1347</v>
      </c>
      <c r="TD4" s="39"/>
      <c r="TE4" s="55">
        <f ca="1">IF(COUNTIF(OFFSET(納品書まとめ!$A$1,TE2-1,2),"*web*"),
IF(COUNTIF(OFFSET(納品書まとめ!$A$1,TE2,2),"*web*"),
IF(COUNTIF(OFFSET(納品書まとめ!$A$1,TE2+1,2),"*web*"),
IF(COUNTIF(OFFSET(納品書まとめ!$A$1,TE2+2,2),"*web*"),
IF(COUNTIF(OFFSET(納品書まとめ!$A$1,TE2+3,2),"*web*"),
IF(COUNTIF(OFFSET(納品書まとめ!$A$1,TE2+4,2),"*web*"),TE2+7,TE2+6),TE2+5),TE2+4),TE2+3),TE2+2),TE2+1)-TE2</f>
        <v>1</v>
      </c>
      <c r="TF4" s="56">
        <f ca="1">IF(COUNTIF(OFFSET(納品書まとめ!$A$1,TF2-1,54),"*●*"),7,
IF(COUNTIF(OFFSET(納品書まとめ!$A$1,TF2-1,55),"*●*"),8,
IF(COUNTIF(OFFSET(納品書まとめ!$A$1,TF2-1,56),"*●*"),9,
IF(COUNTIF(OFFSET(納品書まとめ!$A$1,TF2-1,57),"*●*"),10,
IF(COUNTIF(OFFSET(納品書まとめ!$A$1,TF2-1,58),"*●*"),11,
IF(COUNTIF(OFFSET(納品書まとめ!$A$1,TF2-1,59),"*●*"),12,
IF(COUNTIF(OFFSET(納品書まとめ!$A$1,TF2-1,60),"*●*"),13,
IF(COUNTIF(OFFSET(納品書まとめ!$A$1,TF2-1,61),"*●*"),14,
IF(COUNTIF(OFFSET(納品書まとめ!$A$1,TF2-1,62),"*●*"),15,
IF(COUNTIF(OFFSET(納品書まとめ!$A$1,TF2-1,63),"*●*"),16,0))))))))))</f>
        <v>10</v>
      </c>
      <c r="TG4" s="39"/>
      <c r="TH4" s="39"/>
      <c r="TN4" s="39" t="str">
        <f ca="1">IF(AND(VALUE(TJ1)&gt;39999,VALUE(TJ1)&lt;49999),
"〒　811-1347",
IF(COUNTIF(TI3,"*吉塚ゆりの樹*"),"〒　811-1347","〒　811-1311"))</f>
        <v>〒　811-1347</v>
      </c>
      <c r="TO4" s="39"/>
      <c r="TP4" s="55">
        <f ca="1">IF(COUNTIF(OFFSET(納品書まとめ!$A$1,TP2-1,2),"*web*"),
IF(COUNTIF(OFFSET(納品書まとめ!$A$1,TP2,2),"*web*"),
IF(COUNTIF(OFFSET(納品書まとめ!$A$1,TP2+1,2),"*web*"),
IF(COUNTIF(OFFSET(納品書まとめ!$A$1,TP2+2,2),"*web*"),
IF(COUNTIF(OFFSET(納品書まとめ!$A$1,TP2+3,2),"*web*"),
IF(COUNTIF(OFFSET(納品書まとめ!$A$1,TP2+4,2),"*web*"),TP2+7,TP2+6),TP2+5),TP2+4),TP2+3),TP2+2),TP2+1)-TP2</f>
        <v>1</v>
      </c>
      <c r="TQ4" s="56">
        <f ca="1">IF(COUNTIF(OFFSET(納品書まとめ!$A$1,TQ2-1,54),"*●*"),7,
IF(COUNTIF(OFFSET(納品書まとめ!$A$1,TQ2-1,55),"*●*"),8,
IF(COUNTIF(OFFSET(納品書まとめ!$A$1,TQ2-1,56),"*●*"),9,
IF(COUNTIF(OFFSET(納品書まとめ!$A$1,TQ2-1,57),"*●*"),10,
IF(COUNTIF(OFFSET(納品書まとめ!$A$1,TQ2-1,58),"*●*"),11,
IF(COUNTIF(OFFSET(納品書まとめ!$A$1,TQ2-1,59),"*●*"),12,
IF(COUNTIF(OFFSET(納品書まとめ!$A$1,TQ2-1,60),"*●*"),13,
IF(COUNTIF(OFFSET(納品書まとめ!$A$1,TQ2-1,61),"*●*"),14,
IF(COUNTIF(OFFSET(納品書まとめ!$A$1,TQ2-1,62),"*●*"),15,
IF(COUNTIF(OFFSET(納品書まとめ!$A$1,TQ2-1,63),"*●*"),16,0))))))))))</f>
        <v>10</v>
      </c>
      <c r="TR4" s="39"/>
      <c r="TS4" s="39"/>
      <c r="TY4" s="39" t="str">
        <f ca="1">IF(AND(VALUE(TU1)&gt;39999,VALUE(TU1)&lt;49999),
"〒　811-1347",
IF(COUNTIF(TT3,"*吉塚ゆりの樹*"),"〒　811-1347","〒　811-1311"))</f>
        <v>〒　811-1347</v>
      </c>
      <c r="TZ4" s="39"/>
      <c r="UA4" s="55">
        <f ca="1">IF(COUNTIF(OFFSET(納品書まとめ!$A$1,UA2-1,2),"*web*"),
IF(COUNTIF(OFFSET(納品書まとめ!$A$1,UA2,2),"*web*"),
IF(COUNTIF(OFFSET(納品書まとめ!$A$1,UA2+1,2),"*web*"),
IF(COUNTIF(OFFSET(納品書まとめ!$A$1,UA2+2,2),"*web*"),
IF(COUNTIF(OFFSET(納品書まとめ!$A$1,UA2+3,2),"*web*"),
IF(COUNTIF(OFFSET(納品書まとめ!$A$1,UA2+4,2),"*web*"),UA2+7,UA2+6),UA2+5),UA2+4),UA2+3),UA2+2),UA2+1)-UA2</f>
        <v>1</v>
      </c>
      <c r="UB4" s="56">
        <f ca="1">IF(COUNTIF(OFFSET(納品書まとめ!$A$1,UB2-1,54),"*●*"),7,
IF(COUNTIF(OFFSET(納品書まとめ!$A$1,UB2-1,55),"*●*"),8,
IF(COUNTIF(OFFSET(納品書まとめ!$A$1,UB2-1,56),"*●*"),9,
IF(COUNTIF(OFFSET(納品書まとめ!$A$1,UB2-1,57),"*●*"),10,
IF(COUNTIF(OFFSET(納品書まとめ!$A$1,UB2-1,58),"*●*"),11,
IF(COUNTIF(OFFSET(納品書まとめ!$A$1,UB2-1,59),"*●*"),12,
IF(COUNTIF(OFFSET(納品書まとめ!$A$1,UB2-1,60),"*●*"),13,
IF(COUNTIF(OFFSET(納品書まとめ!$A$1,UB2-1,61),"*●*"),14,
IF(COUNTIF(OFFSET(納品書まとめ!$A$1,UB2-1,62),"*●*"),15,
IF(COUNTIF(OFFSET(納品書まとめ!$A$1,UB2-1,63),"*●*"),16,0))))))))))</f>
        <v>10</v>
      </c>
      <c r="UC4" s="39"/>
      <c r="UD4" s="39"/>
      <c r="UJ4" s="39" t="str">
        <f ca="1">IF(AND(VALUE(UF1)&gt;39999,VALUE(UF1)&lt;49999),
"〒　811-1347",
IF(COUNTIF(UE3,"*吉塚ゆりの樹*"),"〒　811-1347","〒　811-1311"))</f>
        <v>〒　811-1347</v>
      </c>
      <c r="UK4" s="39"/>
      <c r="UL4" s="55">
        <f ca="1">IF(COUNTIF(OFFSET(納品書まとめ!$A$1,UL2-1,2),"*web*"),
IF(COUNTIF(OFFSET(納品書まとめ!$A$1,UL2,2),"*web*"),
IF(COUNTIF(OFFSET(納品書まとめ!$A$1,UL2+1,2),"*web*"),
IF(COUNTIF(OFFSET(納品書まとめ!$A$1,UL2+2,2),"*web*"),
IF(COUNTIF(OFFSET(納品書まとめ!$A$1,UL2+3,2),"*web*"),
IF(COUNTIF(OFFSET(納品書まとめ!$A$1,UL2+4,2),"*web*"),UL2+7,UL2+6),UL2+5),UL2+4),UL2+3),UL2+2),UL2+1)-UL2</f>
        <v>1</v>
      </c>
      <c r="UM4" s="56">
        <f ca="1">IF(COUNTIF(OFFSET(納品書まとめ!$A$1,UM2-1,54),"*●*"),7,
IF(COUNTIF(OFFSET(納品書まとめ!$A$1,UM2-1,55),"*●*"),8,
IF(COUNTIF(OFFSET(納品書まとめ!$A$1,UM2-1,56),"*●*"),9,
IF(COUNTIF(OFFSET(納品書まとめ!$A$1,UM2-1,57),"*●*"),10,
IF(COUNTIF(OFFSET(納品書まとめ!$A$1,UM2-1,58),"*●*"),11,
IF(COUNTIF(OFFSET(納品書まとめ!$A$1,UM2-1,59),"*●*"),12,
IF(COUNTIF(OFFSET(納品書まとめ!$A$1,UM2-1,60),"*●*"),13,
IF(COUNTIF(OFFSET(納品書まとめ!$A$1,UM2-1,61),"*●*"),14,
IF(COUNTIF(OFFSET(納品書まとめ!$A$1,UM2-1,62),"*●*"),15,
IF(COUNTIF(OFFSET(納品書まとめ!$A$1,UM2-1,63),"*●*"),16,0))))))))))</f>
        <v>10</v>
      </c>
      <c r="UN4" s="39"/>
      <c r="UO4" s="39"/>
      <c r="UU4" s="39" t="str">
        <f ca="1">IF(AND(VALUE(UQ1)&gt;39999,VALUE(UQ1)&lt;49999),
"〒　811-1347",
IF(COUNTIF(UP3,"*吉塚ゆりの樹*"),"〒　811-1347","〒　811-1311"))</f>
        <v>〒　811-1311</v>
      </c>
      <c r="UV4" s="39"/>
      <c r="UW4" s="55">
        <f ca="1">IF(COUNTIF(OFFSET(納品書まとめ!$A$1,UW2-1,2),"*web*"),
IF(COUNTIF(OFFSET(納品書まとめ!$A$1,UW2,2),"*web*"),
IF(COUNTIF(OFFSET(納品書まとめ!$A$1,UW2+1,2),"*web*"),
IF(COUNTIF(OFFSET(納品書まとめ!$A$1,UW2+2,2),"*web*"),
IF(COUNTIF(OFFSET(納品書まとめ!$A$1,UW2+3,2),"*web*"),
IF(COUNTIF(OFFSET(納品書まとめ!$A$1,UW2+4,2),"*web*"),UW2+7,UW2+6),UW2+5),UW2+4),UW2+3),UW2+2),UW2+1)-UW2</f>
        <v>1</v>
      </c>
      <c r="UX4" s="56">
        <f ca="1">IF(COUNTIF(OFFSET(納品書まとめ!$A$1,UX2-1,54),"*●*"),7,
IF(COUNTIF(OFFSET(納品書まとめ!$A$1,UX2-1,55),"*●*"),8,
IF(COUNTIF(OFFSET(納品書まとめ!$A$1,UX2-1,56),"*●*"),9,
IF(COUNTIF(OFFSET(納品書まとめ!$A$1,UX2-1,57),"*●*"),10,
IF(COUNTIF(OFFSET(納品書まとめ!$A$1,UX2-1,58),"*●*"),11,
IF(COUNTIF(OFFSET(納品書まとめ!$A$1,UX2-1,59),"*●*"),12,
IF(COUNTIF(OFFSET(納品書まとめ!$A$1,UX2-1,60),"*●*"),13,
IF(COUNTIF(OFFSET(納品書まとめ!$A$1,UX2-1,61),"*●*"),14,
IF(COUNTIF(OFFSET(納品書まとめ!$A$1,UX2-1,62),"*●*"),15,
IF(COUNTIF(OFFSET(納品書まとめ!$A$1,UX2-1,63),"*●*"),16,0))))))))))</f>
        <v>0</v>
      </c>
      <c r="UY4" s="39"/>
      <c r="UZ4" s="39"/>
      <c r="VF4" s="39" t="e">
        <f ca="1">IF(AND(VALUE(VB1)&gt;39999,VALUE(VB1)&lt;49999),
"〒　811-1347",
IF(COUNTIF(VA3,"*吉塚ゆりの樹*"),"〒　811-1347","〒　811-1311"))</f>
        <v>#VALUE!</v>
      </c>
      <c r="VG4" s="39"/>
      <c r="VH4" s="55" t="e">
        <f ca="1">IF(COUNTIF(OFFSET(納品書まとめ!$A$1,VH2-1,2),"*web*"),
IF(COUNTIF(OFFSET(納品書まとめ!$A$1,VH2,2),"*web*"),
IF(COUNTIF(OFFSET(納品書まとめ!$A$1,VH2+1,2),"*web*"),
IF(COUNTIF(OFFSET(納品書まとめ!$A$1,VH2+2,2),"*web*"),
IF(COUNTIF(OFFSET(納品書まとめ!$A$1,VH2+3,2),"*web*"),
IF(COUNTIF(OFFSET(納品書まとめ!$A$1,VH2+4,2),"*web*"),VH2+7,VH2+6),VH2+5),VH2+4),VH2+3),VH2+2),VH2+1)-VH2</f>
        <v>#VALUE!</v>
      </c>
      <c r="VI4" s="56" t="e">
        <f ca="1">IF(COUNTIF(OFFSET(納品書まとめ!$A$1,VI2-1,54),"*●*"),7,
IF(COUNTIF(OFFSET(納品書まとめ!$A$1,VI2-1,55),"*●*"),8,
IF(COUNTIF(OFFSET(納品書まとめ!$A$1,VI2-1,56),"*●*"),9,
IF(COUNTIF(OFFSET(納品書まとめ!$A$1,VI2-1,57),"*●*"),10,
IF(COUNTIF(OFFSET(納品書まとめ!$A$1,VI2-1,58),"*●*"),11,
IF(COUNTIF(OFFSET(納品書まとめ!$A$1,VI2-1,59),"*●*"),12,
IF(COUNTIF(OFFSET(納品書まとめ!$A$1,VI2-1,60),"*●*"),13,
IF(COUNTIF(OFFSET(納品書まとめ!$A$1,VI2-1,61),"*●*"),14,
IF(COUNTIF(OFFSET(納品書まとめ!$A$1,VI2-1,62),"*●*"),15,
IF(COUNTIF(OFFSET(納品書まとめ!$A$1,VI2-1,63),"*●*"),16,0))))))))))</f>
        <v>#VALUE!</v>
      </c>
      <c r="VJ4" s="39"/>
      <c r="VK4" s="39"/>
      <c r="VQ4" s="39" t="e">
        <f ca="1">IF(AND(VALUE(VM1)&gt;39999,VALUE(VM1)&lt;49999),
"〒　811-1347",
IF(COUNTIF(VL3,"*吉塚ゆりの樹*"),"〒　811-1347","〒　811-1311"))</f>
        <v>#VALUE!</v>
      </c>
      <c r="VR4" s="39"/>
      <c r="VS4" s="55" t="e">
        <f ca="1">IF(COUNTIF(OFFSET(納品書まとめ!$A$1,VS2-1,2),"*web*"),
IF(COUNTIF(OFFSET(納品書まとめ!$A$1,VS2,2),"*web*"),
IF(COUNTIF(OFFSET(納品書まとめ!$A$1,VS2+1,2),"*web*"),
IF(COUNTIF(OFFSET(納品書まとめ!$A$1,VS2+2,2),"*web*"),
IF(COUNTIF(OFFSET(納品書まとめ!$A$1,VS2+3,2),"*web*"),
IF(COUNTIF(OFFSET(納品書まとめ!$A$1,VS2+4,2),"*web*"),VS2+7,VS2+6),VS2+5),VS2+4),VS2+3),VS2+2),VS2+1)-VS2</f>
        <v>#VALUE!</v>
      </c>
      <c r="VT4" s="56" t="e">
        <f ca="1">IF(COUNTIF(OFFSET(納品書まとめ!$A$1,VT2-1,54),"*●*"),7,
IF(COUNTIF(OFFSET(納品書まとめ!$A$1,VT2-1,55),"*●*"),8,
IF(COUNTIF(OFFSET(納品書まとめ!$A$1,VT2-1,56),"*●*"),9,
IF(COUNTIF(OFFSET(納品書まとめ!$A$1,VT2-1,57),"*●*"),10,
IF(COUNTIF(OFFSET(納品書まとめ!$A$1,VT2-1,58),"*●*"),11,
IF(COUNTIF(OFFSET(納品書まとめ!$A$1,VT2-1,59),"*●*"),12,
IF(COUNTIF(OFFSET(納品書まとめ!$A$1,VT2-1,60),"*●*"),13,
IF(COUNTIF(OFFSET(納品書まとめ!$A$1,VT2-1,61),"*●*"),14,
IF(COUNTIF(OFFSET(納品書まとめ!$A$1,VT2-1,62),"*●*"),15,
IF(COUNTIF(OFFSET(納品書まとめ!$A$1,VT2-1,63),"*●*"),16,0))))))))))</f>
        <v>#VALUE!</v>
      </c>
      <c r="VU4" s="39"/>
      <c r="VV4" s="39"/>
      <c r="WB4" s="39" t="e">
        <f ca="1">IF(AND(VALUE(VX1)&gt;39999,VALUE(VX1)&lt;49999),
"〒　811-1347",
IF(COUNTIF(VW3,"*吉塚ゆりの樹*"),"〒　811-1347","〒　811-1311"))</f>
        <v>#VALUE!</v>
      </c>
      <c r="WC4" s="39"/>
      <c r="WD4" s="55" t="e">
        <f ca="1">IF(COUNTIF(OFFSET(納品書まとめ!$A$1,WD2-1,2),"*web*"),
IF(COUNTIF(OFFSET(納品書まとめ!$A$1,WD2,2),"*web*"),
IF(COUNTIF(OFFSET(納品書まとめ!$A$1,WD2+1,2),"*web*"),
IF(COUNTIF(OFFSET(納品書まとめ!$A$1,WD2+2,2),"*web*"),
IF(COUNTIF(OFFSET(納品書まとめ!$A$1,WD2+3,2),"*web*"),
IF(COUNTIF(OFFSET(納品書まとめ!$A$1,WD2+4,2),"*web*"),WD2+7,WD2+6),WD2+5),WD2+4),WD2+3),WD2+2),WD2+1)-WD2</f>
        <v>#VALUE!</v>
      </c>
      <c r="WE4" s="56" t="e">
        <f ca="1">IF(COUNTIF(OFFSET(納品書まとめ!$A$1,WE2-1,54),"*●*"),7,
IF(COUNTIF(OFFSET(納品書まとめ!$A$1,WE2-1,55),"*●*"),8,
IF(COUNTIF(OFFSET(納品書まとめ!$A$1,WE2-1,56),"*●*"),9,
IF(COUNTIF(OFFSET(納品書まとめ!$A$1,WE2-1,57),"*●*"),10,
IF(COUNTIF(OFFSET(納品書まとめ!$A$1,WE2-1,58),"*●*"),11,
IF(COUNTIF(OFFSET(納品書まとめ!$A$1,WE2-1,59),"*●*"),12,
IF(COUNTIF(OFFSET(納品書まとめ!$A$1,WE2-1,60),"*●*"),13,
IF(COUNTIF(OFFSET(納品書まとめ!$A$1,WE2-1,61),"*●*"),14,
IF(COUNTIF(OFFSET(納品書まとめ!$A$1,WE2-1,62),"*●*"),15,
IF(COUNTIF(OFFSET(納品書まとめ!$A$1,WE2-1,63),"*●*"),16,0))))))))))</f>
        <v>#VALUE!</v>
      </c>
      <c r="WF4" s="39"/>
      <c r="WG4" s="39"/>
      <c r="WM4" s="39" t="e">
        <f ca="1">IF(AND(VALUE(WI1)&gt;39999,VALUE(WI1)&lt;49999),
"〒　811-1347",
IF(COUNTIF(WH3,"*吉塚ゆりの樹*"),"〒　811-1347","〒　811-1311"))</f>
        <v>#VALUE!</v>
      </c>
      <c r="WN4" s="39"/>
      <c r="WO4" s="55" t="e">
        <f ca="1">IF(COUNTIF(OFFSET(納品書まとめ!$A$1,WO2-1,2),"*web*"),
IF(COUNTIF(OFFSET(納品書まとめ!$A$1,WO2,2),"*web*"),
IF(COUNTIF(OFFSET(納品書まとめ!$A$1,WO2+1,2),"*web*"),
IF(COUNTIF(OFFSET(納品書まとめ!$A$1,WO2+2,2),"*web*"),
IF(COUNTIF(OFFSET(納品書まとめ!$A$1,WO2+3,2),"*web*"),
IF(COUNTIF(OFFSET(納品書まとめ!$A$1,WO2+4,2),"*web*"),WO2+7,WO2+6),WO2+5),WO2+4),WO2+3),WO2+2),WO2+1)-WO2</f>
        <v>#VALUE!</v>
      </c>
      <c r="WP4" s="56" t="e">
        <f ca="1">IF(COUNTIF(OFFSET(納品書まとめ!$A$1,WP2-1,54),"*●*"),7,
IF(COUNTIF(OFFSET(納品書まとめ!$A$1,WP2-1,55),"*●*"),8,
IF(COUNTIF(OFFSET(納品書まとめ!$A$1,WP2-1,56),"*●*"),9,
IF(COUNTIF(OFFSET(納品書まとめ!$A$1,WP2-1,57),"*●*"),10,
IF(COUNTIF(OFFSET(納品書まとめ!$A$1,WP2-1,58),"*●*"),11,
IF(COUNTIF(OFFSET(納品書まとめ!$A$1,WP2-1,59),"*●*"),12,
IF(COUNTIF(OFFSET(納品書まとめ!$A$1,WP2-1,60),"*●*"),13,
IF(COUNTIF(OFFSET(納品書まとめ!$A$1,WP2-1,61),"*●*"),14,
IF(COUNTIF(OFFSET(納品書まとめ!$A$1,WP2-1,62),"*●*"),15,
IF(COUNTIF(OFFSET(納品書まとめ!$A$1,WP2-1,63),"*●*"),16,0))))))))))</f>
        <v>#VALUE!</v>
      </c>
      <c r="WQ4" s="39"/>
      <c r="WR4" s="39"/>
      <c r="WX4" s="39" t="e">
        <f ca="1">IF(AND(VALUE(WT1)&gt;39999,VALUE(WT1)&lt;49999),
"〒　811-1347",
IF(COUNTIF(WS3,"*吉塚ゆりの樹*"),"〒　811-1347","〒　811-1311"))</f>
        <v>#VALUE!</v>
      </c>
      <c r="WY4" s="39"/>
      <c r="WZ4" s="55" t="e">
        <f ca="1">IF(COUNTIF(OFFSET(納品書まとめ!$A$1,WZ2-1,2),"*web*"),
IF(COUNTIF(OFFSET(納品書まとめ!$A$1,WZ2,2),"*web*"),
IF(COUNTIF(OFFSET(納品書まとめ!$A$1,WZ2+1,2),"*web*"),
IF(COUNTIF(OFFSET(納品書まとめ!$A$1,WZ2+2,2),"*web*"),
IF(COUNTIF(OFFSET(納品書まとめ!$A$1,WZ2+3,2),"*web*"),
IF(COUNTIF(OFFSET(納品書まとめ!$A$1,WZ2+4,2),"*web*"),WZ2+7,WZ2+6),WZ2+5),WZ2+4),WZ2+3),WZ2+2),WZ2+1)-WZ2</f>
        <v>#VALUE!</v>
      </c>
      <c r="XA4" s="56" t="e">
        <f ca="1">IF(COUNTIF(OFFSET(納品書まとめ!$A$1,XA2-1,54),"*●*"),7,
IF(COUNTIF(OFFSET(納品書まとめ!$A$1,XA2-1,55),"*●*"),8,
IF(COUNTIF(OFFSET(納品書まとめ!$A$1,XA2-1,56),"*●*"),9,
IF(COUNTIF(OFFSET(納品書まとめ!$A$1,XA2-1,57),"*●*"),10,
IF(COUNTIF(OFFSET(納品書まとめ!$A$1,XA2-1,58),"*●*"),11,
IF(COUNTIF(OFFSET(納品書まとめ!$A$1,XA2-1,59),"*●*"),12,
IF(COUNTIF(OFFSET(納品書まとめ!$A$1,XA2-1,60),"*●*"),13,
IF(COUNTIF(OFFSET(納品書まとめ!$A$1,XA2-1,61),"*●*"),14,
IF(COUNTIF(OFFSET(納品書まとめ!$A$1,XA2-1,62),"*●*"),15,
IF(COUNTIF(OFFSET(納品書まとめ!$A$1,XA2-1,63),"*●*"),16,0))))))))))</f>
        <v>#VALUE!</v>
      </c>
      <c r="XB4" s="39"/>
      <c r="XC4" s="39"/>
      <c r="XI4" s="39" t="e">
        <f ca="1">IF(AND(VALUE(XE1)&gt;39999,VALUE(XE1)&lt;49999),
"〒　811-1347",
IF(COUNTIF(XD3,"*吉塚ゆりの樹*"),"〒　811-1347","〒　811-1311"))</f>
        <v>#VALUE!</v>
      </c>
      <c r="XJ4" s="39"/>
      <c r="XK4" s="55" t="e">
        <f ca="1">IF(COUNTIF(OFFSET(納品書まとめ!$A$1,XK2-1,2),"*web*"),
IF(COUNTIF(OFFSET(納品書まとめ!$A$1,XK2,2),"*web*"),
IF(COUNTIF(OFFSET(納品書まとめ!$A$1,XK2+1,2),"*web*"),
IF(COUNTIF(OFFSET(納品書まとめ!$A$1,XK2+2,2),"*web*"),
IF(COUNTIF(OFFSET(納品書まとめ!$A$1,XK2+3,2),"*web*"),
IF(COUNTIF(OFFSET(納品書まとめ!$A$1,XK2+4,2),"*web*"),XK2+7,XK2+6),XK2+5),XK2+4),XK2+3),XK2+2),XK2+1)-XK2</f>
        <v>#VALUE!</v>
      </c>
      <c r="XL4" s="56" t="e">
        <f ca="1">IF(COUNTIF(OFFSET(納品書まとめ!$A$1,XL2-1,54),"*●*"),7,
IF(COUNTIF(OFFSET(納品書まとめ!$A$1,XL2-1,55),"*●*"),8,
IF(COUNTIF(OFFSET(納品書まとめ!$A$1,XL2-1,56),"*●*"),9,
IF(COUNTIF(OFFSET(納品書まとめ!$A$1,XL2-1,57),"*●*"),10,
IF(COUNTIF(OFFSET(納品書まとめ!$A$1,XL2-1,58),"*●*"),11,
IF(COUNTIF(OFFSET(納品書まとめ!$A$1,XL2-1,59),"*●*"),12,
IF(COUNTIF(OFFSET(納品書まとめ!$A$1,XL2-1,60),"*●*"),13,
IF(COUNTIF(OFFSET(納品書まとめ!$A$1,XL2-1,61),"*●*"),14,
IF(COUNTIF(OFFSET(納品書まとめ!$A$1,XL2-1,62),"*●*"),15,
IF(COUNTIF(OFFSET(納品書まとめ!$A$1,XL2-1,63),"*●*"),16,0))))))))))</f>
        <v>#VALUE!</v>
      </c>
      <c r="XM4" s="39"/>
      <c r="XN4" s="39"/>
      <c r="XT4" s="39" t="e">
        <f ca="1">IF(AND(VALUE(XP1)&gt;39999,VALUE(XP1)&lt;49999),
"〒　811-1347",
IF(COUNTIF(XO3,"*吉塚ゆりの樹*"),"〒　811-1347","〒　811-1311"))</f>
        <v>#VALUE!</v>
      </c>
      <c r="XU4" s="39"/>
      <c r="XV4" s="55" t="e">
        <f ca="1">IF(COUNTIF(OFFSET(納品書まとめ!$A$1,XV2-1,2),"*web*"),
IF(COUNTIF(OFFSET(納品書まとめ!$A$1,XV2,2),"*web*"),
IF(COUNTIF(OFFSET(納品書まとめ!$A$1,XV2+1,2),"*web*"),
IF(COUNTIF(OFFSET(納品書まとめ!$A$1,XV2+2,2),"*web*"),
IF(COUNTIF(OFFSET(納品書まとめ!$A$1,XV2+3,2),"*web*"),
IF(COUNTIF(OFFSET(納品書まとめ!$A$1,XV2+4,2),"*web*"),XV2+7,XV2+6),XV2+5),XV2+4),XV2+3),XV2+2),XV2+1)-XV2</f>
        <v>#VALUE!</v>
      </c>
      <c r="XW4" s="56" t="e">
        <f ca="1">IF(COUNTIF(OFFSET(納品書まとめ!$A$1,XW2-1,54),"*●*"),7,
IF(COUNTIF(OFFSET(納品書まとめ!$A$1,XW2-1,55),"*●*"),8,
IF(COUNTIF(OFFSET(納品書まとめ!$A$1,XW2-1,56),"*●*"),9,
IF(COUNTIF(OFFSET(納品書まとめ!$A$1,XW2-1,57),"*●*"),10,
IF(COUNTIF(OFFSET(納品書まとめ!$A$1,XW2-1,58),"*●*"),11,
IF(COUNTIF(OFFSET(納品書まとめ!$A$1,XW2-1,59),"*●*"),12,
IF(COUNTIF(OFFSET(納品書まとめ!$A$1,XW2-1,60),"*●*"),13,
IF(COUNTIF(OFFSET(納品書まとめ!$A$1,XW2-1,61),"*●*"),14,
IF(COUNTIF(OFFSET(納品書まとめ!$A$1,XW2-1,62),"*●*"),15,
IF(COUNTIF(OFFSET(納品書まとめ!$A$1,XW2-1,63),"*●*"),16,0))))))))))</f>
        <v>#VALUE!</v>
      </c>
      <c r="XX4" s="39"/>
      <c r="XY4" s="39"/>
      <c r="YE4" s="39" t="e">
        <f ca="1">IF(AND(VALUE(YA1)&gt;39999,VALUE(YA1)&lt;49999),
"〒　811-1347",
IF(COUNTIF(XZ3,"*吉塚ゆりの樹*"),"〒　811-1347","〒　811-1311"))</f>
        <v>#VALUE!</v>
      </c>
      <c r="YF4" s="39"/>
      <c r="YG4" s="55" t="e">
        <f ca="1">IF(COUNTIF(OFFSET(納品書まとめ!$A$1,YG2-1,2),"*web*"),
IF(COUNTIF(OFFSET(納品書まとめ!$A$1,YG2,2),"*web*"),
IF(COUNTIF(OFFSET(納品書まとめ!$A$1,YG2+1,2),"*web*"),
IF(COUNTIF(OFFSET(納品書まとめ!$A$1,YG2+2,2),"*web*"),
IF(COUNTIF(OFFSET(納品書まとめ!$A$1,YG2+3,2),"*web*"),
IF(COUNTIF(OFFSET(納品書まとめ!$A$1,YG2+4,2),"*web*"),YG2+7,YG2+6),YG2+5),YG2+4),YG2+3),YG2+2),YG2+1)-YG2</f>
        <v>#VALUE!</v>
      </c>
      <c r="YH4" s="56" t="e">
        <f ca="1">IF(COUNTIF(OFFSET(納品書まとめ!$A$1,YH2-1,54),"*●*"),7,
IF(COUNTIF(OFFSET(納品書まとめ!$A$1,YH2-1,55),"*●*"),8,
IF(COUNTIF(OFFSET(納品書まとめ!$A$1,YH2-1,56),"*●*"),9,
IF(COUNTIF(OFFSET(納品書まとめ!$A$1,YH2-1,57),"*●*"),10,
IF(COUNTIF(OFFSET(納品書まとめ!$A$1,YH2-1,58),"*●*"),11,
IF(COUNTIF(OFFSET(納品書まとめ!$A$1,YH2-1,59),"*●*"),12,
IF(COUNTIF(OFFSET(納品書まとめ!$A$1,YH2-1,60),"*●*"),13,
IF(COUNTIF(OFFSET(納品書まとめ!$A$1,YH2-1,61),"*●*"),14,
IF(COUNTIF(OFFSET(納品書まとめ!$A$1,YH2-1,62),"*●*"),15,
IF(COUNTIF(OFFSET(納品書まとめ!$A$1,YH2-1,63),"*●*"),16,0))))))))))</f>
        <v>#VALUE!</v>
      </c>
      <c r="YI4" s="39"/>
      <c r="YJ4" s="39"/>
      <c r="YP4" s="39" t="e">
        <f ca="1">IF(AND(VALUE(YL1)&gt;39999,VALUE(YL1)&lt;49999),
"〒　811-1347",
IF(COUNTIF(YK3,"*吉塚ゆりの樹*"),"〒　811-1347","〒　811-1311"))</f>
        <v>#VALUE!</v>
      </c>
      <c r="YQ4" s="39"/>
      <c r="YR4" s="55" t="e">
        <f ca="1">IF(COUNTIF(OFFSET(納品書まとめ!$A$1,YR2-1,2),"*web*"),
IF(COUNTIF(OFFSET(納品書まとめ!$A$1,YR2,2),"*web*"),
IF(COUNTIF(OFFSET(納品書まとめ!$A$1,YR2+1,2),"*web*"),
IF(COUNTIF(OFFSET(納品書まとめ!$A$1,YR2+2,2),"*web*"),
IF(COUNTIF(OFFSET(納品書まとめ!$A$1,YR2+3,2),"*web*"),
IF(COUNTIF(OFFSET(納品書まとめ!$A$1,YR2+4,2),"*web*"),YR2+7,YR2+6),YR2+5),YR2+4),YR2+3),YR2+2),YR2+1)-YR2</f>
        <v>#VALUE!</v>
      </c>
      <c r="YS4" s="56" t="e">
        <f ca="1">IF(COUNTIF(OFFSET(納品書まとめ!$A$1,YS2-1,54),"*●*"),7,
IF(COUNTIF(OFFSET(納品書まとめ!$A$1,YS2-1,55),"*●*"),8,
IF(COUNTIF(OFFSET(納品書まとめ!$A$1,YS2-1,56),"*●*"),9,
IF(COUNTIF(OFFSET(納品書まとめ!$A$1,YS2-1,57),"*●*"),10,
IF(COUNTIF(OFFSET(納品書まとめ!$A$1,YS2-1,58),"*●*"),11,
IF(COUNTIF(OFFSET(納品書まとめ!$A$1,YS2-1,59),"*●*"),12,
IF(COUNTIF(OFFSET(納品書まとめ!$A$1,YS2-1,60),"*●*"),13,
IF(COUNTIF(OFFSET(納品書まとめ!$A$1,YS2-1,61),"*●*"),14,
IF(COUNTIF(OFFSET(納品書まとめ!$A$1,YS2-1,62),"*●*"),15,
IF(COUNTIF(OFFSET(納品書まとめ!$A$1,YS2-1,63),"*●*"),16,0))))))))))</f>
        <v>#VALUE!</v>
      </c>
      <c r="YT4" s="39"/>
      <c r="YU4" s="39"/>
      <c r="ZA4" s="39" t="e">
        <f ca="1">IF(AND(VALUE(YW1)&gt;39999,VALUE(YW1)&lt;49999),
"〒　811-1347",
IF(COUNTIF(YV3,"*吉塚ゆりの樹*"),"〒　811-1347","〒　811-1311"))</f>
        <v>#VALUE!</v>
      </c>
      <c r="ZB4" s="39"/>
      <c r="ZC4" s="55" t="e">
        <f ca="1">IF(COUNTIF(OFFSET(納品書まとめ!$A$1,ZC2-1,2),"*web*"),
IF(COUNTIF(OFFSET(納品書まとめ!$A$1,ZC2,2),"*web*"),
IF(COUNTIF(OFFSET(納品書まとめ!$A$1,ZC2+1,2),"*web*"),
IF(COUNTIF(OFFSET(納品書まとめ!$A$1,ZC2+2,2),"*web*"),
IF(COUNTIF(OFFSET(納品書まとめ!$A$1,ZC2+3,2),"*web*"),
IF(COUNTIF(OFFSET(納品書まとめ!$A$1,ZC2+4,2),"*web*"),ZC2+7,ZC2+6),ZC2+5),ZC2+4),ZC2+3),ZC2+2),ZC2+1)-ZC2</f>
        <v>#VALUE!</v>
      </c>
      <c r="ZD4" s="56" t="e">
        <f ca="1">IF(COUNTIF(OFFSET(納品書まとめ!$A$1,ZD2-1,54),"*●*"),7,
IF(COUNTIF(OFFSET(納品書まとめ!$A$1,ZD2-1,55),"*●*"),8,
IF(COUNTIF(OFFSET(納品書まとめ!$A$1,ZD2-1,56),"*●*"),9,
IF(COUNTIF(OFFSET(納品書まとめ!$A$1,ZD2-1,57),"*●*"),10,
IF(COUNTIF(OFFSET(納品書まとめ!$A$1,ZD2-1,58),"*●*"),11,
IF(COUNTIF(OFFSET(納品書まとめ!$A$1,ZD2-1,59),"*●*"),12,
IF(COUNTIF(OFFSET(納品書まとめ!$A$1,ZD2-1,60),"*●*"),13,
IF(COUNTIF(OFFSET(納品書まとめ!$A$1,ZD2-1,61),"*●*"),14,
IF(COUNTIF(OFFSET(納品書まとめ!$A$1,ZD2-1,62),"*●*"),15,
IF(COUNTIF(OFFSET(納品書まとめ!$A$1,ZD2-1,63),"*●*"),16,0))))))))))</f>
        <v>#VALUE!</v>
      </c>
      <c r="ZE4" s="39"/>
      <c r="ZF4" s="39"/>
      <c r="ZL4" s="39" t="e">
        <f ca="1">IF(AND(VALUE(ZH1)&gt;39999,VALUE(ZH1)&lt;49999),
"〒　811-1347",
IF(COUNTIF(ZG3,"*吉塚ゆりの樹*"),"〒　811-1347","〒　811-1311"))</f>
        <v>#VALUE!</v>
      </c>
      <c r="ZM4" s="39"/>
      <c r="ZN4" s="55" t="e">
        <f ca="1">IF(COUNTIF(OFFSET(納品書まとめ!$A$1,ZN2-1,2),"*web*"),
IF(COUNTIF(OFFSET(納品書まとめ!$A$1,ZN2,2),"*web*"),
IF(COUNTIF(OFFSET(納品書まとめ!$A$1,ZN2+1,2),"*web*"),
IF(COUNTIF(OFFSET(納品書まとめ!$A$1,ZN2+2,2),"*web*"),
IF(COUNTIF(OFFSET(納品書まとめ!$A$1,ZN2+3,2),"*web*"),
IF(COUNTIF(OFFSET(納品書まとめ!$A$1,ZN2+4,2),"*web*"),ZN2+7,ZN2+6),ZN2+5),ZN2+4),ZN2+3),ZN2+2),ZN2+1)-ZN2</f>
        <v>#VALUE!</v>
      </c>
      <c r="ZO4" s="56" t="e">
        <f ca="1">IF(COUNTIF(OFFSET(納品書まとめ!$A$1,ZO2-1,54),"*●*"),7,
IF(COUNTIF(OFFSET(納品書まとめ!$A$1,ZO2-1,55),"*●*"),8,
IF(COUNTIF(OFFSET(納品書まとめ!$A$1,ZO2-1,56),"*●*"),9,
IF(COUNTIF(OFFSET(納品書まとめ!$A$1,ZO2-1,57),"*●*"),10,
IF(COUNTIF(OFFSET(納品書まとめ!$A$1,ZO2-1,58),"*●*"),11,
IF(COUNTIF(OFFSET(納品書まとめ!$A$1,ZO2-1,59),"*●*"),12,
IF(COUNTIF(OFFSET(納品書まとめ!$A$1,ZO2-1,60),"*●*"),13,
IF(COUNTIF(OFFSET(納品書まとめ!$A$1,ZO2-1,61),"*●*"),14,
IF(COUNTIF(OFFSET(納品書まとめ!$A$1,ZO2-1,62),"*●*"),15,
IF(COUNTIF(OFFSET(納品書まとめ!$A$1,ZO2-1,63),"*●*"),16,0))))))))))</f>
        <v>#VALUE!</v>
      </c>
      <c r="ZP4" s="39"/>
      <c r="ZQ4" s="39"/>
      <c r="ZW4" s="39" t="e">
        <f ca="1">IF(AND(VALUE(ZS1)&gt;39999,VALUE(ZS1)&lt;49999),
"〒　811-1347",
IF(COUNTIF(ZR3,"*吉塚ゆりの樹*"),"〒　811-1347","〒　811-1311"))</f>
        <v>#VALUE!</v>
      </c>
      <c r="ZX4" s="39"/>
      <c r="ZY4" s="55" t="e">
        <f ca="1">IF(COUNTIF(OFFSET(納品書まとめ!$A$1,ZY2-1,2),"*web*"),
IF(COUNTIF(OFFSET(納品書まとめ!$A$1,ZY2,2),"*web*"),
IF(COUNTIF(OFFSET(納品書まとめ!$A$1,ZY2+1,2),"*web*"),
IF(COUNTIF(OFFSET(納品書まとめ!$A$1,ZY2+2,2),"*web*"),
IF(COUNTIF(OFFSET(納品書まとめ!$A$1,ZY2+3,2),"*web*"),
IF(COUNTIF(OFFSET(納品書まとめ!$A$1,ZY2+4,2),"*web*"),ZY2+7,ZY2+6),ZY2+5),ZY2+4),ZY2+3),ZY2+2),ZY2+1)-ZY2</f>
        <v>#VALUE!</v>
      </c>
      <c r="ZZ4" s="56" t="e">
        <f ca="1">IF(COUNTIF(OFFSET(納品書まとめ!$A$1,ZZ2-1,54),"*●*"),7,
IF(COUNTIF(OFFSET(納品書まとめ!$A$1,ZZ2-1,55),"*●*"),8,
IF(COUNTIF(OFFSET(納品書まとめ!$A$1,ZZ2-1,56),"*●*"),9,
IF(COUNTIF(OFFSET(納品書まとめ!$A$1,ZZ2-1,57),"*●*"),10,
IF(COUNTIF(OFFSET(納品書まとめ!$A$1,ZZ2-1,58),"*●*"),11,
IF(COUNTIF(OFFSET(納品書まとめ!$A$1,ZZ2-1,59),"*●*"),12,
IF(COUNTIF(OFFSET(納品書まとめ!$A$1,ZZ2-1,60),"*●*"),13,
IF(COUNTIF(OFFSET(納品書まとめ!$A$1,ZZ2-1,61),"*●*"),14,
IF(COUNTIF(OFFSET(納品書まとめ!$A$1,ZZ2-1,62),"*●*"),15,
IF(COUNTIF(OFFSET(納品書まとめ!$A$1,ZZ2-1,63),"*●*"),16,0))))))))))</f>
        <v>#VALUE!</v>
      </c>
      <c r="AAA4" s="39"/>
      <c r="AAB4" s="39"/>
      <c r="AAH4" s="39" t="e">
        <f ca="1">IF(AND(VALUE(AAD1)&gt;39999,VALUE(AAD1)&lt;49999),
"〒　811-1347",
IF(COUNTIF(AAC3,"*吉塚ゆりの樹*"),"〒　811-1347","〒　811-1311"))</f>
        <v>#VALUE!</v>
      </c>
      <c r="AAI4" s="39"/>
      <c r="AAJ4" s="55" t="e">
        <f ca="1">IF(COUNTIF(OFFSET(納品書まとめ!$A$1,AAJ2-1,2),"*web*"),
IF(COUNTIF(OFFSET(納品書まとめ!$A$1,AAJ2,2),"*web*"),
IF(COUNTIF(OFFSET(納品書まとめ!$A$1,AAJ2+1,2),"*web*"),
IF(COUNTIF(OFFSET(納品書まとめ!$A$1,AAJ2+2,2),"*web*"),
IF(COUNTIF(OFFSET(納品書まとめ!$A$1,AAJ2+3,2),"*web*"),
IF(COUNTIF(OFFSET(納品書まとめ!$A$1,AAJ2+4,2),"*web*"),AAJ2+7,AAJ2+6),AAJ2+5),AAJ2+4),AAJ2+3),AAJ2+2),AAJ2+1)-AAJ2</f>
        <v>#VALUE!</v>
      </c>
      <c r="AAK4" s="56" t="e">
        <f ca="1">IF(COUNTIF(OFFSET(納品書まとめ!$A$1,AAK2-1,54),"*●*"),7,
IF(COUNTIF(OFFSET(納品書まとめ!$A$1,AAK2-1,55),"*●*"),8,
IF(COUNTIF(OFFSET(納品書まとめ!$A$1,AAK2-1,56),"*●*"),9,
IF(COUNTIF(OFFSET(納品書まとめ!$A$1,AAK2-1,57),"*●*"),10,
IF(COUNTIF(OFFSET(納品書まとめ!$A$1,AAK2-1,58),"*●*"),11,
IF(COUNTIF(OFFSET(納品書まとめ!$A$1,AAK2-1,59),"*●*"),12,
IF(COUNTIF(OFFSET(納品書まとめ!$A$1,AAK2-1,60),"*●*"),13,
IF(COUNTIF(OFFSET(納品書まとめ!$A$1,AAK2-1,61),"*●*"),14,
IF(COUNTIF(OFFSET(納品書まとめ!$A$1,AAK2-1,62),"*●*"),15,
IF(COUNTIF(OFFSET(納品書まとめ!$A$1,AAK2-1,63),"*●*"),16,0))))))))))</f>
        <v>#VALUE!</v>
      </c>
      <c r="AAL4" s="39"/>
      <c r="AAM4" s="39"/>
      <c r="AAS4" s="39" t="e">
        <f ca="1">IF(AND(VALUE(AAO1)&gt;39999,VALUE(AAO1)&lt;49999),
"〒　811-1347",
IF(COUNTIF(AAN3,"*吉塚ゆりの樹*"),"〒　811-1347","〒　811-1311"))</f>
        <v>#VALUE!</v>
      </c>
      <c r="AAT4" s="39"/>
      <c r="AAU4" s="55" t="e">
        <f ca="1">IF(COUNTIF(OFFSET(納品書まとめ!$A$1,AAU2-1,2),"*web*"),
IF(COUNTIF(OFFSET(納品書まとめ!$A$1,AAU2,2),"*web*"),
IF(COUNTIF(OFFSET(納品書まとめ!$A$1,AAU2+1,2),"*web*"),
IF(COUNTIF(OFFSET(納品書まとめ!$A$1,AAU2+2,2),"*web*"),
IF(COUNTIF(OFFSET(納品書まとめ!$A$1,AAU2+3,2),"*web*"),
IF(COUNTIF(OFFSET(納品書まとめ!$A$1,AAU2+4,2),"*web*"),AAU2+7,AAU2+6),AAU2+5),AAU2+4),AAU2+3),AAU2+2),AAU2+1)-AAU2</f>
        <v>#VALUE!</v>
      </c>
      <c r="AAV4" s="56" t="e">
        <f ca="1">IF(COUNTIF(OFFSET(納品書まとめ!$A$1,AAV2-1,54),"*●*"),7,
IF(COUNTIF(OFFSET(納品書まとめ!$A$1,AAV2-1,55),"*●*"),8,
IF(COUNTIF(OFFSET(納品書まとめ!$A$1,AAV2-1,56),"*●*"),9,
IF(COUNTIF(OFFSET(納品書まとめ!$A$1,AAV2-1,57),"*●*"),10,
IF(COUNTIF(OFFSET(納品書まとめ!$A$1,AAV2-1,58),"*●*"),11,
IF(COUNTIF(OFFSET(納品書まとめ!$A$1,AAV2-1,59),"*●*"),12,
IF(COUNTIF(OFFSET(納品書まとめ!$A$1,AAV2-1,60),"*●*"),13,
IF(COUNTIF(OFFSET(納品書まとめ!$A$1,AAV2-1,61),"*●*"),14,
IF(COUNTIF(OFFSET(納品書まとめ!$A$1,AAV2-1,62),"*●*"),15,
IF(COUNTIF(OFFSET(納品書まとめ!$A$1,AAV2-1,63),"*●*"),16,0))))))))))</f>
        <v>#VALUE!</v>
      </c>
      <c r="AAW4" s="39"/>
      <c r="AAX4" s="39"/>
      <c r="ABD4" s="39" t="e">
        <f ca="1">IF(AND(VALUE(AAZ1)&gt;39999,VALUE(AAZ1)&lt;49999),
"〒　811-1347",
IF(COUNTIF(AAY3,"*吉塚ゆりの樹*"),"〒　811-1347","〒　811-1311"))</f>
        <v>#VALUE!</v>
      </c>
      <c r="ABE4" s="39"/>
      <c r="ABF4" s="55" t="e">
        <f ca="1">IF(COUNTIF(OFFSET(納品書まとめ!$A$1,ABF2-1,2),"*web*"),
IF(COUNTIF(OFFSET(納品書まとめ!$A$1,ABF2,2),"*web*"),
IF(COUNTIF(OFFSET(納品書まとめ!$A$1,ABF2+1,2),"*web*"),
IF(COUNTIF(OFFSET(納品書まとめ!$A$1,ABF2+2,2),"*web*"),
IF(COUNTIF(OFFSET(納品書まとめ!$A$1,ABF2+3,2),"*web*"),
IF(COUNTIF(OFFSET(納品書まとめ!$A$1,ABF2+4,2),"*web*"),ABF2+7,ABF2+6),ABF2+5),ABF2+4),ABF2+3),ABF2+2),ABF2+1)-ABF2</f>
        <v>#VALUE!</v>
      </c>
      <c r="ABG4" s="56" t="e">
        <f ca="1">IF(COUNTIF(OFFSET(納品書まとめ!$A$1,ABG2-1,54),"*●*"),7,
IF(COUNTIF(OFFSET(納品書まとめ!$A$1,ABG2-1,55),"*●*"),8,
IF(COUNTIF(OFFSET(納品書まとめ!$A$1,ABG2-1,56),"*●*"),9,
IF(COUNTIF(OFFSET(納品書まとめ!$A$1,ABG2-1,57),"*●*"),10,
IF(COUNTIF(OFFSET(納品書まとめ!$A$1,ABG2-1,58),"*●*"),11,
IF(COUNTIF(OFFSET(納品書まとめ!$A$1,ABG2-1,59),"*●*"),12,
IF(COUNTIF(OFFSET(納品書まとめ!$A$1,ABG2-1,60),"*●*"),13,
IF(COUNTIF(OFFSET(納品書まとめ!$A$1,ABG2-1,61),"*●*"),14,
IF(COUNTIF(OFFSET(納品書まとめ!$A$1,ABG2-1,62),"*●*"),15,
IF(COUNTIF(OFFSET(納品書まとめ!$A$1,ABG2-1,63),"*●*"),16,0))))))))))</f>
        <v>#VALUE!</v>
      </c>
      <c r="ABH4" s="39"/>
      <c r="ABI4" s="39"/>
      <c r="ABO4" s="39" t="e">
        <f ca="1">IF(AND(VALUE(ABK1)&gt;39999,VALUE(ABK1)&lt;49999),
"〒　811-1347",
IF(COUNTIF(ABJ3,"*吉塚ゆりの樹*"),"〒　811-1347","〒　811-1311"))</f>
        <v>#VALUE!</v>
      </c>
      <c r="ABP4" s="39"/>
      <c r="ABQ4" s="55" t="e">
        <f ca="1">IF(COUNTIF(OFFSET(納品書まとめ!$A$1,ABQ2-1,2),"*web*"),
IF(COUNTIF(OFFSET(納品書まとめ!$A$1,ABQ2,2),"*web*"),
IF(COUNTIF(OFFSET(納品書まとめ!$A$1,ABQ2+1,2),"*web*"),
IF(COUNTIF(OFFSET(納品書まとめ!$A$1,ABQ2+2,2),"*web*"),
IF(COUNTIF(OFFSET(納品書まとめ!$A$1,ABQ2+3,2),"*web*"),
IF(COUNTIF(OFFSET(納品書まとめ!$A$1,ABQ2+4,2),"*web*"),ABQ2+7,ABQ2+6),ABQ2+5),ABQ2+4),ABQ2+3),ABQ2+2),ABQ2+1)-ABQ2</f>
        <v>#VALUE!</v>
      </c>
      <c r="ABR4" s="56" t="e">
        <f ca="1">IF(COUNTIF(OFFSET(納品書まとめ!$A$1,ABR2-1,54),"*●*"),7,
IF(COUNTIF(OFFSET(納品書まとめ!$A$1,ABR2-1,55),"*●*"),8,
IF(COUNTIF(OFFSET(納品書まとめ!$A$1,ABR2-1,56),"*●*"),9,
IF(COUNTIF(OFFSET(納品書まとめ!$A$1,ABR2-1,57),"*●*"),10,
IF(COUNTIF(OFFSET(納品書まとめ!$A$1,ABR2-1,58),"*●*"),11,
IF(COUNTIF(OFFSET(納品書まとめ!$A$1,ABR2-1,59),"*●*"),12,
IF(COUNTIF(OFFSET(納品書まとめ!$A$1,ABR2-1,60),"*●*"),13,
IF(COUNTIF(OFFSET(納品書まとめ!$A$1,ABR2-1,61),"*●*"),14,
IF(COUNTIF(OFFSET(納品書まとめ!$A$1,ABR2-1,62),"*●*"),15,
IF(COUNTIF(OFFSET(納品書まとめ!$A$1,ABR2-1,63),"*●*"),16,0))))))))))</f>
        <v>#VALUE!</v>
      </c>
      <c r="ABS4" s="39"/>
      <c r="ABT4" s="39"/>
      <c r="ABZ4" s="39" t="e">
        <f ca="1">IF(AND(VALUE(ABV1)&gt;39999,VALUE(ABV1)&lt;49999),
"〒　811-1347",
IF(COUNTIF(ABU3,"*吉塚ゆりの樹*"),"〒　811-1347","〒　811-1311"))</f>
        <v>#VALUE!</v>
      </c>
      <c r="ACA4" s="39"/>
      <c r="ACB4" s="55" t="e">
        <f ca="1">IF(COUNTIF(OFFSET(納品書まとめ!$A$1,ACB2-1,2),"*web*"),
IF(COUNTIF(OFFSET(納品書まとめ!$A$1,ACB2,2),"*web*"),
IF(COUNTIF(OFFSET(納品書まとめ!$A$1,ACB2+1,2),"*web*"),
IF(COUNTIF(OFFSET(納品書まとめ!$A$1,ACB2+2,2),"*web*"),
IF(COUNTIF(OFFSET(納品書まとめ!$A$1,ACB2+3,2),"*web*"),
IF(COUNTIF(OFFSET(納品書まとめ!$A$1,ACB2+4,2),"*web*"),ACB2+7,ACB2+6),ACB2+5),ACB2+4),ACB2+3),ACB2+2),ACB2+1)-ACB2</f>
        <v>#VALUE!</v>
      </c>
      <c r="ACC4" s="56" t="e">
        <f ca="1">IF(COUNTIF(OFFSET(納品書まとめ!$A$1,ACC2-1,54),"*●*"),7,
IF(COUNTIF(OFFSET(納品書まとめ!$A$1,ACC2-1,55),"*●*"),8,
IF(COUNTIF(OFFSET(納品書まとめ!$A$1,ACC2-1,56),"*●*"),9,
IF(COUNTIF(OFFSET(納品書まとめ!$A$1,ACC2-1,57),"*●*"),10,
IF(COUNTIF(OFFSET(納品書まとめ!$A$1,ACC2-1,58),"*●*"),11,
IF(COUNTIF(OFFSET(納品書まとめ!$A$1,ACC2-1,59),"*●*"),12,
IF(COUNTIF(OFFSET(納品書まとめ!$A$1,ACC2-1,60),"*●*"),13,
IF(COUNTIF(OFFSET(納品書まとめ!$A$1,ACC2-1,61),"*●*"),14,
IF(COUNTIF(OFFSET(納品書まとめ!$A$1,ACC2-1,62),"*●*"),15,
IF(COUNTIF(OFFSET(納品書まとめ!$A$1,ACC2-1,63),"*●*"),16,0))))))))))</f>
        <v>#VALUE!</v>
      </c>
      <c r="ACD4" s="39"/>
      <c r="ACE4" s="39"/>
      <c r="ACK4" s="39" t="e">
        <f ca="1">IF(AND(VALUE(ACG1)&gt;39999,VALUE(ACG1)&lt;49999),
"〒　811-1347",
IF(COUNTIF(ACF3,"*吉塚ゆりの樹*"),"〒　811-1347","〒　811-1311"))</f>
        <v>#VALUE!</v>
      </c>
      <c r="ACL4" s="39"/>
      <c r="ACM4" s="55" t="e">
        <f ca="1">IF(COUNTIF(OFFSET(納品書まとめ!$A$1,ACM2-1,2),"*web*"),
IF(COUNTIF(OFFSET(納品書まとめ!$A$1,ACM2,2),"*web*"),
IF(COUNTIF(OFFSET(納品書まとめ!$A$1,ACM2+1,2),"*web*"),
IF(COUNTIF(OFFSET(納品書まとめ!$A$1,ACM2+2,2),"*web*"),
IF(COUNTIF(OFFSET(納品書まとめ!$A$1,ACM2+3,2),"*web*"),
IF(COUNTIF(OFFSET(納品書まとめ!$A$1,ACM2+4,2),"*web*"),ACM2+7,ACM2+6),ACM2+5),ACM2+4),ACM2+3),ACM2+2),ACM2+1)-ACM2</f>
        <v>#VALUE!</v>
      </c>
      <c r="ACN4" s="56" t="e">
        <f ca="1">IF(COUNTIF(OFFSET(納品書まとめ!$A$1,ACN2-1,54),"*●*"),7,
IF(COUNTIF(OFFSET(納品書まとめ!$A$1,ACN2-1,55),"*●*"),8,
IF(COUNTIF(OFFSET(納品書まとめ!$A$1,ACN2-1,56),"*●*"),9,
IF(COUNTIF(OFFSET(納品書まとめ!$A$1,ACN2-1,57),"*●*"),10,
IF(COUNTIF(OFFSET(納品書まとめ!$A$1,ACN2-1,58),"*●*"),11,
IF(COUNTIF(OFFSET(納品書まとめ!$A$1,ACN2-1,59),"*●*"),12,
IF(COUNTIF(OFFSET(納品書まとめ!$A$1,ACN2-1,60),"*●*"),13,
IF(COUNTIF(OFFSET(納品書まとめ!$A$1,ACN2-1,61),"*●*"),14,
IF(COUNTIF(OFFSET(納品書まとめ!$A$1,ACN2-1,62),"*●*"),15,
IF(COUNTIF(OFFSET(納品書まとめ!$A$1,ACN2-1,63),"*●*"),16,0))))))))))</f>
        <v>#VALUE!</v>
      </c>
      <c r="ACO4" s="39"/>
      <c r="ACP4" s="39"/>
      <c r="ACV4" s="39" t="e">
        <f ca="1">IF(AND(VALUE(ACR1)&gt;39999,VALUE(ACR1)&lt;49999),
"〒　811-1347",
IF(COUNTIF(ACQ3,"*吉塚ゆりの樹*"),"〒　811-1347","〒　811-1311"))</f>
        <v>#VALUE!</v>
      </c>
      <c r="ACW4" s="39"/>
      <c r="ACX4" s="55" t="e">
        <f ca="1">IF(COUNTIF(OFFSET(納品書まとめ!$A$1,ACX2-1,2),"*web*"),
IF(COUNTIF(OFFSET(納品書まとめ!$A$1,ACX2,2),"*web*"),
IF(COUNTIF(OFFSET(納品書まとめ!$A$1,ACX2+1,2),"*web*"),
IF(COUNTIF(OFFSET(納品書まとめ!$A$1,ACX2+2,2),"*web*"),
IF(COUNTIF(OFFSET(納品書まとめ!$A$1,ACX2+3,2),"*web*"),
IF(COUNTIF(OFFSET(納品書まとめ!$A$1,ACX2+4,2),"*web*"),ACX2+7,ACX2+6),ACX2+5),ACX2+4),ACX2+3),ACX2+2),ACX2+1)-ACX2</f>
        <v>#VALUE!</v>
      </c>
      <c r="ACY4" s="56" t="e">
        <f ca="1">IF(COUNTIF(OFFSET(納品書まとめ!$A$1,ACY2-1,54),"*●*"),7,
IF(COUNTIF(OFFSET(納品書まとめ!$A$1,ACY2-1,55),"*●*"),8,
IF(COUNTIF(OFFSET(納品書まとめ!$A$1,ACY2-1,56),"*●*"),9,
IF(COUNTIF(OFFSET(納品書まとめ!$A$1,ACY2-1,57),"*●*"),10,
IF(COUNTIF(OFFSET(納品書まとめ!$A$1,ACY2-1,58),"*●*"),11,
IF(COUNTIF(OFFSET(納品書まとめ!$A$1,ACY2-1,59),"*●*"),12,
IF(COUNTIF(OFFSET(納品書まとめ!$A$1,ACY2-1,60),"*●*"),13,
IF(COUNTIF(OFFSET(納品書まとめ!$A$1,ACY2-1,61),"*●*"),14,
IF(COUNTIF(OFFSET(納品書まとめ!$A$1,ACY2-1,62),"*●*"),15,
IF(COUNTIF(OFFSET(納品書まとめ!$A$1,ACY2-1,63),"*●*"),16,0))))))))))</f>
        <v>#VALUE!</v>
      </c>
      <c r="ACZ4" s="39"/>
      <c r="ADA4" s="39"/>
      <c r="ADG4" s="39" t="e">
        <f ca="1">IF(AND(VALUE(ADC1)&gt;39999,VALUE(ADC1)&lt;49999),
"〒　811-1347",
IF(COUNTIF(ADB3,"*吉塚ゆりの樹*"),"〒　811-1347","〒　811-1311"))</f>
        <v>#VALUE!</v>
      </c>
      <c r="ADH4" s="39"/>
      <c r="ADI4" s="55" t="e">
        <f ca="1">IF(COUNTIF(OFFSET(納品書まとめ!$A$1,ADI2-1,2),"*web*"),
IF(COUNTIF(OFFSET(納品書まとめ!$A$1,ADI2,2),"*web*"),
IF(COUNTIF(OFFSET(納品書まとめ!$A$1,ADI2+1,2),"*web*"),
IF(COUNTIF(OFFSET(納品書まとめ!$A$1,ADI2+2,2),"*web*"),
IF(COUNTIF(OFFSET(納品書まとめ!$A$1,ADI2+3,2),"*web*"),
IF(COUNTIF(OFFSET(納品書まとめ!$A$1,ADI2+4,2),"*web*"),ADI2+7,ADI2+6),ADI2+5),ADI2+4),ADI2+3),ADI2+2),ADI2+1)-ADI2</f>
        <v>#VALUE!</v>
      </c>
      <c r="ADJ4" s="56" t="e">
        <f ca="1">IF(COUNTIF(OFFSET(納品書まとめ!$A$1,ADJ2-1,54),"*●*"),7,
IF(COUNTIF(OFFSET(納品書まとめ!$A$1,ADJ2-1,55),"*●*"),8,
IF(COUNTIF(OFFSET(納品書まとめ!$A$1,ADJ2-1,56),"*●*"),9,
IF(COUNTIF(OFFSET(納品書まとめ!$A$1,ADJ2-1,57),"*●*"),10,
IF(COUNTIF(OFFSET(納品書まとめ!$A$1,ADJ2-1,58),"*●*"),11,
IF(COUNTIF(OFFSET(納品書まとめ!$A$1,ADJ2-1,59),"*●*"),12,
IF(COUNTIF(OFFSET(納品書まとめ!$A$1,ADJ2-1,60),"*●*"),13,
IF(COUNTIF(OFFSET(納品書まとめ!$A$1,ADJ2-1,61),"*●*"),14,
IF(COUNTIF(OFFSET(納品書まとめ!$A$1,ADJ2-1,62),"*●*"),15,
IF(COUNTIF(OFFSET(納品書まとめ!$A$1,ADJ2-1,63),"*●*"),16,0))))))))))</f>
        <v>#VALUE!</v>
      </c>
    </row>
    <row r="5" spans="1:790" ht="11.4" customHeight="1" x14ac:dyDescent="0.45">
      <c r="F5" s="39" t="s">
        <v>4010</v>
      </c>
      <c r="G5" s="39"/>
      <c r="H5" s="80"/>
      <c r="I5" s="80"/>
      <c r="J5" s="39"/>
      <c r="K5" s="39"/>
      <c r="Q5" s="39" t="str">
        <f ca="1">IF(AND(VALUE(M1)&gt;39999,VALUE(M1)&lt;49999),
"福岡市南区野多目2-7-5",
"福岡市南区横手2-9-13")</f>
        <v>福岡市南区横手2-9-13</v>
      </c>
      <c r="R5" s="39"/>
      <c r="S5" s="80"/>
      <c r="T5" s="80"/>
      <c r="U5" s="39"/>
      <c r="V5" s="39"/>
      <c r="AB5" s="39" t="str">
        <f ca="1">IF(AND(VALUE(X1)&gt;39999,VALUE(X1)&lt;49999),
"福岡市南区野多目2-7-5",
IF(COUNTIF(W3,"*吉塚ゆりの樹*"),"福岡市南区野多目2-7-5","福岡市南区横手2-9-13"))</f>
        <v>福岡市南区横手2-9-13</v>
      </c>
      <c r="AC5" s="39"/>
      <c r="AD5" s="39"/>
      <c r="AE5" s="39"/>
      <c r="AF5" s="39"/>
      <c r="AG5" s="39"/>
      <c r="AM5" s="39" t="str">
        <f ca="1">IF(AND(VALUE(AI1)&gt;39999,VALUE(AI1)&lt;49999),
"福岡市南区野多目2-7-5",
IF(COUNTIF(AH3,"*吉塚ゆりの樹*"),"福岡市南区野多目2-7-5","福岡市南区横手2-9-13"))</f>
        <v>福岡市南区横手2-9-13</v>
      </c>
      <c r="AN5" s="39"/>
      <c r="AO5" s="39"/>
      <c r="AP5" s="39"/>
      <c r="AQ5" s="39"/>
      <c r="AR5" s="39"/>
      <c r="AX5" s="39" t="str">
        <f ca="1">IF(AND(VALUE(AT1)&gt;39999,VALUE(AT1)&lt;49999),
"福岡市南区野多目2-7-5",
IF(COUNTIF(AS3,"*吉塚ゆりの樹*"),"福岡市南区野多目2-7-5","福岡市南区横手2-9-13"))</f>
        <v>福岡市南区横手2-9-13</v>
      </c>
      <c r="AY5" s="39"/>
      <c r="AZ5" s="39"/>
      <c r="BA5" s="39"/>
      <c r="BB5" s="39"/>
      <c r="BC5" s="39"/>
      <c r="BI5" s="39" t="str">
        <f ca="1">IF(AND(VALUE(BE1)&gt;39999,VALUE(BE1)&lt;49999),
"福岡市南区野多目2-7-5",
IF(COUNTIF(BD3,"*吉塚ゆりの樹*"),"福岡市南区野多目2-7-5","福岡市南区横手2-9-13"))</f>
        <v>福岡市南区横手2-9-13</v>
      </c>
      <c r="BJ5" s="39"/>
      <c r="BK5" s="39"/>
      <c r="BL5" s="39"/>
      <c r="BM5" s="39"/>
      <c r="BN5" s="39"/>
      <c r="BT5" s="39" t="str">
        <f ca="1">IF(AND(VALUE(BP1)&gt;39999,VALUE(BP1)&lt;49999),
"福岡市南区野多目2-7-5",
IF(COUNTIF(BO3,"*吉塚ゆりの樹*"),"福岡市南区野多目2-7-5","福岡市南区横手2-9-13"))</f>
        <v>福岡市南区横手2-9-13</v>
      </c>
      <c r="BU5" s="39"/>
      <c r="BV5" s="39"/>
      <c r="BW5" s="39"/>
      <c r="BX5" s="39"/>
      <c r="BY5" s="39"/>
      <c r="CE5" s="39" t="str">
        <f ca="1">IF(AND(VALUE(CA1)&gt;39999,VALUE(CA1)&lt;49999),
"福岡市南区野多目2-7-5",
IF(COUNTIF(BZ3,"*吉塚ゆりの樹*"),"福岡市南区野多目2-7-5","福岡市南区横手2-9-13"))</f>
        <v>福岡市南区横手2-9-13</v>
      </c>
      <c r="CF5" s="39"/>
      <c r="CG5" s="39"/>
      <c r="CH5" s="39"/>
      <c r="CI5" s="39"/>
      <c r="CJ5" s="39"/>
      <c r="CP5" s="39" t="str">
        <f ca="1">IF(AND(VALUE(CL1)&gt;39999,VALUE(CL1)&lt;49999),
"福岡市南区野多目2-7-5",
IF(COUNTIF(CK3,"*吉塚ゆりの樹*"),"福岡市南区野多目2-7-5","福岡市南区横手2-9-13"))</f>
        <v>福岡市南区横手2-9-13</v>
      </c>
      <c r="CQ5" s="39"/>
      <c r="CR5" s="39"/>
      <c r="CS5" s="39"/>
      <c r="CT5" s="39"/>
      <c r="CU5" s="39"/>
      <c r="DA5" s="39" t="str">
        <f ca="1">IF(AND(VALUE(CW1)&gt;39999,VALUE(CW1)&lt;49999),
"福岡市南区野多目2-7-5",
IF(COUNTIF(CV3,"*吉塚ゆりの樹*"),"福岡市南区野多目2-7-5","福岡市南区横手2-9-13"))</f>
        <v>福岡市南区横手2-9-13</v>
      </c>
      <c r="DB5" s="39"/>
      <c r="DC5" s="39"/>
      <c r="DD5" s="39"/>
      <c r="DE5" s="39"/>
      <c r="DF5" s="39"/>
      <c r="DL5" s="39" t="str">
        <f ca="1">IF(AND(VALUE(DH1)&gt;39999,VALUE(DH1)&lt;49999),
"福岡市南区野多目2-7-5",
IF(COUNTIF(DG3,"*吉塚ゆりの樹*"),"福岡市南区野多目2-7-5","福岡市南区横手2-9-13"))</f>
        <v>福岡市南区横手2-9-13</v>
      </c>
      <c r="DM5" s="39"/>
      <c r="DN5" s="39"/>
      <c r="DO5" s="39"/>
      <c r="DP5" s="39"/>
      <c r="DQ5" s="39"/>
      <c r="DW5" s="39" t="str">
        <f ca="1">IF(AND(VALUE(DS1)&gt;39999,VALUE(DS1)&lt;49999),
"福岡市南区野多目2-7-5",
IF(COUNTIF(DR3,"*吉塚ゆりの樹*"),"福岡市南区野多目2-7-5","福岡市南区横手2-9-13"))</f>
        <v>福岡市南区横手2-9-13</v>
      </c>
      <c r="DX5" s="39"/>
      <c r="DY5" s="39"/>
      <c r="DZ5" s="39"/>
      <c r="EA5" s="39"/>
      <c r="EB5" s="39"/>
      <c r="EH5" s="39" t="str">
        <f ca="1">IF(AND(VALUE(ED1)&gt;39999,VALUE(ED1)&lt;49999),
"福岡市南区野多目2-7-5",
IF(COUNTIF(EC3,"*吉塚ゆりの樹*"),"福岡市南区野多目2-7-5","福岡市南区横手2-9-13"))</f>
        <v>福岡市南区横手2-9-13</v>
      </c>
      <c r="EI5" s="39"/>
      <c r="EJ5" s="39"/>
      <c r="EK5" s="39"/>
      <c r="EL5" s="39"/>
      <c r="EM5" s="39"/>
      <c r="ES5" s="39" t="str">
        <f ca="1">IF(AND(VALUE(EO1)&gt;39999,VALUE(EO1)&lt;49999),
"福岡市南区野多目2-7-5",
IF(COUNTIF(EN3,"*吉塚ゆりの樹*"),"福岡市南区野多目2-7-5","福岡市南区横手2-9-13"))</f>
        <v>福岡市南区横手2-9-13</v>
      </c>
      <c r="ET5" s="39"/>
      <c r="EU5" s="39"/>
      <c r="EV5" s="39"/>
      <c r="EW5" s="39"/>
      <c r="EX5" s="39"/>
      <c r="FD5" s="39" t="str">
        <f ca="1">IF(AND(VALUE(EZ1)&gt;39999,VALUE(EZ1)&lt;49999),
"福岡市南区野多目2-7-5",
IF(COUNTIF(EY3,"*吉塚ゆりの樹*"),"福岡市南区野多目2-7-5","福岡市南区横手2-9-13"))</f>
        <v>福岡市南区横手2-9-13</v>
      </c>
      <c r="FE5" s="39"/>
      <c r="FF5" s="39"/>
      <c r="FG5" s="39"/>
      <c r="FH5" s="39"/>
      <c r="FI5" s="39"/>
      <c r="FO5" s="39" t="str">
        <f ca="1">IF(AND(VALUE(FK1)&gt;39999,VALUE(FK1)&lt;49999),
"福岡市南区野多目2-7-5",
IF(COUNTIF(FJ3,"*吉塚ゆりの樹*"),"福岡市南区野多目2-7-5","福岡市南区横手2-9-13"))</f>
        <v>福岡市南区横手2-9-13</v>
      </c>
      <c r="FP5" s="39"/>
      <c r="FQ5" s="39"/>
      <c r="FR5" s="39"/>
      <c r="FS5" s="39"/>
      <c r="FT5" s="39"/>
      <c r="FZ5" s="39" t="str">
        <f ca="1">IF(AND(VALUE(FV1)&gt;39999,VALUE(FV1)&lt;49999),
"福岡市南区野多目2-7-5",
IF(COUNTIF(FU3,"*吉塚ゆりの樹*"),"福岡市南区野多目2-7-5","福岡市南区横手2-9-13"))</f>
        <v>福岡市南区横手2-9-13</v>
      </c>
      <c r="GA5" s="39"/>
      <c r="GB5" s="39"/>
      <c r="GC5" s="39"/>
      <c r="GD5" s="39"/>
      <c r="GE5" s="39"/>
      <c r="GK5" s="39" t="str">
        <f ca="1">IF(AND(VALUE(GG1)&gt;39999,VALUE(GG1)&lt;49999),
"福岡市南区野多目2-7-5",
IF(COUNTIF(GF3,"*吉塚ゆりの樹*"),"福岡市南区野多目2-7-5","福岡市南区横手2-9-13"))</f>
        <v>福岡市南区横手2-9-13</v>
      </c>
      <c r="GL5" s="39"/>
      <c r="GM5" s="39"/>
      <c r="GN5" s="39"/>
      <c r="GO5" s="39"/>
      <c r="GP5" s="39"/>
      <c r="GV5" s="39" t="str">
        <f ca="1">IF(AND(VALUE(GR1)&gt;39999,VALUE(GR1)&lt;49999),
"福岡市南区野多目2-7-5",
IF(COUNTIF(GQ3,"*吉塚ゆりの樹*"),"福岡市南区野多目2-7-5","福岡市南区横手2-9-13"))</f>
        <v>福岡市南区横手2-9-13</v>
      </c>
      <c r="GW5" s="39"/>
      <c r="GX5" s="39"/>
      <c r="GY5" s="39"/>
      <c r="GZ5" s="39"/>
      <c r="HA5" s="39"/>
      <c r="HG5" s="39" t="str">
        <f ca="1">IF(AND(VALUE(HC1)&gt;39999,VALUE(HC1)&lt;49999),
"福岡市南区野多目2-7-5",
IF(COUNTIF(HB3,"*吉塚ゆりの樹*"),"福岡市南区野多目2-7-5","福岡市南区横手2-9-13"))</f>
        <v>福岡市南区横手2-9-13</v>
      </c>
      <c r="HH5" s="39"/>
      <c r="HI5" s="39"/>
      <c r="HJ5" s="39"/>
      <c r="HK5" s="39"/>
      <c r="HL5" s="39"/>
      <c r="HR5" s="39" t="str">
        <f ca="1">IF(AND(VALUE(HN1)&gt;39999,VALUE(HN1)&lt;49999),
"福岡市南区野多目2-7-5",
IF(COUNTIF(HM3,"*吉塚ゆりの樹*"),"福岡市南区野多目2-7-5","福岡市南区横手2-9-13"))</f>
        <v>福岡市南区横手2-9-13</v>
      </c>
      <c r="HS5" s="39"/>
      <c r="HT5" s="39"/>
      <c r="HU5" s="39"/>
      <c r="HV5" s="39"/>
      <c r="HW5" s="39"/>
      <c r="IC5" s="39" t="str">
        <f ca="1">IF(AND(VALUE(HY1)&gt;39999,VALUE(HY1)&lt;49999),
"福岡市南区野多目2-7-5",
IF(COUNTIF(HX3,"*吉塚ゆりの樹*"),"福岡市南区野多目2-7-5","福岡市南区横手2-9-13"))</f>
        <v>福岡市南区横手2-9-13</v>
      </c>
      <c r="ID5" s="39"/>
      <c r="IE5" s="39"/>
      <c r="IF5" s="39"/>
      <c r="IG5" s="39"/>
      <c r="IH5" s="39"/>
      <c r="IN5" s="39" t="str">
        <f ca="1">IF(AND(VALUE(IJ1)&gt;39999,VALUE(IJ1)&lt;49999),
"福岡市南区野多目2-7-5",
IF(COUNTIF(II3,"*吉塚ゆりの樹*"),"福岡市南区野多目2-7-5","福岡市南区横手2-9-13"))</f>
        <v>福岡市南区横手2-9-13</v>
      </c>
      <c r="IO5" s="39"/>
      <c r="IP5" s="39"/>
      <c r="IQ5" s="39"/>
      <c r="IR5" s="39"/>
      <c r="IS5" s="39"/>
      <c r="IY5" s="39" t="str">
        <f ca="1">IF(AND(VALUE(IU1)&gt;39999,VALUE(IU1)&lt;49999),
"福岡市南区野多目2-7-5",
IF(COUNTIF(IT3,"*吉塚ゆりの樹*"),"福岡市南区野多目2-7-5","福岡市南区横手2-9-13"))</f>
        <v>福岡市南区横手2-9-13</v>
      </c>
      <c r="IZ5" s="39"/>
      <c r="JA5" s="39"/>
      <c r="JB5" s="39"/>
      <c r="JC5" s="39"/>
      <c r="JD5" s="39"/>
      <c r="JJ5" s="39" t="str">
        <f ca="1">IF(AND(VALUE(JF1)&gt;39999,VALUE(JF1)&lt;49999),
"福岡市南区野多目2-7-5",
IF(COUNTIF(JE3,"*吉塚ゆりの樹*"),"福岡市南区野多目2-7-5","福岡市南区横手2-9-13"))</f>
        <v>福岡市南区横手2-9-13</v>
      </c>
      <c r="JK5" s="39"/>
      <c r="JL5" s="39"/>
      <c r="JM5" s="39"/>
      <c r="JN5" s="39"/>
      <c r="JO5" s="39"/>
      <c r="JU5" s="39" t="str">
        <f ca="1">IF(AND(VALUE(JQ1)&gt;39999,VALUE(JQ1)&lt;49999),
"福岡市南区野多目2-7-5",
IF(COUNTIF(JP3,"*吉塚ゆりの樹*"),"福岡市南区野多目2-7-5","福岡市南区横手2-9-13"))</f>
        <v>福岡市南区横手2-9-13</v>
      </c>
      <c r="JV5" s="39"/>
      <c r="JW5" s="39"/>
      <c r="JX5" s="39"/>
      <c r="JY5" s="39"/>
      <c r="JZ5" s="39"/>
      <c r="KF5" s="39" t="str">
        <f ca="1">IF(AND(VALUE(KB1)&gt;39999,VALUE(KB1)&lt;49999),
"福岡市南区野多目2-7-5",
IF(COUNTIF(KA3,"*吉塚ゆりの樹*"),"福岡市南区野多目2-7-5","福岡市南区横手2-9-13"))</f>
        <v>福岡市南区横手2-9-13</v>
      </c>
      <c r="KG5" s="39"/>
      <c r="KH5" s="39"/>
      <c r="KI5" s="39"/>
      <c r="KJ5" s="39"/>
      <c r="KK5" s="39"/>
      <c r="KQ5" s="39" t="str">
        <f ca="1">IF(AND(VALUE(KM1)&gt;39999,VALUE(KM1)&lt;49999),
"福岡市南区野多目2-7-5",
IF(COUNTIF(KL3,"*吉塚ゆりの樹*"),"福岡市南区野多目2-7-5","福岡市南区横手2-9-13"))</f>
        <v>福岡市南区横手2-9-13</v>
      </c>
      <c r="KR5" s="39"/>
      <c r="KS5" s="39"/>
      <c r="KT5" s="39"/>
      <c r="KU5" s="39"/>
      <c r="KV5" s="39"/>
      <c r="LB5" s="39" t="str">
        <f ca="1">IF(AND(VALUE(KX1)&gt;39999,VALUE(KX1)&lt;49999),
"福岡市南区野多目2-7-5",
IF(COUNTIF(KW3,"*吉塚ゆりの樹*"),"福岡市南区野多目2-7-5","福岡市南区横手2-9-13"))</f>
        <v>福岡市南区横手2-9-13</v>
      </c>
      <c r="LC5" s="39"/>
      <c r="LD5" s="39"/>
      <c r="LE5" s="39"/>
      <c r="LF5" s="39"/>
      <c r="LG5" s="39"/>
      <c r="LM5" s="39" t="str">
        <f ca="1">IF(AND(VALUE(LI1)&gt;39999,VALUE(LI1)&lt;49999),
"福岡市南区野多目2-7-5",
IF(COUNTIF(LH3,"*吉塚ゆりの樹*"),"福岡市南区野多目2-7-5","福岡市南区横手2-9-13"))</f>
        <v>福岡市南区横手2-9-13</v>
      </c>
      <c r="LN5" s="39"/>
      <c r="LO5" s="39"/>
      <c r="LP5" s="39"/>
      <c r="LQ5" s="39"/>
      <c r="LR5" s="39"/>
      <c r="LX5" s="39" t="str">
        <f ca="1">IF(AND(VALUE(LT1)&gt;39999,VALUE(LT1)&lt;49999),
"福岡市南区野多目2-7-5",
IF(COUNTIF(LS3,"*吉塚ゆりの樹*"),"福岡市南区野多目2-7-5","福岡市南区横手2-9-13"))</f>
        <v>福岡市南区横手2-9-13</v>
      </c>
      <c r="LY5" s="39"/>
      <c r="LZ5" s="39"/>
      <c r="MA5" s="39"/>
      <c r="MB5" s="39"/>
      <c r="MC5" s="39"/>
      <c r="MI5" s="39" t="str">
        <f ca="1">IF(AND(VALUE(ME1)&gt;39999,VALUE(ME1)&lt;49999),
"福岡市南区野多目2-7-5",
IF(COUNTIF(MD3,"*吉塚ゆりの樹*"),"福岡市南区野多目2-7-5","福岡市南区横手2-9-13"))</f>
        <v>福岡市南区横手2-9-13</v>
      </c>
      <c r="MJ5" s="39"/>
      <c r="MK5" s="39"/>
      <c r="ML5" s="39"/>
      <c r="MM5" s="39"/>
      <c r="MN5" s="39"/>
      <c r="MT5" s="39" t="str">
        <f ca="1">IF(AND(VALUE(MP1)&gt;39999,VALUE(MP1)&lt;49999),
"福岡市南区野多目2-7-5",
IF(COUNTIF(MO3,"*吉塚ゆりの樹*"),"福岡市南区野多目2-7-5","福岡市南区横手2-9-13"))</f>
        <v>福岡市南区横手2-9-13</v>
      </c>
      <c r="MU5" s="39"/>
      <c r="MV5" s="39"/>
      <c r="MW5" s="39"/>
      <c r="MX5" s="39"/>
      <c r="MY5" s="39"/>
      <c r="NE5" s="39" t="str">
        <f ca="1">IF(AND(VALUE(NA1)&gt;39999,VALUE(NA1)&lt;49999),
"福岡市南区野多目2-7-5",
IF(COUNTIF(MZ3,"*吉塚ゆりの樹*"),"福岡市南区野多目2-7-5","福岡市南区横手2-9-13"))</f>
        <v>福岡市南区横手2-9-13</v>
      </c>
      <c r="NF5" s="39"/>
      <c r="NG5" s="39"/>
      <c r="NH5" s="39"/>
      <c r="NI5" s="39"/>
      <c r="NJ5" s="39"/>
      <c r="NP5" s="39" t="str">
        <f ca="1">IF(AND(VALUE(NL1)&gt;39999,VALUE(NL1)&lt;49999),
"福岡市南区野多目2-7-5",
IF(COUNTIF(NK3,"*吉塚ゆりの樹*"),"福岡市南区野多目2-7-5","福岡市南区横手2-9-13"))</f>
        <v>福岡市南区横手2-9-13</v>
      </c>
      <c r="NQ5" s="39"/>
      <c r="NR5" s="39"/>
      <c r="NS5" s="39"/>
      <c r="NT5" s="39"/>
      <c r="NU5" s="39"/>
      <c r="OA5" s="39" t="str">
        <f ca="1">IF(AND(VALUE(NW1)&gt;39999,VALUE(NW1)&lt;49999),
"福岡市南区野多目2-7-5",
IF(COUNTIF(NV3,"*吉塚ゆりの樹*"),"福岡市南区野多目2-7-5","福岡市南区横手2-9-13"))</f>
        <v>福岡市南区横手2-9-13</v>
      </c>
      <c r="OB5" s="39"/>
      <c r="OC5" s="39"/>
      <c r="OD5" s="39"/>
      <c r="OE5" s="39"/>
      <c r="OF5" s="39"/>
      <c r="OL5" s="39" t="str">
        <f ca="1">IF(AND(VALUE(OH1)&gt;39999,VALUE(OH1)&lt;49999),
"福岡市南区野多目2-7-5",
IF(COUNTIF(OG3,"*吉塚ゆりの樹*"),"福岡市南区野多目2-7-5","福岡市南区横手2-9-13"))</f>
        <v>福岡市南区横手2-9-13</v>
      </c>
      <c r="OM5" s="39"/>
      <c r="ON5" s="39"/>
      <c r="OO5" s="39"/>
      <c r="OP5" s="39"/>
      <c r="OQ5" s="39"/>
      <c r="OW5" s="39" t="str">
        <f ca="1">IF(AND(VALUE(OS1)&gt;39999,VALUE(OS1)&lt;49999),
"福岡市南区野多目2-7-5",
IF(COUNTIF(OR3,"*吉塚ゆりの樹*"),"福岡市南区野多目2-7-5","福岡市南区横手2-9-13"))</f>
        <v>福岡市南区横手2-9-13</v>
      </c>
      <c r="OX5" s="39"/>
      <c r="OY5" s="39"/>
      <c r="OZ5" s="39"/>
      <c r="PA5" s="39"/>
      <c r="PB5" s="39"/>
      <c r="PH5" s="39" t="str">
        <f ca="1">IF(AND(VALUE(PD1)&gt;39999,VALUE(PD1)&lt;49999),
"福岡市南区野多目2-7-5",
IF(COUNTIF(PC3,"*吉塚ゆりの樹*"),"福岡市南区野多目2-7-5","福岡市南区横手2-9-13"))</f>
        <v>福岡市南区横手2-9-13</v>
      </c>
      <c r="PI5" s="39"/>
      <c r="PJ5" s="39"/>
      <c r="PK5" s="39"/>
      <c r="PL5" s="39"/>
      <c r="PM5" s="39"/>
      <c r="PS5" s="39" t="str">
        <f ca="1">IF(AND(VALUE(PO1)&gt;39999,VALUE(PO1)&lt;49999),
"福岡市南区野多目2-7-5",
IF(COUNTIF(PN3,"*吉塚ゆりの樹*"),"福岡市南区野多目2-7-5","福岡市南区横手2-9-13"))</f>
        <v>福岡市南区横手2-9-13</v>
      </c>
      <c r="PT5" s="39"/>
      <c r="PU5" s="39"/>
      <c r="PV5" s="39"/>
      <c r="PW5" s="39"/>
      <c r="PX5" s="39"/>
      <c r="QD5" s="39" t="str">
        <f ca="1">IF(AND(VALUE(PZ1)&gt;39999,VALUE(PZ1)&lt;49999),
"福岡市南区野多目2-7-5",
IF(COUNTIF(PY3,"*吉塚ゆりの樹*"),"福岡市南区野多目2-7-5","福岡市南区横手2-9-13"))</f>
        <v>福岡市南区横手2-9-13</v>
      </c>
      <c r="QE5" s="39"/>
      <c r="QF5" s="39"/>
      <c r="QG5" s="39"/>
      <c r="QH5" s="39"/>
      <c r="QI5" s="39"/>
      <c r="QO5" s="39" t="str">
        <f ca="1">IF(AND(VALUE(QK1)&gt;39999,VALUE(QK1)&lt;49999),
"福岡市南区野多目2-7-5",
IF(COUNTIF(QJ3,"*吉塚ゆりの樹*"),"福岡市南区野多目2-7-5","福岡市南区横手2-9-13"))</f>
        <v>福岡市南区横手2-9-13</v>
      </c>
      <c r="QP5" s="39"/>
      <c r="QQ5" s="39"/>
      <c r="QR5" s="39"/>
      <c r="QS5" s="39"/>
      <c r="QT5" s="39"/>
      <c r="QZ5" s="39" t="str">
        <f ca="1">IF(AND(VALUE(QV1)&gt;39999,VALUE(QV1)&lt;49999),
"福岡市南区野多目2-7-5",
IF(COUNTIF(QU3,"*吉塚ゆりの樹*"),"福岡市南区野多目2-7-5","福岡市南区横手2-9-13"))</f>
        <v>福岡市南区野多目2-7-5</v>
      </c>
      <c r="RA5" s="39"/>
      <c r="RB5" s="39"/>
      <c r="RC5" s="39"/>
      <c r="RD5" s="39"/>
      <c r="RE5" s="39"/>
      <c r="RK5" s="39" t="str">
        <f ca="1">IF(AND(VALUE(RG1)&gt;39999,VALUE(RG1)&lt;49999),
"福岡市南区野多目2-7-5",
IF(COUNTIF(RF3,"*吉塚ゆりの樹*"),"福岡市南区野多目2-7-5","福岡市南区横手2-9-13"))</f>
        <v>福岡市南区野多目2-7-5</v>
      </c>
      <c r="RL5" s="39"/>
      <c r="RM5" s="39"/>
      <c r="RN5" s="39"/>
      <c r="RO5" s="39"/>
      <c r="RP5" s="39"/>
      <c r="RV5" s="39" t="str">
        <f ca="1">IF(AND(VALUE(RR1)&gt;39999,VALUE(RR1)&lt;49999),
"福岡市南区野多目2-7-5",
IF(COUNTIF(RQ3,"*吉塚ゆりの樹*"),"福岡市南区野多目2-7-5","福岡市南区横手2-9-13"))</f>
        <v>福岡市南区野多目2-7-5</v>
      </c>
      <c r="RW5" s="39"/>
      <c r="RX5" s="39"/>
      <c r="RY5" s="39"/>
      <c r="RZ5" s="39"/>
      <c r="SA5" s="39"/>
      <c r="SG5" s="39" t="str">
        <f ca="1">IF(AND(VALUE(SC1)&gt;39999,VALUE(SC1)&lt;49999),
"福岡市南区野多目2-7-5",
IF(COUNTIF(SB3,"*吉塚ゆりの樹*"),"福岡市南区野多目2-7-5","福岡市南区横手2-9-13"))</f>
        <v>福岡市南区野多目2-7-5</v>
      </c>
      <c r="SH5" s="39"/>
      <c r="SI5" s="39"/>
      <c r="SJ5" s="39"/>
      <c r="SK5" s="39"/>
      <c r="SL5" s="39"/>
      <c r="SR5" s="39" t="str">
        <f ca="1">IF(AND(VALUE(SN1)&gt;39999,VALUE(SN1)&lt;49999),
"福岡市南区野多目2-7-5",
IF(COUNTIF(SM3,"*吉塚ゆりの樹*"),"福岡市南区野多目2-7-5","福岡市南区横手2-9-13"))</f>
        <v>福岡市南区野多目2-7-5</v>
      </c>
      <c r="SS5" s="39"/>
      <c r="ST5" s="39"/>
      <c r="SU5" s="39"/>
      <c r="SV5" s="39"/>
      <c r="SW5" s="39"/>
      <c r="TC5" s="39" t="str">
        <f ca="1">IF(AND(VALUE(SY1)&gt;39999,VALUE(SY1)&lt;49999),
"福岡市南区野多目2-7-5",
IF(COUNTIF(SX3,"*吉塚ゆりの樹*"),"福岡市南区野多目2-7-5","福岡市南区横手2-9-13"))</f>
        <v>福岡市南区野多目2-7-5</v>
      </c>
      <c r="TD5" s="39"/>
      <c r="TE5" s="39"/>
      <c r="TF5" s="39"/>
      <c r="TG5" s="39"/>
      <c r="TH5" s="39"/>
      <c r="TN5" s="39" t="str">
        <f ca="1">IF(AND(VALUE(TJ1)&gt;39999,VALUE(TJ1)&lt;49999),
"福岡市南区野多目2-7-5",
IF(COUNTIF(TI3,"*吉塚ゆりの樹*"),"福岡市南区野多目2-7-5","福岡市南区横手2-9-13"))</f>
        <v>福岡市南区野多目2-7-5</v>
      </c>
      <c r="TO5" s="39"/>
      <c r="TP5" s="39"/>
      <c r="TQ5" s="39"/>
      <c r="TR5" s="39"/>
      <c r="TS5" s="39"/>
      <c r="TY5" s="39" t="str">
        <f ca="1">IF(AND(VALUE(TU1)&gt;39999,VALUE(TU1)&lt;49999),
"福岡市南区野多目2-7-5",
IF(COUNTIF(TT3,"*吉塚ゆりの樹*"),"福岡市南区野多目2-7-5","福岡市南区横手2-9-13"))</f>
        <v>福岡市南区野多目2-7-5</v>
      </c>
      <c r="TZ5" s="39"/>
      <c r="UA5" s="39"/>
      <c r="UB5" s="39"/>
      <c r="UC5" s="39"/>
      <c r="UD5" s="39"/>
      <c r="UJ5" s="39" t="str">
        <f ca="1">IF(AND(VALUE(UF1)&gt;39999,VALUE(UF1)&lt;49999),
"福岡市南区野多目2-7-5",
IF(COUNTIF(UE3,"*吉塚ゆりの樹*"),"福岡市南区野多目2-7-5","福岡市南区横手2-9-13"))</f>
        <v>福岡市南区野多目2-7-5</v>
      </c>
      <c r="UK5" s="39"/>
      <c r="UL5" s="39"/>
      <c r="UM5" s="39"/>
      <c r="UN5" s="39"/>
      <c r="UO5" s="39"/>
      <c r="UU5" s="39" t="str">
        <f ca="1">IF(AND(VALUE(UQ1)&gt;39999,VALUE(UQ1)&lt;49999),
"福岡市南区野多目2-7-5",
IF(COUNTIF(UP3,"*吉塚ゆりの樹*"),"福岡市南区野多目2-7-5","福岡市南区横手2-9-13"))</f>
        <v>福岡市南区横手2-9-13</v>
      </c>
      <c r="UV5" s="39"/>
      <c r="UW5" s="39"/>
      <c r="UX5" s="39"/>
      <c r="UY5" s="39"/>
      <c r="UZ5" s="39"/>
      <c r="VF5" s="39" t="e">
        <f ca="1">IF(AND(VALUE(VB1)&gt;39999,VALUE(VB1)&lt;49999),
"福岡市南区野多目2-7-5",
IF(COUNTIF(VA3,"*吉塚ゆりの樹*"),"福岡市南区野多目2-7-5","福岡市南区横手2-9-13"))</f>
        <v>#VALUE!</v>
      </c>
      <c r="VG5" s="39"/>
      <c r="VH5" s="39"/>
      <c r="VI5" s="39"/>
      <c r="VJ5" s="39"/>
      <c r="VK5" s="39"/>
      <c r="VQ5" s="39" t="e">
        <f ca="1">IF(AND(VALUE(VM1)&gt;39999,VALUE(VM1)&lt;49999),
"福岡市南区野多目2-7-5",
IF(COUNTIF(VL3,"*吉塚ゆりの樹*"),"福岡市南区野多目2-7-5","福岡市南区横手2-9-13"))</f>
        <v>#VALUE!</v>
      </c>
      <c r="VR5" s="39"/>
      <c r="VS5" s="39"/>
      <c r="VT5" s="39"/>
      <c r="VU5" s="39"/>
      <c r="VV5" s="39"/>
      <c r="WB5" s="39" t="e">
        <f ca="1">IF(AND(VALUE(VX1)&gt;39999,VALUE(VX1)&lt;49999),
"福岡市南区野多目2-7-5",
IF(COUNTIF(VW3,"*吉塚ゆりの樹*"),"福岡市南区野多目2-7-5","福岡市南区横手2-9-13"))</f>
        <v>#VALUE!</v>
      </c>
      <c r="WC5" s="39"/>
      <c r="WD5" s="39"/>
      <c r="WE5" s="39"/>
      <c r="WF5" s="39"/>
      <c r="WG5" s="39"/>
      <c r="WM5" s="39" t="e">
        <f ca="1">IF(AND(VALUE(WI1)&gt;39999,VALUE(WI1)&lt;49999),
"福岡市南区野多目2-7-5",
IF(COUNTIF(WH3,"*吉塚ゆりの樹*"),"福岡市南区野多目2-7-5","福岡市南区横手2-9-13"))</f>
        <v>#VALUE!</v>
      </c>
      <c r="WN5" s="39"/>
      <c r="WO5" s="39"/>
      <c r="WP5" s="39"/>
      <c r="WQ5" s="39"/>
      <c r="WR5" s="39"/>
      <c r="WX5" s="39" t="e">
        <f ca="1">IF(AND(VALUE(WT1)&gt;39999,VALUE(WT1)&lt;49999),
"福岡市南区野多目2-7-5",
IF(COUNTIF(WS3,"*吉塚ゆりの樹*"),"福岡市南区野多目2-7-5","福岡市南区横手2-9-13"))</f>
        <v>#VALUE!</v>
      </c>
      <c r="WY5" s="39"/>
      <c r="WZ5" s="39"/>
      <c r="XA5" s="39"/>
      <c r="XB5" s="39"/>
      <c r="XC5" s="39"/>
      <c r="XI5" s="39" t="e">
        <f ca="1">IF(AND(VALUE(XE1)&gt;39999,VALUE(XE1)&lt;49999),
"福岡市南区野多目2-7-5",
IF(COUNTIF(XD3,"*吉塚ゆりの樹*"),"福岡市南区野多目2-7-5","福岡市南区横手2-9-13"))</f>
        <v>#VALUE!</v>
      </c>
      <c r="XJ5" s="39"/>
      <c r="XK5" s="39"/>
      <c r="XL5" s="39"/>
      <c r="XM5" s="39"/>
      <c r="XN5" s="39"/>
      <c r="XT5" s="39" t="e">
        <f ca="1">IF(AND(VALUE(XP1)&gt;39999,VALUE(XP1)&lt;49999),
"福岡市南区野多目2-7-5",
IF(COUNTIF(XO3,"*吉塚ゆりの樹*"),"福岡市南区野多目2-7-5","福岡市南区横手2-9-13"))</f>
        <v>#VALUE!</v>
      </c>
      <c r="XU5" s="39"/>
      <c r="XV5" s="39"/>
      <c r="XW5" s="39"/>
      <c r="XX5" s="39"/>
      <c r="XY5" s="39"/>
      <c r="YE5" s="39" t="e">
        <f ca="1">IF(AND(VALUE(YA1)&gt;39999,VALUE(YA1)&lt;49999),
"福岡市南区野多目2-7-5",
IF(COUNTIF(XZ3,"*吉塚ゆりの樹*"),"福岡市南区野多目2-7-5","福岡市南区横手2-9-13"))</f>
        <v>#VALUE!</v>
      </c>
      <c r="YF5" s="39"/>
      <c r="YG5" s="39"/>
      <c r="YH5" s="39"/>
      <c r="YI5" s="39"/>
      <c r="YJ5" s="39"/>
      <c r="YP5" s="39" t="e">
        <f ca="1">IF(AND(VALUE(YL1)&gt;39999,VALUE(YL1)&lt;49999),
"福岡市南区野多目2-7-5",
IF(COUNTIF(YK3,"*吉塚ゆりの樹*"),"福岡市南区野多目2-7-5","福岡市南区横手2-9-13"))</f>
        <v>#VALUE!</v>
      </c>
      <c r="YQ5" s="39"/>
      <c r="YR5" s="39"/>
      <c r="YS5" s="39"/>
      <c r="YT5" s="39"/>
      <c r="YU5" s="39"/>
      <c r="ZA5" s="39" t="e">
        <f ca="1">IF(AND(VALUE(YW1)&gt;39999,VALUE(YW1)&lt;49999),
"福岡市南区野多目2-7-5",
IF(COUNTIF(YV3,"*吉塚ゆりの樹*"),"福岡市南区野多目2-7-5","福岡市南区横手2-9-13"))</f>
        <v>#VALUE!</v>
      </c>
      <c r="ZB5" s="39"/>
      <c r="ZC5" s="39"/>
      <c r="ZD5" s="39"/>
      <c r="ZE5" s="39"/>
      <c r="ZF5" s="39"/>
      <c r="ZL5" s="39" t="e">
        <f ca="1">IF(AND(VALUE(ZH1)&gt;39999,VALUE(ZH1)&lt;49999),
"福岡市南区野多目2-7-5",
IF(COUNTIF(ZG3,"*吉塚ゆりの樹*"),"福岡市南区野多目2-7-5","福岡市南区横手2-9-13"))</f>
        <v>#VALUE!</v>
      </c>
      <c r="ZM5" s="39"/>
      <c r="ZN5" s="39"/>
      <c r="ZO5" s="39"/>
      <c r="ZP5" s="39"/>
      <c r="ZQ5" s="39"/>
      <c r="ZW5" s="39" t="e">
        <f ca="1">IF(AND(VALUE(ZS1)&gt;39999,VALUE(ZS1)&lt;49999),
"福岡市南区野多目2-7-5",
IF(COUNTIF(ZR3,"*吉塚ゆりの樹*"),"福岡市南区野多目2-7-5","福岡市南区横手2-9-13"))</f>
        <v>#VALUE!</v>
      </c>
      <c r="ZX5" s="39"/>
      <c r="ZY5" s="39"/>
      <c r="ZZ5" s="39"/>
      <c r="AAA5" s="39"/>
      <c r="AAB5" s="39"/>
      <c r="AAH5" s="39" t="e">
        <f ca="1">IF(AND(VALUE(AAD1)&gt;39999,VALUE(AAD1)&lt;49999),
"福岡市南区野多目2-7-5",
IF(COUNTIF(AAC3,"*吉塚ゆりの樹*"),"福岡市南区野多目2-7-5","福岡市南区横手2-9-13"))</f>
        <v>#VALUE!</v>
      </c>
      <c r="AAI5" s="39"/>
      <c r="AAJ5" s="39"/>
      <c r="AAK5" s="39"/>
      <c r="AAL5" s="39"/>
      <c r="AAM5" s="39"/>
      <c r="AAS5" s="39" t="e">
        <f ca="1">IF(AND(VALUE(AAO1)&gt;39999,VALUE(AAO1)&lt;49999),
"福岡市南区野多目2-7-5",
IF(COUNTIF(AAN3,"*吉塚ゆりの樹*"),"福岡市南区野多目2-7-5","福岡市南区横手2-9-13"))</f>
        <v>#VALUE!</v>
      </c>
      <c r="AAT5" s="39"/>
      <c r="AAU5" s="39"/>
      <c r="AAV5" s="39"/>
      <c r="AAW5" s="39"/>
      <c r="AAX5" s="39"/>
      <c r="ABD5" s="39" t="e">
        <f ca="1">IF(AND(VALUE(AAZ1)&gt;39999,VALUE(AAZ1)&lt;49999),
"福岡市南区野多目2-7-5",
IF(COUNTIF(AAY3,"*吉塚ゆりの樹*"),"福岡市南区野多目2-7-5","福岡市南区横手2-9-13"))</f>
        <v>#VALUE!</v>
      </c>
      <c r="ABE5" s="39"/>
      <c r="ABF5" s="39"/>
      <c r="ABG5" s="39"/>
      <c r="ABH5" s="39"/>
      <c r="ABI5" s="39"/>
      <c r="ABO5" s="39" t="e">
        <f ca="1">IF(AND(VALUE(ABK1)&gt;39999,VALUE(ABK1)&lt;49999),
"福岡市南区野多目2-7-5",
IF(COUNTIF(ABJ3,"*吉塚ゆりの樹*"),"福岡市南区野多目2-7-5","福岡市南区横手2-9-13"))</f>
        <v>#VALUE!</v>
      </c>
      <c r="ABP5" s="39"/>
      <c r="ABQ5" s="39"/>
      <c r="ABR5" s="39"/>
      <c r="ABS5" s="39"/>
      <c r="ABT5" s="39"/>
      <c r="ABZ5" s="39" t="e">
        <f ca="1">IF(AND(VALUE(ABV1)&gt;39999,VALUE(ABV1)&lt;49999),
"福岡市南区野多目2-7-5",
IF(COUNTIF(ABU3,"*吉塚ゆりの樹*"),"福岡市南区野多目2-7-5","福岡市南区横手2-9-13"))</f>
        <v>#VALUE!</v>
      </c>
      <c r="ACA5" s="39"/>
      <c r="ACB5" s="39"/>
      <c r="ACC5" s="39"/>
      <c r="ACD5" s="39"/>
      <c r="ACE5" s="39"/>
      <c r="ACK5" s="39" t="e">
        <f ca="1">IF(AND(VALUE(ACG1)&gt;39999,VALUE(ACG1)&lt;49999),
"福岡市南区野多目2-7-5",
IF(COUNTIF(ACF3,"*吉塚ゆりの樹*"),"福岡市南区野多目2-7-5","福岡市南区横手2-9-13"))</f>
        <v>#VALUE!</v>
      </c>
      <c r="ACL5" s="39"/>
      <c r="ACM5" s="39"/>
      <c r="ACN5" s="39"/>
      <c r="ACO5" s="39"/>
      <c r="ACP5" s="39"/>
      <c r="ACV5" s="39" t="e">
        <f ca="1">IF(AND(VALUE(ACR1)&gt;39999,VALUE(ACR1)&lt;49999),
"福岡市南区野多目2-7-5",
IF(COUNTIF(ACQ3,"*吉塚ゆりの樹*"),"福岡市南区野多目2-7-5","福岡市南区横手2-9-13"))</f>
        <v>#VALUE!</v>
      </c>
      <c r="ACW5" s="39"/>
      <c r="ACX5" s="39"/>
      <c r="ACY5" s="39"/>
      <c r="ACZ5" s="39"/>
      <c r="ADA5" s="39"/>
      <c r="ADG5" s="39" t="e">
        <f ca="1">IF(AND(VALUE(ADC1)&gt;39999,VALUE(ADC1)&lt;49999),
"福岡市南区野多目2-7-5",
IF(COUNTIF(ADB3,"*吉塚ゆりの樹*"),"福岡市南区野多目2-7-5","福岡市南区横手2-9-13"))</f>
        <v>#VALUE!</v>
      </c>
      <c r="ADH5" s="39"/>
      <c r="ADI5" s="39"/>
      <c r="ADJ5" s="39"/>
    </row>
    <row r="6" spans="1:790" ht="11.4" customHeight="1" x14ac:dyDescent="0.45">
      <c r="F6" s="39" t="s">
        <v>4011</v>
      </c>
      <c r="G6" s="39"/>
      <c r="H6" s="67"/>
      <c r="I6" s="67"/>
      <c r="J6" s="39"/>
      <c r="K6" s="39"/>
      <c r="Q6" s="39" t="str">
        <f ca="1">IF(AND(VALUE(M1)&gt;39999,VALUE(M1)&lt;49999),
"TEL:092-589-6165　FAX:092-555-6788",
"TEL：092-915-2300　FAX　092-915-2301")</f>
        <v>TEL：092-915-2300　FAX　092-915-2301</v>
      </c>
      <c r="R6" s="39"/>
      <c r="S6" s="39"/>
      <c r="T6" s="39"/>
      <c r="U6" s="39"/>
      <c r="V6" s="39"/>
      <c r="AB6" s="39" t="str">
        <f ca="1">IF(AND(VALUE(X1)&gt;39999,VALUE(X1)&lt;49999),
"TEL:092-589-6165　FAX:092-555-6788",
IF(COUNTIF(W3,"*吉塚ゆりの樹*"),"TEL:092-589-6165　FAX:092-555-6788","TEL：092-915-2300　FAX　092-915-2301"))</f>
        <v>TEL：092-915-2300　FAX　092-915-2301</v>
      </c>
      <c r="AC6" s="39"/>
      <c r="AD6" s="39"/>
      <c r="AE6" s="39"/>
      <c r="AF6" s="39"/>
      <c r="AG6" s="39"/>
      <c r="AM6" s="39" t="str">
        <f ca="1">IF(AND(VALUE(AI1)&gt;39999,VALUE(AI1)&lt;49999),
"TEL:092-589-6165　FAX:092-555-6788",
IF(COUNTIF(AH3,"*吉塚ゆりの樹*"),"TEL:092-589-6165　FAX:092-555-6788","TEL：092-915-2300　FAX　092-915-2301"))</f>
        <v>TEL：092-915-2300　FAX　092-915-2301</v>
      </c>
      <c r="AN6" s="39"/>
      <c r="AO6" s="39"/>
      <c r="AP6" s="39"/>
      <c r="AQ6" s="39"/>
      <c r="AR6" s="39"/>
      <c r="AX6" s="39" t="str">
        <f ca="1">IF(AND(VALUE(AT1)&gt;39999,VALUE(AT1)&lt;49999),
"TEL:092-589-6165　FAX:092-555-6788",
IF(COUNTIF(AS3,"*吉塚ゆりの樹*"),"TEL:092-589-6165　FAX:092-555-6788","TEL：092-915-2300　FAX　092-915-2301"))</f>
        <v>TEL：092-915-2300　FAX　092-915-2301</v>
      </c>
      <c r="AY6" s="39"/>
      <c r="AZ6" s="39"/>
      <c r="BA6" s="39"/>
      <c r="BB6" s="39"/>
      <c r="BC6" s="39"/>
      <c r="BI6" s="39" t="str">
        <f ca="1">IF(AND(VALUE(BE1)&gt;39999,VALUE(BE1)&lt;49999),
"TEL:092-589-6165　FAX:092-555-6788",
IF(COUNTIF(BD3,"*吉塚ゆりの樹*"),"TEL:092-589-6165　FAX:092-555-6788","TEL：092-915-2300　FAX　092-915-2301"))</f>
        <v>TEL：092-915-2300　FAX　092-915-2301</v>
      </c>
      <c r="BJ6" s="39"/>
      <c r="BK6" s="39"/>
      <c r="BL6" s="39"/>
      <c r="BM6" s="39"/>
      <c r="BN6" s="39"/>
      <c r="BT6" s="39" t="str">
        <f ca="1">IF(AND(VALUE(BP1)&gt;39999,VALUE(BP1)&lt;49999),
"TEL:092-589-6165　FAX:092-555-6788",
IF(COUNTIF(BO3,"*吉塚ゆりの樹*"),"TEL:092-589-6165　FAX:092-555-6788","TEL：092-915-2300　FAX　092-915-2301"))</f>
        <v>TEL：092-915-2300　FAX　092-915-2301</v>
      </c>
      <c r="BU6" s="39"/>
      <c r="BV6" s="39"/>
      <c r="BW6" s="39"/>
      <c r="BX6" s="39"/>
      <c r="BY6" s="39"/>
      <c r="CE6" s="39" t="str">
        <f ca="1">IF(AND(VALUE(CA1)&gt;39999,VALUE(CA1)&lt;49999),
"TEL:092-589-6165　FAX:092-555-6788",
IF(COUNTIF(BZ3,"*吉塚ゆりの樹*"),"TEL:092-589-6165　FAX:092-555-6788","TEL：092-915-2300　FAX　092-915-2301"))</f>
        <v>TEL：092-915-2300　FAX　092-915-2301</v>
      </c>
      <c r="CF6" s="39"/>
      <c r="CG6" s="39"/>
      <c r="CH6" s="39"/>
      <c r="CI6" s="39"/>
      <c r="CJ6" s="39"/>
      <c r="CP6" s="39" t="str">
        <f ca="1">IF(AND(VALUE(CL1)&gt;39999,VALUE(CL1)&lt;49999),
"TEL:092-589-6165　FAX:092-555-6788",
IF(COUNTIF(CK3,"*吉塚ゆりの樹*"),"TEL:092-589-6165　FAX:092-555-6788","TEL：092-915-2300　FAX　092-915-2301"))</f>
        <v>TEL：092-915-2300　FAX　092-915-2301</v>
      </c>
      <c r="CQ6" s="39"/>
      <c r="CR6" s="39"/>
      <c r="CS6" s="39"/>
      <c r="CT6" s="39"/>
      <c r="CU6" s="39"/>
      <c r="DA6" s="39" t="str">
        <f ca="1">IF(AND(VALUE(CW1)&gt;39999,VALUE(CW1)&lt;49999),
"TEL:092-589-6165　FAX:092-555-6788",
IF(COUNTIF(CV3,"*吉塚ゆりの樹*"),"TEL:092-589-6165　FAX:092-555-6788","TEL：092-915-2300　FAX　092-915-2301"))</f>
        <v>TEL：092-915-2300　FAX　092-915-2301</v>
      </c>
      <c r="DB6" s="39"/>
      <c r="DC6" s="39"/>
      <c r="DD6" s="39"/>
      <c r="DE6" s="39"/>
      <c r="DF6" s="39"/>
      <c r="DL6" s="39" t="str">
        <f ca="1">IF(AND(VALUE(DH1)&gt;39999,VALUE(DH1)&lt;49999),
"TEL:092-589-6165　FAX:092-555-6788",
IF(COUNTIF(DG3,"*吉塚ゆりの樹*"),"TEL:092-589-6165　FAX:092-555-6788","TEL：092-915-2300　FAX　092-915-2301"))</f>
        <v>TEL：092-915-2300　FAX　092-915-2301</v>
      </c>
      <c r="DM6" s="39"/>
      <c r="DN6" s="39"/>
      <c r="DO6" s="39"/>
      <c r="DP6" s="39"/>
      <c r="DQ6" s="39"/>
      <c r="DW6" s="39" t="str">
        <f ca="1">IF(AND(VALUE(DS1)&gt;39999,VALUE(DS1)&lt;49999),
"TEL:092-589-6165　FAX:092-555-6788",
IF(COUNTIF(DR3,"*吉塚ゆりの樹*"),"TEL:092-589-6165　FAX:092-555-6788","TEL：092-915-2300　FAX　092-915-2301"))</f>
        <v>TEL：092-915-2300　FAX　092-915-2301</v>
      </c>
      <c r="DX6" s="39"/>
      <c r="DY6" s="39"/>
      <c r="DZ6" s="39"/>
      <c r="EA6" s="39"/>
      <c r="EB6" s="39"/>
      <c r="EH6" s="39" t="str">
        <f ca="1">IF(AND(VALUE(ED1)&gt;39999,VALUE(ED1)&lt;49999),
"TEL:092-589-6165　FAX:092-555-6788",
IF(COUNTIF(EC3,"*吉塚ゆりの樹*"),"TEL:092-589-6165　FAX:092-555-6788","TEL：092-915-2300　FAX　092-915-2301"))</f>
        <v>TEL：092-915-2300　FAX　092-915-2301</v>
      </c>
      <c r="EI6" s="39"/>
      <c r="EJ6" s="39"/>
      <c r="EK6" s="39"/>
      <c r="EL6" s="39"/>
      <c r="EM6" s="39"/>
      <c r="ES6" s="39" t="str">
        <f ca="1">IF(AND(VALUE(EO1)&gt;39999,VALUE(EO1)&lt;49999),
"TEL:092-589-6165　FAX:092-555-6788",
IF(COUNTIF(EN3,"*吉塚ゆりの樹*"),"TEL:092-589-6165　FAX:092-555-6788","TEL：092-915-2300　FAX　092-915-2301"))</f>
        <v>TEL：092-915-2300　FAX　092-915-2301</v>
      </c>
      <c r="ET6" s="39"/>
      <c r="EU6" s="39"/>
      <c r="EV6" s="39"/>
      <c r="EW6" s="39"/>
      <c r="EX6" s="39"/>
      <c r="FD6" s="39" t="str">
        <f ca="1">IF(AND(VALUE(EZ1)&gt;39999,VALUE(EZ1)&lt;49999),
"TEL:092-589-6165　FAX:092-555-6788",
IF(COUNTIF(EY3,"*吉塚ゆりの樹*"),"TEL:092-589-6165　FAX:092-555-6788","TEL：092-915-2300　FAX　092-915-2301"))</f>
        <v>TEL：092-915-2300　FAX　092-915-2301</v>
      </c>
      <c r="FE6" s="39"/>
      <c r="FF6" s="39"/>
      <c r="FG6" s="39"/>
      <c r="FH6" s="39"/>
      <c r="FI6" s="39"/>
      <c r="FO6" s="39" t="str">
        <f ca="1">IF(AND(VALUE(FK1)&gt;39999,VALUE(FK1)&lt;49999),
"TEL:092-589-6165　FAX:092-555-6788",
IF(COUNTIF(FJ3,"*吉塚ゆりの樹*"),"TEL:092-589-6165　FAX:092-555-6788","TEL：092-915-2300　FAX　092-915-2301"))</f>
        <v>TEL：092-915-2300　FAX　092-915-2301</v>
      </c>
      <c r="FP6" s="39"/>
      <c r="FQ6" s="39"/>
      <c r="FR6" s="39"/>
      <c r="FS6" s="39"/>
      <c r="FT6" s="39"/>
      <c r="FZ6" s="39" t="str">
        <f ca="1">IF(AND(VALUE(FV1)&gt;39999,VALUE(FV1)&lt;49999),
"TEL:092-589-6165　FAX:092-555-6788",
IF(COUNTIF(FU3,"*吉塚ゆりの樹*"),"TEL:092-589-6165　FAX:092-555-6788","TEL：092-915-2300　FAX　092-915-2301"))</f>
        <v>TEL：092-915-2300　FAX　092-915-2301</v>
      </c>
      <c r="GA6" s="39"/>
      <c r="GB6" s="39"/>
      <c r="GC6" s="39"/>
      <c r="GD6" s="39"/>
      <c r="GE6" s="39"/>
      <c r="GK6" s="39" t="str">
        <f ca="1">IF(AND(VALUE(GG1)&gt;39999,VALUE(GG1)&lt;49999),
"TEL:092-589-6165　FAX:092-555-6788",
IF(COUNTIF(GF3,"*吉塚ゆりの樹*"),"TEL:092-589-6165　FAX:092-555-6788","TEL：092-915-2300　FAX　092-915-2301"))</f>
        <v>TEL：092-915-2300　FAX　092-915-2301</v>
      </c>
      <c r="GL6" s="39"/>
      <c r="GM6" s="39"/>
      <c r="GN6" s="39"/>
      <c r="GO6" s="39"/>
      <c r="GP6" s="39"/>
      <c r="GV6" s="39" t="str">
        <f ca="1">IF(AND(VALUE(GR1)&gt;39999,VALUE(GR1)&lt;49999),
"TEL:092-589-6165　FAX:092-555-6788",
IF(COUNTIF(GQ3,"*吉塚ゆりの樹*"),"TEL:092-589-6165　FAX:092-555-6788","TEL：092-915-2300　FAX　092-915-2301"))</f>
        <v>TEL：092-915-2300　FAX　092-915-2301</v>
      </c>
      <c r="GW6" s="39"/>
      <c r="GX6" s="39"/>
      <c r="GY6" s="39"/>
      <c r="GZ6" s="39"/>
      <c r="HA6" s="39"/>
      <c r="HG6" s="39" t="str">
        <f ca="1">IF(AND(VALUE(HC1)&gt;39999,VALUE(HC1)&lt;49999),
"TEL:092-589-6165　FAX:092-555-6788",
IF(COUNTIF(HB3,"*吉塚ゆりの樹*"),"TEL:092-589-6165　FAX:092-555-6788","TEL：092-915-2300　FAX　092-915-2301"))</f>
        <v>TEL：092-915-2300　FAX　092-915-2301</v>
      </c>
      <c r="HH6" s="39"/>
      <c r="HI6" s="39"/>
      <c r="HJ6" s="39"/>
      <c r="HK6" s="39"/>
      <c r="HL6" s="39"/>
      <c r="HR6" s="39" t="str">
        <f ca="1">IF(AND(VALUE(HN1)&gt;39999,VALUE(HN1)&lt;49999),
"TEL:092-589-6165　FAX:092-555-6788",
IF(COUNTIF(HM3,"*吉塚ゆりの樹*"),"TEL:092-589-6165　FAX:092-555-6788","TEL：092-915-2300　FAX　092-915-2301"))</f>
        <v>TEL：092-915-2300　FAX　092-915-2301</v>
      </c>
      <c r="HS6" s="39"/>
      <c r="HT6" s="39"/>
      <c r="HU6" s="39"/>
      <c r="HV6" s="39"/>
      <c r="HW6" s="39"/>
      <c r="IC6" s="39" t="str">
        <f ca="1">IF(AND(VALUE(HY1)&gt;39999,VALUE(HY1)&lt;49999),
"TEL:092-589-6165　FAX:092-555-6788",
IF(COUNTIF(HX3,"*吉塚ゆりの樹*"),"TEL:092-589-6165　FAX:092-555-6788","TEL：092-915-2300　FAX　092-915-2301"))</f>
        <v>TEL：092-915-2300　FAX　092-915-2301</v>
      </c>
      <c r="ID6" s="39"/>
      <c r="IE6" s="39"/>
      <c r="IF6" s="39"/>
      <c r="IG6" s="39"/>
      <c r="IH6" s="39"/>
      <c r="IN6" s="39" t="str">
        <f ca="1">IF(AND(VALUE(IJ1)&gt;39999,VALUE(IJ1)&lt;49999),
"TEL:092-589-6165　FAX:092-555-6788",
IF(COUNTIF(II3,"*吉塚ゆりの樹*"),"TEL:092-589-6165　FAX:092-555-6788","TEL：092-915-2300　FAX　092-915-2301"))</f>
        <v>TEL：092-915-2300　FAX　092-915-2301</v>
      </c>
      <c r="IO6" s="39"/>
      <c r="IP6" s="39"/>
      <c r="IQ6" s="39"/>
      <c r="IR6" s="39"/>
      <c r="IS6" s="39"/>
      <c r="IY6" s="39" t="str">
        <f ca="1">IF(AND(VALUE(IU1)&gt;39999,VALUE(IU1)&lt;49999),
"TEL:092-589-6165　FAX:092-555-6788",
IF(COUNTIF(IT3,"*吉塚ゆりの樹*"),"TEL:092-589-6165　FAX:092-555-6788","TEL：092-915-2300　FAX　092-915-2301"))</f>
        <v>TEL：092-915-2300　FAX　092-915-2301</v>
      </c>
      <c r="IZ6" s="39"/>
      <c r="JA6" s="39"/>
      <c r="JB6" s="39"/>
      <c r="JC6" s="39"/>
      <c r="JD6" s="39"/>
      <c r="JJ6" s="39" t="str">
        <f ca="1">IF(AND(VALUE(JF1)&gt;39999,VALUE(JF1)&lt;49999),
"TEL:092-589-6165　FAX:092-555-6788",
IF(COUNTIF(JE3,"*吉塚ゆりの樹*"),"TEL:092-589-6165　FAX:092-555-6788","TEL：092-915-2300　FAX　092-915-2301"))</f>
        <v>TEL：092-915-2300　FAX　092-915-2301</v>
      </c>
      <c r="JK6" s="39"/>
      <c r="JL6" s="39"/>
      <c r="JM6" s="39"/>
      <c r="JN6" s="39"/>
      <c r="JO6" s="39"/>
      <c r="JU6" s="39" t="str">
        <f ca="1">IF(AND(VALUE(JQ1)&gt;39999,VALUE(JQ1)&lt;49999),
"TEL:092-589-6165　FAX:092-555-6788",
IF(COUNTIF(JP3,"*吉塚ゆりの樹*"),"TEL:092-589-6165　FAX:092-555-6788","TEL：092-915-2300　FAX　092-915-2301"))</f>
        <v>TEL：092-915-2300　FAX　092-915-2301</v>
      </c>
      <c r="JV6" s="39"/>
      <c r="JW6" s="39"/>
      <c r="JX6" s="39"/>
      <c r="JY6" s="39"/>
      <c r="JZ6" s="39"/>
      <c r="KF6" s="39" t="str">
        <f ca="1">IF(AND(VALUE(KB1)&gt;39999,VALUE(KB1)&lt;49999),
"TEL:092-589-6165　FAX:092-555-6788",
IF(COUNTIF(KA3,"*吉塚ゆりの樹*"),"TEL:092-589-6165　FAX:092-555-6788","TEL：092-915-2300　FAX　092-915-2301"))</f>
        <v>TEL：092-915-2300　FAX　092-915-2301</v>
      </c>
      <c r="KG6" s="39"/>
      <c r="KH6" s="39"/>
      <c r="KI6" s="39"/>
      <c r="KJ6" s="39"/>
      <c r="KK6" s="39"/>
      <c r="KQ6" s="39" t="str">
        <f ca="1">IF(AND(VALUE(KM1)&gt;39999,VALUE(KM1)&lt;49999),
"TEL:092-589-6165　FAX:092-555-6788",
IF(COUNTIF(KL3,"*吉塚ゆりの樹*"),"TEL:092-589-6165　FAX:092-555-6788","TEL：092-915-2300　FAX　092-915-2301"))</f>
        <v>TEL：092-915-2300　FAX　092-915-2301</v>
      </c>
      <c r="KR6" s="39"/>
      <c r="KS6" s="39"/>
      <c r="KT6" s="39"/>
      <c r="KU6" s="39"/>
      <c r="KV6" s="39"/>
      <c r="LB6" s="39" t="str">
        <f ca="1">IF(AND(VALUE(KX1)&gt;39999,VALUE(KX1)&lt;49999),
"TEL:092-589-6165　FAX:092-555-6788",
IF(COUNTIF(KW3,"*吉塚ゆりの樹*"),"TEL:092-589-6165　FAX:092-555-6788","TEL：092-915-2300　FAX　092-915-2301"))</f>
        <v>TEL：092-915-2300　FAX　092-915-2301</v>
      </c>
      <c r="LC6" s="39"/>
      <c r="LD6" s="39"/>
      <c r="LE6" s="39"/>
      <c r="LF6" s="39"/>
      <c r="LG6" s="39"/>
      <c r="LM6" s="39" t="str">
        <f ca="1">IF(AND(VALUE(LI1)&gt;39999,VALUE(LI1)&lt;49999),
"TEL:092-589-6165　FAX:092-555-6788",
IF(COUNTIF(LH3,"*吉塚ゆりの樹*"),"TEL:092-589-6165　FAX:092-555-6788","TEL：092-915-2300　FAX　092-915-2301"))</f>
        <v>TEL：092-915-2300　FAX　092-915-2301</v>
      </c>
      <c r="LN6" s="39"/>
      <c r="LO6" s="39"/>
      <c r="LP6" s="39"/>
      <c r="LQ6" s="39"/>
      <c r="LR6" s="39"/>
      <c r="LX6" s="39" t="str">
        <f ca="1">IF(AND(VALUE(LT1)&gt;39999,VALUE(LT1)&lt;49999),
"TEL:092-589-6165　FAX:092-555-6788",
IF(COUNTIF(LS3,"*吉塚ゆりの樹*"),"TEL:092-589-6165　FAX:092-555-6788","TEL：092-915-2300　FAX　092-915-2301"))</f>
        <v>TEL：092-915-2300　FAX　092-915-2301</v>
      </c>
      <c r="LY6" s="39"/>
      <c r="LZ6" s="39"/>
      <c r="MA6" s="39"/>
      <c r="MB6" s="39"/>
      <c r="MC6" s="39"/>
      <c r="MI6" s="39" t="str">
        <f ca="1">IF(AND(VALUE(ME1)&gt;39999,VALUE(ME1)&lt;49999),
"TEL:092-589-6165　FAX:092-555-6788",
IF(COUNTIF(MD3,"*吉塚ゆりの樹*"),"TEL:092-589-6165　FAX:092-555-6788","TEL：092-915-2300　FAX　092-915-2301"))</f>
        <v>TEL：092-915-2300　FAX　092-915-2301</v>
      </c>
      <c r="MJ6" s="39"/>
      <c r="MK6" s="39"/>
      <c r="ML6" s="39"/>
      <c r="MM6" s="39"/>
      <c r="MN6" s="39"/>
      <c r="MT6" s="39" t="str">
        <f ca="1">IF(AND(VALUE(MP1)&gt;39999,VALUE(MP1)&lt;49999),
"TEL:092-589-6165　FAX:092-555-6788",
IF(COUNTIF(MO3,"*吉塚ゆりの樹*"),"TEL:092-589-6165　FAX:092-555-6788","TEL：092-915-2300　FAX　092-915-2301"))</f>
        <v>TEL：092-915-2300　FAX　092-915-2301</v>
      </c>
      <c r="MU6" s="39"/>
      <c r="MV6" s="39"/>
      <c r="MW6" s="39"/>
      <c r="MX6" s="39"/>
      <c r="MY6" s="39"/>
      <c r="NE6" s="39" t="str">
        <f ca="1">IF(AND(VALUE(NA1)&gt;39999,VALUE(NA1)&lt;49999),
"TEL:092-589-6165　FAX:092-555-6788",
IF(COUNTIF(MZ3,"*吉塚ゆりの樹*"),"TEL:092-589-6165　FAX:092-555-6788","TEL：092-915-2300　FAX　092-915-2301"))</f>
        <v>TEL：092-915-2300　FAX　092-915-2301</v>
      </c>
      <c r="NF6" s="39"/>
      <c r="NG6" s="39"/>
      <c r="NH6" s="39"/>
      <c r="NI6" s="39"/>
      <c r="NJ6" s="39"/>
      <c r="NP6" s="39" t="str">
        <f ca="1">IF(AND(VALUE(NL1)&gt;39999,VALUE(NL1)&lt;49999),
"TEL:092-589-6165　FAX:092-555-6788",
IF(COUNTIF(NK3,"*吉塚ゆりの樹*"),"TEL:092-589-6165　FAX:092-555-6788","TEL：092-915-2300　FAX　092-915-2301"))</f>
        <v>TEL：092-915-2300　FAX　092-915-2301</v>
      </c>
      <c r="NQ6" s="39"/>
      <c r="NR6" s="39"/>
      <c r="NS6" s="39"/>
      <c r="NT6" s="39"/>
      <c r="NU6" s="39"/>
      <c r="OA6" s="39" t="str">
        <f ca="1">IF(AND(VALUE(NW1)&gt;39999,VALUE(NW1)&lt;49999),
"TEL:092-589-6165　FAX:092-555-6788",
IF(COUNTIF(NV3,"*吉塚ゆりの樹*"),"TEL:092-589-6165　FAX:092-555-6788","TEL：092-915-2300　FAX　092-915-2301"))</f>
        <v>TEL：092-915-2300　FAX　092-915-2301</v>
      </c>
      <c r="OB6" s="39"/>
      <c r="OC6" s="39"/>
      <c r="OD6" s="39"/>
      <c r="OE6" s="39"/>
      <c r="OF6" s="39"/>
      <c r="OL6" s="39" t="str">
        <f ca="1">IF(AND(VALUE(OH1)&gt;39999,VALUE(OH1)&lt;49999),
"TEL:092-589-6165　FAX:092-555-6788",
IF(COUNTIF(OG3,"*吉塚ゆりの樹*"),"TEL:092-589-6165　FAX:092-555-6788","TEL：092-915-2300　FAX　092-915-2301"))</f>
        <v>TEL：092-915-2300　FAX　092-915-2301</v>
      </c>
      <c r="OM6" s="39"/>
      <c r="ON6" s="39"/>
      <c r="OO6" s="39"/>
      <c r="OP6" s="39"/>
      <c r="OQ6" s="39"/>
      <c r="OW6" s="39" t="str">
        <f ca="1">IF(AND(VALUE(OS1)&gt;39999,VALUE(OS1)&lt;49999),
"TEL:092-589-6165　FAX:092-555-6788",
IF(COUNTIF(OR3,"*吉塚ゆりの樹*"),"TEL:092-589-6165　FAX:092-555-6788","TEL：092-915-2300　FAX　092-915-2301"))</f>
        <v>TEL：092-915-2300　FAX　092-915-2301</v>
      </c>
      <c r="OX6" s="39"/>
      <c r="OY6" s="39"/>
      <c r="OZ6" s="39"/>
      <c r="PA6" s="39"/>
      <c r="PB6" s="39"/>
      <c r="PH6" s="39" t="str">
        <f ca="1">IF(AND(VALUE(PD1)&gt;39999,VALUE(PD1)&lt;49999),
"TEL:092-589-6165　FAX:092-555-6788",
IF(COUNTIF(PC3,"*吉塚ゆりの樹*"),"TEL:092-589-6165　FAX:092-555-6788","TEL：092-915-2300　FAX　092-915-2301"))</f>
        <v>TEL：092-915-2300　FAX　092-915-2301</v>
      </c>
      <c r="PI6" s="39"/>
      <c r="PJ6" s="39"/>
      <c r="PK6" s="39"/>
      <c r="PL6" s="39"/>
      <c r="PM6" s="39"/>
      <c r="PS6" s="39" t="str">
        <f ca="1">IF(AND(VALUE(PO1)&gt;39999,VALUE(PO1)&lt;49999),
"TEL:092-589-6165　FAX:092-555-6788",
IF(COUNTIF(PN3,"*吉塚ゆりの樹*"),"TEL:092-589-6165　FAX:092-555-6788","TEL：092-915-2300　FAX　092-915-2301"))</f>
        <v>TEL：092-915-2300　FAX　092-915-2301</v>
      </c>
      <c r="PT6" s="39"/>
      <c r="PU6" s="39"/>
      <c r="PV6" s="39"/>
      <c r="PW6" s="39"/>
      <c r="PX6" s="39"/>
      <c r="QD6" s="39" t="str">
        <f ca="1">IF(AND(VALUE(PZ1)&gt;39999,VALUE(PZ1)&lt;49999),
"TEL:092-589-6165　FAX:092-555-6788",
IF(COUNTIF(PY3,"*吉塚ゆりの樹*"),"TEL:092-589-6165　FAX:092-555-6788","TEL：092-915-2300　FAX　092-915-2301"))</f>
        <v>TEL：092-915-2300　FAX　092-915-2301</v>
      </c>
      <c r="QE6" s="39"/>
      <c r="QF6" s="39"/>
      <c r="QG6" s="39"/>
      <c r="QH6" s="39"/>
      <c r="QI6" s="39"/>
      <c r="QO6" s="39" t="str">
        <f ca="1">IF(AND(VALUE(QK1)&gt;39999,VALUE(QK1)&lt;49999),
"TEL:092-589-6165　FAX:092-555-6788",
IF(COUNTIF(QJ3,"*吉塚ゆりの樹*"),"TEL:092-589-6165　FAX:092-555-6788","TEL：092-915-2300　FAX　092-915-2301"))</f>
        <v>TEL：092-915-2300　FAX　092-915-2301</v>
      </c>
      <c r="QP6" s="39"/>
      <c r="QQ6" s="39"/>
      <c r="QR6" s="39"/>
      <c r="QS6" s="39"/>
      <c r="QT6" s="39"/>
      <c r="QZ6" s="39" t="str">
        <f ca="1">IF(AND(VALUE(QV1)&gt;39999,VALUE(QV1)&lt;49999),
"TEL:092-589-6165　FAX:092-555-6788",
IF(COUNTIF(QU3,"*吉塚ゆりの樹*"),"TEL:092-589-6165　FAX:092-555-6788","TEL：092-915-2300　FAX　092-915-2301"))</f>
        <v>TEL:092-589-6165　FAX:092-555-6788</v>
      </c>
      <c r="RA6" s="39"/>
      <c r="RB6" s="39"/>
      <c r="RC6" s="39"/>
      <c r="RD6" s="39"/>
      <c r="RE6" s="39"/>
      <c r="RK6" s="39" t="str">
        <f ca="1">IF(AND(VALUE(RG1)&gt;39999,VALUE(RG1)&lt;49999),
"TEL:092-589-6165　FAX:092-555-6788",
IF(COUNTIF(RF3,"*吉塚ゆりの樹*"),"TEL:092-589-6165　FAX:092-555-6788","TEL：092-915-2300　FAX　092-915-2301"))</f>
        <v>TEL:092-589-6165　FAX:092-555-6788</v>
      </c>
      <c r="RL6" s="39"/>
      <c r="RM6" s="39"/>
      <c r="RN6" s="39"/>
      <c r="RO6" s="39"/>
      <c r="RP6" s="39"/>
      <c r="RV6" s="39" t="str">
        <f ca="1">IF(AND(VALUE(RR1)&gt;39999,VALUE(RR1)&lt;49999),
"TEL:092-589-6165　FAX:092-555-6788",
IF(COUNTIF(RQ3,"*吉塚ゆりの樹*"),"TEL:092-589-6165　FAX:092-555-6788","TEL：092-915-2300　FAX　092-915-2301"))</f>
        <v>TEL:092-589-6165　FAX:092-555-6788</v>
      </c>
      <c r="RW6" s="39"/>
      <c r="RX6" s="39"/>
      <c r="RY6" s="39"/>
      <c r="RZ6" s="39"/>
      <c r="SA6" s="39"/>
      <c r="SG6" s="39" t="str">
        <f ca="1">IF(AND(VALUE(SC1)&gt;39999,VALUE(SC1)&lt;49999),
"TEL:092-589-6165　FAX:092-555-6788",
IF(COUNTIF(SB3,"*吉塚ゆりの樹*"),"TEL:092-589-6165　FAX:092-555-6788","TEL：092-915-2300　FAX　092-915-2301"))</f>
        <v>TEL:092-589-6165　FAX:092-555-6788</v>
      </c>
      <c r="SH6" s="39"/>
      <c r="SI6" s="39"/>
      <c r="SJ6" s="39"/>
      <c r="SK6" s="39"/>
      <c r="SL6" s="39"/>
      <c r="SR6" s="39" t="str">
        <f ca="1">IF(AND(VALUE(SN1)&gt;39999,VALUE(SN1)&lt;49999),
"TEL:092-589-6165　FAX:092-555-6788",
IF(COUNTIF(SM3,"*吉塚ゆりの樹*"),"TEL:092-589-6165　FAX:092-555-6788","TEL：092-915-2300　FAX　092-915-2301"))</f>
        <v>TEL:092-589-6165　FAX:092-555-6788</v>
      </c>
      <c r="SS6" s="39"/>
      <c r="ST6" s="39"/>
      <c r="SU6" s="39"/>
      <c r="SV6" s="39"/>
      <c r="SW6" s="39"/>
      <c r="TC6" s="39" t="str">
        <f ca="1">IF(AND(VALUE(SY1)&gt;39999,VALUE(SY1)&lt;49999),
"TEL:092-589-6165　FAX:092-555-6788",
IF(COUNTIF(SX3,"*吉塚ゆりの樹*"),"TEL:092-589-6165　FAX:092-555-6788","TEL：092-915-2300　FAX　092-915-2301"))</f>
        <v>TEL:092-589-6165　FAX:092-555-6788</v>
      </c>
      <c r="TD6" s="39"/>
      <c r="TE6" s="39"/>
      <c r="TF6" s="39"/>
      <c r="TG6" s="39"/>
      <c r="TH6" s="39"/>
      <c r="TN6" s="39" t="str">
        <f ca="1">IF(AND(VALUE(TJ1)&gt;39999,VALUE(TJ1)&lt;49999),
"TEL:092-589-6165　FAX:092-555-6788",
IF(COUNTIF(TI3,"*吉塚ゆりの樹*"),"TEL:092-589-6165　FAX:092-555-6788","TEL：092-915-2300　FAX　092-915-2301"))</f>
        <v>TEL:092-589-6165　FAX:092-555-6788</v>
      </c>
      <c r="TO6" s="39"/>
      <c r="TP6" s="39"/>
      <c r="TQ6" s="39"/>
      <c r="TR6" s="39"/>
      <c r="TS6" s="39"/>
      <c r="TY6" s="39" t="str">
        <f ca="1">IF(AND(VALUE(TU1)&gt;39999,VALUE(TU1)&lt;49999),
"TEL:092-589-6165　FAX:092-555-6788",
IF(COUNTIF(TT3,"*吉塚ゆりの樹*"),"TEL:092-589-6165　FAX:092-555-6788","TEL：092-915-2300　FAX　092-915-2301"))</f>
        <v>TEL:092-589-6165　FAX:092-555-6788</v>
      </c>
      <c r="TZ6" s="39"/>
      <c r="UA6" s="39"/>
      <c r="UB6" s="39"/>
      <c r="UC6" s="39"/>
      <c r="UD6" s="39"/>
      <c r="UJ6" s="39" t="str">
        <f ca="1">IF(AND(VALUE(UF1)&gt;39999,VALUE(UF1)&lt;49999),
"TEL:092-589-6165　FAX:092-555-6788",
IF(COUNTIF(UE3,"*吉塚ゆりの樹*"),"TEL:092-589-6165　FAX:092-555-6788","TEL：092-915-2300　FAX　092-915-2301"))</f>
        <v>TEL:092-589-6165　FAX:092-555-6788</v>
      </c>
      <c r="UK6" s="39"/>
      <c r="UL6" s="39"/>
      <c r="UM6" s="39"/>
      <c r="UN6" s="39"/>
      <c r="UO6" s="39"/>
      <c r="UU6" s="39" t="str">
        <f ca="1">IF(AND(VALUE(UQ1)&gt;39999,VALUE(UQ1)&lt;49999),
"TEL:092-589-6165　FAX:092-555-6788",
IF(COUNTIF(UP3,"*吉塚ゆりの樹*"),"TEL:092-589-6165　FAX:092-555-6788","TEL：092-915-2300　FAX　092-915-2301"))</f>
        <v>TEL：092-915-2300　FAX　092-915-2301</v>
      </c>
      <c r="UV6" s="39"/>
      <c r="UW6" s="39"/>
      <c r="UX6" s="39"/>
      <c r="UY6" s="39"/>
      <c r="UZ6" s="39"/>
      <c r="VF6" s="39" t="e">
        <f ca="1">IF(AND(VALUE(VB1)&gt;39999,VALUE(VB1)&lt;49999),
"TEL:092-589-6165　FAX:092-555-6788",
IF(COUNTIF(VA3,"*吉塚ゆりの樹*"),"TEL:092-589-6165　FAX:092-555-6788","TEL：092-915-2300　FAX　092-915-2301"))</f>
        <v>#VALUE!</v>
      </c>
      <c r="VG6" s="39"/>
      <c r="VH6" s="39"/>
      <c r="VI6" s="39"/>
      <c r="VJ6" s="39"/>
      <c r="VK6" s="39"/>
      <c r="VQ6" s="39" t="e">
        <f ca="1">IF(AND(VALUE(VM1)&gt;39999,VALUE(VM1)&lt;49999),
"TEL:092-589-6165　FAX:092-555-6788",
IF(COUNTIF(VL3,"*吉塚ゆりの樹*"),"TEL:092-589-6165　FAX:092-555-6788","TEL：092-915-2300　FAX　092-915-2301"))</f>
        <v>#VALUE!</v>
      </c>
      <c r="VR6" s="39"/>
      <c r="VS6" s="39"/>
      <c r="VT6" s="39"/>
      <c r="VU6" s="39"/>
      <c r="VV6" s="39"/>
      <c r="WB6" s="39" t="e">
        <f ca="1">IF(AND(VALUE(VX1)&gt;39999,VALUE(VX1)&lt;49999),
"TEL:092-589-6165　FAX:092-555-6788",
IF(COUNTIF(VW3,"*吉塚ゆりの樹*"),"TEL:092-589-6165　FAX:092-555-6788","TEL：092-915-2300　FAX　092-915-2301"))</f>
        <v>#VALUE!</v>
      </c>
      <c r="WC6" s="39"/>
      <c r="WD6" s="39"/>
      <c r="WE6" s="39"/>
      <c r="WF6" s="39"/>
      <c r="WG6" s="39"/>
      <c r="WM6" s="39" t="e">
        <f ca="1">IF(AND(VALUE(WI1)&gt;39999,VALUE(WI1)&lt;49999),
"TEL:092-589-6165　FAX:092-555-6788",
IF(COUNTIF(WH3,"*吉塚ゆりの樹*"),"TEL:092-589-6165　FAX:092-555-6788","TEL：092-915-2300　FAX　092-915-2301"))</f>
        <v>#VALUE!</v>
      </c>
      <c r="WN6" s="39"/>
      <c r="WO6" s="39"/>
      <c r="WP6" s="39"/>
      <c r="WQ6" s="39"/>
      <c r="WR6" s="39"/>
      <c r="WX6" s="39" t="e">
        <f ca="1">IF(AND(VALUE(WT1)&gt;39999,VALUE(WT1)&lt;49999),
"TEL:092-589-6165　FAX:092-555-6788",
IF(COUNTIF(WS3,"*吉塚ゆりの樹*"),"TEL:092-589-6165　FAX:092-555-6788","TEL：092-915-2300　FAX　092-915-2301"))</f>
        <v>#VALUE!</v>
      </c>
      <c r="WY6" s="39"/>
      <c r="WZ6" s="39"/>
      <c r="XA6" s="39"/>
      <c r="XB6" s="39"/>
      <c r="XC6" s="39"/>
      <c r="XI6" s="39" t="e">
        <f ca="1">IF(AND(VALUE(XE1)&gt;39999,VALUE(XE1)&lt;49999),
"TEL:092-589-6165　FAX:092-555-6788",
IF(COUNTIF(XD3,"*吉塚ゆりの樹*"),"TEL:092-589-6165　FAX:092-555-6788","TEL：092-915-2300　FAX　092-915-2301"))</f>
        <v>#VALUE!</v>
      </c>
      <c r="XJ6" s="39"/>
      <c r="XK6" s="39"/>
      <c r="XL6" s="39"/>
      <c r="XM6" s="39"/>
      <c r="XN6" s="39"/>
      <c r="XT6" s="39" t="e">
        <f ca="1">IF(AND(VALUE(XP1)&gt;39999,VALUE(XP1)&lt;49999),
"TEL:092-589-6165　FAX:092-555-6788",
IF(COUNTIF(XO3,"*吉塚ゆりの樹*"),"TEL:092-589-6165　FAX:092-555-6788","TEL：092-915-2300　FAX　092-915-2301"))</f>
        <v>#VALUE!</v>
      </c>
      <c r="XU6" s="39"/>
      <c r="XV6" s="39"/>
      <c r="XW6" s="39"/>
      <c r="XX6" s="39"/>
      <c r="XY6" s="39"/>
      <c r="YE6" s="39" t="e">
        <f ca="1">IF(AND(VALUE(YA1)&gt;39999,VALUE(YA1)&lt;49999),
"TEL:092-589-6165　FAX:092-555-6788",
IF(COUNTIF(XZ3,"*吉塚ゆりの樹*"),"TEL:092-589-6165　FAX:092-555-6788","TEL：092-915-2300　FAX　092-915-2301"))</f>
        <v>#VALUE!</v>
      </c>
      <c r="YF6" s="39"/>
      <c r="YG6" s="39"/>
      <c r="YH6" s="39"/>
      <c r="YI6" s="39"/>
      <c r="YJ6" s="39"/>
      <c r="YP6" s="39" t="e">
        <f ca="1">IF(AND(VALUE(YL1)&gt;39999,VALUE(YL1)&lt;49999),
"TEL:092-589-6165　FAX:092-555-6788",
IF(COUNTIF(YK3,"*吉塚ゆりの樹*"),"TEL:092-589-6165　FAX:092-555-6788","TEL：092-915-2300　FAX　092-915-2301"))</f>
        <v>#VALUE!</v>
      </c>
      <c r="YQ6" s="39"/>
      <c r="YR6" s="39"/>
      <c r="YS6" s="39"/>
      <c r="YT6" s="39"/>
      <c r="YU6" s="39"/>
      <c r="ZA6" s="39" t="e">
        <f ca="1">IF(AND(VALUE(YW1)&gt;39999,VALUE(YW1)&lt;49999),
"TEL:092-589-6165　FAX:092-555-6788",
IF(COUNTIF(YV3,"*吉塚ゆりの樹*"),"TEL:092-589-6165　FAX:092-555-6788","TEL：092-915-2300　FAX　092-915-2301"))</f>
        <v>#VALUE!</v>
      </c>
      <c r="ZB6" s="39"/>
      <c r="ZC6" s="39"/>
      <c r="ZD6" s="39"/>
      <c r="ZE6" s="39"/>
      <c r="ZF6" s="39"/>
      <c r="ZL6" s="39" t="e">
        <f ca="1">IF(AND(VALUE(ZH1)&gt;39999,VALUE(ZH1)&lt;49999),
"TEL:092-589-6165　FAX:092-555-6788",
IF(COUNTIF(ZG3,"*吉塚ゆりの樹*"),"TEL:092-589-6165　FAX:092-555-6788","TEL：092-915-2300　FAX　092-915-2301"))</f>
        <v>#VALUE!</v>
      </c>
      <c r="ZM6" s="39"/>
      <c r="ZN6" s="39"/>
      <c r="ZO6" s="39"/>
      <c r="ZP6" s="39"/>
      <c r="ZQ6" s="39"/>
      <c r="ZW6" s="39" t="e">
        <f ca="1">IF(AND(VALUE(ZS1)&gt;39999,VALUE(ZS1)&lt;49999),
"TEL:092-589-6165　FAX:092-555-6788",
IF(COUNTIF(ZR3,"*吉塚ゆりの樹*"),"TEL:092-589-6165　FAX:092-555-6788","TEL：092-915-2300　FAX　092-915-2301"))</f>
        <v>#VALUE!</v>
      </c>
      <c r="ZX6" s="39"/>
      <c r="ZY6" s="39"/>
      <c r="ZZ6" s="39"/>
      <c r="AAA6" s="39"/>
      <c r="AAB6" s="39"/>
      <c r="AAH6" s="39" t="e">
        <f ca="1">IF(AND(VALUE(AAD1)&gt;39999,VALUE(AAD1)&lt;49999),
"TEL:092-589-6165　FAX:092-555-6788",
IF(COUNTIF(AAC3,"*吉塚ゆりの樹*"),"TEL:092-589-6165　FAX:092-555-6788","TEL：092-915-2300　FAX　092-915-2301"))</f>
        <v>#VALUE!</v>
      </c>
      <c r="AAI6" s="39"/>
      <c r="AAJ6" s="39"/>
      <c r="AAK6" s="39"/>
      <c r="AAL6" s="39"/>
      <c r="AAM6" s="39"/>
      <c r="AAS6" s="39" t="e">
        <f ca="1">IF(AND(VALUE(AAO1)&gt;39999,VALUE(AAO1)&lt;49999),
"TEL:092-589-6165　FAX:092-555-6788",
IF(COUNTIF(AAN3,"*吉塚ゆりの樹*"),"TEL:092-589-6165　FAX:092-555-6788","TEL：092-915-2300　FAX　092-915-2301"))</f>
        <v>#VALUE!</v>
      </c>
      <c r="AAT6" s="39"/>
      <c r="AAU6" s="39"/>
      <c r="AAV6" s="39"/>
      <c r="AAW6" s="39"/>
      <c r="AAX6" s="39"/>
      <c r="ABD6" s="39" t="e">
        <f ca="1">IF(AND(VALUE(AAZ1)&gt;39999,VALUE(AAZ1)&lt;49999),
"TEL:092-589-6165　FAX:092-555-6788",
IF(COUNTIF(AAY3,"*吉塚ゆりの樹*"),"TEL:092-589-6165　FAX:092-555-6788","TEL：092-915-2300　FAX　092-915-2301"))</f>
        <v>#VALUE!</v>
      </c>
      <c r="ABE6" s="39"/>
      <c r="ABF6" s="39"/>
      <c r="ABG6" s="39"/>
      <c r="ABH6" s="39"/>
      <c r="ABI6" s="39"/>
      <c r="ABO6" s="39" t="e">
        <f ca="1">IF(AND(VALUE(ABK1)&gt;39999,VALUE(ABK1)&lt;49999),
"TEL:092-589-6165　FAX:092-555-6788",
IF(COUNTIF(ABJ3,"*吉塚ゆりの樹*"),"TEL:092-589-6165　FAX:092-555-6788","TEL：092-915-2300　FAX　092-915-2301"))</f>
        <v>#VALUE!</v>
      </c>
      <c r="ABP6" s="39"/>
      <c r="ABQ6" s="39"/>
      <c r="ABR6" s="39"/>
      <c r="ABS6" s="39"/>
      <c r="ABT6" s="39"/>
      <c r="ABZ6" s="39" t="e">
        <f ca="1">IF(AND(VALUE(ABV1)&gt;39999,VALUE(ABV1)&lt;49999),
"TEL:092-589-6165　FAX:092-555-6788",
IF(COUNTIF(ABU3,"*吉塚ゆりの樹*"),"TEL:092-589-6165　FAX:092-555-6788","TEL：092-915-2300　FAX　092-915-2301"))</f>
        <v>#VALUE!</v>
      </c>
      <c r="ACA6" s="39"/>
      <c r="ACB6" s="39"/>
      <c r="ACC6" s="39"/>
      <c r="ACD6" s="39"/>
      <c r="ACE6" s="39"/>
      <c r="ACK6" s="39" t="e">
        <f ca="1">IF(AND(VALUE(ACG1)&gt;39999,VALUE(ACG1)&lt;49999),
"TEL:092-589-6165　FAX:092-555-6788",
IF(COUNTIF(ACF3,"*吉塚ゆりの樹*"),"TEL:092-589-6165　FAX:092-555-6788","TEL：092-915-2300　FAX　092-915-2301"))</f>
        <v>#VALUE!</v>
      </c>
      <c r="ACL6" s="39"/>
      <c r="ACM6" s="39"/>
      <c r="ACN6" s="39"/>
      <c r="ACO6" s="39"/>
      <c r="ACP6" s="39"/>
      <c r="ACV6" s="39" t="e">
        <f ca="1">IF(AND(VALUE(ACR1)&gt;39999,VALUE(ACR1)&lt;49999),
"TEL:092-589-6165　FAX:092-555-6788",
IF(COUNTIF(ACQ3,"*吉塚ゆりの樹*"),"TEL:092-589-6165　FAX:092-555-6788","TEL：092-915-2300　FAX　092-915-2301"))</f>
        <v>#VALUE!</v>
      </c>
      <c r="ACW6" s="39"/>
      <c r="ACX6" s="39"/>
      <c r="ACY6" s="39"/>
      <c r="ACZ6" s="39"/>
      <c r="ADA6" s="39"/>
      <c r="ADG6" s="39" t="e">
        <f ca="1">IF(AND(VALUE(ADC1)&gt;39999,VALUE(ADC1)&lt;49999),
"TEL:092-589-6165　FAX:092-555-6788",
IF(COUNTIF(ADB3,"*吉塚ゆりの樹*"),"TEL:092-589-6165　FAX:092-555-6788","TEL：092-915-2300　FAX　092-915-2301"))</f>
        <v>#VALUE!</v>
      </c>
      <c r="ADH6" s="39"/>
      <c r="ADI6" s="39"/>
      <c r="ADJ6" s="39"/>
    </row>
    <row r="7" spans="1:790" ht="6" customHeight="1" x14ac:dyDescent="0.45"/>
    <row r="8" spans="1:790" ht="13.8" customHeight="1" x14ac:dyDescent="0.45">
      <c r="E8" s="40"/>
      <c r="F8" s="40" t="s">
        <v>4012</v>
      </c>
      <c r="P8" s="40"/>
      <c r="Q8" s="40" t="s">
        <v>4012</v>
      </c>
      <c r="AA8" s="40"/>
      <c r="AB8" s="40" t="s">
        <v>4012</v>
      </c>
      <c r="AL8" s="40"/>
      <c r="AM8" s="40" t="s">
        <v>4012</v>
      </c>
      <c r="AW8" s="40"/>
      <c r="AX8" s="40" t="s">
        <v>4012</v>
      </c>
      <c r="BH8" s="40"/>
      <c r="BI8" s="40" t="s">
        <v>4012</v>
      </c>
      <c r="BS8" s="40"/>
      <c r="BT8" s="40" t="s">
        <v>4012</v>
      </c>
      <c r="CD8" s="40"/>
      <c r="CE8" s="40" t="s">
        <v>4012</v>
      </c>
      <c r="CO8" s="40"/>
      <c r="CP8" s="40" t="s">
        <v>4012</v>
      </c>
      <c r="CZ8" s="40"/>
      <c r="DA8" s="40" t="s">
        <v>4012</v>
      </c>
      <c r="DK8" s="40"/>
      <c r="DL8" s="40" t="s">
        <v>4012</v>
      </c>
      <c r="DV8" s="40"/>
      <c r="DW8" s="40" t="s">
        <v>4012</v>
      </c>
      <c r="EG8" s="40"/>
      <c r="EH8" s="40" t="s">
        <v>4012</v>
      </c>
      <c r="ER8" s="40"/>
      <c r="ES8" s="40" t="s">
        <v>4012</v>
      </c>
      <c r="FC8" s="40"/>
      <c r="FD8" s="40" t="s">
        <v>4012</v>
      </c>
      <c r="FN8" s="40"/>
      <c r="FO8" s="40" t="s">
        <v>4012</v>
      </c>
      <c r="FY8" s="40"/>
      <c r="FZ8" s="40" t="s">
        <v>4012</v>
      </c>
      <c r="GJ8" s="40"/>
      <c r="GK8" s="40" t="s">
        <v>4012</v>
      </c>
      <c r="GU8" s="40"/>
      <c r="GV8" s="40" t="s">
        <v>4012</v>
      </c>
      <c r="HF8" s="40"/>
      <c r="HG8" s="40" t="s">
        <v>4012</v>
      </c>
      <c r="HQ8" s="40"/>
      <c r="HR8" s="40" t="s">
        <v>4012</v>
      </c>
      <c r="IB8" s="40"/>
      <c r="IC8" s="40" t="s">
        <v>4012</v>
      </c>
      <c r="IM8" s="40"/>
      <c r="IN8" s="40" t="s">
        <v>4012</v>
      </c>
      <c r="IX8" s="40"/>
      <c r="IY8" s="40" t="s">
        <v>4012</v>
      </c>
      <c r="JI8" s="40"/>
      <c r="JJ8" s="40" t="s">
        <v>4012</v>
      </c>
      <c r="JT8" s="40"/>
      <c r="JU8" s="40" t="s">
        <v>4012</v>
      </c>
      <c r="KE8" s="40"/>
      <c r="KF8" s="40" t="s">
        <v>4012</v>
      </c>
      <c r="KP8" s="40"/>
      <c r="KQ8" s="40" t="s">
        <v>4012</v>
      </c>
      <c r="LA8" s="40"/>
      <c r="LB8" s="40" t="s">
        <v>4012</v>
      </c>
      <c r="LL8" s="40"/>
      <c r="LM8" s="40" t="s">
        <v>4012</v>
      </c>
      <c r="LW8" s="40"/>
      <c r="LX8" s="40" t="s">
        <v>4012</v>
      </c>
      <c r="MH8" s="40"/>
      <c r="MI8" s="40" t="s">
        <v>4012</v>
      </c>
      <c r="MS8" s="40"/>
      <c r="MT8" s="40" t="s">
        <v>4012</v>
      </c>
      <c r="ND8" s="40"/>
      <c r="NE8" s="40" t="s">
        <v>4012</v>
      </c>
      <c r="NO8" s="40"/>
      <c r="NP8" s="40" t="s">
        <v>4012</v>
      </c>
      <c r="NZ8" s="40"/>
      <c r="OA8" s="40" t="s">
        <v>4012</v>
      </c>
      <c r="OK8" s="40"/>
      <c r="OL8" s="40" t="s">
        <v>4012</v>
      </c>
      <c r="OV8" s="40"/>
      <c r="OW8" s="40" t="s">
        <v>4012</v>
      </c>
      <c r="PG8" s="40"/>
      <c r="PH8" s="40" t="s">
        <v>4012</v>
      </c>
      <c r="PR8" s="40"/>
      <c r="PS8" s="40" t="s">
        <v>4012</v>
      </c>
      <c r="QC8" s="40"/>
      <c r="QD8" s="40" t="s">
        <v>4012</v>
      </c>
      <c r="QN8" s="40"/>
      <c r="QO8" s="40" t="s">
        <v>4012</v>
      </c>
      <c r="QY8" s="40"/>
      <c r="QZ8" s="40" t="s">
        <v>4012</v>
      </c>
      <c r="RJ8" s="40"/>
      <c r="RK8" s="40" t="s">
        <v>4012</v>
      </c>
      <c r="RU8" s="40"/>
      <c r="RV8" s="40" t="s">
        <v>4012</v>
      </c>
      <c r="SF8" s="40"/>
      <c r="SG8" s="40" t="s">
        <v>4012</v>
      </c>
      <c r="SQ8" s="40"/>
      <c r="SR8" s="40" t="s">
        <v>4012</v>
      </c>
      <c r="TB8" s="40"/>
      <c r="TC8" s="40" t="s">
        <v>4012</v>
      </c>
      <c r="TM8" s="40"/>
      <c r="TN8" s="40" t="s">
        <v>4012</v>
      </c>
      <c r="TX8" s="40"/>
      <c r="TY8" s="40" t="s">
        <v>4012</v>
      </c>
      <c r="UI8" s="40"/>
      <c r="UJ8" s="40" t="s">
        <v>4012</v>
      </c>
      <c r="UT8" s="40"/>
      <c r="UU8" s="40" t="s">
        <v>4012</v>
      </c>
      <c r="VE8" s="40"/>
      <c r="VF8" s="40" t="s">
        <v>4012</v>
      </c>
      <c r="VP8" s="40"/>
      <c r="VQ8" s="40" t="s">
        <v>4012</v>
      </c>
      <c r="WA8" s="40"/>
      <c r="WB8" s="40" t="s">
        <v>4012</v>
      </c>
      <c r="WL8" s="40"/>
      <c r="WM8" s="40" t="s">
        <v>4012</v>
      </c>
      <c r="WW8" s="40"/>
      <c r="WX8" s="40" t="s">
        <v>4012</v>
      </c>
      <c r="XH8" s="40"/>
      <c r="XI8" s="40" t="s">
        <v>4012</v>
      </c>
      <c r="XS8" s="40"/>
      <c r="XT8" s="40" t="s">
        <v>4012</v>
      </c>
      <c r="YD8" s="40"/>
      <c r="YE8" s="40" t="s">
        <v>4012</v>
      </c>
      <c r="YO8" s="40"/>
      <c r="YP8" s="40" t="s">
        <v>4012</v>
      </c>
      <c r="YZ8" s="40"/>
      <c r="ZA8" s="40" t="s">
        <v>4012</v>
      </c>
      <c r="ZK8" s="40"/>
      <c r="ZL8" s="40" t="s">
        <v>4012</v>
      </c>
      <c r="ZV8" s="40"/>
      <c r="ZW8" s="40" t="s">
        <v>4012</v>
      </c>
      <c r="AAG8" s="40"/>
      <c r="AAH8" s="40" t="s">
        <v>4012</v>
      </c>
      <c r="AAR8" s="40"/>
      <c r="AAS8" s="40" t="s">
        <v>4012</v>
      </c>
      <c r="ABC8" s="40"/>
      <c r="ABD8" s="40" t="s">
        <v>4012</v>
      </c>
      <c r="ABN8" s="40"/>
      <c r="ABO8" s="40" t="s">
        <v>4012</v>
      </c>
      <c r="ABY8" s="40"/>
      <c r="ABZ8" s="40" t="s">
        <v>4012</v>
      </c>
      <c r="ACJ8" s="40"/>
      <c r="ACK8" s="40" t="s">
        <v>4012</v>
      </c>
      <c r="ACU8" s="40"/>
      <c r="ACV8" s="40" t="s">
        <v>4012</v>
      </c>
      <c r="ADF8" s="40"/>
      <c r="ADG8" s="40" t="s">
        <v>4012</v>
      </c>
    </row>
    <row r="9" spans="1:790" x14ac:dyDescent="0.45">
      <c r="A9" s="47" t="s">
        <v>4013</v>
      </c>
      <c r="B9" s="57"/>
      <c r="C9" s="57"/>
      <c r="D9" s="48"/>
      <c r="E9" s="34" t="s">
        <v>4014</v>
      </c>
      <c r="F9" s="34" t="s">
        <v>4015</v>
      </c>
      <c r="G9" s="34"/>
      <c r="H9" s="69" t="s">
        <v>4016</v>
      </c>
      <c r="I9" s="70"/>
      <c r="L9" s="47" t="s">
        <v>4013</v>
      </c>
      <c r="M9" s="57"/>
      <c r="N9" s="57"/>
      <c r="O9" s="48"/>
      <c r="P9" s="34" t="s">
        <v>4014</v>
      </c>
      <c r="Q9" s="34" t="s">
        <v>4015</v>
      </c>
      <c r="R9" s="34"/>
      <c r="S9" s="69" t="s">
        <v>4016</v>
      </c>
      <c r="T9" s="70"/>
      <c r="W9" s="47" t="s">
        <v>4013</v>
      </c>
      <c r="X9" s="57"/>
      <c r="Y9" s="57"/>
      <c r="Z9" s="48"/>
      <c r="AA9" s="34" t="s">
        <v>4014</v>
      </c>
      <c r="AB9" s="34" t="s">
        <v>4015</v>
      </c>
      <c r="AC9" s="34"/>
      <c r="AD9" s="69" t="s">
        <v>4016</v>
      </c>
      <c r="AE9" s="70"/>
      <c r="AH9" s="47" t="s">
        <v>4013</v>
      </c>
      <c r="AI9" s="57"/>
      <c r="AJ9" s="57"/>
      <c r="AK9" s="48"/>
      <c r="AL9" s="34" t="s">
        <v>4014</v>
      </c>
      <c r="AM9" s="34" t="s">
        <v>4015</v>
      </c>
      <c r="AN9" s="34"/>
      <c r="AO9" s="69" t="s">
        <v>4016</v>
      </c>
      <c r="AP9" s="70"/>
      <c r="AS9" s="47" t="s">
        <v>4013</v>
      </c>
      <c r="AT9" s="57"/>
      <c r="AU9" s="57"/>
      <c r="AV9" s="48"/>
      <c r="AW9" s="34" t="s">
        <v>4014</v>
      </c>
      <c r="AX9" s="34" t="s">
        <v>4015</v>
      </c>
      <c r="AY9" s="34"/>
      <c r="AZ9" s="69" t="s">
        <v>4016</v>
      </c>
      <c r="BA9" s="70"/>
      <c r="BD9" s="47" t="s">
        <v>4013</v>
      </c>
      <c r="BE9" s="57"/>
      <c r="BF9" s="57"/>
      <c r="BG9" s="48"/>
      <c r="BH9" s="34" t="s">
        <v>4014</v>
      </c>
      <c r="BI9" s="34" t="s">
        <v>4015</v>
      </c>
      <c r="BJ9" s="34"/>
      <c r="BK9" s="69" t="s">
        <v>4016</v>
      </c>
      <c r="BL9" s="70"/>
      <c r="BO9" s="47" t="s">
        <v>4013</v>
      </c>
      <c r="BP9" s="57"/>
      <c r="BQ9" s="57"/>
      <c r="BR9" s="48"/>
      <c r="BS9" s="34" t="s">
        <v>4014</v>
      </c>
      <c r="BT9" s="34" t="s">
        <v>4015</v>
      </c>
      <c r="BU9" s="34"/>
      <c r="BV9" s="69" t="s">
        <v>4016</v>
      </c>
      <c r="BW9" s="70"/>
      <c r="BZ9" s="47" t="s">
        <v>4013</v>
      </c>
      <c r="CA9" s="57"/>
      <c r="CB9" s="57"/>
      <c r="CC9" s="48"/>
      <c r="CD9" s="34" t="s">
        <v>4014</v>
      </c>
      <c r="CE9" s="34" t="s">
        <v>4015</v>
      </c>
      <c r="CF9" s="34"/>
      <c r="CG9" s="69" t="s">
        <v>4016</v>
      </c>
      <c r="CH9" s="70"/>
      <c r="CK9" s="47" t="s">
        <v>4013</v>
      </c>
      <c r="CL9" s="57"/>
      <c r="CM9" s="57"/>
      <c r="CN9" s="48"/>
      <c r="CO9" s="34" t="s">
        <v>4014</v>
      </c>
      <c r="CP9" s="34" t="s">
        <v>4015</v>
      </c>
      <c r="CQ9" s="34"/>
      <c r="CR9" s="69" t="s">
        <v>4016</v>
      </c>
      <c r="CS9" s="70"/>
      <c r="CV9" s="47" t="s">
        <v>4013</v>
      </c>
      <c r="CW9" s="57"/>
      <c r="CX9" s="57"/>
      <c r="CY9" s="48"/>
      <c r="CZ9" s="34" t="s">
        <v>4014</v>
      </c>
      <c r="DA9" s="34" t="s">
        <v>4015</v>
      </c>
      <c r="DB9" s="34"/>
      <c r="DC9" s="69" t="s">
        <v>4016</v>
      </c>
      <c r="DD9" s="70"/>
      <c r="DG9" s="47" t="s">
        <v>4013</v>
      </c>
      <c r="DH9" s="57"/>
      <c r="DI9" s="57"/>
      <c r="DJ9" s="48"/>
      <c r="DK9" s="34" t="s">
        <v>4014</v>
      </c>
      <c r="DL9" s="34" t="s">
        <v>4015</v>
      </c>
      <c r="DM9" s="34"/>
      <c r="DN9" s="69" t="s">
        <v>4016</v>
      </c>
      <c r="DO9" s="70"/>
      <c r="DR9" s="47" t="s">
        <v>4013</v>
      </c>
      <c r="DS9" s="57"/>
      <c r="DT9" s="57"/>
      <c r="DU9" s="48"/>
      <c r="DV9" s="34" t="s">
        <v>4014</v>
      </c>
      <c r="DW9" s="34" t="s">
        <v>4015</v>
      </c>
      <c r="DX9" s="34"/>
      <c r="DY9" s="69" t="s">
        <v>4016</v>
      </c>
      <c r="DZ9" s="70"/>
      <c r="EC9" s="47" t="s">
        <v>4013</v>
      </c>
      <c r="ED9" s="57"/>
      <c r="EE9" s="57"/>
      <c r="EF9" s="48"/>
      <c r="EG9" s="34" t="s">
        <v>4014</v>
      </c>
      <c r="EH9" s="34" t="s">
        <v>4015</v>
      </c>
      <c r="EI9" s="34"/>
      <c r="EJ9" s="69" t="s">
        <v>4016</v>
      </c>
      <c r="EK9" s="70"/>
      <c r="EN9" s="47" t="s">
        <v>4013</v>
      </c>
      <c r="EO9" s="57"/>
      <c r="EP9" s="57"/>
      <c r="EQ9" s="48"/>
      <c r="ER9" s="34" t="s">
        <v>4014</v>
      </c>
      <c r="ES9" s="34" t="s">
        <v>4015</v>
      </c>
      <c r="ET9" s="34"/>
      <c r="EU9" s="69" t="s">
        <v>4016</v>
      </c>
      <c r="EV9" s="70"/>
      <c r="EY9" s="47" t="s">
        <v>4013</v>
      </c>
      <c r="EZ9" s="57"/>
      <c r="FA9" s="57"/>
      <c r="FB9" s="48"/>
      <c r="FC9" s="34" t="s">
        <v>4014</v>
      </c>
      <c r="FD9" s="34" t="s">
        <v>4015</v>
      </c>
      <c r="FE9" s="34"/>
      <c r="FF9" s="69" t="s">
        <v>4016</v>
      </c>
      <c r="FG9" s="70"/>
      <c r="FJ9" s="47" t="s">
        <v>4013</v>
      </c>
      <c r="FK9" s="57"/>
      <c r="FL9" s="57"/>
      <c r="FM9" s="48"/>
      <c r="FN9" s="34" t="s">
        <v>4014</v>
      </c>
      <c r="FO9" s="34" t="s">
        <v>4015</v>
      </c>
      <c r="FP9" s="34"/>
      <c r="FQ9" s="69" t="s">
        <v>4016</v>
      </c>
      <c r="FR9" s="70"/>
      <c r="FU9" s="47" t="s">
        <v>4013</v>
      </c>
      <c r="FV9" s="57"/>
      <c r="FW9" s="57"/>
      <c r="FX9" s="48"/>
      <c r="FY9" s="34" t="s">
        <v>4014</v>
      </c>
      <c r="FZ9" s="34" t="s">
        <v>4015</v>
      </c>
      <c r="GA9" s="34"/>
      <c r="GB9" s="69" t="s">
        <v>4016</v>
      </c>
      <c r="GC9" s="70"/>
      <c r="GF9" s="47" t="s">
        <v>4013</v>
      </c>
      <c r="GG9" s="57"/>
      <c r="GH9" s="57"/>
      <c r="GI9" s="48"/>
      <c r="GJ9" s="34" t="s">
        <v>4014</v>
      </c>
      <c r="GK9" s="34" t="s">
        <v>4015</v>
      </c>
      <c r="GL9" s="34"/>
      <c r="GM9" s="69" t="s">
        <v>4016</v>
      </c>
      <c r="GN9" s="70"/>
      <c r="GQ9" s="47" t="s">
        <v>4013</v>
      </c>
      <c r="GR9" s="57"/>
      <c r="GS9" s="57"/>
      <c r="GT9" s="48"/>
      <c r="GU9" s="34" t="s">
        <v>4014</v>
      </c>
      <c r="GV9" s="34" t="s">
        <v>4015</v>
      </c>
      <c r="GW9" s="34"/>
      <c r="GX9" s="69" t="s">
        <v>4016</v>
      </c>
      <c r="GY9" s="70"/>
      <c r="HB9" s="47" t="s">
        <v>4013</v>
      </c>
      <c r="HC9" s="57"/>
      <c r="HD9" s="57"/>
      <c r="HE9" s="48"/>
      <c r="HF9" s="34" t="s">
        <v>4014</v>
      </c>
      <c r="HG9" s="34" t="s">
        <v>4015</v>
      </c>
      <c r="HH9" s="34"/>
      <c r="HI9" s="69" t="s">
        <v>4016</v>
      </c>
      <c r="HJ9" s="70"/>
      <c r="HM9" s="47" t="s">
        <v>4013</v>
      </c>
      <c r="HN9" s="57"/>
      <c r="HO9" s="57"/>
      <c r="HP9" s="48"/>
      <c r="HQ9" s="34" t="s">
        <v>4014</v>
      </c>
      <c r="HR9" s="34" t="s">
        <v>4015</v>
      </c>
      <c r="HS9" s="34"/>
      <c r="HT9" s="69" t="s">
        <v>4016</v>
      </c>
      <c r="HU9" s="70"/>
      <c r="HX9" s="47" t="s">
        <v>4013</v>
      </c>
      <c r="HY9" s="57"/>
      <c r="HZ9" s="57"/>
      <c r="IA9" s="48"/>
      <c r="IB9" s="34" t="s">
        <v>4014</v>
      </c>
      <c r="IC9" s="34" t="s">
        <v>4015</v>
      </c>
      <c r="ID9" s="34"/>
      <c r="IE9" s="69" t="s">
        <v>4016</v>
      </c>
      <c r="IF9" s="70"/>
      <c r="II9" s="47" t="s">
        <v>4013</v>
      </c>
      <c r="IJ9" s="57"/>
      <c r="IK9" s="57"/>
      <c r="IL9" s="48"/>
      <c r="IM9" s="34" t="s">
        <v>4014</v>
      </c>
      <c r="IN9" s="34" t="s">
        <v>4015</v>
      </c>
      <c r="IO9" s="34"/>
      <c r="IP9" s="69" t="s">
        <v>4016</v>
      </c>
      <c r="IQ9" s="70"/>
      <c r="IT9" s="47" t="s">
        <v>4013</v>
      </c>
      <c r="IU9" s="57"/>
      <c r="IV9" s="57"/>
      <c r="IW9" s="48"/>
      <c r="IX9" s="34" t="s">
        <v>4014</v>
      </c>
      <c r="IY9" s="34" t="s">
        <v>4015</v>
      </c>
      <c r="IZ9" s="34"/>
      <c r="JA9" s="69" t="s">
        <v>4016</v>
      </c>
      <c r="JB9" s="70"/>
      <c r="JE9" s="47" t="s">
        <v>4013</v>
      </c>
      <c r="JF9" s="57"/>
      <c r="JG9" s="57"/>
      <c r="JH9" s="48"/>
      <c r="JI9" s="34" t="s">
        <v>4014</v>
      </c>
      <c r="JJ9" s="34" t="s">
        <v>4015</v>
      </c>
      <c r="JK9" s="34"/>
      <c r="JL9" s="69" t="s">
        <v>4016</v>
      </c>
      <c r="JM9" s="70"/>
      <c r="JP9" s="47" t="s">
        <v>4013</v>
      </c>
      <c r="JQ9" s="57"/>
      <c r="JR9" s="57"/>
      <c r="JS9" s="48"/>
      <c r="JT9" s="34" t="s">
        <v>4014</v>
      </c>
      <c r="JU9" s="34" t="s">
        <v>4015</v>
      </c>
      <c r="JV9" s="34"/>
      <c r="JW9" s="69" t="s">
        <v>4016</v>
      </c>
      <c r="JX9" s="70"/>
      <c r="KA9" s="47" t="s">
        <v>4013</v>
      </c>
      <c r="KB9" s="57"/>
      <c r="KC9" s="57"/>
      <c r="KD9" s="48"/>
      <c r="KE9" s="34" t="s">
        <v>4014</v>
      </c>
      <c r="KF9" s="34" t="s">
        <v>4015</v>
      </c>
      <c r="KG9" s="34"/>
      <c r="KH9" s="69" t="s">
        <v>4016</v>
      </c>
      <c r="KI9" s="70"/>
      <c r="KL9" s="47" t="s">
        <v>4013</v>
      </c>
      <c r="KM9" s="57"/>
      <c r="KN9" s="57"/>
      <c r="KO9" s="48"/>
      <c r="KP9" s="34" t="s">
        <v>4014</v>
      </c>
      <c r="KQ9" s="34" t="s">
        <v>4015</v>
      </c>
      <c r="KR9" s="34"/>
      <c r="KS9" s="69" t="s">
        <v>4016</v>
      </c>
      <c r="KT9" s="70"/>
      <c r="KW9" s="47" t="s">
        <v>4013</v>
      </c>
      <c r="KX9" s="57"/>
      <c r="KY9" s="57"/>
      <c r="KZ9" s="48"/>
      <c r="LA9" s="34" t="s">
        <v>4014</v>
      </c>
      <c r="LB9" s="34" t="s">
        <v>4015</v>
      </c>
      <c r="LC9" s="34"/>
      <c r="LD9" s="69" t="s">
        <v>4016</v>
      </c>
      <c r="LE9" s="70"/>
      <c r="LH9" s="47" t="s">
        <v>4013</v>
      </c>
      <c r="LI9" s="57"/>
      <c r="LJ9" s="57"/>
      <c r="LK9" s="48"/>
      <c r="LL9" s="34" t="s">
        <v>4014</v>
      </c>
      <c r="LM9" s="34" t="s">
        <v>4015</v>
      </c>
      <c r="LN9" s="34"/>
      <c r="LO9" s="69" t="s">
        <v>4016</v>
      </c>
      <c r="LP9" s="70"/>
      <c r="LS9" s="47" t="s">
        <v>4013</v>
      </c>
      <c r="LT9" s="57"/>
      <c r="LU9" s="57"/>
      <c r="LV9" s="48"/>
      <c r="LW9" s="34" t="s">
        <v>4014</v>
      </c>
      <c r="LX9" s="34" t="s">
        <v>4015</v>
      </c>
      <c r="LY9" s="34"/>
      <c r="LZ9" s="69" t="s">
        <v>4016</v>
      </c>
      <c r="MA9" s="70"/>
      <c r="MD9" s="47" t="s">
        <v>4013</v>
      </c>
      <c r="ME9" s="57"/>
      <c r="MF9" s="57"/>
      <c r="MG9" s="48"/>
      <c r="MH9" s="34" t="s">
        <v>4014</v>
      </c>
      <c r="MI9" s="34" t="s">
        <v>4015</v>
      </c>
      <c r="MJ9" s="34"/>
      <c r="MK9" s="69" t="s">
        <v>4016</v>
      </c>
      <c r="ML9" s="70"/>
      <c r="MO9" s="47" t="s">
        <v>4013</v>
      </c>
      <c r="MP9" s="57"/>
      <c r="MQ9" s="57"/>
      <c r="MR9" s="48"/>
      <c r="MS9" s="34" t="s">
        <v>4014</v>
      </c>
      <c r="MT9" s="34" t="s">
        <v>4015</v>
      </c>
      <c r="MU9" s="34"/>
      <c r="MV9" s="69" t="s">
        <v>4016</v>
      </c>
      <c r="MW9" s="70"/>
      <c r="MZ9" s="47" t="s">
        <v>4013</v>
      </c>
      <c r="NA9" s="57"/>
      <c r="NB9" s="57"/>
      <c r="NC9" s="48"/>
      <c r="ND9" s="34" t="s">
        <v>4014</v>
      </c>
      <c r="NE9" s="34" t="s">
        <v>4015</v>
      </c>
      <c r="NF9" s="34"/>
      <c r="NG9" s="69" t="s">
        <v>4016</v>
      </c>
      <c r="NH9" s="70"/>
      <c r="NK9" s="47" t="s">
        <v>4013</v>
      </c>
      <c r="NL9" s="57"/>
      <c r="NM9" s="57"/>
      <c r="NN9" s="48"/>
      <c r="NO9" s="34" t="s">
        <v>4014</v>
      </c>
      <c r="NP9" s="34" t="s">
        <v>4015</v>
      </c>
      <c r="NQ9" s="34"/>
      <c r="NR9" s="69" t="s">
        <v>4016</v>
      </c>
      <c r="NS9" s="70"/>
      <c r="NV9" s="47" t="s">
        <v>4013</v>
      </c>
      <c r="NW9" s="57"/>
      <c r="NX9" s="57"/>
      <c r="NY9" s="48"/>
      <c r="NZ9" s="34" t="s">
        <v>4014</v>
      </c>
      <c r="OA9" s="34" t="s">
        <v>4015</v>
      </c>
      <c r="OB9" s="34"/>
      <c r="OC9" s="69" t="s">
        <v>4016</v>
      </c>
      <c r="OD9" s="70"/>
      <c r="OG9" s="47" t="s">
        <v>4013</v>
      </c>
      <c r="OH9" s="57"/>
      <c r="OI9" s="57"/>
      <c r="OJ9" s="48"/>
      <c r="OK9" s="34" t="s">
        <v>4014</v>
      </c>
      <c r="OL9" s="34" t="s">
        <v>4015</v>
      </c>
      <c r="OM9" s="34"/>
      <c r="ON9" s="69" t="s">
        <v>4016</v>
      </c>
      <c r="OO9" s="70"/>
      <c r="OR9" s="47" t="s">
        <v>4013</v>
      </c>
      <c r="OS9" s="57"/>
      <c r="OT9" s="57"/>
      <c r="OU9" s="48"/>
      <c r="OV9" s="34" t="s">
        <v>4014</v>
      </c>
      <c r="OW9" s="34" t="s">
        <v>4015</v>
      </c>
      <c r="OX9" s="34"/>
      <c r="OY9" s="69" t="s">
        <v>4016</v>
      </c>
      <c r="OZ9" s="70"/>
      <c r="PC9" s="47" t="s">
        <v>4013</v>
      </c>
      <c r="PD9" s="57"/>
      <c r="PE9" s="57"/>
      <c r="PF9" s="48"/>
      <c r="PG9" s="34" t="s">
        <v>4014</v>
      </c>
      <c r="PH9" s="34" t="s">
        <v>4015</v>
      </c>
      <c r="PI9" s="34"/>
      <c r="PJ9" s="69" t="s">
        <v>4016</v>
      </c>
      <c r="PK9" s="70"/>
      <c r="PN9" s="47" t="s">
        <v>4013</v>
      </c>
      <c r="PO9" s="57"/>
      <c r="PP9" s="57"/>
      <c r="PQ9" s="48"/>
      <c r="PR9" s="34" t="s">
        <v>4014</v>
      </c>
      <c r="PS9" s="34" t="s">
        <v>4015</v>
      </c>
      <c r="PT9" s="34"/>
      <c r="PU9" s="69" t="s">
        <v>4016</v>
      </c>
      <c r="PV9" s="70"/>
      <c r="PY9" s="47" t="s">
        <v>4013</v>
      </c>
      <c r="PZ9" s="57"/>
      <c r="QA9" s="57"/>
      <c r="QB9" s="48"/>
      <c r="QC9" s="34" t="s">
        <v>4014</v>
      </c>
      <c r="QD9" s="34" t="s">
        <v>4015</v>
      </c>
      <c r="QE9" s="34"/>
      <c r="QF9" s="69" t="s">
        <v>4016</v>
      </c>
      <c r="QG9" s="70"/>
      <c r="QJ9" s="47" t="s">
        <v>4013</v>
      </c>
      <c r="QK9" s="57"/>
      <c r="QL9" s="57"/>
      <c r="QM9" s="48"/>
      <c r="QN9" s="34" t="s">
        <v>4014</v>
      </c>
      <c r="QO9" s="34" t="s">
        <v>4015</v>
      </c>
      <c r="QP9" s="34"/>
      <c r="QQ9" s="69" t="s">
        <v>4016</v>
      </c>
      <c r="QR9" s="70"/>
      <c r="QU9" s="47" t="s">
        <v>4013</v>
      </c>
      <c r="QV9" s="57"/>
      <c r="QW9" s="57"/>
      <c r="QX9" s="48"/>
      <c r="QY9" s="34" t="s">
        <v>4014</v>
      </c>
      <c r="QZ9" s="34" t="s">
        <v>4015</v>
      </c>
      <c r="RA9" s="34"/>
      <c r="RB9" s="69" t="s">
        <v>4016</v>
      </c>
      <c r="RC9" s="70"/>
      <c r="RF9" s="47" t="s">
        <v>4013</v>
      </c>
      <c r="RG9" s="57"/>
      <c r="RH9" s="57"/>
      <c r="RI9" s="48"/>
      <c r="RJ9" s="34" t="s">
        <v>4014</v>
      </c>
      <c r="RK9" s="34" t="s">
        <v>4015</v>
      </c>
      <c r="RL9" s="34"/>
      <c r="RM9" s="69" t="s">
        <v>4016</v>
      </c>
      <c r="RN9" s="70"/>
      <c r="RQ9" s="47" t="s">
        <v>4013</v>
      </c>
      <c r="RR9" s="57"/>
      <c r="RS9" s="57"/>
      <c r="RT9" s="48"/>
      <c r="RU9" s="34" t="s">
        <v>4014</v>
      </c>
      <c r="RV9" s="34" t="s">
        <v>4015</v>
      </c>
      <c r="RW9" s="34"/>
      <c r="RX9" s="69" t="s">
        <v>4016</v>
      </c>
      <c r="RY9" s="70"/>
      <c r="SB9" s="47" t="s">
        <v>4013</v>
      </c>
      <c r="SC9" s="57"/>
      <c r="SD9" s="57"/>
      <c r="SE9" s="48"/>
      <c r="SF9" s="34" t="s">
        <v>4014</v>
      </c>
      <c r="SG9" s="34" t="s">
        <v>4015</v>
      </c>
      <c r="SH9" s="34"/>
      <c r="SI9" s="69" t="s">
        <v>4016</v>
      </c>
      <c r="SJ9" s="70"/>
      <c r="SM9" s="47" t="s">
        <v>4013</v>
      </c>
      <c r="SN9" s="57"/>
      <c r="SO9" s="57"/>
      <c r="SP9" s="48"/>
      <c r="SQ9" s="34" t="s">
        <v>4014</v>
      </c>
      <c r="SR9" s="34" t="s">
        <v>4015</v>
      </c>
      <c r="SS9" s="34"/>
      <c r="ST9" s="69" t="s">
        <v>4016</v>
      </c>
      <c r="SU9" s="70"/>
      <c r="SX9" s="47" t="s">
        <v>4013</v>
      </c>
      <c r="SY9" s="57"/>
      <c r="SZ9" s="57"/>
      <c r="TA9" s="48"/>
      <c r="TB9" s="34" t="s">
        <v>4014</v>
      </c>
      <c r="TC9" s="34" t="s">
        <v>4015</v>
      </c>
      <c r="TD9" s="34"/>
      <c r="TE9" s="69" t="s">
        <v>4016</v>
      </c>
      <c r="TF9" s="70"/>
      <c r="TI9" s="47" t="s">
        <v>4013</v>
      </c>
      <c r="TJ9" s="57"/>
      <c r="TK9" s="57"/>
      <c r="TL9" s="48"/>
      <c r="TM9" s="34" t="s">
        <v>4014</v>
      </c>
      <c r="TN9" s="34" t="s">
        <v>4015</v>
      </c>
      <c r="TO9" s="34"/>
      <c r="TP9" s="69" t="s">
        <v>4016</v>
      </c>
      <c r="TQ9" s="70"/>
      <c r="TT9" s="47" t="s">
        <v>4013</v>
      </c>
      <c r="TU9" s="57"/>
      <c r="TV9" s="57"/>
      <c r="TW9" s="48"/>
      <c r="TX9" s="34" t="s">
        <v>4014</v>
      </c>
      <c r="TY9" s="34" t="s">
        <v>4015</v>
      </c>
      <c r="TZ9" s="34"/>
      <c r="UA9" s="69" t="s">
        <v>4016</v>
      </c>
      <c r="UB9" s="70"/>
      <c r="UE9" s="47" t="s">
        <v>4013</v>
      </c>
      <c r="UF9" s="57"/>
      <c r="UG9" s="57"/>
      <c r="UH9" s="48"/>
      <c r="UI9" s="34" t="s">
        <v>4014</v>
      </c>
      <c r="UJ9" s="34" t="s">
        <v>4015</v>
      </c>
      <c r="UK9" s="34"/>
      <c r="UL9" s="69" t="s">
        <v>4016</v>
      </c>
      <c r="UM9" s="70"/>
      <c r="UP9" s="47" t="s">
        <v>4013</v>
      </c>
      <c r="UQ9" s="57"/>
      <c r="UR9" s="57"/>
      <c r="US9" s="48"/>
      <c r="UT9" s="34" t="s">
        <v>4014</v>
      </c>
      <c r="UU9" s="34" t="s">
        <v>4015</v>
      </c>
      <c r="UV9" s="34"/>
      <c r="UW9" s="69" t="s">
        <v>4016</v>
      </c>
      <c r="UX9" s="70"/>
      <c r="VA9" s="47" t="s">
        <v>4013</v>
      </c>
      <c r="VB9" s="57"/>
      <c r="VC9" s="57"/>
      <c r="VD9" s="48"/>
      <c r="VE9" s="34" t="s">
        <v>4014</v>
      </c>
      <c r="VF9" s="34" t="s">
        <v>4015</v>
      </c>
      <c r="VG9" s="34"/>
      <c r="VH9" s="69" t="s">
        <v>4016</v>
      </c>
      <c r="VI9" s="70"/>
      <c r="VL9" s="47" t="s">
        <v>4013</v>
      </c>
      <c r="VM9" s="57"/>
      <c r="VN9" s="57"/>
      <c r="VO9" s="48"/>
      <c r="VP9" s="34" t="s">
        <v>4014</v>
      </c>
      <c r="VQ9" s="34" t="s">
        <v>4015</v>
      </c>
      <c r="VR9" s="34"/>
      <c r="VS9" s="69" t="s">
        <v>4016</v>
      </c>
      <c r="VT9" s="70"/>
      <c r="VW9" s="47" t="s">
        <v>4013</v>
      </c>
      <c r="VX9" s="57"/>
      <c r="VY9" s="57"/>
      <c r="VZ9" s="48"/>
      <c r="WA9" s="34" t="s">
        <v>4014</v>
      </c>
      <c r="WB9" s="34" t="s">
        <v>4015</v>
      </c>
      <c r="WC9" s="34"/>
      <c r="WD9" s="69" t="s">
        <v>4016</v>
      </c>
      <c r="WE9" s="70"/>
      <c r="WH9" s="47" t="s">
        <v>4013</v>
      </c>
      <c r="WI9" s="57"/>
      <c r="WJ9" s="57"/>
      <c r="WK9" s="48"/>
      <c r="WL9" s="34" t="s">
        <v>4014</v>
      </c>
      <c r="WM9" s="34" t="s">
        <v>4015</v>
      </c>
      <c r="WN9" s="34"/>
      <c r="WO9" s="69" t="s">
        <v>4016</v>
      </c>
      <c r="WP9" s="70"/>
      <c r="WS9" s="47" t="s">
        <v>4013</v>
      </c>
      <c r="WT9" s="57"/>
      <c r="WU9" s="57"/>
      <c r="WV9" s="48"/>
      <c r="WW9" s="34" t="s">
        <v>4014</v>
      </c>
      <c r="WX9" s="34" t="s">
        <v>4015</v>
      </c>
      <c r="WY9" s="34"/>
      <c r="WZ9" s="69" t="s">
        <v>4016</v>
      </c>
      <c r="XA9" s="70"/>
      <c r="XD9" s="47" t="s">
        <v>4013</v>
      </c>
      <c r="XE9" s="57"/>
      <c r="XF9" s="57"/>
      <c r="XG9" s="48"/>
      <c r="XH9" s="34" t="s">
        <v>4014</v>
      </c>
      <c r="XI9" s="34" t="s">
        <v>4015</v>
      </c>
      <c r="XJ9" s="34"/>
      <c r="XK9" s="69" t="s">
        <v>4016</v>
      </c>
      <c r="XL9" s="70"/>
      <c r="XO9" s="47" t="s">
        <v>4013</v>
      </c>
      <c r="XP9" s="57"/>
      <c r="XQ9" s="57"/>
      <c r="XR9" s="48"/>
      <c r="XS9" s="34" t="s">
        <v>4014</v>
      </c>
      <c r="XT9" s="34" t="s">
        <v>4015</v>
      </c>
      <c r="XU9" s="34"/>
      <c r="XV9" s="69" t="s">
        <v>4016</v>
      </c>
      <c r="XW9" s="70"/>
      <c r="XZ9" s="47" t="s">
        <v>4013</v>
      </c>
      <c r="YA9" s="57"/>
      <c r="YB9" s="57"/>
      <c r="YC9" s="48"/>
      <c r="YD9" s="34" t="s">
        <v>4014</v>
      </c>
      <c r="YE9" s="34" t="s">
        <v>4015</v>
      </c>
      <c r="YF9" s="34"/>
      <c r="YG9" s="69" t="s">
        <v>4016</v>
      </c>
      <c r="YH9" s="70"/>
      <c r="YK9" s="47" t="s">
        <v>4013</v>
      </c>
      <c r="YL9" s="57"/>
      <c r="YM9" s="57"/>
      <c r="YN9" s="48"/>
      <c r="YO9" s="34" t="s">
        <v>4014</v>
      </c>
      <c r="YP9" s="34" t="s">
        <v>4015</v>
      </c>
      <c r="YQ9" s="34"/>
      <c r="YR9" s="69" t="s">
        <v>4016</v>
      </c>
      <c r="YS9" s="70"/>
      <c r="YV9" s="47" t="s">
        <v>4013</v>
      </c>
      <c r="YW9" s="57"/>
      <c r="YX9" s="57"/>
      <c r="YY9" s="48"/>
      <c r="YZ9" s="34" t="s">
        <v>4014</v>
      </c>
      <c r="ZA9" s="34" t="s">
        <v>4015</v>
      </c>
      <c r="ZB9" s="34"/>
      <c r="ZC9" s="69" t="s">
        <v>4016</v>
      </c>
      <c r="ZD9" s="70"/>
      <c r="ZG9" s="47" t="s">
        <v>4013</v>
      </c>
      <c r="ZH9" s="57"/>
      <c r="ZI9" s="57"/>
      <c r="ZJ9" s="48"/>
      <c r="ZK9" s="34" t="s">
        <v>4014</v>
      </c>
      <c r="ZL9" s="34" t="s">
        <v>4015</v>
      </c>
      <c r="ZM9" s="34"/>
      <c r="ZN9" s="69" t="s">
        <v>4016</v>
      </c>
      <c r="ZO9" s="70"/>
      <c r="ZR9" s="47" t="s">
        <v>4013</v>
      </c>
      <c r="ZS9" s="57"/>
      <c r="ZT9" s="57"/>
      <c r="ZU9" s="48"/>
      <c r="ZV9" s="34" t="s">
        <v>4014</v>
      </c>
      <c r="ZW9" s="34" t="s">
        <v>4015</v>
      </c>
      <c r="ZX9" s="34"/>
      <c r="ZY9" s="69" t="s">
        <v>4016</v>
      </c>
      <c r="ZZ9" s="70"/>
      <c r="AAC9" s="47" t="s">
        <v>4013</v>
      </c>
      <c r="AAD9" s="57"/>
      <c r="AAE9" s="57"/>
      <c r="AAF9" s="48"/>
      <c r="AAG9" s="34" t="s">
        <v>4014</v>
      </c>
      <c r="AAH9" s="34" t="s">
        <v>4015</v>
      </c>
      <c r="AAI9" s="34"/>
      <c r="AAJ9" s="69" t="s">
        <v>4016</v>
      </c>
      <c r="AAK9" s="70"/>
      <c r="AAN9" s="47" t="s">
        <v>4013</v>
      </c>
      <c r="AAO9" s="57"/>
      <c r="AAP9" s="57"/>
      <c r="AAQ9" s="48"/>
      <c r="AAR9" s="34" t="s">
        <v>4014</v>
      </c>
      <c r="AAS9" s="34" t="s">
        <v>4015</v>
      </c>
      <c r="AAT9" s="34"/>
      <c r="AAU9" s="69" t="s">
        <v>4016</v>
      </c>
      <c r="AAV9" s="70"/>
      <c r="AAY9" s="47" t="s">
        <v>4013</v>
      </c>
      <c r="AAZ9" s="57"/>
      <c r="ABA9" s="57"/>
      <c r="ABB9" s="48"/>
      <c r="ABC9" s="34" t="s">
        <v>4014</v>
      </c>
      <c r="ABD9" s="34" t="s">
        <v>4015</v>
      </c>
      <c r="ABE9" s="34"/>
      <c r="ABF9" s="69" t="s">
        <v>4016</v>
      </c>
      <c r="ABG9" s="70"/>
      <c r="ABJ9" s="47" t="s">
        <v>4013</v>
      </c>
      <c r="ABK9" s="57"/>
      <c r="ABL9" s="57"/>
      <c r="ABM9" s="48"/>
      <c r="ABN9" s="34" t="s">
        <v>4014</v>
      </c>
      <c r="ABO9" s="34" t="s">
        <v>4015</v>
      </c>
      <c r="ABP9" s="34"/>
      <c r="ABQ9" s="69" t="s">
        <v>4016</v>
      </c>
      <c r="ABR9" s="70"/>
      <c r="ABU9" s="47" t="s">
        <v>4013</v>
      </c>
      <c r="ABV9" s="57"/>
      <c r="ABW9" s="57"/>
      <c r="ABX9" s="48"/>
      <c r="ABY9" s="34" t="s">
        <v>4014</v>
      </c>
      <c r="ABZ9" s="34" t="s">
        <v>4015</v>
      </c>
      <c r="ACA9" s="34"/>
      <c r="ACB9" s="69" t="s">
        <v>4016</v>
      </c>
      <c r="ACC9" s="70"/>
      <c r="ACF9" s="47" t="s">
        <v>4013</v>
      </c>
      <c r="ACG9" s="57"/>
      <c r="ACH9" s="57"/>
      <c r="ACI9" s="48"/>
      <c r="ACJ9" s="34" t="s">
        <v>4014</v>
      </c>
      <c r="ACK9" s="34" t="s">
        <v>4015</v>
      </c>
      <c r="ACL9" s="34"/>
      <c r="ACM9" s="69" t="s">
        <v>4016</v>
      </c>
      <c r="ACN9" s="70"/>
      <c r="ACQ9" s="47" t="s">
        <v>4013</v>
      </c>
      <c r="ACR9" s="57"/>
      <c r="ACS9" s="57"/>
      <c r="ACT9" s="48"/>
      <c r="ACU9" s="34" t="s">
        <v>4014</v>
      </c>
      <c r="ACV9" s="34" t="s">
        <v>4015</v>
      </c>
      <c r="ACW9" s="34"/>
      <c r="ACX9" s="69" t="s">
        <v>4016</v>
      </c>
      <c r="ACY9" s="70"/>
      <c r="ADB9" s="47" t="s">
        <v>4013</v>
      </c>
      <c r="ADC9" s="57"/>
      <c r="ADD9" s="57"/>
      <c r="ADE9" s="48"/>
      <c r="ADF9" s="34" t="s">
        <v>4014</v>
      </c>
      <c r="ADG9" s="34" t="s">
        <v>4015</v>
      </c>
      <c r="ADH9" s="34"/>
      <c r="ADI9" s="69" t="s">
        <v>4016</v>
      </c>
      <c r="ADJ9" s="70"/>
    </row>
    <row r="10" spans="1:790" x14ac:dyDescent="0.45">
      <c r="A10" s="58" t="str">
        <f ca="1">IFERROR(OFFSET(納品書まとめ!$A$1,H2-1,52),"")</f>
        <v>弁当　園児</v>
      </c>
      <c r="B10" s="59"/>
      <c r="C10" s="59"/>
      <c r="D10" s="60"/>
      <c r="E10" s="35"/>
      <c r="F10" s="43">
        <f ca="1">IFERROR(OFFSET(納品書まとめ!$A$1,H2-1,53),"")</f>
        <v>8</v>
      </c>
      <c r="G10" s="35"/>
      <c r="H10" s="71"/>
      <c r="I10" s="72"/>
      <c r="L10" s="58" t="str">
        <f ca="1">IFERROR(OFFSET(納品書まとめ!$A$1,T2-1,52),"")</f>
        <v>弁当　園児</v>
      </c>
      <c r="M10" s="59"/>
      <c r="N10" s="59"/>
      <c r="O10" s="60"/>
      <c r="P10" s="35"/>
      <c r="Q10" s="43">
        <f ca="1">IFERROR(OFFSET(納品書まとめ!$A$1,T2-1,53),"")</f>
        <v>4</v>
      </c>
      <c r="R10" s="35"/>
      <c r="S10" s="71"/>
      <c r="T10" s="72"/>
      <c r="W10" s="58" t="str">
        <f ca="1">IFERROR(OFFSET(納品書まとめ!$A$1,AE2-1,52),"")</f>
        <v>弁当　園児</v>
      </c>
      <c r="X10" s="59"/>
      <c r="Y10" s="59"/>
      <c r="Z10" s="60"/>
      <c r="AA10" s="35"/>
      <c r="AB10" s="43">
        <f ca="1">IFERROR(OFFSET(納品書まとめ!$A$1,AE2-1,53),"")</f>
        <v>9</v>
      </c>
      <c r="AC10" s="35"/>
      <c r="AD10" s="71"/>
      <c r="AE10" s="72"/>
      <c r="AH10" s="58" t="str">
        <f ca="1">IFERROR(OFFSET(納品書まとめ!$A$1,AP2-1,52),"")</f>
        <v>弁当　園児</v>
      </c>
      <c r="AI10" s="59"/>
      <c r="AJ10" s="59"/>
      <c r="AK10" s="60"/>
      <c r="AL10" s="35"/>
      <c r="AM10" s="43">
        <f ca="1">IFERROR(OFFSET(納品書まとめ!$A$1,AP2-1,53),"")</f>
        <v>52</v>
      </c>
      <c r="AN10" s="35"/>
      <c r="AO10" s="71"/>
      <c r="AP10" s="72"/>
      <c r="AS10" s="58" t="str">
        <f ca="1">IFERROR(OFFSET(納品書まとめ!$A$1,BA2-1,52),"")</f>
        <v>弁当　園児</v>
      </c>
      <c r="AT10" s="59"/>
      <c r="AU10" s="59"/>
      <c r="AV10" s="60"/>
      <c r="AW10" s="35"/>
      <c r="AX10" s="43">
        <f ca="1">IFERROR(OFFSET(納品書まとめ!$A$1,BA2-1,53),"")</f>
        <v>153</v>
      </c>
      <c r="AY10" s="35"/>
      <c r="AZ10" s="71"/>
      <c r="BA10" s="72"/>
      <c r="BD10" s="58" t="str">
        <f ca="1">IFERROR(OFFSET(納品書まとめ!$A$1,BL2-1,52),"")</f>
        <v>弁当　園児</v>
      </c>
      <c r="BE10" s="59"/>
      <c r="BF10" s="59"/>
      <c r="BG10" s="60"/>
      <c r="BH10" s="35"/>
      <c r="BI10" s="43">
        <f ca="1">IFERROR(OFFSET(納品書まとめ!$A$1,BL2-1,53),"")</f>
        <v>139</v>
      </c>
      <c r="BJ10" s="35"/>
      <c r="BK10" s="71"/>
      <c r="BL10" s="72"/>
      <c r="BO10" s="58" t="str">
        <f ca="1">IFERROR(OFFSET(納品書まとめ!$A$1,BW2-1,52),"")</f>
        <v>弁当　園児</v>
      </c>
      <c r="BP10" s="59"/>
      <c r="BQ10" s="59"/>
      <c r="BR10" s="60"/>
      <c r="BS10" s="35"/>
      <c r="BT10" s="43">
        <f ca="1">IFERROR(OFFSET(納品書まとめ!$A$1,BW2-1,53),"")</f>
        <v>178</v>
      </c>
      <c r="BU10" s="35"/>
      <c r="BV10" s="71"/>
      <c r="BW10" s="72"/>
      <c r="BZ10" s="58" t="str">
        <f ca="1">IFERROR(OFFSET(納品書まとめ!$A$1,CH2-1,52),"")</f>
        <v>弁当　園児</v>
      </c>
      <c r="CA10" s="59"/>
      <c r="CB10" s="59"/>
      <c r="CC10" s="60"/>
      <c r="CD10" s="35"/>
      <c r="CE10" s="43">
        <f ca="1">IFERROR(OFFSET(納品書まとめ!$A$1,CH2-1,53),"")</f>
        <v>69</v>
      </c>
      <c r="CF10" s="35"/>
      <c r="CG10" s="71"/>
      <c r="CH10" s="72"/>
      <c r="CK10" s="58" t="str">
        <f ca="1">IFERROR(OFFSET(納品書まとめ!$A$1,CS2-1,52),"")</f>
        <v>弁当　園児</v>
      </c>
      <c r="CL10" s="59"/>
      <c r="CM10" s="59"/>
      <c r="CN10" s="60"/>
      <c r="CO10" s="35"/>
      <c r="CP10" s="43">
        <f ca="1">IFERROR(OFFSET(納品書まとめ!$A$1,CS2-1,53),"")</f>
        <v>359</v>
      </c>
      <c r="CQ10" s="35"/>
      <c r="CR10" s="71"/>
      <c r="CS10" s="72"/>
      <c r="CV10" s="58" t="str">
        <f ca="1">IFERROR(OFFSET(納品書まとめ!$A$1,DD2-1,52),"")</f>
        <v>パン　園児</v>
      </c>
      <c r="CW10" s="59"/>
      <c r="CX10" s="59"/>
      <c r="CY10" s="60"/>
      <c r="CZ10" s="35"/>
      <c r="DA10" s="43">
        <f ca="1">IFERROR(OFFSET(納品書まとめ!$A$1,DD2-1,53),"")</f>
        <v>61</v>
      </c>
      <c r="DB10" s="35"/>
      <c r="DC10" s="71"/>
      <c r="DD10" s="72"/>
      <c r="DG10" s="58" t="str">
        <f ca="1">IFERROR(OFFSET(納品書まとめ!$A$1,DO2-1,52),"")</f>
        <v>パン　園児</v>
      </c>
      <c r="DH10" s="59"/>
      <c r="DI10" s="59"/>
      <c r="DJ10" s="60"/>
      <c r="DK10" s="35"/>
      <c r="DL10" s="43">
        <f ca="1">IFERROR(OFFSET(納品書まとめ!$A$1,DO2-1,53),"")</f>
        <v>1</v>
      </c>
      <c r="DM10" s="35"/>
      <c r="DN10" s="71"/>
      <c r="DO10" s="72"/>
      <c r="DR10" s="58" t="str">
        <f ca="1">IFERROR(OFFSET(納品書まとめ!$A$1,DZ2-1,52),"")</f>
        <v>パン　園児</v>
      </c>
      <c r="DS10" s="59"/>
      <c r="DT10" s="59"/>
      <c r="DU10" s="60"/>
      <c r="DV10" s="35"/>
      <c r="DW10" s="43">
        <f ca="1">IFERROR(OFFSET(納品書まとめ!$A$1,DZ2-1,53),"")</f>
        <v>5</v>
      </c>
      <c r="DX10" s="35"/>
      <c r="DY10" s="71"/>
      <c r="DZ10" s="72"/>
      <c r="EC10" s="58" t="str">
        <f ca="1">IFERROR(OFFSET(納品書まとめ!$A$1,EK2-1,52),"")</f>
        <v>弁当　園児</v>
      </c>
      <c r="ED10" s="59"/>
      <c r="EE10" s="59"/>
      <c r="EF10" s="60"/>
      <c r="EG10" s="35"/>
      <c r="EH10" s="43">
        <f ca="1">IFERROR(OFFSET(納品書まとめ!$A$1,EK2-1,53),"")</f>
        <v>7</v>
      </c>
      <c r="EI10" s="35"/>
      <c r="EJ10" s="71"/>
      <c r="EK10" s="72"/>
      <c r="EN10" s="58" t="str">
        <f ca="1">IFERROR(OFFSET(納品書まとめ!$A$1,EV2-1,52),"")</f>
        <v>どんぶり給食　園児</v>
      </c>
      <c r="EO10" s="59"/>
      <c r="EP10" s="59"/>
      <c r="EQ10" s="60"/>
      <c r="ER10" s="35"/>
      <c r="ES10" s="43">
        <f ca="1">IFERROR(OFFSET(納品書まとめ!$A$1,EV2-1,53),"")</f>
        <v>108</v>
      </c>
      <c r="ET10" s="35"/>
      <c r="EU10" s="71"/>
      <c r="EV10" s="72"/>
      <c r="EY10" s="58" t="str">
        <f ca="1">IFERROR(OFFSET(納品書まとめ!$A$1,FG2-1,52),"")</f>
        <v>どんぶり給食　園児</v>
      </c>
      <c r="EZ10" s="59"/>
      <c r="FA10" s="59"/>
      <c r="FB10" s="60"/>
      <c r="FC10" s="35"/>
      <c r="FD10" s="43">
        <f ca="1">IFERROR(OFFSET(納品書まとめ!$A$1,FG2-1,53),"")</f>
        <v>235</v>
      </c>
      <c r="FE10" s="35"/>
      <c r="FF10" s="71"/>
      <c r="FG10" s="72"/>
      <c r="FJ10" s="58" t="str">
        <f ca="1">IFERROR(OFFSET(納品書まとめ!$A$1,FR2-1,52),"")</f>
        <v>ピクニック　園児</v>
      </c>
      <c r="FK10" s="59"/>
      <c r="FL10" s="59"/>
      <c r="FM10" s="60"/>
      <c r="FN10" s="35"/>
      <c r="FO10" s="43">
        <f ca="1">IFERROR(OFFSET(納品書まとめ!$A$1,FR2-1,53),"")</f>
        <v>90</v>
      </c>
      <c r="FP10" s="35"/>
      <c r="FQ10" s="71"/>
      <c r="FR10" s="72"/>
      <c r="FU10" s="58" t="str">
        <f ca="1">IFERROR(OFFSET(納品書まとめ!$A$1,GC2-1,52),"")</f>
        <v>ピクニック　園児</v>
      </c>
      <c r="FV10" s="59"/>
      <c r="FW10" s="59"/>
      <c r="FX10" s="60"/>
      <c r="FY10" s="35"/>
      <c r="FZ10" s="43">
        <f ca="1">IFERROR(OFFSET(納品書まとめ!$A$1,GC2-1,53),"")</f>
        <v>140</v>
      </c>
      <c r="GA10" s="35"/>
      <c r="GB10" s="71"/>
      <c r="GC10" s="72"/>
      <c r="GF10" s="58" t="str">
        <f ca="1">IFERROR(OFFSET(納品書まとめ!$A$1,GN2-1,52),"")</f>
        <v>弁当　園児</v>
      </c>
      <c r="GG10" s="59"/>
      <c r="GH10" s="59"/>
      <c r="GI10" s="60"/>
      <c r="GJ10" s="35"/>
      <c r="GK10" s="43">
        <f ca="1">IFERROR(OFFSET(納品書まとめ!$A$1,GN2-1,53),"")</f>
        <v>122</v>
      </c>
      <c r="GL10" s="35"/>
      <c r="GM10" s="71"/>
      <c r="GN10" s="72"/>
      <c r="GQ10" s="58" t="str">
        <f ca="1">IFERROR(OFFSET(納品書まとめ!$A$1,GY2-1,52),"")</f>
        <v>配膳給食　園児</v>
      </c>
      <c r="GR10" s="59"/>
      <c r="GS10" s="59"/>
      <c r="GT10" s="60"/>
      <c r="GU10" s="35"/>
      <c r="GV10" s="43">
        <f ca="1">IFERROR(OFFSET(納品書まとめ!$A$1,GY2-1,53),"")</f>
        <v>219</v>
      </c>
      <c r="GW10" s="35"/>
      <c r="GX10" s="71"/>
      <c r="GY10" s="72"/>
      <c r="HB10" s="58" t="str">
        <f ca="1">IFERROR(OFFSET(納品書まとめ!$A$1,HJ2-1,52),"")</f>
        <v>弁当　園児</v>
      </c>
      <c r="HC10" s="59"/>
      <c r="HD10" s="59"/>
      <c r="HE10" s="60"/>
      <c r="HF10" s="35"/>
      <c r="HG10" s="43">
        <f ca="1">IFERROR(OFFSET(納品書まとめ!$A$1,HJ2-1,53),"")</f>
        <v>6</v>
      </c>
      <c r="HH10" s="35"/>
      <c r="HI10" s="71"/>
      <c r="HJ10" s="72"/>
      <c r="HM10" s="58" t="str">
        <f ca="1">IFERROR(OFFSET(納品書まとめ!$A$1,HU2-1,52),"")</f>
        <v>弁当　園児</v>
      </c>
      <c r="HN10" s="59"/>
      <c r="HO10" s="59"/>
      <c r="HP10" s="60"/>
      <c r="HQ10" s="35"/>
      <c r="HR10" s="43">
        <f ca="1">IFERROR(OFFSET(納品書まとめ!$A$1,HU2-1,53),"")</f>
        <v>3</v>
      </c>
      <c r="HS10" s="35"/>
      <c r="HT10" s="71"/>
      <c r="HU10" s="72"/>
      <c r="HX10" s="58" t="str">
        <f ca="1">IFERROR(OFFSET(納品書まとめ!$A$1,IF2-1,52),"")</f>
        <v>弁当　園児</v>
      </c>
      <c r="HY10" s="59"/>
      <c r="HZ10" s="59"/>
      <c r="IA10" s="60"/>
      <c r="IB10" s="35"/>
      <c r="IC10" s="43">
        <f ca="1">IFERROR(OFFSET(納品書まとめ!$A$1,IF2-1,53),"")</f>
        <v>25</v>
      </c>
      <c r="ID10" s="35"/>
      <c r="IE10" s="71"/>
      <c r="IF10" s="72"/>
      <c r="II10" s="58" t="str">
        <f ca="1">IFERROR(OFFSET(納品書まとめ!$A$1,IQ2-1,52),"")</f>
        <v>弁当　園児</v>
      </c>
      <c r="IJ10" s="59"/>
      <c r="IK10" s="59"/>
      <c r="IL10" s="60"/>
      <c r="IM10" s="35"/>
      <c r="IN10" s="43">
        <f ca="1">IFERROR(OFFSET(納品書まとめ!$A$1,IQ2-1,53),"")</f>
        <v>13</v>
      </c>
      <c r="IO10" s="35"/>
      <c r="IP10" s="71"/>
      <c r="IQ10" s="72"/>
      <c r="IT10" s="58" t="str">
        <f ca="1">IFERROR(OFFSET(納品書まとめ!$A$1,JB2-1,52),"")</f>
        <v>弁当　園児</v>
      </c>
      <c r="IU10" s="59"/>
      <c r="IV10" s="59"/>
      <c r="IW10" s="60"/>
      <c r="IX10" s="35"/>
      <c r="IY10" s="43">
        <f ca="1">IFERROR(OFFSET(納品書まとめ!$A$1,JB2-1,53),"")</f>
        <v>1</v>
      </c>
      <c r="IZ10" s="35"/>
      <c r="JA10" s="71"/>
      <c r="JB10" s="72"/>
      <c r="JE10" s="58" t="str">
        <f ca="1">IFERROR(OFFSET(納品書まとめ!$A$1,JM2-1,52),"")</f>
        <v>弁当　園児</v>
      </c>
      <c r="JF10" s="59"/>
      <c r="JG10" s="59"/>
      <c r="JH10" s="60"/>
      <c r="JI10" s="35"/>
      <c r="JJ10" s="43">
        <f ca="1">IFERROR(OFFSET(納品書まとめ!$A$1,JM2-1,53),"")</f>
        <v>5</v>
      </c>
      <c r="JK10" s="35"/>
      <c r="JL10" s="71"/>
      <c r="JM10" s="72"/>
      <c r="JP10" s="58" t="str">
        <f ca="1">IFERROR(OFFSET(納品書まとめ!$A$1,JX2-1,52),"")</f>
        <v>弁当　園児</v>
      </c>
      <c r="JQ10" s="59"/>
      <c r="JR10" s="59"/>
      <c r="JS10" s="60"/>
      <c r="JT10" s="35"/>
      <c r="JU10" s="43">
        <f ca="1">IFERROR(OFFSET(納品書まとめ!$A$1,JX2-1,53),"")</f>
        <v>25</v>
      </c>
      <c r="JV10" s="35"/>
      <c r="JW10" s="71"/>
      <c r="JX10" s="72"/>
      <c r="KA10" s="58" t="str">
        <f ca="1">IFERROR(OFFSET(納品書まとめ!$A$1,KI2-1,52),"")</f>
        <v>弁当　園児</v>
      </c>
      <c r="KB10" s="59"/>
      <c r="KC10" s="59"/>
      <c r="KD10" s="60"/>
      <c r="KE10" s="35"/>
      <c r="KF10" s="43">
        <f ca="1">IFERROR(OFFSET(納品書まとめ!$A$1,KI2-1,53),"")</f>
        <v>14</v>
      </c>
      <c r="KG10" s="35"/>
      <c r="KH10" s="71"/>
      <c r="KI10" s="72"/>
      <c r="KL10" s="58" t="str">
        <f ca="1">IFERROR(OFFSET(納品書まとめ!$A$1,KT2-1,52),"")</f>
        <v>弁当　園児</v>
      </c>
      <c r="KM10" s="59"/>
      <c r="KN10" s="59"/>
      <c r="KO10" s="60"/>
      <c r="KP10" s="35"/>
      <c r="KQ10" s="43">
        <f ca="1">IFERROR(OFFSET(納品書まとめ!$A$1,KT2-1,53),"")</f>
        <v>15</v>
      </c>
      <c r="KR10" s="35"/>
      <c r="KS10" s="71"/>
      <c r="KT10" s="72"/>
      <c r="KW10" s="58" t="str">
        <f ca="1">IFERROR(OFFSET(納品書まとめ!$A$1,LE2-1,52),"")</f>
        <v>弁当　園児</v>
      </c>
      <c r="KX10" s="59"/>
      <c r="KY10" s="59"/>
      <c r="KZ10" s="60"/>
      <c r="LA10" s="35"/>
      <c r="LB10" s="43">
        <f ca="1">IFERROR(OFFSET(納品書まとめ!$A$1,LE2-1,53),"")</f>
        <v>87</v>
      </c>
      <c r="LC10" s="35"/>
      <c r="LD10" s="71"/>
      <c r="LE10" s="72"/>
      <c r="LH10" s="58" t="str">
        <f ca="1">IFERROR(OFFSET(納品書まとめ!$A$1,LP2-1,52),"")</f>
        <v>弁当　園児</v>
      </c>
      <c r="LI10" s="59"/>
      <c r="LJ10" s="59"/>
      <c r="LK10" s="60"/>
      <c r="LL10" s="35"/>
      <c r="LM10" s="43">
        <f ca="1">IFERROR(OFFSET(納品書まとめ!$A$1,LP2-1,53),"")</f>
        <v>118</v>
      </c>
      <c r="LN10" s="35"/>
      <c r="LO10" s="71"/>
      <c r="LP10" s="72"/>
      <c r="LS10" s="58" t="str">
        <f ca="1">IFERROR(OFFSET(納品書まとめ!$A$1,MA2-1,52),"")</f>
        <v>弁当　園児</v>
      </c>
      <c r="LT10" s="59"/>
      <c r="LU10" s="59"/>
      <c r="LV10" s="60"/>
      <c r="LW10" s="35"/>
      <c r="LX10" s="43">
        <f ca="1">IFERROR(OFFSET(納品書まとめ!$A$1,MA2-1,53),"")</f>
        <v>209</v>
      </c>
      <c r="LY10" s="35"/>
      <c r="LZ10" s="71"/>
      <c r="MA10" s="72"/>
      <c r="MD10" s="58" t="str">
        <f ca="1">IFERROR(OFFSET(納品書まとめ!$A$1,ML2-1,52),"")</f>
        <v>弁当　園児</v>
      </c>
      <c r="ME10" s="59"/>
      <c r="MF10" s="59"/>
      <c r="MG10" s="60"/>
      <c r="MH10" s="35"/>
      <c r="MI10" s="43">
        <f ca="1">IFERROR(OFFSET(納品書まとめ!$A$1,ML2-1,53),"")</f>
        <v>89</v>
      </c>
      <c r="MJ10" s="35"/>
      <c r="MK10" s="71"/>
      <c r="ML10" s="72"/>
      <c r="MO10" s="58" t="str">
        <f ca="1">IFERROR(OFFSET(納品書まとめ!$A$1,MW2-1,52),"")</f>
        <v>弁当　園児</v>
      </c>
      <c r="MP10" s="59"/>
      <c r="MQ10" s="59"/>
      <c r="MR10" s="60"/>
      <c r="MS10" s="35"/>
      <c r="MT10" s="43">
        <f ca="1">IFERROR(OFFSET(納品書まとめ!$A$1,MW2-1,53),"")</f>
        <v>146</v>
      </c>
      <c r="MU10" s="35"/>
      <c r="MV10" s="71"/>
      <c r="MW10" s="72"/>
      <c r="MZ10" s="58" t="str">
        <f ca="1">IFERROR(OFFSET(納品書まとめ!$A$1,NH2-1,52),"")</f>
        <v>弁当　園児</v>
      </c>
      <c r="NA10" s="59"/>
      <c r="NB10" s="59"/>
      <c r="NC10" s="60"/>
      <c r="ND10" s="35"/>
      <c r="NE10" s="43">
        <f ca="1">IFERROR(OFFSET(納品書まとめ!$A$1,NH2-1,53),"")</f>
        <v>4</v>
      </c>
      <c r="NF10" s="35"/>
      <c r="NG10" s="71"/>
      <c r="NH10" s="72"/>
      <c r="NK10" s="58" t="str">
        <f ca="1">IFERROR(OFFSET(納品書まとめ!$A$1,NS2-1,52),"")</f>
        <v>弁当　園児</v>
      </c>
      <c r="NL10" s="59"/>
      <c r="NM10" s="59"/>
      <c r="NN10" s="60"/>
      <c r="NO10" s="35"/>
      <c r="NP10" s="43">
        <f ca="1">IFERROR(OFFSET(納品書まとめ!$A$1,NS2-1,53),"")</f>
        <v>4</v>
      </c>
      <c r="NQ10" s="35"/>
      <c r="NR10" s="71"/>
      <c r="NS10" s="72"/>
      <c r="NV10" s="58" t="str">
        <f ca="1">IFERROR(OFFSET(納品書まとめ!$A$1,OD2-1,52),"")</f>
        <v>弁当　園児</v>
      </c>
      <c r="NW10" s="59"/>
      <c r="NX10" s="59"/>
      <c r="NY10" s="60"/>
      <c r="NZ10" s="35"/>
      <c r="OA10" s="43">
        <f ca="1">IFERROR(OFFSET(納品書まとめ!$A$1,OD2-1,53),"")</f>
        <v>16</v>
      </c>
      <c r="OB10" s="35"/>
      <c r="OC10" s="71"/>
      <c r="OD10" s="72"/>
      <c r="OG10" s="58" t="str">
        <f ca="1">IFERROR(OFFSET(納品書まとめ!$A$1,OO2-1,52),"")</f>
        <v>弁当　園児</v>
      </c>
      <c r="OH10" s="59"/>
      <c r="OI10" s="59"/>
      <c r="OJ10" s="60"/>
      <c r="OK10" s="35"/>
      <c r="OL10" s="43">
        <f ca="1">IFERROR(OFFSET(納品書まとめ!$A$1,OO2-1,53),"")</f>
        <v>278</v>
      </c>
      <c r="OM10" s="35"/>
      <c r="ON10" s="71"/>
      <c r="OO10" s="72"/>
      <c r="OR10" s="58" t="str">
        <f ca="1">IFERROR(OFFSET(納品書まとめ!$A$1,OZ2-1,52),"")</f>
        <v>弁当　園児</v>
      </c>
      <c r="OS10" s="59"/>
      <c r="OT10" s="59"/>
      <c r="OU10" s="60"/>
      <c r="OV10" s="35"/>
      <c r="OW10" s="43">
        <f ca="1">IFERROR(OFFSET(納品書まとめ!$A$1,OZ2-1,53),"")</f>
        <v>12</v>
      </c>
      <c r="OX10" s="35"/>
      <c r="OY10" s="71"/>
      <c r="OZ10" s="72"/>
      <c r="PC10" s="58" t="str">
        <f ca="1">IFERROR(OFFSET(納品書まとめ!$A$1,PK2-1,52),"")</f>
        <v>弁当　園児</v>
      </c>
      <c r="PD10" s="59"/>
      <c r="PE10" s="59"/>
      <c r="PF10" s="60"/>
      <c r="PG10" s="35"/>
      <c r="PH10" s="43">
        <f ca="1">IFERROR(OFFSET(納品書まとめ!$A$1,PK2-1,53),"")</f>
        <v>12</v>
      </c>
      <c r="PI10" s="35"/>
      <c r="PJ10" s="71"/>
      <c r="PK10" s="72"/>
      <c r="PN10" s="58" t="str">
        <f ca="1">IFERROR(OFFSET(納品書まとめ!$A$1,PV2-1,52),"")</f>
        <v>弁当　園児</v>
      </c>
      <c r="PO10" s="59"/>
      <c r="PP10" s="59"/>
      <c r="PQ10" s="60"/>
      <c r="PR10" s="35"/>
      <c r="PS10" s="43">
        <f ca="1">IFERROR(OFFSET(納品書まとめ!$A$1,PV2-1,53),"")</f>
        <v>22</v>
      </c>
      <c r="PT10" s="35"/>
      <c r="PU10" s="71"/>
      <c r="PV10" s="72"/>
      <c r="PY10" s="58" t="str">
        <f ca="1">IFERROR(OFFSET(納品書まとめ!$A$1,QG2-1,52),"")</f>
        <v>弁当　園児</v>
      </c>
      <c r="PZ10" s="59"/>
      <c r="QA10" s="59"/>
      <c r="QB10" s="60"/>
      <c r="QC10" s="35"/>
      <c r="QD10" s="43">
        <f ca="1">IFERROR(OFFSET(納品書まとめ!$A$1,QG2-1,53),"")</f>
        <v>73</v>
      </c>
      <c r="QE10" s="35"/>
      <c r="QF10" s="71"/>
      <c r="QG10" s="72"/>
      <c r="QJ10" s="58" t="str">
        <f ca="1">IFERROR(OFFSET(納品書まとめ!$A$1,QR2-1,52),"")</f>
        <v>弁当　先生</v>
      </c>
      <c r="QK10" s="59"/>
      <c r="QL10" s="59"/>
      <c r="QM10" s="60"/>
      <c r="QN10" s="35"/>
      <c r="QO10" s="43">
        <f ca="1">IFERROR(OFFSET(納品書まとめ!$A$1,QR2-1,53),"")</f>
        <v>19</v>
      </c>
      <c r="QP10" s="35"/>
      <c r="QQ10" s="71"/>
      <c r="QR10" s="72"/>
      <c r="QU10" s="58" t="str">
        <f ca="1">IFERROR(OFFSET(納品書まとめ!$A$1,RC2-1,52),"")</f>
        <v/>
      </c>
      <c r="QV10" s="59"/>
      <c r="QW10" s="59"/>
      <c r="QX10" s="60"/>
      <c r="QY10" s="35"/>
      <c r="QZ10" s="43" t="str">
        <f ca="1">IFERROR(OFFSET(納品書まとめ!$A$1,RC2-1,53),"")</f>
        <v/>
      </c>
      <c r="RA10" s="35"/>
      <c r="RB10" s="71"/>
      <c r="RC10" s="72"/>
      <c r="RF10" s="58" t="str">
        <f ca="1">IFERROR(OFFSET(納品書まとめ!$A$1,RN2-1,52),"")</f>
        <v>弁当　園児</v>
      </c>
      <c r="RG10" s="59"/>
      <c r="RH10" s="59"/>
      <c r="RI10" s="60"/>
      <c r="RJ10" s="35"/>
      <c r="RK10" s="43">
        <f ca="1">IFERROR(OFFSET(納品書まとめ!$A$1,RN2-1,53),"")</f>
        <v>134</v>
      </c>
      <c r="RL10" s="35"/>
      <c r="RM10" s="71"/>
      <c r="RN10" s="72"/>
      <c r="RQ10" s="58" t="str">
        <f ca="1">IFERROR(OFFSET(納品書まとめ!$A$1,RY2-1,52),"")</f>
        <v>配膳給食　園児</v>
      </c>
      <c r="RR10" s="59"/>
      <c r="RS10" s="59"/>
      <c r="RT10" s="60"/>
      <c r="RU10" s="35"/>
      <c r="RV10" s="43">
        <f ca="1">IFERROR(OFFSET(納品書まとめ!$A$1,RY2-1,53),"")</f>
        <v>126</v>
      </c>
      <c r="RW10" s="35"/>
      <c r="RX10" s="71"/>
      <c r="RY10" s="72"/>
      <c r="SB10" s="58" t="str">
        <f ca="1">IFERROR(OFFSET(納品書まとめ!$A$1,SJ2-1,52),"")</f>
        <v>配膳給食　園児</v>
      </c>
      <c r="SC10" s="59"/>
      <c r="SD10" s="59"/>
      <c r="SE10" s="60"/>
      <c r="SF10" s="35"/>
      <c r="SG10" s="43">
        <f ca="1">IFERROR(OFFSET(納品書まとめ!$A$1,SJ2-1,53),"")</f>
        <v>153</v>
      </c>
      <c r="SH10" s="35"/>
      <c r="SI10" s="71"/>
      <c r="SJ10" s="72"/>
      <c r="SM10" s="58" t="str">
        <f ca="1">IFERROR(OFFSET(納品書まとめ!$A$1,SU2-1,52),"")</f>
        <v>弁当　園児</v>
      </c>
      <c r="SN10" s="59"/>
      <c r="SO10" s="59"/>
      <c r="SP10" s="60"/>
      <c r="SQ10" s="35"/>
      <c r="SR10" s="43">
        <f ca="1">IFERROR(OFFSET(納品書まとめ!$A$1,SU2-1,53),"")</f>
        <v>127</v>
      </c>
      <c r="SS10" s="35"/>
      <c r="ST10" s="71"/>
      <c r="SU10" s="72"/>
      <c r="SX10" s="58" t="str">
        <f ca="1">IFERROR(OFFSET(納品書まとめ!$A$1,TF2-1,52),"")</f>
        <v>配膳給食　園児</v>
      </c>
      <c r="SY10" s="59"/>
      <c r="SZ10" s="59"/>
      <c r="TA10" s="60"/>
      <c r="TB10" s="35"/>
      <c r="TC10" s="43">
        <f ca="1">IFERROR(OFFSET(納品書まとめ!$A$1,TF2-1,53),"")</f>
        <v>174</v>
      </c>
      <c r="TD10" s="35"/>
      <c r="TE10" s="71"/>
      <c r="TF10" s="72"/>
      <c r="TI10" s="58" t="str">
        <f ca="1">IFERROR(OFFSET(納品書まとめ!$A$1,TQ2-1,52),"")</f>
        <v>配膳給食　園児</v>
      </c>
      <c r="TJ10" s="59"/>
      <c r="TK10" s="59"/>
      <c r="TL10" s="60"/>
      <c r="TM10" s="35"/>
      <c r="TN10" s="43">
        <f ca="1">IFERROR(OFFSET(納品書まとめ!$A$1,TQ2-1,53),"")</f>
        <v>22</v>
      </c>
      <c r="TO10" s="35"/>
      <c r="TP10" s="71"/>
      <c r="TQ10" s="72"/>
      <c r="TT10" s="58" t="str">
        <f ca="1">IFERROR(OFFSET(納品書まとめ!$A$1,UB2-1,52),"")</f>
        <v>配膳給食　園児</v>
      </c>
      <c r="TU10" s="59"/>
      <c r="TV10" s="59"/>
      <c r="TW10" s="60"/>
      <c r="TX10" s="35"/>
      <c r="TY10" s="43">
        <f ca="1">IFERROR(OFFSET(納品書まとめ!$A$1,UB2-1,53),"")</f>
        <v>12</v>
      </c>
      <c r="TZ10" s="35"/>
      <c r="UA10" s="71"/>
      <c r="UB10" s="72"/>
      <c r="UE10" s="58" t="str">
        <f ca="1">IFERROR(OFFSET(納品書まとめ!$A$1,UM2-1,52),"")</f>
        <v>配膳給食　園児</v>
      </c>
      <c r="UF10" s="59"/>
      <c r="UG10" s="59"/>
      <c r="UH10" s="60"/>
      <c r="UI10" s="35"/>
      <c r="UJ10" s="43">
        <f ca="1">IFERROR(OFFSET(納品書まとめ!$A$1,UM2-1,53),"")</f>
        <v>47</v>
      </c>
      <c r="UK10" s="35"/>
      <c r="UL10" s="71"/>
      <c r="UM10" s="72"/>
      <c r="UP10" s="58" t="str">
        <f ca="1">IFERROR(OFFSET(納品書まとめ!$A$1,UX2-1,52),"")</f>
        <v/>
      </c>
      <c r="UQ10" s="59"/>
      <c r="UR10" s="59"/>
      <c r="US10" s="60"/>
      <c r="UT10" s="35"/>
      <c r="UU10" s="43" t="str">
        <f ca="1">IFERROR(OFFSET(納品書まとめ!$A$1,UX2-1,53),"")</f>
        <v/>
      </c>
      <c r="UV10" s="35"/>
      <c r="UW10" s="71"/>
      <c r="UX10" s="72"/>
      <c r="VA10" s="58" t="str">
        <f ca="1">IFERROR(OFFSET(納品書まとめ!$A$1,VI2-1,52),"")</f>
        <v/>
      </c>
      <c r="VB10" s="59"/>
      <c r="VC10" s="59"/>
      <c r="VD10" s="60"/>
      <c r="VE10" s="35"/>
      <c r="VF10" s="43" t="str">
        <f ca="1">IFERROR(OFFSET(納品書まとめ!$A$1,VI2-1,53),"")</f>
        <v/>
      </c>
      <c r="VG10" s="35"/>
      <c r="VH10" s="71"/>
      <c r="VI10" s="72"/>
      <c r="VL10" s="58" t="str">
        <f ca="1">IFERROR(OFFSET(納品書まとめ!$A$1,VT2-1,52),"")</f>
        <v/>
      </c>
      <c r="VM10" s="59"/>
      <c r="VN10" s="59"/>
      <c r="VO10" s="60"/>
      <c r="VP10" s="35"/>
      <c r="VQ10" s="43" t="str">
        <f ca="1">IFERROR(OFFSET(納品書まとめ!$A$1,VT2-1,53),"")</f>
        <v/>
      </c>
      <c r="VR10" s="35"/>
      <c r="VS10" s="71"/>
      <c r="VT10" s="72"/>
      <c r="VW10" s="58" t="str">
        <f ca="1">IFERROR(OFFSET(納品書まとめ!$A$1,WE2-1,52),"")</f>
        <v/>
      </c>
      <c r="VX10" s="59"/>
      <c r="VY10" s="59"/>
      <c r="VZ10" s="60"/>
      <c r="WA10" s="35"/>
      <c r="WB10" s="43" t="str">
        <f ca="1">IFERROR(OFFSET(納品書まとめ!$A$1,WE2-1,53),"")</f>
        <v/>
      </c>
      <c r="WC10" s="35"/>
      <c r="WD10" s="71"/>
      <c r="WE10" s="72"/>
      <c r="WH10" s="58" t="str">
        <f ca="1">IFERROR(OFFSET(納品書まとめ!$A$1,WP2-1,52),"")</f>
        <v/>
      </c>
      <c r="WI10" s="59"/>
      <c r="WJ10" s="59"/>
      <c r="WK10" s="60"/>
      <c r="WL10" s="35"/>
      <c r="WM10" s="43" t="str">
        <f ca="1">IFERROR(OFFSET(納品書まとめ!$A$1,WP2-1,53),"")</f>
        <v/>
      </c>
      <c r="WN10" s="35"/>
      <c r="WO10" s="71"/>
      <c r="WP10" s="72"/>
      <c r="WS10" s="58" t="str">
        <f ca="1">IFERROR(OFFSET(納品書まとめ!$A$1,XA2-1,52),"")</f>
        <v/>
      </c>
      <c r="WT10" s="59"/>
      <c r="WU10" s="59"/>
      <c r="WV10" s="60"/>
      <c r="WW10" s="35"/>
      <c r="WX10" s="43" t="str">
        <f ca="1">IFERROR(OFFSET(納品書まとめ!$A$1,XA2-1,53),"")</f>
        <v/>
      </c>
      <c r="WY10" s="35"/>
      <c r="WZ10" s="71"/>
      <c r="XA10" s="72"/>
      <c r="XD10" s="58" t="str">
        <f ca="1">IFERROR(OFFSET(納品書まとめ!$A$1,XL2-1,52),"")</f>
        <v/>
      </c>
      <c r="XE10" s="59"/>
      <c r="XF10" s="59"/>
      <c r="XG10" s="60"/>
      <c r="XH10" s="35"/>
      <c r="XI10" s="43" t="str">
        <f ca="1">IFERROR(OFFSET(納品書まとめ!$A$1,XL2-1,53),"")</f>
        <v/>
      </c>
      <c r="XJ10" s="35"/>
      <c r="XK10" s="71"/>
      <c r="XL10" s="72"/>
      <c r="XO10" s="58" t="str">
        <f ca="1">IFERROR(OFFSET(納品書まとめ!$A$1,XW2-1,52),"")</f>
        <v/>
      </c>
      <c r="XP10" s="59"/>
      <c r="XQ10" s="59"/>
      <c r="XR10" s="60"/>
      <c r="XS10" s="35"/>
      <c r="XT10" s="43" t="str">
        <f ca="1">IFERROR(OFFSET(納品書まとめ!$A$1,XW2-1,53),"")</f>
        <v/>
      </c>
      <c r="XU10" s="35"/>
      <c r="XV10" s="71"/>
      <c r="XW10" s="72"/>
      <c r="XZ10" s="58" t="str">
        <f ca="1">IFERROR(OFFSET(納品書まとめ!$A$1,YH2-1,52),"")</f>
        <v/>
      </c>
      <c r="YA10" s="59"/>
      <c r="YB10" s="59"/>
      <c r="YC10" s="60"/>
      <c r="YD10" s="35"/>
      <c r="YE10" s="43" t="str">
        <f ca="1">IFERROR(OFFSET(納品書まとめ!$A$1,YH2-1,53),"")</f>
        <v/>
      </c>
      <c r="YF10" s="35"/>
      <c r="YG10" s="71"/>
      <c r="YH10" s="72"/>
      <c r="YK10" s="58" t="str">
        <f ca="1">IFERROR(OFFSET(納品書まとめ!$A$1,YS2-1,52),"")</f>
        <v/>
      </c>
      <c r="YL10" s="59"/>
      <c r="YM10" s="59"/>
      <c r="YN10" s="60"/>
      <c r="YO10" s="35"/>
      <c r="YP10" s="43" t="str">
        <f ca="1">IFERROR(OFFSET(納品書まとめ!$A$1,YS2-1,53),"")</f>
        <v/>
      </c>
      <c r="YQ10" s="35"/>
      <c r="YR10" s="71"/>
      <c r="YS10" s="72"/>
      <c r="YV10" s="58" t="str">
        <f ca="1">IFERROR(OFFSET(納品書まとめ!$A$1,ZD2-1,52),"")</f>
        <v/>
      </c>
      <c r="YW10" s="59"/>
      <c r="YX10" s="59"/>
      <c r="YY10" s="60"/>
      <c r="YZ10" s="35"/>
      <c r="ZA10" s="43" t="str">
        <f ca="1">IFERROR(OFFSET(納品書まとめ!$A$1,ZD2-1,53),"")</f>
        <v/>
      </c>
      <c r="ZB10" s="35"/>
      <c r="ZC10" s="71"/>
      <c r="ZD10" s="72"/>
      <c r="ZG10" s="58" t="str">
        <f ca="1">IFERROR(OFFSET(納品書まとめ!$A$1,ZO2-1,52),"")</f>
        <v/>
      </c>
      <c r="ZH10" s="59"/>
      <c r="ZI10" s="59"/>
      <c r="ZJ10" s="60"/>
      <c r="ZK10" s="35"/>
      <c r="ZL10" s="43" t="str">
        <f ca="1">IFERROR(OFFSET(納品書まとめ!$A$1,ZO2-1,53),"")</f>
        <v/>
      </c>
      <c r="ZM10" s="35"/>
      <c r="ZN10" s="71"/>
      <c r="ZO10" s="72"/>
      <c r="ZR10" s="58" t="str">
        <f ca="1">IFERROR(OFFSET(納品書まとめ!$A$1,ZZ2-1,52),"")</f>
        <v/>
      </c>
      <c r="ZS10" s="59"/>
      <c r="ZT10" s="59"/>
      <c r="ZU10" s="60"/>
      <c r="ZV10" s="35"/>
      <c r="ZW10" s="43" t="str">
        <f ca="1">IFERROR(OFFSET(納品書まとめ!$A$1,ZZ2-1,53),"")</f>
        <v/>
      </c>
      <c r="ZX10" s="35"/>
      <c r="ZY10" s="71"/>
      <c r="ZZ10" s="72"/>
      <c r="AAC10" s="58" t="str">
        <f ca="1">IFERROR(OFFSET(納品書まとめ!$A$1,AAK2-1,52),"")</f>
        <v/>
      </c>
      <c r="AAD10" s="59"/>
      <c r="AAE10" s="59"/>
      <c r="AAF10" s="60"/>
      <c r="AAG10" s="35"/>
      <c r="AAH10" s="43" t="str">
        <f ca="1">IFERROR(OFFSET(納品書まとめ!$A$1,AAK2-1,53),"")</f>
        <v/>
      </c>
      <c r="AAI10" s="35"/>
      <c r="AAJ10" s="71"/>
      <c r="AAK10" s="72"/>
      <c r="AAN10" s="58" t="str">
        <f ca="1">IFERROR(OFFSET(納品書まとめ!$A$1,AAV2-1,52),"")</f>
        <v/>
      </c>
      <c r="AAO10" s="59"/>
      <c r="AAP10" s="59"/>
      <c r="AAQ10" s="60"/>
      <c r="AAR10" s="35"/>
      <c r="AAS10" s="43" t="str">
        <f ca="1">IFERROR(OFFSET(納品書まとめ!$A$1,AAV2-1,53),"")</f>
        <v/>
      </c>
      <c r="AAT10" s="35"/>
      <c r="AAU10" s="71"/>
      <c r="AAV10" s="72"/>
      <c r="AAY10" s="58" t="str">
        <f ca="1">IFERROR(OFFSET(納品書まとめ!$A$1,ABG2-1,52),"")</f>
        <v/>
      </c>
      <c r="AAZ10" s="59"/>
      <c r="ABA10" s="59"/>
      <c r="ABB10" s="60"/>
      <c r="ABC10" s="35"/>
      <c r="ABD10" s="43" t="str">
        <f ca="1">IFERROR(OFFSET(納品書まとめ!$A$1,ABG2-1,53),"")</f>
        <v/>
      </c>
      <c r="ABE10" s="35"/>
      <c r="ABF10" s="71"/>
      <c r="ABG10" s="72"/>
      <c r="ABJ10" s="58" t="str">
        <f ca="1">IFERROR(OFFSET(納品書まとめ!$A$1,ABR2-1,52),"")</f>
        <v/>
      </c>
      <c r="ABK10" s="59"/>
      <c r="ABL10" s="59"/>
      <c r="ABM10" s="60"/>
      <c r="ABN10" s="35"/>
      <c r="ABO10" s="43" t="str">
        <f ca="1">IFERROR(OFFSET(納品書まとめ!$A$1,ABR2-1,53),"")</f>
        <v/>
      </c>
      <c r="ABP10" s="35"/>
      <c r="ABQ10" s="71"/>
      <c r="ABR10" s="72"/>
      <c r="ABU10" s="58" t="str">
        <f ca="1">IFERROR(OFFSET(納品書まとめ!$A$1,ACC2-1,52),"")</f>
        <v/>
      </c>
      <c r="ABV10" s="59"/>
      <c r="ABW10" s="59"/>
      <c r="ABX10" s="60"/>
      <c r="ABY10" s="35"/>
      <c r="ABZ10" s="43" t="str">
        <f ca="1">IFERROR(OFFSET(納品書まとめ!$A$1,ACC2-1,53),"")</f>
        <v/>
      </c>
      <c r="ACA10" s="35"/>
      <c r="ACB10" s="71"/>
      <c r="ACC10" s="72"/>
      <c r="ACF10" s="58" t="str">
        <f ca="1">IFERROR(OFFSET(納品書まとめ!$A$1,ACN2-1,52),"")</f>
        <v/>
      </c>
      <c r="ACG10" s="59"/>
      <c r="ACH10" s="59"/>
      <c r="ACI10" s="60"/>
      <c r="ACJ10" s="35"/>
      <c r="ACK10" s="43" t="str">
        <f ca="1">IFERROR(OFFSET(納品書まとめ!$A$1,ACN2-1,53),"")</f>
        <v/>
      </c>
      <c r="ACL10" s="35"/>
      <c r="ACM10" s="71"/>
      <c r="ACN10" s="72"/>
      <c r="ACQ10" s="58" t="str">
        <f ca="1">IFERROR(OFFSET(納品書まとめ!$A$1,ACY2-1,52),"")</f>
        <v/>
      </c>
      <c r="ACR10" s="59"/>
      <c r="ACS10" s="59"/>
      <c r="ACT10" s="60"/>
      <c r="ACU10" s="35"/>
      <c r="ACV10" s="43" t="str">
        <f ca="1">IFERROR(OFFSET(納品書まとめ!$A$1,ACY2-1,53),"")</f>
        <v/>
      </c>
      <c r="ACW10" s="35"/>
      <c r="ACX10" s="71"/>
      <c r="ACY10" s="72"/>
      <c r="ADB10" s="58" t="str">
        <f ca="1">IFERROR(OFFSET(納品書まとめ!$A$1,ADJ2-1,52),"")</f>
        <v/>
      </c>
      <c r="ADC10" s="59"/>
      <c r="ADD10" s="59"/>
      <c r="ADE10" s="60"/>
      <c r="ADF10" s="35"/>
      <c r="ADG10" s="43" t="str">
        <f ca="1">IFERROR(OFFSET(納品書まとめ!$A$1,ADJ2-1,53),"")</f>
        <v/>
      </c>
      <c r="ADH10" s="35"/>
      <c r="ADI10" s="71"/>
      <c r="ADJ10" s="72"/>
    </row>
    <row r="11" spans="1:790" x14ac:dyDescent="0.45">
      <c r="A11" s="61" t="str">
        <f ca="1">IFERROR(OFFSET(納品書まとめ!$A$1,H2-1,55),"")</f>
        <v/>
      </c>
      <c r="B11" s="62"/>
      <c r="C11" s="62"/>
      <c r="D11" s="63"/>
      <c r="E11" s="36"/>
      <c r="F11" s="42" t="str">
        <f ca="1">IFERROR(OFFSET(納品書まとめ!$A$1,H2-1,56),"")</f>
        <v/>
      </c>
      <c r="G11" s="36"/>
      <c r="H11" s="73"/>
      <c r="I11" s="74"/>
      <c r="L11" s="61" t="str">
        <f ca="1">IFERROR(OFFSET(納品書まとめ!$A$1,T2-1,55),"")</f>
        <v/>
      </c>
      <c r="M11" s="62"/>
      <c r="N11" s="62"/>
      <c r="O11" s="63"/>
      <c r="P11" s="36"/>
      <c r="Q11" s="42" t="str">
        <f ca="1">IFERROR(OFFSET(納品書まとめ!$A$1,T2-1,56),"")</f>
        <v/>
      </c>
      <c r="R11" s="36"/>
      <c r="S11" s="73"/>
      <c r="T11" s="74"/>
      <c r="W11" s="61" t="str">
        <f ca="1">IFERROR(OFFSET(納品書まとめ!$A$1,AE2-1,55),"")</f>
        <v/>
      </c>
      <c r="X11" s="62"/>
      <c r="Y11" s="62"/>
      <c r="Z11" s="63"/>
      <c r="AA11" s="36"/>
      <c r="AB11" s="42" t="str">
        <f ca="1">IFERROR(OFFSET(納品書まとめ!$A$1,AE2-1,56),"")</f>
        <v/>
      </c>
      <c r="AC11" s="36"/>
      <c r="AD11" s="73"/>
      <c r="AE11" s="74"/>
      <c r="AH11" s="61" t="str">
        <f ca="1">IFERROR(OFFSET(納品書まとめ!$A$1,AP2-1,55),"")</f>
        <v>ピクニック　園児</v>
      </c>
      <c r="AI11" s="62"/>
      <c r="AJ11" s="62"/>
      <c r="AK11" s="63"/>
      <c r="AL11" s="36"/>
      <c r="AM11" s="42">
        <f ca="1">IFERROR(OFFSET(納品書まとめ!$A$1,AP2-1,56),"")</f>
        <v>1</v>
      </c>
      <c r="AN11" s="36"/>
      <c r="AO11" s="73"/>
      <c r="AP11" s="74"/>
      <c r="AS11" s="61" t="str">
        <f ca="1">IFERROR(OFFSET(納品書まとめ!$A$1,BA2-1,55),"")</f>
        <v>ピクニック　園児</v>
      </c>
      <c r="AT11" s="62"/>
      <c r="AU11" s="62"/>
      <c r="AV11" s="63"/>
      <c r="AW11" s="36"/>
      <c r="AX11" s="42">
        <f ca="1">IFERROR(OFFSET(納品書まとめ!$A$1,BA2-1,56),"")</f>
        <v>35</v>
      </c>
      <c r="AY11" s="36"/>
      <c r="AZ11" s="73"/>
      <c r="BA11" s="74"/>
      <c r="BD11" s="61" t="str">
        <f ca="1">IFERROR(OFFSET(納品書まとめ!$A$1,BL2-1,55),"")</f>
        <v>弁当　先生</v>
      </c>
      <c r="BE11" s="62"/>
      <c r="BF11" s="62"/>
      <c r="BG11" s="63"/>
      <c r="BH11" s="36"/>
      <c r="BI11" s="42">
        <f ca="1">IFERROR(OFFSET(納品書まとめ!$A$1,BL2-1,56),"")</f>
        <v>20</v>
      </c>
      <c r="BJ11" s="36"/>
      <c r="BK11" s="73"/>
      <c r="BL11" s="74"/>
      <c r="BO11" s="61" t="str">
        <f ca="1">IFERROR(OFFSET(納品書まとめ!$A$1,BW2-1,55),"")</f>
        <v>弁当　検食</v>
      </c>
      <c r="BP11" s="62"/>
      <c r="BQ11" s="62"/>
      <c r="BR11" s="63"/>
      <c r="BS11" s="36"/>
      <c r="BT11" s="42" t="str">
        <f ca="1">IFERROR(OFFSET(納品書まとめ!$A$1,BW2-1,56),"")</f>
        <v>1</v>
      </c>
      <c r="BU11" s="36"/>
      <c r="BV11" s="73"/>
      <c r="BW11" s="74"/>
      <c r="BZ11" s="61" t="str">
        <f ca="1">IFERROR(OFFSET(納品書まとめ!$A$1,CH2-1,55),"")</f>
        <v>弁当　先生</v>
      </c>
      <c r="CA11" s="62"/>
      <c r="CB11" s="62"/>
      <c r="CC11" s="63"/>
      <c r="CD11" s="36"/>
      <c r="CE11" s="42">
        <f ca="1">IFERROR(OFFSET(納品書まとめ!$A$1,CH2-1,56),"")</f>
        <v>22</v>
      </c>
      <c r="CF11" s="36"/>
      <c r="CG11" s="73"/>
      <c r="CH11" s="74"/>
      <c r="CK11" s="61" t="str">
        <f ca="1">IFERROR(OFFSET(納品書まとめ!$A$1,CS2-1,55),"")</f>
        <v>弁当　検食</v>
      </c>
      <c r="CL11" s="62"/>
      <c r="CM11" s="62"/>
      <c r="CN11" s="63"/>
      <c r="CO11" s="36"/>
      <c r="CP11" s="42" t="str">
        <f ca="1">IFERROR(OFFSET(納品書まとめ!$A$1,CS2-1,56),"")</f>
        <v>1</v>
      </c>
      <c r="CQ11" s="36"/>
      <c r="CR11" s="73"/>
      <c r="CS11" s="74"/>
      <c r="CV11" s="61" t="str">
        <f ca="1">IFERROR(OFFSET(納品書まとめ!$A$1,DD2-1,55),"")</f>
        <v>牛乳</v>
      </c>
      <c r="CW11" s="62"/>
      <c r="CX11" s="62"/>
      <c r="CY11" s="63"/>
      <c r="CZ11" s="36"/>
      <c r="DA11" s="42">
        <f ca="1">IFERROR(OFFSET(納品書まとめ!$A$1,DD2-1,56),"")</f>
        <v>61</v>
      </c>
      <c r="DB11" s="36"/>
      <c r="DC11" s="73"/>
      <c r="DD11" s="74"/>
      <c r="DG11" s="61" t="str">
        <f ca="1">IFERROR(OFFSET(納品書まとめ!$A$1,DO2-1,55),"")</f>
        <v/>
      </c>
      <c r="DH11" s="62"/>
      <c r="DI11" s="62"/>
      <c r="DJ11" s="63"/>
      <c r="DK11" s="36"/>
      <c r="DL11" s="42" t="str">
        <f ca="1">IFERROR(OFFSET(納品書まとめ!$A$1,DO2-1,56),"")</f>
        <v/>
      </c>
      <c r="DM11" s="36"/>
      <c r="DN11" s="73"/>
      <c r="DO11" s="74"/>
      <c r="DR11" s="61" t="str">
        <f ca="1">IFERROR(OFFSET(納品書まとめ!$A$1,DZ2-1,55),"")</f>
        <v>牛乳</v>
      </c>
      <c r="DS11" s="62"/>
      <c r="DT11" s="62"/>
      <c r="DU11" s="63"/>
      <c r="DV11" s="36"/>
      <c r="DW11" s="42">
        <f ca="1">IFERROR(OFFSET(納品書まとめ!$A$1,DZ2-1,56),"")</f>
        <v>5</v>
      </c>
      <c r="DX11" s="36"/>
      <c r="DY11" s="73"/>
      <c r="DZ11" s="74"/>
      <c r="EC11" s="61" t="str">
        <f ca="1">IFERROR(OFFSET(納品書まとめ!$A$1,EK2-1,55),"")</f>
        <v/>
      </c>
      <c r="ED11" s="62"/>
      <c r="EE11" s="62"/>
      <c r="EF11" s="63"/>
      <c r="EG11" s="36"/>
      <c r="EH11" s="42" t="str">
        <f ca="1">IFERROR(OFFSET(納品書まとめ!$A$1,EK2-1,56),"")</f>
        <v/>
      </c>
      <c r="EI11" s="36"/>
      <c r="EJ11" s="73"/>
      <c r="EK11" s="74"/>
      <c r="EN11" s="61" t="str">
        <f ca="1">IFERROR(OFFSET(納品書まとめ!$A$1,EV2-1,55),"")</f>
        <v>どんぶり給食　先生</v>
      </c>
      <c r="EO11" s="62"/>
      <c r="EP11" s="62"/>
      <c r="EQ11" s="63"/>
      <c r="ER11" s="36"/>
      <c r="ES11" s="42">
        <f ca="1">IFERROR(OFFSET(納品書まとめ!$A$1,EV2-1,56),"")</f>
        <v>17</v>
      </c>
      <c r="ET11" s="36"/>
      <c r="EU11" s="73"/>
      <c r="EV11" s="74"/>
      <c r="EY11" s="61" t="str">
        <f ca="1">IFERROR(OFFSET(納品書まとめ!$A$1,FG2-1,55),"")</f>
        <v>どんぶり給食　検食</v>
      </c>
      <c r="EZ11" s="62"/>
      <c r="FA11" s="62"/>
      <c r="FB11" s="63"/>
      <c r="FC11" s="36"/>
      <c r="FD11" s="42" t="str">
        <f ca="1">IFERROR(OFFSET(納品書まとめ!$A$1,FG2-1,56),"")</f>
        <v>1</v>
      </c>
      <c r="FE11" s="36"/>
      <c r="FF11" s="73"/>
      <c r="FG11" s="74"/>
      <c r="FJ11" s="61" t="str">
        <f ca="1">IFERROR(OFFSET(納品書まとめ!$A$1,FR2-1,55),"")</f>
        <v>ピクニック　先生</v>
      </c>
      <c r="FK11" s="62"/>
      <c r="FL11" s="62"/>
      <c r="FM11" s="63"/>
      <c r="FN11" s="36"/>
      <c r="FO11" s="42">
        <f ca="1">IFERROR(OFFSET(納品書まとめ!$A$1,FR2-1,56),"")</f>
        <v>15</v>
      </c>
      <c r="FP11" s="36"/>
      <c r="FQ11" s="73"/>
      <c r="FR11" s="74"/>
      <c r="FU11" s="61" t="str">
        <f ca="1">IFERROR(OFFSET(納品書まとめ!$A$1,GC2-1,55),"")</f>
        <v>ピクニック　検食</v>
      </c>
      <c r="FV11" s="62"/>
      <c r="FW11" s="62"/>
      <c r="FX11" s="63"/>
      <c r="FY11" s="36"/>
      <c r="FZ11" s="42" t="str">
        <f ca="1">IFERROR(OFFSET(納品書まとめ!$A$1,GC2-1,56),"")</f>
        <v>1</v>
      </c>
      <c r="GA11" s="36"/>
      <c r="GB11" s="73"/>
      <c r="GC11" s="74"/>
      <c r="GF11" s="61" t="str">
        <f ca="1">IFERROR(OFFSET(納品書まとめ!$A$1,GN2-1,55),"")</f>
        <v>弁当　先生</v>
      </c>
      <c r="GG11" s="62"/>
      <c r="GH11" s="62"/>
      <c r="GI11" s="63"/>
      <c r="GJ11" s="36"/>
      <c r="GK11" s="42">
        <f ca="1">IFERROR(OFFSET(納品書まとめ!$A$1,GN2-1,56),"")</f>
        <v>16</v>
      </c>
      <c r="GL11" s="36"/>
      <c r="GM11" s="73"/>
      <c r="GN11" s="74"/>
      <c r="GQ11" s="61" t="str">
        <f ca="1">IFERROR(OFFSET(納品書まとめ!$A$1,GY2-1,55),"")</f>
        <v>配膳給食　先生</v>
      </c>
      <c r="GR11" s="62"/>
      <c r="GS11" s="62"/>
      <c r="GT11" s="63"/>
      <c r="GU11" s="36"/>
      <c r="GV11" s="42">
        <f ca="1">IFERROR(OFFSET(納品書まとめ!$A$1,GY2-1,56),"")</f>
        <v>29</v>
      </c>
      <c r="GW11" s="36"/>
      <c r="GX11" s="73"/>
      <c r="GY11" s="74"/>
      <c r="HB11" s="61" t="str">
        <f ca="1">IFERROR(OFFSET(納品書まとめ!$A$1,HJ2-1,55),"")</f>
        <v>弁当　先生</v>
      </c>
      <c r="HC11" s="62"/>
      <c r="HD11" s="62"/>
      <c r="HE11" s="63"/>
      <c r="HF11" s="36"/>
      <c r="HG11" s="42">
        <f ca="1">IFERROR(OFFSET(納品書まとめ!$A$1,HJ2-1,56),"")</f>
        <v>1</v>
      </c>
      <c r="HH11" s="36"/>
      <c r="HI11" s="73"/>
      <c r="HJ11" s="74"/>
      <c r="HM11" s="61" t="str">
        <f ca="1">IFERROR(OFFSET(納品書まとめ!$A$1,HU2-1,55),"")</f>
        <v/>
      </c>
      <c r="HN11" s="62"/>
      <c r="HO11" s="62"/>
      <c r="HP11" s="63"/>
      <c r="HQ11" s="36"/>
      <c r="HR11" s="42" t="str">
        <f ca="1">IFERROR(OFFSET(納品書まとめ!$A$1,HU2-1,56),"")</f>
        <v/>
      </c>
      <c r="HS11" s="36"/>
      <c r="HT11" s="73"/>
      <c r="HU11" s="74"/>
      <c r="HX11" s="61" t="str">
        <f ca="1">IFERROR(OFFSET(納品書まとめ!$A$1,IF2-1,55),"")</f>
        <v>弁当　検食</v>
      </c>
      <c r="HY11" s="62"/>
      <c r="HZ11" s="62"/>
      <c r="IA11" s="63"/>
      <c r="IB11" s="36"/>
      <c r="IC11" s="42" t="str">
        <f ca="1">IFERROR(OFFSET(納品書まとめ!$A$1,IF2-1,56),"")</f>
        <v>1</v>
      </c>
      <c r="ID11" s="36"/>
      <c r="IE11" s="73"/>
      <c r="IF11" s="74"/>
      <c r="II11" s="61" t="str">
        <f ca="1">IFERROR(OFFSET(納品書まとめ!$A$1,IQ2-1,55),"")</f>
        <v/>
      </c>
      <c r="IJ11" s="62"/>
      <c r="IK11" s="62"/>
      <c r="IL11" s="63"/>
      <c r="IM11" s="36"/>
      <c r="IN11" s="42" t="str">
        <f ca="1">IFERROR(OFFSET(納品書まとめ!$A$1,IQ2-1,56),"")</f>
        <v/>
      </c>
      <c r="IO11" s="36"/>
      <c r="IP11" s="73"/>
      <c r="IQ11" s="74"/>
      <c r="IT11" s="61" t="str">
        <f ca="1">IFERROR(OFFSET(納品書まとめ!$A$1,JB2-1,55),"")</f>
        <v/>
      </c>
      <c r="IU11" s="62"/>
      <c r="IV11" s="62"/>
      <c r="IW11" s="63"/>
      <c r="IX11" s="36"/>
      <c r="IY11" s="42" t="str">
        <f ca="1">IFERROR(OFFSET(納品書まとめ!$A$1,JB2-1,56),"")</f>
        <v/>
      </c>
      <c r="IZ11" s="36"/>
      <c r="JA11" s="73"/>
      <c r="JB11" s="74"/>
      <c r="JE11" s="61" t="str">
        <f ca="1">IFERROR(OFFSET(納品書まとめ!$A$1,JM2-1,55),"")</f>
        <v/>
      </c>
      <c r="JF11" s="62"/>
      <c r="JG11" s="62"/>
      <c r="JH11" s="63"/>
      <c r="JI11" s="36"/>
      <c r="JJ11" s="42" t="str">
        <f ca="1">IFERROR(OFFSET(納品書まとめ!$A$1,JM2-1,56),"")</f>
        <v/>
      </c>
      <c r="JK11" s="36"/>
      <c r="JL11" s="73"/>
      <c r="JM11" s="74"/>
      <c r="JP11" s="61" t="str">
        <f ca="1">IFERROR(OFFSET(納品書まとめ!$A$1,JX2-1,55),"")</f>
        <v/>
      </c>
      <c r="JQ11" s="62"/>
      <c r="JR11" s="62"/>
      <c r="JS11" s="63"/>
      <c r="JT11" s="36"/>
      <c r="JU11" s="42" t="str">
        <f ca="1">IFERROR(OFFSET(納品書まとめ!$A$1,JX2-1,56),"")</f>
        <v/>
      </c>
      <c r="JV11" s="36"/>
      <c r="JW11" s="73"/>
      <c r="JX11" s="74"/>
      <c r="KA11" s="61" t="str">
        <f ca="1">IFERROR(OFFSET(納品書まとめ!$A$1,KI2-1,55),"")</f>
        <v/>
      </c>
      <c r="KB11" s="62"/>
      <c r="KC11" s="62"/>
      <c r="KD11" s="63"/>
      <c r="KE11" s="36"/>
      <c r="KF11" s="42" t="str">
        <f ca="1">IFERROR(OFFSET(納品書まとめ!$A$1,KI2-1,56),"")</f>
        <v/>
      </c>
      <c r="KG11" s="36"/>
      <c r="KH11" s="73"/>
      <c r="KI11" s="74"/>
      <c r="KL11" s="61" t="str">
        <f ca="1">IFERROR(OFFSET(納品書まとめ!$A$1,KT2-1,55),"")</f>
        <v>弁当　園児</v>
      </c>
      <c r="KM11" s="62"/>
      <c r="KN11" s="62"/>
      <c r="KO11" s="63"/>
      <c r="KP11" s="36"/>
      <c r="KQ11" s="42">
        <f ca="1">IFERROR(OFFSET(納品書まとめ!$A$1,KT2-1,56),"")</f>
        <v>99</v>
      </c>
      <c r="KR11" s="36"/>
      <c r="KS11" s="73"/>
      <c r="KT11" s="74"/>
      <c r="KW11" s="61" t="str">
        <f ca="1">IFERROR(OFFSET(納品書まとめ!$A$1,LE2-1,55),"")</f>
        <v>弁当　園児　おにぎり</v>
      </c>
      <c r="KX11" s="62"/>
      <c r="KY11" s="62"/>
      <c r="KZ11" s="63"/>
      <c r="LA11" s="36"/>
      <c r="LB11" s="42">
        <f ca="1">IFERROR(OFFSET(納品書まとめ!$A$1,LE2-1,56),"")</f>
        <v>12</v>
      </c>
      <c r="LC11" s="36"/>
      <c r="LD11" s="73"/>
      <c r="LE11" s="74"/>
      <c r="LH11" s="61" t="str">
        <f ca="1">IFERROR(OFFSET(納品書まとめ!$A$1,LP2-1,55),"")</f>
        <v>弁当　園児　おにぎり</v>
      </c>
      <c r="LI11" s="62"/>
      <c r="LJ11" s="62"/>
      <c r="LK11" s="63"/>
      <c r="LL11" s="36"/>
      <c r="LM11" s="42">
        <f ca="1">IFERROR(OFFSET(納品書まとめ!$A$1,LP2-1,56),"")</f>
        <v>16</v>
      </c>
      <c r="LN11" s="36"/>
      <c r="LO11" s="73"/>
      <c r="LP11" s="74"/>
      <c r="LS11" s="61" t="str">
        <f ca="1">IFERROR(OFFSET(納品書まとめ!$A$1,MA2-1,55),"")</f>
        <v>弁当　先生</v>
      </c>
      <c r="LT11" s="62"/>
      <c r="LU11" s="62"/>
      <c r="LV11" s="63"/>
      <c r="LW11" s="36"/>
      <c r="LX11" s="42">
        <f ca="1">IFERROR(OFFSET(納品書まとめ!$A$1,MA2-1,56),"")</f>
        <v>24</v>
      </c>
      <c r="LY11" s="36"/>
      <c r="LZ11" s="73"/>
      <c r="MA11" s="74"/>
      <c r="MD11" s="61" t="str">
        <f ca="1">IFERROR(OFFSET(納品書まとめ!$A$1,ML2-1,55),"")</f>
        <v>弁当　園児　おにぎり</v>
      </c>
      <c r="ME11" s="62"/>
      <c r="MF11" s="62"/>
      <c r="MG11" s="63"/>
      <c r="MH11" s="36"/>
      <c r="MI11" s="42">
        <f ca="1">IFERROR(OFFSET(納品書まとめ!$A$1,ML2-1,56),"")</f>
        <v>11</v>
      </c>
      <c r="MJ11" s="36"/>
      <c r="MK11" s="73"/>
      <c r="ML11" s="74"/>
      <c r="MO11" s="61" t="str">
        <f ca="1">IFERROR(OFFSET(納品書まとめ!$A$1,MW2-1,55),"")</f>
        <v>弁当　先生</v>
      </c>
      <c r="MP11" s="62"/>
      <c r="MQ11" s="62"/>
      <c r="MR11" s="63"/>
      <c r="MS11" s="36"/>
      <c r="MT11" s="42">
        <f ca="1">IFERROR(OFFSET(納品書まとめ!$A$1,MW2-1,56),"")</f>
        <v>17</v>
      </c>
      <c r="MU11" s="36"/>
      <c r="MV11" s="73"/>
      <c r="MW11" s="74"/>
      <c r="MZ11" s="61" t="str">
        <f ca="1">IFERROR(OFFSET(納品書まとめ!$A$1,NH2-1,55),"")</f>
        <v/>
      </c>
      <c r="NA11" s="62"/>
      <c r="NB11" s="62"/>
      <c r="NC11" s="63"/>
      <c r="ND11" s="36"/>
      <c r="NE11" s="42" t="str">
        <f ca="1">IFERROR(OFFSET(納品書まとめ!$A$1,NH2-1,56),"")</f>
        <v/>
      </c>
      <c r="NF11" s="36"/>
      <c r="NG11" s="73"/>
      <c r="NH11" s="74"/>
      <c r="NK11" s="61" t="str">
        <f ca="1">IFERROR(OFFSET(納品書まとめ!$A$1,NS2-1,55),"")</f>
        <v>弁当　先生</v>
      </c>
      <c r="NL11" s="62"/>
      <c r="NM11" s="62"/>
      <c r="NN11" s="63"/>
      <c r="NO11" s="36"/>
      <c r="NP11" s="42">
        <f ca="1">IFERROR(OFFSET(納品書まとめ!$A$1,NS2-1,56),"")</f>
        <v>1</v>
      </c>
      <c r="NQ11" s="36"/>
      <c r="NR11" s="73"/>
      <c r="NS11" s="74"/>
      <c r="NV11" s="61" t="str">
        <f ca="1">IFERROR(OFFSET(納品書まとめ!$A$1,OD2-1,55),"")</f>
        <v>弁当　先生</v>
      </c>
      <c r="NW11" s="62"/>
      <c r="NX11" s="62"/>
      <c r="NY11" s="63"/>
      <c r="NZ11" s="36"/>
      <c r="OA11" s="42">
        <f ca="1">IFERROR(OFFSET(納品書まとめ!$A$1,OD2-1,56),"")</f>
        <v>2</v>
      </c>
      <c r="OB11" s="36"/>
      <c r="OC11" s="73"/>
      <c r="OD11" s="74"/>
      <c r="OG11" s="61" t="str">
        <f ca="1">IFERROR(OFFSET(納品書まとめ!$A$1,OO2-1,55),"")</f>
        <v>弁当　先生</v>
      </c>
      <c r="OH11" s="62"/>
      <c r="OI11" s="62"/>
      <c r="OJ11" s="63"/>
      <c r="OK11" s="36"/>
      <c r="OL11" s="42">
        <f ca="1">IFERROR(OFFSET(納品書まとめ!$A$1,OO2-1,56),"")</f>
        <v>27</v>
      </c>
      <c r="OM11" s="36"/>
      <c r="ON11" s="73"/>
      <c r="OO11" s="74"/>
      <c r="OR11" s="61" t="str">
        <f ca="1">IFERROR(OFFSET(納品書まとめ!$A$1,OZ2-1,55),"")</f>
        <v>弁当　先生</v>
      </c>
      <c r="OS11" s="62"/>
      <c r="OT11" s="62"/>
      <c r="OU11" s="63"/>
      <c r="OV11" s="36"/>
      <c r="OW11" s="42">
        <f ca="1">IFERROR(OFFSET(納品書まとめ!$A$1,OZ2-1,56),"")</f>
        <v>2</v>
      </c>
      <c r="OX11" s="36"/>
      <c r="OY11" s="73"/>
      <c r="OZ11" s="74"/>
      <c r="PC11" s="61" t="str">
        <f ca="1">IFERROR(OFFSET(納品書まとめ!$A$1,PK2-1,55),"")</f>
        <v/>
      </c>
      <c r="PD11" s="62"/>
      <c r="PE11" s="62"/>
      <c r="PF11" s="63"/>
      <c r="PG11" s="36"/>
      <c r="PH11" s="42" t="str">
        <f ca="1">IFERROR(OFFSET(納品書まとめ!$A$1,PK2-1,56),"")</f>
        <v/>
      </c>
      <c r="PI11" s="36"/>
      <c r="PJ11" s="73"/>
      <c r="PK11" s="74"/>
      <c r="PN11" s="61" t="str">
        <f ca="1">IFERROR(OFFSET(納品書まとめ!$A$1,PV2-1,55),"")</f>
        <v/>
      </c>
      <c r="PO11" s="62"/>
      <c r="PP11" s="62"/>
      <c r="PQ11" s="63"/>
      <c r="PR11" s="36"/>
      <c r="PS11" s="42" t="str">
        <f ca="1">IFERROR(OFFSET(納品書まとめ!$A$1,PV2-1,56),"")</f>
        <v/>
      </c>
      <c r="PT11" s="36"/>
      <c r="PU11" s="73"/>
      <c r="PV11" s="74"/>
      <c r="PY11" s="61" t="str">
        <f ca="1">IFERROR(OFFSET(納品書まとめ!$A$1,QG2-1,55),"")</f>
        <v/>
      </c>
      <c r="PZ11" s="62"/>
      <c r="QA11" s="62"/>
      <c r="QB11" s="63"/>
      <c r="QC11" s="36"/>
      <c r="QD11" s="42" t="str">
        <f ca="1">IFERROR(OFFSET(納品書まとめ!$A$1,QG2-1,56),"")</f>
        <v/>
      </c>
      <c r="QE11" s="36"/>
      <c r="QF11" s="73"/>
      <c r="QG11" s="74"/>
      <c r="QJ11" s="61" t="str">
        <f ca="1">IFERROR(OFFSET(納品書まとめ!$A$1,QR2-1,55),"")</f>
        <v/>
      </c>
      <c r="QK11" s="62"/>
      <c r="QL11" s="62"/>
      <c r="QM11" s="63"/>
      <c r="QN11" s="36"/>
      <c r="QO11" s="42" t="str">
        <f ca="1">IFERROR(OFFSET(納品書まとめ!$A$1,QR2-1,56),"")</f>
        <v/>
      </c>
      <c r="QP11" s="36"/>
      <c r="QQ11" s="73"/>
      <c r="QR11" s="74"/>
      <c r="QU11" s="61" t="str">
        <f ca="1">IFERROR(OFFSET(納品書まとめ!$A$1,RC2-1,55),"")</f>
        <v/>
      </c>
      <c r="QV11" s="62"/>
      <c r="QW11" s="62"/>
      <c r="QX11" s="63"/>
      <c r="QY11" s="36"/>
      <c r="QZ11" s="42" t="str">
        <f ca="1">IFERROR(OFFSET(納品書まとめ!$A$1,RC2-1,56),"")</f>
        <v/>
      </c>
      <c r="RA11" s="36"/>
      <c r="RB11" s="73"/>
      <c r="RC11" s="74"/>
      <c r="RF11" s="61" t="str">
        <f ca="1">IFERROR(OFFSET(納品書まとめ!$A$1,RN2-1,55),"")</f>
        <v>弁当　先生</v>
      </c>
      <c r="RG11" s="62"/>
      <c r="RH11" s="62"/>
      <c r="RI11" s="63"/>
      <c r="RJ11" s="36"/>
      <c r="RK11" s="42">
        <f ca="1">IFERROR(OFFSET(納品書まとめ!$A$1,RN2-1,56),"")</f>
        <v>18</v>
      </c>
      <c r="RL11" s="36"/>
      <c r="RM11" s="73"/>
      <c r="RN11" s="74"/>
      <c r="RQ11" s="61" t="str">
        <f ca="1">IFERROR(OFFSET(納品書まとめ!$A$1,RY2-1,55),"")</f>
        <v>配膳給食　先生</v>
      </c>
      <c r="RR11" s="62"/>
      <c r="RS11" s="62"/>
      <c r="RT11" s="63"/>
      <c r="RU11" s="36"/>
      <c r="RV11" s="42">
        <f ca="1">IFERROR(OFFSET(納品書まとめ!$A$1,RY2-1,56),"")</f>
        <v>18</v>
      </c>
      <c r="RW11" s="36"/>
      <c r="RX11" s="73"/>
      <c r="RY11" s="74"/>
      <c r="SB11" s="61" t="str">
        <f ca="1">IFERROR(OFFSET(納品書まとめ!$A$1,SJ2-1,55),"")</f>
        <v>配膳給食　先生</v>
      </c>
      <c r="SC11" s="62"/>
      <c r="SD11" s="62"/>
      <c r="SE11" s="63"/>
      <c r="SF11" s="36"/>
      <c r="SG11" s="42">
        <f ca="1">IFERROR(OFFSET(納品書まとめ!$A$1,SJ2-1,56),"")</f>
        <v>18</v>
      </c>
      <c r="SH11" s="36"/>
      <c r="SI11" s="73"/>
      <c r="SJ11" s="74"/>
      <c r="SM11" s="61" t="str">
        <f ca="1">IFERROR(OFFSET(納品書まとめ!$A$1,SU2-1,55),"")</f>
        <v>弁当　先生</v>
      </c>
      <c r="SN11" s="62"/>
      <c r="SO11" s="62"/>
      <c r="SP11" s="63"/>
      <c r="SQ11" s="36"/>
      <c r="SR11" s="42">
        <f ca="1">IFERROR(OFFSET(納品書まとめ!$A$1,SU2-1,56),"")</f>
        <v>19</v>
      </c>
      <c r="SS11" s="36"/>
      <c r="ST11" s="73"/>
      <c r="SU11" s="74"/>
      <c r="SX11" s="61" t="str">
        <f ca="1">IFERROR(OFFSET(納品書まとめ!$A$1,TF2-1,55),"")</f>
        <v>配膳給食　先生</v>
      </c>
      <c r="SY11" s="62"/>
      <c r="SZ11" s="62"/>
      <c r="TA11" s="63"/>
      <c r="TB11" s="36"/>
      <c r="TC11" s="42">
        <f ca="1">IFERROR(OFFSET(納品書まとめ!$A$1,TF2-1,56),"")</f>
        <v>20</v>
      </c>
      <c r="TD11" s="36"/>
      <c r="TE11" s="73"/>
      <c r="TF11" s="74"/>
      <c r="TI11" s="61" t="str">
        <f ca="1">IFERROR(OFFSET(納品書まとめ!$A$1,TQ2-1,55),"")</f>
        <v>配膳給食　先生</v>
      </c>
      <c r="TJ11" s="62"/>
      <c r="TK11" s="62"/>
      <c r="TL11" s="63"/>
      <c r="TM11" s="36"/>
      <c r="TN11" s="42">
        <f ca="1">IFERROR(OFFSET(納品書まとめ!$A$1,TQ2-1,56),"")</f>
        <v>3</v>
      </c>
      <c r="TO11" s="36"/>
      <c r="TP11" s="73"/>
      <c r="TQ11" s="74"/>
      <c r="TT11" s="61" t="str">
        <f ca="1">IFERROR(OFFSET(納品書まとめ!$A$1,UB2-1,55),"")</f>
        <v>配膳給食　先生</v>
      </c>
      <c r="TU11" s="62"/>
      <c r="TV11" s="62"/>
      <c r="TW11" s="63"/>
      <c r="TX11" s="36"/>
      <c r="TY11" s="42">
        <f ca="1">IFERROR(OFFSET(納品書まとめ!$A$1,UB2-1,56),"")</f>
        <v>3</v>
      </c>
      <c r="TZ11" s="36"/>
      <c r="UA11" s="73"/>
      <c r="UB11" s="74"/>
      <c r="UE11" s="61" t="str">
        <f ca="1">IFERROR(OFFSET(納品書まとめ!$A$1,UM2-1,55),"")</f>
        <v>配膳給食　先生</v>
      </c>
      <c r="UF11" s="62"/>
      <c r="UG11" s="62"/>
      <c r="UH11" s="63"/>
      <c r="UI11" s="36"/>
      <c r="UJ11" s="42">
        <f ca="1">IFERROR(OFFSET(納品書まとめ!$A$1,UM2-1,56),"")</f>
        <v>3</v>
      </c>
      <c r="UK11" s="36"/>
      <c r="UL11" s="73"/>
      <c r="UM11" s="74"/>
      <c r="UP11" s="61" t="str">
        <f ca="1">IFERROR(OFFSET(納品書まとめ!$A$1,UX2-1,55),"")</f>
        <v/>
      </c>
      <c r="UQ11" s="62"/>
      <c r="UR11" s="62"/>
      <c r="US11" s="63"/>
      <c r="UT11" s="36"/>
      <c r="UU11" s="42" t="str">
        <f ca="1">IFERROR(OFFSET(納品書まとめ!$A$1,UX2-1,56),"")</f>
        <v/>
      </c>
      <c r="UV11" s="36"/>
      <c r="UW11" s="73"/>
      <c r="UX11" s="74"/>
      <c r="VA11" s="61" t="str">
        <f ca="1">IFERROR(OFFSET(納品書まとめ!$A$1,VI2-1,55),"")</f>
        <v/>
      </c>
      <c r="VB11" s="62"/>
      <c r="VC11" s="62"/>
      <c r="VD11" s="63"/>
      <c r="VE11" s="36"/>
      <c r="VF11" s="42" t="str">
        <f ca="1">IFERROR(OFFSET(納品書まとめ!$A$1,VI2-1,56),"")</f>
        <v/>
      </c>
      <c r="VG11" s="36"/>
      <c r="VH11" s="73"/>
      <c r="VI11" s="74"/>
      <c r="VL11" s="61" t="str">
        <f ca="1">IFERROR(OFFSET(納品書まとめ!$A$1,VT2-1,55),"")</f>
        <v/>
      </c>
      <c r="VM11" s="62"/>
      <c r="VN11" s="62"/>
      <c r="VO11" s="63"/>
      <c r="VP11" s="36"/>
      <c r="VQ11" s="42" t="str">
        <f ca="1">IFERROR(OFFSET(納品書まとめ!$A$1,VT2-1,56),"")</f>
        <v/>
      </c>
      <c r="VR11" s="36"/>
      <c r="VS11" s="73"/>
      <c r="VT11" s="74"/>
      <c r="VW11" s="61" t="str">
        <f ca="1">IFERROR(OFFSET(納品書まとめ!$A$1,WE2-1,55),"")</f>
        <v/>
      </c>
      <c r="VX11" s="62"/>
      <c r="VY11" s="62"/>
      <c r="VZ11" s="63"/>
      <c r="WA11" s="36"/>
      <c r="WB11" s="42" t="str">
        <f ca="1">IFERROR(OFFSET(納品書まとめ!$A$1,WE2-1,56),"")</f>
        <v/>
      </c>
      <c r="WC11" s="36"/>
      <c r="WD11" s="73"/>
      <c r="WE11" s="74"/>
      <c r="WH11" s="61" t="str">
        <f ca="1">IFERROR(OFFSET(納品書まとめ!$A$1,WP2-1,55),"")</f>
        <v/>
      </c>
      <c r="WI11" s="62"/>
      <c r="WJ11" s="62"/>
      <c r="WK11" s="63"/>
      <c r="WL11" s="36"/>
      <c r="WM11" s="42" t="str">
        <f ca="1">IFERROR(OFFSET(納品書まとめ!$A$1,WP2-1,56),"")</f>
        <v/>
      </c>
      <c r="WN11" s="36"/>
      <c r="WO11" s="73"/>
      <c r="WP11" s="74"/>
      <c r="WS11" s="61" t="str">
        <f ca="1">IFERROR(OFFSET(納品書まとめ!$A$1,XA2-1,55),"")</f>
        <v/>
      </c>
      <c r="WT11" s="62"/>
      <c r="WU11" s="62"/>
      <c r="WV11" s="63"/>
      <c r="WW11" s="36"/>
      <c r="WX11" s="42" t="str">
        <f ca="1">IFERROR(OFFSET(納品書まとめ!$A$1,XA2-1,56),"")</f>
        <v/>
      </c>
      <c r="WY11" s="36"/>
      <c r="WZ11" s="73"/>
      <c r="XA11" s="74"/>
      <c r="XD11" s="61" t="str">
        <f ca="1">IFERROR(OFFSET(納品書まとめ!$A$1,XL2-1,55),"")</f>
        <v/>
      </c>
      <c r="XE11" s="62"/>
      <c r="XF11" s="62"/>
      <c r="XG11" s="63"/>
      <c r="XH11" s="36"/>
      <c r="XI11" s="42" t="str">
        <f ca="1">IFERROR(OFFSET(納品書まとめ!$A$1,XL2-1,56),"")</f>
        <v/>
      </c>
      <c r="XJ11" s="36"/>
      <c r="XK11" s="73"/>
      <c r="XL11" s="74"/>
      <c r="XO11" s="61" t="str">
        <f ca="1">IFERROR(OFFSET(納品書まとめ!$A$1,XW2-1,55),"")</f>
        <v/>
      </c>
      <c r="XP11" s="62"/>
      <c r="XQ11" s="62"/>
      <c r="XR11" s="63"/>
      <c r="XS11" s="36"/>
      <c r="XT11" s="42" t="str">
        <f ca="1">IFERROR(OFFSET(納品書まとめ!$A$1,XW2-1,56),"")</f>
        <v/>
      </c>
      <c r="XU11" s="36"/>
      <c r="XV11" s="73"/>
      <c r="XW11" s="74"/>
      <c r="XZ11" s="61" t="str">
        <f ca="1">IFERROR(OFFSET(納品書まとめ!$A$1,YH2-1,55),"")</f>
        <v/>
      </c>
      <c r="YA11" s="62"/>
      <c r="YB11" s="62"/>
      <c r="YC11" s="63"/>
      <c r="YD11" s="36"/>
      <c r="YE11" s="42" t="str">
        <f ca="1">IFERROR(OFFSET(納品書まとめ!$A$1,YH2-1,56),"")</f>
        <v/>
      </c>
      <c r="YF11" s="36"/>
      <c r="YG11" s="73"/>
      <c r="YH11" s="74"/>
      <c r="YK11" s="61" t="str">
        <f ca="1">IFERROR(OFFSET(納品書まとめ!$A$1,YS2-1,55),"")</f>
        <v/>
      </c>
      <c r="YL11" s="62"/>
      <c r="YM11" s="62"/>
      <c r="YN11" s="63"/>
      <c r="YO11" s="36"/>
      <c r="YP11" s="42" t="str">
        <f ca="1">IFERROR(OFFSET(納品書まとめ!$A$1,YS2-1,56),"")</f>
        <v/>
      </c>
      <c r="YQ11" s="36"/>
      <c r="YR11" s="73"/>
      <c r="YS11" s="74"/>
      <c r="YV11" s="61" t="str">
        <f ca="1">IFERROR(OFFSET(納品書まとめ!$A$1,ZD2-1,55),"")</f>
        <v/>
      </c>
      <c r="YW11" s="62"/>
      <c r="YX11" s="62"/>
      <c r="YY11" s="63"/>
      <c r="YZ11" s="36"/>
      <c r="ZA11" s="42" t="str">
        <f ca="1">IFERROR(OFFSET(納品書まとめ!$A$1,ZD2-1,56),"")</f>
        <v/>
      </c>
      <c r="ZB11" s="36"/>
      <c r="ZC11" s="73"/>
      <c r="ZD11" s="74"/>
      <c r="ZG11" s="61" t="str">
        <f ca="1">IFERROR(OFFSET(納品書まとめ!$A$1,ZO2-1,55),"")</f>
        <v/>
      </c>
      <c r="ZH11" s="62"/>
      <c r="ZI11" s="62"/>
      <c r="ZJ11" s="63"/>
      <c r="ZK11" s="36"/>
      <c r="ZL11" s="42" t="str">
        <f ca="1">IFERROR(OFFSET(納品書まとめ!$A$1,ZO2-1,56),"")</f>
        <v/>
      </c>
      <c r="ZM11" s="36"/>
      <c r="ZN11" s="73"/>
      <c r="ZO11" s="74"/>
      <c r="ZR11" s="61" t="str">
        <f ca="1">IFERROR(OFFSET(納品書まとめ!$A$1,ZZ2-1,55),"")</f>
        <v/>
      </c>
      <c r="ZS11" s="62"/>
      <c r="ZT11" s="62"/>
      <c r="ZU11" s="63"/>
      <c r="ZV11" s="36"/>
      <c r="ZW11" s="42" t="str">
        <f ca="1">IFERROR(OFFSET(納品書まとめ!$A$1,ZZ2-1,56),"")</f>
        <v/>
      </c>
      <c r="ZX11" s="36"/>
      <c r="ZY11" s="73"/>
      <c r="ZZ11" s="74"/>
      <c r="AAC11" s="61" t="str">
        <f ca="1">IFERROR(OFFSET(納品書まとめ!$A$1,AAK2-1,55),"")</f>
        <v/>
      </c>
      <c r="AAD11" s="62"/>
      <c r="AAE11" s="62"/>
      <c r="AAF11" s="63"/>
      <c r="AAG11" s="36"/>
      <c r="AAH11" s="42" t="str">
        <f ca="1">IFERROR(OFFSET(納品書まとめ!$A$1,AAK2-1,56),"")</f>
        <v/>
      </c>
      <c r="AAI11" s="36"/>
      <c r="AAJ11" s="73"/>
      <c r="AAK11" s="74"/>
      <c r="AAN11" s="61" t="str">
        <f ca="1">IFERROR(OFFSET(納品書まとめ!$A$1,AAV2-1,55),"")</f>
        <v/>
      </c>
      <c r="AAO11" s="62"/>
      <c r="AAP11" s="62"/>
      <c r="AAQ11" s="63"/>
      <c r="AAR11" s="36"/>
      <c r="AAS11" s="42" t="str">
        <f ca="1">IFERROR(OFFSET(納品書まとめ!$A$1,AAV2-1,56),"")</f>
        <v/>
      </c>
      <c r="AAT11" s="36"/>
      <c r="AAU11" s="73"/>
      <c r="AAV11" s="74"/>
      <c r="AAY11" s="61" t="str">
        <f ca="1">IFERROR(OFFSET(納品書まとめ!$A$1,ABG2-1,55),"")</f>
        <v/>
      </c>
      <c r="AAZ11" s="62"/>
      <c r="ABA11" s="62"/>
      <c r="ABB11" s="63"/>
      <c r="ABC11" s="36"/>
      <c r="ABD11" s="42" t="str">
        <f ca="1">IFERROR(OFFSET(納品書まとめ!$A$1,ABG2-1,56),"")</f>
        <v/>
      </c>
      <c r="ABE11" s="36"/>
      <c r="ABF11" s="73"/>
      <c r="ABG11" s="74"/>
      <c r="ABJ11" s="61" t="str">
        <f ca="1">IFERROR(OFFSET(納品書まとめ!$A$1,ABR2-1,55),"")</f>
        <v/>
      </c>
      <c r="ABK11" s="62"/>
      <c r="ABL11" s="62"/>
      <c r="ABM11" s="63"/>
      <c r="ABN11" s="36"/>
      <c r="ABO11" s="42" t="str">
        <f ca="1">IFERROR(OFFSET(納品書まとめ!$A$1,ABR2-1,56),"")</f>
        <v/>
      </c>
      <c r="ABP11" s="36"/>
      <c r="ABQ11" s="73"/>
      <c r="ABR11" s="74"/>
      <c r="ABU11" s="61" t="str">
        <f ca="1">IFERROR(OFFSET(納品書まとめ!$A$1,ACC2-1,55),"")</f>
        <v/>
      </c>
      <c r="ABV11" s="62"/>
      <c r="ABW11" s="62"/>
      <c r="ABX11" s="63"/>
      <c r="ABY11" s="36"/>
      <c r="ABZ11" s="42" t="str">
        <f ca="1">IFERROR(OFFSET(納品書まとめ!$A$1,ACC2-1,56),"")</f>
        <v/>
      </c>
      <c r="ACA11" s="36"/>
      <c r="ACB11" s="73"/>
      <c r="ACC11" s="74"/>
      <c r="ACF11" s="61" t="str">
        <f ca="1">IFERROR(OFFSET(納品書まとめ!$A$1,ACN2-1,55),"")</f>
        <v/>
      </c>
      <c r="ACG11" s="62"/>
      <c r="ACH11" s="62"/>
      <c r="ACI11" s="63"/>
      <c r="ACJ11" s="36"/>
      <c r="ACK11" s="42" t="str">
        <f ca="1">IFERROR(OFFSET(納品書まとめ!$A$1,ACN2-1,56),"")</f>
        <v/>
      </c>
      <c r="ACL11" s="36"/>
      <c r="ACM11" s="73"/>
      <c r="ACN11" s="74"/>
      <c r="ACQ11" s="61" t="str">
        <f ca="1">IFERROR(OFFSET(納品書まとめ!$A$1,ACY2-1,55),"")</f>
        <v/>
      </c>
      <c r="ACR11" s="62"/>
      <c r="ACS11" s="62"/>
      <c r="ACT11" s="63"/>
      <c r="ACU11" s="36"/>
      <c r="ACV11" s="42" t="str">
        <f ca="1">IFERROR(OFFSET(納品書まとめ!$A$1,ACY2-1,56),"")</f>
        <v/>
      </c>
      <c r="ACW11" s="36"/>
      <c r="ACX11" s="73"/>
      <c r="ACY11" s="74"/>
      <c r="ADB11" s="61" t="str">
        <f ca="1">IFERROR(OFFSET(納品書まとめ!$A$1,ADJ2-1,55),"")</f>
        <v/>
      </c>
      <c r="ADC11" s="62"/>
      <c r="ADD11" s="62"/>
      <c r="ADE11" s="63"/>
      <c r="ADF11" s="36"/>
      <c r="ADG11" s="42" t="str">
        <f ca="1">IFERROR(OFFSET(納品書まとめ!$A$1,ADJ2-1,56),"")</f>
        <v/>
      </c>
      <c r="ADH11" s="36"/>
      <c r="ADI11" s="73"/>
      <c r="ADJ11" s="74"/>
    </row>
    <row r="12" spans="1:790" x14ac:dyDescent="0.45">
      <c r="A12" s="61" t="str">
        <f ca="1">IFERROR(OFFSET(納品書まとめ!$A$1,H2-1,58),"")</f>
        <v/>
      </c>
      <c r="B12" s="62"/>
      <c r="C12" s="62"/>
      <c r="D12" s="63"/>
      <c r="E12" s="36"/>
      <c r="F12" s="42" t="str">
        <f ca="1">IFERROR(OFFSET(納品書まとめ!$A$1,H2-1,59),"")</f>
        <v/>
      </c>
      <c r="G12" s="36"/>
      <c r="H12" s="73"/>
      <c r="I12" s="74"/>
      <c r="L12" s="61" t="str">
        <f ca="1">IFERROR(OFFSET(納品書まとめ!$A$1,T2-1,58),"")</f>
        <v/>
      </c>
      <c r="M12" s="62"/>
      <c r="N12" s="62"/>
      <c r="O12" s="63"/>
      <c r="P12" s="36"/>
      <c r="Q12" s="42" t="str">
        <f ca="1">IFERROR(OFFSET(納品書まとめ!$A$1,T2-1,59),"")</f>
        <v/>
      </c>
      <c r="R12" s="36"/>
      <c r="S12" s="73"/>
      <c r="T12" s="74"/>
      <c r="W12" s="61" t="str">
        <f ca="1">IFERROR(OFFSET(納品書まとめ!$A$1,AE2-1,58),"")</f>
        <v/>
      </c>
      <c r="X12" s="62"/>
      <c r="Y12" s="62"/>
      <c r="Z12" s="63"/>
      <c r="AA12" s="36"/>
      <c r="AB12" s="42" t="str">
        <f ca="1">IFERROR(OFFSET(納品書まとめ!$A$1,AE2-1,59),"")</f>
        <v/>
      </c>
      <c r="AC12" s="36"/>
      <c r="AD12" s="73"/>
      <c r="AE12" s="74"/>
      <c r="AH12" s="61" t="str">
        <f ca="1">IFERROR(OFFSET(納品書まとめ!$A$1,AP2-1,58),"")</f>
        <v>弁当　先生</v>
      </c>
      <c r="AI12" s="62"/>
      <c r="AJ12" s="62"/>
      <c r="AK12" s="63"/>
      <c r="AL12" s="36"/>
      <c r="AM12" s="42">
        <f ca="1">IFERROR(OFFSET(納品書まとめ!$A$1,AP2-1,59),"")</f>
        <v>12</v>
      </c>
      <c r="AN12" s="36"/>
      <c r="AO12" s="73"/>
      <c r="AP12" s="74"/>
      <c r="AS12" s="61" t="str">
        <f ca="1">IFERROR(OFFSET(納品書まとめ!$A$1,BA2-1,58),"")</f>
        <v>弁当　検食</v>
      </c>
      <c r="AT12" s="62"/>
      <c r="AU12" s="62"/>
      <c r="AV12" s="63"/>
      <c r="AW12" s="36"/>
      <c r="AX12" s="42" t="str">
        <f ca="1">IFERROR(OFFSET(納品書まとめ!$A$1,BA2-1,59),"")</f>
        <v>1</v>
      </c>
      <c r="AY12" s="36"/>
      <c r="AZ12" s="73"/>
      <c r="BA12" s="74"/>
      <c r="BD12" s="61" t="str">
        <f ca="1">IFERROR(OFFSET(納品書まとめ!$A$1,BL2-1,58),"")</f>
        <v/>
      </c>
      <c r="BE12" s="62"/>
      <c r="BF12" s="62"/>
      <c r="BG12" s="63"/>
      <c r="BH12" s="36"/>
      <c r="BI12" s="42" t="str">
        <f ca="1">IFERROR(OFFSET(納品書まとめ!$A$1,BL2-1,59),"")</f>
        <v/>
      </c>
      <c r="BJ12" s="36"/>
      <c r="BK12" s="73"/>
      <c r="BL12" s="74"/>
      <c r="BO12" s="61" t="str">
        <f ca="1">IFERROR(OFFSET(納品書まとめ!$A$1,BW2-1,58),"")</f>
        <v/>
      </c>
      <c r="BP12" s="62"/>
      <c r="BQ12" s="62"/>
      <c r="BR12" s="63"/>
      <c r="BS12" s="36"/>
      <c r="BT12" s="42" t="str">
        <f ca="1">IFERROR(OFFSET(納品書まとめ!$A$1,BW2-1,59),"")</f>
        <v/>
      </c>
      <c r="BU12" s="36"/>
      <c r="BV12" s="73"/>
      <c r="BW12" s="74"/>
      <c r="BZ12" s="61" t="str">
        <f ca="1">IFERROR(OFFSET(納品書まとめ!$A$1,CH2-1,58),"")</f>
        <v/>
      </c>
      <c r="CA12" s="62"/>
      <c r="CB12" s="62"/>
      <c r="CC12" s="63"/>
      <c r="CD12" s="36"/>
      <c r="CE12" s="42" t="str">
        <f ca="1">IFERROR(OFFSET(納品書まとめ!$A$1,CH2-1,59),"")</f>
        <v/>
      </c>
      <c r="CF12" s="36"/>
      <c r="CG12" s="73"/>
      <c r="CH12" s="74"/>
      <c r="CK12" s="61" t="str">
        <f ca="1">IFERROR(OFFSET(納品書まとめ!$A$1,CS2-1,58),"")</f>
        <v/>
      </c>
      <c r="CL12" s="62"/>
      <c r="CM12" s="62"/>
      <c r="CN12" s="63"/>
      <c r="CO12" s="36"/>
      <c r="CP12" s="42" t="str">
        <f ca="1">IFERROR(OFFSET(納品書まとめ!$A$1,CS2-1,59),"")</f>
        <v/>
      </c>
      <c r="CQ12" s="36"/>
      <c r="CR12" s="73"/>
      <c r="CS12" s="74"/>
      <c r="CV12" s="61" t="str">
        <f ca="1">IFERROR(OFFSET(納品書まとめ!$A$1,DD2-1,58),"")</f>
        <v/>
      </c>
      <c r="CW12" s="62"/>
      <c r="CX12" s="62"/>
      <c r="CY12" s="63"/>
      <c r="CZ12" s="36"/>
      <c r="DA12" s="42" t="str">
        <f ca="1">IFERROR(OFFSET(納品書まとめ!$A$1,DD2-1,59),"")</f>
        <v/>
      </c>
      <c r="DB12" s="36"/>
      <c r="DC12" s="73"/>
      <c r="DD12" s="74"/>
      <c r="DG12" s="61" t="str">
        <f ca="1">IFERROR(OFFSET(納品書まとめ!$A$1,DO2-1,58),"")</f>
        <v/>
      </c>
      <c r="DH12" s="62"/>
      <c r="DI12" s="62"/>
      <c r="DJ12" s="63"/>
      <c r="DK12" s="36"/>
      <c r="DL12" s="42" t="str">
        <f ca="1">IFERROR(OFFSET(納品書まとめ!$A$1,DO2-1,59),"")</f>
        <v/>
      </c>
      <c r="DM12" s="36"/>
      <c r="DN12" s="73"/>
      <c r="DO12" s="74"/>
      <c r="DR12" s="61" t="str">
        <f ca="1">IFERROR(OFFSET(納品書まとめ!$A$1,DZ2-1,58),"")</f>
        <v/>
      </c>
      <c r="DS12" s="62"/>
      <c r="DT12" s="62"/>
      <c r="DU12" s="63"/>
      <c r="DV12" s="36"/>
      <c r="DW12" s="42" t="str">
        <f ca="1">IFERROR(OFFSET(納品書まとめ!$A$1,DZ2-1,59),"")</f>
        <v/>
      </c>
      <c r="DX12" s="36"/>
      <c r="DY12" s="73"/>
      <c r="DZ12" s="74"/>
      <c r="EC12" s="61" t="str">
        <f ca="1">IFERROR(OFFSET(納品書まとめ!$A$1,EK2-1,58),"")</f>
        <v/>
      </c>
      <c r="ED12" s="62"/>
      <c r="EE12" s="62"/>
      <c r="EF12" s="63"/>
      <c r="EG12" s="36"/>
      <c r="EH12" s="42" t="str">
        <f ca="1">IFERROR(OFFSET(納品書まとめ!$A$1,EK2-1,59),"")</f>
        <v/>
      </c>
      <c r="EI12" s="36"/>
      <c r="EJ12" s="73"/>
      <c r="EK12" s="74"/>
      <c r="EN12" s="61" t="str">
        <f ca="1">IFERROR(OFFSET(納品書まとめ!$A$1,EV2-1,58),"")</f>
        <v/>
      </c>
      <c r="EO12" s="62"/>
      <c r="EP12" s="62"/>
      <c r="EQ12" s="63"/>
      <c r="ER12" s="36"/>
      <c r="ES12" s="42" t="str">
        <f ca="1">IFERROR(OFFSET(納品書まとめ!$A$1,EV2-1,59),"")</f>
        <v/>
      </c>
      <c r="ET12" s="36"/>
      <c r="EU12" s="73"/>
      <c r="EV12" s="74"/>
      <c r="EY12" s="61" t="str">
        <f ca="1">IFERROR(OFFSET(納品書まとめ!$A$1,FG2-1,58),"")</f>
        <v/>
      </c>
      <c r="EZ12" s="62"/>
      <c r="FA12" s="62"/>
      <c r="FB12" s="63"/>
      <c r="FC12" s="36"/>
      <c r="FD12" s="42" t="str">
        <f ca="1">IFERROR(OFFSET(納品書まとめ!$A$1,FG2-1,59),"")</f>
        <v/>
      </c>
      <c r="FE12" s="36"/>
      <c r="FF12" s="73"/>
      <c r="FG12" s="74"/>
      <c r="FJ12" s="61" t="str">
        <f ca="1">IFERROR(OFFSET(納品書まとめ!$A$1,FR2-1,58),"")</f>
        <v/>
      </c>
      <c r="FK12" s="62"/>
      <c r="FL12" s="62"/>
      <c r="FM12" s="63"/>
      <c r="FN12" s="36"/>
      <c r="FO12" s="42" t="str">
        <f ca="1">IFERROR(OFFSET(納品書まとめ!$A$1,FR2-1,59),"")</f>
        <v/>
      </c>
      <c r="FP12" s="36"/>
      <c r="FQ12" s="73"/>
      <c r="FR12" s="74"/>
      <c r="FU12" s="61" t="str">
        <f ca="1">IFERROR(OFFSET(納品書まとめ!$A$1,GC2-1,58),"")</f>
        <v/>
      </c>
      <c r="FV12" s="62"/>
      <c r="FW12" s="62"/>
      <c r="FX12" s="63"/>
      <c r="FY12" s="36"/>
      <c r="FZ12" s="42" t="str">
        <f ca="1">IFERROR(OFFSET(納品書まとめ!$A$1,GC2-1,59),"")</f>
        <v/>
      </c>
      <c r="GA12" s="36"/>
      <c r="GB12" s="73"/>
      <c r="GC12" s="74"/>
      <c r="GF12" s="61" t="str">
        <f ca="1">IFERROR(OFFSET(納品書まとめ!$A$1,GN2-1,58),"")</f>
        <v/>
      </c>
      <c r="GG12" s="62"/>
      <c r="GH12" s="62"/>
      <c r="GI12" s="63"/>
      <c r="GJ12" s="36"/>
      <c r="GK12" s="42" t="str">
        <f ca="1">IFERROR(OFFSET(納品書まとめ!$A$1,GN2-1,59),"")</f>
        <v/>
      </c>
      <c r="GL12" s="36"/>
      <c r="GM12" s="73"/>
      <c r="GN12" s="74"/>
      <c r="GQ12" s="61" t="str">
        <f ca="1">IFERROR(OFFSET(納品書まとめ!$A$1,GY2-1,58),"")</f>
        <v/>
      </c>
      <c r="GR12" s="62"/>
      <c r="GS12" s="62"/>
      <c r="GT12" s="63"/>
      <c r="GU12" s="36"/>
      <c r="GV12" s="42" t="str">
        <f ca="1">IFERROR(OFFSET(納品書まとめ!$A$1,GY2-1,59),"")</f>
        <v/>
      </c>
      <c r="GW12" s="36"/>
      <c r="GX12" s="73"/>
      <c r="GY12" s="74"/>
      <c r="HB12" s="61" t="str">
        <f ca="1">IFERROR(OFFSET(納品書まとめ!$A$1,HJ2-1,58),"")</f>
        <v/>
      </c>
      <c r="HC12" s="62"/>
      <c r="HD12" s="62"/>
      <c r="HE12" s="63"/>
      <c r="HF12" s="36"/>
      <c r="HG12" s="42" t="str">
        <f ca="1">IFERROR(OFFSET(納品書まとめ!$A$1,HJ2-1,59),"")</f>
        <v/>
      </c>
      <c r="HH12" s="36"/>
      <c r="HI12" s="73"/>
      <c r="HJ12" s="74"/>
      <c r="HM12" s="61" t="str">
        <f ca="1">IFERROR(OFFSET(納品書まとめ!$A$1,HU2-1,58),"")</f>
        <v/>
      </c>
      <c r="HN12" s="62"/>
      <c r="HO12" s="62"/>
      <c r="HP12" s="63"/>
      <c r="HQ12" s="36"/>
      <c r="HR12" s="42" t="str">
        <f ca="1">IFERROR(OFFSET(納品書まとめ!$A$1,HU2-1,59),"")</f>
        <v/>
      </c>
      <c r="HS12" s="36"/>
      <c r="HT12" s="73"/>
      <c r="HU12" s="74"/>
      <c r="HX12" s="61" t="str">
        <f ca="1">IFERROR(OFFSET(納品書まとめ!$A$1,IF2-1,58),"")</f>
        <v/>
      </c>
      <c r="HY12" s="62"/>
      <c r="HZ12" s="62"/>
      <c r="IA12" s="63"/>
      <c r="IB12" s="36"/>
      <c r="IC12" s="42" t="str">
        <f ca="1">IFERROR(OFFSET(納品書まとめ!$A$1,IF2-1,59),"")</f>
        <v/>
      </c>
      <c r="ID12" s="36"/>
      <c r="IE12" s="73"/>
      <c r="IF12" s="74"/>
      <c r="II12" s="61" t="str">
        <f ca="1">IFERROR(OFFSET(納品書まとめ!$A$1,IQ2-1,58),"")</f>
        <v/>
      </c>
      <c r="IJ12" s="62"/>
      <c r="IK12" s="62"/>
      <c r="IL12" s="63"/>
      <c r="IM12" s="36"/>
      <c r="IN12" s="42" t="str">
        <f ca="1">IFERROR(OFFSET(納品書まとめ!$A$1,IQ2-1,59),"")</f>
        <v/>
      </c>
      <c r="IO12" s="36"/>
      <c r="IP12" s="73"/>
      <c r="IQ12" s="74"/>
      <c r="IT12" s="61" t="str">
        <f ca="1">IFERROR(OFFSET(納品書まとめ!$A$1,JB2-1,58),"")</f>
        <v/>
      </c>
      <c r="IU12" s="62"/>
      <c r="IV12" s="62"/>
      <c r="IW12" s="63"/>
      <c r="IX12" s="36"/>
      <c r="IY12" s="42" t="str">
        <f ca="1">IFERROR(OFFSET(納品書まとめ!$A$1,JB2-1,59),"")</f>
        <v/>
      </c>
      <c r="IZ12" s="36"/>
      <c r="JA12" s="73"/>
      <c r="JB12" s="74"/>
      <c r="JE12" s="61" t="str">
        <f ca="1">IFERROR(OFFSET(納品書まとめ!$A$1,JM2-1,58),"")</f>
        <v/>
      </c>
      <c r="JF12" s="62"/>
      <c r="JG12" s="62"/>
      <c r="JH12" s="63"/>
      <c r="JI12" s="36"/>
      <c r="JJ12" s="42" t="str">
        <f ca="1">IFERROR(OFFSET(納品書まとめ!$A$1,JM2-1,59),"")</f>
        <v/>
      </c>
      <c r="JK12" s="36"/>
      <c r="JL12" s="73"/>
      <c r="JM12" s="74"/>
      <c r="JP12" s="61" t="str">
        <f ca="1">IFERROR(OFFSET(納品書まとめ!$A$1,JX2-1,58),"")</f>
        <v/>
      </c>
      <c r="JQ12" s="62"/>
      <c r="JR12" s="62"/>
      <c r="JS12" s="63"/>
      <c r="JT12" s="36"/>
      <c r="JU12" s="42" t="str">
        <f ca="1">IFERROR(OFFSET(納品書まとめ!$A$1,JX2-1,59),"")</f>
        <v/>
      </c>
      <c r="JV12" s="36"/>
      <c r="JW12" s="73"/>
      <c r="JX12" s="74"/>
      <c r="KA12" s="61" t="str">
        <f ca="1">IFERROR(OFFSET(納品書まとめ!$A$1,KI2-1,58),"")</f>
        <v/>
      </c>
      <c r="KB12" s="62"/>
      <c r="KC12" s="62"/>
      <c r="KD12" s="63"/>
      <c r="KE12" s="36"/>
      <c r="KF12" s="42" t="str">
        <f ca="1">IFERROR(OFFSET(納品書まとめ!$A$1,KI2-1,59),"")</f>
        <v/>
      </c>
      <c r="KG12" s="36"/>
      <c r="KH12" s="73"/>
      <c r="KI12" s="74"/>
      <c r="KL12" s="61" t="str">
        <f ca="1">IFERROR(OFFSET(納品書まとめ!$A$1,KT2-1,58),"")</f>
        <v>弁当　先生</v>
      </c>
      <c r="KM12" s="62"/>
      <c r="KN12" s="62"/>
      <c r="KO12" s="63"/>
      <c r="KP12" s="36"/>
      <c r="KQ12" s="42">
        <f ca="1">IFERROR(OFFSET(納品書まとめ!$A$1,KT2-1,59),"")</f>
        <v>3</v>
      </c>
      <c r="KR12" s="36"/>
      <c r="KS12" s="73"/>
      <c r="KT12" s="74"/>
      <c r="KW12" s="61" t="str">
        <f ca="1">IFERROR(OFFSET(納品書まとめ!$A$1,LE2-1,58),"")</f>
        <v>弁当　先生</v>
      </c>
      <c r="KX12" s="62"/>
      <c r="KY12" s="62"/>
      <c r="KZ12" s="63"/>
      <c r="LA12" s="36"/>
      <c r="LB12" s="42">
        <f ca="1">IFERROR(OFFSET(納品書まとめ!$A$1,LE2-1,59),"")</f>
        <v>12</v>
      </c>
      <c r="LC12" s="36"/>
      <c r="LD12" s="73"/>
      <c r="LE12" s="74"/>
      <c r="LH12" s="61" t="str">
        <f ca="1">IFERROR(OFFSET(納品書まとめ!$A$1,LP2-1,58),"")</f>
        <v>弁当　先生</v>
      </c>
      <c r="LI12" s="62"/>
      <c r="LJ12" s="62"/>
      <c r="LK12" s="63"/>
      <c r="LL12" s="36"/>
      <c r="LM12" s="42">
        <f ca="1">IFERROR(OFFSET(納品書まとめ!$A$1,LP2-1,59),"")</f>
        <v>14</v>
      </c>
      <c r="LN12" s="36"/>
      <c r="LO12" s="73"/>
      <c r="LP12" s="74"/>
      <c r="LS12" s="61" t="str">
        <f ca="1">IFERROR(OFFSET(納品書まとめ!$A$1,MA2-1,58),"")</f>
        <v>弁当　予備</v>
      </c>
      <c r="LT12" s="62"/>
      <c r="LU12" s="62"/>
      <c r="LV12" s="63"/>
      <c r="LW12" s="36"/>
      <c r="LX12" s="42" t="str">
        <f ca="1">IFERROR(OFFSET(納品書まとめ!$A$1,MA2-1,59),"")</f>
        <v>3</v>
      </c>
      <c r="LY12" s="36"/>
      <c r="LZ12" s="73"/>
      <c r="MA12" s="74"/>
      <c r="MD12" s="61" t="str">
        <f ca="1">IFERROR(OFFSET(納品書まとめ!$A$1,ML2-1,58),"")</f>
        <v>弁当　先生</v>
      </c>
      <c r="ME12" s="62"/>
      <c r="MF12" s="62"/>
      <c r="MG12" s="63"/>
      <c r="MH12" s="36"/>
      <c r="MI12" s="42">
        <f ca="1">IFERROR(OFFSET(納品書まとめ!$A$1,ML2-1,59),"")</f>
        <v>12</v>
      </c>
      <c r="MJ12" s="36"/>
      <c r="MK12" s="73"/>
      <c r="ML12" s="74"/>
      <c r="MO12" s="61" t="str">
        <f ca="1">IFERROR(OFFSET(納品書まとめ!$A$1,MW2-1,58),"")</f>
        <v>弁当　予備</v>
      </c>
      <c r="MP12" s="62"/>
      <c r="MQ12" s="62"/>
      <c r="MR12" s="63"/>
      <c r="MS12" s="36"/>
      <c r="MT12" s="42" t="str">
        <f ca="1">IFERROR(OFFSET(納品書まとめ!$A$1,MW2-1,59),"")</f>
        <v>2</v>
      </c>
      <c r="MU12" s="36"/>
      <c r="MV12" s="73"/>
      <c r="MW12" s="74"/>
      <c r="MZ12" s="61" t="str">
        <f ca="1">IFERROR(OFFSET(納品書まとめ!$A$1,NH2-1,58),"")</f>
        <v/>
      </c>
      <c r="NA12" s="62"/>
      <c r="NB12" s="62"/>
      <c r="NC12" s="63"/>
      <c r="ND12" s="36"/>
      <c r="NE12" s="42" t="str">
        <f ca="1">IFERROR(OFFSET(納品書まとめ!$A$1,NH2-1,59),"")</f>
        <v/>
      </c>
      <c r="NF12" s="36"/>
      <c r="NG12" s="73"/>
      <c r="NH12" s="74"/>
      <c r="NK12" s="61" t="str">
        <f ca="1">IFERROR(OFFSET(納品書まとめ!$A$1,NS2-1,58),"")</f>
        <v/>
      </c>
      <c r="NL12" s="62"/>
      <c r="NM12" s="62"/>
      <c r="NN12" s="63"/>
      <c r="NO12" s="36"/>
      <c r="NP12" s="42" t="str">
        <f ca="1">IFERROR(OFFSET(納品書まとめ!$A$1,NS2-1,59),"")</f>
        <v/>
      </c>
      <c r="NQ12" s="36"/>
      <c r="NR12" s="73"/>
      <c r="NS12" s="74"/>
      <c r="NV12" s="61" t="str">
        <f ca="1">IFERROR(OFFSET(納品書まとめ!$A$1,OD2-1,58),"")</f>
        <v/>
      </c>
      <c r="NW12" s="62"/>
      <c r="NX12" s="62"/>
      <c r="NY12" s="63"/>
      <c r="NZ12" s="36"/>
      <c r="OA12" s="42" t="str">
        <f ca="1">IFERROR(OFFSET(納品書まとめ!$A$1,OD2-1,59),"")</f>
        <v/>
      </c>
      <c r="OB12" s="36"/>
      <c r="OC12" s="73"/>
      <c r="OD12" s="74"/>
      <c r="OG12" s="61" t="str">
        <f ca="1">IFERROR(OFFSET(納品書まとめ!$A$1,OO2-1,58),"")</f>
        <v>弁当　予備</v>
      </c>
      <c r="OH12" s="62"/>
      <c r="OI12" s="62"/>
      <c r="OJ12" s="63"/>
      <c r="OK12" s="36"/>
      <c r="OL12" s="42" t="str">
        <f ca="1">IFERROR(OFFSET(納品書まとめ!$A$1,OO2-1,59),"")</f>
        <v>2</v>
      </c>
      <c r="OM12" s="36"/>
      <c r="ON12" s="73"/>
      <c r="OO12" s="74"/>
      <c r="OR12" s="61" t="str">
        <f ca="1">IFERROR(OFFSET(納品書まとめ!$A$1,OZ2-1,58),"")</f>
        <v/>
      </c>
      <c r="OS12" s="62"/>
      <c r="OT12" s="62"/>
      <c r="OU12" s="63"/>
      <c r="OV12" s="36"/>
      <c r="OW12" s="42" t="str">
        <f ca="1">IFERROR(OFFSET(納品書まとめ!$A$1,OZ2-1,59),"")</f>
        <v/>
      </c>
      <c r="OX12" s="36"/>
      <c r="OY12" s="73"/>
      <c r="OZ12" s="74"/>
      <c r="PC12" s="61" t="str">
        <f ca="1">IFERROR(OFFSET(納品書まとめ!$A$1,PK2-1,58),"")</f>
        <v/>
      </c>
      <c r="PD12" s="62"/>
      <c r="PE12" s="62"/>
      <c r="PF12" s="63"/>
      <c r="PG12" s="36"/>
      <c r="PH12" s="42" t="str">
        <f ca="1">IFERROR(OFFSET(納品書まとめ!$A$1,PK2-1,59),"")</f>
        <v/>
      </c>
      <c r="PI12" s="36"/>
      <c r="PJ12" s="73"/>
      <c r="PK12" s="74"/>
      <c r="PN12" s="61" t="str">
        <f ca="1">IFERROR(OFFSET(納品書まとめ!$A$1,PV2-1,58),"")</f>
        <v/>
      </c>
      <c r="PO12" s="62"/>
      <c r="PP12" s="62"/>
      <c r="PQ12" s="63"/>
      <c r="PR12" s="36"/>
      <c r="PS12" s="42" t="str">
        <f ca="1">IFERROR(OFFSET(納品書まとめ!$A$1,PV2-1,59),"")</f>
        <v/>
      </c>
      <c r="PT12" s="36"/>
      <c r="PU12" s="73"/>
      <c r="PV12" s="74"/>
      <c r="PY12" s="61" t="str">
        <f ca="1">IFERROR(OFFSET(納品書まとめ!$A$1,QG2-1,58),"")</f>
        <v/>
      </c>
      <c r="PZ12" s="62"/>
      <c r="QA12" s="62"/>
      <c r="QB12" s="63"/>
      <c r="QC12" s="36"/>
      <c r="QD12" s="42" t="str">
        <f ca="1">IFERROR(OFFSET(納品書まとめ!$A$1,QG2-1,59),"")</f>
        <v/>
      </c>
      <c r="QE12" s="36"/>
      <c r="QF12" s="73"/>
      <c r="QG12" s="74"/>
      <c r="QJ12" s="61" t="str">
        <f ca="1">IFERROR(OFFSET(納品書まとめ!$A$1,QR2-1,58),"")</f>
        <v/>
      </c>
      <c r="QK12" s="62"/>
      <c r="QL12" s="62"/>
      <c r="QM12" s="63"/>
      <c r="QN12" s="36"/>
      <c r="QO12" s="42" t="str">
        <f ca="1">IFERROR(OFFSET(納品書まとめ!$A$1,QR2-1,59),"")</f>
        <v/>
      </c>
      <c r="QP12" s="36"/>
      <c r="QQ12" s="73"/>
      <c r="QR12" s="74"/>
      <c r="QU12" s="61" t="str">
        <f ca="1">IFERROR(OFFSET(納品書まとめ!$A$1,RC2-1,58),"")</f>
        <v/>
      </c>
      <c r="QV12" s="62"/>
      <c r="QW12" s="62"/>
      <c r="QX12" s="63"/>
      <c r="QY12" s="36"/>
      <c r="QZ12" s="42" t="str">
        <f ca="1">IFERROR(OFFSET(納品書まとめ!$A$1,RC2-1,59),"")</f>
        <v/>
      </c>
      <c r="RA12" s="36"/>
      <c r="RB12" s="73"/>
      <c r="RC12" s="74"/>
      <c r="RF12" s="61" t="str">
        <f ca="1">IFERROR(OFFSET(納品書まとめ!$A$1,RN2-1,58),"")</f>
        <v>弁当　園児　（ぺんぎん組）</v>
      </c>
      <c r="RG12" s="62"/>
      <c r="RH12" s="62"/>
      <c r="RI12" s="63"/>
      <c r="RJ12" s="36"/>
      <c r="RK12" s="42">
        <f ca="1">IFERROR(OFFSET(納品書まとめ!$A$1,RN2-1,59),"")</f>
        <v>22</v>
      </c>
      <c r="RL12" s="36"/>
      <c r="RM12" s="73"/>
      <c r="RN12" s="74"/>
      <c r="RQ12" s="61" t="str">
        <f ca="1">IFERROR(OFFSET(納品書まとめ!$A$1,RY2-1,58),"")</f>
        <v/>
      </c>
      <c r="RR12" s="62"/>
      <c r="RS12" s="62"/>
      <c r="RT12" s="63"/>
      <c r="RU12" s="36"/>
      <c r="RV12" s="42" t="str">
        <f ca="1">IFERROR(OFFSET(納品書まとめ!$A$1,RY2-1,59),"")</f>
        <v/>
      </c>
      <c r="RW12" s="36"/>
      <c r="RX12" s="73"/>
      <c r="RY12" s="74"/>
      <c r="SB12" s="61" t="str">
        <f ca="1">IFERROR(OFFSET(納品書まとめ!$A$1,SJ2-1,58),"")</f>
        <v/>
      </c>
      <c r="SC12" s="62"/>
      <c r="SD12" s="62"/>
      <c r="SE12" s="63"/>
      <c r="SF12" s="36"/>
      <c r="SG12" s="42" t="str">
        <f ca="1">IFERROR(OFFSET(納品書まとめ!$A$1,SJ2-1,59),"")</f>
        <v/>
      </c>
      <c r="SH12" s="36"/>
      <c r="SI12" s="73"/>
      <c r="SJ12" s="74"/>
      <c r="SM12" s="61" t="str">
        <f ca="1">IFERROR(OFFSET(納品書まとめ!$A$1,SU2-1,58),"")</f>
        <v/>
      </c>
      <c r="SN12" s="62"/>
      <c r="SO12" s="62"/>
      <c r="SP12" s="63"/>
      <c r="SQ12" s="36"/>
      <c r="SR12" s="42" t="str">
        <f ca="1">IFERROR(OFFSET(納品書まとめ!$A$1,SU2-1,59),"")</f>
        <v/>
      </c>
      <c r="SS12" s="36"/>
      <c r="ST12" s="73"/>
      <c r="SU12" s="74"/>
      <c r="SX12" s="61" t="str">
        <f ca="1">IFERROR(OFFSET(納品書まとめ!$A$1,TF2-1,58),"")</f>
        <v/>
      </c>
      <c r="SY12" s="62"/>
      <c r="SZ12" s="62"/>
      <c r="TA12" s="63"/>
      <c r="TB12" s="36"/>
      <c r="TC12" s="42" t="str">
        <f ca="1">IFERROR(OFFSET(納品書まとめ!$A$1,TF2-1,59),"")</f>
        <v/>
      </c>
      <c r="TD12" s="36"/>
      <c r="TE12" s="73"/>
      <c r="TF12" s="74"/>
      <c r="TI12" s="61" t="str">
        <f ca="1">IFERROR(OFFSET(納品書まとめ!$A$1,TQ2-1,58),"")</f>
        <v/>
      </c>
      <c r="TJ12" s="62"/>
      <c r="TK12" s="62"/>
      <c r="TL12" s="63"/>
      <c r="TM12" s="36"/>
      <c r="TN12" s="42" t="str">
        <f ca="1">IFERROR(OFFSET(納品書まとめ!$A$1,TQ2-1,59),"")</f>
        <v/>
      </c>
      <c r="TO12" s="36"/>
      <c r="TP12" s="73"/>
      <c r="TQ12" s="74"/>
      <c r="TT12" s="61" t="str">
        <f ca="1">IFERROR(OFFSET(納品書まとめ!$A$1,UB2-1,58),"")</f>
        <v/>
      </c>
      <c r="TU12" s="62"/>
      <c r="TV12" s="62"/>
      <c r="TW12" s="63"/>
      <c r="TX12" s="36"/>
      <c r="TY12" s="42" t="str">
        <f ca="1">IFERROR(OFFSET(納品書まとめ!$A$1,UB2-1,59),"")</f>
        <v/>
      </c>
      <c r="TZ12" s="36"/>
      <c r="UA12" s="73"/>
      <c r="UB12" s="74"/>
      <c r="UE12" s="61" t="str">
        <f ca="1">IFERROR(OFFSET(納品書まとめ!$A$1,UM2-1,58),"")</f>
        <v/>
      </c>
      <c r="UF12" s="62"/>
      <c r="UG12" s="62"/>
      <c r="UH12" s="63"/>
      <c r="UI12" s="36"/>
      <c r="UJ12" s="42" t="str">
        <f ca="1">IFERROR(OFFSET(納品書まとめ!$A$1,UM2-1,59),"")</f>
        <v/>
      </c>
      <c r="UK12" s="36"/>
      <c r="UL12" s="73"/>
      <c r="UM12" s="74"/>
      <c r="UP12" s="61" t="str">
        <f ca="1">IFERROR(OFFSET(納品書まとめ!$A$1,UX2-1,58),"")</f>
        <v/>
      </c>
      <c r="UQ12" s="62"/>
      <c r="UR12" s="62"/>
      <c r="US12" s="63"/>
      <c r="UT12" s="36"/>
      <c r="UU12" s="42" t="str">
        <f ca="1">IFERROR(OFFSET(納品書まとめ!$A$1,UX2-1,59),"")</f>
        <v/>
      </c>
      <c r="UV12" s="36"/>
      <c r="UW12" s="73"/>
      <c r="UX12" s="74"/>
      <c r="VA12" s="61" t="str">
        <f ca="1">IFERROR(OFFSET(納品書まとめ!$A$1,VI2-1,58),"")</f>
        <v/>
      </c>
      <c r="VB12" s="62"/>
      <c r="VC12" s="62"/>
      <c r="VD12" s="63"/>
      <c r="VE12" s="36"/>
      <c r="VF12" s="42" t="str">
        <f ca="1">IFERROR(OFFSET(納品書まとめ!$A$1,VI2-1,59),"")</f>
        <v/>
      </c>
      <c r="VG12" s="36"/>
      <c r="VH12" s="73"/>
      <c r="VI12" s="74"/>
      <c r="VL12" s="61" t="str">
        <f ca="1">IFERROR(OFFSET(納品書まとめ!$A$1,VT2-1,58),"")</f>
        <v/>
      </c>
      <c r="VM12" s="62"/>
      <c r="VN12" s="62"/>
      <c r="VO12" s="63"/>
      <c r="VP12" s="36"/>
      <c r="VQ12" s="42" t="str">
        <f ca="1">IFERROR(OFFSET(納品書まとめ!$A$1,VT2-1,59),"")</f>
        <v/>
      </c>
      <c r="VR12" s="36"/>
      <c r="VS12" s="73"/>
      <c r="VT12" s="74"/>
      <c r="VW12" s="61" t="str">
        <f ca="1">IFERROR(OFFSET(納品書まとめ!$A$1,WE2-1,58),"")</f>
        <v/>
      </c>
      <c r="VX12" s="62"/>
      <c r="VY12" s="62"/>
      <c r="VZ12" s="63"/>
      <c r="WA12" s="36"/>
      <c r="WB12" s="42" t="str">
        <f ca="1">IFERROR(OFFSET(納品書まとめ!$A$1,WE2-1,59),"")</f>
        <v/>
      </c>
      <c r="WC12" s="36"/>
      <c r="WD12" s="73"/>
      <c r="WE12" s="74"/>
      <c r="WH12" s="61" t="str">
        <f ca="1">IFERROR(OFFSET(納品書まとめ!$A$1,WP2-1,58),"")</f>
        <v/>
      </c>
      <c r="WI12" s="62"/>
      <c r="WJ12" s="62"/>
      <c r="WK12" s="63"/>
      <c r="WL12" s="36"/>
      <c r="WM12" s="42" t="str">
        <f ca="1">IFERROR(OFFSET(納品書まとめ!$A$1,WP2-1,59),"")</f>
        <v/>
      </c>
      <c r="WN12" s="36"/>
      <c r="WO12" s="73"/>
      <c r="WP12" s="74"/>
      <c r="WS12" s="61" t="str">
        <f ca="1">IFERROR(OFFSET(納品書まとめ!$A$1,XA2-1,58),"")</f>
        <v/>
      </c>
      <c r="WT12" s="62"/>
      <c r="WU12" s="62"/>
      <c r="WV12" s="63"/>
      <c r="WW12" s="36"/>
      <c r="WX12" s="42" t="str">
        <f ca="1">IFERROR(OFFSET(納品書まとめ!$A$1,XA2-1,59),"")</f>
        <v/>
      </c>
      <c r="WY12" s="36"/>
      <c r="WZ12" s="73"/>
      <c r="XA12" s="74"/>
      <c r="XD12" s="61" t="str">
        <f ca="1">IFERROR(OFFSET(納品書まとめ!$A$1,XL2-1,58),"")</f>
        <v/>
      </c>
      <c r="XE12" s="62"/>
      <c r="XF12" s="62"/>
      <c r="XG12" s="63"/>
      <c r="XH12" s="36"/>
      <c r="XI12" s="42" t="str">
        <f ca="1">IFERROR(OFFSET(納品書まとめ!$A$1,XL2-1,59),"")</f>
        <v/>
      </c>
      <c r="XJ12" s="36"/>
      <c r="XK12" s="73"/>
      <c r="XL12" s="74"/>
      <c r="XO12" s="61" t="str">
        <f ca="1">IFERROR(OFFSET(納品書まとめ!$A$1,XW2-1,58),"")</f>
        <v/>
      </c>
      <c r="XP12" s="62"/>
      <c r="XQ12" s="62"/>
      <c r="XR12" s="63"/>
      <c r="XS12" s="36"/>
      <c r="XT12" s="42" t="str">
        <f ca="1">IFERROR(OFFSET(納品書まとめ!$A$1,XW2-1,59),"")</f>
        <v/>
      </c>
      <c r="XU12" s="36"/>
      <c r="XV12" s="73"/>
      <c r="XW12" s="74"/>
      <c r="XZ12" s="61" t="str">
        <f ca="1">IFERROR(OFFSET(納品書まとめ!$A$1,YH2-1,58),"")</f>
        <v/>
      </c>
      <c r="YA12" s="62"/>
      <c r="YB12" s="62"/>
      <c r="YC12" s="63"/>
      <c r="YD12" s="36"/>
      <c r="YE12" s="42" t="str">
        <f ca="1">IFERROR(OFFSET(納品書まとめ!$A$1,YH2-1,59),"")</f>
        <v/>
      </c>
      <c r="YF12" s="36"/>
      <c r="YG12" s="73"/>
      <c r="YH12" s="74"/>
      <c r="YK12" s="61" t="str">
        <f ca="1">IFERROR(OFFSET(納品書まとめ!$A$1,YS2-1,58),"")</f>
        <v/>
      </c>
      <c r="YL12" s="62"/>
      <c r="YM12" s="62"/>
      <c r="YN12" s="63"/>
      <c r="YO12" s="36"/>
      <c r="YP12" s="42" t="str">
        <f ca="1">IFERROR(OFFSET(納品書まとめ!$A$1,YS2-1,59),"")</f>
        <v/>
      </c>
      <c r="YQ12" s="36"/>
      <c r="YR12" s="73"/>
      <c r="YS12" s="74"/>
      <c r="YV12" s="61" t="str">
        <f ca="1">IFERROR(OFFSET(納品書まとめ!$A$1,ZD2-1,58),"")</f>
        <v/>
      </c>
      <c r="YW12" s="62"/>
      <c r="YX12" s="62"/>
      <c r="YY12" s="63"/>
      <c r="YZ12" s="36"/>
      <c r="ZA12" s="42" t="str">
        <f ca="1">IFERROR(OFFSET(納品書まとめ!$A$1,ZD2-1,59),"")</f>
        <v/>
      </c>
      <c r="ZB12" s="36"/>
      <c r="ZC12" s="73"/>
      <c r="ZD12" s="74"/>
      <c r="ZG12" s="61" t="str">
        <f ca="1">IFERROR(OFFSET(納品書まとめ!$A$1,ZO2-1,58),"")</f>
        <v/>
      </c>
      <c r="ZH12" s="62"/>
      <c r="ZI12" s="62"/>
      <c r="ZJ12" s="63"/>
      <c r="ZK12" s="36"/>
      <c r="ZL12" s="42" t="str">
        <f ca="1">IFERROR(OFFSET(納品書まとめ!$A$1,ZO2-1,59),"")</f>
        <v/>
      </c>
      <c r="ZM12" s="36"/>
      <c r="ZN12" s="73"/>
      <c r="ZO12" s="74"/>
      <c r="ZR12" s="61" t="str">
        <f ca="1">IFERROR(OFFSET(納品書まとめ!$A$1,ZZ2-1,58),"")</f>
        <v/>
      </c>
      <c r="ZS12" s="62"/>
      <c r="ZT12" s="62"/>
      <c r="ZU12" s="63"/>
      <c r="ZV12" s="36"/>
      <c r="ZW12" s="42" t="str">
        <f ca="1">IFERROR(OFFSET(納品書まとめ!$A$1,ZZ2-1,59),"")</f>
        <v/>
      </c>
      <c r="ZX12" s="36"/>
      <c r="ZY12" s="73"/>
      <c r="ZZ12" s="74"/>
      <c r="AAC12" s="61" t="str">
        <f ca="1">IFERROR(OFFSET(納品書まとめ!$A$1,AAK2-1,58),"")</f>
        <v/>
      </c>
      <c r="AAD12" s="62"/>
      <c r="AAE12" s="62"/>
      <c r="AAF12" s="63"/>
      <c r="AAG12" s="36"/>
      <c r="AAH12" s="42" t="str">
        <f ca="1">IFERROR(OFFSET(納品書まとめ!$A$1,AAK2-1,59),"")</f>
        <v/>
      </c>
      <c r="AAI12" s="36"/>
      <c r="AAJ12" s="73"/>
      <c r="AAK12" s="74"/>
      <c r="AAN12" s="61" t="str">
        <f ca="1">IFERROR(OFFSET(納品書まとめ!$A$1,AAV2-1,58),"")</f>
        <v/>
      </c>
      <c r="AAO12" s="62"/>
      <c r="AAP12" s="62"/>
      <c r="AAQ12" s="63"/>
      <c r="AAR12" s="36"/>
      <c r="AAS12" s="42" t="str">
        <f ca="1">IFERROR(OFFSET(納品書まとめ!$A$1,AAV2-1,59),"")</f>
        <v/>
      </c>
      <c r="AAT12" s="36"/>
      <c r="AAU12" s="73"/>
      <c r="AAV12" s="74"/>
      <c r="AAY12" s="61" t="str">
        <f ca="1">IFERROR(OFFSET(納品書まとめ!$A$1,ABG2-1,58),"")</f>
        <v/>
      </c>
      <c r="AAZ12" s="62"/>
      <c r="ABA12" s="62"/>
      <c r="ABB12" s="63"/>
      <c r="ABC12" s="36"/>
      <c r="ABD12" s="42" t="str">
        <f ca="1">IFERROR(OFFSET(納品書まとめ!$A$1,ABG2-1,59),"")</f>
        <v/>
      </c>
      <c r="ABE12" s="36"/>
      <c r="ABF12" s="73"/>
      <c r="ABG12" s="74"/>
      <c r="ABJ12" s="61" t="str">
        <f ca="1">IFERROR(OFFSET(納品書まとめ!$A$1,ABR2-1,58),"")</f>
        <v/>
      </c>
      <c r="ABK12" s="62"/>
      <c r="ABL12" s="62"/>
      <c r="ABM12" s="63"/>
      <c r="ABN12" s="36"/>
      <c r="ABO12" s="42" t="str">
        <f ca="1">IFERROR(OFFSET(納品書まとめ!$A$1,ABR2-1,59),"")</f>
        <v/>
      </c>
      <c r="ABP12" s="36"/>
      <c r="ABQ12" s="73"/>
      <c r="ABR12" s="74"/>
      <c r="ABU12" s="61" t="str">
        <f ca="1">IFERROR(OFFSET(納品書まとめ!$A$1,ACC2-1,58),"")</f>
        <v/>
      </c>
      <c r="ABV12" s="62"/>
      <c r="ABW12" s="62"/>
      <c r="ABX12" s="63"/>
      <c r="ABY12" s="36"/>
      <c r="ABZ12" s="42" t="str">
        <f ca="1">IFERROR(OFFSET(納品書まとめ!$A$1,ACC2-1,59),"")</f>
        <v/>
      </c>
      <c r="ACA12" s="36"/>
      <c r="ACB12" s="73"/>
      <c r="ACC12" s="74"/>
      <c r="ACF12" s="61" t="str">
        <f ca="1">IFERROR(OFFSET(納品書まとめ!$A$1,ACN2-1,58),"")</f>
        <v/>
      </c>
      <c r="ACG12" s="62"/>
      <c r="ACH12" s="62"/>
      <c r="ACI12" s="63"/>
      <c r="ACJ12" s="36"/>
      <c r="ACK12" s="42" t="str">
        <f ca="1">IFERROR(OFFSET(納品書まとめ!$A$1,ACN2-1,59),"")</f>
        <v/>
      </c>
      <c r="ACL12" s="36"/>
      <c r="ACM12" s="73"/>
      <c r="ACN12" s="74"/>
      <c r="ACQ12" s="61" t="str">
        <f ca="1">IFERROR(OFFSET(納品書まとめ!$A$1,ACY2-1,58),"")</f>
        <v/>
      </c>
      <c r="ACR12" s="62"/>
      <c r="ACS12" s="62"/>
      <c r="ACT12" s="63"/>
      <c r="ACU12" s="36"/>
      <c r="ACV12" s="42" t="str">
        <f ca="1">IFERROR(OFFSET(納品書まとめ!$A$1,ACY2-1,59),"")</f>
        <v/>
      </c>
      <c r="ACW12" s="36"/>
      <c r="ACX12" s="73"/>
      <c r="ACY12" s="74"/>
      <c r="ADB12" s="61" t="str">
        <f ca="1">IFERROR(OFFSET(納品書まとめ!$A$1,ADJ2-1,58),"")</f>
        <v/>
      </c>
      <c r="ADC12" s="62"/>
      <c r="ADD12" s="62"/>
      <c r="ADE12" s="63"/>
      <c r="ADF12" s="36"/>
      <c r="ADG12" s="42" t="str">
        <f ca="1">IFERROR(OFFSET(納品書まとめ!$A$1,ADJ2-1,59),"")</f>
        <v/>
      </c>
      <c r="ADH12" s="36"/>
      <c r="ADI12" s="73"/>
      <c r="ADJ12" s="74"/>
    </row>
    <row r="13" spans="1:790" x14ac:dyDescent="0.45">
      <c r="A13" s="61" t="str">
        <f ca="1">IFERROR(IF(H4=10,OFFSET(納品書まとめ!$A$1,H2-1,60),                                                                                                                                                                                                                        OFFSET(納品書まとめ!$A$1,H2-1,61)),"")</f>
        <v/>
      </c>
      <c r="B13" s="62"/>
      <c r="C13" s="62"/>
      <c r="D13" s="63"/>
      <c r="E13" s="36"/>
      <c r="F13" s="42" t="str">
        <f ca="1">IFERROR(IF(H3=10,OFFSET(納品書まとめ!$A$1,H2-1,61),                                                                                                                                                                                                                        OFFSET(納品書まとめ!$A$1,H2-1,62)),"")</f>
        <v/>
      </c>
      <c r="G13" s="36"/>
      <c r="H13" s="73"/>
      <c r="I13" s="74"/>
      <c r="L13" s="61" t="str">
        <f ca="1">IFERROR(IF(S4=10,OFFSET(納品書まとめ!$A$1,T2-1,60),                                                                                                                                                                                                                        IF(COUNTIF(OFFSET(納品書まとめ!$A$1,T2-1,61),"*●*"),"",OFFSET(納品書まとめ!$A$1,T2-1,61))),"")</f>
        <v/>
      </c>
      <c r="M13" s="62"/>
      <c r="N13" s="62"/>
      <c r="O13" s="63"/>
      <c r="P13" s="36"/>
      <c r="Q13" s="42" t="str">
        <f ca="1">IFERROR(IF(S4=10,OFFSET(納品書まとめ!$A$1,T2-1,61),                                                                                                                                                                                                                        OFFSET(納品書まとめ!$A$1,T2-1,62)),"")</f>
        <v/>
      </c>
      <c r="R13" s="36"/>
      <c r="S13" s="73"/>
      <c r="T13" s="74"/>
      <c r="W13" s="61" t="str">
        <f ca="1">IFERROR(IF(AE4=10,OFFSET(納品書まとめ!$A$1,AE2-1,60),                                                                                                                                                                                                                        IF(COUNTIF(OFFSET(納品書まとめ!$A$1,AE2-1,61),"*●*"),"",OFFSET(納品書まとめ!$A$1,AE2-1,61))),"")</f>
        <v/>
      </c>
      <c r="X13" s="62"/>
      <c r="Y13" s="62"/>
      <c r="Z13" s="63"/>
      <c r="AA13" s="36"/>
      <c r="AB13" s="42" t="str">
        <f ca="1">IFERROR(IF(AE4=10,OFFSET(納品書まとめ!$A$1,AE2-1,61),OFFSET(納品書まとめ!$A$1,AE2-1,62)),"")</f>
        <v/>
      </c>
      <c r="AC13" s="36"/>
      <c r="AD13" s="73"/>
      <c r="AE13" s="74"/>
      <c r="AH13" s="61" t="str">
        <f ca="1">IFERROR(IF(AP4=10,OFFSET(納品書まとめ!$A$1,AP2-1,60),                                                                                                                                                                                                                        IF(COUNTIF(OFFSET(納品書まとめ!$A$1,AP2-1,61),"*●*"),"",OFFSET(納品書まとめ!$A$1,AP2-1,61))),"")</f>
        <v>ピクニック　先生</v>
      </c>
      <c r="AI13" s="62"/>
      <c r="AJ13" s="62"/>
      <c r="AK13" s="63"/>
      <c r="AL13" s="36"/>
      <c r="AM13" s="42">
        <f ca="1">IFERROR(IF(AP4=10,OFFSET(納品書まとめ!$A$1,AP2-1,61),OFFSET(納品書まとめ!$A$1,AP2-1,62)),"")</f>
        <v>2</v>
      </c>
      <c r="AN13" s="36"/>
      <c r="AO13" s="73"/>
      <c r="AP13" s="74"/>
      <c r="AS13" s="61" t="str">
        <f ca="1">IFERROR(IF(BA4=10,OFFSET(納品書まとめ!$A$1,BA2-1,60),                                                                                                                                                                                                                        IF(COUNTIF(OFFSET(納品書まとめ!$A$1,BA2-1,61),"*●*"),"",OFFSET(納品書まとめ!$A$1,BA2-1,61))),"")</f>
        <v>ピクニック　検食</v>
      </c>
      <c r="AT13" s="62"/>
      <c r="AU13" s="62"/>
      <c r="AV13" s="63"/>
      <c r="AW13" s="36"/>
      <c r="AX13" s="42" t="str">
        <f ca="1">IFERROR(IF(BA4=10,OFFSET(納品書まとめ!$A$1,BA2-1,61),OFFSET(納品書まとめ!$A$1,BA2-1,62)),"")</f>
        <v>1</v>
      </c>
      <c r="AY13" s="36"/>
      <c r="AZ13" s="73"/>
      <c r="BA13" s="74"/>
      <c r="BD13" s="61" t="str">
        <f ca="1">IFERROR(IF(BL4=10,OFFSET(納品書まとめ!$A$1,BL2-1,60),                                                                                                                                                                                                                        IF(COUNTIF(OFFSET(納品書まとめ!$A$1,BL2-1,61),"*●*"),"",OFFSET(納品書まとめ!$A$1,BL2-1,61))),"")</f>
        <v/>
      </c>
      <c r="BE13" s="62"/>
      <c r="BF13" s="62"/>
      <c r="BG13" s="63"/>
      <c r="BH13" s="36"/>
      <c r="BI13" s="42" t="str">
        <f ca="1">IFERROR(IF(BL4=10,OFFSET(納品書まとめ!$A$1,BL2-1,61),OFFSET(納品書まとめ!$A$1,BL2-1,62)),"")</f>
        <v/>
      </c>
      <c r="BJ13" s="36"/>
      <c r="BK13" s="73"/>
      <c r="BL13" s="74"/>
      <c r="BO13" s="61" t="str">
        <f ca="1">IFERROR(IF(BW4=10,OFFSET(納品書まとめ!$A$1,BW2-1,60),                                                                                                                                                                                                                        IF(COUNTIF(OFFSET(納品書まとめ!$A$1,BW2-1,61),"*●*"),"",OFFSET(納品書まとめ!$A$1,BW2-1,61))),"")</f>
        <v/>
      </c>
      <c r="BP13" s="62"/>
      <c r="BQ13" s="62"/>
      <c r="BR13" s="63"/>
      <c r="BS13" s="36"/>
      <c r="BT13" s="42" t="str">
        <f ca="1">IFERROR(IF(BW4=10,OFFSET(納品書まとめ!$A$1,BW2-1,61),OFFSET(納品書まとめ!$A$1,BW2-1,62)),"")</f>
        <v/>
      </c>
      <c r="BU13" s="36"/>
      <c r="BV13" s="73"/>
      <c r="BW13" s="74"/>
      <c r="BZ13" s="61" t="str">
        <f ca="1">IFERROR(IF(CH4=10,OFFSET(納品書まとめ!$A$1,CH2-1,60),                                                                                                                                                                                                                        IF(COUNTIF(OFFSET(納品書まとめ!$A$1,CH2-1,61),"*●*"),"",OFFSET(納品書まとめ!$A$1,CH2-1,61))),"")</f>
        <v/>
      </c>
      <c r="CA13" s="62"/>
      <c r="CB13" s="62"/>
      <c r="CC13" s="63"/>
      <c r="CD13" s="36"/>
      <c r="CE13" s="42" t="str">
        <f ca="1">IFERROR(IF(CH4=10,OFFSET(納品書まとめ!$A$1,CH2-1,61),OFFSET(納品書まとめ!$A$1,CH2-1,62)),"")</f>
        <v/>
      </c>
      <c r="CF13" s="36"/>
      <c r="CG13" s="73"/>
      <c r="CH13" s="74"/>
      <c r="CK13" s="61" t="str">
        <f ca="1">IFERROR(IF(CS4=10,OFFSET(納品書まとめ!$A$1,CS2-1,60),                                                                                                                                                                                                                        IF(COUNTIF(OFFSET(納品書まとめ!$A$1,CS2-1,61),"*●*"),"",OFFSET(納品書まとめ!$A$1,CS2-1,61))),"")</f>
        <v/>
      </c>
      <c r="CL13" s="62"/>
      <c r="CM13" s="62"/>
      <c r="CN13" s="63"/>
      <c r="CO13" s="36"/>
      <c r="CP13" s="42" t="str">
        <f ca="1">IFERROR(IF(CS4=10,OFFSET(納品書まとめ!$A$1,CS2-1,61),OFFSET(納品書まとめ!$A$1,CS2-1,62)),"")</f>
        <v/>
      </c>
      <c r="CQ13" s="36"/>
      <c r="CR13" s="73"/>
      <c r="CS13" s="74"/>
      <c r="CV13" s="61" t="str">
        <f ca="1">IFERROR(IF(DD4=10,OFFSET(納品書まとめ!$A$1,DD2-1,60),                                                                                                                                                                                                                        IF(COUNTIF(OFFSET(納品書まとめ!$A$1,DD2-1,61),"*●*"),"",OFFSET(納品書まとめ!$A$1,DD2-1,61))),"")</f>
        <v/>
      </c>
      <c r="CW13" s="62"/>
      <c r="CX13" s="62"/>
      <c r="CY13" s="63"/>
      <c r="CZ13" s="36"/>
      <c r="DA13" s="42" t="str">
        <f ca="1">IFERROR(IF(DD4=10,OFFSET(納品書まとめ!$A$1,DD2-1,61),OFFSET(納品書まとめ!$A$1,DD2-1,62)),"")</f>
        <v/>
      </c>
      <c r="DB13" s="36"/>
      <c r="DC13" s="73"/>
      <c r="DD13" s="74"/>
      <c r="DG13" s="61" t="str">
        <f ca="1">IFERROR(IF(DO4=10,OFFSET(納品書まとめ!$A$1,DO2-1,60),                                                                                                                                                                                                                        IF(COUNTIF(OFFSET(納品書まとめ!$A$1,DO2-1,61),"*●*"),"",OFFSET(納品書まとめ!$A$1,DO2-1,61))),"")</f>
        <v/>
      </c>
      <c r="DH13" s="62"/>
      <c r="DI13" s="62"/>
      <c r="DJ13" s="63"/>
      <c r="DK13" s="36"/>
      <c r="DL13" s="42" t="str">
        <f ca="1">IFERROR(IF(DO4=10,OFFSET(納品書まとめ!$A$1,DO2-1,61),OFFSET(納品書まとめ!$A$1,DO2-1,62)),"")</f>
        <v/>
      </c>
      <c r="DM13" s="36"/>
      <c r="DN13" s="73"/>
      <c r="DO13" s="74"/>
      <c r="DR13" s="61" t="str">
        <f ca="1">IFERROR(IF(DZ4=10,OFFSET(納品書まとめ!$A$1,DZ2-1,60),                                                                                                                                                                                                                        IF(COUNTIF(OFFSET(納品書まとめ!$A$1,DZ2-1,61),"*●*"),"",OFFSET(納品書まとめ!$A$1,DZ2-1,61))),"")</f>
        <v/>
      </c>
      <c r="DS13" s="62"/>
      <c r="DT13" s="62"/>
      <c r="DU13" s="63"/>
      <c r="DV13" s="36"/>
      <c r="DW13" s="42" t="str">
        <f ca="1">IFERROR(IF(DZ4=10,OFFSET(納品書まとめ!$A$1,DZ2-1,61),OFFSET(納品書まとめ!$A$1,DZ2-1,62)),"")</f>
        <v/>
      </c>
      <c r="DX13" s="36"/>
      <c r="DY13" s="73"/>
      <c r="DZ13" s="74"/>
      <c r="EC13" s="61" t="str">
        <f ca="1">IFERROR(IF(EK4=10,OFFSET(納品書まとめ!$A$1,EK2-1,60),                                                                                                                                                                                                                        IF(COUNTIF(OFFSET(納品書まとめ!$A$1,EK2-1,61),"*●*"),"",OFFSET(納品書まとめ!$A$1,EK2-1,61))),"")</f>
        <v/>
      </c>
      <c r="ED13" s="62"/>
      <c r="EE13" s="62"/>
      <c r="EF13" s="63"/>
      <c r="EG13" s="36"/>
      <c r="EH13" s="42" t="str">
        <f ca="1">IFERROR(IF(EK4=10,OFFSET(納品書まとめ!$A$1,EK2-1,61),OFFSET(納品書まとめ!$A$1,EK2-1,62)),"")</f>
        <v/>
      </c>
      <c r="EI13" s="36"/>
      <c r="EJ13" s="73"/>
      <c r="EK13" s="74"/>
      <c r="EN13" s="61" t="str">
        <f ca="1">IFERROR(IF(EV4=10,OFFSET(納品書まとめ!$A$1,EV2-1,60),                                                                                                                                                                                                                        IF(COUNTIF(OFFSET(納品書まとめ!$A$1,EV2-1,61),"*●*"),"",OFFSET(納品書まとめ!$A$1,EV2-1,61))),"")</f>
        <v/>
      </c>
      <c r="EO13" s="62"/>
      <c r="EP13" s="62"/>
      <c r="EQ13" s="63"/>
      <c r="ER13" s="36"/>
      <c r="ES13" s="42" t="str">
        <f ca="1">IFERROR(IF(EV4=10,OFFSET(納品書まとめ!$A$1,EV2-1,61),OFFSET(納品書まとめ!$A$1,EV2-1,62)),"")</f>
        <v/>
      </c>
      <c r="ET13" s="36"/>
      <c r="EU13" s="73"/>
      <c r="EV13" s="74"/>
      <c r="EY13" s="61" t="str">
        <f ca="1">IFERROR(IF(FG4=10,OFFSET(納品書まとめ!$A$1,FG2-1,60),                                                                                                                                                                                                                        IF(COUNTIF(OFFSET(納品書まとめ!$A$1,FG2-1,61),"*●*"),"",OFFSET(納品書まとめ!$A$1,FG2-1,61))),"")</f>
        <v/>
      </c>
      <c r="EZ13" s="62"/>
      <c r="FA13" s="62"/>
      <c r="FB13" s="63"/>
      <c r="FC13" s="36"/>
      <c r="FD13" s="42" t="str">
        <f ca="1">IFERROR(IF(FG4=10,OFFSET(納品書まとめ!$A$1,FG2-1,61),OFFSET(納品書まとめ!$A$1,FG2-1,62)),"")</f>
        <v/>
      </c>
      <c r="FE13" s="36"/>
      <c r="FF13" s="73"/>
      <c r="FG13" s="74"/>
      <c r="FJ13" s="61" t="str">
        <f ca="1">IFERROR(IF(FR4=10,OFFSET(納品書まとめ!$A$1,FR2-1,60),                                                                                                                                                                                                                        IF(COUNTIF(OFFSET(納品書まとめ!$A$1,FR2-1,61),"*●*"),"",OFFSET(納品書まとめ!$A$1,FR2-1,61))),"")</f>
        <v/>
      </c>
      <c r="FK13" s="62"/>
      <c r="FL13" s="62"/>
      <c r="FM13" s="63"/>
      <c r="FN13" s="36"/>
      <c r="FO13" s="42" t="str">
        <f ca="1">IFERROR(IF(FR4=10,OFFSET(納品書まとめ!$A$1,FR2-1,61),OFFSET(納品書まとめ!$A$1,FR2-1,62)),"")</f>
        <v/>
      </c>
      <c r="FP13" s="36"/>
      <c r="FQ13" s="73"/>
      <c r="FR13" s="74"/>
      <c r="FU13" s="61" t="str">
        <f ca="1">IFERROR(IF(GC4=10,OFFSET(納品書まとめ!$A$1,GC2-1,60),                                                                                                                                                                                                                        IF(COUNTIF(OFFSET(納品書まとめ!$A$1,GC2-1,61),"*●*"),"",OFFSET(納品書まとめ!$A$1,GC2-1,61))),"")</f>
        <v/>
      </c>
      <c r="FV13" s="62"/>
      <c r="FW13" s="62"/>
      <c r="FX13" s="63"/>
      <c r="FY13" s="36"/>
      <c r="FZ13" s="42" t="str">
        <f ca="1">IFERROR(IF(GC4=10,OFFSET(納品書まとめ!$A$1,GC2-1,61),OFFSET(納品書まとめ!$A$1,GC2-1,62)),"")</f>
        <v/>
      </c>
      <c r="GA13" s="36"/>
      <c r="GB13" s="73"/>
      <c r="GC13" s="74"/>
      <c r="GF13" s="61" t="str">
        <f ca="1">IFERROR(IF(GN4=10,OFFSET(納品書まとめ!$A$1,GN2-1,60),                                                                                                                                                                                                                        IF(COUNTIF(OFFSET(納品書まとめ!$A$1,GN2-1,61),"*●*"),"",OFFSET(納品書まとめ!$A$1,GN2-1,61))),"")</f>
        <v/>
      </c>
      <c r="GG13" s="62"/>
      <c r="GH13" s="62"/>
      <c r="GI13" s="63"/>
      <c r="GJ13" s="36"/>
      <c r="GK13" s="42" t="str">
        <f ca="1">IFERROR(IF(GN4=10,OFFSET(納品書まとめ!$A$1,GN2-1,61),OFFSET(納品書まとめ!$A$1,GN2-1,62)),"")</f>
        <v/>
      </c>
      <c r="GL13" s="36"/>
      <c r="GM13" s="73"/>
      <c r="GN13" s="74"/>
      <c r="GQ13" s="61" t="str">
        <f ca="1">IFERROR(IF(GY4=10,OFFSET(納品書まとめ!$A$1,GY2-1,60),                                                                                                                                                                                                                        IF(COUNTIF(OFFSET(納品書まとめ!$A$1,GY2-1,61),"*●*"),"",OFFSET(納品書まとめ!$A$1,GY2-1,61))),"")</f>
        <v/>
      </c>
      <c r="GR13" s="62"/>
      <c r="GS13" s="62"/>
      <c r="GT13" s="63"/>
      <c r="GU13" s="36"/>
      <c r="GV13" s="42" t="str">
        <f ca="1">IFERROR(IF(GY4=10,OFFSET(納品書まとめ!$A$1,GY2-1,61),OFFSET(納品書まとめ!$A$1,GY2-1,62)),"")</f>
        <v/>
      </c>
      <c r="GW13" s="36"/>
      <c r="GX13" s="73"/>
      <c r="GY13" s="74"/>
      <c r="HB13" s="61" t="str">
        <f ca="1">IFERROR(IF(HJ4=10,OFFSET(納品書まとめ!$A$1,HJ2-1,60),                                                                                                                                                                                                                        IF(COUNTIF(OFFSET(納品書まとめ!$A$1,HJ2-1,61),"*●*"),"",OFFSET(納品書まとめ!$A$1,HJ2-1,61))),"")</f>
        <v/>
      </c>
      <c r="HC13" s="62"/>
      <c r="HD13" s="62"/>
      <c r="HE13" s="63"/>
      <c r="HF13" s="36"/>
      <c r="HG13" s="42" t="str">
        <f ca="1">IFERROR(IF(HJ4=10,OFFSET(納品書まとめ!$A$1,HJ2-1,61),OFFSET(納品書まとめ!$A$1,HJ2-1,62)),"")</f>
        <v/>
      </c>
      <c r="HH13" s="36"/>
      <c r="HI13" s="73"/>
      <c r="HJ13" s="74"/>
      <c r="HM13" s="61" t="str">
        <f ca="1">IFERROR(IF(HU4=10,OFFSET(納品書まとめ!$A$1,HU2-1,60),                                                                                                                                                                                                                        IF(COUNTIF(OFFSET(納品書まとめ!$A$1,HU2-1,61),"*●*"),"",OFFSET(納品書まとめ!$A$1,HU2-1,61))),"")</f>
        <v/>
      </c>
      <c r="HN13" s="62"/>
      <c r="HO13" s="62"/>
      <c r="HP13" s="63"/>
      <c r="HQ13" s="36"/>
      <c r="HR13" s="42" t="str">
        <f ca="1">IFERROR(IF(HU4=10,OFFSET(納品書まとめ!$A$1,HU2-1,61),OFFSET(納品書まとめ!$A$1,HU2-1,62)),"")</f>
        <v/>
      </c>
      <c r="HS13" s="36"/>
      <c r="HT13" s="73"/>
      <c r="HU13" s="74"/>
      <c r="HX13" s="61" t="str">
        <f ca="1">IFERROR(IF(IF4=10,OFFSET(納品書まとめ!$A$1,IF2-1,60),                                                                                                                                                                                                                        IF(COUNTIF(OFFSET(納品書まとめ!$A$1,IF2-1,61),"*●*"),"",OFFSET(納品書まとめ!$A$1,IF2-1,61))),"")</f>
        <v/>
      </c>
      <c r="HY13" s="62"/>
      <c r="HZ13" s="62"/>
      <c r="IA13" s="63"/>
      <c r="IB13" s="36"/>
      <c r="IC13" s="42" t="str">
        <f ca="1">IFERROR(IF(IF4=10,OFFSET(納品書まとめ!$A$1,IF2-1,61),OFFSET(納品書まとめ!$A$1,IF2-1,62)),"")</f>
        <v/>
      </c>
      <c r="ID13" s="36"/>
      <c r="IE13" s="73"/>
      <c r="IF13" s="74"/>
      <c r="II13" s="61" t="str">
        <f ca="1">IFERROR(IF(IQ4=10,OFFSET(納品書まとめ!$A$1,IQ2-1,60),                                                                                                                                                                                                                        IF(COUNTIF(OFFSET(納品書まとめ!$A$1,IQ2-1,61),"*●*"),"",OFFSET(納品書まとめ!$A$1,IQ2-1,61))),"")</f>
        <v/>
      </c>
      <c r="IJ13" s="62"/>
      <c r="IK13" s="62"/>
      <c r="IL13" s="63"/>
      <c r="IM13" s="36"/>
      <c r="IN13" s="42" t="str">
        <f ca="1">IFERROR(IF(IQ4=10,OFFSET(納品書まとめ!$A$1,IQ2-1,61),OFFSET(納品書まとめ!$A$1,IQ2-1,62)),"")</f>
        <v/>
      </c>
      <c r="IO13" s="36"/>
      <c r="IP13" s="73"/>
      <c r="IQ13" s="74"/>
      <c r="IT13" s="61" t="str">
        <f ca="1">IFERROR(IF(JB4=10,OFFSET(納品書まとめ!$A$1,JB2-1,60),                                                                                                                                                                                                                        IF(COUNTIF(OFFSET(納品書まとめ!$A$1,JB2-1,61),"*●*"),"",OFFSET(納品書まとめ!$A$1,JB2-1,61))),"")</f>
        <v/>
      </c>
      <c r="IU13" s="62"/>
      <c r="IV13" s="62"/>
      <c r="IW13" s="63"/>
      <c r="IX13" s="36"/>
      <c r="IY13" s="42" t="str">
        <f ca="1">IFERROR(IF(JB4=10,OFFSET(納品書まとめ!$A$1,JB2-1,61),OFFSET(納品書まとめ!$A$1,JB2-1,62)),"")</f>
        <v/>
      </c>
      <c r="IZ13" s="36"/>
      <c r="JA13" s="73"/>
      <c r="JB13" s="74"/>
      <c r="JE13" s="61" t="str">
        <f ca="1">IFERROR(IF(JM4=10,OFFSET(納品書まとめ!$A$1,JM2-1,60),                                                                                                                                                                                                                        IF(COUNTIF(OFFSET(納品書まとめ!$A$1,JM2-1,61),"*●*"),"",OFFSET(納品書まとめ!$A$1,JM2-1,61))),"")</f>
        <v/>
      </c>
      <c r="JF13" s="62"/>
      <c r="JG13" s="62"/>
      <c r="JH13" s="63"/>
      <c r="JI13" s="36"/>
      <c r="JJ13" s="42" t="str">
        <f ca="1">IFERROR(IF(JM4=10,OFFSET(納品書まとめ!$A$1,JM2-1,61),OFFSET(納品書まとめ!$A$1,JM2-1,62)),"")</f>
        <v/>
      </c>
      <c r="JK13" s="36"/>
      <c r="JL13" s="73"/>
      <c r="JM13" s="74"/>
      <c r="JP13" s="61" t="str">
        <f ca="1">IFERROR(IF(JX4=10,OFFSET(納品書まとめ!$A$1,JX2-1,60),                                                                                                                                                                                                                        IF(COUNTIF(OFFSET(納品書まとめ!$A$1,JX2-1,61),"*●*"),"",OFFSET(納品書まとめ!$A$1,JX2-1,61))),"")</f>
        <v/>
      </c>
      <c r="JQ13" s="62"/>
      <c r="JR13" s="62"/>
      <c r="JS13" s="63"/>
      <c r="JT13" s="36"/>
      <c r="JU13" s="42" t="str">
        <f ca="1">IFERROR(IF(JX4=10,OFFSET(納品書まとめ!$A$1,JX2-1,61),OFFSET(納品書まとめ!$A$1,JX2-1,62)),"")</f>
        <v/>
      </c>
      <c r="JV13" s="36"/>
      <c r="JW13" s="73"/>
      <c r="JX13" s="74"/>
      <c r="KA13" s="61" t="str">
        <f ca="1">IFERROR(IF(KI4=10,OFFSET(納品書まとめ!$A$1,KI2-1,60),                                                                                                                                                                                                                        IF(COUNTIF(OFFSET(納品書まとめ!$A$1,KI2-1,61),"*●*"),"",OFFSET(納品書まとめ!$A$1,KI2-1,61))),"")</f>
        <v/>
      </c>
      <c r="KB13" s="62"/>
      <c r="KC13" s="62"/>
      <c r="KD13" s="63"/>
      <c r="KE13" s="36"/>
      <c r="KF13" s="42" t="str">
        <f ca="1">IFERROR(IF(KI4=10,OFFSET(納品書まとめ!$A$1,KI2-1,61),OFFSET(納品書まとめ!$A$1,KI2-1,62)),"")</f>
        <v/>
      </c>
      <c r="KG13" s="36"/>
      <c r="KH13" s="73"/>
      <c r="KI13" s="74"/>
      <c r="KL13" s="61" t="str">
        <f ca="1">IFERROR(IF(KT4=10,OFFSET(納品書まとめ!$A$1,KT2-1,60),                                                                                                                                                                                                                        IF(COUNTIF(OFFSET(納品書まとめ!$A$1,KT2-1,61),"*●*"),"",OFFSET(納品書まとめ!$A$1,KT2-1,61))),"")</f>
        <v>弁当　先生</v>
      </c>
      <c r="KM13" s="62"/>
      <c r="KN13" s="62"/>
      <c r="KO13" s="63"/>
      <c r="KP13" s="36"/>
      <c r="KQ13" s="42">
        <f ca="1">IFERROR(IF(KT4=10,OFFSET(納品書まとめ!$A$1,KT2-1,61),OFFSET(納品書まとめ!$A$1,KT2-1,62)),"")</f>
        <v>15</v>
      </c>
      <c r="KR13" s="36"/>
      <c r="KS13" s="73"/>
      <c r="KT13" s="74"/>
      <c r="KW13" s="61" t="str">
        <f ca="1">IFERROR(IF(LE4=10,OFFSET(納品書まとめ!$A$1,LE2-1,60),                                                                                                                                                                                                                        IF(COUNTIF(OFFSET(納品書まとめ!$A$1,LE2-1,61),"*●*"),"",OFFSET(納品書まとめ!$A$1,LE2-1,61))),"")</f>
        <v/>
      </c>
      <c r="KX13" s="62"/>
      <c r="KY13" s="62"/>
      <c r="KZ13" s="63"/>
      <c r="LA13" s="36"/>
      <c r="LB13" s="42" t="str">
        <f ca="1">IFERROR(IF(LE4=10,OFFSET(納品書まとめ!$A$1,LE2-1,61),OFFSET(納品書まとめ!$A$1,LE2-1,62)),"")</f>
        <v/>
      </c>
      <c r="LC13" s="36"/>
      <c r="LD13" s="73"/>
      <c r="LE13" s="74"/>
      <c r="LH13" s="61" t="str">
        <f ca="1">IFERROR(IF(LP4=10,OFFSET(納品書まとめ!$A$1,LP2-1,60),                                                                                                                                                                                                                        IF(COUNTIF(OFFSET(納品書まとめ!$A$1,LP2-1,61),"*●*"),"",OFFSET(納品書まとめ!$A$1,LP2-1,61))),"")</f>
        <v>弁当　予備</v>
      </c>
      <c r="LI13" s="62"/>
      <c r="LJ13" s="62"/>
      <c r="LK13" s="63"/>
      <c r="LL13" s="36"/>
      <c r="LM13" s="42" t="str">
        <f ca="1">IFERROR(IF(LP4=10,OFFSET(納品書まとめ!$A$1,LP2-1,61),OFFSET(納品書まとめ!$A$1,LP2-1,62)),"")</f>
        <v>3</v>
      </c>
      <c r="LN13" s="36"/>
      <c r="LO13" s="73"/>
      <c r="LP13" s="74"/>
      <c r="LS13" s="61" t="str">
        <f ca="1">IFERROR(IF(MA4=10,OFFSET(納品書まとめ!$A$1,MA2-1,60),                                                                                                                                                                                                                        IF(COUNTIF(OFFSET(納品書まとめ!$A$1,MA2-1,61),"*●*"),"",OFFSET(納品書まとめ!$A$1,MA2-1,61))),"")</f>
        <v/>
      </c>
      <c r="LT13" s="62"/>
      <c r="LU13" s="62"/>
      <c r="LV13" s="63"/>
      <c r="LW13" s="36"/>
      <c r="LX13" s="42" t="str">
        <f ca="1">IFERROR(IF(MA4=10,OFFSET(納品書まとめ!$A$1,MA2-1,61),OFFSET(納品書まとめ!$A$1,MA2-1,62)),"")</f>
        <v/>
      </c>
      <c r="LY13" s="36"/>
      <c r="LZ13" s="73"/>
      <c r="MA13" s="74"/>
      <c r="MD13" s="61" t="str">
        <f ca="1">IFERROR(IF(ML4=10,OFFSET(納品書まとめ!$A$1,ML2-1,60),                                                                                                                                                                                                                        IF(COUNTIF(OFFSET(納品書まとめ!$A$1,ML2-1,61),"*●*"),"",OFFSET(納品書まとめ!$A$1,ML2-1,61))),"")</f>
        <v>弁当　予備</v>
      </c>
      <c r="ME13" s="62"/>
      <c r="MF13" s="62"/>
      <c r="MG13" s="63"/>
      <c r="MH13" s="36"/>
      <c r="MI13" s="42" t="str">
        <f ca="1">IFERROR(IF(ML4=10,OFFSET(納品書まとめ!$A$1,ML2-1,61),OFFSET(納品書まとめ!$A$1,ML2-1,62)),"")</f>
        <v>3</v>
      </c>
      <c r="MJ13" s="36"/>
      <c r="MK13" s="73"/>
      <c r="ML13" s="74"/>
      <c r="MO13" s="61" t="str">
        <f ca="1">IFERROR(IF(MW4=10,OFFSET(納品書まとめ!$A$1,MW2-1,60),                                                                                                                                                                                                                        IF(COUNTIF(OFFSET(納品書まとめ!$A$1,MW2-1,61),"*●*"),"",OFFSET(納品書まとめ!$A$1,MW2-1,61))),"")</f>
        <v/>
      </c>
      <c r="MP13" s="62"/>
      <c r="MQ13" s="62"/>
      <c r="MR13" s="63"/>
      <c r="MS13" s="36"/>
      <c r="MT13" s="42" t="str">
        <f ca="1">IFERROR(IF(MW4=10,OFFSET(納品書まとめ!$A$1,MW2-1,61),OFFSET(納品書まとめ!$A$1,MW2-1,62)),"")</f>
        <v/>
      </c>
      <c r="MU13" s="36"/>
      <c r="MV13" s="73"/>
      <c r="MW13" s="74"/>
      <c r="MZ13" s="61" t="str">
        <f ca="1">IFERROR(IF(NH4=10,OFFSET(納品書まとめ!$A$1,NH2-1,60),                                                                                                                                                                                                                        IF(COUNTIF(OFFSET(納品書まとめ!$A$1,NH2-1,61),"*●*"),"",OFFSET(納品書まとめ!$A$1,NH2-1,61))),"")</f>
        <v/>
      </c>
      <c r="NA13" s="62"/>
      <c r="NB13" s="62"/>
      <c r="NC13" s="63"/>
      <c r="ND13" s="36"/>
      <c r="NE13" s="42" t="str">
        <f ca="1">IFERROR(IF(NH4=10,OFFSET(納品書まとめ!$A$1,NH2-1,61),OFFSET(納品書まとめ!$A$1,NH2-1,62)),"")</f>
        <v/>
      </c>
      <c r="NF13" s="36"/>
      <c r="NG13" s="73"/>
      <c r="NH13" s="74"/>
      <c r="NK13" s="61" t="str">
        <f ca="1">IFERROR(IF(NS4=10,OFFSET(納品書まとめ!$A$1,NS2-1,60),                                                                                                                                                                                                                        IF(COUNTIF(OFFSET(納品書まとめ!$A$1,NS2-1,61),"*●*"),"",OFFSET(納品書まとめ!$A$1,NS2-1,61))),"")</f>
        <v/>
      </c>
      <c r="NL13" s="62"/>
      <c r="NM13" s="62"/>
      <c r="NN13" s="63"/>
      <c r="NO13" s="36"/>
      <c r="NP13" s="42" t="str">
        <f ca="1">IFERROR(IF(NS4=10,OFFSET(納品書まとめ!$A$1,NS2-1,61),OFFSET(納品書まとめ!$A$1,NS2-1,62)),"")</f>
        <v/>
      </c>
      <c r="NQ13" s="36"/>
      <c r="NR13" s="73"/>
      <c r="NS13" s="74"/>
      <c r="NV13" s="61" t="str">
        <f ca="1">IFERROR(IF(OD4=10,OFFSET(納品書まとめ!$A$1,OD2-1,60),                                                                                                                                                                                                                        IF(COUNTIF(OFFSET(納品書まとめ!$A$1,OD2-1,61),"*●*"),"",OFFSET(納品書まとめ!$A$1,OD2-1,61))),"")</f>
        <v/>
      </c>
      <c r="NW13" s="62"/>
      <c r="NX13" s="62"/>
      <c r="NY13" s="63"/>
      <c r="NZ13" s="36"/>
      <c r="OA13" s="42" t="str">
        <f ca="1">IFERROR(IF(OD4=10,OFFSET(納品書まとめ!$A$1,OD2-1,61),OFFSET(納品書まとめ!$A$1,OD2-1,62)),"")</f>
        <v/>
      </c>
      <c r="OB13" s="36"/>
      <c r="OC13" s="73"/>
      <c r="OD13" s="74"/>
      <c r="OG13" s="61" t="str">
        <f ca="1">IFERROR(IF(OO4=10,OFFSET(納品書まとめ!$A$1,OO2-1,60),                                                                                                                                                                                                                        IF(COUNTIF(OFFSET(納品書まとめ!$A$1,OO2-1,61),"*●*"),"",OFFSET(納品書まとめ!$A$1,OO2-1,61))),"")</f>
        <v/>
      </c>
      <c r="OH13" s="62"/>
      <c r="OI13" s="62"/>
      <c r="OJ13" s="63"/>
      <c r="OK13" s="36"/>
      <c r="OL13" s="42" t="str">
        <f ca="1">IFERROR(IF(OO4=10,OFFSET(納品書まとめ!$A$1,OO2-1,61),OFFSET(納品書まとめ!$A$1,OO2-1,62)),"")</f>
        <v/>
      </c>
      <c r="OM13" s="36"/>
      <c r="ON13" s="73"/>
      <c r="OO13" s="74"/>
      <c r="OR13" s="61" t="str">
        <f ca="1">IFERROR(IF(OZ4=10,OFFSET(納品書まとめ!$A$1,OZ2-1,60),                                                                                                                                                                                                                        IF(COUNTIF(OFFSET(納品書まとめ!$A$1,OZ2-1,61),"*●*"),"",OFFSET(納品書まとめ!$A$1,OZ2-1,61))),"")</f>
        <v/>
      </c>
      <c r="OS13" s="62"/>
      <c r="OT13" s="62"/>
      <c r="OU13" s="63"/>
      <c r="OV13" s="36"/>
      <c r="OW13" s="42" t="str">
        <f ca="1">IFERROR(IF(OZ4=10,OFFSET(納品書まとめ!$A$1,OZ2-1,61),OFFSET(納品書まとめ!$A$1,OZ2-1,62)),"")</f>
        <v/>
      </c>
      <c r="OX13" s="36"/>
      <c r="OY13" s="73"/>
      <c r="OZ13" s="74"/>
      <c r="PC13" s="61" t="str">
        <f ca="1">IFERROR(IF(PK4=10,OFFSET(納品書まとめ!$A$1,PK2-1,60),                                                                                                                                                                                                                        IF(COUNTIF(OFFSET(納品書まとめ!$A$1,PK2-1,61),"*●*"),"",OFFSET(納品書まとめ!$A$1,PK2-1,61))),"")</f>
        <v/>
      </c>
      <c r="PD13" s="62"/>
      <c r="PE13" s="62"/>
      <c r="PF13" s="63"/>
      <c r="PG13" s="36"/>
      <c r="PH13" s="42" t="str">
        <f ca="1">IFERROR(IF(PK4=10,OFFSET(納品書まとめ!$A$1,PK2-1,61),OFFSET(納品書まとめ!$A$1,PK2-1,62)),"")</f>
        <v/>
      </c>
      <c r="PI13" s="36"/>
      <c r="PJ13" s="73"/>
      <c r="PK13" s="74"/>
      <c r="PN13" s="61" t="str">
        <f ca="1">IFERROR(IF(PV4=10,OFFSET(納品書まとめ!$A$1,PV2-1,60),                                                                                                                                                                                                                        IF(COUNTIF(OFFSET(納品書まとめ!$A$1,PV2-1,61),"*●*"),"",OFFSET(納品書まとめ!$A$1,PV2-1,61))),"")</f>
        <v/>
      </c>
      <c r="PO13" s="62"/>
      <c r="PP13" s="62"/>
      <c r="PQ13" s="63"/>
      <c r="PR13" s="36"/>
      <c r="PS13" s="42" t="str">
        <f ca="1">IFERROR(IF(PV4=10,OFFSET(納品書まとめ!$A$1,PV2-1,61),OFFSET(納品書まとめ!$A$1,PV2-1,62)),"")</f>
        <v/>
      </c>
      <c r="PT13" s="36"/>
      <c r="PU13" s="73"/>
      <c r="PV13" s="74"/>
      <c r="PY13" s="61" t="str">
        <f ca="1">IFERROR(IF(QG4=10,OFFSET(納品書まとめ!$A$1,QG2-1,60),                                                                                                                                                                                                                        IF(COUNTIF(OFFSET(納品書まとめ!$A$1,QG2-1,61),"*●*"),"",OFFSET(納品書まとめ!$A$1,QG2-1,61))),"")</f>
        <v/>
      </c>
      <c r="PZ13" s="62"/>
      <c r="QA13" s="62"/>
      <c r="QB13" s="63"/>
      <c r="QC13" s="36"/>
      <c r="QD13" s="42" t="str">
        <f ca="1">IFERROR(IF(QG4=10,OFFSET(納品書まとめ!$A$1,QG2-1,61),OFFSET(納品書まとめ!$A$1,QG2-1,62)),"")</f>
        <v/>
      </c>
      <c r="QE13" s="36"/>
      <c r="QF13" s="73"/>
      <c r="QG13" s="74"/>
      <c r="QJ13" s="61" t="str">
        <f ca="1">IFERROR(IF(QR4=10,OFFSET(納品書まとめ!$A$1,QR2-1,60),                                                                                                                                                                                                                        IF(COUNTIF(OFFSET(納品書まとめ!$A$1,QR2-1,61),"*●*"),"",OFFSET(納品書まとめ!$A$1,QR2-1,61))),"")</f>
        <v/>
      </c>
      <c r="QK13" s="62"/>
      <c r="QL13" s="62"/>
      <c r="QM13" s="63"/>
      <c r="QN13" s="36"/>
      <c r="QO13" s="42" t="str">
        <f ca="1">IFERROR(IF(QR4=10,OFFSET(納品書まとめ!$A$1,QR2-1,61),OFFSET(納品書まとめ!$A$1,QR2-1,62)),"")</f>
        <v/>
      </c>
      <c r="QP13" s="36"/>
      <c r="QQ13" s="73"/>
      <c r="QR13" s="74"/>
      <c r="QU13" s="61" t="str">
        <f ca="1">IFERROR(IF(RC4=10,OFFSET(納品書まとめ!$A$1,RC2-1,60),                                                                                                                                                                                                                        IF(COUNTIF(OFFSET(納品書まとめ!$A$1,RC2-1,61),"*●*"),"",OFFSET(納品書まとめ!$A$1,RC2-1,61))),"")</f>
        <v/>
      </c>
      <c r="QV13" s="62"/>
      <c r="QW13" s="62"/>
      <c r="QX13" s="63"/>
      <c r="QY13" s="36"/>
      <c r="QZ13" s="42" t="str">
        <f ca="1">IFERROR(IF(RC4=10,OFFSET(納品書まとめ!$A$1,RC2-1,61),OFFSET(納品書まとめ!$A$1,RC2-1,62)),"")</f>
        <v/>
      </c>
      <c r="RA13" s="36"/>
      <c r="RB13" s="73"/>
      <c r="RC13" s="74"/>
      <c r="RF13" s="61" t="str">
        <f ca="1">IFERROR(IF(RN4=10,OFFSET(納品書まとめ!$A$1,RN2-1,60),                                                                                                                                                                                                                        IF(COUNTIF(OFFSET(納品書まとめ!$A$1,RN2-1,61),"*●*"),"",OFFSET(納品書まとめ!$A$1,RN2-1,61))),"")</f>
        <v/>
      </c>
      <c r="RG13" s="62"/>
      <c r="RH13" s="62"/>
      <c r="RI13" s="63"/>
      <c r="RJ13" s="36"/>
      <c r="RK13" s="42" t="str">
        <f ca="1">IFERROR(IF(RN4=10,OFFSET(納品書まとめ!$A$1,RN2-1,61),OFFSET(納品書まとめ!$A$1,RN2-1,62)),"")</f>
        <v/>
      </c>
      <c r="RL13" s="36"/>
      <c r="RM13" s="73"/>
      <c r="RN13" s="74"/>
      <c r="RQ13" s="61" t="str">
        <f ca="1">IFERROR(IF(RY4=10,OFFSET(納品書まとめ!$A$1,RY2-1,60),                                                                                                                                                                                                                        IF(COUNTIF(OFFSET(納品書まとめ!$A$1,RY2-1,61),"*●*"),"",OFFSET(納品書まとめ!$A$1,RY2-1,61))),"")</f>
        <v/>
      </c>
      <c r="RR13" s="62"/>
      <c r="RS13" s="62"/>
      <c r="RT13" s="63"/>
      <c r="RU13" s="36"/>
      <c r="RV13" s="42" t="str">
        <f ca="1">IFERROR(IF(RY4=10,OFFSET(納品書まとめ!$A$1,RY2-1,61),OFFSET(納品書まとめ!$A$1,RY2-1,62)),"")</f>
        <v/>
      </c>
      <c r="RW13" s="36"/>
      <c r="RX13" s="73"/>
      <c r="RY13" s="74"/>
      <c r="SB13" s="61" t="str">
        <f ca="1">IFERROR(IF(SJ4=10,OFFSET(納品書まとめ!$A$1,SJ2-1,60),                                                                                                                                                                                                                        IF(COUNTIF(OFFSET(納品書まとめ!$A$1,SJ2-1,61),"*●*"),"",OFFSET(納品書まとめ!$A$1,SJ2-1,61))),"")</f>
        <v/>
      </c>
      <c r="SC13" s="62"/>
      <c r="SD13" s="62"/>
      <c r="SE13" s="63"/>
      <c r="SF13" s="36"/>
      <c r="SG13" s="42" t="str">
        <f ca="1">IFERROR(IF(SJ4=10,OFFSET(納品書まとめ!$A$1,SJ2-1,61),OFFSET(納品書まとめ!$A$1,SJ2-1,62)),"")</f>
        <v/>
      </c>
      <c r="SH13" s="36"/>
      <c r="SI13" s="73"/>
      <c r="SJ13" s="74"/>
      <c r="SM13" s="61" t="str">
        <f ca="1">IFERROR(IF(SU4=10,OFFSET(納品書まとめ!$A$1,SU2-1,60),                                                                                                                                                                                                                        IF(COUNTIF(OFFSET(納品書まとめ!$A$1,SU2-1,61),"*●*"),"",OFFSET(納品書まとめ!$A$1,SU2-1,61))),"")</f>
        <v/>
      </c>
      <c r="SN13" s="62"/>
      <c r="SO13" s="62"/>
      <c r="SP13" s="63"/>
      <c r="SQ13" s="36"/>
      <c r="SR13" s="42" t="str">
        <f ca="1">IFERROR(IF(SU4=10,OFFSET(納品書まとめ!$A$1,SU2-1,61),OFFSET(納品書まとめ!$A$1,SU2-1,62)),"")</f>
        <v/>
      </c>
      <c r="SS13" s="36"/>
      <c r="ST13" s="73"/>
      <c r="SU13" s="74"/>
      <c r="SX13" s="61" t="str">
        <f ca="1">IFERROR(IF(TF4=10,OFFSET(納品書まとめ!$A$1,TF2-1,60),                                                                                                                                                                                                                        IF(COUNTIF(OFFSET(納品書まとめ!$A$1,TF2-1,61),"*●*"),"",OFFSET(納品書まとめ!$A$1,TF2-1,61))),"")</f>
        <v/>
      </c>
      <c r="SY13" s="62"/>
      <c r="SZ13" s="62"/>
      <c r="TA13" s="63"/>
      <c r="TB13" s="36"/>
      <c r="TC13" s="42" t="str">
        <f ca="1">IFERROR(IF(TF4=10,OFFSET(納品書まとめ!$A$1,TF2-1,61),OFFSET(納品書まとめ!$A$1,TF2-1,62)),"")</f>
        <v/>
      </c>
      <c r="TD13" s="36"/>
      <c r="TE13" s="73"/>
      <c r="TF13" s="74"/>
      <c r="TI13" s="61" t="str">
        <f ca="1">IFERROR(IF(TQ4=10,OFFSET(納品書まとめ!$A$1,TQ2-1,60),                                                                                                                                                                                                                        IF(COUNTIF(OFFSET(納品書まとめ!$A$1,TQ2-1,61),"*●*"),"",OFFSET(納品書まとめ!$A$1,TQ2-1,61))),"")</f>
        <v/>
      </c>
      <c r="TJ13" s="62"/>
      <c r="TK13" s="62"/>
      <c r="TL13" s="63"/>
      <c r="TM13" s="36"/>
      <c r="TN13" s="42" t="str">
        <f ca="1">IFERROR(IF(TQ4=10,OFFSET(納品書まとめ!$A$1,TQ2-1,61),OFFSET(納品書まとめ!$A$1,TQ2-1,62)),"")</f>
        <v/>
      </c>
      <c r="TO13" s="36"/>
      <c r="TP13" s="73"/>
      <c r="TQ13" s="74"/>
      <c r="TT13" s="61" t="str">
        <f ca="1">IFERROR(IF(UB4=10,OFFSET(納品書まとめ!$A$1,UB2-1,60),                                                                                                                                                                                                                        IF(COUNTIF(OFFSET(納品書まとめ!$A$1,UB2-1,61),"*●*"),"",OFFSET(納品書まとめ!$A$1,UB2-1,61))),"")</f>
        <v/>
      </c>
      <c r="TU13" s="62"/>
      <c r="TV13" s="62"/>
      <c r="TW13" s="63"/>
      <c r="TX13" s="36"/>
      <c r="TY13" s="42" t="str">
        <f ca="1">IFERROR(IF(UB4=10,OFFSET(納品書まとめ!$A$1,UB2-1,61),OFFSET(納品書まとめ!$A$1,UB2-1,62)),"")</f>
        <v/>
      </c>
      <c r="TZ13" s="36"/>
      <c r="UA13" s="73"/>
      <c r="UB13" s="74"/>
      <c r="UE13" s="61" t="str">
        <f ca="1">IFERROR(IF(UM4=10,OFFSET(納品書まとめ!$A$1,UM2-1,60),                                                                                                                                                                                                                        IF(COUNTIF(OFFSET(納品書まとめ!$A$1,UM2-1,61),"*●*"),"",OFFSET(納品書まとめ!$A$1,UM2-1,61))),"")</f>
        <v/>
      </c>
      <c r="UF13" s="62"/>
      <c r="UG13" s="62"/>
      <c r="UH13" s="63"/>
      <c r="UI13" s="36"/>
      <c r="UJ13" s="42" t="str">
        <f ca="1">IFERROR(IF(UM4=10,OFFSET(納品書まとめ!$A$1,UM2-1,61),OFFSET(納品書まとめ!$A$1,UM2-1,62)),"")</f>
        <v/>
      </c>
      <c r="UK13" s="36"/>
      <c r="UL13" s="73"/>
      <c r="UM13" s="74"/>
      <c r="UP13" s="61" t="str">
        <f ca="1">IFERROR(IF(UX4=10,OFFSET(納品書まとめ!$A$1,UX2-1,60),                                                                                                                                                                                                                        IF(COUNTIF(OFFSET(納品書まとめ!$A$1,UX2-1,61),"*●*"),"",OFFSET(納品書まとめ!$A$1,UX2-1,61))),"")</f>
        <v/>
      </c>
      <c r="UQ13" s="62"/>
      <c r="UR13" s="62"/>
      <c r="US13" s="63"/>
      <c r="UT13" s="36"/>
      <c r="UU13" s="42" t="str">
        <f ca="1">IFERROR(IF(UX4=10,OFFSET(納品書まとめ!$A$1,UX2-1,61),OFFSET(納品書まとめ!$A$1,UX2-1,62)),"")</f>
        <v/>
      </c>
      <c r="UV13" s="36"/>
      <c r="UW13" s="73"/>
      <c r="UX13" s="74"/>
      <c r="VA13" s="61" t="str">
        <f ca="1">IFERROR(IF(VI4=10,OFFSET(納品書まとめ!$A$1,VI2-1,60),                                                                                                                                                                                                                        IF(COUNTIF(OFFSET(納品書まとめ!$A$1,VI2-1,61),"*●*"),"",OFFSET(納品書まとめ!$A$1,VI2-1,61))),"")</f>
        <v/>
      </c>
      <c r="VB13" s="62"/>
      <c r="VC13" s="62"/>
      <c r="VD13" s="63"/>
      <c r="VE13" s="36"/>
      <c r="VF13" s="42" t="str">
        <f ca="1">IFERROR(IF(VI4=10,OFFSET(納品書まとめ!$A$1,VI2-1,61),OFFSET(納品書まとめ!$A$1,VI2-1,62)),"")</f>
        <v/>
      </c>
      <c r="VG13" s="36"/>
      <c r="VH13" s="73"/>
      <c r="VI13" s="74"/>
      <c r="VL13" s="61" t="str">
        <f ca="1">IFERROR(IF(VT4=10,OFFSET(納品書まとめ!$A$1,VT2-1,60),                                                                                                                                                                                                                        IF(COUNTIF(OFFSET(納品書まとめ!$A$1,VT2-1,61),"*●*"),"",OFFSET(納品書まとめ!$A$1,VT2-1,61))),"")</f>
        <v/>
      </c>
      <c r="VM13" s="62"/>
      <c r="VN13" s="62"/>
      <c r="VO13" s="63"/>
      <c r="VP13" s="36"/>
      <c r="VQ13" s="42" t="str">
        <f ca="1">IFERROR(IF(VT4=10,OFFSET(納品書まとめ!$A$1,VT2-1,61),OFFSET(納品書まとめ!$A$1,VT2-1,62)),"")</f>
        <v/>
      </c>
      <c r="VR13" s="36"/>
      <c r="VS13" s="73"/>
      <c r="VT13" s="74"/>
      <c r="VW13" s="61" t="str">
        <f ca="1">IFERROR(IF(WE4=10,OFFSET(納品書まとめ!$A$1,WE2-1,60),                                                                                                                                                                                                                        IF(COUNTIF(OFFSET(納品書まとめ!$A$1,WE2-1,61),"*●*"),"",OFFSET(納品書まとめ!$A$1,WE2-1,61))),"")</f>
        <v/>
      </c>
      <c r="VX13" s="62"/>
      <c r="VY13" s="62"/>
      <c r="VZ13" s="63"/>
      <c r="WA13" s="36"/>
      <c r="WB13" s="42" t="str">
        <f ca="1">IFERROR(IF(WE4=10,OFFSET(納品書まとめ!$A$1,WE2-1,61),OFFSET(納品書まとめ!$A$1,WE2-1,62)),"")</f>
        <v/>
      </c>
      <c r="WC13" s="36"/>
      <c r="WD13" s="73"/>
      <c r="WE13" s="74"/>
      <c r="WH13" s="61" t="str">
        <f ca="1">IFERROR(IF(WP4=10,OFFSET(納品書まとめ!$A$1,WP2-1,60),                                                                                                                                                                                                                        IF(COUNTIF(OFFSET(納品書まとめ!$A$1,WP2-1,61),"*●*"),"",OFFSET(納品書まとめ!$A$1,WP2-1,61))),"")</f>
        <v/>
      </c>
      <c r="WI13" s="62"/>
      <c r="WJ13" s="62"/>
      <c r="WK13" s="63"/>
      <c r="WL13" s="36"/>
      <c r="WM13" s="42" t="str">
        <f ca="1">IFERROR(IF(WP4=10,OFFSET(納品書まとめ!$A$1,WP2-1,61),OFFSET(納品書まとめ!$A$1,WP2-1,62)),"")</f>
        <v/>
      </c>
      <c r="WN13" s="36"/>
      <c r="WO13" s="73"/>
      <c r="WP13" s="74"/>
      <c r="WS13" s="61" t="str">
        <f ca="1">IFERROR(IF(XA4=10,OFFSET(納品書まとめ!$A$1,XA2-1,60),                                                                                                                                                                                                                        IF(COUNTIF(OFFSET(納品書まとめ!$A$1,XA2-1,61),"*●*"),"",OFFSET(納品書まとめ!$A$1,XA2-1,61))),"")</f>
        <v/>
      </c>
      <c r="WT13" s="62"/>
      <c r="WU13" s="62"/>
      <c r="WV13" s="63"/>
      <c r="WW13" s="36"/>
      <c r="WX13" s="42" t="str">
        <f ca="1">IFERROR(IF(XA4=10,OFFSET(納品書まとめ!$A$1,XA2-1,61),OFFSET(納品書まとめ!$A$1,XA2-1,62)),"")</f>
        <v/>
      </c>
      <c r="WY13" s="36"/>
      <c r="WZ13" s="73"/>
      <c r="XA13" s="74"/>
      <c r="XD13" s="61" t="str">
        <f ca="1">IFERROR(IF(XL4=10,OFFSET(納品書まとめ!$A$1,XL2-1,60),                                                                                                                                                                                                                        IF(COUNTIF(OFFSET(納品書まとめ!$A$1,XL2-1,61),"*●*"),"",OFFSET(納品書まとめ!$A$1,XL2-1,61))),"")</f>
        <v/>
      </c>
      <c r="XE13" s="62"/>
      <c r="XF13" s="62"/>
      <c r="XG13" s="63"/>
      <c r="XH13" s="36"/>
      <c r="XI13" s="42" t="str">
        <f ca="1">IFERROR(IF(XL4=10,OFFSET(納品書まとめ!$A$1,XL2-1,61),OFFSET(納品書まとめ!$A$1,XL2-1,62)),"")</f>
        <v/>
      </c>
      <c r="XJ13" s="36"/>
      <c r="XK13" s="73"/>
      <c r="XL13" s="74"/>
      <c r="XO13" s="61" t="str">
        <f ca="1">IFERROR(IF(XW4=10,OFFSET(納品書まとめ!$A$1,XW2-1,60),                                                                                                                                                                                                                        IF(COUNTIF(OFFSET(納品書まとめ!$A$1,XW2-1,61),"*●*"),"",OFFSET(納品書まとめ!$A$1,XW2-1,61))),"")</f>
        <v/>
      </c>
      <c r="XP13" s="62"/>
      <c r="XQ13" s="62"/>
      <c r="XR13" s="63"/>
      <c r="XS13" s="36"/>
      <c r="XT13" s="42" t="str">
        <f ca="1">IFERROR(IF(XW4=10,OFFSET(納品書まとめ!$A$1,XW2-1,61),OFFSET(納品書まとめ!$A$1,XW2-1,62)),"")</f>
        <v/>
      </c>
      <c r="XU13" s="36"/>
      <c r="XV13" s="73"/>
      <c r="XW13" s="74"/>
      <c r="XZ13" s="61" t="str">
        <f ca="1">IFERROR(IF(YH4=10,OFFSET(納品書まとめ!$A$1,YH2-1,60),                                                                                                                                                                                                                        IF(COUNTIF(OFFSET(納品書まとめ!$A$1,YH2-1,61),"*●*"),"",OFFSET(納品書まとめ!$A$1,YH2-1,61))),"")</f>
        <v/>
      </c>
      <c r="YA13" s="62"/>
      <c r="YB13" s="62"/>
      <c r="YC13" s="63"/>
      <c r="YD13" s="36"/>
      <c r="YE13" s="42" t="str">
        <f ca="1">IFERROR(IF(YH4=10,OFFSET(納品書まとめ!$A$1,YH2-1,61),OFFSET(納品書まとめ!$A$1,YH2-1,62)),"")</f>
        <v/>
      </c>
      <c r="YF13" s="36"/>
      <c r="YG13" s="73"/>
      <c r="YH13" s="74"/>
      <c r="YK13" s="61" t="str">
        <f ca="1">IFERROR(IF(YS4=10,OFFSET(納品書まとめ!$A$1,YS2-1,60),                                                                                                                                                                                                                        IF(COUNTIF(OFFSET(納品書まとめ!$A$1,YS2-1,61),"*●*"),"",OFFSET(納品書まとめ!$A$1,YS2-1,61))),"")</f>
        <v/>
      </c>
      <c r="YL13" s="62"/>
      <c r="YM13" s="62"/>
      <c r="YN13" s="63"/>
      <c r="YO13" s="36"/>
      <c r="YP13" s="42" t="str">
        <f ca="1">IFERROR(IF(YS4=10,OFFSET(納品書まとめ!$A$1,YS2-1,61),OFFSET(納品書まとめ!$A$1,YS2-1,62)),"")</f>
        <v/>
      </c>
      <c r="YQ13" s="36"/>
      <c r="YR13" s="73"/>
      <c r="YS13" s="74"/>
      <c r="YV13" s="61" t="str">
        <f ca="1">IFERROR(IF(ZD4=10,OFFSET(納品書まとめ!$A$1,ZD2-1,60),                                                                                                                                                                                                                        IF(COUNTIF(OFFSET(納品書まとめ!$A$1,ZD2-1,61),"*●*"),"",OFFSET(納品書まとめ!$A$1,ZD2-1,61))),"")</f>
        <v/>
      </c>
      <c r="YW13" s="62"/>
      <c r="YX13" s="62"/>
      <c r="YY13" s="63"/>
      <c r="YZ13" s="36"/>
      <c r="ZA13" s="42" t="str">
        <f ca="1">IFERROR(IF(ZD4=10,OFFSET(納品書まとめ!$A$1,ZD2-1,61),OFFSET(納品書まとめ!$A$1,ZD2-1,62)),"")</f>
        <v/>
      </c>
      <c r="ZB13" s="36"/>
      <c r="ZC13" s="73"/>
      <c r="ZD13" s="74"/>
      <c r="ZG13" s="61" t="str">
        <f ca="1">IFERROR(IF(ZO4=10,OFFSET(納品書まとめ!$A$1,ZO2-1,60),                                                                                                                                                                                                                        IF(COUNTIF(OFFSET(納品書まとめ!$A$1,ZO2-1,61),"*●*"),"",OFFSET(納品書まとめ!$A$1,ZO2-1,61))),"")</f>
        <v/>
      </c>
      <c r="ZH13" s="62"/>
      <c r="ZI13" s="62"/>
      <c r="ZJ13" s="63"/>
      <c r="ZK13" s="36"/>
      <c r="ZL13" s="42" t="str">
        <f ca="1">IFERROR(IF(ZO4=10,OFFSET(納品書まとめ!$A$1,ZO2-1,61),OFFSET(納品書まとめ!$A$1,ZO2-1,62)),"")</f>
        <v/>
      </c>
      <c r="ZM13" s="36"/>
      <c r="ZN13" s="73"/>
      <c r="ZO13" s="74"/>
      <c r="ZR13" s="61" t="str">
        <f ca="1">IFERROR(IF(ZZ4=10,OFFSET(納品書まとめ!$A$1,ZZ2-1,60),                                                                                                                                                                                                                        IF(COUNTIF(OFFSET(納品書まとめ!$A$1,ZZ2-1,61),"*●*"),"",OFFSET(納品書まとめ!$A$1,ZZ2-1,61))),"")</f>
        <v/>
      </c>
      <c r="ZS13" s="62"/>
      <c r="ZT13" s="62"/>
      <c r="ZU13" s="63"/>
      <c r="ZV13" s="36"/>
      <c r="ZW13" s="42" t="str">
        <f ca="1">IFERROR(IF(ZZ4=10,OFFSET(納品書まとめ!$A$1,ZZ2-1,61),OFFSET(納品書まとめ!$A$1,ZZ2-1,62)),"")</f>
        <v/>
      </c>
      <c r="ZX13" s="36"/>
      <c r="ZY13" s="73"/>
      <c r="ZZ13" s="74"/>
      <c r="AAC13" s="61" t="str">
        <f ca="1">IFERROR(IF(AAK4=10,OFFSET(納品書まとめ!$A$1,AAK2-1,60),                                                                                                                                                                                                                        IF(COUNTIF(OFFSET(納品書まとめ!$A$1,AAK2-1,61),"*●*"),"",OFFSET(納品書まとめ!$A$1,AAK2-1,61))),"")</f>
        <v/>
      </c>
      <c r="AAD13" s="62"/>
      <c r="AAE13" s="62"/>
      <c r="AAF13" s="63"/>
      <c r="AAG13" s="36"/>
      <c r="AAH13" s="42" t="str">
        <f ca="1">IFERROR(IF(AAK4=10,OFFSET(納品書まとめ!$A$1,AAK2-1,61),OFFSET(納品書まとめ!$A$1,AAK2-1,62)),"")</f>
        <v/>
      </c>
      <c r="AAI13" s="36"/>
      <c r="AAJ13" s="73"/>
      <c r="AAK13" s="74"/>
      <c r="AAN13" s="61" t="str">
        <f ca="1">IFERROR(IF(AAV4=10,OFFSET(納品書まとめ!$A$1,AAV2-1,60),                                                                                                                                                                                                                        IF(COUNTIF(OFFSET(納品書まとめ!$A$1,AAV2-1,61),"*●*"),"",OFFSET(納品書まとめ!$A$1,AAV2-1,61))),"")</f>
        <v/>
      </c>
      <c r="AAO13" s="62"/>
      <c r="AAP13" s="62"/>
      <c r="AAQ13" s="63"/>
      <c r="AAR13" s="36"/>
      <c r="AAS13" s="42" t="str">
        <f ca="1">IFERROR(IF(AAV4=10,OFFSET(納品書まとめ!$A$1,AAV2-1,61),OFFSET(納品書まとめ!$A$1,AAV2-1,62)),"")</f>
        <v/>
      </c>
      <c r="AAT13" s="36"/>
      <c r="AAU13" s="73"/>
      <c r="AAV13" s="74"/>
      <c r="AAY13" s="61" t="str">
        <f ca="1">IFERROR(IF(ABG4=10,OFFSET(納品書まとめ!$A$1,ABG2-1,60),                                                                                                                                                                                                                        IF(COUNTIF(OFFSET(納品書まとめ!$A$1,ABG2-1,61),"*●*"),"",OFFSET(納品書まとめ!$A$1,ABG2-1,61))),"")</f>
        <v/>
      </c>
      <c r="AAZ13" s="62"/>
      <c r="ABA13" s="62"/>
      <c r="ABB13" s="63"/>
      <c r="ABC13" s="36"/>
      <c r="ABD13" s="42" t="str">
        <f ca="1">IFERROR(IF(ABG4=10,OFFSET(納品書まとめ!$A$1,ABG2-1,61),OFFSET(納品書まとめ!$A$1,ABG2-1,62)),"")</f>
        <v/>
      </c>
      <c r="ABE13" s="36"/>
      <c r="ABF13" s="73"/>
      <c r="ABG13" s="74"/>
      <c r="ABJ13" s="61" t="str">
        <f ca="1">IFERROR(IF(ABR4=10,OFFSET(納品書まとめ!$A$1,ABR2-1,60),                                                                                                                                                                                                                        IF(COUNTIF(OFFSET(納品書まとめ!$A$1,ABR2-1,61),"*●*"),"",OFFSET(納品書まとめ!$A$1,ABR2-1,61))),"")</f>
        <v/>
      </c>
      <c r="ABK13" s="62"/>
      <c r="ABL13" s="62"/>
      <c r="ABM13" s="63"/>
      <c r="ABN13" s="36"/>
      <c r="ABO13" s="42" t="str">
        <f ca="1">IFERROR(IF(ABR4=10,OFFSET(納品書まとめ!$A$1,ABR2-1,61),OFFSET(納品書まとめ!$A$1,ABR2-1,62)),"")</f>
        <v/>
      </c>
      <c r="ABP13" s="36"/>
      <c r="ABQ13" s="73"/>
      <c r="ABR13" s="74"/>
      <c r="ABU13" s="61" t="str">
        <f ca="1">IFERROR(IF(ACC4=10,OFFSET(納品書まとめ!$A$1,ACC2-1,60),                                                                                                                                                                                                                        IF(COUNTIF(OFFSET(納品書まとめ!$A$1,ACC2-1,61),"*●*"),"",OFFSET(納品書まとめ!$A$1,ACC2-1,61))),"")</f>
        <v/>
      </c>
      <c r="ABV13" s="62"/>
      <c r="ABW13" s="62"/>
      <c r="ABX13" s="63"/>
      <c r="ABY13" s="36"/>
      <c r="ABZ13" s="42" t="str">
        <f ca="1">IFERROR(IF(ACC4=10,OFFSET(納品書まとめ!$A$1,ACC2-1,61),OFFSET(納品書まとめ!$A$1,ACC2-1,62)),"")</f>
        <v/>
      </c>
      <c r="ACA13" s="36"/>
      <c r="ACB13" s="73"/>
      <c r="ACC13" s="74"/>
      <c r="ACF13" s="61" t="str">
        <f ca="1">IFERROR(IF(ACN4=10,OFFSET(納品書まとめ!$A$1,ACN2-1,60),                                                                                                                                                                                                                        IF(COUNTIF(OFFSET(納品書まとめ!$A$1,ACN2-1,61),"*●*"),"",OFFSET(納品書まとめ!$A$1,ACN2-1,61))),"")</f>
        <v/>
      </c>
      <c r="ACG13" s="62"/>
      <c r="ACH13" s="62"/>
      <c r="ACI13" s="63"/>
      <c r="ACJ13" s="36"/>
      <c r="ACK13" s="42" t="str">
        <f ca="1">IFERROR(IF(ACN4=10,OFFSET(納品書まとめ!$A$1,ACN2-1,61),OFFSET(納品書まとめ!$A$1,ACN2-1,62)),"")</f>
        <v/>
      </c>
      <c r="ACL13" s="36"/>
      <c r="ACM13" s="73"/>
      <c r="ACN13" s="74"/>
      <c r="ACQ13" s="61" t="str">
        <f ca="1">IFERROR(IF(ACY4=10,OFFSET(納品書まとめ!$A$1,ACY2-1,60),                                                                                                                                                                                                                        IF(COUNTIF(OFFSET(納品書まとめ!$A$1,ACY2-1,61),"*●*"),"",OFFSET(納品書まとめ!$A$1,ACY2-1,61))),"")</f>
        <v/>
      </c>
      <c r="ACR13" s="62"/>
      <c r="ACS13" s="62"/>
      <c r="ACT13" s="63"/>
      <c r="ACU13" s="36"/>
      <c r="ACV13" s="42" t="str">
        <f ca="1">IFERROR(IF(ACY4=10,OFFSET(納品書まとめ!$A$1,ACY2-1,61),OFFSET(納品書まとめ!$A$1,ACY2-1,62)),"")</f>
        <v/>
      </c>
      <c r="ACW13" s="36"/>
      <c r="ACX13" s="73"/>
      <c r="ACY13" s="74"/>
      <c r="ADB13" s="61" t="str">
        <f ca="1">IFERROR(IF(ADJ4=10,OFFSET(納品書まとめ!$A$1,ADJ2-1,60),                                                                                                                                                                                                                        IF(COUNTIF(OFFSET(納品書まとめ!$A$1,ADJ2-1,61),"*●*"),"",OFFSET(納品書まとめ!$A$1,ADJ2-1,61))),"")</f>
        <v/>
      </c>
      <c r="ADC13" s="62"/>
      <c r="ADD13" s="62"/>
      <c r="ADE13" s="63"/>
      <c r="ADF13" s="36"/>
      <c r="ADG13" s="42" t="str">
        <f ca="1">IFERROR(IF(ADJ4=10,OFFSET(納品書まとめ!$A$1,ADJ2-1,61),OFFSET(納品書まとめ!$A$1,ADJ2-1,62)),"")</f>
        <v/>
      </c>
      <c r="ADH13" s="36"/>
      <c r="ADI13" s="73"/>
      <c r="ADJ13" s="74"/>
    </row>
    <row r="14" spans="1:790" x14ac:dyDescent="0.45">
      <c r="A14" s="61" t="str">
        <f ca="1">IFERROR(IF(H4=16,OFFSET(納品書まとめ!$A$1,H2-1,64),                                                                                                                                                                                                                        OFFSET(納品書まとめ!$A$1,H2-1,63)),"")</f>
        <v/>
      </c>
      <c r="B14" s="62"/>
      <c r="C14" s="62"/>
      <c r="D14" s="63"/>
      <c r="E14" s="36"/>
      <c r="F14" s="42" t="str">
        <f ca="1">IFERROR(OFFSET(納品書まとめ!$A$1,H2-1,64),"")</f>
        <v/>
      </c>
      <c r="G14" s="36"/>
      <c r="H14" s="73"/>
      <c r="I14" s="74"/>
      <c r="L14" s="61" t="str">
        <f ca="1">IFERROR(IF(S4=16,OFFSET(納品書まとめ!$A$1,T2-1,64),                                                                                                                                                                                                                        IF(COUNTIF(OFFSET(納品書まとめ!$A$1,T2-1,63),"*●*"),"",OFFSET(納品書まとめ!$A$1,T2-1,63))),"")</f>
        <v/>
      </c>
      <c r="M14" s="62"/>
      <c r="N14" s="62"/>
      <c r="O14" s="63"/>
      <c r="P14" s="36"/>
      <c r="Q14" s="42" t="str">
        <f ca="1">IFERROR(OFFSET(納品書まとめ!$A$1,T2-1,64),"")</f>
        <v/>
      </c>
      <c r="R14" s="36"/>
      <c r="S14" s="73"/>
      <c r="T14" s="74"/>
      <c r="W14" s="61" t="str">
        <f ca="1">IFERROR(IF(AE4=16,OFFSET(納品書まとめ!$A$1,AE2-1,64),                                                                                                                                                                                                                        IF(COUNTIF(OFFSET(納品書まとめ!$A$1,AE2-1,63),"*●*"),"",OFFSET(納品書まとめ!$A$1,AE2-1,63))),"")</f>
        <v/>
      </c>
      <c r="X14" s="62"/>
      <c r="Y14" s="62"/>
      <c r="Z14" s="63"/>
      <c r="AA14" s="36"/>
      <c r="AB14" s="42" t="str">
        <f ca="1">IFERROR(OFFSET(納品書まとめ!$A$1,AE2-1,64),"")</f>
        <v/>
      </c>
      <c r="AC14" s="36"/>
      <c r="AD14" s="73"/>
      <c r="AE14" s="74"/>
      <c r="AH14" s="61" t="str">
        <f ca="1">IFERROR(IF(AP4=16,OFFSET(納品書まとめ!$A$1,AP2-1,64),                                                                                                                                                                                                                        IF(COUNTIF(OFFSET(納品書まとめ!$A$1,AP2-1,63),"*●*"),"",OFFSET(納品書まとめ!$A$1,AP2-1,63))),"")</f>
        <v/>
      </c>
      <c r="AI14" s="62"/>
      <c r="AJ14" s="62"/>
      <c r="AK14" s="63"/>
      <c r="AL14" s="36"/>
      <c r="AM14" s="42" t="str">
        <f ca="1">IFERROR(OFFSET(納品書まとめ!$A$1,AP2-1,64),"")</f>
        <v/>
      </c>
      <c r="AN14" s="36"/>
      <c r="AO14" s="73"/>
      <c r="AP14" s="74"/>
      <c r="AS14" s="61" t="str">
        <f ca="1">IFERROR(IF(BA4=16,OFFSET(納品書まとめ!$A$1,BA2-1,64),                                                                                                                                                                                                                        IF(COUNTIF(OFFSET(納品書まとめ!$A$1,BA2-1,63),"*●*"),"",OFFSET(納品書まとめ!$A$1,BA2-1,63))),"")</f>
        <v/>
      </c>
      <c r="AT14" s="62"/>
      <c r="AU14" s="62"/>
      <c r="AV14" s="63"/>
      <c r="AW14" s="36"/>
      <c r="AX14" s="42" t="str">
        <f ca="1">IFERROR(OFFSET(納品書まとめ!$A$1,BA2-1,64),"")</f>
        <v/>
      </c>
      <c r="AY14" s="36"/>
      <c r="AZ14" s="73"/>
      <c r="BA14" s="74"/>
      <c r="BD14" s="61" t="str">
        <f ca="1">IFERROR(IF(BL4=16,OFFSET(納品書まとめ!$A$1,BL2-1,64),                                                                                                                                                                                                                        IF(COUNTIF(OFFSET(納品書まとめ!$A$1,BL2-1,63),"*●*"),"",OFFSET(納品書まとめ!$A$1,BL2-1,63))),"")</f>
        <v/>
      </c>
      <c r="BE14" s="62"/>
      <c r="BF14" s="62"/>
      <c r="BG14" s="63"/>
      <c r="BH14" s="36"/>
      <c r="BI14" s="42" t="str">
        <f ca="1">IFERROR(OFFSET(納品書まとめ!$A$1,BL2-1,64),"")</f>
        <v/>
      </c>
      <c r="BJ14" s="36"/>
      <c r="BK14" s="73"/>
      <c r="BL14" s="74"/>
      <c r="BO14" s="61" t="str">
        <f ca="1">IFERROR(IF(BW4=16,OFFSET(納品書まとめ!$A$1,BW2-1,64),                                                                                                                                                                                                                        IF(COUNTIF(OFFSET(納品書まとめ!$A$1,BW2-1,63),"*●*"),"",OFFSET(納品書まとめ!$A$1,BW2-1,63))),"")</f>
        <v/>
      </c>
      <c r="BP14" s="62"/>
      <c r="BQ14" s="62"/>
      <c r="BR14" s="63"/>
      <c r="BS14" s="36"/>
      <c r="BT14" s="42" t="str">
        <f ca="1">IFERROR(OFFSET(納品書まとめ!$A$1,BW2-1,64),"")</f>
        <v/>
      </c>
      <c r="BU14" s="36"/>
      <c r="BV14" s="73"/>
      <c r="BW14" s="74"/>
      <c r="BZ14" s="61" t="str">
        <f ca="1">IFERROR(IF(CH4=16,OFFSET(納品書まとめ!$A$1,CH2-1,64),                                                                                                                                                                                                                        IF(COUNTIF(OFFSET(納品書まとめ!$A$1,CH2-1,63),"*●*"),"",OFFSET(納品書まとめ!$A$1,CH2-1,63))),"")</f>
        <v/>
      </c>
      <c r="CA14" s="62"/>
      <c r="CB14" s="62"/>
      <c r="CC14" s="63"/>
      <c r="CD14" s="36"/>
      <c r="CE14" s="42" t="str">
        <f ca="1">IFERROR(OFFSET(納品書まとめ!$A$1,CH2-1,64),"")</f>
        <v/>
      </c>
      <c r="CF14" s="36"/>
      <c r="CG14" s="73"/>
      <c r="CH14" s="74"/>
      <c r="CK14" s="61" t="str">
        <f ca="1">IFERROR(IF(CS4=16,OFFSET(納品書まとめ!$A$1,CS2-1,64),                                                                                                                                                                                                                        IF(COUNTIF(OFFSET(納品書まとめ!$A$1,CS2-1,63),"*●*"),"",OFFSET(納品書まとめ!$A$1,CS2-1,63))),"")</f>
        <v/>
      </c>
      <c r="CL14" s="62"/>
      <c r="CM14" s="62"/>
      <c r="CN14" s="63"/>
      <c r="CO14" s="36"/>
      <c r="CP14" s="42" t="str">
        <f ca="1">IFERROR(OFFSET(納品書まとめ!$A$1,CS2-1,64),"")</f>
        <v/>
      </c>
      <c r="CQ14" s="36"/>
      <c r="CR14" s="73"/>
      <c r="CS14" s="74"/>
      <c r="CV14" s="61" t="str">
        <f ca="1">IFERROR(IF(DD4=16,OFFSET(納品書まとめ!$A$1,DD2-1,64),                                                                                                                                                                                                                        IF(COUNTIF(OFFSET(納品書まとめ!$A$1,DD2-1,63),"*●*"),"",OFFSET(納品書まとめ!$A$1,DD2-1,63))),"")</f>
        <v/>
      </c>
      <c r="CW14" s="62"/>
      <c r="CX14" s="62"/>
      <c r="CY14" s="63"/>
      <c r="CZ14" s="36"/>
      <c r="DA14" s="42" t="str">
        <f ca="1">IFERROR(OFFSET(納品書まとめ!$A$1,DD2-1,64),"")</f>
        <v/>
      </c>
      <c r="DB14" s="36"/>
      <c r="DC14" s="73"/>
      <c r="DD14" s="74"/>
      <c r="DG14" s="61" t="str">
        <f ca="1">IFERROR(IF(DO4=16,OFFSET(納品書まとめ!$A$1,DO2-1,64),                                                                                                                                                                                                                        IF(COUNTIF(OFFSET(納品書まとめ!$A$1,DO2-1,63),"*●*"),"",OFFSET(納品書まとめ!$A$1,DO2-1,63))),"")</f>
        <v/>
      </c>
      <c r="DH14" s="62"/>
      <c r="DI14" s="62"/>
      <c r="DJ14" s="63"/>
      <c r="DK14" s="36"/>
      <c r="DL14" s="42" t="str">
        <f ca="1">IFERROR(OFFSET(納品書まとめ!$A$1,DO2-1,64),"")</f>
        <v/>
      </c>
      <c r="DM14" s="36"/>
      <c r="DN14" s="73"/>
      <c r="DO14" s="74"/>
      <c r="DR14" s="61" t="str">
        <f ca="1">IFERROR(IF(DZ4=16,OFFSET(納品書まとめ!$A$1,DZ2-1,64),                                                                                                                                                                                                                        IF(COUNTIF(OFFSET(納品書まとめ!$A$1,DZ2-1,63),"*●*"),"",OFFSET(納品書まとめ!$A$1,DZ2-1,63))),"")</f>
        <v/>
      </c>
      <c r="DS14" s="62"/>
      <c r="DT14" s="62"/>
      <c r="DU14" s="63"/>
      <c r="DV14" s="36"/>
      <c r="DW14" s="42" t="str">
        <f ca="1">IFERROR(OFFSET(納品書まとめ!$A$1,DZ2-1,64),"")</f>
        <v/>
      </c>
      <c r="DX14" s="36"/>
      <c r="DY14" s="73"/>
      <c r="DZ14" s="74"/>
      <c r="EC14" s="61" t="str">
        <f ca="1">IFERROR(IF(EK4=16,OFFSET(納品書まとめ!$A$1,EK2-1,64),                                                                                                                                                                                                                        IF(COUNTIF(OFFSET(納品書まとめ!$A$1,EK2-1,63),"*●*"),"",OFFSET(納品書まとめ!$A$1,EK2-1,63))),"")</f>
        <v/>
      </c>
      <c r="ED14" s="62"/>
      <c r="EE14" s="62"/>
      <c r="EF14" s="63"/>
      <c r="EG14" s="36"/>
      <c r="EH14" s="42" t="str">
        <f ca="1">IFERROR(OFFSET(納品書まとめ!$A$1,EK2-1,64),"")</f>
        <v/>
      </c>
      <c r="EI14" s="36"/>
      <c r="EJ14" s="73"/>
      <c r="EK14" s="74"/>
      <c r="EN14" s="61" t="str">
        <f ca="1">IFERROR(IF(EV4=16,OFFSET(納品書まとめ!$A$1,EV2-1,64),                                                                                                                                                                                                                        IF(COUNTIF(OFFSET(納品書まとめ!$A$1,EV2-1,63),"*●*"),"",OFFSET(納品書まとめ!$A$1,EV2-1,63))),"")</f>
        <v/>
      </c>
      <c r="EO14" s="62"/>
      <c r="EP14" s="62"/>
      <c r="EQ14" s="63"/>
      <c r="ER14" s="36"/>
      <c r="ES14" s="42" t="str">
        <f ca="1">IFERROR(OFFSET(納品書まとめ!$A$1,EV2-1,64),"")</f>
        <v/>
      </c>
      <c r="ET14" s="36"/>
      <c r="EU14" s="73"/>
      <c r="EV14" s="74"/>
      <c r="EY14" s="61" t="str">
        <f ca="1">IFERROR(IF(FG4=16,OFFSET(納品書まとめ!$A$1,FG2-1,64),                                                                                                                                                                                                                        IF(COUNTIF(OFFSET(納品書まとめ!$A$1,FG2-1,63),"*●*"),"",OFFSET(納品書まとめ!$A$1,FG2-1,63))),"")</f>
        <v/>
      </c>
      <c r="EZ14" s="62"/>
      <c r="FA14" s="62"/>
      <c r="FB14" s="63"/>
      <c r="FC14" s="36"/>
      <c r="FD14" s="42" t="str">
        <f ca="1">IFERROR(OFFSET(納品書まとめ!$A$1,FG2-1,64),"")</f>
        <v/>
      </c>
      <c r="FE14" s="36"/>
      <c r="FF14" s="73"/>
      <c r="FG14" s="74"/>
      <c r="FJ14" s="61" t="str">
        <f ca="1">IFERROR(IF(FR4=16,OFFSET(納品書まとめ!$A$1,FR2-1,64),                                                                                                                                                                                                                        IF(COUNTIF(OFFSET(納品書まとめ!$A$1,FR2-1,63),"*●*"),"",OFFSET(納品書まとめ!$A$1,FR2-1,63))),"")</f>
        <v/>
      </c>
      <c r="FK14" s="62"/>
      <c r="FL14" s="62"/>
      <c r="FM14" s="63"/>
      <c r="FN14" s="36"/>
      <c r="FO14" s="42" t="str">
        <f ca="1">IFERROR(OFFSET(納品書まとめ!$A$1,FR2-1,64),"")</f>
        <v/>
      </c>
      <c r="FP14" s="36"/>
      <c r="FQ14" s="73"/>
      <c r="FR14" s="74"/>
      <c r="FU14" s="61" t="str">
        <f ca="1">IFERROR(IF(GC4=16,OFFSET(納品書まとめ!$A$1,GC2-1,64),                                                                                                                                                                                                                        IF(COUNTIF(OFFSET(納品書まとめ!$A$1,GC2-1,63),"*●*"),"",OFFSET(納品書まとめ!$A$1,GC2-1,63))),"")</f>
        <v/>
      </c>
      <c r="FV14" s="62"/>
      <c r="FW14" s="62"/>
      <c r="FX14" s="63"/>
      <c r="FY14" s="36"/>
      <c r="FZ14" s="42" t="str">
        <f ca="1">IFERROR(OFFSET(納品書まとめ!$A$1,GC2-1,64),"")</f>
        <v/>
      </c>
      <c r="GA14" s="36"/>
      <c r="GB14" s="73"/>
      <c r="GC14" s="74"/>
      <c r="GF14" s="61" t="str">
        <f ca="1">IFERROR(IF(GN4=16,OFFSET(納品書まとめ!$A$1,GN2-1,64),                                                                                                                                                                                                                        IF(COUNTIF(OFFSET(納品書まとめ!$A$1,GN2-1,63),"*●*"),"",OFFSET(納品書まとめ!$A$1,GN2-1,63))),"")</f>
        <v/>
      </c>
      <c r="GG14" s="62"/>
      <c r="GH14" s="62"/>
      <c r="GI14" s="63"/>
      <c r="GJ14" s="36"/>
      <c r="GK14" s="42" t="str">
        <f ca="1">IFERROR(OFFSET(納品書まとめ!$A$1,GN2-1,64),"")</f>
        <v/>
      </c>
      <c r="GL14" s="36"/>
      <c r="GM14" s="73"/>
      <c r="GN14" s="74"/>
      <c r="GQ14" s="61" t="str">
        <f ca="1">IFERROR(IF(GY4=16,OFFSET(納品書まとめ!$A$1,GY2-1,64),                                                                                                                                                                                                                        IF(COUNTIF(OFFSET(納品書まとめ!$A$1,GY2-1,63),"*●*"),"",OFFSET(納品書まとめ!$A$1,GY2-1,63))),"")</f>
        <v/>
      </c>
      <c r="GR14" s="62"/>
      <c r="GS14" s="62"/>
      <c r="GT14" s="63"/>
      <c r="GU14" s="36"/>
      <c r="GV14" s="42" t="str">
        <f ca="1">IFERROR(OFFSET(納品書まとめ!$A$1,GY2-1,64),"")</f>
        <v/>
      </c>
      <c r="GW14" s="36"/>
      <c r="GX14" s="73"/>
      <c r="GY14" s="74"/>
      <c r="HB14" s="61" t="str">
        <f ca="1">IFERROR(IF(HJ4=16,OFFSET(納品書まとめ!$A$1,HJ2-1,64),                                                                                                                                                                                                                        IF(COUNTIF(OFFSET(納品書まとめ!$A$1,HJ2-1,63),"*●*"),"",OFFSET(納品書まとめ!$A$1,HJ2-1,63))),"")</f>
        <v/>
      </c>
      <c r="HC14" s="62"/>
      <c r="HD14" s="62"/>
      <c r="HE14" s="63"/>
      <c r="HF14" s="36"/>
      <c r="HG14" s="42" t="str">
        <f ca="1">IFERROR(OFFSET(納品書まとめ!$A$1,HJ2-1,64),"")</f>
        <v/>
      </c>
      <c r="HH14" s="36"/>
      <c r="HI14" s="73"/>
      <c r="HJ14" s="74"/>
      <c r="HM14" s="61" t="str">
        <f ca="1">IFERROR(IF(HU4=16,OFFSET(納品書まとめ!$A$1,HU2-1,64),                                                                                                                                                                                                                        IF(COUNTIF(OFFSET(納品書まとめ!$A$1,HU2-1,63),"*●*"),"",OFFSET(納品書まとめ!$A$1,HU2-1,63))),"")</f>
        <v/>
      </c>
      <c r="HN14" s="62"/>
      <c r="HO14" s="62"/>
      <c r="HP14" s="63"/>
      <c r="HQ14" s="36"/>
      <c r="HR14" s="42" t="str">
        <f ca="1">IFERROR(OFFSET(納品書まとめ!$A$1,HU2-1,64),"")</f>
        <v/>
      </c>
      <c r="HS14" s="36"/>
      <c r="HT14" s="73"/>
      <c r="HU14" s="74"/>
      <c r="HX14" s="61" t="str">
        <f ca="1">IFERROR(IF(IF4=16,OFFSET(納品書まとめ!$A$1,IF2-1,64),                                                                                                                                                                                                                        IF(COUNTIF(OFFSET(納品書まとめ!$A$1,IF2-1,63),"*●*"),"",OFFSET(納品書まとめ!$A$1,IF2-1,63))),"")</f>
        <v/>
      </c>
      <c r="HY14" s="62"/>
      <c r="HZ14" s="62"/>
      <c r="IA14" s="63"/>
      <c r="IB14" s="36"/>
      <c r="IC14" s="42" t="str">
        <f ca="1">IFERROR(OFFSET(納品書まとめ!$A$1,IF2-1,64),"")</f>
        <v/>
      </c>
      <c r="ID14" s="36"/>
      <c r="IE14" s="73"/>
      <c r="IF14" s="74"/>
      <c r="II14" s="61" t="str">
        <f ca="1">IFERROR(IF(IQ4=16,OFFSET(納品書まとめ!$A$1,IQ2-1,64),                                                                                                                                                                                                                        IF(COUNTIF(OFFSET(納品書まとめ!$A$1,IQ2-1,63),"*●*"),"",OFFSET(納品書まとめ!$A$1,IQ2-1,63))),"")</f>
        <v/>
      </c>
      <c r="IJ14" s="62"/>
      <c r="IK14" s="62"/>
      <c r="IL14" s="63"/>
      <c r="IM14" s="36"/>
      <c r="IN14" s="42" t="str">
        <f ca="1">IFERROR(OFFSET(納品書まとめ!$A$1,IQ2-1,64),"")</f>
        <v/>
      </c>
      <c r="IO14" s="36"/>
      <c r="IP14" s="73"/>
      <c r="IQ14" s="74"/>
      <c r="IT14" s="61" t="str">
        <f ca="1">IFERROR(IF(JB4=16,OFFSET(納品書まとめ!$A$1,JB2-1,64),                                                                                                                                                                                                                        IF(COUNTIF(OFFSET(納品書まとめ!$A$1,JB2-1,63),"*●*"),"",OFFSET(納品書まとめ!$A$1,JB2-1,63))),"")</f>
        <v/>
      </c>
      <c r="IU14" s="62"/>
      <c r="IV14" s="62"/>
      <c r="IW14" s="63"/>
      <c r="IX14" s="36"/>
      <c r="IY14" s="42" t="str">
        <f ca="1">IFERROR(OFFSET(納品書まとめ!$A$1,JB2-1,64),"")</f>
        <v/>
      </c>
      <c r="IZ14" s="36"/>
      <c r="JA14" s="73"/>
      <c r="JB14" s="74"/>
      <c r="JE14" s="61" t="str">
        <f ca="1">IFERROR(IF(JM4=16,OFFSET(納品書まとめ!$A$1,JM2-1,64),                                                                                                                                                                                                                        IF(COUNTIF(OFFSET(納品書まとめ!$A$1,JM2-1,63),"*●*"),"",OFFSET(納品書まとめ!$A$1,JM2-1,63))),"")</f>
        <v/>
      </c>
      <c r="JF14" s="62"/>
      <c r="JG14" s="62"/>
      <c r="JH14" s="63"/>
      <c r="JI14" s="36"/>
      <c r="JJ14" s="42" t="str">
        <f ca="1">IFERROR(OFFSET(納品書まとめ!$A$1,JM2-1,64),"")</f>
        <v/>
      </c>
      <c r="JK14" s="36"/>
      <c r="JL14" s="73"/>
      <c r="JM14" s="74"/>
      <c r="JP14" s="61" t="str">
        <f ca="1">IFERROR(IF(JX4=16,OFFSET(納品書まとめ!$A$1,JX2-1,64),                                                                                                                                                                                                                        IF(COUNTIF(OFFSET(納品書まとめ!$A$1,JX2-1,63),"*●*"),"",OFFSET(納品書まとめ!$A$1,JX2-1,63))),"")</f>
        <v/>
      </c>
      <c r="JQ14" s="62"/>
      <c r="JR14" s="62"/>
      <c r="JS14" s="63"/>
      <c r="JT14" s="36"/>
      <c r="JU14" s="42" t="str">
        <f ca="1">IFERROR(OFFSET(納品書まとめ!$A$1,JX2-1,64),"")</f>
        <v/>
      </c>
      <c r="JV14" s="36"/>
      <c r="JW14" s="73"/>
      <c r="JX14" s="74"/>
      <c r="KA14" s="61" t="str">
        <f ca="1">IFERROR(IF(KI4=16,OFFSET(納品書まとめ!$A$1,KI2-1,64),                                                                                                                                                                                                                        IF(COUNTIF(OFFSET(納品書まとめ!$A$1,KI2-1,63),"*●*"),"",OFFSET(納品書まとめ!$A$1,KI2-1,63))),"")</f>
        <v/>
      </c>
      <c r="KB14" s="62"/>
      <c r="KC14" s="62"/>
      <c r="KD14" s="63"/>
      <c r="KE14" s="36"/>
      <c r="KF14" s="42" t="str">
        <f ca="1">IFERROR(OFFSET(納品書まとめ!$A$1,KI2-1,64),"")</f>
        <v/>
      </c>
      <c r="KG14" s="36"/>
      <c r="KH14" s="73"/>
      <c r="KI14" s="74"/>
      <c r="KL14" s="61" t="str">
        <f ca="1">IFERROR(IF(KT4=16,OFFSET(納品書まとめ!$A$1,KT2-1,64),                                                                                                                                                                                                                        IF(COUNTIF(OFFSET(納品書まとめ!$A$1,KT2-1,63),"*●*"),"",OFFSET(納品書まとめ!$A$1,KT2-1,63))),"")</f>
        <v/>
      </c>
      <c r="KM14" s="62"/>
      <c r="KN14" s="62"/>
      <c r="KO14" s="63"/>
      <c r="KP14" s="36"/>
      <c r="KQ14" s="42" t="str">
        <f ca="1">IFERROR(OFFSET(納品書まとめ!$A$1,KT2-1,64),"")</f>
        <v/>
      </c>
      <c r="KR14" s="36"/>
      <c r="KS14" s="73"/>
      <c r="KT14" s="74"/>
      <c r="KW14" s="61" t="str">
        <f ca="1">IFERROR(IF(LE4=16,OFFSET(納品書まとめ!$A$1,LE2-1,64),                                                                                                                                                                                                                        IF(COUNTIF(OFFSET(納品書まとめ!$A$1,LE2-1,63),"*●*"),"",OFFSET(納品書まとめ!$A$1,LE2-1,63))),"")</f>
        <v/>
      </c>
      <c r="KX14" s="62"/>
      <c r="KY14" s="62"/>
      <c r="KZ14" s="63"/>
      <c r="LA14" s="36"/>
      <c r="LB14" s="42" t="str">
        <f ca="1">IFERROR(OFFSET(納品書まとめ!$A$1,LE2-1,64),"")</f>
        <v/>
      </c>
      <c r="LC14" s="36"/>
      <c r="LD14" s="73"/>
      <c r="LE14" s="74"/>
      <c r="LH14" s="61" t="str">
        <f ca="1">IFERROR(IF(LP4=16,OFFSET(納品書まとめ!$A$1,LP2-1,64),                                                                                                                                                                                                                        IF(COUNTIF(OFFSET(納品書まとめ!$A$1,LP2-1,63),"*●*"),"",OFFSET(納品書まとめ!$A$1,LP2-1,63))),"")</f>
        <v/>
      </c>
      <c r="LI14" s="62"/>
      <c r="LJ14" s="62"/>
      <c r="LK14" s="63"/>
      <c r="LL14" s="36"/>
      <c r="LM14" s="42" t="str">
        <f ca="1">IFERROR(OFFSET(納品書まとめ!$A$1,LP2-1,64),"")</f>
        <v/>
      </c>
      <c r="LN14" s="36"/>
      <c r="LO14" s="73"/>
      <c r="LP14" s="74"/>
      <c r="LS14" s="61" t="str">
        <f ca="1">IFERROR(IF(MA4=16,OFFSET(納品書まとめ!$A$1,MA2-1,64),                                                                                                                                                                                                                        IF(COUNTIF(OFFSET(納品書まとめ!$A$1,MA2-1,63),"*●*"),"",OFFSET(納品書まとめ!$A$1,MA2-1,63))),"")</f>
        <v/>
      </c>
      <c r="LT14" s="62"/>
      <c r="LU14" s="62"/>
      <c r="LV14" s="63"/>
      <c r="LW14" s="36"/>
      <c r="LX14" s="42" t="str">
        <f ca="1">IFERROR(OFFSET(納品書まとめ!$A$1,MA2-1,64),"")</f>
        <v/>
      </c>
      <c r="LY14" s="36"/>
      <c r="LZ14" s="73"/>
      <c r="MA14" s="74"/>
      <c r="MD14" s="61" t="str">
        <f ca="1">IFERROR(IF(ML4=16,OFFSET(納品書まとめ!$A$1,ML2-1,64),                                                                                                                                                                                                                        IF(COUNTIF(OFFSET(納品書まとめ!$A$1,ML2-1,63),"*●*"),"",OFFSET(納品書まとめ!$A$1,ML2-1,63))),"")</f>
        <v/>
      </c>
      <c r="ME14" s="62"/>
      <c r="MF14" s="62"/>
      <c r="MG14" s="63"/>
      <c r="MH14" s="36"/>
      <c r="MI14" s="42" t="str">
        <f ca="1">IFERROR(OFFSET(納品書まとめ!$A$1,ML2-1,64),"")</f>
        <v/>
      </c>
      <c r="MJ14" s="36"/>
      <c r="MK14" s="73"/>
      <c r="ML14" s="74"/>
      <c r="MO14" s="61" t="str">
        <f ca="1">IFERROR(IF(MW4=16,OFFSET(納品書まとめ!$A$1,MW2-1,64),                                                                                                                                                                                                                        IF(COUNTIF(OFFSET(納品書まとめ!$A$1,MW2-1,63),"*●*"),"",OFFSET(納品書まとめ!$A$1,MW2-1,63))),"")</f>
        <v/>
      </c>
      <c r="MP14" s="62"/>
      <c r="MQ14" s="62"/>
      <c r="MR14" s="63"/>
      <c r="MS14" s="36"/>
      <c r="MT14" s="42" t="str">
        <f ca="1">IFERROR(OFFSET(納品書まとめ!$A$1,MW2-1,64),"")</f>
        <v/>
      </c>
      <c r="MU14" s="36"/>
      <c r="MV14" s="73"/>
      <c r="MW14" s="74"/>
      <c r="MZ14" s="61" t="str">
        <f ca="1">IFERROR(IF(NH4=16,OFFSET(納品書まとめ!$A$1,NH2-1,64),                                                                                                                                                                                                                        IF(COUNTIF(OFFSET(納品書まとめ!$A$1,NH2-1,63),"*●*"),"",OFFSET(納品書まとめ!$A$1,NH2-1,63))),"")</f>
        <v/>
      </c>
      <c r="NA14" s="62"/>
      <c r="NB14" s="62"/>
      <c r="NC14" s="63"/>
      <c r="ND14" s="36"/>
      <c r="NE14" s="42" t="str">
        <f ca="1">IFERROR(OFFSET(納品書まとめ!$A$1,NH2-1,64),"")</f>
        <v/>
      </c>
      <c r="NF14" s="36"/>
      <c r="NG14" s="73"/>
      <c r="NH14" s="74"/>
      <c r="NK14" s="61" t="str">
        <f ca="1">IFERROR(IF(NS4=16,OFFSET(納品書まとめ!$A$1,NS2-1,64),                                                                                                                                                                                                                        IF(COUNTIF(OFFSET(納品書まとめ!$A$1,NS2-1,63),"*●*"),"",OFFSET(納品書まとめ!$A$1,NS2-1,63))),"")</f>
        <v/>
      </c>
      <c r="NL14" s="62"/>
      <c r="NM14" s="62"/>
      <c r="NN14" s="63"/>
      <c r="NO14" s="36"/>
      <c r="NP14" s="42" t="str">
        <f ca="1">IFERROR(OFFSET(納品書まとめ!$A$1,NS2-1,64),"")</f>
        <v/>
      </c>
      <c r="NQ14" s="36"/>
      <c r="NR14" s="73"/>
      <c r="NS14" s="74"/>
      <c r="NV14" s="61" t="str">
        <f ca="1">IFERROR(IF(OD4=16,OFFSET(納品書まとめ!$A$1,OD2-1,64),                                                                                                                                                                                                                        IF(COUNTIF(OFFSET(納品書まとめ!$A$1,OD2-1,63),"*●*"),"",OFFSET(納品書まとめ!$A$1,OD2-1,63))),"")</f>
        <v/>
      </c>
      <c r="NW14" s="62"/>
      <c r="NX14" s="62"/>
      <c r="NY14" s="63"/>
      <c r="NZ14" s="36"/>
      <c r="OA14" s="42" t="str">
        <f ca="1">IFERROR(OFFSET(納品書まとめ!$A$1,OD2-1,64),"")</f>
        <v/>
      </c>
      <c r="OB14" s="36"/>
      <c r="OC14" s="73"/>
      <c r="OD14" s="74"/>
      <c r="OG14" s="61" t="str">
        <f ca="1">IFERROR(IF(OO4=16,OFFSET(納品書まとめ!$A$1,OO2-1,64),                                                                                                                                                                                                                        IF(COUNTIF(OFFSET(納品書まとめ!$A$1,OO2-1,63),"*●*"),"",OFFSET(納品書まとめ!$A$1,OO2-1,63))),"")</f>
        <v/>
      </c>
      <c r="OH14" s="62"/>
      <c r="OI14" s="62"/>
      <c r="OJ14" s="63"/>
      <c r="OK14" s="36"/>
      <c r="OL14" s="42" t="str">
        <f ca="1">IFERROR(OFFSET(納品書まとめ!$A$1,OO2-1,64),"")</f>
        <v/>
      </c>
      <c r="OM14" s="36"/>
      <c r="ON14" s="73"/>
      <c r="OO14" s="74"/>
      <c r="OR14" s="61" t="str">
        <f ca="1">IFERROR(IF(OZ4=16,OFFSET(納品書まとめ!$A$1,OZ2-1,64),                                                                                                                                                                                                                        IF(COUNTIF(OFFSET(納品書まとめ!$A$1,OZ2-1,63),"*●*"),"",OFFSET(納品書まとめ!$A$1,OZ2-1,63))),"")</f>
        <v/>
      </c>
      <c r="OS14" s="62"/>
      <c r="OT14" s="62"/>
      <c r="OU14" s="63"/>
      <c r="OV14" s="36"/>
      <c r="OW14" s="42" t="str">
        <f ca="1">IFERROR(OFFSET(納品書まとめ!$A$1,OZ2-1,64),"")</f>
        <v/>
      </c>
      <c r="OX14" s="36"/>
      <c r="OY14" s="73"/>
      <c r="OZ14" s="74"/>
      <c r="PC14" s="61" t="str">
        <f ca="1">IFERROR(IF(PK4=16,OFFSET(納品書まとめ!$A$1,PK2-1,64),                                                                                                                                                                                                                        IF(COUNTIF(OFFSET(納品書まとめ!$A$1,PK2-1,63),"*●*"),"",OFFSET(納品書まとめ!$A$1,PK2-1,63))),"")</f>
        <v/>
      </c>
      <c r="PD14" s="62"/>
      <c r="PE14" s="62"/>
      <c r="PF14" s="63"/>
      <c r="PG14" s="36"/>
      <c r="PH14" s="42" t="str">
        <f ca="1">IFERROR(OFFSET(納品書まとめ!$A$1,PK2-1,64),"")</f>
        <v/>
      </c>
      <c r="PI14" s="36"/>
      <c r="PJ14" s="73"/>
      <c r="PK14" s="74"/>
      <c r="PN14" s="61" t="str">
        <f ca="1">IFERROR(IF(PV4=16,OFFSET(納品書まとめ!$A$1,PV2-1,64),                                                                                                                                                                                                                        IF(COUNTIF(OFFSET(納品書まとめ!$A$1,PV2-1,63),"*●*"),"",OFFSET(納品書まとめ!$A$1,PV2-1,63))),"")</f>
        <v/>
      </c>
      <c r="PO14" s="62"/>
      <c r="PP14" s="62"/>
      <c r="PQ14" s="63"/>
      <c r="PR14" s="36"/>
      <c r="PS14" s="42" t="str">
        <f ca="1">IFERROR(OFFSET(納品書まとめ!$A$1,PV2-1,64),"")</f>
        <v/>
      </c>
      <c r="PT14" s="36"/>
      <c r="PU14" s="73"/>
      <c r="PV14" s="74"/>
      <c r="PY14" s="61" t="str">
        <f ca="1">IFERROR(IF(QG4=16,OFFSET(納品書まとめ!$A$1,QG2-1,64),                                                                                                                                                                                                                        IF(COUNTIF(OFFSET(納品書まとめ!$A$1,QG2-1,63),"*●*"),"",OFFSET(納品書まとめ!$A$1,QG2-1,63))),"")</f>
        <v/>
      </c>
      <c r="PZ14" s="62"/>
      <c r="QA14" s="62"/>
      <c r="QB14" s="63"/>
      <c r="QC14" s="36"/>
      <c r="QD14" s="42" t="str">
        <f ca="1">IFERROR(OFFSET(納品書まとめ!$A$1,QG2-1,64),"")</f>
        <v/>
      </c>
      <c r="QE14" s="36"/>
      <c r="QF14" s="73"/>
      <c r="QG14" s="74"/>
      <c r="QJ14" s="61" t="str">
        <f ca="1">IFERROR(IF(QR4=16,OFFSET(納品書まとめ!$A$1,QR2-1,64),                                                                                                                                                                                                                        IF(COUNTIF(OFFSET(納品書まとめ!$A$1,QR2-1,63),"*●*"),"",OFFSET(納品書まとめ!$A$1,QR2-1,63))),"")</f>
        <v/>
      </c>
      <c r="QK14" s="62"/>
      <c r="QL14" s="62"/>
      <c r="QM14" s="63"/>
      <c r="QN14" s="36"/>
      <c r="QO14" s="42" t="str">
        <f ca="1">IFERROR(OFFSET(納品書まとめ!$A$1,QR2-1,64),"")</f>
        <v/>
      </c>
      <c r="QP14" s="36"/>
      <c r="QQ14" s="73"/>
      <c r="QR14" s="74"/>
      <c r="QU14" s="61" t="str">
        <f ca="1">IFERROR(IF(RC4=16,OFFSET(納品書まとめ!$A$1,RC2-1,64),                                                                                                                                                                                                                        IF(COUNTIF(OFFSET(納品書まとめ!$A$1,RC2-1,63),"*●*"),"",OFFSET(納品書まとめ!$A$1,RC2-1,63))),"")</f>
        <v/>
      </c>
      <c r="QV14" s="62"/>
      <c r="QW14" s="62"/>
      <c r="QX14" s="63"/>
      <c r="QY14" s="36"/>
      <c r="QZ14" s="42" t="str">
        <f ca="1">IFERROR(OFFSET(納品書まとめ!$A$1,RC2-1,64),"")</f>
        <v/>
      </c>
      <c r="RA14" s="36"/>
      <c r="RB14" s="73"/>
      <c r="RC14" s="74"/>
      <c r="RF14" s="61" t="str">
        <f ca="1">IFERROR(IF(RN4=16,OFFSET(納品書まとめ!$A$1,RN2-1,64),                                                                                                                                                                                                                        IF(COUNTIF(OFFSET(納品書まとめ!$A$1,RN2-1,63),"*●*"),"",OFFSET(納品書まとめ!$A$1,RN2-1,63))),"")</f>
        <v/>
      </c>
      <c r="RG14" s="62"/>
      <c r="RH14" s="62"/>
      <c r="RI14" s="63"/>
      <c r="RJ14" s="36"/>
      <c r="RK14" s="42" t="str">
        <f ca="1">IFERROR(OFFSET(納品書まとめ!$A$1,RN2-1,64),"")</f>
        <v/>
      </c>
      <c r="RL14" s="36"/>
      <c r="RM14" s="73"/>
      <c r="RN14" s="74"/>
      <c r="RQ14" s="61" t="str">
        <f ca="1">IFERROR(IF(RY4=16,OFFSET(納品書まとめ!$A$1,RY2-1,64),                                                                                                                                                                                                                        IF(COUNTIF(OFFSET(納品書まとめ!$A$1,RY2-1,63),"*●*"),"",OFFSET(納品書まとめ!$A$1,RY2-1,63))),"")</f>
        <v/>
      </c>
      <c r="RR14" s="62"/>
      <c r="RS14" s="62"/>
      <c r="RT14" s="63"/>
      <c r="RU14" s="36"/>
      <c r="RV14" s="42" t="str">
        <f ca="1">IFERROR(OFFSET(納品書まとめ!$A$1,RY2-1,64),"")</f>
        <v/>
      </c>
      <c r="RW14" s="36"/>
      <c r="RX14" s="73"/>
      <c r="RY14" s="74"/>
      <c r="SB14" s="61" t="str">
        <f ca="1">IFERROR(IF(SJ4=16,OFFSET(納品書まとめ!$A$1,SJ2-1,64),                                                                                                                                                                                                                        IF(COUNTIF(OFFSET(納品書まとめ!$A$1,SJ2-1,63),"*●*"),"",OFFSET(納品書まとめ!$A$1,SJ2-1,63))),"")</f>
        <v/>
      </c>
      <c r="SC14" s="62"/>
      <c r="SD14" s="62"/>
      <c r="SE14" s="63"/>
      <c r="SF14" s="36"/>
      <c r="SG14" s="42" t="str">
        <f ca="1">IFERROR(OFFSET(納品書まとめ!$A$1,SJ2-1,64),"")</f>
        <v/>
      </c>
      <c r="SH14" s="36"/>
      <c r="SI14" s="73"/>
      <c r="SJ14" s="74"/>
      <c r="SM14" s="61" t="str">
        <f ca="1">IFERROR(IF(SU4=16,OFFSET(納品書まとめ!$A$1,SU2-1,64),                                                                                                                                                                                                                        IF(COUNTIF(OFFSET(納品書まとめ!$A$1,SU2-1,63),"*●*"),"",OFFSET(納品書まとめ!$A$1,SU2-1,63))),"")</f>
        <v/>
      </c>
      <c r="SN14" s="62"/>
      <c r="SO14" s="62"/>
      <c r="SP14" s="63"/>
      <c r="SQ14" s="36"/>
      <c r="SR14" s="42" t="str">
        <f ca="1">IFERROR(OFFSET(納品書まとめ!$A$1,SU2-1,64),"")</f>
        <v/>
      </c>
      <c r="SS14" s="36"/>
      <c r="ST14" s="73"/>
      <c r="SU14" s="74"/>
      <c r="SX14" s="61" t="str">
        <f ca="1">IFERROR(IF(TF4=16,OFFSET(納品書まとめ!$A$1,TF2-1,64),                                                                                                                                                                                                                        IF(COUNTIF(OFFSET(納品書まとめ!$A$1,TF2-1,63),"*●*"),"",OFFSET(納品書まとめ!$A$1,TF2-1,63))),"")</f>
        <v/>
      </c>
      <c r="SY14" s="62"/>
      <c r="SZ14" s="62"/>
      <c r="TA14" s="63"/>
      <c r="TB14" s="36"/>
      <c r="TC14" s="42" t="str">
        <f ca="1">IFERROR(OFFSET(納品書まとめ!$A$1,TF2-1,64),"")</f>
        <v/>
      </c>
      <c r="TD14" s="36"/>
      <c r="TE14" s="73"/>
      <c r="TF14" s="74"/>
      <c r="TI14" s="61" t="str">
        <f ca="1">IFERROR(IF(TQ4=16,OFFSET(納品書まとめ!$A$1,TQ2-1,64),                                                                                                                                                                                                                        IF(COUNTIF(OFFSET(納品書まとめ!$A$1,TQ2-1,63),"*●*"),"",OFFSET(納品書まとめ!$A$1,TQ2-1,63))),"")</f>
        <v/>
      </c>
      <c r="TJ14" s="62"/>
      <c r="TK14" s="62"/>
      <c r="TL14" s="63"/>
      <c r="TM14" s="36"/>
      <c r="TN14" s="42" t="str">
        <f ca="1">IFERROR(OFFSET(納品書まとめ!$A$1,TQ2-1,64),"")</f>
        <v/>
      </c>
      <c r="TO14" s="36"/>
      <c r="TP14" s="73"/>
      <c r="TQ14" s="74"/>
      <c r="TT14" s="61" t="str">
        <f ca="1">IFERROR(IF(UB4=16,OFFSET(納品書まとめ!$A$1,UB2-1,64),                                                                                                                                                                                                                        IF(COUNTIF(OFFSET(納品書まとめ!$A$1,UB2-1,63),"*●*"),"",OFFSET(納品書まとめ!$A$1,UB2-1,63))),"")</f>
        <v/>
      </c>
      <c r="TU14" s="62"/>
      <c r="TV14" s="62"/>
      <c r="TW14" s="63"/>
      <c r="TX14" s="36"/>
      <c r="TY14" s="42" t="str">
        <f ca="1">IFERROR(OFFSET(納品書まとめ!$A$1,UB2-1,64),"")</f>
        <v/>
      </c>
      <c r="TZ14" s="36"/>
      <c r="UA14" s="73"/>
      <c r="UB14" s="74"/>
      <c r="UE14" s="61" t="str">
        <f ca="1">IFERROR(IF(UM4=16,OFFSET(納品書まとめ!$A$1,UM2-1,64),                                                                                                                                                                                                                        IF(COUNTIF(OFFSET(納品書まとめ!$A$1,UM2-1,63),"*●*"),"",OFFSET(納品書まとめ!$A$1,UM2-1,63))),"")</f>
        <v/>
      </c>
      <c r="UF14" s="62"/>
      <c r="UG14" s="62"/>
      <c r="UH14" s="63"/>
      <c r="UI14" s="36"/>
      <c r="UJ14" s="42" t="str">
        <f ca="1">IFERROR(OFFSET(納品書まとめ!$A$1,UM2-1,64),"")</f>
        <v/>
      </c>
      <c r="UK14" s="36"/>
      <c r="UL14" s="73"/>
      <c r="UM14" s="74"/>
      <c r="UP14" s="61" t="str">
        <f ca="1">IFERROR(IF(UX4=16,OFFSET(納品書まとめ!$A$1,UX2-1,64),                                                                                                                                                                                                                        IF(COUNTIF(OFFSET(納品書まとめ!$A$1,UX2-1,63),"*●*"),"",OFFSET(納品書まとめ!$A$1,UX2-1,63))),"")</f>
        <v/>
      </c>
      <c r="UQ14" s="62"/>
      <c r="UR14" s="62"/>
      <c r="US14" s="63"/>
      <c r="UT14" s="36"/>
      <c r="UU14" s="42" t="str">
        <f ca="1">IFERROR(OFFSET(納品書まとめ!$A$1,UX2-1,64),"")</f>
        <v/>
      </c>
      <c r="UV14" s="36"/>
      <c r="UW14" s="73"/>
      <c r="UX14" s="74"/>
      <c r="VA14" s="61" t="str">
        <f ca="1">IFERROR(IF(VI4=16,OFFSET(納品書まとめ!$A$1,VI2-1,64),                                                                                                                                                                                                                        IF(COUNTIF(OFFSET(納品書まとめ!$A$1,VI2-1,63),"*●*"),"",OFFSET(納品書まとめ!$A$1,VI2-1,63))),"")</f>
        <v/>
      </c>
      <c r="VB14" s="62"/>
      <c r="VC14" s="62"/>
      <c r="VD14" s="63"/>
      <c r="VE14" s="36"/>
      <c r="VF14" s="42" t="str">
        <f ca="1">IFERROR(OFFSET(納品書まとめ!$A$1,VI2-1,64),"")</f>
        <v/>
      </c>
      <c r="VG14" s="36"/>
      <c r="VH14" s="73"/>
      <c r="VI14" s="74"/>
      <c r="VL14" s="61" t="str">
        <f ca="1">IFERROR(IF(VT4=16,OFFSET(納品書まとめ!$A$1,VT2-1,64),                                                                                                                                                                                                                        IF(COUNTIF(OFFSET(納品書まとめ!$A$1,VT2-1,63),"*●*"),"",OFFSET(納品書まとめ!$A$1,VT2-1,63))),"")</f>
        <v/>
      </c>
      <c r="VM14" s="62"/>
      <c r="VN14" s="62"/>
      <c r="VO14" s="63"/>
      <c r="VP14" s="36"/>
      <c r="VQ14" s="42" t="str">
        <f ca="1">IFERROR(OFFSET(納品書まとめ!$A$1,VT2-1,64),"")</f>
        <v/>
      </c>
      <c r="VR14" s="36"/>
      <c r="VS14" s="73"/>
      <c r="VT14" s="74"/>
      <c r="VW14" s="61" t="str">
        <f ca="1">IFERROR(IF(WE4=16,OFFSET(納品書まとめ!$A$1,WE2-1,64),                                                                                                                                                                                                                        IF(COUNTIF(OFFSET(納品書まとめ!$A$1,WE2-1,63),"*●*"),"",OFFSET(納品書まとめ!$A$1,WE2-1,63))),"")</f>
        <v/>
      </c>
      <c r="VX14" s="62"/>
      <c r="VY14" s="62"/>
      <c r="VZ14" s="63"/>
      <c r="WA14" s="36"/>
      <c r="WB14" s="42" t="str">
        <f ca="1">IFERROR(OFFSET(納品書まとめ!$A$1,WE2-1,64),"")</f>
        <v/>
      </c>
      <c r="WC14" s="36"/>
      <c r="WD14" s="73"/>
      <c r="WE14" s="74"/>
      <c r="WH14" s="61" t="str">
        <f ca="1">IFERROR(IF(WP4=16,OFFSET(納品書まとめ!$A$1,WP2-1,64),                                                                                                                                                                                                                        IF(COUNTIF(OFFSET(納品書まとめ!$A$1,WP2-1,63),"*●*"),"",OFFSET(納品書まとめ!$A$1,WP2-1,63))),"")</f>
        <v/>
      </c>
      <c r="WI14" s="62"/>
      <c r="WJ14" s="62"/>
      <c r="WK14" s="63"/>
      <c r="WL14" s="36"/>
      <c r="WM14" s="42" t="str">
        <f ca="1">IFERROR(OFFSET(納品書まとめ!$A$1,WP2-1,64),"")</f>
        <v/>
      </c>
      <c r="WN14" s="36"/>
      <c r="WO14" s="73"/>
      <c r="WP14" s="74"/>
      <c r="WS14" s="61" t="str">
        <f ca="1">IFERROR(IF(XA4=16,OFFSET(納品書まとめ!$A$1,XA2-1,64),                                                                                                                                                                                                                        IF(COUNTIF(OFFSET(納品書まとめ!$A$1,XA2-1,63),"*●*"),"",OFFSET(納品書まとめ!$A$1,XA2-1,63))),"")</f>
        <v/>
      </c>
      <c r="WT14" s="62"/>
      <c r="WU14" s="62"/>
      <c r="WV14" s="63"/>
      <c r="WW14" s="36"/>
      <c r="WX14" s="42" t="str">
        <f ca="1">IFERROR(OFFSET(納品書まとめ!$A$1,XA2-1,64),"")</f>
        <v/>
      </c>
      <c r="WY14" s="36"/>
      <c r="WZ14" s="73"/>
      <c r="XA14" s="74"/>
      <c r="XD14" s="61" t="str">
        <f ca="1">IFERROR(IF(XL4=16,OFFSET(納品書まとめ!$A$1,XL2-1,64),                                                                                                                                                                                                                        IF(COUNTIF(OFFSET(納品書まとめ!$A$1,XL2-1,63),"*●*"),"",OFFSET(納品書まとめ!$A$1,XL2-1,63))),"")</f>
        <v/>
      </c>
      <c r="XE14" s="62"/>
      <c r="XF14" s="62"/>
      <c r="XG14" s="63"/>
      <c r="XH14" s="36"/>
      <c r="XI14" s="42" t="str">
        <f ca="1">IFERROR(OFFSET(納品書まとめ!$A$1,XL2-1,64),"")</f>
        <v/>
      </c>
      <c r="XJ14" s="36"/>
      <c r="XK14" s="73"/>
      <c r="XL14" s="74"/>
      <c r="XO14" s="61" t="str">
        <f ca="1">IFERROR(IF(XW4=16,OFFSET(納品書まとめ!$A$1,XW2-1,64),                                                                                                                                                                                                                        IF(COUNTIF(OFFSET(納品書まとめ!$A$1,XW2-1,63),"*●*"),"",OFFSET(納品書まとめ!$A$1,XW2-1,63))),"")</f>
        <v/>
      </c>
      <c r="XP14" s="62"/>
      <c r="XQ14" s="62"/>
      <c r="XR14" s="63"/>
      <c r="XS14" s="36"/>
      <c r="XT14" s="42" t="str">
        <f ca="1">IFERROR(OFFSET(納品書まとめ!$A$1,XW2-1,64),"")</f>
        <v/>
      </c>
      <c r="XU14" s="36"/>
      <c r="XV14" s="73"/>
      <c r="XW14" s="74"/>
      <c r="XZ14" s="61" t="str">
        <f ca="1">IFERROR(IF(YH4=16,OFFSET(納品書まとめ!$A$1,YH2-1,64),                                                                                                                                                                                                                        IF(COUNTIF(OFFSET(納品書まとめ!$A$1,YH2-1,63),"*●*"),"",OFFSET(納品書まとめ!$A$1,YH2-1,63))),"")</f>
        <v/>
      </c>
      <c r="YA14" s="62"/>
      <c r="YB14" s="62"/>
      <c r="YC14" s="63"/>
      <c r="YD14" s="36"/>
      <c r="YE14" s="42" t="str">
        <f ca="1">IFERROR(OFFSET(納品書まとめ!$A$1,YH2-1,64),"")</f>
        <v/>
      </c>
      <c r="YF14" s="36"/>
      <c r="YG14" s="73"/>
      <c r="YH14" s="74"/>
      <c r="YK14" s="61" t="str">
        <f ca="1">IFERROR(IF(YS4=16,OFFSET(納品書まとめ!$A$1,YS2-1,64),                                                                                                                                                                                                                        IF(COUNTIF(OFFSET(納品書まとめ!$A$1,YS2-1,63),"*●*"),"",OFFSET(納品書まとめ!$A$1,YS2-1,63))),"")</f>
        <v/>
      </c>
      <c r="YL14" s="62"/>
      <c r="YM14" s="62"/>
      <c r="YN14" s="63"/>
      <c r="YO14" s="36"/>
      <c r="YP14" s="42" t="str">
        <f ca="1">IFERROR(OFFSET(納品書まとめ!$A$1,YS2-1,64),"")</f>
        <v/>
      </c>
      <c r="YQ14" s="36"/>
      <c r="YR14" s="73"/>
      <c r="YS14" s="74"/>
      <c r="YV14" s="61" t="str">
        <f ca="1">IFERROR(IF(ZD4=16,OFFSET(納品書まとめ!$A$1,ZD2-1,64),                                                                                                                                                                                                                        IF(COUNTIF(OFFSET(納品書まとめ!$A$1,ZD2-1,63),"*●*"),"",OFFSET(納品書まとめ!$A$1,ZD2-1,63))),"")</f>
        <v/>
      </c>
      <c r="YW14" s="62"/>
      <c r="YX14" s="62"/>
      <c r="YY14" s="63"/>
      <c r="YZ14" s="36"/>
      <c r="ZA14" s="42" t="str">
        <f ca="1">IFERROR(OFFSET(納品書まとめ!$A$1,ZD2-1,64),"")</f>
        <v/>
      </c>
      <c r="ZB14" s="36"/>
      <c r="ZC14" s="73"/>
      <c r="ZD14" s="74"/>
      <c r="ZG14" s="61" t="str">
        <f ca="1">IFERROR(IF(ZO4=16,OFFSET(納品書まとめ!$A$1,ZO2-1,64),                                                                                                                                                                                                                        IF(COUNTIF(OFFSET(納品書まとめ!$A$1,ZO2-1,63),"*●*"),"",OFFSET(納品書まとめ!$A$1,ZO2-1,63))),"")</f>
        <v/>
      </c>
      <c r="ZH14" s="62"/>
      <c r="ZI14" s="62"/>
      <c r="ZJ14" s="63"/>
      <c r="ZK14" s="36"/>
      <c r="ZL14" s="42" t="str">
        <f ca="1">IFERROR(OFFSET(納品書まとめ!$A$1,ZO2-1,64),"")</f>
        <v/>
      </c>
      <c r="ZM14" s="36"/>
      <c r="ZN14" s="73"/>
      <c r="ZO14" s="74"/>
      <c r="ZR14" s="61" t="str">
        <f ca="1">IFERROR(IF(ZZ4=16,OFFSET(納品書まとめ!$A$1,ZZ2-1,64),                                                                                                                                                                                                                        IF(COUNTIF(OFFSET(納品書まとめ!$A$1,ZZ2-1,63),"*●*"),"",OFFSET(納品書まとめ!$A$1,ZZ2-1,63))),"")</f>
        <v/>
      </c>
      <c r="ZS14" s="62"/>
      <c r="ZT14" s="62"/>
      <c r="ZU14" s="63"/>
      <c r="ZV14" s="36"/>
      <c r="ZW14" s="42" t="str">
        <f ca="1">IFERROR(OFFSET(納品書まとめ!$A$1,ZZ2-1,64),"")</f>
        <v/>
      </c>
      <c r="ZX14" s="36"/>
      <c r="ZY14" s="73"/>
      <c r="ZZ14" s="74"/>
      <c r="AAC14" s="61" t="str">
        <f ca="1">IFERROR(IF(AAK4=16,OFFSET(納品書まとめ!$A$1,AAK2-1,64),                                                                                                                                                                                                                        IF(COUNTIF(OFFSET(納品書まとめ!$A$1,AAK2-1,63),"*●*"),"",OFFSET(納品書まとめ!$A$1,AAK2-1,63))),"")</f>
        <v/>
      </c>
      <c r="AAD14" s="62"/>
      <c r="AAE14" s="62"/>
      <c r="AAF14" s="63"/>
      <c r="AAG14" s="36"/>
      <c r="AAH14" s="42" t="str">
        <f ca="1">IFERROR(OFFSET(納品書まとめ!$A$1,AAK2-1,64),"")</f>
        <v/>
      </c>
      <c r="AAI14" s="36"/>
      <c r="AAJ14" s="73"/>
      <c r="AAK14" s="74"/>
      <c r="AAN14" s="61" t="str">
        <f ca="1">IFERROR(IF(AAV4=16,OFFSET(納品書まとめ!$A$1,AAV2-1,64),                                                                                                                                                                                                                        IF(COUNTIF(OFFSET(納品書まとめ!$A$1,AAV2-1,63),"*●*"),"",OFFSET(納品書まとめ!$A$1,AAV2-1,63))),"")</f>
        <v/>
      </c>
      <c r="AAO14" s="62"/>
      <c r="AAP14" s="62"/>
      <c r="AAQ14" s="63"/>
      <c r="AAR14" s="36"/>
      <c r="AAS14" s="42" t="str">
        <f ca="1">IFERROR(OFFSET(納品書まとめ!$A$1,AAV2-1,64),"")</f>
        <v/>
      </c>
      <c r="AAT14" s="36"/>
      <c r="AAU14" s="73"/>
      <c r="AAV14" s="74"/>
      <c r="AAY14" s="61" t="str">
        <f ca="1">IFERROR(IF(ABG4=16,OFFSET(納品書まとめ!$A$1,ABG2-1,64),                                                                                                                                                                                                                        IF(COUNTIF(OFFSET(納品書まとめ!$A$1,ABG2-1,63),"*●*"),"",OFFSET(納品書まとめ!$A$1,ABG2-1,63))),"")</f>
        <v/>
      </c>
      <c r="AAZ14" s="62"/>
      <c r="ABA14" s="62"/>
      <c r="ABB14" s="63"/>
      <c r="ABC14" s="36"/>
      <c r="ABD14" s="42" t="str">
        <f ca="1">IFERROR(OFFSET(納品書まとめ!$A$1,ABG2-1,64),"")</f>
        <v/>
      </c>
      <c r="ABE14" s="36"/>
      <c r="ABF14" s="73"/>
      <c r="ABG14" s="74"/>
      <c r="ABJ14" s="61" t="str">
        <f ca="1">IFERROR(IF(ABR4=16,OFFSET(納品書まとめ!$A$1,ABR2-1,64),                                                                                                                                                                                                                        IF(COUNTIF(OFFSET(納品書まとめ!$A$1,ABR2-1,63),"*●*"),"",OFFSET(納品書まとめ!$A$1,ABR2-1,63))),"")</f>
        <v/>
      </c>
      <c r="ABK14" s="62"/>
      <c r="ABL14" s="62"/>
      <c r="ABM14" s="63"/>
      <c r="ABN14" s="36"/>
      <c r="ABO14" s="42" t="str">
        <f ca="1">IFERROR(OFFSET(納品書まとめ!$A$1,ABR2-1,64),"")</f>
        <v/>
      </c>
      <c r="ABP14" s="36"/>
      <c r="ABQ14" s="73"/>
      <c r="ABR14" s="74"/>
      <c r="ABU14" s="61" t="str">
        <f ca="1">IFERROR(IF(ACC4=16,OFFSET(納品書まとめ!$A$1,ACC2-1,64),                                                                                                                                                                                                                        IF(COUNTIF(OFFSET(納品書まとめ!$A$1,ACC2-1,63),"*●*"),"",OFFSET(納品書まとめ!$A$1,ACC2-1,63))),"")</f>
        <v/>
      </c>
      <c r="ABV14" s="62"/>
      <c r="ABW14" s="62"/>
      <c r="ABX14" s="63"/>
      <c r="ABY14" s="36"/>
      <c r="ABZ14" s="42" t="str">
        <f ca="1">IFERROR(OFFSET(納品書まとめ!$A$1,ACC2-1,64),"")</f>
        <v/>
      </c>
      <c r="ACA14" s="36"/>
      <c r="ACB14" s="73"/>
      <c r="ACC14" s="74"/>
      <c r="ACF14" s="61" t="str">
        <f ca="1">IFERROR(IF(ACN4=16,OFFSET(納品書まとめ!$A$1,ACN2-1,64),                                                                                                                                                                                                                        IF(COUNTIF(OFFSET(納品書まとめ!$A$1,ACN2-1,63),"*●*"),"",OFFSET(納品書まとめ!$A$1,ACN2-1,63))),"")</f>
        <v/>
      </c>
      <c r="ACG14" s="62"/>
      <c r="ACH14" s="62"/>
      <c r="ACI14" s="63"/>
      <c r="ACJ14" s="36"/>
      <c r="ACK14" s="42" t="str">
        <f ca="1">IFERROR(OFFSET(納品書まとめ!$A$1,ACN2-1,64),"")</f>
        <v/>
      </c>
      <c r="ACL14" s="36"/>
      <c r="ACM14" s="73"/>
      <c r="ACN14" s="74"/>
      <c r="ACQ14" s="61" t="str">
        <f ca="1">IFERROR(IF(ACY4=16,OFFSET(納品書まとめ!$A$1,ACY2-1,64),                                                                                                                                                                                                                        IF(COUNTIF(OFFSET(納品書まとめ!$A$1,ACY2-1,63),"*●*"),"",OFFSET(納品書まとめ!$A$1,ACY2-1,63))),"")</f>
        <v/>
      </c>
      <c r="ACR14" s="62"/>
      <c r="ACS14" s="62"/>
      <c r="ACT14" s="63"/>
      <c r="ACU14" s="36"/>
      <c r="ACV14" s="42" t="str">
        <f ca="1">IFERROR(OFFSET(納品書まとめ!$A$1,ACY2-1,64),"")</f>
        <v/>
      </c>
      <c r="ACW14" s="36"/>
      <c r="ACX14" s="73"/>
      <c r="ACY14" s="74"/>
      <c r="ADB14" s="61" t="str">
        <f ca="1">IFERROR(IF(ADJ4=16,OFFSET(納品書まとめ!$A$1,ADJ2-1,64),                                                                                                                                                                                                                        IF(COUNTIF(OFFSET(納品書まとめ!$A$1,ADJ2-1,63),"*●*"),"",OFFSET(納品書まとめ!$A$1,ADJ2-1,63))),"")</f>
        <v/>
      </c>
      <c r="ADC14" s="62"/>
      <c r="ADD14" s="62"/>
      <c r="ADE14" s="63"/>
      <c r="ADF14" s="36"/>
      <c r="ADG14" s="42" t="str">
        <f ca="1">IFERROR(OFFSET(納品書まとめ!$A$1,ADJ2-1,64),"")</f>
        <v/>
      </c>
      <c r="ADH14" s="36"/>
      <c r="ADI14" s="73"/>
      <c r="ADJ14" s="74"/>
    </row>
    <row r="15" spans="1:790" x14ac:dyDescent="0.45">
      <c r="A15" s="61" t="str">
        <f ca="1">IFERROR(OFFSET(納品書まとめ!$A$1,H2-1,66),"")</f>
        <v/>
      </c>
      <c r="B15" s="62"/>
      <c r="C15" s="62"/>
      <c r="D15" s="63"/>
      <c r="E15" s="36"/>
      <c r="F15" s="42" t="str">
        <f ca="1">IFERROR(OFFSET(納品書まとめ!$A$1,H2-1,67),"")</f>
        <v/>
      </c>
      <c r="G15" s="36"/>
      <c r="H15" s="73"/>
      <c r="I15" s="74"/>
      <c r="L15" s="61" t="str">
        <f ca="1">IFERROR(OFFSET(納品書まとめ!$A$1,T2-1,66),"")</f>
        <v/>
      </c>
      <c r="M15" s="62"/>
      <c r="N15" s="62"/>
      <c r="O15" s="63"/>
      <c r="P15" s="36"/>
      <c r="Q15" s="42" t="str">
        <f ca="1">IFERROR(OFFSET(納品書まとめ!$A$1,T2-1,67),"")</f>
        <v/>
      </c>
      <c r="R15" s="36"/>
      <c r="S15" s="73"/>
      <c r="T15" s="74"/>
      <c r="W15" s="61" t="str">
        <f ca="1">IFERROR(OFFSET(納品書まとめ!$A$1,AE2-1,66),"")</f>
        <v/>
      </c>
      <c r="X15" s="62"/>
      <c r="Y15" s="62"/>
      <c r="Z15" s="63"/>
      <c r="AA15" s="36"/>
      <c r="AB15" s="42" t="str">
        <f ca="1">IFERROR(OFFSET(納品書まとめ!$A$1,AE2-1,67),"")</f>
        <v/>
      </c>
      <c r="AC15" s="36"/>
      <c r="AD15" s="73"/>
      <c r="AE15" s="74"/>
      <c r="AH15" s="61" t="str">
        <f ca="1">IFERROR(OFFSET(納品書まとめ!$A$1,AP2-1,66),"")</f>
        <v/>
      </c>
      <c r="AI15" s="62"/>
      <c r="AJ15" s="62"/>
      <c r="AK15" s="63"/>
      <c r="AL15" s="36"/>
      <c r="AM15" s="42" t="str">
        <f ca="1">IFERROR(OFFSET(納品書まとめ!$A$1,AP2-1,67),"")</f>
        <v/>
      </c>
      <c r="AN15" s="36"/>
      <c r="AO15" s="73"/>
      <c r="AP15" s="74"/>
      <c r="AS15" s="61" t="str">
        <f ca="1">IFERROR(OFFSET(納品書まとめ!$A$1,BA2-1,66),"")</f>
        <v/>
      </c>
      <c r="AT15" s="62"/>
      <c r="AU15" s="62"/>
      <c r="AV15" s="63"/>
      <c r="AW15" s="36"/>
      <c r="AX15" s="42" t="str">
        <f ca="1">IFERROR(OFFSET(納品書まとめ!$A$1,BA2-1,67),"")</f>
        <v/>
      </c>
      <c r="AY15" s="36"/>
      <c r="AZ15" s="73"/>
      <c r="BA15" s="74"/>
      <c r="BD15" s="61" t="str">
        <f ca="1">IFERROR(OFFSET(納品書まとめ!$A$1,BL2-1,66),"")</f>
        <v/>
      </c>
      <c r="BE15" s="62"/>
      <c r="BF15" s="62"/>
      <c r="BG15" s="63"/>
      <c r="BH15" s="36"/>
      <c r="BI15" s="42" t="str">
        <f ca="1">IFERROR(OFFSET(納品書まとめ!$A$1,BL2-1,67),"")</f>
        <v/>
      </c>
      <c r="BJ15" s="36"/>
      <c r="BK15" s="73"/>
      <c r="BL15" s="74"/>
      <c r="BO15" s="61" t="str">
        <f ca="1">IFERROR(OFFSET(納品書まとめ!$A$1,BW2-1,66),"")</f>
        <v/>
      </c>
      <c r="BP15" s="62"/>
      <c r="BQ15" s="62"/>
      <c r="BR15" s="63"/>
      <c r="BS15" s="36"/>
      <c r="BT15" s="42" t="str">
        <f ca="1">IFERROR(OFFSET(納品書まとめ!$A$1,BW2-1,67),"")</f>
        <v/>
      </c>
      <c r="BU15" s="36"/>
      <c r="BV15" s="73"/>
      <c r="BW15" s="74"/>
      <c r="BZ15" s="61" t="str">
        <f ca="1">IFERROR(OFFSET(納品書まとめ!$A$1,CH2-1,66),"")</f>
        <v/>
      </c>
      <c r="CA15" s="62"/>
      <c r="CB15" s="62"/>
      <c r="CC15" s="63"/>
      <c r="CD15" s="36"/>
      <c r="CE15" s="42" t="str">
        <f ca="1">IFERROR(OFFSET(納品書まとめ!$A$1,CH2-1,67),"")</f>
        <v/>
      </c>
      <c r="CF15" s="36"/>
      <c r="CG15" s="73"/>
      <c r="CH15" s="74"/>
      <c r="CK15" s="61" t="str">
        <f ca="1">IFERROR(OFFSET(納品書まとめ!$A$1,CS2-1,66),"")</f>
        <v/>
      </c>
      <c r="CL15" s="62"/>
      <c r="CM15" s="62"/>
      <c r="CN15" s="63"/>
      <c r="CO15" s="36"/>
      <c r="CP15" s="42" t="str">
        <f ca="1">IFERROR(OFFSET(納品書まとめ!$A$1,CS2-1,67),"")</f>
        <v/>
      </c>
      <c r="CQ15" s="36"/>
      <c r="CR15" s="73"/>
      <c r="CS15" s="74"/>
      <c r="CV15" s="61" t="str">
        <f ca="1">IFERROR(OFFSET(納品書まとめ!$A$1,DD2-1,66),"")</f>
        <v/>
      </c>
      <c r="CW15" s="62"/>
      <c r="CX15" s="62"/>
      <c r="CY15" s="63"/>
      <c r="CZ15" s="36"/>
      <c r="DA15" s="42" t="str">
        <f ca="1">IFERROR(OFFSET(納品書まとめ!$A$1,DD2-1,67),"")</f>
        <v/>
      </c>
      <c r="DB15" s="36"/>
      <c r="DC15" s="73"/>
      <c r="DD15" s="74"/>
      <c r="DG15" s="61" t="str">
        <f ca="1">IFERROR(OFFSET(納品書まとめ!$A$1,DO2-1,66),"")</f>
        <v/>
      </c>
      <c r="DH15" s="62"/>
      <c r="DI15" s="62"/>
      <c r="DJ15" s="63"/>
      <c r="DK15" s="36"/>
      <c r="DL15" s="42" t="str">
        <f ca="1">IFERROR(OFFSET(納品書まとめ!$A$1,DO2-1,67),"")</f>
        <v/>
      </c>
      <c r="DM15" s="36"/>
      <c r="DN15" s="73"/>
      <c r="DO15" s="74"/>
      <c r="DR15" s="61" t="str">
        <f ca="1">IFERROR(OFFSET(納品書まとめ!$A$1,DZ2-1,66),"")</f>
        <v/>
      </c>
      <c r="DS15" s="62"/>
      <c r="DT15" s="62"/>
      <c r="DU15" s="63"/>
      <c r="DV15" s="36"/>
      <c r="DW15" s="42" t="str">
        <f ca="1">IFERROR(OFFSET(納品書まとめ!$A$1,DZ2-1,67),"")</f>
        <v/>
      </c>
      <c r="DX15" s="36"/>
      <c r="DY15" s="73"/>
      <c r="DZ15" s="74"/>
      <c r="EC15" s="61" t="str">
        <f ca="1">IFERROR(OFFSET(納品書まとめ!$A$1,EK2-1,66),"")</f>
        <v/>
      </c>
      <c r="ED15" s="62"/>
      <c r="EE15" s="62"/>
      <c r="EF15" s="63"/>
      <c r="EG15" s="36"/>
      <c r="EH15" s="42" t="str">
        <f ca="1">IFERROR(OFFSET(納品書まとめ!$A$1,EK2-1,67),"")</f>
        <v/>
      </c>
      <c r="EI15" s="36"/>
      <c r="EJ15" s="73"/>
      <c r="EK15" s="74"/>
      <c r="EN15" s="61" t="str">
        <f ca="1">IFERROR(OFFSET(納品書まとめ!$A$1,EV2-1,66),"")</f>
        <v/>
      </c>
      <c r="EO15" s="62"/>
      <c r="EP15" s="62"/>
      <c r="EQ15" s="63"/>
      <c r="ER15" s="36"/>
      <c r="ES15" s="42" t="str">
        <f ca="1">IFERROR(OFFSET(納品書まとめ!$A$1,EV2-1,67),"")</f>
        <v/>
      </c>
      <c r="ET15" s="36"/>
      <c r="EU15" s="73"/>
      <c r="EV15" s="74"/>
      <c r="EY15" s="61" t="str">
        <f ca="1">IFERROR(OFFSET(納品書まとめ!$A$1,FG2-1,66),"")</f>
        <v/>
      </c>
      <c r="EZ15" s="62"/>
      <c r="FA15" s="62"/>
      <c r="FB15" s="63"/>
      <c r="FC15" s="36"/>
      <c r="FD15" s="42" t="str">
        <f ca="1">IFERROR(OFFSET(納品書まとめ!$A$1,FG2-1,67),"")</f>
        <v/>
      </c>
      <c r="FE15" s="36"/>
      <c r="FF15" s="73"/>
      <c r="FG15" s="74"/>
      <c r="FJ15" s="61" t="str">
        <f ca="1">IFERROR(OFFSET(納品書まとめ!$A$1,FR2-1,66),"")</f>
        <v/>
      </c>
      <c r="FK15" s="62"/>
      <c r="FL15" s="62"/>
      <c r="FM15" s="63"/>
      <c r="FN15" s="36"/>
      <c r="FO15" s="42" t="str">
        <f ca="1">IFERROR(OFFSET(納品書まとめ!$A$1,FR2-1,67),"")</f>
        <v/>
      </c>
      <c r="FP15" s="36"/>
      <c r="FQ15" s="73"/>
      <c r="FR15" s="74"/>
      <c r="FU15" s="61" t="str">
        <f ca="1">IFERROR(OFFSET(納品書まとめ!$A$1,GC2-1,66),"")</f>
        <v/>
      </c>
      <c r="FV15" s="62"/>
      <c r="FW15" s="62"/>
      <c r="FX15" s="63"/>
      <c r="FY15" s="36"/>
      <c r="FZ15" s="42" t="str">
        <f ca="1">IFERROR(OFFSET(納品書まとめ!$A$1,GC2-1,67),"")</f>
        <v/>
      </c>
      <c r="GA15" s="36"/>
      <c r="GB15" s="73"/>
      <c r="GC15" s="74"/>
      <c r="GF15" s="61" t="str">
        <f ca="1">IFERROR(OFFSET(納品書まとめ!$A$1,GN2-1,66),"")</f>
        <v/>
      </c>
      <c r="GG15" s="62"/>
      <c r="GH15" s="62"/>
      <c r="GI15" s="63"/>
      <c r="GJ15" s="36"/>
      <c r="GK15" s="42" t="str">
        <f ca="1">IFERROR(OFFSET(納品書まとめ!$A$1,GN2-1,67),"")</f>
        <v/>
      </c>
      <c r="GL15" s="36"/>
      <c r="GM15" s="73"/>
      <c r="GN15" s="74"/>
      <c r="GQ15" s="61" t="str">
        <f ca="1">IFERROR(OFFSET(納品書まとめ!$A$1,GY2-1,66),"")</f>
        <v/>
      </c>
      <c r="GR15" s="62"/>
      <c r="GS15" s="62"/>
      <c r="GT15" s="63"/>
      <c r="GU15" s="36"/>
      <c r="GV15" s="42" t="str">
        <f ca="1">IFERROR(OFFSET(納品書まとめ!$A$1,GY2-1,67),"")</f>
        <v/>
      </c>
      <c r="GW15" s="36"/>
      <c r="GX15" s="73"/>
      <c r="GY15" s="74"/>
      <c r="HB15" s="61" t="str">
        <f ca="1">IFERROR(OFFSET(納品書まとめ!$A$1,HJ2-1,66),"")</f>
        <v/>
      </c>
      <c r="HC15" s="62"/>
      <c r="HD15" s="62"/>
      <c r="HE15" s="63"/>
      <c r="HF15" s="36"/>
      <c r="HG15" s="42" t="str">
        <f ca="1">IFERROR(OFFSET(納品書まとめ!$A$1,HJ2-1,67),"")</f>
        <v/>
      </c>
      <c r="HH15" s="36"/>
      <c r="HI15" s="73"/>
      <c r="HJ15" s="74"/>
      <c r="HM15" s="61" t="str">
        <f ca="1">IFERROR(OFFSET(納品書まとめ!$A$1,HU2-1,66),"")</f>
        <v/>
      </c>
      <c r="HN15" s="62"/>
      <c r="HO15" s="62"/>
      <c r="HP15" s="63"/>
      <c r="HQ15" s="36"/>
      <c r="HR15" s="42" t="str">
        <f ca="1">IFERROR(OFFSET(納品書まとめ!$A$1,HU2-1,67),"")</f>
        <v/>
      </c>
      <c r="HS15" s="36"/>
      <c r="HT15" s="73"/>
      <c r="HU15" s="74"/>
      <c r="HX15" s="61" t="str">
        <f ca="1">IFERROR(OFFSET(納品書まとめ!$A$1,IF2-1,66),"")</f>
        <v/>
      </c>
      <c r="HY15" s="62"/>
      <c r="HZ15" s="62"/>
      <c r="IA15" s="63"/>
      <c r="IB15" s="36"/>
      <c r="IC15" s="42" t="str">
        <f ca="1">IFERROR(OFFSET(納品書まとめ!$A$1,IF2-1,67),"")</f>
        <v/>
      </c>
      <c r="ID15" s="36"/>
      <c r="IE15" s="73"/>
      <c r="IF15" s="74"/>
      <c r="II15" s="61" t="str">
        <f ca="1">IFERROR(OFFSET(納品書まとめ!$A$1,IQ2-1,66),"")</f>
        <v/>
      </c>
      <c r="IJ15" s="62"/>
      <c r="IK15" s="62"/>
      <c r="IL15" s="63"/>
      <c r="IM15" s="36"/>
      <c r="IN15" s="42" t="str">
        <f ca="1">IFERROR(OFFSET(納品書まとめ!$A$1,IQ2-1,67),"")</f>
        <v/>
      </c>
      <c r="IO15" s="36"/>
      <c r="IP15" s="73"/>
      <c r="IQ15" s="74"/>
      <c r="IT15" s="61" t="str">
        <f ca="1">IFERROR(OFFSET(納品書まとめ!$A$1,JB2-1,66),"")</f>
        <v/>
      </c>
      <c r="IU15" s="62"/>
      <c r="IV15" s="62"/>
      <c r="IW15" s="63"/>
      <c r="IX15" s="36"/>
      <c r="IY15" s="42" t="str">
        <f ca="1">IFERROR(OFFSET(納品書まとめ!$A$1,JB2-1,67),"")</f>
        <v/>
      </c>
      <c r="IZ15" s="36"/>
      <c r="JA15" s="73"/>
      <c r="JB15" s="74"/>
      <c r="JE15" s="61" t="str">
        <f ca="1">IFERROR(OFFSET(納品書まとめ!$A$1,JM2-1,66),"")</f>
        <v/>
      </c>
      <c r="JF15" s="62"/>
      <c r="JG15" s="62"/>
      <c r="JH15" s="63"/>
      <c r="JI15" s="36"/>
      <c r="JJ15" s="42" t="str">
        <f ca="1">IFERROR(OFFSET(納品書まとめ!$A$1,JM2-1,67),"")</f>
        <v/>
      </c>
      <c r="JK15" s="36"/>
      <c r="JL15" s="73"/>
      <c r="JM15" s="74"/>
      <c r="JP15" s="61" t="str">
        <f ca="1">IFERROR(OFFSET(納品書まとめ!$A$1,JX2-1,66),"")</f>
        <v/>
      </c>
      <c r="JQ15" s="62"/>
      <c r="JR15" s="62"/>
      <c r="JS15" s="63"/>
      <c r="JT15" s="36"/>
      <c r="JU15" s="42" t="str">
        <f ca="1">IFERROR(OFFSET(納品書まとめ!$A$1,JX2-1,67),"")</f>
        <v/>
      </c>
      <c r="JV15" s="36"/>
      <c r="JW15" s="73"/>
      <c r="JX15" s="74"/>
      <c r="KA15" s="61" t="str">
        <f ca="1">IFERROR(OFFSET(納品書まとめ!$A$1,KI2-1,66),"")</f>
        <v/>
      </c>
      <c r="KB15" s="62"/>
      <c r="KC15" s="62"/>
      <c r="KD15" s="63"/>
      <c r="KE15" s="36"/>
      <c r="KF15" s="42" t="str">
        <f ca="1">IFERROR(OFFSET(納品書まとめ!$A$1,KI2-1,67),"")</f>
        <v/>
      </c>
      <c r="KG15" s="36"/>
      <c r="KH15" s="73"/>
      <c r="KI15" s="74"/>
      <c r="KL15" s="61" t="str">
        <f ca="1">IFERROR(OFFSET(納品書まとめ!$A$1,KT2-1,66),"")</f>
        <v/>
      </c>
      <c r="KM15" s="62"/>
      <c r="KN15" s="62"/>
      <c r="KO15" s="63"/>
      <c r="KP15" s="36"/>
      <c r="KQ15" s="42" t="str">
        <f ca="1">IFERROR(OFFSET(納品書まとめ!$A$1,KT2-1,67),"")</f>
        <v/>
      </c>
      <c r="KR15" s="36"/>
      <c r="KS15" s="73"/>
      <c r="KT15" s="74"/>
      <c r="KW15" s="61" t="str">
        <f ca="1">IFERROR(OFFSET(納品書まとめ!$A$1,LE2-1,66),"")</f>
        <v/>
      </c>
      <c r="KX15" s="62"/>
      <c r="KY15" s="62"/>
      <c r="KZ15" s="63"/>
      <c r="LA15" s="36"/>
      <c r="LB15" s="42" t="str">
        <f ca="1">IFERROR(OFFSET(納品書まとめ!$A$1,LE2-1,67),"")</f>
        <v/>
      </c>
      <c r="LC15" s="36"/>
      <c r="LD15" s="73"/>
      <c r="LE15" s="74"/>
      <c r="LH15" s="61" t="str">
        <f ca="1">IFERROR(OFFSET(納品書まとめ!$A$1,LP2-1,66),"")</f>
        <v/>
      </c>
      <c r="LI15" s="62"/>
      <c r="LJ15" s="62"/>
      <c r="LK15" s="63"/>
      <c r="LL15" s="36"/>
      <c r="LM15" s="42" t="str">
        <f ca="1">IFERROR(OFFSET(納品書まとめ!$A$1,LP2-1,67),"")</f>
        <v/>
      </c>
      <c r="LN15" s="36"/>
      <c r="LO15" s="73"/>
      <c r="LP15" s="74"/>
      <c r="LS15" s="61" t="str">
        <f ca="1">IFERROR(OFFSET(納品書まとめ!$A$1,MA2-1,66),"")</f>
        <v/>
      </c>
      <c r="LT15" s="62"/>
      <c r="LU15" s="62"/>
      <c r="LV15" s="63"/>
      <c r="LW15" s="36"/>
      <c r="LX15" s="42" t="str">
        <f ca="1">IFERROR(OFFSET(納品書まとめ!$A$1,MA2-1,67),"")</f>
        <v/>
      </c>
      <c r="LY15" s="36"/>
      <c r="LZ15" s="73"/>
      <c r="MA15" s="74"/>
      <c r="MD15" s="61" t="str">
        <f ca="1">IFERROR(OFFSET(納品書まとめ!$A$1,ML2-1,66),"")</f>
        <v/>
      </c>
      <c r="ME15" s="62"/>
      <c r="MF15" s="62"/>
      <c r="MG15" s="63"/>
      <c r="MH15" s="36"/>
      <c r="MI15" s="42" t="str">
        <f ca="1">IFERROR(OFFSET(納品書まとめ!$A$1,ML2-1,67),"")</f>
        <v/>
      </c>
      <c r="MJ15" s="36"/>
      <c r="MK15" s="73"/>
      <c r="ML15" s="74"/>
      <c r="MO15" s="61" t="str">
        <f ca="1">IFERROR(OFFSET(納品書まとめ!$A$1,MW2-1,66),"")</f>
        <v/>
      </c>
      <c r="MP15" s="62"/>
      <c r="MQ15" s="62"/>
      <c r="MR15" s="63"/>
      <c r="MS15" s="36"/>
      <c r="MT15" s="42" t="str">
        <f ca="1">IFERROR(OFFSET(納品書まとめ!$A$1,MW2-1,67),"")</f>
        <v/>
      </c>
      <c r="MU15" s="36"/>
      <c r="MV15" s="73"/>
      <c r="MW15" s="74"/>
      <c r="MZ15" s="61" t="str">
        <f ca="1">IFERROR(OFFSET(納品書まとめ!$A$1,NH2-1,66),"")</f>
        <v/>
      </c>
      <c r="NA15" s="62"/>
      <c r="NB15" s="62"/>
      <c r="NC15" s="63"/>
      <c r="ND15" s="36"/>
      <c r="NE15" s="42" t="str">
        <f ca="1">IFERROR(OFFSET(納品書まとめ!$A$1,NH2-1,67),"")</f>
        <v/>
      </c>
      <c r="NF15" s="36"/>
      <c r="NG15" s="73"/>
      <c r="NH15" s="74"/>
      <c r="NK15" s="61" t="str">
        <f ca="1">IFERROR(OFFSET(納品書まとめ!$A$1,NS2-1,66),"")</f>
        <v/>
      </c>
      <c r="NL15" s="62"/>
      <c r="NM15" s="62"/>
      <c r="NN15" s="63"/>
      <c r="NO15" s="36"/>
      <c r="NP15" s="42" t="str">
        <f ca="1">IFERROR(OFFSET(納品書まとめ!$A$1,NS2-1,67),"")</f>
        <v/>
      </c>
      <c r="NQ15" s="36"/>
      <c r="NR15" s="73"/>
      <c r="NS15" s="74"/>
      <c r="NV15" s="61" t="str">
        <f ca="1">IFERROR(OFFSET(納品書まとめ!$A$1,OD2-1,66),"")</f>
        <v/>
      </c>
      <c r="NW15" s="62"/>
      <c r="NX15" s="62"/>
      <c r="NY15" s="63"/>
      <c r="NZ15" s="36"/>
      <c r="OA15" s="42" t="str">
        <f ca="1">IFERROR(OFFSET(納品書まとめ!$A$1,OD2-1,67),"")</f>
        <v/>
      </c>
      <c r="OB15" s="36"/>
      <c r="OC15" s="73"/>
      <c r="OD15" s="74"/>
      <c r="OG15" s="61" t="str">
        <f ca="1">IFERROR(OFFSET(納品書まとめ!$A$1,OO2-1,66),"")</f>
        <v/>
      </c>
      <c r="OH15" s="62"/>
      <c r="OI15" s="62"/>
      <c r="OJ15" s="63"/>
      <c r="OK15" s="36"/>
      <c r="OL15" s="42" t="str">
        <f ca="1">IFERROR(OFFSET(納品書まとめ!$A$1,OO2-1,67),"")</f>
        <v/>
      </c>
      <c r="OM15" s="36"/>
      <c r="ON15" s="73"/>
      <c r="OO15" s="74"/>
      <c r="OR15" s="61" t="str">
        <f ca="1">IFERROR(OFFSET(納品書まとめ!$A$1,OZ2-1,66),"")</f>
        <v/>
      </c>
      <c r="OS15" s="62"/>
      <c r="OT15" s="62"/>
      <c r="OU15" s="63"/>
      <c r="OV15" s="36"/>
      <c r="OW15" s="42" t="str">
        <f ca="1">IFERROR(OFFSET(納品書まとめ!$A$1,OZ2-1,67),"")</f>
        <v/>
      </c>
      <c r="OX15" s="36"/>
      <c r="OY15" s="73"/>
      <c r="OZ15" s="74"/>
      <c r="PC15" s="61" t="str">
        <f ca="1">IFERROR(OFFSET(納品書まとめ!$A$1,PK2-1,66),"")</f>
        <v/>
      </c>
      <c r="PD15" s="62"/>
      <c r="PE15" s="62"/>
      <c r="PF15" s="63"/>
      <c r="PG15" s="36"/>
      <c r="PH15" s="42" t="str">
        <f ca="1">IFERROR(OFFSET(納品書まとめ!$A$1,PK2-1,67),"")</f>
        <v/>
      </c>
      <c r="PI15" s="36"/>
      <c r="PJ15" s="73"/>
      <c r="PK15" s="74"/>
      <c r="PN15" s="61" t="str">
        <f ca="1">IFERROR(OFFSET(納品書まとめ!$A$1,PV2-1,66),"")</f>
        <v/>
      </c>
      <c r="PO15" s="62"/>
      <c r="PP15" s="62"/>
      <c r="PQ15" s="63"/>
      <c r="PR15" s="36"/>
      <c r="PS15" s="42" t="str">
        <f ca="1">IFERROR(OFFSET(納品書まとめ!$A$1,PV2-1,67),"")</f>
        <v/>
      </c>
      <c r="PT15" s="36"/>
      <c r="PU15" s="73"/>
      <c r="PV15" s="74"/>
      <c r="PY15" s="61" t="str">
        <f ca="1">IFERROR(OFFSET(納品書まとめ!$A$1,QG2-1,66),"")</f>
        <v/>
      </c>
      <c r="PZ15" s="62"/>
      <c r="QA15" s="62"/>
      <c r="QB15" s="63"/>
      <c r="QC15" s="36"/>
      <c r="QD15" s="42" t="str">
        <f ca="1">IFERROR(OFFSET(納品書まとめ!$A$1,QG2-1,67),"")</f>
        <v/>
      </c>
      <c r="QE15" s="36"/>
      <c r="QF15" s="73"/>
      <c r="QG15" s="74"/>
      <c r="QJ15" s="61" t="str">
        <f ca="1">IFERROR(OFFSET(納品書まとめ!$A$1,QR2-1,66),"")</f>
        <v/>
      </c>
      <c r="QK15" s="62"/>
      <c r="QL15" s="62"/>
      <c r="QM15" s="63"/>
      <c r="QN15" s="36"/>
      <c r="QO15" s="42" t="str">
        <f ca="1">IFERROR(OFFSET(納品書まとめ!$A$1,QR2-1,67),"")</f>
        <v/>
      </c>
      <c r="QP15" s="36"/>
      <c r="QQ15" s="73"/>
      <c r="QR15" s="74"/>
      <c r="QU15" s="61" t="str">
        <f ca="1">IFERROR(OFFSET(納品書まとめ!$A$1,RC2-1,66),"")</f>
        <v/>
      </c>
      <c r="QV15" s="62"/>
      <c r="QW15" s="62"/>
      <c r="QX15" s="63"/>
      <c r="QY15" s="36"/>
      <c r="QZ15" s="42" t="str">
        <f ca="1">IFERROR(OFFSET(納品書まとめ!$A$1,RC2-1,67),"")</f>
        <v/>
      </c>
      <c r="RA15" s="36"/>
      <c r="RB15" s="73"/>
      <c r="RC15" s="74"/>
      <c r="RF15" s="61" t="str">
        <f ca="1">IFERROR(OFFSET(納品書まとめ!$A$1,RN2-1,66),"")</f>
        <v/>
      </c>
      <c r="RG15" s="62"/>
      <c r="RH15" s="62"/>
      <c r="RI15" s="63"/>
      <c r="RJ15" s="36"/>
      <c r="RK15" s="42" t="str">
        <f ca="1">IFERROR(OFFSET(納品書まとめ!$A$1,RN2-1,67),"")</f>
        <v/>
      </c>
      <c r="RL15" s="36"/>
      <c r="RM15" s="73"/>
      <c r="RN15" s="74"/>
      <c r="RQ15" s="61" t="str">
        <f ca="1">IFERROR(OFFSET(納品書まとめ!$A$1,RY2-1,66),"")</f>
        <v/>
      </c>
      <c r="RR15" s="62"/>
      <c r="RS15" s="62"/>
      <c r="RT15" s="63"/>
      <c r="RU15" s="36"/>
      <c r="RV15" s="42" t="str">
        <f ca="1">IFERROR(OFFSET(納品書まとめ!$A$1,RY2-1,67),"")</f>
        <v/>
      </c>
      <c r="RW15" s="36"/>
      <c r="RX15" s="73"/>
      <c r="RY15" s="74"/>
      <c r="SB15" s="61" t="str">
        <f ca="1">IFERROR(OFFSET(納品書まとめ!$A$1,SJ2-1,66),"")</f>
        <v/>
      </c>
      <c r="SC15" s="62"/>
      <c r="SD15" s="62"/>
      <c r="SE15" s="63"/>
      <c r="SF15" s="36"/>
      <c r="SG15" s="42" t="str">
        <f ca="1">IFERROR(OFFSET(納品書まとめ!$A$1,SJ2-1,67),"")</f>
        <v/>
      </c>
      <c r="SH15" s="36"/>
      <c r="SI15" s="73"/>
      <c r="SJ15" s="74"/>
      <c r="SM15" s="61" t="str">
        <f ca="1">IFERROR(OFFSET(納品書まとめ!$A$1,SU2-1,66),"")</f>
        <v/>
      </c>
      <c r="SN15" s="62"/>
      <c r="SO15" s="62"/>
      <c r="SP15" s="63"/>
      <c r="SQ15" s="36"/>
      <c r="SR15" s="42" t="str">
        <f ca="1">IFERROR(OFFSET(納品書まとめ!$A$1,SU2-1,67),"")</f>
        <v/>
      </c>
      <c r="SS15" s="36"/>
      <c r="ST15" s="73"/>
      <c r="SU15" s="74"/>
      <c r="SX15" s="61" t="str">
        <f ca="1">IFERROR(OFFSET(納品書まとめ!$A$1,TF2-1,66),"")</f>
        <v/>
      </c>
      <c r="SY15" s="62"/>
      <c r="SZ15" s="62"/>
      <c r="TA15" s="63"/>
      <c r="TB15" s="36"/>
      <c r="TC15" s="42" t="str">
        <f ca="1">IFERROR(OFFSET(納品書まとめ!$A$1,TF2-1,67),"")</f>
        <v/>
      </c>
      <c r="TD15" s="36"/>
      <c r="TE15" s="73"/>
      <c r="TF15" s="74"/>
      <c r="TI15" s="61" t="str">
        <f ca="1">IFERROR(OFFSET(納品書まとめ!$A$1,TQ2-1,66),"")</f>
        <v/>
      </c>
      <c r="TJ15" s="62"/>
      <c r="TK15" s="62"/>
      <c r="TL15" s="63"/>
      <c r="TM15" s="36"/>
      <c r="TN15" s="42" t="str">
        <f ca="1">IFERROR(OFFSET(納品書まとめ!$A$1,TQ2-1,67),"")</f>
        <v/>
      </c>
      <c r="TO15" s="36"/>
      <c r="TP15" s="73"/>
      <c r="TQ15" s="74"/>
      <c r="TT15" s="61" t="str">
        <f ca="1">IFERROR(OFFSET(納品書まとめ!$A$1,UB2-1,66),"")</f>
        <v/>
      </c>
      <c r="TU15" s="62"/>
      <c r="TV15" s="62"/>
      <c r="TW15" s="63"/>
      <c r="TX15" s="36"/>
      <c r="TY15" s="42" t="str">
        <f ca="1">IFERROR(OFFSET(納品書まとめ!$A$1,UB2-1,67),"")</f>
        <v/>
      </c>
      <c r="TZ15" s="36"/>
      <c r="UA15" s="73"/>
      <c r="UB15" s="74"/>
      <c r="UE15" s="61" t="str">
        <f ca="1">IFERROR(OFFSET(納品書まとめ!$A$1,UM2-1,66),"")</f>
        <v/>
      </c>
      <c r="UF15" s="62"/>
      <c r="UG15" s="62"/>
      <c r="UH15" s="63"/>
      <c r="UI15" s="36"/>
      <c r="UJ15" s="42" t="str">
        <f ca="1">IFERROR(OFFSET(納品書まとめ!$A$1,UM2-1,67),"")</f>
        <v/>
      </c>
      <c r="UK15" s="36"/>
      <c r="UL15" s="73"/>
      <c r="UM15" s="74"/>
      <c r="UP15" s="61" t="str">
        <f ca="1">IFERROR(OFFSET(納品書まとめ!$A$1,UX2-1,66),"")</f>
        <v/>
      </c>
      <c r="UQ15" s="62"/>
      <c r="UR15" s="62"/>
      <c r="US15" s="63"/>
      <c r="UT15" s="36"/>
      <c r="UU15" s="42" t="str">
        <f ca="1">IFERROR(OFFSET(納品書まとめ!$A$1,UX2-1,67),"")</f>
        <v/>
      </c>
      <c r="UV15" s="36"/>
      <c r="UW15" s="73"/>
      <c r="UX15" s="74"/>
      <c r="VA15" s="61" t="str">
        <f ca="1">IFERROR(OFFSET(納品書まとめ!$A$1,VI2-1,66),"")</f>
        <v/>
      </c>
      <c r="VB15" s="62"/>
      <c r="VC15" s="62"/>
      <c r="VD15" s="63"/>
      <c r="VE15" s="36"/>
      <c r="VF15" s="42" t="str">
        <f ca="1">IFERROR(OFFSET(納品書まとめ!$A$1,VI2-1,67),"")</f>
        <v/>
      </c>
      <c r="VG15" s="36"/>
      <c r="VH15" s="73"/>
      <c r="VI15" s="74"/>
      <c r="VL15" s="61" t="str">
        <f ca="1">IFERROR(OFFSET(納品書まとめ!$A$1,VT2-1,66),"")</f>
        <v/>
      </c>
      <c r="VM15" s="62"/>
      <c r="VN15" s="62"/>
      <c r="VO15" s="63"/>
      <c r="VP15" s="36"/>
      <c r="VQ15" s="42" t="str">
        <f ca="1">IFERROR(OFFSET(納品書まとめ!$A$1,VT2-1,67),"")</f>
        <v/>
      </c>
      <c r="VR15" s="36"/>
      <c r="VS15" s="73"/>
      <c r="VT15" s="74"/>
      <c r="VW15" s="61" t="str">
        <f ca="1">IFERROR(OFFSET(納品書まとめ!$A$1,WE2-1,66),"")</f>
        <v/>
      </c>
      <c r="VX15" s="62"/>
      <c r="VY15" s="62"/>
      <c r="VZ15" s="63"/>
      <c r="WA15" s="36"/>
      <c r="WB15" s="42" t="str">
        <f ca="1">IFERROR(OFFSET(納品書まとめ!$A$1,WE2-1,67),"")</f>
        <v/>
      </c>
      <c r="WC15" s="36"/>
      <c r="WD15" s="73"/>
      <c r="WE15" s="74"/>
      <c r="WH15" s="61" t="str">
        <f ca="1">IFERROR(OFFSET(納品書まとめ!$A$1,WP2-1,66),"")</f>
        <v/>
      </c>
      <c r="WI15" s="62"/>
      <c r="WJ15" s="62"/>
      <c r="WK15" s="63"/>
      <c r="WL15" s="36"/>
      <c r="WM15" s="42" t="str">
        <f ca="1">IFERROR(OFFSET(納品書まとめ!$A$1,WP2-1,67),"")</f>
        <v/>
      </c>
      <c r="WN15" s="36"/>
      <c r="WO15" s="73"/>
      <c r="WP15" s="74"/>
      <c r="WS15" s="61" t="str">
        <f ca="1">IFERROR(OFFSET(納品書まとめ!$A$1,XA2-1,66),"")</f>
        <v/>
      </c>
      <c r="WT15" s="62"/>
      <c r="WU15" s="62"/>
      <c r="WV15" s="63"/>
      <c r="WW15" s="36"/>
      <c r="WX15" s="42" t="str">
        <f ca="1">IFERROR(OFFSET(納品書まとめ!$A$1,XA2-1,67),"")</f>
        <v/>
      </c>
      <c r="WY15" s="36"/>
      <c r="WZ15" s="73"/>
      <c r="XA15" s="74"/>
      <c r="XD15" s="61" t="str">
        <f ca="1">IFERROR(OFFSET(納品書まとめ!$A$1,XL2-1,66),"")</f>
        <v/>
      </c>
      <c r="XE15" s="62"/>
      <c r="XF15" s="62"/>
      <c r="XG15" s="63"/>
      <c r="XH15" s="36"/>
      <c r="XI15" s="42" t="str">
        <f ca="1">IFERROR(OFFSET(納品書まとめ!$A$1,XL2-1,67),"")</f>
        <v/>
      </c>
      <c r="XJ15" s="36"/>
      <c r="XK15" s="73"/>
      <c r="XL15" s="74"/>
      <c r="XO15" s="61" t="str">
        <f ca="1">IFERROR(OFFSET(納品書まとめ!$A$1,XW2-1,66),"")</f>
        <v/>
      </c>
      <c r="XP15" s="62"/>
      <c r="XQ15" s="62"/>
      <c r="XR15" s="63"/>
      <c r="XS15" s="36"/>
      <c r="XT15" s="42" t="str">
        <f ca="1">IFERROR(OFFSET(納品書まとめ!$A$1,XW2-1,67),"")</f>
        <v/>
      </c>
      <c r="XU15" s="36"/>
      <c r="XV15" s="73"/>
      <c r="XW15" s="74"/>
      <c r="XZ15" s="61" t="str">
        <f ca="1">IFERROR(OFFSET(納品書まとめ!$A$1,YH2-1,66),"")</f>
        <v/>
      </c>
      <c r="YA15" s="62"/>
      <c r="YB15" s="62"/>
      <c r="YC15" s="63"/>
      <c r="YD15" s="36"/>
      <c r="YE15" s="42" t="str">
        <f ca="1">IFERROR(OFFSET(納品書まとめ!$A$1,YH2-1,67),"")</f>
        <v/>
      </c>
      <c r="YF15" s="36"/>
      <c r="YG15" s="73"/>
      <c r="YH15" s="74"/>
      <c r="YK15" s="61" t="str">
        <f ca="1">IFERROR(OFFSET(納品書まとめ!$A$1,YS2-1,66),"")</f>
        <v/>
      </c>
      <c r="YL15" s="62"/>
      <c r="YM15" s="62"/>
      <c r="YN15" s="63"/>
      <c r="YO15" s="36"/>
      <c r="YP15" s="42" t="str">
        <f ca="1">IFERROR(OFFSET(納品書まとめ!$A$1,YS2-1,67),"")</f>
        <v/>
      </c>
      <c r="YQ15" s="36"/>
      <c r="YR15" s="73"/>
      <c r="YS15" s="74"/>
      <c r="YV15" s="61" t="str">
        <f ca="1">IFERROR(OFFSET(納品書まとめ!$A$1,ZD2-1,66),"")</f>
        <v/>
      </c>
      <c r="YW15" s="62"/>
      <c r="YX15" s="62"/>
      <c r="YY15" s="63"/>
      <c r="YZ15" s="36"/>
      <c r="ZA15" s="42" t="str">
        <f ca="1">IFERROR(OFFSET(納品書まとめ!$A$1,ZD2-1,67),"")</f>
        <v/>
      </c>
      <c r="ZB15" s="36"/>
      <c r="ZC15" s="73"/>
      <c r="ZD15" s="74"/>
      <c r="ZG15" s="61" t="str">
        <f ca="1">IFERROR(OFFSET(納品書まとめ!$A$1,ZO2-1,66),"")</f>
        <v/>
      </c>
      <c r="ZH15" s="62"/>
      <c r="ZI15" s="62"/>
      <c r="ZJ15" s="63"/>
      <c r="ZK15" s="36"/>
      <c r="ZL15" s="42" t="str">
        <f ca="1">IFERROR(OFFSET(納品書まとめ!$A$1,ZO2-1,67),"")</f>
        <v/>
      </c>
      <c r="ZM15" s="36"/>
      <c r="ZN15" s="73"/>
      <c r="ZO15" s="74"/>
      <c r="ZR15" s="61" t="str">
        <f ca="1">IFERROR(OFFSET(納品書まとめ!$A$1,ZZ2-1,66),"")</f>
        <v/>
      </c>
      <c r="ZS15" s="62"/>
      <c r="ZT15" s="62"/>
      <c r="ZU15" s="63"/>
      <c r="ZV15" s="36"/>
      <c r="ZW15" s="42" t="str">
        <f ca="1">IFERROR(OFFSET(納品書まとめ!$A$1,ZZ2-1,67),"")</f>
        <v/>
      </c>
      <c r="ZX15" s="36"/>
      <c r="ZY15" s="73"/>
      <c r="ZZ15" s="74"/>
      <c r="AAC15" s="61" t="str">
        <f ca="1">IFERROR(OFFSET(納品書まとめ!$A$1,AAK2-1,66),"")</f>
        <v/>
      </c>
      <c r="AAD15" s="62"/>
      <c r="AAE15" s="62"/>
      <c r="AAF15" s="63"/>
      <c r="AAG15" s="36"/>
      <c r="AAH15" s="42" t="str">
        <f ca="1">IFERROR(OFFSET(納品書まとめ!$A$1,AAK2-1,67),"")</f>
        <v/>
      </c>
      <c r="AAI15" s="36"/>
      <c r="AAJ15" s="73"/>
      <c r="AAK15" s="74"/>
      <c r="AAN15" s="61" t="str">
        <f ca="1">IFERROR(OFFSET(納品書まとめ!$A$1,AAV2-1,66),"")</f>
        <v/>
      </c>
      <c r="AAO15" s="62"/>
      <c r="AAP15" s="62"/>
      <c r="AAQ15" s="63"/>
      <c r="AAR15" s="36"/>
      <c r="AAS15" s="42" t="str">
        <f ca="1">IFERROR(OFFSET(納品書まとめ!$A$1,AAV2-1,67),"")</f>
        <v/>
      </c>
      <c r="AAT15" s="36"/>
      <c r="AAU15" s="73"/>
      <c r="AAV15" s="74"/>
      <c r="AAY15" s="61" t="str">
        <f ca="1">IFERROR(OFFSET(納品書まとめ!$A$1,ABG2-1,66),"")</f>
        <v/>
      </c>
      <c r="AAZ15" s="62"/>
      <c r="ABA15" s="62"/>
      <c r="ABB15" s="63"/>
      <c r="ABC15" s="36"/>
      <c r="ABD15" s="42" t="str">
        <f ca="1">IFERROR(OFFSET(納品書まとめ!$A$1,ABG2-1,67),"")</f>
        <v/>
      </c>
      <c r="ABE15" s="36"/>
      <c r="ABF15" s="73"/>
      <c r="ABG15" s="74"/>
      <c r="ABJ15" s="61" t="str">
        <f ca="1">IFERROR(OFFSET(納品書まとめ!$A$1,ABR2-1,66),"")</f>
        <v/>
      </c>
      <c r="ABK15" s="62"/>
      <c r="ABL15" s="62"/>
      <c r="ABM15" s="63"/>
      <c r="ABN15" s="36"/>
      <c r="ABO15" s="42" t="str">
        <f ca="1">IFERROR(OFFSET(納品書まとめ!$A$1,ABR2-1,67),"")</f>
        <v/>
      </c>
      <c r="ABP15" s="36"/>
      <c r="ABQ15" s="73"/>
      <c r="ABR15" s="74"/>
      <c r="ABU15" s="61" t="str">
        <f ca="1">IFERROR(OFFSET(納品書まとめ!$A$1,ACC2-1,66),"")</f>
        <v/>
      </c>
      <c r="ABV15" s="62"/>
      <c r="ABW15" s="62"/>
      <c r="ABX15" s="63"/>
      <c r="ABY15" s="36"/>
      <c r="ABZ15" s="42" t="str">
        <f ca="1">IFERROR(OFFSET(納品書まとめ!$A$1,ACC2-1,67),"")</f>
        <v/>
      </c>
      <c r="ACA15" s="36"/>
      <c r="ACB15" s="73"/>
      <c r="ACC15" s="74"/>
      <c r="ACF15" s="61" t="str">
        <f ca="1">IFERROR(OFFSET(納品書まとめ!$A$1,ACN2-1,66),"")</f>
        <v/>
      </c>
      <c r="ACG15" s="62"/>
      <c r="ACH15" s="62"/>
      <c r="ACI15" s="63"/>
      <c r="ACJ15" s="36"/>
      <c r="ACK15" s="42" t="str">
        <f ca="1">IFERROR(OFFSET(納品書まとめ!$A$1,ACN2-1,67),"")</f>
        <v/>
      </c>
      <c r="ACL15" s="36"/>
      <c r="ACM15" s="73"/>
      <c r="ACN15" s="74"/>
      <c r="ACQ15" s="61" t="str">
        <f ca="1">IFERROR(OFFSET(納品書まとめ!$A$1,ACY2-1,66),"")</f>
        <v/>
      </c>
      <c r="ACR15" s="62"/>
      <c r="ACS15" s="62"/>
      <c r="ACT15" s="63"/>
      <c r="ACU15" s="36"/>
      <c r="ACV15" s="42" t="str">
        <f ca="1">IFERROR(OFFSET(納品書まとめ!$A$1,ACY2-1,67),"")</f>
        <v/>
      </c>
      <c r="ACW15" s="36"/>
      <c r="ACX15" s="73"/>
      <c r="ACY15" s="74"/>
      <c r="ADB15" s="61" t="str">
        <f ca="1">IFERROR(OFFSET(納品書まとめ!$A$1,ADJ2-1,66),"")</f>
        <v/>
      </c>
      <c r="ADC15" s="62"/>
      <c r="ADD15" s="62"/>
      <c r="ADE15" s="63"/>
      <c r="ADF15" s="36"/>
      <c r="ADG15" s="42" t="str">
        <f ca="1">IFERROR(OFFSET(納品書まとめ!$A$1,ADJ2-1,67),"")</f>
        <v/>
      </c>
      <c r="ADH15" s="36"/>
      <c r="ADI15" s="73"/>
      <c r="ADJ15" s="74"/>
    </row>
    <row r="16" spans="1:790" x14ac:dyDescent="0.45">
      <c r="A16" s="61"/>
      <c r="B16" s="62"/>
      <c r="C16" s="62"/>
      <c r="D16" s="63"/>
      <c r="E16" s="36"/>
      <c r="F16" s="42"/>
      <c r="G16" s="36"/>
      <c r="H16" s="73"/>
      <c r="I16" s="74"/>
      <c r="L16" s="61"/>
      <c r="M16" s="62"/>
      <c r="N16" s="62"/>
      <c r="O16" s="63"/>
      <c r="P16" s="36"/>
      <c r="Q16" s="42"/>
      <c r="R16" s="36"/>
      <c r="S16" s="73"/>
      <c r="T16" s="74"/>
      <c r="W16" s="61"/>
      <c r="X16" s="62"/>
      <c r="Y16" s="62"/>
      <c r="Z16" s="63"/>
      <c r="AA16" s="36"/>
      <c r="AB16" s="42"/>
      <c r="AC16" s="36"/>
      <c r="AD16" s="73"/>
      <c r="AE16" s="74"/>
      <c r="AH16" s="61"/>
      <c r="AI16" s="62"/>
      <c r="AJ16" s="62"/>
      <c r="AK16" s="63"/>
      <c r="AL16" s="36"/>
      <c r="AM16" s="42"/>
      <c r="AN16" s="36"/>
      <c r="AO16" s="73"/>
      <c r="AP16" s="74"/>
      <c r="AS16" s="61"/>
      <c r="AT16" s="62"/>
      <c r="AU16" s="62"/>
      <c r="AV16" s="63"/>
      <c r="AW16" s="36"/>
      <c r="AX16" s="42"/>
      <c r="AY16" s="36"/>
      <c r="AZ16" s="73"/>
      <c r="BA16" s="74"/>
      <c r="BD16" s="61"/>
      <c r="BE16" s="62"/>
      <c r="BF16" s="62"/>
      <c r="BG16" s="63"/>
      <c r="BH16" s="36"/>
      <c r="BI16" s="42"/>
      <c r="BJ16" s="36"/>
      <c r="BK16" s="73"/>
      <c r="BL16" s="74"/>
      <c r="BO16" s="61"/>
      <c r="BP16" s="62"/>
      <c r="BQ16" s="62"/>
      <c r="BR16" s="63"/>
      <c r="BS16" s="36"/>
      <c r="BT16" s="42"/>
      <c r="BU16" s="36"/>
      <c r="BV16" s="73"/>
      <c r="BW16" s="74"/>
      <c r="BZ16" s="61"/>
      <c r="CA16" s="62"/>
      <c r="CB16" s="62"/>
      <c r="CC16" s="63"/>
      <c r="CD16" s="36"/>
      <c r="CE16" s="42"/>
      <c r="CF16" s="36"/>
      <c r="CG16" s="73"/>
      <c r="CH16" s="74"/>
      <c r="CK16" s="61"/>
      <c r="CL16" s="62"/>
      <c r="CM16" s="62"/>
      <c r="CN16" s="63"/>
      <c r="CO16" s="36"/>
      <c r="CP16" s="42"/>
      <c r="CQ16" s="36"/>
      <c r="CR16" s="73"/>
      <c r="CS16" s="74"/>
      <c r="CV16" s="61"/>
      <c r="CW16" s="62"/>
      <c r="CX16" s="62"/>
      <c r="CY16" s="63"/>
      <c r="CZ16" s="36"/>
      <c r="DA16" s="42"/>
      <c r="DB16" s="36"/>
      <c r="DC16" s="73"/>
      <c r="DD16" s="74"/>
      <c r="DG16" s="61"/>
      <c r="DH16" s="62"/>
      <c r="DI16" s="62"/>
      <c r="DJ16" s="63"/>
      <c r="DK16" s="36"/>
      <c r="DL16" s="42"/>
      <c r="DM16" s="36"/>
      <c r="DN16" s="73"/>
      <c r="DO16" s="74"/>
      <c r="DR16" s="61"/>
      <c r="DS16" s="62"/>
      <c r="DT16" s="62"/>
      <c r="DU16" s="63"/>
      <c r="DV16" s="36"/>
      <c r="DW16" s="42"/>
      <c r="DX16" s="36"/>
      <c r="DY16" s="73"/>
      <c r="DZ16" s="74"/>
      <c r="EC16" s="61"/>
      <c r="ED16" s="62"/>
      <c r="EE16" s="62"/>
      <c r="EF16" s="63"/>
      <c r="EG16" s="36"/>
      <c r="EH16" s="42"/>
      <c r="EI16" s="36"/>
      <c r="EJ16" s="73"/>
      <c r="EK16" s="74"/>
      <c r="EN16" s="61"/>
      <c r="EO16" s="62"/>
      <c r="EP16" s="62"/>
      <c r="EQ16" s="63"/>
      <c r="ER16" s="36"/>
      <c r="ES16" s="42"/>
      <c r="ET16" s="36"/>
      <c r="EU16" s="73"/>
      <c r="EV16" s="74"/>
      <c r="EY16" s="61"/>
      <c r="EZ16" s="62"/>
      <c r="FA16" s="62"/>
      <c r="FB16" s="63"/>
      <c r="FC16" s="36"/>
      <c r="FD16" s="42"/>
      <c r="FE16" s="36"/>
      <c r="FF16" s="73"/>
      <c r="FG16" s="74"/>
      <c r="FJ16" s="61"/>
      <c r="FK16" s="62"/>
      <c r="FL16" s="62"/>
      <c r="FM16" s="63"/>
      <c r="FN16" s="36"/>
      <c r="FO16" s="42"/>
      <c r="FP16" s="36"/>
      <c r="FQ16" s="73"/>
      <c r="FR16" s="74"/>
      <c r="FU16" s="61"/>
      <c r="FV16" s="62"/>
      <c r="FW16" s="62"/>
      <c r="FX16" s="63"/>
      <c r="FY16" s="36"/>
      <c r="FZ16" s="42"/>
      <c r="GA16" s="36"/>
      <c r="GB16" s="73"/>
      <c r="GC16" s="74"/>
      <c r="GF16" s="61"/>
      <c r="GG16" s="62"/>
      <c r="GH16" s="62"/>
      <c r="GI16" s="63"/>
      <c r="GJ16" s="36"/>
      <c r="GK16" s="42"/>
      <c r="GL16" s="36"/>
      <c r="GM16" s="73"/>
      <c r="GN16" s="74"/>
      <c r="GQ16" s="61"/>
      <c r="GR16" s="62"/>
      <c r="GS16" s="62"/>
      <c r="GT16" s="63"/>
      <c r="GU16" s="36"/>
      <c r="GV16" s="42"/>
      <c r="GW16" s="36"/>
      <c r="GX16" s="73"/>
      <c r="GY16" s="74"/>
      <c r="HB16" s="61"/>
      <c r="HC16" s="62"/>
      <c r="HD16" s="62"/>
      <c r="HE16" s="63"/>
      <c r="HF16" s="36"/>
      <c r="HG16" s="42"/>
      <c r="HH16" s="36"/>
      <c r="HI16" s="73"/>
      <c r="HJ16" s="74"/>
      <c r="HM16" s="61"/>
      <c r="HN16" s="62"/>
      <c r="HO16" s="62"/>
      <c r="HP16" s="63"/>
      <c r="HQ16" s="36"/>
      <c r="HR16" s="42"/>
      <c r="HS16" s="36"/>
      <c r="HT16" s="73"/>
      <c r="HU16" s="74"/>
      <c r="HX16" s="61"/>
      <c r="HY16" s="62"/>
      <c r="HZ16" s="62"/>
      <c r="IA16" s="63"/>
      <c r="IB16" s="36"/>
      <c r="IC16" s="42"/>
      <c r="ID16" s="36"/>
      <c r="IE16" s="73"/>
      <c r="IF16" s="74"/>
      <c r="II16" s="61"/>
      <c r="IJ16" s="62"/>
      <c r="IK16" s="62"/>
      <c r="IL16" s="63"/>
      <c r="IM16" s="36"/>
      <c r="IN16" s="42"/>
      <c r="IO16" s="36"/>
      <c r="IP16" s="73"/>
      <c r="IQ16" s="74"/>
      <c r="IT16" s="61"/>
      <c r="IU16" s="62"/>
      <c r="IV16" s="62"/>
      <c r="IW16" s="63"/>
      <c r="IX16" s="36"/>
      <c r="IY16" s="42"/>
      <c r="IZ16" s="36"/>
      <c r="JA16" s="73"/>
      <c r="JB16" s="74"/>
      <c r="JE16" s="61"/>
      <c r="JF16" s="62"/>
      <c r="JG16" s="62"/>
      <c r="JH16" s="63"/>
      <c r="JI16" s="36"/>
      <c r="JJ16" s="42"/>
      <c r="JK16" s="36"/>
      <c r="JL16" s="73"/>
      <c r="JM16" s="74"/>
      <c r="JP16" s="61"/>
      <c r="JQ16" s="62"/>
      <c r="JR16" s="62"/>
      <c r="JS16" s="63"/>
      <c r="JT16" s="36"/>
      <c r="JU16" s="42"/>
      <c r="JV16" s="36"/>
      <c r="JW16" s="73"/>
      <c r="JX16" s="74"/>
      <c r="KA16" s="61"/>
      <c r="KB16" s="62"/>
      <c r="KC16" s="62"/>
      <c r="KD16" s="63"/>
      <c r="KE16" s="36"/>
      <c r="KF16" s="42"/>
      <c r="KG16" s="36"/>
      <c r="KH16" s="73"/>
      <c r="KI16" s="74"/>
      <c r="KL16" s="61"/>
      <c r="KM16" s="62"/>
      <c r="KN16" s="62"/>
      <c r="KO16" s="63"/>
      <c r="KP16" s="36"/>
      <c r="KQ16" s="42"/>
      <c r="KR16" s="36"/>
      <c r="KS16" s="73"/>
      <c r="KT16" s="74"/>
      <c r="KW16" s="61"/>
      <c r="KX16" s="62"/>
      <c r="KY16" s="62"/>
      <c r="KZ16" s="63"/>
      <c r="LA16" s="36"/>
      <c r="LB16" s="42"/>
      <c r="LC16" s="36"/>
      <c r="LD16" s="73"/>
      <c r="LE16" s="74"/>
      <c r="LH16" s="61"/>
      <c r="LI16" s="62"/>
      <c r="LJ16" s="62"/>
      <c r="LK16" s="63"/>
      <c r="LL16" s="36"/>
      <c r="LM16" s="42"/>
      <c r="LN16" s="36"/>
      <c r="LO16" s="73"/>
      <c r="LP16" s="74"/>
      <c r="LS16" s="61"/>
      <c r="LT16" s="62"/>
      <c r="LU16" s="62"/>
      <c r="LV16" s="63"/>
      <c r="LW16" s="36"/>
      <c r="LX16" s="42"/>
      <c r="LY16" s="36"/>
      <c r="LZ16" s="73"/>
      <c r="MA16" s="74"/>
      <c r="MD16" s="61"/>
      <c r="ME16" s="62"/>
      <c r="MF16" s="62"/>
      <c r="MG16" s="63"/>
      <c r="MH16" s="36"/>
      <c r="MI16" s="42"/>
      <c r="MJ16" s="36"/>
      <c r="MK16" s="73"/>
      <c r="ML16" s="74"/>
      <c r="MO16" s="61"/>
      <c r="MP16" s="62"/>
      <c r="MQ16" s="62"/>
      <c r="MR16" s="63"/>
      <c r="MS16" s="36"/>
      <c r="MT16" s="42"/>
      <c r="MU16" s="36"/>
      <c r="MV16" s="73"/>
      <c r="MW16" s="74"/>
      <c r="MZ16" s="61"/>
      <c r="NA16" s="62"/>
      <c r="NB16" s="62"/>
      <c r="NC16" s="63"/>
      <c r="ND16" s="36"/>
      <c r="NE16" s="42"/>
      <c r="NF16" s="36"/>
      <c r="NG16" s="73"/>
      <c r="NH16" s="74"/>
      <c r="NK16" s="61"/>
      <c r="NL16" s="62"/>
      <c r="NM16" s="62"/>
      <c r="NN16" s="63"/>
      <c r="NO16" s="36"/>
      <c r="NP16" s="42"/>
      <c r="NQ16" s="36"/>
      <c r="NR16" s="73"/>
      <c r="NS16" s="74"/>
      <c r="NV16" s="61"/>
      <c r="NW16" s="62"/>
      <c r="NX16" s="62"/>
      <c r="NY16" s="63"/>
      <c r="NZ16" s="36"/>
      <c r="OA16" s="42"/>
      <c r="OB16" s="36"/>
      <c r="OC16" s="73"/>
      <c r="OD16" s="74"/>
      <c r="OG16" s="61"/>
      <c r="OH16" s="62"/>
      <c r="OI16" s="62"/>
      <c r="OJ16" s="63"/>
      <c r="OK16" s="36"/>
      <c r="OL16" s="42"/>
      <c r="OM16" s="36"/>
      <c r="ON16" s="73"/>
      <c r="OO16" s="74"/>
      <c r="OR16" s="61"/>
      <c r="OS16" s="62"/>
      <c r="OT16" s="62"/>
      <c r="OU16" s="63"/>
      <c r="OV16" s="36"/>
      <c r="OW16" s="42"/>
      <c r="OX16" s="36"/>
      <c r="OY16" s="73"/>
      <c r="OZ16" s="74"/>
      <c r="PC16" s="61"/>
      <c r="PD16" s="62"/>
      <c r="PE16" s="62"/>
      <c r="PF16" s="63"/>
      <c r="PG16" s="36"/>
      <c r="PH16" s="42"/>
      <c r="PI16" s="36"/>
      <c r="PJ16" s="73"/>
      <c r="PK16" s="74"/>
      <c r="PN16" s="61"/>
      <c r="PO16" s="62"/>
      <c r="PP16" s="62"/>
      <c r="PQ16" s="63"/>
      <c r="PR16" s="36"/>
      <c r="PS16" s="42"/>
      <c r="PT16" s="36"/>
      <c r="PU16" s="73"/>
      <c r="PV16" s="74"/>
      <c r="PY16" s="61"/>
      <c r="PZ16" s="62"/>
      <c r="QA16" s="62"/>
      <c r="QB16" s="63"/>
      <c r="QC16" s="36"/>
      <c r="QD16" s="42"/>
      <c r="QE16" s="36"/>
      <c r="QF16" s="73"/>
      <c r="QG16" s="74"/>
      <c r="QJ16" s="61"/>
      <c r="QK16" s="62"/>
      <c r="QL16" s="62"/>
      <c r="QM16" s="63"/>
      <c r="QN16" s="36"/>
      <c r="QO16" s="42"/>
      <c r="QP16" s="36"/>
      <c r="QQ16" s="73"/>
      <c r="QR16" s="74"/>
      <c r="QU16" s="61"/>
      <c r="QV16" s="62"/>
      <c r="QW16" s="62"/>
      <c r="QX16" s="63"/>
      <c r="QY16" s="36"/>
      <c r="QZ16" s="42"/>
      <c r="RA16" s="36"/>
      <c r="RB16" s="73"/>
      <c r="RC16" s="74"/>
      <c r="RF16" s="61"/>
      <c r="RG16" s="62"/>
      <c r="RH16" s="62"/>
      <c r="RI16" s="63"/>
      <c r="RJ16" s="36"/>
      <c r="RK16" s="42"/>
      <c r="RL16" s="36"/>
      <c r="RM16" s="73"/>
      <c r="RN16" s="74"/>
      <c r="RQ16" s="61"/>
      <c r="RR16" s="62"/>
      <c r="RS16" s="62"/>
      <c r="RT16" s="63"/>
      <c r="RU16" s="36"/>
      <c r="RV16" s="42"/>
      <c r="RW16" s="36"/>
      <c r="RX16" s="73"/>
      <c r="RY16" s="74"/>
      <c r="SB16" s="61"/>
      <c r="SC16" s="62"/>
      <c r="SD16" s="62"/>
      <c r="SE16" s="63"/>
      <c r="SF16" s="36"/>
      <c r="SG16" s="42"/>
      <c r="SH16" s="36"/>
      <c r="SI16" s="73"/>
      <c r="SJ16" s="74"/>
      <c r="SM16" s="61"/>
      <c r="SN16" s="62"/>
      <c r="SO16" s="62"/>
      <c r="SP16" s="63"/>
      <c r="SQ16" s="36"/>
      <c r="SR16" s="42"/>
      <c r="SS16" s="36"/>
      <c r="ST16" s="73"/>
      <c r="SU16" s="74"/>
      <c r="SX16" s="61"/>
      <c r="SY16" s="62"/>
      <c r="SZ16" s="62"/>
      <c r="TA16" s="63"/>
      <c r="TB16" s="36"/>
      <c r="TC16" s="42"/>
      <c r="TD16" s="36"/>
      <c r="TE16" s="73"/>
      <c r="TF16" s="74"/>
      <c r="TI16" s="61"/>
      <c r="TJ16" s="62"/>
      <c r="TK16" s="62"/>
      <c r="TL16" s="63"/>
      <c r="TM16" s="36"/>
      <c r="TN16" s="42"/>
      <c r="TO16" s="36"/>
      <c r="TP16" s="73"/>
      <c r="TQ16" s="74"/>
      <c r="TT16" s="61"/>
      <c r="TU16" s="62"/>
      <c r="TV16" s="62"/>
      <c r="TW16" s="63"/>
      <c r="TX16" s="36"/>
      <c r="TY16" s="42"/>
      <c r="TZ16" s="36"/>
      <c r="UA16" s="73"/>
      <c r="UB16" s="74"/>
      <c r="UE16" s="61"/>
      <c r="UF16" s="62"/>
      <c r="UG16" s="62"/>
      <c r="UH16" s="63"/>
      <c r="UI16" s="36"/>
      <c r="UJ16" s="42"/>
      <c r="UK16" s="36"/>
      <c r="UL16" s="73"/>
      <c r="UM16" s="74"/>
      <c r="UP16" s="61"/>
      <c r="UQ16" s="62"/>
      <c r="UR16" s="62"/>
      <c r="US16" s="63"/>
      <c r="UT16" s="36"/>
      <c r="UU16" s="42"/>
      <c r="UV16" s="36"/>
      <c r="UW16" s="73"/>
      <c r="UX16" s="74"/>
      <c r="VA16" s="61"/>
      <c r="VB16" s="62"/>
      <c r="VC16" s="62"/>
      <c r="VD16" s="63"/>
      <c r="VE16" s="36"/>
      <c r="VF16" s="42"/>
      <c r="VG16" s="36"/>
      <c r="VH16" s="73"/>
      <c r="VI16" s="74"/>
      <c r="VL16" s="61"/>
      <c r="VM16" s="62"/>
      <c r="VN16" s="62"/>
      <c r="VO16" s="63"/>
      <c r="VP16" s="36"/>
      <c r="VQ16" s="42"/>
      <c r="VR16" s="36"/>
      <c r="VS16" s="73"/>
      <c r="VT16" s="74"/>
      <c r="VW16" s="61"/>
      <c r="VX16" s="62"/>
      <c r="VY16" s="62"/>
      <c r="VZ16" s="63"/>
      <c r="WA16" s="36"/>
      <c r="WB16" s="42"/>
      <c r="WC16" s="36"/>
      <c r="WD16" s="73"/>
      <c r="WE16" s="74"/>
      <c r="WH16" s="61"/>
      <c r="WI16" s="62"/>
      <c r="WJ16" s="62"/>
      <c r="WK16" s="63"/>
      <c r="WL16" s="36"/>
      <c r="WM16" s="42"/>
      <c r="WN16" s="36"/>
      <c r="WO16" s="73"/>
      <c r="WP16" s="74"/>
      <c r="WS16" s="61"/>
      <c r="WT16" s="62"/>
      <c r="WU16" s="62"/>
      <c r="WV16" s="63"/>
      <c r="WW16" s="36"/>
      <c r="WX16" s="42"/>
      <c r="WY16" s="36"/>
      <c r="WZ16" s="73"/>
      <c r="XA16" s="74"/>
      <c r="XD16" s="61"/>
      <c r="XE16" s="62"/>
      <c r="XF16" s="62"/>
      <c r="XG16" s="63"/>
      <c r="XH16" s="36"/>
      <c r="XI16" s="42"/>
      <c r="XJ16" s="36"/>
      <c r="XK16" s="73"/>
      <c r="XL16" s="74"/>
      <c r="XO16" s="61"/>
      <c r="XP16" s="62"/>
      <c r="XQ16" s="62"/>
      <c r="XR16" s="63"/>
      <c r="XS16" s="36"/>
      <c r="XT16" s="42"/>
      <c r="XU16" s="36"/>
      <c r="XV16" s="73"/>
      <c r="XW16" s="74"/>
      <c r="XZ16" s="61"/>
      <c r="YA16" s="62"/>
      <c r="YB16" s="62"/>
      <c r="YC16" s="63"/>
      <c r="YD16" s="36"/>
      <c r="YE16" s="42"/>
      <c r="YF16" s="36"/>
      <c r="YG16" s="73"/>
      <c r="YH16" s="74"/>
      <c r="YK16" s="61"/>
      <c r="YL16" s="62"/>
      <c r="YM16" s="62"/>
      <c r="YN16" s="63"/>
      <c r="YO16" s="36"/>
      <c r="YP16" s="42"/>
      <c r="YQ16" s="36"/>
      <c r="YR16" s="73"/>
      <c r="YS16" s="74"/>
      <c r="YV16" s="61"/>
      <c r="YW16" s="62"/>
      <c r="YX16" s="62"/>
      <c r="YY16" s="63"/>
      <c r="YZ16" s="36"/>
      <c r="ZA16" s="42"/>
      <c r="ZB16" s="36"/>
      <c r="ZC16" s="73"/>
      <c r="ZD16" s="74"/>
      <c r="ZG16" s="61"/>
      <c r="ZH16" s="62"/>
      <c r="ZI16" s="62"/>
      <c r="ZJ16" s="63"/>
      <c r="ZK16" s="36"/>
      <c r="ZL16" s="42"/>
      <c r="ZM16" s="36"/>
      <c r="ZN16" s="73"/>
      <c r="ZO16" s="74"/>
      <c r="ZR16" s="61"/>
      <c r="ZS16" s="62"/>
      <c r="ZT16" s="62"/>
      <c r="ZU16" s="63"/>
      <c r="ZV16" s="36"/>
      <c r="ZW16" s="42"/>
      <c r="ZX16" s="36"/>
      <c r="ZY16" s="73"/>
      <c r="ZZ16" s="74"/>
      <c r="AAC16" s="61"/>
      <c r="AAD16" s="62"/>
      <c r="AAE16" s="62"/>
      <c r="AAF16" s="63"/>
      <c r="AAG16" s="36"/>
      <c r="AAH16" s="42"/>
      <c r="AAI16" s="36"/>
      <c r="AAJ16" s="73"/>
      <c r="AAK16" s="74"/>
      <c r="AAN16" s="61"/>
      <c r="AAO16" s="62"/>
      <c r="AAP16" s="62"/>
      <c r="AAQ16" s="63"/>
      <c r="AAR16" s="36"/>
      <c r="AAS16" s="42"/>
      <c r="AAT16" s="36"/>
      <c r="AAU16" s="73"/>
      <c r="AAV16" s="74"/>
      <c r="AAY16" s="61"/>
      <c r="AAZ16" s="62"/>
      <c r="ABA16" s="62"/>
      <c r="ABB16" s="63"/>
      <c r="ABC16" s="36"/>
      <c r="ABD16" s="42"/>
      <c r="ABE16" s="36"/>
      <c r="ABF16" s="73"/>
      <c r="ABG16" s="74"/>
      <c r="ABJ16" s="61"/>
      <c r="ABK16" s="62"/>
      <c r="ABL16" s="62"/>
      <c r="ABM16" s="63"/>
      <c r="ABN16" s="36"/>
      <c r="ABO16" s="42"/>
      <c r="ABP16" s="36"/>
      <c r="ABQ16" s="73"/>
      <c r="ABR16" s="74"/>
      <c r="ABU16" s="61"/>
      <c r="ABV16" s="62"/>
      <c r="ABW16" s="62"/>
      <c r="ABX16" s="63"/>
      <c r="ABY16" s="36"/>
      <c r="ABZ16" s="42"/>
      <c r="ACA16" s="36"/>
      <c r="ACB16" s="73"/>
      <c r="ACC16" s="74"/>
      <c r="ACF16" s="61"/>
      <c r="ACG16" s="62"/>
      <c r="ACH16" s="62"/>
      <c r="ACI16" s="63"/>
      <c r="ACJ16" s="36"/>
      <c r="ACK16" s="42"/>
      <c r="ACL16" s="36"/>
      <c r="ACM16" s="73"/>
      <c r="ACN16" s="74"/>
      <c r="ACQ16" s="61"/>
      <c r="ACR16" s="62"/>
      <c r="ACS16" s="62"/>
      <c r="ACT16" s="63"/>
      <c r="ACU16" s="36"/>
      <c r="ACV16" s="42"/>
      <c r="ACW16" s="36"/>
      <c r="ACX16" s="73"/>
      <c r="ACY16" s="74"/>
      <c r="ADB16" s="61"/>
      <c r="ADC16" s="62"/>
      <c r="ADD16" s="62"/>
      <c r="ADE16" s="63"/>
      <c r="ADF16" s="36"/>
      <c r="ADG16" s="42"/>
      <c r="ADH16" s="36"/>
      <c r="ADI16" s="73"/>
      <c r="ADJ16" s="74"/>
    </row>
    <row r="17" spans="1:793" x14ac:dyDescent="0.45">
      <c r="A17" s="64"/>
      <c r="B17" s="65"/>
      <c r="C17" s="65"/>
      <c r="D17" s="66"/>
      <c r="E17" s="37"/>
      <c r="F17" s="44"/>
      <c r="G17" s="37"/>
      <c r="H17" s="75"/>
      <c r="I17" s="76"/>
      <c r="L17" s="64"/>
      <c r="M17" s="65"/>
      <c r="N17" s="65"/>
      <c r="O17" s="66"/>
      <c r="P17" s="37"/>
      <c r="Q17" s="44"/>
      <c r="R17" s="37"/>
      <c r="S17" s="75"/>
      <c r="T17" s="76"/>
      <c r="W17" s="64"/>
      <c r="X17" s="65"/>
      <c r="Y17" s="65"/>
      <c r="Z17" s="66"/>
      <c r="AA17" s="37"/>
      <c r="AB17" s="44"/>
      <c r="AC17" s="37"/>
      <c r="AD17" s="75"/>
      <c r="AE17" s="76"/>
      <c r="AH17" s="64"/>
      <c r="AI17" s="65"/>
      <c r="AJ17" s="65"/>
      <c r="AK17" s="66"/>
      <c r="AL17" s="37"/>
      <c r="AM17" s="44"/>
      <c r="AN17" s="37"/>
      <c r="AO17" s="75"/>
      <c r="AP17" s="76"/>
      <c r="AS17" s="64"/>
      <c r="AT17" s="65"/>
      <c r="AU17" s="65"/>
      <c r="AV17" s="66"/>
      <c r="AW17" s="37"/>
      <c r="AX17" s="44"/>
      <c r="AY17" s="37"/>
      <c r="AZ17" s="75"/>
      <c r="BA17" s="76"/>
      <c r="BD17" s="64"/>
      <c r="BE17" s="65"/>
      <c r="BF17" s="65"/>
      <c r="BG17" s="66"/>
      <c r="BH17" s="37"/>
      <c r="BI17" s="44"/>
      <c r="BJ17" s="37"/>
      <c r="BK17" s="75"/>
      <c r="BL17" s="76"/>
      <c r="BO17" s="64"/>
      <c r="BP17" s="65"/>
      <c r="BQ17" s="65"/>
      <c r="BR17" s="66"/>
      <c r="BS17" s="37"/>
      <c r="BT17" s="44"/>
      <c r="BU17" s="37"/>
      <c r="BV17" s="75"/>
      <c r="BW17" s="76"/>
      <c r="BZ17" s="64"/>
      <c r="CA17" s="65"/>
      <c r="CB17" s="65"/>
      <c r="CC17" s="66"/>
      <c r="CD17" s="37"/>
      <c r="CE17" s="44"/>
      <c r="CF17" s="37"/>
      <c r="CG17" s="75"/>
      <c r="CH17" s="76"/>
      <c r="CK17" s="64"/>
      <c r="CL17" s="65"/>
      <c r="CM17" s="65"/>
      <c r="CN17" s="66"/>
      <c r="CO17" s="37"/>
      <c r="CP17" s="44"/>
      <c r="CQ17" s="37"/>
      <c r="CR17" s="75"/>
      <c r="CS17" s="76"/>
      <c r="CV17" s="64"/>
      <c r="CW17" s="65"/>
      <c r="CX17" s="65"/>
      <c r="CY17" s="66"/>
      <c r="CZ17" s="37"/>
      <c r="DA17" s="44"/>
      <c r="DB17" s="37"/>
      <c r="DC17" s="75"/>
      <c r="DD17" s="76"/>
      <c r="DG17" s="64"/>
      <c r="DH17" s="65"/>
      <c r="DI17" s="65"/>
      <c r="DJ17" s="66"/>
      <c r="DK17" s="37"/>
      <c r="DL17" s="44"/>
      <c r="DM17" s="37"/>
      <c r="DN17" s="75"/>
      <c r="DO17" s="76"/>
      <c r="DR17" s="64"/>
      <c r="DS17" s="65"/>
      <c r="DT17" s="65"/>
      <c r="DU17" s="66"/>
      <c r="DV17" s="37"/>
      <c r="DW17" s="44"/>
      <c r="DX17" s="37"/>
      <c r="DY17" s="75"/>
      <c r="DZ17" s="76"/>
      <c r="EC17" s="64"/>
      <c r="ED17" s="65"/>
      <c r="EE17" s="65"/>
      <c r="EF17" s="66"/>
      <c r="EG17" s="37"/>
      <c r="EH17" s="44"/>
      <c r="EI17" s="37"/>
      <c r="EJ17" s="75"/>
      <c r="EK17" s="76"/>
      <c r="EN17" s="64"/>
      <c r="EO17" s="65"/>
      <c r="EP17" s="65"/>
      <c r="EQ17" s="66"/>
      <c r="ER17" s="37"/>
      <c r="ES17" s="44"/>
      <c r="ET17" s="37"/>
      <c r="EU17" s="75"/>
      <c r="EV17" s="76"/>
      <c r="EY17" s="64"/>
      <c r="EZ17" s="65"/>
      <c r="FA17" s="65"/>
      <c r="FB17" s="66"/>
      <c r="FC17" s="37"/>
      <c r="FD17" s="44"/>
      <c r="FE17" s="37"/>
      <c r="FF17" s="75"/>
      <c r="FG17" s="76"/>
      <c r="FJ17" s="64"/>
      <c r="FK17" s="65"/>
      <c r="FL17" s="65"/>
      <c r="FM17" s="66"/>
      <c r="FN17" s="37"/>
      <c r="FO17" s="44"/>
      <c r="FP17" s="37"/>
      <c r="FQ17" s="75"/>
      <c r="FR17" s="76"/>
      <c r="FU17" s="64"/>
      <c r="FV17" s="65"/>
      <c r="FW17" s="65"/>
      <c r="FX17" s="66"/>
      <c r="FY17" s="37"/>
      <c r="FZ17" s="44"/>
      <c r="GA17" s="37"/>
      <c r="GB17" s="75"/>
      <c r="GC17" s="76"/>
      <c r="GF17" s="64"/>
      <c r="GG17" s="65"/>
      <c r="GH17" s="65"/>
      <c r="GI17" s="66"/>
      <c r="GJ17" s="37"/>
      <c r="GK17" s="44"/>
      <c r="GL17" s="37"/>
      <c r="GM17" s="75"/>
      <c r="GN17" s="76"/>
      <c r="GQ17" s="64"/>
      <c r="GR17" s="65"/>
      <c r="GS17" s="65"/>
      <c r="GT17" s="66"/>
      <c r="GU17" s="37"/>
      <c r="GV17" s="44"/>
      <c r="GW17" s="37"/>
      <c r="GX17" s="75"/>
      <c r="GY17" s="76"/>
      <c r="HB17" s="64"/>
      <c r="HC17" s="65"/>
      <c r="HD17" s="65"/>
      <c r="HE17" s="66"/>
      <c r="HF17" s="37"/>
      <c r="HG17" s="44"/>
      <c r="HH17" s="37"/>
      <c r="HI17" s="75"/>
      <c r="HJ17" s="76"/>
      <c r="HM17" s="64"/>
      <c r="HN17" s="65"/>
      <c r="HO17" s="65"/>
      <c r="HP17" s="66"/>
      <c r="HQ17" s="37"/>
      <c r="HR17" s="44"/>
      <c r="HS17" s="37"/>
      <c r="HT17" s="75"/>
      <c r="HU17" s="76"/>
      <c r="HX17" s="64"/>
      <c r="HY17" s="65"/>
      <c r="HZ17" s="65"/>
      <c r="IA17" s="66"/>
      <c r="IB17" s="37"/>
      <c r="IC17" s="44"/>
      <c r="ID17" s="37"/>
      <c r="IE17" s="75"/>
      <c r="IF17" s="76"/>
      <c r="II17" s="64"/>
      <c r="IJ17" s="65"/>
      <c r="IK17" s="65"/>
      <c r="IL17" s="66"/>
      <c r="IM17" s="37"/>
      <c r="IN17" s="44"/>
      <c r="IO17" s="37"/>
      <c r="IP17" s="75"/>
      <c r="IQ17" s="76"/>
      <c r="IT17" s="64"/>
      <c r="IU17" s="65"/>
      <c r="IV17" s="65"/>
      <c r="IW17" s="66"/>
      <c r="IX17" s="37"/>
      <c r="IY17" s="44"/>
      <c r="IZ17" s="37"/>
      <c r="JA17" s="75"/>
      <c r="JB17" s="76"/>
      <c r="JE17" s="64"/>
      <c r="JF17" s="65"/>
      <c r="JG17" s="65"/>
      <c r="JH17" s="66"/>
      <c r="JI17" s="37"/>
      <c r="JJ17" s="44"/>
      <c r="JK17" s="37"/>
      <c r="JL17" s="75"/>
      <c r="JM17" s="76"/>
      <c r="JP17" s="64"/>
      <c r="JQ17" s="65"/>
      <c r="JR17" s="65"/>
      <c r="JS17" s="66"/>
      <c r="JT17" s="37"/>
      <c r="JU17" s="44"/>
      <c r="JV17" s="37"/>
      <c r="JW17" s="75"/>
      <c r="JX17" s="76"/>
      <c r="KA17" s="64"/>
      <c r="KB17" s="65"/>
      <c r="KC17" s="65"/>
      <c r="KD17" s="66"/>
      <c r="KE17" s="37"/>
      <c r="KF17" s="44"/>
      <c r="KG17" s="37"/>
      <c r="KH17" s="75"/>
      <c r="KI17" s="76"/>
      <c r="KL17" s="64"/>
      <c r="KM17" s="65"/>
      <c r="KN17" s="65"/>
      <c r="KO17" s="66"/>
      <c r="KP17" s="37"/>
      <c r="KQ17" s="44"/>
      <c r="KR17" s="37"/>
      <c r="KS17" s="75"/>
      <c r="KT17" s="76"/>
      <c r="KW17" s="64"/>
      <c r="KX17" s="65"/>
      <c r="KY17" s="65"/>
      <c r="KZ17" s="66"/>
      <c r="LA17" s="37"/>
      <c r="LB17" s="44"/>
      <c r="LC17" s="37"/>
      <c r="LD17" s="75"/>
      <c r="LE17" s="76"/>
      <c r="LH17" s="64"/>
      <c r="LI17" s="65"/>
      <c r="LJ17" s="65"/>
      <c r="LK17" s="66"/>
      <c r="LL17" s="37"/>
      <c r="LM17" s="44"/>
      <c r="LN17" s="37"/>
      <c r="LO17" s="75"/>
      <c r="LP17" s="76"/>
      <c r="LS17" s="64"/>
      <c r="LT17" s="65"/>
      <c r="LU17" s="65"/>
      <c r="LV17" s="66"/>
      <c r="LW17" s="37"/>
      <c r="LX17" s="44"/>
      <c r="LY17" s="37"/>
      <c r="LZ17" s="75"/>
      <c r="MA17" s="76"/>
      <c r="MD17" s="64"/>
      <c r="ME17" s="65"/>
      <c r="MF17" s="65"/>
      <c r="MG17" s="66"/>
      <c r="MH17" s="37"/>
      <c r="MI17" s="44"/>
      <c r="MJ17" s="37"/>
      <c r="MK17" s="75"/>
      <c r="ML17" s="76"/>
      <c r="MO17" s="64"/>
      <c r="MP17" s="65"/>
      <c r="MQ17" s="65"/>
      <c r="MR17" s="66"/>
      <c r="MS17" s="37"/>
      <c r="MT17" s="44"/>
      <c r="MU17" s="37"/>
      <c r="MV17" s="75"/>
      <c r="MW17" s="76"/>
      <c r="MZ17" s="64"/>
      <c r="NA17" s="65"/>
      <c r="NB17" s="65"/>
      <c r="NC17" s="66"/>
      <c r="ND17" s="37"/>
      <c r="NE17" s="44"/>
      <c r="NF17" s="37"/>
      <c r="NG17" s="75"/>
      <c r="NH17" s="76"/>
      <c r="NK17" s="64"/>
      <c r="NL17" s="65"/>
      <c r="NM17" s="65"/>
      <c r="NN17" s="66"/>
      <c r="NO17" s="37"/>
      <c r="NP17" s="44"/>
      <c r="NQ17" s="37"/>
      <c r="NR17" s="75"/>
      <c r="NS17" s="76"/>
      <c r="NV17" s="64"/>
      <c r="NW17" s="65"/>
      <c r="NX17" s="65"/>
      <c r="NY17" s="66"/>
      <c r="NZ17" s="37"/>
      <c r="OA17" s="44"/>
      <c r="OB17" s="37"/>
      <c r="OC17" s="75"/>
      <c r="OD17" s="76"/>
      <c r="OG17" s="64"/>
      <c r="OH17" s="65"/>
      <c r="OI17" s="65"/>
      <c r="OJ17" s="66"/>
      <c r="OK17" s="37"/>
      <c r="OL17" s="44"/>
      <c r="OM17" s="37"/>
      <c r="ON17" s="75"/>
      <c r="OO17" s="76"/>
      <c r="OR17" s="64"/>
      <c r="OS17" s="65"/>
      <c r="OT17" s="65"/>
      <c r="OU17" s="66"/>
      <c r="OV17" s="37"/>
      <c r="OW17" s="44"/>
      <c r="OX17" s="37"/>
      <c r="OY17" s="75"/>
      <c r="OZ17" s="76"/>
      <c r="PC17" s="64"/>
      <c r="PD17" s="65"/>
      <c r="PE17" s="65"/>
      <c r="PF17" s="66"/>
      <c r="PG17" s="37"/>
      <c r="PH17" s="44"/>
      <c r="PI17" s="37"/>
      <c r="PJ17" s="75"/>
      <c r="PK17" s="76"/>
      <c r="PN17" s="64"/>
      <c r="PO17" s="65"/>
      <c r="PP17" s="65"/>
      <c r="PQ17" s="66"/>
      <c r="PR17" s="37"/>
      <c r="PS17" s="44"/>
      <c r="PT17" s="37"/>
      <c r="PU17" s="75"/>
      <c r="PV17" s="76"/>
      <c r="PY17" s="64"/>
      <c r="PZ17" s="65"/>
      <c r="QA17" s="65"/>
      <c r="QB17" s="66"/>
      <c r="QC17" s="37"/>
      <c r="QD17" s="44"/>
      <c r="QE17" s="37"/>
      <c r="QF17" s="75"/>
      <c r="QG17" s="76"/>
      <c r="QJ17" s="64"/>
      <c r="QK17" s="65"/>
      <c r="QL17" s="65"/>
      <c r="QM17" s="66"/>
      <c r="QN17" s="37"/>
      <c r="QO17" s="44"/>
      <c r="QP17" s="37"/>
      <c r="QQ17" s="75"/>
      <c r="QR17" s="76"/>
      <c r="QU17" s="64"/>
      <c r="QV17" s="65"/>
      <c r="QW17" s="65"/>
      <c r="QX17" s="66"/>
      <c r="QY17" s="37"/>
      <c r="QZ17" s="44"/>
      <c r="RA17" s="37"/>
      <c r="RB17" s="75"/>
      <c r="RC17" s="76"/>
      <c r="RF17" s="64"/>
      <c r="RG17" s="65"/>
      <c r="RH17" s="65"/>
      <c r="RI17" s="66"/>
      <c r="RJ17" s="37"/>
      <c r="RK17" s="44"/>
      <c r="RL17" s="37"/>
      <c r="RM17" s="75"/>
      <c r="RN17" s="76"/>
      <c r="RQ17" s="64"/>
      <c r="RR17" s="65"/>
      <c r="RS17" s="65"/>
      <c r="RT17" s="66"/>
      <c r="RU17" s="37"/>
      <c r="RV17" s="44"/>
      <c r="RW17" s="37"/>
      <c r="RX17" s="75"/>
      <c r="RY17" s="76"/>
      <c r="SB17" s="64"/>
      <c r="SC17" s="65"/>
      <c r="SD17" s="65"/>
      <c r="SE17" s="66"/>
      <c r="SF17" s="37"/>
      <c r="SG17" s="44"/>
      <c r="SH17" s="37"/>
      <c r="SI17" s="75"/>
      <c r="SJ17" s="76"/>
      <c r="SM17" s="64"/>
      <c r="SN17" s="65"/>
      <c r="SO17" s="65"/>
      <c r="SP17" s="66"/>
      <c r="SQ17" s="37"/>
      <c r="SR17" s="44"/>
      <c r="SS17" s="37"/>
      <c r="ST17" s="75"/>
      <c r="SU17" s="76"/>
      <c r="SX17" s="64"/>
      <c r="SY17" s="65"/>
      <c r="SZ17" s="65"/>
      <c r="TA17" s="66"/>
      <c r="TB17" s="37"/>
      <c r="TC17" s="44"/>
      <c r="TD17" s="37"/>
      <c r="TE17" s="75"/>
      <c r="TF17" s="76"/>
      <c r="TI17" s="64"/>
      <c r="TJ17" s="65"/>
      <c r="TK17" s="65"/>
      <c r="TL17" s="66"/>
      <c r="TM17" s="37"/>
      <c r="TN17" s="44"/>
      <c r="TO17" s="37"/>
      <c r="TP17" s="75"/>
      <c r="TQ17" s="76"/>
      <c r="TT17" s="64"/>
      <c r="TU17" s="65"/>
      <c r="TV17" s="65"/>
      <c r="TW17" s="66"/>
      <c r="TX17" s="37"/>
      <c r="TY17" s="44"/>
      <c r="TZ17" s="37"/>
      <c r="UA17" s="75"/>
      <c r="UB17" s="76"/>
      <c r="UE17" s="64"/>
      <c r="UF17" s="65"/>
      <c r="UG17" s="65"/>
      <c r="UH17" s="66"/>
      <c r="UI17" s="37"/>
      <c r="UJ17" s="44"/>
      <c r="UK17" s="37"/>
      <c r="UL17" s="75"/>
      <c r="UM17" s="76"/>
      <c r="UP17" s="64"/>
      <c r="UQ17" s="65"/>
      <c r="UR17" s="65"/>
      <c r="US17" s="66"/>
      <c r="UT17" s="37"/>
      <c r="UU17" s="44"/>
      <c r="UV17" s="37"/>
      <c r="UW17" s="75"/>
      <c r="UX17" s="76"/>
      <c r="VA17" s="64"/>
      <c r="VB17" s="65"/>
      <c r="VC17" s="65"/>
      <c r="VD17" s="66"/>
      <c r="VE17" s="37"/>
      <c r="VF17" s="44"/>
      <c r="VG17" s="37"/>
      <c r="VH17" s="75"/>
      <c r="VI17" s="76"/>
      <c r="VL17" s="64"/>
      <c r="VM17" s="65"/>
      <c r="VN17" s="65"/>
      <c r="VO17" s="66"/>
      <c r="VP17" s="37"/>
      <c r="VQ17" s="44"/>
      <c r="VR17" s="37"/>
      <c r="VS17" s="75"/>
      <c r="VT17" s="76"/>
      <c r="VW17" s="64"/>
      <c r="VX17" s="65"/>
      <c r="VY17" s="65"/>
      <c r="VZ17" s="66"/>
      <c r="WA17" s="37"/>
      <c r="WB17" s="44"/>
      <c r="WC17" s="37"/>
      <c r="WD17" s="75"/>
      <c r="WE17" s="76"/>
      <c r="WH17" s="64"/>
      <c r="WI17" s="65"/>
      <c r="WJ17" s="65"/>
      <c r="WK17" s="66"/>
      <c r="WL17" s="37"/>
      <c r="WM17" s="44"/>
      <c r="WN17" s="37"/>
      <c r="WO17" s="75"/>
      <c r="WP17" s="76"/>
      <c r="WS17" s="64"/>
      <c r="WT17" s="65"/>
      <c r="WU17" s="65"/>
      <c r="WV17" s="66"/>
      <c r="WW17" s="37"/>
      <c r="WX17" s="44"/>
      <c r="WY17" s="37"/>
      <c r="WZ17" s="75"/>
      <c r="XA17" s="76"/>
      <c r="XD17" s="64"/>
      <c r="XE17" s="65"/>
      <c r="XF17" s="65"/>
      <c r="XG17" s="66"/>
      <c r="XH17" s="37"/>
      <c r="XI17" s="44"/>
      <c r="XJ17" s="37"/>
      <c r="XK17" s="75"/>
      <c r="XL17" s="76"/>
      <c r="XO17" s="64"/>
      <c r="XP17" s="65"/>
      <c r="XQ17" s="65"/>
      <c r="XR17" s="66"/>
      <c r="XS17" s="37"/>
      <c r="XT17" s="44"/>
      <c r="XU17" s="37"/>
      <c r="XV17" s="75"/>
      <c r="XW17" s="76"/>
      <c r="XZ17" s="64"/>
      <c r="YA17" s="65"/>
      <c r="YB17" s="65"/>
      <c r="YC17" s="66"/>
      <c r="YD17" s="37"/>
      <c r="YE17" s="44"/>
      <c r="YF17" s="37"/>
      <c r="YG17" s="75"/>
      <c r="YH17" s="76"/>
      <c r="YK17" s="64"/>
      <c r="YL17" s="65"/>
      <c r="YM17" s="65"/>
      <c r="YN17" s="66"/>
      <c r="YO17" s="37"/>
      <c r="YP17" s="44"/>
      <c r="YQ17" s="37"/>
      <c r="YR17" s="75"/>
      <c r="YS17" s="76"/>
      <c r="YV17" s="64"/>
      <c r="YW17" s="65"/>
      <c r="YX17" s="65"/>
      <c r="YY17" s="66"/>
      <c r="YZ17" s="37"/>
      <c r="ZA17" s="44"/>
      <c r="ZB17" s="37"/>
      <c r="ZC17" s="75"/>
      <c r="ZD17" s="76"/>
      <c r="ZG17" s="64"/>
      <c r="ZH17" s="65"/>
      <c r="ZI17" s="65"/>
      <c r="ZJ17" s="66"/>
      <c r="ZK17" s="37"/>
      <c r="ZL17" s="44"/>
      <c r="ZM17" s="37"/>
      <c r="ZN17" s="75"/>
      <c r="ZO17" s="76"/>
      <c r="ZR17" s="64"/>
      <c r="ZS17" s="65"/>
      <c r="ZT17" s="65"/>
      <c r="ZU17" s="66"/>
      <c r="ZV17" s="37"/>
      <c r="ZW17" s="44"/>
      <c r="ZX17" s="37"/>
      <c r="ZY17" s="75"/>
      <c r="ZZ17" s="76"/>
      <c r="AAC17" s="64"/>
      <c r="AAD17" s="65"/>
      <c r="AAE17" s="65"/>
      <c r="AAF17" s="66"/>
      <c r="AAG17" s="37"/>
      <c r="AAH17" s="44"/>
      <c r="AAI17" s="37"/>
      <c r="AAJ17" s="75"/>
      <c r="AAK17" s="76"/>
      <c r="AAN17" s="64"/>
      <c r="AAO17" s="65"/>
      <c r="AAP17" s="65"/>
      <c r="AAQ17" s="66"/>
      <c r="AAR17" s="37"/>
      <c r="AAS17" s="44"/>
      <c r="AAT17" s="37"/>
      <c r="AAU17" s="75"/>
      <c r="AAV17" s="76"/>
      <c r="AAY17" s="64"/>
      <c r="AAZ17" s="65"/>
      <c r="ABA17" s="65"/>
      <c r="ABB17" s="66"/>
      <c r="ABC17" s="37"/>
      <c r="ABD17" s="44"/>
      <c r="ABE17" s="37"/>
      <c r="ABF17" s="75"/>
      <c r="ABG17" s="76"/>
      <c r="ABJ17" s="64"/>
      <c r="ABK17" s="65"/>
      <c r="ABL17" s="65"/>
      <c r="ABM17" s="66"/>
      <c r="ABN17" s="37"/>
      <c r="ABO17" s="44"/>
      <c r="ABP17" s="37"/>
      <c r="ABQ17" s="75"/>
      <c r="ABR17" s="76"/>
      <c r="ABU17" s="64"/>
      <c r="ABV17" s="65"/>
      <c r="ABW17" s="65"/>
      <c r="ABX17" s="66"/>
      <c r="ABY17" s="37"/>
      <c r="ABZ17" s="44"/>
      <c r="ACA17" s="37"/>
      <c r="ACB17" s="75"/>
      <c r="ACC17" s="76"/>
      <c r="ACF17" s="64"/>
      <c r="ACG17" s="65"/>
      <c r="ACH17" s="65"/>
      <c r="ACI17" s="66"/>
      <c r="ACJ17" s="37"/>
      <c r="ACK17" s="44"/>
      <c r="ACL17" s="37"/>
      <c r="ACM17" s="75"/>
      <c r="ACN17" s="76"/>
      <c r="ACQ17" s="64"/>
      <c r="ACR17" s="65"/>
      <c r="ACS17" s="65"/>
      <c r="ACT17" s="66"/>
      <c r="ACU17" s="37"/>
      <c r="ACV17" s="44"/>
      <c r="ACW17" s="37"/>
      <c r="ACX17" s="75"/>
      <c r="ACY17" s="76"/>
      <c r="ADB17" s="64"/>
      <c r="ADC17" s="65"/>
      <c r="ADD17" s="65"/>
      <c r="ADE17" s="66"/>
      <c r="ADF17" s="37"/>
      <c r="ADG17" s="44"/>
      <c r="ADH17" s="37"/>
      <c r="ADI17" s="75"/>
      <c r="ADJ17" s="76"/>
    </row>
    <row r="18" spans="1:793" x14ac:dyDescent="0.45">
      <c r="S18" s="68"/>
      <c r="T18" s="68"/>
      <c r="AD18" s="68"/>
      <c r="AE18" s="68"/>
      <c r="AO18" s="68"/>
      <c r="AP18" s="68"/>
      <c r="AZ18" s="68"/>
      <c r="BA18" s="68"/>
      <c r="BK18" s="68"/>
      <c r="BL18" s="68"/>
      <c r="BV18" s="68"/>
      <c r="BW18" s="68"/>
      <c r="CG18" s="68"/>
      <c r="CH18" s="68"/>
      <c r="CR18" s="68"/>
      <c r="CS18" s="68"/>
      <c r="DC18" s="68"/>
      <c r="DD18" s="68"/>
      <c r="DN18" s="68"/>
      <c r="DO18" s="68"/>
      <c r="DY18" s="68"/>
      <c r="DZ18" s="68"/>
      <c r="EJ18" s="68"/>
      <c r="EK18" s="68"/>
      <c r="EU18" s="68"/>
      <c r="EV18" s="68"/>
      <c r="FF18" s="68"/>
      <c r="FG18" s="68"/>
      <c r="FQ18" s="68"/>
      <c r="FR18" s="68"/>
      <c r="GB18" s="68"/>
      <c r="GC18" s="68"/>
      <c r="GM18" s="68"/>
      <c r="GN18" s="68"/>
      <c r="GX18" s="68"/>
      <c r="GY18" s="68"/>
      <c r="HI18" s="68"/>
      <c r="HJ18" s="68"/>
      <c r="HT18" s="68"/>
      <c r="HU18" s="68"/>
      <c r="IE18" s="68"/>
      <c r="IF18" s="68"/>
      <c r="IP18" s="68"/>
      <c r="IQ18" s="68"/>
      <c r="JA18" s="68"/>
      <c r="JB18" s="68"/>
      <c r="JL18" s="68"/>
      <c r="JM18" s="68"/>
      <c r="JW18" s="68"/>
      <c r="JX18" s="68"/>
      <c r="KH18" s="68"/>
      <c r="KI18" s="68"/>
      <c r="KS18" s="68"/>
      <c r="KT18" s="68"/>
      <c r="LD18" s="68"/>
      <c r="LE18" s="68"/>
      <c r="LO18" s="68"/>
      <c r="LP18" s="68"/>
      <c r="LZ18" s="68"/>
      <c r="MA18" s="68"/>
      <c r="MK18" s="68"/>
      <c r="ML18" s="68"/>
      <c r="MV18" s="68"/>
      <c r="MW18" s="68"/>
      <c r="NG18" s="68"/>
      <c r="NH18" s="68"/>
      <c r="NR18" s="68"/>
      <c r="NS18" s="68"/>
      <c r="OC18" s="68"/>
      <c r="OD18" s="68"/>
      <c r="ON18" s="68"/>
      <c r="OO18" s="68"/>
      <c r="OY18" s="68"/>
      <c r="OZ18" s="68"/>
      <c r="PJ18" s="68"/>
      <c r="PK18" s="68"/>
      <c r="PU18" s="68"/>
      <c r="PV18" s="68"/>
      <c r="QF18" s="68"/>
      <c r="QG18" s="68"/>
      <c r="QQ18" s="68"/>
      <c r="QR18" s="68"/>
      <c r="RB18" s="68"/>
      <c r="RC18" s="68"/>
      <c r="RM18" s="68"/>
      <c r="RN18" s="68"/>
      <c r="RX18" s="68"/>
      <c r="RY18" s="68"/>
      <c r="SI18" s="68"/>
      <c r="SJ18" s="68"/>
      <c r="ST18" s="68"/>
      <c r="SU18" s="68"/>
      <c r="TE18" s="68"/>
      <c r="TF18" s="68"/>
      <c r="TP18" s="68"/>
      <c r="TQ18" s="68"/>
      <c r="UA18" s="68"/>
      <c r="UB18" s="68"/>
      <c r="UL18" s="68"/>
      <c r="UM18" s="68"/>
      <c r="UW18" s="68"/>
      <c r="UX18" s="68"/>
      <c r="VH18" s="68"/>
      <c r="VI18" s="68"/>
      <c r="VS18" s="68"/>
      <c r="VT18" s="68"/>
      <c r="WD18" s="68"/>
      <c r="WE18" s="68"/>
      <c r="WO18" s="68"/>
      <c r="WP18" s="68"/>
      <c r="WZ18" s="68"/>
      <c r="XA18" s="68"/>
      <c r="XK18" s="68"/>
      <c r="XL18" s="68"/>
      <c r="XV18" s="68"/>
      <c r="XW18" s="68"/>
      <c r="YG18" s="68"/>
      <c r="YH18" s="68"/>
      <c r="YR18" s="68"/>
      <c r="YS18" s="68"/>
      <c r="ZC18" s="68"/>
      <c r="ZD18" s="68"/>
      <c r="ZN18" s="68"/>
      <c r="ZO18" s="68"/>
      <c r="ZY18" s="68"/>
      <c r="ZZ18" s="68"/>
      <c r="AAJ18" s="68"/>
      <c r="AAK18" s="68"/>
      <c r="AAU18" s="68"/>
      <c r="AAV18" s="68"/>
      <c r="ABF18" s="68"/>
      <c r="ABG18" s="68"/>
      <c r="ABQ18" s="68"/>
      <c r="ABR18" s="68"/>
      <c r="ACB18" s="68"/>
      <c r="ACC18" s="68"/>
      <c r="ACM18" s="68"/>
      <c r="ACN18" s="68"/>
      <c r="ACX18" s="68"/>
      <c r="ACY18" s="68"/>
      <c r="ADI18" s="68"/>
      <c r="ADJ18" s="68"/>
    </row>
    <row r="19" spans="1:793" ht="10.199999999999999" customHeight="1" x14ac:dyDescent="0.45"/>
    <row r="20" spans="1:793" x14ac:dyDescent="0.45">
      <c r="H20" s="77" t="s">
        <v>4017</v>
      </c>
      <c r="I20" s="77" t="s">
        <v>4018</v>
      </c>
      <c r="J20" s="4"/>
      <c r="K20" s="4"/>
      <c r="S20" s="16" t="s">
        <v>4017</v>
      </c>
      <c r="T20" s="16" t="s">
        <v>4018</v>
      </c>
      <c r="U20" s="4"/>
      <c r="V20" s="4"/>
      <c r="AD20" s="16" t="s">
        <v>4017</v>
      </c>
      <c r="AE20" s="16" t="s">
        <v>4018</v>
      </c>
      <c r="AF20" s="4"/>
      <c r="AG20" s="4"/>
      <c r="AO20" s="16" t="s">
        <v>4017</v>
      </c>
      <c r="AP20" s="16" t="s">
        <v>4018</v>
      </c>
      <c r="AQ20" s="4"/>
      <c r="AR20" s="4"/>
      <c r="AZ20" s="16" t="s">
        <v>4017</v>
      </c>
      <c r="BA20" s="16" t="s">
        <v>4018</v>
      </c>
      <c r="BB20" s="4"/>
      <c r="BC20" s="4"/>
      <c r="BK20" s="16" t="s">
        <v>4017</v>
      </c>
      <c r="BL20" s="16" t="s">
        <v>4018</v>
      </c>
      <c r="BM20" s="4"/>
      <c r="BN20" s="4"/>
      <c r="BV20" s="16" t="s">
        <v>4017</v>
      </c>
      <c r="BW20" s="16" t="s">
        <v>4018</v>
      </c>
      <c r="BX20" s="4"/>
      <c r="BY20" s="4"/>
      <c r="CG20" s="16" t="s">
        <v>4017</v>
      </c>
      <c r="CH20" s="16" t="s">
        <v>4018</v>
      </c>
      <c r="CI20" s="4"/>
      <c r="CJ20" s="4"/>
      <c r="CR20" s="16" t="s">
        <v>4017</v>
      </c>
      <c r="CS20" s="16" t="s">
        <v>4018</v>
      </c>
      <c r="CT20" s="4"/>
      <c r="CU20" s="4"/>
      <c r="DC20" s="16" t="s">
        <v>4017</v>
      </c>
      <c r="DD20" s="16" t="s">
        <v>4018</v>
      </c>
      <c r="DE20" s="4"/>
      <c r="DF20" s="4"/>
      <c r="DN20" s="16" t="s">
        <v>4017</v>
      </c>
      <c r="DO20" s="16" t="s">
        <v>4018</v>
      </c>
      <c r="DP20" s="4"/>
      <c r="DQ20" s="4"/>
      <c r="DY20" s="16" t="s">
        <v>4017</v>
      </c>
      <c r="DZ20" s="16" t="s">
        <v>4018</v>
      </c>
      <c r="EA20" s="4"/>
      <c r="EB20" s="4"/>
      <c r="EJ20" s="16" t="s">
        <v>4017</v>
      </c>
      <c r="EK20" s="16" t="s">
        <v>4018</v>
      </c>
      <c r="EL20" s="4"/>
      <c r="EM20" s="4"/>
      <c r="EU20" s="16" t="s">
        <v>4017</v>
      </c>
      <c r="EV20" s="16" t="s">
        <v>4018</v>
      </c>
      <c r="EW20" s="4"/>
      <c r="EX20" s="4"/>
      <c r="FF20" s="16" t="s">
        <v>4017</v>
      </c>
      <c r="FG20" s="16" t="s">
        <v>4018</v>
      </c>
      <c r="FH20" s="4"/>
      <c r="FI20" s="4"/>
      <c r="FQ20" s="16" t="s">
        <v>4017</v>
      </c>
      <c r="FR20" s="16" t="s">
        <v>4018</v>
      </c>
      <c r="FS20" s="4"/>
      <c r="FT20" s="4"/>
      <c r="GB20" s="16" t="s">
        <v>4017</v>
      </c>
      <c r="GC20" s="16" t="s">
        <v>4018</v>
      </c>
      <c r="GD20" s="4"/>
      <c r="GE20" s="4"/>
      <c r="GM20" s="16" t="s">
        <v>4017</v>
      </c>
      <c r="GN20" s="16" t="s">
        <v>4018</v>
      </c>
      <c r="GO20" s="4"/>
      <c r="GP20" s="4"/>
      <c r="GX20" s="16" t="s">
        <v>4017</v>
      </c>
      <c r="GY20" s="16" t="s">
        <v>4018</v>
      </c>
      <c r="GZ20" s="4"/>
      <c r="HA20" s="4"/>
      <c r="HI20" s="16" t="s">
        <v>4017</v>
      </c>
      <c r="HJ20" s="16" t="s">
        <v>4018</v>
      </c>
      <c r="HK20" s="4"/>
      <c r="HL20" s="4"/>
      <c r="HT20" s="16" t="s">
        <v>4017</v>
      </c>
      <c r="HU20" s="16" t="s">
        <v>4018</v>
      </c>
      <c r="HV20" s="4"/>
      <c r="HW20" s="4"/>
      <c r="IE20" s="16" t="s">
        <v>4017</v>
      </c>
      <c r="IF20" s="16" t="s">
        <v>4018</v>
      </c>
      <c r="IG20" s="4"/>
      <c r="IH20" s="4"/>
      <c r="IP20" s="16" t="s">
        <v>4017</v>
      </c>
      <c r="IQ20" s="16" t="s">
        <v>4018</v>
      </c>
      <c r="IR20" s="4"/>
      <c r="IS20" s="4"/>
      <c r="JA20" s="16" t="s">
        <v>4017</v>
      </c>
      <c r="JB20" s="16" t="s">
        <v>4018</v>
      </c>
      <c r="JC20" s="4"/>
      <c r="JD20" s="4"/>
      <c r="JL20" s="16" t="s">
        <v>4017</v>
      </c>
      <c r="JM20" s="16" t="s">
        <v>4018</v>
      </c>
      <c r="JN20" s="4"/>
      <c r="JO20" s="4"/>
      <c r="JW20" s="16" t="s">
        <v>4017</v>
      </c>
      <c r="JX20" s="16" t="s">
        <v>4018</v>
      </c>
      <c r="JY20" s="4"/>
      <c r="JZ20" s="4"/>
      <c r="KH20" s="16" t="s">
        <v>4017</v>
      </c>
      <c r="KI20" s="16" t="s">
        <v>4018</v>
      </c>
      <c r="KJ20" s="4"/>
      <c r="KK20" s="4"/>
      <c r="KS20" s="16" t="s">
        <v>4017</v>
      </c>
      <c r="KT20" s="16" t="s">
        <v>4018</v>
      </c>
      <c r="KU20" s="4"/>
      <c r="KV20" s="4"/>
      <c r="LD20" s="16" t="s">
        <v>4017</v>
      </c>
      <c r="LE20" s="16" t="s">
        <v>4018</v>
      </c>
      <c r="LF20" s="4"/>
      <c r="LG20" s="4"/>
      <c r="LO20" s="16" t="s">
        <v>4017</v>
      </c>
      <c r="LP20" s="16" t="s">
        <v>4018</v>
      </c>
      <c r="LQ20" s="4"/>
      <c r="LR20" s="4"/>
      <c r="LZ20" s="16" t="s">
        <v>4017</v>
      </c>
      <c r="MA20" s="16" t="s">
        <v>4018</v>
      </c>
      <c r="MB20" s="4"/>
      <c r="MC20" s="4"/>
      <c r="MK20" s="16" t="s">
        <v>4017</v>
      </c>
      <c r="ML20" s="16" t="s">
        <v>4018</v>
      </c>
      <c r="MM20" s="4"/>
      <c r="MN20" s="4"/>
      <c r="MV20" s="16" t="s">
        <v>4017</v>
      </c>
      <c r="MW20" s="16" t="s">
        <v>4018</v>
      </c>
      <c r="MX20" s="4"/>
      <c r="MY20" s="4"/>
      <c r="NG20" s="16" t="s">
        <v>4017</v>
      </c>
      <c r="NH20" s="16" t="s">
        <v>4018</v>
      </c>
      <c r="NI20" s="4"/>
      <c r="NJ20" s="4"/>
      <c r="NR20" s="16" t="s">
        <v>4017</v>
      </c>
      <c r="NS20" s="16" t="s">
        <v>4018</v>
      </c>
      <c r="NT20" s="4"/>
      <c r="NU20" s="4"/>
      <c r="OC20" s="16" t="s">
        <v>4017</v>
      </c>
      <c r="OD20" s="16" t="s">
        <v>4018</v>
      </c>
      <c r="OE20" s="4"/>
      <c r="OF20" s="4"/>
      <c r="ON20" s="16" t="s">
        <v>4017</v>
      </c>
      <c r="OO20" s="16" t="s">
        <v>4018</v>
      </c>
      <c r="OP20" s="4"/>
      <c r="OQ20" s="4"/>
      <c r="OY20" s="16" t="s">
        <v>4017</v>
      </c>
      <c r="OZ20" s="16" t="s">
        <v>4018</v>
      </c>
      <c r="PA20" s="4"/>
      <c r="PB20" s="4"/>
      <c r="PJ20" s="16" t="s">
        <v>4017</v>
      </c>
      <c r="PK20" s="16" t="s">
        <v>4018</v>
      </c>
      <c r="PL20" s="4"/>
      <c r="PM20" s="4"/>
      <c r="PU20" s="16" t="s">
        <v>4017</v>
      </c>
      <c r="PV20" s="16" t="s">
        <v>4018</v>
      </c>
      <c r="PW20" s="4"/>
      <c r="PX20" s="4"/>
      <c r="QF20" s="16" t="s">
        <v>4017</v>
      </c>
      <c r="QG20" s="16" t="s">
        <v>4018</v>
      </c>
      <c r="QH20" s="4"/>
      <c r="QI20" s="4"/>
      <c r="QQ20" s="16" t="s">
        <v>4017</v>
      </c>
      <c r="QR20" s="16" t="s">
        <v>4018</v>
      </c>
      <c r="QS20" s="4"/>
      <c r="QT20" s="4"/>
      <c r="RB20" s="16" t="s">
        <v>4017</v>
      </c>
      <c r="RC20" s="16" t="s">
        <v>4018</v>
      </c>
      <c r="RD20" s="4"/>
      <c r="RE20" s="4"/>
      <c r="RM20" s="16" t="s">
        <v>4017</v>
      </c>
      <c r="RN20" s="16" t="s">
        <v>4018</v>
      </c>
      <c r="RO20" s="4"/>
      <c r="RP20" s="4"/>
      <c r="RX20" s="16" t="s">
        <v>4017</v>
      </c>
      <c r="RY20" s="16" t="s">
        <v>4018</v>
      </c>
      <c r="RZ20" s="4"/>
      <c r="SA20" s="4"/>
      <c r="SI20" s="16" t="s">
        <v>4017</v>
      </c>
      <c r="SJ20" s="16" t="s">
        <v>4018</v>
      </c>
      <c r="SK20" s="4"/>
      <c r="SL20" s="4"/>
      <c r="ST20" s="16" t="s">
        <v>4017</v>
      </c>
      <c r="SU20" s="16" t="s">
        <v>4018</v>
      </c>
      <c r="SV20" s="4"/>
      <c r="SW20" s="4"/>
      <c r="TE20" s="16" t="s">
        <v>4017</v>
      </c>
      <c r="TF20" s="16" t="s">
        <v>4018</v>
      </c>
      <c r="TG20" s="4"/>
      <c r="TH20" s="4"/>
      <c r="TP20" s="16" t="s">
        <v>4017</v>
      </c>
      <c r="TQ20" s="16" t="s">
        <v>4018</v>
      </c>
      <c r="TR20" s="4"/>
      <c r="TS20" s="4"/>
      <c r="UA20" s="16" t="s">
        <v>4017</v>
      </c>
      <c r="UB20" s="16" t="s">
        <v>4018</v>
      </c>
      <c r="UC20" s="4"/>
      <c r="UD20" s="4"/>
      <c r="UL20" s="16" t="s">
        <v>4017</v>
      </c>
      <c r="UM20" s="16" t="s">
        <v>4018</v>
      </c>
      <c r="UN20" s="4"/>
      <c r="UO20" s="4"/>
      <c r="UW20" s="16" t="s">
        <v>4017</v>
      </c>
      <c r="UX20" s="16" t="s">
        <v>4018</v>
      </c>
      <c r="UY20" s="4"/>
      <c r="UZ20" s="4"/>
      <c r="VH20" s="16" t="s">
        <v>4017</v>
      </c>
      <c r="VI20" s="16" t="s">
        <v>4018</v>
      </c>
      <c r="VJ20" s="4"/>
      <c r="VK20" s="4"/>
      <c r="VS20" s="16" t="s">
        <v>4017</v>
      </c>
      <c r="VT20" s="16" t="s">
        <v>4018</v>
      </c>
      <c r="VU20" s="4"/>
      <c r="VV20" s="4"/>
      <c r="WD20" s="16" t="s">
        <v>4017</v>
      </c>
      <c r="WE20" s="16" t="s">
        <v>4018</v>
      </c>
      <c r="WF20" s="4"/>
      <c r="WG20" s="4"/>
      <c r="WO20" s="16" t="s">
        <v>4017</v>
      </c>
      <c r="WP20" s="16" t="s">
        <v>4018</v>
      </c>
      <c r="WQ20" s="4"/>
      <c r="WR20" s="4"/>
      <c r="WZ20" s="16" t="s">
        <v>4017</v>
      </c>
      <c r="XA20" s="16" t="s">
        <v>4018</v>
      </c>
      <c r="XB20" s="4"/>
      <c r="XC20" s="4"/>
      <c r="XK20" s="16" t="s">
        <v>4017</v>
      </c>
      <c r="XL20" s="16" t="s">
        <v>4018</v>
      </c>
      <c r="XM20" s="4"/>
      <c r="XN20" s="4"/>
      <c r="XV20" s="16" t="s">
        <v>4017</v>
      </c>
      <c r="XW20" s="16" t="s">
        <v>4018</v>
      </c>
      <c r="XX20" s="4"/>
      <c r="XY20" s="4"/>
      <c r="YG20" s="16" t="s">
        <v>4017</v>
      </c>
      <c r="YH20" s="16" t="s">
        <v>4018</v>
      </c>
      <c r="YI20" s="4"/>
      <c r="YJ20" s="4"/>
      <c r="YR20" s="16" t="s">
        <v>4017</v>
      </c>
      <c r="YS20" s="16" t="s">
        <v>4018</v>
      </c>
      <c r="YT20" s="4"/>
      <c r="YU20" s="4"/>
      <c r="ZC20" s="16" t="s">
        <v>4017</v>
      </c>
      <c r="ZD20" s="16" t="s">
        <v>4018</v>
      </c>
      <c r="ZE20" s="4"/>
      <c r="ZF20" s="4"/>
      <c r="ZN20" s="16" t="s">
        <v>4017</v>
      </c>
      <c r="ZO20" s="16" t="s">
        <v>4018</v>
      </c>
      <c r="ZP20" s="4"/>
      <c r="ZQ20" s="4"/>
      <c r="ZY20" s="16" t="s">
        <v>4017</v>
      </c>
      <c r="ZZ20" s="16" t="s">
        <v>4018</v>
      </c>
      <c r="AAA20" s="4"/>
      <c r="AAB20" s="4"/>
      <c r="AAJ20" s="16" t="s">
        <v>4017</v>
      </c>
      <c r="AAK20" s="16" t="s">
        <v>4018</v>
      </c>
      <c r="AAL20" s="4"/>
      <c r="AAM20" s="4"/>
      <c r="AAU20" s="16" t="s">
        <v>4017</v>
      </c>
      <c r="AAV20" s="16" t="s">
        <v>4018</v>
      </c>
      <c r="AAW20" s="4"/>
      <c r="AAX20" s="4"/>
      <c r="ABF20" s="16" t="s">
        <v>4017</v>
      </c>
      <c r="ABG20" s="16" t="s">
        <v>4018</v>
      </c>
      <c r="ABH20" s="4"/>
      <c r="ABI20" s="4"/>
      <c r="ABQ20" s="16" t="s">
        <v>4017</v>
      </c>
      <c r="ABR20" s="16" t="s">
        <v>4018</v>
      </c>
      <c r="ABS20" s="4"/>
      <c r="ABT20" s="4"/>
      <c r="ACB20" s="16" t="s">
        <v>4017</v>
      </c>
      <c r="ACC20" s="16" t="s">
        <v>4018</v>
      </c>
      <c r="ACD20" s="4"/>
      <c r="ACE20" s="4"/>
      <c r="ACM20" s="16" t="s">
        <v>4017</v>
      </c>
      <c r="ACN20" s="16" t="s">
        <v>4018</v>
      </c>
      <c r="ACO20" s="4"/>
      <c r="ACP20" s="4"/>
      <c r="ACX20" s="16" t="s">
        <v>4017</v>
      </c>
      <c r="ACY20" s="16" t="s">
        <v>4018</v>
      </c>
      <c r="ACZ20" s="4"/>
      <c r="ADA20" s="4"/>
      <c r="ADI20" s="16" t="s">
        <v>4017</v>
      </c>
      <c r="ADJ20" s="16" t="s">
        <v>4018</v>
      </c>
    </row>
    <row r="21" spans="1:793" x14ac:dyDescent="0.45">
      <c r="A21" s="53" t="str">
        <f ca="1">"摘要："&amp;OFFSET(納品書まとめ!$A$1,H2-1,21)</f>
        <v>摘要：現金集金あり（個数未定）</v>
      </c>
      <c r="B21" s="53"/>
      <c r="C21" s="53"/>
      <c r="D21" s="53"/>
      <c r="E21" s="53"/>
      <c r="H21" s="92"/>
      <c r="I21" s="92"/>
      <c r="J21" s="4"/>
      <c r="K21" s="4"/>
      <c r="L21" s="53" t="str">
        <f ca="1">"摘要："&amp;OFFSET(納品書まとめ!$A$1,T2-1,21)</f>
        <v>摘要：</v>
      </c>
      <c r="M21" s="53"/>
      <c r="N21" s="53"/>
      <c r="O21" s="53"/>
      <c r="P21" s="53"/>
      <c r="S21" s="95"/>
      <c r="T21" s="95"/>
      <c r="U21" s="4"/>
      <c r="V21" s="4"/>
      <c r="W21" s="89" t="str">
        <f ca="1">"摘要："&amp;IF(COUNTIF(OFFSET(納品書まとめ!$A$1,AE2-1,21),"*✔*"),"",
OFFSET(納品書まとめ!$A$1,AE2-1,21))</f>
        <v>摘要：</v>
      </c>
      <c r="X21" s="90"/>
      <c r="Y21" s="90"/>
      <c r="Z21" s="90"/>
      <c r="AA21" s="90"/>
      <c r="AB21" s="90"/>
      <c r="AD21" s="50"/>
      <c r="AE21" s="50"/>
      <c r="AF21" s="4"/>
      <c r="AG21" s="4"/>
      <c r="AH21" s="89" t="str">
        <f ca="1">"摘要："&amp;IF(COUNTIF(OFFSET(納品書まとめ!$A$1,AP2-1,21),"*✔*"),"",
OFFSET(納品書まとめ!$A$1,AP2-1,21))</f>
        <v>摘要：ﾋﾟｸｱﾚ0 10：00まで納品</v>
      </c>
      <c r="AI21" s="90"/>
      <c r="AJ21" s="90"/>
      <c r="AK21" s="90"/>
      <c r="AL21" s="90"/>
      <c r="AM21" s="90"/>
      <c r="AO21" s="50"/>
      <c r="AP21" s="50"/>
      <c r="AQ21" s="4"/>
      <c r="AR21" s="4"/>
      <c r="AS21" s="89" t="str">
        <f ca="1">"摘要："&amp;IF(COUNTIF(OFFSET(納品書まとめ!$A$1,BA2-1,21),"*✔*"),"",
OFFSET(納品書まとめ!$A$1,BA2-1,21))</f>
        <v>摘要：ﾋﾟｸｱﾚ0 10：00まで納品</v>
      </c>
      <c r="AT21" s="90"/>
      <c r="AU21" s="90"/>
      <c r="AV21" s="90"/>
      <c r="AW21" s="90"/>
      <c r="AX21" s="90"/>
      <c r="AZ21" s="50"/>
      <c r="BA21" s="50"/>
      <c r="BB21" s="4"/>
      <c r="BC21" s="4"/>
      <c r="BD21" s="89" t="str">
        <f ca="1">"摘要："&amp;IF(COUNTIF(OFFSET(納品書まとめ!$A$1,BL2-1,21),"*✔*"),"",
OFFSET(納品書まとめ!$A$1,BL2-1,21))</f>
        <v>摘要：別注（味王）あり</v>
      </c>
      <c r="BE21" s="90"/>
      <c r="BF21" s="90"/>
      <c r="BG21" s="90"/>
      <c r="BH21" s="90"/>
      <c r="BI21" s="90"/>
      <c r="BK21" s="50"/>
      <c r="BL21" s="50"/>
      <c r="BM21" s="4"/>
      <c r="BN21" s="4"/>
      <c r="BO21" s="89" t="str">
        <f ca="1">"摘要："&amp;IF(COUNTIF(OFFSET(納品書まとめ!$A$1,BW2-1,21),"*✔*"),"",
OFFSET(納品書まとめ!$A$1,BW2-1,21))</f>
        <v>摘要：</v>
      </c>
      <c r="BP21" s="90"/>
      <c r="BQ21" s="90"/>
      <c r="BR21" s="90"/>
      <c r="BS21" s="90"/>
      <c r="BT21" s="90"/>
      <c r="BV21" s="50"/>
      <c r="BW21" s="50"/>
      <c r="BX21" s="4"/>
      <c r="BY21" s="4"/>
      <c r="BZ21" s="89" t="str">
        <f ca="1">"摘要："&amp;IF(COUNTIF(OFFSET(納品書まとめ!$A$1,CH2-1,21),"*✔*"),"",
OFFSET(納品書まとめ!$A$1,CH2-1,21))</f>
        <v>摘要：</v>
      </c>
      <c r="CA21" s="90"/>
      <c r="CB21" s="90"/>
      <c r="CC21" s="90"/>
      <c r="CD21" s="90"/>
      <c r="CE21" s="90"/>
      <c r="CG21" s="50"/>
      <c r="CH21" s="50"/>
      <c r="CI21" s="4"/>
      <c r="CJ21" s="4"/>
      <c r="CK21" s="89" t="str">
        <f ca="1">"摘要："&amp;IF(COUNTIF(OFFSET(納品書まとめ!$A$1,CS2-1,21),"*✔*"),"",
OFFSET(納品書まとめ!$A$1,CS2-1,21))</f>
        <v>摘要：</v>
      </c>
      <c r="CL21" s="90"/>
      <c r="CM21" s="90"/>
      <c r="CN21" s="90"/>
      <c r="CO21" s="90"/>
      <c r="CP21" s="90"/>
      <c r="CR21" s="50"/>
      <c r="CS21" s="50"/>
      <c r="CT21" s="4"/>
      <c r="CU21" s="4"/>
      <c r="CV21" s="89" t="str">
        <f ca="1">"摘要："&amp;IF(COUNTIF(OFFSET(納品書まとめ!$A$1,DD2-1,21),"*✔*"),"",
OFFSET(納品書まとめ!$A$1,DD2-1,21))</f>
        <v>摘要：牛乳1Ｌ×7本 カップ</v>
      </c>
      <c r="CW21" s="90"/>
      <c r="CX21" s="90"/>
      <c r="CY21" s="90"/>
      <c r="CZ21" s="90"/>
      <c r="DA21" s="90"/>
      <c r="DC21" s="50"/>
      <c r="DD21" s="50"/>
      <c r="DE21" s="4"/>
      <c r="DF21" s="4"/>
      <c r="DG21" s="89" t="str">
        <f ca="1">"摘要："&amp;IF(COUNTIF(OFFSET(納品書まとめ!$A$1,DO2-1,21),"*✔*"),"",
OFFSET(納品書まとめ!$A$1,DO2-1,21))</f>
        <v>摘要：</v>
      </c>
      <c r="DH21" s="90"/>
      <c r="DI21" s="90"/>
      <c r="DJ21" s="90"/>
      <c r="DK21" s="90"/>
      <c r="DL21" s="90"/>
      <c r="DN21" s="50"/>
      <c r="DO21" s="50"/>
      <c r="DP21" s="4"/>
      <c r="DQ21" s="4"/>
      <c r="DR21" s="89" t="str">
        <f ca="1">"摘要："&amp;IF(COUNTIF(OFFSET(納品書まとめ!$A$1,DZ2-1,21),"*✔*"),"",
OFFSET(納品書まとめ!$A$1,DZ2-1,21))</f>
        <v>摘要：</v>
      </c>
      <c r="DS21" s="90"/>
      <c r="DT21" s="90"/>
      <c r="DU21" s="90"/>
      <c r="DV21" s="90"/>
      <c r="DW21" s="90"/>
      <c r="DY21" s="50"/>
      <c r="DZ21" s="50"/>
      <c r="EA21" s="4"/>
      <c r="EB21" s="4"/>
      <c r="EC21" s="89" t="str">
        <f ca="1">"摘要："&amp;IF(COUNTIF(OFFSET(納品書まとめ!$A$1,EK2-1,21),"*✔*"),"",
OFFSET(納品書まとめ!$A$1,EK2-1,21))</f>
        <v>摘要：</v>
      </c>
      <c r="ED21" s="90"/>
      <c r="EE21" s="90"/>
      <c r="EF21" s="90"/>
      <c r="EG21" s="90"/>
      <c r="EH21" s="90"/>
      <c r="EJ21" s="50"/>
      <c r="EK21" s="50"/>
      <c r="EL21" s="4"/>
      <c r="EM21" s="4"/>
      <c r="EN21" s="89" t="str">
        <f ca="1">"摘要："&amp;IF(COUNTIF(OFFSET(納品書まとめ!$A$1,EV2-1,21),"*✔*"),"",
OFFSET(納品書まとめ!$A$1,EV2-1,21))</f>
        <v>摘要：スープ付き</v>
      </c>
      <c r="EO21" s="90"/>
      <c r="EP21" s="90"/>
      <c r="EQ21" s="90"/>
      <c r="ER21" s="90"/>
      <c r="ES21" s="90"/>
      <c r="EU21" s="50"/>
      <c r="EV21" s="50"/>
      <c r="EW21" s="4"/>
      <c r="EX21" s="4"/>
      <c r="EY21" s="89" t="str">
        <f ca="1">"摘要："&amp;IF(COUNTIF(OFFSET(納品書まとめ!$A$1,FG2-1,21),"*✔*"),"",
OFFSET(納品書まとめ!$A$1,FG2-1,21))</f>
        <v>摘要：スープ付き</v>
      </c>
      <c r="EZ21" s="90"/>
      <c r="FA21" s="90"/>
      <c r="FB21" s="90"/>
      <c r="FC21" s="90"/>
      <c r="FD21" s="90"/>
      <c r="FF21" s="50"/>
      <c r="FG21" s="50"/>
      <c r="FH21" s="4"/>
      <c r="FI21" s="4"/>
      <c r="FJ21" s="89" t="str">
        <f ca="1">"摘要："&amp;IF(COUNTIF(OFFSET(納品書まとめ!$A$1,FR2-1,21),"*✔*"),"",
OFFSET(納品書まとめ!$A$1,FR2-1,21))</f>
        <v>摘要：通常時間納品</v>
      </c>
      <c r="FK21" s="90"/>
      <c r="FL21" s="90"/>
      <c r="FM21" s="90"/>
      <c r="FN21" s="90"/>
      <c r="FO21" s="90"/>
      <c r="FQ21" s="50"/>
      <c r="FR21" s="50"/>
      <c r="FS21" s="4"/>
      <c r="FT21" s="4"/>
      <c r="FU21" s="89" t="str">
        <f ca="1">"摘要："&amp;IF(COUNTIF(OFFSET(納品書まとめ!$A$1,GC2-1,21),"*✔*"),"",
OFFSET(納品書まとめ!$A$1,GC2-1,21))</f>
        <v>摘要：通常時間納品</v>
      </c>
      <c r="FV21" s="90"/>
      <c r="FW21" s="90"/>
      <c r="FX21" s="90"/>
      <c r="FY21" s="90"/>
      <c r="FZ21" s="90"/>
      <c r="GB21" s="50"/>
      <c r="GC21" s="50"/>
      <c r="GD21" s="4"/>
      <c r="GE21" s="4"/>
      <c r="GF21" s="89" t="str">
        <f ca="1">"摘要："&amp;IF(COUNTIF(OFFSET(納品書まとめ!$A$1,GN2-1,21),"*✔*"),"",
OFFSET(納品書まとめ!$A$1,GN2-1,21))</f>
        <v>摘要：</v>
      </c>
      <c r="GG21" s="90"/>
      <c r="GH21" s="90"/>
      <c r="GI21" s="90"/>
      <c r="GJ21" s="90"/>
      <c r="GK21" s="90"/>
      <c r="GM21" s="50"/>
      <c r="GN21" s="50"/>
      <c r="GO21" s="4"/>
      <c r="GP21" s="4"/>
      <c r="GQ21" s="89" t="str">
        <f ca="1">"摘要："&amp;IF(COUNTIF(OFFSET(納品書まとめ!$A$1,GY2-1,21),"*✔*"),"",
OFFSET(納品書まとめ!$A$1,GY2-1,21))</f>
        <v>摘要：先生+2</v>
      </c>
      <c r="GR21" s="90"/>
      <c r="GS21" s="90"/>
      <c r="GT21" s="90"/>
      <c r="GU21" s="90"/>
      <c r="GV21" s="90"/>
      <c r="GX21" s="50"/>
      <c r="GY21" s="50"/>
      <c r="GZ21" s="4"/>
      <c r="HA21" s="4"/>
      <c r="HB21" s="89" t="str">
        <f ca="1">"摘要："&amp;IF(COUNTIF(OFFSET(納品書まとめ!$A$1,HJ2-1,21),"*✔*"),"",
OFFSET(納品書まとめ!$A$1,HJ2-1,21))</f>
        <v>摘要：ｱﾚ0</v>
      </c>
      <c r="HC21" s="90"/>
      <c r="HD21" s="90"/>
      <c r="HE21" s="90"/>
      <c r="HF21" s="90"/>
      <c r="HG21" s="90"/>
      <c r="HI21" s="50"/>
      <c r="HJ21" s="50"/>
      <c r="HK21" s="4"/>
      <c r="HL21" s="4"/>
      <c r="HM21" s="89" t="str">
        <f ca="1">"摘要："&amp;IF(COUNTIF(OFFSET(納品書まとめ!$A$1,HU2-1,21),"*✔*"),"",
OFFSET(納品書まとめ!$A$1,HU2-1,21))</f>
        <v>摘要：ｱﾚ0</v>
      </c>
      <c r="HN21" s="90"/>
      <c r="HO21" s="90"/>
      <c r="HP21" s="90"/>
      <c r="HQ21" s="90"/>
      <c r="HR21" s="90"/>
      <c r="HT21" s="50"/>
      <c r="HU21" s="50"/>
      <c r="HV21" s="4"/>
      <c r="HW21" s="4"/>
      <c r="HX21" s="89" t="str">
        <f ca="1">"摘要："&amp;IF(COUNTIF(OFFSET(納品書まとめ!$A$1,IF2-1,21),"*✔*"),"",
OFFSET(納品書まとめ!$A$1,IF2-1,21))</f>
        <v>摘要：</v>
      </c>
      <c r="HY21" s="90"/>
      <c r="HZ21" s="90"/>
      <c r="IA21" s="90"/>
      <c r="IB21" s="90"/>
      <c r="IC21" s="90"/>
      <c r="IE21" s="50"/>
      <c r="IF21" s="50"/>
      <c r="IG21" s="4"/>
      <c r="IH21" s="4"/>
      <c r="II21" s="89" t="str">
        <f ca="1">"摘要："&amp;IF(COUNTIF(OFFSET(納品書まとめ!$A$1,IQ2-1,21),"*✔*"),"",
OFFSET(納品書まとめ!$A$1,IQ2-1,21))</f>
        <v>摘要：</v>
      </c>
      <c r="IJ21" s="90"/>
      <c r="IK21" s="90"/>
      <c r="IL21" s="90"/>
      <c r="IM21" s="90"/>
      <c r="IN21" s="90"/>
      <c r="IP21" s="50"/>
      <c r="IQ21" s="50"/>
      <c r="IR21" s="4"/>
      <c r="IS21" s="4"/>
      <c r="IT21" s="89" t="str">
        <f ca="1">"摘要："&amp;IF(COUNTIF(OFFSET(納品書まとめ!$A$1,JB2-1,21),"*✔*"),"",
OFFSET(納品書まとめ!$A$1,JB2-1,21))</f>
        <v>摘要：</v>
      </c>
      <c r="IU21" s="90"/>
      <c r="IV21" s="90"/>
      <c r="IW21" s="90"/>
      <c r="IX21" s="90"/>
      <c r="IY21" s="90"/>
      <c r="JA21" s="50"/>
      <c r="JB21" s="50"/>
      <c r="JC21" s="4"/>
      <c r="JD21" s="4"/>
      <c r="JE21" s="89" t="str">
        <f ca="1">"摘要："&amp;IF(COUNTIF(OFFSET(納品書まとめ!$A$1,JM2-1,21),"*✔*"),"",
OFFSET(納品書まとめ!$A$1,JM2-1,21))</f>
        <v>摘要：</v>
      </c>
      <c r="JF21" s="90"/>
      <c r="JG21" s="90"/>
      <c r="JH21" s="90"/>
      <c r="JI21" s="90"/>
      <c r="JJ21" s="90"/>
      <c r="JL21" s="50"/>
      <c r="JM21" s="50"/>
      <c r="JN21" s="4"/>
      <c r="JO21" s="4"/>
      <c r="JP21" s="89" t="str">
        <f ca="1">"摘要："&amp;IF(COUNTIF(OFFSET(納品書まとめ!$A$1,JX2-1,21),"*✔*"),"",
OFFSET(納品書まとめ!$A$1,JX2-1,21))</f>
        <v>摘要：おかわり用保温箱2K×1</v>
      </c>
      <c r="JQ21" s="90"/>
      <c r="JR21" s="90"/>
      <c r="JS21" s="90"/>
      <c r="JT21" s="90"/>
      <c r="JU21" s="90"/>
      <c r="JW21" s="50"/>
      <c r="JX21" s="50"/>
      <c r="JY21" s="4"/>
      <c r="JZ21" s="4"/>
      <c r="KA21" s="89" t="str">
        <f ca="1">"摘要："&amp;IF(COUNTIF(OFFSET(納品書まとめ!$A$1,KI2-1,21),"*✔*"),"",
OFFSET(納品書まとめ!$A$1,KI2-1,21))</f>
        <v>摘要：</v>
      </c>
      <c r="KB21" s="90"/>
      <c r="KC21" s="90"/>
      <c r="KD21" s="90"/>
      <c r="KE21" s="90"/>
      <c r="KF21" s="90"/>
      <c r="KH21" s="50"/>
      <c r="KI21" s="50"/>
      <c r="KJ21" s="4"/>
      <c r="KK21" s="4"/>
      <c r="KL21" s="89" t="str">
        <f ca="1">"摘要："&amp;IF(COUNTIF(OFFSET(納品書まとめ!$A$1,KT2-1,21),"*✔*"),"",
OFFSET(納品書まとめ!$A$1,KT2-1,21))</f>
        <v>摘要：</v>
      </c>
      <c r="KM21" s="90"/>
      <c r="KN21" s="90"/>
      <c r="KO21" s="90"/>
      <c r="KP21" s="90"/>
      <c r="KQ21" s="90"/>
      <c r="KS21" s="50"/>
      <c r="KT21" s="50"/>
      <c r="KU21" s="4"/>
      <c r="KV21" s="4"/>
      <c r="KW21" s="89" t="str">
        <f ca="1">"摘要："&amp;IF(COUNTIF(OFFSET(納品書まとめ!$A$1,LE2-1,21),"*✔*"),"",
OFFSET(納品書まとめ!$A$1,LE2-1,21))</f>
        <v>摘要：</v>
      </c>
      <c r="KX21" s="90"/>
      <c r="KY21" s="90"/>
      <c r="KZ21" s="90"/>
      <c r="LA21" s="90"/>
      <c r="LB21" s="90"/>
      <c r="LD21" s="50"/>
      <c r="LE21" s="50"/>
      <c r="LF21" s="4"/>
      <c r="LG21" s="4"/>
      <c r="LH21" s="89" t="str">
        <f ca="1">"摘要："&amp;IF(COUNTIF(OFFSET(納品書まとめ!$A$1,LP2-1,21),"*✔*"),"",
OFFSET(納品書まとめ!$A$1,LP2-1,21))</f>
        <v>摘要：おかわり用保温箱2K×1 先生+1</v>
      </c>
      <c r="LI21" s="90"/>
      <c r="LJ21" s="90"/>
      <c r="LK21" s="90"/>
      <c r="LL21" s="90"/>
      <c r="LM21" s="90"/>
      <c r="LO21" s="50"/>
      <c r="LP21" s="50"/>
      <c r="LQ21" s="4"/>
      <c r="LR21" s="4"/>
      <c r="LS21" s="89" t="str">
        <f ca="1">"摘要："&amp;IF(COUNTIF(OFFSET(納品書まとめ!$A$1,MA2-1,21),"*✔*"),"",
OFFSET(納品書まとめ!$A$1,MA2-1,21))</f>
        <v>摘要：おかわり用保温箱2K×1 先生+4</v>
      </c>
      <c r="LT21" s="90"/>
      <c r="LU21" s="90"/>
      <c r="LV21" s="90"/>
      <c r="LW21" s="90"/>
      <c r="LX21" s="90"/>
      <c r="LZ21" s="50"/>
      <c r="MA21" s="50"/>
      <c r="MB21" s="4"/>
      <c r="MC21" s="4"/>
      <c r="MD21" s="89" t="str">
        <f ca="1">"摘要："&amp;IF(COUNTIF(OFFSET(納品書まとめ!$A$1,ML2-1,21),"*✔*"),"",
OFFSET(納品書まとめ!$A$1,ML2-1,21))</f>
        <v>摘要：おかわり用保温箱2K×1</v>
      </c>
      <c r="ME21" s="90"/>
      <c r="MF21" s="90"/>
      <c r="MG21" s="90"/>
      <c r="MH21" s="90"/>
      <c r="MI21" s="90"/>
      <c r="MK21" s="50"/>
      <c r="ML21" s="50"/>
      <c r="MM21" s="4"/>
      <c r="MN21" s="4"/>
      <c r="MO21" s="89" t="str">
        <f ca="1">"摘要："&amp;IF(COUNTIF(OFFSET(納品書まとめ!$A$1,MW2-1,21),"*✔*"),"",
OFFSET(納品書まとめ!$A$1,MW2-1,21))</f>
        <v>摘要：</v>
      </c>
      <c r="MP21" s="90"/>
      <c r="MQ21" s="90"/>
      <c r="MR21" s="90"/>
      <c r="MS21" s="90"/>
      <c r="MT21" s="90"/>
      <c r="MV21" s="50"/>
      <c r="MW21" s="50"/>
      <c r="MX21" s="4"/>
      <c r="MY21" s="4"/>
      <c r="MZ21" s="89" t="str">
        <f ca="1">"摘要："&amp;IF(COUNTIF(OFFSET(納品書まとめ!$A$1,NH2-1,21),"*✔*"),"",
OFFSET(納品書まとめ!$A$1,NH2-1,21))</f>
        <v>摘要：</v>
      </c>
      <c r="NA21" s="90"/>
      <c r="NB21" s="90"/>
      <c r="NC21" s="90"/>
      <c r="ND21" s="90"/>
      <c r="NE21" s="90"/>
      <c r="NG21" s="50"/>
      <c r="NH21" s="50"/>
      <c r="NI21" s="4"/>
      <c r="NJ21" s="4"/>
      <c r="NK21" s="89" t="str">
        <f ca="1">"摘要："&amp;IF(COUNTIF(OFFSET(納品書まとめ!$A$1,NS2-1,21),"*✔*"),"",
OFFSET(納品書まとめ!$A$1,NS2-1,21))</f>
        <v>摘要：</v>
      </c>
      <c r="NL21" s="90"/>
      <c r="NM21" s="90"/>
      <c r="NN21" s="90"/>
      <c r="NO21" s="90"/>
      <c r="NP21" s="90"/>
      <c r="NR21" s="50"/>
      <c r="NS21" s="50"/>
      <c r="NT21" s="4"/>
      <c r="NU21" s="4"/>
      <c r="NV21" s="89" t="str">
        <f ca="1">"摘要："&amp;IF(COUNTIF(OFFSET(納品書まとめ!$A$1,OD2-1,21),"*✔*"),"",
OFFSET(納品書まとめ!$A$1,OD2-1,21))</f>
        <v>摘要：</v>
      </c>
      <c r="NW21" s="90"/>
      <c r="NX21" s="90"/>
      <c r="NY21" s="90"/>
      <c r="NZ21" s="90"/>
      <c r="OA21" s="90"/>
      <c r="OC21" s="50"/>
      <c r="OD21" s="50"/>
      <c r="OE21" s="4"/>
      <c r="OF21" s="4"/>
      <c r="OG21" s="89" t="str">
        <f ca="1">"摘要："&amp;IF(COUNTIF(OFFSET(納品書まとめ!$A$1,OO2-1,21),"*✔*"),"",
OFFSET(納品書まとめ!$A$1,OO2-1,21))</f>
        <v>摘要：おかわり用保温箱1.5Ｋ×1</v>
      </c>
      <c r="OH21" s="90"/>
      <c r="OI21" s="90"/>
      <c r="OJ21" s="90"/>
      <c r="OK21" s="90"/>
      <c r="OL21" s="90"/>
      <c r="ON21" s="50"/>
      <c r="OO21" s="50"/>
      <c r="OP21" s="4"/>
      <c r="OQ21" s="4"/>
      <c r="OR21" s="89" t="str">
        <f ca="1">"摘要："&amp;IF(COUNTIF(OFFSET(納品書まとめ!$A$1,OZ2-1,21),"*✔*"),"",
OFFSET(納品書まとめ!$A$1,OZ2-1,21))</f>
        <v>摘要：</v>
      </c>
      <c r="OS21" s="90"/>
      <c r="OT21" s="90"/>
      <c r="OU21" s="90"/>
      <c r="OV21" s="90"/>
      <c r="OW21" s="90"/>
      <c r="OY21" s="50"/>
      <c r="OZ21" s="50"/>
      <c r="PA21" s="4"/>
      <c r="PB21" s="4"/>
      <c r="PC21" s="89" t="str">
        <f ca="1">"摘要："&amp;IF(COUNTIF(OFFSET(納品書まとめ!$A$1,PK2-1,21),"*✔*"),"",
OFFSET(納品書まとめ!$A$1,PK2-1,21))</f>
        <v>摘要：ｱﾚ1</v>
      </c>
      <c r="PD21" s="90"/>
      <c r="PE21" s="90"/>
      <c r="PF21" s="90"/>
      <c r="PG21" s="90"/>
      <c r="PH21" s="90"/>
      <c r="PJ21" s="50"/>
      <c r="PK21" s="50"/>
      <c r="PL21" s="4"/>
      <c r="PM21" s="4"/>
      <c r="PN21" s="89" t="str">
        <f ca="1">"摘要："&amp;IF(COUNTIF(OFFSET(納品書まとめ!$A$1,PV2-1,21),"*✔*"),"",
OFFSET(納品書まとめ!$A$1,PV2-1,21))</f>
        <v>摘要：スープ付き</v>
      </c>
      <c r="PO21" s="90"/>
      <c r="PP21" s="90"/>
      <c r="PQ21" s="90"/>
      <c r="PR21" s="90"/>
      <c r="PS21" s="90"/>
      <c r="PU21" s="50"/>
      <c r="PV21" s="50"/>
      <c r="PW21" s="4"/>
      <c r="PX21" s="4"/>
      <c r="PY21" s="89" t="str">
        <f ca="1">"摘要："&amp;IF(COUNTIF(OFFSET(納品書まとめ!$A$1,QG2-1,21),"*✔*"),"",
OFFSET(納品書まとめ!$A$1,QG2-1,21))</f>
        <v>摘要：おかわり用保温箱2K×1</v>
      </c>
      <c r="PZ21" s="90"/>
      <c r="QA21" s="90"/>
      <c r="QB21" s="90"/>
      <c r="QC21" s="90"/>
      <c r="QD21" s="90"/>
      <c r="QF21" s="50"/>
      <c r="QG21" s="50"/>
      <c r="QH21" s="4"/>
      <c r="QI21" s="4"/>
      <c r="QJ21" s="89" t="str">
        <f ca="1">"摘要："&amp;IF(COUNTIF(OFFSET(納品書まとめ!$A$1,QR2-1,21),"*✔*"),"",
OFFSET(納品書まとめ!$A$1,QR2-1,21))</f>
        <v>摘要：</v>
      </c>
      <c r="QK21" s="90"/>
      <c r="QL21" s="90"/>
      <c r="QM21" s="90"/>
      <c r="QN21" s="90"/>
      <c r="QO21" s="90"/>
      <c r="QQ21" s="50"/>
      <c r="QR21" s="50"/>
      <c r="QS21" s="4"/>
      <c r="QT21" s="4"/>
      <c r="QU21" s="89" t="str">
        <f ca="1">"摘要："&amp;IF(COUNTIF(OFFSET(納品書まとめ!$A$1,RC2-1,21),"*✔*"),"",
OFFSET(納品書まとめ!$A$1,RC2-1,21))</f>
        <v>摘要：</v>
      </c>
      <c r="QV21" s="90"/>
      <c r="QW21" s="90"/>
      <c r="QX21" s="90"/>
      <c r="QY21" s="90"/>
      <c r="QZ21" s="90"/>
      <c r="RB21" s="50"/>
      <c r="RC21" s="50"/>
      <c r="RD21" s="4"/>
      <c r="RE21" s="4"/>
      <c r="RF21" s="89" t="str">
        <f ca="1">"摘要："&amp;IF(COUNTIF(OFFSET(納品書まとめ!$A$1,RN2-1,21),"*✔*"),"",
OFFSET(納品書まとめ!$A$1,RN2-1,21))</f>
        <v>摘要：</v>
      </c>
      <c r="RG21" s="90"/>
      <c r="RH21" s="90"/>
      <c r="RI21" s="90"/>
      <c r="RJ21" s="90"/>
      <c r="RK21" s="90"/>
      <c r="RM21" s="50"/>
      <c r="RN21" s="50"/>
      <c r="RO21" s="4"/>
      <c r="RP21" s="4"/>
      <c r="RQ21" s="89" t="str">
        <f ca="1">"摘要："&amp;IF(COUNTIF(OFFSET(納品書まとめ!$A$1,RY2-1,21),"*✔*"),"",
OFFSET(納品書まとめ!$A$1,RY2-1,21))</f>
        <v>摘要：</v>
      </c>
      <c r="RR21" s="90"/>
      <c r="RS21" s="90"/>
      <c r="RT21" s="90"/>
      <c r="RU21" s="90"/>
      <c r="RV21" s="90"/>
      <c r="RX21" s="50"/>
      <c r="RY21" s="50"/>
      <c r="RZ21" s="4"/>
      <c r="SA21" s="4"/>
      <c r="SB21" s="89" t="str">
        <f ca="1">"摘要："&amp;IF(COUNTIF(OFFSET(納品書まとめ!$A$1,SJ2-1,21),"*✔*"),"",
OFFSET(納品書まとめ!$A$1,SJ2-1,21))</f>
        <v>摘要：きく組学級閉鎖</v>
      </c>
      <c r="SC21" s="90"/>
      <c r="SD21" s="90"/>
      <c r="SE21" s="90"/>
      <c r="SF21" s="90"/>
      <c r="SG21" s="90"/>
      <c r="SI21" s="50"/>
      <c r="SJ21" s="50"/>
      <c r="SK21" s="4"/>
      <c r="SL21" s="4"/>
      <c r="SM21" s="89" t="str">
        <f ca="1">"摘要："&amp;IF(COUNTIF(OFFSET(納品書まとめ!$A$1,SU2-1,21),"*✔*"),"",
OFFSET(納品書まとめ!$A$1,SU2-1,21))</f>
        <v>摘要：</v>
      </c>
      <c r="SN21" s="90"/>
      <c r="SO21" s="90"/>
      <c r="SP21" s="90"/>
      <c r="SQ21" s="90"/>
      <c r="SR21" s="90"/>
      <c r="ST21" s="50"/>
      <c r="SU21" s="50"/>
      <c r="SV21" s="4"/>
      <c r="SW21" s="4"/>
      <c r="SX21" s="89" t="str">
        <f ca="1">"摘要："&amp;IF(COUNTIF(OFFSET(納品書まとめ!$A$1,TF2-1,21),"*✔*"),"",
OFFSET(納品書まとめ!$A$1,TF2-1,21))</f>
        <v>摘要：</v>
      </c>
      <c r="SY21" s="90"/>
      <c r="SZ21" s="90"/>
      <c r="TA21" s="90"/>
      <c r="TB21" s="90"/>
      <c r="TC21" s="90"/>
      <c r="TE21" s="50"/>
      <c r="TF21" s="50"/>
      <c r="TG21" s="4"/>
      <c r="TH21" s="4"/>
      <c r="TI21" s="89" t="str">
        <f ca="1">"摘要："&amp;IF(COUNTIF(OFFSET(納品書まとめ!$A$1,TQ2-1,21),"*✔*"),"",
OFFSET(納品書まとめ!$A$1,TQ2-1,21))</f>
        <v>摘要：</v>
      </c>
      <c r="TJ21" s="90"/>
      <c r="TK21" s="90"/>
      <c r="TL21" s="90"/>
      <c r="TM21" s="90"/>
      <c r="TN21" s="90"/>
      <c r="TP21" s="50"/>
      <c r="TQ21" s="50"/>
      <c r="TR21" s="4"/>
      <c r="TS21" s="4"/>
      <c r="TT21" s="89" t="str">
        <f ca="1">"摘要："&amp;IF(COUNTIF(OFFSET(納品書まとめ!$A$1,UB2-1,21),"*✔*"),"",
OFFSET(納品書まとめ!$A$1,UB2-1,21))</f>
        <v>摘要：</v>
      </c>
      <c r="TU21" s="90"/>
      <c r="TV21" s="90"/>
      <c r="TW21" s="90"/>
      <c r="TX21" s="90"/>
      <c r="TY21" s="90"/>
      <c r="UA21" s="50"/>
      <c r="UB21" s="50"/>
      <c r="UC21" s="4"/>
      <c r="UD21" s="4"/>
      <c r="UE21" s="89" t="str">
        <f ca="1">"摘要："&amp;IF(COUNTIF(OFFSET(納品書まとめ!$A$1,UM2-1,21),"*✔*"),"",
OFFSET(納品書まとめ!$A$1,UM2-1,21))</f>
        <v>摘要：3歳児春日納品/4.5歳児長住納品</v>
      </c>
      <c r="UF21" s="90"/>
      <c r="UG21" s="90"/>
      <c r="UH21" s="90"/>
      <c r="UI21" s="90"/>
      <c r="UJ21" s="90"/>
      <c r="UL21" s="50"/>
      <c r="UM21" s="50"/>
      <c r="UN21" s="4"/>
      <c r="UO21" s="4"/>
      <c r="UP21" s="89" t="e">
        <f ca="1">"摘要："&amp;IF(COUNTIF(OFFSET(納品書まとめ!$A$1,UX2-1,21),"*✔*"),"",
OFFSET(納品書まとめ!$A$1,UX2-1,21))</f>
        <v>#N/A</v>
      </c>
      <c r="UQ21" s="90"/>
      <c r="UR21" s="90"/>
      <c r="US21" s="90"/>
      <c r="UT21" s="90"/>
      <c r="UU21" s="90"/>
      <c r="UW21" s="50"/>
      <c r="UX21" s="50"/>
      <c r="UY21" s="4"/>
      <c r="UZ21" s="4"/>
      <c r="VA21" s="89" t="e">
        <f ca="1">"摘要："&amp;IF(COUNTIF(OFFSET(納品書まとめ!$A$1,VI2-1,21),"*✔*"),"",
OFFSET(納品書まとめ!$A$1,VI2-1,21))</f>
        <v>#VALUE!</v>
      </c>
      <c r="VB21" s="90"/>
      <c r="VC21" s="90"/>
      <c r="VD21" s="90"/>
      <c r="VE21" s="90"/>
      <c r="VF21" s="90"/>
      <c r="VH21" s="50"/>
      <c r="VI21" s="50"/>
      <c r="VJ21" s="4"/>
      <c r="VK21" s="4"/>
      <c r="VL21" s="89" t="e">
        <f ca="1">"摘要："&amp;IF(COUNTIF(OFFSET(納品書まとめ!$A$1,VT2-1,21),"*✔*"),"",
OFFSET(納品書まとめ!$A$1,VT2-1,21))</f>
        <v>#VALUE!</v>
      </c>
      <c r="VM21" s="90"/>
      <c r="VN21" s="90"/>
      <c r="VO21" s="90"/>
      <c r="VP21" s="90"/>
      <c r="VQ21" s="90"/>
      <c r="VS21" s="50"/>
      <c r="VT21" s="50"/>
      <c r="VU21" s="4"/>
      <c r="VV21" s="4"/>
      <c r="VW21" s="89" t="e">
        <f ca="1">"摘要："&amp;IF(COUNTIF(OFFSET(納品書まとめ!$A$1,WE2-1,21),"*✔*"),"",
OFFSET(納品書まとめ!$A$1,WE2-1,21))</f>
        <v>#VALUE!</v>
      </c>
      <c r="VX21" s="90"/>
      <c r="VY21" s="90"/>
      <c r="VZ21" s="90"/>
      <c r="WA21" s="90"/>
      <c r="WB21" s="90"/>
      <c r="WD21" s="50"/>
      <c r="WE21" s="50"/>
      <c r="WF21" s="4"/>
      <c r="WG21" s="4"/>
      <c r="WH21" s="89" t="e">
        <f ca="1">"摘要："&amp;IF(COUNTIF(OFFSET(納品書まとめ!$A$1,WP2-1,21),"*✔*"),"",
OFFSET(納品書まとめ!$A$1,WP2-1,21))</f>
        <v>#VALUE!</v>
      </c>
      <c r="WI21" s="90"/>
      <c r="WJ21" s="90"/>
      <c r="WK21" s="90"/>
      <c r="WL21" s="90"/>
      <c r="WM21" s="90"/>
      <c r="WO21" s="50"/>
      <c r="WP21" s="50"/>
      <c r="WQ21" s="4"/>
      <c r="WR21" s="4"/>
      <c r="WS21" s="89" t="e">
        <f ca="1">"摘要："&amp;IF(COUNTIF(OFFSET(納品書まとめ!$A$1,XA2-1,21),"*✔*"),"",
OFFSET(納品書まとめ!$A$1,XA2-1,21))</f>
        <v>#VALUE!</v>
      </c>
      <c r="WT21" s="90"/>
      <c r="WU21" s="90"/>
      <c r="WV21" s="90"/>
      <c r="WW21" s="90"/>
      <c r="WX21" s="90"/>
      <c r="WZ21" s="50"/>
      <c r="XA21" s="50"/>
      <c r="XB21" s="4"/>
      <c r="XC21" s="4"/>
      <c r="XD21" s="89" t="e">
        <f ca="1">"摘要："&amp;IF(COUNTIF(OFFSET(納品書まとめ!$A$1,XL2-1,21),"*✔*"),"",
OFFSET(納品書まとめ!$A$1,XL2-1,21))</f>
        <v>#VALUE!</v>
      </c>
      <c r="XE21" s="90"/>
      <c r="XF21" s="90"/>
      <c r="XG21" s="90"/>
      <c r="XH21" s="90"/>
      <c r="XI21" s="90"/>
      <c r="XK21" s="50"/>
      <c r="XL21" s="50"/>
      <c r="XM21" s="4"/>
      <c r="XN21" s="4"/>
      <c r="XO21" s="89" t="e">
        <f ca="1">"摘要："&amp;IF(COUNTIF(OFFSET(納品書まとめ!$A$1,XW2-1,21),"*✔*"),"",
OFFSET(納品書まとめ!$A$1,XW2-1,21))</f>
        <v>#VALUE!</v>
      </c>
      <c r="XP21" s="90"/>
      <c r="XQ21" s="90"/>
      <c r="XR21" s="90"/>
      <c r="XS21" s="90"/>
      <c r="XT21" s="90"/>
      <c r="XV21" s="50"/>
      <c r="XW21" s="50"/>
      <c r="XX21" s="4"/>
      <c r="XY21" s="4"/>
      <c r="XZ21" s="89" t="e">
        <f ca="1">"摘要："&amp;IF(COUNTIF(OFFSET(納品書まとめ!$A$1,YH2-1,21),"*✔*"),"",
OFFSET(納品書まとめ!$A$1,YH2-1,21))</f>
        <v>#VALUE!</v>
      </c>
      <c r="YA21" s="90"/>
      <c r="YB21" s="90"/>
      <c r="YC21" s="90"/>
      <c r="YD21" s="90"/>
      <c r="YE21" s="90"/>
      <c r="YG21" s="50"/>
      <c r="YH21" s="50"/>
      <c r="YI21" s="4"/>
      <c r="YJ21" s="4"/>
      <c r="YK21" s="89" t="e">
        <f ca="1">"摘要："&amp;IF(COUNTIF(OFFSET(納品書まとめ!$A$1,YS2-1,21),"*✔*"),"",
OFFSET(納品書まとめ!$A$1,YS2-1,21))</f>
        <v>#VALUE!</v>
      </c>
      <c r="YL21" s="90"/>
      <c r="YM21" s="90"/>
      <c r="YN21" s="90"/>
      <c r="YO21" s="90"/>
      <c r="YP21" s="90"/>
      <c r="YR21" s="50"/>
      <c r="YS21" s="50"/>
      <c r="YT21" s="4"/>
      <c r="YU21" s="4"/>
      <c r="YV21" s="89" t="e">
        <f ca="1">"摘要："&amp;IF(COUNTIF(OFFSET(納品書まとめ!$A$1,ZD2-1,21),"*✔*"),"",
OFFSET(納品書まとめ!$A$1,ZD2-1,21))</f>
        <v>#VALUE!</v>
      </c>
      <c r="YW21" s="90"/>
      <c r="YX21" s="90"/>
      <c r="YY21" s="90"/>
      <c r="YZ21" s="90"/>
      <c r="ZA21" s="90"/>
      <c r="ZC21" s="50"/>
      <c r="ZD21" s="50"/>
      <c r="ZE21" s="4"/>
      <c r="ZF21" s="4"/>
      <c r="ZG21" s="89" t="e">
        <f ca="1">"摘要："&amp;IF(COUNTIF(OFFSET(納品書まとめ!$A$1,ZO2-1,21),"*✔*"),"",
OFFSET(納品書まとめ!$A$1,ZO2-1,21))</f>
        <v>#VALUE!</v>
      </c>
      <c r="ZH21" s="90"/>
      <c r="ZI21" s="90"/>
      <c r="ZJ21" s="90"/>
      <c r="ZK21" s="90"/>
      <c r="ZL21" s="90"/>
      <c r="ZN21" s="50"/>
      <c r="ZO21" s="50"/>
      <c r="ZP21" s="4"/>
      <c r="ZQ21" s="4"/>
      <c r="ZR21" s="89" t="e">
        <f ca="1">"摘要："&amp;IF(COUNTIF(OFFSET(納品書まとめ!$A$1,ZZ2-1,21),"*✔*"),"",
OFFSET(納品書まとめ!$A$1,ZZ2-1,21))</f>
        <v>#VALUE!</v>
      </c>
      <c r="ZS21" s="90"/>
      <c r="ZT21" s="90"/>
      <c r="ZU21" s="90"/>
      <c r="ZV21" s="90"/>
      <c r="ZW21" s="90"/>
      <c r="ZY21" s="50"/>
      <c r="ZZ21" s="50"/>
      <c r="AAA21" s="4"/>
      <c r="AAB21" s="4"/>
      <c r="AAC21" s="89" t="e">
        <f ca="1">"摘要："&amp;IF(COUNTIF(OFFSET(納品書まとめ!$A$1,AAK2-1,21),"*✔*"),"",
OFFSET(納品書まとめ!$A$1,AAK2-1,21))</f>
        <v>#VALUE!</v>
      </c>
      <c r="AAD21" s="90"/>
      <c r="AAE21" s="90"/>
      <c r="AAF21" s="90"/>
      <c r="AAG21" s="90"/>
      <c r="AAH21" s="90"/>
      <c r="AAJ21" s="50"/>
      <c r="AAK21" s="50"/>
      <c r="AAL21" s="4"/>
      <c r="AAM21" s="4"/>
      <c r="AAN21" s="89" t="e">
        <f ca="1">"摘要："&amp;IF(COUNTIF(OFFSET(納品書まとめ!$A$1,AAV2-1,21),"*✔*"),"",
OFFSET(納品書まとめ!$A$1,AAV2-1,21))</f>
        <v>#VALUE!</v>
      </c>
      <c r="AAO21" s="90"/>
      <c r="AAP21" s="90"/>
      <c r="AAQ21" s="90"/>
      <c r="AAR21" s="90"/>
      <c r="AAS21" s="90"/>
      <c r="AAU21" s="50"/>
      <c r="AAV21" s="50"/>
      <c r="AAW21" s="4"/>
      <c r="AAX21" s="4"/>
      <c r="AAY21" s="89" t="e">
        <f ca="1">"摘要："&amp;IF(COUNTIF(OFFSET(納品書まとめ!$A$1,ABG2-1,21),"*✔*"),"",
OFFSET(納品書まとめ!$A$1,ABG2-1,21))</f>
        <v>#VALUE!</v>
      </c>
      <c r="AAZ21" s="90"/>
      <c r="ABA21" s="90"/>
      <c r="ABB21" s="90"/>
      <c r="ABC21" s="90"/>
      <c r="ABD21" s="90"/>
      <c r="ABF21" s="50"/>
      <c r="ABG21" s="50"/>
      <c r="ABH21" s="4"/>
      <c r="ABI21" s="4"/>
      <c r="ABJ21" s="89" t="e">
        <f ca="1">"摘要："&amp;IF(COUNTIF(OFFSET(納品書まとめ!$A$1,ABR2-1,21),"*✔*"),"",
OFFSET(納品書まとめ!$A$1,ABR2-1,21))</f>
        <v>#VALUE!</v>
      </c>
      <c r="ABK21" s="90"/>
      <c r="ABL21" s="90"/>
      <c r="ABM21" s="90"/>
      <c r="ABN21" s="90"/>
      <c r="ABO21" s="90"/>
      <c r="ABQ21" s="50"/>
      <c r="ABR21" s="50"/>
      <c r="ABS21" s="4"/>
      <c r="ABT21" s="4"/>
      <c r="ABU21" s="89" t="e">
        <f ca="1">"摘要："&amp;IF(COUNTIF(OFFSET(納品書まとめ!$A$1,ACC2-1,21),"*✔*"),"",
OFFSET(納品書まとめ!$A$1,ACC2-1,21))</f>
        <v>#VALUE!</v>
      </c>
      <c r="ABV21" s="90"/>
      <c r="ABW21" s="90"/>
      <c r="ABX21" s="90"/>
      <c r="ABY21" s="90"/>
      <c r="ABZ21" s="90"/>
      <c r="ACB21" s="50"/>
      <c r="ACC21" s="50"/>
      <c r="ACD21" s="4"/>
      <c r="ACE21" s="4"/>
      <c r="ACF21" s="89" t="e">
        <f ca="1">"摘要："&amp;IF(COUNTIF(OFFSET(納品書まとめ!$A$1,ACN2-1,21),"*✔*"),"",
OFFSET(納品書まとめ!$A$1,ACN2-1,21))</f>
        <v>#VALUE!</v>
      </c>
      <c r="ACG21" s="90"/>
      <c r="ACH21" s="90"/>
      <c r="ACI21" s="90"/>
      <c r="ACJ21" s="90"/>
      <c r="ACK21" s="90"/>
      <c r="ACM21" s="50"/>
      <c r="ACN21" s="50"/>
      <c r="ACO21" s="4"/>
      <c r="ACP21" s="4"/>
      <c r="ACQ21" s="89" t="e">
        <f ca="1">"摘要："&amp;IF(COUNTIF(OFFSET(納品書まとめ!$A$1,ACY2-1,21),"*✔*"),"",
OFFSET(納品書まとめ!$A$1,ACY2-1,21))</f>
        <v>#VALUE!</v>
      </c>
      <c r="ACR21" s="90"/>
      <c r="ACS21" s="90"/>
      <c r="ACT21" s="90"/>
      <c r="ACU21" s="90"/>
      <c r="ACV21" s="90"/>
      <c r="ACX21" s="50"/>
      <c r="ACY21" s="50"/>
      <c r="ACZ21" s="4"/>
      <c r="ADA21" s="4"/>
      <c r="ADB21" s="89" t="e">
        <f ca="1">"摘要："&amp;IF(COUNTIF(OFFSET(納品書まとめ!$A$1,ADJ2-1,21),"*✔*"),"",
OFFSET(納品書まとめ!$A$1,ADJ2-1,21))</f>
        <v>#VALUE!</v>
      </c>
      <c r="ADC21" s="90"/>
      <c r="ADD21" s="90"/>
      <c r="ADE21" s="90"/>
      <c r="ADF21" s="90"/>
      <c r="ADG21" s="90"/>
      <c r="ADI21" s="50"/>
      <c r="ADJ21" s="50"/>
    </row>
    <row r="22" spans="1:793" x14ac:dyDescent="0.45">
      <c r="A22" s="38"/>
      <c r="B22" s="38"/>
      <c r="C22" s="38"/>
      <c r="D22" s="38"/>
      <c r="E22" s="38"/>
      <c r="H22" s="93"/>
      <c r="I22" s="93"/>
      <c r="L22" s="38"/>
      <c r="M22" s="38"/>
      <c r="N22" s="38"/>
      <c r="O22" s="38"/>
      <c r="P22" s="38"/>
      <c r="S22" s="93"/>
      <c r="T22" s="93"/>
      <c r="W22"/>
      <c r="Y22"/>
      <c r="AA22"/>
      <c r="AD22" s="51"/>
      <c r="AE22" s="51"/>
      <c r="AH22" s="38"/>
      <c r="AI22" s="38"/>
      <c r="AJ22" s="38"/>
      <c r="AK22" s="38"/>
      <c r="AL22" s="38"/>
      <c r="AO22" s="51"/>
      <c r="AP22" s="51"/>
      <c r="AS22"/>
      <c r="AU22"/>
      <c r="AW22"/>
      <c r="AZ22" s="51"/>
      <c r="BA22" s="51"/>
      <c r="BD22" s="38"/>
      <c r="BE22" s="38"/>
      <c r="BF22" s="38"/>
      <c r="BG22" s="38"/>
      <c r="BH22" s="38"/>
      <c r="BK22" s="51"/>
      <c r="BL22" s="51"/>
      <c r="BO22"/>
      <c r="BQ22"/>
      <c r="BS22"/>
      <c r="BV22" s="51"/>
      <c r="BW22" s="51"/>
      <c r="BZ22" s="38"/>
      <c r="CA22" s="38"/>
      <c r="CB22" s="38"/>
      <c r="CC22" s="38"/>
      <c r="CD22" s="38"/>
      <c r="CG22" s="51"/>
      <c r="CH22" s="51"/>
      <c r="CK22"/>
      <c r="CM22"/>
      <c r="CO22"/>
      <c r="CR22" s="51"/>
      <c r="CS22" s="51"/>
      <c r="CV22" s="38"/>
      <c r="CW22" s="38"/>
      <c r="CX22" s="38"/>
      <c r="CY22" s="38"/>
      <c r="CZ22" s="38"/>
      <c r="DC22" s="51"/>
      <c r="DD22" s="51"/>
      <c r="DG22"/>
      <c r="DI22"/>
      <c r="DK22"/>
      <c r="DN22" s="51"/>
      <c r="DO22" s="51"/>
      <c r="DR22" s="38"/>
      <c r="DS22" s="38"/>
      <c r="DT22" s="38"/>
      <c r="DU22" s="38"/>
      <c r="DV22" s="38"/>
      <c r="DY22" s="51"/>
      <c r="DZ22" s="51"/>
      <c r="EC22"/>
      <c r="EE22"/>
      <c r="EG22"/>
      <c r="EJ22" s="51"/>
      <c r="EK22" s="51"/>
      <c r="EN22" s="38"/>
      <c r="EO22" s="38"/>
      <c r="EP22" s="38"/>
      <c r="EQ22" s="38"/>
      <c r="ER22" s="38"/>
      <c r="EU22" s="51"/>
      <c r="EV22" s="51"/>
      <c r="EY22"/>
      <c r="FA22"/>
      <c r="FC22"/>
      <c r="FF22" s="51"/>
      <c r="FG22" s="51"/>
      <c r="FJ22" s="38"/>
      <c r="FK22" s="38"/>
      <c r="FL22" s="38"/>
      <c r="FM22" s="38"/>
      <c r="FN22" s="38"/>
      <c r="FQ22" s="51"/>
      <c r="FR22" s="51"/>
      <c r="FU22"/>
      <c r="FW22"/>
      <c r="FY22"/>
      <c r="GB22" s="51"/>
      <c r="GC22" s="51"/>
      <c r="GF22" s="38"/>
      <c r="GG22" s="38"/>
      <c r="GH22" s="38"/>
      <c r="GI22" s="38"/>
      <c r="GJ22" s="38"/>
      <c r="GM22" s="51"/>
      <c r="GN22" s="51"/>
      <c r="GQ22"/>
      <c r="GS22"/>
      <c r="GU22"/>
      <c r="GX22" s="51"/>
      <c r="GY22" s="51"/>
      <c r="HB22" s="38"/>
      <c r="HC22" s="38"/>
      <c r="HD22" s="38"/>
      <c r="HE22" s="38"/>
      <c r="HF22" s="38"/>
      <c r="HI22" s="51"/>
      <c r="HJ22" s="51"/>
      <c r="HM22"/>
      <c r="HO22"/>
      <c r="HQ22"/>
      <c r="HT22" s="51"/>
      <c r="HU22" s="51"/>
      <c r="HX22" s="38"/>
      <c r="HY22" s="38"/>
      <c r="HZ22" s="38"/>
      <c r="IA22" s="38"/>
      <c r="IB22" s="38"/>
      <c r="IE22" s="51"/>
      <c r="IF22" s="51"/>
      <c r="II22"/>
      <c r="IK22"/>
      <c r="IM22"/>
      <c r="IP22" s="51"/>
      <c r="IQ22" s="51"/>
      <c r="IT22" s="38"/>
      <c r="IU22" s="38"/>
      <c r="IV22" s="38"/>
      <c r="IW22" s="38"/>
      <c r="IX22" s="38"/>
      <c r="JA22" s="51"/>
      <c r="JB22" s="51"/>
      <c r="JE22"/>
      <c r="JG22"/>
      <c r="JI22"/>
      <c r="JL22" s="51"/>
      <c r="JM22" s="51"/>
      <c r="JP22" s="38"/>
      <c r="JQ22" s="38"/>
      <c r="JR22" s="38"/>
      <c r="JS22" s="38"/>
      <c r="JT22" s="38"/>
      <c r="JW22" s="51"/>
      <c r="JX22" s="51"/>
      <c r="KA22"/>
      <c r="KC22"/>
      <c r="KE22"/>
      <c r="KH22" s="51"/>
      <c r="KI22" s="51"/>
      <c r="KL22" s="38"/>
      <c r="KM22" s="38"/>
      <c r="KN22" s="38"/>
      <c r="KO22" s="38"/>
      <c r="KP22" s="38"/>
      <c r="KS22" s="51"/>
      <c r="KT22" s="51"/>
      <c r="KW22"/>
      <c r="KY22"/>
      <c r="LA22"/>
      <c r="LD22" s="51"/>
      <c r="LE22" s="51"/>
      <c r="LH22" s="38"/>
      <c r="LI22" s="38"/>
      <c r="LJ22" s="38"/>
      <c r="LK22" s="38"/>
      <c r="LL22" s="38"/>
      <c r="LO22" s="51"/>
      <c r="LP22" s="51"/>
      <c r="LS22"/>
      <c r="LU22"/>
      <c r="LW22"/>
      <c r="LZ22" s="51"/>
      <c r="MA22" s="51"/>
      <c r="MD22" s="38"/>
      <c r="ME22" s="38"/>
      <c r="MF22" s="38"/>
      <c r="MG22" s="38"/>
      <c r="MH22" s="38"/>
      <c r="MK22" s="51"/>
      <c r="ML22" s="51"/>
      <c r="MO22"/>
      <c r="MQ22"/>
      <c r="MS22"/>
      <c r="MV22" s="51"/>
      <c r="MW22" s="51"/>
      <c r="MZ22" s="38"/>
      <c r="NA22" s="38"/>
      <c r="NB22" s="38"/>
      <c r="NC22" s="38"/>
      <c r="ND22" s="38"/>
      <c r="NG22" s="51"/>
      <c r="NH22" s="51"/>
      <c r="NK22"/>
      <c r="NM22"/>
      <c r="NO22"/>
      <c r="NR22" s="51"/>
      <c r="NS22" s="51"/>
      <c r="NV22" s="38"/>
      <c r="NW22" s="38"/>
      <c r="NX22" s="38"/>
      <c r="NY22" s="38"/>
      <c r="NZ22" s="38"/>
      <c r="OC22" s="51"/>
      <c r="OD22" s="51"/>
      <c r="OG22"/>
      <c r="OI22"/>
      <c r="OK22"/>
      <c r="ON22" s="51"/>
      <c r="OO22" s="51"/>
      <c r="OR22" s="38"/>
      <c r="OS22" s="38"/>
      <c r="OT22" s="38"/>
      <c r="OU22" s="38"/>
      <c r="OV22" s="38"/>
      <c r="OY22" s="51"/>
      <c r="OZ22" s="51"/>
      <c r="PC22"/>
      <c r="PE22"/>
      <c r="PG22"/>
      <c r="PJ22" s="51"/>
      <c r="PK22" s="51"/>
      <c r="PN22" s="38"/>
      <c r="PO22" s="38"/>
      <c r="PP22" s="38"/>
      <c r="PQ22" s="38"/>
      <c r="PR22" s="38"/>
      <c r="PU22" s="51"/>
      <c r="PV22" s="51"/>
      <c r="PY22"/>
      <c r="QA22"/>
      <c r="QC22"/>
      <c r="QF22" s="51"/>
      <c r="QG22" s="51"/>
      <c r="QJ22" s="38"/>
      <c r="QK22" s="38"/>
      <c r="QL22" s="38"/>
      <c r="QM22" s="38"/>
      <c r="QN22" s="38"/>
      <c r="QQ22" s="51"/>
      <c r="QR22" s="51"/>
      <c r="QU22"/>
      <c r="QW22"/>
      <c r="QY22"/>
      <c r="RB22" s="51"/>
      <c r="RC22" s="51"/>
      <c r="RF22" s="38"/>
      <c r="RG22" s="38"/>
      <c r="RH22" s="38"/>
      <c r="RI22" s="38"/>
      <c r="RJ22" s="38"/>
      <c r="RM22" s="51"/>
      <c r="RN22" s="51"/>
      <c r="RQ22"/>
      <c r="RS22"/>
      <c r="RU22"/>
      <c r="RX22" s="51"/>
      <c r="RY22" s="51"/>
      <c r="SB22" s="38"/>
      <c r="SC22" s="38"/>
      <c r="SD22" s="38"/>
      <c r="SE22" s="38"/>
      <c r="SF22" s="38"/>
      <c r="SI22" s="51"/>
      <c r="SJ22" s="51"/>
      <c r="SM22"/>
      <c r="SO22"/>
      <c r="SQ22"/>
      <c r="ST22" s="51"/>
      <c r="SU22" s="51"/>
      <c r="SX22" s="38"/>
      <c r="SY22" s="38"/>
      <c r="SZ22" s="38"/>
      <c r="TA22" s="38"/>
      <c r="TB22" s="38"/>
      <c r="TE22" s="51"/>
      <c r="TF22" s="51"/>
      <c r="TI22"/>
      <c r="TK22"/>
      <c r="TM22"/>
      <c r="TP22" s="51"/>
      <c r="TQ22" s="51"/>
      <c r="TT22" s="38"/>
      <c r="TU22" s="38"/>
      <c r="TV22" s="38"/>
      <c r="TW22" s="38"/>
      <c r="TX22" s="38"/>
      <c r="UA22" s="51"/>
      <c r="UB22" s="51"/>
      <c r="UE22"/>
      <c r="UG22"/>
      <c r="UI22"/>
      <c r="UL22" s="51"/>
      <c r="UM22" s="51"/>
      <c r="UP22" s="38"/>
      <c r="UQ22" s="38"/>
      <c r="UR22" s="38"/>
      <c r="US22" s="38"/>
      <c r="UT22" s="38"/>
      <c r="UW22" s="51"/>
      <c r="UX22" s="51"/>
      <c r="VA22"/>
      <c r="VC22"/>
      <c r="VE22"/>
      <c r="VH22" s="51"/>
      <c r="VI22" s="51"/>
      <c r="VL22" s="38"/>
      <c r="VM22" s="38"/>
      <c r="VN22" s="38"/>
      <c r="VO22" s="38"/>
      <c r="VP22" s="38"/>
      <c r="VS22" s="51"/>
      <c r="VT22" s="51"/>
      <c r="VW22"/>
      <c r="VY22"/>
      <c r="WA22"/>
      <c r="WD22" s="51"/>
      <c r="WE22" s="51"/>
      <c r="WH22" s="38"/>
      <c r="WI22" s="38"/>
      <c r="WJ22" s="38"/>
      <c r="WK22" s="38"/>
      <c r="WL22" s="38"/>
      <c r="WO22" s="51"/>
      <c r="WP22" s="51"/>
      <c r="WS22"/>
      <c r="WU22"/>
      <c r="WW22"/>
      <c r="WZ22" s="51"/>
      <c r="XA22" s="51"/>
      <c r="XD22" s="38"/>
      <c r="XE22" s="38"/>
      <c r="XF22" s="38"/>
      <c r="XG22" s="38"/>
      <c r="XH22" s="38"/>
      <c r="XK22" s="51"/>
      <c r="XL22" s="51"/>
      <c r="XO22"/>
      <c r="XQ22"/>
      <c r="XS22"/>
      <c r="XV22" s="51"/>
      <c r="XW22" s="51"/>
      <c r="XZ22" s="38"/>
      <c r="YA22" s="38"/>
      <c r="YB22" s="38"/>
      <c r="YC22" s="38"/>
      <c r="YD22" s="38"/>
      <c r="YG22" s="51"/>
      <c r="YH22" s="51"/>
      <c r="YK22"/>
      <c r="YM22"/>
      <c r="YO22"/>
      <c r="YR22" s="51"/>
      <c r="YS22" s="51"/>
      <c r="YV22" s="38"/>
      <c r="YW22" s="38"/>
      <c r="YX22" s="38"/>
      <c r="YY22" s="38"/>
      <c r="YZ22" s="38"/>
      <c r="ZC22" s="51"/>
      <c r="ZD22" s="51"/>
      <c r="ZG22"/>
      <c r="ZI22"/>
      <c r="ZK22"/>
      <c r="ZN22" s="51"/>
      <c r="ZO22" s="51"/>
      <c r="ZR22" s="38"/>
      <c r="ZS22" s="38"/>
      <c r="ZT22" s="38"/>
      <c r="ZU22" s="38"/>
      <c r="ZV22" s="38"/>
      <c r="ZY22" s="51"/>
      <c r="ZZ22" s="51"/>
      <c r="AAC22"/>
      <c r="AAE22"/>
      <c r="AAG22"/>
      <c r="AAJ22" s="51"/>
      <c r="AAK22" s="51"/>
      <c r="AAN22" s="38"/>
      <c r="AAO22" s="38"/>
      <c r="AAP22" s="38"/>
      <c r="AAQ22" s="38"/>
      <c r="AAR22" s="38"/>
      <c r="AAU22" s="51"/>
      <c r="AAV22" s="51"/>
      <c r="AAY22"/>
      <c r="ABA22"/>
      <c r="ABC22"/>
      <c r="ABF22" s="51"/>
      <c r="ABG22" s="51"/>
      <c r="ABJ22" s="38"/>
      <c r="ABK22" s="38"/>
      <c r="ABL22" s="38"/>
      <c r="ABM22" s="38"/>
      <c r="ABN22" s="38"/>
      <c r="ABQ22" s="51"/>
      <c r="ABR22" s="51"/>
      <c r="ABU22"/>
      <c r="ABW22"/>
      <c r="ABY22"/>
      <c r="ACB22" s="51"/>
      <c r="ACC22" s="51"/>
      <c r="ACF22" s="38"/>
      <c r="ACG22" s="38"/>
      <c r="ACH22" s="38"/>
      <c r="ACI22" s="38"/>
      <c r="ACJ22" s="38"/>
      <c r="ACM22" s="51"/>
      <c r="ACN22" s="51"/>
      <c r="ACQ22"/>
      <c r="ACS22"/>
      <c r="ACU22"/>
      <c r="ACX22" s="51"/>
      <c r="ACY22" s="51"/>
      <c r="ADB22" s="38"/>
      <c r="ADC22" s="38"/>
      <c r="ADD22" s="38"/>
      <c r="ADE22" s="38"/>
      <c r="ADF22" s="38"/>
      <c r="ADI22" s="51"/>
      <c r="ADJ22" s="51"/>
    </row>
    <row r="23" spans="1:793" ht="11.4" customHeight="1" x14ac:dyDescent="0.45">
      <c r="H23" s="94"/>
      <c r="I23" s="94"/>
      <c r="S23" s="94"/>
      <c r="T23" s="94"/>
      <c r="AD23" s="45"/>
      <c r="AE23" s="45"/>
      <c r="AO23" s="45"/>
      <c r="AP23" s="45"/>
      <c r="AZ23" s="45"/>
      <c r="BA23" s="45"/>
      <c r="BK23" s="45"/>
      <c r="BL23" s="45"/>
      <c r="BV23" s="45"/>
      <c r="BW23" s="45"/>
      <c r="CG23" s="45"/>
      <c r="CH23" s="45"/>
      <c r="CR23" s="45"/>
      <c r="CS23" s="45"/>
      <c r="DC23" s="45"/>
      <c r="DD23" s="45"/>
      <c r="DN23" s="45"/>
      <c r="DO23" s="45"/>
      <c r="DY23" s="45"/>
      <c r="DZ23" s="45"/>
      <c r="EJ23" s="45"/>
      <c r="EK23" s="45"/>
      <c r="EU23" s="45"/>
      <c r="EV23" s="45"/>
      <c r="FF23" s="45"/>
      <c r="FG23" s="45"/>
      <c r="FQ23" s="45"/>
      <c r="FR23" s="45"/>
      <c r="GB23" s="45"/>
      <c r="GC23" s="45"/>
      <c r="GM23" s="45"/>
      <c r="GN23" s="45"/>
      <c r="GX23" s="45"/>
      <c r="GY23" s="45"/>
      <c r="HI23" s="45"/>
      <c r="HJ23" s="45"/>
      <c r="HT23" s="45"/>
      <c r="HU23" s="45"/>
      <c r="IE23" s="45"/>
      <c r="IF23" s="45"/>
      <c r="IP23" s="45"/>
      <c r="IQ23" s="45"/>
      <c r="JA23" s="45"/>
      <c r="JB23" s="45"/>
      <c r="JL23" s="45"/>
      <c r="JM23" s="45"/>
      <c r="JW23" s="45"/>
      <c r="JX23" s="45"/>
      <c r="KH23" s="45"/>
      <c r="KI23" s="45"/>
      <c r="KS23" s="45"/>
      <c r="KT23" s="45"/>
      <c r="LD23" s="45"/>
      <c r="LE23" s="45"/>
      <c r="LO23" s="45"/>
      <c r="LP23" s="45"/>
      <c r="LZ23" s="45"/>
      <c r="MA23" s="45"/>
      <c r="MK23" s="45"/>
      <c r="ML23" s="45"/>
      <c r="MV23" s="45"/>
      <c r="MW23" s="45"/>
      <c r="NG23" s="45"/>
      <c r="NH23" s="45"/>
      <c r="NR23" s="45"/>
      <c r="NS23" s="45"/>
      <c r="OC23" s="45"/>
      <c r="OD23" s="45"/>
      <c r="ON23" s="45"/>
      <c r="OO23" s="45"/>
      <c r="OY23" s="45"/>
      <c r="OZ23" s="45"/>
      <c r="PJ23" s="45"/>
      <c r="PK23" s="45"/>
      <c r="PU23" s="45"/>
      <c r="PV23" s="45"/>
      <c r="QF23" s="45"/>
      <c r="QG23" s="45"/>
      <c r="QQ23" s="45"/>
      <c r="QR23" s="45"/>
      <c r="RB23" s="45"/>
      <c r="RC23" s="45"/>
      <c r="RM23" s="45"/>
      <c r="RN23" s="45"/>
      <c r="RX23" s="45"/>
      <c r="RY23" s="45"/>
      <c r="SI23" s="45"/>
      <c r="SJ23" s="45"/>
      <c r="ST23" s="45"/>
      <c r="SU23" s="45"/>
      <c r="TE23" s="45"/>
      <c r="TF23" s="45"/>
      <c r="TP23" s="45"/>
      <c r="TQ23" s="45"/>
      <c r="UA23" s="45"/>
      <c r="UB23" s="45"/>
      <c r="UL23" s="45"/>
      <c r="UM23" s="45"/>
      <c r="UW23" s="45"/>
      <c r="UX23" s="45"/>
      <c r="VH23" s="45"/>
      <c r="VI23" s="45"/>
      <c r="VS23" s="45"/>
      <c r="VT23" s="45"/>
      <c r="WD23" s="45"/>
      <c r="WE23" s="45"/>
      <c r="WO23" s="45"/>
      <c r="WP23" s="45"/>
      <c r="WZ23" s="45"/>
      <c r="XA23" s="45"/>
      <c r="XK23" s="45"/>
      <c r="XL23" s="45"/>
      <c r="XV23" s="45"/>
      <c r="XW23" s="45"/>
      <c r="YG23" s="45"/>
      <c r="YH23" s="45"/>
      <c r="YR23" s="45"/>
      <c r="YS23" s="45"/>
      <c r="ZC23" s="45"/>
      <c r="ZD23" s="45"/>
      <c r="ZN23" s="45"/>
      <c r="ZO23" s="45"/>
      <c r="ZY23" s="45"/>
      <c r="ZZ23" s="45"/>
      <c r="AAJ23" s="45"/>
      <c r="AAK23" s="45"/>
      <c r="AAU23" s="45"/>
      <c r="AAV23" s="45"/>
      <c r="ABF23" s="45"/>
      <c r="ABG23" s="45"/>
      <c r="ABQ23" s="45"/>
      <c r="ABR23" s="45"/>
      <c r="ACB23" s="45"/>
      <c r="ACC23" s="45"/>
      <c r="ACM23" s="45"/>
      <c r="ACN23" s="45"/>
      <c r="ACX23" s="45"/>
      <c r="ACY23" s="45"/>
      <c r="ADI23" s="45"/>
      <c r="ADJ23" s="45"/>
    </row>
    <row r="24" spans="1:793" ht="18.600000000000001" customHeight="1" x14ac:dyDescent="0.45">
      <c r="H24" s="78"/>
      <c r="I24" s="78"/>
      <c r="J24" s="4"/>
      <c r="K24" s="4"/>
      <c r="S24" s="4"/>
      <c r="T24" s="4"/>
      <c r="U24" s="4"/>
      <c r="V24" s="4"/>
      <c r="AD24" s="4"/>
      <c r="AE24" s="4"/>
      <c r="AF24" s="4"/>
      <c r="AG24" s="4"/>
      <c r="AO24" s="4"/>
      <c r="AP24" s="4"/>
      <c r="AQ24" s="4"/>
      <c r="AR24" s="4"/>
      <c r="AZ24" s="4"/>
      <c r="BA24" s="4"/>
      <c r="BB24" s="4"/>
      <c r="BC24" s="4"/>
      <c r="BK24" s="4"/>
      <c r="BL24" s="4"/>
      <c r="BM24" s="4"/>
      <c r="BN24" s="4"/>
      <c r="BV24" s="4"/>
      <c r="BW24" s="4"/>
      <c r="BX24" s="4"/>
      <c r="BY24" s="4"/>
      <c r="CG24" s="4"/>
      <c r="CH24" s="4"/>
      <c r="CI24" s="4"/>
      <c r="CJ24" s="4"/>
      <c r="CR24" s="4"/>
      <c r="CS24" s="4"/>
      <c r="CT24" s="4"/>
      <c r="CU24" s="4"/>
      <c r="DC24" s="4"/>
      <c r="DD24" s="4"/>
      <c r="DE24" s="4"/>
      <c r="DF24" s="4"/>
      <c r="DN24" s="4"/>
      <c r="DO24" s="4"/>
      <c r="DP24" s="4"/>
      <c r="DQ24" s="4"/>
      <c r="DY24" s="4"/>
      <c r="DZ24" s="4"/>
      <c r="EA24" s="4"/>
      <c r="EB24" s="4"/>
      <c r="EJ24" s="4"/>
      <c r="EK24" s="4"/>
      <c r="EL24" s="4"/>
      <c r="EM24" s="4"/>
      <c r="EU24" s="4"/>
      <c r="EV24" s="4"/>
      <c r="EW24" s="4"/>
      <c r="EX24" s="4"/>
      <c r="FF24" s="4"/>
      <c r="FG24" s="4"/>
      <c r="FH24" s="4"/>
      <c r="FI24" s="4"/>
      <c r="FQ24" s="4"/>
      <c r="FR24" s="4"/>
      <c r="FS24" s="4"/>
      <c r="FT24" s="4"/>
      <c r="GB24" s="4"/>
      <c r="GC24" s="4"/>
      <c r="GD24" s="4"/>
      <c r="GE24" s="4"/>
      <c r="GM24" s="4"/>
      <c r="GN24" s="4"/>
      <c r="GO24" s="4"/>
      <c r="GP24" s="4"/>
      <c r="GX24" s="4"/>
      <c r="GY24" s="4"/>
      <c r="GZ24" s="4"/>
      <c r="HA24" s="4"/>
      <c r="HI24" s="4"/>
      <c r="HJ24" s="4"/>
      <c r="HK24" s="4"/>
      <c r="HL24" s="4"/>
      <c r="HT24" s="4"/>
      <c r="HU24" s="4"/>
      <c r="HV24" s="4"/>
      <c r="HW24" s="4"/>
      <c r="IE24" s="4"/>
      <c r="IF24" s="4"/>
      <c r="IG24" s="4"/>
      <c r="IH24" s="4"/>
      <c r="IP24" s="4"/>
      <c r="IQ24" s="4"/>
      <c r="IR24" s="4"/>
      <c r="IS24" s="4"/>
      <c r="JA24" s="4"/>
      <c r="JB24" s="4"/>
      <c r="JC24" s="4"/>
      <c r="JD24" s="4"/>
      <c r="JL24" s="4"/>
      <c r="JM24" s="4"/>
      <c r="JN24" s="4"/>
      <c r="JO24" s="4"/>
      <c r="JW24" s="4"/>
      <c r="JX24" s="4"/>
      <c r="JY24" s="4"/>
      <c r="JZ24" s="4"/>
      <c r="KH24" s="4"/>
      <c r="KI24" s="4"/>
      <c r="KJ24" s="4"/>
      <c r="KK24" s="4"/>
      <c r="KS24" s="4"/>
      <c r="KT24" s="4"/>
      <c r="KU24" s="4"/>
      <c r="KV24" s="4"/>
      <c r="LD24" s="4"/>
      <c r="LE24" s="4"/>
      <c r="LF24" s="4"/>
      <c r="LG24" s="4"/>
      <c r="LO24" s="4"/>
      <c r="LP24" s="4"/>
      <c r="LQ24" s="4"/>
      <c r="LR24" s="4"/>
      <c r="LZ24" s="4"/>
      <c r="MA24" s="4"/>
      <c r="MB24" s="4"/>
      <c r="MC24" s="4"/>
      <c r="MK24" s="4"/>
      <c r="ML24" s="4"/>
      <c r="MM24" s="4"/>
      <c r="MN24" s="4"/>
      <c r="MV24" s="4"/>
      <c r="MW24" s="4"/>
      <c r="MX24" s="4"/>
      <c r="MY24" s="4"/>
      <c r="NG24" s="4"/>
      <c r="NH24" s="4"/>
      <c r="NI24" s="4"/>
      <c r="NJ24" s="4"/>
      <c r="NR24" s="4"/>
      <c r="NS24" s="4"/>
      <c r="NT24" s="4"/>
      <c r="NU24" s="4"/>
      <c r="OC24" s="4"/>
      <c r="OD24" s="4"/>
      <c r="OE24" s="4"/>
      <c r="OF24" s="4"/>
      <c r="ON24" s="4"/>
      <c r="OO24" s="4"/>
      <c r="OP24" s="4"/>
      <c r="OQ24" s="4"/>
      <c r="OY24" s="4"/>
      <c r="OZ24" s="4"/>
      <c r="PA24" s="4"/>
      <c r="PB24" s="4"/>
      <c r="PJ24" s="4"/>
      <c r="PK24" s="4"/>
      <c r="PL24" s="4"/>
      <c r="PM24" s="4"/>
      <c r="PU24" s="4"/>
      <c r="PV24" s="4"/>
      <c r="PW24" s="4"/>
      <c r="PX24" s="4"/>
      <c r="QF24" s="4"/>
      <c r="QG24" s="4"/>
      <c r="QH24" s="4"/>
      <c r="QI24" s="4"/>
      <c r="QQ24" s="4"/>
      <c r="QR24" s="4"/>
      <c r="QS24" s="4"/>
      <c r="QT24" s="4"/>
      <c r="RB24" s="4"/>
      <c r="RC24" s="4"/>
      <c r="RD24" s="4"/>
      <c r="RE24" s="4"/>
      <c r="RM24" s="4"/>
      <c r="RN24" s="4"/>
      <c r="RO24" s="4"/>
      <c r="RP24" s="4"/>
      <c r="RX24" s="4"/>
      <c r="RY24" s="4"/>
      <c r="RZ24" s="4"/>
      <c r="SA24" s="4"/>
      <c r="SI24" s="4"/>
      <c r="SJ24" s="4"/>
      <c r="SK24" s="4"/>
      <c r="SL24" s="4"/>
      <c r="ST24" s="4"/>
      <c r="SU24" s="4"/>
      <c r="SV24" s="4"/>
      <c r="SW24" s="4"/>
      <c r="TE24" s="4"/>
      <c r="TF24" s="4"/>
      <c r="TG24" s="4"/>
      <c r="TH24" s="4"/>
      <c r="TP24" s="4"/>
      <c r="TQ24" s="4"/>
      <c r="TR24" s="4"/>
      <c r="TS24" s="4"/>
      <c r="UA24" s="4"/>
      <c r="UB24" s="4"/>
      <c r="UC24" s="4"/>
      <c r="UD24" s="4"/>
      <c r="UL24" s="4"/>
      <c r="UM24" s="4"/>
      <c r="UN24" s="4"/>
      <c r="UO24" s="4"/>
      <c r="UW24" s="4"/>
      <c r="UX24" s="4"/>
      <c r="UY24" s="4"/>
      <c r="UZ24" s="4"/>
      <c r="VH24" s="4"/>
      <c r="VI24" s="4"/>
      <c r="VJ24" s="4"/>
      <c r="VK24" s="4"/>
      <c r="VS24" s="4"/>
      <c r="VT24" s="4"/>
      <c r="VU24" s="4"/>
      <c r="VV24" s="4"/>
      <c r="WD24" s="4"/>
      <c r="WE24" s="4"/>
      <c r="WF24" s="4"/>
      <c r="WG24" s="4"/>
      <c r="WO24" s="4"/>
      <c r="WP24" s="4"/>
      <c r="WQ24" s="4"/>
      <c r="WR24" s="4"/>
      <c r="WZ24" s="4"/>
      <c r="XA24" s="4"/>
      <c r="XB24" s="4"/>
      <c r="XC24" s="4"/>
      <c r="XK24" s="4"/>
      <c r="XL24" s="4"/>
      <c r="XM24" s="4"/>
      <c r="XN24" s="4"/>
      <c r="XV24" s="4"/>
      <c r="XW24" s="4"/>
      <c r="XX24" s="4"/>
      <c r="XY24" s="4"/>
      <c r="YG24" s="4"/>
      <c r="YH24" s="4"/>
      <c r="YI24" s="4"/>
      <c r="YJ24" s="4"/>
      <c r="YR24" s="4"/>
      <c r="YS24" s="4"/>
      <c r="YT24" s="4"/>
      <c r="YU24" s="4"/>
      <c r="ZC24" s="4"/>
      <c r="ZD24" s="4"/>
      <c r="ZE24" s="4"/>
      <c r="ZF24" s="4"/>
      <c r="ZN24" s="4"/>
      <c r="ZO24" s="4"/>
      <c r="ZP24" s="4"/>
      <c r="ZQ24" s="4"/>
      <c r="ZY24" s="4"/>
      <c r="ZZ24" s="4"/>
      <c r="AAA24" s="4"/>
      <c r="AAB24" s="4"/>
      <c r="AAJ24" s="4"/>
      <c r="AAK24" s="4"/>
      <c r="AAL24" s="4"/>
      <c r="AAM24" s="4"/>
      <c r="AAU24" s="4"/>
      <c r="AAV24" s="4"/>
      <c r="AAW24" s="4"/>
      <c r="AAX24" s="4"/>
      <c r="ABF24" s="4"/>
      <c r="ABG24" s="4"/>
      <c r="ABH24" s="4"/>
      <c r="ABI24" s="4"/>
      <c r="ABQ24" s="4"/>
      <c r="ABR24" s="4"/>
      <c r="ABS24" s="4"/>
      <c r="ABT24" s="4"/>
      <c r="ACB24" s="4"/>
      <c r="ACC24" s="4"/>
      <c r="ACD24" s="4"/>
      <c r="ACE24" s="4"/>
      <c r="ACM24" s="4"/>
      <c r="ACN24" s="4"/>
      <c r="ACO24" s="4"/>
      <c r="ACP24" s="4"/>
      <c r="ACX24" s="4"/>
      <c r="ACY24" s="4"/>
      <c r="ACZ24" s="4"/>
      <c r="ADA24" s="4"/>
      <c r="ADI24" s="4"/>
      <c r="ADJ24" s="4"/>
    </row>
    <row r="25" spans="1:793" ht="18.600000000000001" customHeight="1" x14ac:dyDescent="0.45"/>
    <row r="26" spans="1:793" x14ac:dyDescent="0.45">
      <c r="A26" t="s">
        <v>4006</v>
      </c>
      <c r="B26" t="str">
        <f ca="1">B1</f>
        <v>5102</v>
      </c>
      <c r="D26" s="87" t="s">
        <v>4019</v>
      </c>
      <c r="E26" s="86"/>
      <c r="F26" s="86"/>
      <c r="G26" s="88"/>
      <c r="H26" s="68" t="str">
        <f ca="1">IFERROR(
IF(AND(VALUE(OFFSET(#REF!,I1+1-1,0))&gt;29999,VALUE(OFFSET(#REF!,I1+1-1,0))&lt;39999),
IF(AND(VALUE(OFFSET(#REF!,I1+1,0))&gt;29999,VALUE(OFFSET(#REF!,I1+1-1,0))&lt;39999),
IF(AND(VALUE(OFFSET(#REF!,I1+2,0))&gt;29999,VALUE(OFFSET(#REF!,I1+2,0))&lt;39999),
IF(AND(VALUE(OFFSET(#REF!,I1+3,0))&gt;29999,VALUE(OFFSET(#REF!,I1+3,0))&lt;39999),
IF(AND(VALUE(OFFSET(#REF!,I1+4,0))&gt;29999,VALUE(OFFSET(#REF!,I1+4,0))&lt;39999),
IF(AND(VALUE(OFFSET(#REF!,I1+5,0))&gt;29999,VALUE(OFFSET(#REF!,I1+5,0))&lt;39999),
IF(AND(VALUE(OFFSET(#REF!,I1+6,0))&gt;29999,VALUE(OFFSET(#REF!,I1+6,0))&lt;39999),I1+8,I1+7),I1+6),I1+5),I1+4),I1+3),I1+2),I1+1),"")</f>
        <v/>
      </c>
      <c r="I26" s="68" t="str">
        <f ca="1">IFERROR(
H26+IF(OFFSET(#REF!,H26-1,2)&lt;&gt;"",0,1),"")</f>
        <v/>
      </c>
      <c r="L26" t="s">
        <v>4006</v>
      </c>
      <c r="M26" t="str">
        <f ca="1">M1</f>
        <v>18600</v>
      </c>
      <c r="O26" s="87" t="s">
        <v>4019</v>
      </c>
      <c r="P26" s="86"/>
      <c r="Q26" s="86"/>
      <c r="R26" s="88"/>
      <c r="S26" s="68" t="str">
        <f ca="1">IFERROR(
IF(AND(VALUE(OFFSET(#REF!,T1+1-1,0))&gt;29999,VALUE(OFFSET(#REF!,T1+1-1,0))&lt;39999),
IF(AND(VALUE(OFFSET(#REF!,T1+1,0))&gt;29999,VALUE(OFFSET(#REF!,T1+1-1,0))&lt;39999),
IF(AND(VALUE(OFFSET(#REF!,T1+2,0))&gt;29999,VALUE(OFFSET(#REF!,T1+2,0))&lt;39999),
IF(AND(VALUE(OFFSET(#REF!,T1+3,0))&gt;29999,VALUE(OFFSET(#REF!,T1+3,0))&lt;39999),
IF(AND(VALUE(OFFSET(#REF!,T1+4,0))&gt;29999,VALUE(OFFSET(#REF!,T1+4,0))&lt;39999),
IF(AND(VALUE(OFFSET(#REF!,T1+5,0))&gt;29999,VALUE(OFFSET(#REF!,T1+5,0))&lt;39999),
IF(AND(VALUE(OFFSET(#REF!,T1+6,0))&gt;29999,VALUE(OFFSET(#REF!,T1+6,0))&lt;39999),T1+8,T1+7),T1+6),T1+5),T1+4),T1+3),T1+2),T1+1),"")</f>
        <v/>
      </c>
      <c r="T26" s="68" t="str">
        <f ca="1">IFERROR(
S26+IF(OFFSET(#REF!,S26-1,2)&lt;&gt;"",0,1),"")</f>
        <v/>
      </c>
      <c r="W26" t="s">
        <v>4006</v>
      </c>
      <c r="X26" t="str">
        <f ca="1">X1</f>
        <v>19700</v>
      </c>
      <c r="Z26" s="87" t="s">
        <v>4019</v>
      </c>
      <c r="AA26" s="86"/>
      <c r="AB26" s="86"/>
      <c r="AC26" s="88"/>
      <c r="AD26" s="68" t="str">
        <f ca="1">IFERROR(
IF(AND(VALUE(OFFSET(#REF!,AE1+1-1,0))&gt;29999,VALUE(OFFSET(#REF!,AE1+1-1,0))&lt;39999),
IF(AND(VALUE(OFFSET(#REF!,AE1+1,0))&gt;29999,VALUE(OFFSET(#REF!,AE1+1-1,0))&lt;39999),
IF(AND(VALUE(OFFSET(#REF!,AE1+2,0))&gt;29999,VALUE(OFFSET(#REF!,AE1+2,0))&lt;39999),
IF(AND(VALUE(OFFSET(#REF!,AE1+3,0))&gt;29999,VALUE(OFFSET(#REF!,AE1+3,0))&lt;39999),
IF(AND(VALUE(OFFSET(#REF!,AE1+4,0))&gt;29999,VALUE(OFFSET(#REF!,AE1+4,0))&lt;39999),
IF(AND(VALUE(OFFSET(#REF!,AE1+5,0))&gt;29999,VALUE(OFFSET(#REF!,AE1+5,0))&lt;39999),
IF(AND(VALUE(OFFSET(#REF!,AE1+6,0))&gt;29999,VALUE(OFFSET(#REF!,AE1+6,0))&lt;39999),AE1+8,AE1+7),AE1+6),AE1+5),AE1+4),AE1+3),AE1+2),AE1+1),"")</f>
        <v/>
      </c>
      <c r="AE26" s="68" t="str">
        <f ca="1">IFERROR(
AD26+IF(OFFSET(#REF!,AD26-1,2)&lt;&gt;"",0,1),"")</f>
        <v/>
      </c>
      <c r="AH26" t="s">
        <v>4006</v>
      </c>
      <c r="AI26" t="str">
        <f ca="1">AI1</f>
        <v>200</v>
      </c>
      <c r="AK26" s="87" t="s">
        <v>4019</v>
      </c>
      <c r="AL26" s="86"/>
      <c r="AM26" s="86"/>
      <c r="AN26" s="88"/>
      <c r="AO26" s="68" t="str">
        <f ca="1">IFERROR(
IF(AND(VALUE(OFFSET(#REF!,AP1+1-1,0))&gt;29999,VALUE(OFFSET(#REF!,AP1+1-1,0))&lt;39999),
IF(AND(VALUE(OFFSET(#REF!,AP1+1,0))&gt;29999,VALUE(OFFSET(#REF!,AP1+1-1,0))&lt;39999),
IF(AND(VALUE(OFFSET(#REF!,AP1+2,0))&gt;29999,VALUE(OFFSET(#REF!,AP1+2,0))&lt;39999),
IF(AND(VALUE(OFFSET(#REF!,AP1+3,0))&gt;29999,VALUE(OFFSET(#REF!,AP1+3,0))&lt;39999),
IF(AND(VALUE(OFFSET(#REF!,AP1+4,0))&gt;29999,VALUE(OFFSET(#REF!,AP1+4,0))&lt;39999),
IF(AND(VALUE(OFFSET(#REF!,AP1+5,0))&gt;29999,VALUE(OFFSET(#REF!,AP1+5,0))&lt;39999),
IF(AND(VALUE(OFFSET(#REF!,AP1+6,0))&gt;29999,VALUE(OFFSET(#REF!,AP1+6,0))&lt;39999),AP1+8,AP1+7),AP1+6),AP1+5),AP1+4),AP1+3),AP1+2),AP1+1),"")</f>
        <v/>
      </c>
      <c r="AP26" s="68" t="str">
        <f ca="1">IFERROR(
AO26+IF(OFFSET(#REF!,AO26-1,2)&lt;&gt;"",0,1),"")</f>
        <v/>
      </c>
      <c r="AS26" t="s">
        <v>4006</v>
      </c>
      <c r="AT26" t="str">
        <f ca="1">AT1</f>
        <v>206</v>
      </c>
      <c r="AV26" s="87" t="s">
        <v>4019</v>
      </c>
      <c r="AW26" s="86"/>
      <c r="AX26" s="86"/>
      <c r="AY26" s="88"/>
      <c r="AZ26" s="68" t="str">
        <f ca="1">IFERROR(
IF(AND(VALUE(OFFSET(#REF!,BA1+1-1,0))&gt;29999,VALUE(OFFSET(#REF!,BA1+1-1,0))&lt;39999),
IF(AND(VALUE(OFFSET(#REF!,BA1+1,0))&gt;29999,VALUE(OFFSET(#REF!,BA1+1-1,0))&lt;39999),
IF(AND(VALUE(OFFSET(#REF!,BA1+2,0))&gt;29999,VALUE(OFFSET(#REF!,BA1+2,0))&lt;39999),
IF(AND(VALUE(OFFSET(#REF!,BA1+3,0))&gt;29999,VALUE(OFFSET(#REF!,BA1+3,0))&lt;39999),
IF(AND(VALUE(OFFSET(#REF!,BA1+4,0))&gt;29999,VALUE(OFFSET(#REF!,BA1+4,0))&lt;39999),
IF(AND(VALUE(OFFSET(#REF!,BA1+5,0))&gt;29999,VALUE(OFFSET(#REF!,BA1+5,0))&lt;39999),
IF(AND(VALUE(OFFSET(#REF!,BA1+6,0))&gt;29999,VALUE(OFFSET(#REF!,BA1+6,0))&lt;39999),BA1+8,BA1+7),BA1+6),BA1+5),BA1+4),BA1+3),BA1+2),BA1+1),"")</f>
        <v/>
      </c>
      <c r="BA26" s="68" t="str">
        <f ca="1">IFERROR(
AZ26+IF(OFFSET(#REF!,AZ26-1,2)&lt;&gt;"",0,1),"")</f>
        <v/>
      </c>
      <c r="BD26" t="s">
        <v>4006</v>
      </c>
      <c r="BE26" t="str">
        <f ca="1">BE1</f>
        <v>400</v>
      </c>
      <c r="BG26" s="87" t="s">
        <v>4019</v>
      </c>
      <c r="BH26" s="86"/>
      <c r="BI26" s="86"/>
      <c r="BJ26" s="88"/>
      <c r="BK26" s="68" t="str">
        <f ca="1">IFERROR(
IF(AND(VALUE(OFFSET(#REF!,BL1+1-1,0))&gt;29999,VALUE(OFFSET(#REF!,BL1+1-1,0))&lt;39999),
IF(AND(VALUE(OFFSET(#REF!,BL1+1,0))&gt;29999,VALUE(OFFSET(#REF!,BL1+1-1,0))&lt;39999),
IF(AND(VALUE(OFFSET(#REF!,BL1+2,0))&gt;29999,VALUE(OFFSET(#REF!,BL1+2,0))&lt;39999),
IF(AND(VALUE(OFFSET(#REF!,BL1+3,0))&gt;29999,VALUE(OFFSET(#REF!,BL1+3,0))&lt;39999),
IF(AND(VALUE(OFFSET(#REF!,BL1+4,0))&gt;29999,VALUE(OFFSET(#REF!,BL1+4,0))&lt;39999),
IF(AND(VALUE(OFFSET(#REF!,BL1+5,0))&gt;29999,VALUE(OFFSET(#REF!,BL1+5,0))&lt;39999),
IF(AND(VALUE(OFFSET(#REF!,BL1+6,0))&gt;29999,VALUE(OFFSET(#REF!,BL1+6,0))&lt;39999),BL1+8,BL1+7),BL1+6),BL1+5),BL1+4),BL1+3),BL1+2),BL1+1),"")</f>
        <v/>
      </c>
      <c r="BL26" s="68" t="str">
        <f ca="1">IFERROR(
BK26+IF(OFFSET(#REF!,BK26-1,2)&lt;&gt;"",0,1),"")</f>
        <v/>
      </c>
      <c r="BO26" t="s">
        <v>4006</v>
      </c>
      <c r="BP26" t="str">
        <f ca="1">BP1</f>
        <v>406</v>
      </c>
      <c r="BR26" s="87" t="s">
        <v>4019</v>
      </c>
      <c r="BS26" s="86"/>
      <c r="BT26" s="86"/>
      <c r="BU26" s="88"/>
      <c r="BV26" s="68" t="str">
        <f ca="1">IFERROR(
IF(AND(VALUE(OFFSET(#REF!,BW1+1-1,0))&gt;29999,VALUE(OFFSET(#REF!,BW1+1-1,0))&lt;39999),
IF(AND(VALUE(OFFSET(#REF!,BW1+1,0))&gt;29999,VALUE(OFFSET(#REF!,BW1+1-1,0))&lt;39999),
IF(AND(VALUE(OFFSET(#REF!,BW1+2,0))&gt;29999,VALUE(OFFSET(#REF!,BW1+2,0))&lt;39999),
IF(AND(VALUE(OFFSET(#REF!,BW1+3,0))&gt;29999,VALUE(OFFSET(#REF!,BW1+3,0))&lt;39999),
IF(AND(VALUE(OFFSET(#REF!,BW1+4,0))&gt;29999,VALUE(OFFSET(#REF!,BW1+4,0))&lt;39999),
IF(AND(VALUE(OFFSET(#REF!,BW1+5,0))&gt;29999,VALUE(OFFSET(#REF!,BW1+5,0))&lt;39999),
IF(AND(VALUE(OFFSET(#REF!,BW1+6,0))&gt;29999,VALUE(OFFSET(#REF!,BW1+6,0))&lt;39999),BW1+8,BW1+7),BW1+6),BW1+5),BW1+4),BW1+3),BW1+2),BW1+1),"")</f>
        <v/>
      </c>
      <c r="BW26" s="68" t="str">
        <f ca="1">IFERROR(
BV26+IF(OFFSET(#REF!,BV26-1,2)&lt;&gt;"",0,1),"")</f>
        <v/>
      </c>
      <c r="BZ26" t="s">
        <v>4006</v>
      </c>
      <c r="CA26" t="str">
        <f ca="1">CA1</f>
        <v>500</v>
      </c>
      <c r="CC26" s="87" t="s">
        <v>4019</v>
      </c>
      <c r="CD26" s="86"/>
      <c r="CE26" s="86"/>
      <c r="CF26" s="88"/>
      <c r="CG26" s="68" t="str">
        <f ca="1">IFERROR(
IF(AND(VALUE(OFFSET(#REF!,CH1+1-1,0))&gt;29999,VALUE(OFFSET(#REF!,CH1+1-1,0))&lt;39999),
IF(AND(VALUE(OFFSET(#REF!,CH1+1,0))&gt;29999,VALUE(OFFSET(#REF!,CH1+1-1,0))&lt;39999),
IF(AND(VALUE(OFFSET(#REF!,CH1+2,0))&gt;29999,VALUE(OFFSET(#REF!,CH1+2,0))&lt;39999),
IF(AND(VALUE(OFFSET(#REF!,CH1+3,0))&gt;29999,VALUE(OFFSET(#REF!,CH1+3,0))&lt;39999),
IF(AND(VALUE(OFFSET(#REF!,CH1+4,0))&gt;29999,VALUE(OFFSET(#REF!,CH1+4,0))&lt;39999),
IF(AND(VALUE(OFFSET(#REF!,CH1+5,0))&gt;29999,VALUE(OFFSET(#REF!,CH1+5,0))&lt;39999),
IF(AND(VALUE(OFFSET(#REF!,CH1+6,0))&gt;29999,VALUE(OFFSET(#REF!,CH1+6,0))&lt;39999),CH1+8,CH1+7),CH1+6),CH1+5),CH1+4),CH1+3),CH1+2),CH1+1),"")</f>
        <v/>
      </c>
      <c r="CH26" s="68" t="str">
        <f ca="1">IFERROR(
CG26+IF(OFFSET(#REF!,CG26-1,2)&lt;&gt;"",0,1),"")</f>
        <v/>
      </c>
      <c r="CK26" t="s">
        <v>4006</v>
      </c>
      <c r="CL26" t="str">
        <f ca="1">CL1</f>
        <v>506</v>
      </c>
      <c r="CN26" s="87" t="s">
        <v>4019</v>
      </c>
      <c r="CO26" s="86"/>
      <c r="CP26" s="86"/>
      <c r="CQ26" s="88"/>
      <c r="CR26" s="68" t="str">
        <f ca="1">IFERROR(
IF(AND(VALUE(OFFSET(#REF!,CS1+1-1,0))&gt;29999,VALUE(OFFSET(#REF!,CS1+1-1,0))&lt;39999),
IF(AND(VALUE(OFFSET(#REF!,CS1+1,0))&gt;29999,VALUE(OFFSET(#REF!,CS1+1-1,0))&lt;39999),
IF(AND(VALUE(OFFSET(#REF!,CS1+2,0))&gt;29999,VALUE(OFFSET(#REF!,CS1+2,0))&lt;39999),
IF(AND(VALUE(OFFSET(#REF!,CS1+3,0))&gt;29999,VALUE(OFFSET(#REF!,CS1+3,0))&lt;39999),
IF(AND(VALUE(OFFSET(#REF!,CS1+4,0))&gt;29999,VALUE(OFFSET(#REF!,CS1+4,0))&lt;39999),
IF(AND(VALUE(OFFSET(#REF!,CS1+5,0))&gt;29999,VALUE(OFFSET(#REF!,CS1+5,0))&lt;39999),
IF(AND(VALUE(OFFSET(#REF!,CS1+6,0))&gt;29999,VALUE(OFFSET(#REF!,CS1+6,0))&lt;39999),CS1+8,CS1+7),CS1+6),CS1+5),CS1+4),CS1+3),CS1+2),CS1+1),"")</f>
        <v/>
      </c>
      <c r="CS26" s="68" t="str">
        <f ca="1">IFERROR(
CR26+IF(OFFSET(#REF!,CR26-1,2)&lt;&gt;"",0,1),"")</f>
        <v/>
      </c>
      <c r="CV26" t="s">
        <v>4006</v>
      </c>
      <c r="CW26" t="str">
        <f ca="1">CW1</f>
        <v>13000</v>
      </c>
      <c r="CY26" s="87" t="s">
        <v>4019</v>
      </c>
      <c r="CZ26" s="86"/>
      <c r="DA26" s="86"/>
      <c r="DB26" s="88"/>
      <c r="DC26" s="68" t="str">
        <f ca="1">IFERROR(
IF(AND(VALUE(OFFSET(#REF!,DD1+1-1,0))&gt;29999,VALUE(OFFSET(#REF!,DD1+1-1,0))&lt;39999),
IF(AND(VALUE(OFFSET(#REF!,DD1+1,0))&gt;29999,VALUE(OFFSET(#REF!,DD1+1-1,0))&lt;39999),
IF(AND(VALUE(OFFSET(#REF!,DD1+2,0))&gt;29999,VALUE(OFFSET(#REF!,DD1+2,0))&lt;39999),
IF(AND(VALUE(OFFSET(#REF!,DD1+3,0))&gt;29999,VALUE(OFFSET(#REF!,DD1+3,0))&lt;39999),
IF(AND(VALUE(OFFSET(#REF!,DD1+4,0))&gt;29999,VALUE(OFFSET(#REF!,DD1+4,0))&lt;39999),
IF(AND(VALUE(OFFSET(#REF!,DD1+5,0))&gt;29999,VALUE(OFFSET(#REF!,DD1+5,0))&lt;39999),
IF(AND(VALUE(OFFSET(#REF!,DD1+6,0))&gt;29999,VALUE(OFFSET(#REF!,DD1+6,0))&lt;39999),DD1+8,DD1+7),DD1+6),DD1+5),DD1+4),DD1+3),DD1+2),DD1+1),"")</f>
        <v/>
      </c>
      <c r="DD26" s="68" t="str">
        <f ca="1">IFERROR(
DC26+IF(OFFSET(#REF!,DC26-1,2)&lt;&gt;"",0,1),"")</f>
        <v/>
      </c>
      <c r="DG26" t="s">
        <v>4006</v>
      </c>
      <c r="DH26" t="str">
        <f ca="1">DH1</f>
        <v>13002</v>
      </c>
      <c r="DJ26" s="87" t="s">
        <v>4019</v>
      </c>
      <c r="DK26" s="86"/>
      <c r="DL26" s="86"/>
      <c r="DM26" s="88"/>
      <c r="DN26" s="68" t="str">
        <f ca="1">IFERROR(
IF(AND(VALUE(OFFSET(#REF!,DO1+1-1,0))&gt;29999,VALUE(OFFSET(#REF!,DO1+1-1,0))&lt;39999),
IF(AND(VALUE(OFFSET(#REF!,DO1+1,0))&gt;29999,VALUE(OFFSET(#REF!,DO1+1-1,0))&lt;39999),
IF(AND(VALUE(OFFSET(#REF!,DO1+2,0))&gt;29999,VALUE(OFFSET(#REF!,DO1+2,0))&lt;39999),
IF(AND(VALUE(OFFSET(#REF!,DO1+3,0))&gt;29999,VALUE(OFFSET(#REF!,DO1+3,0))&lt;39999),
IF(AND(VALUE(OFFSET(#REF!,DO1+4,0))&gt;29999,VALUE(OFFSET(#REF!,DO1+4,0))&lt;39999),
IF(AND(VALUE(OFFSET(#REF!,DO1+5,0))&gt;29999,VALUE(OFFSET(#REF!,DO1+5,0))&lt;39999),
IF(AND(VALUE(OFFSET(#REF!,DO1+6,0))&gt;29999,VALUE(OFFSET(#REF!,DO1+6,0))&lt;39999),DO1+8,DO1+7),DO1+6),DO1+5),DO1+4),DO1+3),DO1+2),DO1+1),"")</f>
        <v/>
      </c>
      <c r="DO26" s="68" t="str">
        <f ca="1">IFERROR(
DN26+IF(OFFSET(#REF!,DN26-1,2)&lt;&gt;"",0,1),"")</f>
        <v/>
      </c>
      <c r="DR26" t="s">
        <v>4006</v>
      </c>
      <c r="DS26" t="str">
        <f ca="1">DS1</f>
        <v>13004</v>
      </c>
      <c r="DU26" s="87" t="s">
        <v>4019</v>
      </c>
      <c r="DV26" s="86"/>
      <c r="DW26" s="86"/>
      <c r="DX26" s="88"/>
      <c r="DY26" s="68" t="str">
        <f ca="1">IFERROR(
IF(AND(VALUE(OFFSET(#REF!,DZ1+1-1,0))&gt;29999,VALUE(OFFSET(#REF!,DZ1+1-1,0))&lt;39999),
IF(AND(VALUE(OFFSET(#REF!,DZ1+1,0))&gt;29999,VALUE(OFFSET(#REF!,DZ1+1-1,0))&lt;39999),
IF(AND(VALUE(OFFSET(#REF!,DZ1+2,0))&gt;29999,VALUE(OFFSET(#REF!,DZ1+2,0))&lt;39999),
IF(AND(VALUE(OFFSET(#REF!,DZ1+3,0))&gt;29999,VALUE(OFFSET(#REF!,DZ1+3,0))&lt;39999),
IF(AND(VALUE(OFFSET(#REF!,DZ1+4,0))&gt;29999,VALUE(OFFSET(#REF!,DZ1+4,0))&lt;39999),
IF(AND(VALUE(OFFSET(#REF!,DZ1+5,0))&gt;29999,VALUE(OFFSET(#REF!,DZ1+5,0))&lt;39999),
IF(AND(VALUE(OFFSET(#REF!,DZ1+6,0))&gt;29999,VALUE(OFFSET(#REF!,DZ1+6,0))&lt;39999),DZ1+8,DZ1+7),DZ1+6),DZ1+5),DZ1+4),DZ1+3),DZ1+2),DZ1+1),"")</f>
        <v/>
      </c>
      <c r="DZ26" s="68" t="str">
        <f ca="1">IFERROR(
DY26+IF(OFFSET(#REF!,DY26-1,2)&lt;&gt;"",0,1),"")</f>
        <v/>
      </c>
      <c r="EC26" t="s">
        <v>4006</v>
      </c>
      <c r="ED26" t="str">
        <f ca="1">ED1</f>
        <v>16300</v>
      </c>
      <c r="EF26" s="87" t="s">
        <v>4019</v>
      </c>
      <c r="EG26" s="86"/>
      <c r="EH26" s="86"/>
      <c r="EI26" s="88"/>
      <c r="EJ26" s="68" t="str">
        <f ca="1">IFERROR(
IF(AND(VALUE(OFFSET(#REF!,EK1+1-1,0))&gt;29999,VALUE(OFFSET(#REF!,EK1+1-1,0))&lt;39999),
IF(AND(VALUE(OFFSET(#REF!,EK1+1,0))&gt;29999,VALUE(OFFSET(#REF!,EK1+1-1,0))&lt;39999),
IF(AND(VALUE(OFFSET(#REF!,EK1+2,0))&gt;29999,VALUE(OFFSET(#REF!,EK1+2,0))&lt;39999),
IF(AND(VALUE(OFFSET(#REF!,EK1+3,0))&gt;29999,VALUE(OFFSET(#REF!,EK1+3,0))&lt;39999),
IF(AND(VALUE(OFFSET(#REF!,EK1+4,0))&gt;29999,VALUE(OFFSET(#REF!,EK1+4,0))&lt;39999),
IF(AND(VALUE(OFFSET(#REF!,EK1+5,0))&gt;29999,VALUE(OFFSET(#REF!,EK1+5,0))&lt;39999),
IF(AND(VALUE(OFFSET(#REF!,EK1+6,0))&gt;29999,VALUE(OFFSET(#REF!,EK1+6,0))&lt;39999),EK1+8,EK1+7),EK1+6),EK1+5),EK1+4),EK1+3),EK1+2),EK1+1),"")</f>
        <v/>
      </c>
      <c r="EK26" s="68" t="str">
        <f ca="1">IFERROR(
EJ26+IF(OFFSET(#REF!,EJ26-1,2)&lt;&gt;"",0,1),"")</f>
        <v/>
      </c>
      <c r="EN26" t="s">
        <v>4006</v>
      </c>
      <c r="EO26" t="str">
        <f ca="1">EO1</f>
        <v>600</v>
      </c>
      <c r="EQ26" s="87" t="s">
        <v>4019</v>
      </c>
      <c r="ER26" s="86"/>
      <c r="ES26" s="86"/>
      <c r="ET26" s="88"/>
      <c r="EU26" s="68" t="str">
        <f ca="1">IFERROR(
IF(AND(VALUE(OFFSET(#REF!,EV1+1-1,0))&gt;29999,VALUE(OFFSET(#REF!,EV1+1-1,0))&lt;39999),
IF(AND(VALUE(OFFSET(#REF!,EV1+1,0))&gt;29999,VALUE(OFFSET(#REF!,EV1+1-1,0))&lt;39999),
IF(AND(VALUE(OFFSET(#REF!,EV1+2,0))&gt;29999,VALUE(OFFSET(#REF!,EV1+2,0))&lt;39999),
IF(AND(VALUE(OFFSET(#REF!,EV1+3,0))&gt;29999,VALUE(OFFSET(#REF!,EV1+3,0))&lt;39999),
IF(AND(VALUE(OFFSET(#REF!,EV1+4,0))&gt;29999,VALUE(OFFSET(#REF!,EV1+4,0))&lt;39999),
IF(AND(VALUE(OFFSET(#REF!,EV1+5,0))&gt;29999,VALUE(OFFSET(#REF!,EV1+5,0))&lt;39999),
IF(AND(VALUE(OFFSET(#REF!,EV1+6,0))&gt;29999,VALUE(OFFSET(#REF!,EV1+6,0))&lt;39999),EV1+8,EV1+7),EV1+6),EV1+5),EV1+4),EV1+3),EV1+2),EV1+1),"")</f>
        <v/>
      </c>
      <c r="EV26" s="68" t="str">
        <f ca="1">IFERROR(
EU26+IF(OFFSET(#REF!,EU26-1,2)&lt;&gt;"",0,1),"")</f>
        <v/>
      </c>
      <c r="EY26" t="s">
        <v>4006</v>
      </c>
      <c r="EZ26" t="str">
        <f ca="1">EZ1</f>
        <v>606</v>
      </c>
      <c r="FB26" s="87" t="s">
        <v>4019</v>
      </c>
      <c r="FC26" s="86"/>
      <c r="FD26" s="86"/>
      <c r="FE26" s="88"/>
      <c r="FF26" s="68" t="str">
        <f ca="1">IFERROR(
IF(AND(VALUE(OFFSET(#REF!,FG1+1-1,0))&gt;29999,VALUE(OFFSET(#REF!,FG1+1-1,0))&lt;39999),
IF(AND(VALUE(OFFSET(#REF!,FG1+1,0))&gt;29999,VALUE(OFFSET(#REF!,FG1+1-1,0))&lt;39999),
IF(AND(VALUE(OFFSET(#REF!,FG1+2,0))&gt;29999,VALUE(OFFSET(#REF!,FG1+2,0))&lt;39999),
IF(AND(VALUE(OFFSET(#REF!,FG1+3,0))&gt;29999,VALUE(OFFSET(#REF!,FG1+3,0))&lt;39999),
IF(AND(VALUE(OFFSET(#REF!,FG1+4,0))&gt;29999,VALUE(OFFSET(#REF!,FG1+4,0))&lt;39999),
IF(AND(VALUE(OFFSET(#REF!,FG1+5,0))&gt;29999,VALUE(OFFSET(#REF!,FG1+5,0))&lt;39999),
IF(AND(VALUE(OFFSET(#REF!,FG1+6,0))&gt;29999,VALUE(OFFSET(#REF!,FG1+6,0))&lt;39999),FG1+8,FG1+7),FG1+6),FG1+5),FG1+4),FG1+3),FG1+2),FG1+1),"")</f>
        <v/>
      </c>
      <c r="FG26" s="68" t="str">
        <f ca="1">IFERROR(
FF26+IF(OFFSET(#REF!,FF26-1,2)&lt;&gt;"",0,1),"")</f>
        <v/>
      </c>
      <c r="FJ26" t="s">
        <v>4006</v>
      </c>
      <c r="FK26" t="str">
        <f ca="1">FK1</f>
        <v>700</v>
      </c>
      <c r="FM26" s="87" t="s">
        <v>4019</v>
      </c>
      <c r="FN26" s="86"/>
      <c r="FO26" s="86"/>
      <c r="FP26" s="88"/>
      <c r="FQ26" s="68" t="str">
        <f ca="1">IFERROR(
IF(AND(VALUE(OFFSET(#REF!,FR1+1-1,0))&gt;29999,VALUE(OFFSET(#REF!,FR1+1-1,0))&lt;39999),
IF(AND(VALUE(OFFSET(#REF!,FR1+1,0))&gt;29999,VALUE(OFFSET(#REF!,FR1+1-1,0))&lt;39999),
IF(AND(VALUE(OFFSET(#REF!,FR1+2,0))&gt;29999,VALUE(OFFSET(#REF!,FR1+2,0))&lt;39999),
IF(AND(VALUE(OFFSET(#REF!,FR1+3,0))&gt;29999,VALUE(OFFSET(#REF!,FR1+3,0))&lt;39999),
IF(AND(VALUE(OFFSET(#REF!,FR1+4,0))&gt;29999,VALUE(OFFSET(#REF!,FR1+4,0))&lt;39999),
IF(AND(VALUE(OFFSET(#REF!,FR1+5,0))&gt;29999,VALUE(OFFSET(#REF!,FR1+5,0))&lt;39999),
IF(AND(VALUE(OFFSET(#REF!,FR1+6,0))&gt;29999,VALUE(OFFSET(#REF!,FR1+6,0))&lt;39999),FR1+8,FR1+7),FR1+6),FR1+5),FR1+4),FR1+3),FR1+2),FR1+1),"")</f>
        <v/>
      </c>
      <c r="FR26" s="68" t="str">
        <f ca="1">IFERROR(
FQ26+IF(OFFSET(#REF!,FQ26-1,2)&lt;&gt;"",0,1),"")</f>
        <v/>
      </c>
      <c r="FU26" t="s">
        <v>4006</v>
      </c>
      <c r="FV26" t="str">
        <f ca="1">FV1</f>
        <v>706</v>
      </c>
      <c r="FX26" s="87" t="s">
        <v>4019</v>
      </c>
      <c r="FY26" s="86"/>
      <c r="FZ26" s="86"/>
      <c r="GA26" s="88"/>
      <c r="GB26" s="68" t="str">
        <f ca="1">IFERROR(
IF(AND(VALUE(OFFSET(#REF!,GC1+1-1,0))&gt;29999,VALUE(OFFSET(#REF!,GC1+1-1,0))&lt;39999),
IF(AND(VALUE(OFFSET(#REF!,GC1+1,0))&gt;29999,VALUE(OFFSET(#REF!,GC1+1-1,0))&lt;39999),
IF(AND(VALUE(OFFSET(#REF!,GC1+2,0))&gt;29999,VALUE(OFFSET(#REF!,GC1+2,0))&lt;39999),
IF(AND(VALUE(OFFSET(#REF!,GC1+3,0))&gt;29999,VALUE(OFFSET(#REF!,GC1+3,0))&lt;39999),
IF(AND(VALUE(OFFSET(#REF!,GC1+4,0))&gt;29999,VALUE(OFFSET(#REF!,GC1+4,0))&lt;39999),
IF(AND(VALUE(OFFSET(#REF!,GC1+5,0))&gt;29999,VALUE(OFFSET(#REF!,GC1+5,0))&lt;39999),
IF(AND(VALUE(OFFSET(#REF!,GC1+6,0))&gt;29999,VALUE(OFFSET(#REF!,GC1+6,0))&lt;39999),GC1+8,GC1+7),GC1+6),GC1+5),GC1+4),GC1+3),GC1+2),GC1+1),"")</f>
        <v/>
      </c>
      <c r="GC26" s="68" t="str">
        <f ca="1">IFERROR(
GB26+IF(OFFSET(#REF!,GB26-1,2)&lt;&gt;"",0,1),"")</f>
        <v/>
      </c>
      <c r="GF26" t="s">
        <v>4006</v>
      </c>
      <c r="GG26" t="str">
        <f ca="1">GG1</f>
        <v>2100</v>
      </c>
      <c r="GI26" s="87" t="s">
        <v>4019</v>
      </c>
      <c r="GJ26" s="86"/>
      <c r="GK26" s="86"/>
      <c r="GL26" s="88"/>
      <c r="GM26" s="68" t="str">
        <f ca="1">IFERROR(
IF(AND(VALUE(OFFSET(#REF!,GN1+1-1,0))&gt;29999,VALUE(OFFSET(#REF!,GN1+1-1,0))&lt;39999),
IF(AND(VALUE(OFFSET(#REF!,GN1+1,0))&gt;29999,VALUE(OFFSET(#REF!,GN1+1-1,0))&lt;39999),
IF(AND(VALUE(OFFSET(#REF!,GN1+2,0))&gt;29999,VALUE(OFFSET(#REF!,GN1+2,0))&lt;39999),
IF(AND(VALUE(OFFSET(#REF!,GN1+3,0))&gt;29999,VALUE(OFFSET(#REF!,GN1+3,0))&lt;39999),
IF(AND(VALUE(OFFSET(#REF!,GN1+4,0))&gt;29999,VALUE(OFFSET(#REF!,GN1+4,0))&lt;39999),
IF(AND(VALUE(OFFSET(#REF!,GN1+5,0))&gt;29999,VALUE(OFFSET(#REF!,GN1+5,0))&lt;39999),
IF(AND(VALUE(OFFSET(#REF!,GN1+6,0))&gt;29999,VALUE(OFFSET(#REF!,GN1+6,0))&lt;39999),GN1+8,GN1+7),GN1+6),GN1+5),GN1+4),GN1+3),GN1+2),GN1+1),"")</f>
        <v/>
      </c>
      <c r="GN26" s="68" t="str">
        <f ca="1">IFERROR(
GM26+IF(OFFSET(#REF!,GM26-1,2)&lt;&gt;"",0,1),"")</f>
        <v/>
      </c>
      <c r="GQ26" t="s">
        <v>4006</v>
      </c>
      <c r="GR26" t="str">
        <f ca="1">GR1</f>
        <v>2200</v>
      </c>
      <c r="GT26" s="87" t="s">
        <v>4019</v>
      </c>
      <c r="GU26" s="86"/>
      <c r="GV26" s="86"/>
      <c r="GW26" s="88"/>
      <c r="GX26" s="68" t="str">
        <f ca="1">IFERROR(
IF(AND(VALUE(OFFSET(#REF!,GY1+1-1,0))&gt;29999,VALUE(OFFSET(#REF!,GY1+1-1,0))&lt;39999),
IF(AND(VALUE(OFFSET(#REF!,GY1+1,0))&gt;29999,VALUE(OFFSET(#REF!,GY1+1-1,0))&lt;39999),
IF(AND(VALUE(OFFSET(#REF!,GY1+2,0))&gt;29999,VALUE(OFFSET(#REF!,GY1+2,0))&lt;39999),
IF(AND(VALUE(OFFSET(#REF!,GY1+3,0))&gt;29999,VALUE(OFFSET(#REF!,GY1+3,0))&lt;39999),
IF(AND(VALUE(OFFSET(#REF!,GY1+4,0))&gt;29999,VALUE(OFFSET(#REF!,GY1+4,0))&lt;39999),
IF(AND(VALUE(OFFSET(#REF!,GY1+5,0))&gt;29999,VALUE(OFFSET(#REF!,GY1+5,0))&lt;39999),
IF(AND(VALUE(OFFSET(#REF!,GY1+6,0))&gt;29999,VALUE(OFFSET(#REF!,GY1+6,0))&lt;39999),GY1+8,GY1+7),GY1+6),GY1+5),GY1+4),GY1+3),GY1+2),GY1+1),"")</f>
        <v/>
      </c>
      <c r="GY26" s="68" t="str">
        <f ca="1">IFERROR(
GX26+IF(OFFSET(#REF!,GX26-1,2)&lt;&gt;"",0,1),"")</f>
        <v/>
      </c>
      <c r="HB26" t="s">
        <v>4006</v>
      </c>
      <c r="HC26" t="str">
        <f ca="1">HC1</f>
        <v>17600</v>
      </c>
      <c r="HE26" s="87" t="s">
        <v>4019</v>
      </c>
      <c r="HF26" s="86"/>
      <c r="HG26" s="86"/>
      <c r="HH26" s="88"/>
      <c r="HI26" s="68" t="str">
        <f ca="1">IFERROR(
IF(AND(VALUE(OFFSET(#REF!,HJ1+1-1,0))&gt;29999,VALUE(OFFSET(#REF!,HJ1+1-1,0))&lt;39999),
IF(AND(VALUE(OFFSET(#REF!,HJ1+1,0))&gt;29999,VALUE(OFFSET(#REF!,HJ1+1-1,0))&lt;39999),
IF(AND(VALUE(OFFSET(#REF!,HJ1+2,0))&gt;29999,VALUE(OFFSET(#REF!,HJ1+2,0))&lt;39999),
IF(AND(VALUE(OFFSET(#REF!,HJ1+3,0))&gt;29999,VALUE(OFFSET(#REF!,HJ1+3,0))&lt;39999),
IF(AND(VALUE(OFFSET(#REF!,HJ1+4,0))&gt;29999,VALUE(OFFSET(#REF!,HJ1+4,0))&lt;39999),
IF(AND(VALUE(OFFSET(#REF!,HJ1+5,0))&gt;29999,VALUE(OFFSET(#REF!,HJ1+5,0))&lt;39999),
IF(AND(VALUE(OFFSET(#REF!,HJ1+6,0))&gt;29999,VALUE(OFFSET(#REF!,HJ1+6,0))&lt;39999),HJ1+8,HJ1+7),HJ1+6),HJ1+5),HJ1+4),HJ1+3),HJ1+2),HJ1+1),"")</f>
        <v/>
      </c>
      <c r="HJ26" s="68" t="str">
        <f ca="1">IFERROR(
HI26+IF(OFFSET(#REF!,HI26-1,2)&lt;&gt;"",0,1),"")</f>
        <v/>
      </c>
      <c r="HM26" t="s">
        <v>4006</v>
      </c>
      <c r="HN26" t="str">
        <f ca="1">HN1</f>
        <v>18500</v>
      </c>
      <c r="HP26" s="87" t="s">
        <v>4019</v>
      </c>
      <c r="HQ26" s="86"/>
      <c r="HR26" s="86"/>
      <c r="HS26" s="88"/>
      <c r="HT26" s="68" t="str">
        <f ca="1">IFERROR(
IF(AND(VALUE(OFFSET(#REF!,HU1+1-1,0))&gt;29999,VALUE(OFFSET(#REF!,HU1+1-1,0))&lt;39999),
IF(AND(VALUE(OFFSET(#REF!,HU1+1,0))&gt;29999,VALUE(OFFSET(#REF!,HU1+1-1,0))&lt;39999),
IF(AND(VALUE(OFFSET(#REF!,HU1+2,0))&gt;29999,VALUE(OFFSET(#REF!,HU1+2,0))&lt;39999),
IF(AND(VALUE(OFFSET(#REF!,HU1+3,0))&gt;29999,VALUE(OFFSET(#REF!,HU1+3,0))&lt;39999),
IF(AND(VALUE(OFFSET(#REF!,HU1+4,0))&gt;29999,VALUE(OFFSET(#REF!,HU1+4,0))&lt;39999),
IF(AND(VALUE(OFFSET(#REF!,HU1+5,0))&gt;29999,VALUE(OFFSET(#REF!,HU1+5,0))&lt;39999),
IF(AND(VALUE(OFFSET(#REF!,HU1+6,0))&gt;29999,VALUE(OFFSET(#REF!,HU1+6,0))&lt;39999),HU1+8,HU1+7),HU1+6),HU1+5),HU1+4),HU1+3),HU1+2),HU1+1),"")</f>
        <v/>
      </c>
      <c r="HU26" s="68" t="str">
        <f ca="1">IFERROR(
HT26+IF(OFFSET(#REF!,HT26-1,2)&lt;&gt;"",0,1),"")</f>
        <v/>
      </c>
      <c r="HX26" t="s">
        <v>4006</v>
      </c>
      <c r="HY26" t="str">
        <f ca="1">HY1</f>
        <v>8000</v>
      </c>
      <c r="IA26" s="87" t="s">
        <v>4019</v>
      </c>
      <c r="IB26" s="86"/>
      <c r="IC26" s="86"/>
      <c r="ID26" s="88"/>
      <c r="IE26" s="68" t="str">
        <f ca="1">IFERROR(
IF(AND(VALUE(OFFSET(#REF!,IF1+1-1,0))&gt;29999,VALUE(OFFSET(#REF!,IF1+1-1,0))&lt;39999),
IF(AND(VALUE(OFFSET(#REF!,IF1+1,0))&gt;29999,VALUE(OFFSET(#REF!,IF1+1-1,0))&lt;39999),
IF(AND(VALUE(OFFSET(#REF!,IF1+2,0))&gt;29999,VALUE(OFFSET(#REF!,IF1+2,0))&lt;39999),
IF(AND(VALUE(OFFSET(#REF!,IF1+3,0))&gt;29999,VALUE(OFFSET(#REF!,IF1+3,0))&lt;39999),
IF(AND(VALUE(OFFSET(#REF!,IF1+4,0))&gt;29999,VALUE(OFFSET(#REF!,IF1+4,0))&lt;39999),
IF(AND(VALUE(OFFSET(#REF!,IF1+5,0))&gt;29999,VALUE(OFFSET(#REF!,IF1+5,0))&lt;39999),
IF(AND(VALUE(OFFSET(#REF!,IF1+6,0))&gt;29999,VALUE(OFFSET(#REF!,IF1+6,0))&lt;39999),IF1+8,IF1+7),IF1+6),IF1+5),IF1+4),IF1+3),IF1+2),IF1+1),"")</f>
        <v/>
      </c>
      <c r="IF26" s="68" t="str">
        <f ca="1">IFERROR(
IE26+IF(OFFSET(#REF!,IE26-1,2)&lt;&gt;"",0,1),"")</f>
        <v/>
      </c>
      <c r="II26" t="s">
        <v>4006</v>
      </c>
      <c r="IJ26" t="str">
        <f ca="1">IJ1</f>
        <v>20200</v>
      </c>
      <c r="IL26" s="87" t="s">
        <v>4019</v>
      </c>
      <c r="IM26" s="86"/>
      <c r="IN26" s="86"/>
      <c r="IO26" s="88"/>
      <c r="IP26" s="68" t="str">
        <f ca="1">IFERROR(
IF(AND(VALUE(OFFSET(#REF!,IQ1+1-1,0))&gt;29999,VALUE(OFFSET(#REF!,IQ1+1-1,0))&lt;39999),
IF(AND(VALUE(OFFSET(#REF!,IQ1+1,0))&gt;29999,VALUE(OFFSET(#REF!,IQ1+1-1,0))&lt;39999),
IF(AND(VALUE(OFFSET(#REF!,IQ1+2,0))&gt;29999,VALUE(OFFSET(#REF!,IQ1+2,0))&lt;39999),
IF(AND(VALUE(OFFSET(#REF!,IQ1+3,0))&gt;29999,VALUE(OFFSET(#REF!,IQ1+3,0))&lt;39999),
IF(AND(VALUE(OFFSET(#REF!,IQ1+4,0))&gt;29999,VALUE(OFFSET(#REF!,IQ1+4,0))&lt;39999),
IF(AND(VALUE(OFFSET(#REF!,IQ1+5,0))&gt;29999,VALUE(OFFSET(#REF!,IQ1+5,0))&lt;39999),
IF(AND(VALUE(OFFSET(#REF!,IQ1+6,0))&gt;29999,VALUE(OFFSET(#REF!,IQ1+6,0))&lt;39999),IQ1+8,IQ1+7),IQ1+6),IQ1+5),IQ1+4),IQ1+3),IQ1+2),IQ1+1),"")</f>
        <v/>
      </c>
      <c r="IQ26" s="68" t="str">
        <f ca="1">IFERROR(
IP26+IF(OFFSET(#REF!,IP26-1,2)&lt;&gt;"",0,1),"")</f>
        <v/>
      </c>
      <c r="IT26" t="s">
        <v>4006</v>
      </c>
      <c r="IU26" t="str">
        <f ca="1">IU1</f>
        <v>7200</v>
      </c>
      <c r="IW26" s="87" t="s">
        <v>4019</v>
      </c>
      <c r="IX26" s="86"/>
      <c r="IY26" s="86"/>
      <c r="IZ26" s="88"/>
      <c r="JA26" s="68" t="str">
        <f ca="1">IFERROR(
IF(AND(VALUE(OFFSET(#REF!,JB1+1-1,0))&gt;29999,VALUE(OFFSET(#REF!,JB1+1-1,0))&lt;39999),
IF(AND(VALUE(OFFSET(#REF!,JB1+1,0))&gt;29999,VALUE(OFFSET(#REF!,JB1+1-1,0))&lt;39999),
IF(AND(VALUE(OFFSET(#REF!,JB1+2,0))&gt;29999,VALUE(OFFSET(#REF!,JB1+2,0))&lt;39999),
IF(AND(VALUE(OFFSET(#REF!,JB1+3,0))&gt;29999,VALUE(OFFSET(#REF!,JB1+3,0))&lt;39999),
IF(AND(VALUE(OFFSET(#REF!,JB1+4,0))&gt;29999,VALUE(OFFSET(#REF!,JB1+4,0))&lt;39999),
IF(AND(VALUE(OFFSET(#REF!,JB1+5,0))&gt;29999,VALUE(OFFSET(#REF!,JB1+5,0))&lt;39999),
IF(AND(VALUE(OFFSET(#REF!,JB1+6,0))&gt;29999,VALUE(OFFSET(#REF!,JB1+6,0))&lt;39999),JB1+8,JB1+7),JB1+6),JB1+5),JB1+4),JB1+3),JB1+2),JB1+1),"")</f>
        <v/>
      </c>
      <c r="JB26" s="68" t="str">
        <f ca="1">IFERROR(
JA26+IF(OFFSET(#REF!,JA26-1,2)&lt;&gt;"",0,1),"")</f>
        <v/>
      </c>
      <c r="JE26" t="s">
        <v>4006</v>
      </c>
      <c r="JF26" t="str">
        <f ca="1">JF1</f>
        <v>5900</v>
      </c>
      <c r="JH26" s="87" t="s">
        <v>4019</v>
      </c>
      <c r="JI26" s="86"/>
      <c r="JJ26" s="86"/>
      <c r="JK26" s="88"/>
      <c r="JL26" s="68" t="str">
        <f ca="1">IFERROR(
IF(AND(VALUE(OFFSET(#REF!,JM1+1-1,0))&gt;29999,VALUE(OFFSET(#REF!,JM1+1-1,0))&lt;39999),
IF(AND(VALUE(OFFSET(#REF!,JM1+1,0))&gt;29999,VALUE(OFFSET(#REF!,JM1+1-1,0))&lt;39999),
IF(AND(VALUE(OFFSET(#REF!,JM1+2,0))&gt;29999,VALUE(OFFSET(#REF!,JM1+2,0))&lt;39999),
IF(AND(VALUE(OFFSET(#REF!,JM1+3,0))&gt;29999,VALUE(OFFSET(#REF!,JM1+3,0))&lt;39999),
IF(AND(VALUE(OFFSET(#REF!,JM1+4,0))&gt;29999,VALUE(OFFSET(#REF!,JM1+4,0))&lt;39999),
IF(AND(VALUE(OFFSET(#REF!,JM1+5,0))&gt;29999,VALUE(OFFSET(#REF!,JM1+5,0))&lt;39999),
IF(AND(VALUE(OFFSET(#REF!,JM1+6,0))&gt;29999,VALUE(OFFSET(#REF!,JM1+6,0))&lt;39999),JM1+8,JM1+7),JM1+6),JM1+5),JM1+4),JM1+3),JM1+2),JM1+1),"")</f>
        <v/>
      </c>
      <c r="JM26" s="68" t="str">
        <f ca="1">IFERROR(
JL26+IF(OFFSET(#REF!,JL26-1,2)&lt;&gt;"",0,1),"")</f>
        <v/>
      </c>
      <c r="JP26" t="s">
        <v>4006</v>
      </c>
      <c r="JQ26" t="str">
        <f ca="1">JQ1</f>
        <v>7103</v>
      </c>
      <c r="JS26" s="87" t="s">
        <v>4019</v>
      </c>
      <c r="JT26" s="86"/>
      <c r="JU26" s="86"/>
      <c r="JV26" s="88"/>
      <c r="JW26" s="68" t="str">
        <f ca="1">IFERROR(
IF(AND(VALUE(OFFSET(#REF!,JX1+1-1,0))&gt;29999,VALUE(OFFSET(#REF!,JX1+1-1,0))&lt;39999),
IF(AND(VALUE(OFFSET(#REF!,JX1+1,0))&gt;29999,VALUE(OFFSET(#REF!,JX1+1-1,0))&lt;39999),
IF(AND(VALUE(OFFSET(#REF!,JX1+2,0))&gt;29999,VALUE(OFFSET(#REF!,JX1+2,0))&lt;39999),
IF(AND(VALUE(OFFSET(#REF!,JX1+3,0))&gt;29999,VALUE(OFFSET(#REF!,JX1+3,0))&lt;39999),
IF(AND(VALUE(OFFSET(#REF!,JX1+4,0))&gt;29999,VALUE(OFFSET(#REF!,JX1+4,0))&lt;39999),
IF(AND(VALUE(OFFSET(#REF!,JX1+5,0))&gt;29999,VALUE(OFFSET(#REF!,JX1+5,0))&lt;39999),
IF(AND(VALUE(OFFSET(#REF!,JX1+6,0))&gt;29999,VALUE(OFFSET(#REF!,JX1+6,0))&lt;39999),JX1+8,JX1+7),JX1+6),JX1+5),JX1+4),JX1+3),JX1+2),JX1+1),"")</f>
        <v/>
      </c>
      <c r="JX26" s="68" t="str">
        <f ca="1">IFERROR(
JW26+IF(OFFSET(#REF!,JW26-1,2)&lt;&gt;"",0,1),"")</f>
        <v/>
      </c>
      <c r="KA26" t="s">
        <v>4006</v>
      </c>
      <c r="KB26" t="str">
        <f ca="1">KB1</f>
        <v>20700</v>
      </c>
      <c r="KD26" s="87" t="s">
        <v>4019</v>
      </c>
      <c r="KE26" s="86"/>
      <c r="KF26" s="86"/>
      <c r="KG26" s="88"/>
      <c r="KH26" s="68" t="str">
        <f ca="1">IFERROR(
IF(AND(VALUE(OFFSET(#REF!,KI1+1-1,0))&gt;29999,VALUE(OFFSET(#REF!,KI1+1-1,0))&lt;39999),
IF(AND(VALUE(OFFSET(#REF!,KI1+1,0))&gt;29999,VALUE(OFFSET(#REF!,KI1+1-1,0))&lt;39999),
IF(AND(VALUE(OFFSET(#REF!,KI1+2,0))&gt;29999,VALUE(OFFSET(#REF!,KI1+2,0))&lt;39999),
IF(AND(VALUE(OFFSET(#REF!,KI1+3,0))&gt;29999,VALUE(OFFSET(#REF!,KI1+3,0))&lt;39999),
IF(AND(VALUE(OFFSET(#REF!,KI1+4,0))&gt;29999,VALUE(OFFSET(#REF!,KI1+4,0))&lt;39999),
IF(AND(VALUE(OFFSET(#REF!,KI1+5,0))&gt;29999,VALUE(OFFSET(#REF!,KI1+5,0))&lt;39999),
IF(AND(VALUE(OFFSET(#REF!,KI1+6,0))&gt;29999,VALUE(OFFSET(#REF!,KI1+6,0))&lt;39999),KI1+8,KI1+7),KI1+6),KI1+5),KI1+4),KI1+3),KI1+2),KI1+1),"")</f>
        <v/>
      </c>
      <c r="KI26" s="68" t="str">
        <f ca="1">IFERROR(
KH26+IF(OFFSET(#REF!,KH26-1,2)&lt;&gt;"",0,1),"")</f>
        <v/>
      </c>
      <c r="KL26" t="s">
        <v>4006</v>
      </c>
      <c r="KM26" t="str">
        <f ca="1">KM1</f>
        <v>16800</v>
      </c>
      <c r="KO26" s="87" t="s">
        <v>4019</v>
      </c>
      <c r="KP26" s="86"/>
      <c r="KQ26" s="86"/>
      <c r="KR26" s="88"/>
      <c r="KS26" s="68" t="str">
        <f ca="1">IFERROR(
IF(AND(VALUE(OFFSET(#REF!,KT1+1-1,0))&gt;29999,VALUE(OFFSET(#REF!,KT1+1-1,0))&lt;39999),
IF(AND(VALUE(OFFSET(#REF!,KT1+1,0))&gt;29999,VALUE(OFFSET(#REF!,KT1+1-1,0))&lt;39999),
IF(AND(VALUE(OFFSET(#REF!,KT1+2,0))&gt;29999,VALUE(OFFSET(#REF!,KT1+2,0))&lt;39999),
IF(AND(VALUE(OFFSET(#REF!,KT1+3,0))&gt;29999,VALUE(OFFSET(#REF!,KT1+3,0))&lt;39999),
IF(AND(VALUE(OFFSET(#REF!,KT1+4,0))&gt;29999,VALUE(OFFSET(#REF!,KT1+4,0))&lt;39999),
IF(AND(VALUE(OFFSET(#REF!,KT1+5,0))&gt;29999,VALUE(OFFSET(#REF!,KT1+5,0))&lt;39999),
IF(AND(VALUE(OFFSET(#REF!,KT1+6,0))&gt;29999,VALUE(OFFSET(#REF!,KT1+6,0))&lt;39999),KT1+8,KT1+7),KT1+6),KT1+5),KT1+4),KT1+3),KT1+2),KT1+1),"")</f>
        <v/>
      </c>
      <c r="KT26" s="68" t="str">
        <f ca="1">IFERROR(
KS26+IF(OFFSET(#REF!,KS26-1,2)&lt;&gt;"",0,1),"")</f>
        <v/>
      </c>
      <c r="KW26" t="s">
        <v>4006</v>
      </c>
      <c r="KX26" t="str">
        <f ca="1">KX1</f>
        <v>11600</v>
      </c>
      <c r="KZ26" s="87" t="s">
        <v>4019</v>
      </c>
      <c r="LA26" s="86"/>
      <c r="LB26" s="86"/>
      <c r="LC26" s="88"/>
      <c r="LD26" s="68" t="str">
        <f ca="1">IFERROR(
IF(AND(VALUE(OFFSET(#REF!,LE1+1-1,0))&gt;29999,VALUE(OFFSET(#REF!,LE1+1-1,0))&lt;39999),
IF(AND(VALUE(OFFSET(#REF!,LE1+1,0))&gt;29999,VALUE(OFFSET(#REF!,LE1+1-1,0))&lt;39999),
IF(AND(VALUE(OFFSET(#REF!,LE1+2,0))&gt;29999,VALUE(OFFSET(#REF!,LE1+2,0))&lt;39999),
IF(AND(VALUE(OFFSET(#REF!,LE1+3,0))&gt;29999,VALUE(OFFSET(#REF!,LE1+3,0))&lt;39999),
IF(AND(VALUE(OFFSET(#REF!,LE1+4,0))&gt;29999,VALUE(OFFSET(#REF!,LE1+4,0))&lt;39999),
IF(AND(VALUE(OFFSET(#REF!,LE1+5,0))&gt;29999,VALUE(OFFSET(#REF!,LE1+5,0))&lt;39999),
IF(AND(VALUE(OFFSET(#REF!,LE1+6,0))&gt;29999,VALUE(OFFSET(#REF!,LE1+6,0))&lt;39999),LE1+8,LE1+7),LE1+6),LE1+5),LE1+4),LE1+3),LE1+2),LE1+1),"")</f>
        <v/>
      </c>
      <c r="LE26" s="68" t="str">
        <f ca="1">IFERROR(
LD26+IF(OFFSET(#REF!,LD26-1,2)&lt;&gt;"",0,1),"")</f>
        <v/>
      </c>
      <c r="LH26" t="s">
        <v>4006</v>
      </c>
      <c r="LI26" t="str">
        <f ca="1">LI1</f>
        <v>1600</v>
      </c>
      <c r="LK26" s="87" t="s">
        <v>4019</v>
      </c>
      <c r="LL26" s="86"/>
      <c r="LM26" s="86"/>
      <c r="LN26" s="88"/>
      <c r="LO26" s="68" t="str">
        <f ca="1">IFERROR(
IF(AND(VALUE(OFFSET(#REF!,LP1+1-1,0))&gt;29999,VALUE(OFFSET(#REF!,LP1+1-1,0))&lt;39999),
IF(AND(VALUE(OFFSET(#REF!,LP1+1,0))&gt;29999,VALUE(OFFSET(#REF!,LP1+1-1,0))&lt;39999),
IF(AND(VALUE(OFFSET(#REF!,LP1+2,0))&gt;29999,VALUE(OFFSET(#REF!,LP1+2,0))&lt;39999),
IF(AND(VALUE(OFFSET(#REF!,LP1+3,0))&gt;29999,VALUE(OFFSET(#REF!,LP1+3,0))&lt;39999),
IF(AND(VALUE(OFFSET(#REF!,LP1+4,0))&gt;29999,VALUE(OFFSET(#REF!,LP1+4,0))&lt;39999),
IF(AND(VALUE(OFFSET(#REF!,LP1+5,0))&gt;29999,VALUE(OFFSET(#REF!,LP1+5,0))&lt;39999),
IF(AND(VALUE(OFFSET(#REF!,LP1+6,0))&gt;29999,VALUE(OFFSET(#REF!,LP1+6,0))&lt;39999),LP1+8,LP1+7),LP1+6),LP1+5),LP1+4),LP1+3),LP1+2),LP1+1),"")</f>
        <v/>
      </c>
      <c r="LP26" s="68" t="str">
        <f ca="1">IFERROR(
LO26+IF(OFFSET(#REF!,LO26-1,2)&lt;&gt;"",0,1),"")</f>
        <v/>
      </c>
      <c r="LS26" t="s">
        <v>4006</v>
      </c>
      <c r="LT26" t="str">
        <f ca="1">LT1</f>
        <v>1700</v>
      </c>
      <c r="LV26" s="87" t="s">
        <v>4019</v>
      </c>
      <c r="LW26" s="86"/>
      <c r="LX26" s="86"/>
      <c r="LY26" s="88"/>
      <c r="LZ26" s="68" t="str">
        <f ca="1">IFERROR(
IF(AND(VALUE(OFFSET(#REF!,MA1+1-1,0))&gt;29999,VALUE(OFFSET(#REF!,MA1+1-1,0))&lt;39999),
IF(AND(VALUE(OFFSET(#REF!,MA1+1,0))&gt;29999,VALUE(OFFSET(#REF!,MA1+1-1,0))&lt;39999),
IF(AND(VALUE(OFFSET(#REF!,MA1+2,0))&gt;29999,VALUE(OFFSET(#REF!,MA1+2,0))&lt;39999),
IF(AND(VALUE(OFFSET(#REF!,MA1+3,0))&gt;29999,VALUE(OFFSET(#REF!,MA1+3,0))&lt;39999),
IF(AND(VALUE(OFFSET(#REF!,MA1+4,0))&gt;29999,VALUE(OFFSET(#REF!,MA1+4,0))&lt;39999),
IF(AND(VALUE(OFFSET(#REF!,MA1+5,0))&gt;29999,VALUE(OFFSET(#REF!,MA1+5,0))&lt;39999),
IF(AND(VALUE(OFFSET(#REF!,MA1+6,0))&gt;29999,VALUE(OFFSET(#REF!,MA1+6,0))&lt;39999),MA1+8,MA1+7),MA1+6),MA1+5),MA1+4),MA1+3),MA1+2),MA1+1),"")</f>
        <v/>
      </c>
      <c r="MA26" s="68" t="str">
        <f ca="1">IFERROR(
LZ26+IF(OFFSET(#REF!,LZ26-1,2)&lt;&gt;"",0,1),"")</f>
        <v/>
      </c>
      <c r="MD26" t="s">
        <v>4006</v>
      </c>
      <c r="ME26" t="str">
        <f ca="1">ME1</f>
        <v>1800</v>
      </c>
      <c r="MG26" s="87" t="s">
        <v>4019</v>
      </c>
      <c r="MH26" s="86"/>
      <c r="MI26" s="86"/>
      <c r="MJ26" s="88"/>
      <c r="MK26" s="68" t="str">
        <f ca="1">IFERROR(
IF(AND(VALUE(OFFSET(#REF!,ML1+1-1,0))&gt;29999,VALUE(OFFSET(#REF!,ML1+1-1,0))&lt;39999),
IF(AND(VALUE(OFFSET(#REF!,ML1+1,0))&gt;29999,VALUE(OFFSET(#REF!,ML1+1-1,0))&lt;39999),
IF(AND(VALUE(OFFSET(#REF!,ML1+2,0))&gt;29999,VALUE(OFFSET(#REF!,ML1+2,0))&lt;39999),
IF(AND(VALUE(OFFSET(#REF!,ML1+3,0))&gt;29999,VALUE(OFFSET(#REF!,ML1+3,0))&lt;39999),
IF(AND(VALUE(OFFSET(#REF!,ML1+4,0))&gt;29999,VALUE(OFFSET(#REF!,ML1+4,0))&lt;39999),
IF(AND(VALUE(OFFSET(#REF!,ML1+5,0))&gt;29999,VALUE(OFFSET(#REF!,ML1+5,0))&lt;39999),
IF(AND(VALUE(OFFSET(#REF!,ML1+6,0))&gt;29999,VALUE(OFFSET(#REF!,ML1+6,0))&lt;39999),ML1+8,ML1+7),ML1+6),ML1+5),ML1+4),ML1+3),ML1+2),ML1+1),"")</f>
        <v/>
      </c>
      <c r="ML26" s="68" t="str">
        <f ca="1">IFERROR(
MK26+IF(OFFSET(#REF!,MK26-1,2)&lt;&gt;"",0,1),"")</f>
        <v/>
      </c>
      <c r="MO26" t="s">
        <v>4006</v>
      </c>
      <c r="MP26" t="str">
        <f ca="1">MP1</f>
        <v>7800</v>
      </c>
      <c r="MR26" s="87" t="s">
        <v>4019</v>
      </c>
      <c r="MS26" s="86"/>
      <c r="MT26" s="86"/>
      <c r="MU26" s="88"/>
      <c r="MV26" s="68" t="str">
        <f ca="1">IFERROR(
IF(AND(VALUE(OFFSET(#REF!,MW1+1-1,0))&gt;29999,VALUE(OFFSET(#REF!,MW1+1-1,0))&lt;39999),
IF(AND(VALUE(OFFSET(#REF!,MW1+1,0))&gt;29999,VALUE(OFFSET(#REF!,MW1+1-1,0))&lt;39999),
IF(AND(VALUE(OFFSET(#REF!,MW1+2,0))&gt;29999,VALUE(OFFSET(#REF!,MW1+2,0))&lt;39999),
IF(AND(VALUE(OFFSET(#REF!,MW1+3,0))&gt;29999,VALUE(OFFSET(#REF!,MW1+3,0))&lt;39999),
IF(AND(VALUE(OFFSET(#REF!,MW1+4,0))&gt;29999,VALUE(OFFSET(#REF!,MW1+4,0))&lt;39999),
IF(AND(VALUE(OFFSET(#REF!,MW1+5,0))&gt;29999,VALUE(OFFSET(#REF!,MW1+5,0))&lt;39999),
IF(AND(VALUE(OFFSET(#REF!,MW1+6,0))&gt;29999,VALUE(OFFSET(#REF!,MW1+6,0))&lt;39999),MW1+8,MW1+7),MW1+6),MW1+5),MW1+4),MW1+3),MW1+2),MW1+1),"")</f>
        <v/>
      </c>
      <c r="MW26" s="68" t="str">
        <f ca="1">IFERROR(
MV26+IF(OFFSET(#REF!,MV26-1,2)&lt;&gt;"",0,1),"")</f>
        <v/>
      </c>
      <c r="MZ26" t="s">
        <v>4006</v>
      </c>
      <c r="NA26" t="str">
        <f ca="1">NA1</f>
        <v>12900</v>
      </c>
      <c r="NC26" s="87" t="s">
        <v>4019</v>
      </c>
      <c r="ND26" s="86"/>
      <c r="NE26" s="86"/>
      <c r="NF26" s="88"/>
      <c r="NG26" s="68" t="str">
        <f ca="1">IFERROR(
IF(AND(VALUE(OFFSET(#REF!,NH1+1-1,0))&gt;29999,VALUE(OFFSET(#REF!,NH1+1-1,0))&lt;39999),
IF(AND(VALUE(OFFSET(#REF!,NH1+1,0))&gt;29999,VALUE(OFFSET(#REF!,NH1+1-1,0))&lt;39999),
IF(AND(VALUE(OFFSET(#REF!,NH1+2,0))&gt;29999,VALUE(OFFSET(#REF!,NH1+2,0))&lt;39999),
IF(AND(VALUE(OFFSET(#REF!,NH1+3,0))&gt;29999,VALUE(OFFSET(#REF!,NH1+3,0))&lt;39999),
IF(AND(VALUE(OFFSET(#REF!,NH1+4,0))&gt;29999,VALUE(OFFSET(#REF!,NH1+4,0))&lt;39999),
IF(AND(VALUE(OFFSET(#REF!,NH1+5,0))&gt;29999,VALUE(OFFSET(#REF!,NH1+5,0))&lt;39999),
IF(AND(VALUE(OFFSET(#REF!,NH1+6,0))&gt;29999,VALUE(OFFSET(#REF!,NH1+6,0))&lt;39999),NH1+8,NH1+7),NH1+6),NH1+5),NH1+4),NH1+3),NH1+2),NH1+1),"")</f>
        <v/>
      </c>
      <c r="NH26" s="68" t="str">
        <f ca="1">IFERROR(
NG26+IF(OFFSET(#REF!,NG26-1,2)&lt;&gt;"",0,1),"")</f>
        <v/>
      </c>
      <c r="NK26" t="s">
        <v>4006</v>
      </c>
      <c r="NL26" t="str">
        <f ca="1">NL1</f>
        <v>12910</v>
      </c>
      <c r="NN26" s="87" t="s">
        <v>4019</v>
      </c>
      <c r="NO26" s="86"/>
      <c r="NP26" s="86"/>
      <c r="NQ26" s="88"/>
      <c r="NR26" s="68" t="str">
        <f ca="1">IFERROR(
IF(AND(VALUE(OFFSET(#REF!,NS1+1-1,0))&gt;29999,VALUE(OFFSET(#REF!,NS1+1-1,0))&lt;39999),
IF(AND(VALUE(OFFSET(#REF!,NS1+1,0))&gt;29999,VALUE(OFFSET(#REF!,NS1+1-1,0))&lt;39999),
IF(AND(VALUE(OFFSET(#REF!,NS1+2,0))&gt;29999,VALUE(OFFSET(#REF!,NS1+2,0))&lt;39999),
IF(AND(VALUE(OFFSET(#REF!,NS1+3,0))&gt;29999,VALUE(OFFSET(#REF!,NS1+3,0))&lt;39999),
IF(AND(VALUE(OFFSET(#REF!,NS1+4,0))&gt;29999,VALUE(OFFSET(#REF!,NS1+4,0))&lt;39999),
IF(AND(VALUE(OFFSET(#REF!,NS1+5,0))&gt;29999,VALUE(OFFSET(#REF!,NS1+5,0))&lt;39999),
IF(AND(VALUE(OFFSET(#REF!,NS1+6,0))&gt;29999,VALUE(OFFSET(#REF!,NS1+6,0))&lt;39999),NS1+8,NS1+7),NS1+6),NS1+5),NS1+4),NS1+3),NS1+2),NS1+1),"")</f>
        <v/>
      </c>
      <c r="NS26" s="68" t="str">
        <f ca="1">IFERROR(
NR26+IF(OFFSET(#REF!,NR26-1,2)&lt;&gt;"",0,1),"")</f>
        <v/>
      </c>
      <c r="NV26" t="s">
        <v>4006</v>
      </c>
      <c r="NW26" t="str">
        <f ca="1">NW1</f>
        <v>19900</v>
      </c>
      <c r="NY26" s="87" t="s">
        <v>4019</v>
      </c>
      <c r="NZ26" s="86"/>
      <c r="OA26" s="86"/>
      <c r="OB26" s="88"/>
      <c r="OC26" s="68" t="str">
        <f ca="1">IFERROR(
IF(AND(VALUE(OFFSET(#REF!,OD1+1-1,0))&gt;29999,VALUE(OFFSET(#REF!,OD1+1-1,0))&lt;39999),
IF(AND(VALUE(OFFSET(#REF!,OD1+1,0))&gt;29999,VALUE(OFFSET(#REF!,OD1+1-1,0))&lt;39999),
IF(AND(VALUE(OFFSET(#REF!,OD1+2,0))&gt;29999,VALUE(OFFSET(#REF!,OD1+2,0))&lt;39999),
IF(AND(VALUE(OFFSET(#REF!,OD1+3,0))&gt;29999,VALUE(OFFSET(#REF!,OD1+3,0))&lt;39999),
IF(AND(VALUE(OFFSET(#REF!,OD1+4,0))&gt;29999,VALUE(OFFSET(#REF!,OD1+4,0))&lt;39999),
IF(AND(VALUE(OFFSET(#REF!,OD1+5,0))&gt;29999,VALUE(OFFSET(#REF!,OD1+5,0))&lt;39999),
IF(AND(VALUE(OFFSET(#REF!,OD1+6,0))&gt;29999,VALUE(OFFSET(#REF!,OD1+6,0))&lt;39999),OD1+8,OD1+7),OD1+6),OD1+5),OD1+4),OD1+3),OD1+2),OD1+1),"")</f>
        <v/>
      </c>
      <c r="OD26" s="68" t="str">
        <f ca="1">IFERROR(
OC26+IF(OFFSET(#REF!,OC26-1,2)&lt;&gt;"",0,1),"")</f>
        <v/>
      </c>
      <c r="OG26" t="s">
        <v>4006</v>
      </c>
      <c r="OH26" t="str">
        <f ca="1">OH1</f>
        <v>8100</v>
      </c>
      <c r="OJ26" s="87" t="s">
        <v>4019</v>
      </c>
      <c r="OK26" s="86"/>
      <c r="OL26" s="86"/>
      <c r="OM26" s="88"/>
      <c r="ON26" s="68" t="str">
        <f ca="1">IFERROR(
IF(AND(VALUE(OFFSET(#REF!,OO1+1-1,0))&gt;29999,VALUE(OFFSET(#REF!,OO1+1-1,0))&lt;39999),
IF(AND(VALUE(OFFSET(#REF!,OO1+1,0))&gt;29999,VALUE(OFFSET(#REF!,OO1+1-1,0))&lt;39999),
IF(AND(VALUE(OFFSET(#REF!,OO1+2,0))&gt;29999,VALUE(OFFSET(#REF!,OO1+2,0))&lt;39999),
IF(AND(VALUE(OFFSET(#REF!,OO1+3,0))&gt;29999,VALUE(OFFSET(#REF!,OO1+3,0))&lt;39999),
IF(AND(VALUE(OFFSET(#REF!,OO1+4,0))&gt;29999,VALUE(OFFSET(#REF!,OO1+4,0))&lt;39999),
IF(AND(VALUE(OFFSET(#REF!,OO1+5,0))&gt;29999,VALUE(OFFSET(#REF!,OO1+5,0))&lt;39999),
IF(AND(VALUE(OFFSET(#REF!,OO1+6,0))&gt;29999,VALUE(OFFSET(#REF!,OO1+6,0))&lt;39999),OO1+8,OO1+7),OO1+6),OO1+5),OO1+4),OO1+3),OO1+2),OO1+1),"")</f>
        <v/>
      </c>
      <c r="OO26" s="68" t="str">
        <f ca="1">IFERROR(
ON26+IF(OFFSET(#REF!,ON26-1,2)&lt;&gt;"",0,1),"")</f>
        <v/>
      </c>
      <c r="OR26" t="s">
        <v>4006</v>
      </c>
      <c r="OS26" t="str">
        <f ca="1">OS1</f>
        <v>18900</v>
      </c>
      <c r="OU26" s="87" t="s">
        <v>4019</v>
      </c>
      <c r="OV26" s="86"/>
      <c r="OW26" s="86"/>
      <c r="OX26" s="88"/>
      <c r="OY26" s="68" t="str">
        <f ca="1">IFERROR(
IF(AND(VALUE(OFFSET(#REF!,OZ1+1-1,0))&gt;29999,VALUE(OFFSET(#REF!,OZ1+1-1,0))&lt;39999),
IF(AND(VALUE(OFFSET(#REF!,OZ1+1,0))&gt;29999,VALUE(OFFSET(#REF!,OZ1+1-1,0))&lt;39999),
IF(AND(VALUE(OFFSET(#REF!,OZ1+2,0))&gt;29999,VALUE(OFFSET(#REF!,OZ1+2,0))&lt;39999),
IF(AND(VALUE(OFFSET(#REF!,OZ1+3,0))&gt;29999,VALUE(OFFSET(#REF!,OZ1+3,0))&lt;39999),
IF(AND(VALUE(OFFSET(#REF!,OZ1+4,0))&gt;29999,VALUE(OFFSET(#REF!,OZ1+4,0))&lt;39999),
IF(AND(VALUE(OFFSET(#REF!,OZ1+5,0))&gt;29999,VALUE(OFFSET(#REF!,OZ1+5,0))&lt;39999),
IF(AND(VALUE(OFFSET(#REF!,OZ1+6,0))&gt;29999,VALUE(OFFSET(#REF!,OZ1+6,0))&lt;39999),OZ1+8,OZ1+7),OZ1+6),OZ1+5),OZ1+4),OZ1+3),OZ1+2),OZ1+1),"")</f>
        <v/>
      </c>
      <c r="OZ26" s="68" t="str">
        <f ca="1">IFERROR(
OY26+IF(OFFSET(#REF!,OY26-1,2)&lt;&gt;"",0,1),"")</f>
        <v/>
      </c>
      <c r="PC26" t="s">
        <v>4006</v>
      </c>
      <c r="PD26" t="str">
        <f ca="1">PD1</f>
        <v>14700</v>
      </c>
      <c r="PF26" s="87" t="s">
        <v>4019</v>
      </c>
      <c r="PG26" s="86"/>
      <c r="PH26" s="86"/>
      <c r="PI26" s="88"/>
      <c r="PJ26" s="68" t="str">
        <f ca="1">IFERROR(
IF(AND(VALUE(OFFSET(#REF!,PK1+1-1,0))&gt;29999,VALUE(OFFSET(#REF!,PK1+1-1,0))&lt;39999),
IF(AND(VALUE(OFFSET(#REF!,PK1+1,0))&gt;29999,VALUE(OFFSET(#REF!,PK1+1-1,0))&lt;39999),
IF(AND(VALUE(OFFSET(#REF!,PK1+2,0))&gt;29999,VALUE(OFFSET(#REF!,PK1+2,0))&lt;39999),
IF(AND(VALUE(OFFSET(#REF!,PK1+3,0))&gt;29999,VALUE(OFFSET(#REF!,PK1+3,0))&lt;39999),
IF(AND(VALUE(OFFSET(#REF!,PK1+4,0))&gt;29999,VALUE(OFFSET(#REF!,PK1+4,0))&lt;39999),
IF(AND(VALUE(OFFSET(#REF!,PK1+5,0))&gt;29999,VALUE(OFFSET(#REF!,PK1+5,0))&lt;39999),
IF(AND(VALUE(OFFSET(#REF!,PK1+6,0))&gt;29999,VALUE(OFFSET(#REF!,PK1+6,0))&lt;39999),PK1+8,PK1+7),PK1+6),PK1+5),PK1+4),PK1+3),PK1+2),PK1+1),"")</f>
        <v/>
      </c>
      <c r="PK26" s="68" t="str">
        <f ca="1">IFERROR(
PJ26+IF(OFFSET(#REF!,PJ26-1,2)&lt;&gt;"",0,1),"")</f>
        <v/>
      </c>
      <c r="PN26" t="s">
        <v>4006</v>
      </c>
      <c r="PO26" t="str">
        <f ca="1">PO1</f>
        <v>19100</v>
      </c>
      <c r="PQ26" s="87" t="s">
        <v>4019</v>
      </c>
      <c r="PR26" s="86"/>
      <c r="PS26" s="86"/>
      <c r="PT26" s="88"/>
      <c r="PU26" s="68" t="str">
        <f ca="1">IFERROR(
IF(AND(VALUE(OFFSET(#REF!,PV1+1-1,0))&gt;29999,VALUE(OFFSET(#REF!,PV1+1-1,0))&lt;39999),
IF(AND(VALUE(OFFSET(#REF!,PV1+1,0))&gt;29999,VALUE(OFFSET(#REF!,PV1+1-1,0))&lt;39999),
IF(AND(VALUE(OFFSET(#REF!,PV1+2,0))&gt;29999,VALUE(OFFSET(#REF!,PV1+2,0))&lt;39999),
IF(AND(VALUE(OFFSET(#REF!,PV1+3,0))&gt;29999,VALUE(OFFSET(#REF!,PV1+3,0))&lt;39999),
IF(AND(VALUE(OFFSET(#REF!,PV1+4,0))&gt;29999,VALUE(OFFSET(#REF!,PV1+4,0))&lt;39999),
IF(AND(VALUE(OFFSET(#REF!,PV1+5,0))&gt;29999,VALUE(OFFSET(#REF!,PV1+5,0))&lt;39999),
IF(AND(VALUE(OFFSET(#REF!,PV1+6,0))&gt;29999,VALUE(OFFSET(#REF!,PV1+6,0))&lt;39999),PV1+8,PV1+7),PV1+6),PV1+5),PV1+4),PV1+3),PV1+2),PV1+1),"")</f>
        <v/>
      </c>
      <c r="PV26" s="68" t="str">
        <f ca="1">IFERROR(
PU26+IF(OFFSET(#REF!,PU26-1,2)&lt;&gt;"",0,1),"")</f>
        <v/>
      </c>
      <c r="PY26" t="s">
        <v>4006</v>
      </c>
      <c r="PZ26" t="str">
        <f ca="1">PZ1</f>
        <v>7003</v>
      </c>
      <c r="QB26" s="87" t="s">
        <v>4019</v>
      </c>
      <c r="QC26" s="86"/>
      <c r="QD26" s="86"/>
      <c r="QE26" s="88"/>
      <c r="QF26" s="68" t="str">
        <f ca="1">IFERROR(
IF(AND(VALUE(OFFSET(#REF!,QG1+1-1,0))&gt;29999,VALUE(OFFSET(#REF!,QG1+1-1,0))&lt;39999),
IF(AND(VALUE(OFFSET(#REF!,QG1+1,0))&gt;29999,VALUE(OFFSET(#REF!,QG1+1-1,0))&lt;39999),
IF(AND(VALUE(OFFSET(#REF!,QG1+2,0))&gt;29999,VALUE(OFFSET(#REF!,QG1+2,0))&lt;39999),
IF(AND(VALUE(OFFSET(#REF!,QG1+3,0))&gt;29999,VALUE(OFFSET(#REF!,QG1+3,0))&lt;39999),
IF(AND(VALUE(OFFSET(#REF!,QG1+4,0))&gt;29999,VALUE(OFFSET(#REF!,QG1+4,0))&lt;39999),
IF(AND(VALUE(OFFSET(#REF!,QG1+5,0))&gt;29999,VALUE(OFFSET(#REF!,QG1+5,0))&lt;39999),
IF(AND(VALUE(OFFSET(#REF!,QG1+6,0))&gt;29999,VALUE(OFFSET(#REF!,QG1+6,0))&lt;39999),QG1+8,QG1+7),QG1+6),QG1+5),QG1+4),QG1+3),QG1+2),QG1+1),"")</f>
        <v/>
      </c>
      <c r="QG26" s="68" t="str">
        <f ca="1">IFERROR(
QF26+IF(OFFSET(#REF!,QF26-1,2)&lt;&gt;"",0,1),"")</f>
        <v/>
      </c>
      <c r="QJ26" t="s">
        <v>4006</v>
      </c>
      <c r="QK26" t="str">
        <f ca="1">QK1</f>
        <v>20400</v>
      </c>
      <c r="QM26" s="87" t="s">
        <v>4019</v>
      </c>
      <c r="QN26" s="86"/>
      <c r="QO26" s="86"/>
      <c r="QP26" s="88"/>
      <c r="QQ26" s="68" t="str">
        <f ca="1">IFERROR(
IF(AND(VALUE(OFFSET(#REF!,QR1+1-1,0))&gt;29999,VALUE(OFFSET(#REF!,QR1+1-1,0))&lt;39999),
IF(AND(VALUE(OFFSET(#REF!,QR1+1,0))&gt;29999,VALUE(OFFSET(#REF!,QR1+1-1,0))&lt;39999),
IF(AND(VALUE(OFFSET(#REF!,QR1+2,0))&gt;29999,VALUE(OFFSET(#REF!,QR1+2,0))&lt;39999),
IF(AND(VALUE(OFFSET(#REF!,QR1+3,0))&gt;29999,VALUE(OFFSET(#REF!,QR1+3,0))&lt;39999),
IF(AND(VALUE(OFFSET(#REF!,QR1+4,0))&gt;29999,VALUE(OFFSET(#REF!,QR1+4,0))&lt;39999),
IF(AND(VALUE(OFFSET(#REF!,QR1+5,0))&gt;29999,VALUE(OFFSET(#REF!,QR1+5,0))&lt;39999),
IF(AND(VALUE(OFFSET(#REF!,QR1+6,0))&gt;29999,VALUE(OFFSET(#REF!,QR1+6,0))&lt;39999),QR1+8,QR1+7),QR1+6),QR1+5),QR1+4),QR1+3),QR1+2),QR1+1),"")</f>
        <v/>
      </c>
      <c r="QR26" s="68" t="str">
        <f ca="1">IFERROR(
QQ26+IF(OFFSET(#REF!,QQ26-1,2)&lt;&gt;"",0,1),"")</f>
        <v/>
      </c>
      <c r="QU26" t="s">
        <v>4006</v>
      </c>
      <c r="QV26" t="str">
        <f ca="1">QV1</f>
        <v>802</v>
      </c>
      <c r="QX26" s="87" t="s">
        <v>4019</v>
      </c>
      <c r="QY26" s="86"/>
      <c r="QZ26" s="86"/>
      <c r="RA26" s="88"/>
      <c r="RB26" s="68" t="str">
        <f ca="1">IFERROR(
IF(AND(VALUE(OFFSET(#REF!,RC1+1-1,0))&gt;29999,VALUE(OFFSET(#REF!,RC1+1-1,0))&lt;39999),
IF(AND(VALUE(OFFSET(#REF!,RC1+1,0))&gt;29999,VALUE(OFFSET(#REF!,RC1+1-1,0))&lt;39999),
IF(AND(VALUE(OFFSET(#REF!,RC1+2,0))&gt;29999,VALUE(OFFSET(#REF!,RC1+2,0))&lt;39999),
IF(AND(VALUE(OFFSET(#REF!,RC1+3,0))&gt;29999,VALUE(OFFSET(#REF!,RC1+3,0))&lt;39999),
IF(AND(VALUE(OFFSET(#REF!,RC1+4,0))&gt;29999,VALUE(OFFSET(#REF!,RC1+4,0))&lt;39999),
IF(AND(VALUE(OFFSET(#REF!,RC1+5,0))&gt;29999,VALUE(OFFSET(#REF!,RC1+5,0))&lt;39999),
IF(AND(VALUE(OFFSET(#REF!,RC1+6,0))&gt;29999,VALUE(OFFSET(#REF!,RC1+6,0))&lt;39999),RC1+8,RC1+7),RC1+6),RC1+5),RC1+4),RC1+3),RC1+2),RC1+1),"")</f>
        <v/>
      </c>
      <c r="RC26" s="68" t="str">
        <f ca="1">IFERROR(
RB26+IF(OFFSET(#REF!,RB26-1,2)&lt;&gt;"",0,1),"")</f>
        <v/>
      </c>
      <c r="RF26" t="s">
        <v>4006</v>
      </c>
      <c r="RG26" t="str">
        <f ca="1">RG1</f>
        <v>40100</v>
      </c>
      <c r="RI26" s="87" t="s">
        <v>4019</v>
      </c>
      <c r="RJ26" s="86"/>
      <c r="RK26" s="86"/>
      <c r="RL26" s="88"/>
      <c r="RM26" s="68" t="str">
        <f ca="1">IFERROR(
IF(AND(VALUE(OFFSET(#REF!,RN1+1-1,0))&gt;29999,VALUE(OFFSET(#REF!,RN1+1-1,0))&lt;39999),
IF(AND(VALUE(OFFSET(#REF!,RN1+1,0))&gt;29999,VALUE(OFFSET(#REF!,RN1+1-1,0))&lt;39999),
IF(AND(VALUE(OFFSET(#REF!,RN1+2,0))&gt;29999,VALUE(OFFSET(#REF!,RN1+2,0))&lt;39999),
IF(AND(VALUE(OFFSET(#REF!,RN1+3,0))&gt;29999,VALUE(OFFSET(#REF!,RN1+3,0))&lt;39999),
IF(AND(VALUE(OFFSET(#REF!,RN1+4,0))&gt;29999,VALUE(OFFSET(#REF!,RN1+4,0))&lt;39999),
IF(AND(VALUE(OFFSET(#REF!,RN1+5,0))&gt;29999,VALUE(OFFSET(#REF!,RN1+5,0))&lt;39999),
IF(AND(VALUE(OFFSET(#REF!,RN1+6,0))&gt;29999,VALUE(OFFSET(#REF!,RN1+6,0))&lt;39999),RN1+8,RN1+7),RN1+6),RN1+5),RN1+4),RN1+3),RN1+2),RN1+1),"")</f>
        <v/>
      </c>
      <c r="RN26" s="68" t="str">
        <f ca="1">IFERROR(
RM26+IF(OFFSET(#REF!,RM26-1,2)&lt;&gt;"",0,1),"")</f>
        <v/>
      </c>
      <c r="RQ26" t="s">
        <v>4006</v>
      </c>
      <c r="RR26" t="str">
        <f ca="1">RR1</f>
        <v>40200</v>
      </c>
      <c r="RT26" s="87" t="s">
        <v>4019</v>
      </c>
      <c r="RU26" s="86"/>
      <c r="RV26" s="86"/>
      <c r="RW26" s="88"/>
      <c r="RX26" s="68" t="str">
        <f ca="1">IFERROR(
IF(AND(VALUE(OFFSET(#REF!,RY1+1-1,0))&gt;29999,VALUE(OFFSET(#REF!,RY1+1-1,0))&lt;39999),
IF(AND(VALUE(OFFSET(#REF!,RY1+1,0))&gt;29999,VALUE(OFFSET(#REF!,RY1+1-1,0))&lt;39999),
IF(AND(VALUE(OFFSET(#REF!,RY1+2,0))&gt;29999,VALUE(OFFSET(#REF!,RY1+2,0))&lt;39999),
IF(AND(VALUE(OFFSET(#REF!,RY1+3,0))&gt;29999,VALUE(OFFSET(#REF!,RY1+3,0))&lt;39999),
IF(AND(VALUE(OFFSET(#REF!,RY1+4,0))&gt;29999,VALUE(OFFSET(#REF!,RY1+4,0))&lt;39999),
IF(AND(VALUE(OFFSET(#REF!,RY1+5,0))&gt;29999,VALUE(OFFSET(#REF!,RY1+5,0))&lt;39999),
IF(AND(VALUE(OFFSET(#REF!,RY1+6,0))&gt;29999,VALUE(OFFSET(#REF!,RY1+6,0))&lt;39999),RY1+8,RY1+7),RY1+6),RY1+5),RY1+4),RY1+3),RY1+2),RY1+1),"")</f>
        <v/>
      </c>
      <c r="RY26" s="68" t="str">
        <f ca="1">IFERROR(
RX26+IF(OFFSET(#REF!,RX26-1,2)&lt;&gt;"",0,1),"")</f>
        <v/>
      </c>
      <c r="SB26" t="s">
        <v>4006</v>
      </c>
      <c r="SC26" t="str">
        <f ca="1">SC1</f>
        <v>40250</v>
      </c>
      <c r="SE26" s="87" t="s">
        <v>4019</v>
      </c>
      <c r="SF26" s="86"/>
      <c r="SG26" s="86"/>
      <c r="SH26" s="88"/>
      <c r="SI26" s="68" t="str">
        <f ca="1">IFERROR(
IF(AND(VALUE(OFFSET(#REF!,SJ1+1-1,0))&gt;29999,VALUE(OFFSET(#REF!,SJ1+1-1,0))&lt;39999),
IF(AND(VALUE(OFFSET(#REF!,SJ1+1,0))&gt;29999,VALUE(OFFSET(#REF!,SJ1+1-1,0))&lt;39999),
IF(AND(VALUE(OFFSET(#REF!,SJ1+2,0))&gt;29999,VALUE(OFFSET(#REF!,SJ1+2,0))&lt;39999),
IF(AND(VALUE(OFFSET(#REF!,SJ1+3,0))&gt;29999,VALUE(OFFSET(#REF!,SJ1+3,0))&lt;39999),
IF(AND(VALUE(OFFSET(#REF!,SJ1+4,0))&gt;29999,VALUE(OFFSET(#REF!,SJ1+4,0))&lt;39999),
IF(AND(VALUE(OFFSET(#REF!,SJ1+5,0))&gt;29999,VALUE(OFFSET(#REF!,SJ1+5,0))&lt;39999),
IF(AND(VALUE(OFFSET(#REF!,SJ1+6,0))&gt;29999,VALUE(OFFSET(#REF!,SJ1+6,0))&lt;39999),SJ1+8,SJ1+7),SJ1+6),SJ1+5),SJ1+4),SJ1+3),SJ1+2),SJ1+1),"")</f>
        <v/>
      </c>
      <c r="SJ26" s="68" t="str">
        <f ca="1">IFERROR(
SI26+IF(OFFSET(#REF!,SI26-1,2)&lt;&gt;"",0,1),"")</f>
        <v/>
      </c>
      <c r="SM26" t="s">
        <v>4006</v>
      </c>
      <c r="SN26" t="str">
        <f ca="1">SN1</f>
        <v>40350</v>
      </c>
      <c r="SP26" s="87" t="s">
        <v>4019</v>
      </c>
      <c r="SQ26" s="86"/>
      <c r="SR26" s="86"/>
      <c r="SS26" s="88"/>
      <c r="ST26" s="68" t="str">
        <f ca="1">IFERROR(
IF(AND(VALUE(OFFSET(#REF!,SU1+1-1,0))&gt;29999,VALUE(OFFSET(#REF!,SU1+1-1,0))&lt;39999),
IF(AND(VALUE(OFFSET(#REF!,SU1+1,0))&gt;29999,VALUE(OFFSET(#REF!,SU1+1-1,0))&lt;39999),
IF(AND(VALUE(OFFSET(#REF!,SU1+2,0))&gt;29999,VALUE(OFFSET(#REF!,SU1+2,0))&lt;39999),
IF(AND(VALUE(OFFSET(#REF!,SU1+3,0))&gt;29999,VALUE(OFFSET(#REF!,SU1+3,0))&lt;39999),
IF(AND(VALUE(OFFSET(#REF!,SU1+4,0))&gt;29999,VALUE(OFFSET(#REF!,SU1+4,0))&lt;39999),
IF(AND(VALUE(OFFSET(#REF!,SU1+5,0))&gt;29999,VALUE(OFFSET(#REF!,SU1+5,0))&lt;39999),
IF(AND(VALUE(OFFSET(#REF!,SU1+6,0))&gt;29999,VALUE(OFFSET(#REF!,SU1+6,0))&lt;39999),SU1+8,SU1+7),SU1+6),SU1+5),SU1+4),SU1+3),SU1+2),SU1+1),"")</f>
        <v/>
      </c>
      <c r="SU26" s="68" t="str">
        <f ca="1">IFERROR(
ST26+IF(OFFSET(#REF!,ST26-1,2)&lt;&gt;"",0,1),"")</f>
        <v/>
      </c>
      <c r="SX26" t="s">
        <v>4006</v>
      </c>
      <c r="SY26" t="str">
        <f ca="1">SY1</f>
        <v>40400</v>
      </c>
      <c r="TA26" s="87" t="s">
        <v>4019</v>
      </c>
      <c r="TB26" s="86"/>
      <c r="TC26" s="86"/>
      <c r="TD26" s="88"/>
      <c r="TE26" s="68" t="str">
        <f ca="1">IFERROR(
IF(AND(VALUE(OFFSET(#REF!,TF1+1-1,0))&gt;29999,VALUE(OFFSET(#REF!,TF1+1-1,0))&lt;39999),
IF(AND(VALUE(OFFSET(#REF!,TF1+1,0))&gt;29999,VALUE(OFFSET(#REF!,TF1+1-1,0))&lt;39999),
IF(AND(VALUE(OFFSET(#REF!,TF1+2,0))&gt;29999,VALUE(OFFSET(#REF!,TF1+2,0))&lt;39999),
IF(AND(VALUE(OFFSET(#REF!,TF1+3,0))&gt;29999,VALUE(OFFSET(#REF!,TF1+3,0))&lt;39999),
IF(AND(VALUE(OFFSET(#REF!,TF1+4,0))&gt;29999,VALUE(OFFSET(#REF!,TF1+4,0))&lt;39999),
IF(AND(VALUE(OFFSET(#REF!,TF1+5,0))&gt;29999,VALUE(OFFSET(#REF!,TF1+5,0))&lt;39999),
IF(AND(VALUE(OFFSET(#REF!,TF1+6,0))&gt;29999,VALUE(OFFSET(#REF!,TF1+6,0))&lt;39999),TF1+8,TF1+7),TF1+6),TF1+5),TF1+4),TF1+3),TF1+2),TF1+1),"")</f>
        <v/>
      </c>
      <c r="TF26" s="68" t="str">
        <f ca="1">IFERROR(
TE26+IF(OFFSET(#REF!,TE26-1,2)&lt;&gt;"",0,1),"")</f>
        <v/>
      </c>
      <c r="TI26" t="s">
        <v>4006</v>
      </c>
      <c r="TJ26" t="str">
        <f ca="1">TJ1</f>
        <v>40700</v>
      </c>
      <c r="TL26" s="87" t="s">
        <v>4019</v>
      </c>
      <c r="TM26" s="86"/>
      <c r="TN26" s="86"/>
      <c r="TO26" s="88"/>
      <c r="TP26" s="68" t="str">
        <f ca="1">IFERROR(
IF(AND(VALUE(OFFSET(#REF!,TQ1+1-1,0))&gt;29999,VALUE(OFFSET(#REF!,TQ1+1-1,0))&lt;39999),
IF(AND(VALUE(OFFSET(#REF!,TQ1+1,0))&gt;29999,VALUE(OFFSET(#REF!,TQ1+1-1,0))&lt;39999),
IF(AND(VALUE(OFFSET(#REF!,TQ1+2,0))&gt;29999,VALUE(OFFSET(#REF!,TQ1+2,0))&lt;39999),
IF(AND(VALUE(OFFSET(#REF!,TQ1+3,0))&gt;29999,VALUE(OFFSET(#REF!,TQ1+3,0))&lt;39999),
IF(AND(VALUE(OFFSET(#REF!,TQ1+4,0))&gt;29999,VALUE(OFFSET(#REF!,TQ1+4,0))&lt;39999),
IF(AND(VALUE(OFFSET(#REF!,TQ1+5,0))&gt;29999,VALUE(OFFSET(#REF!,TQ1+5,0))&lt;39999),
IF(AND(VALUE(OFFSET(#REF!,TQ1+6,0))&gt;29999,VALUE(OFFSET(#REF!,TQ1+6,0))&lt;39999),TQ1+8,TQ1+7),TQ1+6),TQ1+5),TQ1+4),TQ1+3),TQ1+2),TQ1+1),"")</f>
        <v/>
      </c>
      <c r="TQ26" s="68" t="str">
        <f ca="1">IFERROR(
TP26+IF(OFFSET(#REF!,TP26-1,2)&lt;&gt;"",0,1),"")</f>
        <v/>
      </c>
      <c r="TT26" t="s">
        <v>4006</v>
      </c>
      <c r="TU26" t="str">
        <f ca="1">TU1</f>
        <v>40750</v>
      </c>
      <c r="TW26" s="87" t="s">
        <v>4019</v>
      </c>
      <c r="TX26" s="86"/>
      <c r="TY26" s="86"/>
      <c r="TZ26" s="88"/>
      <c r="UA26" s="68" t="str">
        <f ca="1">IFERROR(
IF(AND(VALUE(OFFSET(#REF!,UB1+1-1,0))&gt;29999,VALUE(OFFSET(#REF!,UB1+1-1,0))&lt;39999),
IF(AND(VALUE(OFFSET(#REF!,UB1+1,0))&gt;29999,VALUE(OFFSET(#REF!,UB1+1-1,0))&lt;39999),
IF(AND(VALUE(OFFSET(#REF!,UB1+2,0))&gt;29999,VALUE(OFFSET(#REF!,UB1+2,0))&lt;39999),
IF(AND(VALUE(OFFSET(#REF!,UB1+3,0))&gt;29999,VALUE(OFFSET(#REF!,UB1+3,0))&lt;39999),
IF(AND(VALUE(OFFSET(#REF!,UB1+4,0))&gt;29999,VALUE(OFFSET(#REF!,UB1+4,0))&lt;39999),
IF(AND(VALUE(OFFSET(#REF!,UB1+5,0))&gt;29999,VALUE(OFFSET(#REF!,UB1+5,0))&lt;39999),
IF(AND(VALUE(OFFSET(#REF!,UB1+6,0))&gt;29999,VALUE(OFFSET(#REF!,UB1+6,0))&lt;39999),UB1+8,UB1+7),UB1+6),UB1+5),UB1+4),UB1+3),UB1+2),UB1+1),"")</f>
        <v/>
      </c>
      <c r="UB26" s="68" t="str">
        <f ca="1">IFERROR(
UA26+IF(OFFSET(#REF!,UA26-1,2)&lt;&gt;"",0,1),"")</f>
        <v/>
      </c>
      <c r="UE26" t="s">
        <v>4006</v>
      </c>
      <c r="UF26" t="str">
        <f ca="1">UF1</f>
        <v>40800</v>
      </c>
      <c r="UH26" s="87" t="s">
        <v>4019</v>
      </c>
      <c r="UI26" s="86"/>
      <c r="UJ26" s="86"/>
      <c r="UK26" s="88"/>
      <c r="UL26" s="68" t="str">
        <f ca="1">IFERROR(
IF(AND(VALUE(OFFSET(#REF!,UM1+1-1,0))&gt;29999,VALUE(OFFSET(#REF!,UM1+1-1,0))&lt;39999),
IF(AND(VALUE(OFFSET(#REF!,UM1+1,0))&gt;29999,VALUE(OFFSET(#REF!,UM1+1-1,0))&lt;39999),
IF(AND(VALUE(OFFSET(#REF!,UM1+2,0))&gt;29999,VALUE(OFFSET(#REF!,UM1+2,0))&lt;39999),
IF(AND(VALUE(OFFSET(#REF!,UM1+3,0))&gt;29999,VALUE(OFFSET(#REF!,UM1+3,0))&lt;39999),
IF(AND(VALUE(OFFSET(#REF!,UM1+4,0))&gt;29999,VALUE(OFFSET(#REF!,UM1+4,0))&lt;39999),
IF(AND(VALUE(OFFSET(#REF!,UM1+5,0))&gt;29999,VALUE(OFFSET(#REF!,UM1+5,0))&lt;39999),
IF(AND(VALUE(OFFSET(#REF!,UM1+6,0))&gt;29999,VALUE(OFFSET(#REF!,UM1+6,0))&lt;39999),UM1+8,UM1+7),UM1+6),UM1+5),UM1+4),UM1+3),UM1+2),UM1+1),"")</f>
        <v/>
      </c>
      <c r="UM26" s="68" t="str">
        <f ca="1">IFERROR(
UL26+IF(OFFSET(#REF!,UL26-1,2)&lt;&gt;"",0,1),"")</f>
        <v/>
      </c>
      <c r="UP26" t="s">
        <v>4006</v>
      </c>
      <c r="UQ26" t="str">
        <f ca="1">UQ1</f>
        <v>10002</v>
      </c>
      <c r="US26" s="87" t="s">
        <v>4019</v>
      </c>
      <c r="UT26" s="86"/>
      <c r="UU26" s="86"/>
      <c r="UV26" s="88"/>
      <c r="UW26" s="68" t="str">
        <f ca="1">IFERROR(
IF(AND(VALUE(OFFSET(#REF!,UX1+1-1,0))&gt;29999,VALUE(OFFSET(#REF!,UX1+1-1,0))&lt;39999),
IF(AND(VALUE(OFFSET(#REF!,UX1+1,0))&gt;29999,VALUE(OFFSET(#REF!,UX1+1-1,0))&lt;39999),
IF(AND(VALUE(OFFSET(#REF!,UX1+2,0))&gt;29999,VALUE(OFFSET(#REF!,UX1+2,0))&lt;39999),
IF(AND(VALUE(OFFSET(#REF!,UX1+3,0))&gt;29999,VALUE(OFFSET(#REF!,UX1+3,0))&lt;39999),
IF(AND(VALUE(OFFSET(#REF!,UX1+4,0))&gt;29999,VALUE(OFFSET(#REF!,UX1+4,0))&lt;39999),
IF(AND(VALUE(OFFSET(#REF!,UX1+5,0))&gt;29999,VALUE(OFFSET(#REF!,UX1+5,0))&lt;39999),
IF(AND(VALUE(OFFSET(#REF!,UX1+6,0))&gt;29999,VALUE(OFFSET(#REF!,UX1+6,0))&lt;39999),UX1+8,UX1+7),UX1+6),UX1+5),UX1+4),UX1+3),UX1+2),UX1+1),"")</f>
        <v/>
      </c>
      <c r="UX26" s="68" t="str">
        <f ca="1">IFERROR(
UW26+IF(OFFSET(#REF!,UW26-1,2)&lt;&gt;"",0,1),"")</f>
        <v/>
      </c>
      <c r="VA26" t="s">
        <v>4006</v>
      </c>
      <c r="VB26" t="e">
        <f ca="1">VB1</f>
        <v>#VALUE!</v>
      </c>
      <c r="VD26" s="87" t="s">
        <v>4019</v>
      </c>
      <c r="VE26" s="86"/>
      <c r="VF26" s="86"/>
      <c r="VG26" s="88"/>
      <c r="VH26" s="68" t="str">
        <f ca="1">IFERROR(
IF(AND(VALUE(OFFSET(#REF!,VI1+1-1,0))&gt;29999,VALUE(OFFSET(#REF!,VI1+1-1,0))&lt;39999),
IF(AND(VALUE(OFFSET(#REF!,VI1+1,0))&gt;29999,VALUE(OFFSET(#REF!,VI1+1-1,0))&lt;39999),
IF(AND(VALUE(OFFSET(#REF!,VI1+2,0))&gt;29999,VALUE(OFFSET(#REF!,VI1+2,0))&lt;39999),
IF(AND(VALUE(OFFSET(#REF!,VI1+3,0))&gt;29999,VALUE(OFFSET(#REF!,VI1+3,0))&lt;39999),
IF(AND(VALUE(OFFSET(#REF!,VI1+4,0))&gt;29999,VALUE(OFFSET(#REF!,VI1+4,0))&lt;39999),
IF(AND(VALUE(OFFSET(#REF!,VI1+5,0))&gt;29999,VALUE(OFFSET(#REF!,VI1+5,0))&lt;39999),
IF(AND(VALUE(OFFSET(#REF!,VI1+6,0))&gt;29999,VALUE(OFFSET(#REF!,VI1+6,0))&lt;39999),VI1+8,VI1+7),VI1+6),VI1+5),VI1+4),VI1+3),VI1+2),VI1+1),"")</f>
        <v/>
      </c>
      <c r="VI26" s="68" t="str">
        <f ca="1">IFERROR(
VH26+IF(OFFSET(#REF!,VH26-1,2)&lt;&gt;"",0,1),"")</f>
        <v/>
      </c>
      <c r="VL26" t="s">
        <v>4006</v>
      </c>
      <c r="VM26" t="e">
        <f ca="1">VM1</f>
        <v>#VALUE!</v>
      </c>
      <c r="VO26" s="87" t="s">
        <v>4019</v>
      </c>
      <c r="VP26" s="86"/>
      <c r="VQ26" s="86"/>
      <c r="VR26" s="88"/>
      <c r="VS26" s="68" t="str">
        <f ca="1">IFERROR(
IF(AND(VALUE(OFFSET(#REF!,VT1+1-1,0))&gt;29999,VALUE(OFFSET(#REF!,VT1+1-1,0))&lt;39999),
IF(AND(VALUE(OFFSET(#REF!,VT1+1,0))&gt;29999,VALUE(OFFSET(#REF!,VT1+1-1,0))&lt;39999),
IF(AND(VALUE(OFFSET(#REF!,VT1+2,0))&gt;29999,VALUE(OFFSET(#REF!,VT1+2,0))&lt;39999),
IF(AND(VALUE(OFFSET(#REF!,VT1+3,0))&gt;29999,VALUE(OFFSET(#REF!,VT1+3,0))&lt;39999),
IF(AND(VALUE(OFFSET(#REF!,VT1+4,0))&gt;29999,VALUE(OFFSET(#REF!,VT1+4,0))&lt;39999),
IF(AND(VALUE(OFFSET(#REF!,VT1+5,0))&gt;29999,VALUE(OFFSET(#REF!,VT1+5,0))&lt;39999),
IF(AND(VALUE(OFFSET(#REF!,VT1+6,0))&gt;29999,VALUE(OFFSET(#REF!,VT1+6,0))&lt;39999),VT1+8,VT1+7),VT1+6),VT1+5),VT1+4),VT1+3),VT1+2),VT1+1),"")</f>
        <v/>
      </c>
      <c r="VT26" s="68" t="str">
        <f ca="1">IFERROR(
VS26+IF(OFFSET(#REF!,VS26-1,2)&lt;&gt;"",0,1),"")</f>
        <v/>
      </c>
      <c r="VW26" t="s">
        <v>4006</v>
      </c>
      <c r="VX26" t="e">
        <f ca="1">VX1</f>
        <v>#VALUE!</v>
      </c>
      <c r="VZ26" s="87" t="s">
        <v>4019</v>
      </c>
      <c r="WA26" s="86"/>
      <c r="WB26" s="86"/>
      <c r="WC26" s="88"/>
      <c r="WD26" s="68" t="str">
        <f ca="1">IFERROR(
IF(AND(VALUE(OFFSET(#REF!,WE1+1-1,0))&gt;29999,VALUE(OFFSET(#REF!,WE1+1-1,0))&lt;39999),
IF(AND(VALUE(OFFSET(#REF!,WE1+1,0))&gt;29999,VALUE(OFFSET(#REF!,WE1+1-1,0))&lt;39999),
IF(AND(VALUE(OFFSET(#REF!,WE1+2,0))&gt;29999,VALUE(OFFSET(#REF!,WE1+2,0))&lt;39999),
IF(AND(VALUE(OFFSET(#REF!,WE1+3,0))&gt;29999,VALUE(OFFSET(#REF!,WE1+3,0))&lt;39999),
IF(AND(VALUE(OFFSET(#REF!,WE1+4,0))&gt;29999,VALUE(OFFSET(#REF!,WE1+4,0))&lt;39999),
IF(AND(VALUE(OFFSET(#REF!,WE1+5,0))&gt;29999,VALUE(OFFSET(#REF!,WE1+5,0))&lt;39999),
IF(AND(VALUE(OFFSET(#REF!,WE1+6,0))&gt;29999,VALUE(OFFSET(#REF!,WE1+6,0))&lt;39999),WE1+8,WE1+7),WE1+6),WE1+5),WE1+4),WE1+3),WE1+2),WE1+1),"")</f>
        <v/>
      </c>
      <c r="WE26" s="68" t="str">
        <f ca="1">IFERROR(
WD26+IF(OFFSET(#REF!,WD26-1,2)&lt;&gt;"",0,1),"")</f>
        <v/>
      </c>
      <c r="WH26" t="s">
        <v>4006</v>
      </c>
      <c r="WI26" t="e">
        <f ca="1">WI1</f>
        <v>#VALUE!</v>
      </c>
      <c r="WK26" s="87" t="s">
        <v>4019</v>
      </c>
      <c r="WL26" s="86"/>
      <c r="WM26" s="86"/>
      <c r="WN26" s="88"/>
      <c r="WO26" s="68" t="str">
        <f ca="1">IFERROR(
IF(AND(VALUE(OFFSET(#REF!,WP1+1-1,0))&gt;29999,VALUE(OFFSET(#REF!,WP1+1-1,0))&lt;39999),
IF(AND(VALUE(OFFSET(#REF!,WP1+1,0))&gt;29999,VALUE(OFFSET(#REF!,WP1+1-1,0))&lt;39999),
IF(AND(VALUE(OFFSET(#REF!,WP1+2,0))&gt;29999,VALUE(OFFSET(#REF!,WP1+2,0))&lt;39999),
IF(AND(VALUE(OFFSET(#REF!,WP1+3,0))&gt;29999,VALUE(OFFSET(#REF!,WP1+3,0))&lt;39999),
IF(AND(VALUE(OFFSET(#REF!,WP1+4,0))&gt;29999,VALUE(OFFSET(#REF!,WP1+4,0))&lt;39999),
IF(AND(VALUE(OFFSET(#REF!,WP1+5,0))&gt;29999,VALUE(OFFSET(#REF!,WP1+5,0))&lt;39999),
IF(AND(VALUE(OFFSET(#REF!,WP1+6,0))&gt;29999,VALUE(OFFSET(#REF!,WP1+6,0))&lt;39999),WP1+8,WP1+7),WP1+6),WP1+5),WP1+4),WP1+3),WP1+2),WP1+1),"")</f>
        <v/>
      </c>
      <c r="WP26" s="68" t="str">
        <f ca="1">IFERROR(
WO26+IF(OFFSET(#REF!,WO26-1,2)&lt;&gt;"",0,1),"")</f>
        <v/>
      </c>
      <c r="WS26" t="s">
        <v>4006</v>
      </c>
      <c r="WT26" t="e">
        <f ca="1">WT1</f>
        <v>#VALUE!</v>
      </c>
      <c r="WV26" s="87" t="s">
        <v>4019</v>
      </c>
      <c r="WW26" s="86"/>
      <c r="WX26" s="86"/>
      <c r="WY26" s="88"/>
      <c r="WZ26" s="68" t="str">
        <f ca="1">IFERROR(
IF(AND(VALUE(OFFSET(#REF!,XA1+1-1,0))&gt;29999,VALUE(OFFSET(#REF!,XA1+1-1,0))&lt;39999),
IF(AND(VALUE(OFFSET(#REF!,XA1+1,0))&gt;29999,VALUE(OFFSET(#REF!,XA1+1-1,0))&lt;39999),
IF(AND(VALUE(OFFSET(#REF!,XA1+2,0))&gt;29999,VALUE(OFFSET(#REF!,XA1+2,0))&lt;39999),
IF(AND(VALUE(OFFSET(#REF!,XA1+3,0))&gt;29999,VALUE(OFFSET(#REF!,XA1+3,0))&lt;39999),
IF(AND(VALUE(OFFSET(#REF!,XA1+4,0))&gt;29999,VALUE(OFFSET(#REF!,XA1+4,0))&lt;39999),
IF(AND(VALUE(OFFSET(#REF!,XA1+5,0))&gt;29999,VALUE(OFFSET(#REF!,XA1+5,0))&lt;39999),
IF(AND(VALUE(OFFSET(#REF!,XA1+6,0))&gt;29999,VALUE(OFFSET(#REF!,XA1+6,0))&lt;39999),XA1+8,XA1+7),XA1+6),XA1+5),XA1+4),XA1+3),XA1+2),XA1+1),"")</f>
        <v/>
      </c>
      <c r="XA26" s="68" t="str">
        <f ca="1">IFERROR(
WZ26+IF(OFFSET(#REF!,WZ26-1,2)&lt;&gt;"",0,1),"")</f>
        <v/>
      </c>
      <c r="XD26" t="s">
        <v>4006</v>
      </c>
      <c r="XE26" t="e">
        <f ca="1">XE1</f>
        <v>#VALUE!</v>
      </c>
      <c r="XG26" s="87" t="s">
        <v>4019</v>
      </c>
      <c r="XH26" s="86"/>
      <c r="XI26" s="86"/>
      <c r="XJ26" s="88"/>
      <c r="XK26" s="68" t="str">
        <f ca="1">IFERROR(
IF(AND(VALUE(OFFSET(#REF!,XL1+1-1,0))&gt;29999,VALUE(OFFSET(#REF!,XL1+1-1,0))&lt;39999),
IF(AND(VALUE(OFFSET(#REF!,XL1+1,0))&gt;29999,VALUE(OFFSET(#REF!,XL1+1-1,0))&lt;39999),
IF(AND(VALUE(OFFSET(#REF!,XL1+2,0))&gt;29999,VALUE(OFFSET(#REF!,XL1+2,0))&lt;39999),
IF(AND(VALUE(OFFSET(#REF!,XL1+3,0))&gt;29999,VALUE(OFFSET(#REF!,XL1+3,0))&lt;39999),
IF(AND(VALUE(OFFSET(#REF!,XL1+4,0))&gt;29999,VALUE(OFFSET(#REF!,XL1+4,0))&lt;39999),
IF(AND(VALUE(OFFSET(#REF!,XL1+5,0))&gt;29999,VALUE(OFFSET(#REF!,XL1+5,0))&lt;39999),
IF(AND(VALUE(OFFSET(#REF!,XL1+6,0))&gt;29999,VALUE(OFFSET(#REF!,XL1+6,0))&lt;39999),XL1+8,XL1+7),XL1+6),XL1+5),XL1+4),XL1+3),XL1+2),XL1+1),"")</f>
        <v/>
      </c>
      <c r="XL26" s="68" t="str">
        <f ca="1">IFERROR(
XK26+IF(OFFSET(#REF!,XK26-1,2)&lt;&gt;"",0,1),"")</f>
        <v/>
      </c>
      <c r="XO26" t="s">
        <v>4006</v>
      </c>
      <c r="XP26" t="e">
        <f ca="1">XP1</f>
        <v>#VALUE!</v>
      </c>
      <c r="XR26" s="87" t="s">
        <v>4019</v>
      </c>
      <c r="XS26" s="86"/>
      <c r="XT26" s="86"/>
      <c r="XU26" s="88"/>
      <c r="XV26" s="68" t="str">
        <f ca="1">IFERROR(
IF(AND(VALUE(OFFSET(#REF!,XW1+1-1,0))&gt;29999,VALUE(OFFSET(#REF!,XW1+1-1,0))&lt;39999),
IF(AND(VALUE(OFFSET(#REF!,XW1+1,0))&gt;29999,VALUE(OFFSET(#REF!,XW1+1-1,0))&lt;39999),
IF(AND(VALUE(OFFSET(#REF!,XW1+2,0))&gt;29999,VALUE(OFFSET(#REF!,XW1+2,0))&lt;39999),
IF(AND(VALUE(OFFSET(#REF!,XW1+3,0))&gt;29999,VALUE(OFFSET(#REF!,XW1+3,0))&lt;39999),
IF(AND(VALUE(OFFSET(#REF!,XW1+4,0))&gt;29999,VALUE(OFFSET(#REF!,XW1+4,0))&lt;39999),
IF(AND(VALUE(OFFSET(#REF!,XW1+5,0))&gt;29999,VALUE(OFFSET(#REF!,XW1+5,0))&lt;39999),
IF(AND(VALUE(OFFSET(#REF!,XW1+6,0))&gt;29999,VALUE(OFFSET(#REF!,XW1+6,0))&lt;39999),XW1+8,XW1+7),XW1+6),XW1+5),XW1+4),XW1+3),XW1+2),XW1+1),"")</f>
        <v/>
      </c>
      <c r="XW26" s="68" t="str">
        <f ca="1">IFERROR(
XV26+IF(OFFSET(#REF!,XV26-1,2)&lt;&gt;"",0,1),"")</f>
        <v/>
      </c>
      <c r="XZ26" t="s">
        <v>4006</v>
      </c>
      <c r="YA26" t="e">
        <f ca="1">YA1</f>
        <v>#VALUE!</v>
      </c>
      <c r="YC26" s="87" t="s">
        <v>4019</v>
      </c>
      <c r="YD26" s="86"/>
      <c r="YE26" s="86"/>
      <c r="YF26" s="88"/>
      <c r="YG26" s="68" t="str">
        <f ca="1">IFERROR(
IF(AND(VALUE(OFFSET(#REF!,YH1+1-1,0))&gt;29999,VALUE(OFFSET(#REF!,YH1+1-1,0))&lt;39999),
IF(AND(VALUE(OFFSET(#REF!,YH1+1,0))&gt;29999,VALUE(OFFSET(#REF!,YH1+1-1,0))&lt;39999),
IF(AND(VALUE(OFFSET(#REF!,YH1+2,0))&gt;29999,VALUE(OFFSET(#REF!,YH1+2,0))&lt;39999),
IF(AND(VALUE(OFFSET(#REF!,YH1+3,0))&gt;29999,VALUE(OFFSET(#REF!,YH1+3,0))&lt;39999),
IF(AND(VALUE(OFFSET(#REF!,YH1+4,0))&gt;29999,VALUE(OFFSET(#REF!,YH1+4,0))&lt;39999),
IF(AND(VALUE(OFFSET(#REF!,YH1+5,0))&gt;29999,VALUE(OFFSET(#REF!,YH1+5,0))&lt;39999),
IF(AND(VALUE(OFFSET(#REF!,YH1+6,0))&gt;29999,VALUE(OFFSET(#REF!,YH1+6,0))&lt;39999),YH1+8,YH1+7),YH1+6),YH1+5),YH1+4),YH1+3),YH1+2),YH1+1),"")</f>
        <v/>
      </c>
      <c r="YH26" s="68" t="str">
        <f ca="1">IFERROR(
YG26+IF(OFFSET(#REF!,YG26-1,2)&lt;&gt;"",0,1),"")</f>
        <v/>
      </c>
      <c r="YK26" t="s">
        <v>4006</v>
      </c>
      <c r="YL26" t="e">
        <f ca="1">YL1</f>
        <v>#VALUE!</v>
      </c>
      <c r="YN26" s="87" t="s">
        <v>4019</v>
      </c>
      <c r="YO26" s="86"/>
      <c r="YP26" s="86"/>
      <c r="YQ26" s="88"/>
      <c r="YR26" s="68" t="str">
        <f ca="1">IFERROR(
IF(AND(VALUE(OFFSET(#REF!,YS1+1-1,0))&gt;29999,VALUE(OFFSET(#REF!,YS1+1-1,0))&lt;39999),
IF(AND(VALUE(OFFSET(#REF!,YS1+1,0))&gt;29999,VALUE(OFFSET(#REF!,YS1+1-1,0))&lt;39999),
IF(AND(VALUE(OFFSET(#REF!,YS1+2,0))&gt;29999,VALUE(OFFSET(#REF!,YS1+2,0))&lt;39999),
IF(AND(VALUE(OFFSET(#REF!,YS1+3,0))&gt;29999,VALUE(OFFSET(#REF!,YS1+3,0))&lt;39999),
IF(AND(VALUE(OFFSET(#REF!,YS1+4,0))&gt;29999,VALUE(OFFSET(#REF!,YS1+4,0))&lt;39999),
IF(AND(VALUE(OFFSET(#REF!,YS1+5,0))&gt;29999,VALUE(OFFSET(#REF!,YS1+5,0))&lt;39999),
IF(AND(VALUE(OFFSET(#REF!,YS1+6,0))&gt;29999,VALUE(OFFSET(#REF!,YS1+6,0))&lt;39999),YS1+8,YS1+7),YS1+6),YS1+5),YS1+4),YS1+3),YS1+2),YS1+1),"")</f>
        <v/>
      </c>
      <c r="YS26" s="68" t="str">
        <f ca="1">IFERROR(
YR26+IF(OFFSET(#REF!,YR26-1,2)&lt;&gt;"",0,1),"")</f>
        <v/>
      </c>
      <c r="YV26" t="s">
        <v>4006</v>
      </c>
      <c r="YW26" t="e">
        <f ca="1">YW1</f>
        <v>#VALUE!</v>
      </c>
      <c r="YY26" s="87" t="s">
        <v>4019</v>
      </c>
      <c r="YZ26" s="86"/>
      <c r="ZA26" s="86"/>
      <c r="ZB26" s="88"/>
      <c r="ZC26" s="68" t="str">
        <f ca="1">IFERROR(
IF(AND(VALUE(OFFSET(#REF!,ZD1+1-1,0))&gt;29999,VALUE(OFFSET(#REF!,ZD1+1-1,0))&lt;39999),
IF(AND(VALUE(OFFSET(#REF!,ZD1+1,0))&gt;29999,VALUE(OFFSET(#REF!,ZD1+1-1,0))&lt;39999),
IF(AND(VALUE(OFFSET(#REF!,ZD1+2,0))&gt;29999,VALUE(OFFSET(#REF!,ZD1+2,0))&lt;39999),
IF(AND(VALUE(OFFSET(#REF!,ZD1+3,0))&gt;29999,VALUE(OFFSET(#REF!,ZD1+3,0))&lt;39999),
IF(AND(VALUE(OFFSET(#REF!,ZD1+4,0))&gt;29999,VALUE(OFFSET(#REF!,ZD1+4,0))&lt;39999),
IF(AND(VALUE(OFFSET(#REF!,ZD1+5,0))&gt;29999,VALUE(OFFSET(#REF!,ZD1+5,0))&lt;39999),
IF(AND(VALUE(OFFSET(#REF!,ZD1+6,0))&gt;29999,VALUE(OFFSET(#REF!,ZD1+6,0))&lt;39999),ZD1+8,ZD1+7),ZD1+6),ZD1+5),ZD1+4),ZD1+3),ZD1+2),ZD1+1),"")</f>
        <v/>
      </c>
      <c r="ZD26" s="68" t="str">
        <f ca="1">IFERROR(
ZC26+IF(OFFSET(#REF!,ZC26-1,2)&lt;&gt;"",0,1),"")</f>
        <v/>
      </c>
      <c r="ZG26" t="s">
        <v>4006</v>
      </c>
      <c r="ZH26" t="e">
        <f ca="1">ZH1</f>
        <v>#VALUE!</v>
      </c>
      <c r="ZJ26" s="87" t="s">
        <v>4019</v>
      </c>
      <c r="ZK26" s="86"/>
      <c r="ZL26" s="86"/>
      <c r="ZM26" s="88"/>
      <c r="ZN26" s="68" t="str">
        <f ca="1">IFERROR(
IF(AND(VALUE(OFFSET(#REF!,ZO1+1-1,0))&gt;29999,VALUE(OFFSET(#REF!,ZO1+1-1,0))&lt;39999),
IF(AND(VALUE(OFFSET(#REF!,ZO1+1,0))&gt;29999,VALUE(OFFSET(#REF!,ZO1+1-1,0))&lt;39999),
IF(AND(VALUE(OFFSET(#REF!,ZO1+2,0))&gt;29999,VALUE(OFFSET(#REF!,ZO1+2,0))&lt;39999),
IF(AND(VALUE(OFFSET(#REF!,ZO1+3,0))&gt;29999,VALUE(OFFSET(#REF!,ZO1+3,0))&lt;39999),
IF(AND(VALUE(OFFSET(#REF!,ZO1+4,0))&gt;29999,VALUE(OFFSET(#REF!,ZO1+4,0))&lt;39999),
IF(AND(VALUE(OFFSET(#REF!,ZO1+5,0))&gt;29999,VALUE(OFFSET(#REF!,ZO1+5,0))&lt;39999),
IF(AND(VALUE(OFFSET(#REF!,ZO1+6,0))&gt;29999,VALUE(OFFSET(#REF!,ZO1+6,0))&lt;39999),ZO1+8,ZO1+7),ZO1+6),ZO1+5),ZO1+4),ZO1+3),ZO1+2),ZO1+1),"")</f>
        <v/>
      </c>
      <c r="ZO26" s="68" t="str">
        <f ca="1">IFERROR(
ZN26+IF(OFFSET(#REF!,ZN26-1,2)&lt;&gt;"",0,1),"")</f>
        <v/>
      </c>
      <c r="ZR26" t="s">
        <v>4006</v>
      </c>
      <c r="ZS26" t="e">
        <f ca="1">ZS1</f>
        <v>#VALUE!</v>
      </c>
      <c r="ZU26" s="87" t="s">
        <v>4019</v>
      </c>
      <c r="ZV26" s="86"/>
      <c r="ZW26" s="86"/>
      <c r="ZX26" s="88"/>
      <c r="ZY26" s="68" t="str">
        <f ca="1">IFERROR(
IF(AND(VALUE(OFFSET(#REF!,ZZ1+1-1,0))&gt;29999,VALUE(OFFSET(#REF!,ZZ1+1-1,0))&lt;39999),
IF(AND(VALUE(OFFSET(#REF!,ZZ1+1,0))&gt;29999,VALUE(OFFSET(#REF!,ZZ1+1-1,0))&lt;39999),
IF(AND(VALUE(OFFSET(#REF!,ZZ1+2,0))&gt;29999,VALUE(OFFSET(#REF!,ZZ1+2,0))&lt;39999),
IF(AND(VALUE(OFFSET(#REF!,ZZ1+3,0))&gt;29999,VALUE(OFFSET(#REF!,ZZ1+3,0))&lt;39999),
IF(AND(VALUE(OFFSET(#REF!,ZZ1+4,0))&gt;29999,VALUE(OFFSET(#REF!,ZZ1+4,0))&lt;39999),
IF(AND(VALUE(OFFSET(#REF!,ZZ1+5,0))&gt;29999,VALUE(OFFSET(#REF!,ZZ1+5,0))&lt;39999),
IF(AND(VALUE(OFFSET(#REF!,ZZ1+6,0))&gt;29999,VALUE(OFFSET(#REF!,ZZ1+6,0))&lt;39999),ZZ1+8,ZZ1+7),ZZ1+6),ZZ1+5),ZZ1+4),ZZ1+3),ZZ1+2),ZZ1+1),"")</f>
        <v/>
      </c>
      <c r="ZZ26" s="68" t="str">
        <f ca="1">IFERROR(
ZY26+IF(OFFSET(#REF!,ZY26-1,2)&lt;&gt;"",0,1),"")</f>
        <v/>
      </c>
      <c r="AAC26" t="s">
        <v>4006</v>
      </c>
      <c r="AAD26" t="e">
        <f ca="1">AAD1</f>
        <v>#VALUE!</v>
      </c>
      <c r="AAF26" s="87" t="s">
        <v>4019</v>
      </c>
      <c r="AAG26" s="86"/>
      <c r="AAH26" s="86"/>
      <c r="AAI26" s="88"/>
      <c r="AAJ26" s="68" t="str">
        <f ca="1">IFERROR(
IF(AND(VALUE(OFFSET(#REF!,AAK1+1-1,0))&gt;29999,VALUE(OFFSET(#REF!,AAK1+1-1,0))&lt;39999),
IF(AND(VALUE(OFFSET(#REF!,AAK1+1,0))&gt;29999,VALUE(OFFSET(#REF!,AAK1+1-1,0))&lt;39999),
IF(AND(VALUE(OFFSET(#REF!,AAK1+2,0))&gt;29999,VALUE(OFFSET(#REF!,AAK1+2,0))&lt;39999),
IF(AND(VALUE(OFFSET(#REF!,AAK1+3,0))&gt;29999,VALUE(OFFSET(#REF!,AAK1+3,0))&lt;39999),
IF(AND(VALUE(OFFSET(#REF!,AAK1+4,0))&gt;29999,VALUE(OFFSET(#REF!,AAK1+4,0))&lt;39999),
IF(AND(VALUE(OFFSET(#REF!,AAK1+5,0))&gt;29999,VALUE(OFFSET(#REF!,AAK1+5,0))&lt;39999),
IF(AND(VALUE(OFFSET(#REF!,AAK1+6,0))&gt;29999,VALUE(OFFSET(#REF!,AAK1+6,0))&lt;39999),AAK1+8,AAK1+7),AAK1+6),AAK1+5),AAK1+4),AAK1+3),AAK1+2),AAK1+1),"")</f>
        <v/>
      </c>
      <c r="AAK26" s="68" t="str">
        <f ca="1">IFERROR(
AAJ26+IF(OFFSET(#REF!,AAJ26-1,2)&lt;&gt;"",0,1),"")</f>
        <v/>
      </c>
      <c r="AAN26" t="s">
        <v>4006</v>
      </c>
      <c r="AAO26" t="e">
        <f ca="1">AAO1</f>
        <v>#VALUE!</v>
      </c>
      <c r="AAQ26" s="87" t="s">
        <v>4019</v>
      </c>
      <c r="AAR26" s="86"/>
      <c r="AAS26" s="86"/>
      <c r="AAT26" s="88"/>
      <c r="AAU26" s="68" t="str">
        <f ca="1">IFERROR(
IF(AND(VALUE(OFFSET(#REF!,AAV1+1-1,0))&gt;29999,VALUE(OFFSET(#REF!,AAV1+1-1,0))&lt;39999),
IF(AND(VALUE(OFFSET(#REF!,AAV1+1,0))&gt;29999,VALUE(OFFSET(#REF!,AAV1+1-1,0))&lt;39999),
IF(AND(VALUE(OFFSET(#REF!,AAV1+2,0))&gt;29999,VALUE(OFFSET(#REF!,AAV1+2,0))&lt;39999),
IF(AND(VALUE(OFFSET(#REF!,AAV1+3,0))&gt;29999,VALUE(OFFSET(#REF!,AAV1+3,0))&lt;39999),
IF(AND(VALUE(OFFSET(#REF!,AAV1+4,0))&gt;29999,VALUE(OFFSET(#REF!,AAV1+4,0))&lt;39999),
IF(AND(VALUE(OFFSET(#REF!,AAV1+5,0))&gt;29999,VALUE(OFFSET(#REF!,AAV1+5,0))&lt;39999),
IF(AND(VALUE(OFFSET(#REF!,AAV1+6,0))&gt;29999,VALUE(OFFSET(#REF!,AAV1+6,0))&lt;39999),AAV1+8,AAV1+7),AAV1+6),AAV1+5),AAV1+4),AAV1+3),AAV1+2),AAV1+1),"")</f>
        <v/>
      </c>
      <c r="AAV26" s="68" t="str">
        <f ca="1">IFERROR(
AAU26+IF(OFFSET(#REF!,AAU26-1,2)&lt;&gt;"",0,1),"")</f>
        <v/>
      </c>
      <c r="AAY26" t="s">
        <v>4006</v>
      </c>
      <c r="AAZ26" t="e">
        <f ca="1">AAZ1</f>
        <v>#VALUE!</v>
      </c>
      <c r="ABB26" s="87" t="s">
        <v>4019</v>
      </c>
      <c r="ABC26" s="86"/>
      <c r="ABD26" s="86"/>
      <c r="ABE26" s="88"/>
      <c r="ABF26" s="68" t="str">
        <f ca="1">IFERROR(
IF(AND(VALUE(OFFSET(#REF!,ABG1+1-1,0))&gt;29999,VALUE(OFFSET(#REF!,ABG1+1-1,0))&lt;39999),
IF(AND(VALUE(OFFSET(#REF!,ABG1+1,0))&gt;29999,VALUE(OFFSET(#REF!,ABG1+1-1,0))&lt;39999),
IF(AND(VALUE(OFFSET(#REF!,ABG1+2,0))&gt;29999,VALUE(OFFSET(#REF!,ABG1+2,0))&lt;39999),
IF(AND(VALUE(OFFSET(#REF!,ABG1+3,0))&gt;29999,VALUE(OFFSET(#REF!,ABG1+3,0))&lt;39999),
IF(AND(VALUE(OFFSET(#REF!,ABG1+4,0))&gt;29999,VALUE(OFFSET(#REF!,ABG1+4,0))&lt;39999),
IF(AND(VALUE(OFFSET(#REF!,ABG1+5,0))&gt;29999,VALUE(OFFSET(#REF!,ABG1+5,0))&lt;39999),
IF(AND(VALUE(OFFSET(#REF!,ABG1+6,0))&gt;29999,VALUE(OFFSET(#REF!,ABG1+6,0))&lt;39999),ABG1+8,ABG1+7),ABG1+6),ABG1+5),ABG1+4),ABG1+3),ABG1+2),ABG1+1),"")</f>
        <v/>
      </c>
      <c r="ABG26" s="68" t="str">
        <f ca="1">IFERROR(
ABF26+IF(OFFSET(#REF!,ABF26-1,2)&lt;&gt;"",0,1),"")</f>
        <v/>
      </c>
      <c r="ABJ26" t="s">
        <v>4006</v>
      </c>
      <c r="ABK26" t="e">
        <f ca="1">ABK1</f>
        <v>#VALUE!</v>
      </c>
      <c r="ABM26" s="87" t="s">
        <v>4019</v>
      </c>
      <c r="ABN26" s="86"/>
      <c r="ABO26" s="86"/>
      <c r="ABP26" s="88"/>
      <c r="ABQ26" s="68" t="str">
        <f ca="1">IFERROR(
IF(AND(VALUE(OFFSET(#REF!,ABR1+1-1,0))&gt;29999,VALUE(OFFSET(#REF!,ABR1+1-1,0))&lt;39999),
IF(AND(VALUE(OFFSET(#REF!,ABR1+1,0))&gt;29999,VALUE(OFFSET(#REF!,ABR1+1-1,0))&lt;39999),
IF(AND(VALUE(OFFSET(#REF!,ABR1+2,0))&gt;29999,VALUE(OFFSET(#REF!,ABR1+2,0))&lt;39999),
IF(AND(VALUE(OFFSET(#REF!,ABR1+3,0))&gt;29999,VALUE(OFFSET(#REF!,ABR1+3,0))&lt;39999),
IF(AND(VALUE(OFFSET(#REF!,ABR1+4,0))&gt;29999,VALUE(OFFSET(#REF!,ABR1+4,0))&lt;39999),
IF(AND(VALUE(OFFSET(#REF!,ABR1+5,0))&gt;29999,VALUE(OFFSET(#REF!,ABR1+5,0))&lt;39999),
IF(AND(VALUE(OFFSET(#REF!,ABR1+6,0))&gt;29999,VALUE(OFFSET(#REF!,ABR1+6,0))&lt;39999),ABR1+8,ABR1+7),ABR1+6),ABR1+5),ABR1+4),ABR1+3),ABR1+2),ABR1+1),"")</f>
        <v/>
      </c>
      <c r="ABR26" s="68" t="str">
        <f ca="1">IFERROR(
ABQ26+IF(OFFSET(#REF!,ABQ26-1,2)&lt;&gt;"",0,1),"")</f>
        <v/>
      </c>
      <c r="ABU26" t="s">
        <v>4006</v>
      </c>
      <c r="ABV26" t="e">
        <f ca="1">ABV1</f>
        <v>#VALUE!</v>
      </c>
      <c r="ABX26" s="87" t="s">
        <v>4019</v>
      </c>
      <c r="ABY26" s="86"/>
      <c r="ABZ26" s="86"/>
      <c r="ACA26" s="88"/>
      <c r="ACB26" s="68" t="str">
        <f ca="1">IFERROR(
IF(AND(VALUE(OFFSET(#REF!,ACC1+1-1,0))&gt;29999,VALUE(OFFSET(#REF!,ACC1+1-1,0))&lt;39999),
IF(AND(VALUE(OFFSET(#REF!,ACC1+1,0))&gt;29999,VALUE(OFFSET(#REF!,ACC1+1-1,0))&lt;39999),
IF(AND(VALUE(OFFSET(#REF!,ACC1+2,0))&gt;29999,VALUE(OFFSET(#REF!,ACC1+2,0))&lt;39999),
IF(AND(VALUE(OFFSET(#REF!,ACC1+3,0))&gt;29999,VALUE(OFFSET(#REF!,ACC1+3,0))&lt;39999),
IF(AND(VALUE(OFFSET(#REF!,ACC1+4,0))&gt;29999,VALUE(OFFSET(#REF!,ACC1+4,0))&lt;39999),
IF(AND(VALUE(OFFSET(#REF!,ACC1+5,0))&gt;29999,VALUE(OFFSET(#REF!,ACC1+5,0))&lt;39999),
IF(AND(VALUE(OFFSET(#REF!,ACC1+6,0))&gt;29999,VALUE(OFFSET(#REF!,ACC1+6,0))&lt;39999),ACC1+8,ACC1+7),ACC1+6),ACC1+5),ACC1+4),ACC1+3),ACC1+2),ACC1+1),"")</f>
        <v/>
      </c>
      <c r="ACC26" s="68" t="str">
        <f ca="1">IFERROR(
ACB26+IF(OFFSET(#REF!,ACB26-1,2)&lt;&gt;"",0,1),"")</f>
        <v/>
      </c>
      <c r="ACF26" t="s">
        <v>4006</v>
      </c>
      <c r="ACG26" t="e">
        <f ca="1">ACG1</f>
        <v>#VALUE!</v>
      </c>
      <c r="ACI26" s="87" t="s">
        <v>4019</v>
      </c>
      <c r="ACJ26" s="86"/>
      <c r="ACK26" s="86"/>
      <c r="ACL26" s="88"/>
      <c r="ACM26" s="68" t="str">
        <f ca="1">IFERROR(
IF(AND(VALUE(OFFSET(#REF!,ACN1+1-1,0))&gt;29999,VALUE(OFFSET(#REF!,ACN1+1-1,0))&lt;39999),
IF(AND(VALUE(OFFSET(#REF!,ACN1+1,0))&gt;29999,VALUE(OFFSET(#REF!,ACN1+1-1,0))&lt;39999),
IF(AND(VALUE(OFFSET(#REF!,ACN1+2,0))&gt;29999,VALUE(OFFSET(#REF!,ACN1+2,0))&lt;39999),
IF(AND(VALUE(OFFSET(#REF!,ACN1+3,0))&gt;29999,VALUE(OFFSET(#REF!,ACN1+3,0))&lt;39999),
IF(AND(VALUE(OFFSET(#REF!,ACN1+4,0))&gt;29999,VALUE(OFFSET(#REF!,ACN1+4,0))&lt;39999),
IF(AND(VALUE(OFFSET(#REF!,ACN1+5,0))&gt;29999,VALUE(OFFSET(#REF!,ACN1+5,0))&lt;39999),
IF(AND(VALUE(OFFSET(#REF!,ACN1+6,0))&gt;29999,VALUE(OFFSET(#REF!,ACN1+6,0))&lt;39999),ACN1+8,ACN1+7),ACN1+6),ACN1+5),ACN1+4),ACN1+3),ACN1+2),ACN1+1),"")</f>
        <v/>
      </c>
      <c r="ACN26" s="68" t="str">
        <f ca="1">IFERROR(
ACM26+IF(OFFSET(#REF!,ACM26-1,2)&lt;&gt;"",0,1),"")</f>
        <v/>
      </c>
      <c r="ACQ26" t="s">
        <v>4006</v>
      </c>
      <c r="ACR26" t="e">
        <f ca="1">ACR1</f>
        <v>#VALUE!</v>
      </c>
      <c r="ACT26" s="87" t="s">
        <v>4019</v>
      </c>
      <c r="ACU26" s="86"/>
      <c r="ACV26" s="86"/>
      <c r="ACW26" s="88"/>
      <c r="ACX26" s="68" t="str">
        <f ca="1">IFERROR(
IF(AND(VALUE(OFFSET(#REF!,ACY1+1-1,0))&gt;29999,VALUE(OFFSET(#REF!,ACY1+1-1,0))&lt;39999),
IF(AND(VALUE(OFFSET(#REF!,ACY1+1,0))&gt;29999,VALUE(OFFSET(#REF!,ACY1+1-1,0))&lt;39999),
IF(AND(VALUE(OFFSET(#REF!,ACY1+2,0))&gt;29999,VALUE(OFFSET(#REF!,ACY1+2,0))&lt;39999),
IF(AND(VALUE(OFFSET(#REF!,ACY1+3,0))&gt;29999,VALUE(OFFSET(#REF!,ACY1+3,0))&lt;39999),
IF(AND(VALUE(OFFSET(#REF!,ACY1+4,0))&gt;29999,VALUE(OFFSET(#REF!,ACY1+4,0))&lt;39999),
IF(AND(VALUE(OFFSET(#REF!,ACY1+5,0))&gt;29999,VALUE(OFFSET(#REF!,ACY1+5,0))&lt;39999),
IF(AND(VALUE(OFFSET(#REF!,ACY1+6,0))&gt;29999,VALUE(OFFSET(#REF!,ACY1+6,0))&lt;39999),ACY1+8,ACY1+7),ACY1+6),ACY1+5),ACY1+4),ACY1+3),ACY1+2),ACY1+1),"")</f>
        <v/>
      </c>
      <c r="ACY26" s="68" t="str">
        <f ca="1">IFERROR(
ACX26+IF(OFFSET(#REF!,ACX26-1,2)&lt;&gt;"",0,1),"")</f>
        <v/>
      </c>
      <c r="ADB26" t="s">
        <v>4006</v>
      </c>
      <c r="ADC26" t="e">
        <f ca="1">ADC1</f>
        <v>#VALUE!</v>
      </c>
      <c r="ADE26" s="87" t="s">
        <v>4019</v>
      </c>
      <c r="ADF26" s="86"/>
      <c r="ADG26" s="86"/>
      <c r="ADH26" s="88"/>
      <c r="ADI26" s="68" t="str">
        <f ca="1">IFERROR(
IF(AND(VALUE(OFFSET(#REF!,ADJ1+1-1,0))&gt;29999,VALUE(OFFSET(#REF!,ADJ1+1-1,0))&lt;39999),
IF(AND(VALUE(OFFSET(#REF!,ADJ1+1,0))&gt;29999,VALUE(OFFSET(#REF!,ADJ1+1-1,0))&lt;39999),
IF(AND(VALUE(OFFSET(#REF!,ADJ1+2,0))&gt;29999,VALUE(OFFSET(#REF!,ADJ1+2,0))&lt;39999),
IF(AND(VALUE(OFFSET(#REF!,ADJ1+3,0))&gt;29999,VALUE(OFFSET(#REF!,ADJ1+3,0))&lt;39999),
IF(AND(VALUE(OFFSET(#REF!,ADJ1+4,0))&gt;29999,VALUE(OFFSET(#REF!,ADJ1+4,0))&lt;39999),
IF(AND(VALUE(OFFSET(#REF!,ADJ1+5,0))&gt;29999,VALUE(OFFSET(#REF!,ADJ1+5,0))&lt;39999),
IF(AND(VALUE(OFFSET(#REF!,ADJ1+6,0))&gt;29999,VALUE(OFFSET(#REF!,ADJ1+6,0))&lt;39999),ADJ1+8,ADJ1+7),ADJ1+6),ADJ1+5),ADJ1+4),ADJ1+3),ADJ1+2),ADJ1+1),"")</f>
        <v/>
      </c>
      <c r="ADJ26" s="68" t="str">
        <f ca="1">IFERROR(
ADI26+IF(OFFSET(#REF!,ADI26-1,2)&lt;&gt;"",0,1),"")</f>
        <v/>
      </c>
    </row>
    <row r="27" spans="1:793" x14ac:dyDescent="0.45">
      <c r="E27" s="85" t="str">
        <f>IF(E2&lt;&gt;"",E2,"")</f>
        <v xml:space="preserve">2025 年 11 月 19 日 </v>
      </c>
      <c r="F27" s="86"/>
      <c r="G27" s="86"/>
      <c r="P27" s="85" t="str">
        <f>IF(P2&lt;&gt;"",P2,"")</f>
        <v xml:space="preserve">2025 年 11 月 19 日 </v>
      </c>
      <c r="Q27" s="86"/>
      <c r="R27" s="86"/>
      <c r="S27" s="68"/>
      <c r="T27" s="68"/>
      <c r="AA27" s="85" t="str">
        <f>IF(AA2&lt;&gt;"",AA2,"")</f>
        <v xml:space="preserve">2025 年 11 月 19 日 </v>
      </c>
      <c r="AB27" s="86"/>
      <c r="AC27" s="86"/>
      <c r="AD27" s="68"/>
      <c r="AE27" s="68"/>
      <c r="AL27" s="85" t="str">
        <f>IF(AL2&lt;&gt;"",AL2,"")</f>
        <v xml:space="preserve">2025 年 11 月 19 日 </v>
      </c>
      <c r="AM27" s="86"/>
      <c r="AN27" s="86"/>
      <c r="AO27" s="68"/>
      <c r="AP27" s="68"/>
      <c r="AW27" s="85" t="str">
        <f>IF(AW2&lt;&gt;"",AW2,"")</f>
        <v xml:space="preserve">2025 年 11 月 19 日 </v>
      </c>
      <c r="AX27" s="86"/>
      <c r="AY27" s="86"/>
      <c r="AZ27" s="68"/>
      <c r="BA27" s="68"/>
      <c r="BH27" s="85" t="str">
        <f>IF(BH2&lt;&gt;"",BH2,"")</f>
        <v xml:space="preserve">2025 年 11 月 19 日 </v>
      </c>
      <c r="BI27" s="86"/>
      <c r="BJ27" s="86"/>
      <c r="BK27" s="68"/>
      <c r="BL27" s="68"/>
      <c r="BS27" s="85" t="str">
        <f>IF(BS2&lt;&gt;"",BS2,"")</f>
        <v xml:space="preserve">2025 年 11 月 19 日 </v>
      </c>
      <c r="BT27" s="86"/>
      <c r="BU27" s="86"/>
      <c r="BV27" s="68"/>
      <c r="BW27" s="68"/>
      <c r="CD27" s="85" t="str">
        <f>IF(CD2&lt;&gt;"",CD2,"")</f>
        <v xml:space="preserve">2025 年 11 月 19 日 </v>
      </c>
      <c r="CE27" s="86"/>
      <c r="CF27" s="86"/>
      <c r="CG27" s="68"/>
      <c r="CH27" s="68"/>
      <c r="CO27" s="85" t="str">
        <f>IF(CO2&lt;&gt;"",CO2,"")</f>
        <v xml:space="preserve">2025 年 11 月 19 日 </v>
      </c>
      <c r="CP27" s="86"/>
      <c r="CQ27" s="86"/>
      <c r="CR27" s="68"/>
      <c r="CS27" s="68"/>
      <c r="CZ27" s="85" t="str">
        <f>IF(CZ2&lt;&gt;"",CZ2,"")</f>
        <v xml:space="preserve">2025 年 11 月 19 日 </v>
      </c>
      <c r="DA27" s="86"/>
      <c r="DB27" s="86"/>
      <c r="DC27" s="68"/>
      <c r="DD27" s="68"/>
      <c r="DK27" s="85" t="str">
        <f>IF(DK2&lt;&gt;"",DK2,"")</f>
        <v xml:space="preserve">2025 年 11 月 19 日 </v>
      </c>
      <c r="DL27" s="86"/>
      <c r="DM27" s="86"/>
      <c r="DN27" s="68"/>
      <c r="DO27" s="68"/>
      <c r="DV27" s="85" t="str">
        <f>IF(DV2&lt;&gt;"",DV2,"")</f>
        <v xml:space="preserve">2025 年 11 月 19 日 </v>
      </c>
      <c r="DW27" s="86"/>
      <c r="DX27" s="86"/>
      <c r="DY27" s="68"/>
      <c r="DZ27" s="68"/>
      <c r="EG27" s="85" t="str">
        <f>IF(EG2&lt;&gt;"",EG2,"")</f>
        <v xml:space="preserve">2025 年 11 月 19 日 </v>
      </c>
      <c r="EH27" s="86"/>
      <c r="EI27" s="86"/>
      <c r="EJ27" s="68"/>
      <c r="EK27" s="68"/>
      <c r="ER27" s="85" t="str">
        <f>IF(ER2&lt;&gt;"",ER2,"")</f>
        <v xml:space="preserve">2025 年 11 月 19 日 </v>
      </c>
      <c r="ES27" s="86"/>
      <c r="ET27" s="86"/>
      <c r="EU27" s="68"/>
      <c r="EV27" s="68"/>
      <c r="FC27" s="85" t="str">
        <f>IF(FC2&lt;&gt;"",FC2,"")</f>
        <v xml:space="preserve">2025 年 11 月 19 日 </v>
      </c>
      <c r="FD27" s="86"/>
      <c r="FE27" s="86"/>
      <c r="FF27" s="68"/>
      <c r="FG27" s="68"/>
      <c r="FN27" s="85" t="str">
        <f>IF(FN2&lt;&gt;"",FN2,"")</f>
        <v xml:space="preserve">2025 年 11 月 19 日 </v>
      </c>
      <c r="FO27" s="86"/>
      <c r="FP27" s="86"/>
      <c r="FQ27" s="68"/>
      <c r="FR27" s="68"/>
      <c r="FY27" s="85" t="str">
        <f>IF(FY2&lt;&gt;"",FY2,"")</f>
        <v xml:space="preserve">2025 年 11 月 19 日 </v>
      </c>
      <c r="FZ27" s="86"/>
      <c r="GA27" s="86"/>
      <c r="GB27" s="68"/>
      <c r="GC27" s="68"/>
      <c r="GJ27" s="85" t="str">
        <f>IF(GJ2&lt;&gt;"",GJ2,"")</f>
        <v xml:space="preserve">2025 年 11 月 19 日 </v>
      </c>
      <c r="GK27" s="86"/>
      <c r="GL27" s="86"/>
      <c r="GM27" s="68"/>
      <c r="GN27" s="68"/>
      <c r="GU27" s="85" t="str">
        <f>IF(GU2&lt;&gt;"",GU2,"")</f>
        <v xml:space="preserve">2025 年 11 月 19 日 </v>
      </c>
      <c r="GV27" s="86"/>
      <c r="GW27" s="86"/>
      <c r="GX27" s="68"/>
      <c r="GY27" s="68"/>
      <c r="HF27" s="85" t="str">
        <f>IF(HF2&lt;&gt;"",HF2,"")</f>
        <v xml:space="preserve">2025 年 11 月 19 日 </v>
      </c>
      <c r="HG27" s="86"/>
      <c r="HH27" s="86"/>
      <c r="HI27" s="68"/>
      <c r="HJ27" s="68"/>
      <c r="HQ27" s="85" t="str">
        <f>IF(HQ2&lt;&gt;"",HQ2,"")</f>
        <v xml:space="preserve">2025 年 11 月 19 日 </v>
      </c>
      <c r="HR27" s="86"/>
      <c r="HS27" s="86"/>
      <c r="HT27" s="68"/>
      <c r="HU27" s="68"/>
      <c r="IB27" s="85" t="str">
        <f>IF(IB2&lt;&gt;"",IB2,"")</f>
        <v xml:space="preserve">2025 年 11 月 19 日 </v>
      </c>
      <c r="IC27" s="86"/>
      <c r="ID27" s="86"/>
      <c r="IE27" s="68"/>
      <c r="IF27" s="68"/>
      <c r="IM27" s="85" t="str">
        <f>IF(IM2&lt;&gt;"",IM2,"")</f>
        <v xml:space="preserve">2025 年 11 月 19 日 </v>
      </c>
      <c r="IN27" s="86"/>
      <c r="IO27" s="86"/>
      <c r="IP27" s="68"/>
      <c r="IQ27" s="68"/>
      <c r="IX27" s="85" t="str">
        <f>IF(IX2&lt;&gt;"",IX2,"")</f>
        <v xml:space="preserve">2025 年 11 月 19 日 </v>
      </c>
      <c r="IY27" s="86"/>
      <c r="IZ27" s="86"/>
      <c r="JA27" s="68"/>
      <c r="JB27" s="68"/>
      <c r="JI27" s="85" t="str">
        <f>IF(JI2&lt;&gt;"",JI2,"")</f>
        <v xml:space="preserve">2025 年 11 月 19 日 </v>
      </c>
      <c r="JJ27" s="86"/>
      <c r="JK27" s="86"/>
      <c r="JL27" s="68"/>
      <c r="JM27" s="68"/>
      <c r="JT27" s="85" t="str">
        <f>IF(JT2&lt;&gt;"",JT2,"")</f>
        <v xml:space="preserve">2025 年 11 月 19 日 </v>
      </c>
      <c r="JU27" s="86"/>
      <c r="JV27" s="86"/>
      <c r="JW27" s="68"/>
      <c r="JX27" s="68"/>
      <c r="KE27" s="85" t="str">
        <f>IF(KE2&lt;&gt;"",KE2,"")</f>
        <v xml:space="preserve">2025 年 11 月 19 日 </v>
      </c>
      <c r="KF27" s="86"/>
      <c r="KG27" s="86"/>
      <c r="KH27" s="68"/>
      <c r="KI27" s="68"/>
      <c r="KP27" s="85" t="str">
        <f>IF(KP2&lt;&gt;"",KP2,"")</f>
        <v xml:space="preserve">2025 年 11 月 19 日 </v>
      </c>
      <c r="KQ27" s="86"/>
      <c r="KR27" s="86"/>
      <c r="KS27" s="68"/>
      <c r="KT27" s="68"/>
      <c r="LA27" s="85" t="str">
        <f>IF(LA2&lt;&gt;"",LA2,"")</f>
        <v xml:space="preserve">2025 年 11 月 19 日 </v>
      </c>
      <c r="LB27" s="86"/>
      <c r="LC27" s="86"/>
      <c r="LD27" s="68"/>
      <c r="LE27" s="68"/>
      <c r="LL27" s="85" t="str">
        <f>IF(LL2&lt;&gt;"",LL2,"")</f>
        <v xml:space="preserve">2025 年 11 月 19 日 </v>
      </c>
      <c r="LM27" s="86"/>
      <c r="LN27" s="86"/>
      <c r="LO27" s="68"/>
      <c r="LP27" s="68"/>
      <c r="LW27" s="85" t="str">
        <f>IF(LW2&lt;&gt;"",LW2,"")</f>
        <v xml:space="preserve">2025 年 11 月 19 日 </v>
      </c>
      <c r="LX27" s="86"/>
      <c r="LY27" s="86"/>
      <c r="LZ27" s="68"/>
      <c r="MA27" s="68"/>
      <c r="MH27" s="85" t="str">
        <f>IF(MH2&lt;&gt;"",MH2,"")</f>
        <v xml:space="preserve">2025 年 11 月 19 日 </v>
      </c>
      <c r="MI27" s="86"/>
      <c r="MJ27" s="86"/>
      <c r="MK27" s="68"/>
      <c r="ML27" s="68"/>
      <c r="MS27" s="85" t="str">
        <f>IF(MS2&lt;&gt;"",MS2,"")</f>
        <v xml:space="preserve">2025 年 11 月 19 日 </v>
      </c>
      <c r="MT27" s="86"/>
      <c r="MU27" s="86"/>
      <c r="MV27" s="68"/>
      <c r="MW27" s="68"/>
      <c r="ND27" s="85" t="str">
        <f>IF(ND2&lt;&gt;"",ND2,"")</f>
        <v xml:space="preserve">2025 年 11 月 19 日 </v>
      </c>
      <c r="NE27" s="86"/>
      <c r="NF27" s="86"/>
      <c r="NG27" s="68"/>
      <c r="NH27" s="68"/>
      <c r="NO27" s="85" t="str">
        <f>IF(NO2&lt;&gt;"",NO2,"")</f>
        <v xml:space="preserve">2025 年 11 月 19 日 </v>
      </c>
      <c r="NP27" s="86"/>
      <c r="NQ27" s="86"/>
      <c r="NR27" s="68"/>
      <c r="NS27" s="68"/>
      <c r="NZ27" s="85" t="str">
        <f>IF(NZ2&lt;&gt;"",NZ2,"")</f>
        <v xml:space="preserve">2025 年 11 月 19 日 </v>
      </c>
      <c r="OA27" s="86"/>
      <c r="OB27" s="86"/>
      <c r="OC27" s="68"/>
      <c r="OD27" s="68"/>
      <c r="OK27" s="85" t="str">
        <f>IF(OK2&lt;&gt;"",OK2,"")</f>
        <v xml:space="preserve">2025 年 11 月 19 日 </v>
      </c>
      <c r="OL27" s="86"/>
      <c r="OM27" s="86"/>
      <c r="ON27" s="68"/>
      <c r="OO27" s="68"/>
      <c r="OV27" s="85" t="str">
        <f>IF(OV2&lt;&gt;"",OV2,"")</f>
        <v xml:space="preserve">2025 年 11 月 19 日 </v>
      </c>
      <c r="OW27" s="86"/>
      <c r="OX27" s="86"/>
      <c r="OY27" s="68"/>
      <c r="OZ27" s="68"/>
      <c r="PG27" s="85" t="str">
        <f>IF(PG2&lt;&gt;"",PG2,"")</f>
        <v xml:space="preserve">2025 年 11 月 19 日 </v>
      </c>
      <c r="PH27" s="86"/>
      <c r="PI27" s="86"/>
      <c r="PJ27" s="68"/>
      <c r="PK27" s="68"/>
      <c r="PR27" s="85" t="str">
        <f>IF(PR2&lt;&gt;"",PR2,"")</f>
        <v xml:space="preserve">2025 年 11 月 19 日 </v>
      </c>
      <c r="PS27" s="86"/>
      <c r="PT27" s="86"/>
      <c r="PU27" s="68"/>
      <c r="PV27" s="68"/>
      <c r="QC27" s="85" t="str">
        <f>IF(QC2&lt;&gt;"",QC2,"")</f>
        <v xml:space="preserve">2025 年 11 月 19 日 </v>
      </c>
      <c r="QD27" s="86"/>
      <c r="QE27" s="86"/>
      <c r="QF27" s="68"/>
      <c r="QG27" s="68"/>
      <c r="QN27" s="85" t="str">
        <f>IF(QN2&lt;&gt;"",QN2,"")</f>
        <v xml:space="preserve">2025 年 11 月 19 日 </v>
      </c>
      <c r="QO27" s="86"/>
      <c r="QP27" s="86"/>
      <c r="QQ27" s="68"/>
      <c r="QR27" s="68"/>
      <c r="QY27" s="85" t="str">
        <f>IF(QY2&lt;&gt;"",QY2,"")</f>
        <v xml:space="preserve">2025 年 11 月 19 日 </v>
      </c>
      <c r="QZ27" s="86"/>
      <c r="RA27" s="86"/>
      <c r="RB27" s="68"/>
      <c r="RC27" s="68"/>
      <c r="RJ27" s="85" t="str">
        <f>IF(RJ2&lt;&gt;"",RJ2,"")</f>
        <v xml:space="preserve">2025 年 11 月 19 日 </v>
      </c>
      <c r="RK27" s="86"/>
      <c r="RL27" s="86"/>
      <c r="RM27" s="68"/>
      <c r="RN27" s="68"/>
      <c r="RU27" s="85" t="str">
        <f>IF(RU2&lt;&gt;"",RU2,"")</f>
        <v xml:space="preserve">2025 年 11 月 19 日 </v>
      </c>
      <c r="RV27" s="86"/>
      <c r="RW27" s="86"/>
      <c r="RX27" s="68"/>
      <c r="RY27" s="68"/>
      <c r="SF27" s="85" t="str">
        <f>IF(SF2&lt;&gt;"",SF2,"")</f>
        <v xml:space="preserve">2025 年 11 月 19 日 </v>
      </c>
      <c r="SG27" s="86"/>
      <c r="SH27" s="86"/>
      <c r="SI27" s="68"/>
      <c r="SJ27" s="68"/>
      <c r="SQ27" s="85" t="str">
        <f>IF(SQ2&lt;&gt;"",SQ2,"")</f>
        <v xml:space="preserve">2025 年 11 月 19 日 </v>
      </c>
      <c r="SR27" s="86"/>
      <c r="SS27" s="86"/>
      <c r="ST27" s="68"/>
      <c r="SU27" s="68"/>
      <c r="TB27" s="85" t="str">
        <f>IF(TB2&lt;&gt;"",TB2,"")</f>
        <v xml:space="preserve">2025 年 11 月 19 日 </v>
      </c>
      <c r="TC27" s="86"/>
      <c r="TD27" s="86"/>
      <c r="TE27" s="68"/>
      <c r="TF27" s="68"/>
      <c r="TM27" s="85" t="str">
        <f>IF(TM2&lt;&gt;"",TM2,"")</f>
        <v xml:space="preserve">2025 年 11 月 19 日 </v>
      </c>
      <c r="TN27" s="86"/>
      <c r="TO27" s="86"/>
      <c r="TP27" s="68"/>
      <c r="TQ27" s="68"/>
      <c r="TX27" s="85" t="str">
        <f>IF(TX2&lt;&gt;"",TX2,"")</f>
        <v xml:space="preserve">2025 年 11 月 19 日 </v>
      </c>
      <c r="TY27" s="86"/>
      <c r="TZ27" s="86"/>
      <c r="UA27" s="68"/>
      <c r="UB27" s="68"/>
      <c r="UI27" s="85" t="str">
        <f>IF(UI2&lt;&gt;"",UI2,"")</f>
        <v xml:space="preserve">2025 年 11 月 19 日 </v>
      </c>
      <c r="UJ27" s="86"/>
      <c r="UK27" s="86"/>
      <c r="UL27" s="68"/>
      <c r="UM27" s="68"/>
      <c r="UT27" s="85" t="str">
        <f>IF(UT2&lt;&gt;"",UT2,"")</f>
        <v xml:space="preserve">2025 年 11 月 19 日 </v>
      </c>
      <c r="UU27" s="86"/>
      <c r="UV27" s="86"/>
      <c r="UW27" s="68"/>
      <c r="UX27" s="68"/>
      <c r="VE27" s="85" t="str">
        <f>IF(VE2&lt;&gt;"",VE2,"")</f>
        <v xml:space="preserve">2025 年 11 月 19 日 </v>
      </c>
      <c r="VF27" s="86"/>
      <c r="VG27" s="86"/>
      <c r="VH27" s="68"/>
      <c r="VI27" s="68"/>
      <c r="VP27" s="85" t="str">
        <f>IF(VP2&lt;&gt;"",VP2,"")</f>
        <v xml:space="preserve">2025 年 11 月 19 日 </v>
      </c>
      <c r="VQ27" s="86"/>
      <c r="VR27" s="86"/>
      <c r="VS27" s="68"/>
      <c r="VT27" s="68"/>
      <c r="WA27" s="85" t="str">
        <f>IF(WA2&lt;&gt;"",WA2,"")</f>
        <v xml:space="preserve">2025 年 11 月 19 日 </v>
      </c>
      <c r="WB27" s="86"/>
      <c r="WC27" s="86"/>
      <c r="WD27" s="68"/>
      <c r="WE27" s="68"/>
      <c r="WL27" s="85" t="str">
        <f>IF(WL2&lt;&gt;"",WL2,"")</f>
        <v xml:space="preserve">2025 年 11 月 19 日 </v>
      </c>
      <c r="WM27" s="86"/>
      <c r="WN27" s="86"/>
      <c r="WO27" s="68"/>
      <c r="WP27" s="68"/>
      <c r="WW27" s="85" t="str">
        <f>IF(WW2&lt;&gt;"",WW2,"")</f>
        <v xml:space="preserve">2025 年 11 月 19 日 </v>
      </c>
      <c r="WX27" s="86"/>
      <c r="WY27" s="86"/>
      <c r="WZ27" s="68"/>
      <c r="XA27" s="68"/>
      <c r="XH27" s="85" t="str">
        <f>IF(XH2&lt;&gt;"",XH2,"")</f>
        <v xml:space="preserve">2025 年 11 月 19 日 </v>
      </c>
      <c r="XI27" s="86"/>
      <c r="XJ27" s="86"/>
      <c r="XK27" s="68"/>
      <c r="XL27" s="68"/>
      <c r="XS27" s="85" t="str">
        <f>IF(XS2&lt;&gt;"",XS2,"")</f>
        <v xml:space="preserve">2025 年 11 月 19 日 </v>
      </c>
      <c r="XT27" s="86"/>
      <c r="XU27" s="86"/>
      <c r="XV27" s="68"/>
      <c r="XW27" s="68"/>
      <c r="YD27" s="85" t="str">
        <f>IF(YD2&lt;&gt;"",YD2,"")</f>
        <v xml:space="preserve">2025 年 11 月 19 日 </v>
      </c>
      <c r="YE27" s="86"/>
      <c r="YF27" s="86"/>
      <c r="YG27" s="68"/>
      <c r="YH27" s="68"/>
      <c r="YO27" s="85" t="str">
        <f>IF(YO2&lt;&gt;"",YO2,"")</f>
        <v xml:space="preserve">2025 年 11 月 19 日 </v>
      </c>
      <c r="YP27" s="86"/>
      <c r="YQ27" s="86"/>
      <c r="YR27" s="68"/>
      <c r="YS27" s="68"/>
      <c r="YZ27" s="85" t="str">
        <f>IF(YZ2&lt;&gt;"",YZ2,"")</f>
        <v xml:space="preserve">2025 年 11 月 19 日 </v>
      </c>
      <c r="ZA27" s="86"/>
      <c r="ZB27" s="86"/>
      <c r="ZC27" s="68"/>
      <c r="ZD27" s="68"/>
      <c r="ZK27" s="85" t="str">
        <f>IF(ZK2&lt;&gt;"",ZK2,"")</f>
        <v xml:space="preserve">2025 年 11 月 19 日 </v>
      </c>
      <c r="ZL27" s="86"/>
      <c r="ZM27" s="86"/>
      <c r="ZN27" s="68"/>
      <c r="ZO27" s="68"/>
      <c r="ZV27" s="85" t="str">
        <f>IF(ZV2&lt;&gt;"",ZV2,"")</f>
        <v xml:space="preserve">2025 年 11 月 19 日 </v>
      </c>
      <c r="ZW27" s="86"/>
      <c r="ZX27" s="86"/>
      <c r="ZY27" s="68"/>
      <c r="ZZ27" s="68"/>
      <c r="AAG27" s="85" t="str">
        <f>IF(AAG2&lt;&gt;"",AAG2,"")</f>
        <v xml:space="preserve">2025 年 11 月 19 日 </v>
      </c>
      <c r="AAH27" s="86"/>
      <c r="AAI27" s="86"/>
      <c r="AAJ27" s="68"/>
      <c r="AAK27" s="68"/>
      <c r="AAR27" s="85" t="str">
        <f>IF(AAR2&lt;&gt;"",AAR2,"")</f>
        <v xml:space="preserve">2025 年 11 月 19 日 </v>
      </c>
      <c r="AAS27" s="86"/>
      <c r="AAT27" s="86"/>
      <c r="AAU27" s="68"/>
      <c r="AAV27" s="68"/>
      <c r="ABC27" s="85" t="str">
        <f>IF(ABC2&lt;&gt;"",ABC2,"")</f>
        <v xml:space="preserve">2025 年 11 月 19 日 </v>
      </c>
      <c r="ABD27" s="86"/>
      <c r="ABE27" s="86"/>
      <c r="ABF27" s="68"/>
      <c r="ABG27" s="68"/>
      <c r="ABN27" s="85" t="str">
        <f>IF(ABN2&lt;&gt;"",ABN2,"")</f>
        <v xml:space="preserve">2025 年 11 月 19 日 </v>
      </c>
      <c r="ABO27" s="86"/>
      <c r="ABP27" s="86"/>
      <c r="ABQ27" s="68"/>
      <c r="ABR27" s="68"/>
      <c r="ABY27" s="85" t="str">
        <f>IF(ABY2&lt;&gt;"",ABY2,"")</f>
        <v xml:space="preserve">2025 年 11 月 19 日 </v>
      </c>
      <c r="ABZ27" s="86"/>
      <c r="ACA27" s="86"/>
      <c r="ACB27" s="68"/>
      <c r="ACC27" s="68"/>
      <c r="ACJ27" s="85" t="str">
        <f>IF(ACJ2&lt;&gt;"",ACJ2,"")</f>
        <v xml:space="preserve">2025 年 11 月 19 日 </v>
      </c>
      <c r="ACK27" s="86"/>
      <c r="ACL27" s="86"/>
      <c r="ACM27" s="68"/>
      <c r="ACN27" s="68"/>
      <c r="ACU27" s="85" t="str">
        <f>IF(ACU2&lt;&gt;"",ACU2,"")</f>
        <v xml:space="preserve">2025 年 11 月 19 日 </v>
      </c>
      <c r="ACV27" s="86"/>
      <c r="ACW27" s="86"/>
      <c r="ACX27" s="68"/>
      <c r="ACY27" s="68"/>
      <c r="ADF27" s="85" t="str">
        <f>IF(ADF2&lt;&gt;"",ADF2,"")</f>
        <v xml:space="preserve">2025 年 11 月 19 日 </v>
      </c>
      <c r="ADG27" s="86"/>
      <c r="ADH27" s="86"/>
      <c r="ADI27" s="68"/>
      <c r="ADJ27" s="68"/>
    </row>
    <row r="28" spans="1:793" x14ac:dyDescent="0.45">
      <c r="A28" s="46" t="str">
        <f ca="1">A3</f>
        <v>雙葉小学校　先生 様</v>
      </c>
      <c r="B28" s="46"/>
      <c r="C28" s="46"/>
      <c r="D28" s="46"/>
      <c r="E28" s="46"/>
      <c r="F28" s="39" t="str">
        <f>F3</f>
        <v>ママミール</v>
      </c>
      <c r="G28" s="39"/>
      <c r="H28" s="67"/>
      <c r="J28" s="39"/>
      <c r="K28" s="39"/>
      <c r="L28" s="46" t="str">
        <f ca="1">L3</f>
        <v>シンキングキッズ 様</v>
      </c>
      <c r="M28" s="46"/>
      <c r="N28" s="46"/>
      <c r="O28" s="46"/>
      <c r="P28" s="46"/>
      <c r="Q28" s="39" t="str">
        <f ca="1">Q3</f>
        <v>ママミール</v>
      </c>
      <c r="R28" s="39"/>
      <c r="S28" s="67"/>
      <c r="T28" s="68"/>
      <c r="U28" s="39"/>
      <c r="V28" s="39"/>
      <c r="W28" s="46" t="str">
        <f ca="1">W3</f>
        <v>なないろキッズ 様</v>
      </c>
      <c r="X28" s="46"/>
      <c r="Y28" s="46"/>
      <c r="Z28" s="46"/>
      <c r="AA28" s="46"/>
      <c r="AB28" s="39" t="str">
        <f ca="1">AB3</f>
        <v>ママミール</v>
      </c>
      <c r="AC28" s="39"/>
      <c r="AD28" s="67"/>
      <c r="AE28" s="68"/>
      <c r="AF28" s="39"/>
      <c r="AG28" s="39"/>
      <c r="AH28" s="46" t="str">
        <f ca="1">AH3</f>
        <v>博多南幼稚園　週3ｺｰｽ 様</v>
      </c>
      <c r="AI28" s="46"/>
      <c r="AJ28" s="46"/>
      <c r="AK28" s="46"/>
      <c r="AL28" s="46"/>
      <c r="AM28" s="39" t="str">
        <f ca="1">AM3</f>
        <v>ママミール</v>
      </c>
      <c r="AN28" s="39"/>
      <c r="AO28" s="67"/>
      <c r="AP28" s="68"/>
      <c r="AQ28" s="39"/>
      <c r="AR28" s="39"/>
      <c r="AS28" s="46" t="str">
        <f ca="1">AS3</f>
        <v>博多南幼稚園　週5ｺｰｽ 様</v>
      </c>
      <c r="AT28" s="46"/>
      <c r="AU28" s="46"/>
      <c r="AV28" s="46"/>
      <c r="AW28" s="46"/>
      <c r="AX28" s="39" t="str">
        <f ca="1">AX3</f>
        <v>ママミール</v>
      </c>
      <c r="AY28" s="39"/>
      <c r="AZ28" s="67"/>
      <c r="BA28" s="68"/>
      <c r="BB28" s="39"/>
      <c r="BC28" s="39"/>
      <c r="BD28" s="46" t="str">
        <f ca="1">BD3</f>
        <v>博多中央幼稚園　週3ｺｰｽ 様</v>
      </c>
      <c r="BE28" s="46"/>
      <c r="BF28" s="46"/>
      <c r="BG28" s="46"/>
      <c r="BH28" s="46"/>
      <c r="BI28" s="39" t="str">
        <f ca="1">BI3</f>
        <v>ママミール</v>
      </c>
      <c r="BJ28" s="39"/>
      <c r="BK28" s="67"/>
      <c r="BL28" s="68"/>
      <c r="BM28" s="39"/>
      <c r="BN28" s="39"/>
      <c r="BO28" s="46" t="str">
        <f ca="1">BO3</f>
        <v>博多中央幼稚園　週5ｺｰｽ 様</v>
      </c>
      <c r="BP28" s="46"/>
      <c r="BQ28" s="46"/>
      <c r="BR28" s="46"/>
      <c r="BS28" s="46"/>
      <c r="BT28" s="39" t="str">
        <f ca="1">BT3</f>
        <v>ママミール</v>
      </c>
      <c r="BU28" s="39"/>
      <c r="BV28" s="67"/>
      <c r="BW28" s="68"/>
      <c r="BX28" s="39"/>
      <c r="BY28" s="39"/>
      <c r="BZ28" s="46" t="str">
        <f ca="1">BZ3</f>
        <v>博多幼稚園　週3ｺｰｽ 様</v>
      </c>
      <c r="CA28" s="46"/>
      <c r="CB28" s="46"/>
      <c r="CC28" s="46"/>
      <c r="CD28" s="46"/>
      <c r="CE28" s="39" t="str">
        <f ca="1">CE3</f>
        <v>ママミール</v>
      </c>
      <c r="CF28" s="39"/>
      <c r="CG28" s="67"/>
      <c r="CH28" s="68"/>
      <c r="CI28" s="39"/>
      <c r="CJ28" s="39"/>
      <c r="CK28" s="46" t="str">
        <f ca="1">CK3</f>
        <v>博多幼稚園　週5ｺｰｽ 様</v>
      </c>
      <c r="CL28" s="46"/>
      <c r="CM28" s="46"/>
      <c r="CN28" s="46"/>
      <c r="CO28" s="46"/>
      <c r="CP28" s="39" t="str">
        <f ca="1">CP3</f>
        <v>ママミール</v>
      </c>
      <c r="CQ28" s="39"/>
      <c r="CR28" s="67"/>
      <c r="CS28" s="68"/>
      <c r="CT28" s="39"/>
      <c r="CU28" s="39"/>
      <c r="CV28" s="46" t="str">
        <f ca="1">CV3</f>
        <v>学校法人奈良屋学園　奈良屋幼稚園 様</v>
      </c>
      <c r="CW28" s="46"/>
      <c r="CX28" s="46"/>
      <c r="CY28" s="46"/>
      <c r="CZ28" s="46"/>
      <c r="DA28" s="39" t="str">
        <f ca="1">DA3</f>
        <v>ママミール</v>
      </c>
      <c r="DB28" s="39"/>
      <c r="DC28" s="67"/>
      <c r="DD28" s="68"/>
      <c r="DE28" s="39"/>
      <c r="DF28" s="39"/>
      <c r="DG28" s="46" t="str">
        <f ca="1">DG3</f>
        <v>奈良屋幼稚園　奥田先生 様</v>
      </c>
      <c r="DH28" s="46"/>
      <c r="DI28" s="46"/>
      <c r="DJ28" s="46"/>
      <c r="DK28" s="46"/>
      <c r="DL28" s="39" t="str">
        <f ca="1">DL3</f>
        <v>ママミール</v>
      </c>
      <c r="DM28" s="39"/>
      <c r="DN28" s="67"/>
      <c r="DO28" s="68"/>
      <c r="DP28" s="39"/>
      <c r="DQ28" s="39"/>
      <c r="DR28" s="46" t="str">
        <f ca="1">DR3</f>
        <v>奈良屋幼稚園　先生 様</v>
      </c>
      <c r="DS28" s="46"/>
      <c r="DT28" s="46"/>
      <c r="DU28" s="46"/>
      <c r="DV28" s="46"/>
      <c r="DW28" s="39" t="str">
        <f ca="1">DW3</f>
        <v>ママミール</v>
      </c>
      <c r="DX28" s="39"/>
      <c r="DY28" s="67"/>
      <c r="DZ28" s="68"/>
      <c r="EA28" s="39"/>
      <c r="EB28" s="39"/>
      <c r="EC28" s="46" t="str">
        <f ca="1">EC3</f>
        <v>スマイルキッズ 様</v>
      </c>
      <c r="ED28" s="46"/>
      <c r="EE28" s="46"/>
      <c r="EF28" s="46"/>
      <c r="EG28" s="46"/>
      <c r="EH28" s="39" t="str">
        <f ca="1">EH3</f>
        <v>ママミール</v>
      </c>
      <c r="EI28" s="39"/>
      <c r="EJ28" s="67"/>
      <c r="EK28" s="68"/>
      <c r="EL28" s="39"/>
      <c r="EM28" s="39"/>
      <c r="EN28" s="46" t="str">
        <f ca="1">EN3</f>
        <v>博多第一幼稚園　週3ｺｰｽ 様</v>
      </c>
      <c r="EO28" s="46"/>
      <c r="EP28" s="46"/>
      <c r="EQ28" s="46"/>
      <c r="ER28" s="46"/>
      <c r="ES28" s="39" t="str">
        <f ca="1">ES3</f>
        <v>ママミール</v>
      </c>
      <c r="ET28" s="39"/>
      <c r="EU28" s="67"/>
      <c r="EV28" s="68"/>
      <c r="EW28" s="39"/>
      <c r="EX28" s="39"/>
      <c r="EY28" s="46" t="str">
        <f ca="1">EY3</f>
        <v>博多第一幼稚園　週5ｺｰｽ 様</v>
      </c>
      <c r="EZ28" s="46"/>
      <c r="FA28" s="46"/>
      <c r="FB28" s="46"/>
      <c r="FC28" s="46"/>
      <c r="FD28" s="39" t="str">
        <f ca="1">FD3</f>
        <v>ママミール</v>
      </c>
      <c r="FE28" s="39"/>
      <c r="FF28" s="67"/>
      <c r="FG28" s="68"/>
      <c r="FH28" s="39"/>
      <c r="FI28" s="39"/>
      <c r="FJ28" s="46" t="str">
        <f ca="1">FJ3</f>
        <v>博多第二幼稚園　週3ｺｰｽ 様</v>
      </c>
      <c r="FK28" s="46"/>
      <c r="FL28" s="46"/>
      <c r="FM28" s="46"/>
      <c r="FN28" s="46"/>
      <c r="FO28" s="39" t="str">
        <f ca="1">FO3</f>
        <v>ママミール</v>
      </c>
      <c r="FP28" s="39"/>
      <c r="FQ28" s="67"/>
      <c r="FR28" s="68"/>
      <c r="FS28" s="39"/>
      <c r="FT28" s="39"/>
      <c r="FU28" s="46" t="str">
        <f ca="1">FU3</f>
        <v>博多第二幼稚園　週5ｺｰｽ 様</v>
      </c>
      <c r="FV28" s="46"/>
      <c r="FW28" s="46"/>
      <c r="FX28" s="46"/>
      <c r="FY28" s="46"/>
      <c r="FZ28" s="39" t="str">
        <f ca="1">FZ3</f>
        <v>ママミール</v>
      </c>
      <c r="GA28" s="39"/>
      <c r="GB28" s="67"/>
      <c r="GC28" s="68"/>
      <c r="GD28" s="39"/>
      <c r="GE28" s="39"/>
      <c r="GF28" s="46" t="str">
        <f ca="1">GF3</f>
        <v>志免幼稚園 様</v>
      </c>
      <c r="GG28" s="46"/>
      <c r="GH28" s="46"/>
      <c r="GI28" s="46"/>
      <c r="GJ28" s="46"/>
      <c r="GK28" s="39" t="str">
        <f ca="1">GK3</f>
        <v>ママミール</v>
      </c>
      <c r="GL28" s="39"/>
      <c r="GM28" s="67"/>
      <c r="GN28" s="68"/>
      <c r="GO28" s="39"/>
      <c r="GP28" s="39"/>
      <c r="GQ28" s="46" t="str">
        <f ca="1">GQ3</f>
        <v>志免中央幼稚園　園児 様</v>
      </c>
      <c r="GR28" s="46"/>
      <c r="GS28" s="46"/>
      <c r="GT28" s="46"/>
      <c r="GU28" s="46"/>
      <c r="GV28" s="39" t="str">
        <f ca="1">GV3</f>
        <v>ママミール</v>
      </c>
      <c r="GW28" s="39"/>
      <c r="GX28" s="67"/>
      <c r="GY28" s="68"/>
      <c r="GZ28" s="39"/>
      <c r="HA28" s="39"/>
      <c r="HB28" s="46" t="str">
        <f ca="1">HB3</f>
        <v>シャインスターキッズ 様</v>
      </c>
      <c r="HC28" s="46"/>
      <c r="HD28" s="46"/>
      <c r="HE28" s="46"/>
      <c r="HF28" s="46"/>
      <c r="HG28" s="39" t="str">
        <f ca="1">HG3</f>
        <v>ママミール</v>
      </c>
      <c r="HH28" s="39"/>
      <c r="HI28" s="67"/>
      <c r="HJ28" s="68"/>
      <c r="HK28" s="39"/>
      <c r="HL28" s="39"/>
      <c r="HM28" s="46" t="str">
        <f ca="1">HM3</f>
        <v>ことばの森プリスクール 様</v>
      </c>
      <c r="HN28" s="46"/>
      <c r="HO28" s="46"/>
      <c r="HP28" s="46"/>
      <c r="HQ28" s="46"/>
      <c r="HR28" s="39" t="str">
        <f ca="1">HR3</f>
        <v>ママミール</v>
      </c>
      <c r="HS28" s="39"/>
      <c r="HT28" s="67"/>
      <c r="HU28" s="68"/>
      <c r="HV28" s="39"/>
      <c r="HW28" s="39"/>
      <c r="HX28" s="46" t="str">
        <f ca="1">HX3</f>
        <v>かしはら幼稚園 様</v>
      </c>
      <c r="HY28" s="46"/>
      <c r="HZ28" s="46"/>
      <c r="IA28" s="46"/>
      <c r="IB28" s="46"/>
      <c r="IC28" s="39" t="str">
        <f ca="1">IC3</f>
        <v>ママミール</v>
      </c>
      <c r="ID28" s="39"/>
      <c r="IE28" s="67"/>
      <c r="IF28" s="68"/>
      <c r="IG28" s="39"/>
      <c r="IH28" s="39"/>
      <c r="II28" s="46" t="str">
        <f ca="1">II3</f>
        <v>さらやま保育園 様</v>
      </c>
      <c r="IJ28" s="46"/>
      <c r="IK28" s="46"/>
      <c r="IL28" s="46"/>
      <c r="IM28" s="46"/>
      <c r="IN28" s="39" t="str">
        <f ca="1">IN3</f>
        <v>ママミール</v>
      </c>
      <c r="IO28" s="39"/>
      <c r="IP28" s="67"/>
      <c r="IQ28" s="68"/>
      <c r="IR28" s="39"/>
      <c r="IS28" s="39"/>
      <c r="IT28" s="46" t="str">
        <f ca="1">IT3</f>
        <v>九州中央病院　ひよこ保育園 様</v>
      </c>
      <c r="IU28" s="46"/>
      <c r="IV28" s="46"/>
      <c r="IW28" s="46"/>
      <c r="IX28" s="46"/>
      <c r="IY28" s="39" t="str">
        <f ca="1">IY3</f>
        <v>ママミール</v>
      </c>
      <c r="IZ28" s="39"/>
      <c r="JA28" s="67"/>
      <c r="JB28" s="68"/>
      <c r="JC28" s="39"/>
      <c r="JD28" s="39"/>
      <c r="JE28" s="46" t="str">
        <f ca="1">JE3</f>
        <v>リリィ保育園 様</v>
      </c>
      <c r="JF28" s="46"/>
      <c r="JG28" s="46"/>
      <c r="JH28" s="46"/>
      <c r="JI28" s="46"/>
      <c r="JJ28" s="39" t="str">
        <f ca="1">JJ3</f>
        <v>ママミール</v>
      </c>
      <c r="JK28" s="39"/>
      <c r="JL28" s="67"/>
      <c r="JM28" s="68"/>
      <c r="JN28" s="39"/>
      <c r="JO28" s="39"/>
      <c r="JP28" s="46" t="str">
        <f ca="1">JP3</f>
        <v>バディスポーツ幼育園博多南校　2号認定 様</v>
      </c>
      <c r="JQ28" s="46"/>
      <c r="JR28" s="46"/>
      <c r="JS28" s="46"/>
      <c r="JT28" s="46"/>
      <c r="JU28" s="39" t="str">
        <f ca="1">JU3</f>
        <v>ママミール</v>
      </c>
      <c r="JV28" s="39"/>
      <c r="JW28" s="67"/>
      <c r="JX28" s="68"/>
      <c r="JY28" s="39"/>
      <c r="JZ28" s="39"/>
      <c r="KA28" s="46" t="str">
        <f ca="1">KA3</f>
        <v>つるた保育園 様</v>
      </c>
      <c r="KB28" s="46"/>
      <c r="KC28" s="46"/>
      <c r="KD28" s="46"/>
      <c r="KE28" s="46"/>
      <c r="KF28" s="39" t="str">
        <f ca="1">KF3</f>
        <v>ママミール</v>
      </c>
      <c r="KG28" s="39"/>
      <c r="KH28" s="67"/>
      <c r="KI28" s="68"/>
      <c r="KJ28" s="39"/>
      <c r="KK28" s="39"/>
      <c r="KL28" s="46" t="str">
        <f ca="1">KL3</f>
        <v>学校法人清光学園　宝幼稚園 様</v>
      </c>
      <c r="KM28" s="46"/>
      <c r="KN28" s="46"/>
      <c r="KO28" s="46"/>
      <c r="KP28" s="46"/>
      <c r="KQ28" s="39" t="str">
        <f ca="1">KQ3</f>
        <v>ママミール</v>
      </c>
      <c r="KR28" s="39"/>
      <c r="KS28" s="67"/>
      <c r="KT28" s="68"/>
      <c r="KU28" s="39"/>
      <c r="KV28" s="39"/>
      <c r="KW28" s="46" t="str">
        <f ca="1">KW3</f>
        <v>須玖幼稚園 様</v>
      </c>
      <c r="KX28" s="46"/>
      <c r="KY28" s="46"/>
      <c r="KZ28" s="46"/>
      <c r="LA28" s="46"/>
      <c r="LB28" s="39" t="str">
        <f ca="1">LB3</f>
        <v>ママミール</v>
      </c>
      <c r="LC28" s="39"/>
      <c r="LD28" s="67"/>
      <c r="LE28" s="68"/>
      <c r="LF28" s="39"/>
      <c r="LG28" s="39"/>
      <c r="LH28" s="46" t="str">
        <f ca="1">LH3</f>
        <v>南ヶ丘幼稚園 様</v>
      </c>
      <c r="LI28" s="46"/>
      <c r="LJ28" s="46"/>
      <c r="LK28" s="46"/>
      <c r="LL28" s="46"/>
      <c r="LM28" s="39" t="str">
        <f ca="1">LM3</f>
        <v>ママミール</v>
      </c>
      <c r="LN28" s="39"/>
      <c r="LO28" s="67"/>
      <c r="LP28" s="68"/>
      <c r="LQ28" s="39"/>
      <c r="LR28" s="39"/>
      <c r="LS28" s="46" t="str">
        <f ca="1">LS3</f>
        <v>南ヶ丘第二幼稚園 様</v>
      </c>
      <c r="LT28" s="46"/>
      <c r="LU28" s="46"/>
      <c r="LV28" s="46"/>
      <c r="LW28" s="46"/>
      <c r="LX28" s="39" t="str">
        <f ca="1">LX3</f>
        <v>ママミール</v>
      </c>
      <c r="LY28" s="39"/>
      <c r="LZ28" s="67"/>
      <c r="MA28" s="68"/>
      <c r="MB28" s="39"/>
      <c r="MC28" s="39"/>
      <c r="MD28" s="46" t="str">
        <f ca="1">MD3</f>
        <v>月の浦幼稚園 様</v>
      </c>
      <c r="ME28" s="46"/>
      <c r="MF28" s="46"/>
      <c r="MG28" s="46"/>
      <c r="MH28" s="46"/>
      <c r="MI28" s="39" t="str">
        <f ca="1">MI3</f>
        <v>ママミール</v>
      </c>
      <c r="MJ28" s="39"/>
      <c r="MK28" s="67"/>
      <c r="ML28" s="68"/>
      <c r="MM28" s="39"/>
      <c r="MN28" s="39"/>
      <c r="MO28" s="46" t="str">
        <f ca="1">MO3</f>
        <v>大野南幼稚園 様</v>
      </c>
      <c r="MP28" s="46"/>
      <c r="MQ28" s="46"/>
      <c r="MR28" s="46"/>
      <c r="MS28" s="46"/>
      <c r="MT28" s="39" t="str">
        <f ca="1">MT3</f>
        <v>ママミール</v>
      </c>
      <c r="MU28" s="39"/>
      <c r="MV28" s="67"/>
      <c r="MW28" s="68"/>
      <c r="MX28" s="39"/>
      <c r="MY28" s="39"/>
      <c r="MZ28" s="46" t="str">
        <f ca="1">MZ3</f>
        <v>児童発達支援　いろは　そうり 様</v>
      </c>
      <c r="NA28" s="46"/>
      <c r="NB28" s="46"/>
      <c r="NC28" s="46"/>
      <c r="ND28" s="46"/>
      <c r="NE28" s="39" t="str">
        <f ca="1">NE3</f>
        <v>ママミール</v>
      </c>
      <c r="NF28" s="39"/>
      <c r="NG28" s="67"/>
      <c r="NH28" s="68"/>
      <c r="NI28" s="39"/>
      <c r="NJ28" s="39"/>
      <c r="NK28" s="46" t="str">
        <f ca="1">NK3</f>
        <v>児童発達支援　いろは 様</v>
      </c>
      <c r="NL28" s="46"/>
      <c r="NM28" s="46"/>
      <c r="NN28" s="46"/>
      <c r="NO28" s="46"/>
      <c r="NP28" s="39" t="str">
        <f ca="1">NP3</f>
        <v>ママミール</v>
      </c>
      <c r="NQ28" s="39"/>
      <c r="NR28" s="67"/>
      <c r="NS28" s="68"/>
      <c r="NT28" s="39"/>
      <c r="NU28" s="39"/>
      <c r="NV28" s="46" t="str">
        <f ca="1">NV3</f>
        <v>イーズィーピーズィーイングリッシュ保育園 様</v>
      </c>
      <c r="NW28" s="46"/>
      <c r="NX28" s="46"/>
      <c r="NY28" s="46"/>
      <c r="NZ28" s="46"/>
      <c r="OA28" s="39" t="str">
        <f ca="1">OA3</f>
        <v>ママミール</v>
      </c>
      <c r="OB28" s="39"/>
      <c r="OC28" s="67"/>
      <c r="OD28" s="68"/>
      <c r="OE28" s="39"/>
      <c r="OF28" s="39"/>
      <c r="OG28" s="46" t="str">
        <f ca="1">OG3</f>
        <v>香蘭幼稚園 様</v>
      </c>
      <c r="OH28" s="46"/>
      <c r="OI28" s="46"/>
      <c r="OJ28" s="46"/>
      <c r="OK28" s="46"/>
      <c r="OL28" s="39" t="str">
        <f ca="1">OL3</f>
        <v>ママミール</v>
      </c>
      <c r="OM28" s="39"/>
      <c r="ON28" s="67"/>
      <c r="OO28" s="68"/>
      <c r="OP28" s="39"/>
      <c r="OQ28" s="39"/>
      <c r="OR28" s="46" t="str">
        <f ca="1">OR3</f>
        <v>サンシャインイングリッシュスクール 様</v>
      </c>
      <c r="OS28" s="46"/>
      <c r="OT28" s="46"/>
      <c r="OU28" s="46"/>
      <c r="OV28" s="46"/>
      <c r="OW28" s="39" t="str">
        <f ca="1">OW3</f>
        <v>ママミール</v>
      </c>
      <c r="OX28" s="39"/>
      <c r="OY28" s="67"/>
      <c r="OZ28" s="68"/>
      <c r="PA28" s="39"/>
      <c r="PB28" s="39"/>
      <c r="PC28" s="46" t="str">
        <f ca="1">PC3</f>
        <v>アメリカンチャターボックス 様</v>
      </c>
      <c r="PD28" s="46"/>
      <c r="PE28" s="46"/>
      <c r="PF28" s="46"/>
      <c r="PG28" s="46"/>
      <c r="PH28" s="39" t="str">
        <f ca="1">PH3</f>
        <v>ママミール</v>
      </c>
      <c r="PI28" s="39"/>
      <c r="PJ28" s="67"/>
      <c r="PK28" s="68"/>
      <c r="PL28" s="39"/>
      <c r="PM28" s="39"/>
      <c r="PN28" s="46" t="str">
        <f ca="1">PN3</f>
        <v>コーナーズインターナショナルスクール 様</v>
      </c>
      <c r="PO28" s="46"/>
      <c r="PP28" s="46"/>
      <c r="PQ28" s="46"/>
      <c r="PR28" s="46"/>
      <c r="PS28" s="39" t="str">
        <f ca="1">PS3</f>
        <v>ママミール</v>
      </c>
      <c r="PT28" s="39"/>
      <c r="PU28" s="67"/>
      <c r="PV28" s="68"/>
      <c r="PW28" s="39"/>
      <c r="PX28" s="39"/>
      <c r="PY28" s="46" t="str">
        <f ca="1">PY3</f>
        <v>バディスポーツ幼育園筑紫野校　2号認定 様</v>
      </c>
      <c r="PZ28" s="46"/>
      <c r="QA28" s="46"/>
      <c r="QB28" s="46"/>
      <c r="QC28" s="46"/>
      <c r="QD28" s="39" t="str">
        <f ca="1">QD3</f>
        <v>ママミール</v>
      </c>
      <c r="QE28" s="39"/>
      <c r="QF28" s="67"/>
      <c r="QG28" s="68"/>
      <c r="QH28" s="39"/>
      <c r="QI28" s="39"/>
      <c r="QJ28" s="46" t="str">
        <f ca="1">QJ3</f>
        <v>アンクラス 様</v>
      </c>
      <c r="QK28" s="46"/>
      <c r="QL28" s="46"/>
      <c r="QM28" s="46"/>
      <c r="QN28" s="46"/>
      <c r="QO28" s="39" t="str">
        <f ca="1">QO3</f>
        <v>ママミール</v>
      </c>
      <c r="QP28" s="39"/>
      <c r="QQ28" s="67"/>
      <c r="QR28" s="68"/>
      <c r="QS28" s="39"/>
      <c r="QT28" s="39"/>
      <c r="QU28" s="46" t="str">
        <f ca="1">QU3</f>
        <v>吉塚ゆりの樹幼稚園（別） 様</v>
      </c>
      <c r="QV28" s="46"/>
      <c r="QW28" s="46"/>
      <c r="QX28" s="46"/>
      <c r="QY28" s="46"/>
      <c r="QZ28" s="39" t="str">
        <f ca="1">QZ3</f>
        <v>ママミール スマイルぶろっこりー</v>
      </c>
      <c r="RA28" s="39"/>
      <c r="RB28" s="67"/>
      <c r="RC28" s="68"/>
      <c r="RD28" s="39"/>
      <c r="RE28" s="39"/>
      <c r="RF28" s="46" t="str">
        <f ca="1">RF3</f>
        <v>学校法人　清洋学園　泉ヶ丘幼稚園 様</v>
      </c>
      <c r="RG28" s="46"/>
      <c r="RH28" s="46"/>
      <c r="RI28" s="46"/>
      <c r="RJ28" s="46"/>
      <c r="RK28" s="39" t="str">
        <f ca="1">RK3</f>
        <v>ママミール スマイルぶろっこりー</v>
      </c>
      <c r="RL28" s="39"/>
      <c r="RM28" s="67"/>
      <c r="RN28" s="68"/>
      <c r="RO28" s="39"/>
      <c r="RP28" s="39"/>
      <c r="RQ28" s="46" t="str">
        <f ca="1">RQ3</f>
        <v>春日小鳩幼稚園 様</v>
      </c>
      <c r="RR28" s="46"/>
      <c r="RS28" s="46"/>
      <c r="RT28" s="46"/>
      <c r="RU28" s="46"/>
      <c r="RV28" s="39" t="str">
        <f ca="1">RV3</f>
        <v>ママミール スマイルぶろっこりー</v>
      </c>
      <c r="RW28" s="39"/>
      <c r="RX28" s="67"/>
      <c r="RY28" s="68"/>
      <c r="RZ28" s="39"/>
      <c r="SA28" s="39"/>
      <c r="SB28" s="46" t="str">
        <f ca="1">SB3</f>
        <v>かなやま幼稚園 様</v>
      </c>
      <c r="SC28" s="46"/>
      <c r="SD28" s="46"/>
      <c r="SE28" s="46"/>
      <c r="SF28" s="46"/>
      <c r="SG28" s="39" t="str">
        <f ca="1">SG3</f>
        <v>ママミール スマイルぶろっこりー</v>
      </c>
      <c r="SH28" s="39"/>
      <c r="SI28" s="67"/>
      <c r="SJ28" s="68"/>
      <c r="SK28" s="39"/>
      <c r="SL28" s="39"/>
      <c r="SM28" s="46" t="str">
        <f ca="1">SM3</f>
        <v>学校法人　石田学園　山王幼稚園 様</v>
      </c>
      <c r="SN28" s="46"/>
      <c r="SO28" s="46"/>
      <c r="SP28" s="46"/>
      <c r="SQ28" s="46"/>
      <c r="SR28" s="39" t="str">
        <f ca="1">SR3</f>
        <v>ママミール スマイルぶろっこりー</v>
      </c>
      <c r="SS28" s="39"/>
      <c r="ST28" s="67"/>
      <c r="SU28" s="68"/>
      <c r="SV28" s="39"/>
      <c r="SW28" s="39"/>
      <c r="SX28" s="46" t="str">
        <f ca="1">SX3</f>
        <v>福岡インターナショナルアイスクール幼稚園 様</v>
      </c>
      <c r="SY28" s="46"/>
      <c r="SZ28" s="46"/>
      <c r="TA28" s="46"/>
      <c r="TB28" s="46"/>
      <c r="TC28" s="39" t="str">
        <f ca="1">TC3</f>
        <v>ママミール スマイルぶろっこりー</v>
      </c>
      <c r="TD28" s="39"/>
      <c r="TE28" s="67"/>
      <c r="TF28" s="68"/>
      <c r="TG28" s="39"/>
      <c r="TH28" s="39"/>
      <c r="TI28" s="46" t="str">
        <f ca="1">TI3</f>
        <v>オハナ保育園　長住 様</v>
      </c>
      <c r="TJ28" s="46"/>
      <c r="TK28" s="46"/>
      <c r="TL28" s="46"/>
      <c r="TM28" s="46"/>
      <c r="TN28" s="39" t="str">
        <f ca="1">TN3</f>
        <v>ママミール スマイルぶろっこりー</v>
      </c>
      <c r="TO28" s="39"/>
      <c r="TP28" s="67"/>
      <c r="TQ28" s="68"/>
      <c r="TR28" s="39"/>
      <c r="TS28" s="39"/>
      <c r="TT28" s="46" t="str">
        <f ca="1">TT3</f>
        <v>オハナ保育園　春日 様</v>
      </c>
      <c r="TU28" s="46"/>
      <c r="TV28" s="46"/>
      <c r="TW28" s="46"/>
      <c r="TX28" s="46"/>
      <c r="TY28" s="39" t="str">
        <f ca="1">TY3</f>
        <v>ママミール スマイルぶろっこりー</v>
      </c>
      <c r="TZ28" s="39"/>
      <c r="UA28" s="67"/>
      <c r="UB28" s="68"/>
      <c r="UC28" s="39"/>
      <c r="UD28" s="39"/>
      <c r="UE28" s="46" t="str">
        <f ca="1">UE3</f>
        <v>オハナ保育園　一の谷 様</v>
      </c>
      <c r="UF28" s="46"/>
      <c r="UG28" s="46"/>
      <c r="UH28" s="46"/>
      <c r="UI28" s="46"/>
      <c r="UJ28" s="39" t="str">
        <f ca="1">UJ3</f>
        <v>ママミール スマイルぶろっこりー</v>
      </c>
      <c r="UK28" s="39"/>
      <c r="UL28" s="67"/>
      <c r="UM28" s="68"/>
      <c r="UN28" s="39"/>
      <c r="UO28" s="39"/>
      <c r="UP28" s="46" t="str">
        <f ca="1">UP3</f>
        <v>　　　　　　 様</v>
      </c>
      <c r="UQ28" s="46"/>
      <c r="UR28" s="46"/>
      <c r="US28" s="46"/>
      <c r="UT28" s="46"/>
      <c r="UU28" s="39" t="str">
        <f ca="1">UU3</f>
        <v>ママミール</v>
      </c>
      <c r="UV28" s="39"/>
      <c r="UW28" s="67"/>
      <c r="UX28" s="68"/>
      <c r="UY28" s="39"/>
      <c r="UZ28" s="39"/>
      <c r="VA28" s="46" t="e">
        <f ca="1">VA3</f>
        <v>#VALUE!</v>
      </c>
      <c r="VB28" s="46"/>
      <c r="VC28" s="46"/>
      <c r="VD28" s="46"/>
      <c r="VE28" s="46"/>
      <c r="VF28" s="39" t="e">
        <f ca="1">VF3</f>
        <v>#VALUE!</v>
      </c>
      <c r="VG28" s="39"/>
      <c r="VH28" s="67"/>
      <c r="VI28" s="68"/>
      <c r="VJ28" s="39"/>
      <c r="VK28" s="39"/>
      <c r="VL28" s="46" t="e">
        <f ca="1">VL3</f>
        <v>#VALUE!</v>
      </c>
      <c r="VM28" s="46"/>
      <c r="VN28" s="46"/>
      <c r="VO28" s="46"/>
      <c r="VP28" s="46"/>
      <c r="VQ28" s="39" t="e">
        <f ca="1">VQ3</f>
        <v>#VALUE!</v>
      </c>
      <c r="VR28" s="39"/>
      <c r="VS28" s="67"/>
      <c r="VT28" s="68"/>
      <c r="VU28" s="39"/>
      <c r="VV28" s="39"/>
      <c r="VW28" s="46" t="e">
        <f ca="1">VW3</f>
        <v>#VALUE!</v>
      </c>
      <c r="VX28" s="46"/>
      <c r="VY28" s="46"/>
      <c r="VZ28" s="46"/>
      <c r="WA28" s="46"/>
      <c r="WB28" s="39" t="e">
        <f ca="1">WB3</f>
        <v>#VALUE!</v>
      </c>
      <c r="WC28" s="39"/>
      <c r="WD28" s="67"/>
      <c r="WE28" s="68"/>
      <c r="WF28" s="39"/>
      <c r="WG28" s="39"/>
      <c r="WH28" s="46" t="e">
        <f ca="1">WH3</f>
        <v>#VALUE!</v>
      </c>
      <c r="WI28" s="46"/>
      <c r="WJ28" s="46"/>
      <c r="WK28" s="46"/>
      <c r="WL28" s="46"/>
      <c r="WM28" s="39" t="e">
        <f ca="1">WM3</f>
        <v>#VALUE!</v>
      </c>
      <c r="WN28" s="39"/>
      <c r="WO28" s="67"/>
      <c r="WP28" s="68"/>
      <c r="WQ28" s="39"/>
      <c r="WR28" s="39"/>
      <c r="WS28" s="46" t="e">
        <f ca="1">WS3</f>
        <v>#VALUE!</v>
      </c>
      <c r="WT28" s="46"/>
      <c r="WU28" s="46"/>
      <c r="WV28" s="46"/>
      <c r="WW28" s="46"/>
      <c r="WX28" s="39" t="e">
        <f ca="1">WX3</f>
        <v>#VALUE!</v>
      </c>
      <c r="WY28" s="39"/>
      <c r="WZ28" s="67"/>
      <c r="XA28" s="68"/>
      <c r="XB28" s="39"/>
      <c r="XC28" s="39"/>
      <c r="XD28" s="46" t="e">
        <f ca="1">XD3</f>
        <v>#VALUE!</v>
      </c>
      <c r="XE28" s="46"/>
      <c r="XF28" s="46"/>
      <c r="XG28" s="46"/>
      <c r="XH28" s="46"/>
      <c r="XI28" s="39" t="e">
        <f ca="1">XI3</f>
        <v>#VALUE!</v>
      </c>
      <c r="XJ28" s="39"/>
      <c r="XK28" s="67"/>
      <c r="XL28" s="68"/>
      <c r="XM28" s="39"/>
      <c r="XN28" s="39"/>
      <c r="XO28" s="46" t="e">
        <f ca="1">XO3</f>
        <v>#VALUE!</v>
      </c>
      <c r="XP28" s="46"/>
      <c r="XQ28" s="46"/>
      <c r="XR28" s="46"/>
      <c r="XS28" s="46"/>
      <c r="XT28" s="39" t="e">
        <f ca="1">XT3</f>
        <v>#VALUE!</v>
      </c>
      <c r="XU28" s="39"/>
      <c r="XV28" s="67"/>
      <c r="XW28" s="68"/>
      <c r="XX28" s="39"/>
      <c r="XY28" s="39"/>
      <c r="XZ28" s="46" t="e">
        <f ca="1">XZ3</f>
        <v>#VALUE!</v>
      </c>
      <c r="YA28" s="46"/>
      <c r="YB28" s="46"/>
      <c r="YC28" s="46"/>
      <c r="YD28" s="46"/>
      <c r="YE28" s="39" t="e">
        <f ca="1">YE3</f>
        <v>#VALUE!</v>
      </c>
      <c r="YF28" s="39"/>
      <c r="YG28" s="67"/>
      <c r="YH28" s="68"/>
      <c r="YI28" s="39"/>
      <c r="YJ28" s="39"/>
      <c r="YK28" s="46" t="e">
        <f ca="1">YK3</f>
        <v>#VALUE!</v>
      </c>
      <c r="YL28" s="46"/>
      <c r="YM28" s="46"/>
      <c r="YN28" s="46"/>
      <c r="YO28" s="46"/>
      <c r="YP28" s="39" t="e">
        <f ca="1">YP3</f>
        <v>#VALUE!</v>
      </c>
      <c r="YQ28" s="39"/>
      <c r="YR28" s="67"/>
      <c r="YS28" s="68"/>
      <c r="YT28" s="39"/>
      <c r="YU28" s="39"/>
      <c r="YV28" s="46" t="e">
        <f ca="1">YV3</f>
        <v>#VALUE!</v>
      </c>
      <c r="YW28" s="46"/>
      <c r="YX28" s="46"/>
      <c r="YY28" s="46"/>
      <c r="YZ28" s="46"/>
      <c r="ZA28" s="39" t="e">
        <f ca="1">ZA3</f>
        <v>#VALUE!</v>
      </c>
      <c r="ZB28" s="39"/>
      <c r="ZC28" s="67"/>
      <c r="ZD28" s="68"/>
      <c r="ZE28" s="39"/>
      <c r="ZF28" s="39"/>
      <c r="ZG28" s="46" t="e">
        <f ca="1">ZG3</f>
        <v>#VALUE!</v>
      </c>
      <c r="ZH28" s="46"/>
      <c r="ZI28" s="46"/>
      <c r="ZJ28" s="46"/>
      <c r="ZK28" s="46"/>
      <c r="ZL28" s="39" t="e">
        <f ca="1">ZL3</f>
        <v>#VALUE!</v>
      </c>
      <c r="ZM28" s="39"/>
      <c r="ZN28" s="67"/>
      <c r="ZO28" s="68"/>
      <c r="ZP28" s="39"/>
      <c r="ZQ28" s="39"/>
      <c r="ZR28" s="46" t="e">
        <f ca="1">ZR3</f>
        <v>#VALUE!</v>
      </c>
      <c r="ZS28" s="46"/>
      <c r="ZT28" s="46"/>
      <c r="ZU28" s="46"/>
      <c r="ZV28" s="46"/>
      <c r="ZW28" s="39" t="e">
        <f ca="1">ZW3</f>
        <v>#VALUE!</v>
      </c>
      <c r="ZX28" s="39"/>
      <c r="ZY28" s="67"/>
      <c r="ZZ28" s="68"/>
      <c r="AAA28" s="39"/>
      <c r="AAB28" s="39"/>
      <c r="AAC28" s="46" t="e">
        <f ca="1">AAC3</f>
        <v>#VALUE!</v>
      </c>
      <c r="AAD28" s="46"/>
      <c r="AAE28" s="46"/>
      <c r="AAF28" s="46"/>
      <c r="AAG28" s="46"/>
      <c r="AAH28" s="39" t="e">
        <f ca="1">AAH3</f>
        <v>#VALUE!</v>
      </c>
      <c r="AAI28" s="39"/>
      <c r="AAJ28" s="67"/>
      <c r="AAK28" s="68"/>
      <c r="AAL28" s="39"/>
      <c r="AAM28" s="39"/>
      <c r="AAN28" s="46" t="e">
        <f ca="1">AAN3</f>
        <v>#VALUE!</v>
      </c>
      <c r="AAO28" s="46"/>
      <c r="AAP28" s="46"/>
      <c r="AAQ28" s="46"/>
      <c r="AAR28" s="46"/>
      <c r="AAS28" s="39" t="e">
        <f ca="1">AAS3</f>
        <v>#VALUE!</v>
      </c>
      <c r="AAT28" s="39"/>
      <c r="AAU28" s="67"/>
      <c r="AAV28" s="68"/>
      <c r="AAW28" s="39"/>
      <c r="AAX28" s="39"/>
      <c r="AAY28" s="46" t="e">
        <f ca="1">AAY3</f>
        <v>#VALUE!</v>
      </c>
      <c r="AAZ28" s="46"/>
      <c r="ABA28" s="46"/>
      <c r="ABB28" s="46"/>
      <c r="ABC28" s="46"/>
      <c r="ABD28" s="39" t="e">
        <f ca="1">ABD3</f>
        <v>#VALUE!</v>
      </c>
      <c r="ABE28" s="39"/>
      <c r="ABF28" s="67"/>
      <c r="ABG28" s="68"/>
      <c r="ABH28" s="39"/>
      <c r="ABI28" s="39"/>
      <c r="ABJ28" s="46" t="e">
        <f ca="1">ABJ3</f>
        <v>#VALUE!</v>
      </c>
      <c r="ABK28" s="46"/>
      <c r="ABL28" s="46"/>
      <c r="ABM28" s="46"/>
      <c r="ABN28" s="46"/>
      <c r="ABO28" s="39" t="e">
        <f ca="1">ABO3</f>
        <v>#VALUE!</v>
      </c>
      <c r="ABP28" s="39"/>
      <c r="ABQ28" s="67"/>
      <c r="ABR28" s="68"/>
      <c r="ABS28" s="39"/>
      <c r="ABT28" s="39"/>
      <c r="ABU28" s="46" t="e">
        <f ca="1">ABU3</f>
        <v>#VALUE!</v>
      </c>
      <c r="ABV28" s="46"/>
      <c r="ABW28" s="46"/>
      <c r="ABX28" s="46"/>
      <c r="ABY28" s="46"/>
      <c r="ABZ28" s="39" t="e">
        <f ca="1">ABZ3</f>
        <v>#VALUE!</v>
      </c>
      <c r="ACA28" s="39"/>
      <c r="ACB28" s="67"/>
      <c r="ACC28" s="68"/>
      <c r="ACD28" s="39"/>
      <c r="ACE28" s="39"/>
      <c r="ACF28" s="46" t="e">
        <f ca="1">ACF3</f>
        <v>#VALUE!</v>
      </c>
      <c r="ACG28" s="46"/>
      <c r="ACH28" s="46"/>
      <c r="ACI28" s="46"/>
      <c r="ACJ28" s="46"/>
      <c r="ACK28" s="39" t="e">
        <f ca="1">ACK3</f>
        <v>#VALUE!</v>
      </c>
      <c r="ACL28" s="39"/>
      <c r="ACM28" s="67"/>
      <c r="ACN28" s="68"/>
      <c r="ACO28" s="39"/>
      <c r="ACP28" s="39"/>
      <c r="ACQ28" s="46" t="e">
        <f ca="1">ACQ3</f>
        <v>#VALUE!</v>
      </c>
      <c r="ACR28" s="46"/>
      <c r="ACS28" s="46"/>
      <c r="ACT28" s="46"/>
      <c r="ACU28" s="46"/>
      <c r="ACV28" s="39" t="e">
        <f ca="1">ACV3</f>
        <v>#VALUE!</v>
      </c>
      <c r="ACW28" s="39"/>
      <c r="ACX28" s="67"/>
      <c r="ACY28" s="68"/>
      <c r="ACZ28" s="39"/>
      <c r="ADA28" s="39"/>
      <c r="ADB28" s="46" t="e">
        <f ca="1">ADB3</f>
        <v>#VALUE!</v>
      </c>
      <c r="ADC28" s="46"/>
      <c r="ADD28" s="46"/>
      <c r="ADE28" s="46"/>
      <c r="ADF28" s="46"/>
      <c r="ADG28" s="39" t="e">
        <f ca="1">ADG3</f>
        <v>#VALUE!</v>
      </c>
      <c r="ADH28" s="39"/>
      <c r="ADI28" s="67"/>
      <c r="ADJ28" s="68"/>
      <c r="ADK28" s="39"/>
      <c r="ADL28" s="39"/>
      <c r="ADM28" s="46"/>
    </row>
    <row r="29" spans="1:793" ht="11.4" customHeight="1" x14ac:dyDescent="0.45">
      <c r="F29" s="39" t="str">
        <f>F4</f>
        <v>〒　811-1311</v>
      </c>
      <c r="G29" s="39"/>
      <c r="H29" s="67"/>
      <c r="I29" s="67"/>
      <c r="J29" s="39"/>
      <c r="K29" s="39"/>
      <c r="Q29" s="39" t="str">
        <f ca="1">Q4</f>
        <v>〒　811-1311</v>
      </c>
      <c r="R29" s="39"/>
      <c r="S29" s="67"/>
      <c r="T29" s="67"/>
      <c r="U29" s="39"/>
      <c r="V29" s="39"/>
      <c r="AB29" s="39" t="str">
        <f ca="1">AB4</f>
        <v>〒　811-1311</v>
      </c>
      <c r="AC29" s="39"/>
      <c r="AD29" s="67"/>
      <c r="AE29" s="67"/>
      <c r="AF29" s="39"/>
      <c r="AG29" s="39"/>
      <c r="AM29" s="39" t="str">
        <f ca="1">AM4</f>
        <v>〒　811-1311</v>
      </c>
      <c r="AN29" s="39"/>
      <c r="AO29" s="67"/>
      <c r="AP29" s="67"/>
      <c r="AQ29" s="39"/>
      <c r="AR29" s="39"/>
      <c r="AX29" s="39" t="str">
        <f ca="1">AX4</f>
        <v>〒　811-1311</v>
      </c>
      <c r="AY29" s="39"/>
      <c r="AZ29" s="67"/>
      <c r="BA29" s="67"/>
      <c r="BB29" s="39"/>
      <c r="BC29" s="39"/>
      <c r="BI29" s="39" t="str">
        <f ca="1">BI4</f>
        <v>〒　811-1311</v>
      </c>
      <c r="BJ29" s="39"/>
      <c r="BK29" s="67"/>
      <c r="BL29" s="67"/>
      <c r="BM29" s="39"/>
      <c r="BN29" s="39"/>
      <c r="BT29" s="39" t="str">
        <f ca="1">BT4</f>
        <v>〒　811-1311</v>
      </c>
      <c r="BU29" s="39"/>
      <c r="BV29" s="67"/>
      <c r="BW29" s="67"/>
      <c r="BX29" s="39"/>
      <c r="BY29" s="39"/>
      <c r="CE29" s="39" t="str">
        <f ca="1">CE4</f>
        <v>〒　811-1311</v>
      </c>
      <c r="CF29" s="39"/>
      <c r="CG29" s="67"/>
      <c r="CH29" s="67"/>
      <c r="CI29" s="39"/>
      <c r="CJ29" s="39"/>
      <c r="CP29" s="39" t="str">
        <f ca="1">CP4</f>
        <v>〒　811-1311</v>
      </c>
      <c r="CQ29" s="39"/>
      <c r="CR29" s="67"/>
      <c r="CS29" s="67"/>
      <c r="CT29" s="39"/>
      <c r="CU29" s="39"/>
      <c r="DA29" s="39" t="str">
        <f ca="1">DA4</f>
        <v>〒　811-1311</v>
      </c>
      <c r="DB29" s="39"/>
      <c r="DC29" s="67"/>
      <c r="DD29" s="67"/>
      <c r="DE29" s="39"/>
      <c r="DF29" s="39"/>
      <c r="DL29" s="39" t="str">
        <f ca="1">DL4</f>
        <v>〒　811-1311</v>
      </c>
      <c r="DM29" s="39"/>
      <c r="DN29" s="67"/>
      <c r="DO29" s="67"/>
      <c r="DP29" s="39"/>
      <c r="DQ29" s="39"/>
      <c r="DW29" s="39" t="str">
        <f ca="1">DW4</f>
        <v>〒　811-1311</v>
      </c>
      <c r="DX29" s="39"/>
      <c r="DY29" s="67"/>
      <c r="DZ29" s="67"/>
      <c r="EA29" s="39"/>
      <c r="EB29" s="39"/>
      <c r="EH29" s="39" t="str">
        <f ca="1">EH4</f>
        <v>〒　811-1311</v>
      </c>
      <c r="EI29" s="39"/>
      <c r="EJ29" s="67"/>
      <c r="EK29" s="67"/>
      <c r="EL29" s="39"/>
      <c r="EM29" s="39"/>
      <c r="ES29" s="39" t="str">
        <f ca="1">ES4</f>
        <v>〒　811-1311</v>
      </c>
      <c r="ET29" s="39"/>
      <c r="EU29" s="67"/>
      <c r="EV29" s="67"/>
      <c r="EW29" s="39"/>
      <c r="EX29" s="39"/>
      <c r="FD29" s="39" t="str">
        <f ca="1">FD4</f>
        <v>〒　811-1311</v>
      </c>
      <c r="FE29" s="39"/>
      <c r="FF29" s="67"/>
      <c r="FG29" s="67"/>
      <c r="FH29" s="39"/>
      <c r="FI29" s="39"/>
      <c r="FO29" s="39" t="str">
        <f ca="1">FO4</f>
        <v>〒　811-1311</v>
      </c>
      <c r="FP29" s="39"/>
      <c r="FQ29" s="67"/>
      <c r="FR29" s="67"/>
      <c r="FS29" s="39"/>
      <c r="FT29" s="39"/>
      <c r="FZ29" s="39" t="str">
        <f ca="1">FZ4</f>
        <v>〒　811-1311</v>
      </c>
      <c r="GA29" s="39"/>
      <c r="GB29" s="67"/>
      <c r="GC29" s="67"/>
      <c r="GD29" s="39"/>
      <c r="GE29" s="39"/>
      <c r="GK29" s="39" t="str">
        <f ca="1">GK4</f>
        <v>〒　811-1311</v>
      </c>
      <c r="GL29" s="39"/>
      <c r="GM29" s="67"/>
      <c r="GN29" s="67"/>
      <c r="GO29" s="39"/>
      <c r="GP29" s="39"/>
      <c r="GV29" s="39" t="str">
        <f ca="1">GV4</f>
        <v>〒　811-1311</v>
      </c>
      <c r="GW29" s="39"/>
      <c r="GX29" s="67"/>
      <c r="GY29" s="67"/>
      <c r="GZ29" s="39"/>
      <c r="HA29" s="39"/>
      <c r="HG29" s="39" t="str">
        <f ca="1">HG4</f>
        <v>〒　811-1311</v>
      </c>
      <c r="HH29" s="39"/>
      <c r="HI29" s="67"/>
      <c r="HJ29" s="67"/>
      <c r="HK29" s="39"/>
      <c r="HL29" s="39"/>
      <c r="HR29" s="39" t="str">
        <f ca="1">HR4</f>
        <v>〒　811-1311</v>
      </c>
      <c r="HS29" s="39"/>
      <c r="HT29" s="67"/>
      <c r="HU29" s="67"/>
      <c r="HV29" s="39"/>
      <c r="HW29" s="39"/>
      <c r="IC29" s="39" t="str">
        <f ca="1">IC4</f>
        <v>〒　811-1311</v>
      </c>
      <c r="ID29" s="39"/>
      <c r="IE29" s="67"/>
      <c r="IF29" s="67"/>
      <c r="IG29" s="39"/>
      <c r="IH29" s="39"/>
      <c r="IN29" s="39" t="str">
        <f ca="1">IN4</f>
        <v>〒　811-1311</v>
      </c>
      <c r="IO29" s="39"/>
      <c r="IP29" s="67"/>
      <c r="IQ29" s="67"/>
      <c r="IR29" s="39"/>
      <c r="IS29" s="39"/>
      <c r="IY29" s="39" t="str">
        <f ca="1">IY4</f>
        <v>〒　811-1311</v>
      </c>
      <c r="IZ29" s="39"/>
      <c r="JA29" s="67"/>
      <c r="JB29" s="67"/>
      <c r="JC29" s="39"/>
      <c r="JD29" s="39"/>
      <c r="JJ29" s="39" t="str">
        <f ca="1">JJ4</f>
        <v>〒　811-1311</v>
      </c>
      <c r="JK29" s="39"/>
      <c r="JL29" s="67"/>
      <c r="JM29" s="67"/>
      <c r="JN29" s="39"/>
      <c r="JO29" s="39"/>
      <c r="JU29" s="39" t="str">
        <f ca="1">JU4</f>
        <v>〒　811-1311</v>
      </c>
      <c r="JV29" s="39"/>
      <c r="JW29" s="67"/>
      <c r="JX29" s="67"/>
      <c r="JY29" s="39"/>
      <c r="JZ29" s="39"/>
      <c r="KF29" s="39" t="str">
        <f ca="1">KF4</f>
        <v>〒　811-1311</v>
      </c>
      <c r="KG29" s="39"/>
      <c r="KH29" s="67"/>
      <c r="KI29" s="67"/>
      <c r="KJ29" s="39"/>
      <c r="KK29" s="39"/>
      <c r="KQ29" s="39" t="str">
        <f ca="1">KQ4</f>
        <v>〒　811-1311</v>
      </c>
      <c r="KR29" s="39"/>
      <c r="KS29" s="67"/>
      <c r="KT29" s="67"/>
      <c r="KU29" s="39"/>
      <c r="KV29" s="39"/>
      <c r="LB29" s="39" t="str">
        <f ca="1">LB4</f>
        <v>〒　811-1311</v>
      </c>
      <c r="LC29" s="39"/>
      <c r="LD29" s="67"/>
      <c r="LE29" s="67"/>
      <c r="LF29" s="39"/>
      <c r="LG29" s="39"/>
      <c r="LM29" s="39" t="str">
        <f ca="1">LM4</f>
        <v>〒　811-1311</v>
      </c>
      <c r="LN29" s="39"/>
      <c r="LO29" s="67"/>
      <c r="LP29" s="67"/>
      <c r="LQ29" s="39"/>
      <c r="LR29" s="39"/>
      <c r="LX29" s="39" t="str">
        <f ca="1">LX4</f>
        <v>〒　811-1311</v>
      </c>
      <c r="LY29" s="39"/>
      <c r="LZ29" s="67"/>
      <c r="MA29" s="67"/>
      <c r="MB29" s="39"/>
      <c r="MC29" s="39"/>
      <c r="MI29" s="39" t="str">
        <f ca="1">MI4</f>
        <v>〒　811-1311</v>
      </c>
      <c r="MJ29" s="39"/>
      <c r="MK29" s="67"/>
      <c r="ML29" s="67"/>
      <c r="MM29" s="39"/>
      <c r="MN29" s="39"/>
      <c r="MT29" s="39" t="str">
        <f ca="1">MT4</f>
        <v>〒　811-1311</v>
      </c>
      <c r="MU29" s="39"/>
      <c r="MV29" s="67"/>
      <c r="MW29" s="67"/>
      <c r="MX29" s="39"/>
      <c r="MY29" s="39"/>
      <c r="NE29" s="39" t="str">
        <f ca="1">NE4</f>
        <v>〒　811-1311</v>
      </c>
      <c r="NF29" s="39"/>
      <c r="NG29" s="67"/>
      <c r="NH29" s="67"/>
      <c r="NI29" s="39"/>
      <c r="NJ29" s="39"/>
      <c r="NP29" s="39" t="str">
        <f ca="1">NP4</f>
        <v>〒　811-1311</v>
      </c>
      <c r="NQ29" s="39"/>
      <c r="NR29" s="67"/>
      <c r="NS29" s="67"/>
      <c r="NT29" s="39"/>
      <c r="NU29" s="39"/>
      <c r="OA29" s="39" t="str">
        <f ca="1">OA4</f>
        <v>〒　811-1311</v>
      </c>
      <c r="OB29" s="39"/>
      <c r="OC29" s="67"/>
      <c r="OD29" s="67"/>
      <c r="OE29" s="39"/>
      <c r="OF29" s="39"/>
      <c r="OL29" s="39" t="str">
        <f ca="1">OL4</f>
        <v>〒　811-1311</v>
      </c>
      <c r="OM29" s="39"/>
      <c r="ON29" s="67"/>
      <c r="OO29" s="67"/>
      <c r="OP29" s="39"/>
      <c r="OQ29" s="39"/>
      <c r="OW29" s="39" t="str">
        <f ca="1">OW4</f>
        <v>〒　811-1311</v>
      </c>
      <c r="OX29" s="39"/>
      <c r="OY29" s="67"/>
      <c r="OZ29" s="67"/>
      <c r="PA29" s="39"/>
      <c r="PB29" s="39"/>
      <c r="PH29" s="39" t="str">
        <f ca="1">PH4</f>
        <v>〒　811-1311</v>
      </c>
      <c r="PI29" s="39"/>
      <c r="PJ29" s="67"/>
      <c r="PK29" s="67"/>
      <c r="PL29" s="39"/>
      <c r="PM29" s="39"/>
      <c r="PS29" s="39" t="str">
        <f ca="1">PS4</f>
        <v>〒　811-1311</v>
      </c>
      <c r="PT29" s="39"/>
      <c r="PU29" s="67"/>
      <c r="PV29" s="67"/>
      <c r="PW29" s="39"/>
      <c r="PX29" s="39"/>
      <c r="QD29" s="39" t="str">
        <f ca="1">QD4</f>
        <v>〒　811-1311</v>
      </c>
      <c r="QE29" s="39"/>
      <c r="QF29" s="67"/>
      <c r="QG29" s="67"/>
      <c r="QH29" s="39"/>
      <c r="QI29" s="39"/>
      <c r="QO29" s="39" t="str">
        <f ca="1">QO4</f>
        <v>〒　811-1311</v>
      </c>
      <c r="QP29" s="39"/>
      <c r="QQ29" s="67"/>
      <c r="QR29" s="67"/>
      <c r="QS29" s="39"/>
      <c r="QT29" s="39"/>
      <c r="QZ29" s="39" t="str">
        <f ca="1">QZ4</f>
        <v>〒　811-1347</v>
      </c>
      <c r="RA29" s="39"/>
      <c r="RB29" s="67"/>
      <c r="RC29" s="67"/>
      <c r="RD29" s="39"/>
      <c r="RE29" s="39"/>
      <c r="RK29" s="39" t="str">
        <f ca="1">RK4</f>
        <v>〒　811-1347</v>
      </c>
      <c r="RL29" s="39"/>
      <c r="RM29" s="67"/>
      <c r="RN29" s="67"/>
      <c r="RO29" s="39"/>
      <c r="RP29" s="39"/>
      <c r="RV29" s="39" t="str">
        <f ca="1">RV4</f>
        <v>〒　811-1347</v>
      </c>
      <c r="RW29" s="39"/>
      <c r="RX29" s="67"/>
      <c r="RY29" s="67"/>
      <c r="RZ29" s="39"/>
      <c r="SA29" s="39"/>
      <c r="SG29" s="39" t="str">
        <f ca="1">SG4</f>
        <v>〒　811-1347</v>
      </c>
      <c r="SH29" s="39"/>
      <c r="SI29" s="67"/>
      <c r="SJ29" s="67"/>
      <c r="SK29" s="39"/>
      <c r="SL29" s="39"/>
      <c r="SR29" s="39" t="str">
        <f ca="1">SR4</f>
        <v>〒　811-1347</v>
      </c>
      <c r="SS29" s="39"/>
      <c r="ST29" s="67"/>
      <c r="SU29" s="67"/>
      <c r="SV29" s="39"/>
      <c r="SW29" s="39"/>
      <c r="TC29" s="39" t="str">
        <f ca="1">TC4</f>
        <v>〒　811-1347</v>
      </c>
      <c r="TD29" s="39"/>
      <c r="TE29" s="67"/>
      <c r="TF29" s="67"/>
      <c r="TG29" s="39"/>
      <c r="TH29" s="39"/>
      <c r="TN29" s="39" t="str">
        <f ca="1">TN4</f>
        <v>〒　811-1347</v>
      </c>
      <c r="TO29" s="39"/>
      <c r="TP29" s="67"/>
      <c r="TQ29" s="67"/>
      <c r="TR29" s="39"/>
      <c r="TS29" s="39"/>
      <c r="TY29" s="39" t="str">
        <f ca="1">TY4</f>
        <v>〒　811-1347</v>
      </c>
      <c r="TZ29" s="39"/>
      <c r="UA29" s="67"/>
      <c r="UB29" s="67"/>
      <c r="UC29" s="39"/>
      <c r="UD29" s="39"/>
      <c r="UJ29" s="39" t="str">
        <f ca="1">UJ4</f>
        <v>〒　811-1347</v>
      </c>
      <c r="UK29" s="39"/>
      <c r="UL29" s="67"/>
      <c r="UM29" s="67"/>
      <c r="UN29" s="39"/>
      <c r="UO29" s="39"/>
      <c r="UU29" s="39" t="str">
        <f ca="1">UU4</f>
        <v>〒　811-1311</v>
      </c>
      <c r="UV29" s="39"/>
      <c r="UW29" s="67"/>
      <c r="UX29" s="67"/>
      <c r="UY29" s="39"/>
      <c r="UZ29" s="39"/>
      <c r="VF29" s="39" t="e">
        <f ca="1">VF4</f>
        <v>#VALUE!</v>
      </c>
      <c r="VG29" s="39"/>
      <c r="VH29" s="67"/>
      <c r="VI29" s="67"/>
      <c r="VJ29" s="39"/>
      <c r="VK29" s="39"/>
      <c r="VQ29" s="39" t="e">
        <f ca="1">VQ4</f>
        <v>#VALUE!</v>
      </c>
      <c r="VR29" s="39"/>
      <c r="VS29" s="67"/>
      <c r="VT29" s="67"/>
      <c r="VU29" s="39"/>
      <c r="VV29" s="39"/>
      <c r="WB29" s="39" t="e">
        <f ca="1">WB4</f>
        <v>#VALUE!</v>
      </c>
      <c r="WC29" s="39"/>
      <c r="WD29" s="67"/>
      <c r="WE29" s="67"/>
      <c r="WF29" s="39"/>
      <c r="WG29" s="39"/>
      <c r="WM29" s="39" t="e">
        <f ca="1">WM4</f>
        <v>#VALUE!</v>
      </c>
      <c r="WN29" s="39"/>
      <c r="WO29" s="67"/>
      <c r="WP29" s="67"/>
      <c r="WQ29" s="39"/>
      <c r="WR29" s="39"/>
      <c r="WX29" s="39" t="e">
        <f ca="1">WX4</f>
        <v>#VALUE!</v>
      </c>
      <c r="WY29" s="39"/>
      <c r="WZ29" s="67"/>
      <c r="XA29" s="67"/>
      <c r="XB29" s="39"/>
      <c r="XC29" s="39"/>
      <c r="XI29" s="39" t="e">
        <f ca="1">XI4</f>
        <v>#VALUE!</v>
      </c>
      <c r="XJ29" s="39"/>
      <c r="XK29" s="67"/>
      <c r="XL29" s="67"/>
      <c r="XM29" s="39"/>
      <c r="XN29" s="39"/>
      <c r="XT29" s="39" t="e">
        <f ca="1">XT4</f>
        <v>#VALUE!</v>
      </c>
      <c r="XU29" s="39"/>
      <c r="XV29" s="67"/>
      <c r="XW29" s="67"/>
      <c r="XX29" s="39"/>
      <c r="XY29" s="39"/>
      <c r="YE29" s="39" t="e">
        <f ca="1">YE4</f>
        <v>#VALUE!</v>
      </c>
      <c r="YF29" s="39"/>
      <c r="YG29" s="67"/>
      <c r="YH29" s="67"/>
      <c r="YI29" s="39"/>
      <c r="YJ29" s="39"/>
      <c r="YP29" s="39" t="e">
        <f ca="1">YP4</f>
        <v>#VALUE!</v>
      </c>
      <c r="YQ29" s="39"/>
      <c r="YR29" s="67"/>
      <c r="YS29" s="67"/>
      <c r="YT29" s="39"/>
      <c r="YU29" s="39"/>
      <c r="ZA29" s="39" t="e">
        <f ca="1">ZA4</f>
        <v>#VALUE!</v>
      </c>
      <c r="ZB29" s="39"/>
      <c r="ZC29" s="67"/>
      <c r="ZD29" s="67"/>
      <c r="ZE29" s="39"/>
      <c r="ZF29" s="39"/>
      <c r="ZL29" s="39" t="e">
        <f ca="1">ZL4</f>
        <v>#VALUE!</v>
      </c>
      <c r="ZM29" s="39"/>
      <c r="ZN29" s="67"/>
      <c r="ZO29" s="67"/>
      <c r="ZP29" s="39"/>
      <c r="ZQ29" s="39"/>
      <c r="ZW29" s="39" t="e">
        <f ca="1">ZW4</f>
        <v>#VALUE!</v>
      </c>
      <c r="ZX29" s="39"/>
      <c r="ZY29" s="67"/>
      <c r="ZZ29" s="67"/>
      <c r="AAA29" s="39"/>
      <c r="AAB29" s="39"/>
      <c r="AAH29" s="39" t="e">
        <f ca="1">AAH4</f>
        <v>#VALUE!</v>
      </c>
      <c r="AAI29" s="39"/>
      <c r="AAJ29" s="67"/>
      <c r="AAK29" s="67"/>
      <c r="AAL29" s="39"/>
      <c r="AAM29" s="39"/>
      <c r="AAS29" s="39" t="e">
        <f ca="1">AAS4</f>
        <v>#VALUE!</v>
      </c>
      <c r="AAT29" s="39"/>
      <c r="AAU29" s="67"/>
      <c r="AAV29" s="67"/>
      <c r="AAW29" s="39"/>
      <c r="AAX29" s="39"/>
      <c r="ABD29" s="39" t="e">
        <f ca="1">ABD4</f>
        <v>#VALUE!</v>
      </c>
      <c r="ABE29" s="39"/>
      <c r="ABF29" s="67"/>
      <c r="ABG29" s="67"/>
      <c r="ABH29" s="39"/>
      <c r="ABI29" s="39"/>
      <c r="ABO29" s="39" t="e">
        <f ca="1">ABO4</f>
        <v>#VALUE!</v>
      </c>
      <c r="ABP29" s="39"/>
      <c r="ABQ29" s="67"/>
      <c r="ABR29" s="67"/>
      <c r="ABS29" s="39"/>
      <c r="ABT29" s="39"/>
      <c r="ABZ29" s="39" t="e">
        <f ca="1">ABZ4</f>
        <v>#VALUE!</v>
      </c>
      <c r="ACA29" s="39"/>
      <c r="ACB29" s="67"/>
      <c r="ACC29" s="67"/>
      <c r="ACD29" s="39"/>
      <c r="ACE29" s="39"/>
      <c r="ACK29" s="39" t="e">
        <f ca="1">ACK4</f>
        <v>#VALUE!</v>
      </c>
      <c r="ACL29" s="39"/>
      <c r="ACM29" s="67"/>
      <c r="ACN29" s="67"/>
      <c r="ACO29" s="39"/>
      <c r="ACP29" s="39"/>
      <c r="ACV29" s="39" t="e">
        <f ca="1">ACV4</f>
        <v>#VALUE!</v>
      </c>
      <c r="ACW29" s="39"/>
      <c r="ACX29" s="67"/>
      <c r="ACY29" s="67"/>
      <c r="ACZ29" s="39"/>
      <c r="ADA29" s="39"/>
      <c r="ADG29" s="39" t="e">
        <f ca="1">ADG4</f>
        <v>#VALUE!</v>
      </c>
      <c r="ADH29" s="39"/>
      <c r="ADI29" s="67"/>
      <c r="ADJ29" s="67"/>
    </row>
    <row r="30" spans="1:793" ht="11.4" customHeight="1" x14ac:dyDescent="0.45">
      <c r="F30" s="39" t="str">
        <f>F5</f>
        <v>福岡市南区横手2-9-13</v>
      </c>
      <c r="G30" s="39"/>
      <c r="H30" s="67"/>
      <c r="I30" s="67"/>
      <c r="J30" s="39"/>
      <c r="K30" s="39"/>
      <c r="Q30" s="39" t="str">
        <f ca="1">Q5</f>
        <v>福岡市南区横手2-9-13</v>
      </c>
      <c r="R30" s="39"/>
      <c r="S30" s="67"/>
      <c r="T30" s="67"/>
      <c r="U30" s="39"/>
      <c r="V30" s="39"/>
      <c r="AB30" s="39" t="str">
        <f ca="1">AB5</f>
        <v>福岡市南区横手2-9-13</v>
      </c>
      <c r="AC30" s="39"/>
      <c r="AD30" s="67"/>
      <c r="AE30" s="67"/>
      <c r="AF30" s="39"/>
      <c r="AG30" s="39"/>
      <c r="AM30" s="39" t="str">
        <f ca="1">AM5</f>
        <v>福岡市南区横手2-9-13</v>
      </c>
      <c r="AN30" s="39"/>
      <c r="AO30" s="67"/>
      <c r="AP30" s="67"/>
      <c r="AQ30" s="39"/>
      <c r="AR30" s="39"/>
      <c r="AX30" s="39" t="str">
        <f ca="1">AX5</f>
        <v>福岡市南区横手2-9-13</v>
      </c>
      <c r="AY30" s="39"/>
      <c r="AZ30" s="67"/>
      <c r="BA30" s="67"/>
      <c r="BB30" s="39"/>
      <c r="BC30" s="39"/>
      <c r="BI30" s="39" t="str">
        <f ca="1">BI5</f>
        <v>福岡市南区横手2-9-13</v>
      </c>
      <c r="BJ30" s="39"/>
      <c r="BK30" s="67"/>
      <c r="BL30" s="67"/>
      <c r="BM30" s="39"/>
      <c r="BN30" s="39"/>
      <c r="BT30" s="39" t="str">
        <f ca="1">BT5</f>
        <v>福岡市南区横手2-9-13</v>
      </c>
      <c r="BU30" s="39"/>
      <c r="BV30" s="67"/>
      <c r="BW30" s="67"/>
      <c r="BX30" s="39"/>
      <c r="BY30" s="39"/>
      <c r="CE30" s="39" t="str">
        <f ca="1">CE5</f>
        <v>福岡市南区横手2-9-13</v>
      </c>
      <c r="CF30" s="39"/>
      <c r="CG30" s="67"/>
      <c r="CH30" s="67"/>
      <c r="CI30" s="39"/>
      <c r="CJ30" s="39"/>
      <c r="CP30" s="39" t="str">
        <f ca="1">CP5</f>
        <v>福岡市南区横手2-9-13</v>
      </c>
      <c r="CQ30" s="39"/>
      <c r="CR30" s="67"/>
      <c r="CS30" s="67"/>
      <c r="CT30" s="39"/>
      <c r="CU30" s="39"/>
      <c r="DA30" s="39" t="str">
        <f ca="1">DA5</f>
        <v>福岡市南区横手2-9-13</v>
      </c>
      <c r="DB30" s="39"/>
      <c r="DC30" s="67"/>
      <c r="DD30" s="67"/>
      <c r="DE30" s="39"/>
      <c r="DF30" s="39"/>
      <c r="DL30" s="39" t="str">
        <f ca="1">DL5</f>
        <v>福岡市南区横手2-9-13</v>
      </c>
      <c r="DM30" s="39"/>
      <c r="DN30" s="67"/>
      <c r="DO30" s="67"/>
      <c r="DP30" s="39"/>
      <c r="DQ30" s="39"/>
      <c r="DW30" s="39" t="str">
        <f ca="1">DW5</f>
        <v>福岡市南区横手2-9-13</v>
      </c>
      <c r="DX30" s="39"/>
      <c r="DY30" s="67"/>
      <c r="DZ30" s="67"/>
      <c r="EA30" s="39"/>
      <c r="EB30" s="39"/>
      <c r="EH30" s="39" t="str">
        <f ca="1">EH5</f>
        <v>福岡市南区横手2-9-13</v>
      </c>
      <c r="EI30" s="39"/>
      <c r="EJ30" s="67"/>
      <c r="EK30" s="67"/>
      <c r="EL30" s="39"/>
      <c r="EM30" s="39"/>
      <c r="ES30" s="39" t="str">
        <f ca="1">ES5</f>
        <v>福岡市南区横手2-9-13</v>
      </c>
      <c r="ET30" s="39"/>
      <c r="EU30" s="67"/>
      <c r="EV30" s="67"/>
      <c r="EW30" s="39"/>
      <c r="EX30" s="39"/>
      <c r="FD30" s="39" t="str">
        <f ca="1">FD5</f>
        <v>福岡市南区横手2-9-13</v>
      </c>
      <c r="FE30" s="39"/>
      <c r="FF30" s="67"/>
      <c r="FG30" s="67"/>
      <c r="FH30" s="39"/>
      <c r="FI30" s="39"/>
      <c r="FO30" s="39" t="str">
        <f ca="1">FO5</f>
        <v>福岡市南区横手2-9-13</v>
      </c>
      <c r="FP30" s="39"/>
      <c r="FQ30" s="67"/>
      <c r="FR30" s="67"/>
      <c r="FS30" s="39"/>
      <c r="FT30" s="39"/>
      <c r="FZ30" s="39" t="str">
        <f ca="1">FZ5</f>
        <v>福岡市南区横手2-9-13</v>
      </c>
      <c r="GA30" s="39"/>
      <c r="GB30" s="67"/>
      <c r="GC30" s="67"/>
      <c r="GD30" s="39"/>
      <c r="GE30" s="39"/>
      <c r="GK30" s="39" t="str">
        <f ca="1">GK5</f>
        <v>福岡市南区横手2-9-13</v>
      </c>
      <c r="GL30" s="39"/>
      <c r="GM30" s="67"/>
      <c r="GN30" s="67"/>
      <c r="GO30" s="39"/>
      <c r="GP30" s="39"/>
      <c r="GV30" s="39" t="str">
        <f ca="1">GV5</f>
        <v>福岡市南区横手2-9-13</v>
      </c>
      <c r="GW30" s="39"/>
      <c r="GX30" s="67"/>
      <c r="GY30" s="67"/>
      <c r="GZ30" s="39"/>
      <c r="HA30" s="39"/>
      <c r="HG30" s="39" t="str">
        <f ca="1">HG5</f>
        <v>福岡市南区横手2-9-13</v>
      </c>
      <c r="HH30" s="39"/>
      <c r="HI30" s="67"/>
      <c r="HJ30" s="67"/>
      <c r="HK30" s="39"/>
      <c r="HL30" s="39"/>
      <c r="HR30" s="39" t="str">
        <f ca="1">HR5</f>
        <v>福岡市南区横手2-9-13</v>
      </c>
      <c r="HS30" s="39"/>
      <c r="HT30" s="67"/>
      <c r="HU30" s="67"/>
      <c r="HV30" s="39"/>
      <c r="HW30" s="39"/>
      <c r="IC30" s="39" t="str">
        <f ca="1">IC5</f>
        <v>福岡市南区横手2-9-13</v>
      </c>
      <c r="ID30" s="39"/>
      <c r="IE30" s="67"/>
      <c r="IF30" s="67"/>
      <c r="IG30" s="39"/>
      <c r="IH30" s="39"/>
      <c r="IN30" s="39" t="str">
        <f ca="1">IN5</f>
        <v>福岡市南区横手2-9-13</v>
      </c>
      <c r="IO30" s="39"/>
      <c r="IP30" s="67"/>
      <c r="IQ30" s="67"/>
      <c r="IR30" s="39"/>
      <c r="IS30" s="39"/>
      <c r="IY30" s="39" t="str">
        <f ca="1">IY5</f>
        <v>福岡市南区横手2-9-13</v>
      </c>
      <c r="IZ30" s="39"/>
      <c r="JA30" s="67"/>
      <c r="JB30" s="67"/>
      <c r="JC30" s="39"/>
      <c r="JD30" s="39"/>
      <c r="JJ30" s="39" t="str">
        <f ca="1">JJ5</f>
        <v>福岡市南区横手2-9-13</v>
      </c>
      <c r="JK30" s="39"/>
      <c r="JL30" s="67"/>
      <c r="JM30" s="67"/>
      <c r="JN30" s="39"/>
      <c r="JO30" s="39"/>
      <c r="JU30" s="39" t="str">
        <f ca="1">JU5</f>
        <v>福岡市南区横手2-9-13</v>
      </c>
      <c r="JV30" s="39"/>
      <c r="JW30" s="67"/>
      <c r="JX30" s="67"/>
      <c r="JY30" s="39"/>
      <c r="JZ30" s="39"/>
      <c r="KF30" s="39" t="str">
        <f ca="1">KF5</f>
        <v>福岡市南区横手2-9-13</v>
      </c>
      <c r="KG30" s="39"/>
      <c r="KH30" s="67"/>
      <c r="KI30" s="67"/>
      <c r="KJ30" s="39"/>
      <c r="KK30" s="39"/>
      <c r="KQ30" s="39" t="str">
        <f ca="1">KQ5</f>
        <v>福岡市南区横手2-9-13</v>
      </c>
      <c r="KR30" s="39"/>
      <c r="KS30" s="67"/>
      <c r="KT30" s="67"/>
      <c r="KU30" s="39"/>
      <c r="KV30" s="39"/>
      <c r="LB30" s="39" t="str">
        <f ca="1">LB5</f>
        <v>福岡市南区横手2-9-13</v>
      </c>
      <c r="LC30" s="39"/>
      <c r="LD30" s="67"/>
      <c r="LE30" s="67"/>
      <c r="LF30" s="39"/>
      <c r="LG30" s="39"/>
      <c r="LM30" s="39" t="str">
        <f ca="1">LM5</f>
        <v>福岡市南区横手2-9-13</v>
      </c>
      <c r="LN30" s="39"/>
      <c r="LO30" s="67"/>
      <c r="LP30" s="67"/>
      <c r="LQ30" s="39"/>
      <c r="LR30" s="39"/>
      <c r="LX30" s="39" t="str">
        <f ca="1">LX5</f>
        <v>福岡市南区横手2-9-13</v>
      </c>
      <c r="LY30" s="39"/>
      <c r="LZ30" s="67"/>
      <c r="MA30" s="67"/>
      <c r="MB30" s="39"/>
      <c r="MC30" s="39"/>
      <c r="MI30" s="39" t="str">
        <f ca="1">MI5</f>
        <v>福岡市南区横手2-9-13</v>
      </c>
      <c r="MJ30" s="39"/>
      <c r="MK30" s="67"/>
      <c r="ML30" s="67"/>
      <c r="MM30" s="39"/>
      <c r="MN30" s="39"/>
      <c r="MT30" s="39" t="str">
        <f ca="1">MT5</f>
        <v>福岡市南区横手2-9-13</v>
      </c>
      <c r="MU30" s="39"/>
      <c r="MV30" s="67"/>
      <c r="MW30" s="67"/>
      <c r="MX30" s="39"/>
      <c r="MY30" s="39"/>
      <c r="NE30" s="39" t="str">
        <f ca="1">NE5</f>
        <v>福岡市南区横手2-9-13</v>
      </c>
      <c r="NF30" s="39"/>
      <c r="NG30" s="67"/>
      <c r="NH30" s="67"/>
      <c r="NI30" s="39"/>
      <c r="NJ30" s="39"/>
      <c r="NP30" s="39" t="str">
        <f ca="1">NP5</f>
        <v>福岡市南区横手2-9-13</v>
      </c>
      <c r="NQ30" s="39"/>
      <c r="NR30" s="67"/>
      <c r="NS30" s="67"/>
      <c r="NT30" s="39"/>
      <c r="NU30" s="39"/>
      <c r="OA30" s="39" t="str">
        <f ca="1">OA5</f>
        <v>福岡市南区横手2-9-13</v>
      </c>
      <c r="OB30" s="39"/>
      <c r="OC30" s="67"/>
      <c r="OD30" s="67"/>
      <c r="OE30" s="39"/>
      <c r="OF30" s="39"/>
      <c r="OL30" s="39" t="str">
        <f ca="1">OL5</f>
        <v>福岡市南区横手2-9-13</v>
      </c>
      <c r="OM30" s="39"/>
      <c r="ON30" s="67"/>
      <c r="OO30" s="67"/>
      <c r="OP30" s="39"/>
      <c r="OQ30" s="39"/>
      <c r="OW30" s="39" t="str">
        <f ca="1">OW5</f>
        <v>福岡市南区横手2-9-13</v>
      </c>
      <c r="OX30" s="39"/>
      <c r="OY30" s="67"/>
      <c r="OZ30" s="67"/>
      <c r="PA30" s="39"/>
      <c r="PB30" s="39"/>
      <c r="PH30" s="39" t="str">
        <f ca="1">PH5</f>
        <v>福岡市南区横手2-9-13</v>
      </c>
      <c r="PI30" s="39"/>
      <c r="PJ30" s="67"/>
      <c r="PK30" s="67"/>
      <c r="PL30" s="39"/>
      <c r="PM30" s="39"/>
      <c r="PS30" s="39" t="str">
        <f ca="1">PS5</f>
        <v>福岡市南区横手2-9-13</v>
      </c>
      <c r="PT30" s="39"/>
      <c r="PU30" s="67"/>
      <c r="PV30" s="67"/>
      <c r="PW30" s="39"/>
      <c r="PX30" s="39"/>
      <c r="QD30" s="39" t="str">
        <f ca="1">QD5</f>
        <v>福岡市南区横手2-9-13</v>
      </c>
      <c r="QE30" s="39"/>
      <c r="QF30" s="67"/>
      <c r="QG30" s="67"/>
      <c r="QH30" s="39"/>
      <c r="QI30" s="39"/>
      <c r="QO30" s="39" t="str">
        <f ca="1">QO5</f>
        <v>福岡市南区横手2-9-13</v>
      </c>
      <c r="QP30" s="39"/>
      <c r="QQ30" s="67"/>
      <c r="QR30" s="67"/>
      <c r="QS30" s="39"/>
      <c r="QT30" s="39"/>
      <c r="QZ30" s="39" t="str">
        <f ca="1">QZ5</f>
        <v>福岡市南区野多目2-7-5</v>
      </c>
      <c r="RA30" s="39"/>
      <c r="RB30" s="67"/>
      <c r="RC30" s="67"/>
      <c r="RD30" s="39"/>
      <c r="RE30" s="39"/>
      <c r="RK30" s="39" t="str">
        <f ca="1">RK5</f>
        <v>福岡市南区野多目2-7-5</v>
      </c>
      <c r="RL30" s="39"/>
      <c r="RM30" s="67"/>
      <c r="RN30" s="67"/>
      <c r="RO30" s="39"/>
      <c r="RP30" s="39"/>
      <c r="RV30" s="39" t="str">
        <f ca="1">RV5</f>
        <v>福岡市南区野多目2-7-5</v>
      </c>
      <c r="RW30" s="39"/>
      <c r="RX30" s="67"/>
      <c r="RY30" s="67"/>
      <c r="RZ30" s="39"/>
      <c r="SA30" s="39"/>
      <c r="SG30" s="39" t="str">
        <f ca="1">SG5</f>
        <v>福岡市南区野多目2-7-5</v>
      </c>
      <c r="SH30" s="39"/>
      <c r="SI30" s="67"/>
      <c r="SJ30" s="67"/>
      <c r="SK30" s="39"/>
      <c r="SL30" s="39"/>
      <c r="SR30" s="39" t="str">
        <f ca="1">SR5</f>
        <v>福岡市南区野多目2-7-5</v>
      </c>
      <c r="SS30" s="39"/>
      <c r="ST30" s="67"/>
      <c r="SU30" s="67"/>
      <c r="SV30" s="39"/>
      <c r="SW30" s="39"/>
      <c r="TC30" s="39" t="str">
        <f ca="1">TC5</f>
        <v>福岡市南区野多目2-7-5</v>
      </c>
      <c r="TD30" s="39"/>
      <c r="TE30" s="67"/>
      <c r="TF30" s="67"/>
      <c r="TG30" s="39"/>
      <c r="TH30" s="39"/>
      <c r="TN30" s="39" t="str">
        <f ca="1">TN5</f>
        <v>福岡市南区野多目2-7-5</v>
      </c>
      <c r="TO30" s="39"/>
      <c r="TP30" s="67"/>
      <c r="TQ30" s="67"/>
      <c r="TR30" s="39"/>
      <c r="TS30" s="39"/>
      <c r="TY30" s="39" t="str">
        <f ca="1">TY5</f>
        <v>福岡市南区野多目2-7-5</v>
      </c>
      <c r="TZ30" s="39"/>
      <c r="UA30" s="67"/>
      <c r="UB30" s="67"/>
      <c r="UC30" s="39"/>
      <c r="UD30" s="39"/>
      <c r="UJ30" s="39" t="str">
        <f ca="1">UJ5</f>
        <v>福岡市南区野多目2-7-5</v>
      </c>
      <c r="UK30" s="39"/>
      <c r="UL30" s="67"/>
      <c r="UM30" s="67"/>
      <c r="UN30" s="39"/>
      <c r="UO30" s="39"/>
      <c r="UU30" s="39" t="str">
        <f ca="1">UU5</f>
        <v>福岡市南区横手2-9-13</v>
      </c>
      <c r="UV30" s="39"/>
      <c r="UW30" s="67"/>
      <c r="UX30" s="67"/>
      <c r="UY30" s="39"/>
      <c r="UZ30" s="39"/>
      <c r="VF30" s="39" t="e">
        <f ca="1">VF5</f>
        <v>#VALUE!</v>
      </c>
      <c r="VG30" s="39"/>
      <c r="VH30" s="67"/>
      <c r="VI30" s="67"/>
      <c r="VJ30" s="39"/>
      <c r="VK30" s="39"/>
      <c r="VQ30" s="39" t="e">
        <f ca="1">VQ5</f>
        <v>#VALUE!</v>
      </c>
      <c r="VR30" s="39"/>
      <c r="VS30" s="67"/>
      <c r="VT30" s="67"/>
      <c r="VU30" s="39"/>
      <c r="VV30" s="39"/>
      <c r="WB30" s="39" t="e">
        <f ca="1">WB5</f>
        <v>#VALUE!</v>
      </c>
      <c r="WC30" s="39"/>
      <c r="WD30" s="67"/>
      <c r="WE30" s="67"/>
      <c r="WF30" s="39"/>
      <c r="WG30" s="39"/>
      <c r="WM30" s="39" t="e">
        <f ca="1">WM5</f>
        <v>#VALUE!</v>
      </c>
      <c r="WN30" s="39"/>
      <c r="WO30" s="67"/>
      <c r="WP30" s="67"/>
      <c r="WQ30" s="39"/>
      <c r="WR30" s="39"/>
      <c r="WX30" s="39" t="e">
        <f ca="1">WX5</f>
        <v>#VALUE!</v>
      </c>
      <c r="WY30" s="39"/>
      <c r="WZ30" s="67"/>
      <c r="XA30" s="67"/>
      <c r="XB30" s="39"/>
      <c r="XC30" s="39"/>
      <c r="XI30" s="39" t="e">
        <f ca="1">XI5</f>
        <v>#VALUE!</v>
      </c>
      <c r="XJ30" s="39"/>
      <c r="XK30" s="67"/>
      <c r="XL30" s="67"/>
      <c r="XM30" s="39"/>
      <c r="XN30" s="39"/>
      <c r="XT30" s="39" t="e">
        <f ca="1">XT5</f>
        <v>#VALUE!</v>
      </c>
      <c r="XU30" s="39"/>
      <c r="XV30" s="67"/>
      <c r="XW30" s="67"/>
      <c r="XX30" s="39"/>
      <c r="XY30" s="39"/>
      <c r="YE30" s="39" t="e">
        <f ca="1">YE5</f>
        <v>#VALUE!</v>
      </c>
      <c r="YF30" s="39"/>
      <c r="YG30" s="67"/>
      <c r="YH30" s="67"/>
      <c r="YI30" s="39"/>
      <c r="YJ30" s="39"/>
      <c r="YP30" s="39" t="e">
        <f ca="1">YP5</f>
        <v>#VALUE!</v>
      </c>
      <c r="YQ30" s="39"/>
      <c r="YR30" s="67"/>
      <c r="YS30" s="67"/>
      <c r="YT30" s="39"/>
      <c r="YU30" s="39"/>
      <c r="ZA30" s="39" t="e">
        <f ca="1">ZA5</f>
        <v>#VALUE!</v>
      </c>
      <c r="ZB30" s="39"/>
      <c r="ZC30" s="67"/>
      <c r="ZD30" s="67"/>
      <c r="ZE30" s="39"/>
      <c r="ZF30" s="39"/>
      <c r="ZL30" s="39" t="e">
        <f ca="1">ZL5</f>
        <v>#VALUE!</v>
      </c>
      <c r="ZM30" s="39"/>
      <c r="ZN30" s="67"/>
      <c r="ZO30" s="67"/>
      <c r="ZP30" s="39"/>
      <c r="ZQ30" s="39"/>
      <c r="ZW30" s="39" t="e">
        <f ca="1">ZW5</f>
        <v>#VALUE!</v>
      </c>
      <c r="ZX30" s="39"/>
      <c r="ZY30" s="67"/>
      <c r="ZZ30" s="67"/>
      <c r="AAA30" s="39"/>
      <c r="AAB30" s="39"/>
      <c r="AAH30" s="39" t="e">
        <f ca="1">AAH5</f>
        <v>#VALUE!</v>
      </c>
      <c r="AAI30" s="39"/>
      <c r="AAJ30" s="67"/>
      <c r="AAK30" s="67"/>
      <c r="AAL30" s="39"/>
      <c r="AAM30" s="39"/>
      <c r="AAS30" s="39" t="e">
        <f ca="1">AAS5</f>
        <v>#VALUE!</v>
      </c>
      <c r="AAT30" s="39"/>
      <c r="AAU30" s="67"/>
      <c r="AAV30" s="67"/>
      <c r="AAW30" s="39"/>
      <c r="AAX30" s="39"/>
      <c r="ABD30" s="39" t="e">
        <f ca="1">ABD5</f>
        <v>#VALUE!</v>
      </c>
      <c r="ABE30" s="39"/>
      <c r="ABF30" s="67"/>
      <c r="ABG30" s="67"/>
      <c r="ABH30" s="39"/>
      <c r="ABI30" s="39"/>
      <c r="ABO30" s="39" t="e">
        <f ca="1">ABO5</f>
        <v>#VALUE!</v>
      </c>
      <c r="ABP30" s="39"/>
      <c r="ABQ30" s="67"/>
      <c r="ABR30" s="67"/>
      <c r="ABS30" s="39"/>
      <c r="ABT30" s="39"/>
      <c r="ABZ30" s="39" t="e">
        <f ca="1">ABZ5</f>
        <v>#VALUE!</v>
      </c>
      <c r="ACA30" s="39"/>
      <c r="ACB30" s="67"/>
      <c r="ACC30" s="67"/>
      <c r="ACD30" s="39"/>
      <c r="ACE30" s="39"/>
      <c r="ACK30" s="39" t="e">
        <f ca="1">ACK5</f>
        <v>#VALUE!</v>
      </c>
      <c r="ACL30" s="39"/>
      <c r="ACM30" s="67"/>
      <c r="ACN30" s="67"/>
      <c r="ACO30" s="39"/>
      <c r="ACP30" s="39"/>
      <c r="ACV30" s="39" t="e">
        <f ca="1">ACV5</f>
        <v>#VALUE!</v>
      </c>
      <c r="ACW30" s="39"/>
      <c r="ACX30" s="67"/>
      <c r="ACY30" s="67"/>
      <c r="ACZ30" s="39"/>
      <c r="ADA30" s="39"/>
      <c r="ADG30" s="39" t="e">
        <f ca="1">ADG5</f>
        <v>#VALUE!</v>
      </c>
      <c r="ADH30" s="39"/>
      <c r="ADI30" s="67"/>
      <c r="ADJ30" s="67"/>
    </row>
    <row r="31" spans="1:793" ht="11.4" customHeight="1" x14ac:dyDescent="0.45">
      <c r="F31" s="39" t="str">
        <f>F6</f>
        <v>TEL：092-915-2300　FAX　092-915-2301</v>
      </c>
      <c r="G31" s="39"/>
      <c r="H31" s="67"/>
      <c r="I31" s="67"/>
      <c r="J31" s="39"/>
      <c r="K31" s="39"/>
      <c r="Q31" s="39" t="str">
        <f ca="1">Q6</f>
        <v>TEL：092-915-2300　FAX　092-915-2301</v>
      </c>
      <c r="R31" s="39"/>
      <c r="S31" s="67"/>
      <c r="T31" s="67"/>
      <c r="U31" s="39"/>
      <c r="V31" s="39"/>
      <c r="AB31" s="39" t="str">
        <f ca="1">AB6</f>
        <v>TEL：092-915-2300　FAX　092-915-2301</v>
      </c>
      <c r="AC31" s="39"/>
      <c r="AD31" s="67"/>
      <c r="AE31" s="67"/>
      <c r="AF31" s="39"/>
      <c r="AG31" s="39"/>
      <c r="AM31" s="39" t="str">
        <f ca="1">AM6</f>
        <v>TEL：092-915-2300　FAX　092-915-2301</v>
      </c>
      <c r="AN31" s="39"/>
      <c r="AO31" s="67"/>
      <c r="AP31" s="67"/>
      <c r="AQ31" s="39"/>
      <c r="AR31" s="39"/>
      <c r="AX31" s="39" t="str">
        <f ca="1">AX6</f>
        <v>TEL：092-915-2300　FAX　092-915-2301</v>
      </c>
      <c r="AY31" s="39"/>
      <c r="AZ31" s="67"/>
      <c r="BA31" s="67"/>
      <c r="BB31" s="39"/>
      <c r="BC31" s="39"/>
      <c r="BI31" s="39" t="str">
        <f ca="1">BI6</f>
        <v>TEL：092-915-2300　FAX　092-915-2301</v>
      </c>
      <c r="BJ31" s="39"/>
      <c r="BK31" s="67"/>
      <c r="BL31" s="67"/>
      <c r="BM31" s="39"/>
      <c r="BN31" s="39"/>
      <c r="BT31" s="39" t="str">
        <f ca="1">BT6</f>
        <v>TEL：092-915-2300　FAX　092-915-2301</v>
      </c>
      <c r="BU31" s="39"/>
      <c r="BV31" s="67"/>
      <c r="BW31" s="67"/>
      <c r="BX31" s="39"/>
      <c r="BY31" s="39"/>
      <c r="CE31" s="39" t="str">
        <f ca="1">CE6</f>
        <v>TEL：092-915-2300　FAX　092-915-2301</v>
      </c>
      <c r="CF31" s="39"/>
      <c r="CG31" s="67"/>
      <c r="CH31" s="67"/>
      <c r="CI31" s="39"/>
      <c r="CJ31" s="39"/>
      <c r="CP31" s="39" t="str">
        <f ca="1">CP6</f>
        <v>TEL：092-915-2300　FAX　092-915-2301</v>
      </c>
      <c r="CQ31" s="39"/>
      <c r="CR31" s="67"/>
      <c r="CS31" s="67"/>
      <c r="CT31" s="39"/>
      <c r="CU31" s="39"/>
      <c r="DA31" s="39" t="str">
        <f ca="1">DA6</f>
        <v>TEL：092-915-2300　FAX　092-915-2301</v>
      </c>
      <c r="DB31" s="39"/>
      <c r="DC31" s="67"/>
      <c r="DD31" s="67"/>
      <c r="DE31" s="39"/>
      <c r="DF31" s="39"/>
      <c r="DL31" s="39" t="str">
        <f ca="1">DL6</f>
        <v>TEL：092-915-2300　FAX　092-915-2301</v>
      </c>
      <c r="DM31" s="39"/>
      <c r="DN31" s="67"/>
      <c r="DO31" s="67"/>
      <c r="DP31" s="39"/>
      <c r="DQ31" s="39"/>
      <c r="DW31" s="39" t="str">
        <f ca="1">DW6</f>
        <v>TEL：092-915-2300　FAX　092-915-2301</v>
      </c>
      <c r="DX31" s="39"/>
      <c r="DY31" s="67"/>
      <c r="DZ31" s="67"/>
      <c r="EA31" s="39"/>
      <c r="EB31" s="39"/>
      <c r="EH31" s="39" t="str">
        <f ca="1">EH6</f>
        <v>TEL：092-915-2300　FAX　092-915-2301</v>
      </c>
      <c r="EI31" s="39"/>
      <c r="EJ31" s="67"/>
      <c r="EK31" s="67"/>
      <c r="EL31" s="39"/>
      <c r="EM31" s="39"/>
      <c r="ES31" s="39" t="str">
        <f ca="1">ES6</f>
        <v>TEL：092-915-2300　FAX　092-915-2301</v>
      </c>
      <c r="ET31" s="39"/>
      <c r="EU31" s="67"/>
      <c r="EV31" s="67"/>
      <c r="EW31" s="39"/>
      <c r="EX31" s="39"/>
      <c r="FD31" s="39" t="str">
        <f ca="1">FD6</f>
        <v>TEL：092-915-2300　FAX　092-915-2301</v>
      </c>
      <c r="FE31" s="39"/>
      <c r="FF31" s="67"/>
      <c r="FG31" s="67"/>
      <c r="FH31" s="39"/>
      <c r="FI31" s="39"/>
      <c r="FO31" s="39" t="str">
        <f ca="1">FO6</f>
        <v>TEL：092-915-2300　FAX　092-915-2301</v>
      </c>
      <c r="FP31" s="39"/>
      <c r="FQ31" s="67"/>
      <c r="FR31" s="67"/>
      <c r="FS31" s="39"/>
      <c r="FT31" s="39"/>
      <c r="FZ31" s="39" t="str">
        <f ca="1">FZ6</f>
        <v>TEL：092-915-2300　FAX　092-915-2301</v>
      </c>
      <c r="GA31" s="39"/>
      <c r="GB31" s="67"/>
      <c r="GC31" s="67"/>
      <c r="GD31" s="39"/>
      <c r="GE31" s="39"/>
      <c r="GK31" s="39" t="str">
        <f ca="1">GK6</f>
        <v>TEL：092-915-2300　FAX　092-915-2301</v>
      </c>
      <c r="GL31" s="39"/>
      <c r="GM31" s="67"/>
      <c r="GN31" s="67"/>
      <c r="GO31" s="39"/>
      <c r="GP31" s="39"/>
      <c r="GV31" s="39" t="str">
        <f ca="1">GV6</f>
        <v>TEL：092-915-2300　FAX　092-915-2301</v>
      </c>
      <c r="GW31" s="39"/>
      <c r="GX31" s="67"/>
      <c r="GY31" s="67"/>
      <c r="GZ31" s="39"/>
      <c r="HA31" s="39"/>
      <c r="HG31" s="39" t="str">
        <f ca="1">HG6</f>
        <v>TEL：092-915-2300　FAX　092-915-2301</v>
      </c>
      <c r="HH31" s="39"/>
      <c r="HI31" s="67"/>
      <c r="HJ31" s="67"/>
      <c r="HK31" s="39"/>
      <c r="HL31" s="39"/>
      <c r="HR31" s="39" t="str">
        <f ca="1">HR6</f>
        <v>TEL：092-915-2300　FAX　092-915-2301</v>
      </c>
      <c r="HS31" s="39"/>
      <c r="HT31" s="67"/>
      <c r="HU31" s="67"/>
      <c r="HV31" s="39"/>
      <c r="HW31" s="39"/>
      <c r="IC31" s="39" t="str">
        <f ca="1">IC6</f>
        <v>TEL：092-915-2300　FAX　092-915-2301</v>
      </c>
      <c r="ID31" s="39"/>
      <c r="IE31" s="67"/>
      <c r="IF31" s="67"/>
      <c r="IG31" s="39"/>
      <c r="IH31" s="39"/>
      <c r="IN31" s="39" t="str">
        <f ca="1">IN6</f>
        <v>TEL：092-915-2300　FAX　092-915-2301</v>
      </c>
      <c r="IO31" s="39"/>
      <c r="IP31" s="67"/>
      <c r="IQ31" s="67"/>
      <c r="IR31" s="39"/>
      <c r="IS31" s="39"/>
      <c r="IY31" s="39" t="str">
        <f ca="1">IY6</f>
        <v>TEL：092-915-2300　FAX　092-915-2301</v>
      </c>
      <c r="IZ31" s="39"/>
      <c r="JA31" s="67"/>
      <c r="JB31" s="67"/>
      <c r="JC31" s="39"/>
      <c r="JD31" s="39"/>
      <c r="JJ31" s="39" t="str">
        <f ca="1">JJ6</f>
        <v>TEL：092-915-2300　FAX　092-915-2301</v>
      </c>
      <c r="JK31" s="39"/>
      <c r="JL31" s="67"/>
      <c r="JM31" s="67"/>
      <c r="JN31" s="39"/>
      <c r="JO31" s="39"/>
      <c r="JU31" s="39" t="str">
        <f ca="1">JU6</f>
        <v>TEL：092-915-2300　FAX　092-915-2301</v>
      </c>
      <c r="JV31" s="39"/>
      <c r="JW31" s="67"/>
      <c r="JX31" s="67"/>
      <c r="JY31" s="39"/>
      <c r="JZ31" s="39"/>
      <c r="KF31" s="39" t="str">
        <f ca="1">KF6</f>
        <v>TEL：092-915-2300　FAX　092-915-2301</v>
      </c>
      <c r="KG31" s="39"/>
      <c r="KH31" s="67"/>
      <c r="KI31" s="67"/>
      <c r="KJ31" s="39"/>
      <c r="KK31" s="39"/>
      <c r="KQ31" s="39" t="str">
        <f ca="1">KQ6</f>
        <v>TEL：092-915-2300　FAX　092-915-2301</v>
      </c>
      <c r="KR31" s="39"/>
      <c r="KS31" s="67"/>
      <c r="KT31" s="67"/>
      <c r="KU31" s="39"/>
      <c r="KV31" s="39"/>
      <c r="LB31" s="39" t="str">
        <f ca="1">LB6</f>
        <v>TEL：092-915-2300　FAX　092-915-2301</v>
      </c>
      <c r="LC31" s="39"/>
      <c r="LD31" s="67"/>
      <c r="LE31" s="67"/>
      <c r="LF31" s="39"/>
      <c r="LG31" s="39"/>
      <c r="LM31" s="39" t="str">
        <f ca="1">LM6</f>
        <v>TEL：092-915-2300　FAX　092-915-2301</v>
      </c>
      <c r="LN31" s="39"/>
      <c r="LO31" s="67"/>
      <c r="LP31" s="67"/>
      <c r="LQ31" s="39"/>
      <c r="LR31" s="39"/>
      <c r="LX31" s="39" t="str">
        <f ca="1">LX6</f>
        <v>TEL：092-915-2300　FAX　092-915-2301</v>
      </c>
      <c r="LY31" s="39"/>
      <c r="LZ31" s="67"/>
      <c r="MA31" s="67"/>
      <c r="MB31" s="39"/>
      <c r="MC31" s="39"/>
      <c r="MI31" s="39" t="str">
        <f ca="1">MI6</f>
        <v>TEL：092-915-2300　FAX　092-915-2301</v>
      </c>
      <c r="MJ31" s="39"/>
      <c r="MK31" s="67"/>
      <c r="ML31" s="67"/>
      <c r="MM31" s="39"/>
      <c r="MN31" s="39"/>
      <c r="MT31" s="39" t="str">
        <f ca="1">MT6</f>
        <v>TEL：092-915-2300　FAX　092-915-2301</v>
      </c>
      <c r="MU31" s="39"/>
      <c r="MV31" s="67"/>
      <c r="MW31" s="67"/>
      <c r="MX31" s="39"/>
      <c r="MY31" s="39"/>
      <c r="NE31" s="39" t="str">
        <f ca="1">NE6</f>
        <v>TEL：092-915-2300　FAX　092-915-2301</v>
      </c>
      <c r="NF31" s="39"/>
      <c r="NG31" s="67"/>
      <c r="NH31" s="67"/>
      <c r="NI31" s="39"/>
      <c r="NJ31" s="39"/>
      <c r="NP31" s="39" t="str">
        <f ca="1">NP6</f>
        <v>TEL：092-915-2300　FAX　092-915-2301</v>
      </c>
      <c r="NQ31" s="39"/>
      <c r="NR31" s="67"/>
      <c r="NS31" s="67"/>
      <c r="NT31" s="39"/>
      <c r="NU31" s="39"/>
      <c r="OA31" s="39" t="str">
        <f ca="1">OA6</f>
        <v>TEL：092-915-2300　FAX　092-915-2301</v>
      </c>
      <c r="OB31" s="39"/>
      <c r="OC31" s="67"/>
      <c r="OD31" s="67"/>
      <c r="OE31" s="39"/>
      <c r="OF31" s="39"/>
      <c r="OL31" s="39" t="str">
        <f ca="1">OL6</f>
        <v>TEL：092-915-2300　FAX　092-915-2301</v>
      </c>
      <c r="OM31" s="39"/>
      <c r="ON31" s="67"/>
      <c r="OO31" s="67"/>
      <c r="OP31" s="39"/>
      <c r="OQ31" s="39"/>
      <c r="OW31" s="39" t="str">
        <f ca="1">OW6</f>
        <v>TEL：092-915-2300　FAX　092-915-2301</v>
      </c>
      <c r="OX31" s="39"/>
      <c r="OY31" s="67"/>
      <c r="OZ31" s="67"/>
      <c r="PA31" s="39"/>
      <c r="PB31" s="39"/>
      <c r="PH31" s="39" t="str">
        <f ca="1">PH6</f>
        <v>TEL：092-915-2300　FAX　092-915-2301</v>
      </c>
      <c r="PI31" s="39"/>
      <c r="PJ31" s="67"/>
      <c r="PK31" s="67"/>
      <c r="PL31" s="39"/>
      <c r="PM31" s="39"/>
      <c r="PS31" s="39" t="str">
        <f ca="1">PS6</f>
        <v>TEL：092-915-2300　FAX　092-915-2301</v>
      </c>
      <c r="PT31" s="39"/>
      <c r="PU31" s="67"/>
      <c r="PV31" s="67"/>
      <c r="PW31" s="39"/>
      <c r="PX31" s="39"/>
      <c r="QD31" s="39" t="str">
        <f ca="1">QD6</f>
        <v>TEL：092-915-2300　FAX　092-915-2301</v>
      </c>
      <c r="QE31" s="39"/>
      <c r="QF31" s="67"/>
      <c r="QG31" s="67"/>
      <c r="QH31" s="39"/>
      <c r="QI31" s="39"/>
      <c r="QO31" s="39" t="str">
        <f ca="1">QO6</f>
        <v>TEL：092-915-2300　FAX　092-915-2301</v>
      </c>
      <c r="QP31" s="39"/>
      <c r="QQ31" s="67"/>
      <c r="QR31" s="67"/>
      <c r="QS31" s="39"/>
      <c r="QT31" s="39"/>
      <c r="QZ31" s="39" t="str">
        <f ca="1">QZ6</f>
        <v>TEL:092-589-6165　FAX:092-555-6788</v>
      </c>
      <c r="RA31" s="39"/>
      <c r="RB31" s="67"/>
      <c r="RC31" s="67"/>
      <c r="RD31" s="39"/>
      <c r="RE31" s="39"/>
      <c r="RK31" s="39" t="str">
        <f ca="1">RK6</f>
        <v>TEL:092-589-6165　FAX:092-555-6788</v>
      </c>
      <c r="RL31" s="39"/>
      <c r="RM31" s="67"/>
      <c r="RN31" s="67"/>
      <c r="RO31" s="39"/>
      <c r="RP31" s="39"/>
      <c r="RV31" s="39" t="str">
        <f ca="1">RV6</f>
        <v>TEL:092-589-6165　FAX:092-555-6788</v>
      </c>
      <c r="RW31" s="39"/>
      <c r="RX31" s="67"/>
      <c r="RY31" s="67"/>
      <c r="RZ31" s="39"/>
      <c r="SA31" s="39"/>
      <c r="SG31" s="39" t="str">
        <f ca="1">SG6</f>
        <v>TEL:092-589-6165　FAX:092-555-6788</v>
      </c>
      <c r="SH31" s="39"/>
      <c r="SI31" s="67"/>
      <c r="SJ31" s="67"/>
      <c r="SK31" s="39"/>
      <c r="SL31" s="39"/>
      <c r="SR31" s="39" t="str">
        <f ca="1">SR6</f>
        <v>TEL:092-589-6165　FAX:092-555-6788</v>
      </c>
      <c r="SS31" s="39"/>
      <c r="ST31" s="67"/>
      <c r="SU31" s="67"/>
      <c r="SV31" s="39"/>
      <c r="SW31" s="39"/>
      <c r="TC31" s="39" t="str">
        <f ca="1">TC6</f>
        <v>TEL:092-589-6165　FAX:092-555-6788</v>
      </c>
      <c r="TD31" s="39"/>
      <c r="TE31" s="67"/>
      <c r="TF31" s="67"/>
      <c r="TG31" s="39"/>
      <c r="TH31" s="39"/>
      <c r="TN31" s="39" t="str">
        <f ca="1">TN6</f>
        <v>TEL:092-589-6165　FAX:092-555-6788</v>
      </c>
      <c r="TO31" s="39"/>
      <c r="TP31" s="67"/>
      <c r="TQ31" s="67"/>
      <c r="TR31" s="39"/>
      <c r="TS31" s="39"/>
      <c r="TY31" s="39" t="str">
        <f ca="1">TY6</f>
        <v>TEL:092-589-6165　FAX:092-555-6788</v>
      </c>
      <c r="TZ31" s="39"/>
      <c r="UA31" s="67"/>
      <c r="UB31" s="67"/>
      <c r="UC31" s="39"/>
      <c r="UD31" s="39"/>
      <c r="UJ31" s="39" t="str">
        <f ca="1">UJ6</f>
        <v>TEL:092-589-6165　FAX:092-555-6788</v>
      </c>
      <c r="UK31" s="39"/>
      <c r="UL31" s="67"/>
      <c r="UM31" s="67"/>
      <c r="UN31" s="39"/>
      <c r="UO31" s="39"/>
      <c r="UU31" s="39" t="str">
        <f ca="1">UU6</f>
        <v>TEL：092-915-2300　FAX　092-915-2301</v>
      </c>
      <c r="UV31" s="39"/>
      <c r="UW31" s="67"/>
      <c r="UX31" s="67"/>
      <c r="UY31" s="39"/>
      <c r="UZ31" s="39"/>
      <c r="VF31" s="39" t="e">
        <f ca="1">VF6</f>
        <v>#VALUE!</v>
      </c>
      <c r="VG31" s="39"/>
      <c r="VH31" s="67"/>
      <c r="VI31" s="67"/>
      <c r="VJ31" s="39"/>
      <c r="VK31" s="39"/>
      <c r="VQ31" s="39" t="e">
        <f ca="1">VQ6</f>
        <v>#VALUE!</v>
      </c>
      <c r="VR31" s="39"/>
      <c r="VS31" s="67"/>
      <c r="VT31" s="67"/>
      <c r="VU31" s="39"/>
      <c r="VV31" s="39"/>
      <c r="WB31" s="39" t="e">
        <f ca="1">WB6</f>
        <v>#VALUE!</v>
      </c>
      <c r="WC31" s="39"/>
      <c r="WD31" s="67"/>
      <c r="WE31" s="67"/>
      <c r="WF31" s="39"/>
      <c r="WG31" s="39"/>
      <c r="WM31" s="39" t="e">
        <f ca="1">WM6</f>
        <v>#VALUE!</v>
      </c>
      <c r="WN31" s="39"/>
      <c r="WO31" s="67"/>
      <c r="WP31" s="67"/>
      <c r="WQ31" s="39"/>
      <c r="WR31" s="39"/>
      <c r="WX31" s="39" t="e">
        <f ca="1">WX6</f>
        <v>#VALUE!</v>
      </c>
      <c r="WY31" s="39"/>
      <c r="WZ31" s="67"/>
      <c r="XA31" s="67"/>
      <c r="XB31" s="39"/>
      <c r="XC31" s="39"/>
      <c r="XI31" s="39" t="e">
        <f ca="1">XI6</f>
        <v>#VALUE!</v>
      </c>
      <c r="XJ31" s="39"/>
      <c r="XK31" s="67"/>
      <c r="XL31" s="67"/>
      <c r="XM31" s="39"/>
      <c r="XN31" s="39"/>
      <c r="XT31" s="39" t="e">
        <f ca="1">XT6</f>
        <v>#VALUE!</v>
      </c>
      <c r="XU31" s="39"/>
      <c r="XV31" s="67"/>
      <c r="XW31" s="67"/>
      <c r="XX31" s="39"/>
      <c r="XY31" s="39"/>
      <c r="YE31" s="39" t="e">
        <f ca="1">YE6</f>
        <v>#VALUE!</v>
      </c>
      <c r="YF31" s="39"/>
      <c r="YG31" s="67"/>
      <c r="YH31" s="67"/>
      <c r="YI31" s="39"/>
      <c r="YJ31" s="39"/>
      <c r="YP31" s="39" t="e">
        <f ca="1">YP6</f>
        <v>#VALUE!</v>
      </c>
      <c r="YQ31" s="39"/>
      <c r="YR31" s="67"/>
      <c r="YS31" s="67"/>
      <c r="YT31" s="39"/>
      <c r="YU31" s="39"/>
      <c r="ZA31" s="39" t="e">
        <f ca="1">ZA6</f>
        <v>#VALUE!</v>
      </c>
      <c r="ZB31" s="39"/>
      <c r="ZC31" s="67"/>
      <c r="ZD31" s="67"/>
      <c r="ZE31" s="39"/>
      <c r="ZF31" s="39"/>
      <c r="ZL31" s="39" t="e">
        <f ca="1">ZL6</f>
        <v>#VALUE!</v>
      </c>
      <c r="ZM31" s="39"/>
      <c r="ZN31" s="67"/>
      <c r="ZO31" s="67"/>
      <c r="ZP31" s="39"/>
      <c r="ZQ31" s="39"/>
      <c r="ZW31" s="39" t="e">
        <f ca="1">ZW6</f>
        <v>#VALUE!</v>
      </c>
      <c r="ZX31" s="39"/>
      <c r="ZY31" s="67"/>
      <c r="ZZ31" s="67"/>
      <c r="AAA31" s="39"/>
      <c r="AAB31" s="39"/>
      <c r="AAH31" s="39" t="e">
        <f ca="1">AAH6</f>
        <v>#VALUE!</v>
      </c>
      <c r="AAI31" s="39"/>
      <c r="AAJ31" s="67"/>
      <c r="AAK31" s="67"/>
      <c r="AAL31" s="39"/>
      <c r="AAM31" s="39"/>
      <c r="AAS31" s="39" t="e">
        <f ca="1">AAS6</f>
        <v>#VALUE!</v>
      </c>
      <c r="AAT31" s="39"/>
      <c r="AAU31" s="67"/>
      <c r="AAV31" s="67"/>
      <c r="AAW31" s="39"/>
      <c r="AAX31" s="39"/>
      <c r="ABD31" s="39" t="e">
        <f ca="1">ABD6</f>
        <v>#VALUE!</v>
      </c>
      <c r="ABE31" s="39"/>
      <c r="ABF31" s="67"/>
      <c r="ABG31" s="67"/>
      <c r="ABH31" s="39"/>
      <c r="ABI31" s="39"/>
      <c r="ABO31" s="39" t="e">
        <f ca="1">ABO6</f>
        <v>#VALUE!</v>
      </c>
      <c r="ABP31" s="39"/>
      <c r="ABQ31" s="67"/>
      <c r="ABR31" s="67"/>
      <c r="ABS31" s="39"/>
      <c r="ABT31" s="39"/>
      <c r="ABZ31" s="39" t="e">
        <f ca="1">ABZ6</f>
        <v>#VALUE!</v>
      </c>
      <c r="ACA31" s="39"/>
      <c r="ACB31" s="67"/>
      <c r="ACC31" s="67"/>
      <c r="ACD31" s="39"/>
      <c r="ACE31" s="39"/>
      <c r="ACK31" s="39" t="e">
        <f ca="1">ACK6</f>
        <v>#VALUE!</v>
      </c>
      <c r="ACL31" s="39"/>
      <c r="ACM31" s="67"/>
      <c r="ACN31" s="67"/>
      <c r="ACO31" s="39"/>
      <c r="ACP31" s="39"/>
      <c r="ACV31" s="39" t="e">
        <f ca="1">ACV6</f>
        <v>#VALUE!</v>
      </c>
      <c r="ACW31" s="39"/>
      <c r="ACX31" s="67"/>
      <c r="ACY31" s="67"/>
      <c r="ACZ31" s="39"/>
      <c r="ADA31" s="39"/>
      <c r="ADG31" s="39" t="e">
        <f ca="1">ADG6</f>
        <v>#VALUE!</v>
      </c>
      <c r="ADH31" s="39"/>
      <c r="ADI31" s="67"/>
      <c r="ADJ31" s="67"/>
    </row>
    <row r="32" spans="1:793" ht="6" customHeight="1" x14ac:dyDescent="0.45">
      <c r="S32" s="68"/>
      <c r="T32" s="68"/>
      <c r="AD32" s="68"/>
      <c r="AE32" s="68"/>
      <c r="AO32" s="68"/>
      <c r="AP32" s="68"/>
      <c r="AZ32" s="68"/>
      <c r="BA32" s="68"/>
      <c r="BK32" s="68"/>
      <c r="BL32" s="68"/>
      <c r="BV32" s="68"/>
      <c r="BW32" s="68"/>
      <c r="CG32" s="68"/>
      <c r="CH32" s="68"/>
      <c r="CR32" s="68"/>
      <c r="CS32" s="68"/>
      <c r="DC32" s="68"/>
      <c r="DD32" s="68"/>
      <c r="DN32" s="68"/>
      <c r="DO32" s="68"/>
      <c r="DY32" s="68"/>
      <c r="DZ32" s="68"/>
      <c r="EJ32" s="68"/>
      <c r="EK32" s="68"/>
      <c r="EU32" s="68"/>
      <c r="EV32" s="68"/>
      <c r="FF32" s="68"/>
      <c r="FG32" s="68"/>
      <c r="FQ32" s="68"/>
      <c r="FR32" s="68"/>
      <c r="GB32" s="68"/>
      <c r="GC32" s="68"/>
      <c r="GM32" s="68"/>
      <c r="GN32" s="68"/>
      <c r="GX32" s="68"/>
      <c r="GY32" s="68"/>
      <c r="HI32" s="68"/>
      <c r="HJ32" s="68"/>
      <c r="HT32" s="68"/>
      <c r="HU32" s="68"/>
      <c r="IE32" s="68"/>
      <c r="IF32" s="68"/>
      <c r="IP32" s="68"/>
      <c r="IQ32" s="68"/>
      <c r="JA32" s="68"/>
      <c r="JB32" s="68"/>
      <c r="JL32" s="68"/>
      <c r="JM32" s="68"/>
      <c r="JW32" s="68"/>
      <c r="JX32" s="68"/>
      <c r="KH32" s="68"/>
      <c r="KI32" s="68"/>
      <c r="KS32" s="68"/>
      <c r="KT32" s="68"/>
      <c r="LD32" s="68"/>
      <c r="LE32" s="68"/>
      <c r="LO32" s="68"/>
      <c r="LP32" s="68"/>
      <c r="LZ32" s="68"/>
      <c r="MA32" s="68"/>
      <c r="MK32" s="68"/>
      <c r="ML32" s="68"/>
      <c r="MV32" s="68"/>
      <c r="MW32" s="68"/>
      <c r="NG32" s="68"/>
      <c r="NH32" s="68"/>
      <c r="NR32" s="68"/>
      <c r="NS32" s="68"/>
      <c r="OC32" s="68"/>
      <c r="OD32" s="68"/>
      <c r="ON32" s="68"/>
      <c r="OO32" s="68"/>
      <c r="OY32" s="68"/>
      <c r="OZ32" s="68"/>
      <c r="PJ32" s="68"/>
      <c r="PK32" s="68"/>
      <c r="PU32" s="68"/>
      <c r="PV32" s="68"/>
      <c r="QF32" s="68"/>
      <c r="QG32" s="68"/>
      <c r="QQ32" s="68"/>
      <c r="QR32" s="68"/>
      <c r="RB32" s="68"/>
      <c r="RC32" s="68"/>
      <c r="RM32" s="68"/>
      <c r="RN32" s="68"/>
      <c r="RX32" s="68"/>
      <c r="RY32" s="68"/>
      <c r="SI32" s="68"/>
      <c r="SJ32" s="68"/>
      <c r="ST32" s="68"/>
      <c r="SU32" s="68"/>
      <c r="TE32" s="68"/>
      <c r="TF32" s="68"/>
      <c r="TP32" s="68"/>
      <c r="TQ32" s="68"/>
      <c r="UA32" s="68"/>
      <c r="UB32" s="68"/>
      <c r="UL32" s="68"/>
      <c r="UM32" s="68"/>
      <c r="UW32" s="68"/>
      <c r="UX32" s="68"/>
      <c r="VH32" s="68"/>
      <c r="VI32" s="68"/>
      <c r="VS32" s="68"/>
      <c r="VT32" s="68"/>
      <c r="WD32" s="68"/>
      <c r="WE32" s="68"/>
      <c r="WO32" s="68"/>
      <c r="WP32" s="68"/>
      <c r="WZ32" s="68"/>
      <c r="XA32" s="68"/>
      <c r="XK32" s="68"/>
      <c r="XL32" s="68"/>
      <c r="XV32" s="68"/>
      <c r="XW32" s="68"/>
      <c r="YG32" s="68"/>
      <c r="YH32" s="68"/>
      <c r="YR32" s="68"/>
      <c r="YS32" s="68"/>
      <c r="ZC32" s="68"/>
      <c r="ZD32" s="68"/>
      <c r="ZN32" s="68"/>
      <c r="ZO32" s="68"/>
      <c r="ZY32" s="68"/>
      <c r="ZZ32" s="68"/>
      <c r="AAJ32" s="68"/>
      <c r="AAK32" s="68"/>
      <c r="AAU32" s="68"/>
      <c r="AAV32" s="68"/>
      <c r="ABF32" s="68"/>
      <c r="ABG32" s="68"/>
      <c r="ABQ32" s="68"/>
      <c r="ABR32" s="68"/>
      <c r="ACB32" s="68"/>
      <c r="ACC32" s="68"/>
      <c r="ACM32" s="68"/>
      <c r="ACN32" s="68"/>
      <c r="ACX32" s="68"/>
      <c r="ACY32" s="68"/>
      <c r="ADI32" s="68"/>
      <c r="ADJ32" s="68"/>
    </row>
    <row r="33" spans="1:790" ht="13.8" customHeight="1" x14ac:dyDescent="0.45">
      <c r="E33" s="40"/>
      <c r="F33" s="40" t="s">
        <v>4012</v>
      </c>
      <c r="P33" s="40"/>
      <c r="Q33" s="40" t="s">
        <v>4012</v>
      </c>
      <c r="S33" s="68"/>
      <c r="T33" s="68"/>
      <c r="AA33" s="40"/>
      <c r="AB33" s="40" t="s">
        <v>4012</v>
      </c>
      <c r="AD33" s="68"/>
      <c r="AE33" s="68"/>
      <c r="AL33" s="40"/>
      <c r="AM33" s="40" t="s">
        <v>4012</v>
      </c>
      <c r="AO33" s="68"/>
      <c r="AP33" s="68"/>
      <c r="AW33" s="40"/>
      <c r="AX33" s="40" t="s">
        <v>4012</v>
      </c>
      <c r="AZ33" s="68"/>
      <c r="BA33" s="68"/>
      <c r="BH33" s="40"/>
      <c r="BI33" s="40" t="s">
        <v>4012</v>
      </c>
      <c r="BK33" s="68"/>
      <c r="BL33" s="68"/>
      <c r="BS33" s="40"/>
      <c r="BT33" s="40" t="s">
        <v>4012</v>
      </c>
      <c r="BV33" s="68"/>
      <c r="BW33" s="68"/>
      <c r="CD33" s="40"/>
      <c r="CE33" s="40" t="s">
        <v>4012</v>
      </c>
      <c r="CG33" s="68"/>
      <c r="CH33" s="68"/>
      <c r="CO33" s="40"/>
      <c r="CP33" s="40" t="s">
        <v>4012</v>
      </c>
      <c r="CR33" s="68"/>
      <c r="CS33" s="68"/>
      <c r="CZ33" s="40"/>
      <c r="DA33" s="40" t="s">
        <v>4012</v>
      </c>
      <c r="DC33" s="68"/>
      <c r="DD33" s="68"/>
      <c r="DK33" s="40"/>
      <c r="DL33" s="40" t="s">
        <v>4012</v>
      </c>
      <c r="DN33" s="68"/>
      <c r="DO33" s="68"/>
      <c r="DV33" s="40"/>
      <c r="DW33" s="40" t="s">
        <v>4012</v>
      </c>
      <c r="DY33" s="68"/>
      <c r="DZ33" s="68"/>
      <c r="EG33" s="40"/>
      <c r="EH33" s="40" t="s">
        <v>4012</v>
      </c>
      <c r="EJ33" s="68"/>
      <c r="EK33" s="68"/>
      <c r="ER33" s="40"/>
      <c r="ES33" s="40" t="s">
        <v>4012</v>
      </c>
      <c r="EU33" s="68"/>
      <c r="EV33" s="68"/>
      <c r="FC33" s="40"/>
      <c r="FD33" s="40" t="s">
        <v>4012</v>
      </c>
      <c r="FF33" s="68"/>
      <c r="FG33" s="68"/>
      <c r="FN33" s="40"/>
      <c r="FO33" s="40" t="s">
        <v>4012</v>
      </c>
      <c r="FQ33" s="68"/>
      <c r="FR33" s="68"/>
      <c r="FY33" s="40"/>
      <c r="FZ33" s="40" t="s">
        <v>4012</v>
      </c>
      <c r="GB33" s="68"/>
      <c r="GC33" s="68"/>
      <c r="GJ33" s="40"/>
      <c r="GK33" s="40" t="s">
        <v>4012</v>
      </c>
      <c r="GM33" s="68"/>
      <c r="GN33" s="68"/>
      <c r="GU33" s="40"/>
      <c r="GV33" s="40" t="s">
        <v>4012</v>
      </c>
      <c r="GX33" s="68"/>
      <c r="GY33" s="68"/>
      <c r="HF33" s="40"/>
      <c r="HG33" s="40" t="s">
        <v>4012</v>
      </c>
      <c r="HI33" s="68"/>
      <c r="HJ33" s="68"/>
      <c r="HQ33" s="40"/>
      <c r="HR33" s="40" t="s">
        <v>4012</v>
      </c>
      <c r="HT33" s="68"/>
      <c r="HU33" s="68"/>
      <c r="IB33" s="40"/>
      <c r="IC33" s="40" t="s">
        <v>4012</v>
      </c>
      <c r="IE33" s="68"/>
      <c r="IF33" s="68"/>
      <c r="IM33" s="40"/>
      <c r="IN33" s="40" t="s">
        <v>4012</v>
      </c>
      <c r="IP33" s="68"/>
      <c r="IQ33" s="68"/>
      <c r="IX33" s="40"/>
      <c r="IY33" s="40" t="s">
        <v>4012</v>
      </c>
      <c r="JA33" s="68"/>
      <c r="JB33" s="68"/>
      <c r="JI33" s="40"/>
      <c r="JJ33" s="40" t="s">
        <v>4012</v>
      </c>
      <c r="JL33" s="68"/>
      <c r="JM33" s="68"/>
      <c r="JT33" s="40"/>
      <c r="JU33" s="40" t="s">
        <v>4012</v>
      </c>
      <c r="JW33" s="68"/>
      <c r="JX33" s="68"/>
      <c r="KE33" s="40"/>
      <c r="KF33" s="40" t="s">
        <v>4012</v>
      </c>
      <c r="KH33" s="68"/>
      <c r="KI33" s="68"/>
      <c r="KP33" s="40"/>
      <c r="KQ33" s="40" t="s">
        <v>4012</v>
      </c>
      <c r="KS33" s="68"/>
      <c r="KT33" s="68"/>
      <c r="LA33" s="40"/>
      <c r="LB33" s="40" t="s">
        <v>4012</v>
      </c>
      <c r="LD33" s="68"/>
      <c r="LE33" s="68"/>
      <c r="LL33" s="40"/>
      <c r="LM33" s="40" t="s">
        <v>4012</v>
      </c>
      <c r="LO33" s="68"/>
      <c r="LP33" s="68"/>
      <c r="LW33" s="40"/>
      <c r="LX33" s="40" t="s">
        <v>4012</v>
      </c>
      <c r="LZ33" s="68"/>
      <c r="MA33" s="68"/>
      <c r="MH33" s="40"/>
      <c r="MI33" s="40" t="s">
        <v>4012</v>
      </c>
      <c r="MK33" s="68"/>
      <c r="ML33" s="68"/>
      <c r="MS33" s="40"/>
      <c r="MT33" s="40" t="s">
        <v>4012</v>
      </c>
      <c r="MV33" s="68"/>
      <c r="MW33" s="68"/>
      <c r="ND33" s="40"/>
      <c r="NE33" s="40" t="s">
        <v>4012</v>
      </c>
      <c r="NG33" s="68"/>
      <c r="NH33" s="68"/>
      <c r="NO33" s="40"/>
      <c r="NP33" s="40" t="s">
        <v>4012</v>
      </c>
      <c r="NR33" s="68"/>
      <c r="NS33" s="68"/>
      <c r="NZ33" s="40"/>
      <c r="OA33" s="40" t="s">
        <v>4012</v>
      </c>
      <c r="OC33" s="68"/>
      <c r="OD33" s="68"/>
      <c r="OK33" s="40"/>
      <c r="OL33" s="40" t="s">
        <v>4012</v>
      </c>
      <c r="ON33" s="68"/>
      <c r="OO33" s="68"/>
      <c r="OV33" s="40"/>
      <c r="OW33" s="40" t="s">
        <v>4012</v>
      </c>
      <c r="OY33" s="68"/>
      <c r="OZ33" s="68"/>
      <c r="PG33" s="40"/>
      <c r="PH33" s="40" t="s">
        <v>4012</v>
      </c>
      <c r="PJ33" s="68"/>
      <c r="PK33" s="68"/>
      <c r="PR33" s="40"/>
      <c r="PS33" s="40" t="s">
        <v>4012</v>
      </c>
      <c r="PU33" s="68"/>
      <c r="PV33" s="68"/>
      <c r="QC33" s="40"/>
      <c r="QD33" s="40" t="s">
        <v>4012</v>
      </c>
      <c r="QF33" s="68"/>
      <c r="QG33" s="68"/>
      <c r="QN33" s="40"/>
      <c r="QO33" s="40" t="s">
        <v>4012</v>
      </c>
      <c r="QQ33" s="68"/>
      <c r="QR33" s="68"/>
      <c r="QY33" s="40"/>
      <c r="QZ33" s="40" t="s">
        <v>4012</v>
      </c>
      <c r="RB33" s="68"/>
      <c r="RC33" s="68"/>
      <c r="RJ33" s="40"/>
      <c r="RK33" s="40" t="s">
        <v>4012</v>
      </c>
      <c r="RM33" s="68"/>
      <c r="RN33" s="68"/>
      <c r="RU33" s="40"/>
      <c r="RV33" s="40" t="s">
        <v>4012</v>
      </c>
      <c r="RX33" s="68"/>
      <c r="RY33" s="68"/>
      <c r="SF33" s="40"/>
      <c r="SG33" s="40" t="s">
        <v>4012</v>
      </c>
      <c r="SI33" s="68"/>
      <c r="SJ33" s="68"/>
      <c r="SQ33" s="40"/>
      <c r="SR33" s="40" t="s">
        <v>4012</v>
      </c>
      <c r="ST33" s="68"/>
      <c r="SU33" s="68"/>
      <c r="TB33" s="40"/>
      <c r="TC33" s="40" t="s">
        <v>4012</v>
      </c>
      <c r="TE33" s="68"/>
      <c r="TF33" s="68"/>
      <c r="TM33" s="40"/>
      <c r="TN33" s="40" t="s">
        <v>4012</v>
      </c>
      <c r="TP33" s="68"/>
      <c r="TQ33" s="68"/>
      <c r="TX33" s="40"/>
      <c r="TY33" s="40" t="s">
        <v>4012</v>
      </c>
      <c r="UA33" s="68"/>
      <c r="UB33" s="68"/>
      <c r="UI33" s="40"/>
      <c r="UJ33" s="40" t="s">
        <v>4012</v>
      </c>
      <c r="UL33" s="68"/>
      <c r="UM33" s="68"/>
      <c r="UT33" s="40"/>
      <c r="UU33" s="40" t="s">
        <v>4012</v>
      </c>
      <c r="UW33" s="68"/>
      <c r="UX33" s="68"/>
      <c r="VE33" s="40"/>
      <c r="VF33" s="40" t="s">
        <v>4012</v>
      </c>
      <c r="VH33" s="68"/>
      <c r="VI33" s="68"/>
      <c r="VP33" s="40"/>
      <c r="VQ33" s="40" t="s">
        <v>4012</v>
      </c>
      <c r="VS33" s="68"/>
      <c r="VT33" s="68"/>
      <c r="WA33" s="40"/>
      <c r="WB33" s="40" t="s">
        <v>4012</v>
      </c>
      <c r="WD33" s="68"/>
      <c r="WE33" s="68"/>
      <c r="WL33" s="40"/>
      <c r="WM33" s="40" t="s">
        <v>4012</v>
      </c>
      <c r="WO33" s="68"/>
      <c r="WP33" s="68"/>
      <c r="WW33" s="40"/>
      <c r="WX33" s="40" t="s">
        <v>4012</v>
      </c>
      <c r="WZ33" s="68"/>
      <c r="XA33" s="68"/>
      <c r="XH33" s="40"/>
      <c r="XI33" s="40" t="s">
        <v>4012</v>
      </c>
      <c r="XK33" s="68"/>
      <c r="XL33" s="68"/>
      <c r="XS33" s="40"/>
      <c r="XT33" s="40" t="s">
        <v>4012</v>
      </c>
      <c r="XV33" s="68"/>
      <c r="XW33" s="68"/>
      <c r="YD33" s="40"/>
      <c r="YE33" s="40" t="s">
        <v>4012</v>
      </c>
      <c r="YG33" s="68"/>
      <c r="YH33" s="68"/>
      <c r="YO33" s="40"/>
      <c r="YP33" s="40" t="s">
        <v>4012</v>
      </c>
      <c r="YR33" s="68"/>
      <c r="YS33" s="68"/>
      <c r="YZ33" s="40"/>
      <c r="ZA33" s="40" t="s">
        <v>4012</v>
      </c>
      <c r="ZC33" s="68"/>
      <c r="ZD33" s="68"/>
      <c r="ZK33" s="40"/>
      <c r="ZL33" s="40" t="s">
        <v>4012</v>
      </c>
      <c r="ZN33" s="68"/>
      <c r="ZO33" s="68"/>
      <c r="ZV33" s="40"/>
      <c r="ZW33" s="40" t="s">
        <v>4012</v>
      </c>
      <c r="ZY33" s="68"/>
      <c r="ZZ33" s="68"/>
      <c r="AAG33" s="40"/>
      <c r="AAH33" s="40" t="s">
        <v>4012</v>
      </c>
      <c r="AAJ33" s="68"/>
      <c r="AAK33" s="68"/>
      <c r="AAR33" s="40"/>
      <c r="AAS33" s="40" t="s">
        <v>4012</v>
      </c>
      <c r="AAU33" s="68"/>
      <c r="AAV33" s="68"/>
      <c r="ABC33" s="40"/>
      <c r="ABD33" s="40" t="s">
        <v>4012</v>
      </c>
      <c r="ABF33" s="68"/>
      <c r="ABG33" s="68"/>
      <c r="ABN33" s="40"/>
      <c r="ABO33" s="40" t="s">
        <v>4012</v>
      </c>
      <c r="ABQ33" s="68"/>
      <c r="ABR33" s="68"/>
      <c r="ABY33" s="40"/>
      <c r="ABZ33" s="40" t="s">
        <v>4012</v>
      </c>
      <c r="ACB33" s="68"/>
      <c r="ACC33" s="68"/>
      <c r="ACJ33" s="40"/>
      <c r="ACK33" s="40" t="s">
        <v>4012</v>
      </c>
      <c r="ACM33" s="68"/>
      <c r="ACN33" s="68"/>
      <c r="ACU33" s="40"/>
      <c r="ACV33" s="40" t="s">
        <v>4012</v>
      </c>
      <c r="ACX33" s="68"/>
      <c r="ACY33" s="68"/>
      <c r="ADF33" s="40"/>
      <c r="ADG33" s="40" t="s">
        <v>4012</v>
      </c>
      <c r="ADI33" s="68"/>
      <c r="ADJ33" s="68"/>
    </row>
    <row r="34" spans="1:790" x14ac:dyDescent="0.45">
      <c r="A34" s="47" t="s">
        <v>4013</v>
      </c>
      <c r="B34" s="57"/>
      <c r="C34" s="57"/>
      <c r="D34" s="48"/>
      <c r="E34" s="34" t="s">
        <v>4014</v>
      </c>
      <c r="F34" s="34" t="s">
        <v>4015</v>
      </c>
      <c r="G34" s="34"/>
      <c r="H34" s="69" t="s">
        <v>4016</v>
      </c>
      <c r="I34" s="70"/>
      <c r="L34" s="47" t="s">
        <v>4013</v>
      </c>
      <c r="M34" s="57"/>
      <c r="N34" s="57"/>
      <c r="O34" s="48"/>
      <c r="P34" s="34" t="s">
        <v>4014</v>
      </c>
      <c r="Q34" s="34" t="s">
        <v>4015</v>
      </c>
      <c r="R34" s="34"/>
      <c r="S34" s="69" t="s">
        <v>4016</v>
      </c>
      <c r="T34" s="70"/>
      <c r="W34" s="47" t="s">
        <v>4013</v>
      </c>
      <c r="X34" s="57"/>
      <c r="Y34" s="57"/>
      <c r="Z34" s="48"/>
      <c r="AA34" s="34" t="s">
        <v>4014</v>
      </c>
      <c r="AB34" s="34" t="s">
        <v>4015</v>
      </c>
      <c r="AC34" s="34"/>
      <c r="AD34" s="69" t="s">
        <v>4016</v>
      </c>
      <c r="AE34" s="70"/>
      <c r="AH34" s="47" t="s">
        <v>4013</v>
      </c>
      <c r="AI34" s="57"/>
      <c r="AJ34" s="57"/>
      <c r="AK34" s="48"/>
      <c r="AL34" s="34" t="s">
        <v>4014</v>
      </c>
      <c r="AM34" s="34" t="s">
        <v>4015</v>
      </c>
      <c r="AN34" s="34"/>
      <c r="AO34" s="69" t="s">
        <v>4016</v>
      </c>
      <c r="AP34" s="70"/>
      <c r="AS34" s="47" t="s">
        <v>4013</v>
      </c>
      <c r="AT34" s="57"/>
      <c r="AU34" s="57"/>
      <c r="AV34" s="48"/>
      <c r="AW34" s="34" t="s">
        <v>4014</v>
      </c>
      <c r="AX34" s="34" t="s">
        <v>4015</v>
      </c>
      <c r="AY34" s="34"/>
      <c r="AZ34" s="69" t="s">
        <v>4016</v>
      </c>
      <c r="BA34" s="70"/>
      <c r="BD34" s="47" t="s">
        <v>4013</v>
      </c>
      <c r="BE34" s="57"/>
      <c r="BF34" s="57"/>
      <c r="BG34" s="48"/>
      <c r="BH34" s="34" t="s">
        <v>4014</v>
      </c>
      <c r="BI34" s="34" t="s">
        <v>4015</v>
      </c>
      <c r="BJ34" s="34"/>
      <c r="BK34" s="69" t="s">
        <v>4016</v>
      </c>
      <c r="BL34" s="70"/>
      <c r="BO34" s="47" t="s">
        <v>4013</v>
      </c>
      <c r="BP34" s="57"/>
      <c r="BQ34" s="57"/>
      <c r="BR34" s="48"/>
      <c r="BS34" s="34" t="s">
        <v>4014</v>
      </c>
      <c r="BT34" s="34" t="s">
        <v>4015</v>
      </c>
      <c r="BU34" s="34"/>
      <c r="BV34" s="69" t="s">
        <v>4016</v>
      </c>
      <c r="BW34" s="70"/>
      <c r="BZ34" s="47" t="s">
        <v>4013</v>
      </c>
      <c r="CA34" s="57"/>
      <c r="CB34" s="57"/>
      <c r="CC34" s="48"/>
      <c r="CD34" s="34" t="s">
        <v>4014</v>
      </c>
      <c r="CE34" s="34" t="s">
        <v>4015</v>
      </c>
      <c r="CF34" s="34"/>
      <c r="CG34" s="69" t="s">
        <v>4016</v>
      </c>
      <c r="CH34" s="70"/>
      <c r="CK34" s="47" t="s">
        <v>4013</v>
      </c>
      <c r="CL34" s="57"/>
      <c r="CM34" s="57"/>
      <c r="CN34" s="48"/>
      <c r="CO34" s="34" t="s">
        <v>4014</v>
      </c>
      <c r="CP34" s="34" t="s">
        <v>4015</v>
      </c>
      <c r="CQ34" s="34"/>
      <c r="CR34" s="69" t="s">
        <v>4016</v>
      </c>
      <c r="CS34" s="70"/>
      <c r="CV34" s="47" t="s">
        <v>4013</v>
      </c>
      <c r="CW34" s="57"/>
      <c r="CX34" s="57"/>
      <c r="CY34" s="48"/>
      <c r="CZ34" s="34" t="s">
        <v>4014</v>
      </c>
      <c r="DA34" s="34" t="s">
        <v>4015</v>
      </c>
      <c r="DB34" s="34"/>
      <c r="DC34" s="69" t="s">
        <v>4016</v>
      </c>
      <c r="DD34" s="70"/>
      <c r="DG34" s="47" t="s">
        <v>4013</v>
      </c>
      <c r="DH34" s="57"/>
      <c r="DI34" s="57"/>
      <c r="DJ34" s="48"/>
      <c r="DK34" s="34" t="s">
        <v>4014</v>
      </c>
      <c r="DL34" s="34" t="s">
        <v>4015</v>
      </c>
      <c r="DM34" s="34"/>
      <c r="DN34" s="69" t="s">
        <v>4016</v>
      </c>
      <c r="DO34" s="70"/>
      <c r="DR34" s="47" t="s">
        <v>4013</v>
      </c>
      <c r="DS34" s="57"/>
      <c r="DT34" s="57"/>
      <c r="DU34" s="48"/>
      <c r="DV34" s="34" t="s">
        <v>4014</v>
      </c>
      <c r="DW34" s="34" t="s">
        <v>4015</v>
      </c>
      <c r="DX34" s="34"/>
      <c r="DY34" s="69" t="s">
        <v>4016</v>
      </c>
      <c r="DZ34" s="70"/>
      <c r="EC34" s="47" t="s">
        <v>4013</v>
      </c>
      <c r="ED34" s="57"/>
      <c r="EE34" s="57"/>
      <c r="EF34" s="48"/>
      <c r="EG34" s="34" t="s">
        <v>4014</v>
      </c>
      <c r="EH34" s="34" t="s">
        <v>4015</v>
      </c>
      <c r="EI34" s="34"/>
      <c r="EJ34" s="69" t="s">
        <v>4016</v>
      </c>
      <c r="EK34" s="70"/>
      <c r="EN34" s="47" t="s">
        <v>4013</v>
      </c>
      <c r="EO34" s="57"/>
      <c r="EP34" s="57"/>
      <c r="EQ34" s="48"/>
      <c r="ER34" s="34" t="s">
        <v>4014</v>
      </c>
      <c r="ES34" s="34" t="s">
        <v>4015</v>
      </c>
      <c r="ET34" s="34"/>
      <c r="EU34" s="69" t="s">
        <v>4016</v>
      </c>
      <c r="EV34" s="70"/>
      <c r="EY34" s="47" t="s">
        <v>4013</v>
      </c>
      <c r="EZ34" s="57"/>
      <c r="FA34" s="57"/>
      <c r="FB34" s="48"/>
      <c r="FC34" s="34" t="s">
        <v>4014</v>
      </c>
      <c r="FD34" s="34" t="s">
        <v>4015</v>
      </c>
      <c r="FE34" s="34"/>
      <c r="FF34" s="69" t="s">
        <v>4016</v>
      </c>
      <c r="FG34" s="70"/>
      <c r="FJ34" s="47" t="s">
        <v>4013</v>
      </c>
      <c r="FK34" s="57"/>
      <c r="FL34" s="57"/>
      <c r="FM34" s="48"/>
      <c r="FN34" s="34" t="s">
        <v>4014</v>
      </c>
      <c r="FO34" s="34" t="s">
        <v>4015</v>
      </c>
      <c r="FP34" s="34"/>
      <c r="FQ34" s="69" t="s">
        <v>4016</v>
      </c>
      <c r="FR34" s="70"/>
      <c r="FU34" s="47" t="s">
        <v>4013</v>
      </c>
      <c r="FV34" s="57"/>
      <c r="FW34" s="57"/>
      <c r="FX34" s="48"/>
      <c r="FY34" s="34" t="s">
        <v>4014</v>
      </c>
      <c r="FZ34" s="34" t="s">
        <v>4015</v>
      </c>
      <c r="GA34" s="34"/>
      <c r="GB34" s="69" t="s">
        <v>4016</v>
      </c>
      <c r="GC34" s="70"/>
      <c r="GF34" s="47" t="s">
        <v>4013</v>
      </c>
      <c r="GG34" s="57"/>
      <c r="GH34" s="57"/>
      <c r="GI34" s="48"/>
      <c r="GJ34" s="34" t="s">
        <v>4014</v>
      </c>
      <c r="GK34" s="34" t="s">
        <v>4015</v>
      </c>
      <c r="GL34" s="34"/>
      <c r="GM34" s="69" t="s">
        <v>4016</v>
      </c>
      <c r="GN34" s="70"/>
      <c r="GQ34" s="47" t="s">
        <v>4013</v>
      </c>
      <c r="GR34" s="57"/>
      <c r="GS34" s="57"/>
      <c r="GT34" s="48"/>
      <c r="GU34" s="34" t="s">
        <v>4014</v>
      </c>
      <c r="GV34" s="34" t="s">
        <v>4015</v>
      </c>
      <c r="GW34" s="34"/>
      <c r="GX34" s="69" t="s">
        <v>4016</v>
      </c>
      <c r="GY34" s="70"/>
      <c r="HB34" s="47" t="s">
        <v>4013</v>
      </c>
      <c r="HC34" s="57"/>
      <c r="HD34" s="57"/>
      <c r="HE34" s="48"/>
      <c r="HF34" s="34" t="s">
        <v>4014</v>
      </c>
      <c r="HG34" s="34" t="s">
        <v>4015</v>
      </c>
      <c r="HH34" s="34"/>
      <c r="HI34" s="69" t="s">
        <v>4016</v>
      </c>
      <c r="HJ34" s="70"/>
      <c r="HM34" s="47" t="s">
        <v>4013</v>
      </c>
      <c r="HN34" s="57"/>
      <c r="HO34" s="57"/>
      <c r="HP34" s="48"/>
      <c r="HQ34" s="34" t="s">
        <v>4014</v>
      </c>
      <c r="HR34" s="34" t="s">
        <v>4015</v>
      </c>
      <c r="HS34" s="34"/>
      <c r="HT34" s="69" t="s">
        <v>4016</v>
      </c>
      <c r="HU34" s="70"/>
      <c r="HX34" s="47" t="s">
        <v>4013</v>
      </c>
      <c r="HY34" s="57"/>
      <c r="HZ34" s="57"/>
      <c r="IA34" s="48"/>
      <c r="IB34" s="34" t="s">
        <v>4014</v>
      </c>
      <c r="IC34" s="34" t="s">
        <v>4015</v>
      </c>
      <c r="ID34" s="34"/>
      <c r="IE34" s="69" t="s">
        <v>4016</v>
      </c>
      <c r="IF34" s="70"/>
      <c r="II34" s="47" t="s">
        <v>4013</v>
      </c>
      <c r="IJ34" s="57"/>
      <c r="IK34" s="57"/>
      <c r="IL34" s="48"/>
      <c r="IM34" s="34" t="s">
        <v>4014</v>
      </c>
      <c r="IN34" s="34" t="s">
        <v>4015</v>
      </c>
      <c r="IO34" s="34"/>
      <c r="IP34" s="69" t="s">
        <v>4016</v>
      </c>
      <c r="IQ34" s="70"/>
      <c r="IT34" s="47" t="s">
        <v>4013</v>
      </c>
      <c r="IU34" s="57"/>
      <c r="IV34" s="57"/>
      <c r="IW34" s="48"/>
      <c r="IX34" s="34" t="s">
        <v>4014</v>
      </c>
      <c r="IY34" s="34" t="s">
        <v>4015</v>
      </c>
      <c r="IZ34" s="34"/>
      <c r="JA34" s="69" t="s">
        <v>4016</v>
      </c>
      <c r="JB34" s="70"/>
      <c r="JE34" s="47" t="s">
        <v>4013</v>
      </c>
      <c r="JF34" s="57"/>
      <c r="JG34" s="57"/>
      <c r="JH34" s="48"/>
      <c r="JI34" s="34" t="s">
        <v>4014</v>
      </c>
      <c r="JJ34" s="34" t="s">
        <v>4015</v>
      </c>
      <c r="JK34" s="34"/>
      <c r="JL34" s="69" t="s">
        <v>4016</v>
      </c>
      <c r="JM34" s="70"/>
      <c r="JP34" s="47" t="s">
        <v>4013</v>
      </c>
      <c r="JQ34" s="57"/>
      <c r="JR34" s="57"/>
      <c r="JS34" s="48"/>
      <c r="JT34" s="34" t="s">
        <v>4014</v>
      </c>
      <c r="JU34" s="34" t="s">
        <v>4015</v>
      </c>
      <c r="JV34" s="34"/>
      <c r="JW34" s="69" t="s">
        <v>4016</v>
      </c>
      <c r="JX34" s="70"/>
      <c r="KA34" s="47" t="s">
        <v>4013</v>
      </c>
      <c r="KB34" s="57"/>
      <c r="KC34" s="57"/>
      <c r="KD34" s="48"/>
      <c r="KE34" s="34" t="s">
        <v>4014</v>
      </c>
      <c r="KF34" s="34" t="s">
        <v>4015</v>
      </c>
      <c r="KG34" s="34"/>
      <c r="KH34" s="69" t="s">
        <v>4016</v>
      </c>
      <c r="KI34" s="70"/>
      <c r="KL34" s="47" t="s">
        <v>4013</v>
      </c>
      <c r="KM34" s="57"/>
      <c r="KN34" s="57"/>
      <c r="KO34" s="48"/>
      <c r="KP34" s="34" t="s">
        <v>4014</v>
      </c>
      <c r="KQ34" s="34" t="s">
        <v>4015</v>
      </c>
      <c r="KR34" s="34"/>
      <c r="KS34" s="69" t="s">
        <v>4016</v>
      </c>
      <c r="KT34" s="70"/>
      <c r="KW34" s="47" t="s">
        <v>4013</v>
      </c>
      <c r="KX34" s="57"/>
      <c r="KY34" s="57"/>
      <c r="KZ34" s="48"/>
      <c r="LA34" s="34" t="s">
        <v>4014</v>
      </c>
      <c r="LB34" s="34" t="s">
        <v>4015</v>
      </c>
      <c r="LC34" s="34"/>
      <c r="LD34" s="69" t="s">
        <v>4016</v>
      </c>
      <c r="LE34" s="70"/>
      <c r="LH34" s="47" t="s">
        <v>4013</v>
      </c>
      <c r="LI34" s="57"/>
      <c r="LJ34" s="57"/>
      <c r="LK34" s="48"/>
      <c r="LL34" s="34" t="s">
        <v>4014</v>
      </c>
      <c r="LM34" s="34" t="s">
        <v>4015</v>
      </c>
      <c r="LN34" s="34"/>
      <c r="LO34" s="69" t="s">
        <v>4016</v>
      </c>
      <c r="LP34" s="70"/>
      <c r="LS34" s="47" t="s">
        <v>4013</v>
      </c>
      <c r="LT34" s="57"/>
      <c r="LU34" s="57"/>
      <c r="LV34" s="48"/>
      <c r="LW34" s="34" t="s">
        <v>4014</v>
      </c>
      <c r="LX34" s="34" t="s">
        <v>4015</v>
      </c>
      <c r="LY34" s="34"/>
      <c r="LZ34" s="69" t="s">
        <v>4016</v>
      </c>
      <c r="MA34" s="70"/>
      <c r="MD34" s="47" t="s">
        <v>4013</v>
      </c>
      <c r="ME34" s="57"/>
      <c r="MF34" s="57"/>
      <c r="MG34" s="48"/>
      <c r="MH34" s="34" t="s">
        <v>4014</v>
      </c>
      <c r="MI34" s="34" t="s">
        <v>4015</v>
      </c>
      <c r="MJ34" s="34"/>
      <c r="MK34" s="69" t="s">
        <v>4016</v>
      </c>
      <c r="ML34" s="70"/>
      <c r="MO34" s="47" t="s">
        <v>4013</v>
      </c>
      <c r="MP34" s="57"/>
      <c r="MQ34" s="57"/>
      <c r="MR34" s="48"/>
      <c r="MS34" s="34" t="s">
        <v>4014</v>
      </c>
      <c r="MT34" s="34" t="s">
        <v>4015</v>
      </c>
      <c r="MU34" s="34"/>
      <c r="MV34" s="69" t="s">
        <v>4016</v>
      </c>
      <c r="MW34" s="70"/>
      <c r="MZ34" s="47" t="s">
        <v>4013</v>
      </c>
      <c r="NA34" s="57"/>
      <c r="NB34" s="57"/>
      <c r="NC34" s="48"/>
      <c r="ND34" s="34" t="s">
        <v>4014</v>
      </c>
      <c r="NE34" s="34" t="s">
        <v>4015</v>
      </c>
      <c r="NF34" s="34"/>
      <c r="NG34" s="69" t="s">
        <v>4016</v>
      </c>
      <c r="NH34" s="70"/>
      <c r="NK34" s="47" t="s">
        <v>4013</v>
      </c>
      <c r="NL34" s="57"/>
      <c r="NM34" s="57"/>
      <c r="NN34" s="48"/>
      <c r="NO34" s="34" t="s">
        <v>4014</v>
      </c>
      <c r="NP34" s="34" t="s">
        <v>4015</v>
      </c>
      <c r="NQ34" s="34"/>
      <c r="NR34" s="69" t="s">
        <v>4016</v>
      </c>
      <c r="NS34" s="70"/>
      <c r="NV34" s="47" t="s">
        <v>4013</v>
      </c>
      <c r="NW34" s="57"/>
      <c r="NX34" s="57"/>
      <c r="NY34" s="48"/>
      <c r="NZ34" s="34" t="s">
        <v>4014</v>
      </c>
      <c r="OA34" s="34" t="s">
        <v>4015</v>
      </c>
      <c r="OB34" s="34"/>
      <c r="OC34" s="69" t="s">
        <v>4016</v>
      </c>
      <c r="OD34" s="70"/>
      <c r="OG34" s="47" t="s">
        <v>4013</v>
      </c>
      <c r="OH34" s="57"/>
      <c r="OI34" s="57"/>
      <c r="OJ34" s="48"/>
      <c r="OK34" s="34" t="s">
        <v>4014</v>
      </c>
      <c r="OL34" s="34" t="s">
        <v>4015</v>
      </c>
      <c r="OM34" s="34"/>
      <c r="ON34" s="69" t="s">
        <v>4016</v>
      </c>
      <c r="OO34" s="70"/>
      <c r="OR34" s="47" t="s">
        <v>4013</v>
      </c>
      <c r="OS34" s="57"/>
      <c r="OT34" s="57"/>
      <c r="OU34" s="48"/>
      <c r="OV34" s="34" t="s">
        <v>4014</v>
      </c>
      <c r="OW34" s="34" t="s">
        <v>4015</v>
      </c>
      <c r="OX34" s="34"/>
      <c r="OY34" s="69" t="s">
        <v>4016</v>
      </c>
      <c r="OZ34" s="70"/>
      <c r="PC34" s="47" t="s">
        <v>4013</v>
      </c>
      <c r="PD34" s="57"/>
      <c r="PE34" s="57"/>
      <c r="PF34" s="48"/>
      <c r="PG34" s="34" t="s">
        <v>4014</v>
      </c>
      <c r="PH34" s="34" t="s">
        <v>4015</v>
      </c>
      <c r="PI34" s="34"/>
      <c r="PJ34" s="69" t="s">
        <v>4016</v>
      </c>
      <c r="PK34" s="70"/>
      <c r="PN34" s="47" t="s">
        <v>4013</v>
      </c>
      <c r="PO34" s="57"/>
      <c r="PP34" s="57"/>
      <c r="PQ34" s="48"/>
      <c r="PR34" s="34" t="s">
        <v>4014</v>
      </c>
      <c r="PS34" s="34" t="s">
        <v>4015</v>
      </c>
      <c r="PT34" s="34"/>
      <c r="PU34" s="69" t="s">
        <v>4016</v>
      </c>
      <c r="PV34" s="70"/>
      <c r="PY34" s="47" t="s">
        <v>4013</v>
      </c>
      <c r="PZ34" s="57"/>
      <c r="QA34" s="57"/>
      <c r="QB34" s="48"/>
      <c r="QC34" s="34" t="s">
        <v>4014</v>
      </c>
      <c r="QD34" s="34" t="s">
        <v>4015</v>
      </c>
      <c r="QE34" s="34"/>
      <c r="QF34" s="69" t="s">
        <v>4016</v>
      </c>
      <c r="QG34" s="70"/>
      <c r="QJ34" s="47" t="s">
        <v>4013</v>
      </c>
      <c r="QK34" s="57"/>
      <c r="QL34" s="57"/>
      <c r="QM34" s="48"/>
      <c r="QN34" s="34" t="s">
        <v>4014</v>
      </c>
      <c r="QO34" s="34" t="s">
        <v>4015</v>
      </c>
      <c r="QP34" s="34"/>
      <c r="QQ34" s="69" t="s">
        <v>4016</v>
      </c>
      <c r="QR34" s="70"/>
      <c r="QU34" s="47" t="s">
        <v>4013</v>
      </c>
      <c r="QV34" s="57"/>
      <c r="QW34" s="57"/>
      <c r="QX34" s="48"/>
      <c r="QY34" s="34" t="s">
        <v>4014</v>
      </c>
      <c r="QZ34" s="34" t="s">
        <v>4015</v>
      </c>
      <c r="RA34" s="34"/>
      <c r="RB34" s="69" t="s">
        <v>4016</v>
      </c>
      <c r="RC34" s="70"/>
      <c r="RF34" s="47" t="s">
        <v>4013</v>
      </c>
      <c r="RG34" s="57"/>
      <c r="RH34" s="57"/>
      <c r="RI34" s="48"/>
      <c r="RJ34" s="34" t="s">
        <v>4014</v>
      </c>
      <c r="RK34" s="34" t="s">
        <v>4015</v>
      </c>
      <c r="RL34" s="34"/>
      <c r="RM34" s="69" t="s">
        <v>4016</v>
      </c>
      <c r="RN34" s="70"/>
      <c r="RQ34" s="47" t="s">
        <v>4013</v>
      </c>
      <c r="RR34" s="57"/>
      <c r="RS34" s="57"/>
      <c r="RT34" s="48"/>
      <c r="RU34" s="34" t="s">
        <v>4014</v>
      </c>
      <c r="RV34" s="34" t="s">
        <v>4015</v>
      </c>
      <c r="RW34" s="34"/>
      <c r="RX34" s="69" t="s">
        <v>4016</v>
      </c>
      <c r="RY34" s="70"/>
      <c r="SB34" s="47" t="s">
        <v>4013</v>
      </c>
      <c r="SC34" s="57"/>
      <c r="SD34" s="57"/>
      <c r="SE34" s="48"/>
      <c r="SF34" s="34" t="s">
        <v>4014</v>
      </c>
      <c r="SG34" s="34" t="s">
        <v>4015</v>
      </c>
      <c r="SH34" s="34"/>
      <c r="SI34" s="69" t="s">
        <v>4016</v>
      </c>
      <c r="SJ34" s="70"/>
      <c r="SM34" s="47" t="s">
        <v>4013</v>
      </c>
      <c r="SN34" s="57"/>
      <c r="SO34" s="57"/>
      <c r="SP34" s="48"/>
      <c r="SQ34" s="34" t="s">
        <v>4014</v>
      </c>
      <c r="SR34" s="34" t="s">
        <v>4015</v>
      </c>
      <c r="SS34" s="34"/>
      <c r="ST34" s="69" t="s">
        <v>4016</v>
      </c>
      <c r="SU34" s="70"/>
      <c r="SX34" s="47" t="s">
        <v>4013</v>
      </c>
      <c r="SY34" s="57"/>
      <c r="SZ34" s="57"/>
      <c r="TA34" s="48"/>
      <c r="TB34" s="34" t="s">
        <v>4014</v>
      </c>
      <c r="TC34" s="34" t="s">
        <v>4015</v>
      </c>
      <c r="TD34" s="34"/>
      <c r="TE34" s="69" t="s">
        <v>4016</v>
      </c>
      <c r="TF34" s="70"/>
      <c r="TI34" s="47" t="s">
        <v>4013</v>
      </c>
      <c r="TJ34" s="57"/>
      <c r="TK34" s="57"/>
      <c r="TL34" s="48"/>
      <c r="TM34" s="34" t="s">
        <v>4014</v>
      </c>
      <c r="TN34" s="34" t="s">
        <v>4015</v>
      </c>
      <c r="TO34" s="34"/>
      <c r="TP34" s="69" t="s">
        <v>4016</v>
      </c>
      <c r="TQ34" s="70"/>
      <c r="TT34" s="47" t="s">
        <v>4013</v>
      </c>
      <c r="TU34" s="57"/>
      <c r="TV34" s="57"/>
      <c r="TW34" s="48"/>
      <c r="TX34" s="34" t="s">
        <v>4014</v>
      </c>
      <c r="TY34" s="34" t="s">
        <v>4015</v>
      </c>
      <c r="TZ34" s="34"/>
      <c r="UA34" s="69" t="s">
        <v>4016</v>
      </c>
      <c r="UB34" s="70"/>
      <c r="UE34" s="47" t="s">
        <v>4013</v>
      </c>
      <c r="UF34" s="57"/>
      <c r="UG34" s="57"/>
      <c r="UH34" s="48"/>
      <c r="UI34" s="34" t="s">
        <v>4014</v>
      </c>
      <c r="UJ34" s="34" t="s">
        <v>4015</v>
      </c>
      <c r="UK34" s="34"/>
      <c r="UL34" s="69" t="s">
        <v>4016</v>
      </c>
      <c r="UM34" s="70"/>
      <c r="UP34" s="47" t="s">
        <v>4013</v>
      </c>
      <c r="UQ34" s="57"/>
      <c r="UR34" s="57"/>
      <c r="US34" s="48"/>
      <c r="UT34" s="34" t="s">
        <v>4014</v>
      </c>
      <c r="UU34" s="34" t="s">
        <v>4015</v>
      </c>
      <c r="UV34" s="34"/>
      <c r="UW34" s="69" t="s">
        <v>4016</v>
      </c>
      <c r="UX34" s="70"/>
      <c r="VA34" s="47" t="s">
        <v>4013</v>
      </c>
      <c r="VB34" s="57"/>
      <c r="VC34" s="57"/>
      <c r="VD34" s="48"/>
      <c r="VE34" s="34" t="s">
        <v>4014</v>
      </c>
      <c r="VF34" s="34" t="s">
        <v>4015</v>
      </c>
      <c r="VG34" s="34"/>
      <c r="VH34" s="69" t="s">
        <v>4016</v>
      </c>
      <c r="VI34" s="70"/>
      <c r="VL34" s="47" t="s">
        <v>4013</v>
      </c>
      <c r="VM34" s="57"/>
      <c r="VN34" s="57"/>
      <c r="VO34" s="48"/>
      <c r="VP34" s="34" t="s">
        <v>4014</v>
      </c>
      <c r="VQ34" s="34" t="s">
        <v>4015</v>
      </c>
      <c r="VR34" s="34"/>
      <c r="VS34" s="69" t="s">
        <v>4016</v>
      </c>
      <c r="VT34" s="70"/>
      <c r="VW34" s="47" t="s">
        <v>4013</v>
      </c>
      <c r="VX34" s="57"/>
      <c r="VY34" s="57"/>
      <c r="VZ34" s="48"/>
      <c r="WA34" s="34" t="s">
        <v>4014</v>
      </c>
      <c r="WB34" s="34" t="s">
        <v>4015</v>
      </c>
      <c r="WC34" s="34"/>
      <c r="WD34" s="69" t="s">
        <v>4016</v>
      </c>
      <c r="WE34" s="70"/>
      <c r="WH34" s="47" t="s">
        <v>4013</v>
      </c>
      <c r="WI34" s="57"/>
      <c r="WJ34" s="57"/>
      <c r="WK34" s="48"/>
      <c r="WL34" s="34" t="s">
        <v>4014</v>
      </c>
      <c r="WM34" s="34" t="s">
        <v>4015</v>
      </c>
      <c r="WN34" s="34"/>
      <c r="WO34" s="69" t="s">
        <v>4016</v>
      </c>
      <c r="WP34" s="70"/>
      <c r="WS34" s="47" t="s">
        <v>4013</v>
      </c>
      <c r="WT34" s="57"/>
      <c r="WU34" s="57"/>
      <c r="WV34" s="48"/>
      <c r="WW34" s="34" t="s">
        <v>4014</v>
      </c>
      <c r="WX34" s="34" t="s">
        <v>4015</v>
      </c>
      <c r="WY34" s="34"/>
      <c r="WZ34" s="69" t="s">
        <v>4016</v>
      </c>
      <c r="XA34" s="70"/>
      <c r="XD34" s="47" t="s">
        <v>4013</v>
      </c>
      <c r="XE34" s="57"/>
      <c r="XF34" s="57"/>
      <c r="XG34" s="48"/>
      <c r="XH34" s="34" t="s">
        <v>4014</v>
      </c>
      <c r="XI34" s="34" t="s">
        <v>4015</v>
      </c>
      <c r="XJ34" s="34"/>
      <c r="XK34" s="69" t="s">
        <v>4016</v>
      </c>
      <c r="XL34" s="70"/>
      <c r="XO34" s="47" t="s">
        <v>4013</v>
      </c>
      <c r="XP34" s="57"/>
      <c r="XQ34" s="57"/>
      <c r="XR34" s="48"/>
      <c r="XS34" s="34" t="s">
        <v>4014</v>
      </c>
      <c r="XT34" s="34" t="s">
        <v>4015</v>
      </c>
      <c r="XU34" s="34"/>
      <c r="XV34" s="69" t="s">
        <v>4016</v>
      </c>
      <c r="XW34" s="70"/>
      <c r="XZ34" s="47" t="s">
        <v>4013</v>
      </c>
      <c r="YA34" s="57"/>
      <c r="YB34" s="57"/>
      <c r="YC34" s="48"/>
      <c r="YD34" s="34" t="s">
        <v>4014</v>
      </c>
      <c r="YE34" s="34" t="s">
        <v>4015</v>
      </c>
      <c r="YF34" s="34"/>
      <c r="YG34" s="69" t="s">
        <v>4016</v>
      </c>
      <c r="YH34" s="70"/>
      <c r="YK34" s="47" t="s">
        <v>4013</v>
      </c>
      <c r="YL34" s="57"/>
      <c r="YM34" s="57"/>
      <c r="YN34" s="48"/>
      <c r="YO34" s="34" t="s">
        <v>4014</v>
      </c>
      <c r="YP34" s="34" t="s">
        <v>4015</v>
      </c>
      <c r="YQ34" s="34"/>
      <c r="YR34" s="69" t="s">
        <v>4016</v>
      </c>
      <c r="YS34" s="70"/>
      <c r="YV34" s="47" t="s">
        <v>4013</v>
      </c>
      <c r="YW34" s="57"/>
      <c r="YX34" s="57"/>
      <c r="YY34" s="48"/>
      <c r="YZ34" s="34" t="s">
        <v>4014</v>
      </c>
      <c r="ZA34" s="34" t="s">
        <v>4015</v>
      </c>
      <c r="ZB34" s="34"/>
      <c r="ZC34" s="69" t="s">
        <v>4016</v>
      </c>
      <c r="ZD34" s="70"/>
      <c r="ZG34" s="47" t="s">
        <v>4013</v>
      </c>
      <c r="ZH34" s="57"/>
      <c r="ZI34" s="57"/>
      <c r="ZJ34" s="48"/>
      <c r="ZK34" s="34" t="s">
        <v>4014</v>
      </c>
      <c r="ZL34" s="34" t="s">
        <v>4015</v>
      </c>
      <c r="ZM34" s="34"/>
      <c r="ZN34" s="69" t="s">
        <v>4016</v>
      </c>
      <c r="ZO34" s="70"/>
      <c r="ZR34" s="47" t="s">
        <v>4013</v>
      </c>
      <c r="ZS34" s="57"/>
      <c r="ZT34" s="57"/>
      <c r="ZU34" s="48"/>
      <c r="ZV34" s="34" t="s">
        <v>4014</v>
      </c>
      <c r="ZW34" s="34" t="s">
        <v>4015</v>
      </c>
      <c r="ZX34" s="34"/>
      <c r="ZY34" s="69" t="s">
        <v>4016</v>
      </c>
      <c r="ZZ34" s="70"/>
      <c r="AAC34" s="47" t="s">
        <v>4013</v>
      </c>
      <c r="AAD34" s="57"/>
      <c r="AAE34" s="57"/>
      <c r="AAF34" s="48"/>
      <c r="AAG34" s="34" t="s">
        <v>4014</v>
      </c>
      <c r="AAH34" s="34" t="s">
        <v>4015</v>
      </c>
      <c r="AAI34" s="34"/>
      <c r="AAJ34" s="69" t="s">
        <v>4016</v>
      </c>
      <c r="AAK34" s="70"/>
      <c r="AAN34" s="47" t="s">
        <v>4013</v>
      </c>
      <c r="AAO34" s="57"/>
      <c r="AAP34" s="57"/>
      <c r="AAQ34" s="48"/>
      <c r="AAR34" s="34" t="s">
        <v>4014</v>
      </c>
      <c r="AAS34" s="34" t="s">
        <v>4015</v>
      </c>
      <c r="AAT34" s="34"/>
      <c r="AAU34" s="69" t="s">
        <v>4016</v>
      </c>
      <c r="AAV34" s="70"/>
      <c r="AAY34" s="47" t="s">
        <v>4013</v>
      </c>
      <c r="AAZ34" s="57"/>
      <c r="ABA34" s="57"/>
      <c r="ABB34" s="48"/>
      <c r="ABC34" s="34" t="s">
        <v>4014</v>
      </c>
      <c r="ABD34" s="34" t="s">
        <v>4015</v>
      </c>
      <c r="ABE34" s="34"/>
      <c r="ABF34" s="69" t="s">
        <v>4016</v>
      </c>
      <c r="ABG34" s="70"/>
      <c r="ABJ34" s="47" t="s">
        <v>4013</v>
      </c>
      <c r="ABK34" s="57"/>
      <c r="ABL34" s="57"/>
      <c r="ABM34" s="48"/>
      <c r="ABN34" s="34" t="s">
        <v>4014</v>
      </c>
      <c r="ABO34" s="34" t="s">
        <v>4015</v>
      </c>
      <c r="ABP34" s="34"/>
      <c r="ABQ34" s="69" t="s">
        <v>4016</v>
      </c>
      <c r="ABR34" s="70"/>
      <c r="ABU34" s="47" t="s">
        <v>4013</v>
      </c>
      <c r="ABV34" s="57"/>
      <c r="ABW34" s="57"/>
      <c r="ABX34" s="48"/>
      <c r="ABY34" s="34" t="s">
        <v>4014</v>
      </c>
      <c r="ABZ34" s="34" t="s">
        <v>4015</v>
      </c>
      <c r="ACA34" s="34"/>
      <c r="ACB34" s="69" t="s">
        <v>4016</v>
      </c>
      <c r="ACC34" s="70"/>
      <c r="ACF34" s="47" t="s">
        <v>4013</v>
      </c>
      <c r="ACG34" s="57"/>
      <c r="ACH34" s="57"/>
      <c r="ACI34" s="48"/>
      <c r="ACJ34" s="34" t="s">
        <v>4014</v>
      </c>
      <c r="ACK34" s="34" t="s">
        <v>4015</v>
      </c>
      <c r="ACL34" s="34"/>
      <c r="ACM34" s="69" t="s">
        <v>4016</v>
      </c>
      <c r="ACN34" s="70"/>
      <c r="ACQ34" s="47" t="s">
        <v>4013</v>
      </c>
      <c r="ACR34" s="57"/>
      <c r="ACS34" s="57"/>
      <c r="ACT34" s="48"/>
      <c r="ACU34" s="34" t="s">
        <v>4014</v>
      </c>
      <c r="ACV34" s="34" t="s">
        <v>4015</v>
      </c>
      <c r="ACW34" s="34"/>
      <c r="ACX34" s="69" t="s">
        <v>4016</v>
      </c>
      <c r="ACY34" s="70"/>
      <c r="ADB34" s="47" t="s">
        <v>4013</v>
      </c>
      <c r="ADC34" s="57"/>
      <c r="ADD34" s="57"/>
      <c r="ADE34" s="48"/>
      <c r="ADF34" s="34" t="s">
        <v>4014</v>
      </c>
      <c r="ADG34" s="34" t="s">
        <v>4015</v>
      </c>
      <c r="ADH34" s="34"/>
      <c r="ADI34" s="69" t="s">
        <v>4016</v>
      </c>
      <c r="ADJ34" s="70"/>
    </row>
    <row r="35" spans="1:790" x14ac:dyDescent="0.45">
      <c r="A35" s="61" t="str">
        <f t="shared" ref="A35:A40" ca="1" si="0">A10</f>
        <v>弁当　園児</v>
      </c>
      <c r="B35" s="59"/>
      <c r="C35" s="59"/>
      <c r="D35" s="60"/>
      <c r="E35" s="35"/>
      <c r="F35" s="42">
        <f t="shared" ref="F35:F40" ca="1" si="1">F10</f>
        <v>8</v>
      </c>
      <c r="G35" s="35"/>
      <c r="H35" s="71"/>
      <c r="I35" s="72"/>
      <c r="L35" s="61" t="str">
        <f t="shared" ref="L35:L40" ca="1" si="2">L10</f>
        <v>弁当　園児</v>
      </c>
      <c r="M35" s="59"/>
      <c r="N35" s="59"/>
      <c r="O35" s="60"/>
      <c r="P35" s="35"/>
      <c r="Q35" s="42">
        <f t="shared" ref="Q35:Q40" ca="1" si="3">Q10</f>
        <v>4</v>
      </c>
      <c r="R35" s="35"/>
      <c r="S35" s="71"/>
      <c r="T35" s="72"/>
      <c r="W35" s="61" t="str">
        <f t="shared" ref="W35:W40" ca="1" si="4">W10</f>
        <v>弁当　園児</v>
      </c>
      <c r="X35" s="59"/>
      <c r="Y35" s="59"/>
      <c r="Z35" s="60"/>
      <c r="AA35" s="35"/>
      <c r="AB35" s="42">
        <f t="shared" ref="AB35:AB40" ca="1" si="5">AB10</f>
        <v>9</v>
      </c>
      <c r="AC35" s="35"/>
      <c r="AD35" s="71"/>
      <c r="AE35" s="72"/>
      <c r="AH35" s="61" t="str">
        <f t="shared" ref="AH35:AH40" ca="1" si="6">AH10</f>
        <v>弁当　園児</v>
      </c>
      <c r="AI35" s="59"/>
      <c r="AJ35" s="59"/>
      <c r="AK35" s="60"/>
      <c r="AL35" s="35"/>
      <c r="AM35" s="42">
        <f t="shared" ref="AM35:AM40" ca="1" si="7">AM10</f>
        <v>52</v>
      </c>
      <c r="AN35" s="35"/>
      <c r="AO35" s="71"/>
      <c r="AP35" s="72"/>
      <c r="AS35" s="61" t="str">
        <f t="shared" ref="AS35:AS40" ca="1" si="8">AS10</f>
        <v>弁当　園児</v>
      </c>
      <c r="AT35" s="59"/>
      <c r="AU35" s="59"/>
      <c r="AV35" s="60"/>
      <c r="AW35" s="35"/>
      <c r="AX35" s="42">
        <f t="shared" ref="AX35:AX40" ca="1" si="9">AX10</f>
        <v>153</v>
      </c>
      <c r="AY35" s="35"/>
      <c r="AZ35" s="71"/>
      <c r="BA35" s="72"/>
      <c r="BD35" s="61" t="str">
        <f t="shared" ref="BD35:BD40" ca="1" si="10">BD10</f>
        <v>弁当　園児</v>
      </c>
      <c r="BE35" s="59"/>
      <c r="BF35" s="59"/>
      <c r="BG35" s="60"/>
      <c r="BH35" s="35"/>
      <c r="BI35" s="42">
        <f t="shared" ref="BI35:BI40" ca="1" si="11">BI10</f>
        <v>139</v>
      </c>
      <c r="BJ35" s="35"/>
      <c r="BK35" s="71"/>
      <c r="BL35" s="72"/>
      <c r="BO35" s="61" t="str">
        <f t="shared" ref="BO35:BO40" ca="1" si="12">BO10</f>
        <v>弁当　園児</v>
      </c>
      <c r="BP35" s="59"/>
      <c r="BQ35" s="59"/>
      <c r="BR35" s="60"/>
      <c r="BS35" s="35"/>
      <c r="BT35" s="42">
        <f t="shared" ref="BT35:BT40" ca="1" si="13">BT10</f>
        <v>178</v>
      </c>
      <c r="BU35" s="35"/>
      <c r="BV35" s="71"/>
      <c r="BW35" s="72"/>
      <c r="BZ35" s="61" t="str">
        <f t="shared" ref="BZ35:BZ40" ca="1" si="14">BZ10</f>
        <v>弁当　園児</v>
      </c>
      <c r="CA35" s="59"/>
      <c r="CB35" s="59"/>
      <c r="CC35" s="60"/>
      <c r="CD35" s="35"/>
      <c r="CE35" s="42">
        <f t="shared" ref="CE35:CE40" ca="1" si="15">CE10</f>
        <v>69</v>
      </c>
      <c r="CF35" s="35"/>
      <c r="CG35" s="71"/>
      <c r="CH35" s="72"/>
      <c r="CK35" s="61" t="str">
        <f t="shared" ref="CK35:CK40" ca="1" si="16">CK10</f>
        <v>弁当　園児</v>
      </c>
      <c r="CL35" s="59"/>
      <c r="CM35" s="59"/>
      <c r="CN35" s="60"/>
      <c r="CO35" s="35"/>
      <c r="CP35" s="42">
        <f t="shared" ref="CP35:CP40" ca="1" si="17">CP10</f>
        <v>359</v>
      </c>
      <c r="CQ35" s="35"/>
      <c r="CR35" s="71"/>
      <c r="CS35" s="72"/>
      <c r="CV35" s="61" t="str">
        <f t="shared" ref="CV35:CV40" ca="1" si="18">CV10</f>
        <v>パン　園児</v>
      </c>
      <c r="CW35" s="59"/>
      <c r="CX35" s="59"/>
      <c r="CY35" s="60"/>
      <c r="CZ35" s="35"/>
      <c r="DA35" s="42">
        <f t="shared" ref="DA35:DA40" ca="1" si="19">DA10</f>
        <v>61</v>
      </c>
      <c r="DB35" s="35"/>
      <c r="DC35" s="71"/>
      <c r="DD35" s="72"/>
      <c r="DG35" s="61" t="str">
        <f t="shared" ref="DG35:DG40" ca="1" si="20">DG10</f>
        <v>パン　園児</v>
      </c>
      <c r="DH35" s="59"/>
      <c r="DI35" s="59"/>
      <c r="DJ35" s="60"/>
      <c r="DK35" s="35"/>
      <c r="DL35" s="42">
        <f t="shared" ref="DL35:DL40" ca="1" si="21">DL10</f>
        <v>1</v>
      </c>
      <c r="DM35" s="35"/>
      <c r="DN35" s="71"/>
      <c r="DO35" s="72"/>
      <c r="DR35" s="61" t="str">
        <f t="shared" ref="DR35:DR40" ca="1" si="22">DR10</f>
        <v>パン　園児</v>
      </c>
      <c r="DS35" s="59"/>
      <c r="DT35" s="59"/>
      <c r="DU35" s="60"/>
      <c r="DV35" s="35"/>
      <c r="DW35" s="42">
        <f t="shared" ref="DW35:DW40" ca="1" si="23">DW10</f>
        <v>5</v>
      </c>
      <c r="DX35" s="35"/>
      <c r="DY35" s="71"/>
      <c r="DZ35" s="72"/>
      <c r="EC35" s="61" t="str">
        <f t="shared" ref="EC35:EC40" ca="1" si="24">EC10</f>
        <v>弁当　園児</v>
      </c>
      <c r="ED35" s="59"/>
      <c r="EE35" s="59"/>
      <c r="EF35" s="60"/>
      <c r="EG35" s="35"/>
      <c r="EH35" s="42">
        <f t="shared" ref="EH35:EH40" ca="1" si="25">EH10</f>
        <v>7</v>
      </c>
      <c r="EI35" s="35"/>
      <c r="EJ35" s="71"/>
      <c r="EK35" s="72"/>
      <c r="EN35" s="61" t="str">
        <f t="shared" ref="EN35:EN40" ca="1" si="26">EN10</f>
        <v>どんぶり給食　園児</v>
      </c>
      <c r="EO35" s="59"/>
      <c r="EP35" s="59"/>
      <c r="EQ35" s="60"/>
      <c r="ER35" s="35"/>
      <c r="ES35" s="42">
        <f t="shared" ref="ES35:ES40" ca="1" si="27">ES10</f>
        <v>108</v>
      </c>
      <c r="ET35" s="35"/>
      <c r="EU35" s="71"/>
      <c r="EV35" s="72"/>
      <c r="EY35" s="61" t="str">
        <f t="shared" ref="EY35:EY40" ca="1" si="28">EY10</f>
        <v>どんぶり給食　園児</v>
      </c>
      <c r="EZ35" s="59"/>
      <c r="FA35" s="59"/>
      <c r="FB35" s="60"/>
      <c r="FC35" s="35"/>
      <c r="FD35" s="42">
        <f t="shared" ref="FD35:FD40" ca="1" si="29">FD10</f>
        <v>235</v>
      </c>
      <c r="FE35" s="35"/>
      <c r="FF35" s="71"/>
      <c r="FG35" s="72"/>
      <c r="FJ35" s="61" t="str">
        <f t="shared" ref="FJ35:FJ40" ca="1" si="30">FJ10</f>
        <v>ピクニック　園児</v>
      </c>
      <c r="FK35" s="59"/>
      <c r="FL35" s="59"/>
      <c r="FM35" s="60"/>
      <c r="FN35" s="35"/>
      <c r="FO35" s="42">
        <f t="shared" ref="FO35:FO40" ca="1" si="31">FO10</f>
        <v>90</v>
      </c>
      <c r="FP35" s="35"/>
      <c r="FQ35" s="71"/>
      <c r="FR35" s="72"/>
      <c r="FU35" s="61" t="str">
        <f t="shared" ref="FU35:FU40" ca="1" si="32">FU10</f>
        <v>ピクニック　園児</v>
      </c>
      <c r="FV35" s="59"/>
      <c r="FW35" s="59"/>
      <c r="FX35" s="60"/>
      <c r="FY35" s="35"/>
      <c r="FZ35" s="42">
        <f t="shared" ref="FZ35:FZ40" ca="1" si="33">FZ10</f>
        <v>140</v>
      </c>
      <c r="GA35" s="35"/>
      <c r="GB35" s="71"/>
      <c r="GC35" s="72"/>
      <c r="GF35" s="61" t="str">
        <f t="shared" ref="GF35:GF40" ca="1" si="34">GF10</f>
        <v>弁当　園児</v>
      </c>
      <c r="GG35" s="59"/>
      <c r="GH35" s="59"/>
      <c r="GI35" s="60"/>
      <c r="GJ35" s="35"/>
      <c r="GK35" s="42">
        <f t="shared" ref="GK35:GK40" ca="1" si="35">GK10</f>
        <v>122</v>
      </c>
      <c r="GL35" s="35"/>
      <c r="GM35" s="71"/>
      <c r="GN35" s="72"/>
      <c r="GQ35" s="61" t="str">
        <f t="shared" ref="GQ35:GQ40" ca="1" si="36">GQ10</f>
        <v>配膳給食　園児</v>
      </c>
      <c r="GR35" s="59"/>
      <c r="GS35" s="59"/>
      <c r="GT35" s="60"/>
      <c r="GU35" s="35"/>
      <c r="GV35" s="42">
        <f t="shared" ref="GV35:GV40" ca="1" si="37">GV10</f>
        <v>219</v>
      </c>
      <c r="GW35" s="35"/>
      <c r="GX35" s="71"/>
      <c r="GY35" s="72"/>
      <c r="HB35" s="61" t="str">
        <f t="shared" ref="HB35:HB40" ca="1" si="38">HB10</f>
        <v>弁当　園児</v>
      </c>
      <c r="HC35" s="59"/>
      <c r="HD35" s="59"/>
      <c r="HE35" s="60"/>
      <c r="HF35" s="35"/>
      <c r="HG35" s="42">
        <f t="shared" ref="HG35:HG40" ca="1" si="39">HG10</f>
        <v>6</v>
      </c>
      <c r="HH35" s="35"/>
      <c r="HI35" s="71"/>
      <c r="HJ35" s="72"/>
      <c r="HM35" s="61" t="str">
        <f t="shared" ref="HM35:HM40" ca="1" si="40">HM10</f>
        <v>弁当　園児</v>
      </c>
      <c r="HN35" s="59"/>
      <c r="HO35" s="59"/>
      <c r="HP35" s="60"/>
      <c r="HQ35" s="35"/>
      <c r="HR35" s="42">
        <f t="shared" ref="HR35:HR40" ca="1" si="41">HR10</f>
        <v>3</v>
      </c>
      <c r="HS35" s="35"/>
      <c r="HT35" s="71"/>
      <c r="HU35" s="72"/>
      <c r="HX35" s="61" t="str">
        <f t="shared" ref="HX35:HX40" ca="1" si="42">HX10</f>
        <v>弁当　園児</v>
      </c>
      <c r="HY35" s="59"/>
      <c r="HZ35" s="59"/>
      <c r="IA35" s="60"/>
      <c r="IB35" s="35"/>
      <c r="IC35" s="42">
        <f t="shared" ref="IC35:IC40" ca="1" si="43">IC10</f>
        <v>25</v>
      </c>
      <c r="ID35" s="35"/>
      <c r="IE35" s="71"/>
      <c r="IF35" s="72"/>
      <c r="II35" s="61" t="str">
        <f t="shared" ref="II35:II40" ca="1" si="44">II10</f>
        <v>弁当　園児</v>
      </c>
      <c r="IJ35" s="59"/>
      <c r="IK35" s="59"/>
      <c r="IL35" s="60"/>
      <c r="IM35" s="35"/>
      <c r="IN35" s="42">
        <f t="shared" ref="IN35:IN40" ca="1" si="45">IN10</f>
        <v>13</v>
      </c>
      <c r="IO35" s="35"/>
      <c r="IP35" s="71"/>
      <c r="IQ35" s="72"/>
      <c r="IT35" s="61" t="str">
        <f t="shared" ref="IT35:IT40" ca="1" si="46">IT10</f>
        <v>弁当　園児</v>
      </c>
      <c r="IU35" s="59"/>
      <c r="IV35" s="59"/>
      <c r="IW35" s="60"/>
      <c r="IX35" s="35"/>
      <c r="IY35" s="42">
        <f t="shared" ref="IY35:IY40" ca="1" si="47">IY10</f>
        <v>1</v>
      </c>
      <c r="IZ35" s="35"/>
      <c r="JA35" s="71"/>
      <c r="JB35" s="72"/>
      <c r="JE35" s="61" t="str">
        <f t="shared" ref="JE35:JE40" ca="1" si="48">JE10</f>
        <v>弁当　園児</v>
      </c>
      <c r="JF35" s="59"/>
      <c r="JG35" s="59"/>
      <c r="JH35" s="60"/>
      <c r="JI35" s="35"/>
      <c r="JJ35" s="42">
        <f t="shared" ref="JJ35:JJ40" ca="1" si="49">JJ10</f>
        <v>5</v>
      </c>
      <c r="JK35" s="35"/>
      <c r="JL35" s="71"/>
      <c r="JM35" s="72"/>
      <c r="JP35" s="61" t="str">
        <f t="shared" ref="JP35:JP40" ca="1" si="50">JP10</f>
        <v>弁当　園児</v>
      </c>
      <c r="JQ35" s="59"/>
      <c r="JR35" s="59"/>
      <c r="JS35" s="60"/>
      <c r="JT35" s="35"/>
      <c r="JU35" s="42">
        <f t="shared" ref="JU35:JU40" ca="1" si="51">JU10</f>
        <v>25</v>
      </c>
      <c r="JV35" s="35"/>
      <c r="JW35" s="71"/>
      <c r="JX35" s="72"/>
      <c r="KA35" s="61" t="str">
        <f t="shared" ref="KA35:KA40" ca="1" si="52">KA10</f>
        <v>弁当　園児</v>
      </c>
      <c r="KB35" s="59"/>
      <c r="KC35" s="59"/>
      <c r="KD35" s="60"/>
      <c r="KE35" s="35"/>
      <c r="KF35" s="42">
        <f t="shared" ref="KF35:KF40" ca="1" si="53">KF10</f>
        <v>14</v>
      </c>
      <c r="KG35" s="35"/>
      <c r="KH35" s="71"/>
      <c r="KI35" s="72"/>
      <c r="KL35" s="61" t="str">
        <f t="shared" ref="KL35:KL40" ca="1" si="54">KL10</f>
        <v>弁当　園児</v>
      </c>
      <c r="KM35" s="59"/>
      <c r="KN35" s="59"/>
      <c r="KO35" s="60"/>
      <c r="KP35" s="35"/>
      <c r="KQ35" s="42">
        <f t="shared" ref="KQ35:KQ40" ca="1" si="55">KQ10</f>
        <v>15</v>
      </c>
      <c r="KR35" s="35"/>
      <c r="KS35" s="71"/>
      <c r="KT35" s="72"/>
      <c r="KW35" s="61" t="str">
        <f t="shared" ref="KW35:KW40" ca="1" si="56">KW10</f>
        <v>弁当　園児</v>
      </c>
      <c r="KX35" s="59"/>
      <c r="KY35" s="59"/>
      <c r="KZ35" s="60"/>
      <c r="LA35" s="35"/>
      <c r="LB35" s="42">
        <f t="shared" ref="LB35:LB40" ca="1" si="57">LB10</f>
        <v>87</v>
      </c>
      <c r="LC35" s="35"/>
      <c r="LD35" s="71"/>
      <c r="LE35" s="72"/>
      <c r="LH35" s="61" t="str">
        <f t="shared" ref="LH35:LH40" ca="1" si="58">LH10</f>
        <v>弁当　園児</v>
      </c>
      <c r="LI35" s="59"/>
      <c r="LJ35" s="59"/>
      <c r="LK35" s="60"/>
      <c r="LL35" s="35"/>
      <c r="LM35" s="42">
        <f t="shared" ref="LM35:LM40" ca="1" si="59">LM10</f>
        <v>118</v>
      </c>
      <c r="LN35" s="35"/>
      <c r="LO35" s="71"/>
      <c r="LP35" s="72"/>
      <c r="LS35" s="61" t="str">
        <f t="shared" ref="LS35:LS40" ca="1" si="60">LS10</f>
        <v>弁当　園児</v>
      </c>
      <c r="LT35" s="59"/>
      <c r="LU35" s="59"/>
      <c r="LV35" s="60"/>
      <c r="LW35" s="35"/>
      <c r="LX35" s="42">
        <f t="shared" ref="LX35:LX40" ca="1" si="61">LX10</f>
        <v>209</v>
      </c>
      <c r="LY35" s="35"/>
      <c r="LZ35" s="71"/>
      <c r="MA35" s="72"/>
      <c r="MD35" s="61" t="str">
        <f t="shared" ref="MD35:MD40" ca="1" si="62">MD10</f>
        <v>弁当　園児</v>
      </c>
      <c r="ME35" s="59"/>
      <c r="MF35" s="59"/>
      <c r="MG35" s="60"/>
      <c r="MH35" s="35"/>
      <c r="MI35" s="42">
        <f t="shared" ref="MI35:MI40" ca="1" si="63">MI10</f>
        <v>89</v>
      </c>
      <c r="MJ35" s="35"/>
      <c r="MK35" s="71"/>
      <c r="ML35" s="72"/>
      <c r="MO35" s="61" t="str">
        <f t="shared" ref="MO35:MO40" ca="1" si="64">MO10</f>
        <v>弁当　園児</v>
      </c>
      <c r="MP35" s="59"/>
      <c r="MQ35" s="59"/>
      <c r="MR35" s="60"/>
      <c r="MS35" s="35"/>
      <c r="MT35" s="42">
        <f t="shared" ref="MT35:MT40" ca="1" si="65">MT10</f>
        <v>146</v>
      </c>
      <c r="MU35" s="35"/>
      <c r="MV35" s="71"/>
      <c r="MW35" s="72"/>
      <c r="MZ35" s="61" t="str">
        <f t="shared" ref="MZ35:MZ40" ca="1" si="66">MZ10</f>
        <v>弁当　園児</v>
      </c>
      <c r="NA35" s="59"/>
      <c r="NB35" s="59"/>
      <c r="NC35" s="60"/>
      <c r="ND35" s="35"/>
      <c r="NE35" s="42">
        <f t="shared" ref="NE35:NE40" ca="1" si="67">NE10</f>
        <v>4</v>
      </c>
      <c r="NF35" s="35"/>
      <c r="NG35" s="71"/>
      <c r="NH35" s="72"/>
      <c r="NK35" s="61" t="str">
        <f t="shared" ref="NK35:NK40" ca="1" si="68">NK10</f>
        <v>弁当　園児</v>
      </c>
      <c r="NL35" s="59"/>
      <c r="NM35" s="59"/>
      <c r="NN35" s="60"/>
      <c r="NO35" s="35"/>
      <c r="NP35" s="42">
        <f t="shared" ref="NP35:NP40" ca="1" si="69">NP10</f>
        <v>4</v>
      </c>
      <c r="NQ35" s="35"/>
      <c r="NR35" s="71"/>
      <c r="NS35" s="72"/>
      <c r="NV35" s="61" t="str">
        <f t="shared" ref="NV35:NV40" ca="1" si="70">NV10</f>
        <v>弁当　園児</v>
      </c>
      <c r="NW35" s="59"/>
      <c r="NX35" s="59"/>
      <c r="NY35" s="60"/>
      <c r="NZ35" s="35"/>
      <c r="OA35" s="42">
        <f t="shared" ref="OA35:OA40" ca="1" si="71">OA10</f>
        <v>16</v>
      </c>
      <c r="OB35" s="35"/>
      <c r="OC35" s="71"/>
      <c r="OD35" s="72"/>
      <c r="OG35" s="61" t="str">
        <f t="shared" ref="OG35:OG40" ca="1" si="72">OG10</f>
        <v>弁当　園児</v>
      </c>
      <c r="OH35" s="59"/>
      <c r="OI35" s="59"/>
      <c r="OJ35" s="60"/>
      <c r="OK35" s="35"/>
      <c r="OL35" s="42">
        <f t="shared" ref="OL35:OL40" ca="1" si="73">OL10</f>
        <v>278</v>
      </c>
      <c r="OM35" s="35"/>
      <c r="ON35" s="71"/>
      <c r="OO35" s="72"/>
      <c r="OR35" s="61" t="str">
        <f t="shared" ref="OR35:OR40" ca="1" si="74">OR10</f>
        <v>弁当　園児</v>
      </c>
      <c r="OS35" s="59"/>
      <c r="OT35" s="59"/>
      <c r="OU35" s="60"/>
      <c r="OV35" s="35"/>
      <c r="OW35" s="42">
        <f t="shared" ref="OW35:OW40" ca="1" si="75">OW10</f>
        <v>12</v>
      </c>
      <c r="OX35" s="35"/>
      <c r="OY35" s="71"/>
      <c r="OZ35" s="72"/>
      <c r="PC35" s="61" t="str">
        <f t="shared" ref="PC35:PC40" ca="1" si="76">PC10</f>
        <v>弁当　園児</v>
      </c>
      <c r="PD35" s="59"/>
      <c r="PE35" s="59"/>
      <c r="PF35" s="60"/>
      <c r="PG35" s="35"/>
      <c r="PH35" s="42">
        <f t="shared" ref="PH35:PH40" ca="1" si="77">PH10</f>
        <v>12</v>
      </c>
      <c r="PI35" s="35"/>
      <c r="PJ35" s="71"/>
      <c r="PK35" s="72"/>
      <c r="PN35" s="61" t="str">
        <f t="shared" ref="PN35:PN40" ca="1" si="78">PN10</f>
        <v>弁当　園児</v>
      </c>
      <c r="PO35" s="59"/>
      <c r="PP35" s="59"/>
      <c r="PQ35" s="60"/>
      <c r="PR35" s="35"/>
      <c r="PS35" s="42">
        <f t="shared" ref="PS35:PS40" ca="1" si="79">PS10</f>
        <v>22</v>
      </c>
      <c r="PT35" s="35"/>
      <c r="PU35" s="71"/>
      <c r="PV35" s="72"/>
      <c r="PY35" s="61" t="str">
        <f t="shared" ref="PY35:PY40" ca="1" si="80">PY10</f>
        <v>弁当　園児</v>
      </c>
      <c r="PZ35" s="59"/>
      <c r="QA35" s="59"/>
      <c r="QB35" s="60"/>
      <c r="QC35" s="35"/>
      <c r="QD35" s="42">
        <f t="shared" ref="QD35:QD40" ca="1" si="81">QD10</f>
        <v>73</v>
      </c>
      <c r="QE35" s="35"/>
      <c r="QF35" s="71"/>
      <c r="QG35" s="72"/>
      <c r="QJ35" s="61" t="str">
        <f t="shared" ref="QJ35:QJ40" ca="1" si="82">QJ10</f>
        <v>弁当　先生</v>
      </c>
      <c r="QK35" s="59"/>
      <c r="QL35" s="59"/>
      <c r="QM35" s="60"/>
      <c r="QN35" s="35"/>
      <c r="QO35" s="42">
        <f t="shared" ref="QO35:QO40" ca="1" si="83">QO10</f>
        <v>19</v>
      </c>
      <c r="QP35" s="35"/>
      <c r="QQ35" s="71"/>
      <c r="QR35" s="72"/>
      <c r="QU35" s="61" t="str">
        <f t="shared" ref="QU35:QU40" ca="1" si="84">QU10</f>
        <v/>
      </c>
      <c r="QV35" s="59"/>
      <c r="QW35" s="59"/>
      <c r="QX35" s="60"/>
      <c r="QY35" s="35"/>
      <c r="QZ35" s="42" t="str">
        <f t="shared" ref="QZ35:QZ40" ca="1" si="85">QZ10</f>
        <v/>
      </c>
      <c r="RA35" s="35"/>
      <c r="RB35" s="71"/>
      <c r="RC35" s="72"/>
      <c r="RF35" s="61" t="str">
        <f t="shared" ref="RF35:RF40" ca="1" si="86">RF10</f>
        <v>弁当　園児</v>
      </c>
      <c r="RG35" s="59"/>
      <c r="RH35" s="59"/>
      <c r="RI35" s="60"/>
      <c r="RJ35" s="35"/>
      <c r="RK35" s="42">
        <f t="shared" ref="RK35:RK40" ca="1" si="87">RK10</f>
        <v>134</v>
      </c>
      <c r="RL35" s="35"/>
      <c r="RM35" s="71"/>
      <c r="RN35" s="72"/>
      <c r="RQ35" s="61" t="str">
        <f t="shared" ref="RQ35:RQ40" ca="1" si="88">RQ10</f>
        <v>配膳給食　園児</v>
      </c>
      <c r="RR35" s="59"/>
      <c r="RS35" s="59"/>
      <c r="RT35" s="60"/>
      <c r="RU35" s="35"/>
      <c r="RV35" s="42">
        <f t="shared" ref="RV35:RV40" ca="1" si="89">RV10</f>
        <v>126</v>
      </c>
      <c r="RW35" s="35"/>
      <c r="RX35" s="71"/>
      <c r="RY35" s="72"/>
      <c r="SB35" s="61" t="str">
        <f t="shared" ref="SB35:SB40" ca="1" si="90">SB10</f>
        <v>配膳給食　園児</v>
      </c>
      <c r="SC35" s="59"/>
      <c r="SD35" s="59"/>
      <c r="SE35" s="60"/>
      <c r="SF35" s="35"/>
      <c r="SG35" s="42">
        <f t="shared" ref="SG35:SG40" ca="1" si="91">SG10</f>
        <v>153</v>
      </c>
      <c r="SH35" s="35"/>
      <c r="SI35" s="71"/>
      <c r="SJ35" s="72"/>
      <c r="SM35" s="61" t="str">
        <f t="shared" ref="SM35:SM40" ca="1" si="92">SM10</f>
        <v>弁当　園児</v>
      </c>
      <c r="SN35" s="59"/>
      <c r="SO35" s="59"/>
      <c r="SP35" s="60"/>
      <c r="SQ35" s="35"/>
      <c r="SR35" s="42">
        <f t="shared" ref="SR35:SR40" ca="1" si="93">SR10</f>
        <v>127</v>
      </c>
      <c r="SS35" s="35"/>
      <c r="ST35" s="71"/>
      <c r="SU35" s="72"/>
      <c r="SX35" s="61" t="str">
        <f t="shared" ref="SX35:SX40" ca="1" si="94">SX10</f>
        <v>配膳給食　園児</v>
      </c>
      <c r="SY35" s="59"/>
      <c r="SZ35" s="59"/>
      <c r="TA35" s="60"/>
      <c r="TB35" s="35"/>
      <c r="TC35" s="42">
        <f t="shared" ref="TC35:TC40" ca="1" si="95">TC10</f>
        <v>174</v>
      </c>
      <c r="TD35" s="35"/>
      <c r="TE35" s="71"/>
      <c r="TF35" s="72"/>
      <c r="TI35" s="61" t="str">
        <f t="shared" ref="TI35:TI40" ca="1" si="96">TI10</f>
        <v>配膳給食　園児</v>
      </c>
      <c r="TJ35" s="59"/>
      <c r="TK35" s="59"/>
      <c r="TL35" s="60"/>
      <c r="TM35" s="35"/>
      <c r="TN35" s="42">
        <f t="shared" ref="TN35:TN40" ca="1" si="97">TN10</f>
        <v>22</v>
      </c>
      <c r="TO35" s="35"/>
      <c r="TP35" s="71"/>
      <c r="TQ35" s="72"/>
      <c r="TT35" s="61" t="str">
        <f t="shared" ref="TT35:TT40" ca="1" si="98">TT10</f>
        <v>配膳給食　園児</v>
      </c>
      <c r="TU35" s="59"/>
      <c r="TV35" s="59"/>
      <c r="TW35" s="60"/>
      <c r="TX35" s="35"/>
      <c r="TY35" s="42">
        <f t="shared" ref="TY35:TY40" ca="1" si="99">TY10</f>
        <v>12</v>
      </c>
      <c r="TZ35" s="35"/>
      <c r="UA35" s="71"/>
      <c r="UB35" s="72"/>
      <c r="UE35" s="61" t="str">
        <f t="shared" ref="UE35:UE40" ca="1" si="100">UE10</f>
        <v>配膳給食　園児</v>
      </c>
      <c r="UF35" s="59"/>
      <c r="UG35" s="59"/>
      <c r="UH35" s="60"/>
      <c r="UI35" s="35"/>
      <c r="UJ35" s="42">
        <f t="shared" ref="UJ35:UJ40" ca="1" si="101">UJ10</f>
        <v>47</v>
      </c>
      <c r="UK35" s="35"/>
      <c r="UL35" s="71"/>
      <c r="UM35" s="72"/>
      <c r="UP35" s="61" t="str">
        <f t="shared" ref="UP35:UP40" ca="1" si="102">UP10</f>
        <v/>
      </c>
      <c r="UQ35" s="59"/>
      <c r="UR35" s="59"/>
      <c r="US35" s="60"/>
      <c r="UT35" s="35"/>
      <c r="UU35" s="42" t="str">
        <f t="shared" ref="UU35:UU40" ca="1" si="103">UU10</f>
        <v/>
      </c>
      <c r="UV35" s="35"/>
      <c r="UW35" s="71"/>
      <c r="UX35" s="72"/>
      <c r="VA35" s="61" t="str">
        <f t="shared" ref="VA35:VA40" ca="1" si="104">VA10</f>
        <v/>
      </c>
      <c r="VB35" s="59"/>
      <c r="VC35" s="59"/>
      <c r="VD35" s="60"/>
      <c r="VE35" s="35"/>
      <c r="VF35" s="42" t="str">
        <f t="shared" ref="VF35:VF40" ca="1" si="105">VF10</f>
        <v/>
      </c>
      <c r="VG35" s="35"/>
      <c r="VH35" s="71"/>
      <c r="VI35" s="72"/>
      <c r="VL35" s="61" t="str">
        <f t="shared" ref="VL35:VL40" ca="1" si="106">VL10</f>
        <v/>
      </c>
      <c r="VM35" s="59"/>
      <c r="VN35" s="59"/>
      <c r="VO35" s="60"/>
      <c r="VP35" s="35"/>
      <c r="VQ35" s="42" t="str">
        <f t="shared" ref="VQ35:VQ40" ca="1" si="107">VQ10</f>
        <v/>
      </c>
      <c r="VR35" s="35"/>
      <c r="VS35" s="71"/>
      <c r="VT35" s="72"/>
      <c r="VW35" s="61" t="str">
        <f t="shared" ref="VW35:VW40" ca="1" si="108">VW10</f>
        <v/>
      </c>
      <c r="VX35" s="59"/>
      <c r="VY35" s="59"/>
      <c r="VZ35" s="60"/>
      <c r="WA35" s="35"/>
      <c r="WB35" s="42" t="str">
        <f t="shared" ref="WB35:WB40" ca="1" si="109">WB10</f>
        <v/>
      </c>
      <c r="WC35" s="35"/>
      <c r="WD35" s="71"/>
      <c r="WE35" s="72"/>
      <c r="WH35" s="61" t="str">
        <f t="shared" ref="WH35:WH40" ca="1" si="110">WH10</f>
        <v/>
      </c>
      <c r="WI35" s="59"/>
      <c r="WJ35" s="59"/>
      <c r="WK35" s="60"/>
      <c r="WL35" s="35"/>
      <c r="WM35" s="42" t="str">
        <f t="shared" ref="WM35:WM40" ca="1" si="111">WM10</f>
        <v/>
      </c>
      <c r="WN35" s="35"/>
      <c r="WO35" s="71"/>
      <c r="WP35" s="72"/>
      <c r="WS35" s="61" t="str">
        <f t="shared" ref="WS35:WS40" ca="1" si="112">WS10</f>
        <v/>
      </c>
      <c r="WT35" s="59"/>
      <c r="WU35" s="59"/>
      <c r="WV35" s="60"/>
      <c r="WW35" s="35"/>
      <c r="WX35" s="42" t="str">
        <f t="shared" ref="WX35:WX40" ca="1" si="113">WX10</f>
        <v/>
      </c>
      <c r="WY35" s="35"/>
      <c r="WZ35" s="71"/>
      <c r="XA35" s="72"/>
      <c r="XD35" s="61" t="str">
        <f t="shared" ref="XD35:XD40" ca="1" si="114">XD10</f>
        <v/>
      </c>
      <c r="XE35" s="59"/>
      <c r="XF35" s="59"/>
      <c r="XG35" s="60"/>
      <c r="XH35" s="35"/>
      <c r="XI35" s="42" t="str">
        <f t="shared" ref="XI35:XI40" ca="1" si="115">XI10</f>
        <v/>
      </c>
      <c r="XJ35" s="35"/>
      <c r="XK35" s="71"/>
      <c r="XL35" s="72"/>
      <c r="XO35" s="61" t="str">
        <f t="shared" ref="XO35:XO40" ca="1" si="116">XO10</f>
        <v/>
      </c>
      <c r="XP35" s="59"/>
      <c r="XQ35" s="59"/>
      <c r="XR35" s="60"/>
      <c r="XS35" s="35"/>
      <c r="XT35" s="42" t="str">
        <f t="shared" ref="XT35:XT40" ca="1" si="117">XT10</f>
        <v/>
      </c>
      <c r="XU35" s="35"/>
      <c r="XV35" s="71"/>
      <c r="XW35" s="72"/>
      <c r="XZ35" s="61" t="str">
        <f t="shared" ref="XZ35:XZ40" ca="1" si="118">XZ10</f>
        <v/>
      </c>
      <c r="YA35" s="59"/>
      <c r="YB35" s="59"/>
      <c r="YC35" s="60"/>
      <c r="YD35" s="35"/>
      <c r="YE35" s="42" t="str">
        <f t="shared" ref="YE35:YE40" ca="1" si="119">YE10</f>
        <v/>
      </c>
      <c r="YF35" s="35"/>
      <c r="YG35" s="71"/>
      <c r="YH35" s="72"/>
      <c r="YK35" s="61" t="str">
        <f t="shared" ref="YK35:YK40" ca="1" si="120">YK10</f>
        <v/>
      </c>
      <c r="YL35" s="59"/>
      <c r="YM35" s="59"/>
      <c r="YN35" s="60"/>
      <c r="YO35" s="35"/>
      <c r="YP35" s="42" t="str">
        <f t="shared" ref="YP35:YP40" ca="1" si="121">YP10</f>
        <v/>
      </c>
      <c r="YQ35" s="35"/>
      <c r="YR35" s="71"/>
      <c r="YS35" s="72"/>
      <c r="YV35" s="61" t="str">
        <f t="shared" ref="YV35:YV40" ca="1" si="122">YV10</f>
        <v/>
      </c>
      <c r="YW35" s="59"/>
      <c r="YX35" s="59"/>
      <c r="YY35" s="60"/>
      <c r="YZ35" s="35"/>
      <c r="ZA35" s="42" t="str">
        <f t="shared" ref="ZA35:ZA40" ca="1" si="123">ZA10</f>
        <v/>
      </c>
      <c r="ZB35" s="35"/>
      <c r="ZC35" s="71"/>
      <c r="ZD35" s="72"/>
      <c r="ZG35" s="61" t="str">
        <f t="shared" ref="ZG35:ZG40" ca="1" si="124">ZG10</f>
        <v/>
      </c>
      <c r="ZH35" s="59"/>
      <c r="ZI35" s="59"/>
      <c r="ZJ35" s="60"/>
      <c r="ZK35" s="35"/>
      <c r="ZL35" s="42" t="str">
        <f t="shared" ref="ZL35:ZL40" ca="1" si="125">ZL10</f>
        <v/>
      </c>
      <c r="ZM35" s="35"/>
      <c r="ZN35" s="71"/>
      <c r="ZO35" s="72"/>
      <c r="ZR35" s="61" t="str">
        <f t="shared" ref="ZR35:ZR40" ca="1" si="126">ZR10</f>
        <v/>
      </c>
      <c r="ZS35" s="59"/>
      <c r="ZT35" s="59"/>
      <c r="ZU35" s="60"/>
      <c r="ZV35" s="35"/>
      <c r="ZW35" s="42" t="str">
        <f t="shared" ref="ZW35:ZW40" ca="1" si="127">ZW10</f>
        <v/>
      </c>
      <c r="ZX35" s="35"/>
      <c r="ZY35" s="71"/>
      <c r="ZZ35" s="72"/>
      <c r="AAC35" s="61" t="str">
        <f t="shared" ref="AAC35:AAC40" ca="1" si="128">AAC10</f>
        <v/>
      </c>
      <c r="AAD35" s="59"/>
      <c r="AAE35" s="59"/>
      <c r="AAF35" s="60"/>
      <c r="AAG35" s="35"/>
      <c r="AAH35" s="42" t="str">
        <f t="shared" ref="AAH35:AAH40" ca="1" si="129">AAH10</f>
        <v/>
      </c>
      <c r="AAI35" s="35"/>
      <c r="AAJ35" s="71"/>
      <c r="AAK35" s="72"/>
      <c r="AAN35" s="61" t="str">
        <f t="shared" ref="AAN35:AAN40" ca="1" si="130">AAN10</f>
        <v/>
      </c>
      <c r="AAO35" s="59"/>
      <c r="AAP35" s="59"/>
      <c r="AAQ35" s="60"/>
      <c r="AAR35" s="35"/>
      <c r="AAS35" s="42" t="str">
        <f t="shared" ref="AAS35:AAS40" ca="1" si="131">AAS10</f>
        <v/>
      </c>
      <c r="AAT35" s="35"/>
      <c r="AAU35" s="71"/>
      <c r="AAV35" s="72"/>
      <c r="AAY35" s="61" t="str">
        <f t="shared" ref="AAY35:AAY40" ca="1" si="132">AAY10</f>
        <v/>
      </c>
      <c r="AAZ35" s="59"/>
      <c r="ABA35" s="59"/>
      <c r="ABB35" s="60"/>
      <c r="ABC35" s="35"/>
      <c r="ABD35" s="42" t="str">
        <f t="shared" ref="ABD35:ABD40" ca="1" si="133">ABD10</f>
        <v/>
      </c>
      <c r="ABE35" s="35"/>
      <c r="ABF35" s="71"/>
      <c r="ABG35" s="72"/>
      <c r="ABJ35" s="61" t="str">
        <f t="shared" ref="ABJ35:ABJ40" ca="1" si="134">ABJ10</f>
        <v/>
      </c>
      <c r="ABK35" s="59"/>
      <c r="ABL35" s="59"/>
      <c r="ABM35" s="60"/>
      <c r="ABN35" s="35"/>
      <c r="ABO35" s="42" t="str">
        <f t="shared" ref="ABO35:ABO40" ca="1" si="135">ABO10</f>
        <v/>
      </c>
      <c r="ABP35" s="35"/>
      <c r="ABQ35" s="71"/>
      <c r="ABR35" s="72"/>
      <c r="ABU35" s="61" t="str">
        <f t="shared" ref="ABU35:ABU40" ca="1" si="136">ABU10</f>
        <v/>
      </c>
      <c r="ABV35" s="59"/>
      <c r="ABW35" s="59"/>
      <c r="ABX35" s="60"/>
      <c r="ABY35" s="35"/>
      <c r="ABZ35" s="42" t="str">
        <f t="shared" ref="ABZ35:ABZ40" ca="1" si="137">ABZ10</f>
        <v/>
      </c>
      <c r="ACA35" s="35"/>
      <c r="ACB35" s="71"/>
      <c r="ACC35" s="72"/>
      <c r="ACF35" s="61" t="str">
        <f t="shared" ref="ACF35:ACF40" ca="1" si="138">ACF10</f>
        <v/>
      </c>
      <c r="ACG35" s="59"/>
      <c r="ACH35" s="59"/>
      <c r="ACI35" s="60"/>
      <c r="ACJ35" s="35"/>
      <c r="ACK35" s="42" t="str">
        <f t="shared" ref="ACK35:ACK40" ca="1" si="139">ACK10</f>
        <v/>
      </c>
      <c r="ACL35" s="35"/>
      <c r="ACM35" s="71"/>
      <c r="ACN35" s="72"/>
      <c r="ACQ35" s="61" t="str">
        <f t="shared" ref="ACQ35:ACQ40" ca="1" si="140">ACQ10</f>
        <v/>
      </c>
      <c r="ACR35" s="59"/>
      <c r="ACS35" s="59"/>
      <c r="ACT35" s="60"/>
      <c r="ACU35" s="35"/>
      <c r="ACV35" s="42" t="str">
        <f t="shared" ref="ACV35:ACV40" ca="1" si="141">ACV10</f>
        <v/>
      </c>
      <c r="ACW35" s="35"/>
      <c r="ACX35" s="71"/>
      <c r="ACY35" s="72"/>
      <c r="ADB35" s="61" t="str">
        <f t="shared" ref="ADB35:ADB40" ca="1" si="142">ADB10</f>
        <v/>
      </c>
      <c r="ADC35" s="59"/>
      <c r="ADD35" s="59"/>
      <c r="ADE35" s="60"/>
      <c r="ADF35" s="35"/>
      <c r="ADG35" s="42" t="str">
        <f t="shared" ref="ADG35:ADG40" ca="1" si="143">ADG10</f>
        <v/>
      </c>
      <c r="ADH35" s="35"/>
      <c r="ADI35" s="71"/>
      <c r="ADJ35" s="72"/>
    </row>
    <row r="36" spans="1:790" x14ac:dyDescent="0.45">
      <c r="A36" s="61" t="str">
        <f t="shared" ca="1" si="0"/>
        <v/>
      </c>
      <c r="B36" s="62"/>
      <c r="C36" s="62"/>
      <c r="D36" s="63"/>
      <c r="E36" s="36"/>
      <c r="F36" s="42" t="str">
        <f t="shared" ca="1" si="1"/>
        <v/>
      </c>
      <c r="G36" s="36"/>
      <c r="H36" s="73"/>
      <c r="I36" s="74"/>
      <c r="L36" s="61" t="str">
        <f t="shared" ca="1" si="2"/>
        <v/>
      </c>
      <c r="M36" s="62"/>
      <c r="N36" s="62"/>
      <c r="O36" s="63"/>
      <c r="P36" s="36"/>
      <c r="Q36" s="42" t="str">
        <f t="shared" ca="1" si="3"/>
        <v/>
      </c>
      <c r="R36" s="36"/>
      <c r="S36" s="73"/>
      <c r="T36" s="74"/>
      <c r="W36" s="61" t="str">
        <f t="shared" ca="1" si="4"/>
        <v/>
      </c>
      <c r="X36" s="62"/>
      <c r="Y36" s="62"/>
      <c r="Z36" s="63"/>
      <c r="AA36" s="36"/>
      <c r="AB36" s="42" t="str">
        <f t="shared" ca="1" si="5"/>
        <v/>
      </c>
      <c r="AC36" s="36"/>
      <c r="AD36" s="73"/>
      <c r="AE36" s="74"/>
      <c r="AH36" s="61" t="str">
        <f t="shared" ca="1" si="6"/>
        <v>ピクニック　園児</v>
      </c>
      <c r="AI36" s="62"/>
      <c r="AJ36" s="62"/>
      <c r="AK36" s="63"/>
      <c r="AL36" s="36"/>
      <c r="AM36" s="42">
        <f t="shared" ca="1" si="7"/>
        <v>1</v>
      </c>
      <c r="AN36" s="36"/>
      <c r="AO36" s="73"/>
      <c r="AP36" s="74"/>
      <c r="AS36" s="61" t="str">
        <f t="shared" ca="1" si="8"/>
        <v>ピクニック　園児</v>
      </c>
      <c r="AT36" s="62"/>
      <c r="AU36" s="62"/>
      <c r="AV36" s="63"/>
      <c r="AW36" s="36"/>
      <c r="AX36" s="42">
        <f t="shared" ca="1" si="9"/>
        <v>35</v>
      </c>
      <c r="AY36" s="36"/>
      <c r="AZ36" s="73"/>
      <c r="BA36" s="74"/>
      <c r="BD36" s="61" t="str">
        <f t="shared" ca="1" si="10"/>
        <v>弁当　先生</v>
      </c>
      <c r="BE36" s="62"/>
      <c r="BF36" s="62"/>
      <c r="BG36" s="63"/>
      <c r="BH36" s="36"/>
      <c r="BI36" s="42">
        <f t="shared" ca="1" si="11"/>
        <v>20</v>
      </c>
      <c r="BJ36" s="36"/>
      <c r="BK36" s="73"/>
      <c r="BL36" s="74"/>
      <c r="BO36" s="61" t="str">
        <f t="shared" ca="1" si="12"/>
        <v>弁当　検食</v>
      </c>
      <c r="BP36" s="62"/>
      <c r="BQ36" s="62"/>
      <c r="BR36" s="63"/>
      <c r="BS36" s="36"/>
      <c r="BT36" s="42" t="str">
        <f t="shared" ca="1" si="13"/>
        <v>1</v>
      </c>
      <c r="BU36" s="36"/>
      <c r="BV36" s="73"/>
      <c r="BW36" s="74"/>
      <c r="BZ36" s="61" t="str">
        <f t="shared" ca="1" si="14"/>
        <v>弁当　先生</v>
      </c>
      <c r="CA36" s="62"/>
      <c r="CB36" s="62"/>
      <c r="CC36" s="63"/>
      <c r="CD36" s="36"/>
      <c r="CE36" s="42">
        <f t="shared" ca="1" si="15"/>
        <v>22</v>
      </c>
      <c r="CF36" s="36"/>
      <c r="CG36" s="73"/>
      <c r="CH36" s="74"/>
      <c r="CK36" s="61" t="str">
        <f t="shared" ca="1" si="16"/>
        <v>弁当　検食</v>
      </c>
      <c r="CL36" s="62"/>
      <c r="CM36" s="62"/>
      <c r="CN36" s="63"/>
      <c r="CO36" s="36"/>
      <c r="CP36" s="42" t="str">
        <f t="shared" ca="1" si="17"/>
        <v>1</v>
      </c>
      <c r="CQ36" s="36"/>
      <c r="CR36" s="73"/>
      <c r="CS36" s="74"/>
      <c r="CV36" s="61" t="str">
        <f t="shared" ca="1" si="18"/>
        <v>牛乳</v>
      </c>
      <c r="CW36" s="62"/>
      <c r="CX36" s="62"/>
      <c r="CY36" s="63"/>
      <c r="CZ36" s="36"/>
      <c r="DA36" s="42">
        <f t="shared" ca="1" si="19"/>
        <v>61</v>
      </c>
      <c r="DB36" s="36"/>
      <c r="DC36" s="73"/>
      <c r="DD36" s="74"/>
      <c r="DG36" s="61" t="str">
        <f t="shared" ca="1" si="20"/>
        <v/>
      </c>
      <c r="DH36" s="62"/>
      <c r="DI36" s="62"/>
      <c r="DJ36" s="63"/>
      <c r="DK36" s="36"/>
      <c r="DL36" s="42" t="str">
        <f t="shared" ca="1" si="21"/>
        <v/>
      </c>
      <c r="DM36" s="36"/>
      <c r="DN36" s="73"/>
      <c r="DO36" s="74"/>
      <c r="DR36" s="61" t="str">
        <f t="shared" ca="1" si="22"/>
        <v>牛乳</v>
      </c>
      <c r="DS36" s="62"/>
      <c r="DT36" s="62"/>
      <c r="DU36" s="63"/>
      <c r="DV36" s="36"/>
      <c r="DW36" s="42">
        <f t="shared" ca="1" si="23"/>
        <v>5</v>
      </c>
      <c r="DX36" s="36"/>
      <c r="DY36" s="73"/>
      <c r="DZ36" s="74"/>
      <c r="EC36" s="61" t="str">
        <f t="shared" ca="1" si="24"/>
        <v/>
      </c>
      <c r="ED36" s="62"/>
      <c r="EE36" s="62"/>
      <c r="EF36" s="63"/>
      <c r="EG36" s="36"/>
      <c r="EH36" s="42" t="str">
        <f t="shared" ca="1" si="25"/>
        <v/>
      </c>
      <c r="EI36" s="36"/>
      <c r="EJ36" s="73"/>
      <c r="EK36" s="74"/>
      <c r="EN36" s="61" t="str">
        <f t="shared" ca="1" si="26"/>
        <v>どんぶり給食　先生</v>
      </c>
      <c r="EO36" s="62"/>
      <c r="EP36" s="62"/>
      <c r="EQ36" s="63"/>
      <c r="ER36" s="36"/>
      <c r="ES36" s="42">
        <f t="shared" ca="1" si="27"/>
        <v>17</v>
      </c>
      <c r="ET36" s="36"/>
      <c r="EU36" s="73"/>
      <c r="EV36" s="74"/>
      <c r="EY36" s="61" t="str">
        <f t="shared" ca="1" si="28"/>
        <v>どんぶり給食　検食</v>
      </c>
      <c r="EZ36" s="62"/>
      <c r="FA36" s="62"/>
      <c r="FB36" s="63"/>
      <c r="FC36" s="36"/>
      <c r="FD36" s="42" t="str">
        <f t="shared" ca="1" si="29"/>
        <v>1</v>
      </c>
      <c r="FE36" s="36"/>
      <c r="FF36" s="73"/>
      <c r="FG36" s="74"/>
      <c r="FJ36" s="61" t="str">
        <f t="shared" ca="1" si="30"/>
        <v>ピクニック　先生</v>
      </c>
      <c r="FK36" s="62"/>
      <c r="FL36" s="62"/>
      <c r="FM36" s="63"/>
      <c r="FN36" s="36"/>
      <c r="FO36" s="42">
        <f t="shared" ca="1" si="31"/>
        <v>15</v>
      </c>
      <c r="FP36" s="36"/>
      <c r="FQ36" s="73"/>
      <c r="FR36" s="74"/>
      <c r="FU36" s="61" t="str">
        <f t="shared" ca="1" si="32"/>
        <v>ピクニック　検食</v>
      </c>
      <c r="FV36" s="62"/>
      <c r="FW36" s="62"/>
      <c r="FX36" s="63"/>
      <c r="FY36" s="36"/>
      <c r="FZ36" s="42" t="str">
        <f t="shared" ca="1" si="33"/>
        <v>1</v>
      </c>
      <c r="GA36" s="36"/>
      <c r="GB36" s="73"/>
      <c r="GC36" s="74"/>
      <c r="GF36" s="61" t="str">
        <f t="shared" ca="1" si="34"/>
        <v>弁当　先生</v>
      </c>
      <c r="GG36" s="62"/>
      <c r="GH36" s="62"/>
      <c r="GI36" s="63"/>
      <c r="GJ36" s="36"/>
      <c r="GK36" s="42">
        <f t="shared" ca="1" si="35"/>
        <v>16</v>
      </c>
      <c r="GL36" s="36"/>
      <c r="GM36" s="73"/>
      <c r="GN36" s="74"/>
      <c r="GQ36" s="61" t="str">
        <f t="shared" ca="1" si="36"/>
        <v>配膳給食　先生</v>
      </c>
      <c r="GR36" s="62"/>
      <c r="GS36" s="62"/>
      <c r="GT36" s="63"/>
      <c r="GU36" s="36"/>
      <c r="GV36" s="42">
        <f t="shared" ca="1" si="37"/>
        <v>29</v>
      </c>
      <c r="GW36" s="36"/>
      <c r="GX36" s="73"/>
      <c r="GY36" s="74"/>
      <c r="HB36" s="61" t="str">
        <f t="shared" ca="1" si="38"/>
        <v>弁当　先生</v>
      </c>
      <c r="HC36" s="62"/>
      <c r="HD36" s="62"/>
      <c r="HE36" s="63"/>
      <c r="HF36" s="36"/>
      <c r="HG36" s="42">
        <f t="shared" ca="1" si="39"/>
        <v>1</v>
      </c>
      <c r="HH36" s="36"/>
      <c r="HI36" s="73"/>
      <c r="HJ36" s="74"/>
      <c r="HM36" s="61" t="str">
        <f t="shared" ca="1" si="40"/>
        <v/>
      </c>
      <c r="HN36" s="62"/>
      <c r="HO36" s="62"/>
      <c r="HP36" s="63"/>
      <c r="HQ36" s="36"/>
      <c r="HR36" s="42" t="str">
        <f t="shared" ca="1" si="41"/>
        <v/>
      </c>
      <c r="HS36" s="36"/>
      <c r="HT36" s="73"/>
      <c r="HU36" s="74"/>
      <c r="HX36" s="61" t="str">
        <f t="shared" ca="1" si="42"/>
        <v>弁当　検食</v>
      </c>
      <c r="HY36" s="62"/>
      <c r="HZ36" s="62"/>
      <c r="IA36" s="63"/>
      <c r="IB36" s="36"/>
      <c r="IC36" s="42" t="str">
        <f t="shared" ca="1" si="43"/>
        <v>1</v>
      </c>
      <c r="ID36" s="36"/>
      <c r="IE36" s="73"/>
      <c r="IF36" s="74"/>
      <c r="II36" s="61" t="str">
        <f t="shared" ca="1" si="44"/>
        <v/>
      </c>
      <c r="IJ36" s="62"/>
      <c r="IK36" s="62"/>
      <c r="IL36" s="63"/>
      <c r="IM36" s="36"/>
      <c r="IN36" s="42" t="str">
        <f t="shared" ca="1" si="45"/>
        <v/>
      </c>
      <c r="IO36" s="36"/>
      <c r="IP36" s="73"/>
      <c r="IQ36" s="74"/>
      <c r="IT36" s="61" t="str">
        <f t="shared" ca="1" si="46"/>
        <v/>
      </c>
      <c r="IU36" s="62"/>
      <c r="IV36" s="62"/>
      <c r="IW36" s="63"/>
      <c r="IX36" s="36"/>
      <c r="IY36" s="42" t="str">
        <f t="shared" ca="1" si="47"/>
        <v/>
      </c>
      <c r="IZ36" s="36"/>
      <c r="JA36" s="73"/>
      <c r="JB36" s="74"/>
      <c r="JE36" s="61" t="str">
        <f t="shared" ca="1" si="48"/>
        <v/>
      </c>
      <c r="JF36" s="62"/>
      <c r="JG36" s="62"/>
      <c r="JH36" s="63"/>
      <c r="JI36" s="36"/>
      <c r="JJ36" s="42" t="str">
        <f t="shared" ca="1" si="49"/>
        <v/>
      </c>
      <c r="JK36" s="36"/>
      <c r="JL36" s="73"/>
      <c r="JM36" s="74"/>
      <c r="JP36" s="61" t="str">
        <f t="shared" ca="1" si="50"/>
        <v/>
      </c>
      <c r="JQ36" s="62"/>
      <c r="JR36" s="62"/>
      <c r="JS36" s="63"/>
      <c r="JT36" s="36"/>
      <c r="JU36" s="42" t="str">
        <f t="shared" ca="1" si="51"/>
        <v/>
      </c>
      <c r="JV36" s="36"/>
      <c r="JW36" s="73"/>
      <c r="JX36" s="74"/>
      <c r="KA36" s="61" t="str">
        <f t="shared" ca="1" si="52"/>
        <v/>
      </c>
      <c r="KB36" s="62"/>
      <c r="KC36" s="62"/>
      <c r="KD36" s="63"/>
      <c r="KE36" s="36"/>
      <c r="KF36" s="42" t="str">
        <f t="shared" ca="1" si="53"/>
        <v/>
      </c>
      <c r="KG36" s="36"/>
      <c r="KH36" s="73"/>
      <c r="KI36" s="74"/>
      <c r="KL36" s="61" t="str">
        <f t="shared" ca="1" si="54"/>
        <v>弁当　園児</v>
      </c>
      <c r="KM36" s="62"/>
      <c r="KN36" s="62"/>
      <c r="KO36" s="63"/>
      <c r="KP36" s="36"/>
      <c r="KQ36" s="42">
        <f t="shared" ca="1" si="55"/>
        <v>99</v>
      </c>
      <c r="KR36" s="36"/>
      <c r="KS36" s="73"/>
      <c r="KT36" s="74"/>
      <c r="KW36" s="61" t="str">
        <f t="shared" ca="1" si="56"/>
        <v>弁当　園児　おにぎり</v>
      </c>
      <c r="KX36" s="62"/>
      <c r="KY36" s="62"/>
      <c r="KZ36" s="63"/>
      <c r="LA36" s="36"/>
      <c r="LB36" s="42">
        <f t="shared" ca="1" si="57"/>
        <v>12</v>
      </c>
      <c r="LC36" s="36"/>
      <c r="LD36" s="73"/>
      <c r="LE36" s="74"/>
      <c r="LH36" s="61" t="str">
        <f t="shared" ca="1" si="58"/>
        <v>弁当　園児　おにぎり</v>
      </c>
      <c r="LI36" s="62"/>
      <c r="LJ36" s="62"/>
      <c r="LK36" s="63"/>
      <c r="LL36" s="36"/>
      <c r="LM36" s="42">
        <f t="shared" ca="1" si="59"/>
        <v>16</v>
      </c>
      <c r="LN36" s="36"/>
      <c r="LO36" s="73"/>
      <c r="LP36" s="74"/>
      <c r="LS36" s="61" t="str">
        <f t="shared" ca="1" si="60"/>
        <v>弁当　先生</v>
      </c>
      <c r="LT36" s="62"/>
      <c r="LU36" s="62"/>
      <c r="LV36" s="63"/>
      <c r="LW36" s="36"/>
      <c r="LX36" s="42">
        <f t="shared" ca="1" si="61"/>
        <v>24</v>
      </c>
      <c r="LY36" s="36"/>
      <c r="LZ36" s="73"/>
      <c r="MA36" s="74"/>
      <c r="MD36" s="61" t="str">
        <f t="shared" ca="1" si="62"/>
        <v>弁当　園児　おにぎり</v>
      </c>
      <c r="ME36" s="62"/>
      <c r="MF36" s="62"/>
      <c r="MG36" s="63"/>
      <c r="MH36" s="36"/>
      <c r="MI36" s="42">
        <f t="shared" ca="1" si="63"/>
        <v>11</v>
      </c>
      <c r="MJ36" s="36"/>
      <c r="MK36" s="73"/>
      <c r="ML36" s="74"/>
      <c r="MO36" s="61" t="str">
        <f t="shared" ca="1" si="64"/>
        <v>弁当　先生</v>
      </c>
      <c r="MP36" s="62"/>
      <c r="MQ36" s="62"/>
      <c r="MR36" s="63"/>
      <c r="MS36" s="36"/>
      <c r="MT36" s="42">
        <f t="shared" ca="1" si="65"/>
        <v>17</v>
      </c>
      <c r="MU36" s="36"/>
      <c r="MV36" s="73"/>
      <c r="MW36" s="74"/>
      <c r="MZ36" s="61" t="str">
        <f t="shared" ca="1" si="66"/>
        <v/>
      </c>
      <c r="NA36" s="62"/>
      <c r="NB36" s="62"/>
      <c r="NC36" s="63"/>
      <c r="ND36" s="36"/>
      <c r="NE36" s="42" t="str">
        <f t="shared" ca="1" si="67"/>
        <v/>
      </c>
      <c r="NF36" s="36"/>
      <c r="NG36" s="73"/>
      <c r="NH36" s="74"/>
      <c r="NK36" s="61" t="str">
        <f t="shared" ca="1" si="68"/>
        <v>弁当　先生</v>
      </c>
      <c r="NL36" s="62"/>
      <c r="NM36" s="62"/>
      <c r="NN36" s="63"/>
      <c r="NO36" s="36"/>
      <c r="NP36" s="42">
        <f t="shared" ca="1" si="69"/>
        <v>1</v>
      </c>
      <c r="NQ36" s="36"/>
      <c r="NR36" s="73"/>
      <c r="NS36" s="74"/>
      <c r="NV36" s="61" t="str">
        <f t="shared" ca="1" si="70"/>
        <v>弁当　先生</v>
      </c>
      <c r="NW36" s="62"/>
      <c r="NX36" s="62"/>
      <c r="NY36" s="63"/>
      <c r="NZ36" s="36"/>
      <c r="OA36" s="42">
        <f t="shared" ca="1" si="71"/>
        <v>2</v>
      </c>
      <c r="OB36" s="36"/>
      <c r="OC36" s="73"/>
      <c r="OD36" s="74"/>
      <c r="OG36" s="61" t="str">
        <f t="shared" ca="1" si="72"/>
        <v>弁当　先生</v>
      </c>
      <c r="OH36" s="62"/>
      <c r="OI36" s="62"/>
      <c r="OJ36" s="63"/>
      <c r="OK36" s="36"/>
      <c r="OL36" s="42">
        <f t="shared" ca="1" si="73"/>
        <v>27</v>
      </c>
      <c r="OM36" s="36"/>
      <c r="ON36" s="73"/>
      <c r="OO36" s="74"/>
      <c r="OR36" s="61" t="str">
        <f t="shared" ca="1" si="74"/>
        <v>弁当　先生</v>
      </c>
      <c r="OS36" s="62"/>
      <c r="OT36" s="62"/>
      <c r="OU36" s="63"/>
      <c r="OV36" s="36"/>
      <c r="OW36" s="42">
        <f t="shared" ca="1" si="75"/>
        <v>2</v>
      </c>
      <c r="OX36" s="36"/>
      <c r="OY36" s="73"/>
      <c r="OZ36" s="74"/>
      <c r="PC36" s="61" t="str">
        <f t="shared" ca="1" si="76"/>
        <v/>
      </c>
      <c r="PD36" s="62"/>
      <c r="PE36" s="62"/>
      <c r="PF36" s="63"/>
      <c r="PG36" s="36"/>
      <c r="PH36" s="42" t="str">
        <f t="shared" ca="1" si="77"/>
        <v/>
      </c>
      <c r="PI36" s="36"/>
      <c r="PJ36" s="73"/>
      <c r="PK36" s="74"/>
      <c r="PN36" s="61" t="str">
        <f t="shared" ca="1" si="78"/>
        <v/>
      </c>
      <c r="PO36" s="62"/>
      <c r="PP36" s="62"/>
      <c r="PQ36" s="63"/>
      <c r="PR36" s="36"/>
      <c r="PS36" s="42" t="str">
        <f t="shared" ca="1" si="79"/>
        <v/>
      </c>
      <c r="PT36" s="36"/>
      <c r="PU36" s="73"/>
      <c r="PV36" s="74"/>
      <c r="PY36" s="61" t="str">
        <f t="shared" ca="1" si="80"/>
        <v/>
      </c>
      <c r="PZ36" s="62"/>
      <c r="QA36" s="62"/>
      <c r="QB36" s="63"/>
      <c r="QC36" s="36"/>
      <c r="QD36" s="42" t="str">
        <f t="shared" ca="1" si="81"/>
        <v/>
      </c>
      <c r="QE36" s="36"/>
      <c r="QF36" s="73"/>
      <c r="QG36" s="74"/>
      <c r="QJ36" s="61" t="str">
        <f t="shared" ca="1" si="82"/>
        <v/>
      </c>
      <c r="QK36" s="62"/>
      <c r="QL36" s="62"/>
      <c r="QM36" s="63"/>
      <c r="QN36" s="36"/>
      <c r="QO36" s="42" t="str">
        <f t="shared" ca="1" si="83"/>
        <v/>
      </c>
      <c r="QP36" s="36"/>
      <c r="QQ36" s="73"/>
      <c r="QR36" s="74"/>
      <c r="QU36" s="61" t="str">
        <f t="shared" ca="1" si="84"/>
        <v/>
      </c>
      <c r="QV36" s="62"/>
      <c r="QW36" s="62"/>
      <c r="QX36" s="63"/>
      <c r="QY36" s="36"/>
      <c r="QZ36" s="42" t="str">
        <f t="shared" ca="1" si="85"/>
        <v/>
      </c>
      <c r="RA36" s="36"/>
      <c r="RB36" s="73"/>
      <c r="RC36" s="74"/>
      <c r="RF36" s="61" t="str">
        <f t="shared" ca="1" si="86"/>
        <v>弁当　先生</v>
      </c>
      <c r="RG36" s="62"/>
      <c r="RH36" s="62"/>
      <c r="RI36" s="63"/>
      <c r="RJ36" s="36"/>
      <c r="RK36" s="42">
        <f t="shared" ca="1" si="87"/>
        <v>18</v>
      </c>
      <c r="RL36" s="36"/>
      <c r="RM36" s="73"/>
      <c r="RN36" s="74"/>
      <c r="RQ36" s="61" t="str">
        <f t="shared" ca="1" si="88"/>
        <v>配膳給食　先生</v>
      </c>
      <c r="RR36" s="62"/>
      <c r="RS36" s="62"/>
      <c r="RT36" s="63"/>
      <c r="RU36" s="36"/>
      <c r="RV36" s="42">
        <f t="shared" ca="1" si="89"/>
        <v>18</v>
      </c>
      <c r="RW36" s="36"/>
      <c r="RX36" s="73"/>
      <c r="RY36" s="74"/>
      <c r="SB36" s="61" t="str">
        <f t="shared" ca="1" si="90"/>
        <v>配膳給食　先生</v>
      </c>
      <c r="SC36" s="62"/>
      <c r="SD36" s="62"/>
      <c r="SE36" s="63"/>
      <c r="SF36" s="36"/>
      <c r="SG36" s="42">
        <f t="shared" ca="1" si="91"/>
        <v>18</v>
      </c>
      <c r="SH36" s="36"/>
      <c r="SI36" s="73"/>
      <c r="SJ36" s="74"/>
      <c r="SM36" s="61" t="str">
        <f t="shared" ca="1" si="92"/>
        <v>弁当　先生</v>
      </c>
      <c r="SN36" s="62"/>
      <c r="SO36" s="62"/>
      <c r="SP36" s="63"/>
      <c r="SQ36" s="36"/>
      <c r="SR36" s="42">
        <f t="shared" ca="1" si="93"/>
        <v>19</v>
      </c>
      <c r="SS36" s="36"/>
      <c r="ST36" s="73"/>
      <c r="SU36" s="74"/>
      <c r="SX36" s="61" t="str">
        <f t="shared" ca="1" si="94"/>
        <v>配膳給食　先生</v>
      </c>
      <c r="SY36" s="62"/>
      <c r="SZ36" s="62"/>
      <c r="TA36" s="63"/>
      <c r="TB36" s="36"/>
      <c r="TC36" s="42">
        <f t="shared" ca="1" si="95"/>
        <v>20</v>
      </c>
      <c r="TD36" s="36"/>
      <c r="TE36" s="73"/>
      <c r="TF36" s="74"/>
      <c r="TI36" s="61" t="str">
        <f t="shared" ca="1" si="96"/>
        <v>配膳給食　先生</v>
      </c>
      <c r="TJ36" s="62"/>
      <c r="TK36" s="62"/>
      <c r="TL36" s="63"/>
      <c r="TM36" s="36"/>
      <c r="TN36" s="42">
        <f t="shared" ca="1" si="97"/>
        <v>3</v>
      </c>
      <c r="TO36" s="36"/>
      <c r="TP36" s="73"/>
      <c r="TQ36" s="74"/>
      <c r="TT36" s="61" t="str">
        <f t="shared" ca="1" si="98"/>
        <v>配膳給食　先生</v>
      </c>
      <c r="TU36" s="62"/>
      <c r="TV36" s="62"/>
      <c r="TW36" s="63"/>
      <c r="TX36" s="36"/>
      <c r="TY36" s="42">
        <f t="shared" ca="1" si="99"/>
        <v>3</v>
      </c>
      <c r="TZ36" s="36"/>
      <c r="UA36" s="73"/>
      <c r="UB36" s="74"/>
      <c r="UE36" s="61" t="str">
        <f t="shared" ca="1" si="100"/>
        <v>配膳給食　先生</v>
      </c>
      <c r="UF36" s="62"/>
      <c r="UG36" s="62"/>
      <c r="UH36" s="63"/>
      <c r="UI36" s="36"/>
      <c r="UJ36" s="42">
        <f t="shared" ca="1" si="101"/>
        <v>3</v>
      </c>
      <c r="UK36" s="36"/>
      <c r="UL36" s="73"/>
      <c r="UM36" s="74"/>
      <c r="UP36" s="61" t="str">
        <f t="shared" ca="1" si="102"/>
        <v/>
      </c>
      <c r="UQ36" s="62"/>
      <c r="UR36" s="62"/>
      <c r="US36" s="63"/>
      <c r="UT36" s="36"/>
      <c r="UU36" s="42" t="str">
        <f t="shared" ca="1" si="103"/>
        <v/>
      </c>
      <c r="UV36" s="36"/>
      <c r="UW36" s="73"/>
      <c r="UX36" s="74"/>
      <c r="VA36" s="61" t="str">
        <f t="shared" ca="1" si="104"/>
        <v/>
      </c>
      <c r="VB36" s="62"/>
      <c r="VC36" s="62"/>
      <c r="VD36" s="63"/>
      <c r="VE36" s="36"/>
      <c r="VF36" s="42" t="str">
        <f t="shared" ca="1" si="105"/>
        <v/>
      </c>
      <c r="VG36" s="36"/>
      <c r="VH36" s="73"/>
      <c r="VI36" s="74"/>
      <c r="VL36" s="61" t="str">
        <f t="shared" ca="1" si="106"/>
        <v/>
      </c>
      <c r="VM36" s="62"/>
      <c r="VN36" s="62"/>
      <c r="VO36" s="63"/>
      <c r="VP36" s="36"/>
      <c r="VQ36" s="42" t="str">
        <f t="shared" ca="1" si="107"/>
        <v/>
      </c>
      <c r="VR36" s="36"/>
      <c r="VS36" s="73"/>
      <c r="VT36" s="74"/>
      <c r="VW36" s="61" t="str">
        <f t="shared" ca="1" si="108"/>
        <v/>
      </c>
      <c r="VX36" s="62"/>
      <c r="VY36" s="62"/>
      <c r="VZ36" s="63"/>
      <c r="WA36" s="36"/>
      <c r="WB36" s="42" t="str">
        <f t="shared" ca="1" si="109"/>
        <v/>
      </c>
      <c r="WC36" s="36"/>
      <c r="WD36" s="73"/>
      <c r="WE36" s="74"/>
      <c r="WH36" s="61" t="str">
        <f t="shared" ca="1" si="110"/>
        <v/>
      </c>
      <c r="WI36" s="62"/>
      <c r="WJ36" s="62"/>
      <c r="WK36" s="63"/>
      <c r="WL36" s="36"/>
      <c r="WM36" s="42" t="str">
        <f t="shared" ca="1" si="111"/>
        <v/>
      </c>
      <c r="WN36" s="36"/>
      <c r="WO36" s="73"/>
      <c r="WP36" s="74"/>
      <c r="WS36" s="61" t="str">
        <f t="shared" ca="1" si="112"/>
        <v/>
      </c>
      <c r="WT36" s="62"/>
      <c r="WU36" s="62"/>
      <c r="WV36" s="63"/>
      <c r="WW36" s="36"/>
      <c r="WX36" s="42" t="str">
        <f t="shared" ca="1" si="113"/>
        <v/>
      </c>
      <c r="WY36" s="36"/>
      <c r="WZ36" s="73"/>
      <c r="XA36" s="74"/>
      <c r="XD36" s="61" t="str">
        <f t="shared" ca="1" si="114"/>
        <v/>
      </c>
      <c r="XE36" s="62"/>
      <c r="XF36" s="62"/>
      <c r="XG36" s="63"/>
      <c r="XH36" s="36"/>
      <c r="XI36" s="42" t="str">
        <f t="shared" ca="1" si="115"/>
        <v/>
      </c>
      <c r="XJ36" s="36"/>
      <c r="XK36" s="73"/>
      <c r="XL36" s="74"/>
      <c r="XO36" s="61" t="str">
        <f t="shared" ca="1" si="116"/>
        <v/>
      </c>
      <c r="XP36" s="62"/>
      <c r="XQ36" s="62"/>
      <c r="XR36" s="63"/>
      <c r="XS36" s="36"/>
      <c r="XT36" s="42" t="str">
        <f t="shared" ca="1" si="117"/>
        <v/>
      </c>
      <c r="XU36" s="36"/>
      <c r="XV36" s="73"/>
      <c r="XW36" s="74"/>
      <c r="XZ36" s="61" t="str">
        <f t="shared" ca="1" si="118"/>
        <v/>
      </c>
      <c r="YA36" s="62"/>
      <c r="YB36" s="62"/>
      <c r="YC36" s="63"/>
      <c r="YD36" s="36"/>
      <c r="YE36" s="42" t="str">
        <f t="shared" ca="1" si="119"/>
        <v/>
      </c>
      <c r="YF36" s="36"/>
      <c r="YG36" s="73"/>
      <c r="YH36" s="74"/>
      <c r="YK36" s="61" t="str">
        <f t="shared" ca="1" si="120"/>
        <v/>
      </c>
      <c r="YL36" s="62"/>
      <c r="YM36" s="62"/>
      <c r="YN36" s="63"/>
      <c r="YO36" s="36"/>
      <c r="YP36" s="42" t="str">
        <f t="shared" ca="1" si="121"/>
        <v/>
      </c>
      <c r="YQ36" s="36"/>
      <c r="YR36" s="73"/>
      <c r="YS36" s="74"/>
      <c r="YV36" s="61" t="str">
        <f t="shared" ca="1" si="122"/>
        <v/>
      </c>
      <c r="YW36" s="62"/>
      <c r="YX36" s="62"/>
      <c r="YY36" s="63"/>
      <c r="YZ36" s="36"/>
      <c r="ZA36" s="42" t="str">
        <f t="shared" ca="1" si="123"/>
        <v/>
      </c>
      <c r="ZB36" s="36"/>
      <c r="ZC36" s="73"/>
      <c r="ZD36" s="74"/>
      <c r="ZG36" s="61" t="str">
        <f t="shared" ca="1" si="124"/>
        <v/>
      </c>
      <c r="ZH36" s="62"/>
      <c r="ZI36" s="62"/>
      <c r="ZJ36" s="63"/>
      <c r="ZK36" s="36"/>
      <c r="ZL36" s="42" t="str">
        <f t="shared" ca="1" si="125"/>
        <v/>
      </c>
      <c r="ZM36" s="36"/>
      <c r="ZN36" s="73"/>
      <c r="ZO36" s="74"/>
      <c r="ZR36" s="61" t="str">
        <f t="shared" ca="1" si="126"/>
        <v/>
      </c>
      <c r="ZS36" s="62"/>
      <c r="ZT36" s="62"/>
      <c r="ZU36" s="63"/>
      <c r="ZV36" s="36"/>
      <c r="ZW36" s="42" t="str">
        <f t="shared" ca="1" si="127"/>
        <v/>
      </c>
      <c r="ZX36" s="36"/>
      <c r="ZY36" s="73"/>
      <c r="ZZ36" s="74"/>
      <c r="AAC36" s="61" t="str">
        <f t="shared" ca="1" si="128"/>
        <v/>
      </c>
      <c r="AAD36" s="62"/>
      <c r="AAE36" s="62"/>
      <c r="AAF36" s="63"/>
      <c r="AAG36" s="36"/>
      <c r="AAH36" s="42" t="str">
        <f t="shared" ca="1" si="129"/>
        <v/>
      </c>
      <c r="AAI36" s="36"/>
      <c r="AAJ36" s="73"/>
      <c r="AAK36" s="74"/>
      <c r="AAN36" s="61" t="str">
        <f t="shared" ca="1" si="130"/>
        <v/>
      </c>
      <c r="AAO36" s="62"/>
      <c r="AAP36" s="62"/>
      <c r="AAQ36" s="63"/>
      <c r="AAR36" s="36"/>
      <c r="AAS36" s="42" t="str">
        <f t="shared" ca="1" si="131"/>
        <v/>
      </c>
      <c r="AAT36" s="36"/>
      <c r="AAU36" s="73"/>
      <c r="AAV36" s="74"/>
      <c r="AAY36" s="61" t="str">
        <f t="shared" ca="1" si="132"/>
        <v/>
      </c>
      <c r="AAZ36" s="62"/>
      <c r="ABA36" s="62"/>
      <c r="ABB36" s="63"/>
      <c r="ABC36" s="36"/>
      <c r="ABD36" s="42" t="str">
        <f t="shared" ca="1" si="133"/>
        <v/>
      </c>
      <c r="ABE36" s="36"/>
      <c r="ABF36" s="73"/>
      <c r="ABG36" s="74"/>
      <c r="ABJ36" s="61" t="str">
        <f t="shared" ca="1" si="134"/>
        <v/>
      </c>
      <c r="ABK36" s="62"/>
      <c r="ABL36" s="62"/>
      <c r="ABM36" s="63"/>
      <c r="ABN36" s="36"/>
      <c r="ABO36" s="42" t="str">
        <f t="shared" ca="1" si="135"/>
        <v/>
      </c>
      <c r="ABP36" s="36"/>
      <c r="ABQ36" s="73"/>
      <c r="ABR36" s="74"/>
      <c r="ABU36" s="61" t="str">
        <f t="shared" ca="1" si="136"/>
        <v/>
      </c>
      <c r="ABV36" s="62"/>
      <c r="ABW36" s="62"/>
      <c r="ABX36" s="63"/>
      <c r="ABY36" s="36"/>
      <c r="ABZ36" s="42" t="str">
        <f t="shared" ca="1" si="137"/>
        <v/>
      </c>
      <c r="ACA36" s="36"/>
      <c r="ACB36" s="73"/>
      <c r="ACC36" s="74"/>
      <c r="ACF36" s="61" t="str">
        <f t="shared" ca="1" si="138"/>
        <v/>
      </c>
      <c r="ACG36" s="62"/>
      <c r="ACH36" s="62"/>
      <c r="ACI36" s="63"/>
      <c r="ACJ36" s="36"/>
      <c r="ACK36" s="42" t="str">
        <f t="shared" ca="1" si="139"/>
        <v/>
      </c>
      <c r="ACL36" s="36"/>
      <c r="ACM36" s="73"/>
      <c r="ACN36" s="74"/>
      <c r="ACQ36" s="61" t="str">
        <f t="shared" ca="1" si="140"/>
        <v/>
      </c>
      <c r="ACR36" s="62"/>
      <c r="ACS36" s="62"/>
      <c r="ACT36" s="63"/>
      <c r="ACU36" s="36"/>
      <c r="ACV36" s="42" t="str">
        <f t="shared" ca="1" si="141"/>
        <v/>
      </c>
      <c r="ACW36" s="36"/>
      <c r="ACX36" s="73"/>
      <c r="ACY36" s="74"/>
      <c r="ADB36" s="61" t="str">
        <f t="shared" ca="1" si="142"/>
        <v/>
      </c>
      <c r="ADC36" s="62"/>
      <c r="ADD36" s="62"/>
      <c r="ADE36" s="63"/>
      <c r="ADF36" s="36"/>
      <c r="ADG36" s="42" t="str">
        <f t="shared" ca="1" si="143"/>
        <v/>
      </c>
      <c r="ADH36" s="36"/>
      <c r="ADI36" s="73"/>
      <c r="ADJ36" s="74"/>
    </row>
    <row r="37" spans="1:790" x14ac:dyDescent="0.45">
      <c r="A37" s="61" t="str">
        <f t="shared" ca="1" si="0"/>
        <v/>
      </c>
      <c r="B37" s="62"/>
      <c r="C37" s="62"/>
      <c r="D37" s="63"/>
      <c r="E37" s="36"/>
      <c r="F37" s="42" t="str">
        <f t="shared" ca="1" si="1"/>
        <v/>
      </c>
      <c r="G37" s="36"/>
      <c r="H37" s="73"/>
      <c r="I37" s="74"/>
      <c r="L37" s="61" t="str">
        <f t="shared" ca="1" si="2"/>
        <v/>
      </c>
      <c r="M37" s="62"/>
      <c r="N37" s="62"/>
      <c r="O37" s="63"/>
      <c r="P37" s="36"/>
      <c r="Q37" s="42" t="str">
        <f t="shared" ca="1" si="3"/>
        <v/>
      </c>
      <c r="R37" s="36"/>
      <c r="S37" s="73"/>
      <c r="T37" s="74"/>
      <c r="W37" s="61" t="str">
        <f t="shared" ca="1" si="4"/>
        <v/>
      </c>
      <c r="X37" s="62"/>
      <c r="Y37" s="62"/>
      <c r="Z37" s="63"/>
      <c r="AA37" s="36"/>
      <c r="AB37" s="42" t="str">
        <f t="shared" ca="1" si="5"/>
        <v/>
      </c>
      <c r="AC37" s="36"/>
      <c r="AD37" s="73"/>
      <c r="AE37" s="74"/>
      <c r="AH37" s="61" t="str">
        <f t="shared" ca="1" si="6"/>
        <v>弁当　先生</v>
      </c>
      <c r="AI37" s="62"/>
      <c r="AJ37" s="62"/>
      <c r="AK37" s="63"/>
      <c r="AL37" s="36"/>
      <c r="AM37" s="42">
        <f t="shared" ca="1" si="7"/>
        <v>12</v>
      </c>
      <c r="AN37" s="36"/>
      <c r="AO37" s="73"/>
      <c r="AP37" s="74"/>
      <c r="AS37" s="61" t="str">
        <f t="shared" ca="1" si="8"/>
        <v>弁当　検食</v>
      </c>
      <c r="AT37" s="62"/>
      <c r="AU37" s="62"/>
      <c r="AV37" s="63"/>
      <c r="AW37" s="36"/>
      <c r="AX37" s="42" t="str">
        <f t="shared" ca="1" si="9"/>
        <v>1</v>
      </c>
      <c r="AY37" s="36"/>
      <c r="AZ37" s="73"/>
      <c r="BA37" s="74"/>
      <c r="BD37" s="61" t="str">
        <f t="shared" ca="1" si="10"/>
        <v/>
      </c>
      <c r="BE37" s="62"/>
      <c r="BF37" s="62"/>
      <c r="BG37" s="63"/>
      <c r="BH37" s="36"/>
      <c r="BI37" s="42" t="str">
        <f t="shared" ca="1" si="11"/>
        <v/>
      </c>
      <c r="BJ37" s="36"/>
      <c r="BK37" s="73"/>
      <c r="BL37" s="74"/>
      <c r="BO37" s="61" t="str">
        <f t="shared" ca="1" si="12"/>
        <v/>
      </c>
      <c r="BP37" s="62"/>
      <c r="BQ37" s="62"/>
      <c r="BR37" s="63"/>
      <c r="BS37" s="36"/>
      <c r="BT37" s="42" t="str">
        <f t="shared" ca="1" si="13"/>
        <v/>
      </c>
      <c r="BU37" s="36"/>
      <c r="BV37" s="73"/>
      <c r="BW37" s="74"/>
      <c r="BZ37" s="61" t="str">
        <f t="shared" ca="1" si="14"/>
        <v/>
      </c>
      <c r="CA37" s="62"/>
      <c r="CB37" s="62"/>
      <c r="CC37" s="63"/>
      <c r="CD37" s="36"/>
      <c r="CE37" s="42" t="str">
        <f t="shared" ca="1" si="15"/>
        <v/>
      </c>
      <c r="CF37" s="36"/>
      <c r="CG37" s="73"/>
      <c r="CH37" s="74"/>
      <c r="CK37" s="61" t="str">
        <f t="shared" ca="1" si="16"/>
        <v/>
      </c>
      <c r="CL37" s="62"/>
      <c r="CM37" s="62"/>
      <c r="CN37" s="63"/>
      <c r="CO37" s="36"/>
      <c r="CP37" s="42" t="str">
        <f t="shared" ca="1" si="17"/>
        <v/>
      </c>
      <c r="CQ37" s="36"/>
      <c r="CR37" s="73"/>
      <c r="CS37" s="74"/>
      <c r="CV37" s="61" t="str">
        <f t="shared" ca="1" si="18"/>
        <v/>
      </c>
      <c r="CW37" s="62"/>
      <c r="CX37" s="62"/>
      <c r="CY37" s="63"/>
      <c r="CZ37" s="36"/>
      <c r="DA37" s="42" t="str">
        <f t="shared" ca="1" si="19"/>
        <v/>
      </c>
      <c r="DB37" s="36"/>
      <c r="DC37" s="73"/>
      <c r="DD37" s="74"/>
      <c r="DG37" s="61" t="str">
        <f t="shared" ca="1" si="20"/>
        <v/>
      </c>
      <c r="DH37" s="62"/>
      <c r="DI37" s="62"/>
      <c r="DJ37" s="63"/>
      <c r="DK37" s="36"/>
      <c r="DL37" s="42" t="str">
        <f t="shared" ca="1" si="21"/>
        <v/>
      </c>
      <c r="DM37" s="36"/>
      <c r="DN37" s="73"/>
      <c r="DO37" s="74"/>
      <c r="DR37" s="61" t="str">
        <f t="shared" ca="1" si="22"/>
        <v/>
      </c>
      <c r="DS37" s="62"/>
      <c r="DT37" s="62"/>
      <c r="DU37" s="63"/>
      <c r="DV37" s="36"/>
      <c r="DW37" s="42" t="str">
        <f t="shared" ca="1" si="23"/>
        <v/>
      </c>
      <c r="DX37" s="36"/>
      <c r="DY37" s="73"/>
      <c r="DZ37" s="74"/>
      <c r="EC37" s="61" t="str">
        <f t="shared" ca="1" si="24"/>
        <v/>
      </c>
      <c r="ED37" s="62"/>
      <c r="EE37" s="62"/>
      <c r="EF37" s="63"/>
      <c r="EG37" s="36"/>
      <c r="EH37" s="42" t="str">
        <f t="shared" ca="1" si="25"/>
        <v/>
      </c>
      <c r="EI37" s="36"/>
      <c r="EJ37" s="73"/>
      <c r="EK37" s="74"/>
      <c r="EN37" s="61" t="str">
        <f t="shared" ca="1" si="26"/>
        <v/>
      </c>
      <c r="EO37" s="62"/>
      <c r="EP37" s="62"/>
      <c r="EQ37" s="63"/>
      <c r="ER37" s="36"/>
      <c r="ES37" s="42" t="str">
        <f t="shared" ca="1" si="27"/>
        <v/>
      </c>
      <c r="ET37" s="36"/>
      <c r="EU37" s="73"/>
      <c r="EV37" s="74"/>
      <c r="EY37" s="61" t="str">
        <f t="shared" ca="1" si="28"/>
        <v/>
      </c>
      <c r="EZ37" s="62"/>
      <c r="FA37" s="62"/>
      <c r="FB37" s="63"/>
      <c r="FC37" s="36"/>
      <c r="FD37" s="42" t="str">
        <f t="shared" ca="1" si="29"/>
        <v/>
      </c>
      <c r="FE37" s="36"/>
      <c r="FF37" s="73"/>
      <c r="FG37" s="74"/>
      <c r="FJ37" s="61" t="str">
        <f t="shared" ca="1" si="30"/>
        <v/>
      </c>
      <c r="FK37" s="62"/>
      <c r="FL37" s="62"/>
      <c r="FM37" s="63"/>
      <c r="FN37" s="36"/>
      <c r="FO37" s="42" t="str">
        <f t="shared" ca="1" si="31"/>
        <v/>
      </c>
      <c r="FP37" s="36"/>
      <c r="FQ37" s="73"/>
      <c r="FR37" s="74"/>
      <c r="FU37" s="61" t="str">
        <f t="shared" ca="1" si="32"/>
        <v/>
      </c>
      <c r="FV37" s="62"/>
      <c r="FW37" s="62"/>
      <c r="FX37" s="63"/>
      <c r="FY37" s="36"/>
      <c r="FZ37" s="42" t="str">
        <f t="shared" ca="1" si="33"/>
        <v/>
      </c>
      <c r="GA37" s="36"/>
      <c r="GB37" s="73"/>
      <c r="GC37" s="74"/>
      <c r="GF37" s="61" t="str">
        <f t="shared" ca="1" si="34"/>
        <v/>
      </c>
      <c r="GG37" s="62"/>
      <c r="GH37" s="62"/>
      <c r="GI37" s="63"/>
      <c r="GJ37" s="36"/>
      <c r="GK37" s="42" t="str">
        <f t="shared" ca="1" si="35"/>
        <v/>
      </c>
      <c r="GL37" s="36"/>
      <c r="GM37" s="73"/>
      <c r="GN37" s="74"/>
      <c r="GQ37" s="61" t="str">
        <f t="shared" ca="1" si="36"/>
        <v/>
      </c>
      <c r="GR37" s="62"/>
      <c r="GS37" s="62"/>
      <c r="GT37" s="63"/>
      <c r="GU37" s="36"/>
      <c r="GV37" s="42" t="str">
        <f t="shared" ca="1" si="37"/>
        <v/>
      </c>
      <c r="GW37" s="36"/>
      <c r="GX37" s="73"/>
      <c r="GY37" s="74"/>
      <c r="HB37" s="61" t="str">
        <f t="shared" ca="1" si="38"/>
        <v/>
      </c>
      <c r="HC37" s="62"/>
      <c r="HD37" s="62"/>
      <c r="HE37" s="63"/>
      <c r="HF37" s="36"/>
      <c r="HG37" s="42" t="str">
        <f t="shared" ca="1" si="39"/>
        <v/>
      </c>
      <c r="HH37" s="36"/>
      <c r="HI37" s="73"/>
      <c r="HJ37" s="74"/>
      <c r="HM37" s="61" t="str">
        <f t="shared" ca="1" si="40"/>
        <v/>
      </c>
      <c r="HN37" s="62"/>
      <c r="HO37" s="62"/>
      <c r="HP37" s="63"/>
      <c r="HQ37" s="36"/>
      <c r="HR37" s="42" t="str">
        <f t="shared" ca="1" si="41"/>
        <v/>
      </c>
      <c r="HS37" s="36"/>
      <c r="HT37" s="73"/>
      <c r="HU37" s="74"/>
      <c r="HX37" s="61" t="str">
        <f t="shared" ca="1" si="42"/>
        <v/>
      </c>
      <c r="HY37" s="62"/>
      <c r="HZ37" s="62"/>
      <c r="IA37" s="63"/>
      <c r="IB37" s="36"/>
      <c r="IC37" s="42" t="str">
        <f t="shared" ca="1" si="43"/>
        <v/>
      </c>
      <c r="ID37" s="36"/>
      <c r="IE37" s="73"/>
      <c r="IF37" s="74"/>
      <c r="II37" s="61" t="str">
        <f t="shared" ca="1" si="44"/>
        <v/>
      </c>
      <c r="IJ37" s="62"/>
      <c r="IK37" s="62"/>
      <c r="IL37" s="63"/>
      <c r="IM37" s="36"/>
      <c r="IN37" s="42" t="str">
        <f t="shared" ca="1" si="45"/>
        <v/>
      </c>
      <c r="IO37" s="36"/>
      <c r="IP37" s="73"/>
      <c r="IQ37" s="74"/>
      <c r="IT37" s="61" t="str">
        <f t="shared" ca="1" si="46"/>
        <v/>
      </c>
      <c r="IU37" s="62"/>
      <c r="IV37" s="62"/>
      <c r="IW37" s="63"/>
      <c r="IX37" s="36"/>
      <c r="IY37" s="42" t="str">
        <f t="shared" ca="1" si="47"/>
        <v/>
      </c>
      <c r="IZ37" s="36"/>
      <c r="JA37" s="73"/>
      <c r="JB37" s="74"/>
      <c r="JE37" s="61" t="str">
        <f t="shared" ca="1" si="48"/>
        <v/>
      </c>
      <c r="JF37" s="62"/>
      <c r="JG37" s="62"/>
      <c r="JH37" s="63"/>
      <c r="JI37" s="36"/>
      <c r="JJ37" s="42" t="str">
        <f t="shared" ca="1" si="49"/>
        <v/>
      </c>
      <c r="JK37" s="36"/>
      <c r="JL37" s="73"/>
      <c r="JM37" s="74"/>
      <c r="JP37" s="61" t="str">
        <f t="shared" ca="1" si="50"/>
        <v/>
      </c>
      <c r="JQ37" s="62"/>
      <c r="JR37" s="62"/>
      <c r="JS37" s="63"/>
      <c r="JT37" s="36"/>
      <c r="JU37" s="42" t="str">
        <f t="shared" ca="1" si="51"/>
        <v/>
      </c>
      <c r="JV37" s="36"/>
      <c r="JW37" s="73"/>
      <c r="JX37" s="74"/>
      <c r="KA37" s="61" t="str">
        <f t="shared" ca="1" si="52"/>
        <v/>
      </c>
      <c r="KB37" s="62"/>
      <c r="KC37" s="62"/>
      <c r="KD37" s="63"/>
      <c r="KE37" s="36"/>
      <c r="KF37" s="42" t="str">
        <f t="shared" ca="1" si="53"/>
        <v/>
      </c>
      <c r="KG37" s="36"/>
      <c r="KH37" s="73"/>
      <c r="KI37" s="74"/>
      <c r="KL37" s="61" t="str">
        <f t="shared" ca="1" si="54"/>
        <v>弁当　先生</v>
      </c>
      <c r="KM37" s="62"/>
      <c r="KN37" s="62"/>
      <c r="KO37" s="63"/>
      <c r="KP37" s="36"/>
      <c r="KQ37" s="42">
        <f t="shared" ca="1" si="55"/>
        <v>3</v>
      </c>
      <c r="KR37" s="36"/>
      <c r="KS37" s="73"/>
      <c r="KT37" s="74"/>
      <c r="KW37" s="61" t="str">
        <f t="shared" ca="1" si="56"/>
        <v>弁当　先生</v>
      </c>
      <c r="KX37" s="62"/>
      <c r="KY37" s="62"/>
      <c r="KZ37" s="63"/>
      <c r="LA37" s="36"/>
      <c r="LB37" s="42">
        <f t="shared" ca="1" si="57"/>
        <v>12</v>
      </c>
      <c r="LC37" s="36"/>
      <c r="LD37" s="73"/>
      <c r="LE37" s="74"/>
      <c r="LH37" s="61" t="str">
        <f t="shared" ca="1" si="58"/>
        <v>弁当　先生</v>
      </c>
      <c r="LI37" s="62"/>
      <c r="LJ37" s="62"/>
      <c r="LK37" s="63"/>
      <c r="LL37" s="36"/>
      <c r="LM37" s="42">
        <f t="shared" ca="1" si="59"/>
        <v>14</v>
      </c>
      <c r="LN37" s="36"/>
      <c r="LO37" s="73"/>
      <c r="LP37" s="74"/>
      <c r="LS37" s="61" t="str">
        <f t="shared" ca="1" si="60"/>
        <v>弁当　予備</v>
      </c>
      <c r="LT37" s="62"/>
      <c r="LU37" s="62"/>
      <c r="LV37" s="63"/>
      <c r="LW37" s="36"/>
      <c r="LX37" s="42" t="str">
        <f t="shared" ca="1" si="61"/>
        <v>3</v>
      </c>
      <c r="LY37" s="36"/>
      <c r="LZ37" s="73"/>
      <c r="MA37" s="74"/>
      <c r="MD37" s="61" t="str">
        <f t="shared" ca="1" si="62"/>
        <v>弁当　先生</v>
      </c>
      <c r="ME37" s="62"/>
      <c r="MF37" s="62"/>
      <c r="MG37" s="63"/>
      <c r="MH37" s="36"/>
      <c r="MI37" s="42">
        <f t="shared" ca="1" si="63"/>
        <v>12</v>
      </c>
      <c r="MJ37" s="36"/>
      <c r="MK37" s="73"/>
      <c r="ML37" s="74"/>
      <c r="MO37" s="61" t="str">
        <f t="shared" ca="1" si="64"/>
        <v>弁当　予備</v>
      </c>
      <c r="MP37" s="62"/>
      <c r="MQ37" s="62"/>
      <c r="MR37" s="63"/>
      <c r="MS37" s="36"/>
      <c r="MT37" s="42" t="str">
        <f t="shared" ca="1" si="65"/>
        <v>2</v>
      </c>
      <c r="MU37" s="36"/>
      <c r="MV37" s="73"/>
      <c r="MW37" s="74"/>
      <c r="MZ37" s="61" t="str">
        <f t="shared" ca="1" si="66"/>
        <v/>
      </c>
      <c r="NA37" s="62"/>
      <c r="NB37" s="62"/>
      <c r="NC37" s="63"/>
      <c r="ND37" s="36"/>
      <c r="NE37" s="42" t="str">
        <f t="shared" ca="1" si="67"/>
        <v/>
      </c>
      <c r="NF37" s="36"/>
      <c r="NG37" s="73"/>
      <c r="NH37" s="74"/>
      <c r="NK37" s="61" t="str">
        <f t="shared" ca="1" si="68"/>
        <v/>
      </c>
      <c r="NL37" s="62"/>
      <c r="NM37" s="62"/>
      <c r="NN37" s="63"/>
      <c r="NO37" s="36"/>
      <c r="NP37" s="42" t="str">
        <f t="shared" ca="1" si="69"/>
        <v/>
      </c>
      <c r="NQ37" s="36"/>
      <c r="NR37" s="73"/>
      <c r="NS37" s="74"/>
      <c r="NV37" s="61" t="str">
        <f t="shared" ca="1" si="70"/>
        <v/>
      </c>
      <c r="NW37" s="62"/>
      <c r="NX37" s="62"/>
      <c r="NY37" s="63"/>
      <c r="NZ37" s="36"/>
      <c r="OA37" s="42" t="str">
        <f t="shared" ca="1" si="71"/>
        <v/>
      </c>
      <c r="OB37" s="36"/>
      <c r="OC37" s="73"/>
      <c r="OD37" s="74"/>
      <c r="OG37" s="61" t="str">
        <f t="shared" ca="1" si="72"/>
        <v>弁当　予備</v>
      </c>
      <c r="OH37" s="62"/>
      <c r="OI37" s="62"/>
      <c r="OJ37" s="63"/>
      <c r="OK37" s="36"/>
      <c r="OL37" s="42" t="str">
        <f t="shared" ca="1" si="73"/>
        <v>2</v>
      </c>
      <c r="OM37" s="36"/>
      <c r="ON37" s="73"/>
      <c r="OO37" s="74"/>
      <c r="OR37" s="61" t="str">
        <f t="shared" ca="1" si="74"/>
        <v/>
      </c>
      <c r="OS37" s="62"/>
      <c r="OT37" s="62"/>
      <c r="OU37" s="63"/>
      <c r="OV37" s="36"/>
      <c r="OW37" s="42" t="str">
        <f t="shared" ca="1" si="75"/>
        <v/>
      </c>
      <c r="OX37" s="36"/>
      <c r="OY37" s="73"/>
      <c r="OZ37" s="74"/>
      <c r="PC37" s="61" t="str">
        <f t="shared" ca="1" si="76"/>
        <v/>
      </c>
      <c r="PD37" s="62"/>
      <c r="PE37" s="62"/>
      <c r="PF37" s="63"/>
      <c r="PG37" s="36"/>
      <c r="PH37" s="42" t="str">
        <f t="shared" ca="1" si="77"/>
        <v/>
      </c>
      <c r="PI37" s="36"/>
      <c r="PJ37" s="73"/>
      <c r="PK37" s="74"/>
      <c r="PN37" s="61" t="str">
        <f t="shared" ca="1" si="78"/>
        <v/>
      </c>
      <c r="PO37" s="62"/>
      <c r="PP37" s="62"/>
      <c r="PQ37" s="63"/>
      <c r="PR37" s="36"/>
      <c r="PS37" s="42" t="str">
        <f t="shared" ca="1" si="79"/>
        <v/>
      </c>
      <c r="PT37" s="36"/>
      <c r="PU37" s="73"/>
      <c r="PV37" s="74"/>
      <c r="PY37" s="61" t="str">
        <f t="shared" ca="1" si="80"/>
        <v/>
      </c>
      <c r="PZ37" s="62"/>
      <c r="QA37" s="62"/>
      <c r="QB37" s="63"/>
      <c r="QC37" s="36"/>
      <c r="QD37" s="42" t="str">
        <f t="shared" ca="1" si="81"/>
        <v/>
      </c>
      <c r="QE37" s="36"/>
      <c r="QF37" s="73"/>
      <c r="QG37" s="74"/>
      <c r="QJ37" s="61" t="str">
        <f t="shared" ca="1" si="82"/>
        <v/>
      </c>
      <c r="QK37" s="62"/>
      <c r="QL37" s="62"/>
      <c r="QM37" s="63"/>
      <c r="QN37" s="36"/>
      <c r="QO37" s="42" t="str">
        <f t="shared" ca="1" si="83"/>
        <v/>
      </c>
      <c r="QP37" s="36"/>
      <c r="QQ37" s="73"/>
      <c r="QR37" s="74"/>
      <c r="QU37" s="61" t="str">
        <f t="shared" ca="1" si="84"/>
        <v/>
      </c>
      <c r="QV37" s="62"/>
      <c r="QW37" s="62"/>
      <c r="QX37" s="63"/>
      <c r="QY37" s="36"/>
      <c r="QZ37" s="42" t="str">
        <f t="shared" ca="1" si="85"/>
        <v/>
      </c>
      <c r="RA37" s="36"/>
      <c r="RB37" s="73"/>
      <c r="RC37" s="74"/>
      <c r="RF37" s="61" t="str">
        <f t="shared" ca="1" si="86"/>
        <v>弁当　園児　（ぺんぎん組）</v>
      </c>
      <c r="RG37" s="62"/>
      <c r="RH37" s="62"/>
      <c r="RI37" s="63"/>
      <c r="RJ37" s="36"/>
      <c r="RK37" s="42">
        <f t="shared" ca="1" si="87"/>
        <v>22</v>
      </c>
      <c r="RL37" s="36"/>
      <c r="RM37" s="73"/>
      <c r="RN37" s="74"/>
      <c r="RQ37" s="61" t="str">
        <f t="shared" ca="1" si="88"/>
        <v/>
      </c>
      <c r="RR37" s="62"/>
      <c r="RS37" s="62"/>
      <c r="RT37" s="63"/>
      <c r="RU37" s="36"/>
      <c r="RV37" s="42" t="str">
        <f t="shared" ca="1" si="89"/>
        <v/>
      </c>
      <c r="RW37" s="36"/>
      <c r="RX37" s="73"/>
      <c r="RY37" s="74"/>
      <c r="SB37" s="61" t="str">
        <f t="shared" ca="1" si="90"/>
        <v/>
      </c>
      <c r="SC37" s="62"/>
      <c r="SD37" s="62"/>
      <c r="SE37" s="63"/>
      <c r="SF37" s="36"/>
      <c r="SG37" s="42" t="str">
        <f t="shared" ca="1" si="91"/>
        <v/>
      </c>
      <c r="SH37" s="36"/>
      <c r="SI37" s="73"/>
      <c r="SJ37" s="74"/>
      <c r="SM37" s="61" t="str">
        <f t="shared" ca="1" si="92"/>
        <v/>
      </c>
      <c r="SN37" s="62"/>
      <c r="SO37" s="62"/>
      <c r="SP37" s="63"/>
      <c r="SQ37" s="36"/>
      <c r="SR37" s="42" t="str">
        <f t="shared" ca="1" si="93"/>
        <v/>
      </c>
      <c r="SS37" s="36"/>
      <c r="ST37" s="73"/>
      <c r="SU37" s="74"/>
      <c r="SX37" s="61" t="str">
        <f t="shared" ca="1" si="94"/>
        <v/>
      </c>
      <c r="SY37" s="62"/>
      <c r="SZ37" s="62"/>
      <c r="TA37" s="63"/>
      <c r="TB37" s="36"/>
      <c r="TC37" s="42" t="str">
        <f t="shared" ca="1" si="95"/>
        <v/>
      </c>
      <c r="TD37" s="36"/>
      <c r="TE37" s="73"/>
      <c r="TF37" s="74"/>
      <c r="TI37" s="61" t="str">
        <f t="shared" ca="1" si="96"/>
        <v/>
      </c>
      <c r="TJ37" s="62"/>
      <c r="TK37" s="62"/>
      <c r="TL37" s="63"/>
      <c r="TM37" s="36"/>
      <c r="TN37" s="42" t="str">
        <f t="shared" ca="1" si="97"/>
        <v/>
      </c>
      <c r="TO37" s="36"/>
      <c r="TP37" s="73"/>
      <c r="TQ37" s="74"/>
      <c r="TT37" s="61" t="str">
        <f t="shared" ca="1" si="98"/>
        <v/>
      </c>
      <c r="TU37" s="62"/>
      <c r="TV37" s="62"/>
      <c r="TW37" s="63"/>
      <c r="TX37" s="36"/>
      <c r="TY37" s="42" t="str">
        <f t="shared" ca="1" si="99"/>
        <v/>
      </c>
      <c r="TZ37" s="36"/>
      <c r="UA37" s="73"/>
      <c r="UB37" s="74"/>
      <c r="UE37" s="61" t="str">
        <f t="shared" ca="1" si="100"/>
        <v/>
      </c>
      <c r="UF37" s="62"/>
      <c r="UG37" s="62"/>
      <c r="UH37" s="63"/>
      <c r="UI37" s="36"/>
      <c r="UJ37" s="42" t="str">
        <f t="shared" ca="1" si="101"/>
        <v/>
      </c>
      <c r="UK37" s="36"/>
      <c r="UL37" s="73"/>
      <c r="UM37" s="74"/>
      <c r="UP37" s="61" t="str">
        <f t="shared" ca="1" si="102"/>
        <v/>
      </c>
      <c r="UQ37" s="62"/>
      <c r="UR37" s="62"/>
      <c r="US37" s="63"/>
      <c r="UT37" s="36"/>
      <c r="UU37" s="42" t="str">
        <f t="shared" ca="1" si="103"/>
        <v/>
      </c>
      <c r="UV37" s="36"/>
      <c r="UW37" s="73"/>
      <c r="UX37" s="74"/>
      <c r="VA37" s="61" t="str">
        <f t="shared" ca="1" si="104"/>
        <v/>
      </c>
      <c r="VB37" s="62"/>
      <c r="VC37" s="62"/>
      <c r="VD37" s="63"/>
      <c r="VE37" s="36"/>
      <c r="VF37" s="42" t="str">
        <f t="shared" ca="1" si="105"/>
        <v/>
      </c>
      <c r="VG37" s="36"/>
      <c r="VH37" s="73"/>
      <c r="VI37" s="74"/>
      <c r="VL37" s="61" t="str">
        <f t="shared" ca="1" si="106"/>
        <v/>
      </c>
      <c r="VM37" s="62"/>
      <c r="VN37" s="62"/>
      <c r="VO37" s="63"/>
      <c r="VP37" s="36"/>
      <c r="VQ37" s="42" t="str">
        <f t="shared" ca="1" si="107"/>
        <v/>
      </c>
      <c r="VR37" s="36"/>
      <c r="VS37" s="73"/>
      <c r="VT37" s="74"/>
      <c r="VW37" s="61" t="str">
        <f t="shared" ca="1" si="108"/>
        <v/>
      </c>
      <c r="VX37" s="62"/>
      <c r="VY37" s="62"/>
      <c r="VZ37" s="63"/>
      <c r="WA37" s="36"/>
      <c r="WB37" s="42" t="str">
        <f t="shared" ca="1" si="109"/>
        <v/>
      </c>
      <c r="WC37" s="36"/>
      <c r="WD37" s="73"/>
      <c r="WE37" s="74"/>
      <c r="WH37" s="61" t="str">
        <f t="shared" ca="1" si="110"/>
        <v/>
      </c>
      <c r="WI37" s="62"/>
      <c r="WJ37" s="62"/>
      <c r="WK37" s="63"/>
      <c r="WL37" s="36"/>
      <c r="WM37" s="42" t="str">
        <f t="shared" ca="1" si="111"/>
        <v/>
      </c>
      <c r="WN37" s="36"/>
      <c r="WO37" s="73"/>
      <c r="WP37" s="74"/>
      <c r="WS37" s="61" t="str">
        <f t="shared" ca="1" si="112"/>
        <v/>
      </c>
      <c r="WT37" s="62"/>
      <c r="WU37" s="62"/>
      <c r="WV37" s="63"/>
      <c r="WW37" s="36"/>
      <c r="WX37" s="42" t="str">
        <f t="shared" ca="1" si="113"/>
        <v/>
      </c>
      <c r="WY37" s="36"/>
      <c r="WZ37" s="73"/>
      <c r="XA37" s="74"/>
      <c r="XD37" s="61" t="str">
        <f t="shared" ca="1" si="114"/>
        <v/>
      </c>
      <c r="XE37" s="62"/>
      <c r="XF37" s="62"/>
      <c r="XG37" s="63"/>
      <c r="XH37" s="36"/>
      <c r="XI37" s="42" t="str">
        <f t="shared" ca="1" si="115"/>
        <v/>
      </c>
      <c r="XJ37" s="36"/>
      <c r="XK37" s="73"/>
      <c r="XL37" s="74"/>
      <c r="XO37" s="61" t="str">
        <f t="shared" ca="1" si="116"/>
        <v/>
      </c>
      <c r="XP37" s="62"/>
      <c r="XQ37" s="62"/>
      <c r="XR37" s="63"/>
      <c r="XS37" s="36"/>
      <c r="XT37" s="42" t="str">
        <f t="shared" ca="1" si="117"/>
        <v/>
      </c>
      <c r="XU37" s="36"/>
      <c r="XV37" s="73"/>
      <c r="XW37" s="74"/>
      <c r="XZ37" s="61" t="str">
        <f t="shared" ca="1" si="118"/>
        <v/>
      </c>
      <c r="YA37" s="62"/>
      <c r="YB37" s="62"/>
      <c r="YC37" s="63"/>
      <c r="YD37" s="36"/>
      <c r="YE37" s="42" t="str">
        <f t="shared" ca="1" si="119"/>
        <v/>
      </c>
      <c r="YF37" s="36"/>
      <c r="YG37" s="73"/>
      <c r="YH37" s="74"/>
      <c r="YK37" s="61" t="str">
        <f t="shared" ca="1" si="120"/>
        <v/>
      </c>
      <c r="YL37" s="62"/>
      <c r="YM37" s="62"/>
      <c r="YN37" s="63"/>
      <c r="YO37" s="36"/>
      <c r="YP37" s="42" t="str">
        <f t="shared" ca="1" si="121"/>
        <v/>
      </c>
      <c r="YQ37" s="36"/>
      <c r="YR37" s="73"/>
      <c r="YS37" s="74"/>
      <c r="YV37" s="61" t="str">
        <f t="shared" ca="1" si="122"/>
        <v/>
      </c>
      <c r="YW37" s="62"/>
      <c r="YX37" s="62"/>
      <c r="YY37" s="63"/>
      <c r="YZ37" s="36"/>
      <c r="ZA37" s="42" t="str">
        <f t="shared" ca="1" si="123"/>
        <v/>
      </c>
      <c r="ZB37" s="36"/>
      <c r="ZC37" s="73"/>
      <c r="ZD37" s="74"/>
      <c r="ZG37" s="61" t="str">
        <f t="shared" ca="1" si="124"/>
        <v/>
      </c>
      <c r="ZH37" s="62"/>
      <c r="ZI37" s="62"/>
      <c r="ZJ37" s="63"/>
      <c r="ZK37" s="36"/>
      <c r="ZL37" s="42" t="str">
        <f t="shared" ca="1" si="125"/>
        <v/>
      </c>
      <c r="ZM37" s="36"/>
      <c r="ZN37" s="73"/>
      <c r="ZO37" s="74"/>
      <c r="ZR37" s="61" t="str">
        <f t="shared" ca="1" si="126"/>
        <v/>
      </c>
      <c r="ZS37" s="62"/>
      <c r="ZT37" s="62"/>
      <c r="ZU37" s="63"/>
      <c r="ZV37" s="36"/>
      <c r="ZW37" s="42" t="str">
        <f t="shared" ca="1" si="127"/>
        <v/>
      </c>
      <c r="ZX37" s="36"/>
      <c r="ZY37" s="73"/>
      <c r="ZZ37" s="74"/>
      <c r="AAC37" s="61" t="str">
        <f t="shared" ca="1" si="128"/>
        <v/>
      </c>
      <c r="AAD37" s="62"/>
      <c r="AAE37" s="62"/>
      <c r="AAF37" s="63"/>
      <c r="AAG37" s="36"/>
      <c r="AAH37" s="42" t="str">
        <f t="shared" ca="1" si="129"/>
        <v/>
      </c>
      <c r="AAI37" s="36"/>
      <c r="AAJ37" s="73"/>
      <c r="AAK37" s="74"/>
      <c r="AAN37" s="61" t="str">
        <f t="shared" ca="1" si="130"/>
        <v/>
      </c>
      <c r="AAO37" s="62"/>
      <c r="AAP37" s="62"/>
      <c r="AAQ37" s="63"/>
      <c r="AAR37" s="36"/>
      <c r="AAS37" s="42" t="str">
        <f t="shared" ca="1" si="131"/>
        <v/>
      </c>
      <c r="AAT37" s="36"/>
      <c r="AAU37" s="73"/>
      <c r="AAV37" s="74"/>
      <c r="AAY37" s="61" t="str">
        <f t="shared" ca="1" si="132"/>
        <v/>
      </c>
      <c r="AAZ37" s="62"/>
      <c r="ABA37" s="62"/>
      <c r="ABB37" s="63"/>
      <c r="ABC37" s="36"/>
      <c r="ABD37" s="42" t="str">
        <f t="shared" ca="1" si="133"/>
        <v/>
      </c>
      <c r="ABE37" s="36"/>
      <c r="ABF37" s="73"/>
      <c r="ABG37" s="74"/>
      <c r="ABJ37" s="61" t="str">
        <f t="shared" ca="1" si="134"/>
        <v/>
      </c>
      <c r="ABK37" s="62"/>
      <c r="ABL37" s="62"/>
      <c r="ABM37" s="63"/>
      <c r="ABN37" s="36"/>
      <c r="ABO37" s="42" t="str">
        <f t="shared" ca="1" si="135"/>
        <v/>
      </c>
      <c r="ABP37" s="36"/>
      <c r="ABQ37" s="73"/>
      <c r="ABR37" s="74"/>
      <c r="ABU37" s="61" t="str">
        <f t="shared" ca="1" si="136"/>
        <v/>
      </c>
      <c r="ABV37" s="62"/>
      <c r="ABW37" s="62"/>
      <c r="ABX37" s="63"/>
      <c r="ABY37" s="36"/>
      <c r="ABZ37" s="42" t="str">
        <f t="shared" ca="1" si="137"/>
        <v/>
      </c>
      <c r="ACA37" s="36"/>
      <c r="ACB37" s="73"/>
      <c r="ACC37" s="74"/>
      <c r="ACF37" s="61" t="str">
        <f t="shared" ca="1" si="138"/>
        <v/>
      </c>
      <c r="ACG37" s="62"/>
      <c r="ACH37" s="62"/>
      <c r="ACI37" s="63"/>
      <c r="ACJ37" s="36"/>
      <c r="ACK37" s="42" t="str">
        <f t="shared" ca="1" si="139"/>
        <v/>
      </c>
      <c r="ACL37" s="36"/>
      <c r="ACM37" s="73"/>
      <c r="ACN37" s="74"/>
      <c r="ACQ37" s="61" t="str">
        <f t="shared" ca="1" si="140"/>
        <v/>
      </c>
      <c r="ACR37" s="62"/>
      <c r="ACS37" s="62"/>
      <c r="ACT37" s="63"/>
      <c r="ACU37" s="36"/>
      <c r="ACV37" s="42" t="str">
        <f t="shared" ca="1" si="141"/>
        <v/>
      </c>
      <c r="ACW37" s="36"/>
      <c r="ACX37" s="73"/>
      <c r="ACY37" s="74"/>
      <c r="ADB37" s="61" t="str">
        <f t="shared" ca="1" si="142"/>
        <v/>
      </c>
      <c r="ADC37" s="62"/>
      <c r="ADD37" s="62"/>
      <c r="ADE37" s="63"/>
      <c r="ADF37" s="36"/>
      <c r="ADG37" s="42" t="str">
        <f t="shared" ca="1" si="143"/>
        <v/>
      </c>
      <c r="ADH37" s="36"/>
      <c r="ADI37" s="73"/>
      <c r="ADJ37" s="74"/>
    </row>
    <row r="38" spans="1:790" x14ac:dyDescent="0.45">
      <c r="A38" s="61" t="str">
        <f t="shared" ca="1" si="0"/>
        <v/>
      </c>
      <c r="B38" s="62"/>
      <c r="C38" s="62"/>
      <c r="D38" s="63"/>
      <c r="E38" s="36"/>
      <c r="F38" s="42" t="str">
        <f t="shared" ca="1" si="1"/>
        <v/>
      </c>
      <c r="G38" s="36"/>
      <c r="H38" s="73"/>
      <c r="I38" s="74"/>
      <c r="L38" s="61" t="str">
        <f t="shared" ca="1" si="2"/>
        <v/>
      </c>
      <c r="M38" s="62"/>
      <c r="N38" s="62"/>
      <c r="O38" s="63"/>
      <c r="P38" s="36"/>
      <c r="Q38" s="42" t="str">
        <f t="shared" ca="1" si="3"/>
        <v/>
      </c>
      <c r="R38" s="36"/>
      <c r="S38" s="73"/>
      <c r="T38" s="74"/>
      <c r="W38" s="61" t="str">
        <f t="shared" ca="1" si="4"/>
        <v/>
      </c>
      <c r="X38" s="62"/>
      <c r="Y38" s="62"/>
      <c r="Z38" s="63"/>
      <c r="AA38" s="36"/>
      <c r="AB38" s="42" t="str">
        <f t="shared" ca="1" si="5"/>
        <v/>
      </c>
      <c r="AC38" s="36"/>
      <c r="AD38" s="73"/>
      <c r="AE38" s="74"/>
      <c r="AH38" s="61" t="str">
        <f t="shared" ca="1" si="6"/>
        <v>ピクニック　先生</v>
      </c>
      <c r="AI38" s="62"/>
      <c r="AJ38" s="62"/>
      <c r="AK38" s="63"/>
      <c r="AL38" s="36"/>
      <c r="AM38" s="42">
        <f t="shared" ca="1" si="7"/>
        <v>2</v>
      </c>
      <c r="AN38" s="36"/>
      <c r="AO38" s="73"/>
      <c r="AP38" s="74"/>
      <c r="AS38" s="61" t="str">
        <f t="shared" ca="1" si="8"/>
        <v>ピクニック　検食</v>
      </c>
      <c r="AT38" s="62"/>
      <c r="AU38" s="62"/>
      <c r="AV38" s="63"/>
      <c r="AW38" s="36"/>
      <c r="AX38" s="42" t="str">
        <f t="shared" ca="1" si="9"/>
        <v>1</v>
      </c>
      <c r="AY38" s="36"/>
      <c r="AZ38" s="73"/>
      <c r="BA38" s="74"/>
      <c r="BD38" s="61" t="str">
        <f t="shared" ca="1" si="10"/>
        <v/>
      </c>
      <c r="BE38" s="62"/>
      <c r="BF38" s="62"/>
      <c r="BG38" s="63"/>
      <c r="BH38" s="36"/>
      <c r="BI38" s="42" t="str">
        <f t="shared" ca="1" si="11"/>
        <v/>
      </c>
      <c r="BJ38" s="36"/>
      <c r="BK38" s="73"/>
      <c r="BL38" s="74"/>
      <c r="BO38" s="61" t="str">
        <f t="shared" ca="1" si="12"/>
        <v/>
      </c>
      <c r="BP38" s="62"/>
      <c r="BQ38" s="62"/>
      <c r="BR38" s="63"/>
      <c r="BS38" s="36"/>
      <c r="BT38" s="42" t="str">
        <f t="shared" ca="1" si="13"/>
        <v/>
      </c>
      <c r="BU38" s="36"/>
      <c r="BV38" s="73"/>
      <c r="BW38" s="74"/>
      <c r="BZ38" s="61" t="str">
        <f t="shared" ca="1" si="14"/>
        <v/>
      </c>
      <c r="CA38" s="62"/>
      <c r="CB38" s="62"/>
      <c r="CC38" s="63"/>
      <c r="CD38" s="36"/>
      <c r="CE38" s="42" t="str">
        <f t="shared" ca="1" si="15"/>
        <v/>
      </c>
      <c r="CF38" s="36"/>
      <c r="CG38" s="73"/>
      <c r="CH38" s="74"/>
      <c r="CK38" s="61" t="str">
        <f t="shared" ca="1" si="16"/>
        <v/>
      </c>
      <c r="CL38" s="62"/>
      <c r="CM38" s="62"/>
      <c r="CN38" s="63"/>
      <c r="CO38" s="36"/>
      <c r="CP38" s="42" t="str">
        <f t="shared" ca="1" si="17"/>
        <v/>
      </c>
      <c r="CQ38" s="36"/>
      <c r="CR38" s="73"/>
      <c r="CS38" s="74"/>
      <c r="CV38" s="61" t="str">
        <f t="shared" ca="1" si="18"/>
        <v/>
      </c>
      <c r="CW38" s="62"/>
      <c r="CX38" s="62"/>
      <c r="CY38" s="63"/>
      <c r="CZ38" s="36"/>
      <c r="DA38" s="42" t="str">
        <f t="shared" ca="1" si="19"/>
        <v/>
      </c>
      <c r="DB38" s="36"/>
      <c r="DC38" s="73"/>
      <c r="DD38" s="74"/>
      <c r="DG38" s="61" t="str">
        <f t="shared" ca="1" si="20"/>
        <v/>
      </c>
      <c r="DH38" s="62"/>
      <c r="DI38" s="62"/>
      <c r="DJ38" s="63"/>
      <c r="DK38" s="36"/>
      <c r="DL38" s="42" t="str">
        <f t="shared" ca="1" si="21"/>
        <v/>
      </c>
      <c r="DM38" s="36"/>
      <c r="DN38" s="73"/>
      <c r="DO38" s="74"/>
      <c r="DR38" s="61" t="str">
        <f t="shared" ca="1" si="22"/>
        <v/>
      </c>
      <c r="DS38" s="62"/>
      <c r="DT38" s="62"/>
      <c r="DU38" s="63"/>
      <c r="DV38" s="36"/>
      <c r="DW38" s="42" t="str">
        <f t="shared" ca="1" si="23"/>
        <v/>
      </c>
      <c r="DX38" s="36"/>
      <c r="DY38" s="73"/>
      <c r="DZ38" s="74"/>
      <c r="EC38" s="61" t="str">
        <f t="shared" ca="1" si="24"/>
        <v/>
      </c>
      <c r="ED38" s="62"/>
      <c r="EE38" s="62"/>
      <c r="EF38" s="63"/>
      <c r="EG38" s="36"/>
      <c r="EH38" s="42" t="str">
        <f t="shared" ca="1" si="25"/>
        <v/>
      </c>
      <c r="EI38" s="36"/>
      <c r="EJ38" s="73"/>
      <c r="EK38" s="74"/>
      <c r="EN38" s="61" t="str">
        <f t="shared" ca="1" si="26"/>
        <v/>
      </c>
      <c r="EO38" s="62"/>
      <c r="EP38" s="62"/>
      <c r="EQ38" s="63"/>
      <c r="ER38" s="36"/>
      <c r="ES38" s="42" t="str">
        <f t="shared" ca="1" si="27"/>
        <v/>
      </c>
      <c r="ET38" s="36"/>
      <c r="EU38" s="73"/>
      <c r="EV38" s="74"/>
      <c r="EY38" s="61" t="str">
        <f t="shared" ca="1" si="28"/>
        <v/>
      </c>
      <c r="EZ38" s="62"/>
      <c r="FA38" s="62"/>
      <c r="FB38" s="63"/>
      <c r="FC38" s="36"/>
      <c r="FD38" s="42" t="str">
        <f t="shared" ca="1" si="29"/>
        <v/>
      </c>
      <c r="FE38" s="36"/>
      <c r="FF38" s="73"/>
      <c r="FG38" s="74"/>
      <c r="FJ38" s="61" t="str">
        <f t="shared" ca="1" si="30"/>
        <v/>
      </c>
      <c r="FK38" s="62"/>
      <c r="FL38" s="62"/>
      <c r="FM38" s="63"/>
      <c r="FN38" s="36"/>
      <c r="FO38" s="42" t="str">
        <f t="shared" ca="1" si="31"/>
        <v/>
      </c>
      <c r="FP38" s="36"/>
      <c r="FQ38" s="73"/>
      <c r="FR38" s="74"/>
      <c r="FU38" s="61" t="str">
        <f t="shared" ca="1" si="32"/>
        <v/>
      </c>
      <c r="FV38" s="62"/>
      <c r="FW38" s="62"/>
      <c r="FX38" s="63"/>
      <c r="FY38" s="36"/>
      <c r="FZ38" s="42" t="str">
        <f t="shared" ca="1" si="33"/>
        <v/>
      </c>
      <c r="GA38" s="36"/>
      <c r="GB38" s="73"/>
      <c r="GC38" s="74"/>
      <c r="GF38" s="61" t="str">
        <f t="shared" ca="1" si="34"/>
        <v/>
      </c>
      <c r="GG38" s="62"/>
      <c r="GH38" s="62"/>
      <c r="GI38" s="63"/>
      <c r="GJ38" s="36"/>
      <c r="GK38" s="42" t="str">
        <f t="shared" ca="1" si="35"/>
        <v/>
      </c>
      <c r="GL38" s="36"/>
      <c r="GM38" s="73"/>
      <c r="GN38" s="74"/>
      <c r="GQ38" s="61" t="str">
        <f t="shared" ca="1" si="36"/>
        <v/>
      </c>
      <c r="GR38" s="62"/>
      <c r="GS38" s="62"/>
      <c r="GT38" s="63"/>
      <c r="GU38" s="36"/>
      <c r="GV38" s="42" t="str">
        <f t="shared" ca="1" si="37"/>
        <v/>
      </c>
      <c r="GW38" s="36"/>
      <c r="GX38" s="73"/>
      <c r="GY38" s="74"/>
      <c r="HB38" s="61" t="str">
        <f t="shared" ca="1" si="38"/>
        <v/>
      </c>
      <c r="HC38" s="62"/>
      <c r="HD38" s="62"/>
      <c r="HE38" s="63"/>
      <c r="HF38" s="36"/>
      <c r="HG38" s="42" t="str">
        <f t="shared" ca="1" si="39"/>
        <v/>
      </c>
      <c r="HH38" s="36"/>
      <c r="HI38" s="73"/>
      <c r="HJ38" s="74"/>
      <c r="HM38" s="61" t="str">
        <f t="shared" ca="1" si="40"/>
        <v/>
      </c>
      <c r="HN38" s="62"/>
      <c r="HO38" s="62"/>
      <c r="HP38" s="63"/>
      <c r="HQ38" s="36"/>
      <c r="HR38" s="42" t="str">
        <f t="shared" ca="1" si="41"/>
        <v/>
      </c>
      <c r="HS38" s="36"/>
      <c r="HT38" s="73"/>
      <c r="HU38" s="74"/>
      <c r="HX38" s="61" t="str">
        <f t="shared" ca="1" si="42"/>
        <v/>
      </c>
      <c r="HY38" s="62"/>
      <c r="HZ38" s="62"/>
      <c r="IA38" s="63"/>
      <c r="IB38" s="36"/>
      <c r="IC38" s="42" t="str">
        <f t="shared" ca="1" si="43"/>
        <v/>
      </c>
      <c r="ID38" s="36"/>
      <c r="IE38" s="73"/>
      <c r="IF38" s="74"/>
      <c r="II38" s="61" t="str">
        <f t="shared" ca="1" si="44"/>
        <v/>
      </c>
      <c r="IJ38" s="62"/>
      <c r="IK38" s="62"/>
      <c r="IL38" s="63"/>
      <c r="IM38" s="36"/>
      <c r="IN38" s="42" t="str">
        <f t="shared" ca="1" si="45"/>
        <v/>
      </c>
      <c r="IO38" s="36"/>
      <c r="IP38" s="73"/>
      <c r="IQ38" s="74"/>
      <c r="IT38" s="61" t="str">
        <f t="shared" ca="1" si="46"/>
        <v/>
      </c>
      <c r="IU38" s="62"/>
      <c r="IV38" s="62"/>
      <c r="IW38" s="63"/>
      <c r="IX38" s="36"/>
      <c r="IY38" s="42" t="str">
        <f t="shared" ca="1" si="47"/>
        <v/>
      </c>
      <c r="IZ38" s="36"/>
      <c r="JA38" s="73"/>
      <c r="JB38" s="74"/>
      <c r="JE38" s="61" t="str">
        <f t="shared" ca="1" si="48"/>
        <v/>
      </c>
      <c r="JF38" s="62"/>
      <c r="JG38" s="62"/>
      <c r="JH38" s="63"/>
      <c r="JI38" s="36"/>
      <c r="JJ38" s="42" t="str">
        <f t="shared" ca="1" si="49"/>
        <v/>
      </c>
      <c r="JK38" s="36"/>
      <c r="JL38" s="73"/>
      <c r="JM38" s="74"/>
      <c r="JP38" s="61" t="str">
        <f t="shared" ca="1" si="50"/>
        <v/>
      </c>
      <c r="JQ38" s="62"/>
      <c r="JR38" s="62"/>
      <c r="JS38" s="63"/>
      <c r="JT38" s="36"/>
      <c r="JU38" s="42" t="str">
        <f t="shared" ca="1" si="51"/>
        <v/>
      </c>
      <c r="JV38" s="36"/>
      <c r="JW38" s="73"/>
      <c r="JX38" s="74"/>
      <c r="KA38" s="61" t="str">
        <f t="shared" ca="1" si="52"/>
        <v/>
      </c>
      <c r="KB38" s="62"/>
      <c r="KC38" s="62"/>
      <c r="KD38" s="63"/>
      <c r="KE38" s="36"/>
      <c r="KF38" s="42" t="str">
        <f t="shared" ca="1" si="53"/>
        <v/>
      </c>
      <c r="KG38" s="36"/>
      <c r="KH38" s="73"/>
      <c r="KI38" s="74"/>
      <c r="KL38" s="61" t="str">
        <f t="shared" ca="1" si="54"/>
        <v>弁当　先生</v>
      </c>
      <c r="KM38" s="62"/>
      <c r="KN38" s="62"/>
      <c r="KO38" s="63"/>
      <c r="KP38" s="36"/>
      <c r="KQ38" s="42">
        <f t="shared" ca="1" si="55"/>
        <v>15</v>
      </c>
      <c r="KR38" s="36"/>
      <c r="KS38" s="73"/>
      <c r="KT38" s="74"/>
      <c r="KW38" s="61" t="str">
        <f t="shared" ca="1" si="56"/>
        <v/>
      </c>
      <c r="KX38" s="62"/>
      <c r="KY38" s="62"/>
      <c r="KZ38" s="63"/>
      <c r="LA38" s="36"/>
      <c r="LB38" s="42" t="str">
        <f t="shared" ca="1" si="57"/>
        <v/>
      </c>
      <c r="LC38" s="36"/>
      <c r="LD38" s="73"/>
      <c r="LE38" s="74"/>
      <c r="LH38" s="61" t="str">
        <f t="shared" ca="1" si="58"/>
        <v>弁当　予備</v>
      </c>
      <c r="LI38" s="62"/>
      <c r="LJ38" s="62"/>
      <c r="LK38" s="63"/>
      <c r="LL38" s="36"/>
      <c r="LM38" s="42" t="str">
        <f t="shared" ca="1" si="59"/>
        <v>3</v>
      </c>
      <c r="LN38" s="36"/>
      <c r="LO38" s="73"/>
      <c r="LP38" s="74"/>
      <c r="LS38" s="61" t="str">
        <f t="shared" ca="1" si="60"/>
        <v/>
      </c>
      <c r="LT38" s="62"/>
      <c r="LU38" s="62"/>
      <c r="LV38" s="63"/>
      <c r="LW38" s="36"/>
      <c r="LX38" s="42" t="str">
        <f t="shared" ca="1" si="61"/>
        <v/>
      </c>
      <c r="LY38" s="36"/>
      <c r="LZ38" s="73"/>
      <c r="MA38" s="74"/>
      <c r="MD38" s="61" t="str">
        <f t="shared" ca="1" si="62"/>
        <v>弁当　予備</v>
      </c>
      <c r="ME38" s="62"/>
      <c r="MF38" s="62"/>
      <c r="MG38" s="63"/>
      <c r="MH38" s="36"/>
      <c r="MI38" s="42" t="str">
        <f t="shared" ca="1" si="63"/>
        <v>3</v>
      </c>
      <c r="MJ38" s="36"/>
      <c r="MK38" s="73"/>
      <c r="ML38" s="74"/>
      <c r="MO38" s="61" t="str">
        <f t="shared" ca="1" si="64"/>
        <v/>
      </c>
      <c r="MP38" s="62"/>
      <c r="MQ38" s="62"/>
      <c r="MR38" s="63"/>
      <c r="MS38" s="36"/>
      <c r="MT38" s="42" t="str">
        <f t="shared" ca="1" si="65"/>
        <v/>
      </c>
      <c r="MU38" s="36"/>
      <c r="MV38" s="73"/>
      <c r="MW38" s="74"/>
      <c r="MZ38" s="61" t="str">
        <f t="shared" ca="1" si="66"/>
        <v/>
      </c>
      <c r="NA38" s="62"/>
      <c r="NB38" s="62"/>
      <c r="NC38" s="63"/>
      <c r="ND38" s="36"/>
      <c r="NE38" s="42" t="str">
        <f t="shared" ca="1" si="67"/>
        <v/>
      </c>
      <c r="NF38" s="36"/>
      <c r="NG38" s="73"/>
      <c r="NH38" s="74"/>
      <c r="NK38" s="61" t="str">
        <f t="shared" ca="1" si="68"/>
        <v/>
      </c>
      <c r="NL38" s="62"/>
      <c r="NM38" s="62"/>
      <c r="NN38" s="63"/>
      <c r="NO38" s="36"/>
      <c r="NP38" s="42" t="str">
        <f t="shared" ca="1" si="69"/>
        <v/>
      </c>
      <c r="NQ38" s="36"/>
      <c r="NR38" s="73"/>
      <c r="NS38" s="74"/>
      <c r="NV38" s="61" t="str">
        <f t="shared" ca="1" si="70"/>
        <v/>
      </c>
      <c r="NW38" s="62"/>
      <c r="NX38" s="62"/>
      <c r="NY38" s="63"/>
      <c r="NZ38" s="36"/>
      <c r="OA38" s="42" t="str">
        <f t="shared" ca="1" si="71"/>
        <v/>
      </c>
      <c r="OB38" s="36"/>
      <c r="OC38" s="73"/>
      <c r="OD38" s="74"/>
      <c r="OG38" s="61" t="str">
        <f t="shared" ca="1" si="72"/>
        <v/>
      </c>
      <c r="OH38" s="62"/>
      <c r="OI38" s="62"/>
      <c r="OJ38" s="63"/>
      <c r="OK38" s="36"/>
      <c r="OL38" s="42" t="str">
        <f t="shared" ca="1" si="73"/>
        <v/>
      </c>
      <c r="OM38" s="36"/>
      <c r="ON38" s="73"/>
      <c r="OO38" s="74"/>
      <c r="OR38" s="61" t="str">
        <f t="shared" ca="1" si="74"/>
        <v/>
      </c>
      <c r="OS38" s="62"/>
      <c r="OT38" s="62"/>
      <c r="OU38" s="63"/>
      <c r="OV38" s="36"/>
      <c r="OW38" s="42" t="str">
        <f t="shared" ca="1" si="75"/>
        <v/>
      </c>
      <c r="OX38" s="36"/>
      <c r="OY38" s="73"/>
      <c r="OZ38" s="74"/>
      <c r="PC38" s="61" t="str">
        <f t="shared" ca="1" si="76"/>
        <v/>
      </c>
      <c r="PD38" s="62"/>
      <c r="PE38" s="62"/>
      <c r="PF38" s="63"/>
      <c r="PG38" s="36"/>
      <c r="PH38" s="42" t="str">
        <f t="shared" ca="1" si="77"/>
        <v/>
      </c>
      <c r="PI38" s="36"/>
      <c r="PJ38" s="73"/>
      <c r="PK38" s="74"/>
      <c r="PN38" s="61" t="str">
        <f t="shared" ca="1" si="78"/>
        <v/>
      </c>
      <c r="PO38" s="62"/>
      <c r="PP38" s="62"/>
      <c r="PQ38" s="63"/>
      <c r="PR38" s="36"/>
      <c r="PS38" s="42" t="str">
        <f t="shared" ca="1" si="79"/>
        <v/>
      </c>
      <c r="PT38" s="36"/>
      <c r="PU38" s="73"/>
      <c r="PV38" s="74"/>
      <c r="PY38" s="61" t="str">
        <f t="shared" ca="1" si="80"/>
        <v/>
      </c>
      <c r="PZ38" s="62"/>
      <c r="QA38" s="62"/>
      <c r="QB38" s="63"/>
      <c r="QC38" s="36"/>
      <c r="QD38" s="42" t="str">
        <f t="shared" ca="1" si="81"/>
        <v/>
      </c>
      <c r="QE38" s="36"/>
      <c r="QF38" s="73"/>
      <c r="QG38" s="74"/>
      <c r="QJ38" s="61" t="str">
        <f t="shared" ca="1" si="82"/>
        <v/>
      </c>
      <c r="QK38" s="62"/>
      <c r="QL38" s="62"/>
      <c r="QM38" s="63"/>
      <c r="QN38" s="36"/>
      <c r="QO38" s="42" t="str">
        <f t="shared" ca="1" si="83"/>
        <v/>
      </c>
      <c r="QP38" s="36"/>
      <c r="QQ38" s="73"/>
      <c r="QR38" s="74"/>
      <c r="QU38" s="61" t="str">
        <f t="shared" ca="1" si="84"/>
        <v/>
      </c>
      <c r="QV38" s="62"/>
      <c r="QW38" s="62"/>
      <c r="QX38" s="63"/>
      <c r="QY38" s="36"/>
      <c r="QZ38" s="42" t="str">
        <f t="shared" ca="1" si="85"/>
        <v/>
      </c>
      <c r="RA38" s="36"/>
      <c r="RB38" s="73"/>
      <c r="RC38" s="74"/>
      <c r="RF38" s="61" t="str">
        <f t="shared" ca="1" si="86"/>
        <v/>
      </c>
      <c r="RG38" s="62"/>
      <c r="RH38" s="62"/>
      <c r="RI38" s="63"/>
      <c r="RJ38" s="36"/>
      <c r="RK38" s="42" t="str">
        <f t="shared" ca="1" si="87"/>
        <v/>
      </c>
      <c r="RL38" s="36"/>
      <c r="RM38" s="73"/>
      <c r="RN38" s="74"/>
      <c r="RQ38" s="61" t="str">
        <f t="shared" ca="1" si="88"/>
        <v/>
      </c>
      <c r="RR38" s="62"/>
      <c r="RS38" s="62"/>
      <c r="RT38" s="63"/>
      <c r="RU38" s="36"/>
      <c r="RV38" s="42" t="str">
        <f t="shared" ca="1" si="89"/>
        <v/>
      </c>
      <c r="RW38" s="36"/>
      <c r="RX38" s="73"/>
      <c r="RY38" s="74"/>
      <c r="SB38" s="61" t="str">
        <f t="shared" ca="1" si="90"/>
        <v/>
      </c>
      <c r="SC38" s="62"/>
      <c r="SD38" s="62"/>
      <c r="SE38" s="63"/>
      <c r="SF38" s="36"/>
      <c r="SG38" s="42" t="str">
        <f t="shared" ca="1" si="91"/>
        <v/>
      </c>
      <c r="SH38" s="36"/>
      <c r="SI38" s="73"/>
      <c r="SJ38" s="74"/>
      <c r="SM38" s="61" t="str">
        <f t="shared" ca="1" si="92"/>
        <v/>
      </c>
      <c r="SN38" s="62"/>
      <c r="SO38" s="62"/>
      <c r="SP38" s="63"/>
      <c r="SQ38" s="36"/>
      <c r="SR38" s="42" t="str">
        <f t="shared" ca="1" si="93"/>
        <v/>
      </c>
      <c r="SS38" s="36"/>
      <c r="ST38" s="73"/>
      <c r="SU38" s="74"/>
      <c r="SX38" s="61" t="str">
        <f t="shared" ca="1" si="94"/>
        <v/>
      </c>
      <c r="SY38" s="62"/>
      <c r="SZ38" s="62"/>
      <c r="TA38" s="63"/>
      <c r="TB38" s="36"/>
      <c r="TC38" s="42" t="str">
        <f t="shared" ca="1" si="95"/>
        <v/>
      </c>
      <c r="TD38" s="36"/>
      <c r="TE38" s="73"/>
      <c r="TF38" s="74"/>
      <c r="TI38" s="61" t="str">
        <f t="shared" ca="1" si="96"/>
        <v/>
      </c>
      <c r="TJ38" s="62"/>
      <c r="TK38" s="62"/>
      <c r="TL38" s="63"/>
      <c r="TM38" s="36"/>
      <c r="TN38" s="42" t="str">
        <f t="shared" ca="1" si="97"/>
        <v/>
      </c>
      <c r="TO38" s="36"/>
      <c r="TP38" s="73"/>
      <c r="TQ38" s="74"/>
      <c r="TT38" s="61" t="str">
        <f t="shared" ca="1" si="98"/>
        <v/>
      </c>
      <c r="TU38" s="62"/>
      <c r="TV38" s="62"/>
      <c r="TW38" s="63"/>
      <c r="TX38" s="36"/>
      <c r="TY38" s="42" t="str">
        <f t="shared" ca="1" si="99"/>
        <v/>
      </c>
      <c r="TZ38" s="36"/>
      <c r="UA38" s="73"/>
      <c r="UB38" s="74"/>
      <c r="UE38" s="61" t="str">
        <f t="shared" ca="1" si="100"/>
        <v/>
      </c>
      <c r="UF38" s="62"/>
      <c r="UG38" s="62"/>
      <c r="UH38" s="63"/>
      <c r="UI38" s="36"/>
      <c r="UJ38" s="42" t="str">
        <f t="shared" ca="1" si="101"/>
        <v/>
      </c>
      <c r="UK38" s="36"/>
      <c r="UL38" s="73"/>
      <c r="UM38" s="74"/>
      <c r="UP38" s="61" t="str">
        <f t="shared" ca="1" si="102"/>
        <v/>
      </c>
      <c r="UQ38" s="62"/>
      <c r="UR38" s="62"/>
      <c r="US38" s="63"/>
      <c r="UT38" s="36"/>
      <c r="UU38" s="42" t="str">
        <f t="shared" ca="1" si="103"/>
        <v/>
      </c>
      <c r="UV38" s="36"/>
      <c r="UW38" s="73"/>
      <c r="UX38" s="74"/>
      <c r="VA38" s="61" t="str">
        <f t="shared" ca="1" si="104"/>
        <v/>
      </c>
      <c r="VB38" s="62"/>
      <c r="VC38" s="62"/>
      <c r="VD38" s="63"/>
      <c r="VE38" s="36"/>
      <c r="VF38" s="42" t="str">
        <f t="shared" ca="1" si="105"/>
        <v/>
      </c>
      <c r="VG38" s="36"/>
      <c r="VH38" s="73"/>
      <c r="VI38" s="74"/>
      <c r="VL38" s="61" t="str">
        <f t="shared" ca="1" si="106"/>
        <v/>
      </c>
      <c r="VM38" s="62"/>
      <c r="VN38" s="62"/>
      <c r="VO38" s="63"/>
      <c r="VP38" s="36"/>
      <c r="VQ38" s="42" t="str">
        <f t="shared" ca="1" si="107"/>
        <v/>
      </c>
      <c r="VR38" s="36"/>
      <c r="VS38" s="73"/>
      <c r="VT38" s="74"/>
      <c r="VW38" s="61" t="str">
        <f t="shared" ca="1" si="108"/>
        <v/>
      </c>
      <c r="VX38" s="62"/>
      <c r="VY38" s="62"/>
      <c r="VZ38" s="63"/>
      <c r="WA38" s="36"/>
      <c r="WB38" s="42" t="str">
        <f t="shared" ca="1" si="109"/>
        <v/>
      </c>
      <c r="WC38" s="36"/>
      <c r="WD38" s="73"/>
      <c r="WE38" s="74"/>
      <c r="WH38" s="61" t="str">
        <f t="shared" ca="1" si="110"/>
        <v/>
      </c>
      <c r="WI38" s="62"/>
      <c r="WJ38" s="62"/>
      <c r="WK38" s="63"/>
      <c r="WL38" s="36"/>
      <c r="WM38" s="42" t="str">
        <f t="shared" ca="1" si="111"/>
        <v/>
      </c>
      <c r="WN38" s="36"/>
      <c r="WO38" s="73"/>
      <c r="WP38" s="74"/>
      <c r="WS38" s="61" t="str">
        <f t="shared" ca="1" si="112"/>
        <v/>
      </c>
      <c r="WT38" s="62"/>
      <c r="WU38" s="62"/>
      <c r="WV38" s="63"/>
      <c r="WW38" s="36"/>
      <c r="WX38" s="42" t="str">
        <f t="shared" ca="1" si="113"/>
        <v/>
      </c>
      <c r="WY38" s="36"/>
      <c r="WZ38" s="73"/>
      <c r="XA38" s="74"/>
      <c r="XD38" s="61" t="str">
        <f t="shared" ca="1" si="114"/>
        <v/>
      </c>
      <c r="XE38" s="62"/>
      <c r="XF38" s="62"/>
      <c r="XG38" s="63"/>
      <c r="XH38" s="36"/>
      <c r="XI38" s="42" t="str">
        <f t="shared" ca="1" si="115"/>
        <v/>
      </c>
      <c r="XJ38" s="36"/>
      <c r="XK38" s="73"/>
      <c r="XL38" s="74"/>
      <c r="XO38" s="61" t="str">
        <f t="shared" ca="1" si="116"/>
        <v/>
      </c>
      <c r="XP38" s="62"/>
      <c r="XQ38" s="62"/>
      <c r="XR38" s="63"/>
      <c r="XS38" s="36"/>
      <c r="XT38" s="42" t="str">
        <f t="shared" ca="1" si="117"/>
        <v/>
      </c>
      <c r="XU38" s="36"/>
      <c r="XV38" s="73"/>
      <c r="XW38" s="74"/>
      <c r="XZ38" s="61" t="str">
        <f t="shared" ca="1" si="118"/>
        <v/>
      </c>
      <c r="YA38" s="62"/>
      <c r="YB38" s="62"/>
      <c r="YC38" s="63"/>
      <c r="YD38" s="36"/>
      <c r="YE38" s="42" t="str">
        <f t="shared" ca="1" si="119"/>
        <v/>
      </c>
      <c r="YF38" s="36"/>
      <c r="YG38" s="73"/>
      <c r="YH38" s="74"/>
      <c r="YK38" s="61" t="str">
        <f t="shared" ca="1" si="120"/>
        <v/>
      </c>
      <c r="YL38" s="62"/>
      <c r="YM38" s="62"/>
      <c r="YN38" s="63"/>
      <c r="YO38" s="36"/>
      <c r="YP38" s="42" t="str">
        <f t="shared" ca="1" si="121"/>
        <v/>
      </c>
      <c r="YQ38" s="36"/>
      <c r="YR38" s="73"/>
      <c r="YS38" s="74"/>
      <c r="YV38" s="61" t="str">
        <f t="shared" ca="1" si="122"/>
        <v/>
      </c>
      <c r="YW38" s="62"/>
      <c r="YX38" s="62"/>
      <c r="YY38" s="63"/>
      <c r="YZ38" s="36"/>
      <c r="ZA38" s="42" t="str">
        <f t="shared" ca="1" si="123"/>
        <v/>
      </c>
      <c r="ZB38" s="36"/>
      <c r="ZC38" s="73"/>
      <c r="ZD38" s="74"/>
      <c r="ZG38" s="61" t="str">
        <f t="shared" ca="1" si="124"/>
        <v/>
      </c>
      <c r="ZH38" s="62"/>
      <c r="ZI38" s="62"/>
      <c r="ZJ38" s="63"/>
      <c r="ZK38" s="36"/>
      <c r="ZL38" s="42" t="str">
        <f t="shared" ca="1" si="125"/>
        <v/>
      </c>
      <c r="ZM38" s="36"/>
      <c r="ZN38" s="73"/>
      <c r="ZO38" s="74"/>
      <c r="ZR38" s="61" t="str">
        <f t="shared" ca="1" si="126"/>
        <v/>
      </c>
      <c r="ZS38" s="62"/>
      <c r="ZT38" s="62"/>
      <c r="ZU38" s="63"/>
      <c r="ZV38" s="36"/>
      <c r="ZW38" s="42" t="str">
        <f t="shared" ca="1" si="127"/>
        <v/>
      </c>
      <c r="ZX38" s="36"/>
      <c r="ZY38" s="73"/>
      <c r="ZZ38" s="74"/>
      <c r="AAC38" s="61" t="str">
        <f t="shared" ca="1" si="128"/>
        <v/>
      </c>
      <c r="AAD38" s="62"/>
      <c r="AAE38" s="62"/>
      <c r="AAF38" s="63"/>
      <c r="AAG38" s="36"/>
      <c r="AAH38" s="42" t="str">
        <f t="shared" ca="1" si="129"/>
        <v/>
      </c>
      <c r="AAI38" s="36"/>
      <c r="AAJ38" s="73"/>
      <c r="AAK38" s="74"/>
      <c r="AAN38" s="61" t="str">
        <f t="shared" ca="1" si="130"/>
        <v/>
      </c>
      <c r="AAO38" s="62"/>
      <c r="AAP38" s="62"/>
      <c r="AAQ38" s="63"/>
      <c r="AAR38" s="36"/>
      <c r="AAS38" s="42" t="str">
        <f t="shared" ca="1" si="131"/>
        <v/>
      </c>
      <c r="AAT38" s="36"/>
      <c r="AAU38" s="73"/>
      <c r="AAV38" s="74"/>
      <c r="AAY38" s="61" t="str">
        <f t="shared" ca="1" si="132"/>
        <v/>
      </c>
      <c r="AAZ38" s="62"/>
      <c r="ABA38" s="62"/>
      <c r="ABB38" s="63"/>
      <c r="ABC38" s="36"/>
      <c r="ABD38" s="42" t="str">
        <f t="shared" ca="1" si="133"/>
        <v/>
      </c>
      <c r="ABE38" s="36"/>
      <c r="ABF38" s="73"/>
      <c r="ABG38" s="74"/>
      <c r="ABJ38" s="61" t="str">
        <f t="shared" ca="1" si="134"/>
        <v/>
      </c>
      <c r="ABK38" s="62"/>
      <c r="ABL38" s="62"/>
      <c r="ABM38" s="63"/>
      <c r="ABN38" s="36"/>
      <c r="ABO38" s="42" t="str">
        <f t="shared" ca="1" si="135"/>
        <v/>
      </c>
      <c r="ABP38" s="36"/>
      <c r="ABQ38" s="73"/>
      <c r="ABR38" s="74"/>
      <c r="ABU38" s="61" t="str">
        <f t="shared" ca="1" si="136"/>
        <v/>
      </c>
      <c r="ABV38" s="62"/>
      <c r="ABW38" s="62"/>
      <c r="ABX38" s="63"/>
      <c r="ABY38" s="36"/>
      <c r="ABZ38" s="42" t="str">
        <f t="shared" ca="1" si="137"/>
        <v/>
      </c>
      <c r="ACA38" s="36"/>
      <c r="ACB38" s="73"/>
      <c r="ACC38" s="74"/>
      <c r="ACF38" s="61" t="str">
        <f t="shared" ca="1" si="138"/>
        <v/>
      </c>
      <c r="ACG38" s="62"/>
      <c r="ACH38" s="62"/>
      <c r="ACI38" s="63"/>
      <c r="ACJ38" s="36"/>
      <c r="ACK38" s="42" t="str">
        <f t="shared" ca="1" si="139"/>
        <v/>
      </c>
      <c r="ACL38" s="36"/>
      <c r="ACM38" s="73"/>
      <c r="ACN38" s="74"/>
      <c r="ACQ38" s="61" t="str">
        <f t="shared" ca="1" si="140"/>
        <v/>
      </c>
      <c r="ACR38" s="62"/>
      <c r="ACS38" s="62"/>
      <c r="ACT38" s="63"/>
      <c r="ACU38" s="36"/>
      <c r="ACV38" s="42" t="str">
        <f t="shared" ca="1" si="141"/>
        <v/>
      </c>
      <c r="ACW38" s="36"/>
      <c r="ACX38" s="73"/>
      <c r="ACY38" s="74"/>
      <c r="ADB38" s="61" t="str">
        <f t="shared" ca="1" si="142"/>
        <v/>
      </c>
      <c r="ADC38" s="62"/>
      <c r="ADD38" s="62"/>
      <c r="ADE38" s="63"/>
      <c r="ADF38" s="36"/>
      <c r="ADG38" s="42" t="str">
        <f t="shared" ca="1" si="143"/>
        <v/>
      </c>
      <c r="ADH38" s="36"/>
      <c r="ADI38" s="73"/>
      <c r="ADJ38" s="74"/>
    </row>
    <row r="39" spans="1:790" x14ac:dyDescent="0.45">
      <c r="A39" s="61" t="str">
        <f t="shared" ca="1" si="0"/>
        <v/>
      </c>
      <c r="B39" s="62"/>
      <c r="C39" s="62"/>
      <c r="D39" s="63"/>
      <c r="E39" s="36"/>
      <c r="F39" s="42" t="str">
        <f t="shared" ca="1" si="1"/>
        <v/>
      </c>
      <c r="G39" s="36"/>
      <c r="H39" s="73"/>
      <c r="I39" s="74"/>
      <c r="L39" s="61" t="str">
        <f t="shared" ca="1" si="2"/>
        <v/>
      </c>
      <c r="M39" s="62"/>
      <c r="N39" s="62"/>
      <c r="O39" s="63"/>
      <c r="P39" s="36"/>
      <c r="Q39" s="42" t="str">
        <f t="shared" ca="1" si="3"/>
        <v/>
      </c>
      <c r="R39" s="36"/>
      <c r="S39" s="73"/>
      <c r="T39" s="74"/>
      <c r="W39" s="61" t="str">
        <f t="shared" ca="1" si="4"/>
        <v/>
      </c>
      <c r="X39" s="62"/>
      <c r="Y39" s="62"/>
      <c r="Z39" s="63"/>
      <c r="AA39" s="36"/>
      <c r="AB39" s="42" t="str">
        <f t="shared" ca="1" si="5"/>
        <v/>
      </c>
      <c r="AC39" s="36"/>
      <c r="AD39" s="73"/>
      <c r="AE39" s="74"/>
      <c r="AH39" s="61" t="str">
        <f t="shared" ca="1" si="6"/>
        <v/>
      </c>
      <c r="AI39" s="62"/>
      <c r="AJ39" s="62"/>
      <c r="AK39" s="63"/>
      <c r="AL39" s="36"/>
      <c r="AM39" s="42" t="str">
        <f t="shared" ca="1" si="7"/>
        <v/>
      </c>
      <c r="AN39" s="36"/>
      <c r="AO39" s="73"/>
      <c r="AP39" s="74"/>
      <c r="AS39" s="61" t="str">
        <f t="shared" ca="1" si="8"/>
        <v/>
      </c>
      <c r="AT39" s="62"/>
      <c r="AU39" s="62"/>
      <c r="AV39" s="63"/>
      <c r="AW39" s="36"/>
      <c r="AX39" s="42" t="str">
        <f t="shared" ca="1" si="9"/>
        <v/>
      </c>
      <c r="AY39" s="36"/>
      <c r="AZ39" s="73"/>
      <c r="BA39" s="74"/>
      <c r="BD39" s="61" t="str">
        <f t="shared" ca="1" si="10"/>
        <v/>
      </c>
      <c r="BE39" s="62"/>
      <c r="BF39" s="62"/>
      <c r="BG39" s="63"/>
      <c r="BH39" s="36"/>
      <c r="BI39" s="42" t="str">
        <f t="shared" ca="1" si="11"/>
        <v/>
      </c>
      <c r="BJ39" s="36"/>
      <c r="BK39" s="73"/>
      <c r="BL39" s="74"/>
      <c r="BO39" s="61" t="str">
        <f t="shared" ca="1" si="12"/>
        <v/>
      </c>
      <c r="BP39" s="62"/>
      <c r="BQ39" s="62"/>
      <c r="BR39" s="63"/>
      <c r="BS39" s="36"/>
      <c r="BT39" s="42" t="str">
        <f t="shared" ca="1" si="13"/>
        <v/>
      </c>
      <c r="BU39" s="36"/>
      <c r="BV39" s="73"/>
      <c r="BW39" s="74"/>
      <c r="BZ39" s="61" t="str">
        <f t="shared" ca="1" si="14"/>
        <v/>
      </c>
      <c r="CA39" s="62"/>
      <c r="CB39" s="62"/>
      <c r="CC39" s="63"/>
      <c r="CD39" s="36"/>
      <c r="CE39" s="42" t="str">
        <f t="shared" ca="1" si="15"/>
        <v/>
      </c>
      <c r="CF39" s="36"/>
      <c r="CG39" s="73"/>
      <c r="CH39" s="74"/>
      <c r="CK39" s="61" t="str">
        <f t="shared" ca="1" si="16"/>
        <v/>
      </c>
      <c r="CL39" s="62"/>
      <c r="CM39" s="62"/>
      <c r="CN39" s="63"/>
      <c r="CO39" s="36"/>
      <c r="CP39" s="42" t="str">
        <f t="shared" ca="1" si="17"/>
        <v/>
      </c>
      <c r="CQ39" s="36"/>
      <c r="CR39" s="73"/>
      <c r="CS39" s="74"/>
      <c r="CV39" s="61" t="str">
        <f t="shared" ca="1" si="18"/>
        <v/>
      </c>
      <c r="CW39" s="62"/>
      <c r="CX39" s="62"/>
      <c r="CY39" s="63"/>
      <c r="CZ39" s="36"/>
      <c r="DA39" s="42" t="str">
        <f t="shared" ca="1" si="19"/>
        <v/>
      </c>
      <c r="DB39" s="36"/>
      <c r="DC39" s="73"/>
      <c r="DD39" s="74"/>
      <c r="DG39" s="61" t="str">
        <f t="shared" ca="1" si="20"/>
        <v/>
      </c>
      <c r="DH39" s="62"/>
      <c r="DI39" s="62"/>
      <c r="DJ39" s="63"/>
      <c r="DK39" s="36"/>
      <c r="DL39" s="42" t="str">
        <f t="shared" ca="1" si="21"/>
        <v/>
      </c>
      <c r="DM39" s="36"/>
      <c r="DN39" s="73"/>
      <c r="DO39" s="74"/>
      <c r="DR39" s="61" t="str">
        <f t="shared" ca="1" si="22"/>
        <v/>
      </c>
      <c r="DS39" s="62"/>
      <c r="DT39" s="62"/>
      <c r="DU39" s="63"/>
      <c r="DV39" s="36"/>
      <c r="DW39" s="42" t="str">
        <f t="shared" ca="1" si="23"/>
        <v/>
      </c>
      <c r="DX39" s="36"/>
      <c r="DY39" s="73"/>
      <c r="DZ39" s="74"/>
      <c r="EC39" s="61" t="str">
        <f t="shared" ca="1" si="24"/>
        <v/>
      </c>
      <c r="ED39" s="62"/>
      <c r="EE39" s="62"/>
      <c r="EF39" s="63"/>
      <c r="EG39" s="36"/>
      <c r="EH39" s="42" t="str">
        <f t="shared" ca="1" si="25"/>
        <v/>
      </c>
      <c r="EI39" s="36"/>
      <c r="EJ39" s="73"/>
      <c r="EK39" s="74"/>
      <c r="EN39" s="61" t="str">
        <f t="shared" ca="1" si="26"/>
        <v/>
      </c>
      <c r="EO39" s="62"/>
      <c r="EP39" s="62"/>
      <c r="EQ39" s="63"/>
      <c r="ER39" s="36"/>
      <c r="ES39" s="42" t="str">
        <f t="shared" ca="1" si="27"/>
        <v/>
      </c>
      <c r="ET39" s="36"/>
      <c r="EU39" s="73"/>
      <c r="EV39" s="74"/>
      <c r="EY39" s="61" t="str">
        <f t="shared" ca="1" si="28"/>
        <v/>
      </c>
      <c r="EZ39" s="62"/>
      <c r="FA39" s="62"/>
      <c r="FB39" s="63"/>
      <c r="FC39" s="36"/>
      <c r="FD39" s="42" t="str">
        <f t="shared" ca="1" si="29"/>
        <v/>
      </c>
      <c r="FE39" s="36"/>
      <c r="FF39" s="73"/>
      <c r="FG39" s="74"/>
      <c r="FJ39" s="61" t="str">
        <f t="shared" ca="1" si="30"/>
        <v/>
      </c>
      <c r="FK39" s="62"/>
      <c r="FL39" s="62"/>
      <c r="FM39" s="63"/>
      <c r="FN39" s="36"/>
      <c r="FO39" s="42" t="str">
        <f t="shared" ca="1" si="31"/>
        <v/>
      </c>
      <c r="FP39" s="36"/>
      <c r="FQ39" s="73"/>
      <c r="FR39" s="74"/>
      <c r="FU39" s="61" t="str">
        <f t="shared" ca="1" si="32"/>
        <v/>
      </c>
      <c r="FV39" s="62"/>
      <c r="FW39" s="62"/>
      <c r="FX39" s="63"/>
      <c r="FY39" s="36"/>
      <c r="FZ39" s="42" t="str">
        <f t="shared" ca="1" si="33"/>
        <v/>
      </c>
      <c r="GA39" s="36"/>
      <c r="GB39" s="73"/>
      <c r="GC39" s="74"/>
      <c r="GF39" s="61" t="str">
        <f t="shared" ca="1" si="34"/>
        <v/>
      </c>
      <c r="GG39" s="62"/>
      <c r="GH39" s="62"/>
      <c r="GI39" s="63"/>
      <c r="GJ39" s="36"/>
      <c r="GK39" s="42" t="str">
        <f t="shared" ca="1" si="35"/>
        <v/>
      </c>
      <c r="GL39" s="36"/>
      <c r="GM39" s="73"/>
      <c r="GN39" s="74"/>
      <c r="GQ39" s="61" t="str">
        <f t="shared" ca="1" si="36"/>
        <v/>
      </c>
      <c r="GR39" s="62"/>
      <c r="GS39" s="62"/>
      <c r="GT39" s="63"/>
      <c r="GU39" s="36"/>
      <c r="GV39" s="42" t="str">
        <f t="shared" ca="1" si="37"/>
        <v/>
      </c>
      <c r="GW39" s="36"/>
      <c r="GX39" s="73"/>
      <c r="GY39" s="74"/>
      <c r="HB39" s="61" t="str">
        <f t="shared" ca="1" si="38"/>
        <v/>
      </c>
      <c r="HC39" s="62"/>
      <c r="HD39" s="62"/>
      <c r="HE39" s="63"/>
      <c r="HF39" s="36"/>
      <c r="HG39" s="42" t="str">
        <f t="shared" ca="1" si="39"/>
        <v/>
      </c>
      <c r="HH39" s="36"/>
      <c r="HI39" s="73"/>
      <c r="HJ39" s="74"/>
      <c r="HM39" s="61" t="str">
        <f t="shared" ca="1" si="40"/>
        <v/>
      </c>
      <c r="HN39" s="62"/>
      <c r="HO39" s="62"/>
      <c r="HP39" s="63"/>
      <c r="HQ39" s="36"/>
      <c r="HR39" s="42" t="str">
        <f t="shared" ca="1" si="41"/>
        <v/>
      </c>
      <c r="HS39" s="36"/>
      <c r="HT39" s="73"/>
      <c r="HU39" s="74"/>
      <c r="HX39" s="61" t="str">
        <f t="shared" ca="1" si="42"/>
        <v/>
      </c>
      <c r="HY39" s="62"/>
      <c r="HZ39" s="62"/>
      <c r="IA39" s="63"/>
      <c r="IB39" s="36"/>
      <c r="IC39" s="42" t="str">
        <f t="shared" ca="1" si="43"/>
        <v/>
      </c>
      <c r="ID39" s="36"/>
      <c r="IE39" s="73"/>
      <c r="IF39" s="74"/>
      <c r="II39" s="61" t="str">
        <f t="shared" ca="1" si="44"/>
        <v/>
      </c>
      <c r="IJ39" s="62"/>
      <c r="IK39" s="62"/>
      <c r="IL39" s="63"/>
      <c r="IM39" s="36"/>
      <c r="IN39" s="42" t="str">
        <f t="shared" ca="1" si="45"/>
        <v/>
      </c>
      <c r="IO39" s="36"/>
      <c r="IP39" s="73"/>
      <c r="IQ39" s="74"/>
      <c r="IT39" s="61" t="str">
        <f t="shared" ca="1" si="46"/>
        <v/>
      </c>
      <c r="IU39" s="62"/>
      <c r="IV39" s="62"/>
      <c r="IW39" s="63"/>
      <c r="IX39" s="36"/>
      <c r="IY39" s="42" t="str">
        <f t="shared" ca="1" si="47"/>
        <v/>
      </c>
      <c r="IZ39" s="36"/>
      <c r="JA39" s="73"/>
      <c r="JB39" s="74"/>
      <c r="JE39" s="61" t="str">
        <f t="shared" ca="1" si="48"/>
        <v/>
      </c>
      <c r="JF39" s="62"/>
      <c r="JG39" s="62"/>
      <c r="JH39" s="63"/>
      <c r="JI39" s="36"/>
      <c r="JJ39" s="42" t="str">
        <f t="shared" ca="1" si="49"/>
        <v/>
      </c>
      <c r="JK39" s="36"/>
      <c r="JL39" s="73"/>
      <c r="JM39" s="74"/>
      <c r="JP39" s="61" t="str">
        <f t="shared" ca="1" si="50"/>
        <v/>
      </c>
      <c r="JQ39" s="62"/>
      <c r="JR39" s="62"/>
      <c r="JS39" s="63"/>
      <c r="JT39" s="36"/>
      <c r="JU39" s="42" t="str">
        <f t="shared" ca="1" si="51"/>
        <v/>
      </c>
      <c r="JV39" s="36"/>
      <c r="JW39" s="73"/>
      <c r="JX39" s="74"/>
      <c r="KA39" s="61" t="str">
        <f t="shared" ca="1" si="52"/>
        <v/>
      </c>
      <c r="KB39" s="62"/>
      <c r="KC39" s="62"/>
      <c r="KD39" s="63"/>
      <c r="KE39" s="36"/>
      <c r="KF39" s="42" t="str">
        <f t="shared" ca="1" si="53"/>
        <v/>
      </c>
      <c r="KG39" s="36"/>
      <c r="KH39" s="73"/>
      <c r="KI39" s="74"/>
      <c r="KL39" s="61" t="str">
        <f t="shared" ca="1" si="54"/>
        <v/>
      </c>
      <c r="KM39" s="62"/>
      <c r="KN39" s="62"/>
      <c r="KO39" s="63"/>
      <c r="KP39" s="36"/>
      <c r="KQ39" s="42" t="str">
        <f t="shared" ca="1" si="55"/>
        <v/>
      </c>
      <c r="KR39" s="36"/>
      <c r="KS39" s="73"/>
      <c r="KT39" s="74"/>
      <c r="KW39" s="61" t="str">
        <f t="shared" ca="1" si="56"/>
        <v/>
      </c>
      <c r="KX39" s="62"/>
      <c r="KY39" s="62"/>
      <c r="KZ39" s="63"/>
      <c r="LA39" s="36"/>
      <c r="LB39" s="42" t="str">
        <f t="shared" ca="1" si="57"/>
        <v/>
      </c>
      <c r="LC39" s="36"/>
      <c r="LD39" s="73"/>
      <c r="LE39" s="74"/>
      <c r="LH39" s="61" t="str">
        <f t="shared" ca="1" si="58"/>
        <v/>
      </c>
      <c r="LI39" s="62"/>
      <c r="LJ39" s="62"/>
      <c r="LK39" s="63"/>
      <c r="LL39" s="36"/>
      <c r="LM39" s="42" t="str">
        <f t="shared" ca="1" si="59"/>
        <v/>
      </c>
      <c r="LN39" s="36"/>
      <c r="LO39" s="73"/>
      <c r="LP39" s="74"/>
      <c r="LS39" s="61" t="str">
        <f t="shared" ca="1" si="60"/>
        <v/>
      </c>
      <c r="LT39" s="62"/>
      <c r="LU39" s="62"/>
      <c r="LV39" s="63"/>
      <c r="LW39" s="36"/>
      <c r="LX39" s="42" t="str">
        <f t="shared" ca="1" si="61"/>
        <v/>
      </c>
      <c r="LY39" s="36"/>
      <c r="LZ39" s="73"/>
      <c r="MA39" s="74"/>
      <c r="MD39" s="61" t="str">
        <f t="shared" ca="1" si="62"/>
        <v/>
      </c>
      <c r="ME39" s="62"/>
      <c r="MF39" s="62"/>
      <c r="MG39" s="63"/>
      <c r="MH39" s="36"/>
      <c r="MI39" s="42" t="str">
        <f t="shared" ca="1" si="63"/>
        <v/>
      </c>
      <c r="MJ39" s="36"/>
      <c r="MK39" s="73"/>
      <c r="ML39" s="74"/>
      <c r="MO39" s="61" t="str">
        <f t="shared" ca="1" si="64"/>
        <v/>
      </c>
      <c r="MP39" s="62"/>
      <c r="MQ39" s="62"/>
      <c r="MR39" s="63"/>
      <c r="MS39" s="36"/>
      <c r="MT39" s="42" t="str">
        <f t="shared" ca="1" si="65"/>
        <v/>
      </c>
      <c r="MU39" s="36"/>
      <c r="MV39" s="73"/>
      <c r="MW39" s="74"/>
      <c r="MZ39" s="61" t="str">
        <f t="shared" ca="1" si="66"/>
        <v/>
      </c>
      <c r="NA39" s="62"/>
      <c r="NB39" s="62"/>
      <c r="NC39" s="63"/>
      <c r="ND39" s="36"/>
      <c r="NE39" s="42" t="str">
        <f t="shared" ca="1" si="67"/>
        <v/>
      </c>
      <c r="NF39" s="36"/>
      <c r="NG39" s="73"/>
      <c r="NH39" s="74"/>
      <c r="NK39" s="61" t="str">
        <f t="shared" ca="1" si="68"/>
        <v/>
      </c>
      <c r="NL39" s="62"/>
      <c r="NM39" s="62"/>
      <c r="NN39" s="63"/>
      <c r="NO39" s="36"/>
      <c r="NP39" s="42" t="str">
        <f t="shared" ca="1" si="69"/>
        <v/>
      </c>
      <c r="NQ39" s="36"/>
      <c r="NR39" s="73"/>
      <c r="NS39" s="74"/>
      <c r="NV39" s="61" t="str">
        <f t="shared" ca="1" si="70"/>
        <v/>
      </c>
      <c r="NW39" s="62"/>
      <c r="NX39" s="62"/>
      <c r="NY39" s="63"/>
      <c r="NZ39" s="36"/>
      <c r="OA39" s="42" t="str">
        <f t="shared" ca="1" si="71"/>
        <v/>
      </c>
      <c r="OB39" s="36"/>
      <c r="OC39" s="73"/>
      <c r="OD39" s="74"/>
      <c r="OG39" s="61" t="str">
        <f t="shared" ca="1" si="72"/>
        <v/>
      </c>
      <c r="OH39" s="62"/>
      <c r="OI39" s="62"/>
      <c r="OJ39" s="63"/>
      <c r="OK39" s="36"/>
      <c r="OL39" s="42" t="str">
        <f t="shared" ca="1" si="73"/>
        <v/>
      </c>
      <c r="OM39" s="36"/>
      <c r="ON39" s="73"/>
      <c r="OO39" s="74"/>
      <c r="OR39" s="61" t="str">
        <f t="shared" ca="1" si="74"/>
        <v/>
      </c>
      <c r="OS39" s="62"/>
      <c r="OT39" s="62"/>
      <c r="OU39" s="63"/>
      <c r="OV39" s="36"/>
      <c r="OW39" s="42" t="str">
        <f t="shared" ca="1" si="75"/>
        <v/>
      </c>
      <c r="OX39" s="36"/>
      <c r="OY39" s="73"/>
      <c r="OZ39" s="74"/>
      <c r="PC39" s="61" t="str">
        <f t="shared" ca="1" si="76"/>
        <v/>
      </c>
      <c r="PD39" s="62"/>
      <c r="PE39" s="62"/>
      <c r="PF39" s="63"/>
      <c r="PG39" s="36"/>
      <c r="PH39" s="42" t="str">
        <f t="shared" ca="1" si="77"/>
        <v/>
      </c>
      <c r="PI39" s="36"/>
      <c r="PJ39" s="73"/>
      <c r="PK39" s="74"/>
      <c r="PN39" s="61" t="str">
        <f t="shared" ca="1" si="78"/>
        <v/>
      </c>
      <c r="PO39" s="62"/>
      <c r="PP39" s="62"/>
      <c r="PQ39" s="63"/>
      <c r="PR39" s="36"/>
      <c r="PS39" s="42" t="str">
        <f t="shared" ca="1" si="79"/>
        <v/>
      </c>
      <c r="PT39" s="36"/>
      <c r="PU39" s="73"/>
      <c r="PV39" s="74"/>
      <c r="PY39" s="61" t="str">
        <f t="shared" ca="1" si="80"/>
        <v/>
      </c>
      <c r="PZ39" s="62"/>
      <c r="QA39" s="62"/>
      <c r="QB39" s="63"/>
      <c r="QC39" s="36"/>
      <c r="QD39" s="42" t="str">
        <f t="shared" ca="1" si="81"/>
        <v/>
      </c>
      <c r="QE39" s="36"/>
      <c r="QF39" s="73"/>
      <c r="QG39" s="74"/>
      <c r="QJ39" s="61" t="str">
        <f t="shared" ca="1" si="82"/>
        <v/>
      </c>
      <c r="QK39" s="62"/>
      <c r="QL39" s="62"/>
      <c r="QM39" s="63"/>
      <c r="QN39" s="36"/>
      <c r="QO39" s="42" t="str">
        <f t="shared" ca="1" si="83"/>
        <v/>
      </c>
      <c r="QP39" s="36"/>
      <c r="QQ39" s="73"/>
      <c r="QR39" s="74"/>
      <c r="QU39" s="61" t="str">
        <f t="shared" ca="1" si="84"/>
        <v/>
      </c>
      <c r="QV39" s="62"/>
      <c r="QW39" s="62"/>
      <c r="QX39" s="63"/>
      <c r="QY39" s="36"/>
      <c r="QZ39" s="42" t="str">
        <f t="shared" ca="1" si="85"/>
        <v/>
      </c>
      <c r="RA39" s="36"/>
      <c r="RB39" s="73"/>
      <c r="RC39" s="74"/>
      <c r="RF39" s="61" t="str">
        <f t="shared" ca="1" si="86"/>
        <v/>
      </c>
      <c r="RG39" s="62"/>
      <c r="RH39" s="62"/>
      <c r="RI39" s="63"/>
      <c r="RJ39" s="36"/>
      <c r="RK39" s="42" t="str">
        <f t="shared" ca="1" si="87"/>
        <v/>
      </c>
      <c r="RL39" s="36"/>
      <c r="RM39" s="73"/>
      <c r="RN39" s="74"/>
      <c r="RQ39" s="61" t="str">
        <f t="shared" ca="1" si="88"/>
        <v/>
      </c>
      <c r="RR39" s="62"/>
      <c r="RS39" s="62"/>
      <c r="RT39" s="63"/>
      <c r="RU39" s="36"/>
      <c r="RV39" s="42" t="str">
        <f t="shared" ca="1" si="89"/>
        <v/>
      </c>
      <c r="RW39" s="36"/>
      <c r="RX39" s="73"/>
      <c r="RY39" s="74"/>
      <c r="SB39" s="61" t="str">
        <f t="shared" ca="1" si="90"/>
        <v/>
      </c>
      <c r="SC39" s="62"/>
      <c r="SD39" s="62"/>
      <c r="SE39" s="63"/>
      <c r="SF39" s="36"/>
      <c r="SG39" s="42" t="str">
        <f t="shared" ca="1" si="91"/>
        <v/>
      </c>
      <c r="SH39" s="36"/>
      <c r="SI39" s="73"/>
      <c r="SJ39" s="74"/>
      <c r="SM39" s="61" t="str">
        <f t="shared" ca="1" si="92"/>
        <v/>
      </c>
      <c r="SN39" s="62"/>
      <c r="SO39" s="62"/>
      <c r="SP39" s="63"/>
      <c r="SQ39" s="36"/>
      <c r="SR39" s="42" t="str">
        <f t="shared" ca="1" si="93"/>
        <v/>
      </c>
      <c r="SS39" s="36"/>
      <c r="ST39" s="73"/>
      <c r="SU39" s="74"/>
      <c r="SX39" s="61" t="str">
        <f t="shared" ca="1" si="94"/>
        <v/>
      </c>
      <c r="SY39" s="62"/>
      <c r="SZ39" s="62"/>
      <c r="TA39" s="63"/>
      <c r="TB39" s="36"/>
      <c r="TC39" s="42" t="str">
        <f t="shared" ca="1" si="95"/>
        <v/>
      </c>
      <c r="TD39" s="36"/>
      <c r="TE39" s="73"/>
      <c r="TF39" s="74"/>
      <c r="TI39" s="61" t="str">
        <f t="shared" ca="1" si="96"/>
        <v/>
      </c>
      <c r="TJ39" s="62"/>
      <c r="TK39" s="62"/>
      <c r="TL39" s="63"/>
      <c r="TM39" s="36"/>
      <c r="TN39" s="42" t="str">
        <f t="shared" ca="1" si="97"/>
        <v/>
      </c>
      <c r="TO39" s="36"/>
      <c r="TP39" s="73"/>
      <c r="TQ39" s="74"/>
      <c r="TT39" s="61" t="str">
        <f t="shared" ca="1" si="98"/>
        <v/>
      </c>
      <c r="TU39" s="62"/>
      <c r="TV39" s="62"/>
      <c r="TW39" s="63"/>
      <c r="TX39" s="36"/>
      <c r="TY39" s="42" t="str">
        <f t="shared" ca="1" si="99"/>
        <v/>
      </c>
      <c r="TZ39" s="36"/>
      <c r="UA39" s="73"/>
      <c r="UB39" s="74"/>
      <c r="UE39" s="61" t="str">
        <f t="shared" ca="1" si="100"/>
        <v/>
      </c>
      <c r="UF39" s="62"/>
      <c r="UG39" s="62"/>
      <c r="UH39" s="63"/>
      <c r="UI39" s="36"/>
      <c r="UJ39" s="42" t="str">
        <f t="shared" ca="1" si="101"/>
        <v/>
      </c>
      <c r="UK39" s="36"/>
      <c r="UL39" s="73"/>
      <c r="UM39" s="74"/>
      <c r="UP39" s="61" t="str">
        <f t="shared" ca="1" si="102"/>
        <v/>
      </c>
      <c r="UQ39" s="62"/>
      <c r="UR39" s="62"/>
      <c r="US39" s="63"/>
      <c r="UT39" s="36"/>
      <c r="UU39" s="42" t="str">
        <f t="shared" ca="1" si="103"/>
        <v/>
      </c>
      <c r="UV39" s="36"/>
      <c r="UW39" s="73"/>
      <c r="UX39" s="74"/>
      <c r="VA39" s="61" t="str">
        <f t="shared" ca="1" si="104"/>
        <v/>
      </c>
      <c r="VB39" s="62"/>
      <c r="VC39" s="62"/>
      <c r="VD39" s="63"/>
      <c r="VE39" s="36"/>
      <c r="VF39" s="42" t="str">
        <f t="shared" ca="1" si="105"/>
        <v/>
      </c>
      <c r="VG39" s="36"/>
      <c r="VH39" s="73"/>
      <c r="VI39" s="74"/>
      <c r="VL39" s="61" t="str">
        <f t="shared" ca="1" si="106"/>
        <v/>
      </c>
      <c r="VM39" s="62"/>
      <c r="VN39" s="62"/>
      <c r="VO39" s="63"/>
      <c r="VP39" s="36"/>
      <c r="VQ39" s="42" t="str">
        <f t="shared" ca="1" si="107"/>
        <v/>
      </c>
      <c r="VR39" s="36"/>
      <c r="VS39" s="73"/>
      <c r="VT39" s="74"/>
      <c r="VW39" s="61" t="str">
        <f t="shared" ca="1" si="108"/>
        <v/>
      </c>
      <c r="VX39" s="62"/>
      <c r="VY39" s="62"/>
      <c r="VZ39" s="63"/>
      <c r="WA39" s="36"/>
      <c r="WB39" s="42" t="str">
        <f t="shared" ca="1" si="109"/>
        <v/>
      </c>
      <c r="WC39" s="36"/>
      <c r="WD39" s="73"/>
      <c r="WE39" s="74"/>
      <c r="WH39" s="61" t="str">
        <f t="shared" ca="1" si="110"/>
        <v/>
      </c>
      <c r="WI39" s="62"/>
      <c r="WJ39" s="62"/>
      <c r="WK39" s="63"/>
      <c r="WL39" s="36"/>
      <c r="WM39" s="42" t="str">
        <f t="shared" ca="1" si="111"/>
        <v/>
      </c>
      <c r="WN39" s="36"/>
      <c r="WO39" s="73"/>
      <c r="WP39" s="74"/>
      <c r="WS39" s="61" t="str">
        <f t="shared" ca="1" si="112"/>
        <v/>
      </c>
      <c r="WT39" s="62"/>
      <c r="WU39" s="62"/>
      <c r="WV39" s="63"/>
      <c r="WW39" s="36"/>
      <c r="WX39" s="42" t="str">
        <f t="shared" ca="1" si="113"/>
        <v/>
      </c>
      <c r="WY39" s="36"/>
      <c r="WZ39" s="73"/>
      <c r="XA39" s="74"/>
      <c r="XD39" s="61" t="str">
        <f t="shared" ca="1" si="114"/>
        <v/>
      </c>
      <c r="XE39" s="62"/>
      <c r="XF39" s="62"/>
      <c r="XG39" s="63"/>
      <c r="XH39" s="36"/>
      <c r="XI39" s="42" t="str">
        <f t="shared" ca="1" si="115"/>
        <v/>
      </c>
      <c r="XJ39" s="36"/>
      <c r="XK39" s="73"/>
      <c r="XL39" s="74"/>
      <c r="XO39" s="61" t="str">
        <f t="shared" ca="1" si="116"/>
        <v/>
      </c>
      <c r="XP39" s="62"/>
      <c r="XQ39" s="62"/>
      <c r="XR39" s="63"/>
      <c r="XS39" s="36"/>
      <c r="XT39" s="42" t="str">
        <f t="shared" ca="1" si="117"/>
        <v/>
      </c>
      <c r="XU39" s="36"/>
      <c r="XV39" s="73"/>
      <c r="XW39" s="74"/>
      <c r="XZ39" s="61" t="str">
        <f t="shared" ca="1" si="118"/>
        <v/>
      </c>
      <c r="YA39" s="62"/>
      <c r="YB39" s="62"/>
      <c r="YC39" s="63"/>
      <c r="YD39" s="36"/>
      <c r="YE39" s="42" t="str">
        <f t="shared" ca="1" si="119"/>
        <v/>
      </c>
      <c r="YF39" s="36"/>
      <c r="YG39" s="73"/>
      <c r="YH39" s="74"/>
      <c r="YK39" s="61" t="str">
        <f t="shared" ca="1" si="120"/>
        <v/>
      </c>
      <c r="YL39" s="62"/>
      <c r="YM39" s="62"/>
      <c r="YN39" s="63"/>
      <c r="YO39" s="36"/>
      <c r="YP39" s="42" t="str">
        <f t="shared" ca="1" si="121"/>
        <v/>
      </c>
      <c r="YQ39" s="36"/>
      <c r="YR39" s="73"/>
      <c r="YS39" s="74"/>
      <c r="YV39" s="61" t="str">
        <f t="shared" ca="1" si="122"/>
        <v/>
      </c>
      <c r="YW39" s="62"/>
      <c r="YX39" s="62"/>
      <c r="YY39" s="63"/>
      <c r="YZ39" s="36"/>
      <c r="ZA39" s="42" t="str">
        <f t="shared" ca="1" si="123"/>
        <v/>
      </c>
      <c r="ZB39" s="36"/>
      <c r="ZC39" s="73"/>
      <c r="ZD39" s="74"/>
      <c r="ZG39" s="61" t="str">
        <f t="shared" ca="1" si="124"/>
        <v/>
      </c>
      <c r="ZH39" s="62"/>
      <c r="ZI39" s="62"/>
      <c r="ZJ39" s="63"/>
      <c r="ZK39" s="36"/>
      <c r="ZL39" s="42" t="str">
        <f t="shared" ca="1" si="125"/>
        <v/>
      </c>
      <c r="ZM39" s="36"/>
      <c r="ZN39" s="73"/>
      <c r="ZO39" s="74"/>
      <c r="ZR39" s="61" t="str">
        <f t="shared" ca="1" si="126"/>
        <v/>
      </c>
      <c r="ZS39" s="62"/>
      <c r="ZT39" s="62"/>
      <c r="ZU39" s="63"/>
      <c r="ZV39" s="36"/>
      <c r="ZW39" s="42" t="str">
        <f t="shared" ca="1" si="127"/>
        <v/>
      </c>
      <c r="ZX39" s="36"/>
      <c r="ZY39" s="73"/>
      <c r="ZZ39" s="74"/>
      <c r="AAC39" s="61" t="str">
        <f t="shared" ca="1" si="128"/>
        <v/>
      </c>
      <c r="AAD39" s="62"/>
      <c r="AAE39" s="62"/>
      <c r="AAF39" s="63"/>
      <c r="AAG39" s="36"/>
      <c r="AAH39" s="42" t="str">
        <f t="shared" ca="1" si="129"/>
        <v/>
      </c>
      <c r="AAI39" s="36"/>
      <c r="AAJ39" s="73"/>
      <c r="AAK39" s="74"/>
      <c r="AAN39" s="61" t="str">
        <f t="shared" ca="1" si="130"/>
        <v/>
      </c>
      <c r="AAO39" s="62"/>
      <c r="AAP39" s="62"/>
      <c r="AAQ39" s="63"/>
      <c r="AAR39" s="36"/>
      <c r="AAS39" s="42" t="str">
        <f t="shared" ca="1" si="131"/>
        <v/>
      </c>
      <c r="AAT39" s="36"/>
      <c r="AAU39" s="73"/>
      <c r="AAV39" s="74"/>
      <c r="AAY39" s="61" t="str">
        <f t="shared" ca="1" si="132"/>
        <v/>
      </c>
      <c r="AAZ39" s="62"/>
      <c r="ABA39" s="62"/>
      <c r="ABB39" s="63"/>
      <c r="ABC39" s="36"/>
      <c r="ABD39" s="42" t="str">
        <f t="shared" ca="1" si="133"/>
        <v/>
      </c>
      <c r="ABE39" s="36"/>
      <c r="ABF39" s="73"/>
      <c r="ABG39" s="74"/>
      <c r="ABJ39" s="61" t="str">
        <f t="shared" ca="1" si="134"/>
        <v/>
      </c>
      <c r="ABK39" s="62"/>
      <c r="ABL39" s="62"/>
      <c r="ABM39" s="63"/>
      <c r="ABN39" s="36"/>
      <c r="ABO39" s="42" t="str">
        <f t="shared" ca="1" si="135"/>
        <v/>
      </c>
      <c r="ABP39" s="36"/>
      <c r="ABQ39" s="73"/>
      <c r="ABR39" s="74"/>
      <c r="ABU39" s="61" t="str">
        <f t="shared" ca="1" si="136"/>
        <v/>
      </c>
      <c r="ABV39" s="62"/>
      <c r="ABW39" s="62"/>
      <c r="ABX39" s="63"/>
      <c r="ABY39" s="36"/>
      <c r="ABZ39" s="42" t="str">
        <f t="shared" ca="1" si="137"/>
        <v/>
      </c>
      <c r="ACA39" s="36"/>
      <c r="ACB39" s="73"/>
      <c r="ACC39" s="74"/>
      <c r="ACF39" s="61" t="str">
        <f t="shared" ca="1" si="138"/>
        <v/>
      </c>
      <c r="ACG39" s="62"/>
      <c r="ACH39" s="62"/>
      <c r="ACI39" s="63"/>
      <c r="ACJ39" s="36"/>
      <c r="ACK39" s="42" t="str">
        <f t="shared" ca="1" si="139"/>
        <v/>
      </c>
      <c r="ACL39" s="36"/>
      <c r="ACM39" s="73"/>
      <c r="ACN39" s="74"/>
      <c r="ACQ39" s="61" t="str">
        <f t="shared" ca="1" si="140"/>
        <v/>
      </c>
      <c r="ACR39" s="62"/>
      <c r="ACS39" s="62"/>
      <c r="ACT39" s="63"/>
      <c r="ACU39" s="36"/>
      <c r="ACV39" s="42" t="str">
        <f t="shared" ca="1" si="141"/>
        <v/>
      </c>
      <c r="ACW39" s="36"/>
      <c r="ACX39" s="73"/>
      <c r="ACY39" s="74"/>
      <c r="ADB39" s="61" t="str">
        <f t="shared" ca="1" si="142"/>
        <v/>
      </c>
      <c r="ADC39" s="62"/>
      <c r="ADD39" s="62"/>
      <c r="ADE39" s="63"/>
      <c r="ADF39" s="36"/>
      <c r="ADG39" s="42" t="str">
        <f t="shared" ca="1" si="143"/>
        <v/>
      </c>
      <c r="ADH39" s="36"/>
      <c r="ADI39" s="73"/>
      <c r="ADJ39" s="74"/>
    </row>
    <row r="40" spans="1:790" x14ac:dyDescent="0.45">
      <c r="A40" s="61" t="str">
        <f t="shared" ca="1" si="0"/>
        <v/>
      </c>
      <c r="B40" s="62"/>
      <c r="C40" s="62"/>
      <c r="D40" s="63"/>
      <c r="E40" s="36"/>
      <c r="F40" s="42" t="str">
        <f t="shared" ca="1" si="1"/>
        <v/>
      </c>
      <c r="G40" s="36"/>
      <c r="H40" s="73"/>
      <c r="I40" s="74"/>
      <c r="L40" s="61" t="str">
        <f t="shared" ca="1" si="2"/>
        <v/>
      </c>
      <c r="M40" s="62"/>
      <c r="N40" s="62"/>
      <c r="O40" s="63"/>
      <c r="P40" s="36"/>
      <c r="Q40" s="42" t="str">
        <f t="shared" ca="1" si="3"/>
        <v/>
      </c>
      <c r="R40" s="36"/>
      <c r="S40" s="73"/>
      <c r="T40" s="74"/>
      <c r="W40" s="61" t="str">
        <f t="shared" ca="1" si="4"/>
        <v/>
      </c>
      <c r="X40" s="62"/>
      <c r="Y40" s="62"/>
      <c r="Z40" s="63"/>
      <c r="AA40" s="36"/>
      <c r="AB40" s="42" t="str">
        <f t="shared" ca="1" si="5"/>
        <v/>
      </c>
      <c r="AC40" s="36"/>
      <c r="AD40" s="73"/>
      <c r="AE40" s="74"/>
      <c r="AH40" s="61" t="str">
        <f t="shared" ca="1" si="6"/>
        <v/>
      </c>
      <c r="AI40" s="62"/>
      <c r="AJ40" s="62"/>
      <c r="AK40" s="63"/>
      <c r="AL40" s="36"/>
      <c r="AM40" s="42" t="str">
        <f t="shared" ca="1" si="7"/>
        <v/>
      </c>
      <c r="AN40" s="36"/>
      <c r="AO40" s="73"/>
      <c r="AP40" s="74"/>
      <c r="AS40" s="61" t="str">
        <f t="shared" ca="1" si="8"/>
        <v/>
      </c>
      <c r="AT40" s="62"/>
      <c r="AU40" s="62"/>
      <c r="AV40" s="63"/>
      <c r="AW40" s="36"/>
      <c r="AX40" s="42" t="str">
        <f t="shared" ca="1" si="9"/>
        <v/>
      </c>
      <c r="AY40" s="36"/>
      <c r="AZ40" s="73"/>
      <c r="BA40" s="74"/>
      <c r="BD40" s="61" t="str">
        <f t="shared" ca="1" si="10"/>
        <v/>
      </c>
      <c r="BE40" s="62"/>
      <c r="BF40" s="62"/>
      <c r="BG40" s="63"/>
      <c r="BH40" s="36"/>
      <c r="BI40" s="42" t="str">
        <f t="shared" ca="1" si="11"/>
        <v/>
      </c>
      <c r="BJ40" s="36"/>
      <c r="BK40" s="73"/>
      <c r="BL40" s="74"/>
      <c r="BO40" s="61" t="str">
        <f t="shared" ca="1" si="12"/>
        <v/>
      </c>
      <c r="BP40" s="62"/>
      <c r="BQ40" s="62"/>
      <c r="BR40" s="63"/>
      <c r="BS40" s="36"/>
      <c r="BT40" s="42" t="str">
        <f t="shared" ca="1" si="13"/>
        <v/>
      </c>
      <c r="BU40" s="36"/>
      <c r="BV40" s="73"/>
      <c r="BW40" s="74"/>
      <c r="BZ40" s="61" t="str">
        <f t="shared" ca="1" si="14"/>
        <v/>
      </c>
      <c r="CA40" s="62"/>
      <c r="CB40" s="62"/>
      <c r="CC40" s="63"/>
      <c r="CD40" s="36"/>
      <c r="CE40" s="42" t="str">
        <f t="shared" ca="1" si="15"/>
        <v/>
      </c>
      <c r="CF40" s="36"/>
      <c r="CG40" s="73"/>
      <c r="CH40" s="74"/>
      <c r="CK40" s="61" t="str">
        <f t="shared" ca="1" si="16"/>
        <v/>
      </c>
      <c r="CL40" s="62"/>
      <c r="CM40" s="62"/>
      <c r="CN40" s="63"/>
      <c r="CO40" s="36"/>
      <c r="CP40" s="42" t="str">
        <f t="shared" ca="1" si="17"/>
        <v/>
      </c>
      <c r="CQ40" s="36"/>
      <c r="CR40" s="73"/>
      <c r="CS40" s="74"/>
      <c r="CV40" s="61" t="str">
        <f t="shared" ca="1" si="18"/>
        <v/>
      </c>
      <c r="CW40" s="62"/>
      <c r="CX40" s="62"/>
      <c r="CY40" s="63"/>
      <c r="CZ40" s="36"/>
      <c r="DA40" s="42" t="str">
        <f t="shared" ca="1" si="19"/>
        <v/>
      </c>
      <c r="DB40" s="36"/>
      <c r="DC40" s="73"/>
      <c r="DD40" s="74"/>
      <c r="DG40" s="61" t="str">
        <f t="shared" ca="1" si="20"/>
        <v/>
      </c>
      <c r="DH40" s="62"/>
      <c r="DI40" s="62"/>
      <c r="DJ40" s="63"/>
      <c r="DK40" s="36"/>
      <c r="DL40" s="42" t="str">
        <f t="shared" ca="1" si="21"/>
        <v/>
      </c>
      <c r="DM40" s="36"/>
      <c r="DN40" s="73"/>
      <c r="DO40" s="74"/>
      <c r="DR40" s="61" t="str">
        <f t="shared" ca="1" si="22"/>
        <v/>
      </c>
      <c r="DS40" s="62"/>
      <c r="DT40" s="62"/>
      <c r="DU40" s="63"/>
      <c r="DV40" s="36"/>
      <c r="DW40" s="42" t="str">
        <f t="shared" ca="1" si="23"/>
        <v/>
      </c>
      <c r="DX40" s="36"/>
      <c r="DY40" s="73"/>
      <c r="DZ40" s="74"/>
      <c r="EC40" s="61" t="str">
        <f t="shared" ca="1" si="24"/>
        <v/>
      </c>
      <c r="ED40" s="62"/>
      <c r="EE40" s="62"/>
      <c r="EF40" s="63"/>
      <c r="EG40" s="36"/>
      <c r="EH40" s="42" t="str">
        <f t="shared" ca="1" si="25"/>
        <v/>
      </c>
      <c r="EI40" s="36"/>
      <c r="EJ40" s="73"/>
      <c r="EK40" s="74"/>
      <c r="EN40" s="61" t="str">
        <f t="shared" ca="1" si="26"/>
        <v/>
      </c>
      <c r="EO40" s="62"/>
      <c r="EP40" s="62"/>
      <c r="EQ40" s="63"/>
      <c r="ER40" s="36"/>
      <c r="ES40" s="42" t="str">
        <f t="shared" ca="1" si="27"/>
        <v/>
      </c>
      <c r="ET40" s="36"/>
      <c r="EU40" s="73"/>
      <c r="EV40" s="74"/>
      <c r="EY40" s="61" t="str">
        <f t="shared" ca="1" si="28"/>
        <v/>
      </c>
      <c r="EZ40" s="62"/>
      <c r="FA40" s="62"/>
      <c r="FB40" s="63"/>
      <c r="FC40" s="36"/>
      <c r="FD40" s="42" t="str">
        <f t="shared" ca="1" si="29"/>
        <v/>
      </c>
      <c r="FE40" s="36"/>
      <c r="FF40" s="73"/>
      <c r="FG40" s="74"/>
      <c r="FJ40" s="61" t="str">
        <f t="shared" ca="1" si="30"/>
        <v/>
      </c>
      <c r="FK40" s="62"/>
      <c r="FL40" s="62"/>
      <c r="FM40" s="63"/>
      <c r="FN40" s="36"/>
      <c r="FO40" s="42" t="str">
        <f t="shared" ca="1" si="31"/>
        <v/>
      </c>
      <c r="FP40" s="36"/>
      <c r="FQ40" s="73"/>
      <c r="FR40" s="74"/>
      <c r="FU40" s="61" t="str">
        <f t="shared" ca="1" si="32"/>
        <v/>
      </c>
      <c r="FV40" s="62"/>
      <c r="FW40" s="62"/>
      <c r="FX40" s="63"/>
      <c r="FY40" s="36"/>
      <c r="FZ40" s="42" t="str">
        <f t="shared" ca="1" si="33"/>
        <v/>
      </c>
      <c r="GA40" s="36"/>
      <c r="GB40" s="73"/>
      <c r="GC40" s="74"/>
      <c r="GF40" s="61" t="str">
        <f t="shared" ca="1" si="34"/>
        <v/>
      </c>
      <c r="GG40" s="62"/>
      <c r="GH40" s="62"/>
      <c r="GI40" s="63"/>
      <c r="GJ40" s="36"/>
      <c r="GK40" s="42" t="str">
        <f t="shared" ca="1" si="35"/>
        <v/>
      </c>
      <c r="GL40" s="36"/>
      <c r="GM40" s="73"/>
      <c r="GN40" s="74"/>
      <c r="GQ40" s="61" t="str">
        <f t="shared" ca="1" si="36"/>
        <v/>
      </c>
      <c r="GR40" s="62"/>
      <c r="GS40" s="62"/>
      <c r="GT40" s="63"/>
      <c r="GU40" s="36"/>
      <c r="GV40" s="42" t="str">
        <f t="shared" ca="1" si="37"/>
        <v/>
      </c>
      <c r="GW40" s="36"/>
      <c r="GX40" s="73"/>
      <c r="GY40" s="74"/>
      <c r="HB40" s="61" t="str">
        <f t="shared" ca="1" si="38"/>
        <v/>
      </c>
      <c r="HC40" s="62"/>
      <c r="HD40" s="62"/>
      <c r="HE40" s="63"/>
      <c r="HF40" s="36"/>
      <c r="HG40" s="42" t="str">
        <f t="shared" ca="1" si="39"/>
        <v/>
      </c>
      <c r="HH40" s="36"/>
      <c r="HI40" s="73"/>
      <c r="HJ40" s="74"/>
      <c r="HM40" s="61" t="str">
        <f t="shared" ca="1" si="40"/>
        <v/>
      </c>
      <c r="HN40" s="62"/>
      <c r="HO40" s="62"/>
      <c r="HP40" s="63"/>
      <c r="HQ40" s="36"/>
      <c r="HR40" s="42" t="str">
        <f t="shared" ca="1" si="41"/>
        <v/>
      </c>
      <c r="HS40" s="36"/>
      <c r="HT40" s="73"/>
      <c r="HU40" s="74"/>
      <c r="HX40" s="61" t="str">
        <f t="shared" ca="1" si="42"/>
        <v/>
      </c>
      <c r="HY40" s="62"/>
      <c r="HZ40" s="62"/>
      <c r="IA40" s="63"/>
      <c r="IB40" s="36"/>
      <c r="IC40" s="42" t="str">
        <f t="shared" ca="1" si="43"/>
        <v/>
      </c>
      <c r="ID40" s="36"/>
      <c r="IE40" s="73"/>
      <c r="IF40" s="74"/>
      <c r="II40" s="61" t="str">
        <f t="shared" ca="1" si="44"/>
        <v/>
      </c>
      <c r="IJ40" s="62"/>
      <c r="IK40" s="62"/>
      <c r="IL40" s="63"/>
      <c r="IM40" s="36"/>
      <c r="IN40" s="42" t="str">
        <f t="shared" ca="1" si="45"/>
        <v/>
      </c>
      <c r="IO40" s="36"/>
      <c r="IP40" s="73"/>
      <c r="IQ40" s="74"/>
      <c r="IT40" s="61" t="str">
        <f t="shared" ca="1" si="46"/>
        <v/>
      </c>
      <c r="IU40" s="62"/>
      <c r="IV40" s="62"/>
      <c r="IW40" s="63"/>
      <c r="IX40" s="36"/>
      <c r="IY40" s="42" t="str">
        <f t="shared" ca="1" si="47"/>
        <v/>
      </c>
      <c r="IZ40" s="36"/>
      <c r="JA40" s="73"/>
      <c r="JB40" s="74"/>
      <c r="JE40" s="61" t="str">
        <f t="shared" ca="1" si="48"/>
        <v/>
      </c>
      <c r="JF40" s="62"/>
      <c r="JG40" s="62"/>
      <c r="JH40" s="63"/>
      <c r="JI40" s="36"/>
      <c r="JJ40" s="42" t="str">
        <f t="shared" ca="1" si="49"/>
        <v/>
      </c>
      <c r="JK40" s="36"/>
      <c r="JL40" s="73"/>
      <c r="JM40" s="74"/>
      <c r="JP40" s="61" t="str">
        <f t="shared" ca="1" si="50"/>
        <v/>
      </c>
      <c r="JQ40" s="62"/>
      <c r="JR40" s="62"/>
      <c r="JS40" s="63"/>
      <c r="JT40" s="36"/>
      <c r="JU40" s="42" t="str">
        <f t="shared" ca="1" si="51"/>
        <v/>
      </c>
      <c r="JV40" s="36"/>
      <c r="JW40" s="73"/>
      <c r="JX40" s="74"/>
      <c r="KA40" s="61" t="str">
        <f t="shared" ca="1" si="52"/>
        <v/>
      </c>
      <c r="KB40" s="62"/>
      <c r="KC40" s="62"/>
      <c r="KD40" s="63"/>
      <c r="KE40" s="36"/>
      <c r="KF40" s="42" t="str">
        <f t="shared" ca="1" si="53"/>
        <v/>
      </c>
      <c r="KG40" s="36"/>
      <c r="KH40" s="73"/>
      <c r="KI40" s="74"/>
      <c r="KL40" s="61" t="str">
        <f t="shared" ca="1" si="54"/>
        <v/>
      </c>
      <c r="KM40" s="62"/>
      <c r="KN40" s="62"/>
      <c r="KO40" s="63"/>
      <c r="KP40" s="36"/>
      <c r="KQ40" s="42" t="str">
        <f t="shared" ca="1" si="55"/>
        <v/>
      </c>
      <c r="KR40" s="36"/>
      <c r="KS40" s="73"/>
      <c r="KT40" s="74"/>
      <c r="KW40" s="61" t="str">
        <f t="shared" ca="1" si="56"/>
        <v/>
      </c>
      <c r="KX40" s="62"/>
      <c r="KY40" s="62"/>
      <c r="KZ40" s="63"/>
      <c r="LA40" s="36"/>
      <c r="LB40" s="42" t="str">
        <f t="shared" ca="1" si="57"/>
        <v/>
      </c>
      <c r="LC40" s="36"/>
      <c r="LD40" s="73"/>
      <c r="LE40" s="74"/>
      <c r="LH40" s="61" t="str">
        <f t="shared" ca="1" si="58"/>
        <v/>
      </c>
      <c r="LI40" s="62"/>
      <c r="LJ40" s="62"/>
      <c r="LK40" s="63"/>
      <c r="LL40" s="36"/>
      <c r="LM40" s="42" t="str">
        <f t="shared" ca="1" si="59"/>
        <v/>
      </c>
      <c r="LN40" s="36"/>
      <c r="LO40" s="73"/>
      <c r="LP40" s="74"/>
      <c r="LS40" s="61" t="str">
        <f t="shared" ca="1" si="60"/>
        <v/>
      </c>
      <c r="LT40" s="62"/>
      <c r="LU40" s="62"/>
      <c r="LV40" s="63"/>
      <c r="LW40" s="36"/>
      <c r="LX40" s="42" t="str">
        <f t="shared" ca="1" si="61"/>
        <v/>
      </c>
      <c r="LY40" s="36"/>
      <c r="LZ40" s="73"/>
      <c r="MA40" s="74"/>
      <c r="MD40" s="61" t="str">
        <f t="shared" ca="1" si="62"/>
        <v/>
      </c>
      <c r="ME40" s="62"/>
      <c r="MF40" s="62"/>
      <c r="MG40" s="63"/>
      <c r="MH40" s="36"/>
      <c r="MI40" s="42" t="str">
        <f t="shared" ca="1" si="63"/>
        <v/>
      </c>
      <c r="MJ40" s="36"/>
      <c r="MK40" s="73"/>
      <c r="ML40" s="74"/>
      <c r="MO40" s="61" t="str">
        <f t="shared" ca="1" si="64"/>
        <v/>
      </c>
      <c r="MP40" s="62"/>
      <c r="MQ40" s="62"/>
      <c r="MR40" s="63"/>
      <c r="MS40" s="36"/>
      <c r="MT40" s="42" t="str">
        <f t="shared" ca="1" si="65"/>
        <v/>
      </c>
      <c r="MU40" s="36"/>
      <c r="MV40" s="73"/>
      <c r="MW40" s="74"/>
      <c r="MZ40" s="61" t="str">
        <f t="shared" ca="1" si="66"/>
        <v/>
      </c>
      <c r="NA40" s="62"/>
      <c r="NB40" s="62"/>
      <c r="NC40" s="63"/>
      <c r="ND40" s="36"/>
      <c r="NE40" s="42" t="str">
        <f t="shared" ca="1" si="67"/>
        <v/>
      </c>
      <c r="NF40" s="36"/>
      <c r="NG40" s="73"/>
      <c r="NH40" s="74"/>
      <c r="NK40" s="61" t="str">
        <f t="shared" ca="1" si="68"/>
        <v/>
      </c>
      <c r="NL40" s="62"/>
      <c r="NM40" s="62"/>
      <c r="NN40" s="63"/>
      <c r="NO40" s="36"/>
      <c r="NP40" s="42" t="str">
        <f t="shared" ca="1" si="69"/>
        <v/>
      </c>
      <c r="NQ40" s="36"/>
      <c r="NR40" s="73"/>
      <c r="NS40" s="74"/>
      <c r="NV40" s="61" t="str">
        <f t="shared" ca="1" si="70"/>
        <v/>
      </c>
      <c r="NW40" s="62"/>
      <c r="NX40" s="62"/>
      <c r="NY40" s="63"/>
      <c r="NZ40" s="36"/>
      <c r="OA40" s="42" t="str">
        <f t="shared" ca="1" si="71"/>
        <v/>
      </c>
      <c r="OB40" s="36"/>
      <c r="OC40" s="73"/>
      <c r="OD40" s="74"/>
      <c r="OG40" s="61" t="str">
        <f t="shared" ca="1" si="72"/>
        <v/>
      </c>
      <c r="OH40" s="62"/>
      <c r="OI40" s="62"/>
      <c r="OJ40" s="63"/>
      <c r="OK40" s="36"/>
      <c r="OL40" s="42" t="str">
        <f t="shared" ca="1" si="73"/>
        <v/>
      </c>
      <c r="OM40" s="36"/>
      <c r="ON40" s="73"/>
      <c r="OO40" s="74"/>
      <c r="OR40" s="61" t="str">
        <f t="shared" ca="1" si="74"/>
        <v/>
      </c>
      <c r="OS40" s="62"/>
      <c r="OT40" s="62"/>
      <c r="OU40" s="63"/>
      <c r="OV40" s="36"/>
      <c r="OW40" s="42" t="str">
        <f t="shared" ca="1" si="75"/>
        <v/>
      </c>
      <c r="OX40" s="36"/>
      <c r="OY40" s="73"/>
      <c r="OZ40" s="74"/>
      <c r="PC40" s="61" t="str">
        <f t="shared" ca="1" si="76"/>
        <v/>
      </c>
      <c r="PD40" s="62"/>
      <c r="PE40" s="62"/>
      <c r="PF40" s="63"/>
      <c r="PG40" s="36"/>
      <c r="PH40" s="42" t="str">
        <f t="shared" ca="1" si="77"/>
        <v/>
      </c>
      <c r="PI40" s="36"/>
      <c r="PJ40" s="73"/>
      <c r="PK40" s="74"/>
      <c r="PN40" s="61" t="str">
        <f t="shared" ca="1" si="78"/>
        <v/>
      </c>
      <c r="PO40" s="62"/>
      <c r="PP40" s="62"/>
      <c r="PQ40" s="63"/>
      <c r="PR40" s="36"/>
      <c r="PS40" s="42" t="str">
        <f t="shared" ca="1" si="79"/>
        <v/>
      </c>
      <c r="PT40" s="36"/>
      <c r="PU40" s="73"/>
      <c r="PV40" s="74"/>
      <c r="PY40" s="61" t="str">
        <f t="shared" ca="1" si="80"/>
        <v/>
      </c>
      <c r="PZ40" s="62"/>
      <c r="QA40" s="62"/>
      <c r="QB40" s="63"/>
      <c r="QC40" s="36"/>
      <c r="QD40" s="42" t="str">
        <f t="shared" ca="1" si="81"/>
        <v/>
      </c>
      <c r="QE40" s="36"/>
      <c r="QF40" s="73"/>
      <c r="QG40" s="74"/>
      <c r="QJ40" s="61" t="str">
        <f t="shared" ca="1" si="82"/>
        <v/>
      </c>
      <c r="QK40" s="62"/>
      <c r="QL40" s="62"/>
      <c r="QM40" s="63"/>
      <c r="QN40" s="36"/>
      <c r="QO40" s="42" t="str">
        <f t="shared" ca="1" si="83"/>
        <v/>
      </c>
      <c r="QP40" s="36"/>
      <c r="QQ40" s="73"/>
      <c r="QR40" s="74"/>
      <c r="QU40" s="61" t="str">
        <f t="shared" ca="1" si="84"/>
        <v/>
      </c>
      <c r="QV40" s="62"/>
      <c r="QW40" s="62"/>
      <c r="QX40" s="63"/>
      <c r="QY40" s="36"/>
      <c r="QZ40" s="42" t="str">
        <f t="shared" ca="1" si="85"/>
        <v/>
      </c>
      <c r="RA40" s="36"/>
      <c r="RB40" s="73"/>
      <c r="RC40" s="74"/>
      <c r="RF40" s="61" t="str">
        <f t="shared" ca="1" si="86"/>
        <v/>
      </c>
      <c r="RG40" s="62"/>
      <c r="RH40" s="62"/>
      <c r="RI40" s="63"/>
      <c r="RJ40" s="36"/>
      <c r="RK40" s="42" t="str">
        <f t="shared" ca="1" si="87"/>
        <v/>
      </c>
      <c r="RL40" s="36"/>
      <c r="RM40" s="73"/>
      <c r="RN40" s="74"/>
      <c r="RQ40" s="61" t="str">
        <f t="shared" ca="1" si="88"/>
        <v/>
      </c>
      <c r="RR40" s="62"/>
      <c r="RS40" s="62"/>
      <c r="RT40" s="63"/>
      <c r="RU40" s="36"/>
      <c r="RV40" s="42" t="str">
        <f t="shared" ca="1" si="89"/>
        <v/>
      </c>
      <c r="RW40" s="36"/>
      <c r="RX40" s="73"/>
      <c r="RY40" s="74"/>
      <c r="SB40" s="61" t="str">
        <f t="shared" ca="1" si="90"/>
        <v/>
      </c>
      <c r="SC40" s="62"/>
      <c r="SD40" s="62"/>
      <c r="SE40" s="63"/>
      <c r="SF40" s="36"/>
      <c r="SG40" s="42" t="str">
        <f t="shared" ca="1" si="91"/>
        <v/>
      </c>
      <c r="SH40" s="36"/>
      <c r="SI40" s="73"/>
      <c r="SJ40" s="74"/>
      <c r="SM40" s="61" t="str">
        <f t="shared" ca="1" si="92"/>
        <v/>
      </c>
      <c r="SN40" s="62"/>
      <c r="SO40" s="62"/>
      <c r="SP40" s="63"/>
      <c r="SQ40" s="36"/>
      <c r="SR40" s="42" t="str">
        <f t="shared" ca="1" si="93"/>
        <v/>
      </c>
      <c r="SS40" s="36"/>
      <c r="ST40" s="73"/>
      <c r="SU40" s="74"/>
      <c r="SX40" s="61" t="str">
        <f t="shared" ca="1" si="94"/>
        <v/>
      </c>
      <c r="SY40" s="62"/>
      <c r="SZ40" s="62"/>
      <c r="TA40" s="63"/>
      <c r="TB40" s="36"/>
      <c r="TC40" s="42" t="str">
        <f t="shared" ca="1" si="95"/>
        <v/>
      </c>
      <c r="TD40" s="36"/>
      <c r="TE40" s="73"/>
      <c r="TF40" s="74"/>
      <c r="TI40" s="61" t="str">
        <f t="shared" ca="1" si="96"/>
        <v/>
      </c>
      <c r="TJ40" s="62"/>
      <c r="TK40" s="62"/>
      <c r="TL40" s="63"/>
      <c r="TM40" s="36"/>
      <c r="TN40" s="42" t="str">
        <f t="shared" ca="1" si="97"/>
        <v/>
      </c>
      <c r="TO40" s="36"/>
      <c r="TP40" s="73"/>
      <c r="TQ40" s="74"/>
      <c r="TT40" s="61" t="str">
        <f t="shared" ca="1" si="98"/>
        <v/>
      </c>
      <c r="TU40" s="62"/>
      <c r="TV40" s="62"/>
      <c r="TW40" s="63"/>
      <c r="TX40" s="36"/>
      <c r="TY40" s="42" t="str">
        <f t="shared" ca="1" si="99"/>
        <v/>
      </c>
      <c r="TZ40" s="36"/>
      <c r="UA40" s="73"/>
      <c r="UB40" s="74"/>
      <c r="UE40" s="61" t="str">
        <f t="shared" ca="1" si="100"/>
        <v/>
      </c>
      <c r="UF40" s="62"/>
      <c r="UG40" s="62"/>
      <c r="UH40" s="63"/>
      <c r="UI40" s="36"/>
      <c r="UJ40" s="42" t="str">
        <f t="shared" ca="1" si="101"/>
        <v/>
      </c>
      <c r="UK40" s="36"/>
      <c r="UL40" s="73"/>
      <c r="UM40" s="74"/>
      <c r="UP40" s="61" t="str">
        <f t="shared" ca="1" si="102"/>
        <v/>
      </c>
      <c r="UQ40" s="62"/>
      <c r="UR40" s="62"/>
      <c r="US40" s="63"/>
      <c r="UT40" s="36"/>
      <c r="UU40" s="42" t="str">
        <f t="shared" ca="1" si="103"/>
        <v/>
      </c>
      <c r="UV40" s="36"/>
      <c r="UW40" s="73"/>
      <c r="UX40" s="74"/>
      <c r="VA40" s="61" t="str">
        <f t="shared" ca="1" si="104"/>
        <v/>
      </c>
      <c r="VB40" s="62"/>
      <c r="VC40" s="62"/>
      <c r="VD40" s="63"/>
      <c r="VE40" s="36"/>
      <c r="VF40" s="42" t="str">
        <f t="shared" ca="1" si="105"/>
        <v/>
      </c>
      <c r="VG40" s="36"/>
      <c r="VH40" s="73"/>
      <c r="VI40" s="74"/>
      <c r="VL40" s="61" t="str">
        <f t="shared" ca="1" si="106"/>
        <v/>
      </c>
      <c r="VM40" s="62"/>
      <c r="VN40" s="62"/>
      <c r="VO40" s="63"/>
      <c r="VP40" s="36"/>
      <c r="VQ40" s="42" t="str">
        <f t="shared" ca="1" si="107"/>
        <v/>
      </c>
      <c r="VR40" s="36"/>
      <c r="VS40" s="73"/>
      <c r="VT40" s="74"/>
      <c r="VW40" s="61" t="str">
        <f t="shared" ca="1" si="108"/>
        <v/>
      </c>
      <c r="VX40" s="62"/>
      <c r="VY40" s="62"/>
      <c r="VZ40" s="63"/>
      <c r="WA40" s="36"/>
      <c r="WB40" s="42" t="str">
        <f t="shared" ca="1" si="109"/>
        <v/>
      </c>
      <c r="WC40" s="36"/>
      <c r="WD40" s="73"/>
      <c r="WE40" s="74"/>
      <c r="WH40" s="61" t="str">
        <f t="shared" ca="1" si="110"/>
        <v/>
      </c>
      <c r="WI40" s="62"/>
      <c r="WJ40" s="62"/>
      <c r="WK40" s="63"/>
      <c r="WL40" s="36"/>
      <c r="WM40" s="42" t="str">
        <f t="shared" ca="1" si="111"/>
        <v/>
      </c>
      <c r="WN40" s="36"/>
      <c r="WO40" s="73"/>
      <c r="WP40" s="74"/>
      <c r="WS40" s="61" t="str">
        <f t="shared" ca="1" si="112"/>
        <v/>
      </c>
      <c r="WT40" s="62"/>
      <c r="WU40" s="62"/>
      <c r="WV40" s="63"/>
      <c r="WW40" s="36"/>
      <c r="WX40" s="42" t="str">
        <f t="shared" ca="1" si="113"/>
        <v/>
      </c>
      <c r="WY40" s="36"/>
      <c r="WZ40" s="73"/>
      <c r="XA40" s="74"/>
      <c r="XD40" s="61" t="str">
        <f t="shared" ca="1" si="114"/>
        <v/>
      </c>
      <c r="XE40" s="62"/>
      <c r="XF40" s="62"/>
      <c r="XG40" s="63"/>
      <c r="XH40" s="36"/>
      <c r="XI40" s="42" t="str">
        <f t="shared" ca="1" si="115"/>
        <v/>
      </c>
      <c r="XJ40" s="36"/>
      <c r="XK40" s="73"/>
      <c r="XL40" s="74"/>
      <c r="XO40" s="61" t="str">
        <f t="shared" ca="1" si="116"/>
        <v/>
      </c>
      <c r="XP40" s="62"/>
      <c r="XQ40" s="62"/>
      <c r="XR40" s="63"/>
      <c r="XS40" s="36"/>
      <c r="XT40" s="42" t="str">
        <f t="shared" ca="1" si="117"/>
        <v/>
      </c>
      <c r="XU40" s="36"/>
      <c r="XV40" s="73"/>
      <c r="XW40" s="74"/>
      <c r="XZ40" s="61" t="str">
        <f t="shared" ca="1" si="118"/>
        <v/>
      </c>
      <c r="YA40" s="62"/>
      <c r="YB40" s="62"/>
      <c r="YC40" s="63"/>
      <c r="YD40" s="36"/>
      <c r="YE40" s="42" t="str">
        <f t="shared" ca="1" si="119"/>
        <v/>
      </c>
      <c r="YF40" s="36"/>
      <c r="YG40" s="73"/>
      <c r="YH40" s="74"/>
      <c r="YK40" s="61" t="str">
        <f t="shared" ca="1" si="120"/>
        <v/>
      </c>
      <c r="YL40" s="62"/>
      <c r="YM40" s="62"/>
      <c r="YN40" s="63"/>
      <c r="YO40" s="36"/>
      <c r="YP40" s="42" t="str">
        <f t="shared" ca="1" si="121"/>
        <v/>
      </c>
      <c r="YQ40" s="36"/>
      <c r="YR40" s="73"/>
      <c r="YS40" s="74"/>
      <c r="YV40" s="61" t="str">
        <f t="shared" ca="1" si="122"/>
        <v/>
      </c>
      <c r="YW40" s="62"/>
      <c r="YX40" s="62"/>
      <c r="YY40" s="63"/>
      <c r="YZ40" s="36"/>
      <c r="ZA40" s="42" t="str">
        <f t="shared" ca="1" si="123"/>
        <v/>
      </c>
      <c r="ZB40" s="36"/>
      <c r="ZC40" s="73"/>
      <c r="ZD40" s="74"/>
      <c r="ZG40" s="61" t="str">
        <f t="shared" ca="1" si="124"/>
        <v/>
      </c>
      <c r="ZH40" s="62"/>
      <c r="ZI40" s="62"/>
      <c r="ZJ40" s="63"/>
      <c r="ZK40" s="36"/>
      <c r="ZL40" s="42" t="str">
        <f t="shared" ca="1" si="125"/>
        <v/>
      </c>
      <c r="ZM40" s="36"/>
      <c r="ZN40" s="73"/>
      <c r="ZO40" s="74"/>
      <c r="ZR40" s="61" t="str">
        <f t="shared" ca="1" si="126"/>
        <v/>
      </c>
      <c r="ZS40" s="62"/>
      <c r="ZT40" s="62"/>
      <c r="ZU40" s="63"/>
      <c r="ZV40" s="36"/>
      <c r="ZW40" s="42" t="str">
        <f t="shared" ca="1" si="127"/>
        <v/>
      </c>
      <c r="ZX40" s="36"/>
      <c r="ZY40" s="73"/>
      <c r="ZZ40" s="74"/>
      <c r="AAC40" s="61" t="str">
        <f t="shared" ca="1" si="128"/>
        <v/>
      </c>
      <c r="AAD40" s="62"/>
      <c r="AAE40" s="62"/>
      <c r="AAF40" s="63"/>
      <c r="AAG40" s="36"/>
      <c r="AAH40" s="42" t="str">
        <f t="shared" ca="1" si="129"/>
        <v/>
      </c>
      <c r="AAI40" s="36"/>
      <c r="AAJ40" s="73"/>
      <c r="AAK40" s="74"/>
      <c r="AAN40" s="61" t="str">
        <f t="shared" ca="1" si="130"/>
        <v/>
      </c>
      <c r="AAO40" s="62"/>
      <c r="AAP40" s="62"/>
      <c r="AAQ40" s="63"/>
      <c r="AAR40" s="36"/>
      <c r="AAS40" s="42" t="str">
        <f t="shared" ca="1" si="131"/>
        <v/>
      </c>
      <c r="AAT40" s="36"/>
      <c r="AAU40" s="73"/>
      <c r="AAV40" s="74"/>
      <c r="AAY40" s="61" t="str">
        <f t="shared" ca="1" si="132"/>
        <v/>
      </c>
      <c r="AAZ40" s="62"/>
      <c r="ABA40" s="62"/>
      <c r="ABB40" s="63"/>
      <c r="ABC40" s="36"/>
      <c r="ABD40" s="42" t="str">
        <f t="shared" ca="1" si="133"/>
        <v/>
      </c>
      <c r="ABE40" s="36"/>
      <c r="ABF40" s="73"/>
      <c r="ABG40" s="74"/>
      <c r="ABJ40" s="61" t="str">
        <f t="shared" ca="1" si="134"/>
        <v/>
      </c>
      <c r="ABK40" s="62"/>
      <c r="ABL40" s="62"/>
      <c r="ABM40" s="63"/>
      <c r="ABN40" s="36"/>
      <c r="ABO40" s="42" t="str">
        <f t="shared" ca="1" si="135"/>
        <v/>
      </c>
      <c r="ABP40" s="36"/>
      <c r="ABQ40" s="73"/>
      <c r="ABR40" s="74"/>
      <c r="ABU40" s="61" t="str">
        <f t="shared" ca="1" si="136"/>
        <v/>
      </c>
      <c r="ABV40" s="62"/>
      <c r="ABW40" s="62"/>
      <c r="ABX40" s="63"/>
      <c r="ABY40" s="36"/>
      <c r="ABZ40" s="42" t="str">
        <f t="shared" ca="1" si="137"/>
        <v/>
      </c>
      <c r="ACA40" s="36"/>
      <c r="ACB40" s="73"/>
      <c r="ACC40" s="74"/>
      <c r="ACF40" s="61" t="str">
        <f t="shared" ca="1" si="138"/>
        <v/>
      </c>
      <c r="ACG40" s="62"/>
      <c r="ACH40" s="62"/>
      <c r="ACI40" s="63"/>
      <c r="ACJ40" s="36"/>
      <c r="ACK40" s="42" t="str">
        <f t="shared" ca="1" si="139"/>
        <v/>
      </c>
      <c r="ACL40" s="36"/>
      <c r="ACM40" s="73"/>
      <c r="ACN40" s="74"/>
      <c r="ACQ40" s="61" t="str">
        <f t="shared" ca="1" si="140"/>
        <v/>
      </c>
      <c r="ACR40" s="62"/>
      <c r="ACS40" s="62"/>
      <c r="ACT40" s="63"/>
      <c r="ACU40" s="36"/>
      <c r="ACV40" s="42" t="str">
        <f t="shared" ca="1" si="141"/>
        <v/>
      </c>
      <c r="ACW40" s="36"/>
      <c r="ACX40" s="73"/>
      <c r="ACY40" s="74"/>
      <c r="ADB40" s="61" t="str">
        <f t="shared" ca="1" si="142"/>
        <v/>
      </c>
      <c r="ADC40" s="62"/>
      <c r="ADD40" s="62"/>
      <c r="ADE40" s="63"/>
      <c r="ADF40" s="36"/>
      <c r="ADG40" s="42" t="str">
        <f t="shared" ca="1" si="143"/>
        <v/>
      </c>
      <c r="ADH40" s="36"/>
      <c r="ADI40" s="73"/>
      <c r="ADJ40" s="74"/>
    </row>
    <row r="41" spans="1:790" x14ac:dyDescent="0.45">
      <c r="A41" s="61"/>
      <c r="B41" s="62"/>
      <c r="C41" s="62"/>
      <c r="D41" s="63"/>
      <c r="E41" s="36"/>
      <c r="F41" s="42"/>
      <c r="G41" s="36"/>
      <c r="H41" s="73"/>
      <c r="I41" s="74"/>
      <c r="L41" s="61"/>
      <c r="M41" s="62"/>
      <c r="N41" s="62"/>
      <c r="O41" s="63"/>
      <c r="P41" s="36"/>
      <c r="Q41" s="42"/>
      <c r="R41" s="36"/>
      <c r="S41" s="73"/>
      <c r="T41" s="74"/>
      <c r="W41" s="61"/>
      <c r="X41" s="62"/>
      <c r="Y41" s="62"/>
      <c r="Z41" s="63"/>
      <c r="AA41" s="36"/>
      <c r="AB41" s="42"/>
      <c r="AC41" s="36"/>
      <c r="AD41" s="73"/>
      <c r="AE41" s="74"/>
      <c r="AH41" s="61"/>
      <c r="AI41" s="62"/>
      <c r="AJ41" s="62"/>
      <c r="AK41" s="63"/>
      <c r="AL41" s="36"/>
      <c r="AM41" s="42"/>
      <c r="AN41" s="36"/>
      <c r="AO41" s="73"/>
      <c r="AP41" s="74"/>
      <c r="AS41" s="61"/>
      <c r="AT41" s="62"/>
      <c r="AU41" s="62"/>
      <c r="AV41" s="63"/>
      <c r="AW41" s="36"/>
      <c r="AX41" s="42"/>
      <c r="AY41" s="36"/>
      <c r="AZ41" s="73"/>
      <c r="BA41" s="74"/>
      <c r="BD41" s="61"/>
      <c r="BE41" s="62"/>
      <c r="BF41" s="62"/>
      <c r="BG41" s="63"/>
      <c r="BH41" s="36"/>
      <c r="BI41" s="42"/>
      <c r="BJ41" s="36"/>
      <c r="BK41" s="73"/>
      <c r="BL41" s="74"/>
      <c r="BO41" s="61"/>
      <c r="BP41" s="62"/>
      <c r="BQ41" s="62"/>
      <c r="BR41" s="63"/>
      <c r="BS41" s="36"/>
      <c r="BT41" s="42"/>
      <c r="BU41" s="36"/>
      <c r="BV41" s="73"/>
      <c r="BW41" s="74"/>
      <c r="BZ41" s="61"/>
      <c r="CA41" s="62"/>
      <c r="CB41" s="62"/>
      <c r="CC41" s="63"/>
      <c r="CD41" s="36"/>
      <c r="CE41" s="42"/>
      <c r="CF41" s="36"/>
      <c r="CG41" s="73"/>
      <c r="CH41" s="74"/>
      <c r="CK41" s="61"/>
      <c r="CL41" s="62"/>
      <c r="CM41" s="62"/>
      <c r="CN41" s="63"/>
      <c r="CO41" s="36"/>
      <c r="CP41" s="42"/>
      <c r="CQ41" s="36"/>
      <c r="CR41" s="73"/>
      <c r="CS41" s="74"/>
      <c r="CV41" s="61"/>
      <c r="CW41" s="62"/>
      <c r="CX41" s="62"/>
      <c r="CY41" s="63"/>
      <c r="CZ41" s="36"/>
      <c r="DA41" s="42"/>
      <c r="DB41" s="36"/>
      <c r="DC41" s="73"/>
      <c r="DD41" s="74"/>
      <c r="DG41" s="61"/>
      <c r="DH41" s="62"/>
      <c r="DI41" s="62"/>
      <c r="DJ41" s="63"/>
      <c r="DK41" s="36"/>
      <c r="DL41" s="42"/>
      <c r="DM41" s="36"/>
      <c r="DN41" s="73"/>
      <c r="DO41" s="74"/>
      <c r="DR41" s="61"/>
      <c r="DS41" s="62"/>
      <c r="DT41" s="62"/>
      <c r="DU41" s="63"/>
      <c r="DV41" s="36"/>
      <c r="DW41" s="42"/>
      <c r="DX41" s="36"/>
      <c r="DY41" s="73"/>
      <c r="DZ41" s="74"/>
      <c r="EC41" s="61"/>
      <c r="ED41" s="62"/>
      <c r="EE41" s="62"/>
      <c r="EF41" s="63"/>
      <c r="EG41" s="36"/>
      <c r="EH41" s="42"/>
      <c r="EI41" s="36"/>
      <c r="EJ41" s="73"/>
      <c r="EK41" s="74"/>
      <c r="EN41" s="61"/>
      <c r="EO41" s="62"/>
      <c r="EP41" s="62"/>
      <c r="EQ41" s="63"/>
      <c r="ER41" s="36"/>
      <c r="ES41" s="42"/>
      <c r="ET41" s="36"/>
      <c r="EU41" s="73"/>
      <c r="EV41" s="74"/>
      <c r="EY41" s="61"/>
      <c r="EZ41" s="62"/>
      <c r="FA41" s="62"/>
      <c r="FB41" s="63"/>
      <c r="FC41" s="36"/>
      <c r="FD41" s="42"/>
      <c r="FE41" s="36"/>
      <c r="FF41" s="73"/>
      <c r="FG41" s="74"/>
      <c r="FJ41" s="61"/>
      <c r="FK41" s="62"/>
      <c r="FL41" s="62"/>
      <c r="FM41" s="63"/>
      <c r="FN41" s="36"/>
      <c r="FO41" s="42"/>
      <c r="FP41" s="36"/>
      <c r="FQ41" s="73"/>
      <c r="FR41" s="74"/>
      <c r="FU41" s="61"/>
      <c r="FV41" s="62"/>
      <c r="FW41" s="62"/>
      <c r="FX41" s="63"/>
      <c r="FY41" s="36"/>
      <c r="FZ41" s="42"/>
      <c r="GA41" s="36"/>
      <c r="GB41" s="73"/>
      <c r="GC41" s="74"/>
      <c r="GF41" s="61"/>
      <c r="GG41" s="62"/>
      <c r="GH41" s="62"/>
      <c r="GI41" s="63"/>
      <c r="GJ41" s="36"/>
      <c r="GK41" s="42"/>
      <c r="GL41" s="36"/>
      <c r="GM41" s="73"/>
      <c r="GN41" s="74"/>
      <c r="GQ41" s="61"/>
      <c r="GR41" s="62"/>
      <c r="GS41" s="62"/>
      <c r="GT41" s="63"/>
      <c r="GU41" s="36"/>
      <c r="GV41" s="42"/>
      <c r="GW41" s="36"/>
      <c r="GX41" s="73"/>
      <c r="GY41" s="74"/>
      <c r="HB41" s="61"/>
      <c r="HC41" s="62"/>
      <c r="HD41" s="62"/>
      <c r="HE41" s="63"/>
      <c r="HF41" s="36"/>
      <c r="HG41" s="42"/>
      <c r="HH41" s="36"/>
      <c r="HI41" s="73"/>
      <c r="HJ41" s="74"/>
      <c r="HM41" s="61"/>
      <c r="HN41" s="62"/>
      <c r="HO41" s="62"/>
      <c r="HP41" s="63"/>
      <c r="HQ41" s="36"/>
      <c r="HR41" s="42"/>
      <c r="HS41" s="36"/>
      <c r="HT41" s="73"/>
      <c r="HU41" s="74"/>
      <c r="HX41" s="61"/>
      <c r="HY41" s="62"/>
      <c r="HZ41" s="62"/>
      <c r="IA41" s="63"/>
      <c r="IB41" s="36"/>
      <c r="IC41" s="42"/>
      <c r="ID41" s="36"/>
      <c r="IE41" s="73"/>
      <c r="IF41" s="74"/>
      <c r="II41" s="61"/>
      <c r="IJ41" s="62"/>
      <c r="IK41" s="62"/>
      <c r="IL41" s="63"/>
      <c r="IM41" s="36"/>
      <c r="IN41" s="42"/>
      <c r="IO41" s="36"/>
      <c r="IP41" s="73"/>
      <c r="IQ41" s="74"/>
      <c r="IT41" s="61"/>
      <c r="IU41" s="62"/>
      <c r="IV41" s="62"/>
      <c r="IW41" s="63"/>
      <c r="IX41" s="36"/>
      <c r="IY41" s="42"/>
      <c r="IZ41" s="36"/>
      <c r="JA41" s="73"/>
      <c r="JB41" s="74"/>
      <c r="JE41" s="61"/>
      <c r="JF41" s="62"/>
      <c r="JG41" s="62"/>
      <c r="JH41" s="63"/>
      <c r="JI41" s="36"/>
      <c r="JJ41" s="42"/>
      <c r="JK41" s="36"/>
      <c r="JL41" s="73"/>
      <c r="JM41" s="74"/>
      <c r="JP41" s="61"/>
      <c r="JQ41" s="62"/>
      <c r="JR41" s="62"/>
      <c r="JS41" s="63"/>
      <c r="JT41" s="36"/>
      <c r="JU41" s="42"/>
      <c r="JV41" s="36"/>
      <c r="JW41" s="73"/>
      <c r="JX41" s="74"/>
      <c r="KA41" s="61"/>
      <c r="KB41" s="62"/>
      <c r="KC41" s="62"/>
      <c r="KD41" s="63"/>
      <c r="KE41" s="36"/>
      <c r="KF41" s="42"/>
      <c r="KG41" s="36"/>
      <c r="KH41" s="73"/>
      <c r="KI41" s="74"/>
      <c r="KL41" s="61"/>
      <c r="KM41" s="62"/>
      <c r="KN41" s="62"/>
      <c r="KO41" s="63"/>
      <c r="KP41" s="36"/>
      <c r="KQ41" s="42"/>
      <c r="KR41" s="36"/>
      <c r="KS41" s="73"/>
      <c r="KT41" s="74"/>
      <c r="KW41" s="61"/>
      <c r="KX41" s="62"/>
      <c r="KY41" s="62"/>
      <c r="KZ41" s="63"/>
      <c r="LA41" s="36"/>
      <c r="LB41" s="42"/>
      <c r="LC41" s="36"/>
      <c r="LD41" s="73"/>
      <c r="LE41" s="74"/>
      <c r="LH41" s="61"/>
      <c r="LI41" s="62"/>
      <c r="LJ41" s="62"/>
      <c r="LK41" s="63"/>
      <c r="LL41" s="36"/>
      <c r="LM41" s="42"/>
      <c r="LN41" s="36"/>
      <c r="LO41" s="73"/>
      <c r="LP41" s="74"/>
      <c r="LS41" s="61"/>
      <c r="LT41" s="62"/>
      <c r="LU41" s="62"/>
      <c r="LV41" s="63"/>
      <c r="LW41" s="36"/>
      <c r="LX41" s="42"/>
      <c r="LY41" s="36"/>
      <c r="LZ41" s="73"/>
      <c r="MA41" s="74"/>
      <c r="MD41" s="61"/>
      <c r="ME41" s="62"/>
      <c r="MF41" s="62"/>
      <c r="MG41" s="63"/>
      <c r="MH41" s="36"/>
      <c r="MI41" s="42"/>
      <c r="MJ41" s="36"/>
      <c r="MK41" s="73"/>
      <c r="ML41" s="74"/>
      <c r="MO41" s="61"/>
      <c r="MP41" s="62"/>
      <c r="MQ41" s="62"/>
      <c r="MR41" s="63"/>
      <c r="MS41" s="36"/>
      <c r="MT41" s="42"/>
      <c r="MU41" s="36"/>
      <c r="MV41" s="73"/>
      <c r="MW41" s="74"/>
      <c r="MZ41" s="61"/>
      <c r="NA41" s="62"/>
      <c r="NB41" s="62"/>
      <c r="NC41" s="63"/>
      <c r="ND41" s="36"/>
      <c r="NE41" s="42"/>
      <c r="NF41" s="36"/>
      <c r="NG41" s="73"/>
      <c r="NH41" s="74"/>
      <c r="NK41" s="61"/>
      <c r="NL41" s="62"/>
      <c r="NM41" s="62"/>
      <c r="NN41" s="63"/>
      <c r="NO41" s="36"/>
      <c r="NP41" s="42"/>
      <c r="NQ41" s="36"/>
      <c r="NR41" s="73"/>
      <c r="NS41" s="74"/>
      <c r="NV41" s="61"/>
      <c r="NW41" s="62"/>
      <c r="NX41" s="62"/>
      <c r="NY41" s="63"/>
      <c r="NZ41" s="36"/>
      <c r="OA41" s="42"/>
      <c r="OB41" s="36"/>
      <c r="OC41" s="73"/>
      <c r="OD41" s="74"/>
      <c r="OG41" s="61"/>
      <c r="OH41" s="62"/>
      <c r="OI41" s="62"/>
      <c r="OJ41" s="63"/>
      <c r="OK41" s="36"/>
      <c r="OL41" s="42"/>
      <c r="OM41" s="36"/>
      <c r="ON41" s="73"/>
      <c r="OO41" s="74"/>
      <c r="OR41" s="61"/>
      <c r="OS41" s="62"/>
      <c r="OT41" s="62"/>
      <c r="OU41" s="63"/>
      <c r="OV41" s="36"/>
      <c r="OW41" s="42"/>
      <c r="OX41" s="36"/>
      <c r="OY41" s="73"/>
      <c r="OZ41" s="74"/>
      <c r="PC41" s="61"/>
      <c r="PD41" s="62"/>
      <c r="PE41" s="62"/>
      <c r="PF41" s="63"/>
      <c r="PG41" s="36"/>
      <c r="PH41" s="42"/>
      <c r="PI41" s="36"/>
      <c r="PJ41" s="73"/>
      <c r="PK41" s="74"/>
      <c r="PN41" s="61"/>
      <c r="PO41" s="62"/>
      <c r="PP41" s="62"/>
      <c r="PQ41" s="63"/>
      <c r="PR41" s="36"/>
      <c r="PS41" s="42"/>
      <c r="PT41" s="36"/>
      <c r="PU41" s="73"/>
      <c r="PV41" s="74"/>
      <c r="PY41" s="61"/>
      <c r="PZ41" s="62"/>
      <c r="QA41" s="62"/>
      <c r="QB41" s="63"/>
      <c r="QC41" s="36"/>
      <c r="QD41" s="42"/>
      <c r="QE41" s="36"/>
      <c r="QF41" s="73"/>
      <c r="QG41" s="74"/>
      <c r="QJ41" s="61"/>
      <c r="QK41" s="62"/>
      <c r="QL41" s="62"/>
      <c r="QM41" s="63"/>
      <c r="QN41" s="36"/>
      <c r="QO41" s="42"/>
      <c r="QP41" s="36"/>
      <c r="QQ41" s="73"/>
      <c r="QR41" s="74"/>
      <c r="QU41" s="61"/>
      <c r="QV41" s="62"/>
      <c r="QW41" s="62"/>
      <c r="QX41" s="63"/>
      <c r="QY41" s="36"/>
      <c r="QZ41" s="42"/>
      <c r="RA41" s="36"/>
      <c r="RB41" s="73"/>
      <c r="RC41" s="74"/>
      <c r="RF41" s="61"/>
      <c r="RG41" s="62"/>
      <c r="RH41" s="62"/>
      <c r="RI41" s="63"/>
      <c r="RJ41" s="36"/>
      <c r="RK41" s="42"/>
      <c r="RL41" s="36"/>
      <c r="RM41" s="73"/>
      <c r="RN41" s="74"/>
      <c r="RQ41" s="61"/>
      <c r="RR41" s="62"/>
      <c r="RS41" s="62"/>
      <c r="RT41" s="63"/>
      <c r="RU41" s="36"/>
      <c r="RV41" s="42"/>
      <c r="RW41" s="36"/>
      <c r="RX41" s="73"/>
      <c r="RY41" s="74"/>
      <c r="SB41" s="61"/>
      <c r="SC41" s="62"/>
      <c r="SD41" s="62"/>
      <c r="SE41" s="63"/>
      <c r="SF41" s="36"/>
      <c r="SG41" s="42"/>
      <c r="SH41" s="36"/>
      <c r="SI41" s="73"/>
      <c r="SJ41" s="74"/>
      <c r="SM41" s="61"/>
      <c r="SN41" s="62"/>
      <c r="SO41" s="62"/>
      <c r="SP41" s="63"/>
      <c r="SQ41" s="36"/>
      <c r="SR41" s="42"/>
      <c r="SS41" s="36"/>
      <c r="ST41" s="73"/>
      <c r="SU41" s="74"/>
      <c r="SX41" s="61"/>
      <c r="SY41" s="62"/>
      <c r="SZ41" s="62"/>
      <c r="TA41" s="63"/>
      <c r="TB41" s="36"/>
      <c r="TC41" s="42"/>
      <c r="TD41" s="36"/>
      <c r="TE41" s="73"/>
      <c r="TF41" s="74"/>
      <c r="TI41" s="61"/>
      <c r="TJ41" s="62"/>
      <c r="TK41" s="62"/>
      <c r="TL41" s="63"/>
      <c r="TM41" s="36"/>
      <c r="TN41" s="42"/>
      <c r="TO41" s="36"/>
      <c r="TP41" s="73"/>
      <c r="TQ41" s="74"/>
      <c r="TT41" s="61"/>
      <c r="TU41" s="62"/>
      <c r="TV41" s="62"/>
      <c r="TW41" s="63"/>
      <c r="TX41" s="36"/>
      <c r="TY41" s="42"/>
      <c r="TZ41" s="36"/>
      <c r="UA41" s="73"/>
      <c r="UB41" s="74"/>
      <c r="UE41" s="61"/>
      <c r="UF41" s="62"/>
      <c r="UG41" s="62"/>
      <c r="UH41" s="63"/>
      <c r="UI41" s="36"/>
      <c r="UJ41" s="42"/>
      <c r="UK41" s="36"/>
      <c r="UL41" s="73"/>
      <c r="UM41" s="74"/>
      <c r="UP41" s="61"/>
      <c r="UQ41" s="62"/>
      <c r="UR41" s="62"/>
      <c r="US41" s="63"/>
      <c r="UT41" s="36"/>
      <c r="UU41" s="42"/>
      <c r="UV41" s="36"/>
      <c r="UW41" s="73"/>
      <c r="UX41" s="74"/>
      <c r="VA41" s="61"/>
      <c r="VB41" s="62"/>
      <c r="VC41" s="62"/>
      <c r="VD41" s="63"/>
      <c r="VE41" s="36"/>
      <c r="VF41" s="42"/>
      <c r="VG41" s="36"/>
      <c r="VH41" s="73"/>
      <c r="VI41" s="74"/>
      <c r="VL41" s="61"/>
      <c r="VM41" s="62"/>
      <c r="VN41" s="62"/>
      <c r="VO41" s="63"/>
      <c r="VP41" s="36"/>
      <c r="VQ41" s="42"/>
      <c r="VR41" s="36"/>
      <c r="VS41" s="73"/>
      <c r="VT41" s="74"/>
      <c r="VW41" s="61"/>
      <c r="VX41" s="62"/>
      <c r="VY41" s="62"/>
      <c r="VZ41" s="63"/>
      <c r="WA41" s="36"/>
      <c r="WB41" s="42"/>
      <c r="WC41" s="36"/>
      <c r="WD41" s="73"/>
      <c r="WE41" s="74"/>
      <c r="WH41" s="61"/>
      <c r="WI41" s="62"/>
      <c r="WJ41" s="62"/>
      <c r="WK41" s="63"/>
      <c r="WL41" s="36"/>
      <c r="WM41" s="42"/>
      <c r="WN41" s="36"/>
      <c r="WO41" s="73"/>
      <c r="WP41" s="74"/>
      <c r="WS41" s="61"/>
      <c r="WT41" s="62"/>
      <c r="WU41" s="62"/>
      <c r="WV41" s="63"/>
      <c r="WW41" s="36"/>
      <c r="WX41" s="42"/>
      <c r="WY41" s="36"/>
      <c r="WZ41" s="73"/>
      <c r="XA41" s="74"/>
      <c r="XD41" s="61"/>
      <c r="XE41" s="62"/>
      <c r="XF41" s="62"/>
      <c r="XG41" s="63"/>
      <c r="XH41" s="36"/>
      <c r="XI41" s="42"/>
      <c r="XJ41" s="36"/>
      <c r="XK41" s="73"/>
      <c r="XL41" s="74"/>
      <c r="XO41" s="61"/>
      <c r="XP41" s="62"/>
      <c r="XQ41" s="62"/>
      <c r="XR41" s="63"/>
      <c r="XS41" s="36"/>
      <c r="XT41" s="42"/>
      <c r="XU41" s="36"/>
      <c r="XV41" s="73"/>
      <c r="XW41" s="74"/>
      <c r="XZ41" s="61"/>
      <c r="YA41" s="62"/>
      <c r="YB41" s="62"/>
      <c r="YC41" s="63"/>
      <c r="YD41" s="36"/>
      <c r="YE41" s="42"/>
      <c r="YF41" s="36"/>
      <c r="YG41" s="73"/>
      <c r="YH41" s="74"/>
      <c r="YK41" s="61"/>
      <c r="YL41" s="62"/>
      <c r="YM41" s="62"/>
      <c r="YN41" s="63"/>
      <c r="YO41" s="36"/>
      <c r="YP41" s="42"/>
      <c r="YQ41" s="36"/>
      <c r="YR41" s="73"/>
      <c r="YS41" s="74"/>
      <c r="YV41" s="61"/>
      <c r="YW41" s="62"/>
      <c r="YX41" s="62"/>
      <c r="YY41" s="63"/>
      <c r="YZ41" s="36"/>
      <c r="ZA41" s="42"/>
      <c r="ZB41" s="36"/>
      <c r="ZC41" s="73"/>
      <c r="ZD41" s="74"/>
      <c r="ZG41" s="61"/>
      <c r="ZH41" s="62"/>
      <c r="ZI41" s="62"/>
      <c r="ZJ41" s="63"/>
      <c r="ZK41" s="36"/>
      <c r="ZL41" s="42"/>
      <c r="ZM41" s="36"/>
      <c r="ZN41" s="73"/>
      <c r="ZO41" s="74"/>
      <c r="ZR41" s="61"/>
      <c r="ZS41" s="62"/>
      <c r="ZT41" s="62"/>
      <c r="ZU41" s="63"/>
      <c r="ZV41" s="36"/>
      <c r="ZW41" s="42"/>
      <c r="ZX41" s="36"/>
      <c r="ZY41" s="73"/>
      <c r="ZZ41" s="74"/>
      <c r="AAC41" s="61"/>
      <c r="AAD41" s="62"/>
      <c r="AAE41" s="62"/>
      <c r="AAF41" s="63"/>
      <c r="AAG41" s="36"/>
      <c r="AAH41" s="42"/>
      <c r="AAI41" s="36"/>
      <c r="AAJ41" s="73"/>
      <c r="AAK41" s="74"/>
      <c r="AAN41" s="61"/>
      <c r="AAO41" s="62"/>
      <c r="AAP41" s="62"/>
      <c r="AAQ41" s="63"/>
      <c r="AAR41" s="36"/>
      <c r="AAS41" s="42"/>
      <c r="AAT41" s="36"/>
      <c r="AAU41" s="73"/>
      <c r="AAV41" s="74"/>
      <c r="AAY41" s="61"/>
      <c r="AAZ41" s="62"/>
      <c r="ABA41" s="62"/>
      <c r="ABB41" s="63"/>
      <c r="ABC41" s="36"/>
      <c r="ABD41" s="42"/>
      <c r="ABE41" s="36"/>
      <c r="ABF41" s="73"/>
      <c r="ABG41" s="74"/>
      <c r="ABJ41" s="61"/>
      <c r="ABK41" s="62"/>
      <c r="ABL41" s="62"/>
      <c r="ABM41" s="63"/>
      <c r="ABN41" s="36"/>
      <c r="ABO41" s="42"/>
      <c r="ABP41" s="36"/>
      <c r="ABQ41" s="73"/>
      <c r="ABR41" s="74"/>
      <c r="ABU41" s="61"/>
      <c r="ABV41" s="62"/>
      <c r="ABW41" s="62"/>
      <c r="ABX41" s="63"/>
      <c r="ABY41" s="36"/>
      <c r="ABZ41" s="42"/>
      <c r="ACA41" s="36"/>
      <c r="ACB41" s="73"/>
      <c r="ACC41" s="74"/>
      <c r="ACF41" s="61"/>
      <c r="ACG41" s="62"/>
      <c r="ACH41" s="62"/>
      <c r="ACI41" s="63"/>
      <c r="ACJ41" s="36"/>
      <c r="ACK41" s="42"/>
      <c r="ACL41" s="36"/>
      <c r="ACM41" s="73"/>
      <c r="ACN41" s="74"/>
      <c r="ACQ41" s="61"/>
      <c r="ACR41" s="62"/>
      <c r="ACS41" s="62"/>
      <c r="ACT41" s="63"/>
      <c r="ACU41" s="36"/>
      <c r="ACV41" s="42"/>
      <c r="ACW41" s="36"/>
      <c r="ACX41" s="73"/>
      <c r="ACY41" s="74"/>
      <c r="ADB41" s="61"/>
      <c r="ADC41" s="62"/>
      <c r="ADD41" s="62"/>
      <c r="ADE41" s="63"/>
      <c r="ADF41" s="36"/>
      <c r="ADG41" s="42"/>
      <c r="ADH41" s="36"/>
      <c r="ADI41" s="73"/>
      <c r="ADJ41" s="74"/>
    </row>
    <row r="42" spans="1:790" x14ac:dyDescent="0.45">
      <c r="A42" s="64"/>
      <c r="B42" s="65"/>
      <c r="C42" s="65"/>
      <c r="D42" s="66"/>
      <c r="E42" s="37"/>
      <c r="F42" s="44"/>
      <c r="G42" s="37"/>
      <c r="H42" s="75"/>
      <c r="I42" s="76"/>
      <c r="L42" s="64"/>
      <c r="M42" s="65"/>
      <c r="N42" s="65"/>
      <c r="O42" s="66"/>
      <c r="P42" s="37"/>
      <c r="Q42" s="44"/>
      <c r="R42" s="37"/>
      <c r="S42" s="75"/>
      <c r="T42" s="76"/>
      <c r="W42" s="64"/>
      <c r="X42" s="65"/>
      <c r="Y42" s="65"/>
      <c r="Z42" s="66"/>
      <c r="AA42" s="37"/>
      <c r="AB42" s="44"/>
      <c r="AC42" s="37"/>
      <c r="AD42" s="75"/>
      <c r="AE42" s="76"/>
      <c r="AH42" s="64"/>
      <c r="AI42" s="65"/>
      <c r="AJ42" s="65"/>
      <c r="AK42" s="66"/>
      <c r="AL42" s="37"/>
      <c r="AM42" s="44"/>
      <c r="AN42" s="37"/>
      <c r="AO42" s="75"/>
      <c r="AP42" s="76"/>
      <c r="AS42" s="64"/>
      <c r="AT42" s="65"/>
      <c r="AU42" s="65"/>
      <c r="AV42" s="66"/>
      <c r="AW42" s="37"/>
      <c r="AX42" s="44"/>
      <c r="AY42" s="37"/>
      <c r="AZ42" s="75"/>
      <c r="BA42" s="76"/>
      <c r="BD42" s="64"/>
      <c r="BE42" s="65"/>
      <c r="BF42" s="65"/>
      <c r="BG42" s="66"/>
      <c r="BH42" s="37"/>
      <c r="BI42" s="44"/>
      <c r="BJ42" s="37"/>
      <c r="BK42" s="75"/>
      <c r="BL42" s="76"/>
      <c r="BO42" s="64"/>
      <c r="BP42" s="65"/>
      <c r="BQ42" s="65"/>
      <c r="BR42" s="66"/>
      <c r="BS42" s="37"/>
      <c r="BT42" s="44"/>
      <c r="BU42" s="37"/>
      <c r="BV42" s="75"/>
      <c r="BW42" s="76"/>
      <c r="BZ42" s="64"/>
      <c r="CA42" s="65"/>
      <c r="CB42" s="65"/>
      <c r="CC42" s="66"/>
      <c r="CD42" s="37"/>
      <c r="CE42" s="44"/>
      <c r="CF42" s="37"/>
      <c r="CG42" s="75"/>
      <c r="CH42" s="76"/>
      <c r="CK42" s="64"/>
      <c r="CL42" s="65"/>
      <c r="CM42" s="65"/>
      <c r="CN42" s="66"/>
      <c r="CO42" s="37"/>
      <c r="CP42" s="44"/>
      <c r="CQ42" s="37"/>
      <c r="CR42" s="75"/>
      <c r="CS42" s="76"/>
      <c r="CV42" s="64"/>
      <c r="CW42" s="65"/>
      <c r="CX42" s="65"/>
      <c r="CY42" s="66"/>
      <c r="CZ42" s="37"/>
      <c r="DA42" s="44"/>
      <c r="DB42" s="37"/>
      <c r="DC42" s="75"/>
      <c r="DD42" s="76"/>
      <c r="DG42" s="64"/>
      <c r="DH42" s="65"/>
      <c r="DI42" s="65"/>
      <c r="DJ42" s="66"/>
      <c r="DK42" s="37"/>
      <c r="DL42" s="44"/>
      <c r="DM42" s="37"/>
      <c r="DN42" s="75"/>
      <c r="DO42" s="76"/>
      <c r="DR42" s="64"/>
      <c r="DS42" s="65"/>
      <c r="DT42" s="65"/>
      <c r="DU42" s="66"/>
      <c r="DV42" s="37"/>
      <c r="DW42" s="44"/>
      <c r="DX42" s="37"/>
      <c r="DY42" s="75"/>
      <c r="DZ42" s="76"/>
      <c r="EC42" s="64"/>
      <c r="ED42" s="65"/>
      <c r="EE42" s="65"/>
      <c r="EF42" s="66"/>
      <c r="EG42" s="37"/>
      <c r="EH42" s="44"/>
      <c r="EI42" s="37"/>
      <c r="EJ42" s="75"/>
      <c r="EK42" s="76"/>
      <c r="EN42" s="64"/>
      <c r="EO42" s="65"/>
      <c r="EP42" s="65"/>
      <c r="EQ42" s="66"/>
      <c r="ER42" s="37"/>
      <c r="ES42" s="44"/>
      <c r="ET42" s="37"/>
      <c r="EU42" s="75"/>
      <c r="EV42" s="76"/>
      <c r="EY42" s="64"/>
      <c r="EZ42" s="65"/>
      <c r="FA42" s="65"/>
      <c r="FB42" s="66"/>
      <c r="FC42" s="37"/>
      <c r="FD42" s="44"/>
      <c r="FE42" s="37"/>
      <c r="FF42" s="75"/>
      <c r="FG42" s="76"/>
      <c r="FJ42" s="64"/>
      <c r="FK42" s="65"/>
      <c r="FL42" s="65"/>
      <c r="FM42" s="66"/>
      <c r="FN42" s="37"/>
      <c r="FO42" s="44"/>
      <c r="FP42" s="37"/>
      <c r="FQ42" s="75"/>
      <c r="FR42" s="76"/>
      <c r="FU42" s="64"/>
      <c r="FV42" s="65"/>
      <c r="FW42" s="65"/>
      <c r="FX42" s="66"/>
      <c r="FY42" s="37"/>
      <c r="FZ42" s="44"/>
      <c r="GA42" s="37"/>
      <c r="GB42" s="75"/>
      <c r="GC42" s="76"/>
      <c r="GF42" s="64"/>
      <c r="GG42" s="65"/>
      <c r="GH42" s="65"/>
      <c r="GI42" s="66"/>
      <c r="GJ42" s="37"/>
      <c r="GK42" s="44"/>
      <c r="GL42" s="37"/>
      <c r="GM42" s="75"/>
      <c r="GN42" s="76"/>
      <c r="GQ42" s="64"/>
      <c r="GR42" s="65"/>
      <c r="GS42" s="65"/>
      <c r="GT42" s="66"/>
      <c r="GU42" s="37"/>
      <c r="GV42" s="44"/>
      <c r="GW42" s="37"/>
      <c r="GX42" s="75"/>
      <c r="GY42" s="76"/>
      <c r="HB42" s="64"/>
      <c r="HC42" s="65"/>
      <c r="HD42" s="65"/>
      <c r="HE42" s="66"/>
      <c r="HF42" s="37"/>
      <c r="HG42" s="44"/>
      <c r="HH42" s="37"/>
      <c r="HI42" s="75"/>
      <c r="HJ42" s="76"/>
      <c r="HM42" s="64"/>
      <c r="HN42" s="65"/>
      <c r="HO42" s="65"/>
      <c r="HP42" s="66"/>
      <c r="HQ42" s="37"/>
      <c r="HR42" s="44"/>
      <c r="HS42" s="37"/>
      <c r="HT42" s="75"/>
      <c r="HU42" s="76"/>
      <c r="HX42" s="64"/>
      <c r="HY42" s="65"/>
      <c r="HZ42" s="65"/>
      <c r="IA42" s="66"/>
      <c r="IB42" s="37"/>
      <c r="IC42" s="44"/>
      <c r="ID42" s="37"/>
      <c r="IE42" s="75"/>
      <c r="IF42" s="76"/>
      <c r="II42" s="64"/>
      <c r="IJ42" s="65"/>
      <c r="IK42" s="65"/>
      <c r="IL42" s="66"/>
      <c r="IM42" s="37"/>
      <c r="IN42" s="44"/>
      <c r="IO42" s="37"/>
      <c r="IP42" s="75"/>
      <c r="IQ42" s="76"/>
      <c r="IT42" s="64"/>
      <c r="IU42" s="65"/>
      <c r="IV42" s="65"/>
      <c r="IW42" s="66"/>
      <c r="IX42" s="37"/>
      <c r="IY42" s="44"/>
      <c r="IZ42" s="37"/>
      <c r="JA42" s="75"/>
      <c r="JB42" s="76"/>
      <c r="JE42" s="64"/>
      <c r="JF42" s="65"/>
      <c r="JG42" s="65"/>
      <c r="JH42" s="66"/>
      <c r="JI42" s="37"/>
      <c r="JJ42" s="44"/>
      <c r="JK42" s="37"/>
      <c r="JL42" s="75"/>
      <c r="JM42" s="76"/>
      <c r="JP42" s="64"/>
      <c r="JQ42" s="65"/>
      <c r="JR42" s="65"/>
      <c r="JS42" s="66"/>
      <c r="JT42" s="37"/>
      <c r="JU42" s="44"/>
      <c r="JV42" s="37"/>
      <c r="JW42" s="75"/>
      <c r="JX42" s="76"/>
      <c r="KA42" s="64"/>
      <c r="KB42" s="65"/>
      <c r="KC42" s="65"/>
      <c r="KD42" s="66"/>
      <c r="KE42" s="37"/>
      <c r="KF42" s="44"/>
      <c r="KG42" s="37"/>
      <c r="KH42" s="75"/>
      <c r="KI42" s="76"/>
      <c r="KL42" s="64"/>
      <c r="KM42" s="65"/>
      <c r="KN42" s="65"/>
      <c r="KO42" s="66"/>
      <c r="KP42" s="37"/>
      <c r="KQ42" s="44"/>
      <c r="KR42" s="37"/>
      <c r="KS42" s="75"/>
      <c r="KT42" s="76"/>
      <c r="KW42" s="64"/>
      <c r="KX42" s="65"/>
      <c r="KY42" s="65"/>
      <c r="KZ42" s="66"/>
      <c r="LA42" s="37"/>
      <c r="LB42" s="44"/>
      <c r="LC42" s="37"/>
      <c r="LD42" s="75"/>
      <c r="LE42" s="76"/>
      <c r="LH42" s="64"/>
      <c r="LI42" s="65"/>
      <c r="LJ42" s="65"/>
      <c r="LK42" s="66"/>
      <c r="LL42" s="37"/>
      <c r="LM42" s="44"/>
      <c r="LN42" s="37"/>
      <c r="LO42" s="75"/>
      <c r="LP42" s="76"/>
      <c r="LS42" s="64"/>
      <c r="LT42" s="65"/>
      <c r="LU42" s="65"/>
      <c r="LV42" s="66"/>
      <c r="LW42" s="37"/>
      <c r="LX42" s="44"/>
      <c r="LY42" s="37"/>
      <c r="LZ42" s="75"/>
      <c r="MA42" s="76"/>
      <c r="MD42" s="64"/>
      <c r="ME42" s="65"/>
      <c r="MF42" s="65"/>
      <c r="MG42" s="66"/>
      <c r="MH42" s="37"/>
      <c r="MI42" s="44"/>
      <c r="MJ42" s="37"/>
      <c r="MK42" s="75"/>
      <c r="ML42" s="76"/>
      <c r="MO42" s="64"/>
      <c r="MP42" s="65"/>
      <c r="MQ42" s="65"/>
      <c r="MR42" s="66"/>
      <c r="MS42" s="37"/>
      <c r="MT42" s="44"/>
      <c r="MU42" s="37"/>
      <c r="MV42" s="75"/>
      <c r="MW42" s="76"/>
      <c r="MZ42" s="64"/>
      <c r="NA42" s="65"/>
      <c r="NB42" s="65"/>
      <c r="NC42" s="66"/>
      <c r="ND42" s="37"/>
      <c r="NE42" s="44"/>
      <c r="NF42" s="37"/>
      <c r="NG42" s="75"/>
      <c r="NH42" s="76"/>
      <c r="NK42" s="64"/>
      <c r="NL42" s="65"/>
      <c r="NM42" s="65"/>
      <c r="NN42" s="66"/>
      <c r="NO42" s="37"/>
      <c r="NP42" s="44"/>
      <c r="NQ42" s="37"/>
      <c r="NR42" s="75"/>
      <c r="NS42" s="76"/>
      <c r="NV42" s="64"/>
      <c r="NW42" s="65"/>
      <c r="NX42" s="65"/>
      <c r="NY42" s="66"/>
      <c r="NZ42" s="37"/>
      <c r="OA42" s="44"/>
      <c r="OB42" s="37"/>
      <c r="OC42" s="75"/>
      <c r="OD42" s="76"/>
      <c r="OG42" s="64"/>
      <c r="OH42" s="65"/>
      <c r="OI42" s="65"/>
      <c r="OJ42" s="66"/>
      <c r="OK42" s="37"/>
      <c r="OL42" s="44"/>
      <c r="OM42" s="37"/>
      <c r="ON42" s="75"/>
      <c r="OO42" s="76"/>
      <c r="OR42" s="64"/>
      <c r="OS42" s="65"/>
      <c r="OT42" s="65"/>
      <c r="OU42" s="66"/>
      <c r="OV42" s="37"/>
      <c r="OW42" s="44"/>
      <c r="OX42" s="37"/>
      <c r="OY42" s="75"/>
      <c r="OZ42" s="76"/>
      <c r="PC42" s="64"/>
      <c r="PD42" s="65"/>
      <c r="PE42" s="65"/>
      <c r="PF42" s="66"/>
      <c r="PG42" s="37"/>
      <c r="PH42" s="44"/>
      <c r="PI42" s="37"/>
      <c r="PJ42" s="75"/>
      <c r="PK42" s="76"/>
      <c r="PN42" s="64"/>
      <c r="PO42" s="65"/>
      <c r="PP42" s="65"/>
      <c r="PQ42" s="66"/>
      <c r="PR42" s="37"/>
      <c r="PS42" s="44"/>
      <c r="PT42" s="37"/>
      <c r="PU42" s="75"/>
      <c r="PV42" s="76"/>
      <c r="PY42" s="64"/>
      <c r="PZ42" s="65"/>
      <c r="QA42" s="65"/>
      <c r="QB42" s="66"/>
      <c r="QC42" s="37"/>
      <c r="QD42" s="44"/>
      <c r="QE42" s="37"/>
      <c r="QF42" s="75"/>
      <c r="QG42" s="76"/>
      <c r="QJ42" s="64"/>
      <c r="QK42" s="65"/>
      <c r="QL42" s="65"/>
      <c r="QM42" s="66"/>
      <c r="QN42" s="37"/>
      <c r="QO42" s="44"/>
      <c r="QP42" s="37"/>
      <c r="QQ42" s="75"/>
      <c r="QR42" s="76"/>
      <c r="QU42" s="64"/>
      <c r="QV42" s="65"/>
      <c r="QW42" s="65"/>
      <c r="QX42" s="66"/>
      <c r="QY42" s="37"/>
      <c r="QZ42" s="44"/>
      <c r="RA42" s="37"/>
      <c r="RB42" s="75"/>
      <c r="RC42" s="76"/>
      <c r="RF42" s="64"/>
      <c r="RG42" s="65"/>
      <c r="RH42" s="65"/>
      <c r="RI42" s="66"/>
      <c r="RJ42" s="37"/>
      <c r="RK42" s="44"/>
      <c r="RL42" s="37"/>
      <c r="RM42" s="75"/>
      <c r="RN42" s="76"/>
      <c r="RQ42" s="64"/>
      <c r="RR42" s="65"/>
      <c r="RS42" s="65"/>
      <c r="RT42" s="66"/>
      <c r="RU42" s="37"/>
      <c r="RV42" s="44"/>
      <c r="RW42" s="37"/>
      <c r="RX42" s="75"/>
      <c r="RY42" s="76"/>
      <c r="SB42" s="64"/>
      <c r="SC42" s="65"/>
      <c r="SD42" s="65"/>
      <c r="SE42" s="66"/>
      <c r="SF42" s="37"/>
      <c r="SG42" s="44"/>
      <c r="SH42" s="37"/>
      <c r="SI42" s="75"/>
      <c r="SJ42" s="76"/>
      <c r="SM42" s="64"/>
      <c r="SN42" s="65"/>
      <c r="SO42" s="65"/>
      <c r="SP42" s="66"/>
      <c r="SQ42" s="37"/>
      <c r="SR42" s="44"/>
      <c r="SS42" s="37"/>
      <c r="ST42" s="75"/>
      <c r="SU42" s="76"/>
      <c r="SX42" s="64"/>
      <c r="SY42" s="65"/>
      <c r="SZ42" s="65"/>
      <c r="TA42" s="66"/>
      <c r="TB42" s="37"/>
      <c r="TC42" s="44"/>
      <c r="TD42" s="37"/>
      <c r="TE42" s="75"/>
      <c r="TF42" s="76"/>
      <c r="TI42" s="64"/>
      <c r="TJ42" s="65"/>
      <c r="TK42" s="65"/>
      <c r="TL42" s="66"/>
      <c r="TM42" s="37"/>
      <c r="TN42" s="44"/>
      <c r="TO42" s="37"/>
      <c r="TP42" s="75"/>
      <c r="TQ42" s="76"/>
      <c r="TT42" s="64"/>
      <c r="TU42" s="65"/>
      <c r="TV42" s="65"/>
      <c r="TW42" s="66"/>
      <c r="TX42" s="37"/>
      <c r="TY42" s="44"/>
      <c r="TZ42" s="37"/>
      <c r="UA42" s="75"/>
      <c r="UB42" s="76"/>
      <c r="UE42" s="64"/>
      <c r="UF42" s="65"/>
      <c r="UG42" s="65"/>
      <c r="UH42" s="66"/>
      <c r="UI42" s="37"/>
      <c r="UJ42" s="44"/>
      <c r="UK42" s="37"/>
      <c r="UL42" s="75"/>
      <c r="UM42" s="76"/>
      <c r="UP42" s="64"/>
      <c r="UQ42" s="65"/>
      <c r="UR42" s="65"/>
      <c r="US42" s="66"/>
      <c r="UT42" s="37"/>
      <c r="UU42" s="44"/>
      <c r="UV42" s="37"/>
      <c r="UW42" s="75"/>
      <c r="UX42" s="76"/>
      <c r="VA42" s="64"/>
      <c r="VB42" s="65"/>
      <c r="VC42" s="65"/>
      <c r="VD42" s="66"/>
      <c r="VE42" s="37"/>
      <c r="VF42" s="44"/>
      <c r="VG42" s="37"/>
      <c r="VH42" s="75"/>
      <c r="VI42" s="76"/>
      <c r="VL42" s="64"/>
      <c r="VM42" s="65"/>
      <c r="VN42" s="65"/>
      <c r="VO42" s="66"/>
      <c r="VP42" s="37"/>
      <c r="VQ42" s="44"/>
      <c r="VR42" s="37"/>
      <c r="VS42" s="75"/>
      <c r="VT42" s="76"/>
      <c r="VW42" s="64"/>
      <c r="VX42" s="65"/>
      <c r="VY42" s="65"/>
      <c r="VZ42" s="66"/>
      <c r="WA42" s="37"/>
      <c r="WB42" s="44"/>
      <c r="WC42" s="37"/>
      <c r="WD42" s="75"/>
      <c r="WE42" s="76"/>
      <c r="WH42" s="64"/>
      <c r="WI42" s="65"/>
      <c r="WJ42" s="65"/>
      <c r="WK42" s="66"/>
      <c r="WL42" s="37"/>
      <c r="WM42" s="44"/>
      <c r="WN42" s="37"/>
      <c r="WO42" s="75"/>
      <c r="WP42" s="76"/>
      <c r="WS42" s="64"/>
      <c r="WT42" s="65"/>
      <c r="WU42" s="65"/>
      <c r="WV42" s="66"/>
      <c r="WW42" s="37"/>
      <c r="WX42" s="44"/>
      <c r="WY42" s="37"/>
      <c r="WZ42" s="75"/>
      <c r="XA42" s="76"/>
      <c r="XD42" s="64"/>
      <c r="XE42" s="65"/>
      <c r="XF42" s="65"/>
      <c r="XG42" s="66"/>
      <c r="XH42" s="37"/>
      <c r="XI42" s="44"/>
      <c r="XJ42" s="37"/>
      <c r="XK42" s="75"/>
      <c r="XL42" s="76"/>
      <c r="XO42" s="64"/>
      <c r="XP42" s="65"/>
      <c r="XQ42" s="65"/>
      <c r="XR42" s="66"/>
      <c r="XS42" s="37"/>
      <c r="XT42" s="44"/>
      <c r="XU42" s="37"/>
      <c r="XV42" s="75"/>
      <c r="XW42" s="76"/>
      <c r="XZ42" s="64"/>
      <c r="YA42" s="65"/>
      <c r="YB42" s="65"/>
      <c r="YC42" s="66"/>
      <c r="YD42" s="37"/>
      <c r="YE42" s="44"/>
      <c r="YF42" s="37"/>
      <c r="YG42" s="75"/>
      <c r="YH42" s="76"/>
      <c r="YK42" s="64"/>
      <c r="YL42" s="65"/>
      <c r="YM42" s="65"/>
      <c r="YN42" s="66"/>
      <c r="YO42" s="37"/>
      <c r="YP42" s="44"/>
      <c r="YQ42" s="37"/>
      <c r="YR42" s="75"/>
      <c r="YS42" s="76"/>
      <c r="YV42" s="64"/>
      <c r="YW42" s="65"/>
      <c r="YX42" s="65"/>
      <c r="YY42" s="66"/>
      <c r="YZ42" s="37"/>
      <c r="ZA42" s="44"/>
      <c r="ZB42" s="37"/>
      <c r="ZC42" s="75"/>
      <c r="ZD42" s="76"/>
      <c r="ZG42" s="64"/>
      <c r="ZH42" s="65"/>
      <c r="ZI42" s="65"/>
      <c r="ZJ42" s="66"/>
      <c r="ZK42" s="37"/>
      <c r="ZL42" s="44"/>
      <c r="ZM42" s="37"/>
      <c r="ZN42" s="75"/>
      <c r="ZO42" s="76"/>
      <c r="ZR42" s="64"/>
      <c r="ZS42" s="65"/>
      <c r="ZT42" s="65"/>
      <c r="ZU42" s="66"/>
      <c r="ZV42" s="37"/>
      <c r="ZW42" s="44"/>
      <c r="ZX42" s="37"/>
      <c r="ZY42" s="75"/>
      <c r="ZZ42" s="76"/>
      <c r="AAC42" s="64"/>
      <c r="AAD42" s="65"/>
      <c r="AAE42" s="65"/>
      <c r="AAF42" s="66"/>
      <c r="AAG42" s="37"/>
      <c r="AAH42" s="44"/>
      <c r="AAI42" s="37"/>
      <c r="AAJ42" s="75"/>
      <c r="AAK42" s="76"/>
      <c r="AAN42" s="64"/>
      <c r="AAO42" s="65"/>
      <c r="AAP42" s="65"/>
      <c r="AAQ42" s="66"/>
      <c r="AAR42" s="37"/>
      <c r="AAS42" s="44"/>
      <c r="AAT42" s="37"/>
      <c r="AAU42" s="75"/>
      <c r="AAV42" s="76"/>
      <c r="AAY42" s="64"/>
      <c r="AAZ42" s="65"/>
      <c r="ABA42" s="65"/>
      <c r="ABB42" s="66"/>
      <c r="ABC42" s="37"/>
      <c r="ABD42" s="44"/>
      <c r="ABE42" s="37"/>
      <c r="ABF42" s="75"/>
      <c r="ABG42" s="76"/>
      <c r="ABJ42" s="64"/>
      <c r="ABK42" s="65"/>
      <c r="ABL42" s="65"/>
      <c r="ABM42" s="66"/>
      <c r="ABN42" s="37"/>
      <c r="ABO42" s="44"/>
      <c r="ABP42" s="37"/>
      <c r="ABQ42" s="75"/>
      <c r="ABR42" s="76"/>
      <c r="ABU42" s="64"/>
      <c r="ABV42" s="65"/>
      <c r="ABW42" s="65"/>
      <c r="ABX42" s="66"/>
      <c r="ABY42" s="37"/>
      <c r="ABZ42" s="44"/>
      <c r="ACA42" s="37"/>
      <c r="ACB42" s="75"/>
      <c r="ACC42" s="76"/>
      <c r="ACF42" s="64"/>
      <c r="ACG42" s="65"/>
      <c r="ACH42" s="65"/>
      <c r="ACI42" s="66"/>
      <c r="ACJ42" s="37"/>
      <c r="ACK42" s="44"/>
      <c r="ACL42" s="37"/>
      <c r="ACM42" s="75"/>
      <c r="ACN42" s="76"/>
      <c r="ACQ42" s="64"/>
      <c r="ACR42" s="65"/>
      <c r="ACS42" s="65"/>
      <c r="ACT42" s="66"/>
      <c r="ACU42" s="37"/>
      <c r="ACV42" s="44"/>
      <c r="ACW42" s="37"/>
      <c r="ACX42" s="75"/>
      <c r="ACY42" s="76"/>
      <c r="ADB42" s="64"/>
      <c r="ADC42" s="65"/>
      <c r="ADD42" s="65"/>
      <c r="ADE42" s="66"/>
      <c r="ADF42" s="37"/>
      <c r="ADG42" s="44"/>
      <c r="ADH42" s="37"/>
      <c r="ADI42" s="75"/>
      <c r="ADJ42" s="76"/>
    </row>
    <row r="43" spans="1:790" x14ac:dyDescent="0.45">
      <c r="S43" s="68"/>
      <c r="T43" s="68"/>
      <c r="AD43" s="68"/>
      <c r="AE43" s="68"/>
      <c r="AO43" s="68"/>
      <c r="AP43" s="68"/>
      <c r="AZ43" s="68"/>
      <c r="BA43" s="68"/>
      <c r="BK43" s="68"/>
      <c r="BL43" s="68"/>
      <c r="BV43" s="68"/>
      <c r="BW43" s="68"/>
      <c r="CG43" s="68"/>
      <c r="CH43" s="68"/>
      <c r="CR43" s="68"/>
      <c r="CS43" s="68"/>
      <c r="DC43" s="68"/>
      <c r="DD43" s="68"/>
      <c r="DN43" s="68"/>
      <c r="DO43" s="68"/>
      <c r="DY43" s="68"/>
      <c r="DZ43" s="68"/>
      <c r="EJ43" s="68"/>
      <c r="EK43" s="68"/>
      <c r="EU43" s="68"/>
      <c r="EV43" s="68"/>
      <c r="FF43" s="68"/>
      <c r="FG43" s="68"/>
      <c r="FQ43" s="68"/>
      <c r="FR43" s="68"/>
      <c r="GB43" s="68"/>
      <c r="GC43" s="68"/>
      <c r="GM43" s="68"/>
      <c r="GN43" s="68"/>
      <c r="GX43" s="68"/>
      <c r="GY43" s="68"/>
      <c r="HI43" s="68"/>
      <c r="HJ43" s="68"/>
      <c r="HT43" s="68"/>
      <c r="HU43" s="68"/>
      <c r="IE43" s="68"/>
      <c r="IF43" s="68"/>
      <c r="IP43" s="68"/>
      <c r="IQ43" s="68"/>
      <c r="JA43" s="68"/>
      <c r="JB43" s="68"/>
      <c r="JL43" s="68"/>
      <c r="JM43" s="68"/>
      <c r="JW43" s="68"/>
      <c r="JX43" s="68"/>
      <c r="KH43" s="68"/>
      <c r="KI43" s="68"/>
      <c r="KS43" s="68"/>
      <c r="KT43" s="68"/>
      <c r="LD43" s="68"/>
      <c r="LE43" s="68"/>
      <c r="LO43" s="68"/>
      <c r="LP43" s="68"/>
      <c r="LZ43" s="68"/>
      <c r="MA43" s="68"/>
      <c r="MK43" s="68"/>
      <c r="ML43" s="68"/>
      <c r="MV43" s="68"/>
      <c r="MW43" s="68"/>
      <c r="NG43" s="68"/>
      <c r="NH43" s="68"/>
      <c r="NR43" s="68"/>
      <c r="NS43" s="68"/>
      <c r="OC43" s="68"/>
      <c r="OD43" s="68"/>
      <c r="ON43" s="68"/>
      <c r="OO43" s="68"/>
      <c r="OY43" s="68"/>
      <c r="OZ43" s="68"/>
      <c r="PJ43" s="68"/>
      <c r="PK43" s="68"/>
      <c r="PU43" s="68"/>
      <c r="PV43" s="68"/>
      <c r="QF43" s="68"/>
      <c r="QG43" s="68"/>
      <c r="QQ43" s="68"/>
      <c r="QR43" s="68"/>
      <c r="RB43" s="68"/>
      <c r="RC43" s="68"/>
      <c r="RM43" s="68"/>
      <c r="RN43" s="68"/>
      <c r="RX43" s="68"/>
      <c r="RY43" s="68"/>
      <c r="SI43" s="68"/>
      <c r="SJ43" s="68"/>
      <c r="ST43" s="68"/>
      <c r="SU43" s="68"/>
      <c r="TE43" s="68"/>
      <c r="TF43" s="68"/>
      <c r="TP43" s="68"/>
      <c r="TQ43" s="68"/>
      <c r="UA43" s="68"/>
      <c r="UB43" s="68"/>
      <c r="UL43" s="68"/>
      <c r="UM43" s="68"/>
      <c r="UW43" s="68"/>
      <c r="UX43" s="68"/>
      <c r="VH43" s="68"/>
      <c r="VI43" s="68"/>
      <c r="VS43" s="68"/>
      <c r="VT43" s="68"/>
      <c r="WD43" s="68"/>
      <c r="WE43" s="68"/>
      <c r="WO43" s="68"/>
      <c r="WP43" s="68"/>
      <c r="WZ43" s="68"/>
      <c r="XA43" s="68"/>
      <c r="XK43" s="68"/>
      <c r="XL43" s="68"/>
      <c r="XV43" s="68"/>
      <c r="XW43" s="68"/>
      <c r="YG43" s="68"/>
      <c r="YH43" s="68"/>
      <c r="YR43" s="68"/>
      <c r="YS43" s="68"/>
      <c r="ZC43" s="68"/>
      <c r="ZD43" s="68"/>
      <c r="ZN43" s="68"/>
      <c r="ZO43" s="68"/>
      <c r="ZY43" s="68"/>
      <c r="ZZ43" s="68"/>
      <c r="AAJ43" s="68"/>
      <c r="AAK43" s="68"/>
      <c r="AAU43" s="68"/>
      <c r="AAV43" s="68"/>
      <c r="ABF43" s="68"/>
      <c r="ABG43" s="68"/>
      <c r="ABQ43" s="68"/>
      <c r="ABR43" s="68"/>
      <c r="ACB43" s="68"/>
      <c r="ACC43" s="68"/>
      <c r="ACM43" s="68"/>
      <c r="ACN43" s="68"/>
      <c r="ACX43" s="68"/>
      <c r="ACY43" s="68"/>
      <c r="ADI43" s="68"/>
      <c r="ADJ43" s="68"/>
    </row>
    <row r="44" spans="1:790" ht="10.199999999999999" customHeight="1" x14ac:dyDescent="0.45">
      <c r="S44" s="68"/>
      <c r="T44" s="68"/>
      <c r="AD44" s="68"/>
      <c r="AE44" s="68"/>
      <c r="AO44" s="68"/>
      <c r="AP44" s="68"/>
      <c r="AZ44" s="68"/>
      <c r="BA44" s="68"/>
      <c r="BK44" s="68"/>
      <c r="BL44" s="68"/>
      <c r="BV44" s="68"/>
      <c r="BW44" s="68"/>
      <c r="CG44" s="68"/>
      <c r="CH44" s="68"/>
      <c r="CR44" s="68"/>
      <c r="CS44" s="68"/>
      <c r="DC44" s="68"/>
      <c r="DD44" s="68"/>
      <c r="DN44" s="68"/>
      <c r="DO44" s="68"/>
      <c r="DY44" s="68"/>
      <c r="DZ44" s="68"/>
      <c r="EJ44" s="68"/>
      <c r="EK44" s="68"/>
      <c r="EU44" s="68"/>
      <c r="EV44" s="68"/>
      <c r="FF44" s="68"/>
      <c r="FG44" s="68"/>
      <c r="FQ44" s="68"/>
      <c r="FR44" s="68"/>
      <c r="GB44" s="68"/>
      <c r="GC44" s="68"/>
      <c r="GM44" s="68"/>
      <c r="GN44" s="68"/>
      <c r="GX44" s="68"/>
      <c r="GY44" s="68"/>
      <c r="HI44" s="68"/>
      <c r="HJ44" s="68"/>
      <c r="HT44" s="68"/>
      <c r="HU44" s="68"/>
      <c r="IE44" s="68"/>
      <c r="IF44" s="68"/>
      <c r="IP44" s="68"/>
      <c r="IQ44" s="68"/>
      <c r="JA44" s="68"/>
      <c r="JB44" s="68"/>
      <c r="JL44" s="68"/>
      <c r="JM44" s="68"/>
      <c r="JW44" s="68"/>
      <c r="JX44" s="68"/>
      <c r="KH44" s="68"/>
      <c r="KI44" s="68"/>
      <c r="KS44" s="68"/>
      <c r="KT44" s="68"/>
      <c r="LD44" s="68"/>
      <c r="LE44" s="68"/>
      <c r="LO44" s="68"/>
      <c r="LP44" s="68"/>
      <c r="LZ44" s="68"/>
      <c r="MA44" s="68"/>
      <c r="MK44" s="68"/>
      <c r="ML44" s="68"/>
      <c r="MV44" s="68"/>
      <c r="MW44" s="68"/>
      <c r="NG44" s="68"/>
      <c r="NH44" s="68"/>
      <c r="NR44" s="68"/>
      <c r="NS44" s="68"/>
      <c r="OC44" s="68"/>
      <c r="OD44" s="68"/>
      <c r="ON44" s="68"/>
      <c r="OO44" s="68"/>
      <c r="OY44" s="68"/>
      <c r="OZ44" s="68"/>
      <c r="PJ44" s="68"/>
      <c r="PK44" s="68"/>
      <c r="PU44" s="68"/>
      <c r="PV44" s="68"/>
      <c r="QF44" s="68"/>
      <c r="QG44" s="68"/>
      <c r="QQ44" s="68"/>
      <c r="QR44" s="68"/>
      <c r="RB44" s="68"/>
      <c r="RC44" s="68"/>
      <c r="RM44" s="68"/>
      <c r="RN44" s="68"/>
      <c r="RX44" s="68"/>
      <c r="RY44" s="68"/>
      <c r="SI44" s="68"/>
      <c r="SJ44" s="68"/>
      <c r="ST44" s="68"/>
      <c r="SU44" s="68"/>
      <c r="TE44" s="68"/>
      <c r="TF44" s="68"/>
      <c r="TP44" s="68"/>
      <c r="TQ44" s="68"/>
      <c r="UA44" s="68"/>
      <c r="UB44" s="68"/>
      <c r="UL44" s="68"/>
      <c r="UM44" s="68"/>
      <c r="UW44" s="68"/>
      <c r="UX44" s="68"/>
      <c r="VH44" s="68"/>
      <c r="VI44" s="68"/>
      <c r="VS44" s="68"/>
      <c r="VT44" s="68"/>
      <c r="WD44" s="68"/>
      <c r="WE44" s="68"/>
      <c r="WO44" s="68"/>
      <c r="WP44" s="68"/>
      <c r="WZ44" s="68"/>
      <c r="XA44" s="68"/>
      <c r="XK44" s="68"/>
      <c r="XL44" s="68"/>
      <c r="XV44" s="68"/>
      <c r="XW44" s="68"/>
      <c r="YG44" s="68"/>
      <c r="YH44" s="68"/>
      <c r="YR44" s="68"/>
      <c r="YS44" s="68"/>
      <c r="ZC44" s="68"/>
      <c r="ZD44" s="68"/>
      <c r="ZN44" s="68"/>
      <c r="ZO44" s="68"/>
      <c r="ZY44" s="68"/>
      <c r="ZZ44" s="68"/>
      <c r="AAJ44" s="68"/>
      <c r="AAK44" s="68"/>
      <c r="AAU44" s="68"/>
      <c r="AAV44" s="68"/>
      <c r="ABF44" s="68"/>
      <c r="ABG44" s="68"/>
      <c r="ABQ44" s="68"/>
      <c r="ABR44" s="68"/>
      <c r="ACB44" s="68"/>
      <c r="ACC44" s="68"/>
      <c r="ACM44" s="68"/>
      <c r="ACN44" s="68"/>
      <c r="ACX44" s="68"/>
      <c r="ACY44" s="68"/>
      <c r="ADI44" s="68"/>
      <c r="ADJ44" s="68"/>
    </row>
    <row r="45" spans="1:790" x14ac:dyDescent="0.45">
      <c r="S45" s="68"/>
      <c r="T45" s="68"/>
      <c r="AD45" s="68"/>
      <c r="AE45" s="68"/>
      <c r="AO45" s="68"/>
      <c r="AP45" s="68"/>
      <c r="AZ45" s="68"/>
      <c r="BA45" s="68"/>
      <c r="BK45" s="68"/>
      <c r="BL45" s="68"/>
      <c r="BV45" s="68"/>
      <c r="BW45" s="68"/>
      <c r="CG45" s="68"/>
      <c r="CH45" s="68"/>
      <c r="CR45" s="68"/>
      <c r="CS45" s="68"/>
      <c r="DC45" s="68"/>
      <c r="DD45" s="68"/>
      <c r="DN45" s="68"/>
      <c r="DO45" s="68"/>
      <c r="DY45" s="68"/>
      <c r="DZ45" s="68"/>
      <c r="EJ45" s="68"/>
      <c r="EK45" s="68"/>
      <c r="EU45" s="68"/>
      <c r="EV45" s="68"/>
      <c r="FF45" s="68"/>
      <c r="FG45" s="68"/>
      <c r="FQ45" s="68"/>
      <c r="FR45" s="68"/>
      <c r="GB45" s="68"/>
      <c r="GC45" s="68"/>
      <c r="GM45" s="68"/>
      <c r="GN45" s="68"/>
      <c r="GX45" s="68"/>
      <c r="GY45" s="68"/>
      <c r="HI45" s="68"/>
      <c r="HJ45" s="68"/>
      <c r="HT45" s="68"/>
      <c r="HU45" s="68"/>
      <c r="IE45" s="68"/>
      <c r="IF45" s="68"/>
      <c r="IP45" s="68"/>
      <c r="IQ45" s="68"/>
      <c r="JA45" s="68"/>
      <c r="JB45" s="68"/>
      <c r="JL45" s="68"/>
      <c r="JM45" s="68"/>
      <c r="JW45" s="68"/>
      <c r="JX45" s="68"/>
      <c r="KH45" s="68"/>
      <c r="KI45" s="68"/>
      <c r="KS45" s="68"/>
      <c r="KT45" s="68"/>
      <c r="LD45" s="68"/>
      <c r="LE45" s="68"/>
      <c r="LO45" s="68"/>
      <c r="LP45" s="68"/>
      <c r="LZ45" s="68"/>
      <c r="MA45" s="68"/>
      <c r="MK45" s="68"/>
      <c r="ML45" s="68"/>
      <c r="MV45" s="68"/>
      <c r="MW45" s="68"/>
      <c r="NG45" s="68"/>
      <c r="NH45" s="68"/>
      <c r="NR45" s="68"/>
      <c r="NS45" s="68"/>
      <c r="OC45" s="68"/>
      <c r="OD45" s="68"/>
      <c r="ON45" s="68"/>
      <c r="OO45" s="68"/>
      <c r="OY45" s="68"/>
      <c r="OZ45" s="68"/>
      <c r="PJ45" s="68"/>
      <c r="PK45" s="68"/>
      <c r="PU45" s="68"/>
      <c r="PV45" s="68"/>
      <c r="QF45" s="68"/>
      <c r="QG45" s="68"/>
      <c r="QQ45" s="68"/>
      <c r="QR45" s="68"/>
      <c r="RB45" s="68"/>
      <c r="RC45" s="68"/>
      <c r="RM45" s="68"/>
      <c r="RN45" s="68"/>
      <c r="RX45" s="68"/>
      <c r="RY45" s="68"/>
      <c r="SI45" s="68"/>
      <c r="SJ45" s="68"/>
      <c r="ST45" s="68"/>
      <c r="SU45" s="68"/>
      <c r="TE45" s="68"/>
      <c r="TF45" s="68"/>
      <c r="TP45" s="68"/>
      <c r="TQ45" s="68"/>
      <c r="UA45" s="68"/>
      <c r="UB45" s="68"/>
      <c r="UL45" s="68"/>
      <c r="UM45" s="68"/>
      <c r="UW45" s="68"/>
      <c r="UX45" s="68"/>
      <c r="VH45" s="68"/>
      <c r="VI45" s="68"/>
      <c r="VS45" s="68"/>
      <c r="VT45" s="68"/>
      <c r="WD45" s="68"/>
      <c r="WE45" s="68"/>
      <c r="WO45" s="68"/>
      <c r="WP45" s="68"/>
      <c r="WZ45" s="68"/>
      <c r="XA45" s="68"/>
      <c r="XK45" s="68"/>
      <c r="XL45" s="68"/>
      <c r="XV45" s="68"/>
      <c r="XW45" s="68"/>
      <c r="YG45" s="68"/>
      <c r="YH45" s="68"/>
      <c r="YR45" s="68"/>
      <c r="YS45" s="68"/>
      <c r="ZC45" s="68"/>
      <c r="ZD45" s="68"/>
      <c r="ZN45" s="68"/>
      <c r="ZO45" s="68"/>
      <c r="ZY45" s="68"/>
      <c r="ZZ45" s="68"/>
      <c r="AAJ45" s="68"/>
      <c r="AAK45" s="68"/>
      <c r="AAU45" s="68"/>
      <c r="AAV45" s="68"/>
      <c r="ABF45" s="68"/>
      <c r="ABG45" s="68"/>
      <c r="ABQ45" s="68"/>
      <c r="ABR45" s="68"/>
      <c r="ACB45" s="68"/>
      <c r="ACC45" s="68"/>
      <c r="ACM45" s="68"/>
      <c r="ACN45" s="68"/>
      <c r="ACX45" s="68"/>
      <c r="ACY45" s="68"/>
      <c r="ADI45" s="68"/>
      <c r="ADJ45" s="68"/>
    </row>
    <row r="46" spans="1:790" x14ac:dyDescent="0.45">
      <c r="A46" s="53" t="s">
        <v>4020</v>
      </c>
      <c r="B46" s="53"/>
      <c r="C46" s="53"/>
      <c r="D46" s="53"/>
      <c r="E46" s="53"/>
      <c r="L46" s="53" t="s">
        <v>4020</v>
      </c>
      <c r="M46" s="53"/>
      <c r="N46" s="53"/>
      <c r="O46" s="53"/>
      <c r="P46" s="53"/>
      <c r="S46" s="68"/>
      <c r="T46" s="68"/>
      <c r="W46" s="53" t="s">
        <v>4020</v>
      </c>
      <c r="X46" s="53"/>
      <c r="Y46" s="53"/>
      <c r="Z46" s="53"/>
      <c r="AA46" s="53"/>
      <c r="AD46" s="68"/>
      <c r="AE46" s="68"/>
      <c r="AH46" s="53" t="s">
        <v>4020</v>
      </c>
      <c r="AI46" s="53"/>
      <c r="AJ46" s="53"/>
      <c r="AK46" s="53"/>
      <c r="AL46" s="53"/>
      <c r="AO46" s="68"/>
      <c r="AP46" s="68"/>
      <c r="AS46" s="53" t="s">
        <v>4020</v>
      </c>
      <c r="AT46" s="53"/>
      <c r="AU46" s="53"/>
      <c r="AV46" s="53"/>
      <c r="AW46" s="53"/>
      <c r="AZ46" s="68"/>
      <c r="BA46" s="68"/>
      <c r="BD46" s="53" t="s">
        <v>4020</v>
      </c>
      <c r="BE46" s="53"/>
      <c r="BF46" s="53"/>
      <c r="BG46" s="53"/>
      <c r="BH46" s="53"/>
      <c r="BK46" s="68"/>
      <c r="BL46" s="68"/>
      <c r="BO46" s="53" t="s">
        <v>4020</v>
      </c>
      <c r="BP46" s="53"/>
      <c r="BQ46" s="53"/>
      <c r="BR46" s="53"/>
      <c r="BS46" s="53"/>
      <c r="BV46" s="68"/>
      <c r="BW46" s="68"/>
      <c r="BZ46" s="53" t="s">
        <v>4020</v>
      </c>
      <c r="CA46" s="53"/>
      <c r="CB46" s="53"/>
      <c r="CC46" s="53"/>
      <c r="CD46" s="53"/>
      <c r="CG46" s="68"/>
      <c r="CH46" s="68"/>
      <c r="CK46" s="53" t="s">
        <v>4020</v>
      </c>
      <c r="CL46" s="53"/>
      <c r="CM46" s="53"/>
      <c r="CN46" s="53"/>
      <c r="CO46" s="53"/>
      <c r="CR46" s="68"/>
      <c r="CS46" s="68"/>
      <c r="CV46" s="53" t="s">
        <v>4020</v>
      </c>
      <c r="CW46" s="53"/>
      <c r="CX46" s="53"/>
      <c r="CY46" s="53"/>
      <c r="CZ46" s="53"/>
      <c r="DC46" s="68"/>
      <c r="DD46" s="68"/>
      <c r="DG46" s="53" t="s">
        <v>4020</v>
      </c>
      <c r="DH46" s="53"/>
      <c r="DI46" s="53"/>
      <c r="DJ46" s="53"/>
      <c r="DK46" s="53"/>
      <c r="DN46" s="68"/>
      <c r="DO46" s="68"/>
      <c r="DR46" s="53" t="s">
        <v>4020</v>
      </c>
      <c r="DS46" s="53"/>
      <c r="DT46" s="53"/>
      <c r="DU46" s="53"/>
      <c r="DV46" s="53"/>
      <c r="DY46" s="68"/>
      <c r="DZ46" s="68"/>
      <c r="EC46" s="53" t="s">
        <v>4020</v>
      </c>
      <c r="ED46" s="53"/>
      <c r="EE46" s="53"/>
      <c r="EF46" s="53"/>
      <c r="EG46" s="53"/>
      <c r="EJ46" s="68"/>
      <c r="EK46" s="68"/>
      <c r="EN46" s="53" t="s">
        <v>4020</v>
      </c>
      <c r="EO46" s="53"/>
      <c r="EP46" s="53"/>
      <c r="EQ46" s="53"/>
      <c r="ER46" s="53"/>
      <c r="EU46" s="68"/>
      <c r="EV46" s="68"/>
      <c r="EY46" s="53" t="s">
        <v>4020</v>
      </c>
      <c r="EZ46" s="53"/>
      <c r="FA46" s="53"/>
      <c r="FB46" s="53"/>
      <c r="FC46" s="53"/>
      <c r="FF46" s="68"/>
      <c r="FG46" s="68"/>
      <c r="FJ46" s="53" t="s">
        <v>4020</v>
      </c>
      <c r="FK46" s="53"/>
      <c r="FL46" s="53"/>
      <c r="FM46" s="53"/>
      <c r="FN46" s="53"/>
      <c r="FQ46" s="68"/>
      <c r="FR46" s="68"/>
      <c r="FU46" s="53" t="s">
        <v>4020</v>
      </c>
      <c r="FV46" s="53"/>
      <c r="FW46" s="53"/>
      <c r="FX46" s="53"/>
      <c r="FY46" s="53"/>
      <c r="GB46" s="68"/>
      <c r="GC46" s="68"/>
      <c r="GF46" s="53" t="s">
        <v>4020</v>
      </c>
      <c r="GG46" s="53"/>
      <c r="GH46" s="53"/>
      <c r="GI46" s="53"/>
      <c r="GJ46" s="53"/>
      <c r="GM46" s="68"/>
      <c r="GN46" s="68"/>
      <c r="GQ46" s="53" t="s">
        <v>4020</v>
      </c>
      <c r="GR46" s="53"/>
      <c r="GS46" s="53"/>
      <c r="GT46" s="53"/>
      <c r="GU46" s="53"/>
      <c r="GX46" s="68"/>
      <c r="GY46" s="68"/>
      <c r="HB46" s="53" t="s">
        <v>4020</v>
      </c>
      <c r="HC46" s="53"/>
      <c r="HD46" s="53"/>
      <c r="HE46" s="53"/>
      <c r="HF46" s="53"/>
      <c r="HI46" s="68"/>
      <c r="HJ46" s="68"/>
      <c r="HM46" s="53" t="s">
        <v>4020</v>
      </c>
      <c r="HN46" s="53"/>
      <c r="HO46" s="53"/>
      <c r="HP46" s="53"/>
      <c r="HQ46" s="53"/>
      <c r="HT46" s="68"/>
      <c r="HU46" s="68"/>
      <c r="HX46" s="53" t="s">
        <v>4020</v>
      </c>
      <c r="HY46" s="53"/>
      <c r="HZ46" s="53"/>
      <c r="IA46" s="53"/>
      <c r="IB46" s="53"/>
      <c r="IE46" s="68"/>
      <c r="IF46" s="68"/>
      <c r="II46" s="53" t="s">
        <v>4020</v>
      </c>
      <c r="IJ46" s="53"/>
      <c r="IK46" s="53"/>
      <c r="IL46" s="53"/>
      <c r="IM46" s="53"/>
      <c r="IP46" s="68"/>
      <c r="IQ46" s="68"/>
      <c r="IT46" s="53" t="s">
        <v>4020</v>
      </c>
      <c r="IU46" s="53"/>
      <c r="IV46" s="53"/>
      <c r="IW46" s="53"/>
      <c r="IX46" s="53"/>
      <c r="JA46" s="68"/>
      <c r="JB46" s="68"/>
      <c r="JE46" s="53" t="s">
        <v>4020</v>
      </c>
      <c r="JF46" s="53"/>
      <c r="JG46" s="53"/>
      <c r="JH46" s="53"/>
      <c r="JI46" s="53"/>
      <c r="JL46" s="68"/>
      <c r="JM46" s="68"/>
      <c r="JP46" s="53" t="s">
        <v>4020</v>
      </c>
      <c r="JQ46" s="53"/>
      <c r="JR46" s="53"/>
      <c r="JS46" s="53"/>
      <c r="JT46" s="53"/>
      <c r="JW46" s="68"/>
      <c r="JX46" s="68"/>
      <c r="KA46" s="53" t="s">
        <v>4020</v>
      </c>
      <c r="KB46" s="53"/>
      <c r="KC46" s="53"/>
      <c r="KD46" s="53"/>
      <c r="KE46" s="53"/>
      <c r="KH46" s="68"/>
      <c r="KI46" s="68"/>
      <c r="KL46" s="53" t="s">
        <v>4020</v>
      </c>
      <c r="KM46" s="53"/>
      <c r="KN46" s="53"/>
      <c r="KO46" s="53"/>
      <c r="KP46" s="53"/>
      <c r="KS46" s="68"/>
      <c r="KT46" s="68"/>
      <c r="KW46" s="53" t="s">
        <v>4020</v>
      </c>
      <c r="KX46" s="53"/>
      <c r="KY46" s="53"/>
      <c r="KZ46" s="53"/>
      <c r="LA46" s="53"/>
      <c r="LD46" s="68"/>
      <c r="LE46" s="68"/>
      <c r="LH46" s="53" t="s">
        <v>4020</v>
      </c>
      <c r="LI46" s="53"/>
      <c r="LJ46" s="53"/>
      <c r="LK46" s="53"/>
      <c r="LL46" s="53"/>
      <c r="LO46" s="68"/>
      <c r="LP46" s="68"/>
      <c r="LS46" s="53" t="s">
        <v>4020</v>
      </c>
      <c r="LT46" s="53"/>
      <c r="LU46" s="53"/>
      <c r="LV46" s="53"/>
      <c r="LW46" s="53"/>
      <c r="LZ46" s="68"/>
      <c r="MA46" s="68"/>
      <c r="MD46" s="53" t="s">
        <v>4020</v>
      </c>
      <c r="ME46" s="53"/>
      <c r="MF46" s="53"/>
      <c r="MG46" s="53"/>
      <c r="MH46" s="53"/>
      <c r="MK46" s="68"/>
      <c r="ML46" s="68"/>
      <c r="MO46" s="53" t="s">
        <v>4020</v>
      </c>
      <c r="MP46" s="53"/>
      <c r="MQ46" s="53"/>
      <c r="MR46" s="53"/>
      <c r="MS46" s="53"/>
      <c r="MV46" s="68"/>
      <c r="MW46" s="68"/>
      <c r="MZ46" s="53" t="s">
        <v>4020</v>
      </c>
      <c r="NA46" s="53"/>
      <c r="NB46" s="53"/>
      <c r="NC46" s="53"/>
      <c r="ND46" s="53"/>
      <c r="NG46" s="68"/>
      <c r="NH46" s="68"/>
      <c r="NK46" s="53" t="s">
        <v>4020</v>
      </c>
      <c r="NL46" s="53"/>
      <c r="NM46" s="53"/>
      <c r="NN46" s="53"/>
      <c r="NO46" s="53"/>
      <c r="NR46" s="68"/>
      <c r="NS46" s="68"/>
      <c r="NV46" s="53" t="s">
        <v>4020</v>
      </c>
      <c r="NW46" s="53"/>
      <c r="NX46" s="53"/>
      <c r="NY46" s="53"/>
      <c r="NZ46" s="53"/>
      <c r="OC46" s="68"/>
      <c r="OD46" s="68"/>
      <c r="OG46" s="53" t="s">
        <v>4020</v>
      </c>
      <c r="OH46" s="53"/>
      <c r="OI46" s="53"/>
      <c r="OJ46" s="53"/>
      <c r="OK46" s="53"/>
      <c r="ON46" s="68"/>
      <c r="OO46" s="68"/>
      <c r="OR46" s="53" t="s">
        <v>4020</v>
      </c>
      <c r="OS46" s="53"/>
      <c r="OT46" s="53"/>
      <c r="OU46" s="53"/>
      <c r="OV46" s="53"/>
      <c r="OY46" s="68"/>
      <c r="OZ46" s="68"/>
      <c r="PC46" s="53" t="s">
        <v>4020</v>
      </c>
      <c r="PD46" s="53"/>
      <c r="PE46" s="53"/>
      <c r="PF46" s="53"/>
      <c r="PG46" s="53"/>
      <c r="PJ46" s="68"/>
      <c r="PK46" s="68"/>
      <c r="PN46" s="53" t="s">
        <v>4020</v>
      </c>
      <c r="PO46" s="53"/>
      <c r="PP46" s="53"/>
      <c r="PQ46" s="53"/>
      <c r="PR46" s="53"/>
      <c r="PU46" s="68"/>
      <c r="PV46" s="68"/>
      <c r="PY46" s="53" t="s">
        <v>4020</v>
      </c>
      <c r="PZ46" s="53"/>
      <c r="QA46" s="53"/>
      <c r="QB46" s="53"/>
      <c r="QC46" s="53"/>
      <c r="QF46" s="68"/>
      <c r="QG46" s="68"/>
      <c r="QJ46" s="53" t="s">
        <v>4020</v>
      </c>
      <c r="QK46" s="53"/>
      <c r="QL46" s="53"/>
      <c r="QM46" s="53"/>
      <c r="QN46" s="53"/>
      <c r="QQ46" s="68"/>
      <c r="QR46" s="68"/>
      <c r="QU46" s="53" t="s">
        <v>4020</v>
      </c>
      <c r="QV46" s="53"/>
      <c r="QW46" s="53"/>
      <c r="QX46" s="53"/>
      <c r="QY46" s="53"/>
      <c r="RB46" s="68"/>
      <c r="RC46" s="68"/>
      <c r="RF46" s="53" t="s">
        <v>4020</v>
      </c>
      <c r="RG46" s="53"/>
      <c r="RH46" s="53"/>
      <c r="RI46" s="53"/>
      <c r="RJ46" s="53"/>
      <c r="RM46" s="68"/>
      <c r="RN46" s="68"/>
      <c r="RQ46" s="53" t="s">
        <v>4020</v>
      </c>
      <c r="RR46" s="53"/>
      <c r="RS46" s="53"/>
      <c r="RT46" s="53"/>
      <c r="RU46" s="53"/>
      <c r="RX46" s="68"/>
      <c r="RY46" s="68"/>
      <c r="SB46" s="53" t="s">
        <v>4020</v>
      </c>
      <c r="SC46" s="53"/>
      <c r="SD46" s="53"/>
      <c r="SE46" s="53"/>
      <c r="SF46" s="53"/>
      <c r="SI46" s="68"/>
      <c r="SJ46" s="68"/>
      <c r="SM46" s="53" t="s">
        <v>4020</v>
      </c>
      <c r="SN46" s="53"/>
      <c r="SO46" s="53"/>
      <c r="SP46" s="53"/>
      <c r="SQ46" s="53"/>
      <c r="ST46" s="68"/>
      <c r="SU46" s="68"/>
      <c r="SX46" s="53" t="s">
        <v>4020</v>
      </c>
      <c r="SY46" s="53"/>
      <c r="SZ46" s="53"/>
      <c r="TA46" s="53"/>
      <c r="TB46" s="53"/>
      <c r="TE46" s="68"/>
      <c r="TF46" s="68"/>
      <c r="TI46" s="53" t="s">
        <v>4020</v>
      </c>
      <c r="TJ46" s="53"/>
      <c r="TK46" s="53"/>
      <c r="TL46" s="53"/>
      <c r="TM46" s="53"/>
      <c r="TP46" s="68"/>
      <c r="TQ46" s="68"/>
      <c r="TT46" s="53" t="s">
        <v>4020</v>
      </c>
      <c r="TU46" s="53"/>
      <c r="TV46" s="53"/>
      <c r="TW46" s="53"/>
      <c r="TX46" s="53"/>
      <c r="UA46" s="68"/>
      <c r="UB46" s="68"/>
      <c r="UE46" s="53" t="s">
        <v>4020</v>
      </c>
      <c r="UF46" s="53"/>
      <c r="UG46" s="53"/>
      <c r="UH46" s="53"/>
      <c r="UI46" s="53"/>
      <c r="UL46" s="68"/>
      <c r="UM46" s="68"/>
      <c r="UP46" s="53" t="s">
        <v>4020</v>
      </c>
      <c r="UQ46" s="53"/>
      <c r="UR46" s="53"/>
      <c r="US46" s="53"/>
      <c r="UT46" s="53"/>
      <c r="UW46" s="68"/>
      <c r="UX46" s="68"/>
      <c r="VA46" s="53" t="s">
        <v>4020</v>
      </c>
      <c r="VB46" s="53"/>
      <c r="VC46" s="53"/>
      <c r="VD46" s="53"/>
      <c r="VE46" s="53"/>
      <c r="VH46" s="68"/>
      <c r="VI46" s="68"/>
      <c r="VL46" s="53" t="s">
        <v>4020</v>
      </c>
      <c r="VM46" s="53"/>
      <c r="VN46" s="53"/>
      <c r="VO46" s="53"/>
      <c r="VP46" s="53"/>
      <c r="VS46" s="68"/>
      <c r="VT46" s="68"/>
      <c r="VW46" s="53" t="s">
        <v>4020</v>
      </c>
      <c r="VX46" s="53"/>
      <c r="VY46" s="53"/>
      <c r="VZ46" s="53"/>
      <c r="WA46" s="53"/>
      <c r="WD46" s="68"/>
      <c r="WE46" s="68"/>
      <c r="WH46" s="53" t="s">
        <v>4020</v>
      </c>
      <c r="WI46" s="53"/>
      <c r="WJ46" s="53"/>
      <c r="WK46" s="53"/>
      <c r="WL46" s="53"/>
      <c r="WO46" s="68"/>
      <c r="WP46" s="68"/>
      <c r="WS46" s="53" t="s">
        <v>4020</v>
      </c>
      <c r="WT46" s="53"/>
      <c r="WU46" s="53"/>
      <c r="WV46" s="53"/>
      <c r="WW46" s="53"/>
      <c r="WZ46" s="68"/>
      <c r="XA46" s="68"/>
      <c r="XD46" s="53" t="s">
        <v>4020</v>
      </c>
      <c r="XE46" s="53"/>
      <c r="XF46" s="53"/>
      <c r="XG46" s="53"/>
      <c r="XH46" s="53"/>
      <c r="XK46" s="68"/>
      <c r="XL46" s="68"/>
      <c r="XO46" s="53" t="s">
        <v>4020</v>
      </c>
      <c r="XP46" s="53"/>
      <c r="XQ46" s="53"/>
      <c r="XR46" s="53"/>
      <c r="XS46" s="53"/>
      <c r="XV46" s="68"/>
      <c r="XW46" s="68"/>
      <c r="XZ46" s="53" t="s">
        <v>4020</v>
      </c>
      <c r="YA46" s="53"/>
      <c r="YB46" s="53"/>
      <c r="YC46" s="53"/>
      <c r="YD46" s="53"/>
      <c r="YG46" s="68"/>
      <c r="YH46" s="68"/>
      <c r="YK46" s="53" t="s">
        <v>4020</v>
      </c>
      <c r="YL46" s="53"/>
      <c r="YM46" s="53"/>
      <c r="YN46" s="53"/>
      <c r="YO46" s="53"/>
      <c r="YR46" s="68"/>
      <c r="YS46" s="68"/>
      <c r="YV46" s="53" t="s">
        <v>4020</v>
      </c>
      <c r="YW46" s="53"/>
      <c r="YX46" s="53"/>
      <c r="YY46" s="53"/>
      <c r="YZ46" s="53"/>
      <c r="ZC46" s="68"/>
      <c r="ZD46" s="68"/>
      <c r="ZG46" s="53" t="s">
        <v>4020</v>
      </c>
      <c r="ZH46" s="53"/>
      <c r="ZI46" s="53"/>
      <c r="ZJ46" s="53"/>
      <c r="ZK46" s="53"/>
      <c r="ZN46" s="68"/>
      <c r="ZO46" s="68"/>
      <c r="ZR46" s="53" t="s">
        <v>4020</v>
      </c>
      <c r="ZS46" s="53"/>
      <c r="ZT46" s="53"/>
      <c r="ZU46" s="53"/>
      <c r="ZV46" s="53"/>
      <c r="ZY46" s="68"/>
      <c r="ZZ46" s="68"/>
      <c r="AAC46" s="53" t="s">
        <v>4020</v>
      </c>
      <c r="AAD46" s="53"/>
      <c r="AAE46" s="53"/>
      <c r="AAF46" s="53"/>
      <c r="AAG46" s="53"/>
      <c r="AAJ46" s="68"/>
      <c r="AAK46" s="68"/>
      <c r="AAN46" s="53" t="s">
        <v>4020</v>
      </c>
      <c r="AAO46" s="53"/>
      <c r="AAP46" s="53"/>
      <c r="AAQ46" s="53"/>
      <c r="AAR46" s="53"/>
      <c r="AAU46" s="68"/>
      <c r="AAV46" s="68"/>
      <c r="AAY46" s="53" t="s">
        <v>4020</v>
      </c>
      <c r="AAZ46" s="53"/>
      <c r="ABA46" s="53"/>
      <c r="ABB46" s="53"/>
      <c r="ABC46" s="53"/>
      <c r="ABF46" s="68"/>
      <c r="ABG46" s="68"/>
      <c r="ABJ46" s="53" t="s">
        <v>4020</v>
      </c>
      <c r="ABK46" s="53"/>
      <c r="ABL46" s="53"/>
      <c r="ABM46" s="53"/>
      <c r="ABN46" s="53"/>
      <c r="ABQ46" s="68"/>
      <c r="ABR46" s="68"/>
      <c r="ABU46" s="53" t="s">
        <v>4020</v>
      </c>
      <c r="ABV46" s="53"/>
      <c r="ABW46" s="53"/>
      <c r="ABX46" s="53"/>
      <c r="ABY46" s="53"/>
      <c r="ACB46" s="68"/>
      <c r="ACC46" s="68"/>
      <c r="ACF46" s="53" t="s">
        <v>4020</v>
      </c>
      <c r="ACG46" s="53"/>
      <c r="ACH46" s="53"/>
      <c r="ACI46" s="53"/>
      <c r="ACJ46" s="53"/>
      <c r="ACM46" s="68"/>
      <c r="ACN46" s="68"/>
      <c r="ACQ46" s="53" t="s">
        <v>4020</v>
      </c>
      <c r="ACR46" s="53"/>
      <c r="ACS46" s="53"/>
      <c r="ACT46" s="53"/>
      <c r="ACU46" s="53"/>
      <c r="ACX46" s="68"/>
      <c r="ACY46" s="68"/>
      <c r="ADB46" s="53" t="s">
        <v>4020</v>
      </c>
      <c r="ADC46" s="53"/>
      <c r="ADD46" s="53"/>
      <c r="ADE46" s="53"/>
      <c r="ADF46" s="53"/>
      <c r="ADI46" s="68"/>
      <c r="ADJ46" s="68"/>
    </row>
    <row r="47" spans="1:790" ht="7.8" customHeight="1" x14ac:dyDescent="0.45">
      <c r="A47" s="38"/>
      <c r="B47" s="38"/>
      <c r="C47" s="38"/>
      <c r="D47" s="38"/>
      <c r="E47" s="38"/>
      <c r="L47" s="38"/>
      <c r="M47" s="38"/>
      <c r="N47" s="38"/>
      <c r="O47" s="38"/>
      <c r="P47" s="38"/>
      <c r="S47" s="4"/>
      <c r="T47" s="4"/>
      <c r="W47" s="38"/>
      <c r="X47" s="38"/>
      <c r="Y47" s="38"/>
      <c r="Z47" s="38"/>
      <c r="AA47" s="38"/>
      <c r="AD47" s="4"/>
      <c r="AE47" s="4"/>
      <c r="AH47" s="38"/>
      <c r="AI47" s="38"/>
      <c r="AJ47" s="38"/>
      <c r="AK47" s="38"/>
      <c r="AL47" s="38"/>
      <c r="AO47" s="4"/>
      <c r="AP47" s="4"/>
      <c r="AS47" s="38"/>
      <c r="AT47" s="38"/>
      <c r="AU47" s="38"/>
      <c r="AV47" s="38"/>
      <c r="AW47" s="38"/>
      <c r="AZ47" s="4"/>
      <c r="BA47" s="4"/>
      <c r="BD47" s="38"/>
      <c r="BE47" s="38"/>
      <c r="BF47" s="38"/>
      <c r="BG47" s="38"/>
      <c r="BH47" s="38"/>
      <c r="BK47" s="4"/>
      <c r="BL47" s="4"/>
      <c r="BO47" s="38"/>
      <c r="BP47" s="38"/>
      <c r="BQ47" s="38"/>
      <c r="BR47" s="38"/>
      <c r="BS47" s="38"/>
      <c r="BV47" s="4"/>
      <c r="BW47" s="4"/>
      <c r="BZ47" s="38"/>
      <c r="CA47" s="38"/>
      <c r="CB47" s="38"/>
      <c r="CC47" s="38"/>
      <c r="CD47" s="38"/>
      <c r="CG47" s="4"/>
      <c r="CH47" s="4"/>
      <c r="CK47" s="38"/>
      <c r="CL47" s="38"/>
      <c r="CM47" s="38"/>
      <c r="CN47" s="38"/>
      <c r="CO47" s="38"/>
      <c r="CR47" s="4"/>
      <c r="CS47" s="4"/>
      <c r="CV47" s="38"/>
      <c r="CW47" s="38"/>
      <c r="CX47" s="38"/>
      <c r="CY47" s="38"/>
      <c r="CZ47" s="38"/>
      <c r="DC47" s="4"/>
      <c r="DD47" s="4"/>
      <c r="DG47" s="38"/>
      <c r="DH47" s="38"/>
      <c r="DI47" s="38"/>
      <c r="DJ47" s="38"/>
      <c r="DK47" s="38"/>
      <c r="DN47" s="4"/>
      <c r="DO47" s="4"/>
      <c r="DR47" s="38"/>
      <c r="DS47" s="38"/>
      <c r="DT47" s="38"/>
      <c r="DU47" s="38"/>
      <c r="DV47" s="38"/>
      <c r="DY47" s="4"/>
      <c r="DZ47" s="4"/>
      <c r="EC47" s="38"/>
      <c r="ED47" s="38"/>
      <c r="EE47" s="38"/>
      <c r="EF47" s="38"/>
      <c r="EG47" s="38"/>
      <c r="EJ47" s="4"/>
      <c r="EK47" s="4"/>
      <c r="EN47" s="38"/>
      <c r="EO47" s="38"/>
      <c r="EP47" s="38"/>
      <c r="EQ47" s="38"/>
      <c r="ER47" s="38"/>
      <c r="EU47" s="4"/>
      <c r="EV47" s="4"/>
      <c r="EY47" s="38"/>
      <c r="EZ47" s="38"/>
      <c r="FA47" s="38"/>
      <c r="FB47" s="38"/>
      <c r="FC47" s="38"/>
      <c r="FF47" s="4"/>
      <c r="FG47" s="4"/>
      <c r="FJ47" s="38"/>
      <c r="FK47" s="38"/>
      <c r="FL47" s="38"/>
      <c r="FM47" s="38"/>
      <c r="FN47" s="38"/>
      <c r="FQ47" s="4"/>
      <c r="FR47" s="4"/>
      <c r="FU47" s="38"/>
      <c r="FV47" s="38"/>
      <c r="FW47" s="38"/>
      <c r="FX47" s="38"/>
      <c r="FY47" s="38"/>
      <c r="GB47" s="4"/>
      <c r="GC47" s="4"/>
      <c r="GF47" s="38"/>
      <c r="GG47" s="38"/>
      <c r="GH47" s="38"/>
      <c r="GI47" s="38"/>
      <c r="GJ47" s="38"/>
      <c r="GM47" s="4"/>
      <c r="GN47" s="4"/>
      <c r="GQ47" s="38"/>
      <c r="GR47" s="38"/>
      <c r="GS47" s="38"/>
      <c r="GT47" s="38"/>
      <c r="GU47" s="38"/>
      <c r="GX47" s="4"/>
      <c r="GY47" s="4"/>
      <c r="HB47" s="38"/>
      <c r="HC47" s="38"/>
      <c r="HD47" s="38"/>
      <c r="HE47" s="38"/>
      <c r="HF47" s="38"/>
      <c r="HI47" s="4"/>
      <c r="HJ47" s="4"/>
      <c r="HM47" s="38"/>
      <c r="HN47" s="38"/>
      <c r="HO47" s="38"/>
      <c r="HP47" s="38"/>
      <c r="HQ47" s="38"/>
      <c r="HT47" s="4"/>
      <c r="HU47" s="4"/>
      <c r="HX47" s="38"/>
      <c r="HY47" s="38"/>
      <c r="HZ47" s="38"/>
      <c r="IA47" s="38"/>
      <c r="IB47" s="38"/>
      <c r="IE47" s="4"/>
      <c r="IF47" s="4"/>
      <c r="II47" s="38"/>
      <c r="IJ47" s="38"/>
      <c r="IK47" s="38"/>
      <c r="IL47" s="38"/>
      <c r="IM47" s="38"/>
      <c r="IP47" s="4"/>
      <c r="IQ47" s="4"/>
      <c r="IT47" s="38"/>
      <c r="IU47" s="38"/>
      <c r="IV47" s="38"/>
      <c r="IW47" s="38"/>
      <c r="IX47" s="38"/>
      <c r="JA47" s="4"/>
      <c r="JB47" s="4"/>
      <c r="JE47" s="38"/>
      <c r="JF47" s="38"/>
      <c r="JG47" s="38"/>
      <c r="JH47" s="38"/>
      <c r="JI47" s="38"/>
      <c r="JL47" s="4"/>
      <c r="JM47" s="4"/>
      <c r="JP47" s="38"/>
      <c r="JQ47" s="38"/>
      <c r="JR47" s="38"/>
      <c r="JS47" s="38"/>
      <c r="JT47" s="38"/>
      <c r="JW47" s="4"/>
      <c r="JX47" s="4"/>
      <c r="KA47" s="38"/>
      <c r="KB47" s="38"/>
      <c r="KC47" s="38"/>
      <c r="KD47" s="38"/>
      <c r="KE47" s="38"/>
      <c r="KH47" s="4"/>
      <c r="KI47" s="4"/>
      <c r="KL47" s="38"/>
      <c r="KM47" s="38"/>
      <c r="KN47" s="38"/>
      <c r="KO47" s="38"/>
      <c r="KP47" s="38"/>
      <c r="KS47" s="4"/>
      <c r="KT47" s="4"/>
      <c r="KW47" s="38"/>
      <c r="KX47" s="38"/>
      <c r="KY47" s="38"/>
      <c r="KZ47" s="38"/>
      <c r="LA47" s="38"/>
      <c r="LD47" s="4"/>
      <c r="LE47" s="4"/>
      <c r="LH47" s="38"/>
      <c r="LI47" s="38"/>
      <c r="LJ47" s="38"/>
      <c r="LK47" s="38"/>
      <c r="LL47" s="38"/>
      <c r="LO47" s="4"/>
      <c r="LP47" s="4"/>
      <c r="LS47" s="38"/>
      <c r="LT47" s="38"/>
      <c r="LU47" s="38"/>
      <c r="LV47" s="38"/>
      <c r="LW47" s="38"/>
      <c r="LZ47" s="4"/>
      <c r="MA47" s="4"/>
      <c r="MD47" s="38"/>
      <c r="ME47" s="38"/>
      <c r="MF47" s="38"/>
      <c r="MG47" s="38"/>
      <c r="MH47" s="38"/>
      <c r="MK47" s="4"/>
      <c r="ML47" s="4"/>
      <c r="MO47" s="38"/>
      <c r="MP47" s="38"/>
      <c r="MQ47" s="38"/>
      <c r="MR47" s="38"/>
      <c r="MS47" s="38"/>
      <c r="MV47" s="4"/>
      <c r="MW47" s="4"/>
      <c r="MZ47" s="38"/>
      <c r="NA47" s="38"/>
      <c r="NB47" s="38"/>
      <c r="NC47" s="38"/>
      <c r="ND47" s="38"/>
      <c r="NG47" s="4"/>
      <c r="NH47" s="4"/>
      <c r="NK47" s="38"/>
      <c r="NL47" s="38"/>
      <c r="NM47" s="38"/>
      <c r="NN47" s="38"/>
      <c r="NO47" s="38"/>
      <c r="NR47" s="4"/>
      <c r="NS47" s="4"/>
      <c r="NV47" s="38"/>
      <c r="NW47" s="38"/>
      <c r="NX47" s="38"/>
      <c r="NY47" s="38"/>
      <c r="NZ47" s="38"/>
      <c r="OC47" s="4"/>
      <c r="OD47" s="4"/>
      <c r="OG47" s="38"/>
      <c r="OH47" s="38"/>
      <c r="OI47" s="38"/>
      <c r="OJ47" s="38"/>
      <c r="OK47" s="38"/>
      <c r="ON47" s="4"/>
      <c r="OO47" s="4"/>
      <c r="OR47" s="38"/>
      <c r="OS47" s="38"/>
      <c r="OT47" s="38"/>
      <c r="OU47" s="38"/>
      <c r="OV47" s="38"/>
      <c r="OY47" s="4"/>
      <c r="OZ47" s="4"/>
      <c r="PC47" s="38"/>
      <c r="PD47" s="38"/>
      <c r="PE47" s="38"/>
      <c r="PF47" s="38"/>
      <c r="PG47" s="38"/>
      <c r="PJ47" s="4"/>
      <c r="PK47" s="4"/>
      <c r="PN47" s="38"/>
      <c r="PO47" s="38"/>
      <c r="PP47" s="38"/>
      <c r="PQ47" s="38"/>
      <c r="PR47" s="38"/>
      <c r="PU47" s="4"/>
      <c r="PV47" s="4"/>
      <c r="PY47" s="38"/>
      <c r="PZ47" s="38"/>
      <c r="QA47" s="38"/>
      <c r="QB47" s="38"/>
      <c r="QC47" s="38"/>
      <c r="QF47" s="4"/>
      <c r="QG47" s="4"/>
      <c r="QJ47" s="38"/>
      <c r="QK47" s="38"/>
      <c r="QL47" s="38"/>
      <c r="QM47" s="38"/>
      <c r="QN47" s="38"/>
      <c r="QQ47" s="4"/>
      <c r="QR47" s="4"/>
      <c r="QU47" s="38"/>
      <c r="QV47" s="38"/>
      <c r="QW47" s="38"/>
      <c r="QX47" s="38"/>
      <c r="QY47" s="38"/>
      <c r="RB47" s="4"/>
      <c r="RC47" s="4"/>
      <c r="RF47" s="38"/>
      <c r="RG47" s="38"/>
      <c r="RH47" s="38"/>
      <c r="RI47" s="38"/>
      <c r="RJ47" s="38"/>
      <c r="RM47" s="4"/>
      <c r="RN47" s="4"/>
      <c r="RQ47" s="38"/>
      <c r="RR47" s="38"/>
      <c r="RS47" s="38"/>
      <c r="RT47" s="38"/>
      <c r="RU47" s="38"/>
      <c r="RX47" s="4"/>
      <c r="RY47" s="4"/>
      <c r="SB47" s="38"/>
      <c r="SC47" s="38"/>
      <c r="SD47" s="38"/>
      <c r="SE47" s="38"/>
      <c r="SF47" s="38"/>
      <c r="SI47" s="4"/>
      <c r="SJ47" s="4"/>
      <c r="SM47" s="38"/>
      <c r="SN47" s="38"/>
      <c r="SO47" s="38"/>
      <c r="SP47" s="38"/>
      <c r="SQ47" s="38"/>
      <c r="ST47" s="4"/>
      <c r="SU47" s="4"/>
      <c r="SX47" s="38"/>
      <c r="SY47" s="38"/>
      <c r="SZ47" s="38"/>
      <c r="TA47" s="38"/>
      <c r="TB47" s="38"/>
      <c r="TE47" s="4"/>
      <c r="TF47" s="4"/>
      <c r="TI47" s="38"/>
      <c r="TJ47" s="38"/>
      <c r="TK47" s="38"/>
      <c r="TL47" s="38"/>
      <c r="TM47" s="38"/>
      <c r="TP47" s="4"/>
      <c r="TQ47" s="4"/>
      <c r="TT47" s="38"/>
      <c r="TU47" s="38"/>
      <c r="TV47" s="38"/>
      <c r="TW47" s="38"/>
      <c r="TX47" s="38"/>
      <c r="UA47" s="4"/>
      <c r="UB47" s="4"/>
      <c r="UE47" s="38"/>
      <c r="UF47" s="38"/>
      <c r="UG47" s="38"/>
      <c r="UH47" s="38"/>
      <c r="UI47" s="38"/>
      <c r="UL47" s="4"/>
      <c r="UM47" s="4"/>
      <c r="UP47" s="38"/>
      <c r="UQ47" s="38"/>
      <c r="UR47" s="38"/>
      <c r="US47" s="38"/>
      <c r="UT47" s="38"/>
      <c r="UW47" s="4"/>
      <c r="UX47" s="4"/>
      <c r="VA47" s="38"/>
      <c r="VB47" s="38"/>
      <c r="VC47" s="38"/>
      <c r="VD47" s="38"/>
      <c r="VE47" s="38"/>
      <c r="VH47" s="4"/>
      <c r="VI47" s="4"/>
      <c r="VL47" s="38"/>
      <c r="VM47" s="38"/>
      <c r="VN47" s="38"/>
      <c r="VO47" s="38"/>
      <c r="VP47" s="38"/>
      <c r="VS47" s="4"/>
      <c r="VT47" s="4"/>
      <c r="VW47" s="38"/>
      <c r="VX47" s="38"/>
      <c r="VY47" s="38"/>
      <c r="VZ47" s="38"/>
      <c r="WA47" s="38"/>
      <c r="WD47" s="4"/>
      <c r="WE47" s="4"/>
      <c r="WH47" s="38"/>
      <c r="WI47" s="38"/>
      <c r="WJ47" s="38"/>
      <c r="WK47" s="38"/>
      <c r="WL47" s="38"/>
      <c r="WO47" s="4"/>
      <c r="WP47" s="4"/>
      <c r="WS47" s="38"/>
      <c r="WT47" s="38"/>
      <c r="WU47" s="38"/>
      <c r="WV47" s="38"/>
      <c r="WW47" s="38"/>
      <c r="WZ47" s="4"/>
      <c r="XA47" s="4"/>
      <c r="XD47" s="38"/>
      <c r="XE47" s="38"/>
      <c r="XF47" s="38"/>
      <c r="XG47" s="38"/>
      <c r="XH47" s="38"/>
      <c r="XK47" s="4"/>
      <c r="XL47" s="4"/>
      <c r="XO47" s="38"/>
      <c r="XP47" s="38"/>
      <c r="XQ47" s="38"/>
      <c r="XR47" s="38"/>
      <c r="XS47" s="38"/>
      <c r="XV47" s="4"/>
      <c r="XW47" s="4"/>
      <c r="XZ47" s="38"/>
      <c r="YA47" s="38"/>
      <c r="YB47" s="38"/>
      <c r="YC47" s="38"/>
      <c r="YD47" s="38"/>
      <c r="YG47" s="4"/>
      <c r="YH47" s="4"/>
      <c r="YK47" s="38"/>
      <c r="YL47" s="38"/>
      <c r="YM47" s="38"/>
      <c r="YN47" s="38"/>
      <c r="YO47" s="38"/>
      <c r="YR47" s="4"/>
      <c r="YS47" s="4"/>
      <c r="YV47" s="38"/>
      <c r="YW47" s="38"/>
      <c r="YX47" s="38"/>
      <c r="YY47" s="38"/>
      <c r="YZ47" s="38"/>
      <c r="ZC47" s="4"/>
      <c r="ZD47" s="4"/>
      <c r="ZG47" s="38"/>
      <c r="ZH47" s="38"/>
      <c r="ZI47" s="38"/>
      <c r="ZJ47" s="38"/>
      <c r="ZK47" s="38"/>
      <c r="ZN47" s="4"/>
      <c r="ZO47" s="4"/>
      <c r="ZR47" s="38"/>
      <c r="ZS47" s="38"/>
      <c r="ZT47" s="38"/>
      <c r="ZU47" s="38"/>
      <c r="ZV47" s="38"/>
      <c r="ZY47" s="4"/>
      <c r="ZZ47" s="4"/>
      <c r="AAC47" s="38"/>
      <c r="AAD47" s="38"/>
      <c r="AAE47" s="38"/>
      <c r="AAF47" s="38"/>
      <c r="AAG47" s="38"/>
      <c r="AAJ47" s="4"/>
      <c r="AAK47" s="4"/>
      <c r="AAN47" s="38"/>
      <c r="AAO47" s="38"/>
      <c r="AAP47" s="38"/>
      <c r="AAQ47" s="38"/>
      <c r="AAR47" s="38"/>
      <c r="AAU47" s="4"/>
      <c r="AAV47" s="4"/>
      <c r="AAY47" s="38"/>
      <c r="AAZ47" s="38"/>
      <c r="ABA47" s="38"/>
      <c r="ABB47" s="38"/>
      <c r="ABC47" s="38"/>
      <c r="ABF47" s="4"/>
      <c r="ABG47" s="4"/>
      <c r="ABJ47" s="38"/>
      <c r="ABK47" s="38"/>
      <c r="ABL47" s="38"/>
      <c r="ABM47" s="38"/>
      <c r="ABN47" s="38"/>
      <c r="ABQ47" s="4"/>
      <c r="ABR47" s="4"/>
      <c r="ABU47" s="38"/>
      <c r="ABV47" s="38"/>
      <c r="ABW47" s="38"/>
      <c r="ABX47" s="38"/>
      <c r="ABY47" s="38"/>
      <c r="ACB47" s="4"/>
      <c r="ACC47" s="4"/>
      <c r="ACF47" s="38"/>
      <c r="ACG47" s="38"/>
      <c r="ACH47" s="38"/>
      <c r="ACI47" s="38"/>
      <c r="ACJ47" s="38"/>
      <c r="ACM47" s="4"/>
      <c r="ACN47" s="4"/>
      <c r="ACQ47" s="38"/>
      <c r="ACR47" s="38"/>
      <c r="ACS47" s="38"/>
      <c r="ACT47" s="38"/>
      <c r="ACU47" s="38"/>
      <c r="ACX47" s="4"/>
      <c r="ACY47" s="4"/>
      <c r="ADB47" s="38"/>
      <c r="ADC47" s="38"/>
      <c r="ADD47" s="38"/>
      <c r="ADE47" s="38"/>
      <c r="ADF47" s="38"/>
      <c r="ADI47" s="4"/>
      <c r="ADJ47" s="4"/>
    </row>
    <row r="48" spans="1:790" ht="11.4" customHeight="1" x14ac:dyDescent="0.45">
      <c r="S48" s="4"/>
      <c r="T48" s="4"/>
      <c r="AD48" s="4"/>
      <c r="AE48" s="4"/>
      <c r="AO48" s="4"/>
      <c r="AP48" s="4"/>
      <c r="AZ48" s="4"/>
      <c r="BA48" s="4"/>
      <c r="BK48" s="4"/>
      <c r="BL48" s="4"/>
      <c r="BV48" s="4"/>
      <c r="BW48" s="4"/>
      <c r="CG48" s="4"/>
      <c r="CH48" s="4"/>
      <c r="CR48" s="4"/>
      <c r="CS48" s="4"/>
      <c r="DC48" s="4"/>
      <c r="DD48" s="4"/>
      <c r="DN48" s="4"/>
      <c r="DO48" s="4"/>
      <c r="DY48" s="4"/>
      <c r="DZ48" s="4"/>
      <c r="EJ48" s="4"/>
      <c r="EK48" s="4"/>
      <c r="EU48" s="4"/>
      <c r="EV48" s="4"/>
      <c r="FF48" s="4"/>
      <c r="FG48" s="4"/>
      <c r="FQ48" s="4"/>
      <c r="FR48" s="4"/>
      <c r="GB48" s="4"/>
      <c r="GC48" s="4"/>
      <c r="GM48" s="4"/>
      <c r="GN48" s="4"/>
      <c r="GX48" s="4"/>
      <c r="GY48" s="4"/>
      <c r="HI48" s="4"/>
      <c r="HJ48" s="4"/>
      <c r="HT48" s="4"/>
      <c r="HU48" s="4"/>
      <c r="IE48" s="4"/>
      <c r="IF48" s="4"/>
      <c r="IP48" s="4"/>
      <c r="IQ48" s="4"/>
      <c r="JA48" s="4"/>
      <c r="JB48" s="4"/>
      <c r="JL48" s="4"/>
      <c r="JM48" s="4"/>
      <c r="JW48" s="4"/>
      <c r="JX48" s="4"/>
      <c r="KH48" s="4"/>
      <c r="KI48" s="4"/>
      <c r="KS48" s="4"/>
      <c r="KT48" s="4"/>
      <c r="LD48" s="4"/>
      <c r="LE48" s="4"/>
      <c r="LO48" s="4"/>
      <c r="LP48" s="4"/>
      <c r="LZ48" s="4"/>
      <c r="MA48" s="4"/>
      <c r="MK48" s="4"/>
      <c r="ML48" s="4"/>
      <c r="MV48" s="4"/>
      <c r="MW48" s="4"/>
      <c r="NG48" s="4"/>
      <c r="NH48" s="4"/>
      <c r="NR48" s="4"/>
      <c r="NS48" s="4"/>
      <c r="OC48" s="4"/>
      <c r="OD48" s="4"/>
      <c r="ON48" s="4"/>
      <c r="OO48" s="4"/>
      <c r="OY48" s="4"/>
      <c r="OZ48" s="4"/>
      <c r="PJ48" s="4"/>
      <c r="PK48" s="4"/>
      <c r="PU48" s="4"/>
      <c r="PV48" s="4"/>
      <c r="QF48" s="4"/>
      <c r="QG48" s="4"/>
      <c r="QQ48" s="4"/>
      <c r="QR48" s="4"/>
      <c r="RB48" s="4"/>
      <c r="RC48" s="4"/>
      <c r="RM48" s="4"/>
      <c r="RN48" s="4"/>
      <c r="RX48" s="4"/>
      <c r="RY48" s="4"/>
      <c r="SI48" s="4"/>
      <c r="SJ48" s="4"/>
      <c r="ST48" s="4"/>
      <c r="SU48" s="4"/>
      <c r="TE48" s="4"/>
      <c r="TF48" s="4"/>
      <c r="TP48" s="4"/>
      <c r="TQ48" s="4"/>
      <c r="UA48" s="4"/>
      <c r="UB48" s="4"/>
      <c r="UL48" s="4"/>
      <c r="UM48" s="4"/>
      <c r="UW48" s="4"/>
      <c r="UX48" s="4"/>
      <c r="VH48" s="4"/>
      <c r="VI48" s="4"/>
      <c r="VS48" s="4"/>
      <c r="VT48" s="4"/>
      <c r="WD48" s="4"/>
      <c r="WE48" s="4"/>
      <c r="WO48" s="4"/>
      <c r="WP48" s="4"/>
      <c r="WZ48" s="4"/>
      <c r="XA48" s="4"/>
      <c r="XK48" s="4"/>
      <c r="XL48" s="4"/>
      <c r="XV48" s="4"/>
      <c r="XW48" s="4"/>
      <c r="YG48" s="4"/>
      <c r="YH48" s="4"/>
      <c r="YR48" s="4"/>
      <c r="YS48" s="4"/>
      <c r="ZC48" s="4"/>
      <c r="ZD48" s="4"/>
      <c r="ZN48" s="4"/>
      <c r="ZO48" s="4"/>
      <c r="ZY48" s="4"/>
      <c r="ZZ48" s="4"/>
      <c r="AAJ48" s="4"/>
      <c r="AAK48" s="4"/>
      <c r="AAU48" s="4"/>
      <c r="AAV48" s="4"/>
      <c r="ABF48" s="4"/>
      <c r="ABG48" s="4"/>
      <c r="ABQ48" s="4"/>
      <c r="ABR48" s="4"/>
      <c r="ACB48" s="4"/>
      <c r="ACC48" s="4"/>
      <c r="ACM48" s="4"/>
      <c r="ACN48" s="4"/>
      <c r="ACX48" s="4"/>
      <c r="ACY48" s="4"/>
      <c r="ADI48" s="4"/>
      <c r="ADJ48" s="4"/>
    </row>
    <row r="49" spans="19:790" x14ac:dyDescent="0.45">
      <c r="S49" s="4"/>
      <c r="T49" s="4"/>
      <c r="AD49" s="4"/>
      <c r="AE49" s="4"/>
      <c r="AO49" s="4"/>
      <c r="AP49" s="4"/>
      <c r="AZ49" s="4"/>
      <c r="BA49" s="4"/>
      <c r="BK49" s="4"/>
      <c r="BL49" s="4"/>
      <c r="BV49" s="4"/>
      <c r="BW49" s="4"/>
      <c r="CG49" s="4"/>
      <c r="CH49" s="4"/>
      <c r="CR49" s="4"/>
      <c r="CS49" s="4"/>
      <c r="DC49" s="4"/>
      <c r="DD49" s="4"/>
      <c r="DN49" s="4"/>
      <c r="DO49" s="4"/>
      <c r="DY49" s="4"/>
      <c r="DZ49" s="4"/>
      <c r="EJ49" s="4"/>
      <c r="EK49" s="4"/>
      <c r="EU49" s="4"/>
      <c r="EV49" s="4"/>
      <c r="FF49" s="4"/>
      <c r="FG49" s="4"/>
      <c r="FQ49" s="4"/>
      <c r="FR49" s="4"/>
      <c r="GB49" s="4"/>
      <c r="GC49" s="4"/>
      <c r="GM49" s="4"/>
      <c r="GN49" s="4"/>
      <c r="GX49" s="4"/>
      <c r="GY49" s="4"/>
      <c r="HI49" s="4"/>
      <c r="HJ49" s="4"/>
      <c r="HT49" s="4"/>
      <c r="HU49" s="4"/>
      <c r="IE49" s="4"/>
      <c r="IF49" s="4"/>
      <c r="IP49" s="4"/>
      <c r="IQ49" s="4"/>
      <c r="JA49" s="4"/>
      <c r="JB49" s="4"/>
      <c r="JL49" s="4"/>
      <c r="JM49" s="4"/>
      <c r="JW49" s="4"/>
      <c r="JX49" s="4"/>
      <c r="KH49" s="4"/>
      <c r="KI49" s="4"/>
      <c r="KS49" s="4"/>
      <c r="KT49" s="4"/>
      <c r="LD49" s="4"/>
      <c r="LE49" s="4"/>
      <c r="LO49" s="4"/>
      <c r="LP49" s="4"/>
      <c r="LZ49" s="4"/>
      <c r="MA49" s="4"/>
      <c r="MK49" s="4"/>
      <c r="ML49" s="4"/>
      <c r="MV49" s="4"/>
      <c r="MW49" s="4"/>
      <c r="NG49" s="4"/>
      <c r="NH49" s="4"/>
      <c r="NR49" s="4"/>
      <c r="NS49" s="4"/>
      <c r="OC49" s="4"/>
      <c r="OD49" s="4"/>
      <c r="ON49" s="4"/>
      <c r="OO49" s="4"/>
      <c r="OY49" s="4"/>
      <c r="OZ49" s="4"/>
      <c r="PJ49" s="4"/>
      <c r="PK49" s="4"/>
      <c r="PU49" s="4"/>
      <c r="PV49" s="4"/>
      <c r="QF49" s="4"/>
      <c r="QG49" s="4"/>
      <c r="QQ49" s="4"/>
      <c r="QR49" s="4"/>
      <c r="RB49" s="4"/>
      <c r="RC49" s="4"/>
      <c r="RM49" s="4"/>
      <c r="RN49" s="4"/>
      <c r="RX49" s="4"/>
      <c r="RY49" s="4"/>
      <c r="SI49" s="4"/>
      <c r="SJ49" s="4"/>
      <c r="ST49" s="4"/>
      <c r="SU49" s="4"/>
      <c r="TE49" s="4"/>
      <c r="TF49" s="4"/>
      <c r="TP49" s="4"/>
      <c r="TQ49" s="4"/>
      <c r="UA49" s="4"/>
      <c r="UB49" s="4"/>
      <c r="UL49" s="4"/>
      <c r="UM49" s="4"/>
      <c r="UW49" s="4"/>
      <c r="UX49" s="4"/>
      <c r="VH49" s="4"/>
      <c r="VI49" s="4"/>
      <c r="VS49" s="4"/>
      <c r="VT49" s="4"/>
      <c r="WD49" s="4"/>
      <c r="WE49" s="4"/>
      <c r="WO49" s="4"/>
      <c r="WP49" s="4"/>
      <c r="WZ49" s="4"/>
      <c r="XA49" s="4"/>
      <c r="XK49" s="4"/>
      <c r="XL49" s="4"/>
      <c r="XV49" s="4"/>
      <c r="XW49" s="4"/>
      <c r="YG49" s="4"/>
      <c r="YH49" s="4"/>
      <c r="YR49" s="4"/>
      <c r="YS49" s="4"/>
      <c r="ZC49" s="4"/>
      <c r="ZD49" s="4"/>
      <c r="ZN49" s="4"/>
      <c r="ZO49" s="4"/>
      <c r="ZY49" s="4"/>
      <c r="ZZ49" s="4"/>
      <c r="AAJ49" s="4"/>
      <c r="AAK49" s="4"/>
      <c r="AAU49" s="4"/>
      <c r="AAV49" s="4"/>
      <c r="ABF49" s="4"/>
      <c r="ABG49" s="4"/>
      <c r="ABQ49" s="4"/>
      <c r="ABR49" s="4"/>
      <c r="ACB49" s="4"/>
      <c r="ACC49" s="4"/>
      <c r="ACM49" s="4"/>
      <c r="ACN49" s="4"/>
      <c r="ACX49" s="4"/>
      <c r="ACY49" s="4"/>
      <c r="ADI49" s="4"/>
      <c r="ADJ49" s="4"/>
    </row>
  </sheetData>
  <mergeCells count="358">
    <mergeCell ref="E2:G2"/>
    <mergeCell ref="ABN27:ABP27"/>
    <mergeCell ref="XG26:XJ26"/>
    <mergeCell ref="UT27:UV27"/>
    <mergeCell ref="VD1:VG1"/>
    <mergeCell ref="YZ27:ZB27"/>
    <mergeCell ref="AAQ26:AAT26"/>
    <mergeCell ref="OJ1:OM1"/>
    <mergeCell ref="XH2:XJ2"/>
    <mergeCell ref="RI1:RL1"/>
    <mergeCell ref="PG2:PI2"/>
    <mergeCell ref="WV26:WY26"/>
    <mergeCell ref="AH21:AM21"/>
    <mergeCell ref="RU27:RW27"/>
    <mergeCell ref="EN21:ES21"/>
    <mergeCell ref="JT27:JV27"/>
    <mergeCell ref="FM26:FP26"/>
    <mergeCell ref="QM26:QP26"/>
    <mergeCell ref="CZ27:DB27"/>
    <mergeCell ref="NZ27:OB27"/>
    <mergeCell ref="DJ1:DM1"/>
    <mergeCell ref="BH2:BJ2"/>
    <mergeCell ref="MH2:MJ2"/>
    <mergeCell ref="IW26:IZ26"/>
    <mergeCell ref="H21:H23"/>
    <mergeCell ref="KD26:KG26"/>
    <mergeCell ref="DU1:DX1"/>
    <mergeCell ref="OU1:OX1"/>
    <mergeCell ref="CC26:CF26"/>
    <mergeCell ref="MS2:MU2"/>
    <mergeCell ref="ACI1:ACL1"/>
    <mergeCell ref="XD21:XI21"/>
    <mergeCell ref="D26:G26"/>
    <mergeCell ref="ZJ1:ZM1"/>
    <mergeCell ref="MR26:MU26"/>
    <mergeCell ref="JE21:JJ21"/>
    <mergeCell ref="XR26:XU26"/>
    <mergeCell ref="BD21:BI21"/>
    <mergeCell ref="MD21:MI21"/>
    <mergeCell ref="ABX26:ACA26"/>
    <mergeCell ref="FJ21:FO21"/>
    <mergeCell ref="QX1:RA1"/>
    <mergeCell ref="VE2:VG2"/>
    <mergeCell ref="ND2:NF2"/>
    <mergeCell ref="JS26:JV26"/>
    <mergeCell ref="QB26:QE26"/>
    <mergeCell ref="JS1:JV1"/>
    <mergeCell ref="GJ2:GL2"/>
    <mergeCell ref="P27:R27"/>
    <mergeCell ref="P2:R2"/>
    <mergeCell ref="QU21:QZ21"/>
    <mergeCell ref="YD27:YF27"/>
    <mergeCell ref="YN26:YQ26"/>
    <mergeCell ref="YN1:YQ1"/>
    <mergeCell ref="RT1:RW1"/>
    <mergeCell ref="AAR2:AAT2"/>
    <mergeCell ref="LS21:LX21"/>
    <mergeCell ref="LA27:LC27"/>
    <mergeCell ref="VE27:VG27"/>
    <mergeCell ref="JI2:JK2"/>
    <mergeCell ref="UI2:UK2"/>
    <mergeCell ref="FX26:GA26"/>
    <mergeCell ref="QX26:RA26"/>
    <mergeCell ref="O1:R1"/>
    <mergeCell ref="KO1:KR1"/>
    <mergeCell ref="DK27:DM27"/>
    <mergeCell ref="QY27:RA27"/>
    <mergeCell ref="DV27:DX27"/>
    <mergeCell ref="KE27:KG27"/>
    <mergeCell ref="CY26:DB26"/>
    <mergeCell ref="CY1:DB1"/>
    <mergeCell ref="BG26:BJ26"/>
    <mergeCell ref="ADF27:ADH27"/>
    <mergeCell ref="WL27:WN27"/>
    <mergeCell ref="OK27:OM27"/>
    <mergeCell ref="OK2:OM2"/>
    <mergeCell ref="UT2:UV2"/>
    <mergeCell ref="KZ1:LC1"/>
    <mergeCell ref="JH26:JK26"/>
    <mergeCell ref="FU21:FZ21"/>
    <mergeCell ref="S21:S23"/>
    <mergeCell ref="EF1:EI1"/>
    <mergeCell ref="NN26:NQ26"/>
    <mergeCell ref="HE1:HH1"/>
    <mergeCell ref="HF27:HH27"/>
    <mergeCell ref="AL27:AN27"/>
    <mergeCell ref="GI26:GL26"/>
    <mergeCell ref="CZ2:DB2"/>
    <mergeCell ref="II21:IN21"/>
    <mergeCell ref="TI21:TN21"/>
    <mergeCell ref="SP1:SS1"/>
    <mergeCell ref="ABN2:ABP2"/>
    <mergeCell ref="YC26:YF26"/>
    <mergeCell ref="BO21:BT21"/>
    <mergeCell ref="MO21:MT21"/>
    <mergeCell ref="XO21:XT21"/>
    <mergeCell ref="AA27:AC27"/>
    <mergeCell ref="AK26:AN26"/>
    <mergeCell ref="AK1:AN1"/>
    <mergeCell ref="UE21:UJ21"/>
    <mergeCell ref="ACJ2:ACL2"/>
    <mergeCell ref="AAN21:AAS21"/>
    <mergeCell ref="NK21:NP21"/>
    <mergeCell ref="YY1:ZB1"/>
    <mergeCell ref="SX21:TC21"/>
    <mergeCell ref="SE1:SH1"/>
    <mergeCell ref="SF27:SH27"/>
    <mergeCell ref="VZ1:WC1"/>
    <mergeCell ref="RJ27:RL27"/>
    <mergeCell ref="ACJ27:ACL27"/>
    <mergeCell ref="RT26:RW26"/>
    <mergeCell ref="LK1:LN1"/>
    <mergeCell ref="GF21:GK21"/>
    <mergeCell ref="PG27:PI27"/>
    <mergeCell ref="EQ1:ET1"/>
    <mergeCell ref="TX2:TZ2"/>
    <mergeCell ref="GU2:GW2"/>
    <mergeCell ref="PY21:QD21"/>
    <mergeCell ref="WH21:WM21"/>
    <mergeCell ref="FN2:FP2"/>
    <mergeCell ref="ADE26:ADH26"/>
    <mergeCell ref="LV1:LY1"/>
    <mergeCell ref="WV1:WY1"/>
    <mergeCell ref="GQ21:GV21"/>
    <mergeCell ref="VD26:VG26"/>
    <mergeCell ref="QB1:QE1"/>
    <mergeCell ref="OJ26:OM26"/>
    <mergeCell ref="IA1:ID1"/>
    <mergeCell ref="QY2:RA2"/>
    <mergeCell ref="HE26:HH26"/>
    <mergeCell ref="ADE1:ADH1"/>
    <mergeCell ref="ADB21:ADG21"/>
    <mergeCell ref="WS21:WX21"/>
    <mergeCell ref="PC21:PH21"/>
    <mergeCell ref="ABB26:ABE26"/>
    <mergeCell ref="XS2:XU2"/>
    <mergeCell ref="UH26:UK26"/>
    <mergeCell ref="IT21:IY21"/>
    <mergeCell ref="UH1:UK1"/>
    <mergeCell ref="SP26:SS26"/>
    <mergeCell ref="QC2:QE2"/>
    <mergeCell ref="ABC2:ABE2"/>
    <mergeCell ref="I21:I23"/>
    <mergeCell ref="YV21:ZA21"/>
    <mergeCell ref="VP27:VR27"/>
    <mergeCell ref="HM21:HR21"/>
    <mergeCell ref="RI26:RL26"/>
    <mergeCell ref="OV27:OX27"/>
    <mergeCell ref="ZV27:ZX27"/>
    <mergeCell ref="ABM26:ABP26"/>
    <mergeCell ref="ZV2:ZX2"/>
    <mergeCell ref="PF26:PI26"/>
    <mergeCell ref="EY21:FD21"/>
    <mergeCell ref="RU2:RW2"/>
    <mergeCell ref="YD2:YF2"/>
    <mergeCell ref="US26:UV26"/>
    <mergeCell ref="CV21:DA21"/>
    <mergeCell ref="HQ27:HS27"/>
    <mergeCell ref="SQ27:SS27"/>
    <mergeCell ref="DJ26:DM26"/>
    <mergeCell ref="AW27:AY27"/>
    <mergeCell ref="LW27:LY27"/>
    <mergeCell ref="O26:R26"/>
    <mergeCell ref="KE2:KG2"/>
    <mergeCell ref="ABJ21:ABO21"/>
    <mergeCell ref="T21:T23"/>
    <mergeCell ref="Z26:AC26"/>
    <mergeCell ref="KZ26:LC26"/>
    <mergeCell ref="CO2:CQ2"/>
    <mergeCell ref="ABU21:ABZ21"/>
    <mergeCell ref="VA21:VF21"/>
    <mergeCell ref="XZ21:YE21"/>
    <mergeCell ref="ACU27:ACW27"/>
    <mergeCell ref="AAR27:AAT27"/>
    <mergeCell ref="ACI26:ACL26"/>
    <mergeCell ref="YZ2:ZB2"/>
    <mergeCell ref="KO26:KR26"/>
    <mergeCell ref="VO26:VR26"/>
    <mergeCell ref="KA21:KF21"/>
    <mergeCell ref="OU26:OX26"/>
    <mergeCell ref="RJ2:RL2"/>
    <mergeCell ref="DG21:DL21"/>
    <mergeCell ref="IM27:IO27"/>
    <mergeCell ref="EF26:EI26"/>
    <mergeCell ref="BS27:BU27"/>
    <mergeCell ref="AA2:AC2"/>
    <mergeCell ref="LA2:LC2"/>
    <mergeCell ref="FY27:GA27"/>
    <mergeCell ref="HP26:HS26"/>
    <mergeCell ref="EG2:EI2"/>
    <mergeCell ref="ADF2:ADH2"/>
    <mergeCell ref="EC21:EH21"/>
    <mergeCell ref="PQ1:PT1"/>
    <mergeCell ref="QJ21:QO21"/>
    <mergeCell ref="AAQ1:AAT1"/>
    <mergeCell ref="YO2:YQ2"/>
    <mergeCell ref="PR27:PT27"/>
    <mergeCell ref="IB27:ID27"/>
    <mergeCell ref="TB27:TD27"/>
    <mergeCell ref="HF2:HH2"/>
    <mergeCell ref="GT26:GW26"/>
    <mergeCell ref="FC2:FE2"/>
    <mergeCell ref="EG27:EI27"/>
    <mergeCell ref="XG1:XJ1"/>
    <mergeCell ref="VO1:VR1"/>
    <mergeCell ref="IL1:IO1"/>
    <mergeCell ref="TL1:TO1"/>
    <mergeCell ref="UP21:UU21"/>
    <mergeCell ref="AAY21:ABD21"/>
    <mergeCell ref="PF1:PI1"/>
    <mergeCell ref="HP1:HS1"/>
    <mergeCell ref="ZU1:ZX1"/>
    <mergeCell ref="JP21:JU21"/>
    <mergeCell ref="TT21:TY21"/>
    <mergeCell ref="ACQ21:ACV21"/>
    <mergeCell ref="HQ2:HS2"/>
    <mergeCell ref="ACF21:ACK21"/>
    <mergeCell ref="AL2:AN2"/>
    <mergeCell ref="WA27:WC27"/>
    <mergeCell ref="WK26:WN26"/>
    <mergeCell ref="ACT26:ACW26"/>
    <mergeCell ref="KW21:LB21"/>
    <mergeCell ref="WK1:WN1"/>
    <mergeCell ref="JH1:JK1"/>
    <mergeCell ref="SF2:SH2"/>
    <mergeCell ref="BR1:BU1"/>
    <mergeCell ref="CC1:CF1"/>
    <mergeCell ref="DU26:DX26"/>
    <mergeCell ref="BG1:BJ1"/>
    <mergeCell ref="MZ21:NE21"/>
    <mergeCell ref="XH27:XJ27"/>
    <mergeCell ref="VP2:VR2"/>
    <mergeCell ref="BZ21:CE21"/>
    <mergeCell ref="BH27:BJ27"/>
    <mergeCell ref="GU27:GW27"/>
    <mergeCell ref="FY2:GA2"/>
    <mergeCell ref="DV2:DX2"/>
    <mergeCell ref="ABM1:ABP1"/>
    <mergeCell ref="ZK2:ZM2"/>
    <mergeCell ref="VZ26:WC26"/>
    <mergeCell ref="YY26:ZB26"/>
    <mergeCell ref="KL21:KQ21"/>
    <mergeCell ref="CK21:CP21"/>
    <mergeCell ref="TX27:TZ27"/>
    <mergeCell ref="PQ26:PT26"/>
    <mergeCell ref="CN1:CQ1"/>
    <mergeCell ref="LL27:LN27"/>
    <mergeCell ref="LL2:LN2"/>
    <mergeCell ref="LV26:LY26"/>
    <mergeCell ref="FM1:FP1"/>
    <mergeCell ref="DK2:DM2"/>
    <mergeCell ref="NZ2:OB2"/>
    <mergeCell ref="FC27:FE27"/>
    <mergeCell ref="JI27:JK27"/>
    <mergeCell ref="YK21:YP21"/>
    <mergeCell ref="WW27:WY27"/>
    <mergeCell ref="AW2:AY2"/>
    <mergeCell ref="ABC27:ABE27"/>
    <mergeCell ref="RF21:RK21"/>
    <mergeCell ref="QM1:QP1"/>
    <mergeCell ref="AV26:AY26"/>
    <mergeCell ref="AV1:AY1"/>
    <mergeCell ref="D1:G1"/>
    <mergeCell ref="OG21:OL21"/>
    <mergeCell ref="XR1:XU1"/>
    <mergeCell ref="RQ21:RV21"/>
    <mergeCell ref="ACU2:ACW2"/>
    <mergeCell ref="ZJ26:ZM26"/>
    <mergeCell ref="NV21:OA21"/>
    <mergeCell ref="ND27:NF27"/>
    <mergeCell ref="ZU26:ZX26"/>
    <mergeCell ref="TM2:TO2"/>
    <mergeCell ref="WL2:WN2"/>
    <mergeCell ref="IA26:ID26"/>
    <mergeCell ref="TA26:TD26"/>
    <mergeCell ref="MR1:MU1"/>
    <mergeCell ref="QN27:QP27"/>
    <mergeCell ref="MG26:MJ26"/>
    <mergeCell ref="FX1:GA1"/>
    <mergeCell ref="OV2:OX2"/>
    <mergeCell ref="MG1:MJ1"/>
    <mergeCell ref="W21:AB21"/>
    <mergeCell ref="KD1:KG1"/>
    <mergeCell ref="IB2:ID2"/>
    <mergeCell ref="E27:G27"/>
    <mergeCell ref="ZG21:ZL21"/>
    <mergeCell ref="ACT1:ACW1"/>
    <mergeCell ref="VL21:VQ21"/>
    <mergeCell ref="OR21:OW21"/>
    <mergeCell ref="AAF1:AAI1"/>
    <mergeCell ref="AAG27:AAI27"/>
    <mergeCell ref="TM27:TO27"/>
    <mergeCell ref="TW26:TZ26"/>
    <mergeCell ref="TW1:TZ1"/>
    <mergeCell ref="MS27:MU27"/>
    <mergeCell ref="XS27:XU27"/>
    <mergeCell ref="NC26:NF26"/>
    <mergeCell ref="PR2:PT2"/>
    <mergeCell ref="NC1:NF1"/>
    <mergeCell ref="WA2:WC2"/>
    <mergeCell ref="AAC21:AAH21"/>
    <mergeCell ref="ABY27:ACA27"/>
    <mergeCell ref="SB21:SG21"/>
    <mergeCell ref="AAG2:AAI2"/>
    <mergeCell ref="ZK27:ZM27"/>
    <mergeCell ref="US1:UV1"/>
    <mergeCell ref="QC27:QE27"/>
    <mergeCell ref="TA1:TD1"/>
    <mergeCell ref="TB2:TD2"/>
    <mergeCell ref="NY26:OB26"/>
    <mergeCell ref="KP27:KR27"/>
    <mergeCell ref="ZR21:ZW21"/>
    <mergeCell ref="CO27:CQ27"/>
    <mergeCell ref="Z1:AC1"/>
    <mergeCell ref="IX2:IZ2"/>
    <mergeCell ref="IL26:IO26"/>
    <mergeCell ref="CD2:CF2"/>
    <mergeCell ref="BR26:BU26"/>
    <mergeCell ref="SM21:SR21"/>
    <mergeCell ref="GT1:GW1"/>
    <mergeCell ref="ER2:ET2"/>
    <mergeCell ref="AS21:AX21"/>
    <mergeCell ref="FN27:FP27"/>
    <mergeCell ref="IM2:IO2"/>
    <mergeCell ref="FB26:FE26"/>
    <mergeCell ref="BS2:BU2"/>
    <mergeCell ref="HB21:HG21"/>
    <mergeCell ref="LH21:LM21"/>
    <mergeCell ref="MH27:MJ27"/>
    <mergeCell ref="SQ2:SS2"/>
    <mergeCell ref="KP2:KR2"/>
    <mergeCell ref="SE26:SH26"/>
    <mergeCell ref="ER27:ET27"/>
    <mergeCell ref="FB1:FE1"/>
    <mergeCell ref="JT2:JV2"/>
    <mergeCell ref="IW1:IZ1"/>
    <mergeCell ref="IX27:IZ27"/>
    <mergeCell ref="EQ26:ET26"/>
    <mergeCell ref="CD27:CF27"/>
    <mergeCell ref="CN26:CQ26"/>
    <mergeCell ref="PN21:PS21"/>
    <mergeCell ref="ABB1:ABE1"/>
    <mergeCell ref="VW21:WB21"/>
    <mergeCell ref="UI27:UK27"/>
    <mergeCell ref="NO27:NQ27"/>
    <mergeCell ref="YO27:YQ27"/>
    <mergeCell ref="AAF26:AAI26"/>
    <mergeCell ref="DR21:DW21"/>
    <mergeCell ref="QN2:QP2"/>
    <mergeCell ref="NY1:OB1"/>
    <mergeCell ref="LW2:LY2"/>
    <mergeCell ref="WW2:WY2"/>
    <mergeCell ref="TL26:TO26"/>
    <mergeCell ref="YC1:YF1"/>
    <mergeCell ref="LK26:LN26"/>
    <mergeCell ref="HX21:IC21"/>
    <mergeCell ref="GI1:GL1"/>
    <mergeCell ref="GJ27:GL27"/>
  </mergeCells>
  <phoneticPr fontId="2"/>
  <pageMargins left="0.43307086614173229" right="0.43307086614173229" top="0.55118110236220474" bottom="0.55118110236220474" header="0.31496062992125978" footer="0.31496062992125978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注文弁当の抽出</vt:lpstr>
      <vt:lpstr>クライアント抽出</vt:lpstr>
      <vt:lpstr>貼り付け用</vt:lpstr>
      <vt:lpstr>得意先マスタ</vt:lpstr>
      <vt:lpstr>商品マスタ</vt:lpstr>
      <vt:lpstr>数出表_Excel</vt:lpstr>
      <vt:lpstr>納品書まとめ</vt:lpstr>
      <vt:lpstr>納品書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井﨑 優</dc:creator>
  <cp:lastModifiedBy>井﨑 優</cp:lastModifiedBy>
  <cp:lastPrinted>2025-09-02T17:56:59Z</cp:lastPrinted>
  <dcterms:created xsi:type="dcterms:W3CDTF">2025-08-14T21:25:01Z</dcterms:created>
  <dcterms:modified xsi:type="dcterms:W3CDTF">2025-11-19T16:18:14Z</dcterms:modified>
</cp:coreProperties>
</file>